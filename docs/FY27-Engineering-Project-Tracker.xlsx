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roject Tracker" sheetId="2" state="visible" r:id="rId2"/>
    <sheet xmlns:r="http://schemas.openxmlformats.org/officeDocument/2006/relationships" name="Gantt Chart" sheetId="3" state="visible" r:id="rId3"/>
    <sheet xmlns:r="http://schemas.openxmlformats.org/officeDocument/2006/relationships" name="Resource Planning" sheetId="4" state="visible" r:id="rId4"/>
    <sheet xmlns:r="http://schemas.openxmlformats.org/officeDocument/2006/relationships" name="Milestones" sheetId="5" state="visible" r:id="rId5"/>
    <sheet xmlns:r="http://schemas.openxmlformats.org/officeDocument/2006/relationships" name="Risks &amp; Issues" sheetId="6" state="visible" r:id="rId6"/>
    <sheet xmlns:r="http://schemas.openxmlformats.org/officeDocument/2006/relationships" name="Dependencies" sheetId="7" state="visible" r:id="rId7"/>
    <sheet xmlns:r="http://schemas.openxmlformats.org/officeDocument/2006/relationships" name="Lookup Lists" sheetId="8" state="visible" r:id="rId8"/>
  </sheets>
  <definedNames>
    <definedName name="List_Owners">'Lookup Lists'!$A$5:$A$9</definedName>
    <definedName name="List_Priority">'Lookup Lists'!$B$5:$B$8</definedName>
    <definedName name="List_Status">'Lookup Lists'!$C$5:$C$9</definedName>
    <definedName name="List_Teams">'Lookup Lists'!$D$5:$D$12</definedName>
    <definedName name="List_Projects">'Lookup Lists'!$E$5:$E$10</definedName>
    <definedName name="List_Releases">'Lookup Lists'!$F$5:$F$12</definedName>
    <definedName name="List_Sprint">'Lookup Lists'!$G$5:$G$30</definedName>
    <definedName name="List_Phase">'Lookup Lists'!$H$5:$H$11</definedName>
    <definedName name="List_Workstream">'Lookup Lists'!$I$5:$I$11</definedName>
    <definedName name="List_Impact">'Lookup Lists'!$J$5:$J$7</definedName>
    <definedName name="List_Probability">'Lookup Lists'!$K$5:$K$7</definedName>
    <definedName name="List_RiskStatus">'Lookup Lists'!$L$5:$L$8</definedName>
    <definedName name="List_DepStatus">'Lookup Lists'!$M$5:$M$8</definedName>
    <definedName name="List_Category">'Lookup Lists'!$N$5:$N$10</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DD-MMM"/>
    <numFmt numFmtId="167" formatCode="DD-MMM-YY"/>
    <numFmt numFmtId="168" formatCode="MMM-YY"/>
    <numFmt numFmtId="169" formatCode="0.0%"/>
  </numFmts>
  <fonts count="25">
    <font>
      <name val="Calibri"/>
      <family val="2"/>
      <color theme="1"/>
      <sz val="11"/>
      <scheme val="minor"/>
    </font>
    <font>
      <name val="Calibri"/>
      <b val="1"/>
      <color rgb="001F4E79"/>
      <sz val="16"/>
    </font>
    <font>
      <name val="Calibri"/>
      <i val="1"/>
      <color rgb="00666666"/>
      <sz val="10"/>
    </font>
    <font>
      <b val="1"/>
      <color rgb="00FFFFFF"/>
    </font>
    <font>
      <name val="Calibri"/>
      <b val="1"/>
      <color rgb="00FFFFFF"/>
      <sz val="11"/>
    </font>
    <font>
      <name val="Calibri"/>
      <sz val="10"/>
    </font>
    <font>
      <i val="1"/>
      <color rgb="00666666"/>
      <sz val="10"/>
    </font>
    <font>
      <i val="1"/>
      <color rgb="00666666"/>
      <sz val="9"/>
    </font>
    <font>
      <name val="Calibri"/>
      <b val="1"/>
      <color rgb="00FFFFFF"/>
      <sz val="8"/>
    </font>
    <font>
      <b val="1"/>
      <color rgb="00C65911"/>
      <sz val="10"/>
    </font>
    <font>
      <name val="Calibri"/>
      <sz val="9"/>
    </font>
    <font>
      <sz val="8"/>
    </font>
    <font>
      <b val="1"/>
      <color rgb="001F4E79"/>
      <sz val="12"/>
    </font>
    <font>
      <b val="1"/>
      <color rgb="00FFFFFF"/>
      <sz val="9"/>
    </font>
    <font>
      <name val="Calibri"/>
      <b val="1"/>
      <color rgb="00FFFFFF"/>
      <sz val="20"/>
    </font>
    <font>
      <name val="Calibri"/>
      <b val="1"/>
      <color rgb="00666666"/>
      <sz val="9"/>
    </font>
    <font>
      <name val="Calibri"/>
      <b val="1"/>
      <color rgb="001F4E79"/>
      <sz val="18"/>
    </font>
    <font>
      <b val="1"/>
      <color rgb="001F4E79"/>
      <sz val="14"/>
    </font>
    <font>
      <b val="1"/>
      <color rgb="009C0006"/>
      <sz val="14"/>
    </font>
    <font>
      <b val="1"/>
      <color rgb="001F4E79"/>
    </font>
    <font>
      <b val="1"/>
      <color rgb="00006100"/>
    </font>
    <font>
      <b val="1"/>
      <color rgb="009C5700"/>
    </font>
    <font>
      <b val="1"/>
      <color rgb="009C0006"/>
    </font>
    <font>
      <b val="1"/>
      <color rgb="00595959"/>
    </font>
    <font>
      <color rgb="00999999"/>
      <sz val="8"/>
    </font>
  </fonts>
  <fills count="10">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C6EFCE"/>
      </patternFill>
    </fill>
    <fill>
      <patternFill patternType="solid">
        <fgColor rgb="00BDD7EE"/>
      </patternFill>
    </fill>
    <fill>
      <patternFill patternType="solid">
        <fgColor rgb="00FFEB9C"/>
      </patternFill>
    </fill>
    <fill>
      <patternFill patternType="solid">
        <fgColor rgb="00FFC7CE"/>
      </patternFill>
    </fill>
    <fill>
      <patternFill patternType="solid">
        <fgColor rgb="00D9D9D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5">
    <xf numFmtId="0" fontId="0" fillId="0" borderId="0" pivotButton="0" quotePrefix="0" xfId="0"/>
    <xf numFmtId="0" fontId="14" fillId="2" borderId="0" applyAlignment="1" pivotButton="0" quotePrefix="0" xfId="0">
      <alignment horizontal="center" vertical="center"/>
    </xf>
    <xf numFmtId="0" fontId="24" fillId="0" borderId="0" pivotButton="0" quotePrefix="0" xfId="0"/>
    <xf numFmtId="0" fontId="2" fillId="0" borderId="0" applyAlignment="1" pivotButton="0" quotePrefix="0" xfId="0">
      <alignment horizontal="center"/>
    </xf>
    <xf numFmtId="0" fontId="15" fillId="0" borderId="0" applyAlignment="1" pivotButton="0" quotePrefix="0" xfId="0">
      <alignment horizontal="center"/>
    </xf>
    <xf numFmtId="0" fontId="16" fillId="4" borderId="1" applyAlignment="1" pivotButton="0" quotePrefix="0" xfId="0">
      <alignment horizontal="center"/>
    </xf>
    <xf numFmtId="169" fontId="16" fillId="4" borderId="1" applyAlignment="1" pivotButton="0" quotePrefix="0" xfId="0">
      <alignment horizontal="center"/>
    </xf>
    <xf numFmtId="3" fontId="16" fillId="4" borderId="1" applyAlignment="1" pivotButton="0" quotePrefix="0" xfId="0">
      <alignment horizontal="center"/>
    </xf>
    <xf numFmtId="168" fontId="0" fillId="0" borderId="0" pivotButton="0" quotePrefix="0" xfId="0"/>
    <xf numFmtId="9" fontId="0" fillId="0" borderId="0" pivotButton="0" quotePrefix="0" xfId="0"/>
    <xf numFmtId="0" fontId="12" fillId="0" borderId="0" pivotButton="0" quotePrefix="0" xfId="0"/>
    <xf numFmtId="169" fontId="17" fillId="0" borderId="0" pivotButton="0" quotePrefix="0" xfId="0"/>
    <xf numFmtId="0" fontId="18" fillId="0" borderId="0" pivotButton="0" quotePrefix="0" xfId="0"/>
    <xf numFmtId="0" fontId="7" fillId="0" borderId="0" pivotButton="0" quotePrefix="0" xfId="0"/>
    <xf numFmtId="0" fontId="19" fillId="0" borderId="0" pivotButton="0" quotePrefix="0" xfId="0"/>
    <xf numFmtId="0" fontId="20" fillId="5" borderId="0" pivotButton="0" quotePrefix="0" xfId="0"/>
    <xf numFmtId="0" fontId="19" fillId="6" borderId="0" pivotButton="0" quotePrefix="0" xfId="0"/>
    <xf numFmtId="0" fontId="21" fillId="7" borderId="0" pivotButton="0" quotePrefix="0" xfId="0"/>
    <xf numFmtId="0" fontId="22" fillId="8" borderId="0" pivotButton="0" quotePrefix="0" xfId="0"/>
    <xf numFmtId="0" fontId="23" fillId="9"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center"/>
    </xf>
    <xf numFmtId="0" fontId="5" fillId="0" borderId="1" applyAlignment="1" pivotButton="0" quotePrefix="0" xfId="0">
      <alignment vertical="center" wrapText="1"/>
    </xf>
    <xf numFmtId="165" fontId="5" fillId="0" borderId="1" applyAlignment="1" pivotButton="0" quotePrefix="0" xfId="0">
      <alignment vertical="center"/>
    </xf>
    <xf numFmtId="9" fontId="5" fillId="0" borderId="1" applyAlignment="1" pivotButton="0" quotePrefix="0" xfId="0">
      <alignment vertical="center"/>
    </xf>
    <xf numFmtId="3" fontId="5" fillId="0" borderId="1" applyAlignment="1" pivotButton="0" quotePrefix="0" xfId="0">
      <alignment vertical="center"/>
    </xf>
    <xf numFmtId="0" fontId="9" fillId="0" borderId="0" applyAlignment="1" pivotButton="0" quotePrefix="0" xfId="0">
      <alignment horizontal="center"/>
    </xf>
    <xf numFmtId="166" fontId="8" fillId="3" borderId="0" applyAlignment="1" pivotButton="0" quotePrefix="0" xfId="0">
      <alignment horizontal="center" textRotation="90"/>
    </xf>
    <xf numFmtId="0" fontId="10" fillId="0" borderId="1" pivotButton="0" quotePrefix="0" xfId="0"/>
    <xf numFmtId="167" fontId="10" fillId="0" borderId="1" pivotButton="0" quotePrefix="0" xfId="0"/>
    <xf numFmtId="9" fontId="10" fillId="0" borderId="1" pivotButton="0" quotePrefix="0" xfId="0"/>
    <xf numFmtId="0" fontId="11" fillId="0" borderId="0" applyAlignment="1" pivotButton="0" quotePrefix="0" xfId="0">
      <alignment horizontal="center"/>
    </xf>
    <xf numFmtId="168" fontId="13" fillId="2" borderId="0" pivotButton="0" quotePrefix="0" xfId="0"/>
    <xf numFmtId="0" fontId="3" fillId="3" borderId="0" pivotButton="0" quotePrefix="0" xfId="0"/>
    <xf numFmtId="167" fontId="0" fillId="0" borderId="0" pivotButton="0" quotePrefix="0" xfId="0"/>
    <xf numFmtId="0" fontId="6" fillId="0" borderId="0" pivotButton="0" quotePrefix="0" xfId="0"/>
    <xf numFmtId="0" fontId="5" fillId="0" borderId="1" pivotButton="0" quotePrefix="0" xfId="0"/>
    <xf numFmtId="169" fontId="5" fillId="0" borderId="1" pivotButton="0" quotePrefix="0" xfId="0"/>
    <xf numFmtId="0" fontId="3" fillId="2" borderId="0" pivotButton="0" quotePrefix="0" xfId="0"/>
    <xf numFmtId="1" fontId="0" fillId="0" borderId="0" pivotButton="0" quotePrefix="0" xfId="0"/>
    <xf numFmtId="165" fontId="5" fillId="0" borderId="1" pivotButton="0" quotePrefix="0" xfId="0"/>
    <xf numFmtId="0" fontId="3" fillId="2" borderId="0" applyAlignment="1" pivotButton="0" quotePrefix="0" xfId="0">
      <alignment horizontal="center"/>
    </xf>
    <xf numFmtId="0" fontId="0" fillId="0" borderId="1" pivotButton="0" quotePrefix="0" xfId="0"/>
  </cellXfs>
  <cellStyles count="1">
    <cellStyle name="Normal" xfId="0" builtinId="0" hidden="0"/>
  </cellStyles>
  <dxfs count="20">
    <dxf>
      <font>
        <b val="1"/>
        <color rgb="00006100"/>
      </font>
      <fill>
        <patternFill patternType="solid">
          <fgColor rgb="00C6EFCE"/>
        </patternFill>
      </fill>
    </dxf>
    <dxf>
      <font>
        <b val="1"/>
        <color rgb="001F4E79"/>
      </font>
      <fill>
        <patternFill patternType="solid">
          <fgColor rgb="00BDD7EE"/>
        </patternFill>
      </fill>
    </dxf>
    <dxf>
      <font>
        <b val="1"/>
        <color rgb="009C5700"/>
      </font>
      <fill>
        <patternFill patternType="solid">
          <fgColor rgb="00FFEB9C"/>
        </patternFill>
      </fill>
    </dxf>
    <dxf>
      <font>
        <b val="1"/>
        <color rgb="009C0006"/>
      </font>
      <fill>
        <patternFill patternType="solid">
          <fgColor rgb="00FFC7CE"/>
        </patternFill>
      </fill>
    </dxf>
    <dxf>
      <font>
        <b val="1"/>
        <color rgb="00595959"/>
      </font>
      <fill>
        <patternFill patternType="solid">
          <fgColor rgb="00D9D9D9"/>
        </patternFill>
      </fill>
    </dxf>
    <dxf>
      <font>
        <b val="1"/>
        <color rgb="00000000"/>
        <sz val="8"/>
      </font>
      <fill>
        <patternFill patternType="solid">
          <fgColor rgb="00F4B183"/>
        </patternFill>
      </fill>
    </dxf>
    <dxf>
      <font>
        <b val="1"/>
        <color rgb="00006100"/>
        <sz val="8"/>
      </font>
      <fill>
        <patternFill patternType="solid">
          <fgColor rgb="00C6EFCE"/>
        </patternFill>
      </fill>
    </dxf>
    <dxf>
      <font>
        <b val="1"/>
        <color rgb="001F4E79"/>
        <sz val="8"/>
      </font>
      <fill>
        <patternFill patternType="solid">
          <fgColor rgb="00BDD7EE"/>
        </patternFill>
      </fill>
    </dxf>
    <dxf>
      <font>
        <b val="1"/>
        <color rgb="009C5700"/>
        <sz val="8"/>
      </font>
      <fill>
        <patternFill patternType="solid">
          <fgColor rgb="00FFEB9C"/>
        </patternFill>
      </fill>
    </dxf>
    <dxf>
      <font>
        <b val="1"/>
        <color rgb="009C0006"/>
        <sz val="8"/>
      </font>
      <fill>
        <patternFill patternType="solid">
          <fgColor rgb="00FFC7CE"/>
        </patternFill>
      </fill>
    </dxf>
    <dxf>
      <font>
        <b val="1"/>
        <color rgb="00595959"/>
        <sz val="8"/>
      </font>
      <fill>
        <patternFill patternType="solid">
          <fgColor rgb="00D9D9D9"/>
        </patternFill>
      </fill>
    </dxf>
    <dxf>
      <font>
        <b val="1"/>
        <color rgb="00FFFFFF"/>
        <sz val="8"/>
      </font>
      <fill>
        <patternFill patternType="solid">
          <fgColor rgb="00FF5050"/>
        </patternFill>
      </fill>
    </dxf>
    <dxf>
      <font>
        <b val="1"/>
        <color rgb="00FFFFFF"/>
        <sz val="8"/>
      </font>
      <fill>
        <patternFill patternType="solid">
          <fgColor rgb="007030A0"/>
        </patternFill>
      </fill>
    </dxf>
    <dxf>
      <font>
        <b val="1"/>
        <color rgb="00006100"/>
        <sz val="9"/>
      </font>
      <fill>
        <patternFill patternType="solid">
          <fgColor rgb="00C6EFCE"/>
        </patternFill>
      </fill>
    </dxf>
    <dxf>
      <font>
        <b val="1"/>
        <color rgb="001F4E79"/>
        <sz val="9"/>
      </font>
      <fill>
        <patternFill patternType="solid">
          <fgColor rgb="00BDD7EE"/>
        </patternFill>
      </fill>
    </dxf>
    <dxf>
      <font>
        <b val="1"/>
        <color rgb="009C5700"/>
        <sz val="9"/>
      </font>
      <fill>
        <patternFill patternType="solid">
          <fgColor rgb="00FFEB9C"/>
        </patternFill>
      </fill>
    </dxf>
    <dxf>
      <font>
        <b val="1"/>
        <color rgb="009C0006"/>
        <sz val="9"/>
      </font>
      <fill>
        <patternFill patternType="solid">
          <fgColor rgb="00FFC7CE"/>
        </patternFill>
      </fill>
    </dxf>
    <dxf>
      <font>
        <b val="1"/>
        <color rgb="00595959"/>
        <sz val="9"/>
      </font>
      <fill>
        <patternFill patternType="solid">
          <fgColor rgb="00D9D9D9"/>
        </patternFill>
      </fill>
    </dxf>
    <dxf>
      <font>
        <b val="1"/>
      </font>
      <fill>
        <patternFill patternType="solid">
          <fgColor rgb="00F4B183"/>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Tasks by Status</a:t>
            </a:r>
          </a:p>
        </rich>
      </tx>
    </title>
    <plotArea>
      <doughnutChart>
        <varyColors val="1"/>
        <ser>
          <idx val="0"/>
          <order val="0"/>
          <tx>
            <strRef>
              <f>'Dashboard'!Q3</f>
            </strRef>
          </tx>
          <spPr>
            <a:ln xmlns:a="http://schemas.openxmlformats.org/drawingml/2006/main">
              <a:prstDash val="solid"/>
            </a:ln>
          </spPr>
          <cat>
            <numRef>
              <f>'Dashboard'!$P$4:$P$8</f>
            </numRef>
          </cat>
          <val>
            <numRef>
              <f>'Dashboard'!$Q$4:$Q$8</f>
            </numRef>
          </val>
        </ser>
        <dLbls>
          <showVal val="0"/>
          <showCatName val="1"/>
          <showPercent val="1"/>
        </dLbls>
        <firstSliceAng val="0"/>
        <holeSize val="10"/>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Tasks by Owner</a:t>
            </a:r>
          </a:p>
        </rich>
      </tx>
    </title>
    <plotArea>
      <barChart>
        <barDir val="bar"/>
        <grouping val="clustered"/>
        <ser>
          <idx val="0"/>
          <order val="0"/>
          <tx>
            <strRef>
              <f>'Dashboard'!Q11</f>
            </strRef>
          </tx>
          <spPr>
            <a:ln xmlns:a="http://schemas.openxmlformats.org/drawingml/2006/main">
              <a:prstDash val="solid"/>
            </a:ln>
          </spPr>
          <cat>
            <numRef>
              <f>'Dashboard'!$P$12:$P$16</f>
            </numRef>
          </cat>
          <val>
            <numRef>
              <f>'Dashboard'!$Q$12:$Q$16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Monthly Burn-up (Completed % vs Plan)</a:t>
            </a:r>
          </a:p>
        </rich>
      </tx>
    </title>
    <plotArea>
      <lineChart>
        <grouping val="standard"/>
        <ser>
          <idx val="0"/>
          <order val="0"/>
          <tx>
            <strRef>
              <f>'Dashboard'!Q26</f>
            </strRef>
          </tx>
          <spPr>
            <a:ln xmlns:a="http://schemas.openxmlformats.org/drawingml/2006/main">
              <a:prstDash val="solid"/>
            </a:ln>
          </spPr>
          <marker>
            <symbol val="none"/>
            <spPr>
              <a:ln xmlns:a="http://schemas.openxmlformats.org/drawingml/2006/main">
                <a:prstDash val="solid"/>
              </a:ln>
            </spPr>
          </marker>
          <cat>
            <numRef>
              <f>'Dashboard'!$P$27:$P$38</f>
            </numRef>
          </cat>
          <val>
            <numRef>
              <f>'Dashboard'!$Q$27:$Q$38</f>
            </numRef>
          </val>
        </ser>
        <ser>
          <idx val="1"/>
          <order val="1"/>
          <tx>
            <strRef>
              <f>'Dashboard'!R26</f>
            </strRef>
          </tx>
          <spPr>
            <a:ln xmlns:a="http://schemas.openxmlformats.org/drawingml/2006/main">
              <a:prstDash val="solid"/>
            </a:ln>
          </spPr>
          <marker>
            <symbol val="none"/>
            <spPr>
              <a:ln xmlns:a="http://schemas.openxmlformats.org/drawingml/2006/main">
                <a:prstDash val="solid"/>
              </a:ln>
            </spPr>
          </marker>
          <cat>
            <numRef>
              <f>'Dashboard'!$P$27:$P$38</f>
            </numRef>
          </cat>
          <val>
            <numRef>
              <f>'Dashboard'!$R$27:$R$38</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Progress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Release Progress (Avg % Complete)</a:t>
            </a:r>
          </a:p>
        </rich>
      </tx>
    </title>
    <plotArea>
      <barChart>
        <barDir val="col"/>
        <grouping val="clustered"/>
        <ser>
          <idx val="0"/>
          <order val="0"/>
          <tx>
            <strRef>
              <f>'Dashboard'!Q42</f>
            </strRef>
          </tx>
          <spPr>
            <a:ln xmlns:a="http://schemas.openxmlformats.org/drawingml/2006/main">
              <a:prstDash val="solid"/>
            </a:ln>
          </spPr>
          <cat>
            <numRef>
              <f>'Dashboard'!$P$43:$P$50</f>
            </numRef>
          </cat>
          <val>
            <numRef>
              <f>'Dashboard'!$Q$43:$Q$50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Resource Utilization %</a:t>
            </a:r>
          </a:p>
        </rich>
      </tx>
    </title>
    <plotArea>
      <barChart>
        <barDir val="col"/>
        <grouping val="clustered"/>
        <ser>
          <idx val="0"/>
          <order val="0"/>
          <tx>
            <strRef>
              <f>'Resource Planning'!F4</f>
            </strRef>
          </tx>
          <spPr>
            <a:ln xmlns:a="http://schemas.openxmlformats.org/drawingml/2006/main">
              <a:prstDash val="solid"/>
            </a:ln>
          </spPr>
          <cat>
            <numRef>
              <f>'Resource Planning'!$A$5:$A$9</f>
            </numRef>
          </cat>
          <val>
            <numRef>
              <f>'Resource Planning'!$F$5:$F$9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Resource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Utilization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col>
      <colOff>0</colOff>
      <row>10</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10</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27</row>
      <rowOff>0</rowOff>
    </from>
    <ext cx="57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27</row>
      <rowOff>0</rowOff>
    </from>
    <ext cx="504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ProjectTracker" displayName="tblProjectTracker" ref="A4:AB113" headerRowCount="1">
  <autoFilter ref="A4:AB113"/>
  <tableColumns count="28">
    <tableColumn id="1" name="Task ID"/>
    <tableColumn id="2" name="Epic"/>
    <tableColumn id="3" name="Project"/>
    <tableColumn id="4" name="Feature"/>
    <tableColumn id="5" name="Sprint"/>
    <tableColumn id="6" name="Phase"/>
    <tableColumn id="7" name="Workstream"/>
    <tableColumn id="8" name="Task Name"/>
    <tableColumn id="9" name="Description"/>
    <tableColumn id="10" name="Owner"/>
    <tableColumn id="11" name="Team"/>
    <tableColumn id="12" name="Priority"/>
    <tableColumn id="13" name="Status"/>
    <tableColumn id="14" name="Start Date"/>
    <tableColumn id="15" name="End Date"/>
    <tableColumn id="16" name="Duration"/>
    <tableColumn id="17" name="% Complete"/>
    <tableColumn id="18" name="Planned Hours"/>
    <tableColumn id="19" name="Actual Hours"/>
    <tableColumn id="20" name="Variance"/>
    <tableColumn id="21" name="Budget"/>
    <tableColumn id="22" name="Dependency"/>
    <tableColumn id="23" name="Blocked By"/>
    <tableColumn id="24" name="Risk"/>
    <tableColumn id="25" name="Next Action"/>
    <tableColumn id="26" name="Target Release"/>
    <tableColumn id="27" name="Remarks"/>
    <tableColumn id="28" name="Critical Path"/>
  </tableColumns>
  <tableStyleInfo name="TableStyleMedium2" showFirstColumn="0" showLastColumn="0" showRowStripes="1" showColumnStripes="0"/>
</table>
</file>

<file path=xl/tables/table2.xml><?xml version="1.0" encoding="utf-8"?>
<table xmlns="http://schemas.openxmlformats.org/spreadsheetml/2006/main" id="2" name="tblResources" displayName="tblResources" ref="A4:I9" headerRowCount="1">
  <autoFilter ref="A4:I9"/>
  <tableColumns count="9">
    <tableColumn id="1" name="Resource"/>
    <tableColumn id="2" name="Role"/>
    <tableColumn id="3" name="Capacity (h)"/>
    <tableColumn id="4" name="Allocated Hours"/>
    <tableColumn id="5" name="Remaining Hours"/>
    <tableColumn id="6" name="Utilization %"/>
    <tableColumn id="7" name="Vacation (h)"/>
    <tableColumn id="8" name="Leave (h)"/>
    <tableColumn id="9" name="Overallocated?"/>
  </tableColumns>
  <tableStyleInfo name="TableStyleMedium2" showFirstColumn="0" showLastColumn="0" showRowStripes="1" showColumnStripes="0"/>
</table>
</file>

<file path=xl/tables/table3.xml><?xml version="1.0" encoding="utf-8"?>
<table xmlns="http://schemas.openxmlformats.org/spreadsheetml/2006/main" id="3" name="tblMilestones" displayName="tblMilestones" ref="A4:H27" headerRowCount="1">
  <autoFilter ref="A4:H27"/>
  <tableColumns count="8">
    <tableColumn id="1" name="Milestone ID"/>
    <tableColumn id="2" name="Milestone"/>
    <tableColumn id="3" name="Owner"/>
    <tableColumn id="4" name="Planned Date"/>
    <tableColumn id="5" name="Actual Date"/>
    <tableColumn id="6" name="Status"/>
    <tableColumn id="7" name="Delay (days)"/>
    <tableColumn id="8" name="Upcoming within 14 days"/>
  </tableColumns>
  <tableStyleInfo name="TableStyleMedium2" showFirstColumn="0" showLastColumn="0" showRowStripes="1" showColumnStripes="0"/>
</table>
</file>

<file path=xl/tables/table4.xml><?xml version="1.0" encoding="utf-8"?>
<table xmlns="http://schemas.openxmlformats.org/spreadsheetml/2006/main" id="4" name="tblRisks" displayName="tblRisks" ref="A4:I22" headerRowCount="1">
  <autoFilter ref="A4:I22"/>
  <tableColumns count="9">
    <tableColumn id="1" name="Risk ID"/>
    <tableColumn id="2" name="Description"/>
    <tableColumn id="3" name="Impact"/>
    <tableColumn id="4" name="Probability"/>
    <tableColumn id="5" name="Severity"/>
    <tableColumn id="6" name="Owner"/>
    <tableColumn id="7" name="Mitigation"/>
    <tableColumn id="8" name="Status"/>
    <tableColumn id="9" name="Review Date"/>
  </tableColumns>
  <tableStyleInfo name="TableStyleMedium2" showFirstColumn="0" showLastColumn="0" showRowStripes="1" showColumnStripes="0"/>
</table>
</file>

<file path=xl/tables/table5.xml><?xml version="1.0" encoding="utf-8"?>
<table xmlns="http://schemas.openxmlformats.org/spreadsheetml/2006/main" id="5" name="tblDependencies" displayName="tblDependencies" ref="A4:G103" headerRowCount="1">
  <autoFilter ref="A4:G103"/>
  <tableColumns count="7">
    <tableColumn id="1" name="Dependency ID"/>
    <tableColumn id="2" name="Task"/>
    <tableColumn id="3" name="Depends On"/>
    <tableColumn id="4" name="Owner"/>
    <tableColumn id="5" name="Expected Date"/>
    <tableColumn id="6" name="Actual Date"/>
    <tableColumn id="7"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R5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8" customWidth="1" min="16" max="16"/>
    <col width="12" customWidth="1" min="17" max="17"/>
    <col width="14" customWidth="1" min="18" max="18"/>
  </cols>
  <sheetData>
    <row r="1" ht="36" customHeight="1">
      <c r="A1" s="1" t="inlineStr">
        <is>
          <t>FY27 ENGINEERING EXECUTIVE DASHBOARD</t>
        </is>
      </c>
      <c r="P1" s="2" t="inlineStr">
        <is>
          <t>CHART DATA (do not delete)</t>
        </is>
      </c>
    </row>
    <row r="2">
      <c r="A2" s="3" t="inlineStr">
        <is>
          <t>Governance view  |  01 Jul 2026 – 30 Jun 2027  |  All KPIs formula-linked to Project Tracker · Refresh values by recalculating workbook</t>
        </is>
      </c>
    </row>
    <row r="3">
      <c r="P3" t="inlineStr">
        <is>
          <t>Status</t>
        </is>
      </c>
      <c r="Q3" t="inlineStr">
        <is>
          <t>Count</t>
        </is>
      </c>
    </row>
    <row r="4">
      <c r="B4" s="4" t="inlineStr">
        <is>
          <t>Total Projects</t>
        </is>
      </c>
      <c r="D4" s="4" t="inlineStr">
        <is>
          <t>Total Tasks</t>
        </is>
      </c>
      <c r="F4" s="4" t="inlineStr">
        <is>
          <t>Completed</t>
        </is>
      </c>
      <c r="H4" s="4" t="inlineStr">
        <is>
          <t>In Progress</t>
        </is>
      </c>
      <c r="J4" s="4" t="inlineStr">
        <is>
          <t>Blocked</t>
        </is>
      </c>
      <c r="L4" s="4" t="inlineStr">
        <is>
          <t>At Risk</t>
        </is>
      </c>
      <c r="P4" t="inlineStr">
        <is>
          <t>Not Started</t>
        </is>
      </c>
      <c r="Q4">
        <f>COUNTIF('Project Tracker'!$M$5:$M$113,P4)</f>
        <v/>
      </c>
    </row>
    <row r="5">
      <c r="B5" s="5">
        <f>COUNTA('Lookup Lists'!$E$5:$E$10)</f>
        <v/>
      </c>
      <c r="D5" s="5">
        <f>COUNTA('Project Tracker'!$A$5:$A$113)</f>
        <v/>
      </c>
      <c r="F5" s="5">
        <f>COUNTIF('Project Tracker'!$M$5:$M$113,"Completed")</f>
        <v/>
      </c>
      <c r="H5" s="6">
        <f>COUNTIF('Project Tracker'!$M$5:$M$113,"In Progress")</f>
        <v/>
      </c>
      <c r="J5" s="5">
        <f>COUNTIF('Project Tracker'!$M$5:$M$113,"Blocked")</f>
        <v/>
      </c>
      <c r="L5" s="5">
        <f>COUNTIF('Project Tracker'!$M$5:$M$113,"At Risk")</f>
        <v/>
      </c>
      <c r="P5" t="inlineStr">
        <is>
          <t>In Progress</t>
        </is>
      </c>
      <c r="Q5">
        <f>COUNTIF('Project Tracker'!$M$5:$M$113,P5)</f>
        <v/>
      </c>
    </row>
    <row r="6">
      <c r="P6" t="inlineStr">
        <is>
          <t>Completed</t>
        </is>
      </c>
      <c r="Q6">
        <f>COUNTIF('Project Tracker'!$M$5:$M$113,P6)</f>
        <v/>
      </c>
    </row>
    <row r="7">
      <c r="B7" s="4" t="inlineStr">
        <is>
          <t>Overall Progress %</t>
        </is>
      </c>
      <c r="D7" s="4" t="inlineStr">
        <is>
          <t>Hours Planned</t>
        </is>
      </c>
      <c r="F7" s="4" t="inlineStr">
        <is>
          <t>Hours Actual</t>
        </is>
      </c>
      <c r="H7" s="4" t="inlineStr">
        <is>
          <t>Budget Consumed</t>
        </is>
      </c>
      <c r="J7" s="4" t="inlineStr">
        <is>
          <t>Upcoming Milestones</t>
        </is>
      </c>
      <c r="L7" s="4" t="inlineStr">
        <is>
          <t>Overdue Dependencies</t>
        </is>
      </c>
      <c r="P7" t="inlineStr">
        <is>
          <t>At Risk</t>
        </is>
      </c>
      <c r="Q7">
        <f>COUNTIF('Project Tracker'!$M$5:$M$113,P7)</f>
        <v/>
      </c>
    </row>
    <row r="8">
      <c r="B8" s="6">
        <f>IFERROR(AVERAGE('Project Tracker'!$Q$5:$Q$113),0)</f>
        <v/>
      </c>
      <c r="D8" s="5">
        <f>SUM('Project Tracker'!$R$5:$R$113)</f>
        <v/>
      </c>
      <c r="F8" s="5">
        <f>SUM('Project Tracker'!$S$5:$S$113)</f>
        <v/>
      </c>
      <c r="H8" s="7">
        <f>SUM('Project Tracker'!$U$5:$U$113)</f>
        <v/>
      </c>
      <c r="J8" s="5">
        <f>COUNTIF(Milestones!$H$5:$H$27,"YES")</f>
        <v/>
      </c>
      <c r="L8" s="5">
        <f>COUNTIF(Dependencies!$G$5:$G$200,"Overdue")</f>
        <v/>
      </c>
      <c r="P8" t="inlineStr">
        <is>
          <t>Blocked</t>
        </is>
      </c>
      <c r="Q8">
        <f>COUNTIF('Project Tracker'!$M$5:$M$113,P8)</f>
        <v/>
      </c>
    </row>
    <row r="11">
      <c r="P11" t="inlineStr">
        <is>
          <t>Owner</t>
        </is>
      </c>
      <c r="Q11" t="inlineStr">
        <is>
          <t>Tasks</t>
        </is>
      </c>
    </row>
    <row r="12">
      <c r="P12" t="inlineStr">
        <is>
          <t>Jawahar</t>
        </is>
      </c>
      <c r="Q12">
        <f>COUNTIF('Project Tracker'!$J$5:$J$113,P12)</f>
        <v/>
      </c>
    </row>
    <row r="13">
      <c r="P13" t="inlineStr">
        <is>
          <t>Kadarkarai</t>
        </is>
      </c>
      <c r="Q13">
        <f>COUNTIF('Project Tracker'!$J$5:$J$113,P13)</f>
        <v/>
      </c>
    </row>
    <row r="14">
      <c r="P14" t="inlineStr">
        <is>
          <t>MJ</t>
        </is>
      </c>
      <c r="Q14">
        <f>COUNTIF('Project Tracker'!$J$5:$J$113,P14)</f>
        <v/>
      </c>
    </row>
    <row r="15">
      <c r="P15" t="inlineStr">
        <is>
          <t>Shriguru</t>
        </is>
      </c>
      <c r="Q15">
        <f>COUNTIF('Project Tracker'!$J$5:$J$113,P15)</f>
        <v/>
      </c>
    </row>
    <row r="16">
      <c r="P16" t="inlineStr">
        <is>
          <t>Siva</t>
        </is>
      </c>
      <c r="Q16">
        <f>COUNTIF('Project Tracker'!$J$5:$J$113,P16)</f>
        <v/>
      </c>
    </row>
    <row r="26">
      <c r="P26" t="inlineStr">
        <is>
          <t>Month</t>
        </is>
      </c>
      <c r="Q26" t="inlineStr">
        <is>
          <t>Cumulative Completed %</t>
        </is>
      </c>
      <c r="R26" t="inlineStr">
        <is>
          <t>Planned Burn-up %</t>
        </is>
      </c>
    </row>
    <row r="27">
      <c r="P27" s="8" t="n">
        <v>46204</v>
      </c>
      <c r="Q27" s="9">
        <f>IFERROR(COUNTIFS('Project Tracker'!$M$5:$M$113,"Completed",'Project Tracker'!$O$5:$O$113,"&lt;="&amp;EOMONTH(P27,0))/COUNTA('Project Tracker'!$A$5:$A$113),0)</f>
        <v/>
      </c>
      <c r="R27" s="9" t="n">
        <v>0.08333333333333333</v>
      </c>
    </row>
    <row r="28">
      <c r="P28" s="8" t="n">
        <v>46235</v>
      </c>
      <c r="Q28" s="9">
        <f>IFERROR(COUNTIFS('Project Tracker'!$M$5:$M$113,"Completed",'Project Tracker'!$O$5:$O$113,"&lt;="&amp;EOMONTH(P28,0))/COUNTA('Project Tracker'!$A$5:$A$113),0)</f>
        <v/>
      </c>
      <c r="R28" s="9" t="n">
        <v>0.1666666666666667</v>
      </c>
    </row>
    <row r="29">
      <c r="P29" s="8" t="n">
        <v>46266</v>
      </c>
      <c r="Q29" s="9">
        <f>IFERROR(COUNTIFS('Project Tracker'!$M$5:$M$113,"Completed",'Project Tracker'!$O$5:$O$113,"&lt;="&amp;EOMONTH(P29,0))/COUNTA('Project Tracker'!$A$5:$A$113),0)</f>
        <v/>
      </c>
      <c r="R29" s="9" t="n">
        <v>0.25</v>
      </c>
    </row>
    <row r="30">
      <c r="P30" s="8" t="n">
        <v>46296</v>
      </c>
      <c r="Q30" s="9">
        <f>IFERROR(COUNTIFS('Project Tracker'!$M$5:$M$113,"Completed",'Project Tracker'!$O$5:$O$113,"&lt;="&amp;EOMONTH(P30,0))/COUNTA('Project Tracker'!$A$5:$A$113),0)</f>
        <v/>
      </c>
      <c r="R30" s="9" t="n">
        <v>0.3333333333333333</v>
      </c>
    </row>
    <row r="31">
      <c r="P31" s="8" t="n">
        <v>46327</v>
      </c>
      <c r="Q31" s="9">
        <f>IFERROR(COUNTIFS('Project Tracker'!$M$5:$M$113,"Completed",'Project Tracker'!$O$5:$O$113,"&lt;="&amp;EOMONTH(P31,0))/COUNTA('Project Tracker'!$A$5:$A$113),0)</f>
        <v/>
      </c>
      <c r="R31" s="9" t="n">
        <v>0.4166666666666667</v>
      </c>
    </row>
    <row r="32">
      <c r="P32" s="8" t="n">
        <v>46357</v>
      </c>
      <c r="Q32" s="9">
        <f>IFERROR(COUNTIFS('Project Tracker'!$M$5:$M$113,"Completed",'Project Tracker'!$O$5:$O$113,"&lt;="&amp;EOMONTH(P32,0))/COUNTA('Project Tracker'!$A$5:$A$113),0)</f>
        <v/>
      </c>
      <c r="R32" s="9" t="n">
        <v>0.5</v>
      </c>
    </row>
    <row r="33">
      <c r="P33" s="8" t="n">
        <v>46388</v>
      </c>
      <c r="Q33" s="9">
        <f>IFERROR(COUNTIFS('Project Tracker'!$M$5:$M$113,"Completed",'Project Tracker'!$O$5:$O$113,"&lt;="&amp;EOMONTH(P33,0))/COUNTA('Project Tracker'!$A$5:$A$113),0)</f>
        <v/>
      </c>
      <c r="R33" s="9" t="n">
        <v>0.5833333333333334</v>
      </c>
    </row>
    <row r="34">
      <c r="P34" s="8" t="n">
        <v>46419</v>
      </c>
      <c r="Q34" s="9">
        <f>IFERROR(COUNTIFS('Project Tracker'!$M$5:$M$113,"Completed",'Project Tracker'!$O$5:$O$113,"&lt;="&amp;EOMONTH(P34,0))/COUNTA('Project Tracker'!$A$5:$A$113),0)</f>
        <v/>
      </c>
      <c r="R34" s="9" t="n">
        <v>0.6666666666666666</v>
      </c>
    </row>
    <row r="35">
      <c r="P35" s="8" t="n">
        <v>46447</v>
      </c>
      <c r="Q35" s="9">
        <f>IFERROR(COUNTIFS('Project Tracker'!$M$5:$M$113,"Completed",'Project Tracker'!$O$5:$O$113,"&lt;="&amp;EOMONTH(P35,0))/COUNTA('Project Tracker'!$A$5:$A$113),0)</f>
        <v/>
      </c>
      <c r="R35" s="9" t="n">
        <v>0.75</v>
      </c>
    </row>
    <row r="36">
      <c r="P36" s="8" t="n">
        <v>46478</v>
      </c>
      <c r="Q36" s="9">
        <f>IFERROR(COUNTIFS('Project Tracker'!$M$5:$M$113,"Completed",'Project Tracker'!$O$5:$O$113,"&lt;="&amp;EOMONTH(P36,0))/COUNTA('Project Tracker'!$A$5:$A$113),0)</f>
        <v/>
      </c>
      <c r="R36" s="9" t="n">
        <v>0.8333333333333334</v>
      </c>
    </row>
    <row r="37">
      <c r="P37" s="8" t="n">
        <v>46508</v>
      </c>
      <c r="Q37" s="9">
        <f>IFERROR(COUNTIFS('Project Tracker'!$M$5:$M$113,"Completed",'Project Tracker'!$O$5:$O$113,"&lt;="&amp;EOMONTH(P37,0))/COUNTA('Project Tracker'!$A$5:$A$113),0)</f>
        <v/>
      </c>
      <c r="R37" s="9" t="n">
        <v>0.9166666666666666</v>
      </c>
    </row>
    <row r="38">
      <c r="P38" s="8" t="n">
        <v>46539</v>
      </c>
      <c r="Q38" s="9">
        <f>IFERROR(COUNTIFS('Project Tracker'!$M$5:$M$113,"Completed",'Project Tracker'!$O$5:$O$113,"&lt;="&amp;EOMONTH(P38,0))/COUNTA('Project Tracker'!$A$5:$A$113),0)</f>
        <v/>
      </c>
      <c r="R38" s="9" t="n">
        <v>1</v>
      </c>
    </row>
    <row r="42">
      <c r="P42" t="inlineStr">
        <is>
          <t>Release</t>
        </is>
      </c>
      <c r="Q42" t="inlineStr">
        <is>
          <t>Avg % Complete</t>
        </is>
      </c>
    </row>
    <row r="43">
      <c r="P43" t="inlineStr">
        <is>
          <t>R26.Q1</t>
        </is>
      </c>
      <c r="Q43" s="9">
        <f>IFERROR(AVERAGEIF('Project Tracker'!$Z$5:$Z$113,P43,'Project Tracker'!$Q$5:$Q$113),0)</f>
        <v/>
      </c>
    </row>
    <row r="44">
      <c r="B44" s="10" t="inlineStr">
        <is>
          <t>Resource Utilization (see Resource Planning sheet for heatmap &amp; detail)</t>
        </is>
      </c>
      <c r="P44" t="inlineStr">
        <is>
          <t>R26.Q2</t>
        </is>
      </c>
      <c r="Q44" s="9">
        <f>IFERROR(AVERAGEIF('Project Tracker'!$Z$5:$Z$113,P44,'Project Tracker'!$Q$5:$Q$113),0)</f>
        <v/>
      </c>
    </row>
    <row r="45">
      <c r="B45" t="inlineStr">
        <is>
          <t>Avg Utilization</t>
        </is>
      </c>
      <c r="C45" s="11">
        <f>IFERROR(AVERAGE('Resource Planning'!$F$5:$F$9),0)</f>
        <v/>
      </c>
      <c r="P45" t="inlineStr">
        <is>
          <t>R26.Q3</t>
        </is>
      </c>
      <c r="Q45" s="9">
        <f>IFERROR(AVERAGEIF('Project Tracker'!$Z$5:$Z$113,P45,'Project Tracker'!$Q$5:$Q$113),0)</f>
        <v/>
      </c>
    </row>
    <row r="46">
      <c r="B46" t="inlineStr">
        <is>
          <t>Overallocated Resources</t>
        </is>
      </c>
      <c r="C46" s="12">
        <f>COUNTIF('Resource Planning'!$I$5:$I$9,"YES")</f>
        <v/>
      </c>
      <c r="P46" t="inlineStr">
        <is>
          <t>R26.Q4</t>
        </is>
      </c>
      <c r="Q46" s="9">
        <f>IFERROR(AVERAGEIF('Project Tracker'!$Z$5:$Z$113,P46,'Project Tracker'!$Q$5:$Q$113),0)</f>
        <v/>
      </c>
    </row>
    <row r="47">
      <c r="P47" t="inlineStr">
        <is>
          <t>R27.Q1</t>
        </is>
      </c>
      <c r="Q47" s="9">
        <f>IFERROR(AVERAGEIF('Project Tracker'!$Z$5:$Z$113,P47,'Project Tracker'!$Q$5:$Q$113),0)</f>
        <v/>
      </c>
    </row>
    <row r="48">
      <c r="B48" s="13" t="inlineStr">
        <is>
          <t>LINE CHART — Progress trend uses Monthly Burn-up above.</t>
        </is>
      </c>
      <c r="P48" t="inlineStr">
        <is>
          <t>R27.Q2</t>
        </is>
      </c>
      <c r="Q48" s="9">
        <f>IFERROR(AVERAGEIF('Project Tracker'!$Z$5:$Z$113,P48,'Project Tracker'!$Q$5:$Q$113),0)</f>
        <v/>
      </c>
    </row>
    <row r="49">
      <c r="P49" t="inlineStr">
        <is>
          <t>Hotfix</t>
        </is>
      </c>
      <c r="Q49" s="9">
        <f>IFERROR(AVERAGEIF('Project Tracker'!$Z$5:$Z$113,P49,'Project Tracker'!$Q$5:$Q$113),0)</f>
        <v/>
      </c>
    </row>
    <row r="50">
      <c r="B50" s="14" t="inlineStr">
        <is>
          <t>STATUS LEGEND</t>
        </is>
      </c>
      <c r="D50" s="14" t="inlineStr">
        <is>
          <t>HOW TO USE</t>
        </is>
      </c>
      <c r="P50" t="inlineStr">
        <is>
          <t>N/A</t>
        </is>
      </c>
      <c r="Q50" s="9">
        <f>IFERROR(AVERAGEIF('Project Tracker'!$Z$5:$Z$113,P50,'Project Tracker'!$Q$5:$Q$113),0)</f>
        <v/>
      </c>
    </row>
    <row r="51">
      <c r="B51" s="15" t="inlineStr">
        <is>
          <t>Completed</t>
        </is>
      </c>
      <c r="D51" t="inlineStr">
        <is>
          <t>1. Update Project Tracker (status, dates, hours) — Dashboard KPIs refresh automatically.</t>
        </is>
      </c>
    </row>
    <row r="52">
      <c r="B52" s="16" t="inlineStr">
        <is>
          <t>In Progress</t>
        </is>
      </c>
      <c r="D52" t="inlineStr">
        <is>
          <t>2. Maintain dropdown values on Lookup Lists sheet (named ranges).</t>
        </is>
      </c>
    </row>
    <row r="53">
      <c r="B53" s="17" t="inlineStr">
        <is>
          <t>At Risk</t>
        </is>
      </c>
      <c r="D53" t="inlineStr">
        <is>
          <t>3. Review Gantt Chart weekly; orange ▶ marks current week.</t>
        </is>
      </c>
    </row>
    <row r="54">
      <c r="B54" s="18" t="inlineStr">
        <is>
          <t>Blocked</t>
        </is>
      </c>
      <c r="D54" t="inlineStr">
        <is>
          <t>4. Clear overdue Dependencies and High/Critical Risks in governance.</t>
        </is>
      </c>
    </row>
    <row r="55">
      <c r="B55" s="19" t="inlineStr">
        <is>
          <t>Not Started</t>
        </is>
      </c>
      <c r="D55" t="inlineStr">
        <is>
          <t>5. Print Dashboard / Tracker in Landscape for CTO pack.</t>
        </is>
      </c>
    </row>
  </sheetData>
  <mergeCells count="2">
    <mergeCell ref="A2:N2"/>
    <mergeCell ref="A1:N1"/>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B113"/>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24" customWidth="1" min="3" max="3"/>
    <col width="18" customWidth="1" min="4" max="4"/>
    <col width="12" customWidth="1" min="5" max="5"/>
    <col width="12" customWidth="1" min="6" max="6"/>
    <col width="14" customWidth="1" min="7" max="7"/>
    <col width="36" customWidth="1" min="8" max="8"/>
    <col width="40" customWidth="1" min="9" max="9"/>
    <col width="16" customWidth="1" min="10" max="10"/>
    <col width="14" customWidth="1" min="11" max="11"/>
    <col width="10" customWidth="1" min="12" max="12"/>
    <col width="12" customWidth="1" min="13" max="13"/>
    <col width="12" customWidth="1" min="14" max="14"/>
    <col width="12" customWidth="1" min="15" max="15"/>
    <col width="10" customWidth="1" min="16" max="16"/>
    <col width="11" customWidth="1" min="17" max="17"/>
    <col width="12" customWidth="1" min="18" max="18"/>
    <col width="12" customWidth="1" min="19" max="19"/>
    <col width="10" customWidth="1" min="20" max="20"/>
    <col width="10" customWidth="1" min="21" max="21"/>
    <col width="12" customWidth="1" min="22" max="22"/>
    <col width="12" customWidth="1" min="23" max="23"/>
    <col width="10" customWidth="1" min="24" max="24"/>
    <col width="28" customWidth="1" min="25" max="25"/>
    <col width="12" customWidth="1" min="26" max="26"/>
    <col width="16" customWidth="1" min="27" max="27"/>
    <col width="12" customWidth="1" min="28" max="28"/>
  </cols>
  <sheetData>
    <row r="1">
      <c r="A1" s="20" t="inlineStr">
        <is>
          <t>FY27 ENGINEERING PROJECT TRACKER</t>
        </is>
      </c>
    </row>
    <row r="2">
      <c r="A2" s="21" t="inlineStr">
        <is>
          <t>Source: plan/FY 27 Draft Planning.xlsx · FY27 V1  |  Plan window: 2026-07-01 → 2027-06-30  |  Formula-driven  |  Weekly governance ready</t>
        </is>
      </c>
    </row>
    <row r="4" ht="32" customHeight="1">
      <c r="A4" s="22" t="inlineStr">
        <is>
          <t>Task ID</t>
        </is>
      </c>
      <c r="B4" s="22" t="inlineStr">
        <is>
          <t>Epic</t>
        </is>
      </c>
      <c r="C4" s="22" t="inlineStr">
        <is>
          <t>Project</t>
        </is>
      </c>
      <c r="D4" s="22" t="inlineStr">
        <is>
          <t>Feature</t>
        </is>
      </c>
      <c r="E4" s="22" t="inlineStr">
        <is>
          <t>Sprint</t>
        </is>
      </c>
      <c r="F4" s="22" t="inlineStr">
        <is>
          <t>Phase</t>
        </is>
      </c>
      <c r="G4" s="22" t="inlineStr">
        <is>
          <t>Workstream</t>
        </is>
      </c>
      <c r="H4" s="22" t="inlineStr">
        <is>
          <t>Task Name</t>
        </is>
      </c>
      <c r="I4" s="22" t="inlineStr">
        <is>
          <t>Description</t>
        </is>
      </c>
      <c r="J4" s="22" t="inlineStr">
        <is>
          <t>Owner</t>
        </is>
      </c>
      <c r="K4" s="22" t="inlineStr">
        <is>
          <t>Team</t>
        </is>
      </c>
      <c r="L4" s="22" t="inlineStr">
        <is>
          <t>Priority</t>
        </is>
      </c>
      <c r="M4" s="22" t="inlineStr">
        <is>
          <t>Status</t>
        </is>
      </c>
      <c r="N4" s="22" t="inlineStr">
        <is>
          <t>Start Date</t>
        </is>
      </c>
      <c r="O4" s="22" t="inlineStr">
        <is>
          <t>End Date</t>
        </is>
      </c>
      <c r="P4" s="22" t="inlineStr">
        <is>
          <t>Duration</t>
        </is>
      </c>
      <c r="Q4" s="22" t="inlineStr">
        <is>
          <t>% Complete</t>
        </is>
      </c>
      <c r="R4" s="22" t="inlineStr">
        <is>
          <t>Planned Hours</t>
        </is>
      </c>
      <c r="S4" s="22" t="inlineStr">
        <is>
          <t>Actual Hours</t>
        </is>
      </c>
      <c r="T4" s="22" t="inlineStr">
        <is>
          <t>Variance</t>
        </is>
      </c>
      <c r="U4" s="22" t="inlineStr">
        <is>
          <t>Budget</t>
        </is>
      </c>
      <c r="V4" s="22" t="inlineStr">
        <is>
          <t>Dependency</t>
        </is>
      </c>
      <c r="W4" s="22" t="inlineStr">
        <is>
          <t>Blocked By</t>
        </is>
      </c>
      <c r="X4" s="22" t="inlineStr">
        <is>
          <t>Risk</t>
        </is>
      </c>
      <c r="Y4" s="22" t="inlineStr">
        <is>
          <t>Next Action</t>
        </is>
      </c>
      <c r="Z4" s="22" t="inlineStr">
        <is>
          <t>Target Release</t>
        </is>
      </c>
      <c r="AA4" s="22" t="inlineStr">
        <is>
          <t>Remarks</t>
        </is>
      </c>
      <c r="AB4" s="22" t="inlineStr">
        <is>
          <t>Critical Path</t>
        </is>
      </c>
    </row>
    <row r="5">
      <c r="A5" s="23" t="inlineStr">
        <is>
          <t>T-001</t>
        </is>
      </c>
      <c r="B5" s="23" t="inlineStr">
        <is>
          <t>CS 1.0 — Maintenance</t>
        </is>
      </c>
      <c r="C5" s="23" t="inlineStr">
        <is>
          <t>CS 1.0</t>
        </is>
      </c>
      <c r="D5" s="23" t="inlineStr">
        <is>
          <t>Maintenance</t>
        </is>
      </c>
      <c r="E5" s="23" t="inlineStr">
        <is>
          <t>Sprint 01</t>
        </is>
      </c>
      <c r="F5" s="23" t="inlineStr">
        <is>
          <t>Release</t>
        </is>
      </c>
      <c r="G5" s="23" t="inlineStr">
        <is>
          <t>Reliability</t>
        </is>
      </c>
      <c r="H5" s="24" t="inlineStr">
        <is>
          <t>Shutting down BRIKS service from Nackle</t>
        </is>
      </c>
      <c r="I5" s="24" t="inlineStr">
        <is>
          <t>Pending action to completely remove BRIKS services from Nackle ecosystem</t>
        </is>
      </c>
      <c r="J5" s="23" t="inlineStr">
        <is>
          <t>MJ</t>
        </is>
      </c>
      <c r="K5" s="23" t="inlineStr">
        <is>
          <t>Core Product</t>
        </is>
      </c>
      <c r="L5" s="23" t="inlineStr">
        <is>
          <t>High</t>
        </is>
      </c>
      <c r="M5" s="23" t="inlineStr">
        <is>
          <t>At Risk</t>
        </is>
      </c>
      <c r="N5" s="25" t="n">
        <v>46287</v>
      </c>
      <c r="O5" s="25" t="n">
        <v>46293</v>
      </c>
      <c r="P5" s="23">
        <f>IF(OR(N5="",O5=""),"",O5-N5+1)</f>
        <v/>
      </c>
      <c r="Q5" s="26" t="n">
        <v>0.13</v>
      </c>
      <c r="R5" s="23" t="n">
        <v>40</v>
      </c>
      <c r="S5" s="23" t="n">
        <v>5.9</v>
      </c>
      <c r="T5" s="23">
        <f>S5-R5</f>
        <v/>
      </c>
      <c r="U5" s="27" t="n">
        <v>4400</v>
      </c>
      <c r="V5" s="23" t="inlineStr"/>
      <c r="W5" s="23" t="inlineStr"/>
      <c r="X5" s="23" t="inlineStr">
        <is>
          <t>R-19</t>
        </is>
      </c>
      <c r="Y5" s="24" t="inlineStr">
        <is>
          <t>Clarify Include/Pending decision; rebaseline if needed</t>
        </is>
      </c>
      <c r="Z5" s="23" t="inlineStr">
        <is>
          <t>R26.Q1</t>
        </is>
      </c>
      <c r="AA5" s="23" t="inlineStr">
        <is>
          <t>Include=Yes | Source=FY27 V1 | Timeline=Q1 FY27</t>
        </is>
      </c>
      <c r="AB5" s="23" t="inlineStr">
        <is>
          <t>No</t>
        </is>
      </c>
    </row>
    <row r="6">
      <c r="A6" s="23" t="inlineStr">
        <is>
          <t>T-002</t>
        </is>
      </c>
      <c r="B6" s="23" t="inlineStr">
        <is>
          <t>CS 1.0 — Maintenance</t>
        </is>
      </c>
      <c r="C6" s="23" t="inlineStr">
        <is>
          <t>CS 1.0</t>
        </is>
      </c>
      <c r="D6" s="23" t="inlineStr">
        <is>
          <t>Maintenance</t>
        </is>
      </c>
      <c r="E6" s="23" t="inlineStr">
        <is>
          <t>Sprint 02</t>
        </is>
      </c>
      <c r="F6" s="23" t="inlineStr">
        <is>
          <t>Release</t>
        </is>
      </c>
      <c r="G6" s="23" t="inlineStr">
        <is>
          <t>Reliability</t>
        </is>
      </c>
      <c r="H6" s="24" t="inlineStr">
        <is>
          <t>Shutting Down Coupon/OTP Services</t>
        </is>
      </c>
      <c r="I6" s="24" t="inlineStr">
        <is>
          <t>Testing  and Any support needed(Ensure all existing application 1X and 2.0 work as expected)</t>
        </is>
      </c>
      <c r="J6" s="23" t="inlineStr">
        <is>
          <t>MJ</t>
        </is>
      </c>
      <c r="K6" s="23" t="inlineStr">
        <is>
          <t>Core Product</t>
        </is>
      </c>
      <c r="L6" s="23" t="inlineStr">
        <is>
          <t>High</t>
        </is>
      </c>
      <c r="M6" s="23" t="inlineStr">
        <is>
          <t>In Progress</t>
        </is>
      </c>
      <c r="N6" s="25" t="n">
        <v>46213</v>
      </c>
      <c r="O6" s="25" t="n">
        <v>46226</v>
      </c>
      <c r="P6" s="23">
        <f>IF(OR(N6="",O6=""),"",O6-N6+1)</f>
        <v/>
      </c>
      <c r="Q6" s="26" t="n">
        <v>0.36</v>
      </c>
      <c r="R6" s="23" t="n">
        <v>40</v>
      </c>
      <c r="S6" s="23" t="n">
        <v>14.6</v>
      </c>
      <c r="T6" s="23">
        <f>S6-R6</f>
        <v/>
      </c>
      <c r="U6" s="27" t="n">
        <v>4400</v>
      </c>
      <c r="V6" s="23" t="inlineStr">
        <is>
          <t>T-001</t>
        </is>
      </c>
      <c r="W6" s="23" t="inlineStr"/>
      <c r="X6" s="23" t="inlineStr"/>
      <c r="Y6" s="24" t="inlineStr">
        <is>
          <t>Continue sprint commitments; demos Friday</t>
        </is>
      </c>
      <c r="Z6" s="23" t="inlineStr">
        <is>
          <t>R26.Q1</t>
        </is>
      </c>
      <c r="AA6" s="23" t="inlineStr">
        <is>
          <t>Include=Yes | Source=FY27 V1 | Timeline=Q1 FY27 | Hours=TBD in source</t>
        </is>
      </c>
      <c r="AB6" s="23" t="inlineStr">
        <is>
          <t>No</t>
        </is>
      </c>
    </row>
    <row r="7">
      <c r="A7" s="23" t="inlineStr">
        <is>
          <t>T-003</t>
        </is>
      </c>
      <c r="B7" s="23" t="inlineStr">
        <is>
          <t>CS 1.0 — Funct Enhance</t>
        </is>
      </c>
      <c r="C7" s="23" t="inlineStr">
        <is>
          <t>CS 1.0</t>
        </is>
      </c>
      <c r="D7" s="23" t="inlineStr">
        <is>
          <t>Funct Enhance</t>
        </is>
      </c>
      <c r="E7" s="23" t="inlineStr">
        <is>
          <t>Sprint 03</t>
        </is>
      </c>
      <c r="F7" s="23" t="inlineStr">
        <is>
          <t>Design</t>
        </is>
      </c>
      <c r="G7" s="23" t="inlineStr">
        <is>
          <t>Product Delivery</t>
        </is>
      </c>
      <c r="H7" s="24" t="inlineStr">
        <is>
          <t>Integrate the email validation service for Channel Smart 1.0(Roshni to check)</t>
        </is>
      </c>
      <c r="I7" s="24" t="inlineStr">
        <is>
          <t>Handle the self registration and bulk load scneario</t>
        </is>
      </c>
      <c r="J7" s="23" t="inlineStr">
        <is>
          <t>MJ</t>
        </is>
      </c>
      <c r="K7" s="23" t="inlineStr">
        <is>
          <t>Core Product</t>
        </is>
      </c>
      <c r="L7" s="23" t="inlineStr">
        <is>
          <t>High</t>
        </is>
      </c>
      <c r="M7" s="23" t="inlineStr">
        <is>
          <t>In Progress</t>
        </is>
      </c>
      <c r="N7" s="25" t="n">
        <v>46236</v>
      </c>
      <c r="O7" s="25" t="n">
        <v>46242</v>
      </c>
      <c r="P7" s="23">
        <f>IF(OR(N7="",O7=""),"",O7-N7+1)</f>
        <v/>
      </c>
      <c r="Q7" s="26" t="n">
        <v>0.36</v>
      </c>
      <c r="R7" s="23" t="n">
        <v>40</v>
      </c>
      <c r="S7" s="23" t="n">
        <v>14</v>
      </c>
      <c r="T7" s="23">
        <f>S7-R7</f>
        <v/>
      </c>
      <c r="U7" s="27" t="n">
        <v>4400</v>
      </c>
      <c r="V7" s="23" t="inlineStr">
        <is>
          <t>T-002</t>
        </is>
      </c>
      <c r="W7" s="23" t="inlineStr"/>
      <c r="X7" s="23" t="inlineStr"/>
      <c r="Y7" s="24" t="inlineStr">
        <is>
          <t>Continue sprint commitments; demos Friday</t>
        </is>
      </c>
      <c r="Z7" s="23" t="inlineStr">
        <is>
          <t>R26.Q1</t>
        </is>
      </c>
      <c r="AA7" s="23" t="inlineStr">
        <is>
          <t>Include=Yes | Source=FY27 V1 | Timeline=Q1 FY27</t>
        </is>
      </c>
      <c r="AB7" s="23" t="inlineStr">
        <is>
          <t>No</t>
        </is>
      </c>
    </row>
    <row r="8">
      <c r="A8" s="23" t="inlineStr">
        <is>
          <t>T-004</t>
        </is>
      </c>
      <c r="B8" s="23" t="inlineStr">
        <is>
          <t>CS 1.0 — Funct Enhance</t>
        </is>
      </c>
      <c r="C8" s="23" t="inlineStr">
        <is>
          <t>CS 1.0</t>
        </is>
      </c>
      <c r="D8" s="23" t="inlineStr">
        <is>
          <t>Funct Enhance</t>
        </is>
      </c>
      <c r="E8" s="23" t="inlineStr">
        <is>
          <t>Sprint 04</t>
        </is>
      </c>
      <c r="F8" s="23" t="inlineStr">
        <is>
          <t>Design</t>
        </is>
      </c>
      <c r="G8" s="23" t="inlineStr">
        <is>
          <t>Product Delivery</t>
        </is>
      </c>
      <c r="H8" s="24" t="inlineStr">
        <is>
          <t>Build Unsubscribe feature for all the promotional emails(Roshni to check)</t>
        </is>
      </c>
      <c r="I8" s="24" t="inlineStr">
        <is>
          <t>Build Unsubscribe feature for all the promotional emails</t>
        </is>
      </c>
      <c r="J8" s="23" t="inlineStr">
        <is>
          <t>MJ</t>
        </is>
      </c>
      <c r="K8" s="23" t="inlineStr">
        <is>
          <t>Core Product</t>
        </is>
      </c>
      <c r="L8" s="23" t="inlineStr">
        <is>
          <t>High</t>
        </is>
      </c>
      <c r="M8" s="23" t="inlineStr">
        <is>
          <t>Not Started</t>
        </is>
      </c>
      <c r="N8" s="25" t="n">
        <v>46235</v>
      </c>
      <c r="O8" s="25" t="n">
        <v>46244</v>
      </c>
      <c r="P8" s="23">
        <f>IF(OR(N8="",O8=""),"",O8-N8+1)</f>
        <v/>
      </c>
      <c r="Q8" s="26" t="n">
        <v>0</v>
      </c>
      <c r="R8" s="23" t="n">
        <v>60</v>
      </c>
      <c r="S8" s="23" t="n">
        <v>0</v>
      </c>
      <c r="T8" s="23">
        <f>S8-R8</f>
        <v/>
      </c>
      <c r="U8" s="27" t="n">
        <v>6600</v>
      </c>
      <c r="V8" s="23" t="inlineStr">
        <is>
          <t>T-003</t>
        </is>
      </c>
      <c r="W8" s="23" t="inlineStr"/>
      <c r="X8" s="23" t="inlineStr"/>
      <c r="Y8" s="24" t="inlineStr">
        <is>
          <t>Confirm kickoff &amp; acceptance criteria</t>
        </is>
      </c>
      <c r="Z8" s="23" t="inlineStr">
        <is>
          <t>R26.Q1</t>
        </is>
      </c>
      <c r="AA8" s="23" t="inlineStr">
        <is>
          <t>Include=Yes | Source=FY27 V1 | Timeline=Q1 FY27</t>
        </is>
      </c>
      <c r="AB8" s="23" t="inlineStr">
        <is>
          <t>No</t>
        </is>
      </c>
    </row>
    <row r="9">
      <c r="A9" s="23" t="inlineStr">
        <is>
          <t>T-005</t>
        </is>
      </c>
      <c r="B9" s="23" t="inlineStr">
        <is>
          <t>CS 1.0 — New Features</t>
        </is>
      </c>
      <c r="C9" s="23" t="inlineStr">
        <is>
          <t>CS 1.0</t>
        </is>
      </c>
      <c r="D9" s="23" t="inlineStr">
        <is>
          <t>New Features</t>
        </is>
      </c>
      <c r="E9" s="23" t="inlineStr">
        <is>
          <t>Sprint 05</t>
        </is>
      </c>
      <c r="F9" s="23" t="inlineStr">
        <is>
          <t>Build</t>
        </is>
      </c>
      <c r="G9" s="23" t="inlineStr">
        <is>
          <t>Product Delivery</t>
        </is>
      </c>
      <c r="H9" s="24" t="inlineStr">
        <is>
          <t>Cash + Wallet + Compliance - Integration patch for CS 1.0</t>
        </is>
      </c>
      <c r="I9" s="24" t="inlineStr">
        <is>
          <t>Integrating the Cash/Wallet/Compliance to Existing 1.0 Customers</t>
        </is>
      </c>
      <c r="J9" s="23" t="inlineStr">
        <is>
          <t>MJ</t>
        </is>
      </c>
      <c r="K9" s="23" t="inlineStr">
        <is>
          <t>Core Product</t>
        </is>
      </c>
      <c r="L9" s="23" t="inlineStr">
        <is>
          <t>High</t>
        </is>
      </c>
      <c r="M9" s="23" t="inlineStr">
        <is>
          <t>Not Started</t>
        </is>
      </c>
      <c r="N9" s="25" t="n">
        <v>46235</v>
      </c>
      <c r="O9" s="25" t="n">
        <v>46267</v>
      </c>
      <c r="P9" s="23">
        <f>IF(OR(N9="",O9=""),"",O9-N9+1)</f>
        <v/>
      </c>
      <c r="Q9" s="26" t="n">
        <v>0</v>
      </c>
      <c r="R9" s="23" t="n">
        <v>200</v>
      </c>
      <c r="S9" s="23" t="n">
        <v>0</v>
      </c>
      <c r="T9" s="23">
        <f>S9-R9</f>
        <v/>
      </c>
      <c r="U9" s="27" t="n">
        <v>22000</v>
      </c>
      <c r="V9" s="23" t="inlineStr">
        <is>
          <t>T-004</t>
        </is>
      </c>
      <c r="W9" s="23" t="inlineStr"/>
      <c r="X9" s="23" t="inlineStr"/>
      <c r="Y9" s="24" t="inlineStr">
        <is>
          <t>Confirm kickoff &amp; acceptance criteria</t>
        </is>
      </c>
      <c r="Z9" s="23" t="inlineStr">
        <is>
          <t>R26.Q1</t>
        </is>
      </c>
      <c r="AA9" s="23" t="inlineStr">
        <is>
          <t>Include=Yes | Source=FY27 V1 | Timeline=July</t>
        </is>
      </c>
      <c r="AB9" s="23" t="inlineStr">
        <is>
          <t>No</t>
        </is>
      </c>
    </row>
    <row r="10">
      <c r="A10" s="23" t="inlineStr">
        <is>
          <t>T-006</t>
        </is>
      </c>
      <c r="B10" s="23" t="inlineStr">
        <is>
          <t>CS 2.0 — Funct Enhance</t>
        </is>
      </c>
      <c r="C10" s="23" t="inlineStr">
        <is>
          <t>CS 2.0</t>
        </is>
      </c>
      <c r="D10" s="23" t="inlineStr">
        <is>
          <t>Funct Enhance</t>
        </is>
      </c>
      <c r="E10" s="23" t="inlineStr">
        <is>
          <t>Sprint 06</t>
        </is>
      </c>
      <c r="F10" s="23" t="inlineStr">
        <is>
          <t>Design</t>
        </is>
      </c>
      <c r="G10" s="23" t="inlineStr">
        <is>
          <t>Product Delivery</t>
        </is>
      </c>
      <c r="H10" s="24" t="inlineStr">
        <is>
          <t>Build Pipeline for Achievo to be updated</t>
        </is>
      </c>
      <c r="I10" s="24" t="inlineStr"/>
      <c r="J10" s="23" t="inlineStr">
        <is>
          <t>MJ</t>
        </is>
      </c>
      <c r="K10" s="23" t="inlineStr">
        <is>
          <t>Core Product</t>
        </is>
      </c>
      <c r="L10" s="23" t="inlineStr">
        <is>
          <t>High</t>
        </is>
      </c>
      <c r="M10" s="23" t="inlineStr">
        <is>
          <t>Not Started</t>
        </is>
      </c>
      <c r="N10" s="25" t="n">
        <v>46282</v>
      </c>
      <c r="O10" s="25" t="n">
        <v>46291</v>
      </c>
      <c r="P10" s="23">
        <f>IF(OR(N10="",O10=""),"",O10-N10+1)</f>
        <v/>
      </c>
      <c r="Q10" s="26" t="n">
        <v>0</v>
      </c>
      <c r="R10" s="23" t="n">
        <v>40</v>
      </c>
      <c r="S10" s="23" t="n">
        <v>0</v>
      </c>
      <c r="T10" s="23">
        <f>S10-R10</f>
        <v/>
      </c>
      <c r="U10" s="27" t="n">
        <v>4400</v>
      </c>
      <c r="V10" s="23" t="inlineStr"/>
      <c r="W10" s="23" t="inlineStr"/>
      <c r="X10" s="23" t="inlineStr"/>
      <c r="Y10" s="24" t="inlineStr">
        <is>
          <t>Confirm kickoff &amp; acceptance criteria</t>
        </is>
      </c>
      <c r="Z10" s="23" t="inlineStr">
        <is>
          <t>R26.Q1</t>
        </is>
      </c>
      <c r="AA10" s="23" t="inlineStr">
        <is>
          <t>Include=Yes | Source=FY27 V1 | Timeline=July | Hours=TBD in source</t>
        </is>
      </c>
      <c r="AB10" s="23" t="inlineStr">
        <is>
          <t>No</t>
        </is>
      </c>
    </row>
    <row r="11">
      <c r="A11" s="23" t="inlineStr">
        <is>
          <t>T-007</t>
        </is>
      </c>
      <c r="B11" s="23" t="inlineStr">
        <is>
          <t>CS 2.0 — Funct Enhance</t>
        </is>
      </c>
      <c r="C11" s="23" t="inlineStr">
        <is>
          <t>CS 2.0</t>
        </is>
      </c>
      <c r="D11" s="23" t="inlineStr">
        <is>
          <t>Funct Enhance</t>
        </is>
      </c>
      <c r="E11" s="23" t="inlineStr">
        <is>
          <t>Sprint 01</t>
        </is>
      </c>
      <c r="F11" s="23" t="inlineStr">
        <is>
          <t>Design</t>
        </is>
      </c>
      <c r="G11" s="23" t="inlineStr">
        <is>
          <t>Product Delivery</t>
        </is>
      </c>
      <c r="H11" s="24" t="inlineStr">
        <is>
          <t>Integrate the email validation service for Channel Smart 2.0(Roshni to check)</t>
        </is>
      </c>
      <c r="I11" s="24" t="inlineStr">
        <is>
          <t>Handle the self registration and bulk load scneario</t>
        </is>
      </c>
      <c r="J11" s="23" t="inlineStr">
        <is>
          <t>MJ</t>
        </is>
      </c>
      <c r="K11" s="23" t="inlineStr">
        <is>
          <t>Core Product</t>
        </is>
      </c>
      <c r="L11" s="23" t="inlineStr">
        <is>
          <t>High</t>
        </is>
      </c>
      <c r="M11" s="23" t="inlineStr">
        <is>
          <t>Not Started</t>
        </is>
      </c>
      <c r="N11" s="25" t="n">
        <v>46257</v>
      </c>
      <c r="O11" s="25" t="n">
        <v>46263</v>
      </c>
      <c r="P11" s="23">
        <f>IF(OR(N11="",O11=""),"",O11-N11+1)</f>
        <v/>
      </c>
      <c r="Q11" s="26" t="n">
        <v>0</v>
      </c>
      <c r="R11" s="23" t="n">
        <v>40</v>
      </c>
      <c r="S11" s="23" t="n">
        <v>0</v>
      </c>
      <c r="T11" s="23">
        <f>S11-R11</f>
        <v/>
      </c>
      <c r="U11" s="27" t="n">
        <v>4400</v>
      </c>
      <c r="V11" s="23" t="inlineStr">
        <is>
          <t>T-006</t>
        </is>
      </c>
      <c r="W11" s="23" t="inlineStr"/>
      <c r="X11" s="23" t="inlineStr"/>
      <c r="Y11" s="24" t="inlineStr">
        <is>
          <t>Confirm kickoff &amp; acceptance criteria</t>
        </is>
      </c>
      <c r="Z11" s="23" t="inlineStr">
        <is>
          <t>R26.Q1</t>
        </is>
      </c>
      <c r="AA11" s="23" t="inlineStr">
        <is>
          <t>Include=Yes | Source=FY27 V1 | Timeline=Q1 FY27</t>
        </is>
      </c>
      <c r="AB11" s="23" t="inlineStr">
        <is>
          <t>No</t>
        </is>
      </c>
    </row>
    <row r="12">
      <c r="A12" s="23" t="inlineStr">
        <is>
          <t>T-008</t>
        </is>
      </c>
      <c r="B12" s="23" t="inlineStr">
        <is>
          <t>CS 2.0 — Funct Enhance</t>
        </is>
      </c>
      <c r="C12" s="23" t="inlineStr">
        <is>
          <t>CS 2.0</t>
        </is>
      </c>
      <c r="D12" s="23" t="inlineStr">
        <is>
          <t>Funct Enhance</t>
        </is>
      </c>
      <c r="E12" s="23" t="inlineStr">
        <is>
          <t>Sprint 02</t>
        </is>
      </c>
      <c r="F12" s="23" t="inlineStr">
        <is>
          <t>Design</t>
        </is>
      </c>
      <c r="G12" s="23" t="inlineStr">
        <is>
          <t>Product Delivery</t>
        </is>
      </c>
      <c r="H12" s="24" t="inlineStr">
        <is>
          <t>Build Unsubscribe feature for all the promotional emails(Roshni to check)</t>
        </is>
      </c>
      <c r="I12" s="24" t="inlineStr">
        <is>
          <t>Build Unsubscribe feature for all the promotional emails</t>
        </is>
      </c>
      <c r="J12" s="23" t="inlineStr">
        <is>
          <t>MJ</t>
        </is>
      </c>
      <c r="K12" s="23" t="inlineStr">
        <is>
          <t>Core Product</t>
        </is>
      </c>
      <c r="L12" s="23" t="inlineStr">
        <is>
          <t>High</t>
        </is>
      </c>
      <c r="M12" s="23" t="inlineStr">
        <is>
          <t>Not Started</t>
        </is>
      </c>
      <c r="N12" s="25" t="n">
        <v>46260</v>
      </c>
      <c r="O12" s="25" t="n">
        <v>46269</v>
      </c>
      <c r="P12" s="23">
        <f>IF(OR(N12="",O12=""),"",O12-N12+1)</f>
        <v/>
      </c>
      <c r="Q12" s="26" t="n">
        <v>0</v>
      </c>
      <c r="R12" s="23" t="n">
        <v>60</v>
      </c>
      <c r="S12" s="23" t="n">
        <v>0</v>
      </c>
      <c r="T12" s="23">
        <f>S12-R12</f>
        <v/>
      </c>
      <c r="U12" s="27" t="n">
        <v>6600</v>
      </c>
      <c r="V12" s="23" t="inlineStr">
        <is>
          <t>T-007</t>
        </is>
      </c>
      <c r="W12" s="23" t="inlineStr"/>
      <c r="X12" s="23" t="inlineStr"/>
      <c r="Y12" s="24" t="inlineStr">
        <is>
          <t>Confirm kickoff &amp; acceptance criteria</t>
        </is>
      </c>
      <c r="Z12" s="23" t="inlineStr">
        <is>
          <t>R26.Q1</t>
        </is>
      </c>
      <c r="AA12" s="23" t="inlineStr">
        <is>
          <t>Include=Yes | Source=FY27 V1 | Timeline=Q1 FY27</t>
        </is>
      </c>
      <c r="AB12" s="23" t="inlineStr">
        <is>
          <t>No</t>
        </is>
      </c>
    </row>
    <row r="13">
      <c r="A13" s="23" t="inlineStr">
        <is>
          <t>T-009</t>
        </is>
      </c>
      <c r="B13" s="23" t="inlineStr">
        <is>
          <t>CS 2.0 — New Features</t>
        </is>
      </c>
      <c r="C13" s="23" t="inlineStr">
        <is>
          <t>CS 2.0</t>
        </is>
      </c>
      <c r="D13" s="23" t="inlineStr">
        <is>
          <t>New Features</t>
        </is>
      </c>
      <c r="E13" s="23" t="inlineStr">
        <is>
          <t>Sprint 03</t>
        </is>
      </c>
      <c r="F13" s="23" t="inlineStr">
        <is>
          <t>Build</t>
        </is>
      </c>
      <c r="G13" s="23" t="inlineStr">
        <is>
          <t>Product Delivery</t>
        </is>
      </c>
      <c r="H13" s="24" t="inlineStr">
        <is>
          <t>ERP Connerctor Service(Saleforce)</t>
        </is>
      </c>
      <c r="I13" s="24" t="inlineStr"/>
      <c r="J13" s="23" t="inlineStr">
        <is>
          <t>MJ</t>
        </is>
      </c>
      <c r="K13" s="23" t="inlineStr">
        <is>
          <t>Core Product</t>
        </is>
      </c>
      <c r="L13" s="23" t="inlineStr">
        <is>
          <t>High</t>
        </is>
      </c>
      <c r="M13" s="23" t="inlineStr">
        <is>
          <t>Not Started</t>
        </is>
      </c>
      <c r="N13" s="25" t="n">
        <v>46204</v>
      </c>
      <c r="O13" s="25" t="n">
        <v>46261</v>
      </c>
      <c r="P13" s="23">
        <f>IF(OR(N13="",O13=""),"",O13-N13+1)</f>
        <v/>
      </c>
      <c r="Q13" s="26" t="n">
        <v>0</v>
      </c>
      <c r="R13" s="23" t="n">
        <v>350</v>
      </c>
      <c r="S13" s="23" t="n">
        <v>0</v>
      </c>
      <c r="T13" s="23">
        <f>S13-R13</f>
        <v/>
      </c>
      <c r="U13" s="27" t="n">
        <v>38500</v>
      </c>
      <c r="V13" s="23" t="inlineStr">
        <is>
          <t>T-008</t>
        </is>
      </c>
      <c r="W13" s="23" t="inlineStr"/>
      <c r="X13" s="23" t="inlineStr"/>
      <c r="Y13" s="24" t="inlineStr">
        <is>
          <t>Confirm kickoff &amp; acceptance criteria</t>
        </is>
      </c>
      <c r="Z13" s="23" t="inlineStr">
        <is>
          <t>R26.Q1</t>
        </is>
      </c>
      <c r="AA13" s="23" t="inlineStr">
        <is>
          <t>Include=Yes | Source=FY27 V1 | Timeline=Q1 FY27</t>
        </is>
      </c>
      <c r="AB13" s="23" t="inlineStr">
        <is>
          <t>No</t>
        </is>
      </c>
    </row>
    <row r="14">
      <c r="A14" s="23" t="inlineStr">
        <is>
          <t>T-010</t>
        </is>
      </c>
      <c r="B14" s="23" t="inlineStr">
        <is>
          <t>CS 2.0 — Tech Maintenance</t>
        </is>
      </c>
      <c r="C14" s="23" t="inlineStr">
        <is>
          <t>CS 2.0</t>
        </is>
      </c>
      <c r="D14" s="23" t="inlineStr">
        <is>
          <t>Tech Maintenance</t>
        </is>
      </c>
      <c r="E14" s="23" t="inlineStr">
        <is>
          <t>Sprint 04</t>
        </is>
      </c>
      <c r="F14" s="23" t="inlineStr">
        <is>
          <t>Hypercare</t>
        </is>
      </c>
      <c r="G14" s="23" t="inlineStr">
        <is>
          <t>Reliability</t>
        </is>
      </c>
      <c r="H14" s="24" t="inlineStr">
        <is>
          <t>Technology refresh</t>
        </is>
      </c>
      <c r="I14" s="24" t="inlineStr">
        <is>
          <t>Mandatory adoption of newer tools and frameworks
Phoenix - Platform Site Upgrades (Onetime) To 16.x
Admin - Platform Site Upgrades (Onetime) To 16.x</t>
        </is>
      </c>
      <c r="J14" s="23" t="inlineStr">
        <is>
          <t>Jawahar</t>
        </is>
      </c>
      <c r="K14" s="23" t="inlineStr">
        <is>
          <t>Core Product</t>
        </is>
      </c>
      <c r="L14" s="23" t="inlineStr">
        <is>
          <t>High</t>
        </is>
      </c>
      <c r="M14" s="23" t="inlineStr">
        <is>
          <t>In Progress</t>
        </is>
      </c>
      <c r="N14" s="25" t="n">
        <v>46265</v>
      </c>
      <c r="O14" s="25" t="n">
        <v>46277</v>
      </c>
      <c r="P14" s="23">
        <f>IF(OR(N14="",O14=""),"",O14-N14+1)</f>
        <v/>
      </c>
      <c r="Q14" s="26" t="n">
        <v>0.29</v>
      </c>
      <c r="R14" s="23" t="n">
        <v>80</v>
      </c>
      <c r="S14" s="23" t="n">
        <v>26.3</v>
      </c>
      <c r="T14" s="23">
        <f>S14-R14</f>
        <v/>
      </c>
      <c r="U14" s="27" t="n">
        <v>8800</v>
      </c>
      <c r="V14" s="23" t="inlineStr">
        <is>
          <t>T-009</t>
        </is>
      </c>
      <c r="W14" s="23" t="inlineStr"/>
      <c r="X14" s="23" t="inlineStr"/>
      <c r="Y14" s="24" t="inlineStr">
        <is>
          <t>Continue sprint commitments; demos Friday</t>
        </is>
      </c>
      <c r="Z14" s="23" t="inlineStr">
        <is>
          <t>R26.Q1</t>
        </is>
      </c>
      <c r="AA14" s="23" t="inlineStr">
        <is>
          <t>Include=Yes | Source=FY27 V1 | Timeline=Q1 FY27</t>
        </is>
      </c>
      <c r="AB14" s="23" t="inlineStr">
        <is>
          <t>No</t>
        </is>
      </c>
    </row>
    <row r="15">
      <c r="A15" s="23" t="inlineStr">
        <is>
          <t>T-011</t>
        </is>
      </c>
      <c r="B15" s="23" t="inlineStr">
        <is>
          <t>CS 2.0 — Tech Maintenance</t>
        </is>
      </c>
      <c r="C15" s="23" t="inlineStr">
        <is>
          <t>CS 2.0</t>
        </is>
      </c>
      <c r="D15" s="23" t="inlineStr">
        <is>
          <t>Tech Maintenance</t>
        </is>
      </c>
      <c r="E15" s="23" t="inlineStr">
        <is>
          <t>Sprint 05</t>
        </is>
      </c>
      <c r="F15" s="23" t="inlineStr">
        <is>
          <t>Hypercare</t>
        </is>
      </c>
      <c r="G15" s="23" t="inlineStr">
        <is>
          <t>Reliability</t>
        </is>
      </c>
      <c r="H15" s="24" t="inlineStr">
        <is>
          <t>Fix for Critical Performance Issue(Claims, File Upload)</t>
        </is>
      </c>
      <c r="I15" s="24" t="inlineStr">
        <is>
          <t>Top 10 recommendations and Performance Fix to be applied for the existing high priority issues.</t>
        </is>
      </c>
      <c r="J15" s="23" t="inlineStr">
        <is>
          <t>Jawahar</t>
        </is>
      </c>
      <c r="K15" s="23" t="inlineStr">
        <is>
          <t>Core Product</t>
        </is>
      </c>
      <c r="L15" s="23" t="inlineStr">
        <is>
          <t>High</t>
        </is>
      </c>
      <c r="M15" s="23" t="inlineStr">
        <is>
          <t>In Progress</t>
        </is>
      </c>
      <c r="N15" s="25" t="n">
        <v>46271</v>
      </c>
      <c r="O15" s="25" t="n">
        <v>46284</v>
      </c>
      <c r="P15" s="23">
        <f>IF(OR(N15="",O15=""),"",O15-N15+1)</f>
        <v/>
      </c>
      <c r="Q15" s="26" t="n">
        <v>0.22</v>
      </c>
      <c r="R15" s="23" t="n">
        <v>40</v>
      </c>
      <c r="S15" s="23" t="n">
        <v>9.5</v>
      </c>
      <c r="T15" s="23">
        <f>S15-R15</f>
        <v/>
      </c>
      <c r="U15" s="27" t="n">
        <v>4400</v>
      </c>
      <c r="V15" s="23" t="inlineStr">
        <is>
          <t>T-010</t>
        </is>
      </c>
      <c r="W15" s="23" t="inlineStr"/>
      <c r="X15" s="23" t="inlineStr"/>
      <c r="Y15" s="24" t="inlineStr">
        <is>
          <t>Continue sprint commitments; demos Friday</t>
        </is>
      </c>
      <c r="Z15" s="23" t="inlineStr">
        <is>
          <t>R26.Q1</t>
        </is>
      </c>
      <c r="AA15" s="23" t="inlineStr">
        <is>
          <t>Include=Yes | Source=FY27 V1 | Timeline=July | Hours=TBD in source</t>
        </is>
      </c>
      <c r="AB15" s="23" t="inlineStr">
        <is>
          <t>No</t>
        </is>
      </c>
    </row>
    <row r="16">
      <c r="A16" s="23" t="inlineStr">
        <is>
          <t>T-012</t>
        </is>
      </c>
      <c r="B16" s="23" t="inlineStr">
        <is>
          <t>CS 2.0 — New Features</t>
        </is>
      </c>
      <c r="C16" s="23" t="inlineStr">
        <is>
          <t>CS 2.0</t>
        </is>
      </c>
      <c r="D16" s="23" t="inlineStr">
        <is>
          <t>New Features</t>
        </is>
      </c>
      <c r="E16" s="23" t="inlineStr">
        <is>
          <t>Sprint 06</t>
        </is>
      </c>
      <c r="F16" s="23" t="inlineStr">
        <is>
          <t>Build</t>
        </is>
      </c>
      <c r="G16" s="23" t="inlineStr">
        <is>
          <t>Product Delivery</t>
        </is>
      </c>
      <c r="H16" s="24" t="inlineStr">
        <is>
          <t>Build a game engine - Requirements</t>
        </is>
      </c>
      <c r="I16" s="24" t="inlineStr">
        <is>
          <t>N/A</t>
        </is>
      </c>
      <c r="J16" s="23" t="inlineStr">
        <is>
          <t>MJ</t>
        </is>
      </c>
      <c r="K16" s="23" t="inlineStr">
        <is>
          <t>Core Product</t>
        </is>
      </c>
      <c r="L16" s="23" t="inlineStr">
        <is>
          <t>High</t>
        </is>
      </c>
      <c r="M16" s="23" t="inlineStr">
        <is>
          <t>Not Started</t>
        </is>
      </c>
      <c r="N16" s="25" t="n">
        <v>46208</v>
      </c>
      <c r="O16" s="25" t="n">
        <v>46217</v>
      </c>
      <c r="P16" s="23">
        <f>IF(OR(N16="",O16=""),"",O16-N16+1)</f>
        <v/>
      </c>
      <c r="Q16" s="26" t="n">
        <v>0</v>
      </c>
      <c r="R16" s="23" t="n">
        <v>60</v>
      </c>
      <c r="S16" s="23" t="n">
        <v>0</v>
      </c>
      <c r="T16" s="23">
        <f>S16-R16</f>
        <v/>
      </c>
      <c r="U16" s="27" t="n">
        <v>6600</v>
      </c>
      <c r="V16" s="23" t="inlineStr">
        <is>
          <t>T-011</t>
        </is>
      </c>
      <c r="W16" s="23" t="inlineStr"/>
      <c r="X16" s="23" t="inlineStr"/>
      <c r="Y16" s="24" t="inlineStr">
        <is>
          <t>Confirm kickoff &amp; acceptance criteria</t>
        </is>
      </c>
      <c r="Z16" s="23" t="inlineStr">
        <is>
          <t>R26.Q1</t>
        </is>
      </c>
      <c r="AA16" s="23" t="inlineStr">
        <is>
          <t>Include=Yes | Source=FY27 V1 | Timeline=Q1 FY27</t>
        </is>
      </c>
      <c r="AB16" s="23" t="inlineStr">
        <is>
          <t>No</t>
        </is>
      </c>
    </row>
    <row r="17">
      <c r="A17" s="23" t="inlineStr">
        <is>
          <t>T-013</t>
        </is>
      </c>
      <c r="B17" s="23" t="inlineStr">
        <is>
          <t>CS 2.0 — New Features</t>
        </is>
      </c>
      <c r="C17" s="23" t="inlineStr">
        <is>
          <t>CS 2.0</t>
        </is>
      </c>
      <c r="D17" s="23" t="inlineStr">
        <is>
          <t>New Features</t>
        </is>
      </c>
      <c r="E17" s="23" t="inlineStr">
        <is>
          <t>Sprint 01</t>
        </is>
      </c>
      <c r="F17" s="23" t="inlineStr">
        <is>
          <t>Build</t>
        </is>
      </c>
      <c r="G17" s="23" t="inlineStr">
        <is>
          <t>Product Delivery</t>
        </is>
      </c>
      <c r="H17" s="24" t="inlineStr">
        <is>
          <t>BRD Composer</t>
        </is>
      </c>
      <c r="I17" s="24" t="inlineStr">
        <is>
          <t>BRD Composer</t>
        </is>
      </c>
      <c r="J17" s="23" t="inlineStr">
        <is>
          <t>MJ</t>
        </is>
      </c>
      <c r="K17" s="23" t="inlineStr">
        <is>
          <t>Core Product</t>
        </is>
      </c>
      <c r="L17" s="23" t="inlineStr">
        <is>
          <t>High</t>
        </is>
      </c>
      <c r="M17" s="23" t="inlineStr">
        <is>
          <t>In Progress</t>
        </is>
      </c>
      <c r="N17" s="25" t="n">
        <v>46237</v>
      </c>
      <c r="O17" s="25" t="n">
        <v>46286</v>
      </c>
      <c r="P17" s="23">
        <f>IF(OR(N17="",O17=""),"",O17-N17+1)</f>
        <v/>
      </c>
      <c r="Q17" s="26" t="n">
        <v>0.24</v>
      </c>
      <c r="R17" s="23" t="n">
        <v>300</v>
      </c>
      <c r="S17" s="23" t="n">
        <v>76.5</v>
      </c>
      <c r="T17" s="23">
        <f>S17-R17</f>
        <v/>
      </c>
      <c r="U17" s="27" t="n">
        <v>33000</v>
      </c>
      <c r="V17" s="23" t="inlineStr">
        <is>
          <t>T-012</t>
        </is>
      </c>
      <c r="W17" s="23" t="inlineStr"/>
      <c r="X17" s="23" t="inlineStr"/>
      <c r="Y17" s="24" t="inlineStr">
        <is>
          <t>Continue sprint commitments; demos Friday</t>
        </is>
      </c>
      <c r="Z17" s="23" t="inlineStr">
        <is>
          <t>R26.Q1</t>
        </is>
      </c>
      <c r="AA17" s="23" t="inlineStr">
        <is>
          <t>Include=Yes | Source=FY27 V1 | Timeline=Q1 FY27</t>
        </is>
      </c>
      <c r="AB17" s="23" t="inlineStr">
        <is>
          <t>No</t>
        </is>
      </c>
    </row>
    <row r="18">
      <c r="A18" s="23" t="inlineStr">
        <is>
          <t>T-014</t>
        </is>
      </c>
      <c r="B18" s="23" t="inlineStr">
        <is>
          <t>CS 2.0 — New Features</t>
        </is>
      </c>
      <c r="C18" s="23" t="inlineStr">
        <is>
          <t>CS 2.0</t>
        </is>
      </c>
      <c r="D18" s="23" t="inlineStr">
        <is>
          <t>New Features</t>
        </is>
      </c>
      <c r="E18" s="23" t="inlineStr">
        <is>
          <t>Sprint 02</t>
        </is>
      </c>
      <c r="F18" s="23" t="inlineStr">
        <is>
          <t>Build</t>
        </is>
      </c>
      <c r="G18" s="23" t="inlineStr">
        <is>
          <t>Product Delivery</t>
        </is>
      </c>
      <c r="H18" s="24" t="inlineStr">
        <is>
          <t>Communication connector which can support the Whatsapp and Wechat communicaton bi direction</t>
        </is>
      </c>
      <c r="I18" s="24" t="inlineStr"/>
      <c r="J18" s="23" t="inlineStr">
        <is>
          <t>MJ</t>
        </is>
      </c>
      <c r="K18" s="23" t="inlineStr">
        <is>
          <t>Core Product</t>
        </is>
      </c>
      <c r="L18" s="23" t="inlineStr">
        <is>
          <t>High</t>
        </is>
      </c>
      <c r="M18" s="23" t="inlineStr">
        <is>
          <t>Not Started</t>
        </is>
      </c>
      <c r="N18" s="25" t="n">
        <v>46212</v>
      </c>
      <c r="O18" s="25" t="n">
        <v>46281</v>
      </c>
      <c r="P18" s="23">
        <f>IF(OR(N18="",O18=""),"",O18-N18+1)</f>
        <v/>
      </c>
      <c r="Q18" s="26" t="n">
        <v>0</v>
      </c>
      <c r="R18" s="23" t="n">
        <v>600</v>
      </c>
      <c r="S18" s="23" t="n">
        <v>0</v>
      </c>
      <c r="T18" s="23">
        <f>S18-R18</f>
        <v/>
      </c>
      <c r="U18" s="27" t="n">
        <v>66000</v>
      </c>
      <c r="V18" s="23" t="inlineStr">
        <is>
          <t>T-013</t>
        </is>
      </c>
      <c r="W18" s="23" t="inlineStr"/>
      <c r="X18" s="23" t="inlineStr"/>
      <c r="Y18" s="24" t="inlineStr">
        <is>
          <t>Confirm kickoff &amp; acceptance criteria</t>
        </is>
      </c>
      <c r="Z18" s="23" t="inlineStr">
        <is>
          <t>R26.Q1</t>
        </is>
      </c>
      <c r="AA18" s="23" t="inlineStr">
        <is>
          <t>Include=Yes | Source=FY27 V1 | Timeline=Q1 FY27</t>
        </is>
      </c>
      <c r="AB18" s="23" t="inlineStr">
        <is>
          <t>No</t>
        </is>
      </c>
    </row>
    <row r="19">
      <c r="A19" s="23" t="inlineStr">
        <is>
          <t>T-015</t>
        </is>
      </c>
      <c r="B19" s="23" t="inlineStr">
        <is>
          <t>CS 2.0 — New Features</t>
        </is>
      </c>
      <c r="C19" s="23" t="inlineStr">
        <is>
          <t>CS 2.0</t>
        </is>
      </c>
      <c r="D19" s="23" t="inlineStr">
        <is>
          <t>New Features</t>
        </is>
      </c>
      <c r="E19" s="23" t="inlineStr">
        <is>
          <t>Sprint 13</t>
        </is>
      </c>
      <c r="F19" s="23" t="inlineStr">
        <is>
          <t>Build</t>
        </is>
      </c>
      <c r="G19" s="23" t="inlineStr">
        <is>
          <t>Product Delivery</t>
        </is>
      </c>
      <c r="H19" s="24" t="inlineStr">
        <is>
          <t>AI-Powered Claim Validation</t>
        </is>
      </c>
      <c r="I19" s="24" t="inlineStr">
        <is>
          <t>Introduce AI-assisted claim validation capabilities leveraging intelligent document processing to automate claim ingestion, extraction, validation, routing, and continuous learning. Strategic FY27 initiative under evaluation.</t>
        </is>
      </c>
      <c r="J19" s="23" t="inlineStr">
        <is>
          <t>MJ</t>
        </is>
      </c>
      <c r="K19" s="23" t="inlineStr">
        <is>
          <t>Core Product</t>
        </is>
      </c>
      <c r="L19" s="23" t="inlineStr">
        <is>
          <t>High</t>
        </is>
      </c>
      <c r="M19" s="23" t="inlineStr">
        <is>
          <t>Not Started</t>
        </is>
      </c>
      <c r="N19" s="25" t="n">
        <v>46410</v>
      </c>
      <c r="O19" s="25" t="n">
        <v>46419</v>
      </c>
      <c r="P19" s="23">
        <f>IF(OR(N19="",O19=""),"",O19-N19+1)</f>
        <v/>
      </c>
      <c r="Q19" s="26" t="n">
        <v>0</v>
      </c>
      <c r="R19" s="23" t="n">
        <v>40</v>
      </c>
      <c r="S19" s="23" t="n">
        <v>0</v>
      </c>
      <c r="T19" s="23">
        <f>S19-R19</f>
        <v/>
      </c>
      <c r="U19" s="27" t="n">
        <v>4400</v>
      </c>
      <c r="V19" s="23" t="inlineStr"/>
      <c r="W19" s="23" t="inlineStr"/>
      <c r="X19" s="23" t="inlineStr"/>
      <c r="Y19" s="24" t="inlineStr">
        <is>
          <t>Confirm kickoff &amp; acceptance criteria</t>
        </is>
      </c>
      <c r="Z19" s="23" t="inlineStr">
        <is>
          <t>R27.Q1</t>
        </is>
      </c>
      <c r="AA19" s="23" t="inlineStr">
        <is>
          <t>Include=Yes | Source=FY27 V1 | Timeline=Q3 FY27 | Hours=TBD in source</t>
        </is>
      </c>
      <c r="AB19" s="23" t="inlineStr">
        <is>
          <t>No</t>
        </is>
      </c>
    </row>
    <row r="20">
      <c r="A20" s="23" t="inlineStr">
        <is>
          <t>T-016</t>
        </is>
      </c>
      <c r="B20" s="23" t="inlineStr">
        <is>
          <t>CS 2.0 — New Features</t>
        </is>
      </c>
      <c r="C20" s="23" t="inlineStr">
        <is>
          <t>CS 2.0</t>
        </is>
      </c>
      <c r="D20" s="23" t="inlineStr">
        <is>
          <t>New Features</t>
        </is>
      </c>
      <c r="E20" s="23" t="inlineStr">
        <is>
          <t>Sprint 22</t>
        </is>
      </c>
      <c r="F20" s="23" t="inlineStr">
        <is>
          <t>Build</t>
        </is>
      </c>
      <c r="G20" s="23" t="inlineStr">
        <is>
          <t>Product Delivery</t>
        </is>
      </c>
      <c r="H20" s="24" t="inlineStr">
        <is>
          <t>MDF Budget Management &amp; Incentivization</t>
        </is>
      </c>
      <c r="I20" s="24" t="inlineStr">
        <is>
          <t>Develop end-to-end MDF request, approval, budget allocation, campaign setup, and incentive distribution capabilities to improve fund utilization and business outcome tracking. Strategic FY27 initiative under evaluation.</t>
        </is>
      </c>
      <c r="J20" s="23" t="inlineStr">
        <is>
          <t>MJ</t>
        </is>
      </c>
      <c r="K20" s="23" t="inlineStr">
        <is>
          <t>Core Product</t>
        </is>
      </c>
      <c r="L20" s="23" t="inlineStr">
        <is>
          <t>High</t>
        </is>
      </c>
      <c r="M20" s="23" t="inlineStr">
        <is>
          <t>At Risk</t>
        </is>
      </c>
      <c r="N20" s="25" t="n">
        <v>46535</v>
      </c>
      <c r="O20" s="25" t="n">
        <v>46544</v>
      </c>
      <c r="P20" s="23">
        <f>IF(OR(N20="",O20=""),"",O20-N20+1)</f>
        <v/>
      </c>
      <c r="Q20" s="26" t="n">
        <v>0.09</v>
      </c>
      <c r="R20" s="23" t="n">
        <v>40</v>
      </c>
      <c r="S20" s="23" t="n">
        <v>3.4</v>
      </c>
      <c r="T20" s="23">
        <f>S20-R20</f>
        <v/>
      </c>
      <c r="U20" s="27" t="n">
        <v>4400</v>
      </c>
      <c r="V20" s="23" t="inlineStr">
        <is>
          <t>T-015</t>
        </is>
      </c>
      <c r="W20" s="23" t="inlineStr"/>
      <c r="X20" s="23" t="inlineStr">
        <is>
          <t>R-14</t>
        </is>
      </c>
      <c r="Y20" s="24" t="inlineStr">
        <is>
          <t>Clarify Include/Pending decision; rebaseline if needed</t>
        </is>
      </c>
      <c r="Z20" s="23" t="inlineStr">
        <is>
          <t>N/A</t>
        </is>
      </c>
      <c r="AA20" s="23" t="inlineStr">
        <is>
          <t>Include=Pending | Source=FY27 V1 | Timeline=TBD FY27 | Hours=TBD in source</t>
        </is>
      </c>
      <c r="AB20" s="23" t="inlineStr">
        <is>
          <t>No</t>
        </is>
      </c>
    </row>
    <row r="21">
      <c r="A21" s="23" t="inlineStr">
        <is>
          <t>T-017</t>
        </is>
      </c>
      <c r="B21" s="23" t="inlineStr">
        <is>
          <t>CS 2.0 — New Features</t>
        </is>
      </c>
      <c r="C21" s="23" t="inlineStr">
        <is>
          <t>CS 2.0</t>
        </is>
      </c>
      <c r="D21" s="23" t="inlineStr">
        <is>
          <t>New Features</t>
        </is>
      </c>
      <c r="E21" s="23" t="inlineStr">
        <is>
          <t>Sprint 23</t>
        </is>
      </c>
      <c r="F21" s="23" t="inlineStr">
        <is>
          <t>Build</t>
        </is>
      </c>
      <c r="G21" s="23" t="inlineStr">
        <is>
          <t>Product Delivery</t>
        </is>
      </c>
      <c r="H21" s="24" t="inlineStr">
        <is>
          <t>AI Display Audit &amp; Compliance Management</t>
        </is>
      </c>
      <c r="I21" s="24" t="inlineStr">
        <is>
          <t>Implement AI-powered image analysis to automate display compliance audits, validate merchandising standards, and improve audit scalability, accuracy, and efficiency. Strategic FY27 initiative under evaluation.</t>
        </is>
      </c>
      <c r="J21" s="23" t="inlineStr">
        <is>
          <t>MJ</t>
        </is>
      </c>
      <c r="K21" s="23" t="inlineStr">
        <is>
          <t>Core Product</t>
        </is>
      </c>
      <c r="L21" s="23" t="inlineStr">
        <is>
          <t>High</t>
        </is>
      </c>
      <c r="M21" s="23" t="inlineStr">
        <is>
          <t>Blocked</t>
        </is>
      </c>
      <c r="N21" s="25" t="n">
        <v>46482</v>
      </c>
      <c r="O21" s="25" t="n">
        <v>46509</v>
      </c>
      <c r="P21" s="23">
        <f>IF(OR(N21="",O21=""),"",O21-N21+1)</f>
        <v/>
      </c>
      <c r="Q21" s="26" t="n">
        <v>0.14</v>
      </c>
      <c r="R21" s="23" t="n">
        <v>40</v>
      </c>
      <c r="S21" s="23" t="n">
        <v>5.6</v>
      </c>
      <c r="T21" s="23">
        <f>S21-R21</f>
        <v/>
      </c>
      <c r="U21" s="27" t="n">
        <v>4400</v>
      </c>
      <c r="V21" s="23" t="inlineStr">
        <is>
          <t>T-016</t>
        </is>
      </c>
      <c r="W21" s="23" t="inlineStr">
        <is>
          <t>T-016</t>
        </is>
      </c>
      <c r="X21" s="23" t="inlineStr">
        <is>
          <t>R-20</t>
        </is>
      </c>
      <c r="Y21" s="24" t="inlineStr">
        <is>
          <t>Resolve blocker with dependency owner</t>
        </is>
      </c>
      <c r="Z21" s="23" t="inlineStr">
        <is>
          <t>N/A</t>
        </is>
      </c>
      <c r="AA21" s="23" t="inlineStr">
        <is>
          <t>Include=Pending | Source=FY27 V1 | Timeline=TBD FY27 | Hours=TBD in source</t>
        </is>
      </c>
      <c r="AB21" s="23" t="inlineStr">
        <is>
          <t>No</t>
        </is>
      </c>
    </row>
    <row r="22">
      <c r="A22" s="23" t="inlineStr">
        <is>
          <t>T-018</t>
        </is>
      </c>
      <c r="B22" s="23" t="inlineStr">
        <is>
          <t>CS 2.0 — New Features</t>
        </is>
      </c>
      <c r="C22" s="23" t="inlineStr">
        <is>
          <t>CS 2.0</t>
        </is>
      </c>
      <c r="D22" s="23" t="inlineStr">
        <is>
          <t>New Features</t>
        </is>
      </c>
      <c r="E22" s="23" t="inlineStr">
        <is>
          <t>Sprint 24</t>
        </is>
      </c>
      <c r="F22" s="23" t="inlineStr">
        <is>
          <t>Build</t>
        </is>
      </c>
      <c r="G22" s="23" t="inlineStr">
        <is>
          <t>Product Delivery</t>
        </is>
      </c>
      <c r="H22" s="24" t="inlineStr">
        <is>
          <t>Organization-Centric Loyalty Journey</t>
        </is>
      </c>
      <c r="I22" s="24" t="inlineStr">
        <is>
          <t>Enable partner organizations to participate in loyalty and incentive programs through organization onboarding, governance controls, centralized reward management, and organization-led participation models. Strategic FY27 initiative under evaluation.</t>
        </is>
      </c>
      <c r="J22" s="23" t="inlineStr">
        <is>
          <t>MJ</t>
        </is>
      </c>
      <c r="K22" s="23" t="inlineStr">
        <is>
          <t>Core Product</t>
        </is>
      </c>
      <c r="L22" s="23" t="inlineStr">
        <is>
          <t>High</t>
        </is>
      </c>
      <c r="M22" s="23" t="inlineStr">
        <is>
          <t>At Risk</t>
        </is>
      </c>
      <c r="N22" s="25" t="n">
        <v>46500</v>
      </c>
      <c r="O22" s="25" t="n">
        <v>46527</v>
      </c>
      <c r="P22" s="23">
        <f>IF(OR(N22="",O22=""),"",O22-N22+1)</f>
        <v/>
      </c>
      <c r="Q22" s="26" t="n">
        <v>0.05</v>
      </c>
      <c r="R22" s="23" t="n">
        <v>40</v>
      </c>
      <c r="S22" s="23" t="n">
        <v>1.9</v>
      </c>
      <c r="T22" s="23">
        <f>S22-R22</f>
        <v/>
      </c>
      <c r="U22" s="27" t="n">
        <v>4400</v>
      </c>
      <c r="V22" s="23" t="inlineStr">
        <is>
          <t>T-017</t>
        </is>
      </c>
      <c r="W22" s="23" t="inlineStr"/>
      <c r="X22" s="23" t="inlineStr">
        <is>
          <t>R-09</t>
        </is>
      </c>
      <c r="Y22" s="24" t="inlineStr">
        <is>
          <t>Clarify Include/Pending decision; rebaseline if needed</t>
        </is>
      </c>
      <c r="Z22" s="23" t="inlineStr">
        <is>
          <t>N/A</t>
        </is>
      </c>
      <c r="AA22" s="23" t="inlineStr">
        <is>
          <t>Include=Pending | Source=FY27 V1 | Timeline=TBD FY27 | Hours=TBD in source</t>
        </is>
      </c>
      <c r="AB22" s="23" t="inlineStr">
        <is>
          <t>No</t>
        </is>
      </c>
    </row>
    <row r="23">
      <c r="A23" s="23" t="inlineStr">
        <is>
          <t>T-019</t>
        </is>
      </c>
      <c r="B23" s="23" t="inlineStr">
        <is>
          <t>CS 2.0 — New Features</t>
        </is>
      </c>
      <c r="C23" s="23" t="inlineStr">
        <is>
          <t>CS 2.0</t>
        </is>
      </c>
      <c r="D23" s="23" t="inlineStr">
        <is>
          <t>New Features</t>
        </is>
      </c>
      <c r="E23" s="23" t="inlineStr">
        <is>
          <t>Sprint 25</t>
        </is>
      </c>
      <c r="F23" s="23" t="inlineStr">
        <is>
          <t>Build</t>
        </is>
      </c>
      <c r="G23" s="23" t="inlineStr">
        <is>
          <t>Product Delivery</t>
        </is>
      </c>
      <c r="H23" s="24" t="inlineStr">
        <is>
          <t>Social Advocacy &amp; Partner Influence Platform</t>
        </is>
      </c>
      <c r="I23" s="24" t="inlineStr">
        <is>
          <t>Enable partners to share approved brand content, track engagement and attribution, and participate in incentive-driven advocacy programs that extend brand reach and influence. Strategic FY27 initiative under evaluation.</t>
        </is>
      </c>
      <c r="J23" s="23" t="inlineStr">
        <is>
          <t>MJ</t>
        </is>
      </c>
      <c r="K23" s="23" t="inlineStr">
        <is>
          <t>Core Product</t>
        </is>
      </c>
      <c r="L23" s="23" t="inlineStr">
        <is>
          <t>High</t>
        </is>
      </c>
      <c r="M23" s="23" t="inlineStr">
        <is>
          <t>At Risk</t>
        </is>
      </c>
      <c r="N23" s="25" t="n">
        <v>46500</v>
      </c>
      <c r="O23" s="25" t="n">
        <v>46520</v>
      </c>
      <c r="P23" s="23">
        <f>IF(OR(N23="",O23=""),"",O23-N23+1)</f>
        <v/>
      </c>
      <c r="Q23" s="26" t="n">
        <v>0.2</v>
      </c>
      <c r="R23" s="23" t="n">
        <v>40</v>
      </c>
      <c r="S23" s="23" t="n">
        <v>7.7</v>
      </c>
      <c r="T23" s="23">
        <f>S23-R23</f>
        <v/>
      </c>
      <c r="U23" s="27" t="n">
        <v>4400</v>
      </c>
      <c r="V23" s="23" t="inlineStr">
        <is>
          <t>T-018</t>
        </is>
      </c>
      <c r="W23" s="23" t="inlineStr"/>
      <c r="X23" s="23" t="inlineStr">
        <is>
          <t>R-09</t>
        </is>
      </c>
      <c r="Y23" s="24" t="inlineStr">
        <is>
          <t>Clarify Include/Pending decision; rebaseline if needed</t>
        </is>
      </c>
      <c r="Z23" s="23" t="inlineStr">
        <is>
          <t>N/A</t>
        </is>
      </c>
      <c r="AA23" s="23" t="inlineStr">
        <is>
          <t>Include=Pending | Source=FY27 V1 | Timeline=TBD FY27 | Hours=TBD in source</t>
        </is>
      </c>
      <c r="AB23" s="23" t="inlineStr">
        <is>
          <t>No</t>
        </is>
      </c>
    </row>
    <row r="24">
      <c r="A24" s="23" t="inlineStr">
        <is>
          <t>T-020</t>
        </is>
      </c>
      <c r="B24" s="23" t="inlineStr">
        <is>
          <t>CS 2.0 — New Features</t>
        </is>
      </c>
      <c r="C24" s="23" t="inlineStr">
        <is>
          <t>CS 2.0</t>
        </is>
      </c>
      <c r="D24" s="23" t="inlineStr">
        <is>
          <t>New Features</t>
        </is>
      </c>
      <c r="E24" s="23" t="inlineStr">
        <is>
          <t>Sprint 26</t>
        </is>
      </c>
      <c r="F24" s="23" t="inlineStr">
        <is>
          <t>Build</t>
        </is>
      </c>
      <c r="G24" s="23" t="inlineStr">
        <is>
          <t>Product Delivery</t>
        </is>
      </c>
      <c r="H24" s="24" t="inlineStr">
        <is>
          <t>Partner Referral &amp; Growth Engine</t>
        </is>
      </c>
      <c r="I24" s="24" t="inlineStr">
        <is>
          <t>Establish a referral ecosystem with attribution tracking, milestone-based rewards, referral analytics, and conversion visibility to support partner-led acquisition and network-driven growth. Strategic FY27 initiative under evaluation.</t>
        </is>
      </c>
      <c r="J24" s="23" t="inlineStr">
        <is>
          <t>MJ</t>
        </is>
      </c>
      <c r="K24" s="23" t="inlineStr">
        <is>
          <t>Core Product</t>
        </is>
      </c>
      <c r="L24" s="23" t="inlineStr">
        <is>
          <t>High</t>
        </is>
      </c>
      <c r="M24" s="23" t="inlineStr">
        <is>
          <t>At Risk</t>
        </is>
      </c>
      <c r="N24" s="25" t="n">
        <v>46544</v>
      </c>
      <c r="O24" s="25" t="n">
        <v>46553</v>
      </c>
      <c r="P24" s="23">
        <f>IF(OR(N24="",O24=""),"",O24-N24+1)</f>
        <v/>
      </c>
      <c r="Q24" s="26" t="n">
        <v>0.12</v>
      </c>
      <c r="R24" s="23" t="n">
        <v>40</v>
      </c>
      <c r="S24" s="23" t="n">
        <v>4.3</v>
      </c>
      <c r="T24" s="23">
        <f>S24-R24</f>
        <v/>
      </c>
      <c r="U24" s="27" t="n">
        <v>4400</v>
      </c>
      <c r="V24" s="23" t="inlineStr">
        <is>
          <t>T-019</t>
        </is>
      </c>
      <c r="W24" s="23" t="inlineStr"/>
      <c r="X24" s="23" t="inlineStr">
        <is>
          <t>R-18</t>
        </is>
      </c>
      <c r="Y24" s="24" t="inlineStr">
        <is>
          <t>Clarify Include/Pending decision; rebaseline if needed</t>
        </is>
      </c>
      <c r="Z24" s="23" t="inlineStr">
        <is>
          <t>N/A</t>
        </is>
      </c>
      <c r="AA24" s="23" t="inlineStr">
        <is>
          <t>Include=Pending | Source=FY27 V1 | Timeline=TBD FY27 | Hours=TBD in source</t>
        </is>
      </c>
      <c r="AB24" s="23" t="inlineStr">
        <is>
          <t>No</t>
        </is>
      </c>
    </row>
    <row r="25">
      <c r="A25" s="23" t="inlineStr">
        <is>
          <t>T-021</t>
        </is>
      </c>
      <c r="B25" s="23" t="inlineStr">
        <is>
          <t>CS 2.0 — New Features</t>
        </is>
      </c>
      <c r="C25" s="23" t="inlineStr">
        <is>
          <t>CS 2.0</t>
        </is>
      </c>
      <c r="D25" s="23" t="inlineStr">
        <is>
          <t>New Features</t>
        </is>
      </c>
      <c r="E25" s="23" t="inlineStr">
        <is>
          <t>Sprint 26</t>
        </is>
      </c>
      <c r="F25" s="23" t="inlineStr">
        <is>
          <t>Build</t>
        </is>
      </c>
      <c r="G25" s="23" t="inlineStr">
        <is>
          <t>Product Delivery</t>
        </is>
      </c>
      <c r="H25" s="24" t="inlineStr">
        <is>
          <t>AI-Powered Audience Segmentation</t>
        </is>
      </c>
      <c r="I25" s="24" t="inlineStr">
        <is>
          <t>Enable business users to create audience segments using natural language queries across transactional, behavioral, and engagement data, improving campaign targeting and intervention effectiveness. Strategic FY27 initiative under evaluation.</t>
        </is>
      </c>
      <c r="J25" s="23" t="inlineStr">
        <is>
          <t>MJ</t>
        </is>
      </c>
      <c r="K25" s="23" t="inlineStr">
        <is>
          <t>Core Product</t>
        </is>
      </c>
      <c r="L25" s="23" t="inlineStr">
        <is>
          <t>High</t>
        </is>
      </c>
      <c r="M25" s="23" t="inlineStr">
        <is>
          <t>At Risk</t>
        </is>
      </c>
      <c r="N25" s="25" t="n">
        <v>46513</v>
      </c>
      <c r="O25" s="25" t="n">
        <v>46540</v>
      </c>
      <c r="P25" s="23">
        <f>IF(OR(N25="",O25=""),"",O25-N25+1)</f>
        <v/>
      </c>
      <c r="Q25" s="26" t="n">
        <v>0.07000000000000001</v>
      </c>
      <c r="R25" s="23" t="n">
        <v>40</v>
      </c>
      <c r="S25" s="23" t="n">
        <v>2.7</v>
      </c>
      <c r="T25" s="23">
        <f>S25-R25</f>
        <v/>
      </c>
      <c r="U25" s="27" t="n">
        <v>4400</v>
      </c>
      <c r="V25" s="23" t="inlineStr">
        <is>
          <t>T-020</t>
        </is>
      </c>
      <c r="W25" s="23" t="inlineStr"/>
      <c r="X25" s="23" t="inlineStr">
        <is>
          <t>R-02</t>
        </is>
      </c>
      <c r="Y25" s="24" t="inlineStr">
        <is>
          <t>Clarify Include/Pending decision; rebaseline if needed</t>
        </is>
      </c>
      <c r="Z25" s="23" t="inlineStr">
        <is>
          <t>N/A</t>
        </is>
      </c>
      <c r="AA25" s="23" t="inlineStr">
        <is>
          <t>Include=Pending | Source=FY27 V1 | Timeline=TBD FY27 | Hours=TBD in source</t>
        </is>
      </c>
      <c r="AB25" s="23" t="inlineStr">
        <is>
          <t>No</t>
        </is>
      </c>
    </row>
    <row r="26">
      <c r="A26" s="23" t="inlineStr">
        <is>
          <t>T-022</t>
        </is>
      </c>
      <c r="B26" s="23" t="inlineStr">
        <is>
          <t>CS 2.0 — New Features</t>
        </is>
      </c>
      <c r="C26" s="23" t="inlineStr">
        <is>
          <t>CS 2.0</t>
        </is>
      </c>
      <c r="D26" s="23" t="inlineStr">
        <is>
          <t>New Features</t>
        </is>
      </c>
      <c r="E26" s="23" t="inlineStr">
        <is>
          <t>Sprint 22</t>
        </is>
      </c>
      <c r="F26" s="23" t="inlineStr">
        <is>
          <t>Build</t>
        </is>
      </c>
      <c r="G26" s="23" t="inlineStr">
        <is>
          <t>Product Delivery</t>
        </is>
      </c>
      <c r="H26" s="24" t="inlineStr">
        <is>
          <t>Embedded Gamification Experiences</t>
        </is>
      </c>
      <c r="I26" s="24" t="inlineStr">
        <is>
          <t>Introduce contextual, embedded gaming experiences within partner journeys to increase engagement, accelerate reward cycles, encourage repeat interactions, and improve program participation. Strategic FY27 initiative under evaluation.</t>
        </is>
      </c>
      <c r="J26" s="23" t="inlineStr">
        <is>
          <t>MJ</t>
        </is>
      </c>
      <c r="K26" s="23" t="inlineStr">
        <is>
          <t>Core Product</t>
        </is>
      </c>
      <c r="L26" s="23" t="inlineStr">
        <is>
          <t>High</t>
        </is>
      </c>
      <c r="M26" s="23" t="inlineStr">
        <is>
          <t>At Risk</t>
        </is>
      </c>
      <c r="N26" s="25" t="n">
        <v>46528</v>
      </c>
      <c r="O26" s="25" t="n">
        <v>46537</v>
      </c>
      <c r="P26" s="23">
        <f>IF(OR(N26="",O26=""),"",O26-N26+1)</f>
        <v/>
      </c>
      <c r="Q26" s="26" t="n">
        <v>0.15</v>
      </c>
      <c r="R26" s="23" t="n">
        <v>40</v>
      </c>
      <c r="S26" s="23" t="n">
        <v>6.2</v>
      </c>
      <c r="T26" s="23">
        <f>S26-R26</f>
        <v/>
      </c>
      <c r="U26" s="27" t="n">
        <v>4400</v>
      </c>
      <c r="V26" s="23" t="inlineStr">
        <is>
          <t>T-021</t>
        </is>
      </c>
      <c r="W26" s="23" t="inlineStr"/>
      <c r="X26" s="23" t="inlineStr">
        <is>
          <t>R-06</t>
        </is>
      </c>
      <c r="Y26" s="24" t="inlineStr">
        <is>
          <t>Clarify Include/Pending decision; rebaseline if needed</t>
        </is>
      </c>
      <c r="Z26" s="23" t="inlineStr">
        <is>
          <t>N/A</t>
        </is>
      </c>
      <c r="AA26" s="23" t="inlineStr">
        <is>
          <t>Include=Pending | Source=FY27 V1 | Timeline=TBD FY27 | Hours=TBD in source</t>
        </is>
      </c>
      <c r="AB26" s="23" t="inlineStr">
        <is>
          <t>No</t>
        </is>
      </c>
    </row>
    <row r="27">
      <c r="A27" s="23" t="inlineStr">
        <is>
          <t>T-023</t>
        </is>
      </c>
      <c r="B27" s="23" t="inlineStr">
        <is>
          <t>CS 2.0 Achievo — Funct Enhance</t>
        </is>
      </c>
      <c r="C27" s="23" t="inlineStr">
        <is>
          <t>CS 2.0 Achievo</t>
        </is>
      </c>
      <c r="D27" s="23" t="inlineStr">
        <is>
          <t>Funct Enhance</t>
        </is>
      </c>
      <c r="E27" s="23" t="inlineStr">
        <is>
          <t>Sprint 03</t>
        </is>
      </c>
      <c r="F27" s="23" t="inlineStr">
        <is>
          <t>Design</t>
        </is>
      </c>
      <c r="G27" s="23" t="inlineStr">
        <is>
          <t>Product Delivery</t>
        </is>
      </c>
      <c r="H27" s="24" t="inlineStr">
        <is>
          <t>Achievo - UI/UX Improvements</t>
        </is>
      </c>
      <c r="I27" s="24" t="inlineStr">
        <is>
          <t>UI/UX improvements based on External recommendations</t>
        </is>
      </c>
      <c r="J27" s="23" t="inlineStr">
        <is>
          <t>Shriguru</t>
        </is>
      </c>
      <c r="K27" s="23" t="inlineStr">
        <is>
          <t>Rewards</t>
        </is>
      </c>
      <c r="L27" s="23" t="inlineStr">
        <is>
          <t>Critical</t>
        </is>
      </c>
      <c r="M27" s="23" t="inlineStr">
        <is>
          <t>Not Started</t>
        </is>
      </c>
      <c r="N27" s="25" t="n">
        <v>46236</v>
      </c>
      <c r="O27" s="25" t="n">
        <v>46256</v>
      </c>
      <c r="P27" s="23">
        <f>IF(OR(N27="",O27=""),"",O27-N27+1)</f>
        <v/>
      </c>
      <c r="Q27" s="26" t="n">
        <v>0</v>
      </c>
      <c r="R27" s="23" t="n">
        <v>40</v>
      </c>
      <c r="S27" s="23" t="n">
        <v>0</v>
      </c>
      <c r="T27" s="23">
        <f>S27-R27</f>
        <v/>
      </c>
      <c r="U27" s="27" t="n">
        <v>4400</v>
      </c>
      <c r="V27" s="23" t="inlineStr"/>
      <c r="W27" s="23" t="inlineStr"/>
      <c r="X27" s="23" t="inlineStr"/>
      <c r="Y27" s="24" t="inlineStr">
        <is>
          <t>Confirm kickoff &amp; acceptance criteria</t>
        </is>
      </c>
      <c r="Z27" s="23" t="inlineStr">
        <is>
          <t>R26.Q1</t>
        </is>
      </c>
      <c r="AA27" s="23" t="inlineStr">
        <is>
          <t>Include=Yes | Source=FY27 V1 | Timeline=Q1 FY27 | Hours=TBD in source</t>
        </is>
      </c>
      <c r="AB27" s="23" t="inlineStr">
        <is>
          <t>No</t>
        </is>
      </c>
    </row>
    <row r="28">
      <c r="A28" s="23" t="inlineStr">
        <is>
          <t>T-024</t>
        </is>
      </c>
      <c r="B28" s="23" t="inlineStr">
        <is>
          <t>CS 2.0 Achievo — Tech Maintenance</t>
        </is>
      </c>
      <c r="C28" s="23" t="inlineStr">
        <is>
          <t>CS 2.0 Achievo</t>
        </is>
      </c>
      <c r="D28" s="23" t="inlineStr">
        <is>
          <t>Tech Maintenance</t>
        </is>
      </c>
      <c r="E28" s="23" t="inlineStr">
        <is>
          <t>Sprint 04</t>
        </is>
      </c>
      <c r="F28" s="23" t="inlineStr">
        <is>
          <t>Hypercare</t>
        </is>
      </c>
      <c r="G28" s="23" t="inlineStr">
        <is>
          <t>Reliability</t>
        </is>
      </c>
      <c r="H28" s="24" t="inlineStr">
        <is>
          <t>Achievo - Mobile Performance Improvement.(Analysis)</t>
        </is>
      </c>
      <c r="I28" s="24" t="inlineStr">
        <is>
          <t>Overall Mobile Performance Recommendations</t>
        </is>
      </c>
      <c r="J28" s="23" t="inlineStr">
        <is>
          <t>Shriguru</t>
        </is>
      </c>
      <c r="K28" s="23" t="inlineStr">
        <is>
          <t>Rewards</t>
        </is>
      </c>
      <c r="L28" s="23" t="inlineStr">
        <is>
          <t>Critical</t>
        </is>
      </c>
      <c r="M28" s="23" t="inlineStr">
        <is>
          <t>In Progress</t>
        </is>
      </c>
      <c r="N28" s="25" t="n">
        <v>46214</v>
      </c>
      <c r="O28" s="25" t="n">
        <v>46218</v>
      </c>
      <c r="P28" s="23">
        <f>IF(OR(N28="",O28=""),"",O28-N28+1)</f>
        <v/>
      </c>
      <c r="Q28" s="26" t="n">
        <v>0.29</v>
      </c>
      <c r="R28" s="23" t="n">
        <v>24</v>
      </c>
      <c r="S28" s="23" t="n">
        <v>6.5</v>
      </c>
      <c r="T28" s="23">
        <f>S28-R28</f>
        <v/>
      </c>
      <c r="U28" s="27" t="n">
        <v>2640</v>
      </c>
      <c r="V28" s="23" t="inlineStr">
        <is>
          <t>T-023</t>
        </is>
      </c>
      <c r="W28" s="23" t="inlineStr"/>
      <c r="X28" s="23" t="inlineStr"/>
      <c r="Y28" s="24" t="inlineStr">
        <is>
          <t>Continue sprint commitments; demos Friday</t>
        </is>
      </c>
      <c r="Z28" s="23" t="inlineStr">
        <is>
          <t>R26.Q1</t>
        </is>
      </c>
      <c r="AA28" s="23" t="inlineStr">
        <is>
          <t>Include=Yes | Source=FY27 V1 | Timeline=Q1 FY27</t>
        </is>
      </c>
      <c r="AB28" s="23" t="inlineStr">
        <is>
          <t>Yes</t>
        </is>
      </c>
    </row>
    <row r="29">
      <c r="A29" s="23" t="inlineStr">
        <is>
          <t>T-025</t>
        </is>
      </c>
      <c r="B29" s="23" t="inlineStr">
        <is>
          <t>CS 2.0 Achievo — Tech Maintenance</t>
        </is>
      </c>
      <c r="C29" s="23" t="inlineStr">
        <is>
          <t>CS 2.0 Achievo</t>
        </is>
      </c>
      <c r="D29" s="23" t="inlineStr">
        <is>
          <t>Tech Maintenance</t>
        </is>
      </c>
      <c r="E29" s="23" t="inlineStr">
        <is>
          <t>Sprint 05</t>
        </is>
      </c>
      <c r="F29" s="23" t="inlineStr">
        <is>
          <t>Hypercare</t>
        </is>
      </c>
      <c r="G29" s="23" t="inlineStr">
        <is>
          <t>Reliability</t>
        </is>
      </c>
      <c r="H29" s="24" t="inlineStr">
        <is>
          <t>Achievo - Mobile Performance Improvement.(Implementation)</t>
        </is>
      </c>
      <c r="I29" s="24" t="inlineStr">
        <is>
          <t>Overall Mobile Performance Improvements</t>
        </is>
      </c>
      <c r="J29" s="23" t="inlineStr">
        <is>
          <t>Shriguru</t>
        </is>
      </c>
      <c r="K29" s="23" t="inlineStr">
        <is>
          <t>Rewards</t>
        </is>
      </c>
      <c r="L29" s="23" t="inlineStr">
        <is>
          <t>Critical</t>
        </is>
      </c>
      <c r="M29" s="23" t="inlineStr">
        <is>
          <t>In Progress</t>
        </is>
      </c>
      <c r="N29" s="25" t="n">
        <v>46278</v>
      </c>
      <c r="O29" s="25" t="n">
        <v>46287</v>
      </c>
      <c r="P29" s="23">
        <f>IF(OR(N29="",O29=""),"",O29-N29+1)</f>
        <v/>
      </c>
      <c r="Q29" s="26" t="n">
        <v>0.24</v>
      </c>
      <c r="R29" s="23" t="n">
        <v>40</v>
      </c>
      <c r="S29" s="23" t="n">
        <v>8.800000000000001</v>
      </c>
      <c r="T29" s="23">
        <f>S29-R29</f>
        <v/>
      </c>
      <c r="U29" s="27" t="n">
        <v>4400</v>
      </c>
      <c r="V29" s="23" t="inlineStr">
        <is>
          <t>T-024</t>
        </is>
      </c>
      <c r="W29" s="23" t="inlineStr"/>
      <c r="X29" s="23" t="inlineStr"/>
      <c r="Y29" s="24" t="inlineStr">
        <is>
          <t>Continue sprint commitments; demos Friday</t>
        </is>
      </c>
      <c r="Z29" s="23" t="inlineStr">
        <is>
          <t>R26.Q1</t>
        </is>
      </c>
      <c r="AA29" s="23" t="inlineStr">
        <is>
          <t>Include=Yes | Source=FY27 V1 | Timeline=Q1 FY27 | Hours=TBD in source</t>
        </is>
      </c>
      <c r="AB29" s="23" t="inlineStr">
        <is>
          <t>Yes</t>
        </is>
      </c>
    </row>
    <row r="30">
      <c r="A30" s="23" t="inlineStr">
        <is>
          <t>T-026</t>
        </is>
      </c>
      <c r="B30" s="23" t="inlineStr">
        <is>
          <t>CS 2.0 Achievo — Tech Maintenance</t>
        </is>
      </c>
      <c r="C30" s="23" t="inlineStr">
        <is>
          <t>CS 2.0 Achievo</t>
        </is>
      </c>
      <c r="D30" s="23" t="inlineStr">
        <is>
          <t>Tech Maintenance</t>
        </is>
      </c>
      <c r="E30" s="23" t="inlineStr">
        <is>
          <t>Sprint 06</t>
        </is>
      </c>
      <c r="F30" s="23" t="inlineStr">
        <is>
          <t>Hypercare</t>
        </is>
      </c>
      <c r="G30" s="23" t="inlineStr">
        <is>
          <t>Reliability</t>
        </is>
      </c>
      <c r="H30" s="24" t="inlineStr">
        <is>
          <t>Achievo - Android 16 Upgrade</t>
        </is>
      </c>
      <c r="I30" s="24" t="inlineStr">
        <is>
          <t>Achievo - Android 16 Upgrade.</t>
        </is>
      </c>
      <c r="J30" s="23" t="inlineStr">
        <is>
          <t>Shriguru</t>
        </is>
      </c>
      <c r="K30" s="23" t="inlineStr">
        <is>
          <t>Rewards</t>
        </is>
      </c>
      <c r="L30" s="23" t="inlineStr">
        <is>
          <t>High</t>
        </is>
      </c>
      <c r="M30" s="23" t="inlineStr">
        <is>
          <t>Not Started</t>
        </is>
      </c>
      <c r="N30" s="25" t="n">
        <v>46265</v>
      </c>
      <c r="O30" s="25" t="n">
        <v>46271</v>
      </c>
      <c r="P30" s="23">
        <f>IF(OR(N30="",O30=""),"",O30-N30+1)</f>
        <v/>
      </c>
      <c r="Q30" s="26" t="n">
        <v>0</v>
      </c>
      <c r="R30" s="23" t="n">
        <v>40</v>
      </c>
      <c r="S30" s="23" t="n">
        <v>0</v>
      </c>
      <c r="T30" s="23">
        <f>S30-R30</f>
        <v/>
      </c>
      <c r="U30" s="27" t="n">
        <v>4400</v>
      </c>
      <c r="V30" s="23" t="inlineStr">
        <is>
          <t>T-025</t>
        </is>
      </c>
      <c r="W30" s="23" t="inlineStr"/>
      <c r="X30" s="23" t="inlineStr"/>
      <c r="Y30" s="24" t="inlineStr">
        <is>
          <t>Confirm kickoff &amp; acceptance criteria</t>
        </is>
      </c>
      <c r="Z30" s="23" t="inlineStr">
        <is>
          <t>R26.Q1</t>
        </is>
      </c>
      <c r="AA30" s="23" t="inlineStr">
        <is>
          <t>Include=Yes | Source=FY27 V1 | Timeline=Q1 FY27</t>
        </is>
      </c>
      <c r="AB30" s="23" t="inlineStr">
        <is>
          <t>No</t>
        </is>
      </c>
    </row>
    <row r="31">
      <c r="A31" s="23" t="inlineStr">
        <is>
          <t>T-027</t>
        </is>
      </c>
      <c r="B31" s="23" t="inlineStr">
        <is>
          <t>CS 2.0 Achievo — Tech Maintenance</t>
        </is>
      </c>
      <c r="C31" s="23" t="inlineStr">
        <is>
          <t>CS 2.0 Achievo</t>
        </is>
      </c>
      <c r="D31" s="23" t="inlineStr">
        <is>
          <t>Tech Maintenance</t>
        </is>
      </c>
      <c r="E31" s="23" t="inlineStr">
        <is>
          <t>Sprint 01</t>
        </is>
      </c>
      <c r="F31" s="23" t="inlineStr">
        <is>
          <t>Hypercare</t>
        </is>
      </c>
      <c r="G31" s="23" t="inlineStr">
        <is>
          <t>Reliability</t>
        </is>
      </c>
      <c r="H31" s="24" t="inlineStr">
        <is>
          <t>Achievo - iOS Updates</t>
        </is>
      </c>
      <c r="I31" s="24" t="inlineStr">
        <is>
          <t>N/A</t>
        </is>
      </c>
      <c r="J31" s="23" t="inlineStr">
        <is>
          <t>Shriguru</t>
        </is>
      </c>
      <c r="K31" s="23" t="inlineStr">
        <is>
          <t>Rewards</t>
        </is>
      </c>
      <c r="L31" s="23" t="inlineStr">
        <is>
          <t>High</t>
        </is>
      </c>
      <c r="M31" s="23" t="inlineStr">
        <is>
          <t>In Progress</t>
        </is>
      </c>
      <c r="N31" s="25" t="n">
        <v>46219</v>
      </c>
      <c r="O31" s="25" t="n">
        <v>46225</v>
      </c>
      <c r="P31" s="23">
        <f>IF(OR(N31="",O31=""),"",O31-N31+1)</f>
        <v/>
      </c>
      <c r="Q31" s="26" t="n">
        <v>0.11</v>
      </c>
      <c r="R31" s="23" t="n">
        <v>40</v>
      </c>
      <c r="S31" s="23" t="n">
        <v>4.2</v>
      </c>
      <c r="T31" s="23">
        <f>S31-R31</f>
        <v/>
      </c>
      <c r="U31" s="27" t="n">
        <v>4400</v>
      </c>
      <c r="V31" s="23" t="inlineStr">
        <is>
          <t>T-026</t>
        </is>
      </c>
      <c r="W31" s="23" t="inlineStr"/>
      <c r="X31" s="23" t="inlineStr"/>
      <c r="Y31" s="24" t="inlineStr">
        <is>
          <t>Continue sprint commitments; demos Friday</t>
        </is>
      </c>
      <c r="Z31" s="23" t="inlineStr">
        <is>
          <t>R26.Q1</t>
        </is>
      </c>
      <c r="AA31" s="23" t="inlineStr">
        <is>
          <t>Include=Yes | Source=FY27 V1 | Timeline=Q1 FY27</t>
        </is>
      </c>
      <c r="AB31" s="23" t="inlineStr">
        <is>
          <t>No</t>
        </is>
      </c>
    </row>
    <row r="32">
      <c r="A32" s="23" t="inlineStr">
        <is>
          <t>T-028</t>
        </is>
      </c>
      <c r="B32" s="23" t="inlineStr">
        <is>
          <t>CS 2.0 Achievo — New Features</t>
        </is>
      </c>
      <c r="C32" s="23" t="inlineStr">
        <is>
          <t>CS 2.0 Achievo</t>
        </is>
      </c>
      <c r="D32" s="23" t="inlineStr">
        <is>
          <t>New Features</t>
        </is>
      </c>
      <c r="E32" s="23" t="inlineStr">
        <is>
          <t>Sprint 23</t>
        </is>
      </c>
      <c r="F32" s="23" t="inlineStr">
        <is>
          <t>Build</t>
        </is>
      </c>
      <c r="G32" s="23" t="inlineStr">
        <is>
          <t>Product Delivery</t>
        </is>
      </c>
      <c r="H32" s="24" t="inlineStr">
        <is>
          <t>Achievo Mobile Experience Modernization</t>
        </is>
      </c>
      <c r="I32" s="24" t="inlineStr">
        <is>
          <t>Modernize Achievo with mobile-native capabilities including push notifications, voice-assisted discovery, enhanced UX, QR-enabled interactions, gamification, and AI-assisted workflows to increase engagement and participation. Strategic FY27 initiative under evaluation.</t>
        </is>
      </c>
      <c r="J32" s="23" t="inlineStr">
        <is>
          <t>Shriguru</t>
        </is>
      </c>
      <c r="K32" s="23" t="inlineStr">
        <is>
          <t>Rewards</t>
        </is>
      </c>
      <c r="L32" s="23" t="inlineStr">
        <is>
          <t>High</t>
        </is>
      </c>
      <c r="M32" s="23" t="inlineStr">
        <is>
          <t>At Risk</t>
        </is>
      </c>
      <c r="N32" s="25" t="n">
        <v>46515</v>
      </c>
      <c r="O32" s="25" t="n">
        <v>46528</v>
      </c>
      <c r="P32" s="23">
        <f>IF(OR(N32="",O32=""),"",O32-N32+1)</f>
        <v/>
      </c>
      <c r="Q32" s="26" t="n">
        <v>0.24</v>
      </c>
      <c r="R32" s="23" t="n">
        <v>40</v>
      </c>
      <c r="S32" s="23" t="n">
        <v>10.6</v>
      </c>
      <c r="T32" s="23">
        <f>S32-R32</f>
        <v/>
      </c>
      <c r="U32" s="27" t="n">
        <v>4400</v>
      </c>
      <c r="V32" s="23" t="inlineStr">
        <is>
          <t>T-027</t>
        </is>
      </c>
      <c r="W32" s="23" t="inlineStr"/>
      <c r="X32" s="23" t="inlineStr">
        <is>
          <t>R-04</t>
        </is>
      </c>
      <c r="Y32" s="24" t="inlineStr">
        <is>
          <t>Clarify Include/Pending decision; rebaseline if needed</t>
        </is>
      </c>
      <c r="Z32" s="23" t="inlineStr">
        <is>
          <t>N/A</t>
        </is>
      </c>
      <c r="AA32" s="23" t="inlineStr">
        <is>
          <t>Include=Pending | Source=FY27 V1 | Timeline=TBD FY27 | Hours=TBD in source</t>
        </is>
      </c>
      <c r="AB32" s="23" t="inlineStr">
        <is>
          <t>No</t>
        </is>
      </c>
    </row>
    <row r="33">
      <c r="A33" s="23" t="inlineStr">
        <is>
          <t>T-029</t>
        </is>
      </c>
      <c r="B33" s="23" t="inlineStr">
        <is>
          <t>CS 2.0 — Funct Enhance</t>
        </is>
      </c>
      <c r="C33" s="23" t="inlineStr">
        <is>
          <t>CS 2.0</t>
        </is>
      </c>
      <c r="D33" s="23" t="inlineStr">
        <is>
          <t>Funct Enhance</t>
        </is>
      </c>
      <c r="E33" s="23" t="inlineStr">
        <is>
          <t>Sprint 24</t>
        </is>
      </c>
      <c r="F33" s="23" t="inlineStr">
        <is>
          <t>Design</t>
        </is>
      </c>
      <c r="G33" s="23" t="inlineStr">
        <is>
          <t>Product Delivery</t>
        </is>
      </c>
      <c r="H33" s="24" t="inlineStr">
        <is>
          <t>Existing Product Backlog and Delivery Priority Items as needed to be added to Core Product</t>
        </is>
      </c>
      <c r="I33" s="24" t="inlineStr">
        <is>
          <t>Need to work with Roshni to identify Priority items to be taken into Core</t>
        </is>
      </c>
      <c r="J33" s="23" t="inlineStr">
        <is>
          <t>MJ</t>
        </is>
      </c>
      <c r="K33" s="23" t="inlineStr">
        <is>
          <t>Core Product</t>
        </is>
      </c>
      <c r="L33" s="23" t="inlineStr">
        <is>
          <t>High</t>
        </is>
      </c>
      <c r="M33" s="23" t="inlineStr">
        <is>
          <t>Blocked</t>
        </is>
      </c>
      <c r="N33" s="25" t="n">
        <v>46549</v>
      </c>
      <c r="O33" s="25" t="n">
        <v>46558</v>
      </c>
      <c r="P33" s="23">
        <f>IF(OR(N33="",O33=""),"",O33-N33+1)</f>
        <v/>
      </c>
      <c r="Q33" s="26" t="n">
        <v>0.15</v>
      </c>
      <c r="R33" s="23" t="n">
        <v>40</v>
      </c>
      <c r="S33" s="23" t="n">
        <v>6</v>
      </c>
      <c r="T33" s="23">
        <f>S33-R33</f>
        <v/>
      </c>
      <c r="U33" s="27" t="n">
        <v>4400</v>
      </c>
      <c r="V33" s="23" t="inlineStr">
        <is>
          <t>T-022</t>
        </is>
      </c>
      <c r="W33" s="23" t="inlineStr">
        <is>
          <t>T-022</t>
        </is>
      </c>
      <c r="X33" s="23" t="inlineStr">
        <is>
          <t>R-03</t>
        </is>
      </c>
      <c r="Y33" s="24" t="inlineStr">
        <is>
          <t>Resolve blocker with dependency owner</t>
        </is>
      </c>
      <c r="Z33" s="23" t="inlineStr">
        <is>
          <t>N/A</t>
        </is>
      </c>
      <c r="AA33" s="23" t="inlineStr">
        <is>
          <t>Include=Pending | Source=FY27 V1 | Timeline=TBD FY27 | Hours=TBD in source</t>
        </is>
      </c>
      <c r="AB33" s="23" t="inlineStr">
        <is>
          <t>No</t>
        </is>
      </c>
    </row>
    <row r="34">
      <c r="A34" s="23" t="inlineStr">
        <is>
          <t>T-030</t>
        </is>
      </c>
      <c r="B34" s="23" t="inlineStr">
        <is>
          <t>CS 2.0 Core — Tech Enhance</t>
        </is>
      </c>
      <c r="C34" s="23" t="inlineStr">
        <is>
          <t>CS 2.0 Core</t>
        </is>
      </c>
      <c r="D34" s="23" t="inlineStr">
        <is>
          <t>Tech Enhance</t>
        </is>
      </c>
      <c r="E34" s="23" t="inlineStr">
        <is>
          <t>Sprint 02</t>
        </is>
      </c>
      <c r="F34" s="23" t="inlineStr">
        <is>
          <t>Build</t>
        </is>
      </c>
      <c r="G34" s="23" t="inlineStr">
        <is>
          <t>Platform</t>
        </is>
      </c>
      <c r="H34" s="24" t="inlineStr">
        <is>
          <t>New UI for platform portal</t>
        </is>
      </c>
      <c r="I34" s="24" t="inlineStr"/>
      <c r="J34" s="23" t="inlineStr">
        <is>
          <t>MJ</t>
        </is>
      </c>
      <c r="K34" s="23" t="inlineStr">
        <is>
          <t>Platform</t>
        </is>
      </c>
      <c r="L34" s="23" t="inlineStr">
        <is>
          <t>High</t>
        </is>
      </c>
      <c r="M34" s="23" t="inlineStr">
        <is>
          <t>Not Started</t>
        </is>
      </c>
      <c r="N34" s="25" t="n">
        <v>46262</v>
      </c>
      <c r="O34" s="25" t="n">
        <v>46288</v>
      </c>
      <c r="P34" s="23">
        <f>IF(OR(N34="",O34=""),"",O34-N34+1)</f>
        <v/>
      </c>
      <c r="Q34" s="26" t="n">
        <v>0</v>
      </c>
      <c r="R34" s="23" t="n">
        <v>160</v>
      </c>
      <c r="S34" s="23" t="n">
        <v>0</v>
      </c>
      <c r="T34" s="23">
        <f>S34-R34</f>
        <v/>
      </c>
      <c r="U34" s="27" t="n">
        <v>17600</v>
      </c>
      <c r="V34" s="23" t="inlineStr"/>
      <c r="W34" s="23" t="inlineStr"/>
      <c r="X34" s="23" t="inlineStr"/>
      <c r="Y34" s="24" t="inlineStr">
        <is>
          <t>Confirm kickoff &amp; acceptance criteria</t>
        </is>
      </c>
      <c r="Z34" s="23" t="inlineStr">
        <is>
          <t>R26.Q1</t>
        </is>
      </c>
      <c r="AA34" s="23" t="inlineStr">
        <is>
          <t>Include=Yes | Source=FY27 V1 | Timeline=Q1 FY27</t>
        </is>
      </c>
      <c r="AB34" s="23" t="inlineStr">
        <is>
          <t>No</t>
        </is>
      </c>
    </row>
    <row r="35">
      <c r="A35" s="23" t="inlineStr">
        <is>
          <t>T-031</t>
        </is>
      </c>
      <c r="B35" s="23" t="inlineStr">
        <is>
          <t>CS 2.0 Core — Tech Enhance</t>
        </is>
      </c>
      <c r="C35" s="23" t="inlineStr">
        <is>
          <t>CS 2.0 Core</t>
        </is>
      </c>
      <c r="D35" s="23" t="inlineStr">
        <is>
          <t>Tech Enhance</t>
        </is>
      </c>
      <c r="E35" s="23" t="inlineStr">
        <is>
          <t>Sprint 03</t>
        </is>
      </c>
      <c r="F35" s="23" t="inlineStr">
        <is>
          <t>Build</t>
        </is>
      </c>
      <c r="G35" s="23" t="inlineStr">
        <is>
          <t>Product Delivery</t>
        </is>
      </c>
      <c r="H35" s="24" t="inlineStr">
        <is>
          <t>Architecture Proposal: Core + Extension Model for Participant Portals</t>
        </is>
      </c>
      <c r="I35" s="24" t="inlineStr">
        <is>
          <t>Define a Core + Extension architecture model for Participant Portals to separate common product capabilities from client-specific customizations. This will help reduce the effort required to apply latest product changes across multiple delivery deployments, minimize the risk of overriding existing client-specific features, and improve maintainability, upgradeability, and release consistency across implementations.</t>
        </is>
      </c>
      <c r="J35" s="23" t="inlineStr">
        <is>
          <t>MJ</t>
        </is>
      </c>
      <c r="K35" s="23" t="inlineStr">
        <is>
          <t>Platform</t>
        </is>
      </c>
      <c r="L35" s="23" t="inlineStr">
        <is>
          <t>Critical</t>
        </is>
      </c>
      <c r="M35" s="23" t="inlineStr">
        <is>
          <t>Not Started</t>
        </is>
      </c>
      <c r="N35" s="25" t="n">
        <v>46209</v>
      </c>
      <c r="O35" s="25" t="n">
        <v>46278</v>
      </c>
      <c r="P35" s="23">
        <f>IF(OR(N35="",O35=""),"",O35-N35+1)</f>
        <v/>
      </c>
      <c r="Q35" s="26" t="n">
        <v>0</v>
      </c>
      <c r="R35" s="23" t="n">
        <v>600</v>
      </c>
      <c r="S35" s="23" t="n">
        <v>0</v>
      </c>
      <c r="T35" s="23">
        <f>S35-R35</f>
        <v/>
      </c>
      <c r="U35" s="27" t="n">
        <v>66000</v>
      </c>
      <c r="V35" s="23" t="inlineStr">
        <is>
          <t>T-030</t>
        </is>
      </c>
      <c r="W35" s="23" t="inlineStr"/>
      <c r="X35" s="23" t="inlineStr"/>
      <c r="Y35" s="24" t="inlineStr">
        <is>
          <t>Confirm kickoff &amp; acceptance criteria</t>
        </is>
      </c>
      <c r="Z35" s="23" t="inlineStr">
        <is>
          <t>R26.Q1</t>
        </is>
      </c>
      <c r="AA35" s="23" t="inlineStr">
        <is>
          <t>Include=Yes | Source=FY27 V1 | Timeline=July</t>
        </is>
      </c>
      <c r="AB35" s="23" t="inlineStr">
        <is>
          <t>No</t>
        </is>
      </c>
    </row>
    <row r="36">
      <c r="A36" s="23" t="inlineStr">
        <is>
          <t>T-032</t>
        </is>
      </c>
      <c r="B36" s="23" t="inlineStr">
        <is>
          <t>CS 2.0 Core — Tech Enhance</t>
        </is>
      </c>
      <c r="C36" s="23" t="inlineStr">
        <is>
          <t>CS 2.0 Core</t>
        </is>
      </c>
      <c r="D36" s="23" t="inlineStr">
        <is>
          <t>Tech Enhance</t>
        </is>
      </c>
      <c r="E36" s="23" t="inlineStr">
        <is>
          <t>Sprint 04</t>
        </is>
      </c>
      <c r="F36" s="23" t="inlineStr">
        <is>
          <t>Build</t>
        </is>
      </c>
      <c r="G36" s="23" t="inlineStr">
        <is>
          <t>Product Delivery</t>
        </is>
      </c>
      <c r="H36" s="24" t="inlineStr">
        <is>
          <t>File Upload Module Stabilization and Validation Enhancements
(Check if it can be moved to Q2)</t>
        </is>
      </c>
      <c r="I36" s="24" t="inlineStr">
        <is>
          <t>Enhance the existing File Upload Module with improved validation, tracking, retry handling, and stabilization capabilities. This will improve upload reliability, reduce processing failures, provide better visibility into upload status, support controlled reprocessing, and strengthen the overall stability of file-based data ingestion.</t>
        </is>
      </c>
      <c r="J36" s="23" t="inlineStr">
        <is>
          <t>MJ</t>
        </is>
      </c>
      <c r="K36" s="23" t="inlineStr">
        <is>
          <t>Platform</t>
        </is>
      </c>
      <c r="L36" s="23" t="inlineStr">
        <is>
          <t>Critical</t>
        </is>
      </c>
      <c r="M36" s="23" t="inlineStr">
        <is>
          <t>Not Started</t>
        </is>
      </c>
      <c r="N36" s="25" t="n">
        <v>46215</v>
      </c>
      <c r="O36" s="25" t="n">
        <v>46284</v>
      </c>
      <c r="P36" s="23">
        <f>IF(OR(N36="",O36=""),"",O36-N36+1)</f>
        <v/>
      </c>
      <c r="Q36" s="26" t="n">
        <v>0</v>
      </c>
      <c r="R36" s="23" t="n">
        <v>600</v>
      </c>
      <c r="S36" s="23" t="n">
        <v>0</v>
      </c>
      <c r="T36" s="23">
        <f>S36-R36</f>
        <v/>
      </c>
      <c r="U36" s="27" t="n">
        <v>66000</v>
      </c>
      <c r="V36" s="23" t="inlineStr">
        <is>
          <t>T-031</t>
        </is>
      </c>
      <c r="W36" s="23" t="inlineStr"/>
      <c r="X36" s="23" t="inlineStr"/>
      <c r="Y36" s="24" t="inlineStr">
        <is>
          <t>Confirm kickoff &amp; acceptance criteria</t>
        </is>
      </c>
      <c r="Z36" s="23" t="inlineStr">
        <is>
          <t>R26.Q1</t>
        </is>
      </c>
      <c r="AA36" s="23" t="inlineStr">
        <is>
          <t>Include=Yes | Source=FY27 V1 | Timeline=July</t>
        </is>
      </c>
      <c r="AB36" s="23" t="inlineStr">
        <is>
          <t>No</t>
        </is>
      </c>
    </row>
    <row r="37">
      <c r="A37" s="23" t="inlineStr">
        <is>
          <t>T-033</t>
        </is>
      </c>
      <c r="B37" s="23" t="inlineStr">
        <is>
          <t>CS 2.0 Core — Tech Maintenance</t>
        </is>
      </c>
      <c r="C37" s="23" t="inlineStr">
        <is>
          <t>CS 2.0 Core</t>
        </is>
      </c>
      <c r="D37" s="23" t="inlineStr">
        <is>
          <t>Tech Maintenance</t>
        </is>
      </c>
      <c r="E37" s="23" t="inlineStr">
        <is>
          <t>Sprint 05</t>
        </is>
      </c>
      <c r="F37" s="23" t="inlineStr">
        <is>
          <t>Hypercare</t>
        </is>
      </c>
      <c r="G37" s="23" t="inlineStr">
        <is>
          <t>Reliability</t>
        </is>
      </c>
      <c r="H37" s="24" t="inlineStr">
        <is>
          <t>Release Governance, Code Merge and Deployment Control</t>
        </is>
      </c>
      <c r="I37" s="24" t="inlineStr">
        <is>
          <t>Standardize the code merge and release management process by improving version control, conflict handling, release planning, approvals, deployment tracking, rollback governance, and client-specific patch management. This will strengthen engineering governance, reduce release risks, and improve operational control across releases.</t>
        </is>
      </c>
      <c r="J37" s="23" t="inlineStr">
        <is>
          <t>Jawahar</t>
        </is>
      </c>
      <c r="K37" s="23" t="inlineStr">
        <is>
          <t>Platform</t>
        </is>
      </c>
      <c r="L37" s="23" t="inlineStr">
        <is>
          <t>High</t>
        </is>
      </c>
      <c r="M37" s="23" t="inlineStr">
        <is>
          <t>In Progress</t>
        </is>
      </c>
      <c r="N37" s="25" t="n">
        <v>46243</v>
      </c>
      <c r="O37" s="25" t="n">
        <v>46279</v>
      </c>
      <c r="P37" s="23">
        <f>IF(OR(N37="",O37=""),"",O37-N37+1)</f>
        <v/>
      </c>
      <c r="Q37" s="26" t="n">
        <v>0.22</v>
      </c>
      <c r="R37" s="23" t="n">
        <v>220</v>
      </c>
      <c r="S37" s="23" t="n">
        <v>43.9</v>
      </c>
      <c r="T37" s="23">
        <f>S37-R37</f>
        <v/>
      </c>
      <c r="U37" s="27" t="n">
        <v>24200</v>
      </c>
      <c r="V37" s="23" t="inlineStr">
        <is>
          <t>T-032</t>
        </is>
      </c>
      <c r="W37" s="23" t="inlineStr"/>
      <c r="X37" s="23" t="inlineStr"/>
      <c r="Y37" s="24" t="inlineStr">
        <is>
          <t>Continue sprint commitments; demos Friday</t>
        </is>
      </c>
      <c r="Z37" s="23" t="inlineStr">
        <is>
          <t>R26.Q1</t>
        </is>
      </c>
      <c r="AA37" s="23" t="inlineStr">
        <is>
          <t>Include=Yes | Source=FY27 V1 | Timeline=Q1 FY27</t>
        </is>
      </c>
      <c r="AB37" s="23" t="inlineStr">
        <is>
          <t>No</t>
        </is>
      </c>
    </row>
    <row r="38">
      <c r="A38" s="23" t="inlineStr">
        <is>
          <t>T-034</t>
        </is>
      </c>
      <c r="B38" s="23" t="inlineStr">
        <is>
          <t>CS 2.0 Core — Tech Maintenance</t>
        </is>
      </c>
      <c r="C38" s="23" t="inlineStr">
        <is>
          <t>CS 2.0 Core</t>
        </is>
      </c>
      <c r="D38" s="23" t="inlineStr">
        <is>
          <t>Tech Maintenance</t>
        </is>
      </c>
      <c r="E38" s="23" t="inlineStr">
        <is>
          <t>Sprint 06</t>
        </is>
      </c>
      <c r="F38" s="23" t="inlineStr">
        <is>
          <t>Hypercare</t>
        </is>
      </c>
      <c r="G38" s="23" t="inlineStr">
        <is>
          <t>Reliability</t>
        </is>
      </c>
      <c r="H38" s="24" t="inlineStr">
        <is>
          <t>Achievo Mobile App Upgrades and Store Policy Compliance Updates</t>
        </is>
      </c>
      <c r="I38" s="24" t="inlineStr">
        <is>
          <t>Perform Achievo mobile app upgrades and store-specific policy updates for iOS and Android. This includes updating SDKs, dependencies, build tools, privacy/permission declarations, App Store and Play Store compliance requirements, testing, build validation, and supporting app submission/review activities.</t>
        </is>
      </c>
      <c r="J38" s="23" t="inlineStr">
        <is>
          <t>Jawahar</t>
        </is>
      </c>
      <c r="K38" s="23" t="inlineStr">
        <is>
          <t>Platform</t>
        </is>
      </c>
      <c r="L38" s="23" t="inlineStr">
        <is>
          <t>Critical</t>
        </is>
      </c>
      <c r="M38" s="23" t="inlineStr">
        <is>
          <t>Not Started</t>
        </is>
      </c>
      <c r="N38" s="25" t="n">
        <v>46225</v>
      </c>
      <c r="O38" s="25" t="n">
        <v>46277</v>
      </c>
      <c r="P38" s="23">
        <f>IF(OR(N38="",O38=""),"",O38-N38+1)</f>
        <v/>
      </c>
      <c r="Q38" s="26" t="n">
        <v>0</v>
      </c>
      <c r="R38" s="23" t="n">
        <v>320</v>
      </c>
      <c r="S38" s="23" t="n">
        <v>0</v>
      </c>
      <c r="T38" s="23">
        <f>S38-R38</f>
        <v/>
      </c>
      <c r="U38" s="27" t="n">
        <v>35200</v>
      </c>
      <c r="V38" s="23" t="inlineStr">
        <is>
          <t>T-033</t>
        </is>
      </c>
      <c r="W38" s="23" t="inlineStr"/>
      <c r="X38" s="23" t="inlineStr"/>
      <c r="Y38" s="24" t="inlineStr">
        <is>
          <t>Confirm kickoff &amp; acceptance criteria</t>
        </is>
      </c>
      <c r="Z38" s="23" t="inlineStr">
        <is>
          <t>R26.Q1</t>
        </is>
      </c>
      <c r="AA38" s="23" t="inlineStr">
        <is>
          <t>Include=Yes | Source=FY27 V1 | Timeline=Q1 FY27</t>
        </is>
      </c>
      <c r="AB38" s="23" t="inlineStr">
        <is>
          <t>No</t>
        </is>
      </c>
    </row>
    <row r="39">
      <c r="A39" s="23" t="inlineStr">
        <is>
          <t>T-035</t>
        </is>
      </c>
      <c r="B39" s="23" t="inlineStr">
        <is>
          <t>CS 2.0 Core — Tech Maintenance</t>
        </is>
      </c>
      <c r="C39" s="23" t="inlineStr">
        <is>
          <t>CS 2.0 Core</t>
        </is>
      </c>
      <c r="D39" s="23" t="inlineStr">
        <is>
          <t>Tech Maintenance</t>
        </is>
      </c>
      <c r="E39" s="23" t="inlineStr">
        <is>
          <t>Sprint 01</t>
        </is>
      </c>
      <c r="F39" s="23" t="inlineStr">
        <is>
          <t>Hypercare</t>
        </is>
      </c>
      <c r="G39" s="23" t="inlineStr">
        <is>
          <t>Reliability</t>
        </is>
      </c>
      <c r="H39" s="24" t="inlineStr">
        <is>
          <t>Next.js 16.x LTS Upgrade for Admin Console and Platform Web Apps</t>
        </is>
      </c>
      <c r="I39" s="24" t="inlineStr">
        <is>
          <t>Upgrade Next.js to Version 16.x LTS (Admin &amp; Platform) - 14.X is already outdated and 15.x is reaching end of life by 21/Oct/2026</t>
        </is>
      </c>
      <c r="J39" s="23" t="inlineStr">
        <is>
          <t>Jawahar</t>
        </is>
      </c>
      <c r="K39" s="23" t="inlineStr">
        <is>
          <t>Platform</t>
        </is>
      </c>
      <c r="L39" s="23" t="inlineStr">
        <is>
          <t>Critical</t>
        </is>
      </c>
      <c r="M39" s="23" t="inlineStr">
        <is>
          <t>Not Started</t>
        </is>
      </c>
      <c r="N39" s="25" t="n">
        <v>46256</v>
      </c>
      <c r="O39" s="25" t="n">
        <v>46292</v>
      </c>
      <c r="P39" s="23">
        <f>IF(OR(N39="",O39=""),"",O39-N39+1)</f>
        <v/>
      </c>
      <c r="Q39" s="26" t="n">
        <v>0</v>
      </c>
      <c r="R39" s="23" t="n">
        <v>220</v>
      </c>
      <c r="S39" s="23" t="n">
        <v>0</v>
      </c>
      <c r="T39" s="23">
        <f>S39-R39</f>
        <v/>
      </c>
      <c r="U39" s="27" t="n">
        <v>24200</v>
      </c>
      <c r="V39" s="23" t="inlineStr">
        <is>
          <t>T-034</t>
        </is>
      </c>
      <c r="W39" s="23" t="inlineStr"/>
      <c r="X39" s="23" t="inlineStr"/>
      <c r="Y39" s="24" t="inlineStr">
        <is>
          <t>Confirm kickoff &amp; acceptance criteria</t>
        </is>
      </c>
      <c r="Z39" s="23" t="inlineStr">
        <is>
          <t>R26.Q1</t>
        </is>
      </c>
      <c r="AA39" s="23" t="inlineStr">
        <is>
          <t>Include=Yes | Source=FY27 V1 | Timeline=July</t>
        </is>
      </c>
      <c r="AB39" s="23" t="inlineStr">
        <is>
          <t>No</t>
        </is>
      </c>
    </row>
    <row r="40">
      <c r="A40" s="23" t="inlineStr">
        <is>
          <t>T-036</t>
        </is>
      </c>
      <c r="B40" s="23" t="inlineStr">
        <is>
          <t>CS 2.0 Core — Tech Enhance</t>
        </is>
      </c>
      <c r="C40" s="23" t="inlineStr">
        <is>
          <t>CS 2.0 Core</t>
        </is>
      </c>
      <c r="D40" s="23" t="inlineStr">
        <is>
          <t>Tech Enhance</t>
        </is>
      </c>
      <c r="E40" s="23" t="inlineStr">
        <is>
          <t>Sprint 02</t>
        </is>
      </c>
      <c r="F40" s="23" t="inlineStr">
        <is>
          <t>Build</t>
        </is>
      </c>
      <c r="G40" s="23" t="inlineStr">
        <is>
          <t>Platform</t>
        </is>
      </c>
      <c r="H40" s="24" t="inlineStr">
        <is>
          <t>Scalable File Upload Processing Enhancement</t>
        </is>
      </c>
      <c r="I40" s="24" t="inlineStr">
        <is>
          <t>Enhance the existing file upload processing architecture to handle large files with more than 100,000 records. This will address the current single-pod stateful processing limitation by improving scalability, reliability, and fault tolerance for high-volume uploads</t>
        </is>
      </c>
      <c r="J40" s="23" t="inlineStr">
        <is>
          <t>MJ</t>
        </is>
      </c>
      <c r="K40" s="23" t="inlineStr">
        <is>
          <t>Platform</t>
        </is>
      </c>
      <c r="L40" s="23" t="inlineStr">
        <is>
          <t>Critical</t>
        </is>
      </c>
      <c r="M40" s="23" t="inlineStr">
        <is>
          <t>Not Started</t>
        </is>
      </c>
      <c r="N40" s="25" t="n">
        <v>46226</v>
      </c>
      <c r="O40" s="25" t="n">
        <v>46255</v>
      </c>
      <c r="P40" s="23">
        <f>IF(OR(N40="",O40=""),"",O40-N40+1)</f>
        <v/>
      </c>
      <c r="Q40" s="26" t="n">
        <v>0</v>
      </c>
      <c r="R40" s="23" t="n">
        <v>180</v>
      </c>
      <c r="S40" s="23" t="n">
        <v>0</v>
      </c>
      <c r="T40" s="23">
        <f>S40-R40</f>
        <v/>
      </c>
      <c r="U40" s="27" t="n">
        <v>19800</v>
      </c>
      <c r="V40" s="23" t="inlineStr">
        <is>
          <t>T-035</t>
        </is>
      </c>
      <c r="W40" s="23" t="inlineStr"/>
      <c r="X40" s="23" t="inlineStr"/>
      <c r="Y40" s="24" t="inlineStr">
        <is>
          <t>Confirm kickoff &amp; acceptance criteria</t>
        </is>
      </c>
      <c r="Z40" s="23" t="inlineStr">
        <is>
          <t>R26.Q1</t>
        </is>
      </c>
      <c r="AA40" s="23" t="inlineStr">
        <is>
          <t>Include=Yes | Source=FY27 V1 | Timeline=Q1 FY27</t>
        </is>
      </c>
      <c r="AB40" s="23" t="inlineStr">
        <is>
          <t>No</t>
        </is>
      </c>
    </row>
    <row r="41">
      <c r="A41" s="23" t="inlineStr">
        <is>
          <t>T-037</t>
        </is>
      </c>
      <c r="B41" s="23" t="inlineStr">
        <is>
          <t>CS 2.0 Core — Tech Enhance</t>
        </is>
      </c>
      <c r="C41" s="23" t="inlineStr">
        <is>
          <t>CS 2.0 Core</t>
        </is>
      </c>
      <c r="D41" s="23" t="inlineStr">
        <is>
          <t>Tech Enhance</t>
        </is>
      </c>
      <c r="E41" s="23" t="inlineStr">
        <is>
          <t>Sprint 03</t>
        </is>
      </c>
      <c r="F41" s="23" t="inlineStr">
        <is>
          <t>Build</t>
        </is>
      </c>
      <c r="G41" s="23" t="inlineStr">
        <is>
          <t>Product Delivery</t>
        </is>
      </c>
      <c r="H41" s="24" t="inlineStr">
        <is>
          <t>AWS Secrets Manager Enforcement for Service Credentials</t>
        </is>
      </c>
      <c r="I41" s="24" t="inlineStr">
        <is>
          <t>Enforce AWS Secrets Manager usage for all service credentials and remove any plain-text or insecure storage of credentials from configuration files, environment variables, deployment scripts, and service-level settings. This will improve credential security, strengthen governance, reduce secret exposure risk, and align services with secure configuration management practices.</t>
        </is>
      </c>
      <c r="J41" s="23" t="inlineStr">
        <is>
          <t>MJ</t>
        </is>
      </c>
      <c r="K41" s="23" t="inlineStr">
        <is>
          <t>Platform</t>
        </is>
      </c>
      <c r="L41" s="23" t="inlineStr">
        <is>
          <t>Critical</t>
        </is>
      </c>
      <c r="M41" s="23" t="inlineStr">
        <is>
          <t>In Progress</t>
        </is>
      </c>
      <c r="N41" s="25" t="n">
        <v>46209</v>
      </c>
      <c r="O41" s="25" t="n">
        <v>46235</v>
      </c>
      <c r="P41" s="23">
        <f>IF(OR(N41="",O41=""),"",O41-N41+1)</f>
        <v/>
      </c>
      <c r="Q41" s="26" t="n">
        <v>0.42</v>
      </c>
      <c r="R41" s="23" t="n">
        <v>160</v>
      </c>
      <c r="S41" s="23" t="n">
        <v>58.7</v>
      </c>
      <c r="T41" s="23">
        <f>S41-R41</f>
        <v/>
      </c>
      <c r="U41" s="27" t="n">
        <v>17600</v>
      </c>
      <c r="V41" s="23" t="inlineStr">
        <is>
          <t>T-036</t>
        </is>
      </c>
      <c r="W41" s="23" t="inlineStr"/>
      <c r="X41" s="23" t="inlineStr">
        <is>
          <t>R-01</t>
        </is>
      </c>
      <c r="Y41" s="24" t="inlineStr">
        <is>
          <t>Continue sprint commitments; demos Friday</t>
        </is>
      </c>
      <c r="Z41" s="23" t="inlineStr">
        <is>
          <t>R26.Q1</t>
        </is>
      </c>
      <c r="AA41" s="23" t="inlineStr">
        <is>
          <t>Include=Yes | Source=FY27 V1 | Timeline=Q1 FY27</t>
        </is>
      </c>
      <c r="AB41" s="23" t="inlineStr">
        <is>
          <t>Yes</t>
        </is>
      </c>
    </row>
    <row r="42">
      <c r="A42" s="23" t="inlineStr">
        <is>
          <t>T-038</t>
        </is>
      </c>
      <c r="B42" s="23" t="inlineStr">
        <is>
          <t>CS 2.0 Core — Tech Maintenance</t>
        </is>
      </c>
      <c r="C42" s="23" t="inlineStr">
        <is>
          <t>CS 2.0 Core</t>
        </is>
      </c>
      <c r="D42" s="23" t="inlineStr">
        <is>
          <t>Tech Maintenance</t>
        </is>
      </c>
      <c r="E42" s="23" t="inlineStr">
        <is>
          <t>Sprint 04</t>
        </is>
      </c>
      <c r="F42" s="23" t="inlineStr">
        <is>
          <t>Hypercare</t>
        </is>
      </c>
      <c r="G42" s="23" t="inlineStr">
        <is>
          <t>Reliability</t>
        </is>
      </c>
      <c r="H42" s="24" t="inlineStr">
        <is>
          <t>SAST Vulnerability Fixes Based on GitLab Security Findings</t>
        </is>
      </c>
      <c r="I42" s="24" t="inlineStr">
        <is>
          <t>SAST Fixes - As per the GitLab analysis results - Review and fix SAST vulnerabilities reported through GitLab security scans for the existing codebase. Although new vulnerabilities are controlled through MR-level gates, additional findings may arise from updated scan rules, new CVEs, dependency changes, or existing code risks. This includes validation, prioritization, remediation, retesting, and closure tracking in GitLab.</t>
        </is>
      </c>
      <c r="J42" s="23" t="inlineStr">
        <is>
          <t>Jawahar</t>
        </is>
      </c>
      <c r="K42" s="23" t="inlineStr">
        <is>
          <t>Platform</t>
        </is>
      </c>
      <c r="L42" s="23" t="inlineStr">
        <is>
          <t>Critical</t>
        </is>
      </c>
      <c r="M42" s="23" t="inlineStr">
        <is>
          <t>In Progress</t>
        </is>
      </c>
      <c r="N42" s="25" t="n">
        <v>46233</v>
      </c>
      <c r="O42" s="25" t="n">
        <v>46252</v>
      </c>
      <c r="P42" s="23">
        <f>IF(OR(N42="",O42=""),"",O42-N42+1)</f>
        <v/>
      </c>
      <c r="Q42" s="26" t="n">
        <v>0.29</v>
      </c>
      <c r="R42" s="23" t="n">
        <v>120</v>
      </c>
      <c r="S42" s="23" t="n">
        <v>35.9</v>
      </c>
      <c r="T42" s="23">
        <f>S42-R42</f>
        <v/>
      </c>
      <c r="U42" s="27" t="n">
        <v>13200</v>
      </c>
      <c r="V42" s="23" t="inlineStr">
        <is>
          <t>T-037</t>
        </is>
      </c>
      <c r="W42" s="23" t="inlineStr"/>
      <c r="X42" s="23" t="inlineStr"/>
      <c r="Y42" s="24" t="inlineStr">
        <is>
          <t>Continue sprint commitments; demos Friday</t>
        </is>
      </c>
      <c r="Z42" s="23" t="inlineStr">
        <is>
          <t>R26.Q1</t>
        </is>
      </c>
      <c r="AA42" s="23" t="inlineStr">
        <is>
          <t>Include=Yes | Source=FY27 V1 | Timeline=July</t>
        </is>
      </c>
      <c r="AB42" s="23" t="inlineStr">
        <is>
          <t>Yes</t>
        </is>
      </c>
    </row>
    <row r="43">
      <c r="A43" s="23" t="inlineStr">
        <is>
          <t>T-039</t>
        </is>
      </c>
      <c r="B43" s="23" t="inlineStr">
        <is>
          <t>CS 2.0 Core — Tech Maintenance</t>
        </is>
      </c>
      <c r="C43" s="23" t="inlineStr">
        <is>
          <t>CS 2.0 Core</t>
        </is>
      </c>
      <c r="D43" s="23" t="inlineStr">
        <is>
          <t>Tech Maintenance</t>
        </is>
      </c>
      <c r="E43" s="23" t="inlineStr">
        <is>
          <t>Sprint 05</t>
        </is>
      </c>
      <c r="F43" s="23" t="inlineStr">
        <is>
          <t>Hypercare</t>
        </is>
      </c>
      <c r="G43" s="23" t="inlineStr">
        <is>
          <t>Reliability</t>
        </is>
      </c>
      <c r="H43" s="24" t="inlineStr">
        <is>
          <t>Kubernetes Resource Optimization</t>
        </is>
      </c>
      <c r="I43" s="24" t="inlineStr">
        <is>
          <t>Review EKS resource requests/limits, autoscaling, pod disruption budgets, node utilization, and cost/performance tuning.</t>
        </is>
      </c>
      <c r="J43" s="23" t="inlineStr">
        <is>
          <t>Jawahar</t>
        </is>
      </c>
      <c r="K43" s="23" t="inlineStr">
        <is>
          <t>Platform</t>
        </is>
      </c>
      <c r="L43" s="23" t="inlineStr">
        <is>
          <t>Critical</t>
        </is>
      </c>
      <c r="M43" s="23" t="inlineStr">
        <is>
          <t>In Progress</t>
        </is>
      </c>
      <c r="N43" s="25" t="n">
        <v>46265</v>
      </c>
      <c r="O43" s="25" t="n">
        <v>46284</v>
      </c>
      <c r="P43" s="23">
        <f>IF(OR(N43="",O43=""),"",O43-N43+1)</f>
        <v/>
      </c>
      <c r="Q43" s="26" t="n">
        <v>0.34</v>
      </c>
      <c r="R43" s="23" t="n">
        <v>120</v>
      </c>
      <c r="S43" s="23" t="n">
        <v>39.2</v>
      </c>
      <c r="T43" s="23">
        <f>S43-R43</f>
        <v/>
      </c>
      <c r="U43" s="27" t="n">
        <v>13200</v>
      </c>
      <c r="V43" s="23" t="inlineStr">
        <is>
          <t>T-038</t>
        </is>
      </c>
      <c r="W43" s="23" t="inlineStr"/>
      <c r="X43" s="23" t="inlineStr">
        <is>
          <t>R-18</t>
        </is>
      </c>
      <c r="Y43" s="24" t="inlineStr">
        <is>
          <t>Continue sprint commitments; demos Friday</t>
        </is>
      </c>
      <c r="Z43" s="23" t="inlineStr">
        <is>
          <t>R26.Q1</t>
        </is>
      </c>
      <c r="AA43" s="23" t="inlineStr">
        <is>
          <t>Include=Yes | Source=FY27 V1 | Timeline=Q1 FY27</t>
        </is>
      </c>
      <c r="AB43" s="23" t="inlineStr">
        <is>
          <t>Yes</t>
        </is>
      </c>
    </row>
    <row r="44">
      <c r="A44" s="23" t="inlineStr">
        <is>
          <t>T-040</t>
        </is>
      </c>
      <c r="B44" s="23" t="inlineStr">
        <is>
          <t>CS 2.0 Core — Tech Maintenance</t>
        </is>
      </c>
      <c r="C44" s="23" t="inlineStr">
        <is>
          <t>CS 2.0 Core</t>
        </is>
      </c>
      <c r="D44" s="23" t="inlineStr">
        <is>
          <t>Tech Maintenance</t>
        </is>
      </c>
      <c r="E44" s="23" t="inlineStr">
        <is>
          <t>Sprint 06</t>
        </is>
      </c>
      <c r="F44" s="23" t="inlineStr">
        <is>
          <t>Hypercare</t>
        </is>
      </c>
      <c r="G44" s="23" t="inlineStr">
        <is>
          <t>Reliability</t>
        </is>
      </c>
      <c r="H44" s="24" t="inlineStr">
        <is>
          <t>Infrastructure and Application Monitoring for EKS Platform</t>
        </is>
      </c>
      <c r="I44" s="24" t="inlineStr">
        <is>
          <t>Infrastructure and Application Monitoring - Monitor the AWS EKS-based infrastructure and application ecosystem using Grafana and related monitoring tools. This includes tracking cluster health, service availability, resource usage, application performance, API response times, worker status, error trends, and alerts, along with coordinating corrective actions to maintain platform stability and availability.</t>
        </is>
      </c>
      <c r="J44" s="23" t="inlineStr">
        <is>
          <t>Jawahar</t>
        </is>
      </c>
      <c r="K44" s="23" t="inlineStr">
        <is>
          <t>Platform</t>
        </is>
      </c>
      <c r="L44" s="23" t="inlineStr">
        <is>
          <t>Critical</t>
        </is>
      </c>
      <c r="M44" s="23" t="inlineStr">
        <is>
          <t>In Progress</t>
        </is>
      </c>
      <c r="N44" s="25" t="n">
        <v>46239</v>
      </c>
      <c r="O44" s="25" t="n">
        <v>46254</v>
      </c>
      <c r="P44" s="23">
        <f>IF(OR(N44="",O44=""),"",O44-N44+1)</f>
        <v/>
      </c>
      <c r="Q44" s="26" t="n">
        <v>0.3</v>
      </c>
      <c r="R44" s="23" t="n">
        <v>96</v>
      </c>
      <c r="S44" s="23" t="n">
        <v>25.9</v>
      </c>
      <c r="T44" s="23">
        <f>S44-R44</f>
        <v/>
      </c>
      <c r="U44" s="27" t="n">
        <v>10560</v>
      </c>
      <c r="V44" s="23" t="inlineStr">
        <is>
          <t>T-039</t>
        </is>
      </c>
      <c r="W44" s="23" t="inlineStr"/>
      <c r="X44" s="23" t="inlineStr"/>
      <c r="Y44" s="24" t="inlineStr">
        <is>
          <t>Continue sprint commitments; demos Friday</t>
        </is>
      </c>
      <c r="Z44" s="23" t="inlineStr">
        <is>
          <t>R26.Q1</t>
        </is>
      </c>
      <c r="AA44" s="23" t="inlineStr">
        <is>
          <t>Include=Yes | Source=FY27 V1 | Timeline=Q1 FY27</t>
        </is>
      </c>
      <c r="AB44" s="23" t="inlineStr">
        <is>
          <t>Yes</t>
        </is>
      </c>
    </row>
    <row r="45">
      <c r="A45" s="23" t="inlineStr">
        <is>
          <t>T-041</t>
        </is>
      </c>
      <c r="B45" s="23" t="inlineStr">
        <is>
          <t>CS 2.0 Core — Tech Maintenance</t>
        </is>
      </c>
      <c r="C45" s="23" t="inlineStr">
        <is>
          <t>CS 2.0 Core</t>
        </is>
      </c>
      <c r="D45" s="23" t="inlineStr">
        <is>
          <t>Tech Maintenance</t>
        </is>
      </c>
      <c r="E45" s="23" t="inlineStr">
        <is>
          <t>Sprint 01</t>
        </is>
      </c>
      <c r="F45" s="23" t="inlineStr">
        <is>
          <t>Hypercare</t>
        </is>
      </c>
      <c r="G45" s="23" t="inlineStr">
        <is>
          <t>Reliability</t>
        </is>
      </c>
      <c r="H45" s="24" t="inlineStr">
        <is>
          <t>Application Issue Fixes and Remediation</t>
        </is>
      </c>
      <c r="I45" s="24" t="inlineStr">
        <is>
          <t>Issue Fixes - Analyse and fix application issues reported by delivery, internal, QA, or support teams outside planned feature implementation. This includes root cause analysis, required code/configuration fixes, validation, retesting support, and release through the planned delivery process.</t>
        </is>
      </c>
      <c r="J45" s="23" t="inlineStr">
        <is>
          <t>Jawahar</t>
        </is>
      </c>
      <c r="K45" s="23" t="inlineStr">
        <is>
          <t>Platform</t>
        </is>
      </c>
      <c r="L45" s="23" t="inlineStr">
        <is>
          <t>Critical</t>
        </is>
      </c>
      <c r="M45" s="23" t="inlineStr">
        <is>
          <t>In Progress</t>
        </is>
      </c>
      <c r="N45" s="25" t="n">
        <v>46221</v>
      </c>
      <c r="O45" s="25" t="n">
        <v>46290</v>
      </c>
      <c r="P45" s="23">
        <f>IF(OR(N45="",O45=""),"",O45-N45+1)</f>
        <v/>
      </c>
      <c r="Q45" s="26" t="n">
        <v>0.41</v>
      </c>
      <c r="R45" s="23" t="n">
        <v>420</v>
      </c>
      <c r="S45" s="23" t="n">
        <v>197.1</v>
      </c>
      <c r="T45" s="23">
        <f>S45-R45</f>
        <v/>
      </c>
      <c r="U45" s="27" t="n">
        <v>46200</v>
      </c>
      <c r="V45" s="23" t="inlineStr">
        <is>
          <t>T-040</t>
        </is>
      </c>
      <c r="W45" s="23" t="inlineStr"/>
      <c r="X45" s="23" t="inlineStr"/>
      <c r="Y45" s="24" t="inlineStr">
        <is>
          <t>Continue sprint commitments; demos Friday</t>
        </is>
      </c>
      <c r="Z45" s="23" t="inlineStr">
        <is>
          <t>R26.Q1</t>
        </is>
      </c>
      <c r="AA45" s="23" t="inlineStr">
        <is>
          <t>Include=Yes | Source=FY27 V1 | Timeline=Q1 FY27</t>
        </is>
      </c>
      <c r="AB45" s="23" t="inlineStr">
        <is>
          <t>Yes</t>
        </is>
      </c>
    </row>
    <row r="46">
      <c r="A46" s="23" t="inlineStr">
        <is>
          <t>T-042</t>
        </is>
      </c>
      <c r="B46" s="23" t="inlineStr">
        <is>
          <t>CS 2.0 Core — Tech Maintenance</t>
        </is>
      </c>
      <c r="C46" s="23" t="inlineStr">
        <is>
          <t>CS 2.0 Core</t>
        </is>
      </c>
      <c r="D46" s="23" t="inlineStr">
        <is>
          <t>Tech Maintenance</t>
        </is>
      </c>
      <c r="E46" s="23" t="inlineStr">
        <is>
          <t>Sprint 02</t>
        </is>
      </c>
      <c r="F46" s="23" t="inlineStr">
        <is>
          <t>Hypercare</t>
        </is>
      </c>
      <c r="G46" s="23" t="inlineStr">
        <is>
          <t>Reliability</t>
        </is>
      </c>
      <c r="H46" s="24" t="inlineStr">
        <is>
          <t>GitLab DAST Enablement for Web Application and Admin Console</t>
        </is>
      </c>
      <c r="I46" s="24" t="inlineStr">
        <is>
          <t>Enable DAST for all the deployable services - Enable GitLab DAST for the Web Application and Admin Console to perform runtime vulnerability scanning as part of the GitLab DevSecOps pipeline. This will help identify security issues in deployed application flows and improve release-level security validation</t>
        </is>
      </c>
      <c r="J46" s="23" t="inlineStr">
        <is>
          <t>Jawahar</t>
        </is>
      </c>
      <c r="K46" s="23" t="inlineStr">
        <is>
          <t>Platform</t>
        </is>
      </c>
      <c r="L46" s="23" t="inlineStr">
        <is>
          <t>High</t>
        </is>
      </c>
      <c r="M46" s="23" t="inlineStr">
        <is>
          <t>Not Started</t>
        </is>
      </c>
      <c r="N46" s="25" t="n">
        <v>46242</v>
      </c>
      <c r="O46" s="25" t="n">
        <v>46248</v>
      </c>
      <c r="P46" s="23">
        <f>IF(OR(N46="",O46=""),"",O46-N46+1)</f>
        <v/>
      </c>
      <c r="Q46" s="26" t="n">
        <v>0</v>
      </c>
      <c r="R46" s="23" t="n">
        <v>40</v>
      </c>
      <c r="S46" s="23" t="n">
        <v>0</v>
      </c>
      <c r="T46" s="23">
        <f>S46-R46</f>
        <v/>
      </c>
      <c r="U46" s="27" t="n">
        <v>4400</v>
      </c>
      <c r="V46" s="23" t="inlineStr">
        <is>
          <t>T-041</t>
        </is>
      </c>
      <c r="W46" s="23" t="inlineStr"/>
      <c r="X46" s="23" t="inlineStr"/>
      <c r="Y46" s="24" t="inlineStr">
        <is>
          <t>Confirm kickoff &amp; acceptance criteria</t>
        </is>
      </c>
      <c r="Z46" s="23" t="inlineStr">
        <is>
          <t>R26.Q1</t>
        </is>
      </c>
      <c r="AA46" s="23" t="inlineStr">
        <is>
          <t>Include=Yes | Source=FY27 V1 | Timeline=Q1 FY27</t>
        </is>
      </c>
      <c r="AB46" s="23" t="inlineStr">
        <is>
          <t>No</t>
        </is>
      </c>
    </row>
    <row r="47">
      <c r="A47" s="23" t="inlineStr">
        <is>
          <t>T-043</t>
        </is>
      </c>
      <c r="B47" s="23" t="inlineStr">
        <is>
          <t>CS 2.0 Core — Tech Maintenance</t>
        </is>
      </c>
      <c r="C47" s="23" t="inlineStr">
        <is>
          <t>CS 2.0 Core</t>
        </is>
      </c>
      <c r="D47" s="23" t="inlineStr">
        <is>
          <t>Tech Maintenance</t>
        </is>
      </c>
      <c r="E47" s="23" t="inlineStr">
        <is>
          <t>Sprint 03</t>
        </is>
      </c>
      <c r="F47" s="23" t="inlineStr">
        <is>
          <t>Hypercare</t>
        </is>
      </c>
      <c r="G47" s="23" t="inlineStr">
        <is>
          <t>Reliability</t>
        </is>
      </c>
      <c r="H47" s="24" t="inlineStr">
        <is>
          <t>Release Management, Regression Testing and Test Automation</t>
        </is>
      </c>
      <c r="I47" s="24" t="inlineStr">
        <is>
          <t>Release Management Activities - Regression Testing &amp; Automation - Manage release activities, coordinate deployments, perform regression testing, maintain automation scripts, validate fixes, support release sign-off, and monitor post-release stability. This includes improving regression automation coverage to reduce manual effort and improve release quality.
Note: Reduced this effort considering the release maangement will also go to the respective features, for the delivery customization this will be part of the delivery budget</t>
        </is>
      </c>
      <c r="J47" s="23" t="inlineStr">
        <is>
          <t>Kadarkarai</t>
        </is>
      </c>
      <c r="K47" s="23" t="inlineStr">
        <is>
          <t>Platform</t>
        </is>
      </c>
      <c r="L47" s="23" t="inlineStr">
        <is>
          <t>Critical</t>
        </is>
      </c>
      <c r="M47" s="23" t="inlineStr">
        <is>
          <t>Not Started</t>
        </is>
      </c>
      <c r="N47" s="25" t="n">
        <v>46269</v>
      </c>
      <c r="O47" s="25" t="n">
        <v>46293</v>
      </c>
      <c r="P47" s="23">
        <f>IF(OR(N47="",O47=""),"",O47-N47+1)</f>
        <v/>
      </c>
      <c r="Q47" s="26" t="n">
        <v>0</v>
      </c>
      <c r="R47" s="23" t="n">
        <v>150</v>
      </c>
      <c r="S47" s="23" t="n">
        <v>0</v>
      </c>
      <c r="T47" s="23">
        <f>S47-R47</f>
        <v/>
      </c>
      <c r="U47" s="27" t="n">
        <v>16500</v>
      </c>
      <c r="V47" s="23" t="inlineStr">
        <is>
          <t>T-042</t>
        </is>
      </c>
      <c r="W47" s="23" t="inlineStr"/>
      <c r="X47" s="23" t="inlineStr">
        <is>
          <t>R-03</t>
        </is>
      </c>
      <c r="Y47" s="24" t="inlineStr">
        <is>
          <t>Confirm kickoff &amp; acceptance criteria</t>
        </is>
      </c>
      <c r="Z47" s="23" t="inlineStr">
        <is>
          <t>R26.Q1</t>
        </is>
      </c>
      <c r="AA47" s="23" t="inlineStr">
        <is>
          <t>Include=Yes | Source=FY27 V1 | Timeline=Q1 FY27</t>
        </is>
      </c>
      <c r="AB47" s="23" t="inlineStr">
        <is>
          <t>No</t>
        </is>
      </c>
    </row>
    <row r="48">
      <c r="A48" s="23" t="inlineStr">
        <is>
          <t>T-044</t>
        </is>
      </c>
      <c r="B48" s="23" t="inlineStr">
        <is>
          <t>CS 2.0 Core — Tech Maintenance</t>
        </is>
      </c>
      <c r="C48" s="23" t="inlineStr">
        <is>
          <t>CS 2.0 Core</t>
        </is>
      </c>
      <c r="D48" s="23" t="inlineStr">
        <is>
          <t>Tech Maintenance</t>
        </is>
      </c>
      <c r="E48" s="23" t="inlineStr">
        <is>
          <t>Sprint 04</t>
        </is>
      </c>
      <c r="F48" s="23" t="inlineStr">
        <is>
          <t>Hypercare</t>
        </is>
      </c>
      <c r="G48" s="23" t="inlineStr">
        <is>
          <t>Reliability</t>
        </is>
      </c>
      <c r="H48" s="24" t="inlineStr">
        <is>
          <t>Performance Testing, Tuning and Test Suite Management</t>
        </is>
      </c>
      <c r="I48" s="24" t="inlineStr">
        <is>
          <t>Perform performance testing as per the planned test schedule, followed by performance fine-tuning, regression testing, test suite maintenance, fixture updates, and automation improvements. This includes adding or removing test fixtures, maintaining test scripts, validating performance improvements, and ensuring the test suite remains aligned with application changes.
Note: Reduced this effort considering the release maangement will also go to the respective features</t>
        </is>
      </c>
      <c r="J48" s="23" t="inlineStr">
        <is>
          <t>Kadarkarai</t>
        </is>
      </c>
      <c r="K48" s="23" t="inlineStr">
        <is>
          <t>Platform</t>
        </is>
      </c>
      <c r="L48" s="23" t="inlineStr">
        <is>
          <t>High</t>
        </is>
      </c>
      <c r="M48" s="23" t="inlineStr">
        <is>
          <t>Not Started</t>
        </is>
      </c>
      <c r="N48" s="25" t="n">
        <v>46223</v>
      </c>
      <c r="O48" s="25" t="n">
        <v>46247</v>
      </c>
      <c r="P48" s="23">
        <f>IF(OR(N48="",O48=""),"",O48-N48+1)</f>
        <v/>
      </c>
      <c r="Q48" s="26" t="n">
        <v>0</v>
      </c>
      <c r="R48" s="23" t="n">
        <v>150</v>
      </c>
      <c r="S48" s="23" t="n">
        <v>0</v>
      </c>
      <c r="T48" s="23">
        <f>S48-R48</f>
        <v/>
      </c>
      <c r="U48" s="27" t="n">
        <v>16500</v>
      </c>
      <c r="V48" s="23" t="inlineStr">
        <is>
          <t>T-043</t>
        </is>
      </c>
      <c r="W48" s="23" t="inlineStr"/>
      <c r="X48" s="23" t="inlineStr"/>
      <c r="Y48" s="24" t="inlineStr">
        <is>
          <t>Confirm kickoff &amp; acceptance criteria</t>
        </is>
      </c>
      <c r="Z48" s="23" t="inlineStr">
        <is>
          <t>R26.Q1</t>
        </is>
      </c>
      <c r="AA48" s="23" t="inlineStr">
        <is>
          <t>Include=Yes | Source=FY27 V1 | Timeline=Q1 FY27</t>
        </is>
      </c>
      <c r="AB48" s="23" t="inlineStr">
        <is>
          <t>No</t>
        </is>
      </c>
    </row>
    <row r="49">
      <c r="A49" s="23" t="inlineStr">
        <is>
          <t>T-045</t>
        </is>
      </c>
      <c r="B49" s="23" t="inlineStr">
        <is>
          <t>CS 2.0 Core — Tech Maintenance</t>
        </is>
      </c>
      <c r="C49" s="23" t="inlineStr">
        <is>
          <t>CS 2.0 Core</t>
        </is>
      </c>
      <c r="D49" s="23" t="inlineStr">
        <is>
          <t>Tech Maintenance</t>
        </is>
      </c>
      <c r="E49" s="23" t="inlineStr">
        <is>
          <t>Sprint 05</t>
        </is>
      </c>
      <c r="F49" s="23" t="inlineStr">
        <is>
          <t>Hypercare</t>
        </is>
      </c>
      <c r="G49" s="23" t="inlineStr">
        <is>
          <t>Reliability</t>
        </is>
      </c>
      <c r="H49" s="24" t="inlineStr">
        <is>
          <t>DevOps Management, Improvements and Pipeline Monitoring</t>
        </is>
      </c>
      <c r="I49" s="24" t="inlineStr">
        <is>
          <t>Devops Management/Improvement/Monitoring - Manage and improve the existing DevOps setup by enhancing CI/CD pipelines, adding new deployment workflows, optimizing automation, monitoring pipeline health, troubleshooting deployment issues, and supporting DevOps changes required for new services, environments, and platform upgrades.</t>
        </is>
      </c>
      <c r="J49" s="23" t="inlineStr">
        <is>
          <t>Jawahar</t>
        </is>
      </c>
      <c r="K49" s="23" t="inlineStr">
        <is>
          <t>Platform</t>
        </is>
      </c>
      <c r="L49" s="23" t="inlineStr">
        <is>
          <t>Critical</t>
        </is>
      </c>
      <c r="M49" s="23" t="inlineStr">
        <is>
          <t>Not Started</t>
        </is>
      </c>
      <c r="N49" s="25" t="n">
        <v>46246</v>
      </c>
      <c r="O49" s="25" t="n">
        <v>46251</v>
      </c>
      <c r="P49" s="23">
        <f>IF(OR(N49="",O49=""),"",O49-N49+1)</f>
        <v/>
      </c>
      <c r="Q49" s="26" t="n">
        <v>0</v>
      </c>
      <c r="R49" s="23" t="n">
        <v>36</v>
      </c>
      <c r="S49" s="23" t="n">
        <v>0</v>
      </c>
      <c r="T49" s="23">
        <f>S49-R49</f>
        <v/>
      </c>
      <c r="U49" s="27" t="n">
        <v>3960</v>
      </c>
      <c r="V49" s="23" t="inlineStr">
        <is>
          <t>T-044</t>
        </is>
      </c>
      <c r="W49" s="23" t="inlineStr"/>
      <c r="X49" s="23" t="inlineStr"/>
      <c r="Y49" s="24" t="inlineStr">
        <is>
          <t>Confirm kickoff &amp; acceptance criteria</t>
        </is>
      </c>
      <c r="Z49" s="23" t="inlineStr">
        <is>
          <t>R26.Q1</t>
        </is>
      </c>
      <c r="AA49" s="23" t="inlineStr">
        <is>
          <t>Include=Yes | Source=FY27 V1 | Timeline=Q1 FY27</t>
        </is>
      </c>
      <c r="AB49" s="23" t="inlineStr">
        <is>
          <t>No</t>
        </is>
      </c>
    </row>
    <row r="50">
      <c r="A50" s="23" t="inlineStr">
        <is>
          <t>T-046</t>
        </is>
      </c>
      <c r="B50" s="23" t="inlineStr">
        <is>
          <t>CS 2.0 Core — Tech Maintenance</t>
        </is>
      </c>
      <c r="C50" s="23" t="inlineStr">
        <is>
          <t>CS 2.0 Core</t>
        </is>
      </c>
      <c r="D50" s="23" t="inlineStr">
        <is>
          <t>Tech Maintenance</t>
        </is>
      </c>
      <c r="E50" s="23" t="inlineStr">
        <is>
          <t>Sprint 06</t>
        </is>
      </c>
      <c r="F50" s="23" t="inlineStr">
        <is>
          <t>Hypercare</t>
        </is>
      </c>
      <c r="G50" s="23" t="inlineStr">
        <is>
          <t>Reliability</t>
        </is>
      </c>
      <c r="H50" s="24" t="inlineStr">
        <is>
          <t>Release Based Feature Documentation</t>
        </is>
      </c>
      <c r="I50" s="24" t="inlineStr">
        <is>
          <t>Create release based feature documentation covering new features, functional changes, configuration steps, usage flows, dependencies, screenshots, and known limitations. This will support delivery, QA, support, product, and implementation teams in understanding and adopting each release</t>
        </is>
      </c>
      <c r="J50" s="23" t="inlineStr">
        <is>
          <t>Jawahar</t>
        </is>
      </c>
      <c r="K50" s="23" t="inlineStr">
        <is>
          <t>Platform</t>
        </is>
      </c>
      <c r="L50" s="23" t="inlineStr">
        <is>
          <t>Critical</t>
        </is>
      </c>
      <c r="M50" s="23" t="inlineStr">
        <is>
          <t>Not Started</t>
        </is>
      </c>
      <c r="N50" s="25" t="n">
        <v>46211</v>
      </c>
      <c r="O50" s="25" t="n">
        <v>46216</v>
      </c>
      <c r="P50" s="23">
        <f>IF(OR(N50="",O50=""),"",O50-N50+1)</f>
        <v/>
      </c>
      <c r="Q50" s="26" t="n">
        <v>0</v>
      </c>
      <c r="R50" s="23" t="n">
        <v>36</v>
      </c>
      <c r="S50" s="23" t="n">
        <v>0</v>
      </c>
      <c r="T50" s="23">
        <f>S50-R50</f>
        <v/>
      </c>
      <c r="U50" s="27" t="n">
        <v>3960</v>
      </c>
      <c r="V50" s="23" t="inlineStr">
        <is>
          <t>T-045</t>
        </is>
      </c>
      <c r="W50" s="23" t="inlineStr"/>
      <c r="X50" s="23" t="inlineStr"/>
      <c r="Y50" s="24" t="inlineStr">
        <is>
          <t>Confirm kickoff &amp; acceptance criteria</t>
        </is>
      </c>
      <c r="Z50" s="23" t="inlineStr">
        <is>
          <t>R26.Q1</t>
        </is>
      </c>
      <c r="AA50" s="23" t="inlineStr">
        <is>
          <t>Include=Yes | Source=FY27 V1 | Timeline=Q1 FY27</t>
        </is>
      </c>
      <c r="AB50" s="23" t="inlineStr">
        <is>
          <t>No</t>
        </is>
      </c>
    </row>
    <row r="51">
      <c r="A51" s="23" t="inlineStr">
        <is>
          <t>T-047</t>
        </is>
      </c>
      <c r="B51" s="23" t="inlineStr">
        <is>
          <t>CS 2.0 Core — Tech Maintenance</t>
        </is>
      </c>
      <c r="C51" s="23" t="inlineStr">
        <is>
          <t>CS 2.0 Core</t>
        </is>
      </c>
      <c r="D51" s="23" t="inlineStr">
        <is>
          <t>Tech Maintenance</t>
        </is>
      </c>
      <c r="E51" s="23" t="inlineStr">
        <is>
          <t>Sprint 01</t>
        </is>
      </c>
      <c r="F51" s="23" t="inlineStr">
        <is>
          <t>Hypercare</t>
        </is>
      </c>
      <c r="G51" s="23" t="inlineStr">
        <is>
          <t>Reliability</t>
        </is>
      </c>
      <c r="H51" s="24" t="inlineStr">
        <is>
          <t>Monthly Library Upgrade Assessment and Remediation Across Services</t>
        </is>
      </c>
      <c r="I51" s="24" t="inlineStr">
        <is>
          <t>Perform monthly scheduled library and package upgrade assessment across 20+ services, including web apps, Node.js services, workers, and .NET services. This includes identifying available upgrades, assessing security and compatibility impact, handling breaking changes, applying required fixes, validating builds, and supporting regression/release readiness.</t>
        </is>
      </c>
      <c r="J51" s="23" t="inlineStr">
        <is>
          <t>Jawahar</t>
        </is>
      </c>
      <c r="K51" s="23" t="inlineStr">
        <is>
          <t>Platform</t>
        </is>
      </c>
      <c r="L51" s="23" t="inlineStr">
        <is>
          <t>Critical</t>
        </is>
      </c>
      <c r="M51" s="23" t="inlineStr">
        <is>
          <t>In Progress</t>
        </is>
      </c>
      <c r="N51" s="25" t="n">
        <v>46219</v>
      </c>
      <c r="O51" s="25" t="n">
        <v>46223</v>
      </c>
      <c r="P51" s="23">
        <f>IF(OR(N51="",O51=""),"",O51-N51+1)</f>
        <v/>
      </c>
      <c r="Q51" s="26" t="n">
        <v>0.34</v>
      </c>
      <c r="R51" s="23" t="n">
        <v>30</v>
      </c>
      <c r="S51" s="23" t="n">
        <v>10.5</v>
      </c>
      <c r="T51" s="23">
        <f>S51-R51</f>
        <v/>
      </c>
      <c r="U51" s="27" t="n">
        <v>3300</v>
      </c>
      <c r="V51" s="23" t="inlineStr">
        <is>
          <t>T-046</t>
        </is>
      </c>
      <c r="W51" s="23" t="inlineStr"/>
      <c r="X51" s="23" t="inlineStr"/>
      <c r="Y51" s="24" t="inlineStr">
        <is>
          <t>Continue sprint commitments; demos Friday</t>
        </is>
      </c>
      <c r="Z51" s="23" t="inlineStr">
        <is>
          <t>R26.Q1</t>
        </is>
      </c>
      <c r="AA51" s="23" t="inlineStr">
        <is>
          <t>Include=Yes | Source=FY27 V1 | Timeline=Q1 FY27</t>
        </is>
      </c>
      <c r="AB51" s="23" t="inlineStr">
        <is>
          <t>Yes</t>
        </is>
      </c>
    </row>
    <row r="52">
      <c r="A52" s="23" t="inlineStr">
        <is>
          <t>T-048</t>
        </is>
      </c>
      <c r="B52" s="23" t="inlineStr">
        <is>
          <t>CS 2.0 Core — Tech Maintenance</t>
        </is>
      </c>
      <c r="C52" s="23" t="inlineStr">
        <is>
          <t>CS 2.0 Core</t>
        </is>
      </c>
      <c r="D52" s="23" t="inlineStr">
        <is>
          <t>Tech Maintenance</t>
        </is>
      </c>
      <c r="E52" s="23" t="inlineStr">
        <is>
          <t>Sprint 02</t>
        </is>
      </c>
      <c r="F52" s="23" t="inlineStr">
        <is>
          <t>Hypercare</t>
        </is>
      </c>
      <c r="G52" s="23" t="inlineStr">
        <is>
          <t>Reliability</t>
        </is>
      </c>
      <c r="H52" s="24" t="inlineStr">
        <is>
          <t>Cloud Usage Chargeback Model, Monthly Tenant-Level Allocation</t>
        </is>
      </c>
      <c r="I52" s="24" t="inlineStr">
        <is>
          <t>Cloud Usage Charge back model (Monthly) - Prepare monthly tenant-level cloud usage chargeback by collecting cloud consumption data, applying agreed allocation rules, validating usage/cost anomalies, and publishing the monthly chargeback summary for each tenant.</t>
        </is>
      </c>
      <c r="J52" s="23" t="inlineStr">
        <is>
          <t>Jawahar</t>
        </is>
      </c>
      <c r="K52" s="23" t="inlineStr">
        <is>
          <t>Platform</t>
        </is>
      </c>
      <c r="L52" s="23" t="inlineStr">
        <is>
          <t>Critical</t>
        </is>
      </c>
      <c r="M52" s="23" t="inlineStr">
        <is>
          <t>In Progress</t>
        </is>
      </c>
      <c r="N52" s="25" t="n">
        <v>46214</v>
      </c>
      <c r="O52" s="25" t="n">
        <v>46218</v>
      </c>
      <c r="P52" s="23">
        <f>IF(OR(N52="",O52=""),"",O52-N52+1)</f>
        <v/>
      </c>
      <c r="Q52" s="26" t="n">
        <v>0.25</v>
      </c>
      <c r="R52" s="23" t="n">
        <v>12</v>
      </c>
      <c r="S52" s="23" t="n">
        <v>2.8</v>
      </c>
      <c r="T52" s="23">
        <f>S52-R52</f>
        <v/>
      </c>
      <c r="U52" s="27" t="n">
        <v>1320</v>
      </c>
      <c r="V52" s="23" t="inlineStr">
        <is>
          <t>T-047</t>
        </is>
      </c>
      <c r="W52" s="23" t="inlineStr"/>
      <c r="X52" s="23" t="inlineStr">
        <is>
          <t>R-20</t>
        </is>
      </c>
      <c r="Y52" s="24" t="inlineStr">
        <is>
          <t>Continue sprint commitments; demos Friday</t>
        </is>
      </c>
      <c r="Z52" s="23" t="inlineStr">
        <is>
          <t>R26.Q1</t>
        </is>
      </c>
      <c r="AA52" s="23" t="inlineStr">
        <is>
          <t>Include=Yes | Source=FY27 V1 | Timeline=Q1 FY27</t>
        </is>
      </c>
      <c r="AB52" s="23" t="inlineStr">
        <is>
          <t>Yes</t>
        </is>
      </c>
    </row>
    <row r="53">
      <c r="A53" s="23" t="inlineStr">
        <is>
          <t>T-049</t>
        </is>
      </c>
      <c r="B53" s="23" t="inlineStr">
        <is>
          <t>CS 2.0 Core — Tech Maintenance</t>
        </is>
      </c>
      <c r="C53" s="23" t="inlineStr">
        <is>
          <t>CS 2.0 Core</t>
        </is>
      </c>
      <c r="D53" s="23" t="inlineStr">
        <is>
          <t>Tech Maintenance</t>
        </is>
      </c>
      <c r="E53" s="23" t="inlineStr">
        <is>
          <t>Sprint 07</t>
        </is>
      </c>
      <c r="F53" s="23" t="inlineStr">
        <is>
          <t>Hypercare</t>
        </is>
      </c>
      <c r="G53" s="23" t="inlineStr">
        <is>
          <t>Reliability</t>
        </is>
      </c>
      <c r="H53" s="24" t="inlineStr">
        <is>
          <t>Internal VAPT - Half-Yearly Penetration Testing and Fixes</t>
        </is>
      </c>
      <c r="I53" s="24" t="inlineStr">
        <is>
          <t>Perform half-yearly internal VAPT between yearly external VAPT cycles to proactively identify and fix security issues. This includes internal penetration testing, finding validation, severity-based prioritization, remediation, retesting support, and closure tracking.</t>
        </is>
      </c>
      <c r="J53" s="23" t="inlineStr">
        <is>
          <t>Jawahar</t>
        </is>
      </c>
      <c r="K53" s="23" t="inlineStr">
        <is>
          <t>Platform</t>
        </is>
      </c>
      <c r="L53" s="23" t="inlineStr">
        <is>
          <t>Critical</t>
        </is>
      </c>
      <c r="M53" s="23" t="inlineStr">
        <is>
          <t>Not Started</t>
        </is>
      </c>
      <c r="N53" s="25" t="n">
        <v>46312</v>
      </c>
      <c r="O53" s="25" t="n">
        <v>46328</v>
      </c>
      <c r="P53" s="23">
        <f>IF(OR(N53="",O53=""),"",O53-N53+1)</f>
        <v/>
      </c>
      <c r="Q53" s="26" t="n">
        <v>0</v>
      </c>
      <c r="R53" s="23" t="n">
        <v>100</v>
      </c>
      <c r="S53" s="23" t="n">
        <v>0</v>
      </c>
      <c r="T53" s="23">
        <f>S53-R53</f>
        <v/>
      </c>
      <c r="U53" s="27" t="n">
        <v>11000</v>
      </c>
      <c r="V53" s="23" t="inlineStr"/>
      <c r="W53" s="23" t="inlineStr"/>
      <c r="X53" s="23" t="inlineStr"/>
      <c r="Y53" s="24" t="inlineStr">
        <is>
          <t>Confirm kickoff &amp; acceptance criteria</t>
        </is>
      </c>
      <c r="Z53" s="23" t="inlineStr">
        <is>
          <t>R26.Q2</t>
        </is>
      </c>
      <c r="AA53" s="23" t="inlineStr">
        <is>
          <t>Include=Yes | Source=FY27 V1 | Timeline=Q2 FY27</t>
        </is>
      </c>
      <c r="AB53" s="23" t="inlineStr">
        <is>
          <t>No</t>
        </is>
      </c>
    </row>
    <row r="54">
      <c r="A54" s="23" t="inlineStr">
        <is>
          <t>T-050</t>
        </is>
      </c>
      <c r="B54" s="23" t="inlineStr">
        <is>
          <t>CS 2.0 Core — Tech Enhance</t>
        </is>
      </c>
      <c r="C54" s="23" t="inlineStr">
        <is>
          <t>CS 2.0 Core</t>
        </is>
      </c>
      <c r="D54" s="23" t="inlineStr">
        <is>
          <t>Tech Enhance</t>
        </is>
      </c>
      <c r="E54" s="23" t="inlineStr">
        <is>
          <t>Sprint 08</t>
        </is>
      </c>
      <c r="F54" s="23" t="inlineStr">
        <is>
          <t>Build</t>
        </is>
      </c>
      <c r="G54" s="23" t="inlineStr">
        <is>
          <t>Platform</t>
        </is>
      </c>
      <c r="H54" s="24" t="inlineStr">
        <is>
          <t>Configuration Migration Tool Enhancement</t>
        </is>
      </c>
      <c r="I54" s="24" t="inlineStr">
        <is>
          <t>Enhance the existing Configuration Migration Tool to improve automation, reliability, and control while moving configuration changes across environments and client deployments. This will reduce manual deployment effort, minimize migration errors, improve tenant/environment consistency, and support faster, more governed configuration rollouts.</t>
        </is>
      </c>
      <c r="J54" s="23" t="inlineStr">
        <is>
          <t>MJ</t>
        </is>
      </c>
      <c r="K54" s="23" t="inlineStr">
        <is>
          <t>Platform</t>
        </is>
      </c>
      <c r="L54" s="23" t="inlineStr">
        <is>
          <t>High</t>
        </is>
      </c>
      <c r="M54" s="23" t="inlineStr">
        <is>
          <t>Not Started</t>
        </is>
      </c>
      <c r="N54" s="25" t="n">
        <v>46302</v>
      </c>
      <c r="O54" s="25" t="n">
        <v>46341</v>
      </c>
      <c r="P54" s="23">
        <f>IF(OR(N54="",O54=""),"",O54-N54+1)</f>
        <v/>
      </c>
      <c r="Q54" s="26" t="n">
        <v>0</v>
      </c>
      <c r="R54" s="23" t="n">
        <v>240</v>
      </c>
      <c r="S54" s="23" t="n">
        <v>0</v>
      </c>
      <c r="T54" s="23">
        <f>S54-R54</f>
        <v/>
      </c>
      <c r="U54" s="27" t="n">
        <v>26400</v>
      </c>
      <c r="V54" s="23" t="inlineStr">
        <is>
          <t>T-049</t>
        </is>
      </c>
      <c r="W54" s="23" t="inlineStr"/>
      <c r="X54" s="23" t="inlineStr"/>
      <c r="Y54" s="24" t="inlineStr">
        <is>
          <t>Confirm kickoff &amp; acceptance criteria</t>
        </is>
      </c>
      <c r="Z54" s="23" t="inlineStr">
        <is>
          <t>R26.Q2</t>
        </is>
      </c>
      <c r="AA54" s="23" t="inlineStr">
        <is>
          <t>Include=Yes | Source=FY27 V1 | Timeline=Q2 FY27</t>
        </is>
      </c>
      <c r="AB54" s="23" t="inlineStr">
        <is>
          <t>No</t>
        </is>
      </c>
    </row>
    <row r="55">
      <c r="A55" s="23" t="inlineStr">
        <is>
          <t>T-051</t>
        </is>
      </c>
      <c r="B55" s="23" t="inlineStr">
        <is>
          <t>CS 2.0 Core — Tech Maintenance</t>
        </is>
      </c>
      <c r="C55" s="23" t="inlineStr">
        <is>
          <t>CS 2.0 Core</t>
        </is>
      </c>
      <c r="D55" s="23" t="inlineStr">
        <is>
          <t>Tech Maintenance</t>
        </is>
      </c>
      <c r="E55" s="23" t="inlineStr">
        <is>
          <t>Sprint 09</t>
        </is>
      </c>
      <c r="F55" s="23" t="inlineStr">
        <is>
          <t>Hypercare</t>
        </is>
      </c>
      <c r="G55" s="23" t="inlineStr">
        <is>
          <t>Reliability</t>
        </is>
      </c>
      <c r="H55" s="24" t="inlineStr">
        <is>
          <t>Application Issue Fixes and Remediation</t>
        </is>
      </c>
      <c r="I55" s="24" t="inlineStr">
        <is>
          <t>Issue Fixes - Analyse and fix application issues reported by delivery, internal, QA, or support teams outside planned feature implementation. This includes root cause analysis, required code/configuration fixes, validation, retesting support, and release through the planned delivery process.</t>
        </is>
      </c>
      <c r="J55" s="23" t="inlineStr">
        <is>
          <t>Jawahar</t>
        </is>
      </c>
      <c r="K55" s="23" t="inlineStr">
        <is>
          <t>Platform</t>
        </is>
      </c>
      <c r="L55" s="23" t="inlineStr">
        <is>
          <t>Critical</t>
        </is>
      </c>
      <c r="M55" s="23" t="inlineStr">
        <is>
          <t>Not Started</t>
        </is>
      </c>
      <c r="N55" s="25" t="n">
        <v>46308</v>
      </c>
      <c r="O55" s="25" t="n">
        <v>46377</v>
      </c>
      <c r="P55" s="23">
        <f>IF(OR(N55="",O55=""),"",O55-N55+1)</f>
        <v/>
      </c>
      <c r="Q55" s="26" t="n">
        <v>0</v>
      </c>
      <c r="R55" s="23" t="n">
        <v>420</v>
      </c>
      <c r="S55" s="23" t="n">
        <v>0</v>
      </c>
      <c r="T55" s="23">
        <f>S55-R55</f>
        <v/>
      </c>
      <c r="U55" s="27" t="n">
        <v>46200</v>
      </c>
      <c r="V55" s="23" t="inlineStr">
        <is>
          <t>T-050</t>
        </is>
      </c>
      <c r="W55" s="23" t="inlineStr"/>
      <c r="X55" s="23" t="inlineStr">
        <is>
          <t>R-01</t>
        </is>
      </c>
      <c r="Y55" s="24" t="inlineStr">
        <is>
          <t>Confirm kickoff &amp; acceptance criteria</t>
        </is>
      </c>
      <c r="Z55" s="23" t="inlineStr">
        <is>
          <t>R26.Q2</t>
        </is>
      </c>
      <c r="AA55" s="23" t="inlineStr">
        <is>
          <t>Include=Yes | Source=FY27 V1 | Timeline=Q2 FY27</t>
        </is>
      </c>
      <c r="AB55" s="23" t="inlineStr">
        <is>
          <t>No</t>
        </is>
      </c>
    </row>
    <row r="56">
      <c r="A56" s="23" t="inlineStr">
        <is>
          <t>T-052</t>
        </is>
      </c>
      <c r="B56" s="23" t="inlineStr">
        <is>
          <t>CS 2.0 Core — Tech Maintenance</t>
        </is>
      </c>
      <c r="C56" s="23" t="inlineStr">
        <is>
          <t>CS 2.0 Core</t>
        </is>
      </c>
      <c r="D56" s="23" t="inlineStr">
        <is>
          <t>Tech Maintenance</t>
        </is>
      </c>
      <c r="E56" s="23" t="inlineStr">
        <is>
          <t>Sprint 10</t>
        </is>
      </c>
      <c r="F56" s="23" t="inlineStr">
        <is>
          <t>Hypercare</t>
        </is>
      </c>
      <c r="G56" s="23" t="inlineStr">
        <is>
          <t>Reliability</t>
        </is>
      </c>
      <c r="H56" s="24" t="inlineStr">
        <is>
          <t>GitLab DAST Enablement for Web Application and Admin Console</t>
        </is>
      </c>
      <c r="I56" s="24" t="inlineStr">
        <is>
          <t>Enable DAST for all the deployable services - Enable GitLab DAST for the Web Application and Admin Console to perform runtime vulnerability scanning as part of the GitLab DevSecOps pipeline. This will help identify security issues in deployed application flows and improve release-level security validation</t>
        </is>
      </c>
      <c r="J56" s="23" t="inlineStr">
        <is>
          <t>Jawahar</t>
        </is>
      </c>
      <c r="K56" s="23" t="inlineStr">
        <is>
          <t>Platform</t>
        </is>
      </c>
      <c r="L56" s="23" t="inlineStr">
        <is>
          <t>High</t>
        </is>
      </c>
      <c r="M56" s="23" t="inlineStr">
        <is>
          <t>Not Started</t>
        </is>
      </c>
      <c r="N56" s="25" t="n">
        <v>46307</v>
      </c>
      <c r="O56" s="25" t="n">
        <v>46313</v>
      </c>
      <c r="P56" s="23">
        <f>IF(OR(N56="",O56=""),"",O56-N56+1)</f>
        <v/>
      </c>
      <c r="Q56" s="26" t="n">
        <v>0</v>
      </c>
      <c r="R56" s="23" t="n">
        <v>40</v>
      </c>
      <c r="S56" s="23" t="n">
        <v>0</v>
      </c>
      <c r="T56" s="23">
        <f>S56-R56</f>
        <v/>
      </c>
      <c r="U56" s="27" t="n">
        <v>4400</v>
      </c>
      <c r="V56" s="23" t="inlineStr">
        <is>
          <t>T-051</t>
        </is>
      </c>
      <c r="W56" s="23" t="inlineStr"/>
      <c r="X56" s="23" t="inlineStr"/>
      <c r="Y56" s="24" t="inlineStr">
        <is>
          <t>Confirm kickoff &amp; acceptance criteria</t>
        </is>
      </c>
      <c r="Z56" s="23" t="inlineStr">
        <is>
          <t>R26.Q2</t>
        </is>
      </c>
      <c r="AA56" s="23" t="inlineStr">
        <is>
          <t>Include=Yes | Source=FY27 V1 | Timeline=Q2 FY27</t>
        </is>
      </c>
      <c r="AB56" s="23" t="inlineStr">
        <is>
          <t>No</t>
        </is>
      </c>
    </row>
    <row r="57">
      <c r="A57" s="23" t="inlineStr">
        <is>
          <t>T-053</t>
        </is>
      </c>
      <c r="B57" s="23" t="inlineStr">
        <is>
          <t>CS 2.0 Core — Tech Maintenance</t>
        </is>
      </c>
      <c r="C57" s="23" t="inlineStr">
        <is>
          <t>CS 2.0 Core</t>
        </is>
      </c>
      <c r="D57" s="23" t="inlineStr">
        <is>
          <t>Tech Maintenance</t>
        </is>
      </c>
      <c r="E57" s="23" t="inlineStr">
        <is>
          <t>Sprint 11</t>
        </is>
      </c>
      <c r="F57" s="23" t="inlineStr">
        <is>
          <t>Hypercare</t>
        </is>
      </c>
      <c r="G57" s="23" t="inlineStr">
        <is>
          <t>Reliability</t>
        </is>
      </c>
      <c r="H57" s="24" t="inlineStr">
        <is>
          <t>Release Management, Regression Testing and Test Automation</t>
        </is>
      </c>
      <c r="I57" s="24" t="inlineStr">
        <is>
          <t>Release Management Activities - Regression Testing &amp; Automation - Manage release activities, coordinate deployments, perform regression testing, maintain automation scripts, validate fixes, support release sign-off, and monitor post-release stability. This includes improving regression automation coverage to reduce manual effort and improve release quality.
Note: Reduced this effort considering the release maangement will also go to the respective features, for the delivery customization this will be part of the delivery budget</t>
        </is>
      </c>
      <c r="J57" s="23" t="inlineStr">
        <is>
          <t>Jawahar</t>
        </is>
      </c>
      <c r="K57" s="23" t="inlineStr">
        <is>
          <t>Platform</t>
        </is>
      </c>
      <c r="L57" s="23" t="inlineStr">
        <is>
          <t>Critical</t>
        </is>
      </c>
      <c r="M57" s="23" t="inlineStr">
        <is>
          <t>Not Started</t>
        </is>
      </c>
      <c r="N57" s="25" t="n">
        <v>46343</v>
      </c>
      <c r="O57" s="25" t="n">
        <v>46367</v>
      </c>
      <c r="P57" s="23">
        <f>IF(OR(N57="",O57=""),"",O57-N57+1)</f>
        <v/>
      </c>
      <c r="Q57" s="26" t="n">
        <v>0</v>
      </c>
      <c r="R57" s="23" t="n">
        <v>150</v>
      </c>
      <c r="S57" s="23" t="n">
        <v>0</v>
      </c>
      <c r="T57" s="23">
        <f>S57-R57</f>
        <v/>
      </c>
      <c r="U57" s="27" t="n">
        <v>16500</v>
      </c>
      <c r="V57" s="23" t="inlineStr">
        <is>
          <t>T-052</t>
        </is>
      </c>
      <c r="W57" s="23" t="inlineStr"/>
      <c r="X57" s="23" t="inlineStr"/>
      <c r="Y57" s="24" t="inlineStr">
        <is>
          <t>Confirm kickoff &amp; acceptance criteria</t>
        </is>
      </c>
      <c r="Z57" s="23" t="inlineStr">
        <is>
          <t>R26.Q2</t>
        </is>
      </c>
      <c r="AA57" s="23" t="inlineStr">
        <is>
          <t>Include=Yes | Source=FY27 V1 | Timeline=Q2 FY27</t>
        </is>
      </c>
      <c r="AB57" s="23" t="inlineStr">
        <is>
          <t>No</t>
        </is>
      </c>
    </row>
    <row r="58">
      <c r="A58" s="23" t="inlineStr">
        <is>
          <t>T-054</t>
        </is>
      </c>
      <c r="B58" s="23" t="inlineStr">
        <is>
          <t>CS 2.0 Core — Tech Maintenance</t>
        </is>
      </c>
      <c r="C58" s="23" t="inlineStr">
        <is>
          <t>CS 2.0 Core</t>
        </is>
      </c>
      <c r="D58" s="23" t="inlineStr">
        <is>
          <t>Tech Maintenance</t>
        </is>
      </c>
      <c r="E58" s="23" t="inlineStr">
        <is>
          <t>Sprint 12</t>
        </is>
      </c>
      <c r="F58" s="23" t="inlineStr">
        <is>
          <t>Hypercare</t>
        </is>
      </c>
      <c r="G58" s="23" t="inlineStr">
        <is>
          <t>Reliability</t>
        </is>
      </c>
      <c r="H58" s="24" t="inlineStr">
        <is>
          <t>Performance Testing, Tuning and Test Suite Management</t>
        </is>
      </c>
      <c r="I58" s="24" t="inlineStr">
        <is>
          <t>Perform performance testing as per the planned test schedule, followed by performance fine-tuning, regression testing, test suite maintenance, fixture updates, and automation improvements. This includes adding or removing test fixtures, maintaining test scripts, validating performance improvements, and ensuring the test suite remains aligned with application changes.
Note: Reduced this effort considering the release maangement will also go to the respective features</t>
        </is>
      </c>
      <c r="J58" s="23" t="inlineStr">
        <is>
          <t>Jawahar</t>
        </is>
      </c>
      <c r="K58" s="23" t="inlineStr">
        <is>
          <t>Platform</t>
        </is>
      </c>
      <c r="L58" s="23" t="inlineStr">
        <is>
          <t>High</t>
        </is>
      </c>
      <c r="M58" s="23" t="inlineStr">
        <is>
          <t>Not Started</t>
        </is>
      </c>
      <c r="N58" s="25" t="n">
        <v>46322</v>
      </c>
      <c r="O58" s="25" t="n">
        <v>46346</v>
      </c>
      <c r="P58" s="23">
        <f>IF(OR(N58="",O58=""),"",O58-N58+1)</f>
        <v/>
      </c>
      <c r="Q58" s="26" t="n">
        <v>0</v>
      </c>
      <c r="R58" s="23" t="n">
        <v>150</v>
      </c>
      <c r="S58" s="23" t="n">
        <v>0</v>
      </c>
      <c r="T58" s="23">
        <f>S58-R58</f>
        <v/>
      </c>
      <c r="U58" s="27" t="n">
        <v>16500</v>
      </c>
      <c r="V58" s="23" t="inlineStr">
        <is>
          <t>T-053</t>
        </is>
      </c>
      <c r="W58" s="23" t="inlineStr"/>
      <c r="X58" s="23" t="inlineStr"/>
      <c r="Y58" s="24" t="inlineStr">
        <is>
          <t>Confirm kickoff &amp; acceptance criteria</t>
        </is>
      </c>
      <c r="Z58" s="23" t="inlineStr">
        <is>
          <t>R26.Q2</t>
        </is>
      </c>
      <c r="AA58" s="23" t="inlineStr">
        <is>
          <t>Include=Yes | Source=FY27 V1 | Timeline=Q2 FY27</t>
        </is>
      </c>
      <c r="AB58" s="23" t="inlineStr">
        <is>
          <t>No</t>
        </is>
      </c>
    </row>
    <row r="59">
      <c r="A59" s="23" t="inlineStr">
        <is>
          <t>T-055</t>
        </is>
      </c>
      <c r="B59" s="23" t="inlineStr">
        <is>
          <t>CS 2.0 Core — Tech Maintenance</t>
        </is>
      </c>
      <c r="C59" s="23" t="inlineStr">
        <is>
          <t>CS 2.0 Core</t>
        </is>
      </c>
      <c r="D59" s="23" t="inlineStr">
        <is>
          <t>Tech Maintenance</t>
        </is>
      </c>
      <c r="E59" s="23" t="inlineStr">
        <is>
          <t>Sprint 07</t>
        </is>
      </c>
      <c r="F59" s="23" t="inlineStr">
        <is>
          <t>Hypercare</t>
        </is>
      </c>
      <c r="G59" s="23" t="inlineStr">
        <is>
          <t>Reliability</t>
        </is>
      </c>
      <c r="H59" s="24" t="inlineStr">
        <is>
          <t>DevOps Management, Improvements and Pipeline Monitoring</t>
        </is>
      </c>
      <c r="I59" s="24" t="inlineStr">
        <is>
          <t>Devops Management/Improvement/Monitoring - Manage and improve the existing DevOps setup by enhancing CI/CD pipelines, adding new deployment workflows, optimizing automation, monitoring pipeline health, troubleshooting deployment issues, and supporting DevOps changes required for new services, environments, and platform upgrades.</t>
        </is>
      </c>
      <c r="J59" s="23" t="inlineStr">
        <is>
          <t>Jawahar</t>
        </is>
      </c>
      <c r="K59" s="23" t="inlineStr">
        <is>
          <t>Platform</t>
        </is>
      </c>
      <c r="L59" s="23" t="inlineStr">
        <is>
          <t>Critical</t>
        </is>
      </c>
      <c r="M59" s="23" t="inlineStr">
        <is>
          <t>Not Started</t>
        </is>
      </c>
      <c r="N59" s="25" t="n">
        <v>46317</v>
      </c>
      <c r="O59" s="25" t="n">
        <v>46322</v>
      </c>
      <c r="P59" s="23">
        <f>IF(OR(N59="",O59=""),"",O59-N59+1)</f>
        <v/>
      </c>
      <c r="Q59" s="26" t="n">
        <v>0</v>
      </c>
      <c r="R59" s="23" t="n">
        <v>36</v>
      </c>
      <c r="S59" s="23" t="n">
        <v>0</v>
      </c>
      <c r="T59" s="23">
        <f>S59-R59</f>
        <v/>
      </c>
      <c r="U59" s="27" t="n">
        <v>3960</v>
      </c>
      <c r="V59" s="23" t="inlineStr">
        <is>
          <t>T-054</t>
        </is>
      </c>
      <c r="W59" s="23" t="inlineStr"/>
      <c r="X59" s="23" t="inlineStr"/>
      <c r="Y59" s="24" t="inlineStr">
        <is>
          <t>Confirm kickoff &amp; acceptance criteria</t>
        </is>
      </c>
      <c r="Z59" s="23" t="inlineStr">
        <is>
          <t>R26.Q2</t>
        </is>
      </c>
      <c r="AA59" s="23" t="inlineStr">
        <is>
          <t>Include=Yes | Source=FY27 V1 | Timeline=Q2 FY27</t>
        </is>
      </c>
      <c r="AB59" s="23" t="inlineStr">
        <is>
          <t>No</t>
        </is>
      </c>
    </row>
    <row r="60">
      <c r="A60" s="23" t="inlineStr">
        <is>
          <t>T-056</t>
        </is>
      </c>
      <c r="B60" s="23" t="inlineStr">
        <is>
          <t>CS 2.0 Core — Tech Maintenance</t>
        </is>
      </c>
      <c r="C60" s="23" t="inlineStr">
        <is>
          <t>CS 2.0 Core</t>
        </is>
      </c>
      <c r="D60" s="23" t="inlineStr">
        <is>
          <t>Tech Maintenance</t>
        </is>
      </c>
      <c r="E60" s="23" t="inlineStr">
        <is>
          <t>Sprint 08</t>
        </is>
      </c>
      <c r="F60" s="23" t="inlineStr">
        <is>
          <t>Hypercare</t>
        </is>
      </c>
      <c r="G60" s="23" t="inlineStr">
        <is>
          <t>Reliability</t>
        </is>
      </c>
      <c r="H60" s="24" t="inlineStr">
        <is>
          <t>Release Based Feature Documentation</t>
        </is>
      </c>
      <c r="I60" s="24" t="inlineStr">
        <is>
          <t>Create release based feature documentation covering new features, functional changes, configuration steps, usage flows, dependencies, screenshots, and known limitations. This will support delivery, QA, support, product, and implementation teams in understanding and adopting each release</t>
        </is>
      </c>
      <c r="J60" s="23" t="inlineStr">
        <is>
          <t>Jawahar</t>
        </is>
      </c>
      <c r="K60" s="23" t="inlineStr">
        <is>
          <t>Platform</t>
        </is>
      </c>
      <c r="L60" s="23" t="inlineStr">
        <is>
          <t>Critical</t>
        </is>
      </c>
      <c r="M60" s="23" t="inlineStr">
        <is>
          <t>Not Started</t>
        </is>
      </c>
      <c r="N60" s="25" t="n">
        <v>46365</v>
      </c>
      <c r="O60" s="25" t="n">
        <v>46370</v>
      </c>
      <c r="P60" s="23">
        <f>IF(OR(N60="",O60=""),"",O60-N60+1)</f>
        <v/>
      </c>
      <c r="Q60" s="26" t="n">
        <v>0</v>
      </c>
      <c r="R60" s="23" t="n">
        <v>36</v>
      </c>
      <c r="S60" s="23" t="n">
        <v>0</v>
      </c>
      <c r="T60" s="23">
        <f>S60-R60</f>
        <v/>
      </c>
      <c r="U60" s="27" t="n">
        <v>3960</v>
      </c>
      <c r="V60" s="23" t="inlineStr">
        <is>
          <t>T-055</t>
        </is>
      </c>
      <c r="W60" s="23" t="inlineStr"/>
      <c r="X60" s="23" t="inlineStr"/>
      <c r="Y60" s="24" t="inlineStr">
        <is>
          <t>Confirm kickoff &amp; acceptance criteria</t>
        </is>
      </c>
      <c r="Z60" s="23" t="inlineStr">
        <is>
          <t>R26.Q2</t>
        </is>
      </c>
      <c r="AA60" s="23" t="inlineStr">
        <is>
          <t>Include=Yes | Source=FY27 V1 | Timeline=Q2 FY27</t>
        </is>
      </c>
      <c r="AB60" s="23" t="inlineStr">
        <is>
          <t>No</t>
        </is>
      </c>
    </row>
    <row r="61">
      <c r="A61" s="23" t="inlineStr">
        <is>
          <t>T-057</t>
        </is>
      </c>
      <c r="B61" s="23" t="inlineStr">
        <is>
          <t>CS 2.0 Core — Tech Maintenance</t>
        </is>
      </c>
      <c r="C61" s="23" t="inlineStr">
        <is>
          <t>CS 2.0 Core</t>
        </is>
      </c>
      <c r="D61" s="23" t="inlineStr">
        <is>
          <t>Tech Maintenance</t>
        </is>
      </c>
      <c r="E61" s="23" t="inlineStr">
        <is>
          <t>Sprint 09</t>
        </is>
      </c>
      <c r="F61" s="23" t="inlineStr">
        <is>
          <t>Hypercare</t>
        </is>
      </c>
      <c r="G61" s="23" t="inlineStr">
        <is>
          <t>Reliability</t>
        </is>
      </c>
      <c r="H61" s="24" t="inlineStr">
        <is>
          <t>Monthly Library Upgrade Assessment and Remediation Across Services</t>
        </is>
      </c>
      <c r="I61" s="24" t="inlineStr">
        <is>
          <t>Perform monthly scheduled library and package upgrade assessment across 20+ services, including web apps, Node.js services, workers, and .NET services. This includes identifying available upgrades, assessing security and compatibility impact, handling breaking changes, applying required fixes, validating builds, and supporting regression/release readiness.</t>
        </is>
      </c>
      <c r="J61" s="23" t="inlineStr">
        <is>
          <t>Jawahar</t>
        </is>
      </c>
      <c r="K61" s="23" t="inlineStr">
        <is>
          <t>Platform</t>
        </is>
      </c>
      <c r="L61" s="23" t="inlineStr">
        <is>
          <t>Critical</t>
        </is>
      </c>
      <c r="M61" s="23" t="inlineStr">
        <is>
          <t>Not Started</t>
        </is>
      </c>
      <c r="N61" s="25" t="n">
        <v>46298</v>
      </c>
      <c r="O61" s="25" t="n">
        <v>46302</v>
      </c>
      <c r="P61" s="23">
        <f>IF(OR(N61="",O61=""),"",O61-N61+1)</f>
        <v/>
      </c>
      <c r="Q61" s="26" t="n">
        <v>0</v>
      </c>
      <c r="R61" s="23" t="n">
        <v>30</v>
      </c>
      <c r="S61" s="23" t="n">
        <v>0</v>
      </c>
      <c r="T61" s="23">
        <f>S61-R61</f>
        <v/>
      </c>
      <c r="U61" s="27" t="n">
        <v>3300</v>
      </c>
      <c r="V61" s="23" t="inlineStr">
        <is>
          <t>T-056</t>
        </is>
      </c>
      <c r="W61" s="23" t="inlineStr"/>
      <c r="X61" s="23" t="inlineStr"/>
      <c r="Y61" s="24" t="inlineStr">
        <is>
          <t>Confirm kickoff &amp; acceptance criteria</t>
        </is>
      </c>
      <c r="Z61" s="23" t="inlineStr">
        <is>
          <t>R26.Q2</t>
        </is>
      </c>
      <c r="AA61" s="23" t="inlineStr">
        <is>
          <t>Include=Yes | Source=FY27 V1 | Timeline=Q2 FY27</t>
        </is>
      </c>
      <c r="AB61" s="23" t="inlineStr">
        <is>
          <t>No</t>
        </is>
      </c>
    </row>
    <row r="62">
      <c r="A62" s="23" t="inlineStr">
        <is>
          <t>T-058</t>
        </is>
      </c>
      <c r="B62" s="23" t="inlineStr">
        <is>
          <t>CS 2.0 Core — Tech Maintenance</t>
        </is>
      </c>
      <c r="C62" s="23" t="inlineStr">
        <is>
          <t>CS 2.0 Core</t>
        </is>
      </c>
      <c r="D62" s="23" t="inlineStr">
        <is>
          <t>Tech Maintenance</t>
        </is>
      </c>
      <c r="E62" s="23" t="inlineStr">
        <is>
          <t>Sprint 10</t>
        </is>
      </c>
      <c r="F62" s="23" t="inlineStr">
        <is>
          <t>Hypercare</t>
        </is>
      </c>
      <c r="G62" s="23" t="inlineStr">
        <is>
          <t>Reliability</t>
        </is>
      </c>
      <c r="H62" s="24" t="inlineStr">
        <is>
          <t>Cloud Usage Chargeback Model, Monthly Tenant-Level Allocation</t>
        </is>
      </c>
      <c r="I62" s="24" t="inlineStr">
        <is>
          <t>Cloud Usage Charge back model (Monthly) - Prepare monthly tenant-level cloud usage chargeback by collecting cloud consumption data, applying agreed allocation rules, validating usage/cost anomalies, and publishing the monthly chargeback summary for each tenant.</t>
        </is>
      </c>
      <c r="J62" s="23" t="inlineStr">
        <is>
          <t>Jawahar</t>
        </is>
      </c>
      <c r="K62" s="23" t="inlineStr">
        <is>
          <t>Platform</t>
        </is>
      </c>
      <c r="L62" s="23" t="inlineStr">
        <is>
          <t>Critical</t>
        </is>
      </c>
      <c r="M62" s="23" t="inlineStr">
        <is>
          <t>Not Started</t>
        </is>
      </c>
      <c r="N62" s="25" t="n">
        <v>46319</v>
      </c>
      <c r="O62" s="25" t="n">
        <v>46323</v>
      </c>
      <c r="P62" s="23">
        <f>IF(OR(N62="",O62=""),"",O62-N62+1)</f>
        <v/>
      </c>
      <c r="Q62" s="26" t="n">
        <v>0</v>
      </c>
      <c r="R62" s="23" t="n">
        <v>12</v>
      </c>
      <c r="S62" s="23" t="n">
        <v>0</v>
      </c>
      <c r="T62" s="23">
        <f>S62-R62</f>
        <v/>
      </c>
      <c r="U62" s="27" t="n">
        <v>1320</v>
      </c>
      <c r="V62" s="23" t="inlineStr">
        <is>
          <t>T-057</t>
        </is>
      </c>
      <c r="W62" s="23" t="inlineStr"/>
      <c r="X62" s="23" t="inlineStr"/>
      <c r="Y62" s="24" t="inlineStr">
        <is>
          <t>Confirm kickoff &amp; acceptance criteria</t>
        </is>
      </c>
      <c r="Z62" s="23" t="inlineStr">
        <is>
          <t>R26.Q2</t>
        </is>
      </c>
      <c r="AA62" s="23" t="inlineStr">
        <is>
          <t>Include=Yes | Source=FY27 V1 | Timeline=Q2 FY27</t>
        </is>
      </c>
      <c r="AB62" s="23" t="inlineStr">
        <is>
          <t>No</t>
        </is>
      </c>
    </row>
    <row r="63">
      <c r="A63" s="23" t="inlineStr">
        <is>
          <t>T-059</t>
        </is>
      </c>
      <c r="B63" s="23" t="inlineStr">
        <is>
          <t>CS 2.0 Core — Tech Maintenance</t>
        </is>
      </c>
      <c r="C63" s="23" t="inlineStr">
        <is>
          <t>CS 2.0 Core</t>
        </is>
      </c>
      <c r="D63" s="23" t="inlineStr">
        <is>
          <t>Tech Maintenance</t>
        </is>
      </c>
      <c r="E63" s="23" t="inlineStr">
        <is>
          <t>Sprint 11</t>
        </is>
      </c>
      <c r="F63" s="23" t="inlineStr">
        <is>
          <t>Hypercare</t>
        </is>
      </c>
      <c r="G63" s="23" t="inlineStr">
        <is>
          <t>Reliability</t>
        </is>
      </c>
      <c r="H63" s="24" t="inlineStr">
        <is>
          <t>Code Refactoring, Dependency Upgrades and Deprecated Code Removal</t>
        </is>
      </c>
      <c r="I63" s="24" t="inlineStr">
        <is>
          <t>Improve code quality and maintainability by refactoring existing code, upgrading outdated dependencies, and removing deprecated or unused code/components. This helps reduce technical debt, improve system stability, support security compliance, and keep the application aligned with current technology standards.</t>
        </is>
      </c>
      <c r="J63" s="23" t="inlineStr">
        <is>
          <t>Jawahar</t>
        </is>
      </c>
      <c r="K63" s="23" t="inlineStr">
        <is>
          <t>Platform</t>
        </is>
      </c>
      <c r="L63" s="23" t="inlineStr">
        <is>
          <t>High</t>
        </is>
      </c>
      <c r="M63" s="23" t="inlineStr">
        <is>
          <t>Not Started</t>
        </is>
      </c>
      <c r="N63" s="25" t="n">
        <v>46324</v>
      </c>
      <c r="O63" s="25" t="n">
        <v>46363</v>
      </c>
      <c r="P63" s="23">
        <f>IF(OR(N63="",O63=""),"",O63-N63+1)</f>
        <v/>
      </c>
      <c r="Q63" s="26" t="n">
        <v>0</v>
      </c>
      <c r="R63" s="23" t="n">
        <v>240</v>
      </c>
      <c r="S63" s="23" t="n">
        <v>0</v>
      </c>
      <c r="T63" s="23">
        <f>S63-R63</f>
        <v/>
      </c>
      <c r="U63" s="27" t="n">
        <v>26400</v>
      </c>
      <c r="V63" s="23" t="inlineStr">
        <is>
          <t>T-058</t>
        </is>
      </c>
      <c r="W63" s="23" t="inlineStr"/>
      <c r="X63" s="23" t="inlineStr"/>
      <c r="Y63" s="24" t="inlineStr">
        <is>
          <t>Confirm kickoff &amp; acceptance criteria</t>
        </is>
      </c>
      <c r="Z63" s="23" t="inlineStr">
        <is>
          <t>R26.Q2</t>
        </is>
      </c>
      <c r="AA63" s="23" t="inlineStr">
        <is>
          <t>Include=Yes | Source=FY27 V1 | Timeline=Q2 FY27</t>
        </is>
      </c>
      <c r="AB63" s="23" t="inlineStr">
        <is>
          <t>No</t>
        </is>
      </c>
    </row>
    <row r="64">
      <c r="A64" s="23" t="inlineStr">
        <is>
          <t>T-060</t>
        </is>
      </c>
      <c r="B64" s="23" t="inlineStr">
        <is>
          <t>CS 2.0 Core — Tech Enhance</t>
        </is>
      </c>
      <c r="C64" s="23" t="inlineStr">
        <is>
          <t>CS 2.0 Core</t>
        </is>
      </c>
      <c r="D64" s="23" t="inlineStr">
        <is>
          <t>Tech Enhance</t>
        </is>
      </c>
      <c r="E64" s="23" t="inlineStr">
        <is>
          <t>Sprint 12</t>
        </is>
      </c>
      <c r="F64" s="23" t="inlineStr">
        <is>
          <t>Build</t>
        </is>
      </c>
      <c r="G64" s="23" t="inlineStr">
        <is>
          <t>Product Delivery</t>
        </is>
      </c>
      <c r="H64" s="24" t="inlineStr">
        <is>
          <t>Table-Specific Metadata Model Storage Enhancement</t>
        </is>
      </c>
      <c r="I64" s="24" t="inlineStr">
        <is>
          <t>Enhance the existing metadata model storage by separating the currently combined JSON structure into table-specific JSON structures. This will improve metadata maintainability, support table level configuration flexibility, reduce complexity, and make future schema or configuration changes easier to manage.</t>
        </is>
      </c>
      <c r="J64" s="23" t="inlineStr">
        <is>
          <t>MJ</t>
        </is>
      </c>
      <c r="K64" s="23" t="inlineStr">
        <is>
          <t>Platform</t>
        </is>
      </c>
      <c r="L64" s="23" t="inlineStr">
        <is>
          <t>High</t>
        </is>
      </c>
      <c r="M64" s="23" t="inlineStr">
        <is>
          <t>Not Started</t>
        </is>
      </c>
      <c r="N64" s="25" t="n">
        <v>46354</v>
      </c>
      <c r="O64" s="25" t="n">
        <v>46383</v>
      </c>
      <c r="P64" s="23">
        <f>IF(OR(N64="",O64=""),"",O64-N64+1)</f>
        <v/>
      </c>
      <c r="Q64" s="26" t="n">
        <v>0</v>
      </c>
      <c r="R64" s="23" t="n">
        <v>180</v>
      </c>
      <c r="S64" s="23" t="n">
        <v>0</v>
      </c>
      <c r="T64" s="23">
        <f>S64-R64</f>
        <v/>
      </c>
      <c r="U64" s="27" t="n">
        <v>19800</v>
      </c>
      <c r="V64" s="23" t="inlineStr">
        <is>
          <t>T-059</t>
        </is>
      </c>
      <c r="W64" s="23" t="inlineStr"/>
      <c r="X64" s="23" t="inlineStr"/>
      <c r="Y64" s="24" t="inlineStr">
        <is>
          <t>Confirm kickoff &amp; acceptance criteria</t>
        </is>
      </c>
      <c r="Z64" s="23" t="inlineStr">
        <is>
          <t>R26.Q2</t>
        </is>
      </c>
      <c r="AA64" s="23" t="inlineStr">
        <is>
          <t>Include=Yes | Source=FY27 V1 | Timeline=Q2 FY27</t>
        </is>
      </c>
      <c r="AB64" s="23" t="inlineStr">
        <is>
          <t>No</t>
        </is>
      </c>
    </row>
    <row r="65">
      <c r="A65" s="23" t="inlineStr">
        <is>
          <t>T-061</t>
        </is>
      </c>
      <c r="B65" s="23" t="inlineStr">
        <is>
          <t>CS 2.0 Core — Tech Enhance</t>
        </is>
      </c>
      <c r="C65" s="23" t="inlineStr">
        <is>
          <t>CS 2.0 Core</t>
        </is>
      </c>
      <c r="D65" s="23" t="inlineStr">
        <is>
          <t>Tech Enhance</t>
        </is>
      </c>
      <c r="E65" s="23" t="inlineStr">
        <is>
          <t>Sprint 07</t>
        </is>
      </c>
      <c r="F65" s="23" t="inlineStr">
        <is>
          <t>Build</t>
        </is>
      </c>
      <c r="G65" s="23" t="inlineStr">
        <is>
          <t>Product Delivery</t>
        </is>
      </c>
      <c r="H65" s="24" t="inlineStr">
        <is>
          <t>System Wide AWS Redis Caching Layer Enablement</t>
        </is>
      </c>
      <c r="I65" s="24" t="inlineStr">
        <is>
          <t>Extend the existing AWS Redis caching layer, currently used for fraud related processing, to support other time-consuming queries across the system. This will include identifying high-latency and frequently executed queries, defining suitable cache keys and expiry rules, implementing cache read/write logic, and validating performance improvements. The enhancement will help reduce database load, improve response time, and increase overall platform scalability.</t>
        </is>
      </c>
      <c r="J65" s="23" t="inlineStr">
        <is>
          <t>MJ</t>
        </is>
      </c>
      <c r="K65" s="23" t="inlineStr">
        <is>
          <t>Platform</t>
        </is>
      </c>
      <c r="L65" s="23" t="inlineStr">
        <is>
          <t>High</t>
        </is>
      </c>
      <c r="M65" s="23" t="inlineStr">
        <is>
          <t>Not Started</t>
        </is>
      </c>
      <c r="N65" s="25" t="n">
        <v>46302</v>
      </c>
      <c r="O65" s="25" t="n">
        <v>46328</v>
      </c>
      <c r="P65" s="23">
        <f>IF(OR(N65="",O65=""),"",O65-N65+1)</f>
        <v/>
      </c>
      <c r="Q65" s="26" t="n">
        <v>0</v>
      </c>
      <c r="R65" s="23" t="n">
        <v>160</v>
      </c>
      <c r="S65" s="23" t="n">
        <v>0</v>
      </c>
      <c r="T65" s="23">
        <f>S65-R65</f>
        <v/>
      </c>
      <c r="U65" s="27" t="n">
        <v>17600</v>
      </c>
      <c r="V65" s="23" t="inlineStr">
        <is>
          <t>T-060</t>
        </is>
      </c>
      <c r="W65" s="23" t="inlineStr"/>
      <c r="X65" s="23" t="inlineStr"/>
      <c r="Y65" s="24" t="inlineStr">
        <is>
          <t>Confirm kickoff &amp; acceptance criteria</t>
        </is>
      </c>
      <c r="Z65" s="23" t="inlineStr">
        <is>
          <t>R26.Q2</t>
        </is>
      </c>
      <c r="AA65" s="23" t="inlineStr">
        <is>
          <t>Include=Yes | Source=FY27 V1 | Timeline=Q2 FY27</t>
        </is>
      </c>
      <c r="AB65" s="23" t="inlineStr">
        <is>
          <t>No</t>
        </is>
      </c>
    </row>
    <row r="66">
      <c r="A66" s="23" t="inlineStr">
        <is>
          <t>T-062</t>
        </is>
      </c>
      <c r="B66" s="23" t="inlineStr">
        <is>
          <t>CS 2.0 Core — Tech Enhance</t>
        </is>
      </c>
      <c r="C66" s="23" t="inlineStr">
        <is>
          <t>CS 2.0 Core</t>
        </is>
      </c>
      <c r="D66" s="23" t="inlineStr">
        <is>
          <t>Tech Enhance</t>
        </is>
      </c>
      <c r="E66" s="23" t="inlineStr">
        <is>
          <t>Sprint 08</t>
        </is>
      </c>
      <c r="F66" s="23" t="inlineStr">
        <is>
          <t>Build</t>
        </is>
      </c>
      <c r="G66" s="23" t="inlineStr">
        <is>
          <t>Product Delivery</t>
        </is>
      </c>
      <c r="H66" s="24" t="inlineStr">
        <is>
          <t>Workflow Engine Observability and Traceability Enhancements</t>
        </is>
      </c>
      <c r="I66" s="24" t="inlineStr">
        <is>
          <t>Improve the Workflow Engine with better logging, monitoring, and traceability capabilities. This will help track workflow execution, identify failures faster, improve operational visibility, simplify troubleshooting, and strengthen overall engine reliability and supportability.</t>
        </is>
      </c>
      <c r="J66" s="23" t="inlineStr">
        <is>
          <t>MJ</t>
        </is>
      </c>
      <c r="K66" s="23" t="inlineStr">
        <is>
          <t>Platform</t>
        </is>
      </c>
      <c r="L66" s="23" t="inlineStr">
        <is>
          <t>High</t>
        </is>
      </c>
      <c r="M66" s="23" t="inlineStr">
        <is>
          <t>Not Started</t>
        </is>
      </c>
      <c r="N66" s="25" t="n">
        <v>46352</v>
      </c>
      <c r="O66" s="25" t="n">
        <v>46378</v>
      </c>
      <c r="P66" s="23">
        <f>IF(OR(N66="",O66=""),"",O66-N66+1)</f>
        <v/>
      </c>
      <c r="Q66" s="26" t="n">
        <v>0</v>
      </c>
      <c r="R66" s="23" t="n">
        <v>160</v>
      </c>
      <c r="S66" s="23" t="n">
        <v>0</v>
      </c>
      <c r="T66" s="23">
        <f>S66-R66</f>
        <v/>
      </c>
      <c r="U66" s="27" t="n">
        <v>17600</v>
      </c>
      <c r="V66" s="23" t="inlineStr">
        <is>
          <t>T-061</t>
        </is>
      </c>
      <c r="W66" s="23" t="inlineStr"/>
      <c r="X66" s="23" t="inlineStr"/>
      <c r="Y66" s="24" t="inlineStr">
        <is>
          <t>Confirm kickoff &amp; acceptance criteria</t>
        </is>
      </c>
      <c r="Z66" s="23" t="inlineStr">
        <is>
          <t>R26.Q2</t>
        </is>
      </c>
      <c r="AA66" s="23" t="inlineStr">
        <is>
          <t>Include=Yes | Source=FY27 V1 | Timeline=Q2 FY27</t>
        </is>
      </c>
      <c r="AB66" s="23" t="inlineStr">
        <is>
          <t>No</t>
        </is>
      </c>
    </row>
    <row r="67">
      <c r="A67" s="23" t="inlineStr">
        <is>
          <t>T-063</t>
        </is>
      </c>
      <c r="B67" s="23" t="inlineStr">
        <is>
          <t>CS 2.0 Core — Tech Enhance</t>
        </is>
      </c>
      <c r="C67" s="23" t="inlineStr">
        <is>
          <t>CS 2.0 Core</t>
        </is>
      </c>
      <c r="D67" s="23" t="inlineStr">
        <is>
          <t>Tech Enhance</t>
        </is>
      </c>
      <c r="E67" s="23" t="inlineStr">
        <is>
          <t>Sprint 09</t>
        </is>
      </c>
      <c r="F67" s="23" t="inlineStr">
        <is>
          <t>Build</t>
        </is>
      </c>
      <c r="G67" s="23" t="inlineStr">
        <is>
          <t>Product Delivery</t>
        </is>
      </c>
      <c r="H67" s="24" t="inlineStr">
        <is>
          <t>Command and Query Engine Enhancement with GraphQL Evaluation</t>
        </is>
      </c>
      <c r="I67" s="24" t="inlineStr">
        <is>
          <t>Enhance the Command and Query Engine by evaluating GraphQL-like querying capabilities and optimizing command/query handling. This will improve technical product capability by supporting more flexible data retrieval, better query control, optimized execution, and clearer separation between write operations and read operations. The activity will also include evaluating whether GraphQL is suitable for the platform based on performance, security, complexity, maintainability, and tenant-specific metadata requirements.</t>
        </is>
      </c>
      <c r="J67" s="23" t="inlineStr">
        <is>
          <t>MJ</t>
        </is>
      </c>
      <c r="K67" s="23" t="inlineStr">
        <is>
          <t>Platform</t>
        </is>
      </c>
      <c r="L67" s="23" t="inlineStr">
        <is>
          <t>High</t>
        </is>
      </c>
      <c r="M67" s="23" t="inlineStr">
        <is>
          <t>Not Started</t>
        </is>
      </c>
      <c r="N67" s="25" t="n">
        <v>46334</v>
      </c>
      <c r="O67" s="25" t="n">
        <v>46373</v>
      </c>
      <c r="P67" s="23">
        <f>IF(OR(N67="",O67=""),"",O67-N67+1)</f>
        <v/>
      </c>
      <c r="Q67" s="26" t="n">
        <v>0</v>
      </c>
      <c r="R67" s="23" t="n">
        <v>240</v>
      </c>
      <c r="S67" s="23" t="n">
        <v>0</v>
      </c>
      <c r="T67" s="23">
        <f>S67-R67</f>
        <v/>
      </c>
      <c r="U67" s="27" t="n">
        <v>26400</v>
      </c>
      <c r="V67" s="23" t="inlineStr">
        <is>
          <t>T-062</t>
        </is>
      </c>
      <c r="W67" s="23" t="inlineStr"/>
      <c r="X67" s="23" t="inlineStr"/>
      <c r="Y67" s="24" t="inlineStr">
        <is>
          <t>Confirm kickoff &amp; acceptance criteria</t>
        </is>
      </c>
      <c r="Z67" s="23" t="inlineStr">
        <is>
          <t>R26.Q2</t>
        </is>
      </c>
      <c r="AA67" s="23" t="inlineStr">
        <is>
          <t>Include=Yes | Source=FY27 V1 | Timeline=Q2 FY27</t>
        </is>
      </c>
      <c r="AB67" s="23" t="inlineStr">
        <is>
          <t>No</t>
        </is>
      </c>
    </row>
    <row r="68">
      <c r="A68" s="23" t="inlineStr">
        <is>
          <t>T-064</t>
        </is>
      </c>
      <c r="B68" s="23" t="inlineStr">
        <is>
          <t>CS 2.0 Core — Tech Enhance</t>
        </is>
      </c>
      <c r="C68" s="23" t="inlineStr">
        <is>
          <t>CS 2.0 Core</t>
        </is>
      </c>
      <c r="D68" s="23" t="inlineStr">
        <is>
          <t>Tech Enhance</t>
        </is>
      </c>
      <c r="E68" s="23" t="inlineStr">
        <is>
          <t>Sprint 10</t>
        </is>
      </c>
      <c r="F68" s="23" t="inlineStr">
        <is>
          <t>Build</t>
        </is>
      </c>
      <c r="G68" s="23" t="inlineStr">
        <is>
          <t>Product Delivery</t>
        </is>
      </c>
      <c r="H68" s="24" t="inlineStr">
        <is>
          <t>Metadata Services Governance and Validation Enhancements</t>
        </is>
      </c>
      <c r="I68" s="24" t="inlineStr">
        <is>
          <t>Enhance Metadata Services with improved sequence creation, schema validation, and governance controls. This will strengthen metadata platform capability by ensuring consistent metadata structures, reducing configuration errors, improving data/model integrity, and supporting better control over metadata-driven application behaviour</t>
        </is>
      </c>
      <c r="J68" s="23" t="inlineStr">
        <is>
          <t>MJ</t>
        </is>
      </c>
      <c r="K68" s="23" t="inlineStr">
        <is>
          <t>Platform</t>
        </is>
      </c>
      <c r="L68" s="23" t="inlineStr">
        <is>
          <t>High</t>
        </is>
      </c>
      <c r="M68" s="23" t="inlineStr">
        <is>
          <t>Not Started</t>
        </is>
      </c>
      <c r="N68" s="25" t="n">
        <v>46299</v>
      </c>
      <c r="O68" s="25" t="n">
        <v>46335</v>
      </c>
      <c r="P68" s="23">
        <f>IF(OR(N68="",O68=""),"",O68-N68+1)</f>
        <v/>
      </c>
      <c r="Q68" s="26" t="n">
        <v>0</v>
      </c>
      <c r="R68" s="23" t="n">
        <v>220</v>
      </c>
      <c r="S68" s="23" t="n">
        <v>0</v>
      </c>
      <c r="T68" s="23">
        <f>S68-R68</f>
        <v/>
      </c>
      <c r="U68" s="27" t="n">
        <v>24200</v>
      </c>
      <c r="V68" s="23" t="inlineStr">
        <is>
          <t>T-063</t>
        </is>
      </c>
      <c r="W68" s="23" t="inlineStr"/>
      <c r="X68" s="23" t="inlineStr"/>
      <c r="Y68" s="24" t="inlineStr">
        <is>
          <t>Confirm kickoff &amp; acceptance criteria</t>
        </is>
      </c>
      <c r="Z68" s="23" t="inlineStr">
        <is>
          <t>R26.Q2</t>
        </is>
      </c>
      <c r="AA68" s="23" t="inlineStr">
        <is>
          <t>Include=Yes | Source=FY27 V1 | Timeline=Q2 FY27</t>
        </is>
      </c>
      <c r="AB68" s="23" t="inlineStr">
        <is>
          <t>No</t>
        </is>
      </c>
    </row>
    <row r="69">
      <c r="A69" s="23" t="inlineStr">
        <is>
          <t>T-065</t>
        </is>
      </c>
      <c r="B69" s="23" t="inlineStr">
        <is>
          <t>CS 2.0 Core — Tech Enhance</t>
        </is>
      </c>
      <c r="C69" s="23" t="inlineStr">
        <is>
          <t>CS 2.0 Core</t>
        </is>
      </c>
      <c r="D69" s="23" t="inlineStr">
        <is>
          <t>Tech Enhance</t>
        </is>
      </c>
      <c r="E69" s="23" t="inlineStr">
        <is>
          <t>Sprint 11</t>
        </is>
      </c>
      <c r="F69" s="23" t="inlineStr">
        <is>
          <t>Build</t>
        </is>
      </c>
      <c r="G69" s="23" t="inlineStr">
        <is>
          <t>Platform</t>
        </is>
      </c>
      <c r="H69" s="24" t="inlineStr">
        <is>
          <t>Connector Specific Property Model Enhancement</t>
        </is>
      </c>
      <c r="I69" s="24" t="inlineStr">
        <is>
          <t>Enhance the connector module to support connector specific attached properties based on each connector’s behaviour and configuration needs. This will improve flexibility, reduce dependency on a fixed JSON structure, and make the connector framework more adaptable for different integration types.</t>
        </is>
      </c>
      <c r="J69" s="23" t="inlineStr">
        <is>
          <t>MJ</t>
        </is>
      </c>
      <c r="K69" s="23" t="inlineStr">
        <is>
          <t>Platform</t>
        </is>
      </c>
      <c r="L69" s="23" t="inlineStr">
        <is>
          <t>High</t>
        </is>
      </c>
      <c r="M69" s="23" t="inlineStr">
        <is>
          <t>Not Started</t>
        </is>
      </c>
      <c r="N69" s="25" t="n">
        <v>46324</v>
      </c>
      <c r="O69" s="25" t="n">
        <v>46350</v>
      </c>
      <c r="P69" s="23">
        <f>IF(OR(N69="",O69=""),"",O69-N69+1)</f>
        <v/>
      </c>
      <c r="Q69" s="26" t="n">
        <v>0</v>
      </c>
      <c r="R69" s="23" t="n">
        <v>160</v>
      </c>
      <c r="S69" s="23" t="n">
        <v>0</v>
      </c>
      <c r="T69" s="23">
        <f>S69-R69</f>
        <v/>
      </c>
      <c r="U69" s="27" t="n">
        <v>17600</v>
      </c>
      <c r="V69" s="23" t="inlineStr">
        <is>
          <t>T-064</t>
        </is>
      </c>
      <c r="W69" s="23" t="inlineStr"/>
      <c r="X69" s="23" t="inlineStr"/>
      <c r="Y69" s="24" t="inlineStr">
        <is>
          <t>Confirm kickoff &amp; acceptance criteria</t>
        </is>
      </c>
      <c r="Z69" s="23" t="inlineStr">
        <is>
          <t>R26.Q2</t>
        </is>
      </c>
      <c r="AA69" s="23" t="inlineStr">
        <is>
          <t>Include=Yes | Source=FY27 V1 | Timeline=Q2 FY27</t>
        </is>
      </c>
      <c r="AB69" s="23" t="inlineStr">
        <is>
          <t>No</t>
        </is>
      </c>
    </row>
    <row r="70">
      <c r="A70" s="23" t="inlineStr">
        <is>
          <t>T-066</t>
        </is>
      </c>
      <c r="B70" s="23" t="inlineStr">
        <is>
          <t>CS 2.0 Core — Tech Maintenance</t>
        </is>
      </c>
      <c r="C70" s="23" t="inlineStr">
        <is>
          <t>CS 2.0 Core</t>
        </is>
      </c>
      <c r="D70" s="23" t="inlineStr">
        <is>
          <t>Tech Maintenance</t>
        </is>
      </c>
      <c r="E70" s="23" t="inlineStr">
        <is>
          <t>Sprint 12</t>
        </is>
      </c>
      <c r="F70" s="23" t="inlineStr">
        <is>
          <t>Hypercare</t>
        </is>
      </c>
      <c r="G70" s="23" t="inlineStr">
        <is>
          <t>Reliability</t>
        </is>
      </c>
      <c r="H70" s="24" t="inlineStr">
        <is>
          <t>Disaster Recovery Drill and Runbook Execution</t>
        </is>
      </c>
      <c r="I70" s="24" t="inlineStr">
        <is>
          <t>Perform Disaster Recovery activity as per planned schedule - Perform the scheduled Disaster Recovery activity in the London region by executing the approved DR runbook, validating infrastructure, application, and data availability, coordinating failover/failback activities, documenting observations, and updating the runbook based on the exercise findings.</t>
        </is>
      </c>
      <c r="J70" s="23" t="inlineStr">
        <is>
          <t>Jawahar</t>
        </is>
      </c>
      <c r="K70" s="23" t="inlineStr">
        <is>
          <t>Platform</t>
        </is>
      </c>
      <c r="L70" s="23" t="inlineStr">
        <is>
          <t>Critical</t>
        </is>
      </c>
      <c r="M70" s="23" t="inlineStr">
        <is>
          <t>Not Started</t>
        </is>
      </c>
      <c r="N70" s="25" t="n">
        <v>46331</v>
      </c>
      <c r="O70" s="25" t="n">
        <v>46337</v>
      </c>
      <c r="P70" s="23">
        <f>IF(OR(N70="",O70=""),"",O70-N70+1)</f>
        <v/>
      </c>
      <c r="Q70" s="26" t="n">
        <v>0</v>
      </c>
      <c r="R70" s="23" t="n">
        <v>40</v>
      </c>
      <c r="S70" s="23" t="n">
        <v>0</v>
      </c>
      <c r="T70" s="23">
        <f>S70-R70</f>
        <v/>
      </c>
      <c r="U70" s="27" t="n">
        <v>4400</v>
      </c>
      <c r="V70" s="23" t="inlineStr">
        <is>
          <t>T-065</t>
        </is>
      </c>
      <c r="W70" s="23" t="inlineStr"/>
      <c r="X70" s="23" t="inlineStr"/>
      <c r="Y70" s="24" t="inlineStr">
        <is>
          <t>Confirm kickoff &amp; acceptance criteria</t>
        </is>
      </c>
      <c r="Z70" s="23" t="inlineStr">
        <is>
          <t>R26.Q2</t>
        </is>
      </c>
      <c r="AA70" s="23" t="inlineStr">
        <is>
          <t>Include=Yes | Source=FY27 V1 | Timeline=Q2 FY27</t>
        </is>
      </c>
      <c r="AB70" s="23" t="inlineStr">
        <is>
          <t>No</t>
        </is>
      </c>
    </row>
    <row r="71">
      <c r="A71" s="23" t="inlineStr">
        <is>
          <t>T-067</t>
        </is>
      </c>
      <c r="B71" s="23" t="inlineStr">
        <is>
          <t>CS 2.0 Core — Tech Maintenance</t>
        </is>
      </c>
      <c r="C71" s="23" t="inlineStr">
        <is>
          <t>CS 2.0 Core</t>
        </is>
      </c>
      <c r="D71" s="23" t="inlineStr">
        <is>
          <t>Tech Maintenance</t>
        </is>
      </c>
      <c r="E71" s="23" t="inlineStr">
        <is>
          <t>Sprint 14</t>
        </is>
      </c>
      <c r="F71" s="23" t="inlineStr">
        <is>
          <t>Hypercare</t>
        </is>
      </c>
      <c r="G71" s="23" t="inlineStr">
        <is>
          <t>Reliability</t>
        </is>
      </c>
      <c r="H71" s="24" t="inlineStr">
        <is>
          <t>Application Issue Fixes and Remediation</t>
        </is>
      </c>
      <c r="I71" s="24" t="inlineStr">
        <is>
          <t>Issue Fixes - Analyse and fix application issues reported by delivery, internal, QA, or support teams outside planned feature implementation. This includes root cause analysis, required code/configuration fixes, validation, retesting support, and release through the planned delivery process.</t>
        </is>
      </c>
      <c r="J71" s="23" t="inlineStr">
        <is>
          <t>Jawahar</t>
        </is>
      </c>
      <c r="K71" s="23" t="inlineStr">
        <is>
          <t>Platform</t>
        </is>
      </c>
      <c r="L71" s="23" t="inlineStr">
        <is>
          <t>Critical</t>
        </is>
      </c>
      <c r="M71" s="23" t="inlineStr">
        <is>
          <t>Not Started</t>
        </is>
      </c>
      <c r="N71" s="25" t="n">
        <v>46405</v>
      </c>
      <c r="O71" s="25" t="n">
        <v>46474</v>
      </c>
      <c r="P71" s="23">
        <f>IF(OR(N71="",O71=""),"",O71-N71+1)</f>
        <v/>
      </c>
      <c r="Q71" s="26" t="n">
        <v>0</v>
      </c>
      <c r="R71" s="23" t="n">
        <v>420</v>
      </c>
      <c r="S71" s="23" t="n">
        <v>0</v>
      </c>
      <c r="T71" s="23">
        <f>S71-R71</f>
        <v/>
      </c>
      <c r="U71" s="27" t="n">
        <v>46200</v>
      </c>
      <c r="V71" s="23" t="inlineStr"/>
      <c r="W71" s="23" t="inlineStr"/>
      <c r="X71" s="23" t="inlineStr"/>
      <c r="Y71" s="24" t="inlineStr">
        <is>
          <t>Confirm kickoff &amp; acceptance criteria</t>
        </is>
      </c>
      <c r="Z71" s="23" t="inlineStr">
        <is>
          <t>R27.Q1</t>
        </is>
      </c>
      <c r="AA71" s="23" t="inlineStr">
        <is>
          <t>Include=Yes | Source=FY27 V1 | Timeline=Q3 FY27</t>
        </is>
      </c>
      <c r="AB71" s="23" t="inlineStr">
        <is>
          <t>No</t>
        </is>
      </c>
    </row>
    <row r="72">
      <c r="A72" s="23" t="inlineStr">
        <is>
          <t>T-068</t>
        </is>
      </c>
      <c r="B72" s="23" t="inlineStr">
        <is>
          <t>CS 2.0 Core — Tech Maintenance</t>
        </is>
      </c>
      <c r="C72" s="23" t="inlineStr">
        <is>
          <t>CS 2.0 Core</t>
        </is>
      </c>
      <c r="D72" s="23" t="inlineStr">
        <is>
          <t>Tech Maintenance</t>
        </is>
      </c>
      <c r="E72" s="23" t="inlineStr">
        <is>
          <t>Sprint 15</t>
        </is>
      </c>
      <c r="F72" s="23" t="inlineStr">
        <is>
          <t>Hypercare</t>
        </is>
      </c>
      <c r="G72" s="23" t="inlineStr">
        <is>
          <t>Reliability</t>
        </is>
      </c>
      <c r="H72" s="24" t="inlineStr">
        <is>
          <t>GitLab DAST Enablement for Web Application and Admin Console</t>
        </is>
      </c>
      <c r="I72" s="24" t="inlineStr">
        <is>
          <t>Enable DAST for all the deployable services - Enable GitLab DAST for the Web Application and Admin Console to perform runtime vulnerability scanning as part of the GitLab DevSecOps pipeline. This will help identify security issues in deployed application flows and improve release-level security validation</t>
        </is>
      </c>
      <c r="J72" s="23" t="inlineStr">
        <is>
          <t>Jawahar</t>
        </is>
      </c>
      <c r="K72" s="23" t="inlineStr">
        <is>
          <t>Platform</t>
        </is>
      </c>
      <c r="L72" s="23" t="inlineStr">
        <is>
          <t>High</t>
        </is>
      </c>
      <c r="M72" s="23" t="inlineStr">
        <is>
          <t>Not Started</t>
        </is>
      </c>
      <c r="N72" s="25" t="n">
        <v>46413</v>
      </c>
      <c r="O72" s="25" t="n">
        <v>46419</v>
      </c>
      <c r="P72" s="23">
        <f>IF(OR(N72="",O72=""),"",O72-N72+1)</f>
        <v/>
      </c>
      <c r="Q72" s="26" t="n">
        <v>0</v>
      </c>
      <c r="R72" s="23" t="n">
        <v>40</v>
      </c>
      <c r="S72" s="23" t="n">
        <v>0</v>
      </c>
      <c r="T72" s="23">
        <f>S72-R72</f>
        <v/>
      </c>
      <c r="U72" s="27" t="n">
        <v>4400</v>
      </c>
      <c r="V72" s="23" t="inlineStr">
        <is>
          <t>T-067</t>
        </is>
      </c>
      <c r="W72" s="23" t="inlineStr"/>
      <c r="X72" s="23" t="inlineStr"/>
      <c r="Y72" s="24" t="inlineStr">
        <is>
          <t>Confirm kickoff &amp; acceptance criteria</t>
        </is>
      </c>
      <c r="Z72" s="23" t="inlineStr">
        <is>
          <t>R27.Q1</t>
        </is>
      </c>
      <c r="AA72" s="23" t="inlineStr">
        <is>
          <t>Include=Yes | Source=FY27 V1 | Timeline=Q3 FY27</t>
        </is>
      </c>
      <c r="AB72" s="23" t="inlineStr">
        <is>
          <t>No</t>
        </is>
      </c>
    </row>
    <row r="73">
      <c r="A73" s="23" t="inlineStr">
        <is>
          <t>T-069</t>
        </is>
      </c>
      <c r="B73" s="23" t="inlineStr">
        <is>
          <t>CS 2.0 Core — Tech Maintenance</t>
        </is>
      </c>
      <c r="C73" s="23" t="inlineStr">
        <is>
          <t>CS 2.0 Core</t>
        </is>
      </c>
      <c r="D73" s="23" t="inlineStr">
        <is>
          <t>Tech Maintenance</t>
        </is>
      </c>
      <c r="E73" s="23" t="inlineStr">
        <is>
          <t>Sprint 16</t>
        </is>
      </c>
      <c r="F73" s="23" t="inlineStr">
        <is>
          <t>Hypercare</t>
        </is>
      </c>
      <c r="G73" s="23" t="inlineStr">
        <is>
          <t>Reliability</t>
        </is>
      </c>
      <c r="H73" s="24" t="inlineStr">
        <is>
          <t>Release Management, Regression Testing and Test Automation</t>
        </is>
      </c>
      <c r="I73" s="24" t="inlineStr">
        <is>
          <t>Release Management Activities - Regression Testing &amp; Automation - Manage release activities, coordinate deployments, perform regression testing, maintain automation scripts, validate fixes, support release sign-off, and monitor post-release stability. This includes improving regression automation coverage to reduce manual effort and improve release quality.
Note: Reduced this effort considering the release maangement will also go to the respective features, for the delivery customization this will be part of the delivery budget</t>
        </is>
      </c>
      <c r="J73" s="23" t="inlineStr">
        <is>
          <t>Jawahar</t>
        </is>
      </c>
      <c r="K73" s="23" t="inlineStr">
        <is>
          <t>Platform</t>
        </is>
      </c>
      <c r="L73" s="23" t="inlineStr">
        <is>
          <t>Critical</t>
        </is>
      </c>
      <c r="M73" s="23" t="inlineStr">
        <is>
          <t>Not Started</t>
        </is>
      </c>
      <c r="N73" s="25" t="n">
        <v>46400</v>
      </c>
      <c r="O73" s="25" t="n">
        <v>46424</v>
      </c>
      <c r="P73" s="23">
        <f>IF(OR(N73="",O73=""),"",O73-N73+1)</f>
        <v/>
      </c>
      <c r="Q73" s="26" t="n">
        <v>0</v>
      </c>
      <c r="R73" s="23" t="n">
        <v>150</v>
      </c>
      <c r="S73" s="23" t="n">
        <v>0</v>
      </c>
      <c r="T73" s="23">
        <f>S73-R73</f>
        <v/>
      </c>
      <c r="U73" s="27" t="n">
        <v>16500</v>
      </c>
      <c r="V73" s="23" t="inlineStr">
        <is>
          <t>T-068</t>
        </is>
      </c>
      <c r="W73" s="23" t="inlineStr"/>
      <c r="X73" s="23" t="inlineStr">
        <is>
          <t>R-15</t>
        </is>
      </c>
      <c r="Y73" s="24" t="inlineStr">
        <is>
          <t>Confirm kickoff &amp; acceptance criteria</t>
        </is>
      </c>
      <c r="Z73" s="23" t="inlineStr">
        <is>
          <t>R27.Q1</t>
        </is>
      </c>
      <c r="AA73" s="23" t="inlineStr">
        <is>
          <t>Include=Yes | Source=FY27 V1 | Timeline=Q3 FY27</t>
        </is>
      </c>
      <c r="AB73" s="23" t="inlineStr">
        <is>
          <t>No</t>
        </is>
      </c>
    </row>
    <row r="74">
      <c r="A74" s="23" t="inlineStr">
        <is>
          <t>T-070</t>
        </is>
      </c>
      <c r="B74" s="23" t="inlineStr">
        <is>
          <t>CS 2.0 Core — Tech Maintenance</t>
        </is>
      </c>
      <c r="C74" s="23" t="inlineStr">
        <is>
          <t>CS 2.0 Core</t>
        </is>
      </c>
      <c r="D74" s="23" t="inlineStr">
        <is>
          <t>Tech Maintenance</t>
        </is>
      </c>
      <c r="E74" s="23" t="inlineStr">
        <is>
          <t>Sprint 17</t>
        </is>
      </c>
      <c r="F74" s="23" t="inlineStr">
        <is>
          <t>Hypercare</t>
        </is>
      </c>
      <c r="G74" s="23" t="inlineStr">
        <is>
          <t>Reliability</t>
        </is>
      </c>
      <c r="H74" s="24" t="inlineStr">
        <is>
          <t>Performance Testing, Tuning and Test Suite Management</t>
        </is>
      </c>
      <c r="I74" s="24" t="inlineStr">
        <is>
          <t>Perform performance testing as per the planned test schedule, followed by performance fine-tuning, regression testing, test suite maintenance, fixture updates, and automation improvements. This includes adding or removing test fixtures, maintaining test scripts, validating performance improvements, and ensuring the test suite remains aligned with application changes.
Note: Reduced this effort considering the release maangement will also go to the respective features</t>
        </is>
      </c>
      <c r="J74" s="23" t="inlineStr">
        <is>
          <t>Jawahar</t>
        </is>
      </c>
      <c r="K74" s="23" t="inlineStr">
        <is>
          <t>Platform</t>
        </is>
      </c>
      <c r="L74" s="23" t="inlineStr">
        <is>
          <t>High</t>
        </is>
      </c>
      <c r="M74" s="23" t="inlineStr">
        <is>
          <t>Not Started</t>
        </is>
      </c>
      <c r="N74" s="25" t="n">
        <v>46444</v>
      </c>
      <c r="O74" s="25" t="n">
        <v>46468</v>
      </c>
      <c r="P74" s="23">
        <f>IF(OR(N74="",O74=""),"",O74-N74+1)</f>
        <v/>
      </c>
      <c r="Q74" s="26" t="n">
        <v>0</v>
      </c>
      <c r="R74" s="23" t="n">
        <v>150</v>
      </c>
      <c r="S74" s="23" t="n">
        <v>0</v>
      </c>
      <c r="T74" s="23">
        <f>S74-R74</f>
        <v/>
      </c>
      <c r="U74" s="27" t="n">
        <v>16500</v>
      </c>
      <c r="V74" s="23" t="inlineStr">
        <is>
          <t>T-069</t>
        </is>
      </c>
      <c r="W74" s="23" t="inlineStr"/>
      <c r="X74" s="23" t="inlineStr"/>
      <c r="Y74" s="24" t="inlineStr">
        <is>
          <t>Confirm kickoff &amp; acceptance criteria</t>
        </is>
      </c>
      <c r="Z74" s="23" t="inlineStr">
        <is>
          <t>R27.Q1</t>
        </is>
      </c>
      <c r="AA74" s="23" t="inlineStr">
        <is>
          <t>Include=Yes | Source=FY27 V1 | Timeline=Q3 FY27</t>
        </is>
      </c>
      <c r="AB74" s="23" t="inlineStr">
        <is>
          <t>No</t>
        </is>
      </c>
    </row>
    <row r="75">
      <c r="A75" s="23" t="inlineStr">
        <is>
          <t>T-071</t>
        </is>
      </c>
      <c r="B75" s="23" t="inlineStr">
        <is>
          <t>CS 2.0 Core — Tech Maintenance</t>
        </is>
      </c>
      <c r="C75" s="23" t="inlineStr">
        <is>
          <t>CS 2.0 Core</t>
        </is>
      </c>
      <c r="D75" s="23" t="inlineStr">
        <is>
          <t>Tech Maintenance</t>
        </is>
      </c>
      <c r="E75" s="23" t="inlineStr">
        <is>
          <t>Sprint 18</t>
        </is>
      </c>
      <c r="F75" s="23" t="inlineStr">
        <is>
          <t>Hypercare</t>
        </is>
      </c>
      <c r="G75" s="23" t="inlineStr">
        <is>
          <t>Reliability</t>
        </is>
      </c>
      <c r="H75" s="24" t="inlineStr">
        <is>
          <t>DevOps Management, Improvements and Pipeline Monitoring</t>
        </is>
      </c>
      <c r="I75" s="24" t="inlineStr">
        <is>
          <t>Devops Management/Improvement/Monitoring - Manage and improve the existing DevOps setup by enhancing CI/CD pipelines, adding new deployment workflows, optimizing automation, monitoring pipeline health, troubleshooting deployment issues, and supporting DevOps changes required for new services, environments, and platform upgrades.</t>
        </is>
      </c>
      <c r="J75" s="23" t="inlineStr">
        <is>
          <t>Jawahar</t>
        </is>
      </c>
      <c r="K75" s="23" t="inlineStr">
        <is>
          <t>Platform</t>
        </is>
      </c>
      <c r="L75" s="23" t="inlineStr">
        <is>
          <t>Critical</t>
        </is>
      </c>
      <c r="M75" s="23" t="inlineStr">
        <is>
          <t>Not Started</t>
        </is>
      </c>
      <c r="N75" s="25" t="n">
        <v>46434</v>
      </c>
      <c r="O75" s="25" t="n">
        <v>46439</v>
      </c>
      <c r="P75" s="23">
        <f>IF(OR(N75="",O75=""),"",O75-N75+1)</f>
        <v/>
      </c>
      <c r="Q75" s="26" t="n">
        <v>0</v>
      </c>
      <c r="R75" s="23" t="n">
        <v>36</v>
      </c>
      <c r="S75" s="23" t="n">
        <v>0</v>
      </c>
      <c r="T75" s="23">
        <f>S75-R75</f>
        <v/>
      </c>
      <c r="U75" s="27" t="n">
        <v>3960</v>
      </c>
      <c r="V75" s="23" t="inlineStr">
        <is>
          <t>T-070</t>
        </is>
      </c>
      <c r="W75" s="23" t="inlineStr"/>
      <c r="X75" s="23" t="inlineStr"/>
      <c r="Y75" s="24" t="inlineStr">
        <is>
          <t>Confirm kickoff &amp; acceptance criteria</t>
        </is>
      </c>
      <c r="Z75" s="23" t="inlineStr">
        <is>
          <t>R27.Q1</t>
        </is>
      </c>
      <c r="AA75" s="23" t="inlineStr">
        <is>
          <t>Include=Yes | Source=FY27 V1 | Timeline=Q3 FY27</t>
        </is>
      </c>
      <c r="AB75" s="23" t="inlineStr">
        <is>
          <t>No</t>
        </is>
      </c>
    </row>
    <row r="76">
      <c r="A76" s="23" t="inlineStr">
        <is>
          <t>T-072</t>
        </is>
      </c>
      <c r="B76" s="23" t="inlineStr">
        <is>
          <t>CS 2.0 Core — Tech Maintenance</t>
        </is>
      </c>
      <c r="C76" s="23" t="inlineStr">
        <is>
          <t>CS 2.0 Core</t>
        </is>
      </c>
      <c r="D76" s="23" t="inlineStr">
        <is>
          <t>Tech Maintenance</t>
        </is>
      </c>
      <c r="E76" s="23" t="inlineStr">
        <is>
          <t>Sprint 13</t>
        </is>
      </c>
      <c r="F76" s="23" t="inlineStr">
        <is>
          <t>Hypercare</t>
        </is>
      </c>
      <c r="G76" s="23" t="inlineStr">
        <is>
          <t>Reliability</t>
        </is>
      </c>
      <c r="H76" s="24" t="inlineStr">
        <is>
          <t>Release Based Feature Documentation</t>
        </is>
      </c>
      <c r="I76" s="24" t="inlineStr">
        <is>
          <t>Create release based feature documentation covering new features, functional changes, configuration steps, usage flows, dependencies, screenshots, and known limitations. This will support delivery, QA, support, product, and implementation teams in understanding and adopting each release</t>
        </is>
      </c>
      <c r="J76" s="23" t="inlineStr">
        <is>
          <t>Jawahar</t>
        </is>
      </c>
      <c r="K76" s="23" t="inlineStr">
        <is>
          <t>Platform</t>
        </is>
      </c>
      <c r="L76" s="23" t="inlineStr">
        <is>
          <t>Critical</t>
        </is>
      </c>
      <c r="M76" s="23" t="inlineStr">
        <is>
          <t>Not Started</t>
        </is>
      </c>
      <c r="N76" s="25" t="n">
        <v>46430</v>
      </c>
      <c r="O76" s="25" t="n">
        <v>46435</v>
      </c>
      <c r="P76" s="23">
        <f>IF(OR(N76="",O76=""),"",O76-N76+1)</f>
        <v/>
      </c>
      <c r="Q76" s="26" t="n">
        <v>0</v>
      </c>
      <c r="R76" s="23" t="n">
        <v>36</v>
      </c>
      <c r="S76" s="23" t="n">
        <v>0</v>
      </c>
      <c r="T76" s="23">
        <f>S76-R76</f>
        <v/>
      </c>
      <c r="U76" s="27" t="n">
        <v>3960</v>
      </c>
      <c r="V76" s="23" t="inlineStr">
        <is>
          <t>T-071</t>
        </is>
      </c>
      <c r="W76" s="23" t="inlineStr"/>
      <c r="X76" s="23" t="inlineStr"/>
      <c r="Y76" s="24" t="inlineStr">
        <is>
          <t>Confirm kickoff &amp; acceptance criteria</t>
        </is>
      </c>
      <c r="Z76" s="23" t="inlineStr">
        <is>
          <t>R27.Q1</t>
        </is>
      </c>
      <c r="AA76" s="23" t="inlineStr">
        <is>
          <t>Include=Yes | Source=FY27 V1 | Timeline=Q3 FY27</t>
        </is>
      </c>
      <c r="AB76" s="23" t="inlineStr">
        <is>
          <t>No</t>
        </is>
      </c>
    </row>
    <row r="77">
      <c r="A77" s="23" t="inlineStr">
        <is>
          <t>T-073</t>
        </is>
      </c>
      <c r="B77" s="23" t="inlineStr">
        <is>
          <t>CS 2.0 Core — Tech Maintenance</t>
        </is>
      </c>
      <c r="C77" s="23" t="inlineStr">
        <is>
          <t>CS 2.0 Core</t>
        </is>
      </c>
      <c r="D77" s="23" t="inlineStr">
        <is>
          <t>Tech Maintenance</t>
        </is>
      </c>
      <c r="E77" s="23" t="inlineStr">
        <is>
          <t>Sprint 14</t>
        </is>
      </c>
      <c r="F77" s="23" t="inlineStr">
        <is>
          <t>Hypercare</t>
        </is>
      </c>
      <c r="G77" s="23" t="inlineStr">
        <is>
          <t>Reliability</t>
        </is>
      </c>
      <c r="H77" s="24" t="inlineStr">
        <is>
          <t>Monthly Library Upgrade Assessment and Remediation Across Services</t>
        </is>
      </c>
      <c r="I77" s="24" t="inlineStr">
        <is>
          <t>Perform monthly scheduled library and package upgrade assessment across 20+ services, including web apps, Node.js services, workers, and .NET services. This includes identifying available upgrades, assessing security and compatibility impact, handling breaking changes, applying required fixes, validating builds, and supporting regression/release readiness.</t>
        </is>
      </c>
      <c r="J77" s="23" t="inlineStr">
        <is>
          <t>Jawahar</t>
        </is>
      </c>
      <c r="K77" s="23" t="inlineStr">
        <is>
          <t>Platform</t>
        </is>
      </c>
      <c r="L77" s="23" t="inlineStr">
        <is>
          <t>Critical</t>
        </is>
      </c>
      <c r="M77" s="23" t="inlineStr">
        <is>
          <t>Not Started</t>
        </is>
      </c>
      <c r="N77" s="25" t="n">
        <v>46469</v>
      </c>
      <c r="O77" s="25" t="n">
        <v>46473</v>
      </c>
      <c r="P77" s="23">
        <f>IF(OR(N77="",O77=""),"",O77-N77+1)</f>
        <v/>
      </c>
      <c r="Q77" s="26" t="n">
        <v>0</v>
      </c>
      <c r="R77" s="23" t="n">
        <v>30</v>
      </c>
      <c r="S77" s="23" t="n">
        <v>0</v>
      </c>
      <c r="T77" s="23">
        <f>S77-R77</f>
        <v/>
      </c>
      <c r="U77" s="27" t="n">
        <v>3300</v>
      </c>
      <c r="V77" s="23" t="inlineStr">
        <is>
          <t>T-072</t>
        </is>
      </c>
      <c r="W77" s="23" t="inlineStr"/>
      <c r="X77" s="23" t="inlineStr"/>
      <c r="Y77" s="24" t="inlineStr">
        <is>
          <t>Confirm kickoff &amp; acceptance criteria</t>
        </is>
      </c>
      <c r="Z77" s="23" t="inlineStr">
        <is>
          <t>R27.Q1</t>
        </is>
      </c>
      <c r="AA77" s="23" t="inlineStr">
        <is>
          <t>Include=Yes | Source=FY27 V1 | Timeline=Q3 FY27</t>
        </is>
      </c>
      <c r="AB77" s="23" t="inlineStr">
        <is>
          <t>No</t>
        </is>
      </c>
    </row>
    <row r="78">
      <c r="A78" s="23" t="inlineStr">
        <is>
          <t>T-074</t>
        </is>
      </c>
      <c r="B78" s="23" t="inlineStr">
        <is>
          <t>CS 2.0 Core — Tech Maintenance</t>
        </is>
      </c>
      <c r="C78" s="23" t="inlineStr">
        <is>
          <t>CS 2.0 Core</t>
        </is>
      </c>
      <c r="D78" s="23" t="inlineStr">
        <is>
          <t>Tech Maintenance</t>
        </is>
      </c>
      <c r="E78" s="23" t="inlineStr">
        <is>
          <t>Sprint 15</t>
        </is>
      </c>
      <c r="F78" s="23" t="inlineStr">
        <is>
          <t>Hypercare</t>
        </is>
      </c>
      <c r="G78" s="23" t="inlineStr">
        <is>
          <t>Reliability</t>
        </is>
      </c>
      <c r="H78" s="24" t="inlineStr">
        <is>
          <t>Cloud Usage Chargeback Model, Monthly Tenant-Level Allocation</t>
        </is>
      </c>
      <c r="I78" s="24" t="inlineStr">
        <is>
          <t>Cloud Usage Charge back model (Monthly) - Prepare monthly tenant-level cloud usage chargeback by collecting cloud consumption data, applying agreed allocation rules, validating usage/cost anomalies, and publishing the monthly chargeback summary for each tenant.</t>
        </is>
      </c>
      <c r="J78" s="23" t="inlineStr">
        <is>
          <t>Jawahar</t>
        </is>
      </c>
      <c r="K78" s="23" t="inlineStr">
        <is>
          <t>Platform</t>
        </is>
      </c>
      <c r="L78" s="23" t="inlineStr">
        <is>
          <t>Critical</t>
        </is>
      </c>
      <c r="M78" s="23" t="inlineStr">
        <is>
          <t>Not Started</t>
        </is>
      </c>
      <c r="N78" s="25" t="n">
        <v>46452</v>
      </c>
      <c r="O78" s="25" t="n">
        <v>46456</v>
      </c>
      <c r="P78" s="23">
        <f>IF(OR(N78="",O78=""),"",O78-N78+1)</f>
        <v/>
      </c>
      <c r="Q78" s="26" t="n">
        <v>0</v>
      </c>
      <c r="R78" s="23" t="n">
        <v>12</v>
      </c>
      <c r="S78" s="23" t="n">
        <v>0</v>
      </c>
      <c r="T78" s="23">
        <f>S78-R78</f>
        <v/>
      </c>
      <c r="U78" s="27" t="n">
        <v>1320</v>
      </c>
      <c r="V78" s="23" t="inlineStr">
        <is>
          <t>T-073</t>
        </is>
      </c>
      <c r="W78" s="23" t="inlineStr"/>
      <c r="X78" s="23" t="inlineStr"/>
      <c r="Y78" s="24" t="inlineStr">
        <is>
          <t>Confirm kickoff &amp; acceptance criteria</t>
        </is>
      </c>
      <c r="Z78" s="23" t="inlineStr">
        <is>
          <t>R27.Q1</t>
        </is>
      </c>
      <c r="AA78" s="23" t="inlineStr">
        <is>
          <t>Include=Yes | Source=FY27 V1 | Timeline=Q3 FY27</t>
        </is>
      </c>
      <c r="AB78" s="23" t="inlineStr">
        <is>
          <t>No</t>
        </is>
      </c>
    </row>
    <row r="79">
      <c r="A79" s="23" t="inlineStr">
        <is>
          <t>T-075</t>
        </is>
      </c>
      <c r="B79" s="23" t="inlineStr">
        <is>
          <t>CS 2.0 Core — Tech Maintenance</t>
        </is>
      </c>
      <c r="C79" s="23" t="inlineStr">
        <is>
          <t>CS 2.0 Core</t>
        </is>
      </c>
      <c r="D79" s="23" t="inlineStr">
        <is>
          <t>Tech Maintenance</t>
        </is>
      </c>
      <c r="E79" s="23" t="inlineStr">
        <is>
          <t>Sprint 16</t>
        </is>
      </c>
      <c r="F79" s="23" t="inlineStr">
        <is>
          <t>Hypercare</t>
        </is>
      </c>
      <c r="G79" s="23" t="inlineStr">
        <is>
          <t>Reliability</t>
        </is>
      </c>
      <c r="H79" s="24" t="inlineStr">
        <is>
          <t>Yearly External VAPT for Web Application</t>
        </is>
      </c>
      <c r="I79" s="24" t="inlineStr">
        <is>
          <t>Perform VAPT for web application as per planned schedule - Perform yearly external VAPT for the Web Application by coordinating with the external security team, providing required access and application details, reviewing reported findings, fixing applicable vulnerabilities, and supporting retesting and closure of identified issues.</t>
        </is>
      </c>
      <c r="J79" s="23" t="inlineStr">
        <is>
          <t>Jawahar</t>
        </is>
      </c>
      <c r="K79" s="23" t="inlineStr">
        <is>
          <t>Platform</t>
        </is>
      </c>
      <c r="L79" s="23" t="inlineStr">
        <is>
          <t>Critical</t>
        </is>
      </c>
      <c r="M79" s="23" t="inlineStr">
        <is>
          <t>Not Started</t>
        </is>
      </c>
      <c r="N79" s="25" t="n">
        <v>46401</v>
      </c>
      <c r="O79" s="25" t="n">
        <v>46437</v>
      </c>
      <c r="P79" s="23">
        <f>IF(OR(N79="",O79=""),"",O79-N79+1)</f>
        <v/>
      </c>
      <c r="Q79" s="26" t="n">
        <v>0</v>
      </c>
      <c r="R79" s="23" t="n">
        <v>220</v>
      </c>
      <c r="S79" s="23" t="n">
        <v>0</v>
      </c>
      <c r="T79" s="23">
        <f>S79-R79</f>
        <v/>
      </c>
      <c r="U79" s="27" t="n">
        <v>24200</v>
      </c>
      <c r="V79" s="23" t="inlineStr">
        <is>
          <t>T-074</t>
        </is>
      </c>
      <c r="W79" s="23" t="inlineStr"/>
      <c r="X79" s="23" t="inlineStr"/>
      <c r="Y79" s="24" t="inlineStr">
        <is>
          <t>Confirm kickoff &amp; acceptance criteria</t>
        </is>
      </c>
      <c r="Z79" s="23" t="inlineStr">
        <is>
          <t>R27.Q1</t>
        </is>
      </c>
      <c r="AA79" s="23" t="inlineStr">
        <is>
          <t>Include=Yes | Source=FY27 V1 | Timeline=Q3 FY27</t>
        </is>
      </c>
      <c r="AB79" s="23" t="inlineStr">
        <is>
          <t>No</t>
        </is>
      </c>
    </row>
    <row r="80">
      <c r="A80" s="23" t="inlineStr">
        <is>
          <t>T-076</t>
        </is>
      </c>
      <c r="B80" s="23" t="inlineStr">
        <is>
          <t>CS 2.0 Core — Tech Maintenance</t>
        </is>
      </c>
      <c r="C80" s="23" t="inlineStr">
        <is>
          <t>CS 2.0 Core</t>
        </is>
      </c>
      <c r="D80" s="23" t="inlineStr">
        <is>
          <t>Tech Maintenance</t>
        </is>
      </c>
      <c r="E80" s="23" t="inlineStr">
        <is>
          <t>Sprint 17</t>
        </is>
      </c>
      <c r="F80" s="23" t="inlineStr">
        <is>
          <t>Hypercare</t>
        </is>
      </c>
      <c r="G80" s="23" t="inlineStr">
        <is>
          <t>Reliability</t>
        </is>
      </c>
      <c r="H80" s="24" t="inlineStr">
        <is>
          <t>Yearly External VAPT for Mobile Application</t>
        </is>
      </c>
      <c r="I80" s="24" t="inlineStr">
        <is>
          <t>Perform VAPT for mobile application as per planned schedule - Perform yearly external VAPT for both iOS and Android mobile applications by coordinating with the external security team, sharing required app builds and test access, reviewing reported findings, fixing applicable vulnerabilities, and supporting retesting and closure of identified issues.</t>
        </is>
      </c>
      <c r="J80" s="23" t="inlineStr">
        <is>
          <t>Jawahar</t>
        </is>
      </c>
      <c r="K80" s="23" t="inlineStr">
        <is>
          <t>Platform</t>
        </is>
      </c>
      <c r="L80" s="23" t="inlineStr">
        <is>
          <t>Critical</t>
        </is>
      </c>
      <c r="M80" s="23" t="inlineStr">
        <is>
          <t>Not Started</t>
        </is>
      </c>
      <c r="N80" s="25" t="n">
        <v>46438</v>
      </c>
      <c r="O80" s="25" t="n">
        <v>46454</v>
      </c>
      <c r="P80" s="23">
        <f>IF(OR(N80="",O80=""),"",O80-N80+1)</f>
        <v/>
      </c>
      <c r="Q80" s="26" t="n">
        <v>0</v>
      </c>
      <c r="R80" s="23" t="n">
        <v>100</v>
      </c>
      <c r="S80" s="23" t="n">
        <v>0</v>
      </c>
      <c r="T80" s="23">
        <f>S80-R80</f>
        <v/>
      </c>
      <c r="U80" s="27" t="n">
        <v>11000</v>
      </c>
      <c r="V80" s="23" t="inlineStr">
        <is>
          <t>T-075</t>
        </is>
      </c>
      <c r="W80" s="23" t="inlineStr"/>
      <c r="X80" s="23" t="inlineStr"/>
      <c r="Y80" s="24" t="inlineStr">
        <is>
          <t>Confirm kickoff &amp; acceptance criteria</t>
        </is>
      </c>
      <c r="Z80" s="23" t="inlineStr">
        <is>
          <t>R27.Q1</t>
        </is>
      </c>
      <c r="AA80" s="23" t="inlineStr">
        <is>
          <t>Include=Yes | Source=FY27 V1 | Timeline=Q3 FY27</t>
        </is>
      </c>
      <c r="AB80" s="23" t="inlineStr">
        <is>
          <t>No</t>
        </is>
      </c>
    </row>
    <row r="81">
      <c r="A81" s="23" t="inlineStr">
        <is>
          <t>T-077</t>
        </is>
      </c>
      <c r="B81" s="23" t="inlineStr">
        <is>
          <t>CS 2.0 Core — Tech Enhance</t>
        </is>
      </c>
      <c r="C81" s="23" t="inlineStr">
        <is>
          <t>CS 2.0 Core</t>
        </is>
      </c>
      <c r="D81" s="23" t="inlineStr">
        <is>
          <t>Tech Enhance</t>
        </is>
      </c>
      <c r="E81" s="23" t="inlineStr">
        <is>
          <t>Sprint 18</t>
        </is>
      </c>
      <c r="F81" s="23" t="inlineStr">
        <is>
          <t>Build</t>
        </is>
      </c>
      <c r="G81" s="23" t="inlineStr">
        <is>
          <t>Platform</t>
        </is>
      </c>
      <c r="H81" s="24" t="inlineStr">
        <is>
          <t>Form Builder Decoupling into Standalone NPM Package</t>
        </is>
      </c>
      <c r="I81" s="24" t="inlineStr">
        <is>
          <t>Decouple the existing Form Builder from the Next.js codebase and convert it into a standalone reusable NPM package. This will improve modularity, enable reuse across multiple applications, reduce dependency on the main codebase, simplify maintenance, and support independent versioning and release management for Form Builder changes.</t>
        </is>
      </c>
      <c r="J81" s="23" t="inlineStr">
        <is>
          <t>MJ</t>
        </is>
      </c>
      <c r="K81" s="23" t="inlineStr">
        <is>
          <t>Platform</t>
        </is>
      </c>
      <c r="L81" s="23" t="inlineStr">
        <is>
          <t>Medium</t>
        </is>
      </c>
      <c r="M81" s="23" t="inlineStr">
        <is>
          <t>Not Started</t>
        </is>
      </c>
      <c r="N81" s="25" t="n">
        <v>46412</v>
      </c>
      <c r="O81" s="25" t="n">
        <v>46434</v>
      </c>
      <c r="P81" s="23">
        <f>IF(OR(N81="",O81=""),"",O81-N81+1)</f>
        <v/>
      </c>
      <c r="Q81" s="26" t="n">
        <v>0</v>
      </c>
      <c r="R81" s="23" t="n">
        <v>140</v>
      </c>
      <c r="S81" s="23" t="n">
        <v>0</v>
      </c>
      <c r="T81" s="23">
        <f>S81-R81</f>
        <v/>
      </c>
      <c r="U81" s="27" t="n">
        <v>15400</v>
      </c>
      <c r="V81" s="23" t="inlineStr">
        <is>
          <t>T-076</t>
        </is>
      </c>
      <c r="W81" s="23" t="inlineStr"/>
      <c r="X81" s="23" t="inlineStr"/>
      <c r="Y81" s="24" t="inlineStr">
        <is>
          <t>Confirm kickoff &amp; acceptance criteria</t>
        </is>
      </c>
      <c r="Z81" s="23" t="inlineStr">
        <is>
          <t>R27.Q1</t>
        </is>
      </c>
      <c r="AA81" s="23" t="inlineStr">
        <is>
          <t>Include=No | Source=FY27 V1 | Timeline=Q3 FY27</t>
        </is>
      </c>
      <c r="AB81" s="23" t="inlineStr">
        <is>
          <t>No</t>
        </is>
      </c>
    </row>
    <row r="82">
      <c r="A82" s="23" t="inlineStr">
        <is>
          <t>T-078</t>
        </is>
      </c>
      <c r="B82" s="23" t="inlineStr">
        <is>
          <t>CS 2.0 Core — Tech Enhance</t>
        </is>
      </c>
      <c r="C82" s="23" t="inlineStr">
        <is>
          <t>CS 2.0 Core</t>
        </is>
      </c>
      <c r="D82" s="23" t="inlineStr">
        <is>
          <t>Tech Enhance</t>
        </is>
      </c>
      <c r="E82" s="23" t="inlineStr">
        <is>
          <t>Sprint 13</t>
        </is>
      </c>
      <c r="F82" s="23" t="inlineStr">
        <is>
          <t>Build</t>
        </is>
      </c>
      <c r="G82" s="23" t="inlineStr">
        <is>
          <t>Product Delivery</t>
        </is>
      </c>
      <c r="H82" s="24" t="inlineStr">
        <is>
          <t>View Builder Governance and Performance Enhancement</t>
        </is>
      </c>
      <c r="I82" s="24" t="inlineStr">
        <is>
          <t>Enhance the existing View Builder to improve usability, performance, and governance. This includes introducing controls to manage excessive view creation, optimizing view execution, improving user experience, defining limits or approval rules where required, and reducing the risk of performance issues caused by unmanaged or duplicate user-created views.</t>
        </is>
      </c>
      <c r="J82" s="23" t="inlineStr">
        <is>
          <t>MJ</t>
        </is>
      </c>
      <c r="K82" s="23" t="inlineStr">
        <is>
          <t>Platform</t>
        </is>
      </c>
      <c r="L82" s="23" t="inlineStr">
        <is>
          <t>Medium</t>
        </is>
      </c>
      <c r="M82" s="23" t="inlineStr">
        <is>
          <t>Not Started</t>
        </is>
      </c>
      <c r="N82" s="25" t="n">
        <v>46398</v>
      </c>
      <c r="O82" s="25" t="n">
        <v>46444</v>
      </c>
      <c r="P82" s="23">
        <f>IF(OR(N82="",O82=""),"",O82-N82+1)</f>
        <v/>
      </c>
      <c r="Q82" s="26" t="n">
        <v>0</v>
      </c>
      <c r="R82" s="23" t="n">
        <v>280</v>
      </c>
      <c r="S82" s="23" t="n">
        <v>0</v>
      </c>
      <c r="T82" s="23">
        <f>S82-R82</f>
        <v/>
      </c>
      <c r="U82" s="27" t="n">
        <v>30800</v>
      </c>
      <c r="V82" s="23" t="inlineStr">
        <is>
          <t>T-077</t>
        </is>
      </c>
      <c r="W82" s="23" t="inlineStr"/>
      <c r="X82" s="23" t="inlineStr"/>
      <c r="Y82" s="24" t="inlineStr">
        <is>
          <t>Confirm kickoff &amp; acceptance criteria</t>
        </is>
      </c>
      <c r="Z82" s="23" t="inlineStr">
        <is>
          <t>R27.Q1</t>
        </is>
      </c>
      <c r="AA82" s="23" t="inlineStr">
        <is>
          <t>Include=Yes | Source=FY27 V1 | Timeline=Q3 FY27</t>
        </is>
      </c>
      <c r="AB82" s="23" t="inlineStr">
        <is>
          <t>No</t>
        </is>
      </c>
    </row>
    <row r="83">
      <c r="A83" s="23" t="inlineStr">
        <is>
          <t>T-079</t>
        </is>
      </c>
      <c r="B83" s="23" t="inlineStr">
        <is>
          <t>CS 2.0 Core — Tech Enhance</t>
        </is>
      </c>
      <c r="C83" s="23" t="inlineStr">
        <is>
          <t>CS 2.0 Core</t>
        </is>
      </c>
      <c r="D83" s="23" t="inlineStr">
        <is>
          <t>Tech Enhance</t>
        </is>
      </c>
      <c r="E83" s="23" t="inlineStr">
        <is>
          <t>Sprint 14</t>
        </is>
      </c>
      <c r="F83" s="23" t="inlineStr">
        <is>
          <t>Build</t>
        </is>
      </c>
      <c r="G83" s="23" t="inlineStr">
        <is>
          <t>Product Delivery</t>
        </is>
      </c>
      <c r="H83" s="24" t="inlineStr">
        <is>
          <t>Application Health Monitoring Dashboard</t>
        </is>
      </c>
      <c r="I83" s="24" t="inlineStr">
        <is>
          <t>Build an in-application health monitoring page to provide visibility into the status of key services outside Grafana. This will help product, support, and operations teams quickly monitor service availability, dependency health, API status, worker status, and critical system indicators directly from the application.</t>
        </is>
      </c>
      <c r="J83" s="23" t="inlineStr">
        <is>
          <t>MJ</t>
        </is>
      </c>
      <c r="K83" s="23" t="inlineStr">
        <is>
          <t>Platform</t>
        </is>
      </c>
      <c r="L83" s="23" t="inlineStr">
        <is>
          <t>Medium</t>
        </is>
      </c>
      <c r="M83" s="23" t="inlineStr">
        <is>
          <t>Not Started</t>
        </is>
      </c>
      <c r="N83" s="25" t="n">
        <v>46388</v>
      </c>
      <c r="O83" s="25" t="n">
        <v>46437</v>
      </c>
      <c r="P83" s="23">
        <f>IF(OR(N83="",O83=""),"",O83-N83+1)</f>
        <v/>
      </c>
      <c r="Q83" s="26" t="n">
        <v>0</v>
      </c>
      <c r="R83" s="23" t="n">
        <v>300</v>
      </c>
      <c r="S83" s="23" t="n">
        <v>0</v>
      </c>
      <c r="T83" s="23">
        <f>S83-R83</f>
        <v/>
      </c>
      <c r="U83" s="27" t="n">
        <v>33000</v>
      </c>
      <c r="V83" s="23" t="inlineStr">
        <is>
          <t>T-078</t>
        </is>
      </c>
      <c r="W83" s="23" t="inlineStr"/>
      <c r="X83" s="23" t="inlineStr"/>
      <c r="Y83" s="24" t="inlineStr">
        <is>
          <t>Confirm kickoff &amp; acceptance criteria</t>
        </is>
      </c>
      <c r="Z83" s="23" t="inlineStr">
        <is>
          <t>R27.Q1</t>
        </is>
      </c>
      <c r="AA83" s="23" t="inlineStr">
        <is>
          <t>Include=No | Source=FY27 V1 | Timeline=Q3 FY27</t>
        </is>
      </c>
      <c r="AB83" s="23" t="inlineStr">
        <is>
          <t>No</t>
        </is>
      </c>
    </row>
    <row r="84">
      <c r="A84" s="23" t="inlineStr">
        <is>
          <t>T-080</t>
        </is>
      </c>
      <c r="B84" s="23" t="inlineStr">
        <is>
          <t>CS 2.0 Core — Tech Maintenance</t>
        </is>
      </c>
      <c r="C84" s="23" t="inlineStr">
        <is>
          <t>CS 2.0 Core</t>
        </is>
      </c>
      <c r="D84" s="23" t="inlineStr">
        <is>
          <t>Tech Maintenance</t>
        </is>
      </c>
      <c r="E84" s="23" t="inlineStr">
        <is>
          <t>Sprint 19</t>
        </is>
      </c>
      <c r="F84" s="23" t="inlineStr">
        <is>
          <t>Hypercare</t>
        </is>
      </c>
      <c r="G84" s="23" t="inlineStr">
        <is>
          <t>Reliability</t>
        </is>
      </c>
      <c r="H84" s="24" t="inlineStr">
        <is>
          <t>Application Issue Fixes and Remediation</t>
        </is>
      </c>
      <c r="I84" s="24" t="inlineStr">
        <is>
          <t>Issue Fixes - Analyse and fix application issues reported by delivery, internal, QA, or support teams outside planned feature implementation. This includes root cause analysis, required code/configuration fixes, validation, retesting support, and release through the planned delivery process.</t>
        </is>
      </c>
      <c r="J84" s="23" t="inlineStr">
        <is>
          <t>Jawahar</t>
        </is>
      </c>
      <c r="K84" s="23" t="inlineStr">
        <is>
          <t>Platform</t>
        </is>
      </c>
      <c r="L84" s="23" t="inlineStr">
        <is>
          <t>Critical</t>
        </is>
      </c>
      <c r="M84" s="23" t="inlineStr">
        <is>
          <t>Not Started</t>
        </is>
      </c>
      <c r="N84" s="25" t="n">
        <v>46489</v>
      </c>
      <c r="O84" s="25" t="n">
        <v>46558</v>
      </c>
      <c r="P84" s="23">
        <f>IF(OR(N84="",O84=""),"",O84-N84+1)</f>
        <v/>
      </c>
      <c r="Q84" s="26" t="n">
        <v>0</v>
      </c>
      <c r="R84" s="23" t="n">
        <v>420</v>
      </c>
      <c r="S84" s="23" t="n">
        <v>0</v>
      </c>
      <c r="T84" s="23">
        <f>S84-R84</f>
        <v/>
      </c>
      <c r="U84" s="27" t="n">
        <v>46200</v>
      </c>
      <c r="V84" s="23" t="inlineStr"/>
      <c r="W84" s="23" t="inlineStr"/>
      <c r="X84" s="23" t="inlineStr"/>
      <c r="Y84" s="24" t="inlineStr">
        <is>
          <t>Confirm kickoff &amp; acceptance criteria</t>
        </is>
      </c>
      <c r="Z84" s="23" t="inlineStr">
        <is>
          <t>R27.Q2</t>
        </is>
      </c>
      <c r="AA84" s="23" t="inlineStr">
        <is>
          <t>Include=Yes | Source=FY27 V1 | Timeline=Q4 FY27</t>
        </is>
      </c>
      <c r="AB84" s="23" t="inlineStr">
        <is>
          <t>No</t>
        </is>
      </c>
    </row>
    <row r="85">
      <c r="A85" s="23" t="inlineStr">
        <is>
          <t>T-081</t>
        </is>
      </c>
      <c r="B85" s="23" t="inlineStr">
        <is>
          <t>CS 2.0 Core — Tech Maintenance</t>
        </is>
      </c>
      <c r="C85" s="23" t="inlineStr">
        <is>
          <t>CS 2.0 Core</t>
        </is>
      </c>
      <c r="D85" s="23" t="inlineStr">
        <is>
          <t>Tech Maintenance</t>
        </is>
      </c>
      <c r="E85" s="23" t="inlineStr">
        <is>
          <t>Sprint 20</t>
        </is>
      </c>
      <c r="F85" s="23" t="inlineStr">
        <is>
          <t>Hypercare</t>
        </is>
      </c>
      <c r="G85" s="23" t="inlineStr">
        <is>
          <t>Reliability</t>
        </is>
      </c>
      <c r="H85" s="24" t="inlineStr">
        <is>
          <t>GitLab DAST Enablement for Web Application and Admin Console</t>
        </is>
      </c>
      <c r="I85" s="24" t="inlineStr">
        <is>
          <t>Enable DAST for all the deployable services - Enable GitLab DAST for the Web Application and Admin Console to perform runtime vulnerability scanning as part of the GitLab DevSecOps pipeline. This will help identify security issues in deployed application flows and improve release-level security validation</t>
        </is>
      </c>
      <c r="J85" s="23" t="inlineStr">
        <is>
          <t>Jawahar</t>
        </is>
      </c>
      <c r="K85" s="23" t="inlineStr">
        <is>
          <t>Platform</t>
        </is>
      </c>
      <c r="L85" s="23" t="inlineStr">
        <is>
          <t>High</t>
        </is>
      </c>
      <c r="M85" s="23" t="inlineStr">
        <is>
          <t>Not Started</t>
        </is>
      </c>
      <c r="N85" s="25" t="n">
        <v>46508</v>
      </c>
      <c r="O85" s="25" t="n">
        <v>46514</v>
      </c>
      <c r="P85" s="23">
        <f>IF(OR(N85="",O85=""),"",O85-N85+1)</f>
        <v/>
      </c>
      <c r="Q85" s="26" t="n">
        <v>0</v>
      </c>
      <c r="R85" s="23" t="n">
        <v>40</v>
      </c>
      <c r="S85" s="23" t="n">
        <v>0</v>
      </c>
      <c r="T85" s="23">
        <f>S85-R85</f>
        <v/>
      </c>
      <c r="U85" s="27" t="n">
        <v>4400</v>
      </c>
      <c r="V85" s="23" t="inlineStr">
        <is>
          <t>T-080</t>
        </is>
      </c>
      <c r="W85" s="23" t="inlineStr"/>
      <c r="X85" s="23" t="inlineStr"/>
      <c r="Y85" s="24" t="inlineStr">
        <is>
          <t>Confirm kickoff &amp; acceptance criteria</t>
        </is>
      </c>
      <c r="Z85" s="23" t="inlineStr">
        <is>
          <t>R27.Q2</t>
        </is>
      </c>
      <c r="AA85" s="23" t="inlineStr">
        <is>
          <t>Include=Yes | Source=FY27 V1 | Timeline=Q4 FY27</t>
        </is>
      </c>
      <c r="AB85" s="23" t="inlineStr">
        <is>
          <t>No</t>
        </is>
      </c>
    </row>
    <row r="86">
      <c r="A86" s="23" t="inlineStr">
        <is>
          <t>T-082</t>
        </is>
      </c>
      <c r="B86" s="23" t="inlineStr">
        <is>
          <t>CS 2.0 Core — Tech Maintenance</t>
        </is>
      </c>
      <c r="C86" s="23" t="inlineStr">
        <is>
          <t>CS 2.0 Core</t>
        </is>
      </c>
      <c r="D86" s="23" t="inlineStr">
        <is>
          <t>Tech Maintenance</t>
        </is>
      </c>
      <c r="E86" s="23" t="inlineStr">
        <is>
          <t>Sprint 21</t>
        </is>
      </c>
      <c r="F86" s="23" t="inlineStr">
        <is>
          <t>Hypercare</t>
        </is>
      </c>
      <c r="G86" s="23" t="inlineStr">
        <is>
          <t>Reliability</t>
        </is>
      </c>
      <c r="H86" s="24" t="inlineStr">
        <is>
          <t>Release Management, Regression Testing and Test Automation</t>
        </is>
      </c>
      <c r="I86" s="24" t="inlineStr">
        <is>
          <t>Release Management Activities - Regression Testing &amp; Automation - Manage release activities, coordinate deployments, perform regression testing, maintain automation scripts, validate fixes, support release sign-off, and monitor post-release stability. This includes improving regression automation coverage to reduce manual effort and improve release quality.
Note: Reduced this effort considering the release maangement will also go to the respective features, for the delivery customization this will be part of the delivery budget</t>
        </is>
      </c>
      <c r="J86" s="23" t="inlineStr">
        <is>
          <t>Jawahar</t>
        </is>
      </c>
      <c r="K86" s="23" t="inlineStr">
        <is>
          <t>Platform</t>
        </is>
      </c>
      <c r="L86" s="23" t="inlineStr">
        <is>
          <t>Critical</t>
        </is>
      </c>
      <c r="M86" s="23" t="inlineStr">
        <is>
          <t>Not Started</t>
        </is>
      </c>
      <c r="N86" s="25" t="n">
        <v>46503</v>
      </c>
      <c r="O86" s="25" t="n">
        <v>46527</v>
      </c>
      <c r="P86" s="23">
        <f>IF(OR(N86="",O86=""),"",O86-N86+1)</f>
        <v/>
      </c>
      <c r="Q86" s="26" t="n">
        <v>0</v>
      </c>
      <c r="R86" s="23" t="n">
        <v>150</v>
      </c>
      <c r="S86" s="23" t="n">
        <v>0</v>
      </c>
      <c r="T86" s="23">
        <f>S86-R86</f>
        <v/>
      </c>
      <c r="U86" s="27" t="n">
        <v>16500</v>
      </c>
      <c r="V86" s="23" t="inlineStr">
        <is>
          <t>T-081</t>
        </is>
      </c>
      <c r="W86" s="23" t="inlineStr"/>
      <c r="X86" s="23" t="inlineStr"/>
      <c r="Y86" s="24" t="inlineStr">
        <is>
          <t>Confirm kickoff &amp; acceptance criteria</t>
        </is>
      </c>
      <c r="Z86" s="23" t="inlineStr">
        <is>
          <t>R27.Q2</t>
        </is>
      </c>
      <c r="AA86" s="23" t="inlineStr">
        <is>
          <t>Include=Yes | Source=FY27 V1 | Timeline=Q4 FY27</t>
        </is>
      </c>
      <c r="AB86" s="23" t="inlineStr">
        <is>
          <t>No</t>
        </is>
      </c>
    </row>
    <row r="87">
      <c r="A87" s="23" t="inlineStr">
        <is>
          <t>T-083</t>
        </is>
      </c>
      <c r="B87" s="23" t="inlineStr">
        <is>
          <t>CS 2.0 Core — Tech Maintenance</t>
        </is>
      </c>
      <c r="C87" s="23" t="inlineStr">
        <is>
          <t>CS 2.0 Core</t>
        </is>
      </c>
      <c r="D87" s="23" t="inlineStr">
        <is>
          <t>Tech Maintenance</t>
        </is>
      </c>
      <c r="E87" s="23" t="inlineStr">
        <is>
          <t>Sprint 22</t>
        </is>
      </c>
      <c r="F87" s="23" t="inlineStr">
        <is>
          <t>Hypercare</t>
        </is>
      </c>
      <c r="G87" s="23" t="inlineStr">
        <is>
          <t>Reliability</t>
        </is>
      </c>
      <c r="H87" s="24" t="inlineStr">
        <is>
          <t>Performance Testing, Tuning and Test Suite Management</t>
        </is>
      </c>
      <c r="I87" s="24" t="inlineStr">
        <is>
          <t>Perform performance testing as per the planned test schedule, followed by performance fine-tuning, regression testing, test suite maintenance, fixture updates, and automation improvements. This includes adding or removing test fixtures, maintaining test scripts, validating performance improvements, and ensuring the test suite remains aligned with application changes.
Note: Reduced this effort considering the release maangement will also go to the respective features</t>
        </is>
      </c>
      <c r="J87" s="23" t="inlineStr">
        <is>
          <t>Jawahar</t>
        </is>
      </c>
      <c r="K87" s="23" t="inlineStr">
        <is>
          <t>Platform</t>
        </is>
      </c>
      <c r="L87" s="23" t="inlineStr">
        <is>
          <t>High</t>
        </is>
      </c>
      <c r="M87" s="23" t="inlineStr">
        <is>
          <t>Not Started</t>
        </is>
      </c>
      <c r="N87" s="25" t="n">
        <v>46519</v>
      </c>
      <c r="O87" s="25" t="n">
        <v>46543</v>
      </c>
      <c r="P87" s="23">
        <f>IF(OR(N87="",O87=""),"",O87-N87+1)</f>
        <v/>
      </c>
      <c r="Q87" s="26" t="n">
        <v>0</v>
      </c>
      <c r="R87" s="23" t="n">
        <v>150</v>
      </c>
      <c r="S87" s="23" t="n">
        <v>0</v>
      </c>
      <c r="T87" s="23">
        <f>S87-R87</f>
        <v/>
      </c>
      <c r="U87" s="27" t="n">
        <v>16500</v>
      </c>
      <c r="V87" s="23" t="inlineStr">
        <is>
          <t>T-082</t>
        </is>
      </c>
      <c r="W87" s="23" t="inlineStr"/>
      <c r="X87" s="23" t="inlineStr"/>
      <c r="Y87" s="24" t="inlineStr">
        <is>
          <t>Confirm kickoff &amp; acceptance criteria</t>
        </is>
      </c>
      <c r="Z87" s="23" t="inlineStr">
        <is>
          <t>R27.Q2</t>
        </is>
      </c>
      <c r="AA87" s="23" t="inlineStr">
        <is>
          <t>Include=Yes | Source=FY27 V1 | Timeline=Q4 FY27</t>
        </is>
      </c>
      <c r="AB87" s="23" t="inlineStr">
        <is>
          <t>No</t>
        </is>
      </c>
    </row>
    <row r="88">
      <c r="A88" s="23" t="inlineStr">
        <is>
          <t>T-084</t>
        </is>
      </c>
      <c r="B88" s="23" t="inlineStr">
        <is>
          <t>CS 2.0 Core — Tech Maintenance</t>
        </is>
      </c>
      <c r="C88" s="23" t="inlineStr">
        <is>
          <t>CS 2.0 Core</t>
        </is>
      </c>
      <c r="D88" s="23" t="inlineStr">
        <is>
          <t>Tech Maintenance</t>
        </is>
      </c>
      <c r="E88" s="23" t="inlineStr">
        <is>
          <t>Sprint 23</t>
        </is>
      </c>
      <c r="F88" s="23" t="inlineStr">
        <is>
          <t>Hypercare</t>
        </is>
      </c>
      <c r="G88" s="23" t="inlineStr">
        <is>
          <t>Reliability</t>
        </is>
      </c>
      <c r="H88" s="24" t="inlineStr">
        <is>
          <t>DevOps Management, Improvements and Pipeline Monitoring</t>
        </is>
      </c>
      <c r="I88" s="24" t="inlineStr">
        <is>
          <t>Devops Management/Improvement/Monitoring - Manage and improve the existing DevOps setup by enhancing CI/CD pipelines, adding new deployment workflows, optimizing automation, monitoring pipeline health, troubleshooting deployment issues, and supporting DevOps changes required for new services, environments, and platform upgrades.</t>
        </is>
      </c>
      <c r="J88" s="23" t="inlineStr">
        <is>
          <t>Jawahar</t>
        </is>
      </c>
      <c r="K88" s="23" t="inlineStr">
        <is>
          <t>Platform</t>
        </is>
      </c>
      <c r="L88" s="23" t="inlineStr">
        <is>
          <t>Critical</t>
        </is>
      </c>
      <c r="M88" s="23" t="inlineStr">
        <is>
          <t>Not Started</t>
        </is>
      </c>
      <c r="N88" s="25" t="n">
        <v>46526</v>
      </c>
      <c r="O88" s="25" t="n">
        <v>46531</v>
      </c>
      <c r="P88" s="23">
        <f>IF(OR(N88="",O88=""),"",O88-N88+1)</f>
        <v/>
      </c>
      <c r="Q88" s="26" t="n">
        <v>0</v>
      </c>
      <c r="R88" s="23" t="n">
        <v>36</v>
      </c>
      <c r="S88" s="23" t="n">
        <v>0</v>
      </c>
      <c r="T88" s="23">
        <f>S88-R88</f>
        <v/>
      </c>
      <c r="U88" s="27" t="n">
        <v>3960</v>
      </c>
      <c r="V88" s="23" t="inlineStr">
        <is>
          <t>T-083</t>
        </is>
      </c>
      <c r="W88" s="23" t="inlineStr"/>
      <c r="X88" s="23" t="inlineStr">
        <is>
          <t>R-14</t>
        </is>
      </c>
      <c r="Y88" s="24" t="inlineStr">
        <is>
          <t>Confirm kickoff &amp; acceptance criteria</t>
        </is>
      </c>
      <c r="Z88" s="23" t="inlineStr">
        <is>
          <t>R27.Q2</t>
        </is>
      </c>
      <c r="AA88" s="23" t="inlineStr">
        <is>
          <t>Include=Yes | Source=FY27 V1 | Timeline=Q4 FY27</t>
        </is>
      </c>
      <c r="AB88" s="23" t="inlineStr">
        <is>
          <t>No</t>
        </is>
      </c>
    </row>
    <row r="89">
      <c r="A89" s="23" t="inlineStr">
        <is>
          <t>T-085</t>
        </is>
      </c>
      <c r="B89" s="23" t="inlineStr">
        <is>
          <t>CS 2.0 Core — Tech Maintenance</t>
        </is>
      </c>
      <c r="C89" s="23" t="inlineStr">
        <is>
          <t>CS 2.0 Core</t>
        </is>
      </c>
      <c r="D89" s="23" t="inlineStr">
        <is>
          <t>Tech Maintenance</t>
        </is>
      </c>
      <c r="E89" s="23" t="inlineStr">
        <is>
          <t>Sprint 24</t>
        </is>
      </c>
      <c r="F89" s="23" t="inlineStr">
        <is>
          <t>Hypercare</t>
        </is>
      </c>
      <c r="G89" s="23" t="inlineStr">
        <is>
          <t>Reliability</t>
        </is>
      </c>
      <c r="H89" s="24" t="inlineStr">
        <is>
          <t>Release Based Feature Documentation</t>
        </is>
      </c>
      <c r="I89" s="24" t="inlineStr">
        <is>
          <t>Create release based feature documentation covering new features, functional changes, configuration steps, usage flows, dependencies, screenshots, and known limitations. This will support delivery, QA, support, product, and implementation teams in understanding and adopting each release</t>
        </is>
      </c>
      <c r="J89" s="23" t="inlineStr">
        <is>
          <t>Jawahar</t>
        </is>
      </c>
      <c r="K89" s="23" t="inlineStr">
        <is>
          <t>Platform</t>
        </is>
      </c>
      <c r="L89" s="23" t="inlineStr">
        <is>
          <t>Critical</t>
        </is>
      </c>
      <c r="M89" s="23" t="inlineStr">
        <is>
          <t>Not Started</t>
        </is>
      </c>
      <c r="N89" s="25" t="n">
        <v>46538</v>
      </c>
      <c r="O89" s="25" t="n">
        <v>46543</v>
      </c>
      <c r="P89" s="23">
        <f>IF(OR(N89="",O89=""),"",O89-N89+1)</f>
        <v/>
      </c>
      <c r="Q89" s="26" t="n">
        <v>0</v>
      </c>
      <c r="R89" s="23" t="n">
        <v>36</v>
      </c>
      <c r="S89" s="23" t="n">
        <v>0</v>
      </c>
      <c r="T89" s="23">
        <f>S89-R89</f>
        <v/>
      </c>
      <c r="U89" s="27" t="n">
        <v>3960</v>
      </c>
      <c r="V89" s="23" t="inlineStr">
        <is>
          <t>T-084</t>
        </is>
      </c>
      <c r="W89" s="23" t="inlineStr"/>
      <c r="X89" s="23" t="inlineStr"/>
      <c r="Y89" s="24" t="inlineStr">
        <is>
          <t>Confirm kickoff &amp; acceptance criteria</t>
        </is>
      </c>
      <c r="Z89" s="23" t="inlineStr">
        <is>
          <t>R27.Q2</t>
        </is>
      </c>
      <c r="AA89" s="23" t="inlineStr">
        <is>
          <t>Include=Yes | Source=FY27 V1 | Timeline=Q4 FY27</t>
        </is>
      </c>
      <c r="AB89" s="23" t="inlineStr">
        <is>
          <t>No</t>
        </is>
      </c>
    </row>
    <row r="90">
      <c r="A90" s="23" t="inlineStr">
        <is>
          <t>T-086</t>
        </is>
      </c>
      <c r="B90" s="23" t="inlineStr">
        <is>
          <t>CS 2.0 Core — Tech Maintenance</t>
        </is>
      </c>
      <c r="C90" s="23" t="inlineStr">
        <is>
          <t>CS 2.0 Core</t>
        </is>
      </c>
      <c r="D90" s="23" t="inlineStr">
        <is>
          <t>Tech Maintenance</t>
        </is>
      </c>
      <c r="E90" s="23" t="inlineStr">
        <is>
          <t>Sprint 19</t>
        </is>
      </c>
      <c r="F90" s="23" t="inlineStr">
        <is>
          <t>Hypercare</t>
        </is>
      </c>
      <c r="G90" s="23" t="inlineStr">
        <is>
          <t>Reliability</t>
        </is>
      </c>
      <c r="H90" s="24" t="inlineStr">
        <is>
          <t>Monthly Library Upgrade Assessment and Remediation Across Services</t>
        </is>
      </c>
      <c r="I90" s="24" t="inlineStr">
        <is>
          <t>Perform monthly scheduled library and package upgrade assessment across 20+ services, including web apps, Node.js services, workers, and .NET services. This includes identifying available upgrades, assessing security and compatibility impact, handling breaking changes, applying required fixes, validating builds, and supporting regression/release readiness.</t>
        </is>
      </c>
      <c r="J90" s="23" t="inlineStr">
        <is>
          <t>Jawahar</t>
        </is>
      </c>
      <c r="K90" s="23" t="inlineStr">
        <is>
          <t>Platform</t>
        </is>
      </c>
      <c r="L90" s="23" t="inlineStr">
        <is>
          <t>Critical</t>
        </is>
      </c>
      <c r="M90" s="23" t="inlineStr">
        <is>
          <t>Not Started</t>
        </is>
      </c>
      <c r="N90" s="25" t="n">
        <v>46521</v>
      </c>
      <c r="O90" s="25" t="n">
        <v>46525</v>
      </c>
      <c r="P90" s="23">
        <f>IF(OR(N90="",O90=""),"",O90-N90+1)</f>
        <v/>
      </c>
      <c r="Q90" s="26" t="n">
        <v>0</v>
      </c>
      <c r="R90" s="23" t="n">
        <v>30</v>
      </c>
      <c r="S90" s="23" t="n">
        <v>0</v>
      </c>
      <c r="T90" s="23">
        <f>S90-R90</f>
        <v/>
      </c>
      <c r="U90" s="27" t="n">
        <v>3300</v>
      </c>
      <c r="V90" s="23" t="inlineStr">
        <is>
          <t>T-085</t>
        </is>
      </c>
      <c r="W90" s="23" t="inlineStr"/>
      <c r="X90" s="23" t="inlineStr"/>
      <c r="Y90" s="24" t="inlineStr">
        <is>
          <t>Confirm kickoff &amp; acceptance criteria</t>
        </is>
      </c>
      <c r="Z90" s="23" t="inlineStr">
        <is>
          <t>R27.Q2</t>
        </is>
      </c>
      <c r="AA90" s="23" t="inlineStr">
        <is>
          <t>Include=Yes | Source=FY27 V1 | Timeline=Q4 FY27</t>
        </is>
      </c>
      <c r="AB90" s="23" t="inlineStr">
        <is>
          <t>No</t>
        </is>
      </c>
    </row>
    <row r="91">
      <c r="A91" s="23" t="inlineStr">
        <is>
          <t>T-087</t>
        </is>
      </c>
      <c r="B91" s="23" t="inlineStr">
        <is>
          <t>CS 2.0 Core — Tech Maintenance</t>
        </is>
      </c>
      <c r="C91" s="23" t="inlineStr">
        <is>
          <t>CS 2.0 Core</t>
        </is>
      </c>
      <c r="D91" s="23" t="inlineStr">
        <is>
          <t>Tech Maintenance</t>
        </is>
      </c>
      <c r="E91" s="23" t="inlineStr">
        <is>
          <t>Sprint 20</t>
        </is>
      </c>
      <c r="F91" s="23" t="inlineStr">
        <is>
          <t>Hypercare</t>
        </is>
      </c>
      <c r="G91" s="23" t="inlineStr">
        <is>
          <t>Reliability</t>
        </is>
      </c>
      <c r="H91" s="24" t="inlineStr">
        <is>
          <t>Cloud Usage Chargeback Model, Monthly Tenant-Level Allocation</t>
        </is>
      </c>
      <c r="I91" s="24" t="inlineStr">
        <is>
          <t>Cloud Usage Charge back model (Monthly) - Prepare monthly tenant-level cloud usage chargeback by collecting cloud consumption data, applying agreed allocation rules, validating usage/cost anomalies, and publishing the monthly chargeback summary for each tenant.</t>
        </is>
      </c>
      <c r="J91" s="23" t="inlineStr">
        <is>
          <t>Jawahar</t>
        </is>
      </c>
      <c r="K91" s="23" t="inlineStr">
        <is>
          <t>Platform</t>
        </is>
      </c>
      <c r="L91" s="23" t="inlineStr">
        <is>
          <t>Critical</t>
        </is>
      </c>
      <c r="M91" s="23" t="inlineStr">
        <is>
          <t>Not Started</t>
        </is>
      </c>
      <c r="N91" s="25" t="n">
        <v>46486</v>
      </c>
      <c r="O91" s="25" t="n">
        <v>46490</v>
      </c>
      <c r="P91" s="23">
        <f>IF(OR(N91="",O91=""),"",O91-N91+1)</f>
        <v/>
      </c>
      <c r="Q91" s="26" t="n">
        <v>0</v>
      </c>
      <c r="R91" s="23" t="n">
        <v>12</v>
      </c>
      <c r="S91" s="23" t="n">
        <v>0</v>
      </c>
      <c r="T91" s="23">
        <f>S91-R91</f>
        <v/>
      </c>
      <c r="U91" s="27" t="n">
        <v>1320</v>
      </c>
      <c r="V91" s="23" t="inlineStr">
        <is>
          <t>T-086</t>
        </is>
      </c>
      <c r="W91" s="23" t="inlineStr"/>
      <c r="X91" s="23" t="inlineStr"/>
      <c r="Y91" s="24" t="inlineStr">
        <is>
          <t>Confirm kickoff &amp; acceptance criteria</t>
        </is>
      </c>
      <c r="Z91" s="23" t="inlineStr">
        <is>
          <t>R27.Q2</t>
        </is>
      </c>
      <c r="AA91" s="23" t="inlineStr">
        <is>
          <t>Include=Yes | Source=FY27 V1 | Timeline=Q4 FY27</t>
        </is>
      </c>
      <c r="AB91" s="23" t="inlineStr">
        <is>
          <t>No</t>
        </is>
      </c>
    </row>
    <row r="92">
      <c r="A92" s="23" t="inlineStr">
        <is>
          <t>T-088</t>
        </is>
      </c>
      <c r="B92" s="23" t="inlineStr">
        <is>
          <t>CS 2.0 Data — PIS New Feature</t>
        </is>
      </c>
      <c r="C92" s="23" t="inlineStr">
        <is>
          <t>CS 2.0 Data</t>
        </is>
      </c>
      <c r="D92" s="23" t="inlineStr">
        <is>
          <t>PIS New Feature</t>
        </is>
      </c>
      <c r="E92" s="23" t="inlineStr">
        <is>
          <t>Sprint 03</t>
        </is>
      </c>
      <c r="F92" s="23" t="inlineStr">
        <is>
          <t>Build</t>
        </is>
      </c>
      <c r="G92" s="23" t="inlineStr">
        <is>
          <t>Data</t>
        </is>
      </c>
      <c r="H92" s="24" t="inlineStr">
        <is>
          <t>Insight Agent Requirements Building and POC Closure</t>
        </is>
      </c>
      <c r="I92" s="24" t="inlineStr"/>
      <c r="J92" s="23" t="inlineStr">
        <is>
          <t>Siva</t>
        </is>
      </c>
      <c r="K92" s="23" t="inlineStr">
        <is>
          <t>Data &amp; AI</t>
        </is>
      </c>
      <c r="L92" s="23" t="inlineStr">
        <is>
          <t>High</t>
        </is>
      </c>
      <c r="M92" s="23" t="inlineStr">
        <is>
          <t>Not Started</t>
        </is>
      </c>
      <c r="N92" s="25" t="n">
        <v>46235</v>
      </c>
      <c r="O92" s="25" t="n">
        <v>46251</v>
      </c>
      <c r="P92" s="23">
        <f>IF(OR(N92="",O92=""),"",O92-N92+1)</f>
        <v/>
      </c>
      <c r="Q92" s="26" t="n">
        <v>0</v>
      </c>
      <c r="R92" s="23" t="n">
        <v>100</v>
      </c>
      <c r="S92" s="23" t="n">
        <v>0</v>
      </c>
      <c r="T92" s="23">
        <f>S92-R92</f>
        <v/>
      </c>
      <c r="U92" s="27" t="n">
        <v>11000</v>
      </c>
      <c r="V92" s="23" t="inlineStr"/>
      <c r="W92" s="23" t="inlineStr"/>
      <c r="X92" s="23" t="inlineStr"/>
      <c r="Y92" s="24" t="inlineStr">
        <is>
          <t>Confirm kickoff &amp; acceptance criteria</t>
        </is>
      </c>
      <c r="Z92" s="23" t="inlineStr">
        <is>
          <t>R26.Q1</t>
        </is>
      </c>
      <c r="AA92" s="23" t="inlineStr">
        <is>
          <t>Include=Yes | Source=FY27 V1 | Timeline=Q1 FY27</t>
        </is>
      </c>
      <c r="AB92" s="23" t="inlineStr">
        <is>
          <t>No</t>
        </is>
      </c>
    </row>
    <row r="93">
      <c r="A93" s="23" t="inlineStr">
        <is>
          <t>T-089</t>
        </is>
      </c>
      <c r="B93" s="23" t="inlineStr">
        <is>
          <t>CS 2.0 Data — PIS New Feature</t>
        </is>
      </c>
      <c r="C93" s="23" t="inlineStr">
        <is>
          <t>CS 2.0 Data</t>
        </is>
      </c>
      <c r="D93" s="23" t="inlineStr">
        <is>
          <t>PIS New Feature</t>
        </is>
      </c>
      <c r="E93" s="23" t="inlineStr">
        <is>
          <t>Sprint 04</t>
        </is>
      </c>
      <c r="F93" s="23" t="inlineStr">
        <is>
          <t>Build</t>
        </is>
      </c>
      <c r="G93" s="23" t="inlineStr">
        <is>
          <t>Data</t>
        </is>
      </c>
      <c r="H93" s="24" t="inlineStr">
        <is>
          <t>Insights Agent</t>
        </is>
      </c>
      <c r="I93" s="24" t="inlineStr">
        <is>
          <t>Phase 1 - ANSWER &amp; GUIDE</t>
        </is>
      </c>
      <c r="J93" s="23" t="inlineStr">
        <is>
          <t>Siva</t>
        </is>
      </c>
      <c r="K93" s="23" t="inlineStr">
        <is>
          <t>Data &amp; AI</t>
        </is>
      </c>
      <c r="L93" s="23" t="inlineStr">
        <is>
          <t>High</t>
        </is>
      </c>
      <c r="M93" s="23" t="inlineStr">
        <is>
          <t>Not Started</t>
        </is>
      </c>
      <c r="N93" s="25" t="n">
        <v>46241</v>
      </c>
      <c r="O93" s="25" t="n">
        <v>46273</v>
      </c>
      <c r="P93" s="23">
        <f>IF(OR(N93="",O93=""),"",O93-N93+1)</f>
        <v/>
      </c>
      <c r="Q93" s="26" t="n">
        <v>0</v>
      </c>
      <c r="R93" s="23" t="n">
        <v>200</v>
      </c>
      <c r="S93" s="23" t="n">
        <v>0</v>
      </c>
      <c r="T93" s="23">
        <f>S93-R93</f>
        <v/>
      </c>
      <c r="U93" s="27" t="n">
        <v>22000</v>
      </c>
      <c r="V93" s="23" t="inlineStr">
        <is>
          <t>T-088</t>
        </is>
      </c>
      <c r="W93" s="23" t="inlineStr"/>
      <c r="X93" s="23" t="inlineStr"/>
      <c r="Y93" s="24" t="inlineStr">
        <is>
          <t>Confirm kickoff &amp; acceptance criteria</t>
        </is>
      </c>
      <c r="Z93" s="23" t="inlineStr">
        <is>
          <t>R26.Q1</t>
        </is>
      </c>
      <c r="AA93" s="23" t="inlineStr">
        <is>
          <t>Include=Yes | Source=FY27 V1 | Timeline=Q1 FY27</t>
        </is>
      </c>
      <c r="AB93" s="23" t="inlineStr">
        <is>
          <t>No</t>
        </is>
      </c>
    </row>
    <row r="94">
      <c r="A94" s="23" t="inlineStr">
        <is>
          <t>T-090</t>
        </is>
      </c>
      <c r="B94" s="23" t="inlineStr">
        <is>
          <t>CS 2.0 Data — PIS New Feature</t>
        </is>
      </c>
      <c r="C94" s="23" t="inlineStr">
        <is>
          <t>CS 2.0 Data</t>
        </is>
      </c>
      <c r="D94" s="23" t="inlineStr">
        <is>
          <t>PIS New Feature</t>
        </is>
      </c>
      <c r="E94" s="23" t="inlineStr">
        <is>
          <t>Sprint 05</t>
        </is>
      </c>
      <c r="F94" s="23" t="inlineStr">
        <is>
          <t>Build</t>
        </is>
      </c>
      <c r="G94" s="23" t="inlineStr">
        <is>
          <t>Data</t>
        </is>
      </c>
      <c r="H94" s="24" t="inlineStr">
        <is>
          <t>Insights Agent</t>
        </is>
      </c>
      <c r="I94" s="24" t="inlineStr">
        <is>
          <t>Phase 2 - EXPLAIN &amp; DIAGNOSE</t>
        </is>
      </c>
      <c r="J94" s="23" t="inlineStr">
        <is>
          <t>Siva</t>
        </is>
      </c>
      <c r="K94" s="23" t="inlineStr">
        <is>
          <t>Data &amp; AI</t>
        </is>
      </c>
      <c r="L94" s="23" t="inlineStr">
        <is>
          <t>High</t>
        </is>
      </c>
      <c r="M94" s="23" t="inlineStr">
        <is>
          <t>In Progress</t>
        </is>
      </c>
      <c r="N94" s="25" t="n">
        <v>46259</v>
      </c>
      <c r="O94" s="25" t="n">
        <v>46291</v>
      </c>
      <c r="P94" s="23">
        <f>IF(OR(N94="",O94=""),"",O94-N94+1)</f>
        <v/>
      </c>
      <c r="Q94" s="26" t="n">
        <v>0.35</v>
      </c>
      <c r="R94" s="23" t="n">
        <v>200</v>
      </c>
      <c r="S94" s="23" t="n">
        <v>72.8</v>
      </c>
      <c r="T94" s="23">
        <f>S94-R94</f>
        <v/>
      </c>
      <c r="U94" s="27" t="n">
        <v>22000</v>
      </c>
      <c r="V94" s="23" t="inlineStr">
        <is>
          <t>T-089</t>
        </is>
      </c>
      <c r="W94" s="23" t="inlineStr"/>
      <c r="X94" s="23" t="inlineStr"/>
      <c r="Y94" s="24" t="inlineStr">
        <is>
          <t>Continue sprint commitments; demos Friday</t>
        </is>
      </c>
      <c r="Z94" s="23" t="inlineStr">
        <is>
          <t>R26.Q1</t>
        </is>
      </c>
      <c r="AA94" s="23" t="inlineStr">
        <is>
          <t>Include=Yes | Source=FY27 V1 | Timeline=Q1 FY27</t>
        </is>
      </c>
      <c r="AB94" s="23" t="inlineStr">
        <is>
          <t>No</t>
        </is>
      </c>
    </row>
    <row r="95">
      <c r="A95" s="23" t="inlineStr">
        <is>
          <t>T-091</t>
        </is>
      </c>
      <c r="B95" s="23" t="inlineStr">
        <is>
          <t>CS 2.0 Data — PIS New Feature</t>
        </is>
      </c>
      <c r="C95" s="23" t="inlineStr">
        <is>
          <t>CS 2.0 Data</t>
        </is>
      </c>
      <c r="D95" s="23" t="inlineStr">
        <is>
          <t>PIS New Feature</t>
        </is>
      </c>
      <c r="E95" s="23" t="inlineStr">
        <is>
          <t>Sprint 06</t>
        </is>
      </c>
      <c r="F95" s="23" t="inlineStr">
        <is>
          <t>Build</t>
        </is>
      </c>
      <c r="G95" s="23" t="inlineStr">
        <is>
          <t>Data</t>
        </is>
      </c>
      <c r="H95" s="24" t="inlineStr">
        <is>
          <t>Insights Agent</t>
        </is>
      </c>
      <c r="I95" s="24" t="inlineStr">
        <is>
          <t>Phase 3 - PREDICT &amp; OPTIMISE</t>
        </is>
      </c>
      <c r="J95" s="23" t="inlineStr">
        <is>
          <t>Siva</t>
        </is>
      </c>
      <c r="K95" s="23" t="inlineStr">
        <is>
          <t>Data &amp; AI</t>
        </is>
      </c>
      <c r="L95" s="23" t="inlineStr">
        <is>
          <t>High</t>
        </is>
      </c>
      <c r="M95" s="23" t="inlineStr">
        <is>
          <t>Not Started</t>
        </is>
      </c>
      <c r="N95" s="25" t="n">
        <v>46207</v>
      </c>
      <c r="O95" s="25" t="n">
        <v>46239</v>
      </c>
      <c r="P95" s="23">
        <f>IF(OR(N95="",O95=""),"",O95-N95+1)</f>
        <v/>
      </c>
      <c r="Q95" s="26" t="n">
        <v>0</v>
      </c>
      <c r="R95" s="23" t="n">
        <v>200</v>
      </c>
      <c r="S95" s="23" t="n">
        <v>0</v>
      </c>
      <c r="T95" s="23">
        <f>S95-R95</f>
        <v/>
      </c>
      <c r="U95" s="27" t="n">
        <v>22000</v>
      </c>
      <c r="V95" s="23" t="inlineStr">
        <is>
          <t>T-090</t>
        </is>
      </c>
      <c r="W95" s="23" t="inlineStr"/>
      <c r="X95" s="23" t="inlineStr"/>
      <c r="Y95" s="24" t="inlineStr">
        <is>
          <t>Confirm kickoff &amp; acceptance criteria</t>
        </is>
      </c>
      <c r="Z95" s="23" t="inlineStr">
        <is>
          <t>R26.Q1</t>
        </is>
      </c>
      <c r="AA95" s="23" t="inlineStr">
        <is>
          <t>Include=Yes | Source=FY27 V1 | Timeline=Q1 FY27</t>
        </is>
      </c>
      <c r="AB95" s="23" t="inlineStr">
        <is>
          <t>No</t>
        </is>
      </c>
    </row>
    <row r="96">
      <c r="A96" s="23" t="inlineStr">
        <is>
          <t>T-092</t>
        </is>
      </c>
      <c r="B96" s="23" t="inlineStr">
        <is>
          <t>CS 2.0 Data — PIS New Feature</t>
        </is>
      </c>
      <c r="C96" s="23" t="inlineStr">
        <is>
          <t>CS 2.0 Data</t>
        </is>
      </c>
      <c r="D96" s="23" t="inlineStr">
        <is>
          <t>PIS New Feature</t>
        </is>
      </c>
      <c r="E96" s="23" t="inlineStr">
        <is>
          <t>Sprint 07</t>
        </is>
      </c>
      <c r="F96" s="23" t="inlineStr">
        <is>
          <t>Build</t>
        </is>
      </c>
      <c r="G96" s="23" t="inlineStr">
        <is>
          <t>Data</t>
        </is>
      </c>
      <c r="H96" s="24" t="inlineStr">
        <is>
          <t>Insights Agent</t>
        </is>
      </c>
      <c r="I96" s="24" t="inlineStr">
        <is>
          <t>Phase 1 - ANSWER &amp; GUIDE</t>
        </is>
      </c>
      <c r="J96" s="23" t="inlineStr">
        <is>
          <t>Siva</t>
        </is>
      </c>
      <c r="K96" s="23" t="inlineStr">
        <is>
          <t>Data &amp; AI</t>
        </is>
      </c>
      <c r="L96" s="23" t="inlineStr">
        <is>
          <t>High</t>
        </is>
      </c>
      <c r="M96" s="23" t="inlineStr">
        <is>
          <t>Not Started</t>
        </is>
      </c>
      <c r="N96" s="25" t="n">
        <v>46327</v>
      </c>
      <c r="O96" s="25" t="n">
        <v>46359</v>
      </c>
      <c r="P96" s="23">
        <f>IF(OR(N96="",O96=""),"",O96-N96+1)</f>
        <v/>
      </c>
      <c r="Q96" s="26" t="n">
        <v>0</v>
      </c>
      <c r="R96" s="23" t="n">
        <v>200</v>
      </c>
      <c r="S96" s="23" t="n">
        <v>0</v>
      </c>
      <c r="T96" s="23">
        <f>S96-R96</f>
        <v/>
      </c>
      <c r="U96" s="27" t="n">
        <v>22000</v>
      </c>
      <c r="V96" s="23" t="inlineStr">
        <is>
          <t>T-091</t>
        </is>
      </c>
      <c r="W96" s="23" t="inlineStr"/>
      <c r="X96" s="23" t="inlineStr"/>
      <c r="Y96" s="24" t="inlineStr">
        <is>
          <t>Confirm kickoff &amp; acceptance criteria</t>
        </is>
      </c>
      <c r="Z96" s="23" t="inlineStr">
        <is>
          <t>R26.Q2</t>
        </is>
      </c>
      <c r="AA96" s="23" t="inlineStr">
        <is>
          <t>Include=Yes | Source=FY27 V1 | Timeline=Q2 FY27</t>
        </is>
      </c>
      <c r="AB96" s="23" t="inlineStr">
        <is>
          <t>No</t>
        </is>
      </c>
    </row>
    <row r="97">
      <c r="A97" s="23" t="inlineStr">
        <is>
          <t>T-093</t>
        </is>
      </c>
      <c r="B97" s="23" t="inlineStr">
        <is>
          <t>CS 2.0 Data — PIS New Feature</t>
        </is>
      </c>
      <c r="C97" s="23" t="inlineStr">
        <is>
          <t>CS 2.0 Data</t>
        </is>
      </c>
      <c r="D97" s="23" t="inlineStr">
        <is>
          <t>PIS New Feature</t>
        </is>
      </c>
      <c r="E97" s="23" t="inlineStr">
        <is>
          <t>Sprint 08</t>
        </is>
      </c>
      <c r="F97" s="23" t="inlineStr">
        <is>
          <t>Build</t>
        </is>
      </c>
      <c r="G97" s="23" t="inlineStr">
        <is>
          <t>Data</t>
        </is>
      </c>
      <c r="H97" s="24" t="inlineStr">
        <is>
          <t>Insights Agent</t>
        </is>
      </c>
      <c r="I97" s="24" t="inlineStr">
        <is>
          <t>Phase 2 - EXPLAIN &amp; DIAGNOSE</t>
        </is>
      </c>
      <c r="J97" s="23" t="inlineStr">
        <is>
          <t>Siva</t>
        </is>
      </c>
      <c r="K97" s="23" t="inlineStr">
        <is>
          <t>Data &amp; AI</t>
        </is>
      </c>
      <c r="L97" s="23" t="inlineStr">
        <is>
          <t>High</t>
        </is>
      </c>
      <c r="M97" s="23" t="inlineStr">
        <is>
          <t>Not Started</t>
        </is>
      </c>
      <c r="N97" s="25" t="n">
        <v>46330</v>
      </c>
      <c r="O97" s="25" t="n">
        <v>46362</v>
      </c>
      <c r="P97" s="23">
        <f>IF(OR(N97="",O97=""),"",O97-N97+1)</f>
        <v/>
      </c>
      <c r="Q97" s="26" t="n">
        <v>0</v>
      </c>
      <c r="R97" s="23" t="n">
        <v>200</v>
      </c>
      <c r="S97" s="23" t="n">
        <v>0</v>
      </c>
      <c r="T97" s="23">
        <f>S97-R97</f>
        <v/>
      </c>
      <c r="U97" s="27" t="n">
        <v>22000</v>
      </c>
      <c r="V97" s="23" t="inlineStr">
        <is>
          <t>T-092</t>
        </is>
      </c>
      <c r="W97" s="23" t="inlineStr"/>
      <c r="X97" s="23" t="inlineStr"/>
      <c r="Y97" s="24" t="inlineStr">
        <is>
          <t>Confirm kickoff &amp; acceptance criteria</t>
        </is>
      </c>
      <c r="Z97" s="23" t="inlineStr">
        <is>
          <t>R26.Q2</t>
        </is>
      </c>
      <c r="AA97" s="23" t="inlineStr">
        <is>
          <t>Include=Yes | Source=FY27 V1 | Timeline=Q2 FY27</t>
        </is>
      </c>
      <c r="AB97" s="23" t="inlineStr">
        <is>
          <t>No</t>
        </is>
      </c>
    </row>
    <row r="98">
      <c r="A98" s="23" t="inlineStr">
        <is>
          <t>T-094</t>
        </is>
      </c>
      <c r="B98" s="23" t="inlineStr">
        <is>
          <t>CS 2.0 Data — PIS New Feature</t>
        </is>
      </c>
      <c r="C98" s="23" t="inlineStr">
        <is>
          <t>CS 2.0 Data</t>
        </is>
      </c>
      <c r="D98" s="23" t="inlineStr">
        <is>
          <t>PIS New Feature</t>
        </is>
      </c>
      <c r="E98" s="23" t="inlineStr">
        <is>
          <t>Sprint 09</t>
        </is>
      </c>
      <c r="F98" s="23" t="inlineStr">
        <is>
          <t>Build</t>
        </is>
      </c>
      <c r="G98" s="23" t="inlineStr">
        <is>
          <t>Data</t>
        </is>
      </c>
      <c r="H98" s="24" t="inlineStr">
        <is>
          <t>Insights Agent</t>
        </is>
      </c>
      <c r="I98" s="24" t="inlineStr">
        <is>
          <t>Phase 3 - PREDICT &amp; OPTIMISE</t>
        </is>
      </c>
      <c r="J98" s="23" t="inlineStr">
        <is>
          <t>Siva</t>
        </is>
      </c>
      <c r="K98" s="23" t="inlineStr">
        <is>
          <t>Data &amp; AI</t>
        </is>
      </c>
      <c r="L98" s="23" t="inlineStr">
        <is>
          <t>High</t>
        </is>
      </c>
      <c r="M98" s="23" t="inlineStr">
        <is>
          <t>Not Started</t>
        </is>
      </c>
      <c r="N98" s="25" t="n">
        <v>46301</v>
      </c>
      <c r="O98" s="25" t="n">
        <v>46333</v>
      </c>
      <c r="P98" s="23">
        <f>IF(OR(N98="",O98=""),"",O98-N98+1)</f>
        <v/>
      </c>
      <c r="Q98" s="26" t="n">
        <v>0</v>
      </c>
      <c r="R98" s="23" t="n">
        <v>200</v>
      </c>
      <c r="S98" s="23" t="n">
        <v>0</v>
      </c>
      <c r="T98" s="23">
        <f>S98-R98</f>
        <v/>
      </c>
      <c r="U98" s="27" t="n">
        <v>22000</v>
      </c>
      <c r="V98" s="23" t="inlineStr">
        <is>
          <t>T-093</t>
        </is>
      </c>
      <c r="W98" s="23" t="inlineStr"/>
      <c r="X98" s="23" t="inlineStr"/>
      <c r="Y98" s="24" t="inlineStr">
        <is>
          <t>Confirm kickoff &amp; acceptance criteria</t>
        </is>
      </c>
      <c r="Z98" s="23" t="inlineStr">
        <is>
          <t>R26.Q2</t>
        </is>
      </c>
      <c r="AA98" s="23" t="inlineStr">
        <is>
          <t>Include=Yes | Source=FY27 V1 | Timeline=Q2 FY27</t>
        </is>
      </c>
      <c r="AB98" s="23" t="inlineStr">
        <is>
          <t>No</t>
        </is>
      </c>
    </row>
    <row r="99">
      <c r="A99" s="23" t="inlineStr">
        <is>
          <t>T-095</t>
        </is>
      </c>
      <c r="B99" s="23" t="inlineStr">
        <is>
          <t>CS 2.0 Data — PIS New Feature</t>
        </is>
      </c>
      <c r="C99" s="23" t="inlineStr">
        <is>
          <t>CS 2.0 Data</t>
        </is>
      </c>
      <c r="D99" s="23" t="inlineStr">
        <is>
          <t>PIS New Feature</t>
        </is>
      </c>
      <c r="E99" s="23" t="inlineStr">
        <is>
          <t>Sprint 10</t>
        </is>
      </c>
      <c r="F99" s="23" t="inlineStr">
        <is>
          <t>Build</t>
        </is>
      </c>
      <c r="G99" s="23" t="inlineStr">
        <is>
          <t>Data</t>
        </is>
      </c>
      <c r="H99" s="24" t="inlineStr">
        <is>
          <t>Journey Builder - Requirements Building</t>
        </is>
      </c>
      <c r="I99" s="24" t="inlineStr">
        <is>
          <t>Journey Builder Requirements. Build the work package, Design and estimate based on the work package</t>
        </is>
      </c>
      <c r="J99" s="23" t="inlineStr">
        <is>
          <t>Siva</t>
        </is>
      </c>
      <c r="K99" s="23" t="inlineStr">
        <is>
          <t>Data &amp; AI</t>
        </is>
      </c>
      <c r="L99" s="23" t="inlineStr">
        <is>
          <t>High</t>
        </is>
      </c>
      <c r="M99" s="23" t="inlineStr">
        <is>
          <t>Not Started</t>
        </is>
      </c>
      <c r="N99" s="25" t="n">
        <v>46353</v>
      </c>
      <c r="O99" s="25" t="n">
        <v>46369</v>
      </c>
      <c r="P99" s="23">
        <f>IF(OR(N99="",O99=""),"",O99-N99+1)</f>
        <v/>
      </c>
      <c r="Q99" s="26" t="n">
        <v>0</v>
      </c>
      <c r="R99" s="23" t="n">
        <v>100</v>
      </c>
      <c r="S99" s="23" t="n">
        <v>0</v>
      </c>
      <c r="T99" s="23">
        <f>S99-R99</f>
        <v/>
      </c>
      <c r="U99" s="27" t="n">
        <v>11000</v>
      </c>
      <c r="V99" s="23" t="inlineStr">
        <is>
          <t>T-094</t>
        </is>
      </c>
      <c r="W99" s="23" t="inlineStr"/>
      <c r="X99" s="23" t="inlineStr"/>
      <c r="Y99" s="24" t="inlineStr">
        <is>
          <t>Confirm kickoff &amp; acceptance criteria</t>
        </is>
      </c>
      <c r="Z99" s="23" t="inlineStr">
        <is>
          <t>R26.Q2</t>
        </is>
      </c>
      <c r="AA99" s="23" t="inlineStr">
        <is>
          <t>Include=Yes | Source=FY27 V1 | Timeline=Q2 FY27</t>
        </is>
      </c>
      <c r="AB99" s="23" t="inlineStr">
        <is>
          <t>No</t>
        </is>
      </c>
    </row>
    <row r="100">
      <c r="A100" s="23" t="inlineStr">
        <is>
          <t>T-096</t>
        </is>
      </c>
      <c r="B100" s="23" t="inlineStr">
        <is>
          <t>CS 2.0 Data — PIS New Feature</t>
        </is>
      </c>
      <c r="C100" s="23" t="inlineStr">
        <is>
          <t>CS 2.0 Data</t>
        </is>
      </c>
      <c r="D100" s="23" t="inlineStr">
        <is>
          <t>PIS New Feature</t>
        </is>
      </c>
      <c r="E100" s="23" t="inlineStr">
        <is>
          <t>Sprint 11</t>
        </is>
      </c>
      <c r="F100" s="23" t="inlineStr">
        <is>
          <t>Build</t>
        </is>
      </c>
      <c r="G100" s="23" t="inlineStr">
        <is>
          <t>Data</t>
        </is>
      </c>
      <c r="H100" s="24" t="inlineStr">
        <is>
          <t>Journey Builder</t>
        </is>
      </c>
      <c r="I100" s="24" t="inlineStr">
        <is>
          <t>Phase 1 - ORCHESTRATE - Build the Engine
  Low-code journey canvas with drag-and-drop trigger, wait, and condition logic.
  Automated actions across communication, incentives, and learning interventions.
  Omni-channel response tracking with automated follow-up sequencing.
  Extend journeys with Agent Node that invoke specialised AI agents for contextual decisioning and message personalization.</t>
        </is>
      </c>
      <c r="J100" s="23" t="inlineStr">
        <is>
          <t>Siva</t>
        </is>
      </c>
      <c r="K100" s="23" t="inlineStr">
        <is>
          <t>Data &amp; AI</t>
        </is>
      </c>
      <c r="L100" s="23" t="inlineStr">
        <is>
          <t>High</t>
        </is>
      </c>
      <c r="M100" s="23" t="inlineStr">
        <is>
          <t>Not Started</t>
        </is>
      </c>
      <c r="N100" s="25" t="n">
        <v>46302</v>
      </c>
      <c r="O100" s="25" t="n">
        <v>46334</v>
      </c>
      <c r="P100" s="23">
        <f>IF(OR(N100="",O100=""),"",O100-N100+1)</f>
        <v/>
      </c>
      <c r="Q100" s="26" t="n">
        <v>0</v>
      </c>
      <c r="R100" s="23" t="n">
        <v>200</v>
      </c>
      <c r="S100" s="23" t="n">
        <v>0</v>
      </c>
      <c r="T100" s="23">
        <f>S100-R100</f>
        <v/>
      </c>
      <c r="U100" s="27" t="n">
        <v>22000</v>
      </c>
      <c r="V100" s="23" t="inlineStr">
        <is>
          <t>T-095</t>
        </is>
      </c>
      <c r="W100" s="23" t="inlineStr"/>
      <c r="X100" s="23" t="inlineStr"/>
      <c r="Y100" s="24" t="inlineStr">
        <is>
          <t>Confirm kickoff &amp; acceptance criteria</t>
        </is>
      </c>
      <c r="Z100" s="23" t="inlineStr">
        <is>
          <t>R26.Q2</t>
        </is>
      </c>
      <c r="AA100" s="23" t="inlineStr">
        <is>
          <t>Include=Yes | Source=FY27 V1 | Timeline=Q2 FY27</t>
        </is>
      </c>
      <c r="AB100" s="23" t="inlineStr">
        <is>
          <t>No</t>
        </is>
      </c>
    </row>
    <row r="101">
      <c r="A101" s="23" t="inlineStr">
        <is>
          <t>T-097</t>
        </is>
      </c>
      <c r="B101" s="23" t="inlineStr">
        <is>
          <t>CS 2.0 Data — PIS New Feature</t>
        </is>
      </c>
      <c r="C101" s="23" t="inlineStr">
        <is>
          <t>CS 2.0 Data</t>
        </is>
      </c>
      <c r="D101" s="23" t="inlineStr">
        <is>
          <t>PIS New Feature</t>
        </is>
      </c>
      <c r="E101" s="23" t="inlineStr">
        <is>
          <t>Sprint 12</t>
        </is>
      </c>
      <c r="F101" s="23" t="inlineStr">
        <is>
          <t>Build</t>
        </is>
      </c>
      <c r="G101" s="23" t="inlineStr">
        <is>
          <t>Data</t>
        </is>
      </c>
      <c r="H101" s="24" t="inlineStr">
        <is>
          <t>Journey Builder</t>
        </is>
      </c>
      <c r="I101" s="24" t="inlineStr">
        <is>
          <t>Phase 2 - GUIDE with Recommendations
  Journey Builder framework powers Earn Advisor to continuously guide partners towards the highest-value earning actions.
  A Next-Best-Action Agent evaluates partner context across sales patterns, behaviours and program participation signals.
  Identifies and ranks high-value opportunities - including product mix gaps, cross-sell opportunities and time-sensitive incentives.
  Agent presents prioritised actions back to Journey Builder to enable contextual interventions.</t>
        </is>
      </c>
      <c r="J101" s="23" t="inlineStr">
        <is>
          <t>Siva</t>
        </is>
      </c>
      <c r="K101" s="23" t="inlineStr">
        <is>
          <t>Data &amp; AI</t>
        </is>
      </c>
      <c r="L101" s="23" t="inlineStr">
        <is>
          <t>High</t>
        </is>
      </c>
      <c r="M101" s="23" t="inlineStr">
        <is>
          <t>Not Started</t>
        </is>
      </c>
      <c r="N101" s="25" t="n">
        <v>46338</v>
      </c>
      <c r="O101" s="25" t="n">
        <v>46370</v>
      </c>
      <c r="P101" s="23">
        <f>IF(OR(N101="",O101=""),"",O101-N101+1)</f>
        <v/>
      </c>
      <c r="Q101" s="26" t="n">
        <v>0</v>
      </c>
      <c r="R101" s="23" t="n">
        <v>200</v>
      </c>
      <c r="S101" s="23" t="n">
        <v>0</v>
      </c>
      <c r="T101" s="23">
        <f>S101-R101</f>
        <v/>
      </c>
      <c r="U101" s="27" t="n">
        <v>22000</v>
      </c>
      <c r="V101" s="23" t="inlineStr">
        <is>
          <t>T-096</t>
        </is>
      </c>
      <c r="W101" s="23" t="inlineStr"/>
      <c r="X101" s="23" t="inlineStr"/>
      <c r="Y101" s="24" t="inlineStr">
        <is>
          <t>Confirm kickoff &amp; acceptance criteria</t>
        </is>
      </c>
      <c r="Z101" s="23" t="inlineStr">
        <is>
          <t>R26.Q2</t>
        </is>
      </c>
      <c r="AA101" s="23" t="inlineStr">
        <is>
          <t>Include=Yes | Source=FY27 V1 | Timeline=Q2 FY27</t>
        </is>
      </c>
      <c r="AB101" s="23" t="inlineStr">
        <is>
          <t>No</t>
        </is>
      </c>
    </row>
    <row r="102">
      <c r="A102" s="23" t="inlineStr">
        <is>
          <t>T-098</t>
        </is>
      </c>
      <c r="B102" s="23" t="inlineStr">
        <is>
          <t>CS 2.0 Data — PIS New Feature</t>
        </is>
      </c>
      <c r="C102" s="23" t="inlineStr">
        <is>
          <t>CS 2.0 Data</t>
        </is>
      </c>
      <c r="D102" s="23" t="inlineStr">
        <is>
          <t>PIS New Feature</t>
        </is>
      </c>
      <c r="E102" s="23" t="inlineStr">
        <is>
          <t>Sprint 07</t>
        </is>
      </c>
      <c r="F102" s="23" t="inlineStr">
        <is>
          <t>Build</t>
        </is>
      </c>
      <c r="G102" s="23" t="inlineStr">
        <is>
          <t>Data</t>
        </is>
      </c>
      <c r="H102" s="24" t="inlineStr">
        <is>
          <t>Journey Builder</t>
        </is>
      </c>
      <c r="I102" s="24" t="inlineStr">
        <is>
          <t>Phase 3 - PREDICT with Intelligence
  Build prediction agents that continuously analyse participant context across partner performance, behaviours and engagement patterns.
  Generate explainable outcome predictions - such as churn risk, activation likelihood, target shortfalls and tier progression risk.
  Return prediction confidence, key drivers &amp; recommended interventions rather than standalone scores.
  Present predicted outcomes to Journey Builder to enable contextual interventions.</t>
        </is>
      </c>
      <c r="J102" s="23" t="inlineStr">
        <is>
          <t>Siva</t>
        </is>
      </c>
      <c r="K102" s="23" t="inlineStr">
        <is>
          <t>Data &amp; AI</t>
        </is>
      </c>
      <c r="L102" s="23" t="inlineStr">
        <is>
          <t>High</t>
        </is>
      </c>
      <c r="M102" s="23" t="inlineStr">
        <is>
          <t>Not Started</t>
        </is>
      </c>
      <c r="N102" s="25" t="n">
        <v>46343</v>
      </c>
      <c r="O102" s="25" t="n">
        <v>46375</v>
      </c>
      <c r="P102" s="23">
        <f>IF(OR(N102="",O102=""),"",O102-N102+1)</f>
        <v/>
      </c>
      <c r="Q102" s="26" t="n">
        <v>0</v>
      </c>
      <c r="R102" s="23" t="n">
        <v>200</v>
      </c>
      <c r="S102" s="23" t="n">
        <v>0</v>
      </c>
      <c r="T102" s="23">
        <f>S102-R102</f>
        <v/>
      </c>
      <c r="U102" s="27" t="n">
        <v>22000</v>
      </c>
      <c r="V102" s="23" t="inlineStr">
        <is>
          <t>T-097</t>
        </is>
      </c>
      <c r="W102" s="23" t="inlineStr"/>
      <c r="X102" s="23" t="inlineStr"/>
      <c r="Y102" s="24" t="inlineStr">
        <is>
          <t>Confirm kickoff &amp; acceptance criteria</t>
        </is>
      </c>
      <c r="Z102" s="23" t="inlineStr">
        <is>
          <t>R26.Q2</t>
        </is>
      </c>
      <c r="AA102" s="23" t="inlineStr">
        <is>
          <t>Include=Yes | Source=FY27 V1 | Timeline=Q2 FY27</t>
        </is>
      </c>
      <c r="AB102" s="23" t="inlineStr">
        <is>
          <t>No</t>
        </is>
      </c>
    </row>
    <row r="103">
      <c r="A103" s="23" t="inlineStr">
        <is>
          <t>T-099</t>
        </is>
      </c>
      <c r="B103" s="23" t="inlineStr">
        <is>
          <t>CS 2.0 Data — PIS New Feature</t>
        </is>
      </c>
      <c r="C103" s="23" t="inlineStr">
        <is>
          <t>CS 2.0 Data</t>
        </is>
      </c>
      <c r="D103" s="23" t="inlineStr">
        <is>
          <t>PIS New Feature</t>
        </is>
      </c>
      <c r="E103" s="23" t="inlineStr">
        <is>
          <t>Sprint 15</t>
        </is>
      </c>
      <c r="F103" s="23" t="inlineStr">
        <is>
          <t>Build</t>
        </is>
      </c>
      <c r="G103" s="23" t="inlineStr">
        <is>
          <t>Data</t>
        </is>
      </c>
      <c r="H103" s="24" t="inlineStr">
        <is>
          <t>Journey Builder</t>
        </is>
      </c>
      <c r="I103" s="24" t="inlineStr">
        <is>
          <t>Phase 1 - ORCHESTRATE - Build the Engine
  Low-code journey canvas with drag-and-drop trigger, wait, and condition logic.
  Automated actions across communication, incentives, and learning interventions.
  Omni-channel response tracking with automated follow-up sequencing.
  Extend journeys with Agent Node that invoke specialised AI agents for contextual decisioning and message personalization.</t>
        </is>
      </c>
      <c r="J103" s="23" t="inlineStr">
        <is>
          <t>Siva</t>
        </is>
      </c>
      <c r="K103" s="23" t="inlineStr">
        <is>
          <t>Data &amp; AI</t>
        </is>
      </c>
      <c r="L103" s="23" t="inlineStr">
        <is>
          <t>High</t>
        </is>
      </c>
      <c r="M103" s="23" t="inlineStr">
        <is>
          <t>Not Started</t>
        </is>
      </c>
      <c r="N103" s="25" t="n">
        <v>46396</v>
      </c>
      <c r="O103" s="25" t="n">
        <v>46428</v>
      </c>
      <c r="P103" s="23">
        <f>IF(OR(N103="",O103=""),"",O103-N103+1)</f>
        <v/>
      </c>
      <c r="Q103" s="26" t="n">
        <v>0</v>
      </c>
      <c r="R103" s="23" t="n">
        <v>200</v>
      </c>
      <c r="S103" s="23" t="n">
        <v>0</v>
      </c>
      <c r="T103" s="23">
        <f>S103-R103</f>
        <v/>
      </c>
      <c r="U103" s="27" t="n">
        <v>22000</v>
      </c>
      <c r="V103" s="23" t="inlineStr">
        <is>
          <t>T-098</t>
        </is>
      </c>
      <c r="W103" s="23" t="inlineStr"/>
      <c r="X103" s="23" t="inlineStr"/>
      <c r="Y103" s="24" t="inlineStr">
        <is>
          <t>Confirm kickoff &amp; acceptance criteria</t>
        </is>
      </c>
      <c r="Z103" s="23" t="inlineStr">
        <is>
          <t>R27.Q1</t>
        </is>
      </c>
      <c r="AA103" s="23" t="inlineStr">
        <is>
          <t>Include=Yes | Source=FY27 V1 | Timeline=Q3 FY27</t>
        </is>
      </c>
      <c r="AB103" s="23" t="inlineStr">
        <is>
          <t>No</t>
        </is>
      </c>
    </row>
    <row r="104">
      <c r="A104" s="23" t="inlineStr">
        <is>
          <t>T-100</t>
        </is>
      </c>
      <c r="B104" s="23" t="inlineStr">
        <is>
          <t>CS 2.0 Data — PIS New Feature</t>
        </is>
      </c>
      <c r="C104" s="23" t="inlineStr">
        <is>
          <t>CS 2.0 Data</t>
        </is>
      </c>
      <c r="D104" s="23" t="inlineStr">
        <is>
          <t>PIS New Feature</t>
        </is>
      </c>
      <c r="E104" s="23" t="inlineStr">
        <is>
          <t>Sprint 16</t>
        </is>
      </c>
      <c r="F104" s="23" t="inlineStr">
        <is>
          <t>Build</t>
        </is>
      </c>
      <c r="G104" s="23" t="inlineStr">
        <is>
          <t>Data</t>
        </is>
      </c>
      <c r="H104" s="24" t="inlineStr">
        <is>
          <t>Journey Builder</t>
        </is>
      </c>
      <c r="I104" s="24" t="inlineStr">
        <is>
          <t>Phase 2 - GUIDE with Recommendations
  Journey Builder framework powers Earn Advisor to continuously guide partners towards the highest-value earning actions.
  A Next-Best-Action Agent evaluates partner context across sales patterns, behaviours and program participation signals.
  Identifies and ranks high-value opportunities - including product mix gaps, cross-sell opportunities and time-sensitive incentives.
  Agent presents prioritised actions back to Journey Builder to enable contextual interventions.</t>
        </is>
      </c>
      <c r="J104" s="23" t="inlineStr">
        <is>
          <t>Siva</t>
        </is>
      </c>
      <c r="K104" s="23" t="inlineStr">
        <is>
          <t>Data &amp; AI</t>
        </is>
      </c>
      <c r="L104" s="23" t="inlineStr">
        <is>
          <t>High</t>
        </is>
      </c>
      <c r="M104" s="23" t="inlineStr">
        <is>
          <t>Not Started</t>
        </is>
      </c>
      <c r="N104" s="25" t="n">
        <v>46407</v>
      </c>
      <c r="O104" s="25" t="n">
        <v>46439</v>
      </c>
      <c r="P104" s="23">
        <f>IF(OR(N104="",O104=""),"",O104-N104+1)</f>
        <v/>
      </c>
      <c r="Q104" s="26" t="n">
        <v>0</v>
      </c>
      <c r="R104" s="23" t="n">
        <v>200</v>
      </c>
      <c r="S104" s="23" t="n">
        <v>0</v>
      </c>
      <c r="T104" s="23">
        <f>S104-R104</f>
        <v/>
      </c>
      <c r="U104" s="27" t="n">
        <v>22000</v>
      </c>
      <c r="V104" s="23" t="inlineStr">
        <is>
          <t>T-099</t>
        </is>
      </c>
      <c r="W104" s="23" t="inlineStr"/>
      <c r="X104" s="23" t="inlineStr"/>
      <c r="Y104" s="24" t="inlineStr">
        <is>
          <t>Confirm kickoff &amp; acceptance criteria</t>
        </is>
      </c>
      <c r="Z104" s="23" t="inlineStr">
        <is>
          <t>R27.Q1</t>
        </is>
      </c>
      <c r="AA104" s="23" t="inlineStr">
        <is>
          <t>Include=Yes | Source=FY27 V1 | Timeline=Q3 FY27</t>
        </is>
      </c>
      <c r="AB104" s="23" t="inlineStr">
        <is>
          <t>No</t>
        </is>
      </c>
    </row>
    <row r="105">
      <c r="A105" s="23" t="inlineStr">
        <is>
          <t>T-101</t>
        </is>
      </c>
      <c r="B105" s="23" t="inlineStr">
        <is>
          <t>CS 2.0 Data — PIS New Feature</t>
        </is>
      </c>
      <c r="C105" s="23" t="inlineStr">
        <is>
          <t>CS 2.0 Data</t>
        </is>
      </c>
      <c r="D105" s="23" t="inlineStr">
        <is>
          <t>PIS New Feature</t>
        </is>
      </c>
      <c r="E105" s="23" t="inlineStr">
        <is>
          <t>Sprint 17</t>
        </is>
      </c>
      <c r="F105" s="23" t="inlineStr">
        <is>
          <t>Build</t>
        </is>
      </c>
      <c r="G105" s="23" t="inlineStr">
        <is>
          <t>Data</t>
        </is>
      </c>
      <c r="H105" s="24" t="inlineStr">
        <is>
          <t>Journey Builder</t>
        </is>
      </c>
      <c r="I105" s="24" t="inlineStr">
        <is>
          <t>Phase 3 - PREDICT with Intelligence
  Build prediction agents that continuously analyse participant context across partner performance, behaviours and engagement patterns.
  Generate explainable outcome predictions - such as churn risk, activation likelihood, target shortfalls and tier progression risk.
  Return prediction confidence, key drivers &amp; recommended interventions rather than standalone scores.
  Present predicted outcomes to Journey Builder to enable contextual interventions.</t>
        </is>
      </c>
      <c r="J105" s="23" t="inlineStr">
        <is>
          <t>Siva</t>
        </is>
      </c>
      <c r="K105" s="23" t="inlineStr">
        <is>
          <t>Data &amp; AI</t>
        </is>
      </c>
      <c r="L105" s="23" t="inlineStr">
        <is>
          <t>High</t>
        </is>
      </c>
      <c r="M105" s="23" t="inlineStr">
        <is>
          <t>Not Started</t>
        </is>
      </c>
      <c r="N105" s="25" t="n">
        <v>46430</v>
      </c>
      <c r="O105" s="25" t="n">
        <v>46462</v>
      </c>
      <c r="P105" s="23">
        <f>IF(OR(N105="",O105=""),"",O105-N105+1)</f>
        <v/>
      </c>
      <c r="Q105" s="26" t="n">
        <v>0</v>
      </c>
      <c r="R105" s="23" t="n">
        <v>200</v>
      </c>
      <c r="S105" s="23" t="n">
        <v>0</v>
      </c>
      <c r="T105" s="23">
        <f>S105-R105</f>
        <v/>
      </c>
      <c r="U105" s="27" t="n">
        <v>22000</v>
      </c>
      <c r="V105" s="23" t="inlineStr">
        <is>
          <t>T-100</t>
        </is>
      </c>
      <c r="W105" s="23" t="inlineStr"/>
      <c r="X105" s="23" t="inlineStr"/>
      <c r="Y105" s="24" t="inlineStr">
        <is>
          <t>Confirm kickoff &amp; acceptance criteria</t>
        </is>
      </c>
      <c r="Z105" s="23" t="inlineStr">
        <is>
          <t>R27.Q1</t>
        </is>
      </c>
      <c r="AA105" s="23" t="inlineStr">
        <is>
          <t>Include=Yes | Source=FY27 V1 | Timeline=Q3 FY27</t>
        </is>
      </c>
      <c r="AB105" s="23" t="inlineStr">
        <is>
          <t>No</t>
        </is>
      </c>
    </row>
    <row r="106">
      <c r="A106" s="23" t="inlineStr">
        <is>
          <t>T-102</t>
        </is>
      </c>
      <c r="B106" s="23" t="inlineStr">
        <is>
          <t>CS 2.0 Data — PIS New Feature</t>
        </is>
      </c>
      <c r="C106" s="23" t="inlineStr">
        <is>
          <t>CS 2.0 Data</t>
        </is>
      </c>
      <c r="D106" s="23" t="inlineStr">
        <is>
          <t>PIS New Feature</t>
        </is>
      </c>
      <c r="E106" s="23" t="inlineStr">
        <is>
          <t>Sprint 25</t>
        </is>
      </c>
      <c r="F106" s="23" t="inlineStr">
        <is>
          <t>Build</t>
        </is>
      </c>
      <c r="G106" s="23" t="inlineStr">
        <is>
          <t>Data</t>
        </is>
      </c>
      <c r="H106" s="24" t="inlineStr">
        <is>
          <t>AI-Powered Journey Intelligence Platform</t>
        </is>
      </c>
      <c r="I106" s="24" t="inlineStr">
        <is>
          <t>Build AI agents, predictive models, and intelligence datasets that power personalized recommendations, next-best actions, engagement insights, and behavioral analytics across partner journeys.</t>
        </is>
      </c>
      <c r="J106" s="23" t="inlineStr">
        <is>
          <t>Siva</t>
        </is>
      </c>
      <c r="K106" s="23" t="inlineStr">
        <is>
          <t>Data &amp; AI</t>
        </is>
      </c>
      <c r="L106" s="23" t="inlineStr">
        <is>
          <t>High</t>
        </is>
      </c>
      <c r="M106" s="23" t="inlineStr">
        <is>
          <t>Not Started</t>
        </is>
      </c>
      <c r="N106" s="25" t="n">
        <v>46537</v>
      </c>
      <c r="O106" s="25" t="n">
        <v>46564</v>
      </c>
      <c r="P106" s="23">
        <f>IF(OR(N106="",O106=""),"",O106-N106+1)</f>
        <v/>
      </c>
      <c r="Q106" s="26" t="n">
        <v>0</v>
      </c>
      <c r="R106" s="23" t="n">
        <v>40</v>
      </c>
      <c r="S106" s="23" t="n">
        <v>0</v>
      </c>
      <c r="T106" s="23">
        <f>S106-R106</f>
        <v/>
      </c>
      <c r="U106" s="27" t="n">
        <v>4400</v>
      </c>
      <c r="V106" s="23" t="inlineStr">
        <is>
          <t>T-101</t>
        </is>
      </c>
      <c r="W106" s="23" t="inlineStr"/>
      <c r="X106" s="23" t="inlineStr"/>
      <c r="Y106" s="24" t="inlineStr">
        <is>
          <t>Confirm kickoff &amp; acceptance criteria</t>
        </is>
      </c>
      <c r="Z106" s="23" t="inlineStr">
        <is>
          <t>N/A</t>
        </is>
      </c>
      <c r="AA106" s="23" t="inlineStr">
        <is>
          <t>Include=Yes | Source=FY27 V1 | Timeline=TBD FY27 | Hours=TBD in source</t>
        </is>
      </c>
      <c r="AB106" s="23" t="inlineStr">
        <is>
          <t>No</t>
        </is>
      </c>
    </row>
    <row r="107">
      <c r="A107" s="23" t="inlineStr">
        <is>
          <t>T-103</t>
        </is>
      </c>
      <c r="B107" s="23" t="inlineStr">
        <is>
          <t>CS 2.0 Data — PIS New Feature</t>
        </is>
      </c>
      <c r="C107" s="23" t="inlineStr">
        <is>
          <t>CS 2.0 Data</t>
        </is>
      </c>
      <c r="D107" s="23" t="inlineStr">
        <is>
          <t>PIS New Feature</t>
        </is>
      </c>
      <c r="E107" s="23" t="inlineStr">
        <is>
          <t>Sprint 26</t>
        </is>
      </c>
      <c r="F107" s="23" t="inlineStr">
        <is>
          <t>Build</t>
        </is>
      </c>
      <c r="G107" s="23" t="inlineStr">
        <is>
          <t>Data</t>
        </is>
      </c>
      <c r="H107" s="24" t="inlineStr">
        <is>
          <t>Data &amp; Intelligence Foundation Modernization</t>
        </is>
      </c>
      <c r="I107" s="24" t="inlineStr">
        <is>
          <t>Establish a unified intelligence platform integrating behavioral, communication, marketplace, and web analytics data to support AI, reporting, and decision intelligence.</t>
        </is>
      </c>
      <c r="J107" s="23" t="inlineStr">
        <is>
          <t>Siva</t>
        </is>
      </c>
      <c r="K107" s="23" t="inlineStr">
        <is>
          <t>Data &amp; AI</t>
        </is>
      </c>
      <c r="L107" s="23" t="inlineStr">
        <is>
          <t>High</t>
        </is>
      </c>
      <c r="M107" s="23" t="inlineStr">
        <is>
          <t>Not Started</t>
        </is>
      </c>
      <c r="N107" s="25" t="n">
        <v>46545</v>
      </c>
      <c r="O107" s="25" t="n">
        <v>46565</v>
      </c>
      <c r="P107" s="23">
        <f>IF(OR(N107="",O107=""),"",O107-N107+1)</f>
        <v/>
      </c>
      <c r="Q107" s="26" t="n">
        <v>0</v>
      </c>
      <c r="R107" s="23" t="n">
        <v>40</v>
      </c>
      <c r="S107" s="23" t="n">
        <v>0</v>
      </c>
      <c r="T107" s="23">
        <f>S107-R107</f>
        <v/>
      </c>
      <c r="U107" s="27" t="n">
        <v>4400</v>
      </c>
      <c r="V107" s="23" t="inlineStr">
        <is>
          <t>T-102</t>
        </is>
      </c>
      <c r="W107" s="23" t="inlineStr"/>
      <c r="X107" s="23" t="inlineStr"/>
      <c r="Y107" s="24" t="inlineStr">
        <is>
          <t>Confirm kickoff &amp; acceptance criteria</t>
        </is>
      </c>
      <c r="Z107" s="23" t="inlineStr">
        <is>
          <t>N/A</t>
        </is>
      </c>
      <c r="AA107" s="23" t="inlineStr">
        <is>
          <t>Include=Yes | Source=FY27 V1 | Timeline=TBD FY27 | Hours=TBD in source</t>
        </is>
      </c>
      <c r="AB107" s="23" t="inlineStr">
        <is>
          <t>No</t>
        </is>
      </c>
    </row>
    <row r="108">
      <c r="A108" s="23" t="inlineStr">
        <is>
          <t>T-104</t>
        </is>
      </c>
      <c r="B108" s="23" t="inlineStr">
        <is>
          <t>CS 2.0 Data — PIS New Feature</t>
        </is>
      </c>
      <c r="C108" s="23" t="inlineStr">
        <is>
          <t>CS 2.0 Data</t>
        </is>
      </c>
      <c r="D108" s="23" t="inlineStr">
        <is>
          <t>PIS New Feature</t>
        </is>
      </c>
      <c r="E108" s="23" t="inlineStr">
        <is>
          <t>Sprint 26</t>
        </is>
      </c>
      <c r="F108" s="23" t="inlineStr">
        <is>
          <t>Build</t>
        </is>
      </c>
      <c r="G108" s="23" t="inlineStr">
        <is>
          <t>Data</t>
        </is>
      </c>
      <c r="H108" s="24" t="inlineStr">
        <is>
          <t>Promotion Optimization &amp; Decision Intelligence</t>
        </is>
      </c>
      <c r="I108" s="24" t="inlineStr">
        <is>
          <t>Deliver promotion simulation, ROI forecasting, budget optimization, and data-driven program management capabilities to improve campaign effectiveness and business outcomes.</t>
        </is>
      </c>
      <c r="J108" s="23" t="inlineStr">
        <is>
          <t>Siva</t>
        </is>
      </c>
      <c r="K108" s="23" t="inlineStr">
        <is>
          <t>Data &amp; AI</t>
        </is>
      </c>
      <c r="L108" s="23" t="inlineStr">
        <is>
          <t>High</t>
        </is>
      </c>
      <c r="M108" s="23" t="inlineStr">
        <is>
          <t>Not Started</t>
        </is>
      </c>
      <c r="N108" s="25" t="n">
        <v>46531</v>
      </c>
      <c r="O108" s="25" t="n">
        <v>46558</v>
      </c>
      <c r="P108" s="23">
        <f>IF(OR(N108="",O108=""),"",O108-N108+1)</f>
        <v/>
      </c>
      <c r="Q108" s="26" t="n">
        <v>0</v>
      </c>
      <c r="R108" s="23" t="n">
        <v>40</v>
      </c>
      <c r="S108" s="23" t="n">
        <v>0</v>
      </c>
      <c r="T108" s="23">
        <f>S108-R108</f>
        <v/>
      </c>
      <c r="U108" s="27" t="n">
        <v>4400</v>
      </c>
      <c r="V108" s="23" t="inlineStr">
        <is>
          <t>T-103</t>
        </is>
      </c>
      <c r="W108" s="23" t="inlineStr"/>
      <c r="X108" s="23" t="inlineStr"/>
      <c r="Y108" s="24" t="inlineStr">
        <is>
          <t>Confirm kickoff &amp; acceptance criteria</t>
        </is>
      </c>
      <c r="Z108" s="23" t="inlineStr">
        <is>
          <t>N/A</t>
        </is>
      </c>
      <c r="AA108" s="23" t="inlineStr">
        <is>
          <t>Include=Yes | Source=FY27 V1 | Timeline=TBD FY27 | Hours=TBD in source</t>
        </is>
      </c>
      <c r="AB108" s="23" t="inlineStr">
        <is>
          <t>No</t>
        </is>
      </c>
    </row>
    <row r="109">
      <c r="A109" s="23" t="inlineStr">
        <is>
          <t>T-105</t>
        </is>
      </c>
      <c r="B109" s="23" t="inlineStr">
        <is>
          <t>CS 2.0 Data — PIS New Feature</t>
        </is>
      </c>
      <c r="C109" s="23" t="inlineStr">
        <is>
          <t>CS 2.0 Data</t>
        </is>
      </c>
      <c r="D109" s="23" t="inlineStr">
        <is>
          <t>PIS New Feature</t>
        </is>
      </c>
      <c r="E109" s="23" t="inlineStr">
        <is>
          <t>Sprint 22</t>
        </is>
      </c>
      <c r="F109" s="23" t="inlineStr">
        <is>
          <t>Build</t>
        </is>
      </c>
      <c r="G109" s="23" t="inlineStr">
        <is>
          <t>Data</t>
        </is>
      </c>
      <c r="H109" s="24" t="inlineStr">
        <is>
          <t>Partner Intelligence &amp; Fraud Analytics Suite</t>
        </is>
      </c>
      <c r="I109" s="24" t="inlineStr">
        <is>
          <t>Enhance Partner360 and Program360 with predictive insights, opportunity intelligence, advanced fraud detection, anomaly monitoring, and adaptive risk scoring.</t>
        </is>
      </c>
      <c r="J109" s="23" t="inlineStr">
        <is>
          <t>Siva</t>
        </is>
      </c>
      <c r="K109" s="23" t="inlineStr">
        <is>
          <t>Data &amp; AI</t>
        </is>
      </c>
      <c r="L109" s="23" t="inlineStr">
        <is>
          <t>High</t>
        </is>
      </c>
      <c r="M109" s="23" t="inlineStr">
        <is>
          <t>Not Started</t>
        </is>
      </c>
      <c r="N109" s="25" t="n">
        <v>46486</v>
      </c>
      <c r="O109" s="25" t="n">
        <v>46506</v>
      </c>
      <c r="P109" s="23">
        <f>IF(OR(N109="",O109=""),"",O109-N109+1)</f>
        <v/>
      </c>
      <c r="Q109" s="26" t="n">
        <v>0</v>
      </c>
      <c r="R109" s="23" t="n">
        <v>40</v>
      </c>
      <c r="S109" s="23" t="n">
        <v>0</v>
      </c>
      <c r="T109" s="23">
        <f>S109-R109</f>
        <v/>
      </c>
      <c r="U109" s="27" t="n">
        <v>4400</v>
      </c>
      <c r="V109" s="23" t="inlineStr">
        <is>
          <t>T-104</t>
        </is>
      </c>
      <c r="W109" s="23" t="inlineStr"/>
      <c r="X109" s="23" t="inlineStr"/>
      <c r="Y109" s="24" t="inlineStr">
        <is>
          <t>Confirm kickoff &amp; acceptance criteria</t>
        </is>
      </c>
      <c r="Z109" s="23" t="inlineStr">
        <is>
          <t>N/A</t>
        </is>
      </c>
      <c r="AA109" s="23" t="inlineStr">
        <is>
          <t>Include=Yes | Source=FY27 V1 | Timeline=TBD FY27 | Hours=TBD in source</t>
        </is>
      </c>
      <c r="AB109" s="23" t="inlineStr">
        <is>
          <t>No</t>
        </is>
      </c>
    </row>
    <row r="110">
      <c r="A110" s="23" t="inlineStr">
        <is>
          <t>T-106</t>
        </is>
      </c>
      <c r="B110" s="23" t="inlineStr">
        <is>
          <t>Unassigned — Tech Maintenance</t>
        </is>
      </c>
      <c r="C110" s="23" t="inlineStr">
        <is>
          <t>Unassigned</t>
        </is>
      </c>
      <c r="D110" s="23" t="inlineStr">
        <is>
          <t>Tech Maintenance</t>
        </is>
      </c>
      <c r="E110" s="23" t="inlineStr">
        <is>
          <t>Sprint 01</t>
        </is>
      </c>
      <c r="F110" s="23" t="inlineStr">
        <is>
          <t>Hypercare</t>
        </is>
      </c>
      <c r="G110" s="23" t="inlineStr">
        <is>
          <t>Reliability</t>
        </is>
      </c>
      <c r="H110" s="24" t="inlineStr">
        <is>
          <t>Update Tuskr Connector and Remove duplicate</t>
        </is>
      </c>
      <c r="I110" s="24" t="inlineStr">
        <is>
          <t>Remove the duplicate test cases. With new tuskr api, update the tuskr connector to accept external id and create a provision for updating the test case. Migrate the existing test cases to have the external id</t>
        </is>
      </c>
      <c r="J110" s="23" t="inlineStr">
        <is>
          <t>Kadarkarai</t>
        </is>
      </c>
      <c r="K110" s="23" t="inlineStr">
        <is>
          <t>Core Product</t>
        </is>
      </c>
      <c r="L110" s="23" t="inlineStr">
        <is>
          <t>Critical</t>
        </is>
      </c>
      <c r="M110" s="23" t="inlineStr">
        <is>
          <t>At Risk</t>
        </is>
      </c>
      <c r="N110" s="25" t="n">
        <v>46267</v>
      </c>
      <c r="O110" s="25" t="n">
        <v>46271</v>
      </c>
      <c r="P110" s="23">
        <f>IF(OR(N110="",O110=""),"",O110-N110+1)</f>
        <v/>
      </c>
      <c r="Q110" s="26" t="n">
        <v>0.16</v>
      </c>
      <c r="R110" s="23" t="n">
        <v>18</v>
      </c>
      <c r="S110" s="23" t="n">
        <v>2.8</v>
      </c>
      <c r="T110" s="23">
        <f>S110-R110</f>
        <v/>
      </c>
      <c r="U110" s="27" t="n">
        <v>1980</v>
      </c>
      <c r="V110" s="23" t="inlineStr"/>
      <c r="W110" s="23" t="inlineStr"/>
      <c r="X110" s="23" t="inlineStr">
        <is>
          <t>R-13</t>
        </is>
      </c>
      <c r="Y110" s="24" t="inlineStr">
        <is>
          <t>Clarify Include/Pending decision; rebaseline if needed</t>
        </is>
      </c>
      <c r="Z110" s="23" t="inlineStr">
        <is>
          <t>R26.Q1</t>
        </is>
      </c>
      <c r="AA110" s="23" t="inlineStr">
        <is>
          <t>Include=Pending | Source=FY27 V1 | Timeline=Q1 FY27</t>
        </is>
      </c>
      <c r="AB110" s="23" t="inlineStr">
        <is>
          <t>Yes</t>
        </is>
      </c>
    </row>
    <row r="111">
      <c r="A111" s="23" t="inlineStr">
        <is>
          <t>T-107</t>
        </is>
      </c>
      <c r="B111" s="23" t="inlineStr">
        <is>
          <t>Unassigned — Tech Maintenance</t>
        </is>
      </c>
      <c r="C111" s="23" t="inlineStr">
        <is>
          <t>Unassigned</t>
        </is>
      </c>
      <c r="D111" s="23" t="inlineStr">
        <is>
          <t>Tech Maintenance</t>
        </is>
      </c>
      <c r="E111" s="23" t="inlineStr">
        <is>
          <t>Sprint 02</t>
        </is>
      </c>
      <c r="F111" s="23" t="inlineStr">
        <is>
          <t>Hypercare</t>
        </is>
      </c>
      <c r="G111" s="23" t="inlineStr">
        <is>
          <t>Reliability</t>
        </is>
      </c>
      <c r="H111" s="24" t="inlineStr">
        <is>
          <t>Mobile Automation POC</t>
        </is>
      </c>
      <c r="I111" s="24" t="inlineStr">
        <is>
          <t>Find and confirm on the Mobile automation and come up with the POC</t>
        </is>
      </c>
      <c r="J111" s="23" t="inlineStr">
        <is>
          <t>Kadarkarai</t>
        </is>
      </c>
      <c r="K111" s="23" t="inlineStr">
        <is>
          <t>Core Product</t>
        </is>
      </c>
      <c r="L111" s="23" t="inlineStr">
        <is>
          <t>High</t>
        </is>
      </c>
      <c r="M111" s="23" t="inlineStr">
        <is>
          <t>Blocked</t>
        </is>
      </c>
      <c r="N111" s="25" t="n">
        <v>46265</v>
      </c>
      <c r="O111" s="25" t="n">
        <v>46271</v>
      </c>
      <c r="P111" s="23">
        <f>IF(OR(N111="",O111=""),"",O111-N111+1)</f>
        <v/>
      </c>
      <c r="Q111" s="26" t="n">
        <v>0.14</v>
      </c>
      <c r="R111" s="23" t="n">
        <v>42</v>
      </c>
      <c r="S111" s="23" t="n">
        <v>5.9</v>
      </c>
      <c r="T111" s="23">
        <f>S111-R111</f>
        <v/>
      </c>
      <c r="U111" s="27" t="n">
        <v>4620</v>
      </c>
      <c r="V111" s="23" t="inlineStr">
        <is>
          <t>T-106</t>
        </is>
      </c>
      <c r="W111" s="23" t="inlineStr">
        <is>
          <t>T-106</t>
        </is>
      </c>
      <c r="X111" s="23" t="inlineStr">
        <is>
          <t>R-11</t>
        </is>
      </c>
      <c r="Y111" s="24" t="inlineStr">
        <is>
          <t>Resolve blocker with dependency owner</t>
        </is>
      </c>
      <c r="Z111" s="23" t="inlineStr">
        <is>
          <t>R26.Q1</t>
        </is>
      </c>
      <c r="AA111" s="23" t="inlineStr">
        <is>
          <t>Include=Pending | Source=FY27 V1 | Timeline=Q1 FY27</t>
        </is>
      </c>
      <c r="AB111" s="23" t="inlineStr">
        <is>
          <t>No</t>
        </is>
      </c>
    </row>
    <row r="112">
      <c r="A112" s="23" t="inlineStr">
        <is>
          <t>T-108</t>
        </is>
      </c>
      <c r="B112" s="23" t="inlineStr">
        <is>
          <t>Unassigned — Tech Maintenance</t>
        </is>
      </c>
      <c r="C112" s="23" t="inlineStr">
        <is>
          <t>Unassigned</t>
        </is>
      </c>
      <c r="D112" s="23" t="inlineStr">
        <is>
          <t>Tech Maintenance</t>
        </is>
      </c>
      <c r="E112" s="23" t="inlineStr">
        <is>
          <t>Sprint 03</t>
        </is>
      </c>
      <c r="F112" s="23" t="inlineStr">
        <is>
          <t>Hypercare</t>
        </is>
      </c>
      <c r="G112" s="23" t="inlineStr">
        <is>
          <t>Reliability</t>
        </is>
      </c>
      <c r="H112" s="24" t="inlineStr">
        <is>
          <t>Automating the main features for mobile</t>
        </is>
      </c>
      <c r="I112" s="24" t="inlineStr">
        <is>
          <t>Completing the mobile Automation for the basic features including login, self registration, invoice claim, coupon claim, verify invoice claim history, verify coupon claim history, Verify the profile page</t>
        </is>
      </c>
      <c r="J112" s="23" t="inlineStr">
        <is>
          <t>Kadarkarai</t>
        </is>
      </c>
      <c r="K112" s="23" t="inlineStr">
        <is>
          <t>Core Product</t>
        </is>
      </c>
      <c r="L112" s="23" t="inlineStr">
        <is>
          <t>High</t>
        </is>
      </c>
      <c r="M112" s="23" t="inlineStr">
        <is>
          <t>Blocked</t>
        </is>
      </c>
      <c r="N112" s="25" t="n">
        <v>46228</v>
      </c>
      <c r="O112" s="25" t="n">
        <v>46254</v>
      </c>
      <c r="P112" s="23">
        <f>IF(OR(N112="",O112=""),"",O112-N112+1)</f>
        <v/>
      </c>
      <c r="Q112" s="26" t="n">
        <v>0.15</v>
      </c>
      <c r="R112" s="23" t="n">
        <v>160</v>
      </c>
      <c r="S112" s="23" t="n">
        <v>24</v>
      </c>
      <c r="T112" s="23">
        <f>S112-R112</f>
        <v/>
      </c>
      <c r="U112" s="27" t="n">
        <v>17600</v>
      </c>
      <c r="V112" s="23" t="inlineStr">
        <is>
          <t>T-107</t>
        </is>
      </c>
      <c r="W112" s="23" t="inlineStr">
        <is>
          <t>T-107</t>
        </is>
      </c>
      <c r="X112" s="23" t="inlineStr">
        <is>
          <t>R-14</t>
        </is>
      </c>
      <c r="Y112" s="24" t="inlineStr">
        <is>
          <t>Resolve blocker with dependency owner</t>
        </is>
      </c>
      <c r="Z112" s="23" t="inlineStr">
        <is>
          <t>R26.Q1</t>
        </is>
      </c>
      <c r="AA112" s="23" t="inlineStr">
        <is>
          <t>Include=Pending | Source=FY27 V1 | Timeline=Q1 FY27</t>
        </is>
      </c>
      <c r="AB112" s="23" t="inlineStr">
        <is>
          <t>No</t>
        </is>
      </c>
    </row>
    <row r="113">
      <c r="A113" s="23" t="inlineStr">
        <is>
          <t>T-109</t>
        </is>
      </c>
      <c r="B113" s="23" t="inlineStr">
        <is>
          <t>Unassigned — Tech Maintenance</t>
        </is>
      </c>
      <c r="C113" s="23" t="inlineStr">
        <is>
          <t>Unassigned</t>
        </is>
      </c>
      <c r="D113" s="23" t="inlineStr">
        <is>
          <t>Tech Maintenance</t>
        </is>
      </c>
      <c r="E113" s="23" t="inlineStr">
        <is>
          <t>Sprint 04</t>
        </is>
      </c>
      <c r="F113" s="23" t="inlineStr">
        <is>
          <t>Hypercare</t>
        </is>
      </c>
      <c r="G113" s="23" t="inlineStr">
        <is>
          <t>Reliability</t>
        </is>
      </c>
      <c r="H113" s="24" t="inlineStr">
        <is>
          <t>Audit Findings remediation</t>
        </is>
      </c>
      <c r="I113" s="24" t="inlineStr"/>
      <c r="J113" s="23" t="inlineStr">
        <is>
          <t>Kadarkarai</t>
        </is>
      </c>
      <c r="K113" s="23" t="inlineStr">
        <is>
          <t>Core Product</t>
        </is>
      </c>
      <c r="L113" s="23" t="inlineStr">
        <is>
          <t>High</t>
        </is>
      </c>
      <c r="M113" s="23" t="inlineStr">
        <is>
          <t>At Risk</t>
        </is>
      </c>
      <c r="N113" s="25" t="n">
        <v>46232</v>
      </c>
      <c r="O113" s="25" t="n">
        <v>46236</v>
      </c>
      <c r="P113" s="23">
        <f>IF(OR(N113="",O113=""),"",O113-N113+1)</f>
        <v/>
      </c>
      <c r="Q113" s="26" t="n">
        <v>0.21</v>
      </c>
      <c r="R113" s="23" t="n">
        <v>18</v>
      </c>
      <c r="S113" s="23" t="n">
        <v>4</v>
      </c>
      <c r="T113" s="23">
        <f>S113-R113</f>
        <v/>
      </c>
      <c r="U113" s="27" t="n">
        <v>1980</v>
      </c>
      <c r="V113" s="23" t="inlineStr">
        <is>
          <t>T-108</t>
        </is>
      </c>
      <c r="W113" s="23" t="inlineStr"/>
      <c r="X113" s="23" t="inlineStr">
        <is>
          <t>R-14</t>
        </is>
      </c>
      <c r="Y113" s="24" t="inlineStr">
        <is>
          <t>Clarify Include/Pending decision; rebaseline if needed</t>
        </is>
      </c>
      <c r="Z113" s="23" t="inlineStr">
        <is>
          <t>R26.Q1</t>
        </is>
      </c>
      <c r="AA113" s="23" t="inlineStr">
        <is>
          <t>Include=Pending | Source=FY27 V1 | Timeline=Q1 FY27</t>
        </is>
      </c>
      <c r="AB113" s="23" t="inlineStr">
        <is>
          <t>No</t>
        </is>
      </c>
    </row>
  </sheetData>
  <mergeCells count="1">
    <mergeCell ref="A1:H1"/>
  </mergeCells>
  <conditionalFormatting sqref="M5:M113">
    <cfRule type="cellIs" priority="1" operator="equal" dxfId="0">
      <formula>"Completed"</formula>
    </cfRule>
    <cfRule type="cellIs" priority="2" operator="equal" dxfId="1">
      <formula>"In Progress"</formula>
    </cfRule>
    <cfRule type="cellIs" priority="3" operator="equal" dxfId="2">
      <formula>"At Risk"</formula>
    </cfRule>
    <cfRule type="cellIs" priority="4" operator="equal" dxfId="3">
      <formula>"Blocked"</formula>
    </cfRule>
    <cfRule type="cellIs" priority="5" operator="equal" dxfId="4">
      <formula>"Not Started"</formula>
    </cfRule>
  </conditionalFormatting>
  <conditionalFormatting sqref="L5:L113">
    <cfRule type="cellIs" priority="6" operator="equal" dxfId="3">
      <formula>"Critical"</formula>
    </cfRule>
  </conditionalFormatting>
  <dataValidations count="9">
    <dataValidation sqref="M5:M113" showDropDown="0" showInputMessage="0" showErrorMessage="0" allowBlank="1" errorTitle="Invalid entry" error="Select a value from the list" type="list">
      <formula1>=List_Status</formula1>
    </dataValidation>
    <dataValidation sqref="L5:L113" showDropDown="0" showInputMessage="0" showErrorMessage="0" allowBlank="1" errorTitle="Invalid entry" error="Select a value from the list" type="list">
      <formula1>=List_Priority</formula1>
    </dataValidation>
    <dataValidation sqref="J5:J113" showDropDown="0" showInputMessage="0" showErrorMessage="0" allowBlank="1" errorTitle="Invalid entry" error="Select a value from the list" type="list">
      <formula1>=List_Owners</formula1>
    </dataValidation>
    <dataValidation sqref="E5:E113" showDropDown="0" showInputMessage="0" showErrorMessage="0" allowBlank="1" errorTitle="Invalid entry" error="Select a value from the list" type="list">
      <formula1>=List_Sprint</formula1>
    </dataValidation>
    <dataValidation sqref="Z5:Z113" showDropDown="0" showInputMessage="0" showErrorMessage="0" allowBlank="1" errorTitle="Invalid entry" error="Select a value from the list" type="list">
      <formula1>=List_Releases</formula1>
    </dataValidation>
    <dataValidation sqref="C5:C113" showDropDown="0" showInputMessage="0" showErrorMessage="0" allowBlank="1" errorTitle="Invalid entry" error="Select a value from the list" type="list">
      <formula1>=List_Projects</formula1>
    </dataValidation>
    <dataValidation sqref="K5:K113" showDropDown="0" showInputMessage="0" showErrorMessage="0" allowBlank="1" errorTitle="Invalid entry" error="Select a value from the list" type="list">
      <formula1>=List_Teams</formula1>
    </dataValidation>
    <dataValidation sqref="F5:F113" showDropDown="0" showInputMessage="0" showErrorMessage="0" allowBlank="1" errorTitle="Invalid entry" error="Select a value from the list" type="list">
      <formula1>=List_Phase</formula1>
    </dataValidation>
    <dataValidation sqref="G5:G113" showDropDown="0" showInputMessage="0" showErrorMessage="0" allowBlank="1" errorTitle="Invalid entry" error="Select a value from the list" type="list">
      <formula1>=List_Workstream</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I125"/>
  <sheetViews>
    <sheetView workbookViewId="0">
      <pane xSplit="8" ySplit="4" topLeftCell="I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4" customWidth="1" min="3" max="3"/>
    <col width="12" customWidth="1" min="4" max="4"/>
    <col width="11" customWidth="1" min="5" max="5"/>
    <col width="11" customWidth="1" min="6" max="6"/>
    <col width="10" customWidth="1" min="7" max="7"/>
    <col width="9"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 width="3.2" customWidth="1" min="60" max="60"/>
    <col width="3.2" customWidth="1" min="61" max="61"/>
  </cols>
  <sheetData>
    <row r="1">
      <c r="A1" s="20" t="inlineStr">
        <is>
          <t>GANTT CHART — FY27 (Weekly / Monthly / Quarterly)</t>
        </is>
      </c>
    </row>
    <row r="2">
      <c r="A2" s="13" t="inlineStr">
        <is>
          <t>Bars auto-highlight from Start/End. Legend: Green=Completed · Blue=In Progress · Yellow=At Risk · Red=Blocked/Critical · Grey=Not Started · ◆=Milestone week · Orange header=Current week</t>
        </is>
      </c>
    </row>
    <row r="3">
      <c r="I3" s="28">
        <f>IF(AND(TODAY()&gt;=I$4,TODAY()&lt;I$4+7),"▶","")</f>
        <v/>
      </c>
      <c r="J3" s="28">
        <f>IF(AND(TODAY()&gt;=J$4,TODAY()&lt;J$4+7),"▶","")</f>
        <v/>
      </c>
      <c r="K3" s="28">
        <f>IF(AND(TODAY()&gt;=K$4,TODAY()&lt;K$4+7),"▶","")</f>
        <v/>
      </c>
      <c r="L3" s="28">
        <f>IF(AND(TODAY()&gt;=L$4,TODAY()&lt;L$4+7),"▶","")</f>
        <v/>
      </c>
      <c r="M3" s="28">
        <f>IF(AND(TODAY()&gt;=M$4,TODAY()&lt;M$4+7),"▶","")</f>
        <v/>
      </c>
      <c r="N3" s="28">
        <f>IF(AND(TODAY()&gt;=N$4,TODAY()&lt;N$4+7),"▶","")</f>
        <v/>
      </c>
      <c r="O3" s="28">
        <f>IF(AND(TODAY()&gt;=O$4,TODAY()&lt;O$4+7),"▶","")</f>
        <v/>
      </c>
      <c r="P3" s="28">
        <f>IF(AND(TODAY()&gt;=P$4,TODAY()&lt;P$4+7),"▶","")</f>
        <v/>
      </c>
      <c r="Q3" s="28">
        <f>IF(AND(TODAY()&gt;=Q$4,TODAY()&lt;Q$4+7),"▶","")</f>
        <v/>
      </c>
      <c r="R3" s="28">
        <f>IF(AND(TODAY()&gt;=R$4,TODAY()&lt;R$4+7),"▶","")</f>
        <v/>
      </c>
      <c r="S3" s="28">
        <f>IF(AND(TODAY()&gt;=S$4,TODAY()&lt;S$4+7),"▶","")</f>
        <v/>
      </c>
      <c r="T3" s="28">
        <f>IF(AND(TODAY()&gt;=T$4,TODAY()&lt;T$4+7),"▶","")</f>
        <v/>
      </c>
      <c r="U3" s="28">
        <f>IF(AND(TODAY()&gt;=U$4,TODAY()&lt;U$4+7),"▶","")</f>
        <v/>
      </c>
      <c r="V3" s="28">
        <f>IF(AND(TODAY()&gt;=V$4,TODAY()&lt;V$4+7),"▶","")</f>
        <v/>
      </c>
      <c r="W3" s="28">
        <f>IF(AND(TODAY()&gt;=W$4,TODAY()&lt;W$4+7),"▶","")</f>
        <v/>
      </c>
      <c r="X3" s="28">
        <f>IF(AND(TODAY()&gt;=X$4,TODAY()&lt;X$4+7),"▶","")</f>
        <v/>
      </c>
      <c r="Y3" s="28">
        <f>IF(AND(TODAY()&gt;=Y$4,TODAY()&lt;Y$4+7),"▶","")</f>
        <v/>
      </c>
      <c r="Z3" s="28">
        <f>IF(AND(TODAY()&gt;=Z$4,TODAY()&lt;Z$4+7),"▶","")</f>
        <v/>
      </c>
      <c r="AA3" s="28">
        <f>IF(AND(TODAY()&gt;=AA$4,TODAY()&lt;AA$4+7),"▶","")</f>
        <v/>
      </c>
      <c r="AB3" s="28">
        <f>IF(AND(TODAY()&gt;=AB$4,TODAY()&lt;AB$4+7),"▶","")</f>
        <v/>
      </c>
      <c r="AC3" s="28">
        <f>IF(AND(TODAY()&gt;=AC$4,TODAY()&lt;AC$4+7),"▶","")</f>
        <v/>
      </c>
      <c r="AD3" s="28">
        <f>IF(AND(TODAY()&gt;=AD$4,TODAY()&lt;AD$4+7),"▶","")</f>
        <v/>
      </c>
      <c r="AE3" s="28">
        <f>IF(AND(TODAY()&gt;=AE$4,TODAY()&lt;AE$4+7),"▶","")</f>
        <v/>
      </c>
      <c r="AF3" s="28">
        <f>IF(AND(TODAY()&gt;=AF$4,TODAY()&lt;AF$4+7),"▶","")</f>
        <v/>
      </c>
      <c r="AG3" s="28">
        <f>IF(AND(TODAY()&gt;=AG$4,TODAY()&lt;AG$4+7),"▶","")</f>
        <v/>
      </c>
      <c r="AH3" s="28">
        <f>IF(AND(TODAY()&gt;=AH$4,TODAY()&lt;AH$4+7),"▶","")</f>
        <v/>
      </c>
      <c r="AI3" s="28">
        <f>IF(AND(TODAY()&gt;=AI$4,TODAY()&lt;AI$4+7),"▶","")</f>
        <v/>
      </c>
      <c r="AJ3" s="28">
        <f>IF(AND(TODAY()&gt;=AJ$4,TODAY()&lt;AJ$4+7),"▶","")</f>
        <v/>
      </c>
      <c r="AK3" s="28">
        <f>IF(AND(TODAY()&gt;=AK$4,TODAY()&lt;AK$4+7),"▶","")</f>
        <v/>
      </c>
      <c r="AL3" s="28">
        <f>IF(AND(TODAY()&gt;=AL$4,TODAY()&lt;AL$4+7),"▶","")</f>
        <v/>
      </c>
      <c r="AM3" s="28">
        <f>IF(AND(TODAY()&gt;=AM$4,TODAY()&lt;AM$4+7),"▶","")</f>
        <v/>
      </c>
      <c r="AN3" s="28">
        <f>IF(AND(TODAY()&gt;=AN$4,TODAY()&lt;AN$4+7),"▶","")</f>
        <v/>
      </c>
      <c r="AO3" s="28">
        <f>IF(AND(TODAY()&gt;=AO$4,TODAY()&lt;AO$4+7),"▶","")</f>
        <v/>
      </c>
      <c r="AP3" s="28">
        <f>IF(AND(TODAY()&gt;=AP$4,TODAY()&lt;AP$4+7),"▶","")</f>
        <v/>
      </c>
      <c r="AQ3" s="28">
        <f>IF(AND(TODAY()&gt;=AQ$4,TODAY()&lt;AQ$4+7),"▶","")</f>
        <v/>
      </c>
      <c r="AR3" s="28">
        <f>IF(AND(TODAY()&gt;=AR$4,TODAY()&lt;AR$4+7),"▶","")</f>
        <v/>
      </c>
      <c r="AS3" s="28">
        <f>IF(AND(TODAY()&gt;=AS$4,TODAY()&lt;AS$4+7),"▶","")</f>
        <v/>
      </c>
      <c r="AT3" s="28">
        <f>IF(AND(TODAY()&gt;=AT$4,TODAY()&lt;AT$4+7),"▶","")</f>
        <v/>
      </c>
      <c r="AU3" s="28">
        <f>IF(AND(TODAY()&gt;=AU$4,TODAY()&lt;AU$4+7),"▶","")</f>
        <v/>
      </c>
      <c r="AV3" s="28">
        <f>IF(AND(TODAY()&gt;=AV$4,TODAY()&lt;AV$4+7),"▶","")</f>
        <v/>
      </c>
      <c r="AW3" s="28">
        <f>IF(AND(TODAY()&gt;=AW$4,TODAY()&lt;AW$4+7),"▶","")</f>
        <v/>
      </c>
      <c r="AX3" s="28">
        <f>IF(AND(TODAY()&gt;=AX$4,TODAY()&lt;AX$4+7),"▶","")</f>
        <v/>
      </c>
      <c r="AY3" s="28">
        <f>IF(AND(TODAY()&gt;=AY$4,TODAY()&lt;AY$4+7),"▶","")</f>
        <v/>
      </c>
      <c r="AZ3" s="28">
        <f>IF(AND(TODAY()&gt;=AZ$4,TODAY()&lt;AZ$4+7),"▶","")</f>
        <v/>
      </c>
      <c r="BA3" s="28">
        <f>IF(AND(TODAY()&gt;=BA$4,TODAY()&lt;BA$4+7),"▶","")</f>
        <v/>
      </c>
      <c r="BB3" s="28">
        <f>IF(AND(TODAY()&gt;=BB$4,TODAY()&lt;BB$4+7),"▶","")</f>
        <v/>
      </c>
      <c r="BC3" s="28">
        <f>IF(AND(TODAY()&gt;=BC$4,TODAY()&lt;BC$4+7),"▶","")</f>
        <v/>
      </c>
      <c r="BD3" s="28">
        <f>IF(AND(TODAY()&gt;=BD$4,TODAY()&lt;BD$4+7),"▶","")</f>
        <v/>
      </c>
      <c r="BE3" s="28">
        <f>IF(AND(TODAY()&gt;=BE$4,TODAY()&lt;BE$4+7),"▶","")</f>
        <v/>
      </c>
      <c r="BF3" s="28">
        <f>IF(AND(TODAY()&gt;=BF$4,TODAY()&lt;BF$4+7),"▶","")</f>
        <v/>
      </c>
      <c r="BG3" s="28">
        <f>IF(AND(TODAY()&gt;=BG$4,TODAY()&lt;BG$4+7),"▶","")</f>
        <v/>
      </c>
      <c r="BH3" s="28">
        <f>IF(AND(TODAY()&gt;=BH$4,TODAY()&lt;BH$4+7),"▶","")</f>
        <v/>
      </c>
      <c r="BI3" s="28">
        <f>IF(AND(TODAY()&gt;=BI$4,TODAY()&lt;BI$4+7),"▶","")</f>
        <v/>
      </c>
    </row>
    <row r="4">
      <c r="A4" s="22" t="inlineStr">
        <is>
          <t>Task ID</t>
        </is>
      </c>
      <c r="B4" s="22" t="inlineStr">
        <is>
          <t>Task Name</t>
        </is>
      </c>
      <c r="C4" s="22" t="inlineStr">
        <is>
          <t>Owner</t>
        </is>
      </c>
      <c r="D4" s="22" t="inlineStr">
        <is>
          <t>Status</t>
        </is>
      </c>
      <c r="E4" s="22" t="inlineStr">
        <is>
          <t>Start</t>
        </is>
      </c>
      <c r="F4" s="22" t="inlineStr">
        <is>
          <t>End</t>
        </is>
      </c>
      <c r="G4" s="22" t="inlineStr">
        <is>
          <t>% Complete</t>
        </is>
      </c>
      <c r="H4" s="22" t="inlineStr">
        <is>
          <t>Critical</t>
        </is>
      </c>
      <c r="I4" s="29" t="n">
        <v>46202</v>
      </c>
      <c r="J4" s="29" t="n">
        <v>46209</v>
      </c>
      <c r="K4" s="29" t="n">
        <v>46216</v>
      </c>
      <c r="L4" s="29" t="n">
        <v>46223</v>
      </c>
      <c r="M4" s="29" t="n">
        <v>46230</v>
      </c>
      <c r="N4" s="29" t="n">
        <v>46237</v>
      </c>
      <c r="O4" s="29" t="n">
        <v>46244</v>
      </c>
      <c r="P4" s="29" t="n">
        <v>46251</v>
      </c>
      <c r="Q4" s="29" t="n">
        <v>46258</v>
      </c>
      <c r="R4" s="29" t="n">
        <v>46265</v>
      </c>
      <c r="S4" s="29" t="n">
        <v>46272</v>
      </c>
      <c r="T4" s="29" t="n">
        <v>46279</v>
      </c>
      <c r="U4" s="29" t="n">
        <v>46286</v>
      </c>
      <c r="V4" s="29" t="n">
        <v>46293</v>
      </c>
      <c r="W4" s="29" t="n">
        <v>46300</v>
      </c>
      <c r="X4" s="29" t="n">
        <v>46307</v>
      </c>
      <c r="Y4" s="29" t="n">
        <v>46314</v>
      </c>
      <c r="Z4" s="29" t="n">
        <v>46321</v>
      </c>
      <c r="AA4" s="29" t="n">
        <v>46328</v>
      </c>
      <c r="AB4" s="29" t="n">
        <v>46335</v>
      </c>
      <c r="AC4" s="29" t="n">
        <v>46342</v>
      </c>
      <c r="AD4" s="29" t="n">
        <v>46349</v>
      </c>
      <c r="AE4" s="29" t="n">
        <v>46356</v>
      </c>
      <c r="AF4" s="29" t="n">
        <v>46363</v>
      </c>
      <c r="AG4" s="29" t="n">
        <v>46370</v>
      </c>
      <c r="AH4" s="29" t="n">
        <v>46377</v>
      </c>
      <c r="AI4" s="29" t="n">
        <v>46384</v>
      </c>
      <c r="AJ4" s="29" t="n">
        <v>46391</v>
      </c>
      <c r="AK4" s="29" t="n">
        <v>46398</v>
      </c>
      <c r="AL4" s="29" t="n">
        <v>46405</v>
      </c>
      <c r="AM4" s="29" t="n">
        <v>46412</v>
      </c>
      <c r="AN4" s="29" t="n">
        <v>46419</v>
      </c>
      <c r="AO4" s="29" t="n">
        <v>46426</v>
      </c>
      <c r="AP4" s="29" t="n">
        <v>46433</v>
      </c>
      <c r="AQ4" s="29" t="n">
        <v>46440</v>
      </c>
      <c r="AR4" s="29" t="n">
        <v>46447</v>
      </c>
      <c r="AS4" s="29" t="n">
        <v>46454</v>
      </c>
      <c r="AT4" s="29" t="n">
        <v>46461</v>
      </c>
      <c r="AU4" s="29" t="n">
        <v>46468</v>
      </c>
      <c r="AV4" s="29" t="n">
        <v>46475</v>
      </c>
      <c r="AW4" s="29" t="n">
        <v>46482</v>
      </c>
      <c r="AX4" s="29" t="n">
        <v>46489</v>
      </c>
      <c r="AY4" s="29" t="n">
        <v>46496</v>
      </c>
      <c r="AZ4" s="29" t="n">
        <v>46503</v>
      </c>
      <c r="BA4" s="29" t="n">
        <v>46510</v>
      </c>
      <c r="BB4" s="29" t="n">
        <v>46517</v>
      </c>
      <c r="BC4" s="29" t="n">
        <v>46524</v>
      </c>
      <c r="BD4" s="29" t="n">
        <v>46531</v>
      </c>
      <c r="BE4" s="29" t="n">
        <v>46538</v>
      </c>
      <c r="BF4" s="29" t="n">
        <v>46545</v>
      </c>
      <c r="BG4" s="29" t="n">
        <v>46552</v>
      </c>
      <c r="BH4" s="29" t="n">
        <v>46559</v>
      </c>
      <c r="BI4" s="29" t="n">
        <v>46566</v>
      </c>
    </row>
    <row r="5">
      <c r="A5" s="30" t="inlineStr">
        <is>
          <t>T-001</t>
        </is>
      </c>
      <c r="B5" s="30" t="inlineStr">
        <is>
          <t>Shutting down BRIKS service from Nackle</t>
        </is>
      </c>
      <c r="C5" s="30" t="inlineStr">
        <is>
          <t>MJ</t>
        </is>
      </c>
      <c r="D5" s="30" t="inlineStr">
        <is>
          <t>At Risk</t>
        </is>
      </c>
      <c r="E5" s="31" t="n">
        <v>46287</v>
      </c>
      <c r="F5" s="31" t="n">
        <v>46293</v>
      </c>
      <c r="G5" s="32" t="n">
        <v>0.13</v>
      </c>
      <c r="H5" s="30" t="inlineStr">
        <is>
          <t>No</t>
        </is>
      </c>
      <c r="I5" s="33">
        <f>IF(OR($E5="",$F5=""),"",IF(AND(I$4&lt;=$F5,I$4+6&gt;=$E5),IF($F5-$E5&lt;=2,"◆",IF($H5="Yes","X",LEFT($D5,1))),""))</f>
        <v/>
      </c>
      <c r="J5" s="33">
        <f>IF(OR($E5="",$F5=""),"",IF(AND(J$4&lt;=$F5,J$4+6&gt;=$E5),IF($F5-$E5&lt;=2,"◆",IF($H5="Yes","X",LEFT($D5,1))),""))</f>
        <v/>
      </c>
      <c r="K5" s="33">
        <f>IF(OR($E5="",$F5=""),"",IF(AND(K$4&lt;=$F5,K$4+6&gt;=$E5),IF($F5-$E5&lt;=2,"◆",IF($H5="Yes","X",LEFT($D5,1))),""))</f>
        <v/>
      </c>
      <c r="L5" s="33">
        <f>IF(OR($E5="",$F5=""),"",IF(AND(L$4&lt;=$F5,L$4+6&gt;=$E5),IF($F5-$E5&lt;=2,"◆",IF($H5="Yes","X",LEFT($D5,1))),""))</f>
        <v/>
      </c>
      <c r="M5" s="33">
        <f>IF(OR($E5="",$F5=""),"",IF(AND(M$4&lt;=$F5,M$4+6&gt;=$E5),IF($F5-$E5&lt;=2,"◆",IF($H5="Yes","X",LEFT($D5,1))),""))</f>
        <v/>
      </c>
      <c r="N5" s="33">
        <f>IF(OR($E5="",$F5=""),"",IF(AND(N$4&lt;=$F5,N$4+6&gt;=$E5),IF($F5-$E5&lt;=2,"◆",IF($H5="Yes","X",LEFT($D5,1))),""))</f>
        <v/>
      </c>
      <c r="O5" s="33">
        <f>IF(OR($E5="",$F5=""),"",IF(AND(O$4&lt;=$F5,O$4+6&gt;=$E5),IF($F5-$E5&lt;=2,"◆",IF($H5="Yes","X",LEFT($D5,1))),""))</f>
        <v/>
      </c>
      <c r="P5" s="33">
        <f>IF(OR($E5="",$F5=""),"",IF(AND(P$4&lt;=$F5,P$4+6&gt;=$E5),IF($F5-$E5&lt;=2,"◆",IF($H5="Yes","X",LEFT($D5,1))),""))</f>
        <v/>
      </c>
      <c r="Q5" s="33">
        <f>IF(OR($E5="",$F5=""),"",IF(AND(Q$4&lt;=$F5,Q$4+6&gt;=$E5),IF($F5-$E5&lt;=2,"◆",IF($H5="Yes","X",LEFT($D5,1))),""))</f>
        <v/>
      </c>
      <c r="R5" s="33">
        <f>IF(OR($E5="",$F5=""),"",IF(AND(R$4&lt;=$F5,R$4+6&gt;=$E5),IF($F5-$E5&lt;=2,"◆",IF($H5="Yes","X",LEFT($D5,1))),""))</f>
        <v/>
      </c>
      <c r="S5" s="33">
        <f>IF(OR($E5="",$F5=""),"",IF(AND(S$4&lt;=$F5,S$4+6&gt;=$E5),IF($F5-$E5&lt;=2,"◆",IF($H5="Yes","X",LEFT($D5,1))),""))</f>
        <v/>
      </c>
      <c r="T5" s="33">
        <f>IF(OR($E5="",$F5=""),"",IF(AND(T$4&lt;=$F5,T$4+6&gt;=$E5),IF($F5-$E5&lt;=2,"◆",IF($H5="Yes","X",LEFT($D5,1))),""))</f>
        <v/>
      </c>
      <c r="U5" s="33">
        <f>IF(OR($E5="",$F5=""),"",IF(AND(U$4&lt;=$F5,U$4+6&gt;=$E5),IF($F5-$E5&lt;=2,"◆",IF($H5="Yes","X",LEFT($D5,1))),""))</f>
        <v/>
      </c>
      <c r="V5" s="33">
        <f>IF(OR($E5="",$F5=""),"",IF(AND(V$4&lt;=$F5,V$4+6&gt;=$E5),IF($F5-$E5&lt;=2,"◆",IF($H5="Yes","X",LEFT($D5,1))),""))</f>
        <v/>
      </c>
      <c r="W5" s="33">
        <f>IF(OR($E5="",$F5=""),"",IF(AND(W$4&lt;=$F5,W$4+6&gt;=$E5),IF($F5-$E5&lt;=2,"◆",IF($H5="Yes","X",LEFT($D5,1))),""))</f>
        <v/>
      </c>
      <c r="X5" s="33">
        <f>IF(OR($E5="",$F5=""),"",IF(AND(X$4&lt;=$F5,X$4+6&gt;=$E5),IF($F5-$E5&lt;=2,"◆",IF($H5="Yes","X",LEFT($D5,1))),""))</f>
        <v/>
      </c>
      <c r="Y5" s="33">
        <f>IF(OR($E5="",$F5=""),"",IF(AND(Y$4&lt;=$F5,Y$4+6&gt;=$E5),IF($F5-$E5&lt;=2,"◆",IF($H5="Yes","X",LEFT($D5,1))),""))</f>
        <v/>
      </c>
      <c r="Z5" s="33">
        <f>IF(OR($E5="",$F5=""),"",IF(AND(Z$4&lt;=$F5,Z$4+6&gt;=$E5),IF($F5-$E5&lt;=2,"◆",IF($H5="Yes","X",LEFT($D5,1))),""))</f>
        <v/>
      </c>
      <c r="AA5" s="33">
        <f>IF(OR($E5="",$F5=""),"",IF(AND(AA$4&lt;=$F5,AA$4+6&gt;=$E5),IF($F5-$E5&lt;=2,"◆",IF($H5="Yes","X",LEFT($D5,1))),""))</f>
        <v/>
      </c>
      <c r="AB5" s="33">
        <f>IF(OR($E5="",$F5=""),"",IF(AND(AB$4&lt;=$F5,AB$4+6&gt;=$E5),IF($F5-$E5&lt;=2,"◆",IF($H5="Yes","X",LEFT($D5,1))),""))</f>
        <v/>
      </c>
      <c r="AC5" s="33">
        <f>IF(OR($E5="",$F5=""),"",IF(AND(AC$4&lt;=$F5,AC$4+6&gt;=$E5),IF($F5-$E5&lt;=2,"◆",IF($H5="Yes","X",LEFT($D5,1))),""))</f>
        <v/>
      </c>
      <c r="AD5" s="33">
        <f>IF(OR($E5="",$F5=""),"",IF(AND(AD$4&lt;=$F5,AD$4+6&gt;=$E5),IF($F5-$E5&lt;=2,"◆",IF($H5="Yes","X",LEFT($D5,1))),""))</f>
        <v/>
      </c>
      <c r="AE5" s="33">
        <f>IF(OR($E5="",$F5=""),"",IF(AND(AE$4&lt;=$F5,AE$4+6&gt;=$E5),IF($F5-$E5&lt;=2,"◆",IF($H5="Yes","X",LEFT($D5,1))),""))</f>
        <v/>
      </c>
      <c r="AF5" s="33">
        <f>IF(OR($E5="",$F5=""),"",IF(AND(AF$4&lt;=$F5,AF$4+6&gt;=$E5),IF($F5-$E5&lt;=2,"◆",IF($H5="Yes","X",LEFT($D5,1))),""))</f>
        <v/>
      </c>
      <c r="AG5" s="33">
        <f>IF(OR($E5="",$F5=""),"",IF(AND(AG$4&lt;=$F5,AG$4+6&gt;=$E5),IF($F5-$E5&lt;=2,"◆",IF($H5="Yes","X",LEFT($D5,1))),""))</f>
        <v/>
      </c>
      <c r="AH5" s="33">
        <f>IF(OR($E5="",$F5=""),"",IF(AND(AH$4&lt;=$F5,AH$4+6&gt;=$E5),IF($F5-$E5&lt;=2,"◆",IF($H5="Yes","X",LEFT($D5,1))),""))</f>
        <v/>
      </c>
      <c r="AI5" s="33">
        <f>IF(OR($E5="",$F5=""),"",IF(AND(AI$4&lt;=$F5,AI$4+6&gt;=$E5),IF($F5-$E5&lt;=2,"◆",IF($H5="Yes","X",LEFT($D5,1))),""))</f>
        <v/>
      </c>
      <c r="AJ5" s="33">
        <f>IF(OR($E5="",$F5=""),"",IF(AND(AJ$4&lt;=$F5,AJ$4+6&gt;=$E5),IF($F5-$E5&lt;=2,"◆",IF($H5="Yes","X",LEFT($D5,1))),""))</f>
        <v/>
      </c>
      <c r="AK5" s="33">
        <f>IF(OR($E5="",$F5=""),"",IF(AND(AK$4&lt;=$F5,AK$4+6&gt;=$E5),IF($F5-$E5&lt;=2,"◆",IF($H5="Yes","X",LEFT($D5,1))),""))</f>
        <v/>
      </c>
      <c r="AL5" s="33">
        <f>IF(OR($E5="",$F5=""),"",IF(AND(AL$4&lt;=$F5,AL$4+6&gt;=$E5),IF($F5-$E5&lt;=2,"◆",IF($H5="Yes","X",LEFT($D5,1))),""))</f>
        <v/>
      </c>
      <c r="AM5" s="33">
        <f>IF(OR($E5="",$F5=""),"",IF(AND(AM$4&lt;=$F5,AM$4+6&gt;=$E5),IF($F5-$E5&lt;=2,"◆",IF($H5="Yes","X",LEFT($D5,1))),""))</f>
        <v/>
      </c>
      <c r="AN5" s="33">
        <f>IF(OR($E5="",$F5=""),"",IF(AND(AN$4&lt;=$F5,AN$4+6&gt;=$E5),IF($F5-$E5&lt;=2,"◆",IF($H5="Yes","X",LEFT($D5,1))),""))</f>
        <v/>
      </c>
      <c r="AO5" s="33">
        <f>IF(OR($E5="",$F5=""),"",IF(AND(AO$4&lt;=$F5,AO$4+6&gt;=$E5),IF($F5-$E5&lt;=2,"◆",IF($H5="Yes","X",LEFT($D5,1))),""))</f>
        <v/>
      </c>
      <c r="AP5" s="33">
        <f>IF(OR($E5="",$F5=""),"",IF(AND(AP$4&lt;=$F5,AP$4+6&gt;=$E5),IF($F5-$E5&lt;=2,"◆",IF($H5="Yes","X",LEFT($D5,1))),""))</f>
        <v/>
      </c>
      <c r="AQ5" s="33">
        <f>IF(OR($E5="",$F5=""),"",IF(AND(AQ$4&lt;=$F5,AQ$4+6&gt;=$E5),IF($F5-$E5&lt;=2,"◆",IF($H5="Yes","X",LEFT($D5,1))),""))</f>
        <v/>
      </c>
      <c r="AR5" s="33">
        <f>IF(OR($E5="",$F5=""),"",IF(AND(AR$4&lt;=$F5,AR$4+6&gt;=$E5),IF($F5-$E5&lt;=2,"◆",IF($H5="Yes","X",LEFT($D5,1))),""))</f>
        <v/>
      </c>
      <c r="AS5" s="33">
        <f>IF(OR($E5="",$F5=""),"",IF(AND(AS$4&lt;=$F5,AS$4+6&gt;=$E5),IF($F5-$E5&lt;=2,"◆",IF($H5="Yes","X",LEFT($D5,1))),""))</f>
        <v/>
      </c>
      <c r="AT5" s="33">
        <f>IF(OR($E5="",$F5=""),"",IF(AND(AT$4&lt;=$F5,AT$4+6&gt;=$E5),IF($F5-$E5&lt;=2,"◆",IF($H5="Yes","X",LEFT($D5,1))),""))</f>
        <v/>
      </c>
      <c r="AU5" s="33">
        <f>IF(OR($E5="",$F5=""),"",IF(AND(AU$4&lt;=$F5,AU$4+6&gt;=$E5),IF($F5-$E5&lt;=2,"◆",IF($H5="Yes","X",LEFT($D5,1))),""))</f>
        <v/>
      </c>
      <c r="AV5" s="33">
        <f>IF(OR($E5="",$F5=""),"",IF(AND(AV$4&lt;=$F5,AV$4+6&gt;=$E5),IF($F5-$E5&lt;=2,"◆",IF($H5="Yes","X",LEFT($D5,1))),""))</f>
        <v/>
      </c>
      <c r="AW5" s="33">
        <f>IF(OR($E5="",$F5=""),"",IF(AND(AW$4&lt;=$F5,AW$4+6&gt;=$E5),IF($F5-$E5&lt;=2,"◆",IF($H5="Yes","X",LEFT($D5,1))),""))</f>
        <v/>
      </c>
      <c r="AX5" s="33">
        <f>IF(OR($E5="",$F5=""),"",IF(AND(AX$4&lt;=$F5,AX$4+6&gt;=$E5),IF($F5-$E5&lt;=2,"◆",IF($H5="Yes","X",LEFT($D5,1))),""))</f>
        <v/>
      </c>
      <c r="AY5" s="33">
        <f>IF(OR($E5="",$F5=""),"",IF(AND(AY$4&lt;=$F5,AY$4+6&gt;=$E5),IF($F5-$E5&lt;=2,"◆",IF($H5="Yes","X",LEFT($D5,1))),""))</f>
        <v/>
      </c>
      <c r="AZ5" s="33">
        <f>IF(OR($E5="",$F5=""),"",IF(AND(AZ$4&lt;=$F5,AZ$4+6&gt;=$E5),IF($F5-$E5&lt;=2,"◆",IF($H5="Yes","X",LEFT($D5,1))),""))</f>
        <v/>
      </c>
      <c r="BA5" s="33">
        <f>IF(OR($E5="",$F5=""),"",IF(AND(BA$4&lt;=$F5,BA$4+6&gt;=$E5),IF($F5-$E5&lt;=2,"◆",IF($H5="Yes","X",LEFT($D5,1))),""))</f>
        <v/>
      </c>
      <c r="BB5" s="33">
        <f>IF(OR($E5="",$F5=""),"",IF(AND(BB$4&lt;=$F5,BB$4+6&gt;=$E5),IF($F5-$E5&lt;=2,"◆",IF($H5="Yes","X",LEFT($D5,1))),""))</f>
        <v/>
      </c>
      <c r="BC5" s="33">
        <f>IF(OR($E5="",$F5=""),"",IF(AND(BC$4&lt;=$F5,BC$4+6&gt;=$E5),IF($F5-$E5&lt;=2,"◆",IF($H5="Yes","X",LEFT($D5,1))),""))</f>
        <v/>
      </c>
      <c r="BD5" s="33">
        <f>IF(OR($E5="",$F5=""),"",IF(AND(BD$4&lt;=$F5,BD$4+6&gt;=$E5),IF($F5-$E5&lt;=2,"◆",IF($H5="Yes","X",LEFT($D5,1))),""))</f>
        <v/>
      </c>
      <c r="BE5" s="33">
        <f>IF(OR($E5="",$F5=""),"",IF(AND(BE$4&lt;=$F5,BE$4+6&gt;=$E5),IF($F5-$E5&lt;=2,"◆",IF($H5="Yes","X",LEFT($D5,1))),""))</f>
        <v/>
      </c>
      <c r="BF5" s="33">
        <f>IF(OR($E5="",$F5=""),"",IF(AND(BF$4&lt;=$F5,BF$4+6&gt;=$E5),IF($F5-$E5&lt;=2,"◆",IF($H5="Yes","X",LEFT($D5,1))),""))</f>
        <v/>
      </c>
      <c r="BG5" s="33">
        <f>IF(OR($E5="",$F5=""),"",IF(AND(BG$4&lt;=$F5,BG$4+6&gt;=$E5),IF($F5-$E5&lt;=2,"◆",IF($H5="Yes","X",LEFT($D5,1))),""))</f>
        <v/>
      </c>
      <c r="BH5" s="33">
        <f>IF(OR($E5="",$F5=""),"",IF(AND(BH$4&lt;=$F5,BH$4+6&gt;=$E5),IF($F5-$E5&lt;=2,"◆",IF($H5="Yes","X",LEFT($D5,1))),""))</f>
        <v/>
      </c>
      <c r="BI5" s="33">
        <f>IF(OR($E5="",$F5=""),"",IF(AND(BI$4&lt;=$F5,BI$4+6&gt;=$E5),IF($F5-$E5&lt;=2,"◆",IF($H5="Yes","X",LEFT($D5,1))),""))</f>
        <v/>
      </c>
    </row>
    <row r="6">
      <c r="A6" s="30" t="inlineStr">
        <is>
          <t>T-002</t>
        </is>
      </c>
      <c r="B6" s="30" t="inlineStr">
        <is>
          <t>Shutting Down Coupon/OTP Services</t>
        </is>
      </c>
      <c r="C6" s="30" t="inlineStr">
        <is>
          <t>MJ</t>
        </is>
      </c>
      <c r="D6" s="30" t="inlineStr">
        <is>
          <t>In Progress</t>
        </is>
      </c>
      <c r="E6" s="31" t="n">
        <v>46213</v>
      </c>
      <c r="F6" s="31" t="n">
        <v>46226</v>
      </c>
      <c r="G6" s="32" t="n">
        <v>0.36</v>
      </c>
      <c r="H6" s="30" t="inlineStr">
        <is>
          <t>No</t>
        </is>
      </c>
      <c r="I6" s="33">
        <f>IF(OR($E6="",$F6=""),"",IF(AND(I$4&lt;=$F6,I$4+6&gt;=$E6),IF($F6-$E6&lt;=2,"◆",IF($H6="Yes","X",LEFT($D6,1))),""))</f>
        <v/>
      </c>
      <c r="J6" s="33">
        <f>IF(OR($E6="",$F6=""),"",IF(AND(J$4&lt;=$F6,J$4+6&gt;=$E6),IF($F6-$E6&lt;=2,"◆",IF($H6="Yes","X",LEFT($D6,1))),""))</f>
        <v/>
      </c>
      <c r="K6" s="33">
        <f>IF(OR($E6="",$F6=""),"",IF(AND(K$4&lt;=$F6,K$4+6&gt;=$E6),IF($F6-$E6&lt;=2,"◆",IF($H6="Yes","X",LEFT($D6,1))),""))</f>
        <v/>
      </c>
      <c r="L6" s="33">
        <f>IF(OR($E6="",$F6=""),"",IF(AND(L$4&lt;=$F6,L$4+6&gt;=$E6),IF($F6-$E6&lt;=2,"◆",IF($H6="Yes","X",LEFT($D6,1))),""))</f>
        <v/>
      </c>
      <c r="M6" s="33">
        <f>IF(OR($E6="",$F6=""),"",IF(AND(M$4&lt;=$F6,M$4+6&gt;=$E6),IF($F6-$E6&lt;=2,"◆",IF($H6="Yes","X",LEFT($D6,1))),""))</f>
        <v/>
      </c>
      <c r="N6" s="33">
        <f>IF(OR($E6="",$F6=""),"",IF(AND(N$4&lt;=$F6,N$4+6&gt;=$E6),IF($F6-$E6&lt;=2,"◆",IF($H6="Yes","X",LEFT($D6,1))),""))</f>
        <v/>
      </c>
      <c r="O6" s="33">
        <f>IF(OR($E6="",$F6=""),"",IF(AND(O$4&lt;=$F6,O$4+6&gt;=$E6),IF($F6-$E6&lt;=2,"◆",IF($H6="Yes","X",LEFT($D6,1))),""))</f>
        <v/>
      </c>
      <c r="P6" s="33">
        <f>IF(OR($E6="",$F6=""),"",IF(AND(P$4&lt;=$F6,P$4+6&gt;=$E6),IF($F6-$E6&lt;=2,"◆",IF($H6="Yes","X",LEFT($D6,1))),""))</f>
        <v/>
      </c>
      <c r="Q6" s="33">
        <f>IF(OR($E6="",$F6=""),"",IF(AND(Q$4&lt;=$F6,Q$4+6&gt;=$E6),IF($F6-$E6&lt;=2,"◆",IF($H6="Yes","X",LEFT($D6,1))),""))</f>
        <v/>
      </c>
      <c r="R6" s="33">
        <f>IF(OR($E6="",$F6=""),"",IF(AND(R$4&lt;=$F6,R$4+6&gt;=$E6),IF($F6-$E6&lt;=2,"◆",IF($H6="Yes","X",LEFT($D6,1))),""))</f>
        <v/>
      </c>
      <c r="S6" s="33">
        <f>IF(OR($E6="",$F6=""),"",IF(AND(S$4&lt;=$F6,S$4+6&gt;=$E6),IF($F6-$E6&lt;=2,"◆",IF($H6="Yes","X",LEFT($D6,1))),""))</f>
        <v/>
      </c>
      <c r="T6" s="33">
        <f>IF(OR($E6="",$F6=""),"",IF(AND(T$4&lt;=$F6,T$4+6&gt;=$E6),IF($F6-$E6&lt;=2,"◆",IF($H6="Yes","X",LEFT($D6,1))),""))</f>
        <v/>
      </c>
      <c r="U6" s="33">
        <f>IF(OR($E6="",$F6=""),"",IF(AND(U$4&lt;=$F6,U$4+6&gt;=$E6),IF($F6-$E6&lt;=2,"◆",IF($H6="Yes","X",LEFT($D6,1))),""))</f>
        <v/>
      </c>
      <c r="V6" s="33">
        <f>IF(OR($E6="",$F6=""),"",IF(AND(V$4&lt;=$F6,V$4+6&gt;=$E6),IF($F6-$E6&lt;=2,"◆",IF($H6="Yes","X",LEFT($D6,1))),""))</f>
        <v/>
      </c>
      <c r="W6" s="33">
        <f>IF(OR($E6="",$F6=""),"",IF(AND(W$4&lt;=$F6,W$4+6&gt;=$E6),IF($F6-$E6&lt;=2,"◆",IF($H6="Yes","X",LEFT($D6,1))),""))</f>
        <v/>
      </c>
      <c r="X6" s="33">
        <f>IF(OR($E6="",$F6=""),"",IF(AND(X$4&lt;=$F6,X$4+6&gt;=$E6),IF($F6-$E6&lt;=2,"◆",IF($H6="Yes","X",LEFT($D6,1))),""))</f>
        <v/>
      </c>
      <c r="Y6" s="33">
        <f>IF(OR($E6="",$F6=""),"",IF(AND(Y$4&lt;=$F6,Y$4+6&gt;=$E6),IF($F6-$E6&lt;=2,"◆",IF($H6="Yes","X",LEFT($D6,1))),""))</f>
        <v/>
      </c>
      <c r="Z6" s="33">
        <f>IF(OR($E6="",$F6=""),"",IF(AND(Z$4&lt;=$F6,Z$4+6&gt;=$E6),IF($F6-$E6&lt;=2,"◆",IF($H6="Yes","X",LEFT($D6,1))),""))</f>
        <v/>
      </c>
      <c r="AA6" s="33">
        <f>IF(OR($E6="",$F6=""),"",IF(AND(AA$4&lt;=$F6,AA$4+6&gt;=$E6),IF($F6-$E6&lt;=2,"◆",IF($H6="Yes","X",LEFT($D6,1))),""))</f>
        <v/>
      </c>
      <c r="AB6" s="33">
        <f>IF(OR($E6="",$F6=""),"",IF(AND(AB$4&lt;=$F6,AB$4+6&gt;=$E6),IF($F6-$E6&lt;=2,"◆",IF($H6="Yes","X",LEFT($D6,1))),""))</f>
        <v/>
      </c>
      <c r="AC6" s="33">
        <f>IF(OR($E6="",$F6=""),"",IF(AND(AC$4&lt;=$F6,AC$4+6&gt;=$E6),IF($F6-$E6&lt;=2,"◆",IF($H6="Yes","X",LEFT($D6,1))),""))</f>
        <v/>
      </c>
      <c r="AD6" s="33">
        <f>IF(OR($E6="",$F6=""),"",IF(AND(AD$4&lt;=$F6,AD$4+6&gt;=$E6),IF($F6-$E6&lt;=2,"◆",IF($H6="Yes","X",LEFT($D6,1))),""))</f>
        <v/>
      </c>
      <c r="AE6" s="33">
        <f>IF(OR($E6="",$F6=""),"",IF(AND(AE$4&lt;=$F6,AE$4+6&gt;=$E6),IF($F6-$E6&lt;=2,"◆",IF($H6="Yes","X",LEFT($D6,1))),""))</f>
        <v/>
      </c>
      <c r="AF6" s="33">
        <f>IF(OR($E6="",$F6=""),"",IF(AND(AF$4&lt;=$F6,AF$4+6&gt;=$E6),IF($F6-$E6&lt;=2,"◆",IF($H6="Yes","X",LEFT($D6,1))),""))</f>
        <v/>
      </c>
      <c r="AG6" s="33">
        <f>IF(OR($E6="",$F6=""),"",IF(AND(AG$4&lt;=$F6,AG$4+6&gt;=$E6),IF($F6-$E6&lt;=2,"◆",IF($H6="Yes","X",LEFT($D6,1))),""))</f>
        <v/>
      </c>
      <c r="AH6" s="33">
        <f>IF(OR($E6="",$F6=""),"",IF(AND(AH$4&lt;=$F6,AH$4+6&gt;=$E6),IF($F6-$E6&lt;=2,"◆",IF($H6="Yes","X",LEFT($D6,1))),""))</f>
        <v/>
      </c>
      <c r="AI6" s="33">
        <f>IF(OR($E6="",$F6=""),"",IF(AND(AI$4&lt;=$F6,AI$4+6&gt;=$E6),IF($F6-$E6&lt;=2,"◆",IF($H6="Yes","X",LEFT($D6,1))),""))</f>
        <v/>
      </c>
      <c r="AJ6" s="33">
        <f>IF(OR($E6="",$F6=""),"",IF(AND(AJ$4&lt;=$F6,AJ$4+6&gt;=$E6),IF($F6-$E6&lt;=2,"◆",IF($H6="Yes","X",LEFT($D6,1))),""))</f>
        <v/>
      </c>
      <c r="AK6" s="33">
        <f>IF(OR($E6="",$F6=""),"",IF(AND(AK$4&lt;=$F6,AK$4+6&gt;=$E6),IF($F6-$E6&lt;=2,"◆",IF($H6="Yes","X",LEFT($D6,1))),""))</f>
        <v/>
      </c>
      <c r="AL6" s="33">
        <f>IF(OR($E6="",$F6=""),"",IF(AND(AL$4&lt;=$F6,AL$4+6&gt;=$E6),IF($F6-$E6&lt;=2,"◆",IF($H6="Yes","X",LEFT($D6,1))),""))</f>
        <v/>
      </c>
      <c r="AM6" s="33">
        <f>IF(OR($E6="",$F6=""),"",IF(AND(AM$4&lt;=$F6,AM$4+6&gt;=$E6),IF($F6-$E6&lt;=2,"◆",IF($H6="Yes","X",LEFT($D6,1))),""))</f>
        <v/>
      </c>
      <c r="AN6" s="33">
        <f>IF(OR($E6="",$F6=""),"",IF(AND(AN$4&lt;=$F6,AN$4+6&gt;=$E6),IF($F6-$E6&lt;=2,"◆",IF($H6="Yes","X",LEFT($D6,1))),""))</f>
        <v/>
      </c>
      <c r="AO6" s="33">
        <f>IF(OR($E6="",$F6=""),"",IF(AND(AO$4&lt;=$F6,AO$4+6&gt;=$E6),IF($F6-$E6&lt;=2,"◆",IF($H6="Yes","X",LEFT($D6,1))),""))</f>
        <v/>
      </c>
      <c r="AP6" s="33">
        <f>IF(OR($E6="",$F6=""),"",IF(AND(AP$4&lt;=$F6,AP$4+6&gt;=$E6),IF($F6-$E6&lt;=2,"◆",IF($H6="Yes","X",LEFT($D6,1))),""))</f>
        <v/>
      </c>
      <c r="AQ6" s="33">
        <f>IF(OR($E6="",$F6=""),"",IF(AND(AQ$4&lt;=$F6,AQ$4+6&gt;=$E6),IF($F6-$E6&lt;=2,"◆",IF($H6="Yes","X",LEFT($D6,1))),""))</f>
        <v/>
      </c>
      <c r="AR6" s="33">
        <f>IF(OR($E6="",$F6=""),"",IF(AND(AR$4&lt;=$F6,AR$4+6&gt;=$E6),IF($F6-$E6&lt;=2,"◆",IF($H6="Yes","X",LEFT($D6,1))),""))</f>
        <v/>
      </c>
      <c r="AS6" s="33">
        <f>IF(OR($E6="",$F6=""),"",IF(AND(AS$4&lt;=$F6,AS$4+6&gt;=$E6),IF($F6-$E6&lt;=2,"◆",IF($H6="Yes","X",LEFT($D6,1))),""))</f>
        <v/>
      </c>
      <c r="AT6" s="33">
        <f>IF(OR($E6="",$F6=""),"",IF(AND(AT$4&lt;=$F6,AT$4+6&gt;=$E6),IF($F6-$E6&lt;=2,"◆",IF($H6="Yes","X",LEFT($D6,1))),""))</f>
        <v/>
      </c>
      <c r="AU6" s="33">
        <f>IF(OR($E6="",$F6=""),"",IF(AND(AU$4&lt;=$F6,AU$4+6&gt;=$E6),IF($F6-$E6&lt;=2,"◆",IF($H6="Yes","X",LEFT($D6,1))),""))</f>
        <v/>
      </c>
      <c r="AV6" s="33">
        <f>IF(OR($E6="",$F6=""),"",IF(AND(AV$4&lt;=$F6,AV$4+6&gt;=$E6),IF($F6-$E6&lt;=2,"◆",IF($H6="Yes","X",LEFT($D6,1))),""))</f>
        <v/>
      </c>
      <c r="AW6" s="33">
        <f>IF(OR($E6="",$F6=""),"",IF(AND(AW$4&lt;=$F6,AW$4+6&gt;=$E6),IF($F6-$E6&lt;=2,"◆",IF($H6="Yes","X",LEFT($D6,1))),""))</f>
        <v/>
      </c>
      <c r="AX6" s="33">
        <f>IF(OR($E6="",$F6=""),"",IF(AND(AX$4&lt;=$F6,AX$4+6&gt;=$E6),IF($F6-$E6&lt;=2,"◆",IF($H6="Yes","X",LEFT($D6,1))),""))</f>
        <v/>
      </c>
      <c r="AY6" s="33">
        <f>IF(OR($E6="",$F6=""),"",IF(AND(AY$4&lt;=$F6,AY$4+6&gt;=$E6),IF($F6-$E6&lt;=2,"◆",IF($H6="Yes","X",LEFT($D6,1))),""))</f>
        <v/>
      </c>
      <c r="AZ6" s="33">
        <f>IF(OR($E6="",$F6=""),"",IF(AND(AZ$4&lt;=$F6,AZ$4+6&gt;=$E6),IF($F6-$E6&lt;=2,"◆",IF($H6="Yes","X",LEFT($D6,1))),""))</f>
        <v/>
      </c>
      <c r="BA6" s="33">
        <f>IF(OR($E6="",$F6=""),"",IF(AND(BA$4&lt;=$F6,BA$4+6&gt;=$E6),IF($F6-$E6&lt;=2,"◆",IF($H6="Yes","X",LEFT($D6,1))),""))</f>
        <v/>
      </c>
      <c r="BB6" s="33">
        <f>IF(OR($E6="",$F6=""),"",IF(AND(BB$4&lt;=$F6,BB$4+6&gt;=$E6),IF($F6-$E6&lt;=2,"◆",IF($H6="Yes","X",LEFT($D6,1))),""))</f>
        <v/>
      </c>
      <c r="BC6" s="33">
        <f>IF(OR($E6="",$F6=""),"",IF(AND(BC$4&lt;=$F6,BC$4+6&gt;=$E6),IF($F6-$E6&lt;=2,"◆",IF($H6="Yes","X",LEFT($D6,1))),""))</f>
        <v/>
      </c>
      <c r="BD6" s="33">
        <f>IF(OR($E6="",$F6=""),"",IF(AND(BD$4&lt;=$F6,BD$4+6&gt;=$E6),IF($F6-$E6&lt;=2,"◆",IF($H6="Yes","X",LEFT($D6,1))),""))</f>
        <v/>
      </c>
      <c r="BE6" s="33">
        <f>IF(OR($E6="",$F6=""),"",IF(AND(BE$4&lt;=$F6,BE$4+6&gt;=$E6),IF($F6-$E6&lt;=2,"◆",IF($H6="Yes","X",LEFT($D6,1))),""))</f>
        <v/>
      </c>
      <c r="BF6" s="33">
        <f>IF(OR($E6="",$F6=""),"",IF(AND(BF$4&lt;=$F6,BF$4+6&gt;=$E6),IF($F6-$E6&lt;=2,"◆",IF($H6="Yes","X",LEFT($D6,1))),""))</f>
        <v/>
      </c>
      <c r="BG6" s="33">
        <f>IF(OR($E6="",$F6=""),"",IF(AND(BG$4&lt;=$F6,BG$4+6&gt;=$E6),IF($F6-$E6&lt;=2,"◆",IF($H6="Yes","X",LEFT($D6,1))),""))</f>
        <v/>
      </c>
      <c r="BH6" s="33">
        <f>IF(OR($E6="",$F6=""),"",IF(AND(BH$4&lt;=$F6,BH$4+6&gt;=$E6),IF($F6-$E6&lt;=2,"◆",IF($H6="Yes","X",LEFT($D6,1))),""))</f>
        <v/>
      </c>
      <c r="BI6" s="33">
        <f>IF(OR($E6="",$F6=""),"",IF(AND(BI$4&lt;=$F6,BI$4+6&gt;=$E6),IF($F6-$E6&lt;=2,"◆",IF($H6="Yes","X",LEFT($D6,1))),""))</f>
        <v/>
      </c>
    </row>
    <row r="7">
      <c r="A7" s="30" t="inlineStr">
        <is>
          <t>T-003</t>
        </is>
      </c>
      <c r="B7" s="30" t="inlineStr">
        <is>
          <t>Integrate the email validation service for Channel Smart 1.0(Roshni to check)</t>
        </is>
      </c>
      <c r="C7" s="30" t="inlineStr">
        <is>
          <t>MJ</t>
        </is>
      </c>
      <c r="D7" s="30" t="inlineStr">
        <is>
          <t>In Progress</t>
        </is>
      </c>
      <c r="E7" s="31" t="n">
        <v>46236</v>
      </c>
      <c r="F7" s="31" t="n">
        <v>46242</v>
      </c>
      <c r="G7" s="32" t="n">
        <v>0.36</v>
      </c>
      <c r="H7" s="30" t="inlineStr">
        <is>
          <t>No</t>
        </is>
      </c>
      <c r="I7" s="33">
        <f>IF(OR($E7="",$F7=""),"",IF(AND(I$4&lt;=$F7,I$4+6&gt;=$E7),IF($F7-$E7&lt;=2,"◆",IF($H7="Yes","X",LEFT($D7,1))),""))</f>
        <v/>
      </c>
      <c r="J7" s="33">
        <f>IF(OR($E7="",$F7=""),"",IF(AND(J$4&lt;=$F7,J$4+6&gt;=$E7),IF($F7-$E7&lt;=2,"◆",IF($H7="Yes","X",LEFT($D7,1))),""))</f>
        <v/>
      </c>
      <c r="K7" s="33">
        <f>IF(OR($E7="",$F7=""),"",IF(AND(K$4&lt;=$F7,K$4+6&gt;=$E7),IF($F7-$E7&lt;=2,"◆",IF($H7="Yes","X",LEFT($D7,1))),""))</f>
        <v/>
      </c>
      <c r="L7" s="33">
        <f>IF(OR($E7="",$F7=""),"",IF(AND(L$4&lt;=$F7,L$4+6&gt;=$E7),IF($F7-$E7&lt;=2,"◆",IF($H7="Yes","X",LEFT($D7,1))),""))</f>
        <v/>
      </c>
      <c r="M7" s="33">
        <f>IF(OR($E7="",$F7=""),"",IF(AND(M$4&lt;=$F7,M$4+6&gt;=$E7),IF($F7-$E7&lt;=2,"◆",IF($H7="Yes","X",LEFT($D7,1))),""))</f>
        <v/>
      </c>
      <c r="N7" s="33">
        <f>IF(OR($E7="",$F7=""),"",IF(AND(N$4&lt;=$F7,N$4+6&gt;=$E7),IF($F7-$E7&lt;=2,"◆",IF($H7="Yes","X",LEFT($D7,1))),""))</f>
        <v/>
      </c>
      <c r="O7" s="33">
        <f>IF(OR($E7="",$F7=""),"",IF(AND(O$4&lt;=$F7,O$4+6&gt;=$E7),IF($F7-$E7&lt;=2,"◆",IF($H7="Yes","X",LEFT($D7,1))),""))</f>
        <v/>
      </c>
      <c r="P7" s="33">
        <f>IF(OR($E7="",$F7=""),"",IF(AND(P$4&lt;=$F7,P$4+6&gt;=$E7),IF($F7-$E7&lt;=2,"◆",IF($H7="Yes","X",LEFT($D7,1))),""))</f>
        <v/>
      </c>
      <c r="Q7" s="33">
        <f>IF(OR($E7="",$F7=""),"",IF(AND(Q$4&lt;=$F7,Q$4+6&gt;=$E7),IF($F7-$E7&lt;=2,"◆",IF($H7="Yes","X",LEFT($D7,1))),""))</f>
        <v/>
      </c>
      <c r="R7" s="33">
        <f>IF(OR($E7="",$F7=""),"",IF(AND(R$4&lt;=$F7,R$4+6&gt;=$E7),IF($F7-$E7&lt;=2,"◆",IF($H7="Yes","X",LEFT($D7,1))),""))</f>
        <v/>
      </c>
      <c r="S7" s="33">
        <f>IF(OR($E7="",$F7=""),"",IF(AND(S$4&lt;=$F7,S$4+6&gt;=$E7),IF($F7-$E7&lt;=2,"◆",IF($H7="Yes","X",LEFT($D7,1))),""))</f>
        <v/>
      </c>
      <c r="T7" s="33">
        <f>IF(OR($E7="",$F7=""),"",IF(AND(T$4&lt;=$F7,T$4+6&gt;=$E7),IF($F7-$E7&lt;=2,"◆",IF($H7="Yes","X",LEFT($D7,1))),""))</f>
        <v/>
      </c>
      <c r="U7" s="33">
        <f>IF(OR($E7="",$F7=""),"",IF(AND(U$4&lt;=$F7,U$4+6&gt;=$E7),IF($F7-$E7&lt;=2,"◆",IF($H7="Yes","X",LEFT($D7,1))),""))</f>
        <v/>
      </c>
      <c r="V7" s="33">
        <f>IF(OR($E7="",$F7=""),"",IF(AND(V$4&lt;=$F7,V$4+6&gt;=$E7),IF($F7-$E7&lt;=2,"◆",IF($H7="Yes","X",LEFT($D7,1))),""))</f>
        <v/>
      </c>
      <c r="W7" s="33">
        <f>IF(OR($E7="",$F7=""),"",IF(AND(W$4&lt;=$F7,W$4+6&gt;=$E7),IF($F7-$E7&lt;=2,"◆",IF($H7="Yes","X",LEFT($D7,1))),""))</f>
        <v/>
      </c>
      <c r="X7" s="33">
        <f>IF(OR($E7="",$F7=""),"",IF(AND(X$4&lt;=$F7,X$4+6&gt;=$E7),IF($F7-$E7&lt;=2,"◆",IF($H7="Yes","X",LEFT($D7,1))),""))</f>
        <v/>
      </c>
      <c r="Y7" s="33">
        <f>IF(OR($E7="",$F7=""),"",IF(AND(Y$4&lt;=$F7,Y$4+6&gt;=$E7),IF($F7-$E7&lt;=2,"◆",IF($H7="Yes","X",LEFT($D7,1))),""))</f>
        <v/>
      </c>
      <c r="Z7" s="33">
        <f>IF(OR($E7="",$F7=""),"",IF(AND(Z$4&lt;=$F7,Z$4+6&gt;=$E7),IF($F7-$E7&lt;=2,"◆",IF($H7="Yes","X",LEFT($D7,1))),""))</f>
        <v/>
      </c>
      <c r="AA7" s="33">
        <f>IF(OR($E7="",$F7=""),"",IF(AND(AA$4&lt;=$F7,AA$4+6&gt;=$E7),IF($F7-$E7&lt;=2,"◆",IF($H7="Yes","X",LEFT($D7,1))),""))</f>
        <v/>
      </c>
      <c r="AB7" s="33">
        <f>IF(OR($E7="",$F7=""),"",IF(AND(AB$4&lt;=$F7,AB$4+6&gt;=$E7),IF($F7-$E7&lt;=2,"◆",IF($H7="Yes","X",LEFT($D7,1))),""))</f>
        <v/>
      </c>
      <c r="AC7" s="33">
        <f>IF(OR($E7="",$F7=""),"",IF(AND(AC$4&lt;=$F7,AC$4+6&gt;=$E7),IF($F7-$E7&lt;=2,"◆",IF($H7="Yes","X",LEFT($D7,1))),""))</f>
        <v/>
      </c>
      <c r="AD7" s="33">
        <f>IF(OR($E7="",$F7=""),"",IF(AND(AD$4&lt;=$F7,AD$4+6&gt;=$E7),IF($F7-$E7&lt;=2,"◆",IF($H7="Yes","X",LEFT($D7,1))),""))</f>
        <v/>
      </c>
      <c r="AE7" s="33">
        <f>IF(OR($E7="",$F7=""),"",IF(AND(AE$4&lt;=$F7,AE$4+6&gt;=$E7),IF($F7-$E7&lt;=2,"◆",IF($H7="Yes","X",LEFT($D7,1))),""))</f>
        <v/>
      </c>
      <c r="AF7" s="33">
        <f>IF(OR($E7="",$F7=""),"",IF(AND(AF$4&lt;=$F7,AF$4+6&gt;=$E7),IF($F7-$E7&lt;=2,"◆",IF($H7="Yes","X",LEFT($D7,1))),""))</f>
        <v/>
      </c>
      <c r="AG7" s="33">
        <f>IF(OR($E7="",$F7=""),"",IF(AND(AG$4&lt;=$F7,AG$4+6&gt;=$E7),IF($F7-$E7&lt;=2,"◆",IF($H7="Yes","X",LEFT($D7,1))),""))</f>
        <v/>
      </c>
      <c r="AH7" s="33">
        <f>IF(OR($E7="",$F7=""),"",IF(AND(AH$4&lt;=$F7,AH$4+6&gt;=$E7),IF($F7-$E7&lt;=2,"◆",IF($H7="Yes","X",LEFT($D7,1))),""))</f>
        <v/>
      </c>
      <c r="AI7" s="33">
        <f>IF(OR($E7="",$F7=""),"",IF(AND(AI$4&lt;=$F7,AI$4+6&gt;=$E7),IF($F7-$E7&lt;=2,"◆",IF($H7="Yes","X",LEFT($D7,1))),""))</f>
        <v/>
      </c>
      <c r="AJ7" s="33">
        <f>IF(OR($E7="",$F7=""),"",IF(AND(AJ$4&lt;=$F7,AJ$4+6&gt;=$E7),IF($F7-$E7&lt;=2,"◆",IF($H7="Yes","X",LEFT($D7,1))),""))</f>
        <v/>
      </c>
      <c r="AK7" s="33">
        <f>IF(OR($E7="",$F7=""),"",IF(AND(AK$4&lt;=$F7,AK$4+6&gt;=$E7),IF($F7-$E7&lt;=2,"◆",IF($H7="Yes","X",LEFT($D7,1))),""))</f>
        <v/>
      </c>
      <c r="AL7" s="33">
        <f>IF(OR($E7="",$F7=""),"",IF(AND(AL$4&lt;=$F7,AL$4+6&gt;=$E7),IF($F7-$E7&lt;=2,"◆",IF($H7="Yes","X",LEFT($D7,1))),""))</f>
        <v/>
      </c>
      <c r="AM7" s="33">
        <f>IF(OR($E7="",$F7=""),"",IF(AND(AM$4&lt;=$F7,AM$4+6&gt;=$E7),IF($F7-$E7&lt;=2,"◆",IF($H7="Yes","X",LEFT($D7,1))),""))</f>
        <v/>
      </c>
      <c r="AN7" s="33">
        <f>IF(OR($E7="",$F7=""),"",IF(AND(AN$4&lt;=$F7,AN$4+6&gt;=$E7),IF($F7-$E7&lt;=2,"◆",IF($H7="Yes","X",LEFT($D7,1))),""))</f>
        <v/>
      </c>
      <c r="AO7" s="33">
        <f>IF(OR($E7="",$F7=""),"",IF(AND(AO$4&lt;=$F7,AO$4+6&gt;=$E7),IF($F7-$E7&lt;=2,"◆",IF($H7="Yes","X",LEFT($D7,1))),""))</f>
        <v/>
      </c>
      <c r="AP7" s="33">
        <f>IF(OR($E7="",$F7=""),"",IF(AND(AP$4&lt;=$F7,AP$4+6&gt;=$E7),IF($F7-$E7&lt;=2,"◆",IF($H7="Yes","X",LEFT($D7,1))),""))</f>
        <v/>
      </c>
      <c r="AQ7" s="33">
        <f>IF(OR($E7="",$F7=""),"",IF(AND(AQ$4&lt;=$F7,AQ$4+6&gt;=$E7),IF($F7-$E7&lt;=2,"◆",IF($H7="Yes","X",LEFT($D7,1))),""))</f>
        <v/>
      </c>
      <c r="AR7" s="33">
        <f>IF(OR($E7="",$F7=""),"",IF(AND(AR$4&lt;=$F7,AR$4+6&gt;=$E7),IF($F7-$E7&lt;=2,"◆",IF($H7="Yes","X",LEFT($D7,1))),""))</f>
        <v/>
      </c>
      <c r="AS7" s="33">
        <f>IF(OR($E7="",$F7=""),"",IF(AND(AS$4&lt;=$F7,AS$4+6&gt;=$E7),IF($F7-$E7&lt;=2,"◆",IF($H7="Yes","X",LEFT($D7,1))),""))</f>
        <v/>
      </c>
      <c r="AT7" s="33">
        <f>IF(OR($E7="",$F7=""),"",IF(AND(AT$4&lt;=$F7,AT$4+6&gt;=$E7),IF($F7-$E7&lt;=2,"◆",IF($H7="Yes","X",LEFT($D7,1))),""))</f>
        <v/>
      </c>
      <c r="AU7" s="33">
        <f>IF(OR($E7="",$F7=""),"",IF(AND(AU$4&lt;=$F7,AU$4+6&gt;=$E7),IF($F7-$E7&lt;=2,"◆",IF($H7="Yes","X",LEFT($D7,1))),""))</f>
        <v/>
      </c>
      <c r="AV7" s="33">
        <f>IF(OR($E7="",$F7=""),"",IF(AND(AV$4&lt;=$F7,AV$4+6&gt;=$E7),IF($F7-$E7&lt;=2,"◆",IF($H7="Yes","X",LEFT($D7,1))),""))</f>
        <v/>
      </c>
      <c r="AW7" s="33">
        <f>IF(OR($E7="",$F7=""),"",IF(AND(AW$4&lt;=$F7,AW$4+6&gt;=$E7),IF($F7-$E7&lt;=2,"◆",IF($H7="Yes","X",LEFT($D7,1))),""))</f>
        <v/>
      </c>
      <c r="AX7" s="33">
        <f>IF(OR($E7="",$F7=""),"",IF(AND(AX$4&lt;=$F7,AX$4+6&gt;=$E7),IF($F7-$E7&lt;=2,"◆",IF($H7="Yes","X",LEFT($D7,1))),""))</f>
        <v/>
      </c>
      <c r="AY7" s="33">
        <f>IF(OR($E7="",$F7=""),"",IF(AND(AY$4&lt;=$F7,AY$4+6&gt;=$E7),IF($F7-$E7&lt;=2,"◆",IF($H7="Yes","X",LEFT($D7,1))),""))</f>
        <v/>
      </c>
      <c r="AZ7" s="33">
        <f>IF(OR($E7="",$F7=""),"",IF(AND(AZ$4&lt;=$F7,AZ$4+6&gt;=$E7),IF($F7-$E7&lt;=2,"◆",IF($H7="Yes","X",LEFT($D7,1))),""))</f>
        <v/>
      </c>
      <c r="BA7" s="33">
        <f>IF(OR($E7="",$F7=""),"",IF(AND(BA$4&lt;=$F7,BA$4+6&gt;=$E7),IF($F7-$E7&lt;=2,"◆",IF($H7="Yes","X",LEFT($D7,1))),""))</f>
        <v/>
      </c>
      <c r="BB7" s="33">
        <f>IF(OR($E7="",$F7=""),"",IF(AND(BB$4&lt;=$F7,BB$4+6&gt;=$E7),IF($F7-$E7&lt;=2,"◆",IF($H7="Yes","X",LEFT($D7,1))),""))</f>
        <v/>
      </c>
      <c r="BC7" s="33">
        <f>IF(OR($E7="",$F7=""),"",IF(AND(BC$4&lt;=$F7,BC$4+6&gt;=$E7),IF($F7-$E7&lt;=2,"◆",IF($H7="Yes","X",LEFT($D7,1))),""))</f>
        <v/>
      </c>
      <c r="BD7" s="33">
        <f>IF(OR($E7="",$F7=""),"",IF(AND(BD$4&lt;=$F7,BD$4+6&gt;=$E7),IF($F7-$E7&lt;=2,"◆",IF($H7="Yes","X",LEFT($D7,1))),""))</f>
        <v/>
      </c>
      <c r="BE7" s="33">
        <f>IF(OR($E7="",$F7=""),"",IF(AND(BE$4&lt;=$F7,BE$4+6&gt;=$E7),IF($F7-$E7&lt;=2,"◆",IF($H7="Yes","X",LEFT($D7,1))),""))</f>
        <v/>
      </c>
      <c r="BF7" s="33">
        <f>IF(OR($E7="",$F7=""),"",IF(AND(BF$4&lt;=$F7,BF$4+6&gt;=$E7),IF($F7-$E7&lt;=2,"◆",IF($H7="Yes","X",LEFT($D7,1))),""))</f>
        <v/>
      </c>
      <c r="BG7" s="33">
        <f>IF(OR($E7="",$F7=""),"",IF(AND(BG$4&lt;=$F7,BG$4+6&gt;=$E7),IF($F7-$E7&lt;=2,"◆",IF($H7="Yes","X",LEFT($D7,1))),""))</f>
        <v/>
      </c>
      <c r="BH7" s="33">
        <f>IF(OR($E7="",$F7=""),"",IF(AND(BH$4&lt;=$F7,BH$4+6&gt;=$E7),IF($F7-$E7&lt;=2,"◆",IF($H7="Yes","X",LEFT($D7,1))),""))</f>
        <v/>
      </c>
      <c r="BI7" s="33">
        <f>IF(OR($E7="",$F7=""),"",IF(AND(BI$4&lt;=$F7,BI$4+6&gt;=$E7),IF($F7-$E7&lt;=2,"◆",IF($H7="Yes","X",LEFT($D7,1))),""))</f>
        <v/>
      </c>
    </row>
    <row r="8">
      <c r="A8" s="30" t="inlineStr">
        <is>
          <t>T-004</t>
        </is>
      </c>
      <c r="B8" s="30" t="inlineStr">
        <is>
          <t>Build Unsubscribe feature for all the promotional emails(Roshni to check)</t>
        </is>
      </c>
      <c r="C8" s="30" t="inlineStr">
        <is>
          <t>MJ</t>
        </is>
      </c>
      <c r="D8" s="30" t="inlineStr">
        <is>
          <t>Not Started</t>
        </is>
      </c>
      <c r="E8" s="31" t="n">
        <v>46235</v>
      </c>
      <c r="F8" s="31" t="n">
        <v>46244</v>
      </c>
      <c r="G8" s="32" t="n">
        <v>0</v>
      </c>
      <c r="H8" s="30" t="inlineStr">
        <is>
          <t>No</t>
        </is>
      </c>
      <c r="I8" s="33">
        <f>IF(OR($E8="",$F8=""),"",IF(AND(I$4&lt;=$F8,I$4+6&gt;=$E8),IF($F8-$E8&lt;=2,"◆",IF($H8="Yes","X",LEFT($D8,1))),""))</f>
        <v/>
      </c>
      <c r="J8" s="33">
        <f>IF(OR($E8="",$F8=""),"",IF(AND(J$4&lt;=$F8,J$4+6&gt;=$E8),IF($F8-$E8&lt;=2,"◆",IF($H8="Yes","X",LEFT($D8,1))),""))</f>
        <v/>
      </c>
      <c r="K8" s="33">
        <f>IF(OR($E8="",$F8=""),"",IF(AND(K$4&lt;=$F8,K$4+6&gt;=$E8),IF($F8-$E8&lt;=2,"◆",IF($H8="Yes","X",LEFT($D8,1))),""))</f>
        <v/>
      </c>
      <c r="L8" s="33">
        <f>IF(OR($E8="",$F8=""),"",IF(AND(L$4&lt;=$F8,L$4+6&gt;=$E8),IF($F8-$E8&lt;=2,"◆",IF($H8="Yes","X",LEFT($D8,1))),""))</f>
        <v/>
      </c>
      <c r="M8" s="33">
        <f>IF(OR($E8="",$F8=""),"",IF(AND(M$4&lt;=$F8,M$4+6&gt;=$E8),IF($F8-$E8&lt;=2,"◆",IF($H8="Yes","X",LEFT($D8,1))),""))</f>
        <v/>
      </c>
      <c r="N8" s="33">
        <f>IF(OR($E8="",$F8=""),"",IF(AND(N$4&lt;=$F8,N$4+6&gt;=$E8),IF($F8-$E8&lt;=2,"◆",IF($H8="Yes","X",LEFT($D8,1))),""))</f>
        <v/>
      </c>
      <c r="O8" s="33">
        <f>IF(OR($E8="",$F8=""),"",IF(AND(O$4&lt;=$F8,O$4+6&gt;=$E8),IF($F8-$E8&lt;=2,"◆",IF($H8="Yes","X",LEFT($D8,1))),""))</f>
        <v/>
      </c>
      <c r="P8" s="33">
        <f>IF(OR($E8="",$F8=""),"",IF(AND(P$4&lt;=$F8,P$4+6&gt;=$E8),IF($F8-$E8&lt;=2,"◆",IF($H8="Yes","X",LEFT($D8,1))),""))</f>
        <v/>
      </c>
      <c r="Q8" s="33">
        <f>IF(OR($E8="",$F8=""),"",IF(AND(Q$4&lt;=$F8,Q$4+6&gt;=$E8),IF($F8-$E8&lt;=2,"◆",IF($H8="Yes","X",LEFT($D8,1))),""))</f>
        <v/>
      </c>
      <c r="R8" s="33">
        <f>IF(OR($E8="",$F8=""),"",IF(AND(R$4&lt;=$F8,R$4+6&gt;=$E8),IF($F8-$E8&lt;=2,"◆",IF($H8="Yes","X",LEFT($D8,1))),""))</f>
        <v/>
      </c>
      <c r="S8" s="33">
        <f>IF(OR($E8="",$F8=""),"",IF(AND(S$4&lt;=$F8,S$4+6&gt;=$E8),IF($F8-$E8&lt;=2,"◆",IF($H8="Yes","X",LEFT($D8,1))),""))</f>
        <v/>
      </c>
      <c r="T8" s="33">
        <f>IF(OR($E8="",$F8=""),"",IF(AND(T$4&lt;=$F8,T$4+6&gt;=$E8),IF($F8-$E8&lt;=2,"◆",IF($H8="Yes","X",LEFT($D8,1))),""))</f>
        <v/>
      </c>
      <c r="U8" s="33">
        <f>IF(OR($E8="",$F8=""),"",IF(AND(U$4&lt;=$F8,U$4+6&gt;=$E8),IF($F8-$E8&lt;=2,"◆",IF($H8="Yes","X",LEFT($D8,1))),""))</f>
        <v/>
      </c>
      <c r="V8" s="33">
        <f>IF(OR($E8="",$F8=""),"",IF(AND(V$4&lt;=$F8,V$4+6&gt;=$E8),IF($F8-$E8&lt;=2,"◆",IF($H8="Yes","X",LEFT($D8,1))),""))</f>
        <v/>
      </c>
      <c r="W8" s="33">
        <f>IF(OR($E8="",$F8=""),"",IF(AND(W$4&lt;=$F8,W$4+6&gt;=$E8),IF($F8-$E8&lt;=2,"◆",IF($H8="Yes","X",LEFT($D8,1))),""))</f>
        <v/>
      </c>
      <c r="X8" s="33">
        <f>IF(OR($E8="",$F8=""),"",IF(AND(X$4&lt;=$F8,X$4+6&gt;=$E8),IF($F8-$E8&lt;=2,"◆",IF($H8="Yes","X",LEFT($D8,1))),""))</f>
        <v/>
      </c>
      <c r="Y8" s="33">
        <f>IF(OR($E8="",$F8=""),"",IF(AND(Y$4&lt;=$F8,Y$4+6&gt;=$E8),IF($F8-$E8&lt;=2,"◆",IF($H8="Yes","X",LEFT($D8,1))),""))</f>
        <v/>
      </c>
      <c r="Z8" s="33">
        <f>IF(OR($E8="",$F8=""),"",IF(AND(Z$4&lt;=$F8,Z$4+6&gt;=$E8),IF($F8-$E8&lt;=2,"◆",IF($H8="Yes","X",LEFT($D8,1))),""))</f>
        <v/>
      </c>
      <c r="AA8" s="33">
        <f>IF(OR($E8="",$F8=""),"",IF(AND(AA$4&lt;=$F8,AA$4+6&gt;=$E8),IF($F8-$E8&lt;=2,"◆",IF($H8="Yes","X",LEFT($D8,1))),""))</f>
        <v/>
      </c>
      <c r="AB8" s="33">
        <f>IF(OR($E8="",$F8=""),"",IF(AND(AB$4&lt;=$F8,AB$4+6&gt;=$E8),IF($F8-$E8&lt;=2,"◆",IF($H8="Yes","X",LEFT($D8,1))),""))</f>
        <v/>
      </c>
      <c r="AC8" s="33">
        <f>IF(OR($E8="",$F8=""),"",IF(AND(AC$4&lt;=$F8,AC$4+6&gt;=$E8),IF($F8-$E8&lt;=2,"◆",IF($H8="Yes","X",LEFT($D8,1))),""))</f>
        <v/>
      </c>
      <c r="AD8" s="33">
        <f>IF(OR($E8="",$F8=""),"",IF(AND(AD$4&lt;=$F8,AD$4+6&gt;=$E8),IF($F8-$E8&lt;=2,"◆",IF($H8="Yes","X",LEFT($D8,1))),""))</f>
        <v/>
      </c>
      <c r="AE8" s="33">
        <f>IF(OR($E8="",$F8=""),"",IF(AND(AE$4&lt;=$F8,AE$4+6&gt;=$E8),IF($F8-$E8&lt;=2,"◆",IF($H8="Yes","X",LEFT($D8,1))),""))</f>
        <v/>
      </c>
      <c r="AF8" s="33">
        <f>IF(OR($E8="",$F8=""),"",IF(AND(AF$4&lt;=$F8,AF$4+6&gt;=$E8),IF($F8-$E8&lt;=2,"◆",IF($H8="Yes","X",LEFT($D8,1))),""))</f>
        <v/>
      </c>
      <c r="AG8" s="33">
        <f>IF(OR($E8="",$F8=""),"",IF(AND(AG$4&lt;=$F8,AG$4+6&gt;=$E8),IF($F8-$E8&lt;=2,"◆",IF($H8="Yes","X",LEFT($D8,1))),""))</f>
        <v/>
      </c>
      <c r="AH8" s="33">
        <f>IF(OR($E8="",$F8=""),"",IF(AND(AH$4&lt;=$F8,AH$4+6&gt;=$E8),IF($F8-$E8&lt;=2,"◆",IF($H8="Yes","X",LEFT($D8,1))),""))</f>
        <v/>
      </c>
      <c r="AI8" s="33">
        <f>IF(OR($E8="",$F8=""),"",IF(AND(AI$4&lt;=$F8,AI$4+6&gt;=$E8),IF($F8-$E8&lt;=2,"◆",IF($H8="Yes","X",LEFT($D8,1))),""))</f>
        <v/>
      </c>
      <c r="AJ8" s="33">
        <f>IF(OR($E8="",$F8=""),"",IF(AND(AJ$4&lt;=$F8,AJ$4+6&gt;=$E8),IF($F8-$E8&lt;=2,"◆",IF($H8="Yes","X",LEFT($D8,1))),""))</f>
        <v/>
      </c>
      <c r="AK8" s="33">
        <f>IF(OR($E8="",$F8=""),"",IF(AND(AK$4&lt;=$F8,AK$4+6&gt;=$E8),IF($F8-$E8&lt;=2,"◆",IF($H8="Yes","X",LEFT($D8,1))),""))</f>
        <v/>
      </c>
      <c r="AL8" s="33">
        <f>IF(OR($E8="",$F8=""),"",IF(AND(AL$4&lt;=$F8,AL$4+6&gt;=$E8),IF($F8-$E8&lt;=2,"◆",IF($H8="Yes","X",LEFT($D8,1))),""))</f>
        <v/>
      </c>
      <c r="AM8" s="33">
        <f>IF(OR($E8="",$F8=""),"",IF(AND(AM$4&lt;=$F8,AM$4+6&gt;=$E8),IF($F8-$E8&lt;=2,"◆",IF($H8="Yes","X",LEFT($D8,1))),""))</f>
        <v/>
      </c>
      <c r="AN8" s="33">
        <f>IF(OR($E8="",$F8=""),"",IF(AND(AN$4&lt;=$F8,AN$4+6&gt;=$E8),IF($F8-$E8&lt;=2,"◆",IF($H8="Yes","X",LEFT($D8,1))),""))</f>
        <v/>
      </c>
      <c r="AO8" s="33">
        <f>IF(OR($E8="",$F8=""),"",IF(AND(AO$4&lt;=$F8,AO$4+6&gt;=$E8),IF($F8-$E8&lt;=2,"◆",IF($H8="Yes","X",LEFT($D8,1))),""))</f>
        <v/>
      </c>
      <c r="AP8" s="33">
        <f>IF(OR($E8="",$F8=""),"",IF(AND(AP$4&lt;=$F8,AP$4+6&gt;=$E8),IF($F8-$E8&lt;=2,"◆",IF($H8="Yes","X",LEFT($D8,1))),""))</f>
        <v/>
      </c>
      <c r="AQ8" s="33">
        <f>IF(OR($E8="",$F8=""),"",IF(AND(AQ$4&lt;=$F8,AQ$4+6&gt;=$E8),IF($F8-$E8&lt;=2,"◆",IF($H8="Yes","X",LEFT($D8,1))),""))</f>
        <v/>
      </c>
      <c r="AR8" s="33">
        <f>IF(OR($E8="",$F8=""),"",IF(AND(AR$4&lt;=$F8,AR$4+6&gt;=$E8),IF($F8-$E8&lt;=2,"◆",IF($H8="Yes","X",LEFT($D8,1))),""))</f>
        <v/>
      </c>
      <c r="AS8" s="33">
        <f>IF(OR($E8="",$F8=""),"",IF(AND(AS$4&lt;=$F8,AS$4+6&gt;=$E8),IF($F8-$E8&lt;=2,"◆",IF($H8="Yes","X",LEFT($D8,1))),""))</f>
        <v/>
      </c>
      <c r="AT8" s="33">
        <f>IF(OR($E8="",$F8=""),"",IF(AND(AT$4&lt;=$F8,AT$4+6&gt;=$E8),IF($F8-$E8&lt;=2,"◆",IF($H8="Yes","X",LEFT($D8,1))),""))</f>
        <v/>
      </c>
      <c r="AU8" s="33">
        <f>IF(OR($E8="",$F8=""),"",IF(AND(AU$4&lt;=$F8,AU$4+6&gt;=$E8),IF($F8-$E8&lt;=2,"◆",IF($H8="Yes","X",LEFT($D8,1))),""))</f>
        <v/>
      </c>
      <c r="AV8" s="33">
        <f>IF(OR($E8="",$F8=""),"",IF(AND(AV$4&lt;=$F8,AV$4+6&gt;=$E8),IF($F8-$E8&lt;=2,"◆",IF($H8="Yes","X",LEFT($D8,1))),""))</f>
        <v/>
      </c>
      <c r="AW8" s="33">
        <f>IF(OR($E8="",$F8=""),"",IF(AND(AW$4&lt;=$F8,AW$4+6&gt;=$E8),IF($F8-$E8&lt;=2,"◆",IF($H8="Yes","X",LEFT($D8,1))),""))</f>
        <v/>
      </c>
      <c r="AX8" s="33">
        <f>IF(OR($E8="",$F8=""),"",IF(AND(AX$4&lt;=$F8,AX$4+6&gt;=$E8),IF($F8-$E8&lt;=2,"◆",IF($H8="Yes","X",LEFT($D8,1))),""))</f>
        <v/>
      </c>
      <c r="AY8" s="33">
        <f>IF(OR($E8="",$F8=""),"",IF(AND(AY$4&lt;=$F8,AY$4+6&gt;=$E8),IF($F8-$E8&lt;=2,"◆",IF($H8="Yes","X",LEFT($D8,1))),""))</f>
        <v/>
      </c>
      <c r="AZ8" s="33">
        <f>IF(OR($E8="",$F8=""),"",IF(AND(AZ$4&lt;=$F8,AZ$4+6&gt;=$E8),IF($F8-$E8&lt;=2,"◆",IF($H8="Yes","X",LEFT($D8,1))),""))</f>
        <v/>
      </c>
      <c r="BA8" s="33">
        <f>IF(OR($E8="",$F8=""),"",IF(AND(BA$4&lt;=$F8,BA$4+6&gt;=$E8),IF($F8-$E8&lt;=2,"◆",IF($H8="Yes","X",LEFT($D8,1))),""))</f>
        <v/>
      </c>
      <c r="BB8" s="33">
        <f>IF(OR($E8="",$F8=""),"",IF(AND(BB$4&lt;=$F8,BB$4+6&gt;=$E8),IF($F8-$E8&lt;=2,"◆",IF($H8="Yes","X",LEFT($D8,1))),""))</f>
        <v/>
      </c>
      <c r="BC8" s="33">
        <f>IF(OR($E8="",$F8=""),"",IF(AND(BC$4&lt;=$F8,BC$4+6&gt;=$E8),IF($F8-$E8&lt;=2,"◆",IF($H8="Yes","X",LEFT($D8,1))),""))</f>
        <v/>
      </c>
      <c r="BD8" s="33">
        <f>IF(OR($E8="",$F8=""),"",IF(AND(BD$4&lt;=$F8,BD$4+6&gt;=$E8),IF($F8-$E8&lt;=2,"◆",IF($H8="Yes","X",LEFT($D8,1))),""))</f>
        <v/>
      </c>
      <c r="BE8" s="33">
        <f>IF(OR($E8="",$F8=""),"",IF(AND(BE$4&lt;=$F8,BE$4+6&gt;=$E8),IF($F8-$E8&lt;=2,"◆",IF($H8="Yes","X",LEFT($D8,1))),""))</f>
        <v/>
      </c>
      <c r="BF8" s="33">
        <f>IF(OR($E8="",$F8=""),"",IF(AND(BF$4&lt;=$F8,BF$4+6&gt;=$E8),IF($F8-$E8&lt;=2,"◆",IF($H8="Yes","X",LEFT($D8,1))),""))</f>
        <v/>
      </c>
      <c r="BG8" s="33">
        <f>IF(OR($E8="",$F8=""),"",IF(AND(BG$4&lt;=$F8,BG$4+6&gt;=$E8),IF($F8-$E8&lt;=2,"◆",IF($H8="Yes","X",LEFT($D8,1))),""))</f>
        <v/>
      </c>
      <c r="BH8" s="33">
        <f>IF(OR($E8="",$F8=""),"",IF(AND(BH$4&lt;=$F8,BH$4+6&gt;=$E8),IF($F8-$E8&lt;=2,"◆",IF($H8="Yes","X",LEFT($D8,1))),""))</f>
        <v/>
      </c>
      <c r="BI8" s="33">
        <f>IF(OR($E8="",$F8=""),"",IF(AND(BI$4&lt;=$F8,BI$4+6&gt;=$E8),IF($F8-$E8&lt;=2,"◆",IF($H8="Yes","X",LEFT($D8,1))),""))</f>
        <v/>
      </c>
    </row>
    <row r="9">
      <c r="A9" s="30" t="inlineStr">
        <is>
          <t>T-005</t>
        </is>
      </c>
      <c r="B9" s="30" t="inlineStr">
        <is>
          <t>Cash + Wallet + Compliance - Integration patch for CS 1.0</t>
        </is>
      </c>
      <c r="C9" s="30" t="inlineStr">
        <is>
          <t>MJ</t>
        </is>
      </c>
      <c r="D9" s="30" t="inlineStr">
        <is>
          <t>Not Started</t>
        </is>
      </c>
      <c r="E9" s="31" t="n">
        <v>46235</v>
      </c>
      <c r="F9" s="31" t="n">
        <v>46267</v>
      </c>
      <c r="G9" s="32" t="n">
        <v>0</v>
      </c>
      <c r="H9" s="30" t="inlineStr">
        <is>
          <t>No</t>
        </is>
      </c>
      <c r="I9" s="33">
        <f>IF(OR($E9="",$F9=""),"",IF(AND(I$4&lt;=$F9,I$4+6&gt;=$E9),IF($F9-$E9&lt;=2,"◆",IF($H9="Yes","X",LEFT($D9,1))),""))</f>
        <v/>
      </c>
      <c r="J9" s="33">
        <f>IF(OR($E9="",$F9=""),"",IF(AND(J$4&lt;=$F9,J$4+6&gt;=$E9),IF($F9-$E9&lt;=2,"◆",IF($H9="Yes","X",LEFT($D9,1))),""))</f>
        <v/>
      </c>
      <c r="K9" s="33">
        <f>IF(OR($E9="",$F9=""),"",IF(AND(K$4&lt;=$F9,K$4+6&gt;=$E9),IF($F9-$E9&lt;=2,"◆",IF($H9="Yes","X",LEFT($D9,1))),""))</f>
        <v/>
      </c>
      <c r="L9" s="33">
        <f>IF(OR($E9="",$F9=""),"",IF(AND(L$4&lt;=$F9,L$4+6&gt;=$E9),IF($F9-$E9&lt;=2,"◆",IF($H9="Yes","X",LEFT($D9,1))),""))</f>
        <v/>
      </c>
      <c r="M9" s="33">
        <f>IF(OR($E9="",$F9=""),"",IF(AND(M$4&lt;=$F9,M$4+6&gt;=$E9),IF($F9-$E9&lt;=2,"◆",IF($H9="Yes","X",LEFT($D9,1))),""))</f>
        <v/>
      </c>
      <c r="N9" s="33">
        <f>IF(OR($E9="",$F9=""),"",IF(AND(N$4&lt;=$F9,N$4+6&gt;=$E9),IF($F9-$E9&lt;=2,"◆",IF($H9="Yes","X",LEFT($D9,1))),""))</f>
        <v/>
      </c>
      <c r="O9" s="33">
        <f>IF(OR($E9="",$F9=""),"",IF(AND(O$4&lt;=$F9,O$4+6&gt;=$E9),IF($F9-$E9&lt;=2,"◆",IF($H9="Yes","X",LEFT($D9,1))),""))</f>
        <v/>
      </c>
      <c r="P9" s="33">
        <f>IF(OR($E9="",$F9=""),"",IF(AND(P$4&lt;=$F9,P$4+6&gt;=$E9),IF($F9-$E9&lt;=2,"◆",IF($H9="Yes","X",LEFT($D9,1))),""))</f>
        <v/>
      </c>
      <c r="Q9" s="33">
        <f>IF(OR($E9="",$F9=""),"",IF(AND(Q$4&lt;=$F9,Q$4+6&gt;=$E9),IF($F9-$E9&lt;=2,"◆",IF($H9="Yes","X",LEFT($D9,1))),""))</f>
        <v/>
      </c>
      <c r="R9" s="33">
        <f>IF(OR($E9="",$F9=""),"",IF(AND(R$4&lt;=$F9,R$4+6&gt;=$E9),IF($F9-$E9&lt;=2,"◆",IF($H9="Yes","X",LEFT($D9,1))),""))</f>
        <v/>
      </c>
      <c r="S9" s="33">
        <f>IF(OR($E9="",$F9=""),"",IF(AND(S$4&lt;=$F9,S$4+6&gt;=$E9),IF($F9-$E9&lt;=2,"◆",IF($H9="Yes","X",LEFT($D9,1))),""))</f>
        <v/>
      </c>
      <c r="T9" s="33">
        <f>IF(OR($E9="",$F9=""),"",IF(AND(T$4&lt;=$F9,T$4+6&gt;=$E9),IF($F9-$E9&lt;=2,"◆",IF($H9="Yes","X",LEFT($D9,1))),""))</f>
        <v/>
      </c>
      <c r="U9" s="33">
        <f>IF(OR($E9="",$F9=""),"",IF(AND(U$4&lt;=$F9,U$4+6&gt;=$E9),IF($F9-$E9&lt;=2,"◆",IF($H9="Yes","X",LEFT($D9,1))),""))</f>
        <v/>
      </c>
      <c r="V9" s="33">
        <f>IF(OR($E9="",$F9=""),"",IF(AND(V$4&lt;=$F9,V$4+6&gt;=$E9),IF($F9-$E9&lt;=2,"◆",IF($H9="Yes","X",LEFT($D9,1))),""))</f>
        <v/>
      </c>
      <c r="W9" s="33">
        <f>IF(OR($E9="",$F9=""),"",IF(AND(W$4&lt;=$F9,W$4+6&gt;=$E9),IF($F9-$E9&lt;=2,"◆",IF($H9="Yes","X",LEFT($D9,1))),""))</f>
        <v/>
      </c>
      <c r="X9" s="33">
        <f>IF(OR($E9="",$F9=""),"",IF(AND(X$4&lt;=$F9,X$4+6&gt;=$E9),IF($F9-$E9&lt;=2,"◆",IF($H9="Yes","X",LEFT($D9,1))),""))</f>
        <v/>
      </c>
      <c r="Y9" s="33">
        <f>IF(OR($E9="",$F9=""),"",IF(AND(Y$4&lt;=$F9,Y$4+6&gt;=$E9),IF($F9-$E9&lt;=2,"◆",IF($H9="Yes","X",LEFT($D9,1))),""))</f>
        <v/>
      </c>
      <c r="Z9" s="33">
        <f>IF(OR($E9="",$F9=""),"",IF(AND(Z$4&lt;=$F9,Z$4+6&gt;=$E9),IF($F9-$E9&lt;=2,"◆",IF($H9="Yes","X",LEFT($D9,1))),""))</f>
        <v/>
      </c>
      <c r="AA9" s="33">
        <f>IF(OR($E9="",$F9=""),"",IF(AND(AA$4&lt;=$F9,AA$4+6&gt;=$E9),IF($F9-$E9&lt;=2,"◆",IF($H9="Yes","X",LEFT($D9,1))),""))</f>
        <v/>
      </c>
      <c r="AB9" s="33">
        <f>IF(OR($E9="",$F9=""),"",IF(AND(AB$4&lt;=$F9,AB$4+6&gt;=$E9),IF($F9-$E9&lt;=2,"◆",IF($H9="Yes","X",LEFT($D9,1))),""))</f>
        <v/>
      </c>
      <c r="AC9" s="33">
        <f>IF(OR($E9="",$F9=""),"",IF(AND(AC$4&lt;=$F9,AC$4+6&gt;=$E9),IF($F9-$E9&lt;=2,"◆",IF($H9="Yes","X",LEFT($D9,1))),""))</f>
        <v/>
      </c>
      <c r="AD9" s="33">
        <f>IF(OR($E9="",$F9=""),"",IF(AND(AD$4&lt;=$F9,AD$4+6&gt;=$E9),IF($F9-$E9&lt;=2,"◆",IF($H9="Yes","X",LEFT($D9,1))),""))</f>
        <v/>
      </c>
      <c r="AE9" s="33">
        <f>IF(OR($E9="",$F9=""),"",IF(AND(AE$4&lt;=$F9,AE$4+6&gt;=$E9),IF($F9-$E9&lt;=2,"◆",IF($H9="Yes","X",LEFT($D9,1))),""))</f>
        <v/>
      </c>
      <c r="AF9" s="33">
        <f>IF(OR($E9="",$F9=""),"",IF(AND(AF$4&lt;=$F9,AF$4+6&gt;=$E9),IF($F9-$E9&lt;=2,"◆",IF($H9="Yes","X",LEFT($D9,1))),""))</f>
        <v/>
      </c>
      <c r="AG9" s="33">
        <f>IF(OR($E9="",$F9=""),"",IF(AND(AG$4&lt;=$F9,AG$4+6&gt;=$E9),IF($F9-$E9&lt;=2,"◆",IF($H9="Yes","X",LEFT($D9,1))),""))</f>
        <v/>
      </c>
      <c r="AH9" s="33">
        <f>IF(OR($E9="",$F9=""),"",IF(AND(AH$4&lt;=$F9,AH$4+6&gt;=$E9),IF($F9-$E9&lt;=2,"◆",IF($H9="Yes","X",LEFT($D9,1))),""))</f>
        <v/>
      </c>
      <c r="AI9" s="33">
        <f>IF(OR($E9="",$F9=""),"",IF(AND(AI$4&lt;=$F9,AI$4+6&gt;=$E9),IF($F9-$E9&lt;=2,"◆",IF($H9="Yes","X",LEFT($D9,1))),""))</f>
        <v/>
      </c>
      <c r="AJ9" s="33">
        <f>IF(OR($E9="",$F9=""),"",IF(AND(AJ$4&lt;=$F9,AJ$4+6&gt;=$E9),IF($F9-$E9&lt;=2,"◆",IF($H9="Yes","X",LEFT($D9,1))),""))</f>
        <v/>
      </c>
      <c r="AK9" s="33">
        <f>IF(OR($E9="",$F9=""),"",IF(AND(AK$4&lt;=$F9,AK$4+6&gt;=$E9),IF($F9-$E9&lt;=2,"◆",IF($H9="Yes","X",LEFT($D9,1))),""))</f>
        <v/>
      </c>
      <c r="AL9" s="33">
        <f>IF(OR($E9="",$F9=""),"",IF(AND(AL$4&lt;=$F9,AL$4+6&gt;=$E9),IF($F9-$E9&lt;=2,"◆",IF($H9="Yes","X",LEFT($D9,1))),""))</f>
        <v/>
      </c>
      <c r="AM9" s="33">
        <f>IF(OR($E9="",$F9=""),"",IF(AND(AM$4&lt;=$F9,AM$4+6&gt;=$E9),IF($F9-$E9&lt;=2,"◆",IF($H9="Yes","X",LEFT($D9,1))),""))</f>
        <v/>
      </c>
      <c r="AN9" s="33">
        <f>IF(OR($E9="",$F9=""),"",IF(AND(AN$4&lt;=$F9,AN$4+6&gt;=$E9),IF($F9-$E9&lt;=2,"◆",IF($H9="Yes","X",LEFT($D9,1))),""))</f>
        <v/>
      </c>
      <c r="AO9" s="33">
        <f>IF(OR($E9="",$F9=""),"",IF(AND(AO$4&lt;=$F9,AO$4+6&gt;=$E9),IF($F9-$E9&lt;=2,"◆",IF($H9="Yes","X",LEFT($D9,1))),""))</f>
        <v/>
      </c>
      <c r="AP9" s="33">
        <f>IF(OR($E9="",$F9=""),"",IF(AND(AP$4&lt;=$F9,AP$4+6&gt;=$E9),IF($F9-$E9&lt;=2,"◆",IF($H9="Yes","X",LEFT($D9,1))),""))</f>
        <v/>
      </c>
      <c r="AQ9" s="33">
        <f>IF(OR($E9="",$F9=""),"",IF(AND(AQ$4&lt;=$F9,AQ$4+6&gt;=$E9),IF($F9-$E9&lt;=2,"◆",IF($H9="Yes","X",LEFT($D9,1))),""))</f>
        <v/>
      </c>
      <c r="AR9" s="33">
        <f>IF(OR($E9="",$F9=""),"",IF(AND(AR$4&lt;=$F9,AR$4+6&gt;=$E9),IF($F9-$E9&lt;=2,"◆",IF($H9="Yes","X",LEFT($D9,1))),""))</f>
        <v/>
      </c>
      <c r="AS9" s="33">
        <f>IF(OR($E9="",$F9=""),"",IF(AND(AS$4&lt;=$F9,AS$4+6&gt;=$E9),IF($F9-$E9&lt;=2,"◆",IF($H9="Yes","X",LEFT($D9,1))),""))</f>
        <v/>
      </c>
      <c r="AT9" s="33">
        <f>IF(OR($E9="",$F9=""),"",IF(AND(AT$4&lt;=$F9,AT$4+6&gt;=$E9),IF($F9-$E9&lt;=2,"◆",IF($H9="Yes","X",LEFT($D9,1))),""))</f>
        <v/>
      </c>
      <c r="AU9" s="33">
        <f>IF(OR($E9="",$F9=""),"",IF(AND(AU$4&lt;=$F9,AU$4+6&gt;=$E9),IF($F9-$E9&lt;=2,"◆",IF($H9="Yes","X",LEFT($D9,1))),""))</f>
        <v/>
      </c>
      <c r="AV9" s="33">
        <f>IF(OR($E9="",$F9=""),"",IF(AND(AV$4&lt;=$F9,AV$4+6&gt;=$E9),IF($F9-$E9&lt;=2,"◆",IF($H9="Yes","X",LEFT($D9,1))),""))</f>
        <v/>
      </c>
      <c r="AW9" s="33">
        <f>IF(OR($E9="",$F9=""),"",IF(AND(AW$4&lt;=$F9,AW$4+6&gt;=$E9),IF($F9-$E9&lt;=2,"◆",IF($H9="Yes","X",LEFT($D9,1))),""))</f>
        <v/>
      </c>
      <c r="AX9" s="33">
        <f>IF(OR($E9="",$F9=""),"",IF(AND(AX$4&lt;=$F9,AX$4+6&gt;=$E9),IF($F9-$E9&lt;=2,"◆",IF($H9="Yes","X",LEFT($D9,1))),""))</f>
        <v/>
      </c>
      <c r="AY9" s="33">
        <f>IF(OR($E9="",$F9=""),"",IF(AND(AY$4&lt;=$F9,AY$4+6&gt;=$E9),IF($F9-$E9&lt;=2,"◆",IF($H9="Yes","X",LEFT($D9,1))),""))</f>
        <v/>
      </c>
      <c r="AZ9" s="33">
        <f>IF(OR($E9="",$F9=""),"",IF(AND(AZ$4&lt;=$F9,AZ$4+6&gt;=$E9),IF($F9-$E9&lt;=2,"◆",IF($H9="Yes","X",LEFT($D9,1))),""))</f>
        <v/>
      </c>
      <c r="BA9" s="33">
        <f>IF(OR($E9="",$F9=""),"",IF(AND(BA$4&lt;=$F9,BA$4+6&gt;=$E9),IF($F9-$E9&lt;=2,"◆",IF($H9="Yes","X",LEFT($D9,1))),""))</f>
        <v/>
      </c>
      <c r="BB9" s="33">
        <f>IF(OR($E9="",$F9=""),"",IF(AND(BB$4&lt;=$F9,BB$4+6&gt;=$E9),IF($F9-$E9&lt;=2,"◆",IF($H9="Yes","X",LEFT($D9,1))),""))</f>
        <v/>
      </c>
      <c r="BC9" s="33">
        <f>IF(OR($E9="",$F9=""),"",IF(AND(BC$4&lt;=$F9,BC$4+6&gt;=$E9),IF($F9-$E9&lt;=2,"◆",IF($H9="Yes","X",LEFT($D9,1))),""))</f>
        <v/>
      </c>
      <c r="BD9" s="33">
        <f>IF(OR($E9="",$F9=""),"",IF(AND(BD$4&lt;=$F9,BD$4+6&gt;=$E9),IF($F9-$E9&lt;=2,"◆",IF($H9="Yes","X",LEFT($D9,1))),""))</f>
        <v/>
      </c>
      <c r="BE9" s="33">
        <f>IF(OR($E9="",$F9=""),"",IF(AND(BE$4&lt;=$F9,BE$4+6&gt;=$E9),IF($F9-$E9&lt;=2,"◆",IF($H9="Yes","X",LEFT($D9,1))),""))</f>
        <v/>
      </c>
      <c r="BF9" s="33">
        <f>IF(OR($E9="",$F9=""),"",IF(AND(BF$4&lt;=$F9,BF$4+6&gt;=$E9),IF($F9-$E9&lt;=2,"◆",IF($H9="Yes","X",LEFT($D9,1))),""))</f>
        <v/>
      </c>
      <c r="BG9" s="33">
        <f>IF(OR($E9="",$F9=""),"",IF(AND(BG$4&lt;=$F9,BG$4+6&gt;=$E9),IF($F9-$E9&lt;=2,"◆",IF($H9="Yes","X",LEFT($D9,1))),""))</f>
        <v/>
      </c>
      <c r="BH9" s="33">
        <f>IF(OR($E9="",$F9=""),"",IF(AND(BH$4&lt;=$F9,BH$4+6&gt;=$E9),IF($F9-$E9&lt;=2,"◆",IF($H9="Yes","X",LEFT($D9,1))),""))</f>
        <v/>
      </c>
      <c r="BI9" s="33">
        <f>IF(OR($E9="",$F9=""),"",IF(AND(BI$4&lt;=$F9,BI$4+6&gt;=$E9),IF($F9-$E9&lt;=2,"◆",IF($H9="Yes","X",LEFT($D9,1))),""))</f>
        <v/>
      </c>
    </row>
    <row r="10">
      <c r="A10" s="30" t="inlineStr">
        <is>
          <t>T-006</t>
        </is>
      </c>
      <c r="B10" s="30" t="inlineStr">
        <is>
          <t>Build Pipeline for Achievo to be updated</t>
        </is>
      </c>
      <c r="C10" s="30" t="inlineStr">
        <is>
          <t>MJ</t>
        </is>
      </c>
      <c r="D10" s="30" t="inlineStr">
        <is>
          <t>Not Started</t>
        </is>
      </c>
      <c r="E10" s="31" t="n">
        <v>46282</v>
      </c>
      <c r="F10" s="31" t="n">
        <v>46291</v>
      </c>
      <c r="G10" s="32" t="n">
        <v>0</v>
      </c>
      <c r="H10" s="30" t="inlineStr">
        <is>
          <t>No</t>
        </is>
      </c>
      <c r="I10" s="33">
        <f>IF(OR($E10="",$F10=""),"",IF(AND(I$4&lt;=$F10,I$4+6&gt;=$E10),IF($F10-$E10&lt;=2,"◆",IF($H10="Yes","X",LEFT($D10,1))),""))</f>
        <v/>
      </c>
      <c r="J10" s="33">
        <f>IF(OR($E10="",$F10=""),"",IF(AND(J$4&lt;=$F10,J$4+6&gt;=$E10),IF($F10-$E10&lt;=2,"◆",IF($H10="Yes","X",LEFT($D10,1))),""))</f>
        <v/>
      </c>
      <c r="K10" s="33">
        <f>IF(OR($E10="",$F10=""),"",IF(AND(K$4&lt;=$F10,K$4+6&gt;=$E10),IF($F10-$E10&lt;=2,"◆",IF($H10="Yes","X",LEFT($D10,1))),""))</f>
        <v/>
      </c>
      <c r="L10" s="33">
        <f>IF(OR($E10="",$F10=""),"",IF(AND(L$4&lt;=$F10,L$4+6&gt;=$E10),IF($F10-$E10&lt;=2,"◆",IF($H10="Yes","X",LEFT($D10,1))),""))</f>
        <v/>
      </c>
      <c r="M10" s="33">
        <f>IF(OR($E10="",$F10=""),"",IF(AND(M$4&lt;=$F10,M$4+6&gt;=$E10),IF($F10-$E10&lt;=2,"◆",IF($H10="Yes","X",LEFT($D10,1))),""))</f>
        <v/>
      </c>
      <c r="N10" s="33">
        <f>IF(OR($E10="",$F10=""),"",IF(AND(N$4&lt;=$F10,N$4+6&gt;=$E10),IF($F10-$E10&lt;=2,"◆",IF($H10="Yes","X",LEFT($D10,1))),""))</f>
        <v/>
      </c>
      <c r="O10" s="33">
        <f>IF(OR($E10="",$F10=""),"",IF(AND(O$4&lt;=$F10,O$4+6&gt;=$E10),IF($F10-$E10&lt;=2,"◆",IF($H10="Yes","X",LEFT($D10,1))),""))</f>
        <v/>
      </c>
      <c r="P10" s="33">
        <f>IF(OR($E10="",$F10=""),"",IF(AND(P$4&lt;=$F10,P$4+6&gt;=$E10),IF($F10-$E10&lt;=2,"◆",IF($H10="Yes","X",LEFT($D10,1))),""))</f>
        <v/>
      </c>
      <c r="Q10" s="33">
        <f>IF(OR($E10="",$F10=""),"",IF(AND(Q$4&lt;=$F10,Q$4+6&gt;=$E10),IF($F10-$E10&lt;=2,"◆",IF($H10="Yes","X",LEFT($D10,1))),""))</f>
        <v/>
      </c>
      <c r="R10" s="33">
        <f>IF(OR($E10="",$F10=""),"",IF(AND(R$4&lt;=$F10,R$4+6&gt;=$E10),IF($F10-$E10&lt;=2,"◆",IF($H10="Yes","X",LEFT($D10,1))),""))</f>
        <v/>
      </c>
      <c r="S10" s="33">
        <f>IF(OR($E10="",$F10=""),"",IF(AND(S$4&lt;=$F10,S$4+6&gt;=$E10),IF($F10-$E10&lt;=2,"◆",IF($H10="Yes","X",LEFT($D10,1))),""))</f>
        <v/>
      </c>
      <c r="T10" s="33">
        <f>IF(OR($E10="",$F10=""),"",IF(AND(T$4&lt;=$F10,T$4+6&gt;=$E10),IF($F10-$E10&lt;=2,"◆",IF($H10="Yes","X",LEFT($D10,1))),""))</f>
        <v/>
      </c>
      <c r="U10" s="33">
        <f>IF(OR($E10="",$F10=""),"",IF(AND(U$4&lt;=$F10,U$4+6&gt;=$E10),IF($F10-$E10&lt;=2,"◆",IF($H10="Yes","X",LEFT($D10,1))),""))</f>
        <v/>
      </c>
      <c r="V10" s="33">
        <f>IF(OR($E10="",$F10=""),"",IF(AND(V$4&lt;=$F10,V$4+6&gt;=$E10),IF($F10-$E10&lt;=2,"◆",IF($H10="Yes","X",LEFT($D10,1))),""))</f>
        <v/>
      </c>
      <c r="W10" s="33">
        <f>IF(OR($E10="",$F10=""),"",IF(AND(W$4&lt;=$F10,W$4+6&gt;=$E10),IF($F10-$E10&lt;=2,"◆",IF($H10="Yes","X",LEFT($D10,1))),""))</f>
        <v/>
      </c>
      <c r="X10" s="33">
        <f>IF(OR($E10="",$F10=""),"",IF(AND(X$4&lt;=$F10,X$4+6&gt;=$E10),IF($F10-$E10&lt;=2,"◆",IF($H10="Yes","X",LEFT($D10,1))),""))</f>
        <v/>
      </c>
      <c r="Y10" s="33">
        <f>IF(OR($E10="",$F10=""),"",IF(AND(Y$4&lt;=$F10,Y$4+6&gt;=$E10),IF($F10-$E10&lt;=2,"◆",IF($H10="Yes","X",LEFT($D10,1))),""))</f>
        <v/>
      </c>
      <c r="Z10" s="33">
        <f>IF(OR($E10="",$F10=""),"",IF(AND(Z$4&lt;=$F10,Z$4+6&gt;=$E10),IF($F10-$E10&lt;=2,"◆",IF($H10="Yes","X",LEFT($D10,1))),""))</f>
        <v/>
      </c>
      <c r="AA10" s="33">
        <f>IF(OR($E10="",$F10=""),"",IF(AND(AA$4&lt;=$F10,AA$4+6&gt;=$E10),IF($F10-$E10&lt;=2,"◆",IF($H10="Yes","X",LEFT($D10,1))),""))</f>
        <v/>
      </c>
      <c r="AB10" s="33">
        <f>IF(OR($E10="",$F10=""),"",IF(AND(AB$4&lt;=$F10,AB$4+6&gt;=$E10),IF($F10-$E10&lt;=2,"◆",IF($H10="Yes","X",LEFT($D10,1))),""))</f>
        <v/>
      </c>
      <c r="AC10" s="33">
        <f>IF(OR($E10="",$F10=""),"",IF(AND(AC$4&lt;=$F10,AC$4+6&gt;=$E10),IF($F10-$E10&lt;=2,"◆",IF($H10="Yes","X",LEFT($D10,1))),""))</f>
        <v/>
      </c>
      <c r="AD10" s="33">
        <f>IF(OR($E10="",$F10=""),"",IF(AND(AD$4&lt;=$F10,AD$4+6&gt;=$E10),IF($F10-$E10&lt;=2,"◆",IF($H10="Yes","X",LEFT($D10,1))),""))</f>
        <v/>
      </c>
      <c r="AE10" s="33">
        <f>IF(OR($E10="",$F10=""),"",IF(AND(AE$4&lt;=$F10,AE$4+6&gt;=$E10),IF($F10-$E10&lt;=2,"◆",IF($H10="Yes","X",LEFT($D10,1))),""))</f>
        <v/>
      </c>
      <c r="AF10" s="33">
        <f>IF(OR($E10="",$F10=""),"",IF(AND(AF$4&lt;=$F10,AF$4+6&gt;=$E10),IF($F10-$E10&lt;=2,"◆",IF($H10="Yes","X",LEFT($D10,1))),""))</f>
        <v/>
      </c>
      <c r="AG10" s="33">
        <f>IF(OR($E10="",$F10=""),"",IF(AND(AG$4&lt;=$F10,AG$4+6&gt;=$E10),IF($F10-$E10&lt;=2,"◆",IF($H10="Yes","X",LEFT($D10,1))),""))</f>
        <v/>
      </c>
      <c r="AH10" s="33">
        <f>IF(OR($E10="",$F10=""),"",IF(AND(AH$4&lt;=$F10,AH$4+6&gt;=$E10),IF($F10-$E10&lt;=2,"◆",IF($H10="Yes","X",LEFT($D10,1))),""))</f>
        <v/>
      </c>
      <c r="AI10" s="33">
        <f>IF(OR($E10="",$F10=""),"",IF(AND(AI$4&lt;=$F10,AI$4+6&gt;=$E10),IF($F10-$E10&lt;=2,"◆",IF($H10="Yes","X",LEFT($D10,1))),""))</f>
        <v/>
      </c>
      <c r="AJ10" s="33">
        <f>IF(OR($E10="",$F10=""),"",IF(AND(AJ$4&lt;=$F10,AJ$4+6&gt;=$E10),IF($F10-$E10&lt;=2,"◆",IF($H10="Yes","X",LEFT($D10,1))),""))</f>
        <v/>
      </c>
      <c r="AK10" s="33">
        <f>IF(OR($E10="",$F10=""),"",IF(AND(AK$4&lt;=$F10,AK$4+6&gt;=$E10),IF($F10-$E10&lt;=2,"◆",IF($H10="Yes","X",LEFT($D10,1))),""))</f>
        <v/>
      </c>
      <c r="AL10" s="33">
        <f>IF(OR($E10="",$F10=""),"",IF(AND(AL$4&lt;=$F10,AL$4+6&gt;=$E10),IF($F10-$E10&lt;=2,"◆",IF($H10="Yes","X",LEFT($D10,1))),""))</f>
        <v/>
      </c>
      <c r="AM10" s="33">
        <f>IF(OR($E10="",$F10=""),"",IF(AND(AM$4&lt;=$F10,AM$4+6&gt;=$E10),IF($F10-$E10&lt;=2,"◆",IF($H10="Yes","X",LEFT($D10,1))),""))</f>
        <v/>
      </c>
      <c r="AN10" s="33">
        <f>IF(OR($E10="",$F10=""),"",IF(AND(AN$4&lt;=$F10,AN$4+6&gt;=$E10),IF($F10-$E10&lt;=2,"◆",IF($H10="Yes","X",LEFT($D10,1))),""))</f>
        <v/>
      </c>
      <c r="AO10" s="33">
        <f>IF(OR($E10="",$F10=""),"",IF(AND(AO$4&lt;=$F10,AO$4+6&gt;=$E10),IF($F10-$E10&lt;=2,"◆",IF($H10="Yes","X",LEFT($D10,1))),""))</f>
        <v/>
      </c>
      <c r="AP10" s="33">
        <f>IF(OR($E10="",$F10=""),"",IF(AND(AP$4&lt;=$F10,AP$4+6&gt;=$E10),IF($F10-$E10&lt;=2,"◆",IF($H10="Yes","X",LEFT($D10,1))),""))</f>
        <v/>
      </c>
      <c r="AQ10" s="33">
        <f>IF(OR($E10="",$F10=""),"",IF(AND(AQ$4&lt;=$F10,AQ$4+6&gt;=$E10),IF($F10-$E10&lt;=2,"◆",IF($H10="Yes","X",LEFT($D10,1))),""))</f>
        <v/>
      </c>
      <c r="AR10" s="33">
        <f>IF(OR($E10="",$F10=""),"",IF(AND(AR$4&lt;=$F10,AR$4+6&gt;=$E10),IF($F10-$E10&lt;=2,"◆",IF($H10="Yes","X",LEFT($D10,1))),""))</f>
        <v/>
      </c>
      <c r="AS10" s="33">
        <f>IF(OR($E10="",$F10=""),"",IF(AND(AS$4&lt;=$F10,AS$4+6&gt;=$E10),IF($F10-$E10&lt;=2,"◆",IF($H10="Yes","X",LEFT($D10,1))),""))</f>
        <v/>
      </c>
      <c r="AT10" s="33">
        <f>IF(OR($E10="",$F10=""),"",IF(AND(AT$4&lt;=$F10,AT$4+6&gt;=$E10),IF($F10-$E10&lt;=2,"◆",IF($H10="Yes","X",LEFT($D10,1))),""))</f>
        <v/>
      </c>
      <c r="AU10" s="33">
        <f>IF(OR($E10="",$F10=""),"",IF(AND(AU$4&lt;=$F10,AU$4+6&gt;=$E10),IF($F10-$E10&lt;=2,"◆",IF($H10="Yes","X",LEFT($D10,1))),""))</f>
        <v/>
      </c>
      <c r="AV10" s="33">
        <f>IF(OR($E10="",$F10=""),"",IF(AND(AV$4&lt;=$F10,AV$4+6&gt;=$E10),IF($F10-$E10&lt;=2,"◆",IF($H10="Yes","X",LEFT($D10,1))),""))</f>
        <v/>
      </c>
      <c r="AW10" s="33">
        <f>IF(OR($E10="",$F10=""),"",IF(AND(AW$4&lt;=$F10,AW$4+6&gt;=$E10),IF($F10-$E10&lt;=2,"◆",IF($H10="Yes","X",LEFT($D10,1))),""))</f>
        <v/>
      </c>
      <c r="AX10" s="33">
        <f>IF(OR($E10="",$F10=""),"",IF(AND(AX$4&lt;=$F10,AX$4+6&gt;=$E10),IF($F10-$E10&lt;=2,"◆",IF($H10="Yes","X",LEFT($D10,1))),""))</f>
        <v/>
      </c>
      <c r="AY10" s="33">
        <f>IF(OR($E10="",$F10=""),"",IF(AND(AY$4&lt;=$F10,AY$4+6&gt;=$E10),IF($F10-$E10&lt;=2,"◆",IF($H10="Yes","X",LEFT($D10,1))),""))</f>
        <v/>
      </c>
      <c r="AZ10" s="33">
        <f>IF(OR($E10="",$F10=""),"",IF(AND(AZ$4&lt;=$F10,AZ$4+6&gt;=$E10),IF($F10-$E10&lt;=2,"◆",IF($H10="Yes","X",LEFT($D10,1))),""))</f>
        <v/>
      </c>
      <c r="BA10" s="33">
        <f>IF(OR($E10="",$F10=""),"",IF(AND(BA$4&lt;=$F10,BA$4+6&gt;=$E10),IF($F10-$E10&lt;=2,"◆",IF($H10="Yes","X",LEFT($D10,1))),""))</f>
        <v/>
      </c>
      <c r="BB10" s="33">
        <f>IF(OR($E10="",$F10=""),"",IF(AND(BB$4&lt;=$F10,BB$4+6&gt;=$E10),IF($F10-$E10&lt;=2,"◆",IF($H10="Yes","X",LEFT($D10,1))),""))</f>
        <v/>
      </c>
      <c r="BC10" s="33">
        <f>IF(OR($E10="",$F10=""),"",IF(AND(BC$4&lt;=$F10,BC$4+6&gt;=$E10),IF($F10-$E10&lt;=2,"◆",IF($H10="Yes","X",LEFT($D10,1))),""))</f>
        <v/>
      </c>
      <c r="BD10" s="33">
        <f>IF(OR($E10="",$F10=""),"",IF(AND(BD$4&lt;=$F10,BD$4+6&gt;=$E10),IF($F10-$E10&lt;=2,"◆",IF($H10="Yes","X",LEFT($D10,1))),""))</f>
        <v/>
      </c>
      <c r="BE10" s="33">
        <f>IF(OR($E10="",$F10=""),"",IF(AND(BE$4&lt;=$F10,BE$4+6&gt;=$E10),IF($F10-$E10&lt;=2,"◆",IF($H10="Yes","X",LEFT($D10,1))),""))</f>
        <v/>
      </c>
      <c r="BF10" s="33">
        <f>IF(OR($E10="",$F10=""),"",IF(AND(BF$4&lt;=$F10,BF$4+6&gt;=$E10),IF($F10-$E10&lt;=2,"◆",IF($H10="Yes","X",LEFT($D10,1))),""))</f>
        <v/>
      </c>
      <c r="BG10" s="33">
        <f>IF(OR($E10="",$F10=""),"",IF(AND(BG$4&lt;=$F10,BG$4+6&gt;=$E10),IF($F10-$E10&lt;=2,"◆",IF($H10="Yes","X",LEFT($D10,1))),""))</f>
        <v/>
      </c>
      <c r="BH10" s="33">
        <f>IF(OR($E10="",$F10=""),"",IF(AND(BH$4&lt;=$F10,BH$4+6&gt;=$E10),IF($F10-$E10&lt;=2,"◆",IF($H10="Yes","X",LEFT($D10,1))),""))</f>
        <v/>
      </c>
      <c r="BI10" s="33">
        <f>IF(OR($E10="",$F10=""),"",IF(AND(BI$4&lt;=$F10,BI$4+6&gt;=$E10),IF($F10-$E10&lt;=2,"◆",IF($H10="Yes","X",LEFT($D10,1))),""))</f>
        <v/>
      </c>
    </row>
    <row r="11">
      <c r="A11" s="30" t="inlineStr">
        <is>
          <t>T-007</t>
        </is>
      </c>
      <c r="B11" s="30" t="inlineStr">
        <is>
          <t>Integrate the email validation service for Channel Smart 2.0(Roshni to check)</t>
        </is>
      </c>
      <c r="C11" s="30" t="inlineStr">
        <is>
          <t>MJ</t>
        </is>
      </c>
      <c r="D11" s="30" t="inlineStr">
        <is>
          <t>Not Started</t>
        </is>
      </c>
      <c r="E11" s="31" t="n">
        <v>46257</v>
      </c>
      <c r="F11" s="31" t="n">
        <v>46263</v>
      </c>
      <c r="G11" s="32" t="n">
        <v>0</v>
      </c>
      <c r="H11" s="30" t="inlineStr">
        <is>
          <t>No</t>
        </is>
      </c>
      <c r="I11" s="33">
        <f>IF(OR($E11="",$F11=""),"",IF(AND(I$4&lt;=$F11,I$4+6&gt;=$E11),IF($F11-$E11&lt;=2,"◆",IF($H11="Yes","X",LEFT($D11,1))),""))</f>
        <v/>
      </c>
      <c r="J11" s="33">
        <f>IF(OR($E11="",$F11=""),"",IF(AND(J$4&lt;=$F11,J$4+6&gt;=$E11),IF($F11-$E11&lt;=2,"◆",IF($H11="Yes","X",LEFT($D11,1))),""))</f>
        <v/>
      </c>
      <c r="K11" s="33">
        <f>IF(OR($E11="",$F11=""),"",IF(AND(K$4&lt;=$F11,K$4+6&gt;=$E11),IF($F11-$E11&lt;=2,"◆",IF($H11="Yes","X",LEFT($D11,1))),""))</f>
        <v/>
      </c>
      <c r="L11" s="33">
        <f>IF(OR($E11="",$F11=""),"",IF(AND(L$4&lt;=$F11,L$4+6&gt;=$E11),IF($F11-$E11&lt;=2,"◆",IF($H11="Yes","X",LEFT($D11,1))),""))</f>
        <v/>
      </c>
      <c r="M11" s="33">
        <f>IF(OR($E11="",$F11=""),"",IF(AND(M$4&lt;=$F11,M$4+6&gt;=$E11),IF($F11-$E11&lt;=2,"◆",IF($H11="Yes","X",LEFT($D11,1))),""))</f>
        <v/>
      </c>
      <c r="N11" s="33">
        <f>IF(OR($E11="",$F11=""),"",IF(AND(N$4&lt;=$F11,N$4+6&gt;=$E11),IF($F11-$E11&lt;=2,"◆",IF($H11="Yes","X",LEFT($D11,1))),""))</f>
        <v/>
      </c>
      <c r="O11" s="33">
        <f>IF(OR($E11="",$F11=""),"",IF(AND(O$4&lt;=$F11,O$4+6&gt;=$E11),IF($F11-$E11&lt;=2,"◆",IF($H11="Yes","X",LEFT($D11,1))),""))</f>
        <v/>
      </c>
      <c r="P11" s="33">
        <f>IF(OR($E11="",$F11=""),"",IF(AND(P$4&lt;=$F11,P$4+6&gt;=$E11),IF($F11-$E11&lt;=2,"◆",IF($H11="Yes","X",LEFT($D11,1))),""))</f>
        <v/>
      </c>
      <c r="Q11" s="33">
        <f>IF(OR($E11="",$F11=""),"",IF(AND(Q$4&lt;=$F11,Q$4+6&gt;=$E11),IF($F11-$E11&lt;=2,"◆",IF($H11="Yes","X",LEFT($D11,1))),""))</f>
        <v/>
      </c>
      <c r="R11" s="33">
        <f>IF(OR($E11="",$F11=""),"",IF(AND(R$4&lt;=$F11,R$4+6&gt;=$E11),IF($F11-$E11&lt;=2,"◆",IF($H11="Yes","X",LEFT($D11,1))),""))</f>
        <v/>
      </c>
      <c r="S11" s="33">
        <f>IF(OR($E11="",$F11=""),"",IF(AND(S$4&lt;=$F11,S$4+6&gt;=$E11),IF($F11-$E11&lt;=2,"◆",IF($H11="Yes","X",LEFT($D11,1))),""))</f>
        <v/>
      </c>
      <c r="T11" s="33">
        <f>IF(OR($E11="",$F11=""),"",IF(AND(T$4&lt;=$F11,T$4+6&gt;=$E11),IF($F11-$E11&lt;=2,"◆",IF($H11="Yes","X",LEFT($D11,1))),""))</f>
        <v/>
      </c>
      <c r="U11" s="33">
        <f>IF(OR($E11="",$F11=""),"",IF(AND(U$4&lt;=$F11,U$4+6&gt;=$E11),IF($F11-$E11&lt;=2,"◆",IF($H11="Yes","X",LEFT($D11,1))),""))</f>
        <v/>
      </c>
      <c r="V11" s="33">
        <f>IF(OR($E11="",$F11=""),"",IF(AND(V$4&lt;=$F11,V$4+6&gt;=$E11),IF($F11-$E11&lt;=2,"◆",IF($H11="Yes","X",LEFT($D11,1))),""))</f>
        <v/>
      </c>
      <c r="W11" s="33">
        <f>IF(OR($E11="",$F11=""),"",IF(AND(W$4&lt;=$F11,W$4+6&gt;=$E11),IF($F11-$E11&lt;=2,"◆",IF($H11="Yes","X",LEFT($D11,1))),""))</f>
        <v/>
      </c>
      <c r="X11" s="33">
        <f>IF(OR($E11="",$F11=""),"",IF(AND(X$4&lt;=$F11,X$4+6&gt;=$E11),IF($F11-$E11&lt;=2,"◆",IF($H11="Yes","X",LEFT($D11,1))),""))</f>
        <v/>
      </c>
      <c r="Y11" s="33">
        <f>IF(OR($E11="",$F11=""),"",IF(AND(Y$4&lt;=$F11,Y$4+6&gt;=$E11),IF($F11-$E11&lt;=2,"◆",IF($H11="Yes","X",LEFT($D11,1))),""))</f>
        <v/>
      </c>
      <c r="Z11" s="33">
        <f>IF(OR($E11="",$F11=""),"",IF(AND(Z$4&lt;=$F11,Z$4+6&gt;=$E11),IF($F11-$E11&lt;=2,"◆",IF($H11="Yes","X",LEFT($D11,1))),""))</f>
        <v/>
      </c>
      <c r="AA11" s="33">
        <f>IF(OR($E11="",$F11=""),"",IF(AND(AA$4&lt;=$F11,AA$4+6&gt;=$E11),IF($F11-$E11&lt;=2,"◆",IF($H11="Yes","X",LEFT($D11,1))),""))</f>
        <v/>
      </c>
      <c r="AB11" s="33">
        <f>IF(OR($E11="",$F11=""),"",IF(AND(AB$4&lt;=$F11,AB$4+6&gt;=$E11),IF($F11-$E11&lt;=2,"◆",IF($H11="Yes","X",LEFT($D11,1))),""))</f>
        <v/>
      </c>
      <c r="AC11" s="33">
        <f>IF(OR($E11="",$F11=""),"",IF(AND(AC$4&lt;=$F11,AC$4+6&gt;=$E11),IF($F11-$E11&lt;=2,"◆",IF($H11="Yes","X",LEFT($D11,1))),""))</f>
        <v/>
      </c>
      <c r="AD11" s="33">
        <f>IF(OR($E11="",$F11=""),"",IF(AND(AD$4&lt;=$F11,AD$4+6&gt;=$E11),IF($F11-$E11&lt;=2,"◆",IF($H11="Yes","X",LEFT($D11,1))),""))</f>
        <v/>
      </c>
      <c r="AE11" s="33">
        <f>IF(OR($E11="",$F11=""),"",IF(AND(AE$4&lt;=$F11,AE$4+6&gt;=$E11),IF($F11-$E11&lt;=2,"◆",IF($H11="Yes","X",LEFT($D11,1))),""))</f>
        <v/>
      </c>
      <c r="AF11" s="33">
        <f>IF(OR($E11="",$F11=""),"",IF(AND(AF$4&lt;=$F11,AF$4+6&gt;=$E11),IF($F11-$E11&lt;=2,"◆",IF($H11="Yes","X",LEFT($D11,1))),""))</f>
        <v/>
      </c>
      <c r="AG11" s="33">
        <f>IF(OR($E11="",$F11=""),"",IF(AND(AG$4&lt;=$F11,AG$4+6&gt;=$E11),IF($F11-$E11&lt;=2,"◆",IF($H11="Yes","X",LEFT($D11,1))),""))</f>
        <v/>
      </c>
      <c r="AH11" s="33">
        <f>IF(OR($E11="",$F11=""),"",IF(AND(AH$4&lt;=$F11,AH$4+6&gt;=$E11),IF($F11-$E11&lt;=2,"◆",IF($H11="Yes","X",LEFT($D11,1))),""))</f>
        <v/>
      </c>
      <c r="AI11" s="33">
        <f>IF(OR($E11="",$F11=""),"",IF(AND(AI$4&lt;=$F11,AI$4+6&gt;=$E11),IF($F11-$E11&lt;=2,"◆",IF($H11="Yes","X",LEFT($D11,1))),""))</f>
        <v/>
      </c>
      <c r="AJ11" s="33">
        <f>IF(OR($E11="",$F11=""),"",IF(AND(AJ$4&lt;=$F11,AJ$4+6&gt;=$E11),IF($F11-$E11&lt;=2,"◆",IF($H11="Yes","X",LEFT($D11,1))),""))</f>
        <v/>
      </c>
      <c r="AK11" s="33">
        <f>IF(OR($E11="",$F11=""),"",IF(AND(AK$4&lt;=$F11,AK$4+6&gt;=$E11),IF($F11-$E11&lt;=2,"◆",IF($H11="Yes","X",LEFT($D11,1))),""))</f>
        <v/>
      </c>
      <c r="AL11" s="33">
        <f>IF(OR($E11="",$F11=""),"",IF(AND(AL$4&lt;=$F11,AL$4+6&gt;=$E11),IF($F11-$E11&lt;=2,"◆",IF($H11="Yes","X",LEFT($D11,1))),""))</f>
        <v/>
      </c>
      <c r="AM11" s="33">
        <f>IF(OR($E11="",$F11=""),"",IF(AND(AM$4&lt;=$F11,AM$4+6&gt;=$E11),IF($F11-$E11&lt;=2,"◆",IF($H11="Yes","X",LEFT($D11,1))),""))</f>
        <v/>
      </c>
      <c r="AN11" s="33">
        <f>IF(OR($E11="",$F11=""),"",IF(AND(AN$4&lt;=$F11,AN$4+6&gt;=$E11),IF($F11-$E11&lt;=2,"◆",IF($H11="Yes","X",LEFT($D11,1))),""))</f>
        <v/>
      </c>
      <c r="AO11" s="33">
        <f>IF(OR($E11="",$F11=""),"",IF(AND(AO$4&lt;=$F11,AO$4+6&gt;=$E11),IF($F11-$E11&lt;=2,"◆",IF($H11="Yes","X",LEFT($D11,1))),""))</f>
        <v/>
      </c>
      <c r="AP11" s="33">
        <f>IF(OR($E11="",$F11=""),"",IF(AND(AP$4&lt;=$F11,AP$4+6&gt;=$E11),IF($F11-$E11&lt;=2,"◆",IF($H11="Yes","X",LEFT($D11,1))),""))</f>
        <v/>
      </c>
      <c r="AQ11" s="33">
        <f>IF(OR($E11="",$F11=""),"",IF(AND(AQ$4&lt;=$F11,AQ$4+6&gt;=$E11),IF($F11-$E11&lt;=2,"◆",IF($H11="Yes","X",LEFT($D11,1))),""))</f>
        <v/>
      </c>
      <c r="AR11" s="33">
        <f>IF(OR($E11="",$F11=""),"",IF(AND(AR$4&lt;=$F11,AR$4+6&gt;=$E11),IF($F11-$E11&lt;=2,"◆",IF($H11="Yes","X",LEFT($D11,1))),""))</f>
        <v/>
      </c>
      <c r="AS11" s="33">
        <f>IF(OR($E11="",$F11=""),"",IF(AND(AS$4&lt;=$F11,AS$4+6&gt;=$E11),IF($F11-$E11&lt;=2,"◆",IF($H11="Yes","X",LEFT($D11,1))),""))</f>
        <v/>
      </c>
      <c r="AT11" s="33">
        <f>IF(OR($E11="",$F11=""),"",IF(AND(AT$4&lt;=$F11,AT$4+6&gt;=$E11),IF($F11-$E11&lt;=2,"◆",IF($H11="Yes","X",LEFT($D11,1))),""))</f>
        <v/>
      </c>
      <c r="AU11" s="33">
        <f>IF(OR($E11="",$F11=""),"",IF(AND(AU$4&lt;=$F11,AU$4+6&gt;=$E11),IF($F11-$E11&lt;=2,"◆",IF($H11="Yes","X",LEFT($D11,1))),""))</f>
        <v/>
      </c>
      <c r="AV11" s="33">
        <f>IF(OR($E11="",$F11=""),"",IF(AND(AV$4&lt;=$F11,AV$4+6&gt;=$E11),IF($F11-$E11&lt;=2,"◆",IF($H11="Yes","X",LEFT($D11,1))),""))</f>
        <v/>
      </c>
      <c r="AW11" s="33">
        <f>IF(OR($E11="",$F11=""),"",IF(AND(AW$4&lt;=$F11,AW$4+6&gt;=$E11),IF($F11-$E11&lt;=2,"◆",IF($H11="Yes","X",LEFT($D11,1))),""))</f>
        <v/>
      </c>
      <c r="AX11" s="33">
        <f>IF(OR($E11="",$F11=""),"",IF(AND(AX$4&lt;=$F11,AX$4+6&gt;=$E11),IF($F11-$E11&lt;=2,"◆",IF($H11="Yes","X",LEFT($D11,1))),""))</f>
        <v/>
      </c>
      <c r="AY11" s="33">
        <f>IF(OR($E11="",$F11=""),"",IF(AND(AY$4&lt;=$F11,AY$4+6&gt;=$E11),IF($F11-$E11&lt;=2,"◆",IF($H11="Yes","X",LEFT($D11,1))),""))</f>
        <v/>
      </c>
      <c r="AZ11" s="33">
        <f>IF(OR($E11="",$F11=""),"",IF(AND(AZ$4&lt;=$F11,AZ$4+6&gt;=$E11),IF($F11-$E11&lt;=2,"◆",IF($H11="Yes","X",LEFT($D11,1))),""))</f>
        <v/>
      </c>
      <c r="BA11" s="33">
        <f>IF(OR($E11="",$F11=""),"",IF(AND(BA$4&lt;=$F11,BA$4+6&gt;=$E11),IF($F11-$E11&lt;=2,"◆",IF($H11="Yes","X",LEFT($D11,1))),""))</f>
        <v/>
      </c>
      <c r="BB11" s="33">
        <f>IF(OR($E11="",$F11=""),"",IF(AND(BB$4&lt;=$F11,BB$4+6&gt;=$E11),IF($F11-$E11&lt;=2,"◆",IF($H11="Yes","X",LEFT($D11,1))),""))</f>
        <v/>
      </c>
      <c r="BC11" s="33">
        <f>IF(OR($E11="",$F11=""),"",IF(AND(BC$4&lt;=$F11,BC$4+6&gt;=$E11),IF($F11-$E11&lt;=2,"◆",IF($H11="Yes","X",LEFT($D11,1))),""))</f>
        <v/>
      </c>
      <c r="BD11" s="33">
        <f>IF(OR($E11="",$F11=""),"",IF(AND(BD$4&lt;=$F11,BD$4+6&gt;=$E11),IF($F11-$E11&lt;=2,"◆",IF($H11="Yes","X",LEFT($D11,1))),""))</f>
        <v/>
      </c>
      <c r="BE11" s="33">
        <f>IF(OR($E11="",$F11=""),"",IF(AND(BE$4&lt;=$F11,BE$4+6&gt;=$E11),IF($F11-$E11&lt;=2,"◆",IF($H11="Yes","X",LEFT($D11,1))),""))</f>
        <v/>
      </c>
      <c r="BF11" s="33">
        <f>IF(OR($E11="",$F11=""),"",IF(AND(BF$4&lt;=$F11,BF$4+6&gt;=$E11),IF($F11-$E11&lt;=2,"◆",IF($H11="Yes","X",LEFT($D11,1))),""))</f>
        <v/>
      </c>
      <c r="BG11" s="33">
        <f>IF(OR($E11="",$F11=""),"",IF(AND(BG$4&lt;=$F11,BG$4+6&gt;=$E11),IF($F11-$E11&lt;=2,"◆",IF($H11="Yes","X",LEFT($D11,1))),""))</f>
        <v/>
      </c>
      <c r="BH11" s="33">
        <f>IF(OR($E11="",$F11=""),"",IF(AND(BH$4&lt;=$F11,BH$4+6&gt;=$E11),IF($F11-$E11&lt;=2,"◆",IF($H11="Yes","X",LEFT($D11,1))),""))</f>
        <v/>
      </c>
      <c r="BI11" s="33">
        <f>IF(OR($E11="",$F11=""),"",IF(AND(BI$4&lt;=$F11,BI$4+6&gt;=$E11),IF($F11-$E11&lt;=2,"◆",IF($H11="Yes","X",LEFT($D11,1))),""))</f>
        <v/>
      </c>
    </row>
    <row r="12">
      <c r="A12" s="30" t="inlineStr">
        <is>
          <t>T-008</t>
        </is>
      </c>
      <c r="B12" s="30" t="inlineStr">
        <is>
          <t>Build Unsubscribe feature for all the promotional emails(Roshni to check)</t>
        </is>
      </c>
      <c r="C12" s="30" t="inlineStr">
        <is>
          <t>MJ</t>
        </is>
      </c>
      <c r="D12" s="30" t="inlineStr">
        <is>
          <t>Not Started</t>
        </is>
      </c>
      <c r="E12" s="31" t="n">
        <v>46260</v>
      </c>
      <c r="F12" s="31" t="n">
        <v>46269</v>
      </c>
      <c r="G12" s="32" t="n">
        <v>0</v>
      </c>
      <c r="H12" s="30" t="inlineStr">
        <is>
          <t>No</t>
        </is>
      </c>
      <c r="I12" s="33">
        <f>IF(OR($E12="",$F12=""),"",IF(AND(I$4&lt;=$F12,I$4+6&gt;=$E12),IF($F12-$E12&lt;=2,"◆",IF($H12="Yes","X",LEFT($D12,1))),""))</f>
        <v/>
      </c>
      <c r="J12" s="33">
        <f>IF(OR($E12="",$F12=""),"",IF(AND(J$4&lt;=$F12,J$4+6&gt;=$E12),IF($F12-$E12&lt;=2,"◆",IF($H12="Yes","X",LEFT($D12,1))),""))</f>
        <v/>
      </c>
      <c r="K12" s="33">
        <f>IF(OR($E12="",$F12=""),"",IF(AND(K$4&lt;=$F12,K$4+6&gt;=$E12),IF($F12-$E12&lt;=2,"◆",IF($H12="Yes","X",LEFT($D12,1))),""))</f>
        <v/>
      </c>
      <c r="L12" s="33">
        <f>IF(OR($E12="",$F12=""),"",IF(AND(L$4&lt;=$F12,L$4+6&gt;=$E12),IF($F12-$E12&lt;=2,"◆",IF($H12="Yes","X",LEFT($D12,1))),""))</f>
        <v/>
      </c>
      <c r="M12" s="33">
        <f>IF(OR($E12="",$F12=""),"",IF(AND(M$4&lt;=$F12,M$4+6&gt;=$E12),IF($F12-$E12&lt;=2,"◆",IF($H12="Yes","X",LEFT($D12,1))),""))</f>
        <v/>
      </c>
      <c r="N12" s="33">
        <f>IF(OR($E12="",$F12=""),"",IF(AND(N$4&lt;=$F12,N$4+6&gt;=$E12),IF($F12-$E12&lt;=2,"◆",IF($H12="Yes","X",LEFT($D12,1))),""))</f>
        <v/>
      </c>
      <c r="O12" s="33">
        <f>IF(OR($E12="",$F12=""),"",IF(AND(O$4&lt;=$F12,O$4+6&gt;=$E12),IF($F12-$E12&lt;=2,"◆",IF($H12="Yes","X",LEFT($D12,1))),""))</f>
        <v/>
      </c>
      <c r="P12" s="33">
        <f>IF(OR($E12="",$F12=""),"",IF(AND(P$4&lt;=$F12,P$4+6&gt;=$E12),IF($F12-$E12&lt;=2,"◆",IF($H12="Yes","X",LEFT($D12,1))),""))</f>
        <v/>
      </c>
      <c r="Q12" s="33">
        <f>IF(OR($E12="",$F12=""),"",IF(AND(Q$4&lt;=$F12,Q$4+6&gt;=$E12),IF($F12-$E12&lt;=2,"◆",IF($H12="Yes","X",LEFT($D12,1))),""))</f>
        <v/>
      </c>
      <c r="R12" s="33">
        <f>IF(OR($E12="",$F12=""),"",IF(AND(R$4&lt;=$F12,R$4+6&gt;=$E12),IF($F12-$E12&lt;=2,"◆",IF($H12="Yes","X",LEFT($D12,1))),""))</f>
        <v/>
      </c>
      <c r="S12" s="33">
        <f>IF(OR($E12="",$F12=""),"",IF(AND(S$4&lt;=$F12,S$4+6&gt;=$E12),IF($F12-$E12&lt;=2,"◆",IF($H12="Yes","X",LEFT($D12,1))),""))</f>
        <v/>
      </c>
      <c r="T12" s="33">
        <f>IF(OR($E12="",$F12=""),"",IF(AND(T$4&lt;=$F12,T$4+6&gt;=$E12),IF($F12-$E12&lt;=2,"◆",IF($H12="Yes","X",LEFT($D12,1))),""))</f>
        <v/>
      </c>
      <c r="U12" s="33">
        <f>IF(OR($E12="",$F12=""),"",IF(AND(U$4&lt;=$F12,U$4+6&gt;=$E12),IF($F12-$E12&lt;=2,"◆",IF($H12="Yes","X",LEFT($D12,1))),""))</f>
        <v/>
      </c>
      <c r="V12" s="33">
        <f>IF(OR($E12="",$F12=""),"",IF(AND(V$4&lt;=$F12,V$4+6&gt;=$E12),IF($F12-$E12&lt;=2,"◆",IF($H12="Yes","X",LEFT($D12,1))),""))</f>
        <v/>
      </c>
      <c r="W12" s="33">
        <f>IF(OR($E12="",$F12=""),"",IF(AND(W$4&lt;=$F12,W$4+6&gt;=$E12),IF($F12-$E12&lt;=2,"◆",IF($H12="Yes","X",LEFT($D12,1))),""))</f>
        <v/>
      </c>
      <c r="X12" s="33">
        <f>IF(OR($E12="",$F12=""),"",IF(AND(X$4&lt;=$F12,X$4+6&gt;=$E12),IF($F12-$E12&lt;=2,"◆",IF($H12="Yes","X",LEFT($D12,1))),""))</f>
        <v/>
      </c>
      <c r="Y12" s="33">
        <f>IF(OR($E12="",$F12=""),"",IF(AND(Y$4&lt;=$F12,Y$4+6&gt;=$E12),IF($F12-$E12&lt;=2,"◆",IF($H12="Yes","X",LEFT($D12,1))),""))</f>
        <v/>
      </c>
      <c r="Z12" s="33">
        <f>IF(OR($E12="",$F12=""),"",IF(AND(Z$4&lt;=$F12,Z$4+6&gt;=$E12),IF($F12-$E12&lt;=2,"◆",IF($H12="Yes","X",LEFT($D12,1))),""))</f>
        <v/>
      </c>
      <c r="AA12" s="33">
        <f>IF(OR($E12="",$F12=""),"",IF(AND(AA$4&lt;=$F12,AA$4+6&gt;=$E12),IF($F12-$E12&lt;=2,"◆",IF($H12="Yes","X",LEFT($D12,1))),""))</f>
        <v/>
      </c>
      <c r="AB12" s="33">
        <f>IF(OR($E12="",$F12=""),"",IF(AND(AB$4&lt;=$F12,AB$4+6&gt;=$E12),IF($F12-$E12&lt;=2,"◆",IF($H12="Yes","X",LEFT($D12,1))),""))</f>
        <v/>
      </c>
      <c r="AC12" s="33">
        <f>IF(OR($E12="",$F12=""),"",IF(AND(AC$4&lt;=$F12,AC$4+6&gt;=$E12),IF($F12-$E12&lt;=2,"◆",IF($H12="Yes","X",LEFT($D12,1))),""))</f>
        <v/>
      </c>
      <c r="AD12" s="33">
        <f>IF(OR($E12="",$F12=""),"",IF(AND(AD$4&lt;=$F12,AD$4+6&gt;=$E12),IF($F12-$E12&lt;=2,"◆",IF($H12="Yes","X",LEFT($D12,1))),""))</f>
        <v/>
      </c>
      <c r="AE12" s="33">
        <f>IF(OR($E12="",$F12=""),"",IF(AND(AE$4&lt;=$F12,AE$4+6&gt;=$E12),IF($F12-$E12&lt;=2,"◆",IF($H12="Yes","X",LEFT($D12,1))),""))</f>
        <v/>
      </c>
      <c r="AF12" s="33">
        <f>IF(OR($E12="",$F12=""),"",IF(AND(AF$4&lt;=$F12,AF$4+6&gt;=$E12),IF($F12-$E12&lt;=2,"◆",IF($H12="Yes","X",LEFT($D12,1))),""))</f>
        <v/>
      </c>
      <c r="AG12" s="33">
        <f>IF(OR($E12="",$F12=""),"",IF(AND(AG$4&lt;=$F12,AG$4+6&gt;=$E12),IF($F12-$E12&lt;=2,"◆",IF($H12="Yes","X",LEFT($D12,1))),""))</f>
        <v/>
      </c>
      <c r="AH12" s="33">
        <f>IF(OR($E12="",$F12=""),"",IF(AND(AH$4&lt;=$F12,AH$4+6&gt;=$E12),IF($F12-$E12&lt;=2,"◆",IF($H12="Yes","X",LEFT($D12,1))),""))</f>
        <v/>
      </c>
      <c r="AI12" s="33">
        <f>IF(OR($E12="",$F12=""),"",IF(AND(AI$4&lt;=$F12,AI$4+6&gt;=$E12),IF($F12-$E12&lt;=2,"◆",IF($H12="Yes","X",LEFT($D12,1))),""))</f>
        <v/>
      </c>
      <c r="AJ12" s="33">
        <f>IF(OR($E12="",$F12=""),"",IF(AND(AJ$4&lt;=$F12,AJ$4+6&gt;=$E12),IF($F12-$E12&lt;=2,"◆",IF($H12="Yes","X",LEFT($D12,1))),""))</f>
        <v/>
      </c>
      <c r="AK12" s="33">
        <f>IF(OR($E12="",$F12=""),"",IF(AND(AK$4&lt;=$F12,AK$4+6&gt;=$E12),IF($F12-$E12&lt;=2,"◆",IF($H12="Yes","X",LEFT($D12,1))),""))</f>
        <v/>
      </c>
      <c r="AL12" s="33">
        <f>IF(OR($E12="",$F12=""),"",IF(AND(AL$4&lt;=$F12,AL$4+6&gt;=$E12),IF($F12-$E12&lt;=2,"◆",IF($H12="Yes","X",LEFT($D12,1))),""))</f>
        <v/>
      </c>
      <c r="AM12" s="33">
        <f>IF(OR($E12="",$F12=""),"",IF(AND(AM$4&lt;=$F12,AM$4+6&gt;=$E12),IF($F12-$E12&lt;=2,"◆",IF($H12="Yes","X",LEFT($D12,1))),""))</f>
        <v/>
      </c>
      <c r="AN12" s="33">
        <f>IF(OR($E12="",$F12=""),"",IF(AND(AN$4&lt;=$F12,AN$4+6&gt;=$E12),IF($F12-$E12&lt;=2,"◆",IF($H12="Yes","X",LEFT($D12,1))),""))</f>
        <v/>
      </c>
      <c r="AO12" s="33">
        <f>IF(OR($E12="",$F12=""),"",IF(AND(AO$4&lt;=$F12,AO$4+6&gt;=$E12),IF($F12-$E12&lt;=2,"◆",IF($H12="Yes","X",LEFT($D12,1))),""))</f>
        <v/>
      </c>
      <c r="AP12" s="33">
        <f>IF(OR($E12="",$F12=""),"",IF(AND(AP$4&lt;=$F12,AP$4+6&gt;=$E12),IF($F12-$E12&lt;=2,"◆",IF($H12="Yes","X",LEFT($D12,1))),""))</f>
        <v/>
      </c>
      <c r="AQ12" s="33">
        <f>IF(OR($E12="",$F12=""),"",IF(AND(AQ$4&lt;=$F12,AQ$4+6&gt;=$E12),IF($F12-$E12&lt;=2,"◆",IF($H12="Yes","X",LEFT($D12,1))),""))</f>
        <v/>
      </c>
      <c r="AR12" s="33">
        <f>IF(OR($E12="",$F12=""),"",IF(AND(AR$4&lt;=$F12,AR$4+6&gt;=$E12),IF($F12-$E12&lt;=2,"◆",IF($H12="Yes","X",LEFT($D12,1))),""))</f>
        <v/>
      </c>
      <c r="AS12" s="33">
        <f>IF(OR($E12="",$F12=""),"",IF(AND(AS$4&lt;=$F12,AS$4+6&gt;=$E12),IF($F12-$E12&lt;=2,"◆",IF($H12="Yes","X",LEFT($D12,1))),""))</f>
        <v/>
      </c>
      <c r="AT12" s="33">
        <f>IF(OR($E12="",$F12=""),"",IF(AND(AT$4&lt;=$F12,AT$4+6&gt;=$E12),IF($F12-$E12&lt;=2,"◆",IF($H12="Yes","X",LEFT($D12,1))),""))</f>
        <v/>
      </c>
      <c r="AU12" s="33">
        <f>IF(OR($E12="",$F12=""),"",IF(AND(AU$4&lt;=$F12,AU$4+6&gt;=$E12),IF($F12-$E12&lt;=2,"◆",IF($H12="Yes","X",LEFT($D12,1))),""))</f>
        <v/>
      </c>
      <c r="AV12" s="33">
        <f>IF(OR($E12="",$F12=""),"",IF(AND(AV$4&lt;=$F12,AV$4+6&gt;=$E12),IF($F12-$E12&lt;=2,"◆",IF($H12="Yes","X",LEFT($D12,1))),""))</f>
        <v/>
      </c>
      <c r="AW12" s="33">
        <f>IF(OR($E12="",$F12=""),"",IF(AND(AW$4&lt;=$F12,AW$4+6&gt;=$E12),IF($F12-$E12&lt;=2,"◆",IF($H12="Yes","X",LEFT($D12,1))),""))</f>
        <v/>
      </c>
      <c r="AX12" s="33">
        <f>IF(OR($E12="",$F12=""),"",IF(AND(AX$4&lt;=$F12,AX$4+6&gt;=$E12),IF($F12-$E12&lt;=2,"◆",IF($H12="Yes","X",LEFT($D12,1))),""))</f>
        <v/>
      </c>
      <c r="AY12" s="33">
        <f>IF(OR($E12="",$F12=""),"",IF(AND(AY$4&lt;=$F12,AY$4+6&gt;=$E12),IF($F12-$E12&lt;=2,"◆",IF($H12="Yes","X",LEFT($D12,1))),""))</f>
        <v/>
      </c>
      <c r="AZ12" s="33">
        <f>IF(OR($E12="",$F12=""),"",IF(AND(AZ$4&lt;=$F12,AZ$4+6&gt;=$E12),IF($F12-$E12&lt;=2,"◆",IF($H12="Yes","X",LEFT($D12,1))),""))</f>
        <v/>
      </c>
      <c r="BA12" s="33">
        <f>IF(OR($E12="",$F12=""),"",IF(AND(BA$4&lt;=$F12,BA$4+6&gt;=$E12),IF($F12-$E12&lt;=2,"◆",IF($H12="Yes","X",LEFT($D12,1))),""))</f>
        <v/>
      </c>
      <c r="BB12" s="33">
        <f>IF(OR($E12="",$F12=""),"",IF(AND(BB$4&lt;=$F12,BB$4+6&gt;=$E12),IF($F12-$E12&lt;=2,"◆",IF($H12="Yes","X",LEFT($D12,1))),""))</f>
        <v/>
      </c>
      <c r="BC12" s="33">
        <f>IF(OR($E12="",$F12=""),"",IF(AND(BC$4&lt;=$F12,BC$4+6&gt;=$E12),IF($F12-$E12&lt;=2,"◆",IF($H12="Yes","X",LEFT($D12,1))),""))</f>
        <v/>
      </c>
      <c r="BD12" s="33">
        <f>IF(OR($E12="",$F12=""),"",IF(AND(BD$4&lt;=$F12,BD$4+6&gt;=$E12),IF($F12-$E12&lt;=2,"◆",IF($H12="Yes","X",LEFT($D12,1))),""))</f>
        <v/>
      </c>
      <c r="BE12" s="33">
        <f>IF(OR($E12="",$F12=""),"",IF(AND(BE$4&lt;=$F12,BE$4+6&gt;=$E12),IF($F12-$E12&lt;=2,"◆",IF($H12="Yes","X",LEFT($D12,1))),""))</f>
        <v/>
      </c>
      <c r="BF12" s="33">
        <f>IF(OR($E12="",$F12=""),"",IF(AND(BF$4&lt;=$F12,BF$4+6&gt;=$E12),IF($F12-$E12&lt;=2,"◆",IF($H12="Yes","X",LEFT($D12,1))),""))</f>
        <v/>
      </c>
      <c r="BG12" s="33">
        <f>IF(OR($E12="",$F12=""),"",IF(AND(BG$4&lt;=$F12,BG$4+6&gt;=$E12),IF($F12-$E12&lt;=2,"◆",IF($H12="Yes","X",LEFT($D12,1))),""))</f>
        <v/>
      </c>
      <c r="BH12" s="33">
        <f>IF(OR($E12="",$F12=""),"",IF(AND(BH$4&lt;=$F12,BH$4+6&gt;=$E12),IF($F12-$E12&lt;=2,"◆",IF($H12="Yes","X",LEFT($D12,1))),""))</f>
        <v/>
      </c>
      <c r="BI12" s="33">
        <f>IF(OR($E12="",$F12=""),"",IF(AND(BI$4&lt;=$F12,BI$4+6&gt;=$E12),IF($F12-$E12&lt;=2,"◆",IF($H12="Yes","X",LEFT($D12,1))),""))</f>
        <v/>
      </c>
    </row>
    <row r="13">
      <c r="A13" s="30" t="inlineStr">
        <is>
          <t>T-009</t>
        </is>
      </c>
      <c r="B13" s="30" t="inlineStr">
        <is>
          <t>ERP Connerctor Service(Saleforce)</t>
        </is>
      </c>
      <c r="C13" s="30" t="inlineStr">
        <is>
          <t>MJ</t>
        </is>
      </c>
      <c r="D13" s="30" t="inlineStr">
        <is>
          <t>Not Started</t>
        </is>
      </c>
      <c r="E13" s="31" t="n">
        <v>46204</v>
      </c>
      <c r="F13" s="31" t="n">
        <v>46261</v>
      </c>
      <c r="G13" s="32" t="n">
        <v>0</v>
      </c>
      <c r="H13" s="30" t="inlineStr">
        <is>
          <t>No</t>
        </is>
      </c>
      <c r="I13" s="33">
        <f>IF(OR($E13="",$F13=""),"",IF(AND(I$4&lt;=$F13,I$4+6&gt;=$E13),IF($F13-$E13&lt;=2,"◆",IF($H13="Yes","X",LEFT($D13,1))),""))</f>
        <v/>
      </c>
      <c r="J13" s="33">
        <f>IF(OR($E13="",$F13=""),"",IF(AND(J$4&lt;=$F13,J$4+6&gt;=$E13),IF($F13-$E13&lt;=2,"◆",IF($H13="Yes","X",LEFT($D13,1))),""))</f>
        <v/>
      </c>
      <c r="K13" s="33">
        <f>IF(OR($E13="",$F13=""),"",IF(AND(K$4&lt;=$F13,K$4+6&gt;=$E13),IF($F13-$E13&lt;=2,"◆",IF($H13="Yes","X",LEFT($D13,1))),""))</f>
        <v/>
      </c>
      <c r="L13" s="33">
        <f>IF(OR($E13="",$F13=""),"",IF(AND(L$4&lt;=$F13,L$4+6&gt;=$E13),IF($F13-$E13&lt;=2,"◆",IF($H13="Yes","X",LEFT($D13,1))),""))</f>
        <v/>
      </c>
      <c r="M13" s="33">
        <f>IF(OR($E13="",$F13=""),"",IF(AND(M$4&lt;=$F13,M$4+6&gt;=$E13),IF($F13-$E13&lt;=2,"◆",IF($H13="Yes","X",LEFT($D13,1))),""))</f>
        <v/>
      </c>
      <c r="N13" s="33">
        <f>IF(OR($E13="",$F13=""),"",IF(AND(N$4&lt;=$F13,N$4+6&gt;=$E13),IF($F13-$E13&lt;=2,"◆",IF($H13="Yes","X",LEFT($D13,1))),""))</f>
        <v/>
      </c>
      <c r="O13" s="33">
        <f>IF(OR($E13="",$F13=""),"",IF(AND(O$4&lt;=$F13,O$4+6&gt;=$E13),IF($F13-$E13&lt;=2,"◆",IF($H13="Yes","X",LEFT($D13,1))),""))</f>
        <v/>
      </c>
      <c r="P13" s="33">
        <f>IF(OR($E13="",$F13=""),"",IF(AND(P$4&lt;=$F13,P$4+6&gt;=$E13),IF($F13-$E13&lt;=2,"◆",IF($H13="Yes","X",LEFT($D13,1))),""))</f>
        <v/>
      </c>
      <c r="Q13" s="33">
        <f>IF(OR($E13="",$F13=""),"",IF(AND(Q$4&lt;=$F13,Q$4+6&gt;=$E13),IF($F13-$E13&lt;=2,"◆",IF($H13="Yes","X",LEFT($D13,1))),""))</f>
        <v/>
      </c>
      <c r="R13" s="33">
        <f>IF(OR($E13="",$F13=""),"",IF(AND(R$4&lt;=$F13,R$4+6&gt;=$E13),IF($F13-$E13&lt;=2,"◆",IF($H13="Yes","X",LEFT($D13,1))),""))</f>
        <v/>
      </c>
      <c r="S13" s="33">
        <f>IF(OR($E13="",$F13=""),"",IF(AND(S$4&lt;=$F13,S$4+6&gt;=$E13),IF($F13-$E13&lt;=2,"◆",IF($H13="Yes","X",LEFT($D13,1))),""))</f>
        <v/>
      </c>
      <c r="T13" s="33">
        <f>IF(OR($E13="",$F13=""),"",IF(AND(T$4&lt;=$F13,T$4+6&gt;=$E13),IF($F13-$E13&lt;=2,"◆",IF($H13="Yes","X",LEFT($D13,1))),""))</f>
        <v/>
      </c>
      <c r="U13" s="33">
        <f>IF(OR($E13="",$F13=""),"",IF(AND(U$4&lt;=$F13,U$4+6&gt;=$E13),IF($F13-$E13&lt;=2,"◆",IF($H13="Yes","X",LEFT($D13,1))),""))</f>
        <v/>
      </c>
      <c r="V13" s="33">
        <f>IF(OR($E13="",$F13=""),"",IF(AND(V$4&lt;=$F13,V$4+6&gt;=$E13),IF($F13-$E13&lt;=2,"◆",IF($H13="Yes","X",LEFT($D13,1))),""))</f>
        <v/>
      </c>
      <c r="W13" s="33">
        <f>IF(OR($E13="",$F13=""),"",IF(AND(W$4&lt;=$F13,W$4+6&gt;=$E13),IF($F13-$E13&lt;=2,"◆",IF($H13="Yes","X",LEFT($D13,1))),""))</f>
        <v/>
      </c>
      <c r="X13" s="33">
        <f>IF(OR($E13="",$F13=""),"",IF(AND(X$4&lt;=$F13,X$4+6&gt;=$E13),IF($F13-$E13&lt;=2,"◆",IF($H13="Yes","X",LEFT($D13,1))),""))</f>
        <v/>
      </c>
      <c r="Y13" s="33">
        <f>IF(OR($E13="",$F13=""),"",IF(AND(Y$4&lt;=$F13,Y$4+6&gt;=$E13),IF($F13-$E13&lt;=2,"◆",IF($H13="Yes","X",LEFT($D13,1))),""))</f>
        <v/>
      </c>
      <c r="Z13" s="33">
        <f>IF(OR($E13="",$F13=""),"",IF(AND(Z$4&lt;=$F13,Z$4+6&gt;=$E13),IF($F13-$E13&lt;=2,"◆",IF($H13="Yes","X",LEFT($D13,1))),""))</f>
        <v/>
      </c>
      <c r="AA13" s="33">
        <f>IF(OR($E13="",$F13=""),"",IF(AND(AA$4&lt;=$F13,AA$4+6&gt;=$E13),IF($F13-$E13&lt;=2,"◆",IF($H13="Yes","X",LEFT($D13,1))),""))</f>
        <v/>
      </c>
      <c r="AB13" s="33">
        <f>IF(OR($E13="",$F13=""),"",IF(AND(AB$4&lt;=$F13,AB$4+6&gt;=$E13),IF($F13-$E13&lt;=2,"◆",IF($H13="Yes","X",LEFT($D13,1))),""))</f>
        <v/>
      </c>
      <c r="AC13" s="33">
        <f>IF(OR($E13="",$F13=""),"",IF(AND(AC$4&lt;=$F13,AC$4+6&gt;=$E13),IF($F13-$E13&lt;=2,"◆",IF($H13="Yes","X",LEFT($D13,1))),""))</f>
        <v/>
      </c>
      <c r="AD13" s="33">
        <f>IF(OR($E13="",$F13=""),"",IF(AND(AD$4&lt;=$F13,AD$4+6&gt;=$E13),IF($F13-$E13&lt;=2,"◆",IF($H13="Yes","X",LEFT($D13,1))),""))</f>
        <v/>
      </c>
      <c r="AE13" s="33">
        <f>IF(OR($E13="",$F13=""),"",IF(AND(AE$4&lt;=$F13,AE$4+6&gt;=$E13),IF($F13-$E13&lt;=2,"◆",IF($H13="Yes","X",LEFT($D13,1))),""))</f>
        <v/>
      </c>
      <c r="AF13" s="33">
        <f>IF(OR($E13="",$F13=""),"",IF(AND(AF$4&lt;=$F13,AF$4+6&gt;=$E13),IF($F13-$E13&lt;=2,"◆",IF($H13="Yes","X",LEFT($D13,1))),""))</f>
        <v/>
      </c>
      <c r="AG13" s="33">
        <f>IF(OR($E13="",$F13=""),"",IF(AND(AG$4&lt;=$F13,AG$4+6&gt;=$E13),IF($F13-$E13&lt;=2,"◆",IF($H13="Yes","X",LEFT($D13,1))),""))</f>
        <v/>
      </c>
      <c r="AH13" s="33">
        <f>IF(OR($E13="",$F13=""),"",IF(AND(AH$4&lt;=$F13,AH$4+6&gt;=$E13),IF($F13-$E13&lt;=2,"◆",IF($H13="Yes","X",LEFT($D13,1))),""))</f>
        <v/>
      </c>
      <c r="AI13" s="33">
        <f>IF(OR($E13="",$F13=""),"",IF(AND(AI$4&lt;=$F13,AI$4+6&gt;=$E13),IF($F13-$E13&lt;=2,"◆",IF($H13="Yes","X",LEFT($D13,1))),""))</f>
        <v/>
      </c>
      <c r="AJ13" s="33">
        <f>IF(OR($E13="",$F13=""),"",IF(AND(AJ$4&lt;=$F13,AJ$4+6&gt;=$E13),IF($F13-$E13&lt;=2,"◆",IF($H13="Yes","X",LEFT($D13,1))),""))</f>
        <v/>
      </c>
      <c r="AK13" s="33">
        <f>IF(OR($E13="",$F13=""),"",IF(AND(AK$4&lt;=$F13,AK$4+6&gt;=$E13),IF($F13-$E13&lt;=2,"◆",IF($H13="Yes","X",LEFT($D13,1))),""))</f>
        <v/>
      </c>
      <c r="AL13" s="33">
        <f>IF(OR($E13="",$F13=""),"",IF(AND(AL$4&lt;=$F13,AL$4+6&gt;=$E13),IF($F13-$E13&lt;=2,"◆",IF($H13="Yes","X",LEFT($D13,1))),""))</f>
        <v/>
      </c>
      <c r="AM13" s="33">
        <f>IF(OR($E13="",$F13=""),"",IF(AND(AM$4&lt;=$F13,AM$4+6&gt;=$E13),IF($F13-$E13&lt;=2,"◆",IF($H13="Yes","X",LEFT($D13,1))),""))</f>
        <v/>
      </c>
      <c r="AN13" s="33">
        <f>IF(OR($E13="",$F13=""),"",IF(AND(AN$4&lt;=$F13,AN$4+6&gt;=$E13),IF($F13-$E13&lt;=2,"◆",IF($H13="Yes","X",LEFT($D13,1))),""))</f>
        <v/>
      </c>
      <c r="AO13" s="33">
        <f>IF(OR($E13="",$F13=""),"",IF(AND(AO$4&lt;=$F13,AO$4+6&gt;=$E13),IF($F13-$E13&lt;=2,"◆",IF($H13="Yes","X",LEFT($D13,1))),""))</f>
        <v/>
      </c>
      <c r="AP13" s="33">
        <f>IF(OR($E13="",$F13=""),"",IF(AND(AP$4&lt;=$F13,AP$4+6&gt;=$E13),IF($F13-$E13&lt;=2,"◆",IF($H13="Yes","X",LEFT($D13,1))),""))</f>
        <v/>
      </c>
      <c r="AQ13" s="33">
        <f>IF(OR($E13="",$F13=""),"",IF(AND(AQ$4&lt;=$F13,AQ$4+6&gt;=$E13),IF($F13-$E13&lt;=2,"◆",IF($H13="Yes","X",LEFT($D13,1))),""))</f>
        <v/>
      </c>
      <c r="AR13" s="33">
        <f>IF(OR($E13="",$F13=""),"",IF(AND(AR$4&lt;=$F13,AR$4+6&gt;=$E13),IF($F13-$E13&lt;=2,"◆",IF($H13="Yes","X",LEFT($D13,1))),""))</f>
        <v/>
      </c>
      <c r="AS13" s="33">
        <f>IF(OR($E13="",$F13=""),"",IF(AND(AS$4&lt;=$F13,AS$4+6&gt;=$E13),IF($F13-$E13&lt;=2,"◆",IF($H13="Yes","X",LEFT($D13,1))),""))</f>
        <v/>
      </c>
      <c r="AT13" s="33">
        <f>IF(OR($E13="",$F13=""),"",IF(AND(AT$4&lt;=$F13,AT$4+6&gt;=$E13),IF($F13-$E13&lt;=2,"◆",IF($H13="Yes","X",LEFT($D13,1))),""))</f>
        <v/>
      </c>
      <c r="AU13" s="33">
        <f>IF(OR($E13="",$F13=""),"",IF(AND(AU$4&lt;=$F13,AU$4+6&gt;=$E13),IF($F13-$E13&lt;=2,"◆",IF($H13="Yes","X",LEFT($D13,1))),""))</f>
        <v/>
      </c>
      <c r="AV13" s="33">
        <f>IF(OR($E13="",$F13=""),"",IF(AND(AV$4&lt;=$F13,AV$4+6&gt;=$E13),IF($F13-$E13&lt;=2,"◆",IF($H13="Yes","X",LEFT($D13,1))),""))</f>
        <v/>
      </c>
      <c r="AW13" s="33">
        <f>IF(OR($E13="",$F13=""),"",IF(AND(AW$4&lt;=$F13,AW$4+6&gt;=$E13),IF($F13-$E13&lt;=2,"◆",IF($H13="Yes","X",LEFT($D13,1))),""))</f>
        <v/>
      </c>
      <c r="AX13" s="33">
        <f>IF(OR($E13="",$F13=""),"",IF(AND(AX$4&lt;=$F13,AX$4+6&gt;=$E13),IF($F13-$E13&lt;=2,"◆",IF($H13="Yes","X",LEFT($D13,1))),""))</f>
        <v/>
      </c>
      <c r="AY13" s="33">
        <f>IF(OR($E13="",$F13=""),"",IF(AND(AY$4&lt;=$F13,AY$4+6&gt;=$E13),IF($F13-$E13&lt;=2,"◆",IF($H13="Yes","X",LEFT($D13,1))),""))</f>
        <v/>
      </c>
      <c r="AZ13" s="33">
        <f>IF(OR($E13="",$F13=""),"",IF(AND(AZ$4&lt;=$F13,AZ$4+6&gt;=$E13),IF($F13-$E13&lt;=2,"◆",IF($H13="Yes","X",LEFT($D13,1))),""))</f>
        <v/>
      </c>
      <c r="BA13" s="33">
        <f>IF(OR($E13="",$F13=""),"",IF(AND(BA$4&lt;=$F13,BA$4+6&gt;=$E13),IF($F13-$E13&lt;=2,"◆",IF($H13="Yes","X",LEFT($D13,1))),""))</f>
        <v/>
      </c>
      <c r="BB13" s="33">
        <f>IF(OR($E13="",$F13=""),"",IF(AND(BB$4&lt;=$F13,BB$4+6&gt;=$E13),IF($F13-$E13&lt;=2,"◆",IF($H13="Yes","X",LEFT($D13,1))),""))</f>
        <v/>
      </c>
      <c r="BC13" s="33">
        <f>IF(OR($E13="",$F13=""),"",IF(AND(BC$4&lt;=$F13,BC$4+6&gt;=$E13),IF($F13-$E13&lt;=2,"◆",IF($H13="Yes","X",LEFT($D13,1))),""))</f>
        <v/>
      </c>
      <c r="BD13" s="33">
        <f>IF(OR($E13="",$F13=""),"",IF(AND(BD$4&lt;=$F13,BD$4+6&gt;=$E13),IF($F13-$E13&lt;=2,"◆",IF($H13="Yes","X",LEFT($D13,1))),""))</f>
        <v/>
      </c>
      <c r="BE13" s="33">
        <f>IF(OR($E13="",$F13=""),"",IF(AND(BE$4&lt;=$F13,BE$4+6&gt;=$E13),IF($F13-$E13&lt;=2,"◆",IF($H13="Yes","X",LEFT($D13,1))),""))</f>
        <v/>
      </c>
      <c r="BF13" s="33">
        <f>IF(OR($E13="",$F13=""),"",IF(AND(BF$4&lt;=$F13,BF$4+6&gt;=$E13),IF($F13-$E13&lt;=2,"◆",IF($H13="Yes","X",LEFT($D13,1))),""))</f>
        <v/>
      </c>
      <c r="BG13" s="33">
        <f>IF(OR($E13="",$F13=""),"",IF(AND(BG$4&lt;=$F13,BG$4+6&gt;=$E13),IF($F13-$E13&lt;=2,"◆",IF($H13="Yes","X",LEFT($D13,1))),""))</f>
        <v/>
      </c>
      <c r="BH13" s="33">
        <f>IF(OR($E13="",$F13=""),"",IF(AND(BH$4&lt;=$F13,BH$4+6&gt;=$E13),IF($F13-$E13&lt;=2,"◆",IF($H13="Yes","X",LEFT($D13,1))),""))</f>
        <v/>
      </c>
      <c r="BI13" s="33">
        <f>IF(OR($E13="",$F13=""),"",IF(AND(BI$4&lt;=$F13,BI$4+6&gt;=$E13),IF($F13-$E13&lt;=2,"◆",IF($H13="Yes","X",LEFT($D13,1))),""))</f>
        <v/>
      </c>
    </row>
    <row r="14">
      <c r="A14" s="30" t="inlineStr">
        <is>
          <t>T-010</t>
        </is>
      </c>
      <c r="B14" s="30" t="inlineStr">
        <is>
          <t>Technology refresh</t>
        </is>
      </c>
      <c r="C14" s="30" t="inlineStr">
        <is>
          <t>Jawahar</t>
        </is>
      </c>
      <c r="D14" s="30" t="inlineStr">
        <is>
          <t>In Progress</t>
        </is>
      </c>
      <c r="E14" s="31" t="n">
        <v>46265</v>
      </c>
      <c r="F14" s="31" t="n">
        <v>46277</v>
      </c>
      <c r="G14" s="32" t="n">
        <v>0.29</v>
      </c>
      <c r="H14" s="30" t="inlineStr">
        <is>
          <t>No</t>
        </is>
      </c>
      <c r="I14" s="33">
        <f>IF(OR($E14="",$F14=""),"",IF(AND(I$4&lt;=$F14,I$4+6&gt;=$E14),IF($F14-$E14&lt;=2,"◆",IF($H14="Yes","X",LEFT($D14,1))),""))</f>
        <v/>
      </c>
      <c r="J14" s="33">
        <f>IF(OR($E14="",$F14=""),"",IF(AND(J$4&lt;=$F14,J$4+6&gt;=$E14),IF($F14-$E14&lt;=2,"◆",IF($H14="Yes","X",LEFT($D14,1))),""))</f>
        <v/>
      </c>
      <c r="K14" s="33">
        <f>IF(OR($E14="",$F14=""),"",IF(AND(K$4&lt;=$F14,K$4+6&gt;=$E14),IF($F14-$E14&lt;=2,"◆",IF($H14="Yes","X",LEFT($D14,1))),""))</f>
        <v/>
      </c>
      <c r="L14" s="33">
        <f>IF(OR($E14="",$F14=""),"",IF(AND(L$4&lt;=$F14,L$4+6&gt;=$E14),IF($F14-$E14&lt;=2,"◆",IF($H14="Yes","X",LEFT($D14,1))),""))</f>
        <v/>
      </c>
      <c r="M14" s="33">
        <f>IF(OR($E14="",$F14=""),"",IF(AND(M$4&lt;=$F14,M$4+6&gt;=$E14),IF($F14-$E14&lt;=2,"◆",IF($H14="Yes","X",LEFT($D14,1))),""))</f>
        <v/>
      </c>
      <c r="N14" s="33">
        <f>IF(OR($E14="",$F14=""),"",IF(AND(N$4&lt;=$F14,N$4+6&gt;=$E14),IF($F14-$E14&lt;=2,"◆",IF($H14="Yes","X",LEFT($D14,1))),""))</f>
        <v/>
      </c>
      <c r="O14" s="33">
        <f>IF(OR($E14="",$F14=""),"",IF(AND(O$4&lt;=$F14,O$4+6&gt;=$E14),IF($F14-$E14&lt;=2,"◆",IF($H14="Yes","X",LEFT($D14,1))),""))</f>
        <v/>
      </c>
      <c r="P14" s="33">
        <f>IF(OR($E14="",$F14=""),"",IF(AND(P$4&lt;=$F14,P$4+6&gt;=$E14),IF($F14-$E14&lt;=2,"◆",IF($H14="Yes","X",LEFT($D14,1))),""))</f>
        <v/>
      </c>
      <c r="Q14" s="33">
        <f>IF(OR($E14="",$F14=""),"",IF(AND(Q$4&lt;=$F14,Q$4+6&gt;=$E14),IF($F14-$E14&lt;=2,"◆",IF($H14="Yes","X",LEFT($D14,1))),""))</f>
        <v/>
      </c>
      <c r="R14" s="33">
        <f>IF(OR($E14="",$F14=""),"",IF(AND(R$4&lt;=$F14,R$4+6&gt;=$E14),IF($F14-$E14&lt;=2,"◆",IF($H14="Yes","X",LEFT($D14,1))),""))</f>
        <v/>
      </c>
      <c r="S14" s="33">
        <f>IF(OR($E14="",$F14=""),"",IF(AND(S$4&lt;=$F14,S$4+6&gt;=$E14),IF($F14-$E14&lt;=2,"◆",IF($H14="Yes","X",LEFT($D14,1))),""))</f>
        <v/>
      </c>
      <c r="T14" s="33">
        <f>IF(OR($E14="",$F14=""),"",IF(AND(T$4&lt;=$F14,T$4+6&gt;=$E14),IF($F14-$E14&lt;=2,"◆",IF($H14="Yes","X",LEFT($D14,1))),""))</f>
        <v/>
      </c>
      <c r="U14" s="33">
        <f>IF(OR($E14="",$F14=""),"",IF(AND(U$4&lt;=$F14,U$4+6&gt;=$E14),IF($F14-$E14&lt;=2,"◆",IF($H14="Yes","X",LEFT($D14,1))),""))</f>
        <v/>
      </c>
      <c r="V14" s="33">
        <f>IF(OR($E14="",$F14=""),"",IF(AND(V$4&lt;=$F14,V$4+6&gt;=$E14),IF($F14-$E14&lt;=2,"◆",IF($H14="Yes","X",LEFT($D14,1))),""))</f>
        <v/>
      </c>
      <c r="W14" s="33">
        <f>IF(OR($E14="",$F14=""),"",IF(AND(W$4&lt;=$F14,W$4+6&gt;=$E14),IF($F14-$E14&lt;=2,"◆",IF($H14="Yes","X",LEFT($D14,1))),""))</f>
        <v/>
      </c>
      <c r="X14" s="33">
        <f>IF(OR($E14="",$F14=""),"",IF(AND(X$4&lt;=$F14,X$4+6&gt;=$E14),IF($F14-$E14&lt;=2,"◆",IF($H14="Yes","X",LEFT($D14,1))),""))</f>
        <v/>
      </c>
      <c r="Y14" s="33">
        <f>IF(OR($E14="",$F14=""),"",IF(AND(Y$4&lt;=$F14,Y$4+6&gt;=$E14),IF($F14-$E14&lt;=2,"◆",IF($H14="Yes","X",LEFT($D14,1))),""))</f>
        <v/>
      </c>
      <c r="Z14" s="33">
        <f>IF(OR($E14="",$F14=""),"",IF(AND(Z$4&lt;=$F14,Z$4+6&gt;=$E14),IF($F14-$E14&lt;=2,"◆",IF($H14="Yes","X",LEFT($D14,1))),""))</f>
        <v/>
      </c>
      <c r="AA14" s="33">
        <f>IF(OR($E14="",$F14=""),"",IF(AND(AA$4&lt;=$F14,AA$4+6&gt;=$E14),IF($F14-$E14&lt;=2,"◆",IF($H14="Yes","X",LEFT($D14,1))),""))</f>
        <v/>
      </c>
      <c r="AB14" s="33">
        <f>IF(OR($E14="",$F14=""),"",IF(AND(AB$4&lt;=$F14,AB$4+6&gt;=$E14),IF($F14-$E14&lt;=2,"◆",IF($H14="Yes","X",LEFT($D14,1))),""))</f>
        <v/>
      </c>
      <c r="AC14" s="33">
        <f>IF(OR($E14="",$F14=""),"",IF(AND(AC$4&lt;=$F14,AC$4+6&gt;=$E14),IF($F14-$E14&lt;=2,"◆",IF($H14="Yes","X",LEFT($D14,1))),""))</f>
        <v/>
      </c>
      <c r="AD14" s="33">
        <f>IF(OR($E14="",$F14=""),"",IF(AND(AD$4&lt;=$F14,AD$4+6&gt;=$E14),IF($F14-$E14&lt;=2,"◆",IF($H14="Yes","X",LEFT($D14,1))),""))</f>
        <v/>
      </c>
      <c r="AE14" s="33">
        <f>IF(OR($E14="",$F14=""),"",IF(AND(AE$4&lt;=$F14,AE$4+6&gt;=$E14),IF($F14-$E14&lt;=2,"◆",IF($H14="Yes","X",LEFT($D14,1))),""))</f>
        <v/>
      </c>
      <c r="AF14" s="33">
        <f>IF(OR($E14="",$F14=""),"",IF(AND(AF$4&lt;=$F14,AF$4+6&gt;=$E14),IF($F14-$E14&lt;=2,"◆",IF($H14="Yes","X",LEFT($D14,1))),""))</f>
        <v/>
      </c>
      <c r="AG14" s="33">
        <f>IF(OR($E14="",$F14=""),"",IF(AND(AG$4&lt;=$F14,AG$4+6&gt;=$E14),IF($F14-$E14&lt;=2,"◆",IF($H14="Yes","X",LEFT($D14,1))),""))</f>
        <v/>
      </c>
      <c r="AH14" s="33">
        <f>IF(OR($E14="",$F14=""),"",IF(AND(AH$4&lt;=$F14,AH$4+6&gt;=$E14),IF($F14-$E14&lt;=2,"◆",IF($H14="Yes","X",LEFT($D14,1))),""))</f>
        <v/>
      </c>
      <c r="AI14" s="33">
        <f>IF(OR($E14="",$F14=""),"",IF(AND(AI$4&lt;=$F14,AI$4+6&gt;=$E14),IF($F14-$E14&lt;=2,"◆",IF($H14="Yes","X",LEFT($D14,1))),""))</f>
        <v/>
      </c>
      <c r="AJ14" s="33">
        <f>IF(OR($E14="",$F14=""),"",IF(AND(AJ$4&lt;=$F14,AJ$4+6&gt;=$E14),IF($F14-$E14&lt;=2,"◆",IF($H14="Yes","X",LEFT($D14,1))),""))</f>
        <v/>
      </c>
      <c r="AK14" s="33">
        <f>IF(OR($E14="",$F14=""),"",IF(AND(AK$4&lt;=$F14,AK$4+6&gt;=$E14),IF($F14-$E14&lt;=2,"◆",IF($H14="Yes","X",LEFT($D14,1))),""))</f>
        <v/>
      </c>
      <c r="AL14" s="33">
        <f>IF(OR($E14="",$F14=""),"",IF(AND(AL$4&lt;=$F14,AL$4+6&gt;=$E14),IF($F14-$E14&lt;=2,"◆",IF($H14="Yes","X",LEFT($D14,1))),""))</f>
        <v/>
      </c>
      <c r="AM14" s="33">
        <f>IF(OR($E14="",$F14=""),"",IF(AND(AM$4&lt;=$F14,AM$4+6&gt;=$E14),IF($F14-$E14&lt;=2,"◆",IF($H14="Yes","X",LEFT($D14,1))),""))</f>
        <v/>
      </c>
      <c r="AN14" s="33">
        <f>IF(OR($E14="",$F14=""),"",IF(AND(AN$4&lt;=$F14,AN$4+6&gt;=$E14),IF($F14-$E14&lt;=2,"◆",IF($H14="Yes","X",LEFT($D14,1))),""))</f>
        <v/>
      </c>
      <c r="AO14" s="33">
        <f>IF(OR($E14="",$F14=""),"",IF(AND(AO$4&lt;=$F14,AO$4+6&gt;=$E14),IF($F14-$E14&lt;=2,"◆",IF($H14="Yes","X",LEFT($D14,1))),""))</f>
        <v/>
      </c>
      <c r="AP14" s="33">
        <f>IF(OR($E14="",$F14=""),"",IF(AND(AP$4&lt;=$F14,AP$4+6&gt;=$E14),IF($F14-$E14&lt;=2,"◆",IF($H14="Yes","X",LEFT($D14,1))),""))</f>
        <v/>
      </c>
      <c r="AQ14" s="33">
        <f>IF(OR($E14="",$F14=""),"",IF(AND(AQ$4&lt;=$F14,AQ$4+6&gt;=$E14),IF($F14-$E14&lt;=2,"◆",IF($H14="Yes","X",LEFT($D14,1))),""))</f>
        <v/>
      </c>
      <c r="AR14" s="33">
        <f>IF(OR($E14="",$F14=""),"",IF(AND(AR$4&lt;=$F14,AR$4+6&gt;=$E14),IF($F14-$E14&lt;=2,"◆",IF($H14="Yes","X",LEFT($D14,1))),""))</f>
        <v/>
      </c>
      <c r="AS14" s="33">
        <f>IF(OR($E14="",$F14=""),"",IF(AND(AS$4&lt;=$F14,AS$4+6&gt;=$E14),IF($F14-$E14&lt;=2,"◆",IF($H14="Yes","X",LEFT($D14,1))),""))</f>
        <v/>
      </c>
      <c r="AT14" s="33">
        <f>IF(OR($E14="",$F14=""),"",IF(AND(AT$4&lt;=$F14,AT$4+6&gt;=$E14),IF($F14-$E14&lt;=2,"◆",IF($H14="Yes","X",LEFT($D14,1))),""))</f>
        <v/>
      </c>
      <c r="AU14" s="33">
        <f>IF(OR($E14="",$F14=""),"",IF(AND(AU$4&lt;=$F14,AU$4+6&gt;=$E14),IF($F14-$E14&lt;=2,"◆",IF($H14="Yes","X",LEFT($D14,1))),""))</f>
        <v/>
      </c>
      <c r="AV14" s="33">
        <f>IF(OR($E14="",$F14=""),"",IF(AND(AV$4&lt;=$F14,AV$4+6&gt;=$E14),IF($F14-$E14&lt;=2,"◆",IF($H14="Yes","X",LEFT($D14,1))),""))</f>
        <v/>
      </c>
      <c r="AW14" s="33">
        <f>IF(OR($E14="",$F14=""),"",IF(AND(AW$4&lt;=$F14,AW$4+6&gt;=$E14),IF($F14-$E14&lt;=2,"◆",IF($H14="Yes","X",LEFT($D14,1))),""))</f>
        <v/>
      </c>
      <c r="AX14" s="33">
        <f>IF(OR($E14="",$F14=""),"",IF(AND(AX$4&lt;=$F14,AX$4+6&gt;=$E14),IF($F14-$E14&lt;=2,"◆",IF($H14="Yes","X",LEFT($D14,1))),""))</f>
        <v/>
      </c>
      <c r="AY14" s="33">
        <f>IF(OR($E14="",$F14=""),"",IF(AND(AY$4&lt;=$F14,AY$4+6&gt;=$E14),IF($F14-$E14&lt;=2,"◆",IF($H14="Yes","X",LEFT($D14,1))),""))</f>
        <v/>
      </c>
      <c r="AZ14" s="33">
        <f>IF(OR($E14="",$F14=""),"",IF(AND(AZ$4&lt;=$F14,AZ$4+6&gt;=$E14),IF($F14-$E14&lt;=2,"◆",IF($H14="Yes","X",LEFT($D14,1))),""))</f>
        <v/>
      </c>
      <c r="BA14" s="33">
        <f>IF(OR($E14="",$F14=""),"",IF(AND(BA$4&lt;=$F14,BA$4+6&gt;=$E14),IF($F14-$E14&lt;=2,"◆",IF($H14="Yes","X",LEFT($D14,1))),""))</f>
        <v/>
      </c>
      <c r="BB14" s="33">
        <f>IF(OR($E14="",$F14=""),"",IF(AND(BB$4&lt;=$F14,BB$4+6&gt;=$E14),IF($F14-$E14&lt;=2,"◆",IF($H14="Yes","X",LEFT($D14,1))),""))</f>
        <v/>
      </c>
      <c r="BC14" s="33">
        <f>IF(OR($E14="",$F14=""),"",IF(AND(BC$4&lt;=$F14,BC$4+6&gt;=$E14),IF($F14-$E14&lt;=2,"◆",IF($H14="Yes","X",LEFT($D14,1))),""))</f>
        <v/>
      </c>
      <c r="BD14" s="33">
        <f>IF(OR($E14="",$F14=""),"",IF(AND(BD$4&lt;=$F14,BD$4+6&gt;=$E14),IF($F14-$E14&lt;=2,"◆",IF($H14="Yes","X",LEFT($D14,1))),""))</f>
        <v/>
      </c>
      <c r="BE14" s="33">
        <f>IF(OR($E14="",$F14=""),"",IF(AND(BE$4&lt;=$F14,BE$4+6&gt;=$E14),IF($F14-$E14&lt;=2,"◆",IF($H14="Yes","X",LEFT($D14,1))),""))</f>
        <v/>
      </c>
      <c r="BF14" s="33">
        <f>IF(OR($E14="",$F14=""),"",IF(AND(BF$4&lt;=$F14,BF$4+6&gt;=$E14),IF($F14-$E14&lt;=2,"◆",IF($H14="Yes","X",LEFT($D14,1))),""))</f>
        <v/>
      </c>
      <c r="BG14" s="33">
        <f>IF(OR($E14="",$F14=""),"",IF(AND(BG$4&lt;=$F14,BG$4+6&gt;=$E14),IF($F14-$E14&lt;=2,"◆",IF($H14="Yes","X",LEFT($D14,1))),""))</f>
        <v/>
      </c>
      <c r="BH14" s="33">
        <f>IF(OR($E14="",$F14=""),"",IF(AND(BH$4&lt;=$F14,BH$4+6&gt;=$E14),IF($F14-$E14&lt;=2,"◆",IF($H14="Yes","X",LEFT($D14,1))),""))</f>
        <v/>
      </c>
      <c r="BI14" s="33">
        <f>IF(OR($E14="",$F14=""),"",IF(AND(BI$4&lt;=$F14,BI$4+6&gt;=$E14),IF($F14-$E14&lt;=2,"◆",IF($H14="Yes","X",LEFT($D14,1))),""))</f>
        <v/>
      </c>
    </row>
    <row r="15">
      <c r="A15" s="30" t="inlineStr">
        <is>
          <t>T-011</t>
        </is>
      </c>
      <c r="B15" s="30" t="inlineStr">
        <is>
          <t>Fix for Critical Performance Issue(Claims, File Upload)</t>
        </is>
      </c>
      <c r="C15" s="30" t="inlineStr">
        <is>
          <t>Jawahar</t>
        </is>
      </c>
      <c r="D15" s="30" t="inlineStr">
        <is>
          <t>In Progress</t>
        </is>
      </c>
      <c r="E15" s="31" t="n">
        <v>46271</v>
      </c>
      <c r="F15" s="31" t="n">
        <v>46284</v>
      </c>
      <c r="G15" s="32" t="n">
        <v>0.22</v>
      </c>
      <c r="H15" s="30" t="inlineStr">
        <is>
          <t>No</t>
        </is>
      </c>
      <c r="I15" s="33">
        <f>IF(OR($E15="",$F15=""),"",IF(AND(I$4&lt;=$F15,I$4+6&gt;=$E15),IF($F15-$E15&lt;=2,"◆",IF($H15="Yes","X",LEFT($D15,1))),""))</f>
        <v/>
      </c>
      <c r="J15" s="33">
        <f>IF(OR($E15="",$F15=""),"",IF(AND(J$4&lt;=$F15,J$4+6&gt;=$E15),IF($F15-$E15&lt;=2,"◆",IF($H15="Yes","X",LEFT($D15,1))),""))</f>
        <v/>
      </c>
      <c r="K15" s="33">
        <f>IF(OR($E15="",$F15=""),"",IF(AND(K$4&lt;=$F15,K$4+6&gt;=$E15),IF($F15-$E15&lt;=2,"◆",IF($H15="Yes","X",LEFT($D15,1))),""))</f>
        <v/>
      </c>
      <c r="L15" s="33">
        <f>IF(OR($E15="",$F15=""),"",IF(AND(L$4&lt;=$F15,L$4+6&gt;=$E15),IF($F15-$E15&lt;=2,"◆",IF($H15="Yes","X",LEFT($D15,1))),""))</f>
        <v/>
      </c>
      <c r="M15" s="33">
        <f>IF(OR($E15="",$F15=""),"",IF(AND(M$4&lt;=$F15,M$4+6&gt;=$E15),IF($F15-$E15&lt;=2,"◆",IF($H15="Yes","X",LEFT($D15,1))),""))</f>
        <v/>
      </c>
      <c r="N15" s="33">
        <f>IF(OR($E15="",$F15=""),"",IF(AND(N$4&lt;=$F15,N$4+6&gt;=$E15),IF($F15-$E15&lt;=2,"◆",IF($H15="Yes","X",LEFT($D15,1))),""))</f>
        <v/>
      </c>
      <c r="O15" s="33">
        <f>IF(OR($E15="",$F15=""),"",IF(AND(O$4&lt;=$F15,O$4+6&gt;=$E15),IF($F15-$E15&lt;=2,"◆",IF($H15="Yes","X",LEFT($D15,1))),""))</f>
        <v/>
      </c>
      <c r="P15" s="33">
        <f>IF(OR($E15="",$F15=""),"",IF(AND(P$4&lt;=$F15,P$4+6&gt;=$E15),IF($F15-$E15&lt;=2,"◆",IF($H15="Yes","X",LEFT($D15,1))),""))</f>
        <v/>
      </c>
      <c r="Q15" s="33">
        <f>IF(OR($E15="",$F15=""),"",IF(AND(Q$4&lt;=$F15,Q$4+6&gt;=$E15),IF($F15-$E15&lt;=2,"◆",IF($H15="Yes","X",LEFT($D15,1))),""))</f>
        <v/>
      </c>
      <c r="R15" s="33">
        <f>IF(OR($E15="",$F15=""),"",IF(AND(R$4&lt;=$F15,R$4+6&gt;=$E15),IF($F15-$E15&lt;=2,"◆",IF($H15="Yes","X",LEFT($D15,1))),""))</f>
        <v/>
      </c>
      <c r="S15" s="33">
        <f>IF(OR($E15="",$F15=""),"",IF(AND(S$4&lt;=$F15,S$4+6&gt;=$E15),IF($F15-$E15&lt;=2,"◆",IF($H15="Yes","X",LEFT($D15,1))),""))</f>
        <v/>
      </c>
      <c r="T15" s="33">
        <f>IF(OR($E15="",$F15=""),"",IF(AND(T$4&lt;=$F15,T$4+6&gt;=$E15),IF($F15-$E15&lt;=2,"◆",IF($H15="Yes","X",LEFT($D15,1))),""))</f>
        <v/>
      </c>
      <c r="U15" s="33">
        <f>IF(OR($E15="",$F15=""),"",IF(AND(U$4&lt;=$F15,U$4+6&gt;=$E15),IF($F15-$E15&lt;=2,"◆",IF($H15="Yes","X",LEFT($D15,1))),""))</f>
        <v/>
      </c>
      <c r="V15" s="33">
        <f>IF(OR($E15="",$F15=""),"",IF(AND(V$4&lt;=$F15,V$4+6&gt;=$E15),IF($F15-$E15&lt;=2,"◆",IF($H15="Yes","X",LEFT($D15,1))),""))</f>
        <v/>
      </c>
      <c r="W15" s="33">
        <f>IF(OR($E15="",$F15=""),"",IF(AND(W$4&lt;=$F15,W$4+6&gt;=$E15),IF($F15-$E15&lt;=2,"◆",IF($H15="Yes","X",LEFT($D15,1))),""))</f>
        <v/>
      </c>
      <c r="X15" s="33">
        <f>IF(OR($E15="",$F15=""),"",IF(AND(X$4&lt;=$F15,X$4+6&gt;=$E15),IF($F15-$E15&lt;=2,"◆",IF($H15="Yes","X",LEFT($D15,1))),""))</f>
        <v/>
      </c>
      <c r="Y15" s="33">
        <f>IF(OR($E15="",$F15=""),"",IF(AND(Y$4&lt;=$F15,Y$4+6&gt;=$E15),IF($F15-$E15&lt;=2,"◆",IF($H15="Yes","X",LEFT($D15,1))),""))</f>
        <v/>
      </c>
      <c r="Z15" s="33">
        <f>IF(OR($E15="",$F15=""),"",IF(AND(Z$4&lt;=$F15,Z$4+6&gt;=$E15),IF($F15-$E15&lt;=2,"◆",IF($H15="Yes","X",LEFT($D15,1))),""))</f>
        <v/>
      </c>
      <c r="AA15" s="33">
        <f>IF(OR($E15="",$F15=""),"",IF(AND(AA$4&lt;=$F15,AA$4+6&gt;=$E15),IF($F15-$E15&lt;=2,"◆",IF($H15="Yes","X",LEFT($D15,1))),""))</f>
        <v/>
      </c>
      <c r="AB15" s="33">
        <f>IF(OR($E15="",$F15=""),"",IF(AND(AB$4&lt;=$F15,AB$4+6&gt;=$E15),IF($F15-$E15&lt;=2,"◆",IF($H15="Yes","X",LEFT($D15,1))),""))</f>
        <v/>
      </c>
      <c r="AC15" s="33">
        <f>IF(OR($E15="",$F15=""),"",IF(AND(AC$4&lt;=$F15,AC$4+6&gt;=$E15),IF($F15-$E15&lt;=2,"◆",IF($H15="Yes","X",LEFT($D15,1))),""))</f>
        <v/>
      </c>
      <c r="AD15" s="33">
        <f>IF(OR($E15="",$F15=""),"",IF(AND(AD$4&lt;=$F15,AD$4+6&gt;=$E15),IF($F15-$E15&lt;=2,"◆",IF($H15="Yes","X",LEFT($D15,1))),""))</f>
        <v/>
      </c>
      <c r="AE15" s="33">
        <f>IF(OR($E15="",$F15=""),"",IF(AND(AE$4&lt;=$F15,AE$4+6&gt;=$E15),IF($F15-$E15&lt;=2,"◆",IF($H15="Yes","X",LEFT($D15,1))),""))</f>
        <v/>
      </c>
      <c r="AF15" s="33">
        <f>IF(OR($E15="",$F15=""),"",IF(AND(AF$4&lt;=$F15,AF$4+6&gt;=$E15),IF($F15-$E15&lt;=2,"◆",IF($H15="Yes","X",LEFT($D15,1))),""))</f>
        <v/>
      </c>
      <c r="AG15" s="33">
        <f>IF(OR($E15="",$F15=""),"",IF(AND(AG$4&lt;=$F15,AG$4+6&gt;=$E15),IF($F15-$E15&lt;=2,"◆",IF($H15="Yes","X",LEFT($D15,1))),""))</f>
        <v/>
      </c>
      <c r="AH15" s="33">
        <f>IF(OR($E15="",$F15=""),"",IF(AND(AH$4&lt;=$F15,AH$4+6&gt;=$E15),IF($F15-$E15&lt;=2,"◆",IF($H15="Yes","X",LEFT($D15,1))),""))</f>
        <v/>
      </c>
      <c r="AI15" s="33">
        <f>IF(OR($E15="",$F15=""),"",IF(AND(AI$4&lt;=$F15,AI$4+6&gt;=$E15),IF($F15-$E15&lt;=2,"◆",IF($H15="Yes","X",LEFT($D15,1))),""))</f>
        <v/>
      </c>
      <c r="AJ15" s="33">
        <f>IF(OR($E15="",$F15=""),"",IF(AND(AJ$4&lt;=$F15,AJ$4+6&gt;=$E15),IF($F15-$E15&lt;=2,"◆",IF($H15="Yes","X",LEFT($D15,1))),""))</f>
        <v/>
      </c>
      <c r="AK15" s="33">
        <f>IF(OR($E15="",$F15=""),"",IF(AND(AK$4&lt;=$F15,AK$4+6&gt;=$E15),IF($F15-$E15&lt;=2,"◆",IF($H15="Yes","X",LEFT($D15,1))),""))</f>
        <v/>
      </c>
      <c r="AL15" s="33">
        <f>IF(OR($E15="",$F15=""),"",IF(AND(AL$4&lt;=$F15,AL$4+6&gt;=$E15),IF($F15-$E15&lt;=2,"◆",IF($H15="Yes","X",LEFT($D15,1))),""))</f>
        <v/>
      </c>
      <c r="AM15" s="33">
        <f>IF(OR($E15="",$F15=""),"",IF(AND(AM$4&lt;=$F15,AM$4+6&gt;=$E15),IF($F15-$E15&lt;=2,"◆",IF($H15="Yes","X",LEFT($D15,1))),""))</f>
        <v/>
      </c>
      <c r="AN15" s="33">
        <f>IF(OR($E15="",$F15=""),"",IF(AND(AN$4&lt;=$F15,AN$4+6&gt;=$E15),IF($F15-$E15&lt;=2,"◆",IF($H15="Yes","X",LEFT($D15,1))),""))</f>
        <v/>
      </c>
      <c r="AO15" s="33">
        <f>IF(OR($E15="",$F15=""),"",IF(AND(AO$4&lt;=$F15,AO$4+6&gt;=$E15),IF($F15-$E15&lt;=2,"◆",IF($H15="Yes","X",LEFT($D15,1))),""))</f>
        <v/>
      </c>
      <c r="AP15" s="33">
        <f>IF(OR($E15="",$F15=""),"",IF(AND(AP$4&lt;=$F15,AP$4+6&gt;=$E15),IF($F15-$E15&lt;=2,"◆",IF($H15="Yes","X",LEFT($D15,1))),""))</f>
        <v/>
      </c>
      <c r="AQ15" s="33">
        <f>IF(OR($E15="",$F15=""),"",IF(AND(AQ$4&lt;=$F15,AQ$4+6&gt;=$E15),IF($F15-$E15&lt;=2,"◆",IF($H15="Yes","X",LEFT($D15,1))),""))</f>
        <v/>
      </c>
      <c r="AR15" s="33">
        <f>IF(OR($E15="",$F15=""),"",IF(AND(AR$4&lt;=$F15,AR$4+6&gt;=$E15),IF($F15-$E15&lt;=2,"◆",IF($H15="Yes","X",LEFT($D15,1))),""))</f>
        <v/>
      </c>
      <c r="AS15" s="33">
        <f>IF(OR($E15="",$F15=""),"",IF(AND(AS$4&lt;=$F15,AS$4+6&gt;=$E15),IF($F15-$E15&lt;=2,"◆",IF($H15="Yes","X",LEFT($D15,1))),""))</f>
        <v/>
      </c>
      <c r="AT15" s="33">
        <f>IF(OR($E15="",$F15=""),"",IF(AND(AT$4&lt;=$F15,AT$4+6&gt;=$E15),IF($F15-$E15&lt;=2,"◆",IF($H15="Yes","X",LEFT($D15,1))),""))</f>
        <v/>
      </c>
      <c r="AU15" s="33">
        <f>IF(OR($E15="",$F15=""),"",IF(AND(AU$4&lt;=$F15,AU$4+6&gt;=$E15),IF($F15-$E15&lt;=2,"◆",IF($H15="Yes","X",LEFT($D15,1))),""))</f>
        <v/>
      </c>
      <c r="AV15" s="33">
        <f>IF(OR($E15="",$F15=""),"",IF(AND(AV$4&lt;=$F15,AV$4+6&gt;=$E15),IF($F15-$E15&lt;=2,"◆",IF($H15="Yes","X",LEFT($D15,1))),""))</f>
        <v/>
      </c>
      <c r="AW15" s="33">
        <f>IF(OR($E15="",$F15=""),"",IF(AND(AW$4&lt;=$F15,AW$4+6&gt;=$E15),IF($F15-$E15&lt;=2,"◆",IF($H15="Yes","X",LEFT($D15,1))),""))</f>
        <v/>
      </c>
      <c r="AX15" s="33">
        <f>IF(OR($E15="",$F15=""),"",IF(AND(AX$4&lt;=$F15,AX$4+6&gt;=$E15),IF($F15-$E15&lt;=2,"◆",IF($H15="Yes","X",LEFT($D15,1))),""))</f>
        <v/>
      </c>
      <c r="AY15" s="33">
        <f>IF(OR($E15="",$F15=""),"",IF(AND(AY$4&lt;=$F15,AY$4+6&gt;=$E15),IF($F15-$E15&lt;=2,"◆",IF($H15="Yes","X",LEFT($D15,1))),""))</f>
        <v/>
      </c>
      <c r="AZ15" s="33">
        <f>IF(OR($E15="",$F15=""),"",IF(AND(AZ$4&lt;=$F15,AZ$4+6&gt;=$E15),IF($F15-$E15&lt;=2,"◆",IF($H15="Yes","X",LEFT($D15,1))),""))</f>
        <v/>
      </c>
      <c r="BA15" s="33">
        <f>IF(OR($E15="",$F15=""),"",IF(AND(BA$4&lt;=$F15,BA$4+6&gt;=$E15),IF($F15-$E15&lt;=2,"◆",IF($H15="Yes","X",LEFT($D15,1))),""))</f>
        <v/>
      </c>
      <c r="BB15" s="33">
        <f>IF(OR($E15="",$F15=""),"",IF(AND(BB$4&lt;=$F15,BB$4+6&gt;=$E15),IF($F15-$E15&lt;=2,"◆",IF($H15="Yes","X",LEFT($D15,1))),""))</f>
        <v/>
      </c>
      <c r="BC15" s="33">
        <f>IF(OR($E15="",$F15=""),"",IF(AND(BC$4&lt;=$F15,BC$4+6&gt;=$E15),IF($F15-$E15&lt;=2,"◆",IF($H15="Yes","X",LEFT($D15,1))),""))</f>
        <v/>
      </c>
      <c r="BD15" s="33">
        <f>IF(OR($E15="",$F15=""),"",IF(AND(BD$4&lt;=$F15,BD$4+6&gt;=$E15),IF($F15-$E15&lt;=2,"◆",IF($H15="Yes","X",LEFT($D15,1))),""))</f>
        <v/>
      </c>
      <c r="BE15" s="33">
        <f>IF(OR($E15="",$F15=""),"",IF(AND(BE$4&lt;=$F15,BE$4+6&gt;=$E15),IF($F15-$E15&lt;=2,"◆",IF($H15="Yes","X",LEFT($D15,1))),""))</f>
        <v/>
      </c>
      <c r="BF15" s="33">
        <f>IF(OR($E15="",$F15=""),"",IF(AND(BF$4&lt;=$F15,BF$4+6&gt;=$E15),IF($F15-$E15&lt;=2,"◆",IF($H15="Yes","X",LEFT($D15,1))),""))</f>
        <v/>
      </c>
      <c r="BG15" s="33">
        <f>IF(OR($E15="",$F15=""),"",IF(AND(BG$4&lt;=$F15,BG$4+6&gt;=$E15),IF($F15-$E15&lt;=2,"◆",IF($H15="Yes","X",LEFT($D15,1))),""))</f>
        <v/>
      </c>
      <c r="BH15" s="33">
        <f>IF(OR($E15="",$F15=""),"",IF(AND(BH$4&lt;=$F15,BH$4+6&gt;=$E15),IF($F15-$E15&lt;=2,"◆",IF($H15="Yes","X",LEFT($D15,1))),""))</f>
        <v/>
      </c>
      <c r="BI15" s="33">
        <f>IF(OR($E15="",$F15=""),"",IF(AND(BI$4&lt;=$F15,BI$4+6&gt;=$E15),IF($F15-$E15&lt;=2,"◆",IF($H15="Yes","X",LEFT($D15,1))),""))</f>
        <v/>
      </c>
    </row>
    <row r="16">
      <c r="A16" s="30" t="inlineStr">
        <is>
          <t>T-012</t>
        </is>
      </c>
      <c r="B16" s="30" t="inlineStr">
        <is>
          <t>Build a game engine - Requirements</t>
        </is>
      </c>
      <c r="C16" s="30" t="inlineStr">
        <is>
          <t>MJ</t>
        </is>
      </c>
      <c r="D16" s="30" t="inlineStr">
        <is>
          <t>Not Started</t>
        </is>
      </c>
      <c r="E16" s="31" t="n">
        <v>46208</v>
      </c>
      <c r="F16" s="31" t="n">
        <v>46217</v>
      </c>
      <c r="G16" s="32" t="n">
        <v>0</v>
      </c>
      <c r="H16" s="30" t="inlineStr">
        <is>
          <t>No</t>
        </is>
      </c>
      <c r="I16" s="33">
        <f>IF(OR($E16="",$F16=""),"",IF(AND(I$4&lt;=$F16,I$4+6&gt;=$E16),IF($F16-$E16&lt;=2,"◆",IF($H16="Yes","X",LEFT($D16,1))),""))</f>
        <v/>
      </c>
      <c r="J16" s="33">
        <f>IF(OR($E16="",$F16=""),"",IF(AND(J$4&lt;=$F16,J$4+6&gt;=$E16),IF($F16-$E16&lt;=2,"◆",IF($H16="Yes","X",LEFT($D16,1))),""))</f>
        <v/>
      </c>
      <c r="K16" s="33">
        <f>IF(OR($E16="",$F16=""),"",IF(AND(K$4&lt;=$F16,K$4+6&gt;=$E16),IF($F16-$E16&lt;=2,"◆",IF($H16="Yes","X",LEFT($D16,1))),""))</f>
        <v/>
      </c>
      <c r="L16" s="33">
        <f>IF(OR($E16="",$F16=""),"",IF(AND(L$4&lt;=$F16,L$4+6&gt;=$E16),IF($F16-$E16&lt;=2,"◆",IF($H16="Yes","X",LEFT($D16,1))),""))</f>
        <v/>
      </c>
      <c r="M16" s="33">
        <f>IF(OR($E16="",$F16=""),"",IF(AND(M$4&lt;=$F16,M$4+6&gt;=$E16),IF($F16-$E16&lt;=2,"◆",IF($H16="Yes","X",LEFT($D16,1))),""))</f>
        <v/>
      </c>
      <c r="N16" s="33">
        <f>IF(OR($E16="",$F16=""),"",IF(AND(N$4&lt;=$F16,N$4+6&gt;=$E16),IF($F16-$E16&lt;=2,"◆",IF($H16="Yes","X",LEFT($D16,1))),""))</f>
        <v/>
      </c>
      <c r="O16" s="33">
        <f>IF(OR($E16="",$F16=""),"",IF(AND(O$4&lt;=$F16,O$4+6&gt;=$E16),IF($F16-$E16&lt;=2,"◆",IF($H16="Yes","X",LEFT($D16,1))),""))</f>
        <v/>
      </c>
      <c r="P16" s="33">
        <f>IF(OR($E16="",$F16=""),"",IF(AND(P$4&lt;=$F16,P$4+6&gt;=$E16),IF($F16-$E16&lt;=2,"◆",IF($H16="Yes","X",LEFT($D16,1))),""))</f>
        <v/>
      </c>
      <c r="Q16" s="33">
        <f>IF(OR($E16="",$F16=""),"",IF(AND(Q$4&lt;=$F16,Q$4+6&gt;=$E16),IF($F16-$E16&lt;=2,"◆",IF($H16="Yes","X",LEFT($D16,1))),""))</f>
        <v/>
      </c>
      <c r="R16" s="33">
        <f>IF(OR($E16="",$F16=""),"",IF(AND(R$4&lt;=$F16,R$4+6&gt;=$E16),IF($F16-$E16&lt;=2,"◆",IF($H16="Yes","X",LEFT($D16,1))),""))</f>
        <v/>
      </c>
      <c r="S16" s="33">
        <f>IF(OR($E16="",$F16=""),"",IF(AND(S$4&lt;=$F16,S$4+6&gt;=$E16),IF($F16-$E16&lt;=2,"◆",IF($H16="Yes","X",LEFT($D16,1))),""))</f>
        <v/>
      </c>
      <c r="T16" s="33">
        <f>IF(OR($E16="",$F16=""),"",IF(AND(T$4&lt;=$F16,T$4+6&gt;=$E16),IF($F16-$E16&lt;=2,"◆",IF($H16="Yes","X",LEFT($D16,1))),""))</f>
        <v/>
      </c>
      <c r="U16" s="33">
        <f>IF(OR($E16="",$F16=""),"",IF(AND(U$4&lt;=$F16,U$4+6&gt;=$E16),IF($F16-$E16&lt;=2,"◆",IF($H16="Yes","X",LEFT($D16,1))),""))</f>
        <v/>
      </c>
      <c r="V16" s="33">
        <f>IF(OR($E16="",$F16=""),"",IF(AND(V$4&lt;=$F16,V$4+6&gt;=$E16),IF($F16-$E16&lt;=2,"◆",IF($H16="Yes","X",LEFT($D16,1))),""))</f>
        <v/>
      </c>
      <c r="W16" s="33">
        <f>IF(OR($E16="",$F16=""),"",IF(AND(W$4&lt;=$F16,W$4+6&gt;=$E16),IF($F16-$E16&lt;=2,"◆",IF($H16="Yes","X",LEFT($D16,1))),""))</f>
        <v/>
      </c>
      <c r="X16" s="33">
        <f>IF(OR($E16="",$F16=""),"",IF(AND(X$4&lt;=$F16,X$4+6&gt;=$E16),IF($F16-$E16&lt;=2,"◆",IF($H16="Yes","X",LEFT($D16,1))),""))</f>
        <v/>
      </c>
      <c r="Y16" s="33">
        <f>IF(OR($E16="",$F16=""),"",IF(AND(Y$4&lt;=$F16,Y$4+6&gt;=$E16),IF($F16-$E16&lt;=2,"◆",IF($H16="Yes","X",LEFT($D16,1))),""))</f>
        <v/>
      </c>
      <c r="Z16" s="33">
        <f>IF(OR($E16="",$F16=""),"",IF(AND(Z$4&lt;=$F16,Z$4+6&gt;=$E16),IF($F16-$E16&lt;=2,"◆",IF($H16="Yes","X",LEFT($D16,1))),""))</f>
        <v/>
      </c>
      <c r="AA16" s="33">
        <f>IF(OR($E16="",$F16=""),"",IF(AND(AA$4&lt;=$F16,AA$4+6&gt;=$E16),IF($F16-$E16&lt;=2,"◆",IF($H16="Yes","X",LEFT($D16,1))),""))</f>
        <v/>
      </c>
      <c r="AB16" s="33">
        <f>IF(OR($E16="",$F16=""),"",IF(AND(AB$4&lt;=$F16,AB$4+6&gt;=$E16),IF($F16-$E16&lt;=2,"◆",IF($H16="Yes","X",LEFT($D16,1))),""))</f>
        <v/>
      </c>
      <c r="AC16" s="33">
        <f>IF(OR($E16="",$F16=""),"",IF(AND(AC$4&lt;=$F16,AC$4+6&gt;=$E16),IF($F16-$E16&lt;=2,"◆",IF($H16="Yes","X",LEFT($D16,1))),""))</f>
        <v/>
      </c>
      <c r="AD16" s="33">
        <f>IF(OR($E16="",$F16=""),"",IF(AND(AD$4&lt;=$F16,AD$4+6&gt;=$E16),IF($F16-$E16&lt;=2,"◆",IF($H16="Yes","X",LEFT($D16,1))),""))</f>
        <v/>
      </c>
      <c r="AE16" s="33">
        <f>IF(OR($E16="",$F16=""),"",IF(AND(AE$4&lt;=$F16,AE$4+6&gt;=$E16),IF($F16-$E16&lt;=2,"◆",IF($H16="Yes","X",LEFT($D16,1))),""))</f>
        <v/>
      </c>
      <c r="AF16" s="33">
        <f>IF(OR($E16="",$F16=""),"",IF(AND(AF$4&lt;=$F16,AF$4+6&gt;=$E16),IF($F16-$E16&lt;=2,"◆",IF($H16="Yes","X",LEFT($D16,1))),""))</f>
        <v/>
      </c>
      <c r="AG16" s="33">
        <f>IF(OR($E16="",$F16=""),"",IF(AND(AG$4&lt;=$F16,AG$4+6&gt;=$E16),IF($F16-$E16&lt;=2,"◆",IF($H16="Yes","X",LEFT($D16,1))),""))</f>
        <v/>
      </c>
      <c r="AH16" s="33">
        <f>IF(OR($E16="",$F16=""),"",IF(AND(AH$4&lt;=$F16,AH$4+6&gt;=$E16),IF($F16-$E16&lt;=2,"◆",IF($H16="Yes","X",LEFT($D16,1))),""))</f>
        <v/>
      </c>
      <c r="AI16" s="33">
        <f>IF(OR($E16="",$F16=""),"",IF(AND(AI$4&lt;=$F16,AI$4+6&gt;=$E16),IF($F16-$E16&lt;=2,"◆",IF($H16="Yes","X",LEFT($D16,1))),""))</f>
        <v/>
      </c>
      <c r="AJ16" s="33">
        <f>IF(OR($E16="",$F16=""),"",IF(AND(AJ$4&lt;=$F16,AJ$4+6&gt;=$E16),IF($F16-$E16&lt;=2,"◆",IF($H16="Yes","X",LEFT($D16,1))),""))</f>
        <v/>
      </c>
      <c r="AK16" s="33">
        <f>IF(OR($E16="",$F16=""),"",IF(AND(AK$4&lt;=$F16,AK$4+6&gt;=$E16),IF($F16-$E16&lt;=2,"◆",IF($H16="Yes","X",LEFT($D16,1))),""))</f>
        <v/>
      </c>
      <c r="AL16" s="33">
        <f>IF(OR($E16="",$F16=""),"",IF(AND(AL$4&lt;=$F16,AL$4+6&gt;=$E16),IF($F16-$E16&lt;=2,"◆",IF($H16="Yes","X",LEFT($D16,1))),""))</f>
        <v/>
      </c>
      <c r="AM16" s="33">
        <f>IF(OR($E16="",$F16=""),"",IF(AND(AM$4&lt;=$F16,AM$4+6&gt;=$E16),IF($F16-$E16&lt;=2,"◆",IF($H16="Yes","X",LEFT($D16,1))),""))</f>
        <v/>
      </c>
      <c r="AN16" s="33">
        <f>IF(OR($E16="",$F16=""),"",IF(AND(AN$4&lt;=$F16,AN$4+6&gt;=$E16),IF($F16-$E16&lt;=2,"◆",IF($H16="Yes","X",LEFT($D16,1))),""))</f>
        <v/>
      </c>
      <c r="AO16" s="33">
        <f>IF(OR($E16="",$F16=""),"",IF(AND(AO$4&lt;=$F16,AO$4+6&gt;=$E16),IF($F16-$E16&lt;=2,"◆",IF($H16="Yes","X",LEFT($D16,1))),""))</f>
        <v/>
      </c>
      <c r="AP16" s="33">
        <f>IF(OR($E16="",$F16=""),"",IF(AND(AP$4&lt;=$F16,AP$4+6&gt;=$E16),IF($F16-$E16&lt;=2,"◆",IF($H16="Yes","X",LEFT($D16,1))),""))</f>
        <v/>
      </c>
      <c r="AQ16" s="33">
        <f>IF(OR($E16="",$F16=""),"",IF(AND(AQ$4&lt;=$F16,AQ$4+6&gt;=$E16),IF($F16-$E16&lt;=2,"◆",IF($H16="Yes","X",LEFT($D16,1))),""))</f>
        <v/>
      </c>
      <c r="AR16" s="33">
        <f>IF(OR($E16="",$F16=""),"",IF(AND(AR$4&lt;=$F16,AR$4+6&gt;=$E16),IF($F16-$E16&lt;=2,"◆",IF($H16="Yes","X",LEFT($D16,1))),""))</f>
        <v/>
      </c>
      <c r="AS16" s="33">
        <f>IF(OR($E16="",$F16=""),"",IF(AND(AS$4&lt;=$F16,AS$4+6&gt;=$E16),IF($F16-$E16&lt;=2,"◆",IF($H16="Yes","X",LEFT($D16,1))),""))</f>
        <v/>
      </c>
      <c r="AT16" s="33">
        <f>IF(OR($E16="",$F16=""),"",IF(AND(AT$4&lt;=$F16,AT$4+6&gt;=$E16),IF($F16-$E16&lt;=2,"◆",IF($H16="Yes","X",LEFT($D16,1))),""))</f>
        <v/>
      </c>
      <c r="AU16" s="33">
        <f>IF(OR($E16="",$F16=""),"",IF(AND(AU$4&lt;=$F16,AU$4+6&gt;=$E16),IF($F16-$E16&lt;=2,"◆",IF($H16="Yes","X",LEFT($D16,1))),""))</f>
        <v/>
      </c>
      <c r="AV16" s="33">
        <f>IF(OR($E16="",$F16=""),"",IF(AND(AV$4&lt;=$F16,AV$4+6&gt;=$E16),IF($F16-$E16&lt;=2,"◆",IF($H16="Yes","X",LEFT($D16,1))),""))</f>
        <v/>
      </c>
      <c r="AW16" s="33">
        <f>IF(OR($E16="",$F16=""),"",IF(AND(AW$4&lt;=$F16,AW$4+6&gt;=$E16),IF($F16-$E16&lt;=2,"◆",IF($H16="Yes","X",LEFT($D16,1))),""))</f>
        <v/>
      </c>
      <c r="AX16" s="33">
        <f>IF(OR($E16="",$F16=""),"",IF(AND(AX$4&lt;=$F16,AX$4+6&gt;=$E16),IF($F16-$E16&lt;=2,"◆",IF($H16="Yes","X",LEFT($D16,1))),""))</f>
        <v/>
      </c>
      <c r="AY16" s="33">
        <f>IF(OR($E16="",$F16=""),"",IF(AND(AY$4&lt;=$F16,AY$4+6&gt;=$E16),IF($F16-$E16&lt;=2,"◆",IF($H16="Yes","X",LEFT($D16,1))),""))</f>
        <v/>
      </c>
      <c r="AZ16" s="33">
        <f>IF(OR($E16="",$F16=""),"",IF(AND(AZ$4&lt;=$F16,AZ$4+6&gt;=$E16),IF($F16-$E16&lt;=2,"◆",IF($H16="Yes","X",LEFT($D16,1))),""))</f>
        <v/>
      </c>
      <c r="BA16" s="33">
        <f>IF(OR($E16="",$F16=""),"",IF(AND(BA$4&lt;=$F16,BA$4+6&gt;=$E16),IF($F16-$E16&lt;=2,"◆",IF($H16="Yes","X",LEFT($D16,1))),""))</f>
        <v/>
      </c>
      <c r="BB16" s="33">
        <f>IF(OR($E16="",$F16=""),"",IF(AND(BB$4&lt;=$F16,BB$4+6&gt;=$E16),IF($F16-$E16&lt;=2,"◆",IF($H16="Yes","X",LEFT($D16,1))),""))</f>
        <v/>
      </c>
      <c r="BC16" s="33">
        <f>IF(OR($E16="",$F16=""),"",IF(AND(BC$4&lt;=$F16,BC$4+6&gt;=$E16),IF($F16-$E16&lt;=2,"◆",IF($H16="Yes","X",LEFT($D16,1))),""))</f>
        <v/>
      </c>
      <c r="BD16" s="33">
        <f>IF(OR($E16="",$F16=""),"",IF(AND(BD$4&lt;=$F16,BD$4+6&gt;=$E16),IF($F16-$E16&lt;=2,"◆",IF($H16="Yes","X",LEFT($D16,1))),""))</f>
        <v/>
      </c>
      <c r="BE16" s="33">
        <f>IF(OR($E16="",$F16=""),"",IF(AND(BE$4&lt;=$F16,BE$4+6&gt;=$E16),IF($F16-$E16&lt;=2,"◆",IF($H16="Yes","X",LEFT($D16,1))),""))</f>
        <v/>
      </c>
      <c r="BF16" s="33">
        <f>IF(OR($E16="",$F16=""),"",IF(AND(BF$4&lt;=$F16,BF$4+6&gt;=$E16),IF($F16-$E16&lt;=2,"◆",IF($H16="Yes","X",LEFT($D16,1))),""))</f>
        <v/>
      </c>
      <c r="BG16" s="33">
        <f>IF(OR($E16="",$F16=""),"",IF(AND(BG$4&lt;=$F16,BG$4+6&gt;=$E16),IF($F16-$E16&lt;=2,"◆",IF($H16="Yes","X",LEFT($D16,1))),""))</f>
        <v/>
      </c>
      <c r="BH16" s="33">
        <f>IF(OR($E16="",$F16=""),"",IF(AND(BH$4&lt;=$F16,BH$4+6&gt;=$E16),IF($F16-$E16&lt;=2,"◆",IF($H16="Yes","X",LEFT($D16,1))),""))</f>
        <v/>
      </c>
      <c r="BI16" s="33">
        <f>IF(OR($E16="",$F16=""),"",IF(AND(BI$4&lt;=$F16,BI$4+6&gt;=$E16),IF($F16-$E16&lt;=2,"◆",IF($H16="Yes","X",LEFT($D16,1))),""))</f>
        <v/>
      </c>
    </row>
    <row r="17">
      <c r="A17" s="30" t="inlineStr">
        <is>
          <t>T-013</t>
        </is>
      </c>
      <c r="B17" s="30" t="inlineStr">
        <is>
          <t>BRD Composer</t>
        </is>
      </c>
      <c r="C17" s="30" t="inlineStr">
        <is>
          <t>MJ</t>
        </is>
      </c>
      <c r="D17" s="30" t="inlineStr">
        <is>
          <t>In Progress</t>
        </is>
      </c>
      <c r="E17" s="31" t="n">
        <v>46237</v>
      </c>
      <c r="F17" s="31" t="n">
        <v>46286</v>
      </c>
      <c r="G17" s="32" t="n">
        <v>0.24</v>
      </c>
      <c r="H17" s="30" t="inlineStr">
        <is>
          <t>No</t>
        </is>
      </c>
      <c r="I17" s="33">
        <f>IF(OR($E17="",$F17=""),"",IF(AND(I$4&lt;=$F17,I$4+6&gt;=$E17),IF($F17-$E17&lt;=2,"◆",IF($H17="Yes","X",LEFT($D17,1))),""))</f>
        <v/>
      </c>
      <c r="J17" s="33">
        <f>IF(OR($E17="",$F17=""),"",IF(AND(J$4&lt;=$F17,J$4+6&gt;=$E17),IF($F17-$E17&lt;=2,"◆",IF($H17="Yes","X",LEFT($D17,1))),""))</f>
        <v/>
      </c>
      <c r="K17" s="33">
        <f>IF(OR($E17="",$F17=""),"",IF(AND(K$4&lt;=$F17,K$4+6&gt;=$E17),IF($F17-$E17&lt;=2,"◆",IF($H17="Yes","X",LEFT($D17,1))),""))</f>
        <v/>
      </c>
      <c r="L17" s="33">
        <f>IF(OR($E17="",$F17=""),"",IF(AND(L$4&lt;=$F17,L$4+6&gt;=$E17),IF($F17-$E17&lt;=2,"◆",IF($H17="Yes","X",LEFT($D17,1))),""))</f>
        <v/>
      </c>
      <c r="M17" s="33">
        <f>IF(OR($E17="",$F17=""),"",IF(AND(M$4&lt;=$F17,M$4+6&gt;=$E17),IF($F17-$E17&lt;=2,"◆",IF($H17="Yes","X",LEFT($D17,1))),""))</f>
        <v/>
      </c>
      <c r="N17" s="33">
        <f>IF(OR($E17="",$F17=""),"",IF(AND(N$4&lt;=$F17,N$4+6&gt;=$E17),IF($F17-$E17&lt;=2,"◆",IF($H17="Yes","X",LEFT($D17,1))),""))</f>
        <v/>
      </c>
      <c r="O17" s="33">
        <f>IF(OR($E17="",$F17=""),"",IF(AND(O$4&lt;=$F17,O$4+6&gt;=$E17),IF($F17-$E17&lt;=2,"◆",IF($H17="Yes","X",LEFT($D17,1))),""))</f>
        <v/>
      </c>
      <c r="P17" s="33">
        <f>IF(OR($E17="",$F17=""),"",IF(AND(P$4&lt;=$F17,P$4+6&gt;=$E17),IF($F17-$E17&lt;=2,"◆",IF($H17="Yes","X",LEFT($D17,1))),""))</f>
        <v/>
      </c>
      <c r="Q17" s="33">
        <f>IF(OR($E17="",$F17=""),"",IF(AND(Q$4&lt;=$F17,Q$4+6&gt;=$E17),IF($F17-$E17&lt;=2,"◆",IF($H17="Yes","X",LEFT($D17,1))),""))</f>
        <v/>
      </c>
      <c r="R17" s="33">
        <f>IF(OR($E17="",$F17=""),"",IF(AND(R$4&lt;=$F17,R$4+6&gt;=$E17),IF($F17-$E17&lt;=2,"◆",IF($H17="Yes","X",LEFT($D17,1))),""))</f>
        <v/>
      </c>
      <c r="S17" s="33">
        <f>IF(OR($E17="",$F17=""),"",IF(AND(S$4&lt;=$F17,S$4+6&gt;=$E17),IF($F17-$E17&lt;=2,"◆",IF($H17="Yes","X",LEFT($D17,1))),""))</f>
        <v/>
      </c>
      <c r="T17" s="33">
        <f>IF(OR($E17="",$F17=""),"",IF(AND(T$4&lt;=$F17,T$4+6&gt;=$E17),IF($F17-$E17&lt;=2,"◆",IF($H17="Yes","X",LEFT($D17,1))),""))</f>
        <v/>
      </c>
      <c r="U17" s="33">
        <f>IF(OR($E17="",$F17=""),"",IF(AND(U$4&lt;=$F17,U$4+6&gt;=$E17),IF($F17-$E17&lt;=2,"◆",IF($H17="Yes","X",LEFT($D17,1))),""))</f>
        <v/>
      </c>
      <c r="V17" s="33">
        <f>IF(OR($E17="",$F17=""),"",IF(AND(V$4&lt;=$F17,V$4+6&gt;=$E17),IF($F17-$E17&lt;=2,"◆",IF($H17="Yes","X",LEFT($D17,1))),""))</f>
        <v/>
      </c>
      <c r="W17" s="33">
        <f>IF(OR($E17="",$F17=""),"",IF(AND(W$4&lt;=$F17,W$4+6&gt;=$E17),IF($F17-$E17&lt;=2,"◆",IF($H17="Yes","X",LEFT($D17,1))),""))</f>
        <v/>
      </c>
      <c r="X17" s="33">
        <f>IF(OR($E17="",$F17=""),"",IF(AND(X$4&lt;=$F17,X$4+6&gt;=$E17),IF($F17-$E17&lt;=2,"◆",IF($H17="Yes","X",LEFT($D17,1))),""))</f>
        <v/>
      </c>
      <c r="Y17" s="33">
        <f>IF(OR($E17="",$F17=""),"",IF(AND(Y$4&lt;=$F17,Y$4+6&gt;=$E17),IF($F17-$E17&lt;=2,"◆",IF($H17="Yes","X",LEFT($D17,1))),""))</f>
        <v/>
      </c>
      <c r="Z17" s="33">
        <f>IF(OR($E17="",$F17=""),"",IF(AND(Z$4&lt;=$F17,Z$4+6&gt;=$E17),IF($F17-$E17&lt;=2,"◆",IF($H17="Yes","X",LEFT($D17,1))),""))</f>
        <v/>
      </c>
      <c r="AA17" s="33">
        <f>IF(OR($E17="",$F17=""),"",IF(AND(AA$4&lt;=$F17,AA$4+6&gt;=$E17),IF($F17-$E17&lt;=2,"◆",IF($H17="Yes","X",LEFT($D17,1))),""))</f>
        <v/>
      </c>
      <c r="AB17" s="33">
        <f>IF(OR($E17="",$F17=""),"",IF(AND(AB$4&lt;=$F17,AB$4+6&gt;=$E17),IF($F17-$E17&lt;=2,"◆",IF($H17="Yes","X",LEFT($D17,1))),""))</f>
        <v/>
      </c>
      <c r="AC17" s="33">
        <f>IF(OR($E17="",$F17=""),"",IF(AND(AC$4&lt;=$F17,AC$4+6&gt;=$E17),IF($F17-$E17&lt;=2,"◆",IF($H17="Yes","X",LEFT($D17,1))),""))</f>
        <v/>
      </c>
      <c r="AD17" s="33">
        <f>IF(OR($E17="",$F17=""),"",IF(AND(AD$4&lt;=$F17,AD$4+6&gt;=$E17),IF($F17-$E17&lt;=2,"◆",IF($H17="Yes","X",LEFT($D17,1))),""))</f>
        <v/>
      </c>
      <c r="AE17" s="33">
        <f>IF(OR($E17="",$F17=""),"",IF(AND(AE$4&lt;=$F17,AE$4+6&gt;=$E17),IF($F17-$E17&lt;=2,"◆",IF($H17="Yes","X",LEFT($D17,1))),""))</f>
        <v/>
      </c>
      <c r="AF17" s="33">
        <f>IF(OR($E17="",$F17=""),"",IF(AND(AF$4&lt;=$F17,AF$4+6&gt;=$E17),IF($F17-$E17&lt;=2,"◆",IF($H17="Yes","X",LEFT($D17,1))),""))</f>
        <v/>
      </c>
      <c r="AG17" s="33">
        <f>IF(OR($E17="",$F17=""),"",IF(AND(AG$4&lt;=$F17,AG$4+6&gt;=$E17),IF($F17-$E17&lt;=2,"◆",IF($H17="Yes","X",LEFT($D17,1))),""))</f>
        <v/>
      </c>
      <c r="AH17" s="33">
        <f>IF(OR($E17="",$F17=""),"",IF(AND(AH$4&lt;=$F17,AH$4+6&gt;=$E17),IF($F17-$E17&lt;=2,"◆",IF($H17="Yes","X",LEFT($D17,1))),""))</f>
        <v/>
      </c>
      <c r="AI17" s="33">
        <f>IF(OR($E17="",$F17=""),"",IF(AND(AI$4&lt;=$F17,AI$4+6&gt;=$E17),IF($F17-$E17&lt;=2,"◆",IF($H17="Yes","X",LEFT($D17,1))),""))</f>
        <v/>
      </c>
      <c r="AJ17" s="33">
        <f>IF(OR($E17="",$F17=""),"",IF(AND(AJ$4&lt;=$F17,AJ$4+6&gt;=$E17),IF($F17-$E17&lt;=2,"◆",IF($H17="Yes","X",LEFT($D17,1))),""))</f>
        <v/>
      </c>
      <c r="AK17" s="33">
        <f>IF(OR($E17="",$F17=""),"",IF(AND(AK$4&lt;=$F17,AK$4+6&gt;=$E17),IF($F17-$E17&lt;=2,"◆",IF($H17="Yes","X",LEFT($D17,1))),""))</f>
        <v/>
      </c>
      <c r="AL17" s="33">
        <f>IF(OR($E17="",$F17=""),"",IF(AND(AL$4&lt;=$F17,AL$4+6&gt;=$E17),IF($F17-$E17&lt;=2,"◆",IF($H17="Yes","X",LEFT($D17,1))),""))</f>
        <v/>
      </c>
      <c r="AM17" s="33">
        <f>IF(OR($E17="",$F17=""),"",IF(AND(AM$4&lt;=$F17,AM$4+6&gt;=$E17),IF($F17-$E17&lt;=2,"◆",IF($H17="Yes","X",LEFT($D17,1))),""))</f>
        <v/>
      </c>
      <c r="AN17" s="33">
        <f>IF(OR($E17="",$F17=""),"",IF(AND(AN$4&lt;=$F17,AN$4+6&gt;=$E17),IF($F17-$E17&lt;=2,"◆",IF($H17="Yes","X",LEFT($D17,1))),""))</f>
        <v/>
      </c>
      <c r="AO17" s="33">
        <f>IF(OR($E17="",$F17=""),"",IF(AND(AO$4&lt;=$F17,AO$4+6&gt;=$E17),IF($F17-$E17&lt;=2,"◆",IF($H17="Yes","X",LEFT($D17,1))),""))</f>
        <v/>
      </c>
      <c r="AP17" s="33">
        <f>IF(OR($E17="",$F17=""),"",IF(AND(AP$4&lt;=$F17,AP$4+6&gt;=$E17),IF($F17-$E17&lt;=2,"◆",IF($H17="Yes","X",LEFT($D17,1))),""))</f>
        <v/>
      </c>
      <c r="AQ17" s="33">
        <f>IF(OR($E17="",$F17=""),"",IF(AND(AQ$4&lt;=$F17,AQ$4+6&gt;=$E17),IF($F17-$E17&lt;=2,"◆",IF($H17="Yes","X",LEFT($D17,1))),""))</f>
        <v/>
      </c>
      <c r="AR17" s="33">
        <f>IF(OR($E17="",$F17=""),"",IF(AND(AR$4&lt;=$F17,AR$4+6&gt;=$E17),IF($F17-$E17&lt;=2,"◆",IF($H17="Yes","X",LEFT($D17,1))),""))</f>
        <v/>
      </c>
      <c r="AS17" s="33">
        <f>IF(OR($E17="",$F17=""),"",IF(AND(AS$4&lt;=$F17,AS$4+6&gt;=$E17),IF($F17-$E17&lt;=2,"◆",IF($H17="Yes","X",LEFT($D17,1))),""))</f>
        <v/>
      </c>
      <c r="AT17" s="33">
        <f>IF(OR($E17="",$F17=""),"",IF(AND(AT$4&lt;=$F17,AT$4+6&gt;=$E17),IF($F17-$E17&lt;=2,"◆",IF($H17="Yes","X",LEFT($D17,1))),""))</f>
        <v/>
      </c>
      <c r="AU17" s="33">
        <f>IF(OR($E17="",$F17=""),"",IF(AND(AU$4&lt;=$F17,AU$4+6&gt;=$E17),IF($F17-$E17&lt;=2,"◆",IF($H17="Yes","X",LEFT($D17,1))),""))</f>
        <v/>
      </c>
      <c r="AV17" s="33">
        <f>IF(OR($E17="",$F17=""),"",IF(AND(AV$4&lt;=$F17,AV$4+6&gt;=$E17),IF($F17-$E17&lt;=2,"◆",IF($H17="Yes","X",LEFT($D17,1))),""))</f>
        <v/>
      </c>
      <c r="AW17" s="33">
        <f>IF(OR($E17="",$F17=""),"",IF(AND(AW$4&lt;=$F17,AW$4+6&gt;=$E17),IF($F17-$E17&lt;=2,"◆",IF($H17="Yes","X",LEFT($D17,1))),""))</f>
        <v/>
      </c>
      <c r="AX17" s="33">
        <f>IF(OR($E17="",$F17=""),"",IF(AND(AX$4&lt;=$F17,AX$4+6&gt;=$E17),IF($F17-$E17&lt;=2,"◆",IF($H17="Yes","X",LEFT($D17,1))),""))</f>
        <v/>
      </c>
      <c r="AY17" s="33">
        <f>IF(OR($E17="",$F17=""),"",IF(AND(AY$4&lt;=$F17,AY$4+6&gt;=$E17),IF($F17-$E17&lt;=2,"◆",IF($H17="Yes","X",LEFT($D17,1))),""))</f>
        <v/>
      </c>
      <c r="AZ17" s="33">
        <f>IF(OR($E17="",$F17=""),"",IF(AND(AZ$4&lt;=$F17,AZ$4+6&gt;=$E17),IF($F17-$E17&lt;=2,"◆",IF($H17="Yes","X",LEFT($D17,1))),""))</f>
        <v/>
      </c>
      <c r="BA17" s="33">
        <f>IF(OR($E17="",$F17=""),"",IF(AND(BA$4&lt;=$F17,BA$4+6&gt;=$E17),IF($F17-$E17&lt;=2,"◆",IF($H17="Yes","X",LEFT($D17,1))),""))</f>
        <v/>
      </c>
      <c r="BB17" s="33">
        <f>IF(OR($E17="",$F17=""),"",IF(AND(BB$4&lt;=$F17,BB$4+6&gt;=$E17),IF($F17-$E17&lt;=2,"◆",IF($H17="Yes","X",LEFT($D17,1))),""))</f>
        <v/>
      </c>
      <c r="BC17" s="33">
        <f>IF(OR($E17="",$F17=""),"",IF(AND(BC$4&lt;=$F17,BC$4+6&gt;=$E17),IF($F17-$E17&lt;=2,"◆",IF($H17="Yes","X",LEFT($D17,1))),""))</f>
        <v/>
      </c>
      <c r="BD17" s="33">
        <f>IF(OR($E17="",$F17=""),"",IF(AND(BD$4&lt;=$F17,BD$4+6&gt;=$E17),IF($F17-$E17&lt;=2,"◆",IF($H17="Yes","X",LEFT($D17,1))),""))</f>
        <v/>
      </c>
      <c r="BE17" s="33">
        <f>IF(OR($E17="",$F17=""),"",IF(AND(BE$4&lt;=$F17,BE$4+6&gt;=$E17),IF($F17-$E17&lt;=2,"◆",IF($H17="Yes","X",LEFT($D17,1))),""))</f>
        <v/>
      </c>
      <c r="BF17" s="33">
        <f>IF(OR($E17="",$F17=""),"",IF(AND(BF$4&lt;=$F17,BF$4+6&gt;=$E17),IF($F17-$E17&lt;=2,"◆",IF($H17="Yes","X",LEFT($D17,1))),""))</f>
        <v/>
      </c>
      <c r="BG17" s="33">
        <f>IF(OR($E17="",$F17=""),"",IF(AND(BG$4&lt;=$F17,BG$4+6&gt;=$E17),IF($F17-$E17&lt;=2,"◆",IF($H17="Yes","X",LEFT($D17,1))),""))</f>
        <v/>
      </c>
      <c r="BH17" s="33">
        <f>IF(OR($E17="",$F17=""),"",IF(AND(BH$4&lt;=$F17,BH$4+6&gt;=$E17),IF($F17-$E17&lt;=2,"◆",IF($H17="Yes","X",LEFT($D17,1))),""))</f>
        <v/>
      </c>
      <c r="BI17" s="33">
        <f>IF(OR($E17="",$F17=""),"",IF(AND(BI$4&lt;=$F17,BI$4+6&gt;=$E17),IF($F17-$E17&lt;=2,"◆",IF($H17="Yes","X",LEFT($D17,1))),""))</f>
        <v/>
      </c>
    </row>
    <row r="18">
      <c r="A18" s="30" t="inlineStr">
        <is>
          <t>T-014</t>
        </is>
      </c>
      <c r="B18" s="30" t="inlineStr">
        <is>
          <t>Communication connector which can support the Whatsapp and Wechat communicaton bi direction</t>
        </is>
      </c>
      <c r="C18" s="30" t="inlineStr">
        <is>
          <t>MJ</t>
        </is>
      </c>
      <c r="D18" s="30" t="inlineStr">
        <is>
          <t>Not Started</t>
        </is>
      </c>
      <c r="E18" s="31" t="n">
        <v>46212</v>
      </c>
      <c r="F18" s="31" t="n">
        <v>46281</v>
      </c>
      <c r="G18" s="32" t="n">
        <v>0</v>
      </c>
      <c r="H18" s="30" t="inlineStr">
        <is>
          <t>No</t>
        </is>
      </c>
      <c r="I18" s="33">
        <f>IF(OR($E18="",$F18=""),"",IF(AND(I$4&lt;=$F18,I$4+6&gt;=$E18),IF($F18-$E18&lt;=2,"◆",IF($H18="Yes","X",LEFT($D18,1))),""))</f>
        <v/>
      </c>
      <c r="J18" s="33">
        <f>IF(OR($E18="",$F18=""),"",IF(AND(J$4&lt;=$F18,J$4+6&gt;=$E18),IF($F18-$E18&lt;=2,"◆",IF($H18="Yes","X",LEFT($D18,1))),""))</f>
        <v/>
      </c>
      <c r="K18" s="33">
        <f>IF(OR($E18="",$F18=""),"",IF(AND(K$4&lt;=$F18,K$4+6&gt;=$E18),IF($F18-$E18&lt;=2,"◆",IF($H18="Yes","X",LEFT($D18,1))),""))</f>
        <v/>
      </c>
      <c r="L18" s="33">
        <f>IF(OR($E18="",$F18=""),"",IF(AND(L$4&lt;=$F18,L$4+6&gt;=$E18),IF($F18-$E18&lt;=2,"◆",IF($H18="Yes","X",LEFT($D18,1))),""))</f>
        <v/>
      </c>
      <c r="M18" s="33">
        <f>IF(OR($E18="",$F18=""),"",IF(AND(M$4&lt;=$F18,M$4+6&gt;=$E18),IF($F18-$E18&lt;=2,"◆",IF($H18="Yes","X",LEFT($D18,1))),""))</f>
        <v/>
      </c>
      <c r="N18" s="33">
        <f>IF(OR($E18="",$F18=""),"",IF(AND(N$4&lt;=$F18,N$4+6&gt;=$E18),IF($F18-$E18&lt;=2,"◆",IF($H18="Yes","X",LEFT($D18,1))),""))</f>
        <v/>
      </c>
      <c r="O18" s="33">
        <f>IF(OR($E18="",$F18=""),"",IF(AND(O$4&lt;=$F18,O$4+6&gt;=$E18),IF($F18-$E18&lt;=2,"◆",IF($H18="Yes","X",LEFT($D18,1))),""))</f>
        <v/>
      </c>
      <c r="P18" s="33">
        <f>IF(OR($E18="",$F18=""),"",IF(AND(P$4&lt;=$F18,P$4+6&gt;=$E18),IF($F18-$E18&lt;=2,"◆",IF($H18="Yes","X",LEFT($D18,1))),""))</f>
        <v/>
      </c>
      <c r="Q18" s="33">
        <f>IF(OR($E18="",$F18=""),"",IF(AND(Q$4&lt;=$F18,Q$4+6&gt;=$E18),IF($F18-$E18&lt;=2,"◆",IF($H18="Yes","X",LEFT($D18,1))),""))</f>
        <v/>
      </c>
      <c r="R18" s="33">
        <f>IF(OR($E18="",$F18=""),"",IF(AND(R$4&lt;=$F18,R$4+6&gt;=$E18),IF($F18-$E18&lt;=2,"◆",IF($H18="Yes","X",LEFT($D18,1))),""))</f>
        <v/>
      </c>
      <c r="S18" s="33">
        <f>IF(OR($E18="",$F18=""),"",IF(AND(S$4&lt;=$F18,S$4+6&gt;=$E18),IF($F18-$E18&lt;=2,"◆",IF($H18="Yes","X",LEFT($D18,1))),""))</f>
        <v/>
      </c>
      <c r="T18" s="33">
        <f>IF(OR($E18="",$F18=""),"",IF(AND(T$4&lt;=$F18,T$4+6&gt;=$E18),IF($F18-$E18&lt;=2,"◆",IF($H18="Yes","X",LEFT($D18,1))),""))</f>
        <v/>
      </c>
      <c r="U18" s="33">
        <f>IF(OR($E18="",$F18=""),"",IF(AND(U$4&lt;=$F18,U$4+6&gt;=$E18),IF($F18-$E18&lt;=2,"◆",IF($H18="Yes","X",LEFT($D18,1))),""))</f>
        <v/>
      </c>
      <c r="V18" s="33">
        <f>IF(OR($E18="",$F18=""),"",IF(AND(V$4&lt;=$F18,V$4+6&gt;=$E18),IF($F18-$E18&lt;=2,"◆",IF($H18="Yes","X",LEFT($D18,1))),""))</f>
        <v/>
      </c>
      <c r="W18" s="33">
        <f>IF(OR($E18="",$F18=""),"",IF(AND(W$4&lt;=$F18,W$4+6&gt;=$E18),IF($F18-$E18&lt;=2,"◆",IF($H18="Yes","X",LEFT($D18,1))),""))</f>
        <v/>
      </c>
      <c r="X18" s="33">
        <f>IF(OR($E18="",$F18=""),"",IF(AND(X$4&lt;=$F18,X$4+6&gt;=$E18),IF($F18-$E18&lt;=2,"◆",IF($H18="Yes","X",LEFT($D18,1))),""))</f>
        <v/>
      </c>
      <c r="Y18" s="33">
        <f>IF(OR($E18="",$F18=""),"",IF(AND(Y$4&lt;=$F18,Y$4+6&gt;=$E18),IF($F18-$E18&lt;=2,"◆",IF($H18="Yes","X",LEFT($D18,1))),""))</f>
        <v/>
      </c>
      <c r="Z18" s="33">
        <f>IF(OR($E18="",$F18=""),"",IF(AND(Z$4&lt;=$F18,Z$4+6&gt;=$E18),IF($F18-$E18&lt;=2,"◆",IF($H18="Yes","X",LEFT($D18,1))),""))</f>
        <v/>
      </c>
      <c r="AA18" s="33">
        <f>IF(OR($E18="",$F18=""),"",IF(AND(AA$4&lt;=$F18,AA$4+6&gt;=$E18),IF($F18-$E18&lt;=2,"◆",IF($H18="Yes","X",LEFT($D18,1))),""))</f>
        <v/>
      </c>
      <c r="AB18" s="33">
        <f>IF(OR($E18="",$F18=""),"",IF(AND(AB$4&lt;=$F18,AB$4+6&gt;=$E18),IF($F18-$E18&lt;=2,"◆",IF($H18="Yes","X",LEFT($D18,1))),""))</f>
        <v/>
      </c>
      <c r="AC18" s="33">
        <f>IF(OR($E18="",$F18=""),"",IF(AND(AC$4&lt;=$F18,AC$4+6&gt;=$E18),IF($F18-$E18&lt;=2,"◆",IF($H18="Yes","X",LEFT($D18,1))),""))</f>
        <v/>
      </c>
      <c r="AD18" s="33">
        <f>IF(OR($E18="",$F18=""),"",IF(AND(AD$4&lt;=$F18,AD$4+6&gt;=$E18),IF($F18-$E18&lt;=2,"◆",IF($H18="Yes","X",LEFT($D18,1))),""))</f>
        <v/>
      </c>
      <c r="AE18" s="33">
        <f>IF(OR($E18="",$F18=""),"",IF(AND(AE$4&lt;=$F18,AE$4+6&gt;=$E18),IF($F18-$E18&lt;=2,"◆",IF($H18="Yes","X",LEFT($D18,1))),""))</f>
        <v/>
      </c>
      <c r="AF18" s="33">
        <f>IF(OR($E18="",$F18=""),"",IF(AND(AF$4&lt;=$F18,AF$4+6&gt;=$E18),IF($F18-$E18&lt;=2,"◆",IF($H18="Yes","X",LEFT($D18,1))),""))</f>
        <v/>
      </c>
      <c r="AG18" s="33">
        <f>IF(OR($E18="",$F18=""),"",IF(AND(AG$4&lt;=$F18,AG$4+6&gt;=$E18),IF($F18-$E18&lt;=2,"◆",IF($H18="Yes","X",LEFT($D18,1))),""))</f>
        <v/>
      </c>
      <c r="AH18" s="33">
        <f>IF(OR($E18="",$F18=""),"",IF(AND(AH$4&lt;=$F18,AH$4+6&gt;=$E18),IF($F18-$E18&lt;=2,"◆",IF($H18="Yes","X",LEFT($D18,1))),""))</f>
        <v/>
      </c>
      <c r="AI18" s="33">
        <f>IF(OR($E18="",$F18=""),"",IF(AND(AI$4&lt;=$F18,AI$4+6&gt;=$E18),IF($F18-$E18&lt;=2,"◆",IF($H18="Yes","X",LEFT($D18,1))),""))</f>
        <v/>
      </c>
      <c r="AJ18" s="33">
        <f>IF(OR($E18="",$F18=""),"",IF(AND(AJ$4&lt;=$F18,AJ$4+6&gt;=$E18),IF($F18-$E18&lt;=2,"◆",IF($H18="Yes","X",LEFT($D18,1))),""))</f>
        <v/>
      </c>
      <c r="AK18" s="33">
        <f>IF(OR($E18="",$F18=""),"",IF(AND(AK$4&lt;=$F18,AK$4+6&gt;=$E18),IF($F18-$E18&lt;=2,"◆",IF($H18="Yes","X",LEFT($D18,1))),""))</f>
        <v/>
      </c>
      <c r="AL18" s="33">
        <f>IF(OR($E18="",$F18=""),"",IF(AND(AL$4&lt;=$F18,AL$4+6&gt;=$E18),IF($F18-$E18&lt;=2,"◆",IF($H18="Yes","X",LEFT($D18,1))),""))</f>
        <v/>
      </c>
      <c r="AM18" s="33">
        <f>IF(OR($E18="",$F18=""),"",IF(AND(AM$4&lt;=$F18,AM$4+6&gt;=$E18),IF($F18-$E18&lt;=2,"◆",IF($H18="Yes","X",LEFT($D18,1))),""))</f>
        <v/>
      </c>
      <c r="AN18" s="33">
        <f>IF(OR($E18="",$F18=""),"",IF(AND(AN$4&lt;=$F18,AN$4+6&gt;=$E18),IF($F18-$E18&lt;=2,"◆",IF($H18="Yes","X",LEFT($D18,1))),""))</f>
        <v/>
      </c>
      <c r="AO18" s="33">
        <f>IF(OR($E18="",$F18=""),"",IF(AND(AO$4&lt;=$F18,AO$4+6&gt;=$E18),IF($F18-$E18&lt;=2,"◆",IF($H18="Yes","X",LEFT($D18,1))),""))</f>
        <v/>
      </c>
      <c r="AP18" s="33">
        <f>IF(OR($E18="",$F18=""),"",IF(AND(AP$4&lt;=$F18,AP$4+6&gt;=$E18),IF($F18-$E18&lt;=2,"◆",IF($H18="Yes","X",LEFT($D18,1))),""))</f>
        <v/>
      </c>
      <c r="AQ18" s="33">
        <f>IF(OR($E18="",$F18=""),"",IF(AND(AQ$4&lt;=$F18,AQ$4+6&gt;=$E18),IF($F18-$E18&lt;=2,"◆",IF($H18="Yes","X",LEFT($D18,1))),""))</f>
        <v/>
      </c>
      <c r="AR18" s="33">
        <f>IF(OR($E18="",$F18=""),"",IF(AND(AR$4&lt;=$F18,AR$4+6&gt;=$E18),IF($F18-$E18&lt;=2,"◆",IF($H18="Yes","X",LEFT($D18,1))),""))</f>
        <v/>
      </c>
      <c r="AS18" s="33">
        <f>IF(OR($E18="",$F18=""),"",IF(AND(AS$4&lt;=$F18,AS$4+6&gt;=$E18),IF($F18-$E18&lt;=2,"◆",IF($H18="Yes","X",LEFT($D18,1))),""))</f>
        <v/>
      </c>
      <c r="AT18" s="33">
        <f>IF(OR($E18="",$F18=""),"",IF(AND(AT$4&lt;=$F18,AT$4+6&gt;=$E18),IF($F18-$E18&lt;=2,"◆",IF($H18="Yes","X",LEFT($D18,1))),""))</f>
        <v/>
      </c>
      <c r="AU18" s="33">
        <f>IF(OR($E18="",$F18=""),"",IF(AND(AU$4&lt;=$F18,AU$4+6&gt;=$E18),IF($F18-$E18&lt;=2,"◆",IF($H18="Yes","X",LEFT($D18,1))),""))</f>
        <v/>
      </c>
      <c r="AV18" s="33">
        <f>IF(OR($E18="",$F18=""),"",IF(AND(AV$4&lt;=$F18,AV$4+6&gt;=$E18),IF($F18-$E18&lt;=2,"◆",IF($H18="Yes","X",LEFT($D18,1))),""))</f>
        <v/>
      </c>
      <c r="AW18" s="33">
        <f>IF(OR($E18="",$F18=""),"",IF(AND(AW$4&lt;=$F18,AW$4+6&gt;=$E18),IF($F18-$E18&lt;=2,"◆",IF($H18="Yes","X",LEFT($D18,1))),""))</f>
        <v/>
      </c>
      <c r="AX18" s="33">
        <f>IF(OR($E18="",$F18=""),"",IF(AND(AX$4&lt;=$F18,AX$4+6&gt;=$E18),IF($F18-$E18&lt;=2,"◆",IF($H18="Yes","X",LEFT($D18,1))),""))</f>
        <v/>
      </c>
      <c r="AY18" s="33">
        <f>IF(OR($E18="",$F18=""),"",IF(AND(AY$4&lt;=$F18,AY$4+6&gt;=$E18),IF($F18-$E18&lt;=2,"◆",IF($H18="Yes","X",LEFT($D18,1))),""))</f>
        <v/>
      </c>
      <c r="AZ18" s="33">
        <f>IF(OR($E18="",$F18=""),"",IF(AND(AZ$4&lt;=$F18,AZ$4+6&gt;=$E18),IF($F18-$E18&lt;=2,"◆",IF($H18="Yes","X",LEFT($D18,1))),""))</f>
        <v/>
      </c>
      <c r="BA18" s="33">
        <f>IF(OR($E18="",$F18=""),"",IF(AND(BA$4&lt;=$F18,BA$4+6&gt;=$E18),IF($F18-$E18&lt;=2,"◆",IF($H18="Yes","X",LEFT($D18,1))),""))</f>
        <v/>
      </c>
      <c r="BB18" s="33">
        <f>IF(OR($E18="",$F18=""),"",IF(AND(BB$4&lt;=$F18,BB$4+6&gt;=$E18),IF($F18-$E18&lt;=2,"◆",IF($H18="Yes","X",LEFT($D18,1))),""))</f>
        <v/>
      </c>
      <c r="BC18" s="33">
        <f>IF(OR($E18="",$F18=""),"",IF(AND(BC$4&lt;=$F18,BC$4+6&gt;=$E18),IF($F18-$E18&lt;=2,"◆",IF($H18="Yes","X",LEFT($D18,1))),""))</f>
        <v/>
      </c>
      <c r="BD18" s="33">
        <f>IF(OR($E18="",$F18=""),"",IF(AND(BD$4&lt;=$F18,BD$4+6&gt;=$E18),IF($F18-$E18&lt;=2,"◆",IF($H18="Yes","X",LEFT($D18,1))),""))</f>
        <v/>
      </c>
      <c r="BE18" s="33">
        <f>IF(OR($E18="",$F18=""),"",IF(AND(BE$4&lt;=$F18,BE$4+6&gt;=$E18),IF($F18-$E18&lt;=2,"◆",IF($H18="Yes","X",LEFT($D18,1))),""))</f>
        <v/>
      </c>
      <c r="BF18" s="33">
        <f>IF(OR($E18="",$F18=""),"",IF(AND(BF$4&lt;=$F18,BF$4+6&gt;=$E18),IF($F18-$E18&lt;=2,"◆",IF($H18="Yes","X",LEFT($D18,1))),""))</f>
        <v/>
      </c>
      <c r="BG18" s="33">
        <f>IF(OR($E18="",$F18=""),"",IF(AND(BG$4&lt;=$F18,BG$4+6&gt;=$E18),IF($F18-$E18&lt;=2,"◆",IF($H18="Yes","X",LEFT($D18,1))),""))</f>
        <v/>
      </c>
      <c r="BH18" s="33">
        <f>IF(OR($E18="",$F18=""),"",IF(AND(BH$4&lt;=$F18,BH$4+6&gt;=$E18),IF($F18-$E18&lt;=2,"◆",IF($H18="Yes","X",LEFT($D18,1))),""))</f>
        <v/>
      </c>
      <c r="BI18" s="33">
        <f>IF(OR($E18="",$F18=""),"",IF(AND(BI$4&lt;=$F18,BI$4+6&gt;=$E18),IF($F18-$E18&lt;=2,"◆",IF($H18="Yes","X",LEFT($D18,1))),""))</f>
        <v/>
      </c>
    </row>
    <row r="19">
      <c r="A19" s="30" t="inlineStr">
        <is>
          <t>T-015</t>
        </is>
      </c>
      <c r="B19" s="30" t="inlineStr">
        <is>
          <t>AI-Powered Claim Validation</t>
        </is>
      </c>
      <c r="C19" s="30" t="inlineStr">
        <is>
          <t>MJ</t>
        </is>
      </c>
      <c r="D19" s="30" t="inlineStr">
        <is>
          <t>Not Started</t>
        </is>
      </c>
      <c r="E19" s="31" t="n">
        <v>46410</v>
      </c>
      <c r="F19" s="31" t="n">
        <v>46419</v>
      </c>
      <c r="G19" s="32" t="n">
        <v>0</v>
      </c>
      <c r="H19" s="30" t="inlineStr">
        <is>
          <t>No</t>
        </is>
      </c>
      <c r="I19" s="33">
        <f>IF(OR($E19="",$F19=""),"",IF(AND(I$4&lt;=$F19,I$4+6&gt;=$E19),IF($F19-$E19&lt;=2,"◆",IF($H19="Yes","X",LEFT($D19,1))),""))</f>
        <v/>
      </c>
      <c r="J19" s="33">
        <f>IF(OR($E19="",$F19=""),"",IF(AND(J$4&lt;=$F19,J$4+6&gt;=$E19),IF($F19-$E19&lt;=2,"◆",IF($H19="Yes","X",LEFT($D19,1))),""))</f>
        <v/>
      </c>
      <c r="K19" s="33">
        <f>IF(OR($E19="",$F19=""),"",IF(AND(K$4&lt;=$F19,K$4+6&gt;=$E19),IF($F19-$E19&lt;=2,"◆",IF($H19="Yes","X",LEFT($D19,1))),""))</f>
        <v/>
      </c>
      <c r="L19" s="33">
        <f>IF(OR($E19="",$F19=""),"",IF(AND(L$4&lt;=$F19,L$4+6&gt;=$E19),IF($F19-$E19&lt;=2,"◆",IF($H19="Yes","X",LEFT($D19,1))),""))</f>
        <v/>
      </c>
      <c r="M19" s="33">
        <f>IF(OR($E19="",$F19=""),"",IF(AND(M$4&lt;=$F19,M$4+6&gt;=$E19),IF($F19-$E19&lt;=2,"◆",IF($H19="Yes","X",LEFT($D19,1))),""))</f>
        <v/>
      </c>
      <c r="N19" s="33">
        <f>IF(OR($E19="",$F19=""),"",IF(AND(N$4&lt;=$F19,N$4+6&gt;=$E19),IF($F19-$E19&lt;=2,"◆",IF($H19="Yes","X",LEFT($D19,1))),""))</f>
        <v/>
      </c>
      <c r="O19" s="33">
        <f>IF(OR($E19="",$F19=""),"",IF(AND(O$4&lt;=$F19,O$4+6&gt;=$E19),IF($F19-$E19&lt;=2,"◆",IF($H19="Yes","X",LEFT($D19,1))),""))</f>
        <v/>
      </c>
      <c r="P19" s="33">
        <f>IF(OR($E19="",$F19=""),"",IF(AND(P$4&lt;=$F19,P$4+6&gt;=$E19),IF($F19-$E19&lt;=2,"◆",IF($H19="Yes","X",LEFT($D19,1))),""))</f>
        <v/>
      </c>
      <c r="Q19" s="33">
        <f>IF(OR($E19="",$F19=""),"",IF(AND(Q$4&lt;=$F19,Q$4+6&gt;=$E19),IF($F19-$E19&lt;=2,"◆",IF($H19="Yes","X",LEFT($D19,1))),""))</f>
        <v/>
      </c>
      <c r="R19" s="33">
        <f>IF(OR($E19="",$F19=""),"",IF(AND(R$4&lt;=$F19,R$4+6&gt;=$E19),IF($F19-$E19&lt;=2,"◆",IF($H19="Yes","X",LEFT($D19,1))),""))</f>
        <v/>
      </c>
      <c r="S19" s="33">
        <f>IF(OR($E19="",$F19=""),"",IF(AND(S$4&lt;=$F19,S$4+6&gt;=$E19),IF($F19-$E19&lt;=2,"◆",IF($H19="Yes","X",LEFT($D19,1))),""))</f>
        <v/>
      </c>
      <c r="T19" s="33">
        <f>IF(OR($E19="",$F19=""),"",IF(AND(T$4&lt;=$F19,T$4+6&gt;=$E19),IF($F19-$E19&lt;=2,"◆",IF($H19="Yes","X",LEFT($D19,1))),""))</f>
        <v/>
      </c>
      <c r="U19" s="33">
        <f>IF(OR($E19="",$F19=""),"",IF(AND(U$4&lt;=$F19,U$4+6&gt;=$E19),IF($F19-$E19&lt;=2,"◆",IF($H19="Yes","X",LEFT($D19,1))),""))</f>
        <v/>
      </c>
      <c r="V19" s="33">
        <f>IF(OR($E19="",$F19=""),"",IF(AND(V$4&lt;=$F19,V$4+6&gt;=$E19),IF($F19-$E19&lt;=2,"◆",IF($H19="Yes","X",LEFT($D19,1))),""))</f>
        <v/>
      </c>
      <c r="W19" s="33">
        <f>IF(OR($E19="",$F19=""),"",IF(AND(W$4&lt;=$F19,W$4+6&gt;=$E19),IF($F19-$E19&lt;=2,"◆",IF($H19="Yes","X",LEFT($D19,1))),""))</f>
        <v/>
      </c>
      <c r="X19" s="33">
        <f>IF(OR($E19="",$F19=""),"",IF(AND(X$4&lt;=$F19,X$4+6&gt;=$E19),IF($F19-$E19&lt;=2,"◆",IF($H19="Yes","X",LEFT($D19,1))),""))</f>
        <v/>
      </c>
      <c r="Y19" s="33">
        <f>IF(OR($E19="",$F19=""),"",IF(AND(Y$4&lt;=$F19,Y$4+6&gt;=$E19),IF($F19-$E19&lt;=2,"◆",IF($H19="Yes","X",LEFT($D19,1))),""))</f>
        <v/>
      </c>
      <c r="Z19" s="33">
        <f>IF(OR($E19="",$F19=""),"",IF(AND(Z$4&lt;=$F19,Z$4+6&gt;=$E19),IF($F19-$E19&lt;=2,"◆",IF($H19="Yes","X",LEFT($D19,1))),""))</f>
        <v/>
      </c>
      <c r="AA19" s="33">
        <f>IF(OR($E19="",$F19=""),"",IF(AND(AA$4&lt;=$F19,AA$4+6&gt;=$E19),IF($F19-$E19&lt;=2,"◆",IF($H19="Yes","X",LEFT($D19,1))),""))</f>
        <v/>
      </c>
      <c r="AB19" s="33">
        <f>IF(OR($E19="",$F19=""),"",IF(AND(AB$4&lt;=$F19,AB$4+6&gt;=$E19),IF($F19-$E19&lt;=2,"◆",IF($H19="Yes","X",LEFT($D19,1))),""))</f>
        <v/>
      </c>
      <c r="AC19" s="33">
        <f>IF(OR($E19="",$F19=""),"",IF(AND(AC$4&lt;=$F19,AC$4+6&gt;=$E19),IF($F19-$E19&lt;=2,"◆",IF($H19="Yes","X",LEFT($D19,1))),""))</f>
        <v/>
      </c>
      <c r="AD19" s="33">
        <f>IF(OR($E19="",$F19=""),"",IF(AND(AD$4&lt;=$F19,AD$4+6&gt;=$E19),IF($F19-$E19&lt;=2,"◆",IF($H19="Yes","X",LEFT($D19,1))),""))</f>
        <v/>
      </c>
      <c r="AE19" s="33">
        <f>IF(OR($E19="",$F19=""),"",IF(AND(AE$4&lt;=$F19,AE$4+6&gt;=$E19),IF($F19-$E19&lt;=2,"◆",IF($H19="Yes","X",LEFT($D19,1))),""))</f>
        <v/>
      </c>
      <c r="AF19" s="33">
        <f>IF(OR($E19="",$F19=""),"",IF(AND(AF$4&lt;=$F19,AF$4+6&gt;=$E19),IF($F19-$E19&lt;=2,"◆",IF($H19="Yes","X",LEFT($D19,1))),""))</f>
        <v/>
      </c>
      <c r="AG19" s="33">
        <f>IF(OR($E19="",$F19=""),"",IF(AND(AG$4&lt;=$F19,AG$4+6&gt;=$E19),IF($F19-$E19&lt;=2,"◆",IF($H19="Yes","X",LEFT($D19,1))),""))</f>
        <v/>
      </c>
      <c r="AH19" s="33">
        <f>IF(OR($E19="",$F19=""),"",IF(AND(AH$4&lt;=$F19,AH$4+6&gt;=$E19),IF($F19-$E19&lt;=2,"◆",IF($H19="Yes","X",LEFT($D19,1))),""))</f>
        <v/>
      </c>
      <c r="AI19" s="33">
        <f>IF(OR($E19="",$F19=""),"",IF(AND(AI$4&lt;=$F19,AI$4+6&gt;=$E19),IF($F19-$E19&lt;=2,"◆",IF($H19="Yes","X",LEFT($D19,1))),""))</f>
        <v/>
      </c>
      <c r="AJ19" s="33">
        <f>IF(OR($E19="",$F19=""),"",IF(AND(AJ$4&lt;=$F19,AJ$4+6&gt;=$E19),IF($F19-$E19&lt;=2,"◆",IF($H19="Yes","X",LEFT($D19,1))),""))</f>
        <v/>
      </c>
      <c r="AK19" s="33">
        <f>IF(OR($E19="",$F19=""),"",IF(AND(AK$4&lt;=$F19,AK$4+6&gt;=$E19),IF($F19-$E19&lt;=2,"◆",IF($H19="Yes","X",LEFT($D19,1))),""))</f>
        <v/>
      </c>
      <c r="AL19" s="33">
        <f>IF(OR($E19="",$F19=""),"",IF(AND(AL$4&lt;=$F19,AL$4+6&gt;=$E19),IF($F19-$E19&lt;=2,"◆",IF($H19="Yes","X",LEFT($D19,1))),""))</f>
        <v/>
      </c>
      <c r="AM19" s="33">
        <f>IF(OR($E19="",$F19=""),"",IF(AND(AM$4&lt;=$F19,AM$4+6&gt;=$E19),IF($F19-$E19&lt;=2,"◆",IF($H19="Yes","X",LEFT($D19,1))),""))</f>
        <v/>
      </c>
      <c r="AN19" s="33">
        <f>IF(OR($E19="",$F19=""),"",IF(AND(AN$4&lt;=$F19,AN$4+6&gt;=$E19),IF($F19-$E19&lt;=2,"◆",IF($H19="Yes","X",LEFT($D19,1))),""))</f>
        <v/>
      </c>
      <c r="AO19" s="33">
        <f>IF(OR($E19="",$F19=""),"",IF(AND(AO$4&lt;=$F19,AO$4+6&gt;=$E19),IF($F19-$E19&lt;=2,"◆",IF($H19="Yes","X",LEFT($D19,1))),""))</f>
        <v/>
      </c>
      <c r="AP19" s="33">
        <f>IF(OR($E19="",$F19=""),"",IF(AND(AP$4&lt;=$F19,AP$4+6&gt;=$E19),IF($F19-$E19&lt;=2,"◆",IF($H19="Yes","X",LEFT($D19,1))),""))</f>
        <v/>
      </c>
      <c r="AQ19" s="33">
        <f>IF(OR($E19="",$F19=""),"",IF(AND(AQ$4&lt;=$F19,AQ$4+6&gt;=$E19),IF($F19-$E19&lt;=2,"◆",IF($H19="Yes","X",LEFT($D19,1))),""))</f>
        <v/>
      </c>
      <c r="AR19" s="33">
        <f>IF(OR($E19="",$F19=""),"",IF(AND(AR$4&lt;=$F19,AR$4+6&gt;=$E19),IF($F19-$E19&lt;=2,"◆",IF($H19="Yes","X",LEFT($D19,1))),""))</f>
        <v/>
      </c>
      <c r="AS19" s="33">
        <f>IF(OR($E19="",$F19=""),"",IF(AND(AS$4&lt;=$F19,AS$4+6&gt;=$E19),IF($F19-$E19&lt;=2,"◆",IF($H19="Yes","X",LEFT($D19,1))),""))</f>
        <v/>
      </c>
      <c r="AT19" s="33">
        <f>IF(OR($E19="",$F19=""),"",IF(AND(AT$4&lt;=$F19,AT$4+6&gt;=$E19),IF($F19-$E19&lt;=2,"◆",IF($H19="Yes","X",LEFT($D19,1))),""))</f>
        <v/>
      </c>
      <c r="AU19" s="33">
        <f>IF(OR($E19="",$F19=""),"",IF(AND(AU$4&lt;=$F19,AU$4+6&gt;=$E19),IF($F19-$E19&lt;=2,"◆",IF($H19="Yes","X",LEFT($D19,1))),""))</f>
        <v/>
      </c>
      <c r="AV19" s="33">
        <f>IF(OR($E19="",$F19=""),"",IF(AND(AV$4&lt;=$F19,AV$4+6&gt;=$E19),IF($F19-$E19&lt;=2,"◆",IF($H19="Yes","X",LEFT($D19,1))),""))</f>
        <v/>
      </c>
      <c r="AW19" s="33">
        <f>IF(OR($E19="",$F19=""),"",IF(AND(AW$4&lt;=$F19,AW$4+6&gt;=$E19),IF($F19-$E19&lt;=2,"◆",IF($H19="Yes","X",LEFT($D19,1))),""))</f>
        <v/>
      </c>
      <c r="AX19" s="33">
        <f>IF(OR($E19="",$F19=""),"",IF(AND(AX$4&lt;=$F19,AX$4+6&gt;=$E19),IF($F19-$E19&lt;=2,"◆",IF($H19="Yes","X",LEFT($D19,1))),""))</f>
        <v/>
      </c>
      <c r="AY19" s="33">
        <f>IF(OR($E19="",$F19=""),"",IF(AND(AY$4&lt;=$F19,AY$4+6&gt;=$E19),IF($F19-$E19&lt;=2,"◆",IF($H19="Yes","X",LEFT($D19,1))),""))</f>
        <v/>
      </c>
      <c r="AZ19" s="33">
        <f>IF(OR($E19="",$F19=""),"",IF(AND(AZ$4&lt;=$F19,AZ$4+6&gt;=$E19),IF($F19-$E19&lt;=2,"◆",IF($H19="Yes","X",LEFT($D19,1))),""))</f>
        <v/>
      </c>
      <c r="BA19" s="33">
        <f>IF(OR($E19="",$F19=""),"",IF(AND(BA$4&lt;=$F19,BA$4+6&gt;=$E19),IF($F19-$E19&lt;=2,"◆",IF($H19="Yes","X",LEFT($D19,1))),""))</f>
        <v/>
      </c>
      <c r="BB19" s="33">
        <f>IF(OR($E19="",$F19=""),"",IF(AND(BB$4&lt;=$F19,BB$4+6&gt;=$E19),IF($F19-$E19&lt;=2,"◆",IF($H19="Yes","X",LEFT($D19,1))),""))</f>
        <v/>
      </c>
      <c r="BC19" s="33">
        <f>IF(OR($E19="",$F19=""),"",IF(AND(BC$4&lt;=$F19,BC$4+6&gt;=$E19),IF($F19-$E19&lt;=2,"◆",IF($H19="Yes","X",LEFT($D19,1))),""))</f>
        <v/>
      </c>
      <c r="BD19" s="33">
        <f>IF(OR($E19="",$F19=""),"",IF(AND(BD$4&lt;=$F19,BD$4+6&gt;=$E19),IF($F19-$E19&lt;=2,"◆",IF($H19="Yes","X",LEFT($D19,1))),""))</f>
        <v/>
      </c>
      <c r="BE19" s="33">
        <f>IF(OR($E19="",$F19=""),"",IF(AND(BE$4&lt;=$F19,BE$4+6&gt;=$E19),IF($F19-$E19&lt;=2,"◆",IF($H19="Yes","X",LEFT($D19,1))),""))</f>
        <v/>
      </c>
      <c r="BF19" s="33">
        <f>IF(OR($E19="",$F19=""),"",IF(AND(BF$4&lt;=$F19,BF$4+6&gt;=$E19),IF($F19-$E19&lt;=2,"◆",IF($H19="Yes","X",LEFT($D19,1))),""))</f>
        <v/>
      </c>
      <c r="BG19" s="33">
        <f>IF(OR($E19="",$F19=""),"",IF(AND(BG$4&lt;=$F19,BG$4+6&gt;=$E19),IF($F19-$E19&lt;=2,"◆",IF($H19="Yes","X",LEFT($D19,1))),""))</f>
        <v/>
      </c>
      <c r="BH19" s="33">
        <f>IF(OR($E19="",$F19=""),"",IF(AND(BH$4&lt;=$F19,BH$4+6&gt;=$E19),IF($F19-$E19&lt;=2,"◆",IF($H19="Yes","X",LEFT($D19,1))),""))</f>
        <v/>
      </c>
      <c r="BI19" s="33">
        <f>IF(OR($E19="",$F19=""),"",IF(AND(BI$4&lt;=$F19,BI$4+6&gt;=$E19),IF($F19-$E19&lt;=2,"◆",IF($H19="Yes","X",LEFT($D19,1))),""))</f>
        <v/>
      </c>
    </row>
    <row r="20">
      <c r="A20" s="30" t="inlineStr">
        <is>
          <t>T-016</t>
        </is>
      </c>
      <c r="B20" s="30" t="inlineStr">
        <is>
          <t>MDF Budget Management &amp; Incentivization</t>
        </is>
      </c>
      <c r="C20" s="30" t="inlineStr">
        <is>
          <t>MJ</t>
        </is>
      </c>
      <c r="D20" s="30" t="inlineStr">
        <is>
          <t>At Risk</t>
        </is>
      </c>
      <c r="E20" s="31" t="n">
        <v>46535</v>
      </c>
      <c r="F20" s="31" t="n">
        <v>46544</v>
      </c>
      <c r="G20" s="32" t="n">
        <v>0.09</v>
      </c>
      <c r="H20" s="30" t="inlineStr">
        <is>
          <t>No</t>
        </is>
      </c>
      <c r="I20" s="33">
        <f>IF(OR($E20="",$F20=""),"",IF(AND(I$4&lt;=$F20,I$4+6&gt;=$E20),IF($F20-$E20&lt;=2,"◆",IF($H20="Yes","X",LEFT($D20,1))),""))</f>
        <v/>
      </c>
      <c r="J20" s="33">
        <f>IF(OR($E20="",$F20=""),"",IF(AND(J$4&lt;=$F20,J$4+6&gt;=$E20),IF($F20-$E20&lt;=2,"◆",IF($H20="Yes","X",LEFT($D20,1))),""))</f>
        <v/>
      </c>
      <c r="K20" s="33">
        <f>IF(OR($E20="",$F20=""),"",IF(AND(K$4&lt;=$F20,K$4+6&gt;=$E20),IF($F20-$E20&lt;=2,"◆",IF($H20="Yes","X",LEFT($D20,1))),""))</f>
        <v/>
      </c>
      <c r="L20" s="33">
        <f>IF(OR($E20="",$F20=""),"",IF(AND(L$4&lt;=$F20,L$4+6&gt;=$E20),IF($F20-$E20&lt;=2,"◆",IF($H20="Yes","X",LEFT($D20,1))),""))</f>
        <v/>
      </c>
      <c r="M20" s="33">
        <f>IF(OR($E20="",$F20=""),"",IF(AND(M$4&lt;=$F20,M$4+6&gt;=$E20),IF($F20-$E20&lt;=2,"◆",IF($H20="Yes","X",LEFT($D20,1))),""))</f>
        <v/>
      </c>
      <c r="N20" s="33">
        <f>IF(OR($E20="",$F20=""),"",IF(AND(N$4&lt;=$F20,N$4+6&gt;=$E20),IF($F20-$E20&lt;=2,"◆",IF($H20="Yes","X",LEFT($D20,1))),""))</f>
        <v/>
      </c>
      <c r="O20" s="33">
        <f>IF(OR($E20="",$F20=""),"",IF(AND(O$4&lt;=$F20,O$4+6&gt;=$E20),IF($F20-$E20&lt;=2,"◆",IF($H20="Yes","X",LEFT($D20,1))),""))</f>
        <v/>
      </c>
      <c r="P20" s="33">
        <f>IF(OR($E20="",$F20=""),"",IF(AND(P$4&lt;=$F20,P$4+6&gt;=$E20),IF($F20-$E20&lt;=2,"◆",IF($H20="Yes","X",LEFT($D20,1))),""))</f>
        <v/>
      </c>
      <c r="Q20" s="33">
        <f>IF(OR($E20="",$F20=""),"",IF(AND(Q$4&lt;=$F20,Q$4+6&gt;=$E20),IF($F20-$E20&lt;=2,"◆",IF($H20="Yes","X",LEFT($D20,1))),""))</f>
        <v/>
      </c>
      <c r="R20" s="33">
        <f>IF(OR($E20="",$F20=""),"",IF(AND(R$4&lt;=$F20,R$4+6&gt;=$E20),IF($F20-$E20&lt;=2,"◆",IF($H20="Yes","X",LEFT($D20,1))),""))</f>
        <v/>
      </c>
      <c r="S20" s="33">
        <f>IF(OR($E20="",$F20=""),"",IF(AND(S$4&lt;=$F20,S$4+6&gt;=$E20),IF($F20-$E20&lt;=2,"◆",IF($H20="Yes","X",LEFT($D20,1))),""))</f>
        <v/>
      </c>
      <c r="T20" s="33">
        <f>IF(OR($E20="",$F20=""),"",IF(AND(T$4&lt;=$F20,T$4+6&gt;=$E20),IF($F20-$E20&lt;=2,"◆",IF($H20="Yes","X",LEFT($D20,1))),""))</f>
        <v/>
      </c>
      <c r="U20" s="33">
        <f>IF(OR($E20="",$F20=""),"",IF(AND(U$4&lt;=$F20,U$4+6&gt;=$E20),IF($F20-$E20&lt;=2,"◆",IF($H20="Yes","X",LEFT($D20,1))),""))</f>
        <v/>
      </c>
      <c r="V20" s="33">
        <f>IF(OR($E20="",$F20=""),"",IF(AND(V$4&lt;=$F20,V$4+6&gt;=$E20),IF($F20-$E20&lt;=2,"◆",IF($H20="Yes","X",LEFT($D20,1))),""))</f>
        <v/>
      </c>
      <c r="W20" s="33">
        <f>IF(OR($E20="",$F20=""),"",IF(AND(W$4&lt;=$F20,W$4+6&gt;=$E20),IF($F20-$E20&lt;=2,"◆",IF($H20="Yes","X",LEFT($D20,1))),""))</f>
        <v/>
      </c>
      <c r="X20" s="33">
        <f>IF(OR($E20="",$F20=""),"",IF(AND(X$4&lt;=$F20,X$4+6&gt;=$E20),IF($F20-$E20&lt;=2,"◆",IF($H20="Yes","X",LEFT($D20,1))),""))</f>
        <v/>
      </c>
      <c r="Y20" s="33">
        <f>IF(OR($E20="",$F20=""),"",IF(AND(Y$4&lt;=$F20,Y$4+6&gt;=$E20),IF($F20-$E20&lt;=2,"◆",IF($H20="Yes","X",LEFT($D20,1))),""))</f>
        <v/>
      </c>
      <c r="Z20" s="33">
        <f>IF(OR($E20="",$F20=""),"",IF(AND(Z$4&lt;=$F20,Z$4+6&gt;=$E20),IF($F20-$E20&lt;=2,"◆",IF($H20="Yes","X",LEFT($D20,1))),""))</f>
        <v/>
      </c>
      <c r="AA20" s="33">
        <f>IF(OR($E20="",$F20=""),"",IF(AND(AA$4&lt;=$F20,AA$4+6&gt;=$E20),IF($F20-$E20&lt;=2,"◆",IF($H20="Yes","X",LEFT($D20,1))),""))</f>
        <v/>
      </c>
      <c r="AB20" s="33">
        <f>IF(OR($E20="",$F20=""),"",IF(AND(AB$4&lt;=$F20,AB$4+6&gt;=$E20),IF($F20-$E20&lt;=2,"◆",IF($H20="Yes","X",LEFT($D20,1))),""))</f>
        <v/>
      </c>
      <c r="AC20" s="33">
        <f>IF(OR($E20="",$F20=""),"",IF(AND(AC$4&lt;=$F20,AC$4+6&gt;=$E20),IF($F20-$E20&lt;=2,"◆",IF($H20="Yes","X",LEFT($D20,1))),""))</f>
        <v/>
      </c>
      <c r="AD20" s="33">
        <f>IF(OR($E20="",$F20=""),"",IF(AND(AD$4&lt;=$F20,AD$4+6&gt;=$E20),IF($F20-$E20&lt;=2,"◆",IF($H20="Yes","X",LEFT($D20,1))),""))</f>
        <v/>
      </c>
      <c r="AE20" s="33">
        <f>IF(OR($E20="",$F20=""),"",IF(AND(AE$4&lt;=$F20,AE$4+6&gt;=$E20),IF($F20-$E20&lt;=2,"◆",IF($H20="Yes","X",LEFT($D20,1))),""))</f>
        <v/>
      </c>
      <c r="AF20" s="33">
        <f>IF(OR($E20="",$F20=""),"",IF(AND(AF$4&lt;=$F20,AF$4+6&gt;=$E20),IF($F20-$E20&lt;=2,"◆",IF($H20="Yes","X",LEFT($D20,1))),""))</f>
        <v/>
      </c>
      <c r="AG20" s="33">
        <f>IF(OR($E20="",$F20=""),"",IF(AND(AG$4&lt;=$F20,AG$4+6&gt;=$E20),IF($F20-$E20&lt;=2,"◆",IF($H20="Yes","X",LEFT($D20,1))),""))</f>
        <v/>
      </c>
      <c r="AH20" s="33">
        <f>IF(OR($E20="",$F20=""),"",IF(AND(AH$4&lt;=$F20,AH$4+6&gt;=$E20),IF($F20-$E20&lt;=2,"◆",IF($H20="Yes","X",LEFT($D20,1))),""))</f>
        <v/>
      </c>
      <c r="AI20" s="33">
        <f>IF(OR($E20="",$F20=""),"",IF(AND(AI$4&lt;=$F20,AI$4+6&gt;=$E20),IF($F20-$E20&lt;=2,"◆",IF($H20="Yes","X",LEFT($D20,1))),""))</f>
        <v/>
      </c>
      <c r="AJ20" s="33">
        <f>IF(OR($E20="",$F20=""),"",IF(AND(AJ$4&lt;=$F20,AJ$4+6&gt;=$E20),IF($F20-$E20&lt;=2,"◆",IF($H20="Yes","X",LEFT($D20,1))),""))</f>
        <v/>
      </c>
      <c r="AK20" s="33">
        <f>IF(OR($E20="",$F20=""),"",IF(AND(AK$4&lt;=$F20,AK$4+6&gt;=$E20),IF($F20-$E20&lt;=2,"◆",IF($H20="Yes","X",LEFT($D20,1))),""))</f>
        <v/>
      </c>
      <c r="AL20" s="33">
        <f>IF(OR($E20="",$F20=""),"",IF(AND(AL$4&lt;=$F20,AL$4+6&gt;=$E20),IF($F20-$E20&lt;=2,"◆",IF($H20="Yes","X",LEFT($D20,1))),""))</f>
        <v/>
      </c>
      <c r="AM20" s="33">
        <f>IF(OR($E20="",$F20=""),"",IF(AND(AM$4&lt;=$F20,AM$4+6&gt;=$E20),IF($F20-$E20&lt;=2,"◆",IF($H20="Yes","X",LEFT($D20,1))),""))</f>
        <v/>
      </c>
      <c r="AN20" s="33">
        <f>IF(OR($E20="",$F20=""),"",IF(AND(AN$4&lt;=$F20,AN$4+6&gt;=$E20),IF($F20-$E20&lt;=2,"◆",IF($H20="Yes","X",LEFT($D20,1))),""))</f>
        <v/>
      </c>
      <c r="AO20" s="33">
        <f>IF(OR($E20="",$F20=""),"",IF(AND(AO$4&lt;=$F20,AO$4+6&gt;=$E20),IF($F20-$E20&lt;=2,"◆",IF($H20="Yes","X",LEFT($D20,1))),""))</f>
        <v/>
      </c>
      <c r="AP20" s="33">
        <f>IF(OR($E20="",$F20=""),"",IF(AND(AP$4&lt;=$F20,AP$4+6&gt;=$E20),IF($F20-$E20&lt;=2,"◆",IF($H20="Yes","X",LEFT($D20,1))),""))</f>
        <v/>
      </c>
      <c r="AQ20" s="33">
        <f>IF(OR($E20="",$F20=""),"",IF(AND(AQ$4&lt;=$F20,AQ$4+6&gt;=$E20),IF($F20-$E20&lt;=2,"◆",IF($H20="Yes","X",LEFT($D20,1))),""))</f>
        <v/>
      </c>
      <c r="AR20" s="33">
        <f>IF(OR($E20="",$F20=""),"",IF(AND(AR$4&lt;=$F20,AR$4+6&gt;=$E20),IF($F20-$E20&lt;=2,"◆",IF($H20="Yes","X",LEFT($D20,1))),""))</f>
        <v/>
      </c>
      <c r="AS20" s="33">
        <f>IF(OR($E20="",$F20=""),"",IF(AND(AS$4&lt;=$F20,AS$4+6&gt;=$E20),IF($F20-$E20&lt;=2,"◆",IF($H20="Yes","X",LEFT($D20,1))),""))</f>
        <v/>
      </c>
      <c r="AT20" s="33">
        <f>IF(OR($E20="",$F20=""),"",IF(AND(AT$4&lt;=$F20,AT$4+6&gt;=$E20),IF($F20-$E20&lt;=2,"◆",IF($H20="Yes","X",LEFT($D20,1))),""))</f>
        <v/>
      </c>
      <c r="AU20" s="33">
        <f>IF(OR($E20="",$F20=""),"",IF(AND(AU$4&lt;=$F20,AU$4+6&gt;=$E20),IF($F20-$E20&lt;=2,"◆",IF($H20="Yes","X",LEFT($D20,1))),""))</f>
        <v/>
      </c>
      <c r="AV20" s="33">
        <f>IF(OR($E20="",$F20=""),"",IF(AND(AV$4&lt;=$F20,AV$4+6&gt;=$E20),IF($F20-$E20&lt;=2,"◆",IF($H20="Yes","X",LEFT($D20,1))),""))</f>
        <v/>
      </c>
      <c r="AW20" s="33">
        <f>IF(OR($E20="",$F20=""),"",IF(AND(AW$4&lt;=$F20,AW$4+6&gt;=$E20),IF($F20-$E20&lt;=2,"◆",IF($H20="Yes","X",LEFT($D20,1))),""))</f>
        <v/>
      </c>
      <c r="AX20" s="33">
        <f>IF(OR($E20="",$F20=""),"",IF(AND(AX$4&lt;=$F20,AX$4+6&gt;=$E20),IF($F20-$E20&lt;=2,"◆",IF($H20="Yes","X",LEFT($D20,1))),""))</f>
        <v/>
      </c>
      <c r="AY20" s="33">
        <f>IF(OR($E20="",$F20=""),"",IF(AND(AY$4&lt;=$F20,AY$4+6&gt;=$E20),IF($F20-$E20&lt;=2,"◆",IF($H20="Yes","X",LEFT($D20,1))),""))</f>
        <v/>
      </c>
      <c r="AZ20" s="33">
        <f>IF(OR($E20="",$F20=""),"",IF(AND(AZ$4&lt;=$F20,AZ$4+6&gt;=$E20),IF($F20-$E20&lt;=2,"◆",IF($H20="Yes","X",LEFT($D20,1))),""))</f>
        <v/>
      </c>
      <c r="BA20" s="33">
        <f>IF(OR($E20="",$F20=""),"",IF(AND(BA$4&lt;=$F20,BA$4+6&gt;=$E20),IF($F20-$E20&lt;=2,"◆",IF($H20="Yes","X",LEFT($D20,1))),""))</f>
        <v/>
      </c>
      <c r="BB20" s="33">
        <f>IF(OR($E20="",$F20=""),"",IF(AND(BB$4&lt;=$F20,BB$4+6&gt;=$E20),IF($F20-$E20&lt;=2,"◆",IF($H20="Yes","X",LEFT($D20,1))),""))</f>
        <v/>
      </c>
      <c r="BC20" s="33">
        <f>IF(OR($E20="",$F20=""),"",IF(AND(BC$4&lt;=$F20,BC$4+6&gt;=$E20),IF($F20-$E20&lt;=2,"◆",IF($H20="Yes","X",LEFT($D20,1))),""))</f>
        <v/>
      </c>
      <c r="BD20" s="33">
        <f>IF(OR($E20="",$F20=""),"",IF(AND(BD$4&lt;=$F20,BD$4+6&gt;=$E20),IF($F20-$E20&lt;=2,"◆",IF($H20="Yes","X",LEFT($D20,1))),""))</f>
        <v/>
      </c>
      <c r="BE20" s="33">
        <f>IF(OR($E20="",$F20=""),"",IF(AND(BE$4&lt;=$F20,BE$4+6&gt;=$E20),IF($F20-$E20&lt;=2,"◆",IF($H20="Yes","X",LEFT($D20,1))),""))</f>
        <v/>
      </c>
      <c r="BF20" s="33">
        <f>IF(OR($E20="",$F20=""),"",IF(AND(BF$4&lt;=$F20,BF$4+6&gt;=$E20),IF($F20-$E20&lt;=2,"◆",IF($H20="Yes","X",LEFT($D20,1))),""))</f>
        <v/>
      </c>
      <c r="BG20" s="33">
        <f>IF(OR($E20="",$F20=""),"",IF(AND(BG$4&lt;=$F20,BG$4+6&gt;=$E20),IF($F20-$E20&lt;=2,"◆",IF($H20="Yes","X",LEFT($D20,1))),""))</f>
        <v/>
      </c>
      <c r="BH20" s="33">
        <f>IF(OR($E20="",$F20=""),"",IF(AND(BH$4&lt;=$F20,BH$4+6&gt;=$E20),IF($F20-$E20&lt;=2,"◆",IF($H20="Yes","X",LEFT($D20,1))),""))</f>
        <v/>
      </c>
      <c r="BI20" s="33">
        <f>IF(OR($E20="",$F20=""),"",IF(AND(BI$4&lt;=$F20,BI$4+6&gt;=$E20),IF($F20-$E20&lt;=2,"◆",IF($H20="Yes","X",LEFT($D20,1))),""))</f>
        <v/>
      </c>
    </row>
    <row r="21">
      <c r="A21" s="30" t="inlineStr">
        <is>
          <t>T-017</t>
        </is>
      </c>
      <c r="B21" s="30" t="inlineStr">
        <is>
          <t>AI Display Audit &amp; Compliance Management</t>
        </is>
      </c>
      <c r="C21" s="30" t="inlineStr">
        <is>
          <t>MJ</t>
        </is>
      </c>
      <c r="D21" s="30" t="inlineStr">
        <is>
          <t>Blocked</t>
        </is>
      </c>
      <c r="E21" s="31" t="n">
        <v>46482</v>
      </c>
      <c r="F21" s="31" t="n">
        <v>46509</v>
      </c>
      <c r="G21" s="32" t="n">
        <v>0.14</v>
      </c>
      <c r="H21" s="30" t="inlineStr">
        <is>
          <t>No</t>
        </is>
      </c>
      <c r="I21" s="33">
        <f>IF(OR($E21="",$F21=""),"",IF(AND(I$4&lt;=$F21,I$4+6&gt;=$E21),IF($F21-$E21&lt;=2,"◆",IF($H21="Yes","X",LEFT($D21,1))),""))</f>
        <v/>
      </c>
      <c r="J21" s="33">
        <f>IF(OR($E21="",$F21=""),"",IF(AND(J$4&lt;=$F21,J$4+6&gt;=$E21),IF($F21-$E21&lt;=2,"◆",IF($H21="Yes","X",LEFT($D21,1))),""))</f>
        <v/>
      </c>
      <c r="K21" s="33">
        <f>IF(OR($E21="",$F21=""),"",IF(AND(K$4&lt;=$F21,K$4+6&gt;=$E21),IF($F21-$E21&lt;=2,"◆",IF($H21="Yes","X",LEFT($D21,1))),""))</f>
        <v/>
      </c>
      <c r="L21" s="33">
        <f>IF(OR($E21="",$F21=""),"",IF(AND(L$4&lt;=$F21,L$4+6&gt;=$E21),IF($F21-$E21&lt;=2,"◆",IF($H21="Yes","X",LEFT($D21,1))),""))</f>
        <v/>
      </c>
      <c r="M21" s="33">
        <f>IF(OR($E21="",$F21=""),"",IF(AND(M$4&lt;=$F21,M$4+6&gt;=$E21),IF($F21-$E21&lt;=2,"◆",IF($H21="Yes","X",LEFT($D21,1))),""))</f>
        <v/>
      </c>
      <c r="N21" s="33">
        <f>IF(OR($E21="",$F21=""),"",IF(AND(N$4&lt;=$F21,N$4+6&gt;=$E21),IF($F21-$E21&lt;=2,"◆",IF($H21="Yes","X",LEFT($D21,1))),""))</f>
        <v/>
      </c>
      <c r="O21" s="33">
        <f>IF(OR($E21="",$F21=""),"",IF(AND(O$4&lt;=$F21,O$4+6&gt;=$E21),IF($F21-$E21&lt;=2,"◆",IF($H21="Yes","X",LEFT($D21,1))),""))</f>
        <v/>
      </c>
      <c r="P21" s="33">
        <f>IF(OR($E21="",$F21=""),"",IF(AND(P$4&lt;=$F21,P$4+6&gt;=$E21),IF($F21-$E21&lt;=2,"◆",IF($H21="Yes","X",LEFT($D21,1))),""))</f>
        <v/>
      </c>
      <c r="Q21" s="33">
        <f>IF(OR($E21="",$F21=""),"",IF(AND(Q$4&lt;=$F21,Q$4+6&gt;=$E21),IF($F21-$E21&lt;=2,"◆",IF($H21="Yes","X",LEFT($D21,1))),""))</f>
        <v/>
      </c>
      <c r="R21" s="33">
        <f>IF(OR($E21="",$F21=""),"",IF(AND(R$4&lt;=$F21,R$4+6&gt;=$E21),IF($F21-$E21&lt;=2,"◆",IF($H21="Yes","X",LEFT($D21,1))),""))</f>
        <v/>
      </c>
      <c r="S21" s="33">
        <f>IF(OR($E21="",$F21=""),"",IF(AND(S$4&lt;=$F21,S$4+6&gt;=$E21),IF($F21-$E21&lt;=2,"◆",IF($H21="Yes","X",LEFT($D21,1))),""))</f>
        <v/>
      </c>
      <c r="T21" s="33">
        <f>IF(OR($E21="",$F21=""),"",IF(AND(T$4&lt;=$F21,T$4+6&gt;=$E21),IF($F21-$E21&lt;=2,"◆",IF($H21="Yes","X",LEFT($D21,1))),""))</f>
        <v/>
      </c>
      <c r="U21" s="33">
        <f>IF(OR($E21="",$F21=""),"",IF(AND(U$4&lt;=$F21,U$4+6&gt;=$E21),IF($F21-$E21&lt;=2,"◆",IF($H21="Yes","X",LEFT($D21,1))),""))</f>
        <v/>
      </c>
      <c r="V21" s="33">
        <f>IF(OR($E21="",$F21=""),"",IF(AND(V$4&lt;=$F21,V$4+6&gt;=$E21),IF($F21-$E21&lt;=2,"◆",IF($H21="Yes","X",LEFT($D21,1))),""))</f>
        <v/>
      </c>
      <c r="W21" s="33">
        <f>IF(OR($E21="",$F21=""),"",IF(AND(W$4&lt;=$F21,W$4+6&gt;=$E21),IF($F21-$E21&lt;=2,"◆",IF($H21="Yes","X",LEFT($D21,1))),""))</f>
        <v/>
      </c>
      <c r="X21" s="33">
        <f>IF(OR($E21="",$F21=""),"",IF(AND(X$4&lt;=$F21,X$4+6&gt;=$E21),IF($F21-$E21&lt;=2,"◆",IF($H21="Yes","X",LEFT($D21,1))),""))</f>
        <v/>
      </c>
      <c r="Y21" s="33">
        <f>IF(OR($E21="",$F21=""),"",IF(AND(Y$4&lt;=$F21,Y$4+6&gt;=$E21),IF($F21-$E21&lt;=2,"◆",IF($H21="Yes","X",LEFT($D21,1))),""))</f>
        <v/>
      </c>
      <c r="Z21" s="33">
        <f>IF(OR($E21="",$F21=""),"",IF(AND(Z$4&lt;=$F21,Z$4+6&gt;=$E21),IF($F21-$E21&lt;=2,"◆",IF($H21="Yes","X",LEFT($D21,1))),""))</f>
        <v/>
      </c>
      <c r="AA21" s="33">
        <f>IF(OR($E21="",$F21=""),"",IF(AND(AA$4&lt;=$F21,AA$4+6&gt;=$E21),IF($F21-$E21&lt;=2,"◆",IF($H21="Yes","X",LEFT($D21,1))),""))</f>
        <v/>
      </c>
      <c r="AB21" s="33">
        <f>IF(OR($E21="",$F21=""),"",IF(AND(AB$4&lt;=$F21,AB$4+6&gt;=$E21),IF($F21-$E21&lt;=2,"◆",IF($H21="Yes","X",LEFT($D21,1))),""))</f>
        <v/>
      </c>
      <c r="AC21" s="33">
        <f>IF(OR($E21="",$F21=""),"",IF(AND(AC$4&lt;=$F21,AC$4+6&gt;=$E21),IF($F21-$E21&lt;=2,"◆",IF($H21="Yes","X",LEFT($D21,1))),""))</f>
        <v/>
      </c>
      <c r="AD21" s="33">
        <f>IF(OR($E21="",$F21=""),"",IF(AND(AD$4&lt;=$F21,AD$4+6&gt;=$E21),IF($F21-$E21&lt;=2,"◆",IF($H21="Yes","X",LEFT($D21,1))),""))</f>
        <v/>
      </c>
      <c r="AE21" s="33">
        <f>IF(OR($E21="",$F21=""),"",IF(AND(AE$4&lt;=$F21,AE$4+6&gt;=$E21),IF($F21-$E21&lt;=2,"◆",IF($H21="Yes","X",LEFT($D21,1))),""))</f>
        <v/>
      </c>
      <c r="AF21" s="33">
        <f>IF(OR($E21="",$F21=""),"",IF(AND(AF$4&lt;=$F21,AF$4+6&gt;=$E21),IF($F21-$E21&lt;=2,"◆",IF($H21="Yes","X",LEFT($D21,1))),""))</f>
        <v/>
      </c>
      <c r="AG21" s="33">
        <f>IF(OR($E21="",$F21=""),"",IF(AND(AG$4&lt;=$F21,AG$4+6&gt;=$E21),IF($F21-$E21&lt;=2,"◆",IF($H21="Yes","X",LEFT($D21,1))),""))</f>
        <v/>
      </c>
      <c r="AH21" s="33">
        <f>IF(OR($E21="",$F21=""),"",IF(AND(AH$4&lt;=$F21,AH$4+6&gt;=$E21),IF($F21-$E21&lt;=2,"◆",IF($H21="Yes","X",LEFT($D21,1))),""))</f>
        <v/>
      </c>
      <c r="AI21" s="33">
        <f>IF(OR($E21="",$F21=""),"",IF(AND(AI$4&lt;=$F21,AI$4+6&gt;=$E21),IF($F21-$E21&lt;=2,"◆",IF($H21="Yes","X",LEFT($D21,1))),""))</f>
        <v/>
      </c>
      <c r="AJ21" s="33">
        <f>IF(OR($E21="",$F21=""),"",IF(AND(AJ$4&lt;=$F21,AJ$4+6&gt;=$E21),IF($F21-$E21&lt;=2,"◆",IF($H21="Yes","X",LEFT($D21,1))),""))</f>
        <v/>
      </c>
      <c r="AK21" s="33">
        <f>IF(OR($E21="",$F21=""),"",IF(AND(AK$4&lt;=$F21,AK$4+6&gt;=$E21),IF($F21-$E21&lt;=2,"◆",IF($H21="Yes","X",LEFT($D21,1))),""))</f>
        <v/>
      </c>
      <c r="AL21" s="33">
        <f>IF(OR($E21="",$F21=""),"",IF(AND(AL$4&lt;=$F21,AL$4+6&gt;=$E21),IF($F21-$E21&lt;=2,"◆",IF($H21="Yes","X",LEFT($D21,1))),""))</f>
        <v/>
      </c>
      <c r="AM21" s="33">
        <f>IF(OR($E21="",$F21=""),"",IF(AND(AM$4&lt;=$F21,AM$4+6&gt;=$E21),IF($F21-$E21&lt;=2,"◆",IF($H21="Yes","X",LEFT($D21,1))),""))</f>
        <v/>
      </c>
      <c r="AN21" s="33">
        <f>IF(OR($E21="",$F21=""),"",IF(AND(AN$4&lt;=$F21,AN$4+6&gt;=$E21),IF($F21-$E21&lt;=2,"◆",IF($H21="Yes","X",LEFT($D21,1))),""))</f>
        <v/>
      </c>
      <c r="AO21" s="33">
        <f>IF(OR($E21="",$F21=""),"",IF(AND(AO$4&lt;=$F21,AO$4+6&gt;=$E21),IF($F21-$E21&lt;=2,"◆",IF($H21="Yes","X",LEFT($D21,1))),""))</f>
        <v/>
      </c>
      <c r="AP21" s="33">
        <f>IF(OR($E21="",$F21=""),"",IF(AND(AP$4&lt;=$F21,AP$4+6&gt;=$E21),IF($F21-$E21&lt;=2,"◆",IF($H21="Yes","X",LEFT($D21,1))),""))</f>
        <v/>
      </c>
      <c r="AQ21" s="33">
        <f>IF(OR($E21="",$F21=""),"",IF(AND(AQ$4&lt;=$F21,AQ$4+6&gt;=$E21),IF($F21-$E21&lt;=2,"◆",IF($H21="Yes","X",LEFT($D21,1))),""))</f>
        <v/>
      </c>
      <c r="AR21" s="33">
        <f>IF(OR($E21="",$F21=""),"",IF(AND(AR$4&lt;=$F21,AR$4+6&gt;=$E21),IF($F21-$E21&lt;=2,"◆",IF($H21="Yes","X",LEFT($D21,1))),""))</f>
        <v/>
      </c>
      <c r="AS21" s="33">
        <f>IF(OR($E21="",$F21=""),"",IF(AND(AS$4&lt;=$F21,AS$4+6&gt;=$E21),IF($F21-$E21&lt;=2,"◆",IF($H21="Yes","X",LEFT($D21,1))),""))</f>
        <v/>
      </c>
      <c r="AT21" s="33">
        <f>IF(OR($E21="",$F21=""),"",IF(AND(AT$4&lt;=$F21,AT$4+6&gt;=$E21),IF($F21-$E21&lt;=2,"◆",IF($H21="Yes","X",LEFT($D21,1))),""))</f>
        <v/>
      </c>
      <c r="AU21" s="33">
        <f>IF(OR($E21="",$F21=""),"",IF(AND(AU$4&lt;=$F21,AU$4+6&gt;=$E21),IF($F21-$E21&lt;=2,"◆",IF($H21="Yes","X",LEFT($D21,1))),""))</f>
        <v/>
      </c>
      <c r="AV21" s="33">
        <f>IF(OR($E21="",$F21=""),"",IF(AND(AV$4&lt;=$F21,AV$4+6&gt;=$E21),IF($F21-$E21&lt;=2,"◆",IF($H21="Yes","X",LEFT($D21,1))),""))</f>
        <v/>
      </c>
      <c r="AW21" s="33">
        <f>IF(OR($E21="",$F21=""),"",IF(AND(AW$4&lt;=$F21,AW$4+6&gt;=$E21),IF($F21-$E21&lt;=2,"◆",IF($H21="Yes","X",LEFT($D21,1))),""))</f>
        <v/>
      </c>
      <c r="AX21" s="33">
        <f>IF(OR($E21="",$F21=""),"",IF(AND(AX$4&lt;=$F21,AX$4+6&gt;=$E21),IF($F21-$E21&lt;=2,"◆",IF($H21="Yes","X",LEFT($D21,1))),""))</f>
        <v/>
      </c>
      <c r="AY21" s="33">
        <f>IF(OR($E21="",$F21=""),"",IF(AND(AY$4&lt;=$F21,AY$4+6&gt;=$E21),IF($F21-$E21&lt;=2,"◆",IF($H21="Yes","X",LEFT($D21,1))),""))</f>
        <v/>
      </c>
      <c r="AZ21" s="33">
        <f>IF(OR($E21="",$F21=""),"",IF(AND(AZ$4&lt;=$F21,AZ$4+6&gt;=$E21),IF($F21-$E21&lt;=2,"◆",IF($H21="Yes","X",LEFT($D21,1))),""))</f>
        <v/>
      </c>
      <c r="BA21" s="33">
        <f>IF(OR($E21="",$F21=""),"",IF(AND(BA$4&lt;=$F21,BA$4+6&gt;=$E21),IF($F21-$E21&lt;=2,"◆",IF($H21="Yes","X",LEFT($D21,1))),""))</f>
        <v/>
      </c>
      <c r="BB21" s="33">
        <f>IF(OR($E21="",$F21=""),"",IF(AND(BB$4&lt;=$F21,BB$4+6&gt;=$E21),IF($F21-$E21&lt;=2,"◆",IF($H21="Yes","X",LEFT($D21,1))),""))</f>
        <v/>
      </c>
      <c r="BC21" s="33">
        <f>IF(OR($E21="",$F21=""),"",IF(AND(BC$4&lt;=$F21,BC$4+6&gt;=$E21),IF($F21-$E21&lt;=2,"◆",IF($H21="Yes","X",LEFT($D21,1))),""))</f>
        <v/>
      </c>
      <c r="BD21" s="33">
        <f>IF(OR($E21="",$F21=""),"",IF(AND(BD$4&lt;=$F21,BD$4+6&gt;=$E21),IF($F21-$E21&lt;=2,"◆",IF($H21="Yes","X",LEFT($D21,1))),""))</f>
        <v/>
      </c>
      <c r="BE21" s="33">
        <f>IF(OR($E21="",$F21=""),"",IF(AND(BE$4&lt;=$F21,BE$4+6&gt;=$E21),IF($F21-$E21&lt;=2,"◆",IF($H21="Yes","X",LEFT($D21,1))),""))</f>
        <v/>
      </c>
      <c r="BF21" s="33">
        <f>IF(OR($E21="",$F21=""),"",IF(AND(BF$4&lt;=$F21,BF$4+6&gt;=$E21),IF($F21-$E21&lt;=2,"◆",IF($H21="Yes","X",LEFT($D21,1))),""))</f>
        <v/>
      </c>
      <c r="BG21" s="33">
        <f>IF(OR($E21="",$F21=""),"",IF(AND(BG$4&lt;=$F21,BG$4+6&gt;=$E21),IF($F21-$E21&lt;=2,"◆",IF($H21="Yes","X",LEFT($D21,1))),""))</f>
        <v/>
      </c>
      <c r="BH21" s="33">
        <f>IF(OR($E21="",$F21=""),"",IF(AND(BH$4&lt;=$F21,BH$4+6&gt;=$E21),IF($F21-$E21&lt;=2,"◆",IF($H21="Yes","X",LEFT($D21,1))),""))</f>
        <v/>
      </c>
      <c r="BI21" s="33">
        <f>IF(OR($E21="",$F21=""),"",IF(AND(BI$4&lt;=$F21,BI$4+6&gt;=$E21),IF($F21-$E21&lt;=2,"◆",IF($H21="Yes","X",LEFT($D21,1))),""))</f>
        <v/>
      </c>
    </row>
    <row r="22">
      <c r="A22" s="30" t="inlineStr">
        <is>
          <t>T-018</t>
        </is>
      </c>
      <c r="B22" s="30" t="inlineStr">
        <is>
          <t>Organization-Centric Loyalty Journey</t>
        </is>
      </c>
      <c r="C22" s="30" t="inlineStr">
        <is>
          <t>MJ</t>
        </is>
      </c>
      <c r="D22" s="30" t="inlineStr">
        <is>
          <t>At Risk</t>
        </is>
      </c>
      <c r="E22" s="31" t="n">
        <v>46500</v>
      </c>
      <c r="F22" s="31" t="n">
        <v>46527</v>
      </c>
      <c r="G22" s="32" t="n">
        <v>0.05</v>
      </c>
      <c r="H22" s="30" t="inlineStr">
        <is>
          <t>No</t>
        </is>
      </c>
      <c r="I22" s="33">
        <f>IF(OR($E22="",$F22=""),"",IF(AND(I$4&lt;=$F22,I$4+6&gt;=$E22),IF($F22-$E22&lt;=2,"◆",IF($H22="Yes","X",LEFT($D22,1))),""))</f>
        <v/>
      </c>
      <c r="J22" s="33">
        <f>IF(OR($E22="",$F22=""),"",IF(AND(J$4&lt;=$F22,J$4+6&gt;=$E22),IF($F22-$E22&lt;=2,"◆",IF($H22="Yes","X",LEFT($D22,1))),""))</f>
        <v/>
      </c>
      <c r="K22" s="33">
        <f>IF(OR($E22="",$F22=""),"",IF(AND(K$4&lt;=$F22,K$4+6&gt;=$E22),IF($F22-$E22&lt;=2,"◆",IF($H22="Yes","X",LEFT($D22,1))),""))</f>
        <v/>
      </c>
      <c r="L22" s="33">
        <f>IF(OR($E22="",$F22=""),"",IF(AND(L$4&lt;=$F22,L$4+6&gt;=$E22),IF($F22-$E22&lt;=2,"◆",IF($H22="Yes","X",LEFT($D22,1))),""))</f>
        <v/>
      </c>
      <c r="M22" s="33">
        <f>IF(OR($E22="",$F22=""),"",IF(AND(M$4&lt;=$F22,M$4+6&gt;=$E22),IF($F22-$E22&lt;=2,"◆",IF($H22="Yes","X",LEFT($D22,1))),""))</f>
        <v/>
      </c>
      <c r="N22" s="33">
        <f>IF(OR($E22="",$F22=""),"",IF(AND(N$4&lt;=$F22,N$4+6&gt;=$E22),IF($F22-$E22&lt;=2,"◆",IF($H22="Yes","X",LEFT($D22,1))),""))</f>
        <v/>
      </c>
      <c r="O22" s="33">
        <f>IF(OR($E22="",$F22=""),"",IF(AND(O$4&lt;=$F22,O$4+6&gt;=$E22),IF($F22-$E22&lt;=2,"◆",IF($H22="Yes","X",LEFT($D22,1))),""))</f>
        <v/>
      </c>
      <c r="P22" s="33">
        <f>IF(OR($E22="",$F22=""),"",IF(AND(P$4&lt;=$F22,P$4+6&gt;=$E22),IF($F22-$E22&lt;=2,"◆",IF($H22="Yes","X",LEFT($D22,1))),""))</f>
        <v/>
      </c>
      <c r="Q22" s="33">
        <f>IF(OR($E22="",$F22=""),"",IF(AND(Q$4&lt;=$F22,Q$4+6&gt;=$E22),IF($F22-$E22&lt;=2,"◆",IF($H22="Yes","X",LEFT($D22,1))),""))</f>
        <v/>
      </c>
      <c r="R22" s="33">
        <f>IF(OR($E22="",$F22=""),"",IF(AND(R$4&lt;=$F22,R$4+6&gt;=$E22),IF($F22-$E22&lt;=2,"◆",IF($H22="Yes","X",LEFT($D22,1))),""))</f>
        <v/>
      </c>
      <c r="S22" s="33">
        <f>IF(OR($E22="",$F22=""),"",IF(AND(S$4&lt;=$F22,S$4+6&gt;=$E22),IF($F22-$E22&lt;=2,"◆",IF($H22="Yes","X",LEFT($D22,1))),""))</f>
        <v/>
      </c>
      <c r="T22" s="33">
        <f>IF(OR($E22="",$F22=""),"",IF(AND(T$4&lt;=$F22,T$4+6&gt;=$E22),IF($F22-$E22&lt;=2,"◆",IF($H22="Yes","X",LEFT($D22,1))),""))</f>
        <v/>
      </c>
      <c r="U22" s="33">
        <f>IF(OR($E22="",$F22=""),"",IF(AND(U$4&lt;=$F22,U$4+6&gt;=$E22),IF($F22-$E22&lt;=2,"◆",IF($H22="Yes","X",LEFT($D22,1))),""))</f>
        <v/>
      </c>
      <c r="V22" s="33">
        <f>IF(OR($E22="",$F22=""),"",IF(AND(V$4&lt;=$F22,V$4+6&gt;=$E22),IF($F22-$E22&lt;=2,"◆",IF($H22="Yes","X",LEFT($D22,1))),""))</f>
        <v/>
      </c>
      <c r="W22" s="33">
        <f>IF(OR($E22="",$F22=""),"",IF(AND(W$4&lt;=$F22,W$4+6&gt;=$E22),IF($F22-$E22&lt;=2,"◆",IF($H22="Yes","X",LEFT($D22,1))),""))</f>
        <v/>
      </c>
      <c r="X22" s="33">
        <f>IF(OR($E22="",$F22=""),"",IF(AND(X$4&lt;=$F22,X$4+6&gt;=$E22),IF($F22-$E22&lt;=2,"◆",IF($H22="Yes","X",LEFT($D22,1))),""))</f>
        <v/>
      </c>
      <c r="Y22" s="33">
        <f>IF(OR($E22="",$F22=""),"",IF(AND(Y$4&lt;=$F22,Y$4+6&gt;=$E22),IF($F22-$E22&lt;=2,"◆",IF($H22="Yes","X",LEFT($D22,1))),""))</f>
        <v/>
      </c>
      <c r="Z22" s="33">
        <f>IF(OR($E22="",$F22=""),"",IF(AND(Z$4&lt;=$F22,Z$4+6&gt;=$E22),IF($F22-$E22&lt;=2,"◆",IF($H22="Yes","X",LEFT($D22,1))),""))</f>
        <v/>
      </c>
      <c r="AA22" s="33">
        <f>IF(OR($E22="",$F22=""),"",IF(AND(AA$4&lt;=$F22,AA$4+6&gt;=$E22),IF($F22-$E22&lt;=2,"◆",IF($H22="Yes","X",LEFT($D22,1))),""))</f>
        <v/>
      </c>
      <c r="AB22" s="33">
        <f>IF(OR($E22="",$F22=""),"",IF(AND(AB$4&lt;=$F22,AB$4+6&gt;=$E22),IF($F22-$E22&lt;=2,"◆",IF($H22="Yes","X",LEFT($D22,1))),""))</f>
        <v/>
      </c>
      <c r="AC22" s="33">
        <f>IF(OR($E22="",$F22=""),"",IF(AND(AC$4&lt;=$F22,AC$4+6&gt;=$E22),IF($F22-$E22&lt;=2,"◆",IF($H22="Yes","X",LEFT($D22,1))),""))</f>
        <v/>
      </c>
      <c r="AD22" s="33">
        <f>IF(OR($E22="",$F22=""),"",IF(AND(AD$4&lt;=$F22,AD$4+6&gt;=$E22),IF($F22-$E22&lt;=2,"◆",IF($H22="Yes","X",LEFT($D22,1))),""))</f>
        <v/>
      </c>
      <c r="AE22" s="33">
        <f>IF(OR($E22="",$F22=""),"",IF(AND(AE$4&lt;=$F22,AE$4+6&gt;=$E22),IF($F22-$E22&lt;=2,"◆",IF($H22="Yes","X",LEFT($D22,1))),""))</f>
        <v/>
      </c>
      <c r="AF22" s="33">
        <f>IF(OR($E22="",$F22=""),"",IF(AND(AF$4&lt;=$F22,AF$4+6&gt;=$E22),IF($F22-$E22&lt;=2,"◆",IF($H22="Yes","X",LEFT($D22,1))),""))</f>
        <v/>
      </c>
      <c r="AG22" s="33">
        <f>IF(OR($E22="",$F22=""),"",IF(AND(AG$4&lt;=$F22,AG$4+6&gt;=$E22),IF($F22-$E22&lt;=2,"◆",IF($H22="Yes","X",LEFT($D22,1))),""))</f>
        <v/>
      </c>
      <c r="AH22" s="33">
        <f>IF(OR($E22="",$F22=""),"",IF(AND(AH$4&lt;=$F22,AH$4+6&gt;=$E22),IF($F22-$E22&lt;=2,"◆",IF($H22="Yes","X",LEFT($D22,1))),""))</f>
        <v/>
      </c>
      <c r="AI22" s="33">
        <f>IF(OR($E22="",$F22=""),"",IF(AND(AI$4&lt;=$F22,AI$4+6&gt;=$E22),IF($F22-$E22&lt;=2,"◆",IF($H22="Yes","X",LEFT($D22,1))),""))</f>
        <v/>
      </c>
      <c r="AJ22" s="33">
        <f>IF(OR($E22="",$F22=""),"",IF(AND(AJ$4&lt;=$F22,AJ$4+6&gt;=$E22),IF($F22-$E22&lt;=2,"◆",IF($H22="Yes","X",LEFT($D22,1))),""))</f>
        <v/>
      </c>
      <c r="AK22" s="33">
        <f>IF(OR($E22="",$F22=""),"",IF(AND(AK$4&lt;=$F22,AK$4+6&gt;=$E22),IF($F22-$E22&lt;=2,"◆",IF($H22="Yes","X",LEFT($D22,1))),""))</f>
        <v/>
      </c>
      <c r="AL22" s="33">
        <f>IF(OR($E22="",$F22=""),"",IF(AND(AL$4&lt;=$F22,AL$4+6&gt;=$E22),IF($F22-$E22&lt;=2,"◆",IF($H22="Yes","X",LEFT($D22,1))),""))</f>
        <v/>
      </c>
      <c r="AM22" s="33">
        <f>IF(OR($E22="",$F22=""),"",IF(AND(AM$4&lt;=$F22,AM$4+6&gt;=$E22),IF($F22-$E22&lt;=2,"◆",IF($H22="Yes","X",LEFT($D22,1))),""))</f>
        <v/>
      </c>
      <c r="AN22" s="33">
        <f>IF(OR($E22="",$F22=""),"",IF(AND(AN$4&lt;=$F22,AN$4+6&gt;=$E22),IF($F22-$E22&lt;=2,"◆",IF($H22="Yes","X",LEFT($D22,1))),""))</f>
        <v/>
      </c>
      <c r="AO22" s="33">
        <f>IF(OR($E22="",$F22=""),"",IF(AND(AO$4&lt;=$F22,AO$4+6&gt;=$E22),IF($F22-$E22&lt;=2,"◆",IF($H22="Yes","X",LEFT($D22,1))),""))</f>
        <v/>
      </c>
      <c r="AP22" s="33">
        <f>IF(OR($E22="",$F22=""),"",IF(AND(AP$4&lt;=$F22,AP$4+6&gt;=$E22),IF($F22-$E22&lt;=2,"◆",IF($H22="Yes","X",LEFT($D22,1))),""))</f>
        <v/>
      </c>
      <c r="AQ22" s="33">
        <f>IF(OR($E22="",$F22=""),"",IF(AND(AQ$4&lt;=$F22,AQ$4+6&gt;=$E22),IF($F22-$E22&lt;=2,"◆",IF($H22="Yes","X",LEFT($D22,1))),""))</f>
        <v/>
      </c>
      <c r="AR22" s="33">
        <f>IF(OR($E22="",$F22=""),"",IF(AND(AR$4&lt;=$F22,AR$4+6&gt;=$E22),IF($F22-$E22&lt;=2,"◆",IF($H22="Yes","X",LEFT($D22,1))),""))</f>
        <v/>
      </c>
      <c r="AS22" s="33">
        <f>IF(OR($E22="",$F22=""),"",IF(AND(AS$4&lt;=$F22,AS$4+6&gt;=$E22),IF($F22-$E22&lt;=2,"◆",IF($H22="Yes","X",LEFT($D22,1))),""))</f>
        <v/>
      </c>
      <c r="AT22" s="33">
        <f>IF(OR($E22="",$F22=""),"",IF(AND(AT$4&lt;=$F22,AT$4+6&gt;=$E22),IF($F22-$E22&lt;=2,"◆",IF($H22="Yes","X",LEFT($D22,1))),""))</f>
        <v/>
      </c>
      <c r="AU22" s="33">
        <f>IF(OR($E22="",$F22=""),"",IF(AND(AU$4&lt;=$F22,AU$4+6&gt;=$E22),IF($F22-$E22&lt;=2,"◆",IF($H22="Yes","X",LEFT($D22,1))),""))</f>
        <v/>
      </c>
      <c r="AV22" s="33">
        <f>IF(OR($E22="",$F22=""),"",IF(AND(AV$4&lt;=$F22,AV$4+6&gt;=$E22),IF($F22-$E22&lt;=2,"◆",IF($H22="Yes","X",LEFT($D22,1))),""))</f>
        <v/>
      </c>
      <c r="AW22" s="33">
        <f>IF(OR($E22="",$F22=""),"",IF(AND(AW$4&lt;=$F22,AW$4+6&gt;=$E22),IF($F22-$E22&lt;=2,"◆",IF($H22="Yes","X",LEFT($D22,1))),""))</f>
        <v/>
      </c>
      <c r="AX22" s="33">
        <f>IF(OR($E22="",$F22=""),"",IF(AND(AX$4&lt;=$F22,AX$4+6&gt;=$E22),IF($F22-$E22&lt;=2,"◆",IF($H22="Yes","X",LEFT($D22,1))),""))</f>
        <v/>
      </c>
      <c r="AY22" s="33">
        <f>IF(OR($E22="",$F22=""),"",IF(AND(AY$4&lt;=$F22,AY$4+6&gt;=$E22),IF($F22-$E22&lt;=2,"◆",IF($H22="Yes","X",LEFT($D22,1))),""))</f>
        <v/>
      </c>
      <c r="AZ22" s="33">
        <f>IF(OR($E22="",$F22=""),"",IF(AND(AZ$4&lt;=$F22,AZ$4+6&gt;=$E22),IF($F22-$E22&lt;=2,"◆",IF($H22="Yes","X",LEFT($D22,1))),""))</f>
        <v/>
      </c>
      <c r="BA22" s="33">
        <f>IF(OR($E22="",$F22=""),"",IF(AND(BA$4&lt;=$F22,BA$4+6&gt;=$E22),IF($F22-$E22&lt;=2,"◆",IF($H22="Yes","X",LEFT($D22,1))),""))</f>
        <v/>
      </c>
      <c r="BB22" s="33">
        <f>IF(OR($E22="",$F22=""),"",IF(AND(BB$4&lt;=$F22,BB$4+6&gt;=$E22),IF($F22-$E22&lt;=2,"◆",IF($H22="Yes","X",LEFT($D22,1))),""))</f>
        <v/>
      </c>
      <c r="BC22" s="33">
        <f>IF(OR($E22="",$F22=""),"",IF(AND(BC$4&lt;=$F22,BC$4+6&gt;=$E22),IF($F22-$E22&lt;=2,"◆",IF($H22="Yes","X",LEFT($D22,1))),""))</f>
        <v/>
      </c>
      <c r="BD22" s="33">
        <f>IF(OR($E22="",$F22=""),"",IF(AND(BD$4&lt;=$F22,BD$4+6&gt;=$E22),IF($F22-$E22&lt;=2,"◆",IF($H22="Yes","X",LEFT($D22,1))),""))</f>
        <v/>
      </c>
      <c r="BE22" s="33">
        <f>IF(OR($E22="",$F22=""),"",IF(AND(BE$4&lt;=$F22,BE$4+6&gt;=$E22),IF($F22-$E22&lt;=2,"◆",IF($H22="Yes","X",LEFT($D22,1))),""))</f>
        <v/>
      </c>
      <c r="BF22" s="33">
        <f>IF(OR($E22="",$F22=""),"",IF(AND(BF$4&lt;=$F22,BF$4+6&gt;=$E22),IF($F22-$E22&lt;=2,"◆",IF($H22="Yes","X",LEFT($D22,1))),""))</f>
        <v/>
      </c>
      <c r="BG22" s="33">
        <f>IF(OR($E22="",$F22=""),"",IF(AND(BG$4&lt;=$F22,BG$4+6&gt;=$E22),IF($F22-$E22&lt;=2,"◆",IF($H22="Yes","X",LEFT($D22,1))),""))</f>
        <v/>
      </c>
      <c r="BH22" s="33">
        <f>IF(OR($E22="",$F22=""),"",IF(AND(BH$4&lt;=$F22,BH$4+6&gt;=$E22),IF($F22-$E22&lt;=2,"◆",IF($H22="Yes","X",LEFT($D22,1))),""))</f>
        <v/>
      </c>
      <c r="BI22" s="33">
        <f>IF(OR($E22="",$F22=""),"",IF(AND(BI$4&lt;=$F22,BI$4+6&gt;=$E22),IF($F22-$E22&lt;=2,"◆",IF($H22="Yes","X",LEFT($D22,1))),""))</f>
        <v/>
      </c>
    </row>
    <row r="23">
      <c r="A23" s="30" t="inlineStr">
        <is>
          <t>T-019</t>
        </is>
      </c>
      <c r="B23" s="30" t="inlineStr">
        <is>
          <t>Social Advocacy &amp; Partner Influence Platform</t>
        </is>
      </c>
      <c r="C23" s="30" t="inlineStr">
        <is>
          <t>MJ</t>
        </is>
      </c>
      <c r="D23" s="30" t="inlineStr">
        <is>
          <t>At Risk</t>
        </is>
      </c>
      <c r="E23" s="31" t="n">
        <v>46500</v>
      </c>
      <c r="F23" s="31" t="n">
        <v>46520</v>
      </c>
      <c r="G23" s="32" t="n">
        <v>0.2</v>
      </c>
      <c r="H23" s="30" t="inlineStr">
        <is>
          <t>No</t>
        </is>
      </c>
      <c r="I23" s="33">
        <f>IF(OR($E23="",$F23=""),"",IF(AND(I$4&lt;=$F23,I$4+6&gt;=$E23),IF($F23-$E23&lt;=2,"◆",IF($H23="Yes","X",LEFT($D23,1))),""))</f>
        <v/>
      </c>
      <c r="J23" s="33">
        <f>IF(OR($E23="",$F23=""),"",IF(AND(J$4&lt;=$F23,J$4+6&gt;=$E23),IF($F23-$E23&lt;=2,"◆",IF($H23="Yes","X",LEFT($D23,1))),""))</f>
        <v/>
      </c>
      <c r="K23" s="33">
        <f>IF(OR($E23="",$F23=""),"",IF(AND(K$4&lt;=$F23,K$4+6&gt;=$E23),IF($F23-$E23&lt;=2,"◆",IF($H23="Yes","X",LEFT($D23,1))),""))</f>
        <v/>
      </c>
      <c r="L23" s="33">
        <f>IF(OR($E23="",$F23=""),"",IF(AND(L$4&lt;=$F23,L$4+6&gt;=$E23),IF($F23-$E23&lt;=2,"◆",IF($H23="Yes","X",LEFT($D23,1))),""))</f>
        <v/>
      </c>
      <c r="M23" s="33">
        <f>IF(OR($E23="",$F23=""),"",IF(AND(M$4&lt;=$F23,M$4+6&gt;=$E23),IF($F23-$E23&lt;=2,"◆",IF($H23="Yes","X",LEFT($D23,1))),""))</f>
        <v/>
      </c>
      <c r="N23" s="33">
        <f>IF(OR($E23="",$F23=""),"",IF(AND(N$4&lt;=$F23,N$4+6&gt;=$E23),IF($F23-$E23&lt;=2,"◆",IF($H23="Yes","X",LEFT($D23,1))),""))</f>
        <v/>
      </c>
      <c r="O23" s="33">
        <f>IF(OR($E23="",$F23=""),"",IF(AND(O$4&lt;=$F23,O$4+6&gt;=$E23),IF($F23-$E23&lt;=2,"◆",IF($H23="Yes","X",LEFT($D23,1))),""))</f>
        <v/>
      </c>
      <c r="P23" s="33">
        <f>IF(OR($E23="",$F23=""),"",IF(AND(P$4&lt;=$F23,P$4+6&gt;=$E23),IF($F23-$E23&lt;=2,"◆",IF($H23="Yes","X",LEFT($D23,1))),""))</f>
        <v/>
      </c>
      <c r="Q23" s="33">
        <f>IF(OR($E23="",$F23=""),"",IF(AND(Q$4&lt;=$F23,Q$4+6&gt;=$E23),IF($F23-$E23&lt;=2,"◆",IF($H23="Yes","X",LEFT($D23,1))),""))</f>
        <v/>
      </c>
      <c r="R23" s="33">
        <f>IF(OR($E23="",$F23=""),"",IF(AND(R$4&lt;=$F23,R$4+6&gt;=$E23),IF($F23-$E23&lt;=2,"◆",IF($H23="Yes","X",LEFT($D23,1))),""))</f>
        <v/>
      </c>
      <c r="S23" s="33">
        <f>IF(OR($E23="",$F23=""),"",IF(AND(S$4&lt;=$F23,S$4+6&gt;=$E23),IF($F23-$E23&lt;=2,"◆",IF($H23="Yes","X",LEFT($D23,1))),""))</f>
        <v/>
      </c>
      <c r="T23" s="33">
        <f>IF(OR($E23="",$F23=""),"",IF(AND(T$4&lt;=$F23,T$4+6&gt;=$E23),IF($F23-$E23&lt;=2,"◆",IF($H23="Yes","X",LEFT($D23,1))),""))</f>
        <v/>
      </c>
      <c r="U23" s="33">
        <f>IF(OR($E23="",$F23=""),"",IF(AND(U$4&lt;=$F23,U$4+6&gt;=$E23),IF($F23-$E23&lt;=2,"◆",IF($H23="Yes","X",LEFT($D23,1))),""))</f>
        <v/>
      </c>
      <c r="V23" s="33">
        <f>IF(OR($E23="",$F23=""),"",IF(AND(V$4&lt;=$F23,V$4+6&gt;=$E23),IF($F23-$E23&lt;=2,"◆",IF($H23="Yes","X",LEFT($D23,1))),""))</f>
        <v/>
      </c>
      <c r="W23" s="33">
        <f>IF(OR($E23="",$F23=""),"",IF(AND(W$4&lt;=$F23,W$4+6&gt;=$E23),IF($F23-$E23&lt;=2,"◆",IF($H23="Yes","X",LEFT($D23,1))),""))</f>
        <v/>
      </c>
      <c r="X23" s="33">
        <f>IF(OR($E23="",$F23=""),"",IF(AND(X$4&lt;=$F23,X$4+6&gt;=$E23),IF($F23-$E23&lt;=2,"◆",IF($H23="Yes","X",LEFT($D23,1))),""))</f>
        <v/>
      </c>
      <c r="Y23" s="33">
        <f>IF(OR($E23="",$F23=""),"",IF(AND(Y$4&lt;=$F23,Y$4+6&gt;=$E23),IF($F23-$E23&lt;=2,"◆",IF($H23="Yes","X",LEFT($D23,1))),""))</f>
        <v/>
      </c>
      <c r="Z23" s="33">
        <f>IF(OR($E23="",$F23=""),"",IF(AND(Z$4&lt;=$F23,Z$4+6&gt;=$E23),IF($F23-$E23&lt;=2,"◆",IF($H23="Yes","X",LEFT($D23,1))),""))</f>
        <v/>
      </c>
      <c r="AA23" s="33">
        <f>IF(OR($E23="",$F23=""),"",IF(AND(AA$4&lt;=$F23,AA$4+6&gt;=$E23),IF($F23-$E23&lt;=2,"◆",IF($H23="Yes","X",LEFT($D23,1))),""))</f>
        <v/>
      </c>
      <c r="AB23" s="33">
        <f>IF(OR($E23="",$F23=""),"",IF(AND(AB$4&lt;=$F23,AB$4+6&gt;=$E23),IF($F23-$E23&lt;=2,"◆",IF($H23="Yes","X",LEFT($D23,1))),""))</f>
        <v/>
      </c>
      <c r="AC23" s="33">
        <f>IF(OR($E23="",$F23=""),"",IF(AND(AC$4&lt;=$F23,AC$4+6&gt;=$E23),IF($F23-$E23&lt;=2,"◆",IF($H23="Yes","X",LEFT($D23,1))),""))</f>
        <v/>
      </c>
      <c r="AD23" s="33">
        <f>IF(OR($E23="",$F23=""),"",IF(AND(AD$4&lt;=$F23,AD$4+6&gt;=$E23),IF($F23-$E23&lt;=2,"◆",IF($H23="Yes","X",LEFT($D23,1))),""))</f>
        <v/>
      </c>
      <c r="AE23" s="33">
        <f>IF(OR($E23="",$F23=""),"",IF(AND(AE$4&lt;=$F23,AE$4+6&gt;=$E23),IF($F23-$E23&lt;=2,"◆",IF($H23="Yes","X",LEFT($D23,1))),""))</f>
        <v/>
      </c>
      <c r="AF23" s="33">
        <f>IF(OR($E23="",$F23=""),"",IF(AND(AF$4&lt;=$F23,AF$4+6&gt;=$E23),IF($F23-$E23&lt;=2,"◆",IF($H23="Yes","X",LEFT($D23,1))),""))</f>
        <v/>
      </c>
      <c r="AG23" s="33">
        <f>IF(OR($E23="",$F23=""),"",IF(AND(AG$4&lt;=$F23,AG$4+6&gt;=$E23),IF($F23-$E23&lt;=2,"◆",IF($H23="Yes","X",LEFT($D23,1))),""))</f>
        <v/>
      </c>
      <c r="AH23" s="33">
        <f>IF(OR($E23="",$F23=""),"",IF(AND(AH$4&lt;=$F23,AH$4+6&gt;=$E23),IF($F23-$E23&lt;=2,"◆",IF($H23="Yes","X",LEFT($D23,1))),""))</f>
        <v/>
      </c>
      <c r="AI23" s="33">
        <f>IF(OR($E23="",$F23=""),"",IF(AND(AI$4&lt;=$F23,AI$4+6&gt;=$E23),IF($F23-$E23&lt;=2,"◆",IF($H23="Yes","X",LEFT($D23,1))),""))</f>
        <v/>
      </c>
      <c r="AJ23" s="33">
        <f>IF(OR($E23="",$F23=""),"",IF(AND(AJ$4&lt;=$F23,AJ$4+6&gt;=$E23),IF($F23-$E23&lt;=2,"◆",IF($H23="Yes","X",LEFT($D23,1))),""))</f>
        <v/>
      </c>
      <c r="AK23" s="33">
        <f>IF(OR($E23="",$F23=""),"",IF(AND(AK$4&lt;=$F23,AK$4+6&gt;=$E23),IF($F23-$E23&lt;=2,"◆",IF($H23="Yes","X",LEFT($D23,1))),""))</f>
        <v/>
      </c>
      <c r="AL23" s="33">
        <f>IF(OR($E23="",$F23=""),"",IF(AND(AL$4&lt;=$F23,AL$4+6&gt;=$E23),IF($F23-$E23&lt;=2,"◆",IF($H23="Yes","X",LEFT($D23,1))),""))</f>
        <v/>
      </c>
      <c r="AM23" s="33">
        <f>IF(OR($E23="",$F23=""),"",IF(AND(AM$4&lt;=$F23,AM$4+6&gt;=$E23),IF($F23-$E23&lt;=2,"◆",IF($H23="Yes","X",LEFT($D23,1))),""))</f>
        <v/>
      </c>
      <c r="AN23" s="33">
        <f>IF(OR($E23="",$F23=""),"",IF(AND(AN$4&lt;=$F23,AN$4+6&gt;=$E23),IF($F23-$E23&lt;=2,"◆",IF($H23="Yes","X",LEFT($D23,1))),""))</f>
        <v/>
      </c>
      <c r="AO23" s="33">
        <f>IF(OR($E23="",$F23=""),"",IF(AND(AO$4&lt;=$F23,AO$4+6&gt;=$E23),IF($F23-$E23&lt;=2,"◆",IF($H23="Yes","X",LEFT($D23,1))),""))</f>
        <v/>
      </c>
      <c r="AP23" s="33">
        <f>IF(OR($E23="",$F23=""),"",IF(AND(AP$4&lt;=$F23,AP$4+6&gt;=$E23),IF($F23-$E23&lt;=2,"◆",IF($H23="Yes","X",LEFT($D23,1))),""))</f>
        <v/>
      </c>
      <c r="AQ23" s="33">
        <f>IF(OR($E23="",$F23=""),"",IF(AND(AQ$4&lt;=$F23,AQ$4+6&gt;=$E23),IF($F23-$E23&lt;=2,"◆",IF($H23="Yes","X",LEFT($D23,1))),""))</f>
        <v/>
      </c>
      <c r="AR23" s="33">
        <f>IF(OR($E23="",$F23=""),"",IF(AND(AR$4&lt;=$F23,AR$4+6&gt;=$E23),IF($F23-$E23&lt;=2,"◆",IF($H23="Yes","X",LEFT($D23,1))),""))</f>
        <v/>
      </c>
      <c r="AS23" s="33">
        <f>IF(OR($E23="",$F23=""),"",IF(AND(AS$4&lt;=$F23,AS$4+6&gt;=$E23),IF($F23-$E23&lt;=2,"◆",IF($H23="Yes","X",LEFT($D23,1))),""))</f>
        <v/>
      </c>
      <c r="AT23" s="33">
        <f>IF(OR($E23="",$F23=""),"",IF(AND(AT$4&lt;=$F23,AT$4+6&gt;=$E23),IF($F23-$E23&lt;=2,"◆",IF($H23="Yes","X",LEFT($D23,1))),""))</f>
        <v/>
      </c>
      <c r="AU23" s="33">
        <f>IF(OR($E23="",$F23=""),"",IF(AND(AU$4&lt;=$F23,AU$4+6&gt;=$E23),IF($F23-$E23&lt;=2,"◆",IF($H23="Yes","X",LEFT($D23,1))),""))</f>
        <v/>
      </c>
      <c r="AV23" s="33">
        <f>IF(OR($E23="",$F23=""),"",IF(AND(AV$4&lt;=$F23,AV$4+6&gt;=$E23),IF($F23-$E23&lt;=2,"◆",IF($H23="Yes","X",LEFT($D23,1))),""))</f>
        <v/>
      </c>
      <c r="AW23" s="33">
        <f>IF(OR($E23="",$F23=""),"",IF(AND(AW$4&lt;=$F23,AW$4+6&gt;=$E23),IF($F23-$E23&lt;=2,"◆",IF($H23="Yes","X",LEFT($D23,1))),""))</f>
        <v/>
      </c>
      <c r="AX23" s="33">
        <f>IF(OR($E23="",$F23=""),"",IF(AND(AX$4&lt;=$F23,AX$4+6&gt;=$E23),IF($F23-$E23&lt;=2,"◆",IF($H23="Yes","X",LEFT($D23,1))),""))</f>
        <v/>
      </c>
      <c r="AY23" s="33">
        <f>IF(OR($E23="",$F23=""),"",IF(AND(AY$4&lt;=$F23,AY$4+6&gt;=$E23),IF($F23-$E23&lt;=2,"◆",IF($H23="Yes","X",LEFT($D23,1))),""))</f>
        <v/>
      </c>
      <c r="AZ23" s="33">
        <f>IF(OR($E23="",$F23=""),"",IF(AND(AZ$4&lt;=$F23,AZ$4+6&gt;=$E23),IF($F23-$E23&lt;=2,"◆",IF($H23="Yes","X",LEFT($D23,1))),""))</f>
        <v/>
      </c>
      <c r="BA23" s="33">
        <f>IF(OR($E23="",$F23=""),"",IF(AND(BA$4&lt;=$F23,BA$4+6&gt;=$E23),IF($F23-$E23&lt;=2,"◆",IF($H23="Yes","X",LEFT($D23,1))),""))</f>
        <v/>
      </c>
      <c r="BB23" s="33">
        <f>IF(OR($E23="",$F23=""),"",IF(AND(BB$4&lt;=$F23,BB$4+6&gt;=$E23),IF($F23-$E23&lt;=2,"◆",IF($H23="Yes","X",LEFT($D23,1))),""))</f>
        <v/>
      </c>
      <c r="BC23" s="33">
        <f>IF(OR($E23="",$F23=""),"",IF(AND(BC$4&lt;=$F23,BC$4+6&gt;=$E23),IF($F23-$E23&lt;=2,"◆",IF($H23="Yes","X",LEFT($D23,1))),""))</f>
        <v/>
      </c>
      <c r="BD23" s="33">
        <f>IF(OR($E23="",$F23=""),"",IF(AND(BD$4&lt;=$F23,BD$4+6&gt;=$E23),IF($F23-$E23&lt;=2,"◆",IF($H23="Yes","X",LEFT($D23,1))),""))</f>
        <v/>
      </c>
      <c r="BE23" s="33">
        <f>IF(OR($E23="",$F23=""),"",IF(AND(BE$4&lt;=$F23,BE$4+6&gt;=$E23),IF($F23-$E23&lt;=2,"◆",IF($H23="Yes","X",LEFT($D23,1))),""))</f>
        <v/>
      </c>
      <c r="BF23" s="33">
        <f>IF(OR($E23="",$F23=""),"",IF(AND(BF$4&lt;=$F23,BF$4+6&gt;=$E23),IF($F23-$E23&lt;=2,"◆",IF($H23="Yes","X",LEFT($D23,1))),""))</f>
        <v/>
      </c>
      <c r="BG23" s="33">
        <f>IF(OR($E23="",$F23=""),"",IF(AND(BG$4&lt;=$F23,BG$4+6&gt;=$E23),IF($F23-$E23&lt;=2,"◆",IF($H23="Yes","X",LEFT($D23,1))),""))</f>
        <v/>
      </c>
      <c r="BH23" s="33">
        <f>IF(OR($E23="",$F23=""),"",IF(AND(BH$4&lt;=$F23,BH$4+6&gt;=$E23),IF($F23-$E23&lt;=2,"◆",IF($H23="Yes","X",LEFT($D23,1))),""))</f>
        <v/>
      </c>
      <c r="BI23" s="33">
        <f>IF(OR($E23="",$F23=""),"",IF(AND(BI$4&lt;=$F23,BI$4+6&gt;=$E23),IF($F23-$E23&lt;=2,"◆",IF($H23="Yes","X",LEFT($D23,1))),""))</f>
        <v/>
      </c>
    </row>
    <row r="24">
      <c r="A24" s="30" t="inlineStr">
        <is>
          <t>T-020</t>
        </is>
      </c>
      <c r="B24" s="30" t="inlineStr">
        <is>
          <t>Partner Referral &amp; Growth Engine</t>
        </is>
      </c>
      <c r="C24" s="30" t="inlineStr">
        <is>
          <t>MJ</t>
        </is>
      </c>
      <c r="D24" s="30" t="inlineStr">
        <is>
          <t>At Risk</t>
        </is>
      </c>
      <c r="E24" s="31" t="n">
        <v>46544</v>
      </c>
      <c r="F24" s="31" t="n">
        <v>46553</v>
      </c>
      <c r="G24" s="32" t="n">
        <v>0.12</v>
      </c>
      <c r="H24" s="30" t="inlineStr">
        <is>
          <t>No</t>
        </is>
      </c>
      <c r="I24" s="33">
        <f>IF(OR($E24="",$F24=""),"",IF(AND(I$4&lt;=$F24,I$4+6&gt;=$E24),IF($F24-$E24&lt;=2,"◆",IF($H24="Yes","X",LEFT($D24,1))),""))</f>
        <v/>
      </c>
      <c r="J24" s="33">
        <f>IF(OR($E24="",$F24=""),"",IF(AND(J$4&lt;=$F24,J$4+6&gt;=$E24),IF($F24-$E24&lt;=2,"◆",IF($H24="Yes","X",LEFT($D24,1))),""))</f>
        <v/>
      </c>
      <c r="K24" s="33">
        <f>IF(OR($E24="",$F24=""),"",IF(AND(K$4&lt;=$F24,K$4+6&gt;=$E24),IF($F24-$E24&lt;=2,"◆",IF($H24="Yes","X",LEFT($D24,1))),""))</f>
        <v/>
      </c>
      <c r="L24" s="33">
        <f>IF(OR($E24="",$F24=""),"",IF(AND(L$4&lt;=$F24,L$4+6&gt;=$E24),IF($F24-$E24&lt;=2,"◆",IF($H24="Yes","X",LEFT($D24,1))),""))</f>
        <v/>
      </c>
      <c r="M24" s="33">
        <f>IF(OR($E24="",$F24=""),"",IF(AND(M$4&lt;=$F24,M$4+6&gt;=$E24),IF($F24-$E24&lt;=2,"◆",IF($H24="Yes","X",LEFT($D24,1))),""))</f>
        <v/>
      </c>
      <c r="N24" s="33">
        <f>IF(OR($E24="",$F24=""),"",IF(AND(N$4&lt;=$F24,N$4+6&gt;=$E24),IF($F24-$E24&lt;=2,"◆",IF($H24="Yes","X",LEFT($D24,1))),""))</f>
        <v/>
      </c>
      <c r="O24" s="33">
        <f>IF(OR($E24="",$F24=""),"",IF(AND(O$4&lt;=$F24,O$4+6&gt;=$E24),IF($F24-$E24&lt;=2,"◆",IF($H24="Yes","X",LEFT($D24,1))),""))</f>
        <v/>
      </c>
      <c r="P24" s="33">
        <f>IF(OR($E24="",$F24=""),"",IF(AND(P$4&lt;=$F24,P$4+6&gt;=$E24),IF($F24-$E24&lt;=2,"◆",IF($H24="Yes","X",LEFT($D24,1))),""))</f>
        <v/>
      </c>
      <c r="Q24" s="33">
        <f>IF(OR($E24="",$F24=""),"",IF(AND(Q$4&lt;=$F24,Q$4+6&gt;=$E24),IF($F24-$E24&lt;=2,"◆",IF($H24="Yes","X",LEFT($D24,1))),""))</f>
        <v/>
      </c>
      <c r="R24" s="33">
        <f>IF(OR($E24="",$F24=""),"",IF(AND(R$4&lt;=$F24,R$4+6&gt;=$E24),IF($F24-$E24&lt;=2,"◆",IF($H24="Yes","X",LEFT($D24,1))),""))</f>
        <v/>
      </c>
      <c r="S24" s="33">
        <f>IF(OR($E24="",$F24=""),"",IF(AND(S$4&lt;=$F24,S$4+6&gt;=$E24),IF($F24-$E24&lt;=2,"◆",IF($H24="Yes","X",LEFT($D24,1))),""))</f>
        <v/>
      </c>
      <c r="T24" s="33">
        <f>IF(OR($E24="",$F24=""),"",IF(AND(T$4&lt;=$F24,T$4+6&gt;=$E24),IF($F24-$E24&lt;=2,"◆",IF($H24="Yes","X",LEFT($D24,1))),""))</f>
        <v/>
      </c>
      <c r="U24" s="33">
        <f>IF(OR($E24="",$F24=""),"",IF(AND(U$4&lt;=$F24,U$4+6&gt;=$E24),IF($F24-$E24&lt;=2,"◆",IF($H24="Yes","X",LEFT($D24,1))),""))</f>
        <v/>
      </c>
      <c r="V24" s="33">
        <f>IF(OR($E24="",$F24=""),"",IF(AND(V$4&lt;=$F24,V$4+6&gt;=$E24),IF($F24-$E24&lt;=2,"◆",IF($H24="Yes","X",LEFT($D24,1))),""))</f>
        <v/>
      </c>
      <c r="W24" s="33">
        <f>IF(OR($E24="",$F24=""),"",IF(AND(W$4&lt;=$F24,W$4+6&gt;=$E24),IF($F24-$E24&lt;=2,"◆",IF($H24="Yes","X",LEFT($D24,1))),""))</f>
        <v/>
      </c>
      <c r="X24" s="33">
        <f>IF(OR($E24="",$F24=""),"",IF(AND(X$4&lt;=$F24,X$4+6&gt;=$E24),IF($F24-$E24&lt;=2,"◆",IF($H24="Yes","X",LEFT($D24,1))),""))</f>
        <v/>
      </c>
      <c r="Y24" s="33">
        <f>IF(OR($E24="",$F24=""),"",IF(AND(Y$4&lt;=$F24,Y$4+6&gt;=$E24),IF($F24-$E24&lt;=2,"◆",IF($H24="Yes","X",LEFT($D24,1))),""))</f>
        <v/>
      </c>
      <c r="Z24" s="33">
        <f>IF(OR($E24="",$F24=""),"",IF(AND(Z$4&lt;=$F24,Z$4+6&gt;=$E24),IF($F24-$E24&lt;=2,"◆",IF($H24="Yes","X",LEFT($D24,1))),""))</f>
        <v/>
      </c>
      <c r="AA24" s="33">
        <f>IF(OR($E24="",$F24=""),"",IF(AND(AA$4&lt;=$F24,AA$4+6&gt;=$E24),IF($F24-$E24&lt;=2,"◆",IF($H24="Yes","X",LEFT($D24,1))),""))</f>
        <v/>
      </c>
      <c r="AB24" s="33">
        <f>IF(OR($E24="",$F24=""),"",IF(AND(AB$4&lt;=$F24,AB$4+6&gt;=$E24),IF($F24-$E24&lt;=2,"◆",IF($H24="Yes","X",LEFT($D24,1))),""))</f>
        <v/>
      </c>
      <c r="AC24" s="33">
        <f>IF(OR($E24="",$F24=""),"",IF(AND(AC$4&lt;=$F24,AC$4+6&gt;=$E24),IF($F24-$E24&lt;=2,"◆",IF($H24="Yes","X",LEFT($D24,1))),""))</f>
        <v/>
      </c>
      <c r="AD24" s="33">
        <f>IF(OR($E24="",$F24=""),"",IF(AND(AD$4&lt;=$F24,AD$4+6&gt;=$E24),IF($F24-$E24&lt;=2,"◆",IF($H24="Yes","X",LEFT($D24,1))),""))</f>
        <v/>
      </c>
      <c r="AE24" s="33">
        <f>IF(OR($E24="",$F24=""),"",IF(AND(AE$4&lt;=$F24,AE$4+6&gt;=$E24),IF($F24-$E24&lt;=2,"◆",IF($H24="Yes","X",LEFT($D24,1))),""))</f>
        <v/>
      </c>
      <c r="AF24" s="33">
        <f>IF(OR($E24="",$F24=""),"",IF(AND(AF$4&lt;=$F24,AF$4+6&gt;=$E24),IF($F24-$E24&lt;=2,"◆",IF($H24="Yes","X",LEFT($D24,1))),""))</f>
        <v/>
      </c>
      <c r="AG24" s="33">
        <f>IF(OR($E24="",$F24=""),"",IF(AND(AG$4&lt;=$F24,AG$4+6&gt;=$E24),IF($F24-$E24&lt;=2,"◆",IF($H24="Yes","X",LEFT($D24,1))),""))</f>
        <v/>
      </c>
      <c r="AH24" s="33">
        <f>IF(OR($E24="",$F24=""),"",IF(AND(AH$4&lt;=$F24,AH$4+6&gt;=$E24),IF($F24-$E24&lt;=2,"◆",IF($H24="Yes","X",LEFT($D24,1))),""))</f>
        <v/>
      </c>
      <c r="AI24" s="33">
        <f>IF(OR($E24="",$F24=""),"",IF(AND(AI$4&lt;=$F24,AI$4+6&gt;=$E24),IF($F24-$E24&lt;=2,"◆",IF($H24="Yes","X",LEFT($D24,1))),""))</f>
        <v/>
      </c>
      <c r="AJ24" s="33">
        <f>IF(OR($E24="",$F24=""),"",IF(AND(AJ$4&lt;=$F24,AJ$4+6&gt;=$E24),IF($F24-$E24&lt;=2,"◆",IF($H24="Yes","X",LEFT($D24,1))),""))</f>
        <v/>
      </c>
      <c r="AK24" s="33">
        <f>IF(OR($E24="",$F24=""),"",IF(AND(AK$4&lt;=$F24,AK$4+6&gt;=$E24),IF($F24-$E24&lt;=2,"◆",IF($H24="Yes","X",LEFT($D24,1))),""))</f>
        <v/>
      </c>
      <c r="AL24" s="33">
        <f>IF(OR($E24="",$F24=""),"",IF(AND(AL$4&lt;=$F24,AL$4+6&gt;=$E24),IF($F24-$E24&lt;=2,"◆",IF($H24="Yes","X",LEFT($D24,1))),""))</f>
        <v/>
      </c>
      <c r="AM24" s="33">
        <f>IF(OR($E24="",$F24=""),"",IF(AND(AM$4&lt;=$F24,AM$4+6&gt;=$E24),IF($F24-$E24&lt;=2,"◆",IF($H24="Yes","X",LEFT($D24,1))),""))</f>
        <v/>
      </c>
      <c r="AN24" s="33">
        <f>IF(OR($E24="",$F24=""),"",IF(AND(AN$4&lt;=$F24,AN$4+6&gt;=$E24),IF($F24-$E24&lt;=2,"◆",IF($H24="Yes","X",LEFT($D24,1))),""))</f>
        <v/>
      </c>
      <c r="AO24" s="33">
        <f>IF(OR($E24="",$F24=""),"",IF(AND(AO$4&lt;=$F24,AO$4+6&gt;=$E24),IF($F24-$E24&lt;=2,"◆",IF($H24="Yes","X",LEFT($D24,1))),""))</f>
        <v/>
      </c>
      <c r="AP24" s="33">
        <f>IF(OR($E24="",$F24=""),"",IF(AND(AP$4&lt;=$F24,AP$4+6&gt;=$E24),IF($F24-$E24&lt;=2,"◆",IF($H24="Yes","X",LEFT($D24,1))),""))</f>
        <v/>
      </c>
      <c r="AQ24" s="33">
        <f>IF(OR($E24="",$F24=""),"",IF(AND(AQ$4&lt;=$F24,AQ$4+6&gt;=$E24),IF($F24-$E24&lt;=2,"◆",IF($H24="Yes","X",LEFT($D24,1))),""))</f>
        <v/>
      </c>
      <c r="AR24" s="33">
        <f>IF(OR($E24="",$F24=""),"",IF(AND(AR$4&lt;=$F24,AR$4+6&gt;=$E24),IF($F24-$E24&lt;=2,"◆",IF($H24="Yes","X",LEFT($D24,1))),""))</f>
        <v/>
      </c>
      <c r="AS24" s="33">
        <f>IF(OR($E24="",$F24=""),"",IF(AND(AS$4&lt;=$F24,AS$4+6&gt;=$E24),IF($F24-$E24&lt;=2,"◆",IF($H24="Yes","X",LEFT($D24,1))),""))</f>
        <v/>
      </c>
      <c r="AT24" s="33">
        <f>IF(OR($E24="",$F24=""),"",IF(AND(AT$4&lt;=$F24,AT$4+6&gt;=$E24),IF($F24-$E24&lt;=2,"◆",IF($H24="Yes","X",LEFT($D24,1))),""))</f>
        <v/>
      </c>
      <c r="AU24" s="33">
        <f>IF(OR($E24="",$F24=""),"",IF(AND(AU$4&lt;=$F24,AU$4+6&gt;=$E24),IF($F24-$E24&lt;=2,"◆",IF($H24="Yes","X",LEFT($D24,1))),""))</f>
        <v/>
      </c>
      <c r="AV24" s="33">
        <f>IF(OR($E24="",$F24=""),"",IF(AND(AV$4&lt;=$F24,AV$4+6&gt;=$E24),IF($F24-$E24&lt;=2,"◆",IF($H24="Yes","X",LEFT($D24,1))),""))</f>
        <v/>
      </c>
      <c r="AW24" s="33">
        <f>IF(OR($E24="",$F24=""),"",IF(AND(AW$4&lt;=$F24,AW$4+6&gt;=$E24),IF($F24-$E24&lt;=2,"◆",IF($H24="Yes","X",LEFT($D24,1))),""))</f>
        <v/>
      </c>
      <c r="AX24" s="33">
        <f>IF(OR($E24="",$F24=""),"",IF(AND(AX$4&lt;=$F24,AX$4+6&gt;=$E24),IF($F24-$E24&lt;=2,"◆",IF($H24="Yes","X",LEFT($D24,1))),""))</f>
        <v/>
      </c>
      <c r="AY24" s="33">
        <f>IF(OR($E24="",$F24=""),"",IF(AND(AY$4&lt;=$F24,AY$4+6&gt;=$E24),IF($F24-$E24&lt;=2,"◆",IF($H24="Yes","X",LEFT($D24,1))),""))</f>
        <v/>
      </c>
      <c r="AZ24" s="33">
        <f>IF(OR($E24="",$F24=""),"",IF(AND(AZ$4&lt;=$F24,AZ$4+6&gt;=$E24),IF($F24-$E24&lt;=2,"◆",IF($H24="Yes","X",LEFT($D24,1))),""))</f>
        <v/>
      </c>
      <c r="BA24" s="33">
        <f>IF(OR($E24="",$F24=""),"",IF(AND(BA$4&lt;=$F24,BA$4+6&gt;=$E24),IF($F24-$E24&lt;=2,"◆",IF($H24="Yes","X",LEFT($D24,1))),""))</f>
        <v/>
      </c>
      <c r="BB24" s="33">
        <f>IF(OR($E24="",$F24=""),"",IF(AND(BB$4&lt;=$F24,BB$4+6&gt;=$E24),IF($F24-$E24&lt;=2,"◆",IF($H24="Yes","X",LEFT($D24,1))),""))</f>
        <v/>
      </c>
      <c r="BC24" s="33">
        <f>IF(OR($E24="",$F24=""),"",IF(AND(BC$4&lt;=$F24,BC$4+6&gt;=$E24),IF($F24-$E24&lt;=2,"◆",IF($H24="Yes","X",LEFT($D24,1))),""))</f>
        <v/>
      </c>
      <c r="BD24" s="33">
        <f>IF(OR($E24="",$F24=""),"",IF(AND(BD$4&lt;=$F24,BD$4+6&gt;=$E24),IF($F24-$E24&lt;=2,"◆",IF($H24="Yes","X",LEFT($D24,1))),""))</f>
        <v/>
      </c>
      <c r="BE24" s="33">
        <f>IF(OR($E24="",$F24=""),"",IF(AND(BE$4&lt;=$F24,BE$4+6&gt;=$E24),IF($F24-$E24&lt;=2,"◆",IF($H24="Yes","X",LEFT($D24,1))),""))</f>
        <v/>
      </c>
      <c r="BF24" s="33">
        <f>IF(OR($E24="",$F24=""),"",IF(AND(BF$4&lt;=$F24,BF$4+6&gt;=$E24),IF($F24-$E24&lt;=2,"◆",IF($H24="Yes","X",LEFT($D24,1))),""))</f>
        <v/>
      </c>
      <c r="BG24" s="33">
        <f>IF(OR($E24="",$F24=""),"",IF(AND(BG$4&lt;=$F24,BG$4+6&gt;=$E24),IF($F24-$E24&lt;=2,"◆",IF($H24="Yes","X",LEFT($D24,1))),""))</f>
        <v/>
      </c>
      <c r="BH24" s="33">
        <f>IF(OR($E24="",$F24=""),"",IF(AND(BH$4&lt;=$F24,BH$4+6&gt;=$E24),IF($F24-$E24&lt;=2,"◆",IF($H24="Yes","X",LEFT($D24,1))),""))</f>
        <v/>
      </c>
      <c r="BI24" s="33">
        <f>IF(OR($E24="",$F24=""),"",IF(AND(BI$4&lt;=$F24,BI$4+6&gt;=$E24),IF($F24-$E24&lt;=2,"◆",IF($H24="Yes","X",LEFT($D24,1))),""))</f>
        <v/>
      </c>
    </row>
    <row r="25">
      <c r="A25" s="30" t="inlineStr">
        <is>
          <t>T-021</t>
        </is>
      </c>
      <c r="B25" s="30" t="inlineStr">
        <is>
          <t>AI-Powered Audience Segmentation</t>
        </is>
      </c>
      <c r="C25" s="30" t="inlineStr">
        <is>
          <t>MJ</t>
        </is>
      </c>
      <c r="D25" s="30" t="inlineStr">
        <is>
          <t>At Risk</t>
        </is>
      </c>
      <c r="E25" s="31" t="n">
        <v>46513</v>
      </c>
      <c r="F25" s="31" t="n">
        <v>46540</v>
      </c>
      <c r="G25" s="32" t="n">
        <v>0.07000000000000001</v>
      </c>
      <c r="H25" s="30" t="inlineStr">
        <is>
          <t>No</t>
        </is>
      </c>
      <c r="I25" s="33">
        <f>IF(OR($E25="",$F25=""),"",IF(AND(I$4&lt;=$F25,I$4+6&gt;=$E25),IF($F25-$E25&lt;=2,"◆",IF($H25="Yes","X",LEFT($D25,1))),""))</f>
        <v/>
      </c>
      <c r="J25" s="33">
        <f>IF(OR($E25="",$F25=""),"",IF(AND(J$4&lt;=$F25,J$4+6&gt;=$E25),IF($F25-$E25&lt;=2,"◆",IF($H25="Yes","X",LEFT($D25,1))),""))</f>
        <v/>
      </c>
      <c r="K25" s="33">
        <f>IF(OR($E25="",$F25=""),"",IF(AND(K$4&lt;=$F25,K$4+6&gt;=$E25),IF($F25-$E25&lt;=2,"◆",IF($H25="Yes","X",LEFT($D25,1))),""))</f>
        <v/>
      </c>
      <c r="L25" s="33">
        <f>IF(OR($E25="",$F25=""),"",IF(AND(L$4&lt;=$F25,L$4+6&gt;=$E25),IF($F25-$E25&lt;=2,"◆",IF($H25="Yes","X",LEFT($D25,1))),""))</f>
        <v/>
      </c>
      <c r="M25" s="33">
        <f>IF(OR($E25="",$F25=""),"",IF(AND(M$4&lt;=$F25,M$4+6&gt;=$E25),IF($F25-$E25&lt;=2,"◆",IF($H25="Yes","X",LEFT($D25,1))),""))</f>
        <v/>
      </c>
      <c r="N25" s="33">
        <f>IF(OR($E25="",$F25=""),"",IF(AND(N$4&lt;=$F25,N$4+6&gt;=$E25),IF($F25-$E25&lt;=2,"◆",IF($H25="Yes","X",LEFT($D25,1))),""))</f>
        <v/>
      </c>
      <c r="O25" s="33">
        <f>IF(OR($E25="",$F25=""),"",IF(AND(O$4&lt;=$F25,O$4+6&gt;=$E25),IF($F25-$E25&lt;=2,"◆",IF($H25="Yes","X",LEFT($D25,1))),""))</f>
        <v/>
      </c>
      <c r="P25" s="33">
        <f>IF(OR($E25="",$F25=""),"",IF(AND(P$4&lt;=$F25,P$4+6&gt;=$E25),IF($F25-$E25&lt;=2,"◆",IF($H25="Yes","X",LEFT($D25,1))),""))</f>
        <v/>
      </c>
      <c r="Q25" s="33">
        <f>IF(OR($E25="",$F25=""),"",IF(AND(Q$4&lt;=$F25,Q$4+6&gt;=$E25),IF($F25-$E25&lt;=2,"◆",IF($H25="Yes","X",LEFT($D25,1))),""))</f>
        <v/>
      </c>
      <c r="R25" s="33">
        <f>IF(OR($E25="",$F25=""),"",IF(AND(R$4&lt;=$F25,R$4+6&gt;=$E25),IF($F25-$E25&lt;=2,"◆",IF($H25="Yes","X",LEFT($D25,1))),""))</f>
        <v/>
      </c>
      <c r="S25" s="33">
        <f>IF(OR($E25="",$F25=""),"",IF(AND(S$4&lt;=$F25,S$4+6&gt;=$E25),IF($F25-$E25&lt;=2,"◆",IF($H25="Yes","X",LEFT($D25,1))),""))</f>
        <v/>
      </c>
      <c r="T25" s="33">
        <f>IF(OR($E25="",$F25=""),"",IF(AND(T$4&lt;=$F25,T$4+6&gt;=$E25),IF($F25-$E25&lt;=2,"◆",IF($H25="Yes","X",LEFT($D25,1))),""))</f>
        <v/>
      </c>
      <c r="U25" s="33">
        <f>IF(OR($E25="",$F25=""),"",IF(AND(U$4&lt;=$F25,U$4+6&gt;=$E25),IF($F25-$E25&lt;=2,"◆",IF($H25="Yes","X",LEFT($D25,1))),""))</f>
        <v/>
      </c>
      <c r="V25" s="33">
        <f>IF(OR($E25="",$F25=""),"",IF(AND(V$4&lt;=$F25,V$4+6&gt;=$E25),IF($F25-$E25&lt;=2,"◆",IF($H25="Yes","X",LEFT($D25,1))),""))</f>
        <v/>
      </c>
      <c r="W25" s="33">
        <f>IF(OR($E25="",$F25=""),"",IF(AND(W$4&lt;=$F25,W$4+6&gt;=$E25),IF($F25-$E25&lt;=2,"◆",IF($H25="Yes","X",LEFT($D25,1))),""))</f>
        <v/>
      </c>
      <c r="X25" s="33">
        <f>IF(OR($E25="",$F25=""),"",IF(AND(X$4&lt;=$F25,X$4+6&gt;=$E25),IF($F25-$E25&lt;=2,"◆",IF($H25="Yes","X",LEFT($D25,1))),""))</f>
        <v/>
      </c>
      <c r="Y25" s="33">
        <f>IF(OR($E25="",$F25=""),"",IF(AND(Y$4&lt;=$F25,Y$4+6&gt;=$E25),IF($F25-$E25&lt;=2,"◆",IF($H25="Yes","X",LEFT($D25,1))),""))</f>
        <v/>
      </c>
      <c r="Z25" s="33">
        <f>IF(OR($E25="",$F25=""),"",IF(AND(Z$4&lt;=$F25,Z$4+6&gt;=$E25),IF($F25-$E25&lt;=2,"◆",IF($H25="Yes","X",LEFT($D25,1))),""))</f>
        <v/>
      </c>
      <c r="AA25" s="33">
        <f>IF(OR($E25="",$F25=""),"",IF(AND(AA$4&lt;=$F25,AA$4+6&gt;=$E25),IF($F25-$E25&lt;=2,"◆",IF($H25="Yes","X",LEFT($D25,1))),""))</f>
        <v/>
      </c>
      <c r="AB25" s="33">
        <f>IF(OR($E25="",$F25=""),"",IF(AND(AB$4&lt;=$F25,AB$4+6&gt;=$E25),IF($F25-$E25&lt;=2,"◆",IF($H25="Yes","X",LEFT($D25,1))),""))</f>
        <v/>
      </c>
      <c r="AC25" s="33">
        <f>IF(OR($E25="",$F25=""),"",IF(AND(AC$4&lt;=$F25,AC$4+6&gt;=$E25),IF($F25-$E25&lt;=2,"◆",IF($H25="Yes","X",LEFT($D25,1))),""))</f>
        <v/>
      </c>
      <c r="AD25" s="33">
        <f>IF(OR($E25="",$F25=""),"",IF(AND(AD$4&lt;=$F25,AD$4+6&gt;=$E25),IF($F25-$E25&lt;=2,"◆",IF($H25="Yes","X",LEFT($D25,1))),""))</f>
        <v/>
      </c>
      <c r="AE25" s="33">
        <f>IF(OR($E25="",$F25=""),"",IF(AND(AE$4&lt;=$F25,AE$4+6&gt;=$E25),IF($F25-$E25&lt;=2,"◆",IF($H25="Yes","X",LEFT($D25,1))),""))</f>
        <v/>
      </c>
      <c r="AF25" s="33">
        <f>IF(OR($E25="",$F25=""),"",IF(AND(AF$4&lt;=$F25,AF$4+6&gt;=$E25),IF($F25-$E25&lt;=2,"◆",IF($H25="Yes","X",LEFT($D25,1))),""))</f>
        <v/>
      </c>
      <c r="AG25" s="33">
        <f>IF(OR($E25="",$F25=""),"",IF(AND(AG$4&lt;=$F25,AG$4+6&gt;=$E25),IF($F25-$E25&lt;=2,"◆",IF($H25="Yes","X",LEFT($D25,1))),""))</f>
        <v/>
      </c>
      <c r="AH25" s="33">
        <f>IF(OR($E25="",$F25=""),"",IF(AND(AH$4&lt;=$F25,AH$4+6&gt;=$E25),IF($F25-$E25&lt;=2,"◆",IF($H25="Yes","X",LEFT($D25,1))),""))</f>
        <v/>
      </c>
      <c r="AI25" s="33">
        <f>IF(OR($E25="",$F25=""),"",IF(AND(AI$4&lt;=$F25,AI$4+6&gt;=$E25),IF($F25-$E25&lt;=2,"◆",IF($H25="Yes","X",LEFT($D25,1))),""))</f>
        <v/>
      </c>
      <c r="AJ25" s="33">
        <f>IF(OR($E25="",$F25=""),"",IF(AND(AJ$4&lt;=$F25,AJ$4+6&gt;=$E25),IF($F25-$E25&lt;=2,"◆",IF($H25="Yes","X",LEFT($D25,1))),""))</f>
        <v/>
      </c>
      <c r="AK25" s="33">
        <f>IF(OR($E25="",$F25=""),"",IF(AND(AK$4&lt;=$F25,AK$4+6&gt;=$E25),IF($F25-$E25&lt;=2,"◆",IF($H25="Yes","X",LEFT($D25,1))),""))</f>
        <v/>
      </c>
      <c r="AL25" s="33">
        <f>IF(OR($E25="",$F25=""),"",IF(AND(AL$4&lt;=$F25,AL$4+6&gt;=$E25),IF($F25-$E25&lt;=2,"◆",IF($H25="Yes","X",LEFT($D25,1))),""))</f>
        <v/>
      </c>
      <c r="AM25" s="33">
        <f>IF(OR($E25="",$F25=""),"",IF(AND(AM$4&lt;=$F25,AM$4+6&gt;=$E25),IF($F25-$E25&lt;=2,"◆",IF($H25="Yes","X",LEFT($D25,1))),""))</f>
        <v/>
      </c>
      <c r="AN25" s="33">
        <f>IF(OR($E25="",$F25=""),"",IF(AND(AN$4&lt;=$F25,AN$4+6&gt;=$E25),IF($F25-$E25&lt;=2,"◆",IF($H25="Yes","X",LEFT($D25,1))),""))</f>
        <v/>
      </c>
      <c r="AO25" s="33">
        <f>IF(OR($E25="",$F25=""),"",IF(AND(AO$4&lt;=$F25,AO$4+6&gt;=$E25),IF($F25-$E25&lt;=2,"◆",IF($H25="Yes","X",LEFT($D25,1))),""))</f>
        <v/>
      </c>
      <c r="AP25" s="33">
        <f>IF(OR($E25="",$F25=""),"",IF(AND(AP$4&lt;=$F25,AP$4+6&gt;=$E25),IF($F25-$E25&lt;=2,"◆",IF($H25="Yes","X",LEFT($D25,1))),""))</f>
        <v/>
      </c>
      <c r="AQ25" s="33">
        <f>IF(OR($E25="",$F25=""),"",IF(AND(AQ$4&lt;=$F25,AQ$4+6&gt;=$E25),IF($F25-$E25&lt;=2,"◆",IF($H25="Yes","X",LEFT($D25,1))),""))</f>
        <v/>
      </c>
      <c r="AR25" s="33">
        <f>IF(OR($E25="",$F25=""),"",IF(AND(AR$4&lt;=$F25,AR$4+6&gt;=$E25),IF($F25-$E25&lt;=2,"◆",IF($H25="Yes","X",LEFT($D25,1))),""))</f>
        <v/>
      </c>
      <c r="AS25" s="33">
        <f>IF(OR($E25="",$F25=""),"",IF(AND(AS$4&lt;=$F25,AS$4+6&gt;=$E25),IF($F25-$E25&lt;=2,"◆",IF($H25="Yes","X",LEFT($D25,1))),""))</f>
        <v/>
      </c>
      <c r="AT25" s="33">
        <f>IF(OR($E25="",$F25=""),"",IF(AND(AT$4&lt;=$F25,AT$4+6&gt;=$E25),IF($F25-$E25&lt;=2,"◆",IF($H25="Yes","X",LEFT($D25,1))),""))</f>
        <v/>
      </c>
      <c r="AU25" s="33">
        <f>IF(OR($E25="",$F25=""),"",IF(AND(AU$4&lt;=$F25,AU$4+6&gt;=$E25),IF($F25-$E25&lt;=2,"◆",IF($H25="Yes","X",LEFT($D25,1))),""))</f>
        <v/>
      </c>
      <c r="AV25" s="33">
        <f>IF(OR($E25="",$F25=""),"",IF(AND(AV$4&lt;=$F25,AV$4+6&gt;=$E25),IF($F25-$E25&lt;=2,"◆",IF($H25="Yes","X",LEFT($D25,1))),""))</f>
        <v/>
      </c>
      <c r="AW25" s="33">
        <f>IF(OR($E25="",$F25=""),"",IF(AND(AW$4&lt;=$F25,AW$4+6&gt;=$E25),IF($F25-$E25&lt;=2,"◆",IF($H25="Yes","X",LEFT($D25,1))),""))</f>
        <v/>
      </c>
      <c r="AX25" s="33">
        <f>IF(OR($E25="",$F25=""),"",IF(AND(AX$4&lt;=$F25,AX$4+6&gt;=$E25),IF($F25-$E25&lt;=2,"◆",IF($H25="Yes","X",LEFT($D25,1))),""))</f>
        <v/>
      </c>
      <c r="AY25" s="33">
        <f>IF(OR($E25="",$F25=""),"",IF(AND(AY$4&lt;=$F25,AY$4+6&gt;=$E25),IF($F25-$E25&lt;=2,"◆",IF($H25="Yes","X",LEFT($D25,1))),""))</f>
        <v/>
      </c>
      <c r="AZ25" s="33">
        <f>IF(OR($E25="",$F25=""),"",IF(AND(AZ$4&lt;=$F25,AZ$4+6&gt;=$E25),IF($F25-$E25&lt;=2,"◆",IF($H25="Yes","X",LEFT($D25,1))),""))</f>
        <v/>
      </c>
      <c r="BA25" s="33">
        <f>IF(OR($E25="",$F25=""),"",IF(AND(BA$4&lt;=$F25,BA$4+6&gt;=$E25),IF($F25-$E25&lt;=2,"◆",IF($H25="Yes","X",LEFT($D25,1))),""))</f>
        <v/>
      </c>
      <c r="BB25" s="33">
        <f>IF(OR($E25="",$F25=""),"",IF(AND(BB$4&lt;=$F25,BB$4+6&gt;=$E25),IF($F25-$E25&lt;=2,"◆",IF($H25="Yes","X",LEFT($D25,1))),""))</f>
        <v/>
      </c>
      <c r="BC25" s="33">
        <f>IF(OR($E25="",$F25=""),"",IF(AND(BC$4&lt;=$F25,BC$4+6&gt;=$E25),IF($F25-$E25&lt;=2,"◆",IF($H25="Yes","X",LEFT($D25,1))),""))</f>
        <v/>
      </c>
      <c r="BD25" s="33">
        <f>IF(OR($E25="",$F25=""),"",IF(AND(BD$4&lt;=$F25,BD$4+6&gt;=$E25),IF($F25-$E25&lt;=2,"◆",IF($H25="Yes","X",LEFT($D25,1))),""))</f>
        <v/>
      </c>
      <c r="BE25" s="33">
        <f>IF(OR($E25="",$F25=""),"",IF(AND(BE$4&lt;=$F25,BE$4+6&gt;=$E25),IF($F25-$E25&lt;=2,"◆",IF($H25="Yes","X",LEFT($D25,1))),""))</f>
        <v/>
      </c>
      <c r="BF25" s="33">
        <f>IF(OR($E25="",$F25=""),"",IF(AND(BF$4&lt;=$F25,BF$4+6&gt;=$E25),IF($F25-$E25&lt;=2,"◆",IF($H25="Yes","X",LEFT($D25,1))),""))</f>
        <v/>
      </c>
      <c r="BG25" s="33">
        <f>IF(OR($E25="",$F25=""),"",IF(AND(BG$4&lt;=$F25,BG$4+6&gt;=$E25),IF($F25-$E25&lt;=2,"◆",IF($H25="Yes","X",LEFT($D25,1))),""))</f>
        <v/>
      </c>
      <c r="BH25" s="33">
        <f>IF(OR($E25="",$F25=""),"",IF(AND(BH$4&lt;=$F25,BH$4+6&gt;=$E25),IF($F25-$E25&lt;=2,"◆",IF($H25="Yes","X",LEFT($D25,1))),""))</f>
        <v/>
      </c>
      <c r="BI25" s="33">
        <f>IF(OR($E25="",$F25=""),"",IF(AND(BI$4&lt;=$F25,BI$4+6&gt;=$E25),IF($F25-$E25&lt;=2,"◆",IF($H25="Yes","X",LEFT($D25,1))),""))</f>
        <v/>
      </c>
    </row>
    <row r="26">
      <c r="A26" s="30" t="inlineStr">
        <is>
          <t>T-022</t>
        </is>
      </c>
      <c r="B26" s="30" t="inlineStr">
        <is>
          <t>Embedded Gamification Experiences</t>
        </is>
      </c>
      <c r="C26" s="30" t="inlineStr">
        <is>
          <t>MJ</t>
        </is>
      </c>
      <c r="D26" s="30" t="inlineStr">
        <is>
          <t>At Risk</t>
        </is>
      </c>
      <c r="E26" s="31" t="n">
        <v>46528</v>
      </c>
      <c r="F26" s="31" t="n">
        <v>46537</v>
      </c>
      <c r="G26" s="32" t="n">
        <v>0.15</v>
      </c>
      <c r="H26" s="30" t="inlineStr">
        <is>
          <t>No</t>
        </is>
      </c>
      <c r="I26" s="33">
        <f>IF(OR($E26="",$F26=""),"",IF(AND(I$4&lt;=$F26,I$4+6&gt;=$E26),IF($F26-$E26&lt;=2,"◆",IF($H26="Yes","X",LEFT($D26,1))),""))</f>
        <v/>
      </c>
      <c r="J26" s="33">
        <f>IF(OR($E26="",$F26=""),"",IF(AND(J$4&lt;=$F26,J$4+6&gt;=$E26),IF($F26-$E26&lt;=2,"◆",IF($H26="Yes","X",LEFT($D26,1))),""))</f>
        <v/>
      </c>
      <c r="K26" s="33">
        <f>IF(OR($E26="",$F26=""),"",IF(AND(K$4&lt;=$F26,K$4+6&gt;=$E26),IF($F26-$E26&lt;=2,"◆",IF($H26="Yes","X",LEFT($D26,1))),""))</f>
        <v/>
      </c>
      <c r="L26" s="33">
        <f>IF(OR($E26="",$F26=""),"",IF(AND(L$4&lt;=$F26,L$4+6&gt;=$E26),IF($F26-$E26&lt;=2,"◆",IF($H26="Yes","X",LEFT($D26,1))),""))</f>
        <v/>
      </c>
      <c r="M26" s="33">
        <f>IF(OR($E26="",$F26=""),"",IF(AND(M$4&lt;=$F26,M$4+6&gt;=$E26),IF($F26-$E26&lt;=2,"◆",IF($H26="Yes","X",LEFT($D26,1))),""))</f>
        <v/>
      </c>
      <c r="N26" s="33">
        <f>IF(OR($E26="",$F26=""),"",IF(AND(N$4&lt;=$F26,N$4+6&gt;=$E26),IF($F26-$E26&lt;=2,"◆",IF($H26="Yes","X",LEFT($D26,1))),""))</f>
        <v/>
      </c>
      <c r="O26" s="33">
        <f>IF(OR($E26="",$F26=""),"",IF(AND(O$4&lt;=$F26,O$4+6&gt;=$E26),IF($F26-$E26&lt;=2,"◆",IF($H26="Yes","X",LEFT($D26,1))),""))</f>
        <v/>
      </c>
      <c r="P26" s="33">
        <f>IF(OR($E26="",$F26=""),"",IF(AND(P$4&lt;=$F26,P$4+6&gt;=$E26),IF($F26-$E26&lt;=2,"◆",IF($H26="Yes","X",LEFT($D26,1))),""))</f>
        <v/>
      </c>
      <c r="Q26" s="33">
        <f>IF(OR($E26="",$F26=""),"",IF(AND(Q$4&lt;=$F26,Q$4+6&gt;=$E26),IF($F26-$E26&lt;=2,"◆",IF($H26="Yes","X",LEFT($D26,1))),""))</f>
        <v/>
      </c>
      <c r="R26" s="33">
        <f>IF(OR($E26="",$F26=""),"",IF(AND(R$4&lt;=$F26,R$4+6&gt;=$E26),IF($F26-$E26&lt;=2,"◆",IF($H26="Yes","X",LEFT($D26,1))),""))</f>
        <v/>
      </c>
      <c r="S26" s="33">
        <f>IF(OR($E26="",$F26=""),"",IF(AND(S$4&lt;=$F26,S$4+6&gt;=$E26),IF($F26-$E26&lt;=2,"◆",IF($H26="Yes","X",LEFT($D26,1))),""))</f>
        <v/>
      </c>
      <c r="T26" s="33">
        <f>IF(OR($E26="",$F26=""),"",IF(AND(T$4&lt;=$F26,T$4+6&gt;=$E26),IF($F26-$E26&lt;=2,"◆",IF($H26="Yes","X",LEFT($D26,1))),""))</f>
        <v/>
      </c>
      <c r="U26" s="33">
        <f>IF(OR($E26="",$F26=""),"",IF(AND(U$4&lt;=$F26,U$4+6&gt;=$E26),IF($F26-$E26&lt;=2,"◆",IF($H26="Yes","X",LEFT($D26,1))),""))</f>
        <v/>
      </c>
      <c r="V26" s="33">
        <f>IF(OR($E26="",$F26=""),"",IF(AND(V$4&lt;=$F26,V$4+6&gt;=$E26),IF($F26-$E26&lt;=2,"◆",IF($H26="Yes","X",LEFT($D26,1))),""))</f>
        <v/>
      </c>
      <c r="W26" s="33">
        <f>IF(OR($E26="",$F26=""),"",IF(AND(W$4&lt;=$F26,W$4+6&gt;=$E26),IF($F26-$E26&lt;=2,"◆",IF($H26="Yes","X",LEFT($D26,1))),""))</f>
        <v/>
      </c>
      <c r="X26" s="33">
        <f>IF(OR($E26="",$F26=""),"",IF(AND(X$4&lt;=$F26,X$4+6&gt;=$E26),IF($F26-$E26&lt;=2,"◆",IF($H26="Yes","X",LEFT($D26,1))),""))</f>
        <v/>
      </c>
      <c r="Y26" s="33">
        <f>IF(OR($E26="",$F26=""),"",IF(AND(Y$4&lt;=$F26,Y$4+6&gt;=$E26),IF($F26-$E26&lt;=2,"◆",IF($H26="Yes","X",LEFT($D26,1))),""))</f>
        <v/>
      </c>
      <c r="Z26" s="33">
        <f>IF(OR($E26="",$F26=""),"",IF(AND(Z$4&lt;=$F26,Z$4+6&gt;=$E26),IF($F26-$E26&lt;=2,"◆",IF($H26="Yes","X",LEFT($D26,1))),""))</f>
        <v/>
      </c>
      <c r="AA26" s="33">
        <f>IF(OR($E26="",$F26=""),"",IF(AND(AA$4&lt;=$F26,AA$4+6&gt;=$E26),IF($F26-$E26&lt;=2,"◆",IF($H26="Yes","X",LEFT($D26,1))),""))</f>
        <v/>
      </c>
      <c r="AB26" s="33">
        <f>IF(OR($E26="",$F26=""),"",IF(AND(AB$4&lt;=$F26,AB$4+6&gt;=$E26),IF($F26-$E26&lt;=2,"◆",IF($H26="Yes","X",LEFT($D26,1))),""))</f>
        <v/>
      </c>
      <c r="AC26" s="33">
        <f>IF(OR($E26="",$F26=""),"",IF(AND(AC$4&lt;=$F26,AC$4+6&gt;=$E26),IF($F26-$E26&lt;=2,"◆",IF($H26="Yes","X",LEFT($D26,1))),""))</f>
        <v/>
      </c>
      <c r="AD26" s="33">
        <f>IF(OR($E26="",$F26=""),"",IF(AND(AD$4&lt;=$F26,AD$4+6&gt;=$E26),IF($F26-$E26&lt;=2,"◆",IF($H26="Yes","X",LEFT($D26,1))),""))</f>
        <v/>
      </c>
      <c r="AE26" s="33">
        <f>IF(OR($E26="",$F26=""),"",IF(AND(AE$4&lt;=$F26,AE$4+6&gt;=$E26),IF($F26-$E26&lt;=2,"◆",IF($H26="Yes","X",LEFT($D26,1))),""))</f>
        <v/>
      </c>
      <c r="AF26" s="33">
        <f>IF(OR($E26="",$F26=""),"",IF(AND(AF$4&lt;=$F26,AF$4+6&gt;=$E26),IF($F26-$E26&lt;=2,"◆",IF($H26="Yes","X",LEFT($D26,1))),""))</f>
        <v/>
      </c>
      <c r="AG26" s="33">
        <f>IF(OR($E26="",$F26=""),"",IF(AND(AG$4&lt;=$F26,AG$4+6&gt;=$E26),IF($F26-$E26&lt;=2,"◆",IF($H26="Yes","X",LEFT($D26,1))),""))</f>
        <v/>
      </c>
      <c r="AH26" s="33">
        <f>IF(OR($E26="",$F26=""),"",IF(AND(AH$4&lt;=$F26,AH$4+6&gt;=$E26),IF($F26-$E26&lt;=2,"◆",IF($H26="Yes","X",LEFT($D26,1))),""))</f>
        <v/>
      </c>
      <c r="AI26" s="33">
        <f>IF(OR($E26="",$F26=""),"",IF(AND(AI$4&lt;=$F26,AI$4+6&gt;=$E26),IF($F26-$E26&lt;=2,"◆",IF($H26="Yes","X",LEFT($D26,1))),""))</f>
        <v/>
      </c>
      <c r="AJ26" s="33">
        <f>IF(OR($E26="",$F26=""),"",IF(AND(AJ$4&lt;=$F26,AJ$4+6&gt;=$E26),IF($F26-$E26&lt;=2,"◆",IF($H26="Yes","X",LEFT($D26,1))),""))</f>
        <v/>
      </c>
      <c r="AK26" s="33">
        <f>IF(OR($E26="",$F26=""),"",IF(AND(AK$4&lt;=$F26,AK$4+6&gt;=$E26),IF($F26-$E26&lt;=2,"◆",IF($H26="Yes","X",LEFT($D26,1))),""))</f>
        <v/>
      </c>
      <c r="AL26" s="33">
        <f>IF(OR($E26="",$F26=""),"",IF(AND(AL$4&lt;=$F26,AL$4+6&gt;=$E26),IF($F26-$E26&lt;=2,"◆",IF($H26="Yes","X",LEFT($D26,1))),""))</f>
        <v/>
      </c>
      <c r="AM26" s="33">
        <f>IF(OR($E26="",$F26=""),"",IF(AND(AM$4&lt;=$F26,AM$4+6&gt;=$E26),IF($F26-$E26&lt;=2,"◆",IF($H26="Yes","X",LEFT($D26,1))),""))</f>
        <v/>
      </c>
      <c r="AN26" s="33">
        <f>IF(OR($E26="",$F26=""),"",IF(AND(AN$4&lt;=$F26,AN$4+6&gt;=$E26),IF($F26-$E26&lt;=2,"◆",IF($H26="Yes","X",LEFT($D26,1))),""))</f>
        <v/>
      </c>
      <c r="AO26" s="33">
        <f>IF(OR($E26="",$F26=""),"",IF(AND(AO$4&lt;=$F26,AO$4+6&gt;=$E26),IF($F26-$E26&lt;=2,"◆",IF($H26="Yes","X",LEFT($D26,1))),""))</f>
        <v/>
      </c>
      <c r="AP26" s="33">
        <f>IF(OR($E26="",$F26=""),"",IF(AND(AP$4&lt;=$F26,AP$4+6&gt;=$E26),IF($F26-$E26&lt;=2,"◆",IF($H26="Yes","X",LEFT($D26,1))),""))</f>
        <v/>
      </c>
      <c r="AQ26" s="33">
        <f>IF(OR($E26="",$F26=""),"",IF(AND(AQ$4&lt;=$F26,AQ$4+6&gt;=$E26),IF($F26-$E26&lt;=2,"◆",IF($H26="Yes","X",LEFT($D26,1))),""))</f>
        <v/>
      </c>
      <c r="AR26" s="33">
        <f>IF(OR($E26="",$F26=""),"",IF(AND(AR$4&lt;=$F26,AR$4+6&gt;=$E26),IF($F26-$E26&lt;=2,"◆",IF($H26="Yes","X",LEFT($D26,1))),""))</f>
        <v/>
      </c>
      <c r="AS26" s="33">
        <f>IF(OR($E26="",$F26=""),"",IF(AND(AS$4&lt;=$F26,AS$4+6&gt;=$E26),IF($F26-$E26&lt;=2,"◆",IF($H26="Yes","X",LEFT($D26,1))),""))</f>
        <v/>
      </c>
      <c r="AT26" s="33">
        <f>IF(OR($E26="",$F26=""),"",IF(AND(AT$4&lt;=$F26,AT$4+6&gt;=$E26),IF($F26-$E26&lt;=2,"◆",IF($H26="Yes","X",LEFT($D26,1))),""))</f>
        <v/>
      </c>
      <c r="AU26" s="33">
        <f>IF(OR($E26="",$F26=""),"",IF(AND(AU$4&lt;=$F26,AU$4+6&gt;=$E26),IF($F26-$E26&lt;=2,"◆",IF($H26="Yes","X",LEFT($D26,1))),""))</f>
        <v/>
      </c>
      <c r="AV26" s="33">
        <f>IF(OR($E26="",$F26=""),"",IF(AND(AV$4&lt;=$F26,AV$4+6&gt;=$E26),IF($F26-$E26&lt;=2,"◆",IF($H26="Yes","X",LEFT($D26,1))),""))</f>
        <v/>
      </c>
      <c r="AW26" s="33">
        <f>IF(OR($E26="",$F26=""),"",IF(AND(AW$4&lt;=$F26,AW$4+6&gt;=$E26),IF($F26-$E26&lt;=2,"◆",IF($H26="Yes","X",LEFT($D26,1))),""))</f>
        <v/>
      </c>
      <c r="AX26" s="33">
        <f>IF(OR($E26="",$F26=""),"",IF(AND(AX$4&lt;=$F26,AX$4+6&gt;=$E26),IF($F26-$E26&lt;=2,"◆",IF($H26="Yes","X",LEFT($D26,1))),""))</f>
        <v/>
      </c>
      <c r="AY26" s="33">
        <f>IF(OR($E26="",$F26=""),"",IF(AND(AY$4&lt;=$F26,AY$4+6&gt;=$E26),IF($F26-$E26&lt;=2,"◆",IF($H26="Yes","X",LEFT($D26,1))),""))</f>
        <v/>
      </c>
      <c r="AZ26" s="33">
        <f>IF(OR($E26="",$F26=""),"",IF(AND(AZ$4&lt;=$F26,AZ$4+6&gt;=$E26),IF($F26-$E26&lt;=2,"◆",IF($H26="Yes","X",LEFT($D26,1))),""))</f>
        <v/>
      </c>
      <c r="BA26" s="33">
        <f>IF(OR($E26="",$F26=""),"",IF(AND(BA$4&lt;=$F26,BA$4+6&gt;=$E26),IF($F26-$E26&lt;=2,"◆",IF($H26="Yes","X",LEFT($D26,1))),""))</f>
        <v/>
      </c>
      <c r="BB26" s="33">
        <f>IF(OR($E26="",$F26=""),"",IF(AND(BB$4&lt;=$F26,BB$4+6&gt;=$E26),IF($F26-$E26&lt;=2,"◆",IF($H26="Yes","X",LEFT($D26,1))),""))</f>
        <v/>
      </c>
      <c r="BC26" s="33">
        <f>IF(OR($E26="",$F26=""),"",IF(AND(BC$4&lt;=$F26,BC$4+6&gt;=$E26),IF($F26-$E26&lt;=2,"◆",IF($H26="Yes","X",LEFT($D26,1))),""))</f>
        <v/>
      </c>
      <c r="BD26" s="33">
        <f>IF(OR($E26="",$F26=""),"",IF(AND(BD$4&lt;=$F26,BD$4+6&gt;=$E26),IF($F26-$E26&lt;=2,"◆",IF($H26="Yes","X",LEFT($D26,1))),""))</f>
        <v/>
      </c>
      <c r="BE26" s="33">
        <f>IF(OR($E26="",$F26=""),"",IF(AND(BE$4&lt;=$F26,BE$4+6&gt;=$E26),IF($F26-$E26&lt;=2,"◆",IF($H26="Yes","X",LEFT($D26,1))),""))</f>
        <v/>
      </c>
      <c r="BF26" s="33">
        <f>IF(OR($E26="",$F26=""),"",IF(AND(BF$4&lt;=$F26,BF$4+6&gt;=$E26),IF($F26-$E26&lt;=2,"◆",IF($H26="Yes","X",LEFT($D26,1))),""))</f>
        <v/>
      </c>
      <c r="BG26" s="33">
        <f>IF(OR($E26="",$F26=""),"",IF(AND(BG$4&lt;=$F26,BG$4+6&gt;=$E26),IF($F26-$E26&lt;=2,"◆",IF($H26="Yes","X",LEFT($D26,1))),""))</f>
        <v/>
      </c>
      <c r="BH26" s="33">
        <f>IF(OR($E26="",$F26=""),"",IF(AND(BH$4&lt;=$F26,BH$4+6&gt;=$E26),IF($F26-$E26&lt;=2,"◆",IF($H26="Yes","X",LEFT($D26,1))),""))</f>
        <v/>
      </c>
      <c r="BI26" s="33">
        <f>IF(OR($E26="",$F26=""),"",IF(AND(BI$4&lt;=$F26,BI$4+6&gt;=$E26),IF($F26-$E26&lt;=2,"◆",IF($H26="Yes","X",LEFT($D26,1))),""))</f>
        <v/>
      </c>
    </row>
    <row r="27">
      <c r="A27" s="30" t="inlineStr">
        <is>
          <t>T-023</t>
        </is>
      </c>
      <c r="B27" s="30" t="inlineStr">
        <is>
          <t>Achievo - UI/UX Improvements</t>
        </is>
      </c>
      <c r="C27" s="30" t="inlineStr">
        <is>
          <t>Shriguru</t>
        </is>
      </c>
      <c r="D27" s="30" t="inlineStr">
        <is>
          <t>Not Started</t>
        </is>
      </c>
      <c r="E27" s="31" t="n">
        <v>46236</v>
      </c>
      <c r="F27" s="31" t="n">
        <v>46256</v>
      </c>
      <c r="G27" s="32" t="n">
        <v>0</v>
      </c>
      <c r="H27" s="30" t="inlineStr">
        <is>
          <t>No</t>
        </is>
      </c>
      <c r="I27" s="33">
        <f>IF(OR($E27="",$F27=""),"",IF(AND(I$4&lt;=$F27,I$4+6&gt;=$E27),IF($F27-$E27&lt;=2,"◆",IF($H27="Yes","X",LEFT($D27,1))),""))</f>
        <v/>
      </c>
      <c r="J27" s="33">
        <f>IF(OR($E27="",$F27=""),"",IF(AND(J$4&lt;=$F27,J$4+6&gt;=$E27),IF($F27-$E27&lt;=2,"◆",IF($H27="Yes","X",LEFT($D27,1))),""))</f>
        <v/>
      </c>
      <c r="K27" s="33">
        <f>IF(OR($E27="",$F27=""),"",IF(AND(K$4&lt;=$F27,K$4+6&gt;=$E27),IF($F27-$E27&lt;=2,"◆",IF($H27="Yes","X",LEFT($D27,1))),""))</f>
        <v/>
      </c>
      <c r="L27" s="33">
        <f>IF(OR($E27="",$F27=""),"",IF(AND(L$4&lt;=$F27,L$4+6&gt;=$E27),IF($F27-$E27&lt;=2,"◆",IF($H27="Yes","X",LEFT($D27,1))),""))</f>
        <v/>
      </c>
      <c r="M27" s="33">
        <f>IF(OR($E27="",$F27=""),"",IF(AND(M$4&lt;=$F27,M$4+6&gt;=$E27),IF($F27-$E27&lt;=2,"◆",IF($H27="Yes","X",LEFT($D27,1))),""))</f>
        <v/>
      </c>
      <c r="N27" s="33">
        <f>IF(OR($E27="",$F27=""),"",IF(AND(N$4&lt;=$F27,N$4+6&gt;=$E27),IF($F27-$E27&lt;=2,"◆",IF($H27="Yes","X",LEFT($D27,1))),""))</f>
        <v/>
      </c>
      <c r="O27" s="33">
        <f>IF(OR($E27="",$F27=""),"",IF(AND(O$4&lt;=$F27,O$4+6&gt;=$E27),IF($F27-$E27&lt;=2,"◆",IF($H27="Yes","X",LEFT($D27,1))),""))</f>
        <v/>
      </c>
      <c r="P27" s="33">
        <f>IF(OR($E27="",$F27=""),"",IF(AND(P$4&lt;=$F27,P$4+6&gt;=$E27),IF($F27-$E27&lt;=2,"◆",IF($H27="Yes","X",LEFT($D27,1))),""))</f>
        <v/>
      </c>
      <c r="Q27" s="33">
        <f>IF(OR($E27="",$F27=""),"",IF(AND(Q$4&lt;=$F27,Q$4+6&gt;=$E27),IF($F27-$E27&lt;=2,"◆",IF($H27="Yes","X",LEFT($D27,1))),""))</f>
        <v/>
      </c>
      <c r="R27" s="33">
        <f>IF(OR($E27="",$F27=""),"",IF(AND(R$4&lt;=$F27,R$4+6&gt;=$E27),IF($F27-$E27&lt;=2,"◆",IF($H27="Yes","X",LEFT($D27,1))),""))</f>
        <v/>
      </c>
      <c r="S27" s="33">
        <f>IF(OR($E27="",$F27=""),"",IF(AND(S$4&lt;=$F27,S$4+6&gt;=$E27),IF($F27-$E27&lt;=2,"◆",IF($H27="Yes","X",LEFT($D27,1))),""))</f>
        <v/>
      </c>
      <c r="T27" s="33">
        <f>IF(OR($E27="",$F27=""),"",IF(AND(T$4&lt;=$F27,T$4+6&gt;=$E27),IF($F27-$E27&lt;=2,"◆",IF($H27="Yes","X",LEFT($D27,1))),""))</f>
        <v/>
      </c>
      <c r="U27" s="33">
        <f>IF(OR($E27="",$F27=""),"",IF(AND(U$4&lt;=$F27,U$4+6&gt;=$E27),IF($F27-$E27&lt;=2,"◆",IF($H27="Yes","X",LEFT($D27,1))),""))</f>
        <v/>
      </c>
      <c r="V27" s="33">
        <f>IF(OR($E27="",$F27=""),"",IF(AND(V$4&lt;=$F27,V$4+6&gt;=$E27),IF($F27-$E27&lt;=2,"◆",IF($H27="Yes","X",LEFT($D27,1))),""))</f>
        <v/>
      </c>
      <c r="W27" s="33">
        <f>IF(OR($E27="",$F27=""),"",IF(AND(W$4&lt;=$F27,W$4+6&gt;=$E27),IF($F27-$E27&lt;=2,"◆",IF($H27="Yes","X",LEFT($D27,1))),""))</f>
        <v/>
      </c>
      <c r="X27" s="33">
        <f>IF(OR($E27="",$F27=""),"",IF(AND(X$4&lt;=$F27,X$4+6&gt;=$E27),IF($F27-$E27&lt;=2,"◆",IF($H27="Yes","X",LEFT($D27,1))),""))</f>
        <v/>
      </c>
      <c r="Y27" s="33">
        <f>IF(OR($E27="",$F27=""),"",IF(AND(Y$4&lt;=$F27,Y$4+6&gt;=$E27),IF($F27-$E27&lt;=2,"◆",IF($H27="Yes","X",LEFT($D27,1))),""))</f>
        <v/>
      </c>
      <c r="Z27" s="33">
        <f>IF(OR($E27="",$F27=""),"",IF(AND(Z$4&lt;=$F27,Z$4+6&gt;=$E27),IF($F27-$E27&lt;=2,"◆",IF($H27="Yes","X",LEFT($D27,1))),""))</f>
        <v/>
      </c>
      <c r="AA27" s="33">
        <f>IF(OR($E27="",$F27=""),"",IF(AND(AA$4&lt;=$F27,AA$4+6&gt;=$E27),IF($F27-$E27&lt;=2,"◆",IF($H27="Yes","X",LEFT($D27,1))),""))</f>
        <v/>
      </c>
      <c r="AB27" s="33">
        <f>IF(OR($E27="",$F27=""),"",IF(AND(AB$4&lt;=$F27,AB$4+6&gt;=$E27),IF($F27-$E27&lt;=2,"◆",IF($H27="Yes","X",LEFT($D27,1))),""))</f>
        <v/>
      </c>
      <c r="AC27" s="33">
        <f>IF(OR($E27="",$F27=""),"",IF(AND(AC$4&lt;=$F27,AC$4+6&gt;=$E27),IF($F27-$E27&lt;=2,"◆",IF($H27="Yes","X",LEFT($D27,1))),""))</f>
        <v/>
      </c>
      <c r="AD27" s="33">
        <f>IF(OR($E27="",$F27=""),"",IF(AND(AD$4&lt;=$F27,AD$4+6&gt;=$E27),IF($F27-$E27&lt;=2,"◆",IF($H27="Yes","X",LEFT($D27,1))),""))</f>
        <v/>
      </c>
      <c r="AE27" s="33">
        <f>IF(OR($E27="",$F27=""),"",IF(AND(AE$4&lt;=$F27,AE$4+6&gt;=$E27),IF($F27-$E27&lt;=2,"◆",IF($H27="Yes","X",LEFT($D27,1))),""))</f>
        <v/>
      </c>
      <c r="AF27" s="33">
        <f>IF(OR($E27="",$F27=""),"",IF(AND(AF$4&lt;=$F27,AF$4+6&gt;=$E27),IF($F27-$E27&lt;=2,"◆",IF($H27="Yes","X",LEFT($D27,1))),""))</f>
        <v/>
      </c>
      <c r="AG27" s="33">
        <f>IF(OR($E27="",$F27=""),"",IF(AND(AG$4&lt;=$F27,AG$4+6&gt;=$E27),IF($F27-$E27&lt;=2,"◆",IF($H27="Yes","X",LEFT($D27,1))),""))</f>
        <v/>
      </c>
      <c r="AH27" s="33">
        <f>IF(OR($E27="",$F27=""),"",IF(AND(AH$4&lt;=$F27,AH$4+6&gt;=$E27),IF($F27-$E27&lt;=2,"◆",IF($H27="Yes","X",LEFT($D27,1))),""))</f>
        <v/>
      </c>
      <c r="AI27" s="33">
        <f>IF(OR($E27="",$F27=""),"",IF(AND(AI$4&lt;=$F27,AI$4+6&gt;=$E27),IF($F27-$E27&lt;=2,"◆",IF($H27="Yes","X",LEFT($D27,1))),""))</f>
        <v/>
      </c>
      <c r="AJ27" s="33">
        <f>IF(OR($E27="",$F27=""),"",IF(AND(AJ$4&lt;=$F27,AJ$4+6&gt;=$E27),IF($F27-$E27&lt;=2,"◆",IF($H27="Yes","X",LEFT($D27,1))),""))</f>
        <v/>
      </c>
      <c r="AK27" s="33">
        <f>IF(OR($E27="",$F27=""),"",IF(AND(AK$4&lt;=$F27,AK$4+6&gt;=$E27),IF($F27-$E27&lt;=2,"◆",IF($H27="Yes","X",LEFT($D27,1))),""))</f>
        <v/>
      </c>
      <c r="AL27" s="33">
        <f>IF(OR($E27="",$F27=""),"",IF(AND(AL$4&lt;=$F27,AL$4+6&gt;=$E27),IF($F27-$E27&lt;=2,"◆",IF($H27="Yes","X",LEFT($D27,1))),""))</f>
        <v/>
      </c>
      <c r="AM27" s="33">
        <f>IF(OR($E27="",$F27=""),"",IF(AND(AM$4&lt;=$F27,AM$4+6&gt;=$E27),IF($F27-$E27&lt;=2,"◆",IF($H27="Yes","X",LEFT($D27,1))),""))</f>
        <v/>
      </c>
      <c r="AN27" s="33">
        <f>IF(OR($E27="",$F27=""),"",IF(AND(AN$4&lt;=$F27,AN$4+6&gt;=$E27),IF($F27-$E27&lt;=2,"◆",IF($H27="Yes","X",LEFT($D27,1))),""))</f>
        <v/>
      </c>
      <c r="AO27" s="33">
        <f>IF(OR($E27="",$F27=""),"",IF(AND(AO$4&lt;=$F27,AO$4+6&gt;=$E27),IF($F27-$E27&lt;=2,"◆",IF($H27="Yes","X",LEFT($D27,1))),""))</f>
        <v/>
      </c>
      <c r="AP27" s="33">
        <f>IF(OR($E27="",$F27=""),"",IF(AND(AP$4&lt;=$F27,AP$4+6&gt;=$E27),IF($F27-$E27&lt;=2,"◆",IF($H27="Yes","X",LEFT($D27,1))),""))</f>
        <v/>
      </c>
      <c r="AQ27" s="33">
        <f>IF(OR($E27="",$F27=""),"",IF(AND(AQ$4&lt;=$F27,AQ$4+6&gt;=$E27),IF($F27-$E27&lt;=2,"◆",IF($H27="Yes","X",LEFT($D27,1))),""))</f>
        <v/>
      </c>
      <c r="AR27" s="33">
        <f>IF(OR($E27="",$F27=""),"",IF(AND(AR$4&lt;=$F27,AR$4+6&gt;=$E27),IF($F27-$E27&lt;=2,"◆",IF($H27="Yes","X",LEFT($D27,1))),""))</f>
        <v/>
      </c>
      <c r="AS27" s="33">
        <f>IF(OR($E27="",$F27=""),"",IF(AND(AS$4&lt;=$F27,AS$4+6&gt;=$E27),IF($F27-$E27&lt;=2,"◆",IF($H27="Yes","X",LEFT($D27,1))),""))</f>
        <v/>
      </c>
      <c r="AT27" s="33">
        <f>IF(OR($E27="",$F27=""),"",IF(AND(AT$4&lt;=$F27,AT$4+6&gt;=$E27),IF($F27-$E27&lt;=2,"◆",IF($H27="Yes","X",LEFT($D27,1))),""))</f>
        <v/>
      </c>
      <c r="AU27" s="33">
        <f>IF(OR($E27="",$F27=""),"",IF(AND(AU$4&lt;=$F27,AU$4+6&gt;=$E27),IF($F27-$E27&lt;=2,"◆",IF($H27="Yes","X",LEFT($D27,1))),""))</f>
        <v/>
      </c>
      <c r="AV27" s="33">
        <f>IF(OR($E27="",$F27=""),"",IF(AND(AV$4&lt;=$F27,AV$4+6&gt;=$E27),IF($F27-$E27&lt;=2,"◆",IF($H27="Yes","X",LEFT($D27,1))),""))</f>
        <v/>
      </c>
      <c r="AW27" s="33">
        <f>IF(OR($E27="",$F27=""),"",IF(AND(AW$4&lt;=$F27,AW$4+6&gt;=$E27),IF($F27-$E27&lt;=2,"◆",IF($H27="Yes","X",LEFT($D27,1))),""))</f>
        <v/>
      </c>
      <c r="AX27" s="33">
        <f>IF(OR($E27="",$F27=""),"",IF(AND(AX$4&lt;=$F27,AX$4+6&gt;=$E27),IF($F27-$E27&lt;=2,"◆",IF($H27="Yes","X",LEFT($D27,1))),""))</f>
        <v/>
      </c>
      <c r="AY27" s="33">
        <f>IF(OR($E27="",$F27=""),"",IF(AND(AY$4&lt;=$F27,AY$4+6&gt;=$E27),IF($F27-$E27&lt;=2,"◆",IF($H27="Yes","X",LEFT($D27,1))),""))</f>
        <v/>
      </c>
      <c r="AZ27" s="33">
        <f>IF(OR($E27="",$F27=""),"",IF(AND(AZ$4&lt;=$F27,AZ$4+6&gt;=$E27),IF($F27-$E27&lt;=2,"◆",IF($H27="Yes","X",LEFT($D27,1))),""))</f>
        <v/>
      </c>
      <c r="BA27" s="33">
        <f>IF(OR($E27="",$F27=""),"",IF(AND(BA$4&lt;=$F27,BA$4+6&gt;=$E27),IF($F27-$E27&lt;=2,"◆",IF($H27="Yes","X",LEFT($D27,1))),""))</f>
        <v/>
      </c>
      <c r="BB27" s="33">
        <f>IF(OR($E27="",$F27=""),"",IF(AND(BB$4&lt;=$F27,BB$4+6&gt;=$E27),IF($F27-$E27&lt;=2,"◆",IF($H27="Yes","X",LEFT($D27,1))),""))</f>
        <v/>
      </c>
      <c r="BC27" s="33">
        <f>IF(OR($E27="",$F27=""),"",IF(AND(BC$4&lt;=$F27,BC$4+6&gt;=$E27),IF($F27-$E27&lt;=2,"◆",IF($H27="Yes","X",LEFT($D27,1))),""))</f>
        <v/>
      </c>
      <c r="BD27" s="33">
        <f>IF(OR($E27="",$F27=""),"",IF(AND(BD$4&lt;=$F27,BD$4+6&gt;=$E27),IF($F27-$E27&lt;=2,"◆",IF($H27="Yes","X",LEFT($D27,1))),""))</f>
        <v/>
      </c>
      <c r="BE27" s="33">
        <f>IF(OR($E27="",$F27=""),"",IF(AND(BE$4&lt;=$F27,BE$4+6&gt;=$E27),IF($F27-$E27&lt;=2,"◆",IF($H27="Yes","X",LEFT($D27,1))),""))</f>
        <v/>
      </c>
      <c r="BF27" s="33">
        <f>IF(OR($E27="",$F27=""),"",IF(AND(BF$4&lt;=$F27,BF$4+6&gt;=$E27),IF($F27-$E27&lt;=2,"◆",IF($H27="Yes","X",LEFT($D27,1))),""))</f>
        <v/>
      </c>
      <c r="BG27" s="33">
        <f>IF(OR($E27="",$F27=""),"",IF(AND(BG$4&lt;=$F27,BG$4+6&gt;=$E27),IF($F27-$E27&lt;=2,"◆",IF($H27="Yes","X",LEFT($D27,1))),""))</f>
        <v/>
      </c>
      <c r="BH27" s="33">
        <f>IF(OR($E27="",$F27=""),"",IF(AND(BH$4&lt;=$F27,BH$4+6&gt;=$E27),IF($F27-$E27&lt;=2,"◆",IF($H27="Yes","X",LEFT($D27,1))),""))</f>
        <v/>
      </c>
      <c r="BI27" s="33">
        <f>IF(OR($E27="",$F27=""),"",IF(AND(BI$4&lt;=$F27,BI$4+6&gt;=$E27),IF($F27-$E27&lt;=2,"◆",IF($H27="Yes","X",LEFT($D27,1))),""))</f>
        <v/>
      </c>
    </row>
    <row r="28">
      <c r="A28" s="30" t="inlineStr">
        <is>
          <t>T-024</t>
        </is>
      </c>
      <c r="B28" s="30" t="inlineStr">
        <is>
          <t>Achievo - Mobile Performance Improvement.(Analysis)</t>
        </is>
      </c>
      <c r="C28" s="30" t="inlineStr">
        <is>
          <t>Shriguru</t>
        </is>
      </c>
      <c r="D28" s="30" t="inlineStr">
        <is>
          <t>In Progress</t>
        </is>
      </c>
      <c r="E28" s="31" t="n">
        <v>46214</v>
      </c>
      <c r="F28" s="31" t="n">
        <v>46218</v>
      </c>
      <c r="G28" s="32" t="n">
        <v>0.29</v>
      </c>
      <c r="H28" s="30" t="inlineStr">
        <is>
          <t>Yes</t>
        </is>
      </c>
      <c r="I28" s="33">
        <f>IF(OR($E28="",$F28=""),"",IF(AND(I$4&lt;=$F28,I$4+6&gt;=$E28),IF($F28-$E28&lt;=2,"◆",IF($H28="Yes","X",LEFT($D28,1))),""))</f>
        <v/>
      </c>
      <c r="J28" s="33">
        <f>IF(OR($E28="",$F28=""),"",IF(AND(J$4&lt;=$F28,J$4+6&gt;=$E28),IF($F28-$E28&lt;=2,"◆",IF($H28="Yes","X",LEFT($D28,1))),""))</f>
        <v/>
      </c>
      <c r="K28" s="33">
        <f>IF(OR($E28="",$F28=""),"",IF(AND(K$4&lt;=$F28,K$4+6&gt;=$E28),IF($F28-$E28&lt;=2,"◆",IF($H28="Yes","X",LEFT($D28,1))),""))</f>
        <v/>
      </c>
      <c r="L28" s="33">
        <f>IF(OR($E28="",$F28=""),"",IF(AND(L$4&lt;=$F28,L$4+6&gt;=$E28),IF($F28-$E28&lt;=2,"◆",IF($H28="Yes","X",LEFT($D28,1))),""))</f>
        <v/>
      </c>
      <c r="M28" s="33">
        <f>IF(OR($E28="",$F28=""),"",IF(AND(M$4&lt;=$F28,M$4+6&gt;=$E28),IF($F28-$E28&lt;=2,"◆",IF($H28="Yes","X",LEFT($D28,1))),""))</f>
        <v/>
      </c>
      <c r="N28" s="33">
        <f>IF(OR($E28="",$F28=""),"",IF(AND(N$4&lt;=$F28,N$4+6&gt;=$E28),IF($F28-$E28&lt;=2,"◆",IF($H28="Yes","X",LEFT($D28,1))),""))</f>
        <v/>
      </c>
      <c r="O28" s="33">
        <f>IF(OR($E28="",$F28=""),"",IF(AND(O$4&lt;=$F28,O$4+6&gt;=$E28),IF($F28-$E28&lt;=2,"◆",IF($H28="Yes","X",LEFT($D28,1))),""))</f>
        <v/>
      </c>
      <c r="P28" s="33">
        <f>IF(OR($E28="",$F28=""),"",IF(AND(P$4&lt;=$F28,P$4+6&gt;=$E28),IF($F28-$E28&lt;=2,"◆",IF($H28="Yes","X",LEFT($D28,1))),""))</f>
        <v/>
      </c>
      <c r="Q28" s="33">
        <f>IF(OR($E28="",$F28=""),"",IF(AND(Q$4&lt;=$F28,Q$4+6&gt;=$E28),IF($F28-$E28&lt;=2,"◆",IF($H28="Yes","X",LEFT($D28,1))),""))</f>
        <v/>
      </c>
      <c r="R28" s="33">
        <f>IF(OR($E28="",$F28=""),"",IF(AND(R$4&lt;=$F28,R$4+6&gt;=$E28),IF($F28-$E28&lt;=2,"◆",IF($H28="Yes","X",LEFT($D28,1))),""))</f>
        <v/>
      </c>
      <c r="S28" s="33">
        <f>IF(OR($E28="",$F28=""),"",IF(AND(S$4&lt;=$F28,S$4+6&gt;=$E28),IF($F28-$E28&lt;=2,"◆",IF($H28="Yes","X",LEFT($D28,1))),""))</f>
        <v/>
      </c>
      <c r="T28" s="33">
        <f>IF(OR($E28="",$F28=""),"",IF(AND(T$4&lt;=$F28,T$4+6&gt;=$E28),IF($F28-$E28&lt;=2,"◆",IF($H28="Yes","X",LEFT($D28,1))),""))</f>
        <v/>
      </c>
      <c r="U28" s="33">
        <f>IF(OR($E28="",$F28=""),"",IF(AND(U$4&lt;=$F28,U$4+6&gt;=$E28),IF($F28-$E28&lt;=2,"◆",IF($H28="Yes","X",LEFT($D28,1))),""))</f>
        <v/>
      </c>
      <c r="V28" s="33">
        <f>IF(OR($E28="",$F28=""),"",IF(AND(V$4&lt;=$F28,V$4+6&gt;=$E28),IF($F28-$E28&lt;=2,"◆",IF($H28="Yes","X",LEFT($D28,1))),""))</f>
        <v/>
      </c>
      <c r="W28" s="33">
        <f>IF(OR($E28="",$F28=""),"",IF(AND(W$4&lt;=$F28,W$4+6&gt;=$E28),IF($F28-$E28&lt;=2,"◆",IF($H28="Yes","X",LEFT($D28,1))),""))</f>
        <v/>
      </c>
      <c r="X28" s="33">
        <f>IF(OR($E28="",$F28=""),"",IF(AND(X$4&lt;=$F28,X$4+6&gt;=$E28),IF($F28-$E28&lt;=2,"◆",IF($H28="Yes","X",LEFT($D28,1))),""))</f>
        <v/>
      </c>
      <c r="Y28" s="33">
        <f>IF(OR($E28="",$F28=""),"",IF(AND(Y$4&lt;=$F28,Y$4+6&gt;=$E28),IF($F28-$E28&lt;=2,"◆",IF($H28="Yes","X",LEFT($D28,1))),""))</f>
        <v/>
      </c>
      <c r="Z28" s="33">
        <f>IF(OR($E28="",$F28=""),"",IF(AND(Z$4&lt;=$F28,Z$4+6&gt;=$E28),IF($F28-$E28&lt;=2,"◆",IF($H28="Yes","X",LEFT($D28,1))),""))</f>
        <v/>
      </c>
      <c r="AA28" s="33">
        <f>IF(OR($E28="",$F28=""),"",IF(AND(AA$4&lt;=$F28,AA$4+6&gt;=$E28),IF($F28-$E28&lt;=2,"◆",IF($H28="Yes","X",LEFT($D28,1))),""))</f>
        <v/>
      </c>
      <c r="AB28" s="33">
        <f>IF(OR($E28="",$F28=""),"",IF(AND(AB$4&lt;=$F28,AB$4+6&gt;=$E28),IF($F28-$E28&lt;=2,"◆",IF($H28="Yes","X",LEFT($D28,1))),""))</f>
        <v/>
      </c>
      <c r="AC28" s="33">
        <f>IF(OR($E28="",$F28=""),"",IF(AND(AC$4&lt;=$F28,AC$4+6&gt;=$E28),IF($F28-$E28&lt;=2,"◆",IF($H28="Yes","X",LEFT($D28,1))),""))</f>
        <v/>
      </c>
      <c r="AD28" s="33">
        <f>IF(OR($E28="",$F28=""),"",IF(AND(AD$4&lt;=$F28,AD$4+6&gt;=$E28),IF($F28-$E28&lt;=2,"◆",IF($H28="Yes","X",LEFT($D28,1))),""))</f>
        <v/>
      </c>
      <c r="AE28" s="33">
        <f>IF(OR($E28="",$F28=""),"",IF(AND(AE$4&lt;=$F28,AE$4+6&gt;=$E28),IF($F28-$E28&lt;=2,"◆",IF($H28="Yes","X",LEFT($D28,1))),""))</f>
        <v/>
      </c>
      <c r="AF28" s="33">
        <f>IF(OR($E28="",$F28=""),"",IF(AND(AF$4&lt;=$F28,AF$4+6&gt;=$E28),IF($F28-$E28&lt;=2,"◆",IF($H28="Yes","X",LEFT($D28,1))),""))</f>
        <v/>
      </c>
      <c r="AG28" s="33">
        <f>IF(OR($E28="",$F28=""),"",IF(AND(AG$4&lt;=$F28,AG$4+6&gt;=$E28),IF($F28-$E28&lt;=2,"◆",IF($H28="Yes","X",LEFT($D28,1))),""))</f>
        <v/>
      </c>
      <c r="AH28" s="33">
        <f>IF(OR($E28="",$F28=""),"",IF(AND(AH$4&lt;=$F28,AH$4+6&gt;=$E28),IF($F28-$E28&lt;=2,"◆",IF($H28="Yes","X",LEFT($D28,1))),""))</f>
        <v/>
      </c>
      <c r="AI28" s="33">
        <f>IF(OR($E28="",$F28=""),"",IF(AND(AI$4&lt;=$F28,AI$4+6&gt;=$E28),IF($F28-$E28&lt;=2,"◆",IF($H28="Yes","X",LEFT($D28,1))),""))</f>
        <v/>
      </c>
      <c r="AJ28" s="33">
        <f>IF(OR($E28="",$F28=""),"",IF(AND(AJ$4&lt;=$F28,AJ$4+6&gt;=$E28),IF($F28-$E28&lt;=2,"◆",IF($H28="Yes","X",LEFT($D28,1))),""))</f>
        <v/>
      </c>
      <c r="AK28" s="33">
        <f>IF(OR($E28="",$F28=""),"",IF(AND(AK$4&lt;=$F28,AK$4+6&gt;=$E28),IF($F28-$E28&lt;=2,"◆",IF($H28="Yes","X",LEFT($D28,1))),""))</f>
        <v/>
      </c>
      <c r="AL28" s="33">
        <f>IF(OR($E28="",$F28=""),"",IF(AND(AL$4&lt;=$F28,AL$4+6&gt;=$E28),IF($F28-$E28&lt;=2,"◆",IF($H28="Yes","X",LEFT($D28,1))),""))</f>
        <v/>
      </c>
      <c r="AM28" s="33">
        <f>IF(OR($E28="",$F28=""),"",IF(AND(AM$4&lt;=$F28,AM$4+6&gt;=$E28),IF($F28-$E28&lt;=2,"◆",IF($H28="Yes","X",LEFT($D28,1))),""))</f>
        <v/>
      </c>
      <c r="AN28" s="33">
        <f>IF(OR($E28="",$F28=""),"",IF(AND(AN$4&lt;=$F28,AN$4+6&gt;=$E28),IF($F28-$E28&lt;=2,"◆",IF($H28="Yes","X",LEFT($D28,1))),""))</f>
        <v/>
      </c>
      <c r="AO28" s="33">
        <f>IF(OR($E28="",$F28=""),"",IF(AND(AO$4&lt;=$F28,AO$4+6&gt;=$E28),IF($F28-$E28&lt;=2,"◆",IF($H28="Yes","X",LEFT($D28,1))),""))</f>
        <v/>
      </c>
      <c r="AP28" s="33">
        <f>IF(OR($E28="",$F28=""),"",IF(AND(AP$4&lt;=$F28,AP$4+6&gt;=$E28),IF($F28-$E28&lt;=2,"◆",IF($H28="Yes","X",LEFT($D28,1))),""))</f>
        <v/>
      </c>
      <c r="AQ28" s="33">
        <f>IF(OR($E28="",$F28=""),"",IF(AND(AQ$4&lt;=$F28,AQ$4+6&gt;=$E28),IF($F28-$E28&lt;=2,"◆",IF($H28="Yes","X",LEFT($D28,1))),""))</f>
        <v/>
      </c>
      <c r="AR28" s="33">
        <f>IF(OR($E28="",$F28=""),"",IF(AND(AR$4&lt;=$F28,AR$4+6&gt;=$E28),IF($F28-$E28&lt;=2,"◆",IF($H28="Yes","X",LEFT($D28,1))),""))</f>
        <v/>
      </c>
      <c r="AS28" s="33">
        <f>IF(OR($E28="",$F28=""),"",IF(AND(AS$4&lt;=$F28,AS$4+6&gt;=$E28),IF($F28-$E28&lt;=2,"◆",IF($H28="Yes","X",LEFT($D28,1))),""))</f>
        <v/>
      </c>
      <c r="AT28" s="33">
        <f>IF(OR($E28="",$F28=""),"",IF(AND(AT$4&lt;=$F28,AT$4+6&gt;=$E28),IF($F28-$E28&lt;=2,"◆",IF($H28="Yes","X",LEFT($D28,1))),""))</f>
        <v/>
      </c>
      <c r="AU28" s="33">
        <f>IF(OR($E28="",$F28=""),"",IF(AND(AU$4&lt;=$F28,AU$4+6&gt;=$E28),IF($F28-$E28&lt;=2,"◆",IF($H28="Yes","X",LEFT($D28,1))),""))</f>
        <v/>
      </c>
      <c r="AV28" s="33">
        <f>IF(OR($E28="",$F28=""),"",IF(AND(AV$4&lt;=$F28,AV$4+6&gt;=$E28),IF($F28-$E28&lt;=2,"◆",IF($H28="Yes","X",LEFT($D28,1))),""))</f>
        <v/>
      </c>
      <c r="AW28" s="33">
        <f>IF(OR($E28="",$F28=""),"",IF(AND(AW$4&lt;=$F28,AW$4+6&gt;=$E28),IF($F28-$E28&lt;=2,"◆",IF($H28="Yes","X",LEFT($D28,1))),""))</f>
        <v/>
      </c>
      <c r="AX28" s="33">
        <f>IF(OR($E28="",$F28=""),"",IF(AND(AX$4&lt;=$F28,AX$4+6&gt;=$E28),IF($F28-$E28&lt;=2,"◆",IF($H28="Yes","X",LEFT($D28,1))),""))</f>
        <v/>
      </c>
      <c r="AY28" s="33">
        <f>IF(OR($E28="",$F28=""),"",IF(AND(AY$4&lt;=$F28,AY$4+6&gt;=$E28),IF($F28-$E28&lt;=2,"◆",IF($H28="Yes","X",LEFT($D28,1))),""))</f>
        <v/>
      </c>
      <c r="AZ28" s="33">
        <f>IF(OR($E28="",$F28=""),"",IF(AND(AZ$4&lt;=$F28,AZ$4+6&gt;=$E28),IF($F28-$E28&lt;=2,"◆",IF($H28="Yes","X",LEFT($D28,1))),""))</f>
        <v/>
      </c>
      <c r="BA28" s="33">
        <f>IF(OR($E28="",$F28=""),"",IF(AND(BA$4&lt;=$F28,BA$4+6&gt;=$E28),IF($F28-$E28&lt;=2,"◆",IF($H28="Yes","X",LEFT($D28,1))),""))</f>
        <v/>
      </c>
      <c r="BB28" s="33">
        <f>IF(OR($E28="",$F28=""),"",IF(AND(BB$4&lt;=$F28,BB$4+6&gt;=$E28),IF($F28-$E28&lt;=2,"◆",IF($H28="Yes","X",LEFT($D28,1))),""))</f>
        <v/>
      </c>
      <c r="BC28" s="33">
        <f>IF(OR($E28="",$F28=""),"",IF(AND(BC$4&lt;=$F28,BC$4+6&gt;=$E28),IF($F28-$E28&lt;=2,"◆",IF($H28="Yes","X",LEFT($D28,1))),""))</f>
        <v/>
      </c>
      <c r="BD28" s="33">
        <f>IF(OR($E28="",$F28=""),"",IF(AND(BD$4&lt;=$F28,BD$4+6&gt;=$E28),IF($F28-$E28&lt;=2,"◆",IF($H28="Yes","X",LEFT($D28,1))),""))</f>
        <v/>
      </c>
      <c r="BE28" s="33">
        <f>IF(OR($E28="",$F28=""),"",IF(AND(BE$4&lt;=$F28,BE$4+6&gt;=$E28),IF($F28-$E28&lt;=2,"◆",IF($H28="Yes","X",LEFT($D28,1))),""))</f>
        <v/>
      </c>
      <c r="BF28" s="33">
        <f>IF(OR($E28="",$F28=""),"",IF(AND(BF$4&lt;=$F28,BF$4+6&gt;=$E28),IF($F28-$E28&lt;=2,"◆",IF($H28="Yes","X",LEFT($D28,1))),""))</f>
        <v/>
      </c>
      <c r="BG28" s="33">
        <f>IF(OR($E28="",$F28=""),"",IF(AND(BG$4&lt;=$F28,BG$4+6&gt;=$E28),IF($F28-$E28&lt;=2,"◆",IF($H28="Yes","X",LEFT($D28,1))),""))</f>
        <v/>
      </c>
      <c r="BH28" s="33">
        <f>IF(OR($E28="",$F28=""),"",IF(AND(BH$4&lt;=$F28,BH$4+6&gt;=$E28),IF($F28-$E28&lt;=2,"◆",IF($H28="Yes","X",LEFT($D28,1))),""))</f>
        <v/>
      </c>
      <c r="BI28" s="33">
        <f>IF(OR($E28="",$F28=""),"",IF(AND(BI$4&lt;=$F28,BI$4+6&gt;=$E28),IF($F28-$E28&lt;=2,"◆",IF($H28="Yes","X",LEFT($D28,1))),""))</f>
        <v/>
      </c>
    </row>
    <row r="29">
      <c r="A29" s="30" t="inlineStr">
        <is>
          <t>T-025</t>
        </is>
      </c>
      <c r="B29" s="30" t="inlineStr">
        <is>
          <t>Achievo - Mobile Performance Improvement.(Implementation)</t>
        </is>
      </c>
      <c r="C29" s="30" t="inlineStr">
        <is>
          <t>Shriguru</t>
        </is>
      </c>
      <c r="D29" s="30" t="inlineStr">
        <is>
          <t>In Progress</t>
        </is>
      </c>
      <c r="E29" s="31" t="n">
        <v>46278</v>
      </c>
      <c r="F29" s="31" t="n">
        <v>46287</v>
      </c>
      <c r="G29" s="32" t="n">
        <v>0.24</v>
      </c>
      <c r="H29" s="30" t="inlineStr">
        <is>
          <t>Yes</t>
        </is>
      </c>
      <c r="I29" s="33">
        <f>IF(OR($E29="",$F29=""),"",IF(AND(I$4&lt;=$F29,I$4+6&gt;=$E29),IF($F29-$E29&lt;=2,"◆",IF($H29="Yes","X",LEFT($D29,1))),""))</f>
        <v/>
      </c>
      <c r="J29" s="33">
        <f>IF(OR($E29="",$F29=""),"",IF(AND(J$4&lt;=$F29,J$4+6&gt;=$E29),IF($F29-$E29&lt;=2,"◆",IF($H29="Yes","X",LEFT($D29,1))),""))</f>
        <v/>
      </c>
      <c r="K29" s="33">
        <f>IF(OR($E29="",$F29=""),"",IF(AND(K$4&lt;=$F29,K$4+6&gt;=$E29),IF($F29-$E29&lt;=2,"◆",IF($H29="Yes","X",LEFT($D29,1))),""))</f>
        <v/>
      </c>
      <c r="L29" s="33">
        <f>IF(OR($E29="",$F29=""),"",IF(AND(L$4&lt;=$F29,L$4+6&gt;=$E29),IF($F29-$E29&lt;=2,"◆",IF($H29="Yes","X",LEFT($D29,1))),""))</f>
        <v/>
      </c>
      <c r="M29" s="33">
        <f>IF(OR($E29="",$F29=""),"",IF(AND(M$4&lt;=$F29,M$4+6&gt;=$E29),IF($F29-$E29&lt;=2,"◆",IF($H29="Yes","X",LEFT($D29,1))),""))</f>
        <v/>
      </c>
      <c r="N29" s="33">
        <f>IF(OR($E29="",$F29=""),"",IF(AND(N$4&lt;=$F29,N$4+6&gt;=$E29),IF($F29-$E29&lt;=2,"◆",IF($H29="Yes","X",LEFT($D29,1))),""))</f>
        <v/>
      </c>
      <c r="O29" s="33">
        <f>IF(OR($E29="",$F29=""),"",IF(AND(O$4&lt;=$F29,O$4+6&gt;=$E29),IF($F29-$E29&lt;=2,"◆",IF($H29="Yes","X",LEFT($D29,1))),""))</f>
        <v/>
      </c>
      <c r="P29" s="33">
        <f>IF(OR($E29="",$F29=""),"",IF(AND(P$4&lt;=$F29,P$4+6&gt;=$E29),IF($F29-$E29&lt;=2,"◆",IF($H29="Yes","X",LEFT($D29,1))),""))</f>
        <v/>
      </c>
      <c r="Q29" s="33">
        <f>IF(OR($E29="",$F29=""),"",IF(AND(Q$4&lt;=$F29,Q$4+6&gt;=$E29),IF($F29-$E29&lt;=2,"◆",IF($H29="Yes","X",LEFT($D29,1))),""))</f>
        <v/>
      </c>
      <c r="R29" s="33">
        <f>IF(OR($E29="",$F29=""),"",IF(AND(R$4&lt;=$F29,R$4+6&gt;=$E29),IF($F29-$E29&lt;=2,"◆",IF($H29="Yes","X",LEFT($D29,1))),""))</f>
        <v/>
      </c>
      <c r="S29" s="33">
        <f>IF(OR($E29="",$F29=""),"",IF(AND(S$4&lt;=$F29,S$4+6&gt;=$E29),IF($F29-$E29&lt;=2,"◆",IF($H29="Yes","X",LEFT($D29,1))),""))</f>
        <v/>
      </c>
      <c r="T29" s="33">
        <f>IF(OR($E29="",$F29=""),"",IF(AND(T$4&lt;=$F29,T$4+6&gt;=$E29),IF($F29-$E29&lt;=2,"◆",IF($H29="Yes","X",LEFT($D29,1))),""))</f>
        <v/>
      </c>
      <c r="U29" s="33">
        <f>IF(OR($E29="",$F29=""),"",IF(AND(U$4&lt;=$F29,U$4+6&gt;=$E29),IF($F29-$E29&lt;=2,"◆",IF($H29="Yes","X",LEFT($D29,1))),""))</f>
        <v/>
      </c>
      <c r="V29" s="33">
        <f>IF(OR($E29="",$F29=""),"",IF(AND(V$4&lt;=$F29,V$4+6&gt;=$E29),IF($F29-$E29&lt;=2,"◆",IF($H29="Yes","X",LEFT($D29,1))),""))</f>
        <v/>
      </c>
      <c r="W29" s="33">
        <f>IF(OR($E29="",$F29=""),"",IF(AND(W$4&lt;=$F29,W$4+6&gt;=$E29),IF($F29-$E29&lt;=2,"◆",IF($H29="Yes","X",LEFT($D29,1))),""))</f>
        <v/>
      </c>
      <c r="X29" s="33">
        <f>IF(OR($E29="",$F29=""),"",IF(AND(X$4&lt;=$F29,X$4+6&gt;=$E29),IF($F29-$E29&lt;=2,"◆",IF($H29="Yes","X",LEFT($D29,1))),""))</f>
        <v/>
      </c>
      <c r="Y29" s="33">
        <f>IF(OR($E29="",$F29=""),"",IF(AND(Y$4&lt;=$F29,Y$4+6&gt;=$E29),IF($F29-$E29&lt;=2,"◆",IF($H29="Yes","X",LEFT($D29,1))),""))</f>
        <v/>
      </c>
      <c r="Z29" s="33">
        <f>IF(OR($E29="",$F29=""),"",IF(AND(Z$4&lt;=$F29,Z$4+6&gt;=$E29),IF($F29-$E29&lt;=2,"◆",IF($H29="Yes","X",LEFT($D29,1))),""))</f>
        <v/>
      </c>
      <c r="AA29" s="33">
        <f>IF(OR($E29="",$F29=""),"",IF(AND(AA$4&lt;=$F29,AA$4+6&gt;=$E29),IF($F29-$E29&lt;=2,"◆",IF($H29="Yes","X",LEFT($D29,1))),""))</f>
        <v/>
      </c>
      <c r="AB29" s="33">
        <f>IF(OR($E29="",$F29=""),"",IF(AND(AB$4&lt;=$F29,AB$4+6&gt;=$E29),IF($F29-$E29&lt;=2,"◆",IF($H29="Yes","X",LEFT($D29,1))),""))</f>
        <v/>
      </c>
      <c r="AC29" s="33">
        <f>IF(OR($E29="",$F29=""),"",IF(AND(AC$4&lt;=$F29,AC$4+6&gt;=$E29),IF($F29-$E29&lt;=2,"◆",IF($H29="Yes","X",LEFT($D29,1))),""))</f>
        <v/>
      </c>
      <c r="AD29" s="33">
        <f>IF(OR($E29="",$F29=""),"",IF(AND(AD$4&lt;=$F29,AD$4+6&gt;=$E29),IF($F29-$E29&lt;=2,"◆",IF($H29="Yes","X",LEFT($D29,1))),""))</f>
        <v/>
      </c>
      <c r="AE29" s="33">
        <f>IF(OR($E29="",$F29=""),"",IF(AND(AE$4&lt;=$F29,AE$4+6&gt;=$E29),IF($F29-$E29&lt;=2,"◆",IF($H29="Yes","X",LEFT($D29,1))),""))</f>
        <v/>
      </c>
      <c r="AF29" s="33">
        <f>IF(OR($E29="",$F29=""),"",IF(AND(AF$4&lt;=$F29,AF$4+6&gt;=$E29),IF($F29-$E29&lt;=2,"◆",IF($H29="Yes","X",LEFT($D29,1))),""))</f>
        <v/>
      </c>
      <c r="AG29" s="33">
        <f>IF(OR($E29="",$F29=""),"",IF(AND(AG$4&lt;=$F29,AG$4+6&gt;=$E29),IF($F29-$E29&lt;=2,"◆",IF($H29="Yes","X",LEFT($D29,1))),""))</f>
        <v/>
      </c>
      <c r="AH29" s="33">
        <f>IF(OR($E29="",$F29=""),"",IF(AND(AH$4&lt;=$F29,AH$4+6&gt;=$E29),IF($F29-$E29&lt;=2,"◆",IF($H29="Yes","X",LEFT($D29,1))),""))</f>
        <v/>
      </c>
      <c r="AI29" s="33">
        <f>IF(OR($E29="",$F29=""),"",IF(AND(AI$4&lt;=$F29,AI$4+6&gt;=$E29),IF($F29-$E29&lt;=2,"◆",IF($H29="Yes","X",LEFT($D29,1))),""))</f>
        <v/>
      </c>
      <c r="AJ29" s="33">
        <f>IF(OR($E29="",$F29=""),"",IF(AND(AJ$4&lt;=$F29,AJ$4+6&gt;=$E29),IF($F29-$E29&lt;=2,"◆",IF($H29="Yes","X",LEFT($D29,1))),""))</f>
        <v/>
      </c>
      <c r="AK29" s="33">
        <f>IF(OR($E29="",$F29=""),"",IF(AND(AK$4&lt;=$F29,AK$4+6&gt;=$E29),IF($F29-$E29&lt;=2,"◆",IF($H29="Yes","X",LEFT($D29,1))),""))</f>
        <v/>
      </c>
      <c r="AL29" s="33">
        <f>IF(OR($E29="",$F29=""),"",IF(AND(AL$4&lt;=$F29,AL$4+6&gt;=$E29),IF($F29-$E29&lt;=2,"◆",IF($H29="Yes","X",LEFT($D29,1))),""))</f>
        <v/>
      </c>
      <c r="AM29" s="33">
        <f>IF(OR($E29="",$F29=""),"",IF(AND(AM$4&lt;=$F29,AM$4+6&gt;=$E29),IF($F29-$E29&lt;=2,"◆",IF($H29="Yes","X",LEFT($D29,1))),""))</f>
        <v/>
      </c>
      <c r="AN29" s="33">
        <f>IF(OR($E29="",$F29=""),"",IF(AND(AN$4&lt;=$F29,AN$4+6&gt;=$E29),IF($F29-$E29&lt;=2,"◆",IF($H29="Yes","X",LEFT($D29,1))),""))</f>
        <v/>
      </c>
      <c r="AO29" s="33">
        <f>IF(OR($E29="",$F29=""),"",IF(AND(AO$4&lt;=$F29,AO$4+6&gt;=$E29),IF($F29-$E29&lt;=2,"◆",IF($H29="Yes","X",LEFT($D29,1))),""))</f>
        <v/>
      </c>
      <c r="AP29" s="33">
        <f>IF(OR($E29="",$F29=""),"",IF(AND(AP$4&lt;=$F29,AP$4+6&gt;=$E29),IF($F29-$E29&lt;=2,"◆",IF($H29="Yes","X",LEFT($D29,1))),""))</f>
        <v/>
      </c>
      <c r="AQ29" s="33">
        <f>IF(OR($E29="",$F29=""),"",IF(AND(AQ$4&lt;=$F29,AQ$4+6&gt;=$E29),IF($F29-$E29&lt;=2,"◆",IF($H29="Yes","X",LEFT($D29,1))),""))</f>
        <v/>
      </c>
      <c r="AR29" s="33">
        <f>IF(OR($E29="",$F29=""),"",IF(AND(AR$4&lt;=$F29,AR$4+6&gt;=$E29),IF($F29-$E29&lt;=2,"◆",IF($H29="Yes","X",LEFT($D29,1))),""))</f>
        <v/>
      </c>
      <c r="AS29" s="33">
        <f>IF(OR($E29="",$F29=""),"",IF(AND(AS$4&lt;=$F29,AS$4+6&gt;=$E29),IF($F29-$E29&lt;=2,"◆",IF($H29="Yes","X",LEFT($D29,1))),""))</f>
        <v/>
      </c>
      <c r="AT29" s="33">
        <f>IF(OR($E29="",$F29=""),"",IF(AND(AT$4&lt;=$F29,AT$4+6&gt;=$E29),IF($F29-$E29&lt;=2,"◆",IF($H29="Yes","X",LEFT($D29,1))),""))</f>
        <v/>
      </c>
      <c r="AU29" s="33">
        <f>IF(OR($E29="",$F29=""),"",IF(AND(AU$4&lt;=$F29,AU$4+6&gt;=$E29),IF($F29-$E29&lt;=2,"◆",IF($H29="Yes","X",LEFT($D29,1))),""))</f>
        <v/>
      </c>
      <c r="AV29" s="33">
        <f>IF(OR($E29="",$F29=""),"",IF(AND(AV$4&lt;=$F29,AV$4+6&gt;=$E29),IF($F29-$E29&lt;=2,"◆",IF($H29="Yes","X",LEFT($D29,1))),""))</f>
        <v/>
      </c>
      <c r="AW29" s="33">
        <f>IF(OR($E29="",$F29=""),"",IF(AND(AW$4&lt;=$F29,AW$4+6&gt;=$E29),IF($F29-$E29&lt;=2,"◆",IF($H29="Yes","X",LEFT($D29,1))),""))</f>
        <v/>
      </c>
      <c r="AX29" s="33">
        <f>IF(OR($E29="",$F29=""),"",IF(AND(AX$4&lt;=$F29,AX$4+6&gt;=$E29),IF($F29-$E29&lt;=2,"◆",IF($H29="Yes","X",LEFT($D29,1))),""))</f>
        <v/>
      </c>
      <c r="AY29" s="33">
        <f>IF(OR($E29="",$F29=""),"",IF(AND(AY$4&lt;=$F29,AY$4+6&gt;=$E29),IF($F29-$E29&lt;=2,"◆",IF($H29="Yes","X",LEFT($D29,1))),""))</f>
        <v/>
      </c>
      <c r="AZ29" s="33">
        <f>IF(OR($E29="",$F29=""),"",IF(AND(AZ$4&lt;=$F29,AZ$4+6&gt;=$E29),IF($F29-$E29&lt;=2,"◆",IF($H29="Yes","X",LEFT($D29,1))),""))</f>
        <v/>
      </c>
      <c r="BA29" s="33">
        <f>IF(OR($E29="",$F29=""),"",IF(AND(BA$4&lt;=$F29,BA$4+6&gt;=$E29),IF($F29-$E29&lt;=2,"◆",IF($H29="Yes","X",LEFT($D29,1))),""))</f>
        <v/>
      </c>
      <c r="BB29" s="33">
        <f>IF(OR($E29="",$F29=""),"",IF(AND(BB$4&lt;=$F29,BB$4+6&gt;=$E29),IF($F29-$E29&lt;=2,"◆",IF($H29="Yes","X",LEFT($D29,1))),""))</f>
        <v/>
      </c>
      <c r="BC29" s="33">
        <f>IF(OR($E29="",$F29=""),"",IF(AND(BC$4&lt;=$F29,BC$4+6&gt;=$E29),IF($F29-$E29&lt;=2,"◆",IF($H29="Yes","X",LEFT($D29,1))),""))</f>
        <v/>
      </c>
      <c r="BD29" s="33">
        <f>IF(OR($E29="",$F29=""),"",IF(AND(BD$4&lt;=$F29,BD$4+6&gt;=$E29),IF($F29-$E29&lt;=2,"◆",IF($H29="Yes","X",LEFT($D29,1))),""))</f>
        <v/>
      </c>
      <c r="BE29" s="33">
        <f>IF(OR($E29="",$F29=""),"",IF(AND(BE$4&lt;=$F29,BE$4+6&gt;=$E29),IF($F29-$E29&lt;=2,"◆",IF($H29="Yes","X",LEFT($D29,1))),""))</f>
        <v/>
      </c>
      <c r="BF29" s="33">
        <f>IF(OR($E29="",$F29=""),"",IF(AND(BF$4&lt;=$F29,BF$4+6&gt;=$E29),IF($F29-$E29&lt;=2,"◆",IF($H29="Yes","X",LEFT($D29,1))),""))</f>
        <v/>
      </c>
      <c r="BG29" s="33">
        <f>IF(OR($E29="",$F29=""),"",IF(AND(BG$4&lt;=$F29,BG$4+6&gt;=$E29),IF($F29-$E29&lt;=2,"◆",IF($H29="Yes","X",LEFT($D29,1))),""))</f>
        <v/>
      </c>
      <c r="BH29" s="33">
        <f>IF(OR($E29="",$F29=""),"",IF(AND(BH$4&lt;=$F29,BH$4+6&gt;=$E29),IF($F29-$E29&lt;=2,"◆",IF($H29="Yes","X",LEFT($D29,1))),""))</f>
        <v/>
      </c>
      <c r="BI29" s="33">
        <f>IF(OR($E29="",$F29=""),"",IF(AND(BI$4&lt;=$F29,BI$4+6&gt;=$E29),IF($F29-$E29&lt;=2,"◆",IF($H29="Yes","X",LEFT($D29,1))),""))</f>
        <v/>
      </c>
    </row>
    <row r="30">
      <c r="A30" s="30" t="inlineStr">
        <is>
          <t>T-026</t>
        </is>
      </c>
      <c r="B30" s="30" t="inlineStr">
        <is>
          <t>Achievo - Android 16 Upgrade</t>
        </is>
      </c>
      <c r="C30" s="30" t="inlineStr">
        <is>
          <t>Shriguru</t>
        </is>
      </c>
      <c r="D30" s="30" t="inlineStr">
        <is>
          <t>Not Started</t>
        </is>
      </c>
      <c r="E30" s="31" t="n">
        <v>46265</v>
      </c>
      <c r="F30" s="31" t="n">
        <v>46271</v>
      </c>
      <c r="G30" s="32" t="n">
        <v>0</v>
      </c>
      <c r="H30" s="30" t="inlineStr">
        <is>
          <t>No</t>
        </is>
      </c>
      <c r="I30" s="33">
        <f>IF(OR($E30="",$F30=""),"",IF(AND(I$4&lt;=$F30,I$4+6&gt;=$E30),IF($F30-$E30&lt;=2,"◆",IF($H30="Yes","X",LEFT($D30,1))),""))</f>
        <v/>
      </c>
      <c r="J30" s="33">
        <f>IF(OR($E30="",$F30=""),"",IF(AND(J$4&lt;=$F30,J$4+6&gt;=$E30),IF($F30-$E30&lt;=2,"◆",IF($H30="Yes","X",LEFT($D30,1))),""))</f>
        <v/>
      </c>
      <c r="K30" s="33">
        <f>IF(OR($E30="",$F30=""),"",IF(AND(K$4&lt;=$F30,K$4+6&gt;=$E30),IF($F30-$E30&lt;=2,"◆",IF($H30="Yes","X",LEFT($D30,1))),""))</f>
        <v/>
      </c>
      <c r="L30" s="33">
        <f>IF(OR($E30="",$F30=""),"",IF(AND(L$4&lt;=$F30,L$4+6&gt;=$E30),IF($F30-$E30&lt;=2,"◆",IF($H30="Yes","X",LEFT($D30,1))),""))</f>
        <v/>
      </c>
      <c r="M30" s="33">
        <f>IF(OR($E30="",$F30=""),"",IF(AND(M$4&lt;=$F30,M$4+6&gt;=$E30),IF($F30-$E30&lt;=2,"◆",IF($H30="Yes","X",LEFT($D30,1))),""))</f>
        <v/>
      </c>
      <c r="N30" s="33">
        <f>IF(OR($E30="",$F30=""),"",IF(AND(N$4&lt;=$F30,N$4+6&gt;=$E30),IF($F30-$E30&lt;=2,"◆",IF($H30="Yes","X",LEFT($D30,1))),""))</f>
        <v/>
      </c>
      <c r="O30" s="33">
        <f>IF(OR($E30="",$F30=""),"",IF(AND(O$4&lt;=$F30,O$4+6&gt;=$E30),IF($F30-$E30&lt;=2,"◆",IF($H30="Yes","X",LEFT($D30,1))),""))</f>
        <v/>
      </c>
      <c r="P30" s="33">
        <f>IF(OR($E30="",$F30=""),"",IF(AND(P$4&lt;=$F30,P$4+6&gt;=$E30),IF($F30-$E30&lt;=2,"◆",IF($H30="Yes","X",LEFT($D30,1))),""))</f>
        <v/>
      </c>
      <c r="Q30" s="33">
        <f>IF(OR($E30="",$F30=""),"",IF(AND(Q$4&lt;=$F30,Q$4+6&gt;=$E30),IF($F30-$E30&lt;=2,"◆",IF($H30="Yes","X",LEFT($D30,1))),""))</f>
        <v/>
      </c>
      <c r="R30" s="33">
        <f>IF(OR($E30="",$F30=""),"",IF(AND(R$4&lt;=$F30,R$4+6&gt;=$E30),IF($F30-$E30&lt;=2,"◆",IF($H30="Yes","X",LEFT($D30,1))),""))</f>
        <v/>
      </c>
      <c r="S30" s="33">
        <f>IF(OR($E30="",$F30=""),"",IF(AND(S$4&lt;=$F30,S$4+6&gt;=$E30),IF($F30-$E30&lt;=2,"◆",IF($H30="Yes","X",LEFT($D30,1))),""))</f>
        <v/>
      </c>
      <c r="T30" s="33">
        <f>IF(OR($E30="",$F30=""),"",IF(AND(T$4&lt;=$F30,T$4+6&gt;=$E30),IF($F30-$E30&lt;=2,"◆",IF($H30="Yes","X",LEFT($D30,1))),""))</f>
        <v/>
      </c>
      <c r="U30" s="33">
        <f>IF(OR($E30="",$F30=""),"",IF(AND(U$4&lt;=$F30,U$4+6&gt;=$E30),IF($F30-$E30&lt;=2,"◆",IF($H30="Yes","X",LEFT($D30,1))),""))</f>
        <v/>
      </c>
      <c r="V30" s="33">
        <f>IF(OR($E30="",$F30=""),"",IF(AND(V$4&lt;=$F30,V$4+6&gt;=$E30),IF($F30-$E30&lt;=2,"◆",IF($H30="Yes","X",LEFT($D30,1))),""))</f>
        <v/>
      </c>
      <c r="W30" s="33">
        <f>IF(OR($E30="",$F30=""),"",IF(AND(W$4&lt;=$F30,W$4+6&gt;=$E30),IF($F30-$E30&lt;=2,"◆",IF($H30="Yes","X",LEFT($D30,1))),""))</f>
        <v/>
      </c>
      <c r="X30" s="33">
        <f>IF(OR($E30="",$F30=""),"",IF(AND(X$4&lt;=$F30,X$4+6&gt;=$E30),IF($F30-$E30&lt;=2,"◆",IF($H30="Yes","X",LEFT($D30,1))),""))</f>
        <v/>
      </c>
      <c r="Y30" s="33">
        <f>IF(OR($E30="",$F30=""),"",IF(AND(Y$4&lt;=$F30,Y$4+6&gt;=$E30),IF($F30-$E30&lt;=2,"◆",IF($H30="Yes","X",LEFT($D30,1))),""))</f>
        <v/>
      </c>
      <c r="Z30" s="33">
        <f>IF(OR($E30="",$F30=""),"",IF(AND(Z$4&lt;=$F30,Z$4+6&gt;=$E30),IF($F30-$E30&lt;=2,"◆",IF($H30="Yes","X",LEFT($D30,1))),""))</f>
        <v/>
      </c>
      <c r="AA30" s="33">
        <f>IF(OR($E30="",$F30=""),"",IF(AND(AA$4&lt;=$F30,AA$4+6&gt;=$E30),IF($F30-$E30&lt;=2,"◆",IF($H30="Yes","X",LEFT($D30,1))),""))</f>
        <v/>
      </c>
      <c r="AB30" s="33">
        <f>IF(OR($E30="",$F30=""),"",IF(AND(AB$4&lt;=$F30,AB$4+6&gt;=$E30),IF($F30-$E30&lt;=2,"◆",IF($H30="Yes","X",LEFT($D30,1))),""))</f>
        <v/>
      </c>
      <c r="AC30" s="33">
        <f>IF(OR($E30="",$F30=""),"",IF(AND(AC$4&lt;=$F30,AC$4+6&gt;=$E30),IF($F30-$E30&lt;=2,"◆",IF($H30="Yes","X",LEFT($D30,1))),""))</f>
        <v/>
      </c>
      <c r="AD30" s="33">
        <f>IF(OR($E30="",$F30=""),"",IF(AND(AD$4&lt;=$F30,AD$4+6&gt;=$E30),IF($F30-$E30&lt;=2,"◆",IF($H30="Yes","X",LEFT($D30,1))),""))</f>
        <v/>
      </c>
      <c r="AE30" s="33">
        <f>IF(OR($E30="",$F30=""),"",IF(AND(AE$4&lt;=$F30,AE$4+6&gt;=$E30),IF($F30-$E30&lt;=2,"◆",IF($H30="Yes","X",LEFT($D30,1))),""))</f>
        <v/>
      </c>
      <c r="AF30" s="33">
        <f>IF(OR($E30="",$F30=""),"",IF(AND(AF$4&lt;=$F30,AF$4+6&gt;=$E30),IF($F30-$E30&lt;=2,"◆",IF($H30="Yes","X",LEFT($D30,1))),""))</f>
        <v/>
      </c>
      <c r="AG30" s="33">
        <f>IF(OR($E30="",$F30=""),"",IF(AND(AG$4&lt;=$F30,AG$4+6&gt;=$E30),IF($F30-$E30&lt;=2,"◆",IF($H30="Yes","X",LEFT($D30,1))),""))</f>
        <v/>
      </c>
      <c r="AH30" s="33">
        <f>IF(OR($E30="",$F30=""),"",IF(AND(AH$4&lt;=$F30,AH$4+6&gt;=$E30),IF($F30-$E30&lt;=2,"◆",IF($H30="Yes","X",LEFT($D30,1))),""))</f>
        <v/>
      </c>
      <c r="AI30" s="33">
        <f>IF(OR($E30="",$F30=""),"",IF(AND(AI$4&lt;=$F30,AI$4+6&gt;=$E30),IF($F30-$E30&lt;=2,"◆",IF($H30="Yes","X",LEFT($D30,1))),""))</f>
        <v/>
      </c>
      <c r="AJ30" s="33">
        <f>IF(OR($E30="",$F30=""),"",IF(AND(AJ$4&lt;=$F30,AJ$4+6&gt;=$E30),IF($F30-$E30&lt;=2,"◆",IF($H30="Yes","X",LEFT($D30,1))),""))</f>
        <v/>
      </c>
      <c r="AK30" s="33">
        <f>IF(OR($E30="",$F30=""),"",IF(AND(AK$4&lt;=$F30,AK$4+6&gt;=$E30),IF($F30-$E30&lt;=2,"◆",IF($H30="Yes","X",LEFT($D30,1))),""))</f>
        <v/>
      </c>
      <c r="AL30" s="33">
        <f>IF(OR($E30="",$F30=""),"",IF(AND(AL$4&lt;=$F30,AL$4+6&gt;=$E30),IF($F30-$E30&lt;=2,"◆",IF($H30="Yes","X",LEFT($D30,1))),""))</f>
        <v/>
      </c>
      <c r="AM30" s="33">
        <f>IF(OR($E30="",$F30=""),"",IF(AND(AM$4&lt;=$F30,AM$4+6&gt;=$E30),IF($F30-$E30&lt;=2,"◆",IF($H30="Yes","X",LEFT($D30,1))),""))</f>
        <v/>
      </c>
      <c r="AN30" s="33">
        <f>IF(OR($E30="",$F30=""),"",IF(AND(AN$4&lt;=$F30,AN$4+6&gt;=$E30),IF($F30-$E30&lt;=2,"◆",IF($H30="Yes","X",LEFT($D30,1))),""))</f>
        <v/>
      </c>
      <c r="AO30" s="33">
        <f>IF(OR($E30="",$F30=""),"",IF(AND(AO$4&lt;=$F30,AO$4+6&gt;=$E30),IF($F30-$E30&lt;=2,"◆",IF($H30="Yes","X",LEFT($D30,1))),""))</f>
        <v/>
      </c>
      <c r="AP30" s="33">
        <f>IF(OR($E30="",$F30=""),"",IF(AND(AP$4&lt;=$F30,AP$4+6&gt;=$E30),IF($F30-$E30&lt;=2,"◆",IF($H30="Yes","X",LEFT($D30,1))),""))</f>
        <v/>
      </c>
      <c r="AQ30" s="33">
        <f>IF(OR($E30="",$F30=""),"",IF(AND(AQ$4&lt;=$F30,AQ$4+6&gt;=$E30),IF($F30-$E30&lt;=2,"◆",IF($H30="Yes","X",LEFT($D30,1))),""))</f>
        <v/>
      </c>
      <c r="AR30" s="33">
        <f>IF(OR($E30="",$F30=""),"",IF(AND(AR$4&lt;=$F30,AR$4+6&gt;=$E30),IF($F30-$E30&lt;=2,"◆",IF($H30="Yes","X",LEFT($D30,1))),""))</f>
        <v/>
      </c>
      <c r="AS30" s="33">
        <f>IF(OR($E30="",$F30=""),"",IF(AND(AS$4&lt;=$F30,AS$4+6&gt;=$E30),IF($F30-$E30&lt;=2,"◆",IF($H30="Yes","X",LEFT($D30,1))),""))</f>
        <v/>
      </c>
      <c r="AT30" s="33">
        <f>IF(OR($E30="",$F30=""),"",IF(AND(AT$4&lt;=$F30,AT$4+6&gt;=$E30),IF($F30-$E30&lt;=2,"◆",IF($H30="Yes","X",LEFT($D30,1))),""))</f>
        <v/>
      </c>
      <c r="AU30" s="33">
        <f>IF(OR($E30="",$F30=""),"",IF(AND(AU$4&lt;=$F30,AU$4+6&gt;=$E30),IF($F30-$E30&lt;=2,"◆",IF($H30="Yes","X",LEFT($D30,1))),""))</f>
        <v/>
      </c>
      <c r="AV30" s="33">
        <f>IF(OR($E30="",$F30=""),"",IF(AND(AV$4&lt;=$F30,AV$4+6&gt;=$E30),IF($F30-$E30&lt;=2,"◆",IF($H30="Yes","X",LEFT($D30,1))),""))</f>
        <v/>
      </c>
      <c r="AW30" s="33">
        <f>IF(OR($E30="",$F30=""),"",IF(AND(AW$4&lt;=$F30,AW$4+6&gt;=$E30),IF($F30-$E30&lt;=2,"◆",IF($H30="Yes","X",LEFT($D30,1))),""))</f>
        <v/>
      </c>
      <c r="AX30" s="33">
        <f>IF(OR($E30="",$F30=""),"",IF(AND(AX$4&lt;=$F30,AX$4+6&gt;=$E30),IF($F30-$E30&lt;=2,"◆",IF($H30="Yes","X",LEFT($D30,1))),""))</f>
        <v/>
      </c>
      <c r="AY30" s="33">
        <f>IF(OR($E30="",$F30=""),"",IF(AND(AY$4&lt;=$F30,AY$4+6&gt;=$E30),IF($F30-$E30&lt;=2,"◆",IF($H30="Yes","X",LEFT($D30,1))),""))</f>
        <v/>
      </c>
      <c r="AZ30" s="33">
        <f>IF(OR($E30="",$F30=""),"",IF(AND(AZ$4&lt;=$F30,AZ$4+6&gt;=$E30),IF($F30-$E30&lt;=2,"◆",IF($H30="Yes","X",LEFT($D30,1))),""))</f>
        <v/>
      </c>
      <c r="BA30" s="33">
        <f>IF(OR($E30="",$F30=""),"",IF(AND(BA$4&lt;=$F30,BA$4+6&gt;=$E30),IF($F30-$E30&lt;=2,"◆",IF($H30="Yes","X",LEFT($D30,1))),""))</f>
        <v/>
      </c>
      <c r="BB30" s="33">
        <f>IF(OR($E30="",$F30=""),"",IF(AND(BB$4&lt;=$F30,BB$4+6&gt;=$E30),IF($F30-$E30&lt;=2,"◆",IF($H30="Yes","X",LEFT($D30,1))),""))</f>
        <v/>
      </c>
      <c r="BC30" s="33">
        <f>IF(OR($E30="",$F30=""),"",IF(AND(BC$4&lt;=$F30,BC$4+6&gt;=$E30),IF($F30-$E30&lt;=2,"◆",IF($H30="Yes","X",LEFT($D30,1))),""))</f>
        <v/>
      </c>
      <c r="BD30" s="33">
        <f>IF(OR($E30="",$F30=""),"",IF(AND(BD$4&lt;=$F30,BD$4+6&gt;=$E30),IF($F30-$E30&lt;=2,"◆",IF($H30="Yes","X",LEFT($D30,1))),""))</f>
        <v/>
      </c>
      <c r="BE30" s="33">
        <f>IF(OR($E30="",$F30=""),"",IF(AND(BE$4&lt;=$F30,BE$4+6&gt;=$E30),IF($F30-$E30&lt;=2,"◆",IF($H30="Yes","X",LEFT($D30,1))),""))</f>
        <v/>
      </c>
      <c r="BF30" s="33">
        <f>IF(OR($E30="",$F30=""),"",IF(AND(BF$4&lt;=$F30,BF$4+6&gt;=$E30),IF($F30-$E30&lt;=2,"◆",IF($H30="Yes","X",LEFT($D30,1))),""))</f>
        <v/>
      </c>
      <c r="BG30" s="33">
        <f>IF(OR($E30="",$F30=""),"",IF(AND(BG$4&lt;=$F30,BG$4+6&gt;=$E30),IF($F30-$E30&lt;=2,"◆",IF($H30="Yes","X",LEFT($D30,1))),""))</f>
        <v/>
      </c>
      <c r="BH30" s="33">
        <f>IF(OR($E30="",$F30=""),"",IF(AND(BH$4&lt;=$F30,BH$4+6&gt;=$E30),IF($F30-$E30&lt;=2,"◆",IF($H30="Yes","X",LEFT($D30,1))),""))</f>
        <v/>
      </c>
      <c r="BI30" s="33">
        <f>IF(OR($E30="",$F30=""),"",IF(AND(BI$4&lt;=$F30,BI$4+6&gt;=$E30),IF($F30-$E30&lt;=2,"◆",IF($H30="Yes","X",LEFT($D30,1))),""))</f>
        <v/>
      </c>
    </row>
    <row r="31">
      <c r="A31" s="30" t="inlineStr">
        <is>
          <t>T-027</t>
        </is>
      </c>
      <c r="B31" s="30" t="inlineStr">
        <is>
          <t>Achievo - iOS Updates</t>
        </is>
      </c>
      <c r="C31" s="30" t="inlineStr">
        <is>
          <t>Shriguru</t>
        </is>
      </c>
      <c r="D31" s="30" t="inlineStr">
        <is>
          <t>In Progress</t>
        </is>
      </c>
      <c r="E31" s="31" t="n">
        <v>46219</v>
      </c>
      <c r="F31" s="31" t="n">
        <v>46225</v>
      </c>
      <c r="G31" s="32" t="n">
        <v>0.11</v>
      </c>
      <c r="H31" s="30" t="inlineStr">
        <is>
          <t>No</t>
        </is>
      </c>
      <c r="I31" s="33">
        <f>IF(OR($E31="",$F31=""),"",IF(AND(I$4&lt;=$F31,I$4+6&gt;=$E31),IF($F31-$E31&lt;=2,"◆",IF($H31="Yes","X",LEFT($D31,1))),""))</f>
        <v/>
      </c>
      <c r="J31" s="33">
        <f>IF(OR($E31="",$F31=""),"",IF(AND(J$4&lt;=$F31,J$4+6&gt;=$E31),IF($F31-$E31&lt;=2,"◆",IF($H31="Yes","X",LEFT($D31,1))),""))</f>
        <v/>
      </c>
      <c r="K31" s="33">
        <f>IF(OR($E31="",$F31=""),"",IF(AND(K$4&lt;=$F31,K$4+6&gt;=$E31),IF($F31-$E31&lt;=2,"◆",IF($H31="Yes","X",LEFT($D31,1))),""))</f>
        <v/>
      </c>
      <c r="L31" s="33">
        <f>IF(OR($E31="",$F31=""),"",IF(AND(L$4&lt;=$F31,L$4+6&gt;=$E31),IF($F31-$E31&lt;=2,"◆",IF($H31="Yes","X",LEFT($D31,1))),""))</f>
        <v/>
      </c>
      <c r="M31" s="33">
        <f>IF(OR($E31="",$F31=""),"",IF(AND(M$4&lt;=$F31,M$4+6&gt;=$E31),IF($F31-$E31&lt;=2,"◆",IF($H31="Yes","X",LEFT($D31,1))),""))</f>
        <v/>
      </c>
      <c r="N31" s="33">
        <f>IF(OR($E31="",$F31=""),"",IF(AND(N$4&lt;=$F31,N$4+6&gt;=$E31),IF($F31-$E31&lt;=2,"◆",IF($H31="Yes","X",LEFT($D31,1))),""))</f>
        <v/>
      </c>
      <c r="O31" s="33">
        <f>IF(OR($E31="",$F31=""),"",IF(AND(O$4&lt;=$F31,O$4+6&gt;=$E31),IF($F31-$E31&lt;=2,"◆",IF($H31="Yes","X",LEFT($D31,1))),""))</f>
        <v/>
      </c>
      <c r="P31" s="33">
        <f>IF(OR($E31="",$F31=""),"",IF(AND(P$4&lt;=$F31,P$4+6&gt;=$E31),IF($F31-$E31&lt;=2,"◆",IF($H31="Yes","X",LEFT($D31,1))),""))</f>
        <v/>
      </c>
      <c r="Q31" s="33">
        <f>IF(OR($E31="",$F31=""),"",IF(AND(Q$4&lt;=$F31,Q$4+6&gt;=$E31),IF($F31-$E31&lt;=2,"◆",IF($H31="Yes","X",LEFT($D31,1))),""))</f>
        <v/>
      </c>
      <c r="R31" s="33">
        <f>IF(OR($E31="",$F31=""),"",IF(AND(R$4&lt;=$F31,R$4+6&gt;=$E31),IF($F31-$E31&lt;=2,"◆",IF($H31="Yes","X",LEFT($D31,1))),""))</f>
        <v/>
      </c>
      <c r="S31" s="33">
        <f>IF(OR($E31="",$F31=""),"",IF(AND(S$4&lt;=$F31,S$4+6&gt;=$E31),IF($F31-$E31&lt;=2,"◆",IF($H31="Yes","X",LEFT($D31,1))),""))</f>
        <v/>
      </c>
      <c r="T31" s="33">
        <f>IF(OR($E31="",$F31=""),"",IF(AND(T$4&lt;=$F31,T$4+6&gt;=$E31),IF($F31-$E31&lt;=2,"◆",IF($H31="Yes","X",LEFT($D31,1))),""))</f>
        <v/>
      </c>
      <c r="U31" s="33">
        <f>IF(OR($E31="",$F31=""),"",IF(AND(U$4&lt;=$F31,U$4+6&gt;=$E31),IF($F31-$E31&lt;=2,"◆",IF($H31="Yes","X",LEFT($D31,1))),""))</f>
        <v/>
      </c>
      <c r="V31" s="33">
        <f>IF(OR($E31="",$F31=""),"",IF(AND(V$4&lt;=$F31,V$4+6&gt;=$E31),IF($F31-$E31&lt;=2,"◆",IF($H31="Yes","X",LEFT($D31,1))),""))</f>
        <v/>
      </c>
      <c r="W31" s="33">
        <f>IF(OR($E31="",$F31=""),"",IF(AND(W$4&lt;=$F31,W$4+6&gt;=$E31),IF($F31-$E31&lt;=2,"◆",IF($H31="Yes","X",LEFT($D31,1))),""))</f>
        <v/>
      </c>
      <c r="X31" s="33">
        <f>IF(OR($E31="",$F31=""),"",IF(AND(X$4&lt;=$F31,X$4+6&gt;=$E31),IF($F31-$E31&lt;=2,"◆",IF($H31="Yes","X",LEFT($D31,1))),""))</f>
        <v/>
      </c>
      <c r="Y31" s="33">
        <f>IF(OR($E31="",$F31=""),"",IF(AND(Y$4&lt;=$F31,Y$4+6&gt;=$E31),IF($F31-$E31&lt;=2,"◆",IF($H31="Yes","X",LEFT($D31,1))),""))</f>
        <v/>
      </c>
      <c r="Z31" s="33">
        <f>IF(OR($E31="",$F31=""),"",IF(AND(Z$4&lt;=$F31,Z$4+6&gt;=$E31),IF($F31-$E31&lt;=2,"◆",IF($H31="Yes","X",LEFT($D31,1))),""))</f>
        <v/>
      </c>
      <c r="AA31" s="33">
        <f>IF(OR($E31="",$F31=""),"",IF(AND(AA$4&lt;=$F31,AA$4+6&gt;=$E31),IF($F31-$E31&lt;=2,"◆",IF($H31="Yes","X",LEFT($D31,1))),""))</f>
        <v/>
      </c>
      <c r="AB31" s="33">
        <f>IF(OR($E31="",$F31=""),"",IF(AND(AB$4&lt;=$F31,AB$4+6&gt;=$E31),IF($F31-$E31&lt;=2,"◆",IF($H31="Yes","X",LEFT($D31,1))),""))</f>
        <v/>
      </c>
      <c r="AC31" s="33">
        <f>IF(OR($E31="",$F31=""),"",IF(AND(AC$4&lt;=$F31,AC$4+6&gt;=$E31),IF($F31-$E31&lt;=2,"◆",IF($H31="Yes","X",LEFT($D31,1))),""))</f>
        <v/>
      </c>
      <c r="AD31" s="33">
        <f>IF(OR($E31="",$F31=""),"",IF(AND(AD$4&lt;=$F31,AD$4+6&gt;=$E31),IF($F31-$E31&lt;=2,"◆",IF($H31="Yes","X",LEFT($D31,1))),""))</f>
        <v/>
      </c>
      <c r="AE31" s="33">
        <f>IF(OR($E31="",$F31=""),"",IF(AND(AE$4&lt;=$F31,AE$4+6&gt;=$E31),IF($F31-$E31&lt;=2,"◆",IF($H31="Yes","X",LEFT($D31,1))),""))</f>
        <v/>
      </c>
      <c r="AF31" s="33">
        <f>IF(OR($E31="",$F31=""),"",IF(AND(AF$4&lt;=$F31,AF$4+6&gt;=$E31),IF($F31-$E31&lt;=2,"◆",IF($H31="Yes","X",LEFT($D31,1))),""))</f>
        <v/>
      </c>
      <c r="AG31" s="33">
        <f>IF(OR($E31="",$F31=""),"",IF(AND(AG$4&lt;=$F31,AG$4+6&gt;=$E31),IF($F31-$E31&lt;=2,"◆",IF($H31="Yes","X",LEFT($D31,1))),""))</f>
        <v/>
      </c>
      <c r="AH31" s="33">
        <f>IF(OR($E31="",$F31=""),"",IF(AND(AH$4&lt;=$F31,AH$4+6&gt;=$E31),IF($F31-$E31&lt;=2,"◆",IF($H31="Yes","X",LEFT($D31,1))),""))</f>
        <v/>
      </c>
      <c r="AI31" s="33">
        <f>IF(OR($E31="",$F31=""),"",IF(AND(AI$4&lt;=$F31,AI$4+6&gt;=$E31),IF($F31-$E31&lt;=2,"◆",IF($H31="Yes","X",LEFT($D31,1))),""))</f>
        <v/>
      </c>
      <c r="AJ31" s="33">
        <f>IF(OR($E31="",$F31=""),"",IF(AND(AJ$4&lt;=$F31,AJ$4+6&gt;=$E31),IF($F31-$E31&lt;=2,"◆",IF($H31="Yes","X",LEFT($D31,1))),""))</f>
        <v/>
      </c>
      <c r="AK31" s="33">
        <f>IF(OR($E31="",$F31=""),"",IF(AND(AK$4&lt;=$F31,AK$4+6&gt;=$E31),IF($F31-$E31&lt;=2,"◆",IF($H31="Yes","X",LEFT($D31,1))),""))</f>
        <v/>
      </c>
      <c r="AL31" s="33">
        <f>IF(OR($E31="",$F31=""),"",IF(AND(AL$4&lt;=$F31,AL$4+6&gt;=$E31),IF($F31-$E31&lt;=2,"◆",IF($H31="Yes","X",LEFT($D31,1))),""))</f>
        <v/>
      </c>
      <c r="AM31" s="33">
        <f>IF(OR($E31="",$F31=""),"",IF(AND(AM$4&lt;=$F31,AM$4+6&gt;=$E31),IF($F31-$E31&lt;=2,"◆",IF($H31="Yes","X",LEFT($D31,1))),""))</f>
        <v/>
      </c>
      <c r="AN31" s="33">
        <f>IF(OR($E31="",$F31=""),"",IF(AND(AN$4&lt;=$F31,AN$4+6&gt;=$E31),IF($F31-$E31&lt;=2,"◆",IF($H31="Yes","X",LEFT($D31,1))),""))</f>
        <v/>
      </c>
      <c r="AO31" s="33">
        <f>IF(OR($E31="",$F31=""),"",IF(AND(AO$4&lt;=$F31,AO$4+6&gt;=$E31),IF($F31-$E31&lt;=2,"◆",IF($H31="Yes","X",LEFT($D31,1))),""))</f>
        <v/>
      </c>
      <c r="AP31" s="33">
        <f>IF(OR($E31="",$F31=""),"",IF(AND(AP$4&lt;=$F31,AP$4+6&gt;=$E31),IF($F31-$E31&lt;=2,"◆",IF($H31="Yes","X",LEFT($D31,1))),""))</f>
        <v/>
      </c>
      <c r="AQ31" s="33">
        <f>IF(OR($E31="",$F31=""),"",IF(AND(AQ$4&lt;=$F31,AQ$4+6&gt;=$E31),IF($F31-$E31&lt;=2,"◆",IF($H31="Yes","X",LEFT($D31,1))),""))</f>
        <v/>
      </c>
      <c r="AR31" s="33">
        <f>IF(OR($E31="",$F31=""),"",IF(AND(AR$4&lt;=$F31,AR$4+6&gt;=$E31),IF($F31-$E31&lt;=2,"◆",IF($H31="Yes","X",LEFT($D31,1))),""))</f>
        <v/>
      </c>
      <c r="AS31" s="33">
        <f>IF(OR($E31="",$F31=""),"",IF(AND(AS$4&lt;=$F31,AS$4+6&gt;=$E31),IF($F31-$E31&lt;=2,"◆",IF($H31="Yes","X",LEFT($D31,1))),""))</f>
        <v/>
      </c>
      <c r="AT31" s="33">
        <f>IF(OR($E31="",$F31=""),"",IF(AND(AT$4&lt;=$F31,AT$4+6&gt;=$E31),IF($F31-$E31&lt;=2,"◆",IF($H31="Yes","X",LEFT($D31,1))),""))</f>
        <v/>
      </c>
      <c r="AU31" s="33">
        <f>IF(OR($E31="",$F31=""),"",IF(AND(AU$4&lt;=$F31,AU$4+6&gt;=$E31),IF($F31-$E31&lt;=2,"◆",IF($H31="Yes","X",LEFT($D31,1))),""))</f>
        <v/>
      </c>
      <c r="AV31" s="33">
        <f>IF(OR($E31="",$F31=""),"",IF(AND(AV$4&lt;=$F31,AV$4+6&gt;=$E31),IF($F31-$E31&lt;=2,"◆",IF($H31="Yes","X",LEFT($D31,1))),""))</f>
        <v/>
      </c>
      <c r="AW31" s="33">
        <f>IF(OR($E31="",$F31=""),"",IF(AND(AW$4&lt;=$F31,AW$4+6&gt;=$E31),IF($F31-$E31&lt;=2,"◆",IF($H31="Yes","X",LEFT($D31,1))),""))</f>
        <v/>
      </c>
      <c r="AX31" s="33">
        <f>IF(OR($E31="",$F31=""),"",IF(AND(AX$4&lt;=$F31,AX$4+6&gt;=$E31),IF($F31-$E31&lt;=2,"◆",IF($H31="Yes","X",LEFT($D31,1))),""))</f>
        <v/>
      </c>
      <c r="AY31" s="33">
        <f>IF(OR($E31="",$F31=""),"",IF(AND(AY$4&lt;=$F31,AY$4+6&gt;=$E31),IF($F31-$E31&lt;=2,"◆",IF($H31="Yes","X",LEFT($D31,1))),""))</f>
        <v/>
      </c>
      <c r="AZ31" s="33">
        <f>IF(OR($E31="",$F31=""),"",IF(AND(AZ$4&lt;=$F31,AZ$4+6&gt;=$E31),IF($F31-$E31&lt;=2,"◆",IF($H31="Yes","X",LEFT($D31,1))),""))</f>
        <v/>
      </c>
      <c r="BA31" s="33">
        <f>IF(OR($E31="",$F31=""),"",IF(AND(BA$4&lt;=$F31,BA$4+6&gt;=$E31),IF($F31-$E31&lt;=2,"◆",IF($H31="Yes","X",LEFT($D31,1))),""))</f>
        <v/>
      </c>
      <c r="BB31" s="33">
        <f>IF(OR($E31="",$F31=""),"",IF(AND(BB$4&lt;=$F31,BB$4+6&gt;=$E31),IF($F31-$E31&lt;=2,"◆",IF($H31="Yes","X",LEFT($D31,1))),""))</f>
        <v/>
      </c>
      <c r="BC31" s="33">
        <f>IF(OR($E31="",$F31=""),"",IF(AND(BC$4&lt;=$F31,BC$4+6&gt;=$E31),IF($F31-$E31&lt;=2,"◆",IF($H31="Yes","X",LEFT($D31,1))),""))</f>
        <v/>
      </c>
      <c r="BD31" s="33">
        <f>IF(OR($E31="",$F31=""),"",IF(AND(BD$4&lt;=$F31,BD$4+6&gt;=$E31),IF($F31-$E31&lt;=2,"◆",IF($H31="Yes","X",LEFT($D31,1))),""))</f>
        <v/>
      </c>
      <c r="BE31" s="33">
        <f>IF(OR($E31="",$F31=""),"",IF(AND(BE$4&lt;=$F31,BE$4+6&gt;=$E31),IF($F31-$E31&lt;=2,"◆",IF($H31="Yes","X",LEFT($D31,1))),""))</f>
        <v/>
      </c>
      <c r="BF31" s="33">
        <f>IF(OR($E31="",$F31=""),"",IF(AND(BF$4&lt;=$F31,BF$4+6&gt;=$E31),IF($F31-$E31&lt;=2,"◆",IF($H31="Yes","X",LEFT($D31,1))),""))</f>
        <v/>
      </c>
      <c r="BG31" s="33">
        <f>IF(OR($E31="",$F31=""),"",IF(AND(BG$4&lt;=$F31,BG$4+6&gt;=$E31),IF($F31-$E31&lt;=2,"◆",IF($H31="Yes","X",LEFT($D31,1))),""))</f>
        <v/>
      </c>
      <c r="BH31" s="33">
        <f>IF(OR($E31="",$F31=""),"",IF(AND(BH$4&lt;=$F31,BH$4+6&gt;=$E31),IF($F31-$E31&lt;=2,"◆",IF($H31="Yes","X",LEFT($D31,1))),""))</f>
        <v/>
      </c>
      <c r="BI31" s="33">
        <f>IF(OR($E31="",$F31=""),"",IF(AND(BI$4&lt;=$F31,BI$4+6&gt;=$E31),IF($F31-$E31&lt;=2,"◆",IF($H31="Yes","X",LEFT($D31,1))),""))</f>
        <v/>
      </c>
    </row>
    <row r="32">
      <c r="A32" s="30" t="inlineStr">
        <is>
          <t>T-028</t>
        </is>
      </c>
      <c r="B32" s="30" t="inlineStr">
        <is>
          <t>Achievo Mobile Experience Modernization</t>
        </is>
      </c>
      <c r="C32" s="30" t="inlineStr">
        <is>
          <t>Shriguru</t>
        </is>
      </c>
      <c r="D32" s="30" t="inlineStr">
        <is>
          <t>At Risk</t>
        </is>
      </c>
      <c r="E32" s="31" t="n">
        <v>46515</v>
      </c>
      <c r="F32" s="31" t="n">
        <v>46528</v>
      </c>
      <c r="G32" s="32" t="n">
        <v>0.24</v>
      </c>
      <c r="H32" s="30" t="inlineStr">
        <is>
          <t>No</t>
        </is>
      </c>
      <c r="I32" s="33">
        <f>IF(OR($E32="",$F32=""),"",IF(AND(I$4&lt;=$F32,I$4+6&gt;=$E32),IF($F32-$E32&lt;=2,"◆",IF($H32="Yes","X",LEFT($D32,1))),""))</f>
        <v/>
      </c>
      <c r="J32" s="33">
        <f>IF(OR($E32="",$F32=""),"",IF(AND(J$4&lt;=$F32,J$4+6&gt;=$E32),IF($F32-$E32&lt;=2,"◆",IF($H32="Yes","X",LEFT($D32,1))),""))</f>
        <v/>
      </c>
      <c r="K32" s="33">
        <f>IF(OR($E32="",$F32=""),"",IF(AND(K$4&lt;=$F32,K$4+6&gt;=$E32),IF($F32-$E32&lt;=2,"◆",IF($H32="Yes","X",LEFT($D32,1))),""))</f>
        <v/>
      </c>
      <c r="L32" s="33">
        <f>IF(OR($E32="",$F32=""),"",IF(AND(L$4&lt;=$F32,L$4+6&gt;=$E32),IF($F32-$E32&lt;=2,"◆",IF($H32="Yes","X",LEFT($D32,1))),""))</f>
        <v/>
      </c>
      <c r="M32" s="33">
        <f>IF(OR($E32="",$F32=""),"",IF(AND(M$4&lt;=$F32,M$4+6&gt;=$E32),IF($F32-$E32&lt;=2,"◆",IF($H32="Yes","X",LEFT($D32,1))),""))</f>
        <v/>
      </c>
      <c r="N32" s="33">
        <f>IF(OR($E32="",$F32=""),"",IF(AND(N$4&lt;=$F32,N$4+6&gt;=$E32),IF($F32-$E32&lt;=2,"◆",IF($H32="Yes","X",LEFT($D32,1))),""))</f>
        <v/>
      </c>
      <c r="O32" s="33">
        <f>IF(OR($E32="",$F32=""),"",IF(AND(O$4&lt;=$F32,O$4+6&gt;=$E32),IF($F32-$E32&lt;=2,"◆",IF($H32="Yes","X",LEFT($D32,1))),""))</f>
        <v/>
      </c>
      <c r="P32" s="33">
        <f>IF(OR($E32="",$F32=""),"",IF(AND(P$4&lt;=$F32,P$4+6&gt;=$E32),IF($F32-$E32&lt;=2,"◆",IF($H32="Yes","X",LEFT($D32,1))),""))</f>
        <v/>
      </c>
      <c r="Q32" s="33">
        <f>IF(OR($E32="",$F32=""),"",IF(AND(Q$4&lt;=$F32,Q$4+6&gt;=$E32),IF($F32-$E32&lt;=2,"◆",IF($H32="Yes","X",LEFT($D32,1))),""))</f>
        <v/>
      </c>
      <c r="R32" s="33">
        <f>IF(OR($E32="",$F32=""),"",IF(AND(R$4&lt;=$F32,R$4+6&gt;=$E32),IF($F32-$E32&lt;=2,"◆",IF($H32="Yes","X",LEFT($D32,1))),""))</f>
        <v/>
      </c>
      <c r="S32" s="33">
        <f>IF(OR($E32="",$F32=""),"",IF(AND(S$4&lt;=$F32,S$4+6&gt;=$E32),IF($F32-$E32&lt;=2,"◆",IF($H32="Yes","X",LEFT($D32,1))),""))</f>
        <v/>
      </c>
      <c r="T32" s="33">
        <f>IF(OR($E32="",$F32=""),"",IF(AND(T$4&lt;=$F32,T$4+6&gt;=$E32),IF($F32-$E32&lt;=2,"◆",IF($H32="Yes","X",LEFT($D32,1))),""))</f>
        <v/>
      </c>
      <c r="U32" s="33">
        <f>IF(OR($E32="",$F32=""),"",IF(AND(U$4&lt;=$F32,U$4+6&gt;=$E32),IF($F32-$E32&lt;=2,"◆",IF($H32="Yes","X",LEFT($D32,1))),""))</f>
        <v/>
      </c>
      <c r="V32" s="33">
        <f>IF(OR($E32="",$F32=""),"",IF(AND(V$4&lt;=$F32,V$4+6&gt;=$E32),IF($F32-$E32&lt;=2,"◆",IF($H32="Yes","X",LEFT($D32,1))),""))</f>
        <v/>
      </c>
      <c r="W32" s="33">
        <f>IF(OR($E32="",$F32=""),"",IF(AND(W$4&lt;=$F32,W$4+6&gt;=$E32),IF($F32-$E32&lt;=2,"◆",IF($H32="Yes","X",LEFT($D32,1))),""))</f>
        <v/>
      </c>
      <c r="X32" s="33">
        <f>IF(OR($E32="",$F32=""),"",IF(AND(X$4&lt;=$F32,X$4+6&gt;=$E32),IF($F32-$E32&lt;=2,"◆",IF($H32="Yes","X",LEFT($D32,1))),""))</f>
        <v/>
      </c>
      <c r="Y32" s="33">
        <f>IF(OR($E32="",$F32=""),"",IF(AND(Y$4&lt;=$F32,Y$4+6&gt;=$E32),IF($F32-$E32&lt;=2,"◆",IF($H32="Yes","X",LEFT($D32,1))),""))</f>
        <v/>
      </c>
      <c r="Z32" s="33">
        <f>IF(OR($E32="",$F32=""),"",IF(AND(Z$4&lt;=$F32,Z$4+6&gt;=$E32),IF($F32-$E32&lt;=2,"◆",IF($H32="Yes","X",LEFT($D32,1))),""))</f>
        <v/>
      </c>
      <c r="AA32" s="33">
        <f>IF(OR($E32="",$F32=""),"",IF(AND(AA$4&lt;=$F32,AA$4+6&gt;=$E32),IF($F32-$E32&lt;=2,"◆",IF($H32="Yes","X",LEFT($D32,1))),""))</f>
        <v/>
      </c>
      <c r="AB32" s="33">
        <f>IF(OR($E32="",$F32=""),"",IF(AND(AB$4&lt;=$F32,AB$4+6&gt;=$E32),IF($F32-$E32&lt;=2,"◆",IF($H32="Yes","X",LEFT($D32,1))),""))</f>
        <v/>
      </c>
      <c r="AC32" s="33">
        <f>IF(OR($E32="",$F32=""),"",IF(AND(AC$4&lt;=$F32,AC$4+6&gt;=$E32),IF($F32-$E32&lt;=2,"◆",IF($H32="Yes","X",LEFT($D32,1))),""))</f>
        <v/>
      </c>
      <c r="AD32" s="33">
        <f>IF(OR($E32="",$F32=""),"",IF(AND(AD$4&lt;=$F32,AD$4+6&gt;=$E32),IF($F32-$E32&lt;=2,"◆",IF($H32="Yes","X",LEFT($D32,1))),""))</f>
        <v/>
      </c>
      <c r="AE32" s="33">
        <f>IF(OR($E32="",$F32=""),"",IF(AND(AE$4&lt;=$F32,AE$4+6&gt;=$E32),IF($F32-$E32&lt;=2,"◆",IF($H32="Yes","X",LEFT($D32,1))),""))</f>
        <v/>
      </c>
      <c r="AF32" s="33">
        <f>IF(OR($E32="",$F32=""),"",IF(AND(AF$4&lt;=$F32,AF$4+6&gt;=$E32),IF($F32-$E32&lt;=2,"◆",IF($H32="Yes","X",LEFT($D32,1))),""))</f>
        <v/>
      </c>
      <c r="AG32" s="33">
        <f>IF(OR($E32="",$F32=""),"",IF(AND(AG$4&lt;=$F32,AG$4+6&gt;=$E32),IF($F32-$E32&lt;=2,"◆",IF($H32="Yes","X",LEFT($D32,1))),""))</f>
        <v/>
      </c>
      <c r="AH32" s="33">
        <f>IF(OR($E32="",$F32=""),"",IF(AND(AH$4&lt;=$F32,AH$4+6&gt;=$E32),IF($F32-$E32&lt;=2,"◆",IF($H32="Yes","X",LEFT($D32,1))),""))</f>
        <v/>
      </c>
      <c r="AI32" s="33">
        <f>IF(OR($E32="",$F32=""),"",IF(AND(AI$4&lt;=$F32,AI$4+6&gt;=$E32),IF($F32-$E32&lt;=2,"◆",IF($H32="Yes","X",LEFT($D32,1))),""))</f>
        <v/>
      </c>
      <c r="AJ32" s="33">
        <f>IF(OR($E32="",$F32=""),"",IF(AND(AJ$4&lt;=$F32,AJ$4+6&gt;=$E32),IF($F32-$E32&lt;=2,"◆",IF($H32="Yes","X",LEFT($D32,1))),""))</f>
        <v/>
      </c>
      <c r="AK32" s="33">
        <f>IF(OR($E32="",$F32=""),"",IF(AND(AK$4&lt;=$F32,AK$4+6&gt;=$E32),IF($F32-$E32&lt;=2,"◆",IF($H32="Yes","X",LEFT($D32,1))),""))</f>
        <v/>
      </c>
      <c r="AL32" s="33">
        <f>IF(OR($E32="",$F32=""),"",IF(AND(AL$4&lt;=$F32,AL$4+6&gt;=$E32),IF($F32-$E32&lt;=2,"◆",IF($H32="Yes","X",LEFT($D32,1))),""))</f>
        <v/>
      </c>
      <c r="AM32" s="33">
        <f>IF(OR($E32="",$F32=""),"",IF(AND(AM$4&lt;=$F32,AM$4+6&gt;=$E32),IF($F32-$E32&lt;=2,"◆",IF($H32="Yes","X",LEFT($D32,1))),""))</f>
        <v/>
      </c>
      <c r="AN32" s="33">
        <f>IF(OR($E32="",$F32=""),"",IF(AND(AN$4&lt;=$F32,AN$4+6&gt;=$E32),IF($F32-$E32&lt;=2,"◆",IF($H32="Yes","X",LEFT($D32,1))),""))</f>
        <v/>
      </c>
      <c r="AO32" s="33">
        <f>IF(OR($E32="",$F32=""),"",IF(AND(AO$4&lt;=$F32,AO$4+6&gt;=$E32),IF($F32-$E32&lt;=2,"◆",IF($H32="Yes","X",LEFT($D32,1))),""))</f>
        <v/>
      </c>
      <c r="AP32" s="33">
        <f>IF(OR($E32="",$F32=""),"",IF(AND(AP$4&lt;=$F32,AP$4+6&gt;=$E32),IF($F32-$E32&lt;=2,"◆",IF($H32="Yes","X",LEFT($D32,1))),""))</f>
        <v/>
      </c>
      <c r="AQ32" s="33">
        <f>IF(OR($E32="",$F32=""),"",IF(AND(AQ$4&lt;=$F32,AQ$4+6&gt;=$E32),IF($F32-$E32&lt;=2,"◆",IF($H32="Yes","X",LEFT($D32,1))),""))</f>
        <v/>
      </c>
      <c r="AR32" s="33">
        <f>IF(OR($E32="",$F32=""),"",IF(AND(AR$4&lt;=$F32,AR$4+6&gt;=$E32),IF($F32-$E32&lt;=2,"◆",IF($H32="Yes","X",LEFT($D32,1))),""))</f>
        <v/>
      </c>
      <c r="AS32" s="33">
        <f>IF(OR($E32="",$F32=""),"",IF(AND(AS$4&lt;=$F32,AS$4+6&gt;=$E32),IF($F32-$E32&lt;=2,"◆",IF($H32="Yes","X",LEFT($D32,1))),""))</f>
        <v/>
      </c>
      <c r="AT32" s="33">
        <f>IF(OR($E32="",$F32=""),"",IF(AND(AT$4&lt;=$F32,AT$4+6&gt;=$E32),IF($F32-$E32&lt;=2,"◆",IF($H32="Yes","X",LEFT($D32,1))),""))</f>
        <v/>
      </c>
      <c r="AU32" s="33">
        <f>IF(OR($E32="",$F32=""),"",IF(AND(AU$4&lt;=$F32,AU$4+6&gt;=$E32),IF($F32-$E32&lt;=2,"◆",IF($H32="Yes","X",LEFT($D32,1))),""))</f>
        <v/>
      </c>
      <c r="AV32" s="33">
        <f>IF(OR($E32="",$F32=""),"",IF(AND(AV$4&lt;=$F32,AV$4+6&gt;=$E32),IF($F32-$E32&lt;=2,"◆",IF($H32="Yes","X",LEFT($D32,1))),""))</f>
        <v/>
      </c>
      <c r="AW32" s="33">
        <f>IF(OR($E32="",$F32=""),"",IF(AND(AW$4&lt;=$F32,AW$4+6&gt;=$E32),IF($F32-$E32&lt;=2,"◆",IF($H32="Yes","X",LEFT($D32,1))),""))</f>
        <v/>
      </c>
      <c r="AX32" s="33">
        <f>IF(OR($E32="",$F32=""),"",IF(AND(AX$4&lt;=$F32,AX$4+6&gt;=$E32),IF($F32-$E32&lt;=2,"◆",IF($H32="Yes","X",LEFT($D32,1))),""))</f>
        <v/>
      </c>
      <c r="AY32" s="33">
        <f>IF(OR($E32="",$F32=""),"",IF(AND(AY$4&lt;=$F32,AY$4+6&gt;=$E32),IF($F32-$E32&lt;=2,"◆",IF($H32="Yes","X",LEFT($D32,1))),""))</f>
        <v/>
      </c>
      <c r="AZ32" s="33">
        <f>IF(OR($E32="",$F32=""),"",IF(AND(AZ$4&lt;=$F32,AZ$4+6&gt;=$E32),IF($F32-$E32&lt;=2,"◆",IF($H32="Yes","X",LEFT($D32,1))),""))</f>
        <v/>
      </c>
      <c r="BA32" s="33">
        <f>IF(OR($E32="",$F32=""),"",IF(AND(BA$4&lt;=$F32,BA$4+6&gt;=$E32),IF($F32-$E32&lt;=2,"◆",IF($H32="Yes","X",LEFT($D32,1))),""))</f>
        <v/>
      </c>
      <c r="BB32" s="33">
        <f>IF(OR($E32="",$F32=""),"",IF(AND(BB$4&lt;=$F32,BB$4+6&gt;=$E32),IF($F32-$E32&lt;=2,"◆",IF($H32="Yes","X",LEFT($D32,1))),""))</f>
        <v/>
      </c>
      <c r="BC32" s="33">
        <f>IF(OR($E32="",$F32=""),"",IF(AND(BC$4&lt;=$F32,BC$4+6&gt;=$E32),IF($F32-$E32&lt;=2,"◆",IF($H32="Yes","X",LEFT($D32,1))),""))</f>
        <v/>
      </c>
      <c r="BD32" s="33">
        <f>IF(OR($E32="",$F32=""),"",IF(AND(BD$4&lt;=$F32,BD$4+6&gt;=$E32),IF($F32-$E32&lt;=2,"◆",IF($H32="Yes","X",LEFT($D32,1))),""))</f>
        <v/>
      </c>
      <c r="BE32" s="33">
        <f>IF(OR($E32="",$F32=""),"",IF(AND(BE$4&lt;=$F32,BE$4+6&gt;=$E32),IF($F32-$E32&lt;=2,"◆",IF($H32="Yes","X",LEFT($D32,1))),""))</f>
        <v/>
      </c>
      <c r="BF32" s="33">
        <f>IF(OR($E32="",$F32=""),"",IF(AND(BF$4&lt;=$F32,BF$4+6&gt;=$E32),IF($F32-$E32&lt;=2,"◆",IF($H32="Yes","X",LEFT($D32,1))),""))</f>
        <v/>
      </c>
      <c r="BG32" s="33">
        <f>IF(OR($E32="",$F32=""),"",IF(AND(BG$4&lt;=$F32,BG$4+6&gt;=$E32),IF($F32-$E32&lt;=2,"◆",IF($H32="Yes","X",LEFT($D32,1))),""))</f>
        <v/>
      </c>
      <c r="BH32" s="33">
        <f>IF(OR($E32="",$F32=""),"",IF(AND(BH$4&lt;=$F32,BH$4+6&gt;=$E32),IF($F32-$E32&lt;=2,"◆",IF($H32="Yes","X",LEFT($D32,1))),""))</f>
        <v/>
      </c>
      <c r="BI32" s="33">
        <f>IF(OR($E32="",$F32=""),"",IF(AND(BI$4&lt;=$F32,BI$4+6&gt;=$E32),IF($F32-$E32&lt;=2,"◆",IF($H32="Yes","X",LEFT($D32,1))),""))</f>
        <v/>
      </c>
    </row>
    <row r="33">
      <c r="A33" s="30" t="inlineStr">
        <is>
          <t>T-029</t>
        </is>
      </c>
      <c r="B33" s="30" t="inlineStr">
        <is>
          <t>Existing Product Backlog and Delivery Priority Items as needed to be added to Core Product</t>
        </is>
      </c>
      <c r="C33" s="30" t="inlineStr">
        <is>
          <t>MJ</t>
        </is>
      </c>
      <c r="D33" s="30" t="inlineStr">
        <is>
          <t>Blocked</t>
        </is>
      </c>
      <c r="E33" s="31" t="n">
        <v>46549</v>
      </c>
      <c r="F33" s="31" t="n">
        <v>46558</v>
      </c>
      <c r="G33" s="32" t="n">
        <v>0.15</v>
      </c>
      <c r="H33" s="30" t="inlineStr">
        <is>
          <t>No</t>
        </is>
      </c>
      <c r="I33" s="33">
        <f>IF(OR($E33="",$F33=""),"",IF(AND(I$4&lt;=$F33,I$4+6&gt;=$E33),IF($F33-$E33&lt;=2,"◆",IF($H33="Yes","X",LEFT($D33,1))),""))</f>
        <v/>
      </c>
      <c r="J33" s="33">
        <f>IF(OR($E33="",$F33=""),"",IF(AND(J$4&lt;=$F33,J$4+6&gt;=$E33),IF($F33-$E33&lt;=2,"◆",IF($H33="Yes","X",LEFT($D33,1))),""))</f>
        <v/>
      </c>
      <c r="K33" s="33">
        <f>IF(OR($E33="",$F33=""),"",IF(AND(K$4&lt;=$F33,K$4+6&gt;=$E33),IF($F33-$E33&lt;=2,"◆",IF($H33="Yes","X",LEFT($D33,1))),""))</f>
        <v/>
      </c>
      <c r="L33" s="33">
        <f>IF(OR($E33="",$F33=""),"",IF(AND(L$4&lt;=$F33,L$4+6&gt;=$E33),IF($F33-$E33&lt;=2,"◆",IF($H33="Yes","X",LEFT($D33,1))),""))</f>
        <v/>
      </c>
      <c r="M33" s="33">
        <f>IF(OR($E33="",$F33=""),"",IF(AND(M$4&lt;=$F33,M$4+6&gt;=$E33),IF($F33-$E33&lt;=2,"◆",IF($H33="Yes","X",LEFT($D33,1))),""))</f>
        <v/>
      </c>
      <c r="N33" s="33">
        <f>IF(OR($E33="",$F33=""),"",IF(AND(N$4&lt;=$F33,N$4+6&gt;=$E33),IF($F33-$E33&lt;=2,"◆",IF($H33="Yes","X",LEFT($D33,1))),""))</f>
        <v/>
      </c>
      <c r="O33" s="33">
        <f>IF(OR($E33="",$F33=""),"",IF(AND(O$4&lt;=$F33,O$4+6&gt;=$E33),IF($F33-$E33&lt;=2,"◆",IF($H33="Yes","X",LEFT($D33,1))),""))</f>
        <v/>
      </c>
      <c r="P33" s="33">
        <f>IF(OR($E33="",$F33=""),"",IF(AND(P$4&lt;=$F33,P$4+6&gt;=$E33),IF($F33-$E33&lt;=2,"◆",IF($H33="Yes","X",LEFT($D33,1))),""))</f>
        <v/>
      </c>
      <c r="Q33" s="33">
        <f>IF(OR($E33="",$F33=""),"",IF(AND(Q$4&lt;=$F33,Q$4+6&gt;=$E33),IF($F33-$E33&lt;=2,"◆",IF($H33="Yes","X",LEFT($D33,1))),""))</f>
        <v/>
      </c>
      <c r="R33" s="33">
        <f>IF(OR($E33="",$F33=""),"",IF(AND(R$4&lt;=$F33,R$4+6&gt;=$E33),IF($F33-$E33&lt;=2,"◆",IF($H33="Yes","X",LEFT($D33,1))),""))</f>
        <v/>
      </c>
      <c r="S33" s="33">
        <f>IF(OR($E33="",$F33=""),"",IF(AND(S$4&lt;=$F33,S$4+6&gt;=$E33),IF($F33-$E33&lt;=2,"◆",IF($H33="Yes","X",LEFT($D33,1))),""))</f>
        <v/>
      </c>
      <c r="T33" s="33">
        <f>IF(OR($E33="",$F33=""),"",IF(AND(T$4&lt;=$F33,T$4+6&gt;=$E33),IF($F33-$E33&lt;=2,"◆",IF($H33="Yes","X",LEFT($D33,1))),""))</f>
        <v/>
      </c>
      <c r="U33" s="33">
        <f>IF(OR($E33="",$F33=""),"",IF(AND(U$4&lt;=$F33,U$4+6&gt;=$E33),IF($F33-$E33&lt;=2,"◆",IF($H33="Yes","X",LEFT($D33,1))),""))</f>
        <v/>
      </c>
      <c r="V33" s="33">
        <f>IF(OR($E33="",$F33=""),"",IF(AND(V$4&lt;=$F33,V$4+6&gt;=$E33),IF($F33-$E33&lt;=2,"◆",IF($H33="Yes","X",LEFT($D33,1))),""))</f>
        <v/>
      </c>
      <c r="W33" s="33">
        <f>IF(OR($E33="",$F33=""),"",IF(AND(W$4&lt;=$F33,W$4+6&gt;=$E33),IF($F33-$E33&lt;=2,"◆",IF($H33="Yes","X",LEFT($D33,1))),""))</f>
        <v/>
      </c>
      <c r="X33" s="33">
        <f>IF(OR($E33="",$F33=""),"",IF(AND(X$4&lt;=$F33,X$4+6&gt;=$E33),IF($F33-$E33&lt;=2,"◆",IF($H33="Yes","X",LEFT($D33,1))),""))</f>
        <v/>
      </c>
      <c r="Y33" s="33">
        <f>IF(OR($E33="",$F33=""),"",IF(AND(Y$4&lt;=$F33,Y$4+6&gt;=$E33),IF($F33-$E33&lt;=2,"◆",IF($H33="Yes","X",LEFT($D33,1))),""))</f>
        <v/>
      </c>
      <c r="Z33" s="33">
        <f>IF(OR($E33="",$F33=""),"",IF(AND(Z$4&lt;=$F33,Z$4+6&gt;=$E33),IF($F33-$E33&lt;=2,"◆",IF($H33="Yes","X",LEFT($D33,1))),""))</f>
        <v/>
      </c>
      <c r="AA33" s="33">
        <f>IF(OR($E33="",$F33=""),"",IF(AND(AA$4&lt;=$F33,AA$4+6&gt;=$E33),IF($F33-$E33&lt;=2,"◆",IF($H33="Yes","X",LEFT($D33,1))),""))</f>
        <v/>
      </c>
      <c r="AB33" s="33">
        <f>IF(OR($E33="",$F33=""),"",IF(AND(AB$4&lt;=$F33,AB$4+6&gt;=$E33),IF($F33-$E33&lt;=2,"◆",IF($H33="Yes","X",LEFT($D33,1))),""))</f>
        <v/>
      </c>
      <c r="AC33" s="33">
        <f>IF(OR($E33="",$F33=""),"",IF(AND(AC$4&lt;=$F33,AC$4+6&gt;=$E33),IF($F33-$E33&lt;=2,"◆",IF($H33="Yes","X",LEFT($D33,1))),""))</f>
        <v/>
      </c>
      <c r="AD33" s="33">
        <f>IF(OR($E33="",$F33=""),"",IF(AND(AD$4&lt;=$F33,AD$4+6&gt;=$E33),IF($F33-$E33&lt;=2,"◆",IF($H33="Yes","X",LEFT($D33,1))),""))</f>
        <v/>
      </c>
      <c r="AE33" s="33">
        <f>IF(OR($E33="",$F33=""),"",IF(AND(AE$4&lt;=$F33,AE$4+6&gt;=$E33),IF($F33-$E33&lt;=2,"◆",IF($H33="Yes","X",LEFT($D33,1))),""))</f>
        <v/>
      </c>
      <c r="AF33" s="33">
        <f>IF(OR($E33="",$F33=""),"",IF(AND(AF$4&lt;=$F33,AF$4+6&gt;=$E33),IF($F33-$E33&lt;=2,"◆",IF($H33="Yes","X",LEFT($D33,1))),""))</f>
        <v/>
      </c>
      <c r="AG33" s="33">
        <f>IF(OR($E33="",$F33=""),"",IF(AND(AG$4&lt;=$F33,AG$4+6&gt;=$E33),IF($F33-$E33&lt;=2,"◆",IF($H33="Yes","X",LEFT($D33,1))),""))</f>
        <v/>
      </c>
      <c r="AH33" s="33">
        <f>IF(OR($E33="",$F33=""),"",IF(AND(AH$4&lt;=$F33,AH$4+6&gt;=$E33),IF($F33-$E33&lt;=2,"◆",IF($H33="Yes","X",LEFT($D33,1))),""))</f>
        <v/>
      </c>
      <c r="AI33" s="33">
        <f>IF(OR($E33="",$F33=""),"",IF(AND(AI$4&lt;=$F33,AI$4+6&gt;=$E33),IF($F33-$E33&lt;=2,"◆",IF($H33="Yes","X",LEFT($D33,1))),""))</f>
        <v/>
      </c>
      <c r="AJ33" s="33">
        <f>IF(OR($E33="",$F33=""),"",IF(AND(AJ$4&lt;=$F33,AJ$4+6&gt;=$E33),IF($F33-$E33&lt;=2,"◆",IF($H33="Yes","X",LEFT($D33,1))),""))</f>
        <v/>
      </c>
      <c r="AK33" s="33">
        <f>IF(OR($E33="",$F33=""),"",IF(AND(AK$4&lt;=$F33,AK$4+6&gt;=$E33),IF($F33-$E33&lt;=2,"◆",IF($H33="Yes","X",LEFT($D33,1))),""))</f>
        <v/>
      </c>
      <c r="AL33" s="33">
        <f>IF(OR($E33="",$F33=""),"",IF(AND(AL$4&lt;=$F33,AL$4+6&gt;=$E33),IF($F33-$E33&lt;=2,"◆",IF($H33="Yes","X",LEFT($D33,1))),""))</f>
        <v/>
      </c>
      <c r="AM33" s="33">
        <f>IF(OR($E33="",$F33=""),"",IF(AND(AM$4&lt;=$F33,AM$4+6&gt;=$E33),IF($F33-$E33&lt;=2,"◆",IF($H33="Yes","X",LEFT($D33,1))),""))</f>
        <v/>
      </c>
      <c r="AN33" s="33">
        <f>IF(OR($E33="",$F33=""),"",IF(AND(AN$4&lt;=$F33,AN$4+6&gt;=$E33),IF($F33-$E33&lt;=2,"◆",IF($H33="Yes","X",LEFT($D33,1))),""))</f>
        <v/>
      </c>
      <c r="AO33" s="33">
        <f>IF(OR($E33="",$F33=""),"",IF(AND(AO$4&lt;=$F33,AO$4+6&gt;=$E33),IF($F33-$E33&lt;=2,"◆",IF($H33="Yes","X",LEFT($D33,1))),""))</f>
        <v/>
      </c>
      <c r="AP33" s="33">
        <f>IF(OR($E33="",$F33=""),"",IF(AND(AP$4&lt;=$F33,AP$4+6&gt;=$E33),IF($F33-$E33&lt;=2,"◆",IF($H33="Yes","X",LEFT($D33,1))),""))</f>
        <v/>
      </c>
      <c r="AQ33" s="33">
        <f>IF(OR($E33="",$F33=""),"",IF(AND(AQ$4&lt;=$F33,AQ$4+6&gt;=$E33),IF($F33-$E33&lt;=2,"◆",IF($H33="Yes","X",LEFT($D33,1))),""))</f>
        <v/>
      </c>
      <c r="AR33" s="33">
        <f>IF(OR($E33="",$F33=""),"",IF(AND(AR$4&lt;=$F33,AR$4+6&gt;=$E33),IF($F33-$E33&lt;=2,"◆",IF($H33="Yes","X",LEFT($D33,1))),""))</f>
        <v/>
      </c>
      <c r="AS33" s="33">
        <f>IF(OR($E33="",$F33=""),"",IF(AND(AS$4&lt;=$F33,AS$4+6&gt;=$E33),IF($F33-$E33&lt;=2,"◆",IF($H33="Yes","X",LEFT($D33,1))),""))</f>
        <v/>
      </c>
      <c r="AT33" s="33">
        <f>IF(OR($E33="",$F33=""),"",IF(AND(AT$4&lt;=$F33,AT$4+6&gt;=$E33),IF($F33-$E33&lt;=2,"◆",IF($H33="Yes","X",LEFT($D33,1))),""))</f>
        <v/>
      </c>
      <c r="AU33" s="33">
        <f>IF(OR($E33="",$F33=""),"",IF(AND(AU$4&lt;=$F33,AU$4+6&gt;=$E33),IF($F33-$E33&lt;=2,"◆",IF($H33="Yes","X",LEFT($D33,1))),""))</f>
        <v/>
      </c>
      <c r="AV33" s="33">
        <f>IF(OR($E33="",$F33=""),"",IF(AND(AV$4&lt;=$F33,AV$4+6&gt;=$E33),IF($F33-$E33&lt;=2,"◆",IF($H33="Yes","X",LEFT($D33,1))),""))</f>
        <v/>
      </c>
      <c r="AW33" s="33">
        <f>IF(OR($E33="",$F33=""),"",IF(AND(AW$4&lt;=$F33,AW$4+6&gt;=$E33),IF($F33-$E33&lt;=2,"◆",IF($H33="Yes","X",LEFT($D33,1))),""))</f>
        <v/>
      </c>
      <c r="AX33" s="33">
        <f>IF(OR($E33="",$F33=""),"",IF(AND(AX$4&lt;=$F33,AX$4+6&gt;=$E33),IF($F33-$E33&lt;=2,"◆",IF($H33="Yes","X",LEFT($D33,1))),""))</f>
        <v/>
      </c>
      <c r="AY33" s="33">
        <f>IF(OR($E33="",$F33=""),"",IF(AND(AY$4&lt;=$F33,AY$4+6&gt;=$E33),IF($F33-$E33&lt;=2,"◆",IF($H33="Yes","X",LEFT($D33,1))),""))</f>
        <v/>
      </c>
      <c r="AZ33" s="33">
        <f>IF(OR($E33="",$F33=""),"",IF(AND(AZ$4&lt;=$F33,AZ$4+6&gt;=$E33),IF($F33-$E33&lt;=2,"◆",IF($H33="Yes","X",LEFT($D33,1))),""))</f>
        <v/>
      </c>
      <c r="BA33" s="33">
        <f>IF(OR($E33="",$F33=""),"",IF(AND(BA$4&lt;=$F33,BA$4+6&gt;=$E33),IF($F33-$E33&lt;=2,"◆",IF($H33="Yes","X",LEFT($D33,1))),""))</f>
        <v/>
      </c>
      <c r="BB33" s="33">
        <f>IF(OR($E33="",$F33=""),"",IF(AND(BB$4&lt;=$F33,BB$4+6&gt;=$E33),IF($F33-$E33&lt;=2,"◆",IF($H33="Yes","X",LEFT($D33,1))),""))</f>
        <v/>
      </c>
      <c r="BC33" s="33">
        <f>IF(OR($E33="",$F33=""),"",IF(AND(BC$4&lt;=$F33,BC$4+6&gt;=$E33),IF($F33-$E33&lt;=2,"◆",IF($H33="Yes","X",LEFT($D33,1))),""))</f>
        <v/>
      </c>
      <c r="BD33" s="33">
        <f>IF(OR($E33="",$F33=""),"",IF(AND(BD$4&lt;=$F33,BD$4+6&gt;=$E33),IF($F33-$E33&lt;=2,"◆",IF($H33="Yes","X",LEFT($D33,1))),""))</f>
        <v/>
      </c>
      <c r="BE33" s="33">
        <f>IF(OR($E33="",$F33=""),"",IF(AND(BE$4&lt;=$F33,BE$4+6&gt;=$E33),IF($F33-$E33&lt;=2,"◆",IF($H33="Yes","X",LEFT($D33,1))),""))</f>
        <v/>
      </c>
      <c r="BF33" s="33">
        <f>IF(OR($E33="",$F33=""),"",IF(AND(BF$4&lt;=$F33,BF$4+6&gt;=$E33),IF($F33-$E33&lt;=2,"◆",IF($H33="Yes","X",LEFT($D33,1))),""))</f>
        <v/>
      </c>
      <c r="BG33" s="33">
        <f>IF(OR($E33="",$F33=""),"",IF(AND(BG$4&lt;=$F33,BG$4+6&gt;=$E33),IF($F33-$E33&lt;=2,"◆",IF($H33="Yes","X",LEFT($D33,1))),""))</f>
        <v/>
      </c>
      <c r="BH33" s="33">
        <f>IF(OR($E33="",$F33=""),"",IF(AND(BH$4&lt;=$F33,BH$4+6&gt;=$E33),IF($F33-$E33&lt;=2,"◆",IF($H33="Yes","X",LEFT($D33,1))),""))</f>
        <v/>
      </c>
      <c r="BI33" s="33">
        <f>IF(OR($E33="",$F33=""),"",IF(AND(BI$4&lt;=$F33,BI$4+6&gt;=$E33),IF($F33-$E33&lt;=2,"◆",IF($H33="Yes","X",LEFT($D33,1))),""))</f>
        <v/>
      </c>
    </row>
    <row r="34">
      <c r="A34" s="30" t="inlineStr">
        <is>
          <t>T-030</t>
        </is>
      </c>
      <c r="B34" s="30" t="inlineStr">
        <is>
          <t>New UI for platform portal</t>
        </is>
      </c>
      <c r="C34" s="30" t="inlineStr">
        <is>
          <t>MJ</t>
        </is>
      </c>
      <c r="D34" s="30" t="inlineStr">
        <is>
          <t>Not Started</t>
        </is>
      </c>
      <c r="E34" s="31" t="n">
        <v>46262</v>
      </c>
      <c r="F34" s="31" t="n">
        <v>46288</v>
      </c>
      <c r="G34" s="32" t="n">
        <v>0</v>
      </c>
      <c r="H34" s="30" t="inlineStr">
        <is>
          <t>No</t>
        </is>
      </c>
      <c r="I34" s="33">
        <f>IF(OR($E34="",$F34=""),"",IF(AND(I$4&lt;=$F34,I$4+6&gt;=$E34),IF($F34-$E34&lt;=2,"◆",IF($H34="Yes","X",LEFT($D34,1))),""))</f>
        <v/>
      </c>
      <c r="J34" s="33">
        <f>IF(OR($E34="",$F34=""),"",IF(AND(J$4&lt;=$F34,J$4+6&gt;=$E34),IF($F34-$E34&lt;=2,"◆",IF($H34="Yes","X",LEFT($D34,1))),""))</f>
        <v/>
      </c>
      <c r="K34" s="33">
        <f>IF(OR($E34="",$F34=""),"",IF(AND(K$4&lt;=$F34,K$4+6&gt;=$E34),IF($F34-$E34&lt;=2,"◆",IF($H34="Yes","X",LEFT($D34,1))),""))</f>
        <v/>
      </c>
      <c r="L34" s="33">
        <f>IF(OR($E34="",$F34=""),"",IF(AND(L$4&lt;=$F34,L$4+6&gt;=$E34),IF($F34-$E34&lt;=2,"◆",IF($H34="Yes","X",LEFT($D34,1))),""))</f>
        <v/>
      </c>
      <c r="M34" s="33">
        <f>IF(OR($E34="",$F34=""),"",IF(AND(M$4&lt;=$F34,M$4+6&gt;=$E34),IF($F34-$E34&lt;=2,"◆",IF($H34="Yes","X",LEFT($D34,1))),""))</f>
        <v/>
      </c>
      <c r="N34" s="33">
        <f>IF(OR($E34="",$F34=""),"",IF(AND(N$4&lt;=$F34,N$4+6&gt;=$E34),IF($F34-$E34&lt;=2,"◆",IF($H34="Yes","X",LEFT($D34,1))),""))</f>
        <v/>
      </c>
      <c r="O34" s="33">
        <f>IF(OR($E34="",$F34=""),"",IF(AND(O$4&lt;=$F34,O$4+6&gt;=$E34),IF($F34-$E34&lt;=2,"◆",IF($H34="Yes","X",LEFT($D34,1))),""))</f>
        <v/>
      </c>
      <c r="P34" s="33">
        <f>IF(OR($E34="",$F34=""),"",IF(AND(P$4&lt;=$F34,P$4+6&gt;=$E34),IF($F34-$E34&lt;=2,"◆",IF($H34="Yes","X",LEFT($D34,1))),""))</f>
        <v/>
      </c>
      <c r="Q34" s="33">
        <f>IF(OR($E34="",$F34=""),"",IF(AND(Q$4&lt;=$F34,Q$4+6&gt;=$E34),IF($F34-$E34&lt;=2,"◆",IF($H34="Yes","X",LEFT($D34,1))),""))</f>
        <v/>
      </c>
      <c r="R34" s="33">
        <f>IF(OR($E34="",$F34=""),"",IF(AND(R$4&lt;=$F34,R$4+6&gt;=$E34),IF($F34-$E34&lt;=2,"◆",IF($H34="Yes","X",LEFT($D34,1))),""))</f>
        <v/>
      </c>
      <c r="S34" s="33">
        <f>IF(OR($E34="",$F34=""),"",IF(AND(S$4&lt;=$F34,S$4+6&gt;=$E34),IF($F34-$E34&lt;=2,"◆",IF($H34="Yes","X",LEFT($D34,1))),""))</f>
        <v/>
      </c>
      <c r="T34" s="33">
        <f>IF(OR($E34="",$F34=""),"",IF(AND(T$4&lt;=$F34,T$4+6&gt;=$E34),IF($F34-$E34&lt;=2,"◆",IF($H34="Yes","X",LEFT($D34,1))),""))</f>
        <v/>
      </c>
      <c r="U34" s="33">
        <f>IF(OR($E34="",$F34=""),"",IF(AND(U$4&lt;=$F34,U$4+6&gt;=$E34),IF($F34-$E34&lt;=2,"◆",IF($H34="Yes","X",LEFT($D34,1))),""))</f>
        <v/>
      </c>
      <c r="V34" s="33">
        <f>IF(OR($E34="",$F34=""),"",IF(AND(V$4&lt;=$F34,V$4+6&gt;=$E34),IF($F34-$E34&lt;=2,"◆",IF($H34="Yes","X",LEFT($D34,1))),""))</f>
        <v/>
      </c>
      <c r="W34" s="33">
        <f>IF(OR($E34="",$F34=""),"",IF(AND(W$4&lt;=$F34,W$4+6&gt;=$E34),IF($F34-$E34&lt;=2,"◆",IF($H34="Yes","X",LEFT($D34,1))),""))</f>
        <v/>
      </c>
      <c r="X34" s="33">
        <f>IF(OR($E34="",$F34=""),"",IF(AND(X$4&lt;=$F34,X$4+6&gt;=$E34),IF($F34-$E34&lt;=2,"◆",IF($H34="Yes","X",LEFT($D34,1))),""))</f>
        <v/>
      </c>
      <c r="Y34" s="33">
        <f>IF(OR($E34="",$F34=""),"",IF(AND(Y$4&lt;=$F34,Y$4+6&gt;=$E34),IF($F34-$E34&lt;=2,"◆",IF($H34="Yes","X",LEFT($D34,1))),""))</f>
        <v/>
      </c>
      <c r="Z34" s="33">
        <f>IF(OR($E34="",$F34=""),"",IF(AND(Z$4&lt;=$F34,Z$4+6&gt;=$E34),IF($F34-$E34&lt;=2,"◆",IF($H34="Yes","X",LEFT($D34,1))),""))</f>
        <v/>
      </c>
      <c r="AA34" s="33">
        <f>IF(OR($E34="",$F34=""),"",IF(AND(AA$4&lt;=$F34,AA$4+6&gt;=$E34),IF($F34-$E34&lt;=2,"◆",IF($H34="Yes","X",LEFT($D34,1))),""))</f>
        <v/>
      </c>
      <c r="AB34" s="33">
        <f>IF(OR($E34="",$F34=""),"",IF(AND(AB$4&lt;=$F34,AB$4+6&gt;=$E34),IF($F34-$E34&lt;=2,"◆",IF($H34="Yes","X",LEFT($D34,1))),""))</f>
        <v/>
      </c>
      <c r="AC34" s="33">
        <f>IF(OR($E34="",$F34=""),"",IF(AND(AC$4&lt;=$F34,AC$4+6&gt;=$E34),IF($F34-$E34&lt;=2,"◆",IF($H34="Yes","X",LEFT($D34,1))),""))</f>
        <v/>
      </c>
      <c r="AD34" s="33">
        <f>IF(OR($E34="",$F34=""),"",IF(AND(AD$4&lt;=$F34,AD$4+6&gt;=$E34),IF($F34-$E34&lt;=2,"◆",IF($H34="Yes","X",LEFT($D34,1))),""))</f>
        <v/>
      </c>
      <c r="AE34" s="33">
        <f>IF(OR($E34="",$F34=""),"",IF(AND(AE$4&lt;=$F34,AE$4+6&gt;=$E34),IF($F34-$E34&lt;=2,"◆",IF($H34="Yes","X",LEFT($D34,1))),""))</f>
        <v/>
      </c>
      <c r="AF34" s="33">
        <f>IF(OR($E34="",$F34=""),"",IF(AND(AF$4&lt;=$F34,AF$4+6&gt;=$E34),IF($F34-$E34&lt;=2,"◆",IF($H34="Yes","X",LEFT($D34,1))),""))</f>
        <v/>
      </c>
      <c r="AG34" s="33">
        <f>IF(OR($E34="",$F34=""),"",IF(AND(AG$4&lt;=$F34,AG$4+6&gt;=$E34),IF($F34-$E34&lt;=2,"◆",IF($H34="Yes","X",LEFT($D34,1))),""))</f>
        <v/>
      </c>
      <c r="AH34" s="33">
        <f>IF(OR($E34="",$F34=""),"",IF(AND(AH$4&lt;=$F34,AH$4+6&gt;=$E34),IF($F34-$E34&lt;=2,"◆",IF($H34="Yes","X",LEFT($D34,1))),""))</f>
        <v/>
      </c>
      <c r="AI34" s="33">
        <f>IF(OR($E34="",$F34=""),"",IF(AND(AI$4&lt;=$F34,AI$4+6&gt;=$E34),IF($F34-$E34&lt;=2,"◆",IF($H34="Yes","X",LEFT($D34,1))),""))</f>
        <v/>
      </c>
      <c r="AJ34" s="33">
        <f>IF(OR($E34="",$F34=""),"",IF(AND(AJ$4&lt;=$F34,AJ$4+6&gt;=$E34),IF($F34-$E34&lt;=2,"◆",IF($H34="Yes","X",LEFT($D34,1))),""))</f>
        <v/>
      </c>
      <c r="AK34" s="33">
        <f>IF(OR($E34="",$F34=""),"",IF(AND(AK$4&lt;=$F34,AK$4+6&gt;=$E34),IF($F34-$E34&lt;=2,"◆",IF($H34="Yes","X",LEFT($D34,1))),""))</f>
        <v/>
      </c>
      <c r="AL34" s="33">
        <f>IF(OR($E34="",$F34=""),"",IF(AND(AL$4&lt;=$F34,AL$4+6&gt;=$E34),IF($F34-$E34&lt;=2,"◆",IF($H34="Yes","X",LEFT($D34,1))),""))</f>
        <v/>
      </c>
      <c r="AM34" s="33">
        <f>IF(OR($E34="",$F34=""),"",IF(AND(AM$4&lt;=$F34,AM$4+6&gt;=$E34),IF($F34-$E34&lt;=2,"◆",IF($H34="Yes","X",LEFT($D34,1))),""))</f>
        <v/>
      </c>
      <c r="AN34" s="33">
        <f>IF(OR($E34="",$F34=""),"",IF(AND(AN$4&lt;=$F34,AN$4+6&gt;=$E34),IF($F34-$E34&lt;=2,"◆",IF($H34="Yes","X",LEFT($D34,1))),""))</f>
        <v/>
      </c>
      <c r="AO34" s="33">
        <f>IF(OR($E34="",$F34=""),"",IF(AND(AO$4&lt;=$F34,AO$4+6&gt;=$E34),IF($F34-$E34&lt;=2,"◆",IF($H34="Yes","X",LEFT($D34,1))),""))</f>
        <v/>
      </c>
      <c r="AP34" s="33">
        <f>IF(OR($E34="",$F34=""),"",IF(AND(AP$4&lt;=$F34,AP$4+6&gt;=$E34),IF($F34-$E34&lt;=2,"◆",IF($H34="Yes","X",LEFT($D34,1))),""))</f>
        <v/>
      </c>
      <c r="AQ34" s="33">
        <f>IF(OR($E34="",$F34=""),"",IF(AND(AQ$4&lt;=$F34,AQ$4+6&gt;=$E34),IF($F34-$E34&lt;=2,"◆",IF($H34="Yes","X",LEFT($D34,1))),""))</f>
        <v/>
      </c>
      <c r="AR34" s="33">
        <f>IF(OR($E34="",$F34=""),"",IF(AND(AR$4&lt;=$F34,AR$4+6&gt;=$E34),IF($F34-$E34&lt;=2,"◆",IF($H34="Yes","X",LEFT($D34,1))),""))</f>
        <v/>
      </c>
      <c r="AS34" s="33">
        <f>IF(OR($E34="",$F34=""),"",IF(AND(AS$4&lt;=$F34,AS$4+6&gt;=$E34),IF($F34-$E34&lt;=2,"◆",IF($H34="Yes","X",LEFT($D34,1))),""))</f>
        <v/>
      </c>
      <c r="AT34" s="33">
        <f>IF(OR($E34="",$F34=""),"",IF(AND(AT$4&lt;=$F34,AT$4+6&gt;=$E34),IF($F34-$E34&lt;=2,"◆",IF($H34="Yes","X",LEFT($D34,1))),""))</f>
        <v/>
      </c>
      <c r="AU34" s="33">
        <f>IF(OR($E34="",$F34=""),"",IF(AND(AU$4&lt;=$F34,AU$4+6&gt;=$E34),IF($F34-$E34&lt;=2,"◆",IF($H34="Yes","X",LEFT($D34,1))),""))</f>
        <v/>
      </c>
      <c r="AV34" s="33">
        <f>IF(OR($E34="",$F34=""),"",IF(AND(AV$4&lt;=$F34,AV$4+6&gt;=$E34),IF($F34-$E34&lt;=2,"◆",IF($H34="Yes","X",LEFT($D34,1))),""))</f>
        <v/>
      </c>
      <c r="AW34" s="33">
        <f>IF(OR($E34="",$F34=""),"",IF(AND(AW$4&lt;=$F34,AW$4+6&gt;=$E34),IF($F34-$E34&lt;=2,"◆",IF($H34="Yes","X",LEFT($D34,1))),""))</f>
        <v/>
      </c>
      <c r="AX34" s="33">
        <f>IF(OR($E34="",$F34=""),"",IF(AND(AX$4&lt;=$F34,AX$4+6&gt;=$E34),IF($F34-$E34&lt;=2,"◆",IF($H34="Yes","X",LEFT($D34,1))),""))</f>
        <v/>
      </c>
      <c r="AY34" s="33">
        <f>IF(OR($E34="",$F34=""),"",IF(AND(AY$4&lt;=$F34,AY$4+6&gt;=$E34),IF($F34-$E34&lt;=2,"◆",IF($H34="Yes","X",LEFT($D34,1))),""))</f>
        <v/>
      </c>
      <c r="AZ34" s="33">
        <f>IF(OR($E34="",$F34=""),"",IF(AND(AZ$4&lt;=$F34,AZ$4+6&gt;=$E34),IF($F34-$E34&lt;=2,"◆",IF($H34="Yes","X",LEFT($D34,1))),""))</f>
        <v/>
      </c>
      <c r="BA34" s="33">
        <f>IF(OR($E34="",$F34=""),"",IF(AND(BA$4&lt;=$F34,BA$4+6&gt;=$E34),IF($F34-$E34&lt;=2,"◆",IF($H34="Yes","X",LEFT($D34,1))),""))</f>
        <v/>
      </c>
      <c r="BB34" s="33">
        <f>IF(OR($E34="",$F34=""),"",IF(AND(BB$4&lt;=$F34,BB$4+6&gt;=$E34),IF($F34-$E34&lt;=2,"◆",IF($H34="Yes","X",LEFT($D34,1))),""))</f>
        <v/>
      </c>
      <c r="BC34" s="33">
        <f>IF(OR($E34="",$F34=""),"",IF(AND(BC$4&lt;=$F34,BC$4+6&gt;=$E34),IF($F34-$E34&lt;=2,"◆",IF($H34="Yes","X",LEFT($D34,1))),""))</f>
        <v/>
      </c>
      <c r="BD34" s="33">
        <f>IF(OR($E34="",$F34=""),"",IF(AND(BD$4&lt;=$F34,BD$4+6&gt;=$E34),IF($F34-$E34&lt;=2,"◆",IF($H34="Yes","X",LEFT($D34,1))),""))</f>
        <v/>
      </c>
      <c r="BE34" s="33">
        <f>IF(OR($E34="",$F34=""),"",IF(AND(BE$4&lt;=$F34,BE$4+6&gt;=$E34),IF($F34-$E34&lt;=2,"◆",IF($H34="Yes","X",LEFT($D34,1))),""))</f>
        <v/>
      </c>
      <c r="BF34" s="33">
        <f>IF(OR($E34="",$F34=""),"",IF(AND(BF$4&lt;=$F34,BF$4+6&gt;=$E34),IF($F34-$E34&lt;=2,"◆",IF($H34="Yes","X",LEFT($D34,1))),""))</f>
        <v/>
      </c>
      <c r="BG34" s="33">
        <f>IF(OR($E34="",$F34=""),"",IF(AND(BG$4&lt;=$F34,BG$4+6&gt;=$E34),IF($F34-$E34&lt;=2,"◆",IF($H34="Yes","X",LEFT($D34,1))),""))</f>
        <v/>
      </c>
      <c r="BH34" s="33">
        <f>IF(OR($E34="",$F34=""),"",IF(AND(BH$4&lt;=$F34,BH$4+6&gt;=$E34),IF($F34-$E34&lt;=2,"◆",IF($H34="Yes","X",LEFT($D34,1))),""))</f>
        <v/>
      </c>
      <c r="BI34" s="33">
        <f>IF(OR($E34="",$F34=""),"",IF(AND(BI$4&lt;=$F34,BI$4+6&gt;=$E34),IF($F34-$E34&lt;=2,"◆",IF($H34="Yes","X",LEFT($D34,1))),""))</f>
        <v/>
      </c>
    </row>
    <row r="35">
      <c r="A35" s="30" t="inlineStr">
        <is>
          <t>T-031</t>
        </is>
      </c>
      <c r="B35" s="30" t="inlineStr">
        <is>
          <t>Architecture Proposal: Core + Extension Model for Participant Portals</t>
        </is>
      </c>
      <c r="C35" s="30" t="inlineStr">
        <is>
          <t>MJ</t>
        </is>
      </c>
      <c r="D35" s="30" t="inlineStr">
        <is>
          <t>Not Started</t>
        </is>
      </c>
      <c r="E35" s="31" t="n">
        <v>46209</v>
      </c>
      <c r="F35" s="31" t="n">
        <v>46278</v>
      </c>
      <c r="G35" s="32" t="n">
        <v>0</v>
      </c>
      <c r="H35" s="30" t="inlineStr">
        <is>
          <t>No</t>
        </is>
      </c>
      <c r="I35" s="33">
        <f>IF(OR($E35="",$F35=""),"",IF(AND(I$4&lt;=$F35,I$4+6&gt;=$E35),IF($F35-$E35&lt;=2,"◆",IF($H35="Yes","X",LEFT($D35,1))),""))</f>
        <v/>
      </c>
      <c r="J35" s="33">
        <f>IF(OR($E35="",$F35=""),"",IF(AND(J$4&lt;=$F35,J$4+6&gt;=$E35),IF($F35-$E35&lt;=2,"◆",IF($H35="Yes","X",LEFT($D35,1))),""))</f>
        <v/>
      </c>
      <c r="K35" s="33">
        <f>IF(OR($E35="",$F35=""),"",IF(AND(K$4&lt;=$F35,K$4+6&gt;=$E35),IF($F35-$E35&lt;=2,"◆",IF($H35="Yes","X",LEFT($D35,1))),""))</f>
        <v/>
      </c>
      <c r="L35" s="33">
        <f>IF(OR($E35="",$F35=""),"",IF(AND(L$4&lt;=$F35,L$4+6&gt;=$E35),IF($F35-$E35&lt;=2,"◆",IF($H35="Yes","X",LEFT($D35,1))),""))</f>
        <v/>
      </c>
      <c r="M35" s="33">
        <f>IF(OR($E35="",$F35=""),"",IF(AND(M$4&lt;=$F35,M$4+6&gt;=$E35),IF($F35-$E35&lt;=2,"◆",IF($H35="Yes","X",LEFT($D35,1))),""))</f>
        <v/>
      </c>
      <c r="N35" s="33">
        <f>IF(OR($E35="",$F35=""),"",IF(AND(N$4&lt;=$F35,N$4+6&gt;=$E35),IF($F35-$E35&lt;=2,"◆",IF($H35="Yes","X",LEFT($D35,1))),""))</f>
        <v/>
      </c>
      <c r="O35" s="33">
        <f>IF(OR($E35="",$F35=""),"",IF(AND(O$4&lt;=$F35,O$4+6&gt;=$E35),IF($F35-$E35&lt;=2,"◆",IF($H35="Yes","X",LEFT($D35,1))),""))</f>
        <v/>
      </c>
      <c r="P35" s="33">
        <f>IF(OR($E35="",$F35=""),"",IF(AND(P$4&lt;=$F35,P$4+6&gt;=$E35),IF($F35-$E35&lt;=2,"◆",IF($H35="Yes","X",LEFT($D35,1))),""))</f>
        <v/>
      </c>
      <c r="Q35" s="33">
        <f>IF(OR($E35="",$F35=""),"",IF(AND(Q$4&lt;=$F35,Q$4+6&gt;=$E35),IF($F35-$E35&lt;=2,"◆",IF($H35="Yes","X",LEFT($D35,1))),""))</f>
        <v/>
      </c>
      <c r="R35" s="33">
        <f>IF(OR($E35="",$F35=""),"",IF(AND(R$4&lt;=$F35,R$4+6&gt;=$E35),IF($F35-$E35&lt;=2,"◆",IF($H35="Yes","X",LEFT($D35,1))),""))</f>
        <v/>
      </c>
      <c r="S35" s="33">
        <f>IF(OR($E35="",$F35=""),"",IF(AND(S$4&lt;=$F35,S$4+6&gt;=$E35),IF($F35-$E35&lt;=2,"◆",IF($H35="Yes","X",LEFT($D35,1))),""))</f>
        <v/>
      </c>
      <c r="T35" s="33">
        <f>IF(OR($E35="",$F35=""),"",IF(AND(T$4&lt;=$F35,T$4+6&gt;=$E35),IF($F35-$E35&lt;=2,"◆",IF($H35="Yes","X",LEFT($D35,1))),""))</f>
        <v/>
      </c>
      <c r="U35" s="33">
        <f>IF(OR($E35="",$F35=""),"",IF(AND(U$4&lt;=$F35,U$4+6&gt;=$E35),IF($F35-$E35&lt;=2,"◆",IF($H35="Yes","X",LEFT($D35,1))),""))</f>
        <v/>
      </c>
      <c r="V35" s="33">
        <f>IF(OR($E35="",$F35=""),"",IF(AND(V$4&lt;=$F35,V$4+6&gt;=$E35),IF($F35-$E35&lt;=2,"◆",IF($H35="Yes","X",LEFT($D35,1))),""))</f>
        <v/>
      </c>
      <c r="W35" s="33">
        <f>IF(OR($E35="",$F35=""),"",IF(AND(W$4&lt;=$F35,W$4+6&gt;=$E35),IF($F35-$E35&lt;=2,"◆",IF($H35="Yes","X",LEFT($D35,1))),""))</f>
        <v/>
      </c>
      <c r="X35" s="33">
        <f>IF(OR($E35="",$F35=""),"",IF(AND(X$4&lt;=$F35,X$4+6&gt;=$E35),IF($F35-$E35&lt;=2,"◆",IF($H35="Yes","X",LEFT($D35,1))),""))</f>
        <v/>
      </c>
      <c r="Y35" s="33">
        <f>IF(OR($E35="",$F35=""),"",IF(AND(Y$4&lt;=$F35,Y$4+6&gt;=$E35),IF($F35-$E35&lt;=2,"◆",IF($H35="Yes","X",LEFT($D35,1))),""))</f>
        <v/>
      </c>
      <c r="Z35" s="33">
        <f>IF(OR($E35="",$F35=""),"",IF(AND(Z$4&lt;=$F35,Z$4+6&gt;=$E35),IF($F35-$E35&lt;=2,"◆",IF($H35="Yes","X",LEFT($D35,1))),""))</f>
        <v/>
      </c>
      <c r="AA35" s="33">
        <f>IF(OR($E35="",$F35=""),"",IF(AND(AA$4&lt;=$F35,AA$4+6&gt;=$E35),IF($F35-$E35&lt;=2,"◆",IF($H35="Yes","X",LEFT($D35,1))),""))</f>
        <v/>
      </c>
      <c r="AB35" s="33">
        <f>IF(OR($E35="",$F35=""),"",IF(AND(AB$4&lt;=$F35,AB$4+6&gt;=$E35),IF($F35-$E35&lt;=2,"◆",IF($H35="Yes","X",LEFT($D35,1))),""))</f>
        <v/>
      </c>
      <c r="AC35" s="33">
        <f>IF(OR($E35="",$F35=""),"",IF(AND(AC$4&lt;=$F35,AC$4+6&gt;=$E35),IF($F35-$E35&lt;=2,"◆",IF($H35="Yes","X",LEFT($D35,1))),""))</f>
        <v/>
      </c>
      <c r="AD35" s="33">
        <f>IF(OR($E35="",$F35=""),"",IF(AND(AD$4&lt;=$F35,AD$4+6&gt;=$E35),IF($F35-$E35&lt;=2,"◆",IF($H35="Yes","X",LEFT($D35,1))),""))</f>
        <v/>
      </c>
      <c r="AE35" s="33">
        <f>IF(OR($E35="",$F35=""),"",IF(AND(AE$4&lt;=$F35,AE$4+6&gt;=$E35),IF($F35-$E35&lt;=2,"◆",IF($H35="Yes","X",LEFT($D35,1))),""))</f>
        <v/>
      </c>
      <c r="AF35" s="33">
        <f>IF(OR($E35="",$F35=""),"",IF(AND(AF$4&lt;=$F35,AF$4+6&gt;=$E35),IF($F35-$E35&lt;=2,"◆",IF($H35="Yes","X",LEFT($D35,1))),""))</f>
        <v/>
      </c>
      <c r="AG35" s="33">
        <f>IF(OR($E35="",$F35=""),"",IF(AND(AG$4&lt;=$F35,AG$4+6&gt;=$E35),IF($F35-$E35&lt;=2,"◆",IF($H35="Yes","X",LEFT($D35,1))),""))</f>
        <v/>
      </c>
      <c r="AH35" s="33">
        <f>IF(OR($E35="",$F35=""),"",IF(AND(AH$4&lt;=$F35,AH$4+6&gt;=$E35),IF($F35-$E35&lt;=2,"◆",IF($H35="Yes","X",LEFT($D35,1))),""))</f>
        <v/>
      </c>
      <c r="AI35" s="33">
        <f>IF(OR($E35="",$F35=""),"",IF(AND(AI$4&lt;=$F35,AI$4+6&gt;=$E35),IF($F35-$E35&lt;=2,"◆",IF($H35="Yes","X",LEFT($D35,1))),""))</f>
        <v/>
      </c>
      <c r="AJ35" s="33">
        <f>IF(OR($E35="",$F35=""),"",IF(AND(AJ$4&lt;=$F35,AJ$4+6&gt;=$E35),IF($F35-$E35&lt;=2,"◆",IF($H35="Yes","X",LEFT($D35,1))),""))</f>
        <v/>
      </c>
      <c r="AK35" s="33">
        <f>IF(OR($E35="",$F35=""),"",IF(AND(AK$4&lt;=$F35,AK$4+6&gt;=$E35),IF($F35-$E35&lt;=2,"◆",IF($H35="Yes","X",LEFT($D35,1))),""))</f>
        <v/>
      </c>
      <c r="AL35" s="33">
        <f>IF(OR($E35="",$F35=""),"",IF(AND(AL$4&lt;=$F35,AL$4+6&gt;=$E35),IF($F35-$E35&lt;=2,"◆",IF($H35="Yes","X",LEFT($D35,1))),""))</f>
        <v/>
      </c>
      <c r="AM35" s="33">
        <f>IF(OR($E35="",$F35=""),"",IF(AND(AM$4&lt;=$F35,AM$4+6&gt;=$E35),IF($F35-$E35&lt;=2,"◆",IF($H35="Yes","X",LEFT($D35,1))),""))</f>
        <v/>
      </c>
      <c r="AN35" s="33">
        <f>IF(OR($E35="",$F35=""),"",IF(AND(AN$4&lt;=$F35,AN$4+6&gt;=$E35),IF($F35-$E35&lt;=2,"◆",IF($H35="Yes","X",LEFT($D35,1))),""))</f>
        <v/>
      </c>
      <c r="AO35" s="33">
        <f>IF(OR($E35="",$F35=""),"",IF(AND(AO$4&lt;=$F35,AO$4+6&gt;=$E35),IF($F35-$E35&lt;=2,"◆",IF($H35="Yes","X",LEFT($D35,1))),""))</f>
        <v/>
      </c>
      <c r="AP35" s="33">
        <f>IF(OR($E35="",$F35=""),"",IF(AND(AP$4&lt;=$F35,AP$4+6&gt;=$E35),IF($F35-$E35&lt;=2,"◆",IF($H35="Yes","X",LEFT($D35,1))),""))</f>
        <v/>
      </c>
      <c r="AQ35" s="33">
        <f>IF(OR($E35="",$F35=""),"",IF(AND(AQ$4&lt;=$F35,AQ$4+6&gt;=$E35),IF($F35-$E35&lt;=2,"◆",IF($H35="Yes","X",LEFT($D35,1))),""))</f>
        <v/>
      </c>
      <c r="AR35" s="33">
        <f>IF(OR($E35="",$F35=""),"",IF(AND(AR$4&lt;=$F35,AR$4+6&gt;=$E35),IF($F35-$E35&lt;=2,"◆",IF($H35="Yes","X",LEFT($D35,1))),""))</f>
        <v/>
      </c>
      <c r="AS35" s="33">
        <f>IF(OR($E35="",$F35=""),"",IF(AND(AS$4&lt;=$F35,AS$4+6&gt;=$E35),IF($F35-$E35&lt;=2,"◆",IF($H35="Yes","X",LEFT($D35,1))),""))</f>
        <v/>
      </c>
      <c r="AT35" s="33">
        <f>IF(OR($E35="",$F35=""),"",IF(AND(AT$4&lt;=$F35,AT$4+6&gt;=$E35),IF($F35-$E35&lt;=2,"◆",IF($H35="Yes","X",LEFT($D35,1))),""))</f>
        <v/>
      </c>
      <c r="AU35" s="33">
        <f>IF(OR($E35="",$F35=""),"",IF(AND(AU$4&lt;=$F35,AU$4+6&gt;=$E35),IF($F35-$E35&lt;=2,"◆",IF($H35="Yes","X",LEFT($D35,1))),""))</f>
        <v/>
      </c>
      <c r="AV35" s="33">
        <f>IF(OR($E35="",$F35=""),"",IF(AND(AV$4&lt;=$F35,AV$4+6&gt;=$E35),IF($F35-$E35&lt;=2,"◆",IF($H35="Yes","X",LEFT($D35,1))),""))</f>
        <v/>
      </c>
      <c r="AW35" s="33">
        <f>IF(OR($E35="",$F35=""),"",IF(AND(AW$4&lt;=$F35,AW$4+6&gt;=$E35),IF($F35-$E35&lt;=2,"◆",IF($H35="Yes","X",LEFT($D35,1))),""))</f>
        <v/>
      </c>
      <c r="AX35" s="33">
        <f>IF(OR($E35="",$F35=""),"",IF(AND(AX$4&lt;=$F35,AX$4+6&gt;=$E35),IF($F35-$E35&lt;=2,"◆",IF($H35="Yes","X",LEFT($D35,1))),""))</f>
        <v/>
      </c>
      <c r="AY35" s="33">
        <f>IF(OR($E35="",$F35=""),"",IF(AND(AY$4&lt;=$F35,AY$4+6&gt;=$E35),IF($F35-$E35&lt;=2,"◆",IF($H35="Yes","X",LEFT($D35,1))),""))</f>
        <v/>
      </c>
      <c r="AZ35" s="33">
        <f>IF(OR($E35="",$F35=""),"",IF(AND(AZ$4&lt;=$F35,AZ$4+6&gt;=$E35),IF($F35-$E35&lt;=2,"◆",IF($H35="Yes","X",LEFT($D35,1))),""))</f>
        <v/>
      </c>
      <c r="BA35" s="33">
        <f>IF(OR($E35="",$F35=""),"",IF(AND(BA$4&lt;=$F35,BA$4+6&gt;=$E35),IF($F35-$E35&lt;=2,"◆",IF($H35="Yes","X",LEFT($D35,1))),""))</f>
        <v/>
      </c>
      <c r="BB35" s="33">
        <f>IF(OR($E35="",$F35=""),"",IF(AND(BB$4&lt;=$F35,BB$4+6&gt;=$E35),IF($F35-$E35&lt;=2,"◆",IF($H35="Yes","X",LEFT($D35,1))),""))</f>
        <v/>
      </c>
      <c r="BC35" s="33">
        <f>IF(OR($E35="",$F35=""),"",IF(AND(BC$4&lt;=$F35,BC$4+6&gt;=$E35),IF($F35-$E35&lt;=2,"◆",IF($H35="Yes","X",LEFT($D35,1))),""))</f>
        <v/>
      </c>
      <c r="BD35" s="33">
        <f>IF(OR($E35="",$F35=""),"",IF(AND(BD$4&lt;=$F35,BD$4+6&gt;=$E35),IF($F35-$E35&lt;=2,"◆",IF($H35="Yes","X",LEFT($D35,1))),""))</f>
        <v/>
      </c>
      <c r="BE35" s="33">
        <f>IF(OR($E35="",$F35=""),"",IF(AND(BE$4&lt;=$F35,BE$4+6&gt;=$E35),IF($F35-$E35&lt;=2,"◆",IF($H35="Yes","X",LEFT($D35,1))),""))</f>
        <v/>
      </c>
      <c r="BF35" s="33">
        <f>IF(OR($E35="",$F35=""),"",IF(AND(BF$4&lt;=$F35,BF$4+6&gt;=$E35),IF($F35-$E35&lt;=2,"◆",IF($H35="Yes","X",LEFT($D35,1))),""))</f>
        <v/>
      </c>
      <c r="BG35" s="33">
        <f>IF(OR($E35="",$F35=""),"",IF(AND(BG$4&lt;=$F35,BG$4+6&gt;=$E35),IF($F35-$E35&lt;=2,"◆",IF($H35="Yes","X",LEFT($D35,1))),""))</f>
        <v/>
      </c>
      <c r="BH35" s="33">
        <f>IF(OR($E35="",$F35=""),"",IF(AND(BH$4&lt;=$F35,BH$4+6&gt;=$E35),IF($F35-$E35&lt;=2,"◆",IF($H35="Yes","X",LEFT($D35,1))),""))</f>
        <v/>
      </c>
      <c r="BI35" s="33">
        <f>IF(OR($E35="",$F35=""),"",IF(AND(BI$4&lt;=$F35,BI$4+6&gt;=$E35),IF($F35-$E35&lt;=2,"◆",IF($H35="Yes","X",LEFT($D35,1))),""))</f>
        <v/>
      </c>
    </row>
    <row r="36">
      <c r="A36" s="30" t="inlineStr">
        <is>
          <t>T-032</t>
        </is>
      </c>
      <c r="B36" s="30" t="inlineStr">
        <is>
          <t>File Upload Module Stabilization and Validation Enhancements
(Check if it can be moved to Q2)</t>
        </is>
      </c>
      <c r="C36" s="30" t="inlineStr">
        <is>
          <t>MJ</t>
        </is>
      </c>
      <c r="D36" s="30" t="inlineStr">
        <is>
          <t>Not Started</t>
        </is>
      </c>
      <c r="E36" s="31" t="n">
        <v>46215</v>
      </c>
      <c r="F36" s="31" t="n">
        <v>46284</v>
      </c>
      <c r="G36" s="32" t="n">
        <v>0</v>
      </c>
      <c r="H36" s="30" t="inlineStr">
        <is>
          <t>No</t>
        </is>
      </c>
      <c r="I36" s="33">
        <f>IF(OR($E36="",$F36=""),"",IF(AND(I$4&lt;=$F36,I$4+6&gt;=$E36),IF($F36-$E36&lt;=2,"◆",IF($H36="Yes","X",LEFT($D36,1))),""))</f>
        <v/>
      </c>
      <c r="J36" s="33">
        <f>IF(OR($E36="",$F36=""),"",IF(AND(J$4&lt;=$F36,J$4+6&gt;=$E36),IF($F36-$E36&lt;=2,"◆",IF($H36="Yes","X",LEFT($D36,1))),""))</f>
        <v/>
      </c>
      <c r="K36" s="33">
        <f>IF(OR($E36="",$F36=""),"",IF(AND(K$4&lt;=$F36,K$4+6&gt;=$E36),IF($F36-$E36&lt;=2,"◆",IF($H36="Yes","X",LEFT($D36,1))),""))</f>
        <v/>
      </c>
      <c r="L36" s="33">
        <f>IF(OR($E36="",$F36=""),"",IF(AND(L$4&lt;=$F36,L$4+6&gt;=$E36),IF($F36-$E36&lt;=2,"◆",IF($H36="Yes","X",LEFT($D36,1))),""))</f>
        <v/>
      </c>
      <c r="M36" s="33">
        <f>IF(OR($E36="",$F36=""),"",IF(AND(M$4&lt;=$F36,M$4+6&gt;=$E36),IF($F36-$E36&lt;=2,"◆",IF($H36="Yes","X",LEFT($D36,1))),""))</f>
        <v/>
      </c>
      <c r="N36" s="33">
        <f>IF(OR($E36="",$F36=""),"",IF(AND(N$4&lt;=$F36,N$4+6&gt;=$E36),IF($F36-$E36&lt;=2,"◆",IF($H36="Yes","X",LEFT($D36,1))),""))</f>
        <v/>
      </c>
      <c r="O36" s="33">
        <f>IF(OR($E36="",$F36=""),"",IF(AND(O$4&lt;=$F36,O$4+6&gt;=$E36),IF($F36-$E36&lt;=2,"◆",IF($H36="Yes","X",LEFT($D36,1))),""))</f>
        <v/>
      </c>
      <c r="P36" s="33">
        <f>IF(OR($E36="",$F36=""),"",IF(AND(P$4&lt;=$F36,P$4+6&gt;=$E36),IF($F36-$E36&lt;=2,"◆",IF($H36="Yes","X",LEFT($D36,1))),""))</f>
        <v/>
      </c>
      <c r="Q36" s="33">
        <f>IF(OR($E36="",$F36=""),"",IF(AND(Q$4&lt;=$F36,Q$4+6&gt;=$E36),IF($F36-$E36&lt;=2,"◆",IF($H36="Yes","X",LEFT($D36,1))),""))</f>
        <v/>
      </c>
      <c r="R36" s="33">
        <f>IF(OR($E36="",$F36=""),"",IF(AND(R$4&lt;=$F36,R$4+6&gt;=$E36),IF($F36-$E36&lt;=2,"◆",IF($H36="Yes","X",LEFT($D36,1))),""))</f>
        <v/>
      </c>
      <c r="S36" s="33">
        <f>IF(OR($E36="",$F36=""),"",IF(AND(S$4&lt;=$F36,S$4+6&gt;=$E36),IF($F36-$E36&lt;=2,"◆",IF($H36="Yes","X",LEFT($D36,1))),""))</f>
        <v/>
      </c>
      <c r="T36" s="33">
        <f>IF(OR($E36="",$F36=""),"",IF(AND(T$4&lt;=$F36,T$4+6&gt;=$E36),IF($F36-$E36&lt;=2,"◆",IF($H36="Yes","X",LEFT($D36,1))),""))</f>
        <v/>
      </c>
      <c r="U36" s="33">
        <f>IF(OR($E36="",$F36=""),"",IF(AND(U$4&lt;=$F36,U$4+6&gt;=$E36),IF($F36-$E36&lt;=2,"◆",IF($H36="Yes","X",LEFT($D36,1))),""))</f>
        <v/>
      </c>
      <c r="V36" s="33">
        <f>IF(OR($E36="",$F36=""),"",IF(AND(V$4&lt;=$F36,V$4+6&gt;=$E36),IF($F36-$E36&lt;=2,"◆",IF($H36="Yes","X",LEFT($D36,1))),""))</f>
        <v/>
      </c>
      <c r="W36" s="33">
        <f>IF(OR($E36="",$F36=""),"",IF(AND(W$4&lt;=$F36,W$4+6&gt;=$E36),IF($F36-$E36&lt;=2,"◆",IF($H36="Yes","X",LEFT($D36,1))),""))</f>
        <v/>
      </c>
      <c r="X36" s="33">
        <f>IF(OR($E36="",$F36=""),"",IF(AND(X$4&lt;=$F36,X$4+6&gt;=$E36),IF($F36-$E36&lt;=2,"◆",IF($H36="Yes","X",LEFT($D36,1))),""))</f>
        <v/>
      </c>
      <c r="Y36" s="33">
        <f>IF(OR($E36="",$F36=""),"",IF(AND(Y$4&lt;=$F36,Y$4+6&gt;=$E36),IF($F36-$E36&lt;=2,"◆",IF($H36="Yes","X",LEFT($D36,1))),""))</f>
        <v/>
      </c>
      <c r="Z36" s="33">
        <f>IF(OR($E36="",$F36=""),"",IF(AND(Z$4&lt;=$F36,Z$4+6&gt;=$E36),IF($F36-$E36&lt;=2,"◆",IF($H36="Yes","X",LEFT($D36,1))),""))</f>
        <v/>
      </c>
      <c r="AA36" s="33">
        <f>IF(OR($E36="",$F36=""),"",IF(AND(AA$4&lt;=$F36,AA$4+6&gt;=$E36),IF($F36-$E36&lt;=2,"◆",IF($H36="Yes","X",LEFT($D36,1))),""))</f>
        <v/>
      </c>
      <c r="AB36" s="33">
        <f>IF(OR($E36="",$F36=""),"",IF(AND(AB$4&lt;=$F36,AB$4+6&gt;=$E36),IF($F36-$E36&lt;=2,"◆",IF($H36="Yes","X",LEFT($D36,1))),""))</f>
        <v/>
      </c>
      <c r="AC36" s="33">
        <f>IF(OR($E36="",$F36=""),"",IF(AND(AC$4&lt;=$F36,AC$4+6&gt;=$E36),IF($F36-$E36&lt;=2,"◆",IF($H36="Yes","X",LEFT($D36,1))),""))</f>
        <v/>
      </c>
      <c r="AD36" s="33">
        <f>IF(OR($E36="",$F36=""),"",IF(AND(AD$4&lt;=$F36,AD$4+6&gt;=$E36),IF($F36-$E36&lt;=2,"◆",IF($H36="Yes","X",LEFT($D36,1))),""))</f>
        <v/>
      </c>
      <c r="AE36" s="33">
        <f>IF(OR($E36="",$F36=""),"",IF(AND(AE$4&lt;=$F36,AE$4+6&gt;=$E36),IF($F36-$E36&lt;=2,"◆",IF($H36="Yes","X",LEFT($D36,1))),""))</f>
        <v/>
      </c>
      <c r="AF36" s="33">
        <f>IF(OR($E36="",$F36=""),"",IF(AND(AF$4&lt;=$F36,AF$4+6&gt;=$E36),IF($F36-$E36&lt;=2,"◆",IF($H36="Yes","X",LEFT($D36,1))),""))</f>
        <v/>
      </c>
      <c r="AG36" s="33">
        <f>IF(OR($E36="",$F36=""),"",IF(AND(AG$4&lt;=$F36,AG$4+6&gt;=$E36),IF($F36-$E36&lt;=2,"◆",IF($H36="Yes","X",LEFT($D36,1))),""))</f>
        <v/>
      </c>
      <c r="AH36" s="33">
        <f>IF(OR($E36="",$F36=""),"",IF(AND(AH$4&lt;=$F36,AH$4+6&gt;=$E36),IF($F36-$E36&lt;=2,"◆",IF($H36="Yes","X",LEFT($D36,1))),""))</f>
        <v/>
      </c>
      <c r="AI36" s="33">
        <f>IF(OR($E36="",$F36=""),"",IF(AND(AI$4&lt;=$F36,AI$4+6&gt;=$E36),IF($F36-$E36&lt;=2,"◆",IF($H36="Yes","X",LEFT($D36,1))),""))</f>
        <v/>
      </c>
      <c r="AJ36" s="33">
        <f>IF(OR($E36="",$F36=""),"",IF(AND(AJ$4&lt;=$F36,AJ$4+6&gt;=$E36),IF($F36-$E36&lt;=2,"◆",IF($H36="Yes","X",LEFT($D36,1))),""))</f>
        <v/>
      </c>
      <c r="AK36" s="33">
        <f>IF(OR($E36="",$F36=""),"",IF(AND(AK$4&lt;=$F36,AK$4+6&gt;=$E36),IF($F36-$E36&lt;=2,"◆",IF($H36="Yes","X",LEFT($D36,1))),""))</f>
        <v/>
      </c>
      <c r="AL36" s="33">
        <f>IF(OR($E36="",$F36=""),"",IF(AND(AL$4&lt;=$F36,AL$4+6&gt;=$E36),IF($F36-$E36&lt;=2,"◆",IF($H36="Yes","X",LEFT($D36,1))),""))</f>
        <v/>
      </c>
      <c r="AM36" s="33">
        <f>IF(OR($E36="",$F36=""),"",IF(AND(AM$4&lt;=$F36,AM$4+6&gt;=$E36),IF($F36-$E36&lt;=2,"◆",IF($H36="Yes","X",LEFT($D36,1))),""))</f>
        <v/>
      </c>
      <c r="AN36" s="33">
        <f>IF(OR($E36="",$F36=""),"",IF(AND(AN$4&lt;=$F36,AN$4+6&gt;=$E36),IF($F36-$E36&lt;=2,"◆",IF($H36="Yes","X",LEFT($D36,1))),""))</f>
        <v/>
      </c>
      <c r="AO36" s="33">
        <f>IF(OR($E36="",$F36=""),"",IF(AND(AO$4&lt;=$F36,AO$4+6&gt;=$E36),IF($F36-$E36&lt;=2,"◆",IF($H36="Yes","X",LEFT($D36,1))),""))</f>
        <v/>
      </c>
      <c r="AP36" s="33">
        <f>IF(OR($E36="",$F36=""),"",IF(AND(AP$4&lt;=$F36,AP$4+6&gt;=$E36),IF($F36-$E36&lt;=2,"◆",IF($H36="Yes","X",LEFT($D36,1))),""))</f>
        <v/>
      </c>
      <c r="AQ36" s="33">
        <f>IF(OR($E36="",$F36=""),"",IF(AND(AQ$4&lt;=$F36,AQ$4+6&gt;=$E36),IF($F36-$E36&lt;=2,"◆",IF($H36="Yes","X",LEFT($D36,1))),""))</f>
        <v/>
      </c>
      <c r="AR36" s="33">
        <f>IF(OR($E36="",$F36=""),"",IF(AND(AR$4&lt;=$F36,AR$4+6&gt;=$E36),IF($F36-$E36&lt;=2,"◆",IF($H36="Yes","X",LEFT($D36,1))),""))</f>
        <v/>
      </c>
      <c r="AS36" s="33">
        <f>IF(OR($E36="",$F36=""),"",IF(AND(AS$4&lt;=$F36,AS$4+6&gt;=$E36),IF($F36-$E36&lt;=2,"◆",IF($H36="Yes","X",LEFT($D36,1))),""))</f>
        <v/>
      </c>
      <c r="AT36" s="33">
        <f>IF(OR($E36="",$F36=""),"",IF(AND(AT$4&lt;=$F36,AT$4+6&gt;=$E36),IF($F36-$E36&lt;=2,"◆",IF($H36="Yes","X",LEFT($D36,1))),""))</f>
        <v/>
      </c>
      <c r="AU36" s="33">
        <f>IF(OR($E36="",$F36=""),"",IF(AND(AU$4&lt;=$F36,AU$4+6&gt;=$E36),IF($F36-$E36&lt;=2,"◆",IF($H36="Yes","X",LEFT($D36,1))),""))</f>
        <v/>
      </c>
      <c r="AV36" s="33">
        <f>IF(OR($E36="",$F36=""),"",IF(AND(AV$4&lt;=$F36,AV$4+6&gt;=$E36),IF($F36-$E36&lt;=2,"◆",IF($H36="Yes","X",LEFT($D36,1))),""))</f>
        <v/>
      </c>
      <c r="AW36" s="33">
        <f>IF(OR($E36="",$F36=""),"",IF(AND(AW$4&lt;=$F36,AW$4+6&gt;=$E36),IF($F36-$E36&lt;=2,"◆",IF($H36="Yes","X",LEFT($D36,1))),""))</f>
        <v/>
      </c>
      <c r="AX36" s="33">
        <f>IF(OR($E36="",$F36=""),"",IF(AND(AX$4&lt;=$F36,AX$4+6&gt;=$E36),IF($F36-$E36&lt;=2,"◆",IF($H36="Yes","X",LEFT($D36,1))),""))</f>
        <v/>
      </c>
      <c r="AY36" s="33">
        <f>IF(OR($E36="",$F36=""),"",IF(AND(AY$4&lt;=$F36,AY$4+6&gt;=$E36),IF($F36-$E36&lt;=2,"◆",IF($H36="Yes","X",LEFT($D36,1))),""))</f>
        <v/>
      </c>
      <c r="AZ36" s="33">
        <f>IF(OR($E36="",$F36=""),"",IF(AND(AZ$4&lt;=$F36,AZ$4+6&gt;=$E36),IF($F36-$E36&lt;=2,"◆",IF($H36="Yes","X",LEFT($D36,1))),""))</f>
        <v/>
      </c>
      <c r="BA36" s="33">
        <f>IF(OR($E36="",$F36=""),"",IF(AND(BA$4&lt;=$F36,BA$4+6&gt;=$E36),IF($F36-$E36&lt;=2,"◆",IF($H36="Yes","X",LEFT($D36,1))),""))</f>
        <v/>
      </c>
      <c r="BB36" s="33">
        <f>IF(OR($E36="",$F36=""),"",IF(AND(BB$4&lt;=$F36,BB$4+6&gt;=$E36),IF($F36-$E36&lt;=2,"◆",IF($H36="Yes","X",LEFT($D36,1))),""))</f>
        <v/>
      </c>
      <c r="BC36" s="33">
        <f>IF(OR($E36="",$F36=""),"",IF(AND(BC$4&lt;=$F36,BC$4+6&gt;=$E36),IF($F36-$E36&lt;=2,"◆",IF($H36="Yes","X",LEFT($D36,1))),""))</f>
        <v/>
      </c>
      <c r="BD36" s="33">
        <f>IF(OR($E36="",$F36=""),"",IF(AND(BD$4&lt;=$F36,BD$4+6&gt;=$E36),IF($F36-$E36&lt;=2,"◆",IF($H36="Yes","X",LEFT($D36,1))),""))</f>
        <v/>
      </c>
      <c r="BE36" s="33">
        <f>IF(OR($E36="",$F36=""),"",IF(AND(BE$4&lt;=$F36,BE$4+6&gt;=$E36),IF($F36-$E36&lt;=2,"◆",IF($H36="Yes","X",LEFT($D36,1))),""))</f>
        <v/>
      </c>
      <c r="BF36" s="33">
        <f>IF(OR($E36="",$F36=""),"",IF(AND(BF$4&lt;=$F36,BF$4+6&gt;=$E36),IF($F36-$E36&lt;=2,"◆",IF($H36="Yes","X",LEFT($D36,1))),""))</f>
        <v/>
      </c>
      <c r="BG36" s="33">
        <f>IF(OR($E36="",$F36=""),"",IF(AND(BG$4&lt;=$F36,BG$4+6&gt;=$E36),IF($F36-$E36&lt;=2,"◆",IF($H36="Yes","X",LEFT($D36,1))),""))</f>
        <v/>
      </c>
      <c r="BH36" s="33">
        <f>IF(OR($E36="",$F36=""),"",IF(AND(BH$4&lt;=$F36,BH$4+6&gt;=$E36),IF($F36-$E36&lt;=2,"◆",IF($H36="Yes","X",LEFT($D36,1))),""))</f>
        <v/>
      </c>
      <c r="BI36" s="33">
        <f>IF(OR($E36="",$F36=""),"",IF(AND(BI$4&lt;=$F36,BI$4+6&gt;=$E36),IF($F36-$E36&lt;=2,"◆",IF($H36="Yes","X",LEFT($D36,1))),""))</f>
        <v/>
      </c>
    </row>
    <row r="37">
      <c r="A37" s="30" t="inlineStr">
        <is>
          <t>T-033</t>
        </is>
      </c>
      <c r="B37" s="30" t="inlineStr">
        <is>
          <t>Release Governance, Code Merge and Deployment Control</t>
        </is>
      </c>
      <c r="C37" s="30" t="inlineStr">
        <is>
          <t>Jawahar</t>
        </is>
      </c>
      <c r="D37" s="30" t="inlineStr">
        <is>
          <t>In Progress</t>
        </is>
      </c>
      <c r="E37" s="31" t="n">
        <v>46243</v>
      </c>
      <c r="F37" s="31" t="n">
        <v>46279</v>
      </c>
      <c r="G37" s="32" t="n">
        <v>0.22</v>
      </c>
      <c r="H37" s="30" t="inlineStr">
        <is>
          <t>No</t>
        </is>
      </c>
      <c r="I37" s="33">
        <f>IF(OR($E37="",$F37=""),"",IF(AND(I$4&lt;=$F37,I$4+6&gt;=$E37),IF($F37-$E37&lt;=2,"◆",IF($H37="Yes","X",LEFT($D37,1))),""))</f>
        <v/>
      </c>
      <c r="J37" s="33">
        <f>IF(OR($E37="",$F37=""),"",IF(AND(J$4&lt;=$F37,J$4+6&gt;=$E37),IF($F37-$E37&lt;=2,"◆",IF($H37="Yes","X",LEFT($D37,1))),""))</f>
        <v/>
      </c>
      <c r="K37" s="33">
        <f>IF(OR($E37="",$F37=""),"",IF(AND(K$4&lt;=$F37,K$4+6&gt;=$E37),IF($F37-$E37&lt;=2,"◆",IF($H37="Yes","X",LEFT($D37,1))),""))</f>
        <v/>
      </c>
      <c r="L37" s="33">
        <f>IF(OR($E37="",$F37=""),"",IF(AND(L$4&lt;=$F37,L$4+6&gt;=$E37),IF($F37-$E37&lt;=2,"◆",IF($H37="Yes","X",LEFT($D37,1))),""))</f>
        <v/>
      </c>
      <c r="M37" s="33">
        <f>IF(OR($E37="",$F37=""),"",IF(AND(M$4&lt;=$F37,M$4+6&gt;=$E37),IF($F37-$E37&lt;=2,"◆",IF($H37="Yes","X",LEFT($D37,1))),""))</f>
        <v/>
      </c>
      <c r="N37" s="33">
        <f>IF(OR($E37="",$F37=""),"",IF(AND(N$4&lt;=$F37,N$4+6&gt;=$E37),IF($F37-$E37&lt;=2,"◆",IF($H37="Yes","X",LEFT($D37,1))),""))</f>
        <v/>
      </c>
      <c r="O37" s="33">
        <f>IF(OR($E37="",$F37=""),"",IF(AND(O$4&lt;=$F37,O$4+6&gt;=$E37),IF($F37-$E37&lt;=2,"◆",IF($H37="Yes","X",LEFT($D37,1))),""))</f>
        <v/>
      </c>
      <c r="P37" s="33">
        <f>IF(OR($E37="",$F37=""),"",IF(AND(P$4&lt;=$F37,P$4+6&gt;=$E37),IF($F37-$E37&lt;=2,"◆",IF($H37="Yes","X",LEFT($D37,1))),""))</f>
        <v/>
      </c>
      <c r="Q37" s="33">
        <f>IF(OR($E37="",$F37=""),"",IF(AND(Q$4&lt;=$F37,Q$4+6&gt;=$E37),IF($F37-$E37&lt;=2,"◆",IF($H37="Yes","X",LEFT($D37,1))),""))</f>
        <v/>
      </c>
      <c r="R37" s="33">
        <f>IF(OR($E37="",$F37=""),"",IF(AND(R$4&lt;=$F37,R$4+6&gt;=$E37),IF($F37-$E37&lt;=2,"◆",IF($H37="Yes","X",LEFT($D37,1))),""))</f>
        <v/>
      </c>
      <c r="S37" s="33">
        <f>IF(OR($E37="",$F37=""),"",IF(AND(S$4&lt;=$F37,S$4+6&gt;=$E37),IF($F37-$E37&lt;=2,"◆",IF($H37="Yes","X",LEFT($D37,1))),""))</f>
        <v/>
      </c>
      <c r="T37" s="33">
        <f>IF(OR($E37="",$F37=""),"",IF(AND(T$4&lt;=$F37,T$4+6&gt;=$E37),IF($F37-$E37&lt;=2,"◆",IF($H37="Yes","X",LEFT($D37,1))),""))</f>
        <v/>
      </c>
      <c r="U37" s="33">
        <f>IF(OR($E37="",$F37=""),"",IF(AND(U$4&lt;=$F37,U$4+6&gt;=$E37),IF($F37-$E37&lt;=2,"◆",IF($H37="Yes","X",LEFT($D37,1))),""))</f>
        <v/>
      </c>
      <c r="V37" s="33">
        <f>IF(OR($E37="",$F37=""),"",IF(AND(V$4&lt;=$F37,V$4+6&gt;=$E37),IF($F37-$E37&lt;=2,"◆",IF($H37="Yes","X",LEFT($D37,1))),""))</f>
        <v/>
      </c>
      <c r="W37" s="33">
        <f>IF(OR($E37="",$F37=""),"",IF(AND(W$4&lt;=$F37,W$4+6&gt;=$E37),IF($F37-$E37&lt;=2,"◆",IF($H37="Yes","X",LEFT($D37,1))),""))</f>
        <v/>
      </c>
      <c r="X37" s="33">
        <f>IF(OR($E37="",$F37=""),"",IF(AND(X$4&lt;=$F37,X$4+6&gt;=$E37),IF($F37-$E37&lt;=2,"◆",IF($H37="Yes","X",LEFT($D37,1))),""))</f>
        <v/>
      </c>
      <c r="Y37" s="33">
        <f>IF(OR($E37="",$F37=""),"",IF(AND(Y$4&lt;=$F37,Y$4+6&gt;=$E37),IF($F37-$E37&lt;=2,"◆",IF($H37="Yes","X",LEFT($D37,1))),""))</f>
        <v/>
      </c>
      <c r="Z37" s="33">
        <f>IF(OR($E37="",$F37=""),"",IF(AND(Z$4&lt;=$F37,Z$4+6&gt;=$E37),IF($F37-$E37&lt;=2,"◆",IF($H37="Yes","X",LEFT($D37,1))),""))</f>
        <v/>
      </c>
      <c r="AA37" s="33">
        <f>IF(OR($E37="",$F37=""),"",IF(AND(AA$4&lt;=$F37,AA$4+6&gt;=$E37),IF($F37-$E37&lt;=2,"◆",IF($H37="Yes","X",LEFT($D37,1))),""))</f>
        <v/>
      </c>
      <c r="AB37" s="33">
        <f>IF(OR($E37="",$F37=""),"",IF(AND(AB$4&lt;=$F37,AB$4+6&gt;=$E37),IF($F37-$E37&lt;=2,"◆",IF($H37="Yes","X",LEFT($D37,1))),""))</f>
        <v/>
      </c>
      <c r="AC37" s="33">
        <f>IF(OR($E37="",$F37=""),"",IF(AND(AC$4&lt;=$F37,AC$4+6&gt;=$E37),IF($F37-$E37&lt;=2,"◆",IF($H37="Yes","X",LEFT($D37,1))),""))</f>
        <v/>
      </c>
      <c r="AD37" s="33">
        <f>IF(OR($E37="",$F37=""),"",IF(AND(AD$4&lt;=$F37,AD$4+6&gt;=$E37),IF($F37-$E37&lt;=2,"◆",IF($H37="Yes","X",LEFT($D37,1))),""))</f>
        <v/>
      </c>
      <c r="AE37" s="33">
        <f>IF(OR($E37="",$F37=""),"",IF(AND(AE$4&lt;=$F37,AE$4+6&gt;=$E37),IF($F37-$E37&lt;=2,"◆",IF($H37="Yes","X",LEFT($D37,1))),""))</f>
        <v/>
      </c>
      <c r="AF37" s="33">
        <f>IF(OR($E37="",$F37=""),"",IF(AND(AF$4&lt;=$F37,AF$4+6&gt;=$E37),IF($F37-$E37&lt;=2,"◆",IF($H37="Yes","X",LEFT($D37,1))),""))</f>
        <v/>
      </c>
      <c r="AG37" s="33">
        <f>IF(OR($E37="",$F37=""),"",IF(AND(AG$4&lt;=$F37,AG$4+6&gt;=$E37),IF($F37-$E37&lt;=2,"◆",IF($H37="Yes","X",LEFT($D37,1))),""))</f>
        <v/>
      </c>
      <c r="AH37" s="33">
        <f>IF(OR($E37="",$F37=""),"",IF(AND(AH$4&lt;=$F37,AH$4+6&gt;=$E37),IF($F37-$E37&lt;=2,"◆",IF($H37="Yes","X",LEFT($D37,1))),""))</f>
        <v/>
      </c>
      <c r="AI37" s="33">
        <f>IF(OR($E37="",$F37=""),"",IF(AND(AI$4&lt;=$F37,AI$4+6&gt;=$E37),IF($F37-$E37&lt;=2,"◆",IF($H37="Yes","X",LEFT($D37,1))),""))</f>
        <v/>
      </c>
      <c r="AJ37" s="33">
        <f>IF(OR($E37="",$F37=""),"",IF(AND(AJ$4&lt;=$F37,AJ$4+6&gt;=$E37),IF($F37-$E37&lt;=2,"◆",IF($H37="Yes","X",LEFT($D37,1))),""))</f>
        <v/>
      </c>
      <c r="AK37" s="33">
        <f>IF(OR($E37="",$F37=""),"",IF(AND(AK$4&lt;=$F37,AK$4+6&gt;=$E37),IF($F37-$E37&lt;=2,"◆",IF($H37="Yes","X",LEFT($D37,1))),""))</f>
        <v/>
      </c>
      <c r="AL37" s="33">
        <f>IF(OR($E37="",$F37=""),"",IF(AND(AL$4&lt;=$F37,AL$4+6&gt;=$E37),IF($F37-$E37&lt;=2,"◆",IF($H37="Yes","X",LEFT($D37,1))),""))</f>
        <v/>
      </c>
      <c r="AM37" s="33">
        <f>IF(OR($E37="",$F37=""),"",IF(AND(AM$4&lt;=$F37,AM$4+6&gt;=$E37),IF($F37-$E37&lt;=2,"◆",IF($H37="Yes","X",LEFT($D37,1))),""))</f>
        <v/>
      </c>
      <c r="AN37" s="33">
        <f>IF(OR($E37="",$F37=""),"",IF(AND(AN$4&lt;=$F37,AN$4+6&gt;=$E37),IF($F37-$E37&lt;=2,"◆",IF($H37="Yes","X",LEFT($D37,1))),""))</f>
        <v/>
      </c>
      <c r="AO37" s="33">
        <f>IF(OR($E37="",$F37=""),"",IF(AND(AO$4&lt;=$F37,AO$4+6&gt;=$E37),IF($F37-$E37&lt;=2,"◆",IF($H37="Yes","X",LEFT($D37,1))),""))</f>
        <v/>
      </c>
      <c r="AP37" s="33">
        <f>IF(OR($E37="",$F37=""),"",IF(AND(AP$4&lt;=$F37,AP$4+6&gt;=$E37),IF($F37-$E37&lt;=2,"◆",IF($H37="Yes","X",LEFT($D37,1))),""))</f>
        <v/>
      </c>
      <c r="AQ37" s="33">
        <f>IF(OR($E37="",$F37=""),"",IF(AND(AQ$4&lt;=$F37,AQ$4+6&gt;=$E37),IF($F37-$E37&lt;=2,"◆",IF($H37="Yes","X",LEFT($D37,1))),""))</f>
        <v/>
      </c>
      <c r="AR37" s="33">
        <f>IF(OR($E37="",$F37=""),"",IF(AND(AR$4&lt;=$F37,AR$4+6&gt;=$E37),IF($F37-$E37&lt;=2,"◆",IF($H37="Yes","X",LEFT($D37,1))),""))</f>
        <v/>
      </c>
      <c r="AS37" s="33">
        <f>IF(OR($E37="",$F37=""),"",IF(AND(AS$4&lt;=$F37,AS$4+6&gt;=$E37),IF($F37-$E37&lt;=2,"◆",IF($H37="Yes","X",LEFT($D37,1))),""))</f>
        <v/>
      </c>
      <c r="AT37" s="33">
        <f>IF(OR($E37="",$F37=""),"",IF(AND(AT$4&lt;=$F37,AT$4+6&gt;=$E37),IF($F37-$E37&lt;=2,"◆",IF($H37="Yes","X",LEFT($D37,1))),""))</f>
        <v/>
      </c>
      <c r="AU37" s="33">
        <f>IF(OR($E37="",$F37=""),"",IF(AND(AU$4&lt;=$F37,AU$4+6&gt;=$E37),IF($F37-$E37&lt;=2,"◆",IF($H37="Yes","X",LEFT($D37,1))),""))</f>
        <v/>
      </c>
      <c r="AV37" s="33">
        <f>IF(OR($E37="",$F37=""),"",IF(AND(AV$4&lt;=$F37,AV$4+6&gt;=$E37),IF($F37-$E37&lt;=2,"◆",IF($H37="Yes","X",LEFT($D37,1))),""))</f>
        <v/>
      </c>
      <c r="AW37" s="33">
        <f>IF(OR($E37="",$F37=""),"",IF(AND(AW$4&lt;=$F37,AW$4+6&gt;=$E37),IF($F37-$E37&lt;=2,"◆",IF($H37="Yes","X",LEFT($D37,1))),""))</f>
        <v/>
      </c>
      <c r="AX37" s="33">
        <f>IF(OR($E37="",$F37=""),"",IF(AND(AX$4&lt;=$F37,AX$4+6&gt;=$E37),IF($F37-$E37&lt;=2,"◆",IF($H37="Yes","X",LEFT($D37,1))),""))</f>
        <v/>
      </c>
      <c r="AY37" s="33">
        <f>IF(OR($E37="",$F37=""),"",IF(AND(AY$4&lt;=$F37,AY$4+6&gt;=$E37),IF($F37-$E37&lt;=2,"◆",IF($H37="Yes","X",LEFT($D37,1))),""))</f>
        <v/>
      </c>
      <c r="AZ37" s="33">
        <f>IF(OR($E37="",$F37=""),"",IF(AND(AZ$4&lt;=$F37,AZ$4+6&gt;=$E37),IF($F37-$E37&lt;=2,"◆",IF($H37="Yes","X",LEFT($D37,1))),""))</f>
        <v/>
      </c>
      <c r="BA37" s="33">
        <f>IF(OR($E37="",$F37=""),"",IF(AND(BA$4&lt;=$F37,BA$4+6&gt;=$E37),IF($F37-$E37&lt;=2,"◆",IF($H37="Yes","X",LEFT($D37,1))),""))</f>
        <v/>
      </c>
      <c r="BB37" s="33">
        <f>IF(OR($E37="",$F37=""),"",IF(AND(BB$4&lt;=$F37,BB$4+6&gt;=$E37),IF($F37-$E37&lt;=2,"◆",IF($H37="Yes","X",LEFT($D37,1))),""))</f>
        <v/>
      </c>
      <c r="BC37" s="33">
        <f>IF(OR($E37="",$F37=""),"",IF(AND(BC$4&lt;=$F37,BC$4+6&gt;=$E37),IF($F37-$E37&lt;=2,"◆",IF($H37="Yes","X",LEFT($D37,1))),""))</f>
        <v/>
      </c>
      <c r="BD37" s="33">
        <f>IF(OR($E37="",$F37=""),"",IF(AND(BD$4&lt;=$F37,BD$4+6&gt;=$E37),IF($F37-$E37&lt;=2,"◆",IF($H37="Yes","X",LEFT($D37,1))),""))</f>
        <v/>
      </c>
      <c r="BE37" s="33">
        <f>IF(OR($E37="",$F37=""),"",IF(AND(BE$4&lt;=$F37,BE$4+6&gt;=$E37),IF($F37-$E37&lt;=2,"◆",IF($H37="Yes","X",LEFT($D37,1))),""))</f>
        <v/>
      </c>
      <c r="BF37" s="33">
        <f>IF(OR($E37="",$F37=""),"",IF(AND(BF$4&lt;=$F37,BF$4+6&gt;=$E37),IF($F37-$E37&lt;=2,"◆",IF($H37="Yes","X",LEFT($D37,1))),""))</f>
        <v/>
      </c>
      <c r="BG37" s="33">
        <f>IF(OR($E37="",$F37=""),"",IF(AND(BG$4&lt;=$F37,BG$4+6&gt;=$E37),IF($F37-$E37&lt;=2,"◆",IF($H37="Yes","X",LEFT($D37,1))),""))</f>
        <v/>
      </c>
      <c r="BH37" s="33">
        <f>IF(OR($E37="",$F37=""),"",IF(AND(BH$4&lt;=$F37,BH$4+6&gt;=$E37),IF($F37-$E37&lt;=2,"◆",IF($H37="Yes","X",LEFT($D37,1))),""))</f>
        <v/>
      </c>
      <c r="BI37" s="33">
        <f>IF(OR($E37="",$F37=""),"",IF(AND(BI$4&lt;=$F37,BI$4+6&gt;=$E37),IF($F37-$E37&lt;=2,"◆",IF($H37="Yes","X",LEFT($D37,1))),""))</f>
        <v/>
      </c>
    </row>
    <row r="38">
      <c r="A38" s="30" t="inlineStr">
        <is>
          <t>T-034</t>
        </is>
      </c>
      <c r="B38" s="30" t="inlineStr">
        <is>
          <t>Achievo Mobile App Upgrades and Store Policy Compliance Updates</t>
        </is>
      </c>
      <c r="C38" s="30" t="inlineStr">
        <is>
          <t>Jawahar</t>
        </is>
      </c>
      <c r="D38" s="30" t="inlineStr">
        <is>
          <t>Not Started</t>
        </is>
      </c>
      <c r="E38" s="31" t="n">
        <v>46225</v>
      </c>
      <c r="F38" s="31" t="n">
        <v>46277</v>
      </c>
      <c r="G38" s="32" t="n">
        <v>0</v>
      </c>
      <c r="H38" s="30" t="inlineStr">
        <is>
          <t>No</t>
        </is>
      </c>
      <c r="I38" s="33">
        <f>IF(OR($E38="",$F38=""),"",IF(AND(I$4&lt;=$F38,I$4+6&gt;=$E38),IF($F38-$E38&lt;=2,"◆",IF($H38="Yes","X",LEFT($D38,1))),""))</f>
        <v/>
      </c>
      <c r="J38" s="33">
        <f>IF(OR($E38="",$F38=""),"",IF(AND(J$4&lt;=$F38,J$4+6&gt;=$E38),IF($F38-$E38&lt;=2,"◆",IF($H38="Yes","X",LEFT($D38,1))),""))</f>
        <v/>
      </c>
      <c r="K38" s="33">
        <f>IF(OR($E38="",$F38=""),"",IF(AND(K$4&lt;=$F38,K$4+6&gt;=$E38),IF($F38-$E38&lt;=2,"◆",IF($H38="Yes","X",LEFT($D38,1))),""))</f>
        <v/>
      </c>
      <c r="L38" s="33">
        <f>IF(OR($E38="",$F38=""),"",IF(AND(L$4&lt;=$F38,L$4+6&gt;=$E38),IF($F38-$E38&lt;=2,"◆",IF($H38="Yes","X",LEFT($D38,1))),""))</f>
        <v/>
      </c>
      <c r="M38" s="33">
        <f>IF(OR($E38="",$F38=""),"",IF(AND(M$4&lt;=$F38,M$4+6&gt;=$E38),IF($F38-$E38&lt;=2,"◆",IF($H38="Yes","X",LEFT($D38,1))),""))</f>
        <v/>
      </c>
      <c r="N38" s="33">
        <f>IF(OR($E38="",$F38=""),"",IF(AND(N$4&lt;=$F38,N$4+6&gt;=$E38),IF($F38-$E38&lt;=2,"◆",IF($H38="Yes","X",LEFT($D38,1))),""))</f>
        <v/>
      </c>
      <c r="O38" s="33">
        <f>IF(OR($E38="",$F38=""),"",IF(AND(O$4&lt;=$F38,O$4+6&gt;=$E38),IF($F38-$E38&lt;=2,"◆",IF($H38="Yes","X",LEFT($D38,1))),""))</f>
        <v/>
      </c>
      <c r="P38" s="33">
        <f>IF(OR($E38="",$F38=""),"",IF(AND(P$4&lt;=$F38,P$4+6&gt;=$E38),IF($F38-$E38&lt;=2,"◆",IF($H38="Yes","X",LEFT($D38,1))),""))</f>
        <v/>
      </c>
      <c r="Q38" s="33">
        <f>IF(OR($E38="",$F38=""),"",IF(AND(Q$4&lt;=$F38,Q$4+6&gt;=$E38),IF($F38-$E38&lt;=2,"◆",IF($H38="Yes","X",LEFT($D38,1))),""))</f>
        <v/>
      </c>
      <c r="R38" s="33">
        <f>IF(OR($E38="",$F38=""),"",IF(AND(R$4&lt;=$F38,R$4+6&gt;=$E38),IF($F38-$E38&lt;=2,"◆",IF($H38="Yes","X",LEFT($D38,1))),""))</f>
        <v/>
      </c>
      <c r="S38" s="33">
        <f>IF(OR($E38="",$F38=""),"",IF(AND(S$4&lt;=$F38,S$4+6&gt;=$E38),IF($F38-$E38&lt;=2,"◆",IF($H38="Yes","X",LEFT($D38,1))),""))</f>
        <v/>
      </c>
      <c r="T38" s="33">
        <f>IF(OR($E38="",$F38=""),"",IF(AND(T$4&lt;=$F38,T$4+6&gt;=$E38),IF($F38-$E38&lt;=2,"◆",IF($H38="Yes","X",LEFT($D38,1))),""))</f>
        <v/>
      </c>
      <c r="U38" s="33">
        <f>IF(OR($E38="",$F38=""),"",IF(AND(U$4&lt;=$F38,U$4+6&gt;=$E38),IF($F38-$E38&lt;=2,"◆",IF($H38="Yes","X",LEFT($D38,1))),""))</f>
        <v/>
      </c>
      <c r="V38" s="33">
        <f>IF(OR($E38="",$F38=""),"",IF(AND(V$4&lt;=$F38,V$4+6&gt;=$E38),IF($F38-$E38&lt;=2,"◆",IF($H38="Yes","X",LEFT($D38,1))),""))</f>
        <v/>
      </c>
      <c r="W38" s="33">
        <f>IF(OR($E38="",$F38=""),"",IF(AND(W$4&lt;=$F38,W$4+6&gt;=$E38),IF($F38-$E38&lt;=2,"◆",IF($H38="Yes","X",LEFT($D38,1))),""))</f>
        <v/>
      </c>
      <c r="X38" s="33">
        <f>IF(OR($E38="",$F38=""),"",IF(AND(X$4&lt;=$F38,X$4+6&gt;=$E38),IF($F38-$E38&lt;=2,"◆",IF($H38="Yes","X",LEFT($D38,1))),""))</f>
        <v/>
      </c>
      <c r="Y38" s="33">
        <f>IF(OR($E38="",$F38=""),"",IF(AND(Y$4&lt;=$F38,Y$4+6&gt;=$E38),IF($F38-$E38&lt;=2,"◆",IF($H38="Yes","X",LEFT($D38,1))),""))</f>
        <v/>
      </c>
      <c r="Z38" s="33">
        <f>IF(OR($E38="",$F38=""),"",IF(AND(Z$4&lt;=$F38,Z$4+6&gt;=$E38),IF($F38-$E38&lt;=2,"◆",IF($H38="Yes","X",LEFT($D38,1))),""))</f>
        <v/>
      </c>
      <c r="AA38" s="33">
        <f>IF(OR($E38="",$F38=""),"",IF(AND(AA$4&lt;=$F38,AA$4+6&gt;=$E38),IF($F38-$E38&lt;=2,"◆",IF($H38="Yes","X",LEFT($D38,1))),""))</f>
        <v/>
      </c>
      <c r="AB38" s="33">
        <f>IF(OR($E38="",$F38=""),"",IF(AND(AB$4&lt;=$F38,AB$4+6&gt;=$E38),IF($F38-$E38&lt;=2,"◆",IF($H38="Yes","X",LEFT($D38,1))),""))</f>
        <v/>
      </c>
      <c r="AC38" s="33">
        <f>IF(OR($E38="",$F38=""),"",IF(AND(AC$4&lt;=$F38,AC$4+6&gt;=$E38),IF($F38-$E38&lt;=2,"◆",IF($H38="Yes","X",LEFT($D38,1))),""))</f>
        <v/>
      </c>
      <c r="AD38" s="33">
        <f>IF(OR($E38="",$F38=""),"",IF(AND(AD$4&lt;=$F38,AD$4+6&gt;=$E38),IF($F38-$E38&lt;=2,"◆",IF($H38="Yes","X",LEFT($D38,1))),""))</f>
        <v/>
      </c>
      <c r="AE38" s="33">
        <f>IF(OR($E38="",$F38=""),"",IF(AND(AE$4&lt;=$F38,AE$4+6&gt;=$E38),IF($F38-$E38&lt;=2,"◆",IF($H38="Yes","X",LEFT($D38,1))),""))</f>
        <v/>
      </c>
      <c r="AF38" s="33">
        <f>IF(OR($E38="",$F38=""),"",IF(AND(AF$4&lt;=$F38,AF$4+6&gt;=$E38),IF($F38-$E38&lt;=2,"◆",IF($H38="Yes","X",LEFT($D38,1))),""))</f>
        <v/>
      </c>
      <c r="AG38" s="33">
        <f>IF(OR($E38="",$F38=""),"",IF(AND(AG$4&lt;=$F38,AG$4+6&gt;=$E38),IF($F38-$E38&lt;=2,"◆",IF($H38="Yes","X",LEFT($D38,1))),""))</f>
        <v/>
      </c>
      <c r="AH38" s="33">
        <f>IF(OR($E38="",$F38=""),"",IF(AND(AH$4&lt;=$F38,AH$4+6&gt;=$E38),IF($F38-$E38&lt;=2,"◆",IF($H38="Yes","X",LEFT($D38,1))),""))</f>
        <v/>
      </c>
      <c r="AI38" s="33">
        <f>IF(OR($E38="",$F38=""),"",IF(AND(AI$4&lt;=$F38,AI$4+6&gt;=$E38),IF($F38-$E38&lt;=2,"◆",IF($H38="Yes","X",LEFT($D38,1))),""))</f>
        <v/>
      </c>
      <c r="AJ38" s="33">
        <f>IF(OR($E38="",$F38=""),"",IF(AND(AJ$4&lt;=$F38,AJ$4+6&gt;=$E38),IF($F38-$E38&lt;=2,"◆",IF($H38="Yes","X",LEFT($D38,1))),""))</f>
        <v/>
      </c>
      <c r="AK38" s="33">
        <f>IF(OR($E38="",$F38=""),"",IF(AND(AK$4&lt;=$F38,AK$4+6&gt;=$E38),IF($F38-$E38&lt;=2,"◆",IF($H38="Yes","X",LEFT($D38,1))),""))</f>
        <v/>
      </c>
      <c r="AL38" s="33">
        <f>IF(OR($E38="",$F38=""),"",IF(AND(AL$4&lt;=$F38,AL$4+6&gt;=$E38),IF($F38-$E38&lt;=2,"◆",IF($H38="Yes","X",LEFT($D38,1))),""))</f>
        <v/>
      </c>
      <c r="AM38" s="33">
        <f>IF(OR($E38="",$F38=""),"",IF(AND(AM$4&lt;=$F38,AM$4+6&gt;=$E38),IF($F38-$E38&lt;=2,"◆",IF($H38="Yes","X",LEFT($D38,1))),""))</f>
        <v/>
      </c>
      <c r="AN38" s="33">
        <f>IF(OR($E38="",$F38=""),"",IF(AND(AN$4&lt;=$F38,AN$4+6&gt;=$E38),IF($F38-$E38&lt;=2,"◆",IF($H38="Yes","X",LEFT($D38,1))),""))</f>
        <v/>
      </c>
      <c r="AO38" s="33">
        <f>IF(OR($E38="",$F38=""),"",IF(AND(AO$4&lt;=$F38,AO$4+6&gt;=$E38),IF($F38-$E38&lt;=2,"◆",IF($H38="Yes","X",LEFT($D38,1))),""))</f>
        <v/>
      </c>
      <c r="AP38" s="33">
        <f>IF(OR($E38="",$F38=""),"",IF(AND(AP$4&lt;=$F38,AP$4+6&gt;=$E38),IF($F38-$E38&lt;=2,"◆",IF($H38="Yes","X",LEFT($D38,1))),""))</f>
        <v/>
      </c>
      <c r="AQ38" s="33">
        <f>IF(OR($E38="",$F38=""),"",IF(AND(AQ$4&lt;=$F38,AQ$4+6&gt;=$E38),IF($F38-$E38&lt;=2,"◆",IF($H38="Yes","X",LEFT($D38,1))),""))</f>
        <v/>
      </c>
      <c r="AR38" s="33">
        <f>IF(OR($E38="",$F38=""),"",IF(AND(AR$4&lt;=$F38,AR$4+6&gt;=$E38),IF($F38-$E38&lt;=2,"◆",IF($H38="Yes","X",LEFT($D38,1))),""))</f>
        <v/>
      </c>
      <c r="AS38" s="33">
        <f>IF(OR($E38="",$F38=""),"",IF(AND(AS$4&lt;=$F38,AS$4+6&gt;=$E38),IF($F38-$E38&lt;=2,"◆",IF($H38="Yes","X",LEFT($D38,1))),""))</f>
        <v/>
      </c>
      <c r="AT38" s="33">
        <f>IF(OR($E38="",$F38=""),"",IF(AND(AT$4&lt;=$F38,AT$4+6&gt;=$E38),IF($F38-$E38&lt;=2,"◆",IF($H38="Yes","X",LEFT($D38,1))),""))</f>
        <v/>
      </c>
      <c r="AU38" s="33">
        <f>IF(OR($E38="",$F38=""),"",IF(AND(AU$4&lt;=$F38,AU$4+6&gt;=$E38),IF($F38-$E38&lt;=2,"◆",IF($H38="Yes","X",LEFT($D38,1))),""))</f>
        <v/>
      </c>
      <c r="AV38" s="33">
        <f>IF(OR($E38="",$F38=""),"",IF(AND(AV$4&lt;=$F38,AV$4+6&gt;=$E38),IF($F38-$E38&lt;=2,"◆",IF($H38="Yes","X",LEFT($D38,1))),""))</f>
        <v/>
      </c>
      <c r="AW38" s="33">
        <f>IF(OR($E38="",$F38=""),"",IF(AND(AW$4&lt;=$F38,AW$4+6&gt;=$E38),IF($F38-$E38&lt;=2,"◆",IF($H38="Yes","X",LEFT($D38,1))),""))</f>
        <v/>
      </c>
      <c r="AX38" s="33">
        <f>IF(OR($E38="",$F38=""),"",IF(AND(AX$4&lt;=$F38,AX$4+6&gt;=$E38),IF($F38-$E38&lt;=2,"◆",IF($H38="Yes","X",LEFT($D38,1))),""))</f>
        <v/>
      </c>
      <c r="AY38" s="33">
        <f>IF(OR($E38="",$F38=""),"",IF(AND(AY$4&lt;=$F38,AY$4+6&gt;=$E38),IF($F38-$E38&lt;=2,"◆",IF($H38="Yes","X",LEFT($D38,1))),""))</f>
        <v/>
      </c>
      <c r="AZ38" s="33">
        <f>IF(OR($E38="",$F38=""),"",IF(AND(AZ$4&lt;=$F38,AZ$4+6&gt;=$E38),IF($F38-$E38&lt;=2,"◆",IF($H38="Yes","X",LEFT($D38,1))),""))</f>
        <v/>
      </c>
      <c r="BA38" s="33">
        <f>IF(OR($E38="",$F38=""),"",IF(AND(BA$4&lt;=$F38,BA$4+6&gt;=$E38),IF($F38-$E38&lt;=2,"◆",IF($H38="Yes","X",LEFT($D38,1))),""))</f>
        <v/>
      </c>
      <c r="BB38" s="33">
        <f>IF(OR($E38="",$F38=""),"",IF(AND(BB$4&lt;=$F38,BB$4+6&gt;=$E38),IF($F38-$E38&lt;=2,"◆",IF($H38="Yes","X",LEFT($D38,1))),""))</f>
        <v/>
      </c>
      <c r="BC38" s="33">
        <f>IF(OR($E38="",$F38=""),"",IF(AND(BC$4&lt;=$F38,BC$4+6&gt;=$E38),IF($F38-$E38&lt;=2,"◆",IF($H38="Yes","X",LEFT($D38,1))),""))</f>
        <v/>
      </c>
      <c r="BD38" s="33">
        <f>IF(OR($E38="",$F38=""),"",IF(AND(BD$4&lt;=$F38,BD$4+6&gt;=$E38),IF($F38-$E38&lt;=2,"◆",IF($H38="Yes","X",LEFT($D38,1))),""))</f>
        <v/>
      </c>
      <c r="BE38" s="33">
        <f>IF(OR($E38="",$F38=""),"",IF(AND(BE$4&lt;=$F38,BE$4+6&gt;=$E38),IF($F38-$E38&lt;=2,"◆",IF($H38="Yes","X",LEFT($D38,1))),""))</f>
        <v/>
      </c>
      <c r="BF38" s="33">
        <f>IF(OR($E38="",$F38=""),"",IF(AND(BF$4&lt;=$F38,BF$4+6&gt;=$E38),IF($F38-$E38&lt;=2,"◆",IF($H38="Yes","X",LEFT($D38,1))),""))</f>
        <v/>
      </c>
      <c r="BG38" s="33">
        <f>IF(OR($E38="",$F38=""),"",IF(AND(BG$4&lt;=$F38,BG$4+6&gt;=$E38),IF($F38-$E38&lt;=2,"◆",IF($H38="Yes","X",LEFT($D38,1))),""))</f>
        <v/>
      </c>
      <c r="BH38" s="33">
        <f>IF(OR($E38="",$F38=""),"",IF(AND(BH$4&lt;=$F38,BH$4+6&gt;=$E38),IF($F38-$E38&lt;=2,"◆",IF($H38="Yes","X",LEFT($D38,1))),""))</f>
        <v/>
      </c>
      <c r="BI38" s="33">
        <f>IF(OR($E38="",$F38=""),"",IF(AND(BI$4&lt;=$F38,BI$4+6&gt;=$E38),IF($F38-$E38&lt;=2,"◆",IF($H38="Yes","X",LEFT($D38,1))),""))</f>
        <v/>
      </c>
    </row>
    <row r="39">
      <c r="A39" s="30" t="inlineStr">
        <is>
          <t>T-035</t>
        </is>
      </c>
      <c r="B39" s="30" t="inlineStr">
        <is>
          <t>Next.js 16.x LTS Upgrade for Admin Console and Platform Web Apps</t>
        </is>
      </c>
      <c r="C39" s="30" t="inlineStr">
        <is>
          <t>Jawahar</t>
        </is>
      </c>
      <c r="D39" s="30" t="inlineStr">
        <is>
          <t>Not Started</t>
        </is>
      </c>
      <c r="E39" s="31" t="n">
        <v>46256</v>
      </c>
      <c r="F39" s="31" t="n">
        <v>46292</v>
      </c>
      <c r="G39" s="32" t="n">
        <v>0</v>
      </c>
      <c r="H39" s="30" t="inlineStr">
        <is>
          <t>No</t>
        </is>
      </c>
      <c r="I39" s="33">
        <f>IF(OR($E39="",$F39=""),"",IF(AND(I$4&lt;=$F39,I$4+6&gt;=$E39),IF($F39-$E39&lt;=2,"◆",IF($H39="Yes","X",LEFT($D39,1))),""))</f>
        <v/>
      </c>
      <c r="J39" s="33">
        <f>IF(OR($E39="",$F39=""),"",IF(AND(J$4&lt;=$F39,J$4+6&gt;=$E39),IF($F39-$E39&lt;=2,"◆",IF($H39="Yes","X",LEFT($D39,1))),""))</f>
        <v/>
      </c>
      <c r="K39" s="33">
        <f>IF(OR($E39="",$F39=""),"",IF(AND(K$4&lt;=$F39,K$4+6&gt;=$E39),IF($F39-$E39&lt;=2,"◆",IF($H39="Yes","X",LEFT($D39,1))),""))</f>
        <v/>
      </c>
      <c r="L39" s="33">
        <f>IF(OR($E39="",$F39=""),"",IF(AND(L$4&lt;=$F39,L$4+6&gt;=$E39),IF($F39-$E39&lt;=2,"◆",IF($H39="Yes","X",LEFT($D39,1))),""))</f>
        <v/>
      </c>
      <c r="M39" s="33">
        <f>IF(OR($E39="",$F39=""),"",IF(AND(M$4&lt;=$F39,M$4+6&gt;=$E39),IF($F39-$E39&lt;=2,"◆",IF($H39="Yes","X",LEFT($D39,1))),""))</f>
        <v/>
      </c>
      <c r="N39" s="33">
        <f>IF(OR($E39="",$F39=""),"",IF(AND(N$4&lt;=$F39,N$4+6&gt;=$E39),IF($F39-$E39&lt;=2,"◆",IF($H39="Yes","X",LEFT($D39,1))),""))</f>
        <v/>
      </c>
      <c r="O39" s="33">
        <f>IF(OR($E39="",$F39=""),"",IF(AND(O$4&lt;=$F39,O$4+6&gt;=$E39),IF($F39-$E39&lt;=2,"◆",IF($H39="Yes","X",LEFT($D39,1))),""))</f>
        <v/>
      </c>
      <c r="P39" s="33">
        <f>IF(OR($E39="",$F39=""),"",IF(AND(P$4&lt;=$F39,P$4+6&gt;=$E39),IF($F39-$E39&lt;=2,"◆",IF($H39="Yes","X",LEFT($D39,1))),""))</f>
        <v/>
      </c>
      <c r="Q39" s="33">
        <f>IF(OR($E39="",$F39=""),"",IF(AND(Q$4&lt;=$F39,Q$4+6&gt;=$E39),IF($F39-$E39&lt;=2,"◆",IF($H39="Yes","X",LEFT($D39,1))),""))</f>
        <v/>
      </c>
      <c r="R39" s="33">
        <f>IF(OR($E39="",$F39=""),"",IF(AND(R$4&lt;=$F39,R$4+6&gt;=$E39),IF($F39-$E39&lt;=2,"◆",IF($H39="Yes","X",LEFT($D39,1))),""))</f>
        <v/>
      </c>
      <c r="S39" s="33">
        <f>IF(OR($E39="",$F39=""),"",IF(AND(S$4&lt;=$F39,S$4+6&gt;=$E39),IF($F39-$E39&lt;=2,"◆",IF($H39="Yes","X",LEFT($D39,1))),""))</f>
        <v/>
      </c>
      <c r="T39" s="33">
        <f>IF(OR($E39="",$F39=""),"",IF(AND(T$4&lt;=$F39,T$4+6&gt;=$E39),IF($F39-$E39&lt;=2,"◆",IF($H39="Yes","X",LEFT($D39,1))),""))</f>
        <v/>
      </c>
      <c r="U39" s="33">
        <f>IF(OR($E39="",$F39=""),"",IF(AND(U$4&lt;=$F39,U$4+6&gt;=$E39),IF($F39-$E39&lt;=2,"◆",IF($H39="Yes","X",LEFT($D39,1))),""))</f>
        <v/>
      </c>
      <c r="V39" s="33">
        <f>IF(OR($E39="",$F39=""),"",IF(AND(V$4&lt;=$F39,V$4+6&gt;=$E39),IF($F39-$E39&lt;=2,"◆",IF($H39="Yes","X",LEFT($D39,1))),""))</f>
        <v/>
      </c>
      <c r="W39" s="33">
        <f>IF(OR($E39="",$F39=""),"",IF(AND(W$4&lt;=$F39,W$4+6&gt;=$E39),IF($F39-$E39&lt;=2,"◆",IF($H39="Yes","X",LEFT($D39,1))),""))</f>
        <v/>
      </c>
      <c r="X39" s="33">
        <f>IF(OR($E39="",$F39=""),"",IF(AND(X$4&lt;=$F39,X$4+6&gt;=$E39),IF($F39-$E39&lt;=2,"◆",IF($H39="Yes","X",LEFT($D39,1))),""))</f>
        <v/>
      </c>
      <c r="Y39" s="33">
        <f>IF(OR($E39="",$F39=""),"",IF(AND(Y$4&lt;=$F39,Y$4+6&gt;=$E39),IF($F39-$E39&lt;=2,"◆",IF($H39="Yes","X",LEFT($D39,1))),""))</f>
        <v/>
      </c>
      <c r="Z39" s="33">
        <f>IF(OR($E39="",$F39=""),"",IF(AND(Z$4&lt;=$F39,Z$4+6&gt;=$E39),IF($F39-$E39&lt;=2,"◆",IF($H39="Yes","X",LEFT($D39,1))),""))</f>
        <v/>
      </c>
      <c r="AA39" s="33">
        <f>IF(OR($E39="",$F39=""),"",IF(AND(AA$4&lt;=$F39,AA$4+6&gt;=$E39),IF($F39-$E39&lt;=2,"◆",IF($H39="Yes","X",LEFT($D39,1))),""))</f>
        <v/>
      </c>
      <c r="AB39" s="33">
        <f>IF(OR($E39="",$F39=""),"",IF(AND(AB$4&lt;=$F39,AB$4+6&gt;=$E39),IF($F39-$E39&lt;=2,"◆",IF($H39="Yes","X",LEFT($D39,1))),""))</f>
        <v/>
      </c>
      <c r="AC39" s="33">
        <f>IF(OR($E39="",$F39=""),"",IF(AND(AC$4&lt;=$F39,AC$4+6&gt;=$E39),IF($F39-$E39&lt;=2,"◆",IF($H39="Yes","X",LEFT($D39,1))),""))</f>
        <v/>
      </c>
      <c r="AD39" s="33">
        <f>IF(OR($E39="",$F39=""),"",IF(AND(AD$4&lt;=$F39,AD$4+6&gt;=$E39),IF($F39-$E39&lt;=2,"◆",IF($H39="Yes","X",LEFT($D39,1))),""))</f>
        <v/>
      </c>
      <c r="AE39" s="33">
        <f>IF(OR($E39="",$F39=""),"",IF(AND(AE$4&lt;=$F39,AE$4+6&gt;=$E39),IF($F39-$E39&lt;=2,"◆",IF($H39="Yes","X",LEFT($D39,1))),""))</f>
        <v/>
      </c>
      <c r="AF39" s="33">
        <f>IF(OR($E39="",$F39=""),"",IF(AND(AF$4&lt;=$F39,AF$4+6&gt;=$E39),IF($F39-$E39&lt;=2,"◆",IF($H39="Yes","X",LEFT($D39,1))),""))</f>
        <v/>
      </c>
      <c r="AG39" s="33">
        <f>IF(OR($E39="",$F39=""),"",IF(AND(AG$4&lt;=$F39,AG$4+6&gt;=$E39),IF($F39-$E39&lt;=2,"◆",IF($H39="Yes","X",LEFT($D39,1))),""))</f>
        <v/>
      </c>
      <c r="AH39" s="33">
        <f>IF(OR($E39="",$F39=""),"",IF(AND(AH$4&lt;=$F39,AH$4+6&gt;=$E39),IF($F39-$E39&lt;=2,"◆",IF($H39="Yes","X",LEFT($D39,1))),""))</f>
        <v/>
      </c>
      <c r="AI39" s="33">
        <f>IF(OR($E39="",$F39=""),"",IF(AND(AI$4&lt;=$F39,AI$4+6&gt;=$E39),IF($F39-$E39&lt;=2,"◆",IF($H39="Yes","X",LEFT($D39,1))),""))</f>
        <v/>
      </c>
      <c r="AJ39" s="33">
        <f>IF(OR($E39="",$F39=""),"",IF(AND(AJ$4&lt;=$F39,AJ$4+6&gt;=$E39),IF($F39-$E39&lt;=2,"◆",IF($H39="Yes","X",LEFT($D39,1))),""))</f>
        <v/>
      </c>
      <c r="AK39" s="33">
        <f>IF(OR($E39="",$F39=""),"",IF(AND(AK$4&lt;=$F39,AK$4+6&gt;=$E39),IF($F39-$E39&lt;=2,"◆",IF($H39="Yes","X",LEFT($D39,1))),""))</f>
        <v/>
      </c>
      <c r="AL39" s="33">
        <f>IF(OR($E39="",$F39=""),"",IF(AND(AL$4&lt;=$F39,AL$4+6&gt;=$E39),IF($F39-$E39&lt;=2,"◆",IF($H39="Yes","X",LEFT($D39,1))),""))</f>
        <v/>
      </c>
      <c r="AM39" s="33">
        <f>IF(OR($E39="",$F39=""),"",IF(AND(AM$4&lt;=$F39,AM$4+6&gt;=$E39),IF($F39-$E39&lt;=2,"◆",IF($H39="Yes","X",LEFT($D39,1))),""))</f>
        <v/>
      </c>
      <c r="AN39" s="33">
        <f>IF(OR($E39="",$F39=""),"",IF(AND(AN$4&lt;=$F39,AN$4+6&gt;=$E39),IF($F39-$E39&lt;=2,"◆",IF($H39="Yes","X",LEFT($D39,1))),""))</f>
        <v/>
      </c>
      <c r="AO39" s="33">
        <f>IF(OR($E39="",$F39=""),"",IF(AND(AO$4&lt;=$F39,AO$4+6&gt;=$E39),IF($F39-$E39&lt;=2,"◆",IF($H39="Yes","X",LEFT($D39,1))),""))</f>
        <v/>
      </c>
      <c r="AP39" s="33">
        <f>IF(OR($E39="",$F39=""),"",IF(AND(AP$4&lt;=$F39,AP$4+6&gt;=$E39),IF($F39-$E39&lt;=2,"◆",IF($H39="Yes","X",LEFT($D39,1))),""))</f>
        <v/>
      </c>
      <c r="AQ39" s="33">
        <f>IF(OR($E39="",$F39=""),"",IF(AND(AQ$4&lt;=$F39,AQ$4+6&gt;=$E39),IF($F39-$E39&lt;=2,"◆",IF($H39="Yes","X",LEFT($D39,1))),""))</f>
        <v/>
      </c>
      <c r="AR39" s="33">
        <f>IF(OR($E39="",$F39=""),"",IF(AND(AR$4&lt;=$F39,AR$4+6&gt;=$E39),IF($F39-$E39&lt;=2,"◆",IF($H39="Yes","X",LEFT($D39,1))),""))</f>
        <v/>
      </c>
      <c r="AS39" s="33">
        <f>IF(OR($E39="",$F39=""),"",IF(AND(AS$4&lt;=$F39,AS$4+6&gt;=$E39),IF($F39-$E39&lt;=2,"◆",IF($H39="Yes","X",LEFT($D39,1))),""))</f>
        <v/>
      </c>
      <c r="AT39" s="33">
        <f>IF(OR($E39="",$F39=""),"",IF(AND(AT$4&lt;=$F39,AT$4+6&gt;=$E39),IF($F39-$E39&lt;=2,"◆",IF($H39="Yes","X",LEFT($D39,1))),""))</f>
        <v/>
      </c>
      <c r="AU39" s="33">
        <f>IF(OR($E39="",$F39=""),"",IF(AND(AU$4&lt;=$F39,AU$4+6&gt;=$E39),IF($F39-$E39&lt;=2,"◆",IF($H39="Yes","X",LEFT($D39,1))),""))</f>
        <v/>
      </c>
      <c r="AV39" s="33">
        <f>IF(OR($E39="",$F39=""),"",IF(AND(AV$4&lt;=$F39,AV$4+6&gt;=$E39),IF($F39-$E39&lt;=2,"◆",IF($H39="Yes","X",LEFT($D39,1))),""))</f>
        <v/>
      </c>
      <c r="AW39" s="33">
        <f>IF(OR($E39="",$F39=""),"",IF(AND(AW$4&lt;=$F39,AW$4+6&gt;=$E39),IF($F39-$E39&lt;=2,"◆",IF($H39="Yes","X",LEFT($D39,1))),""))</f>
        <v/>
      </c>
      <c r="AX39" s="33">
        <f>IF(OR($E39="",$F39=""),"",IF(AND(AX$4&lt;=$F39,AX$4+6&gt;=$E39),IF($F39-$E39&lt;=2,"◆",IF($H39="Yes","X",LEFT($D39,1))),""))</f>
        <v/>
      </c>
      <c r="AY39" s="33">
        <f>IF(OR($E39="",$F39=""),"",IF(AND(AY$4&lt;=$F39,AY$4+6&gt;=$E39),IF($F39-$E39&lt;=2,"◆",IF($H39="Yes","X",LEFT($D39,1))),""))</f>
        <v/>
      </c>
      <c r="AZ39" s="33">
        <f>IF(OR($E39="",$F39=""),"",IF(AND(AZ$4&lt;=$F39,AZ$4+6&gt;=$E39),IF($F39-$E39&lt;=2,"◆",IF($H39="Yes","X",LEFT($D39,1))),""))</f>
        <v/>
      </c>
      <c r="BA39" s="33">
        <f>IF(OR($E39="",$F39=""),"",IF(AND(BA$4&lt;=$F39,BA$4+6&gt;=$E39),IF($F39-$E39&lt;=2,"◆",IF($H39="Yes","X",LEFT($D39,1))),""))</f>
        <v/>
      </c>
      <c r="BB39" s="33">
        <f>IF(OR($E39="",$F39=""),"",IF(AND(BB$4&lt;=$F39,BB$4+6&gt;=$E39),IF($F39-$E39&lt;=2,"◆",IF($H39="Yes","X",LEFT($D39,1))),""))</f>
        <v/>
      </c>
      <c r="BC39" s="33">
        <f>IF(OR($E39="",$F39=""),"",IF(AND(BC$4&lt;=$F39,BC$4+6&gt;=$E39),IF($F39-$E39&lt;=2,"◆",IF($H39="Yes","X",LEFT($D39,1))),""))</f>
        <v/>
      </c>
      <c r="BD39" s="33">
        <f>IF(OR($E39="",$F39=""),"",IF(AND(BD$4&lt;=$F39,BD$4+6&gt;=$E39),IF($F39-$E39&lt;=2,"◆",IF($H39="Yes","X",LEFT($D39,1))),""))</f>
        <v/>
      </c>
      <c r="BE39" s="33">
        <f>IF(OR($E39="",$F39=""),"",IF(AND(BE$4&lt;=$F39,BE$4+6&gt;=$E39),IF($F39-$E39&lt;=2,"◆",IF($H39="Yes","X",LEFT($D39,1))),""))</f>
        <v/>
      </c>
      <c r="BF39" s="33">
        <f>IF(OR($E39="",$F39=""),"",IF(AND(BF$4&lt;=$F39,BF$4+6&gt;=$E39),IF($F39-$E39&lt;=2,"◆",IF($H39="Yes","X",LEFT($D39,1))),""))</f>
        <v/>
      </c>
      <c r="BG39" s="33">
        <f>IF(OR($E39="",$F39=""),"",IF(AND(BG$4&lt;=$F39,BG$4+6&gt;=$E39),IF($F39-$E39&lt;=2,"◆",IF($H39="Yes","X",LEFT($D39,1))),""))</f>
        <v/>
      </c>
      <c r="BH39" s="33">
        <f>IF(OR($E39="",$F39=""),"",IF(AND(BH$4&lt;=$F39,BH$4+6&gt;=$E39),IF($F39-$E39&lt;=2,"◆",IF($H39="Yes","X",LEFT($D39,1))),""))</f>
        <v/>
      </c>
      <c r="BI39" s="33">
        <f>IF(OR($E39="",$F39=""),"",IF(AND(BI$4&lt;=$F39,BI$4+6&gt;=$E39),IF($F39-$E39&lt;=2,"◆",IF($H39="Yes","X",LEFT($D39,1))),""))</f>
        <v/>
      </c>
    </row>
    <row r="40">
      <c r="A40" s="30" t="inlineStr">
        <is>
          <t>T-036</t>
        </is>
      </c>
      <c r="B40" s="30" t="inlineStr">
        <is>
          <t>Scalable File Upload Processing Enhancement</t>
        </is>
      </c>
      <c r="C40" s="30" t="inlineStr">
        <is>
          <t>MJ</t>
        </is>
      </c>
      <c r="D40" s="30" t="inlineStr">
        <is>
          <t>Not Started</t>
        </is>
      </c>
      <c r="E40" s="31" t="n">
        <v>46226</v>
      </c>
      <c r="F40" s="31" t="n">
        <v>46255</v>
      </c>
      <c r="G40" s="32" t="n">
        <v>0</v>
      </c>
      <c r="H40" s="30" t="inlineStr">
        <is>
          <t>No</t>
        </is>
      </c>
      <c r="I40" s="33">
        <f>IF(OR($E40="",$F40=""),"",IF(AND(I$4&lt;=$F40,I$4+6&gt;=$E40),IF($F40-$E40&lt;=2,"◆",IF($H40="Yes","X",LEFT($D40,1))),""))</f>
        <v/>
      </c>
      <c r="J40" s="33">
        <f>IF(OR($E40="",$F40=""),"",IF(AND(J$4&lt;=$F40,J$4+6&gt;=$E40),IF($F40-$E40&lt;=2,"◆",IF($H40="Yes","X",LEFT($D40,1))),""))</f>
        <v/>
      </c>
      <c r="K40" s="33">
        <f>IF(OR($E40="",$F40=""),"",IF(AND(K$4&lt;=$F40,K$4+6&gt;=$E40),IF($F40-$E40&lt;=2,"◆",IF($H40="Yes","X",LEFT($D40,1))),""))</f>
        <v/>
      </c>
      <c r="L40" s="33">
        <f>IF(OR($E40="",$F40=""),"",IF(AND(L$4&lt;=$F40,L$4+6&gt;=$E40),IF($F40-$E40&lt;=2,"◆",IF($H40="Yes","X",LEFT($D40,1))),""))</f>
        <v/>
      </c>
      <c r="M40" s="33">
        <f>IF(OR($E40="",$F40=""),"",IF(AND(M$4&lt;=$F40,M$4+6&gt;=$E40),IF($F40-$E40&lt;=2,"◆",IF($H40="Yes","X",LEFT($D40,1))),""))</f>
        <v/>
      </c>
      <c r="N40" s="33">
        <f>IF(OR($E40="",$F40=""),"",IF(AND(N$4&lt;=$F40,N$4+6&gt;=$E40),IF($F40-$E40&lt;=2,"◆",IF($H40="Yes","X",LEFT($D40,1))),""))</f>
        <v/>
      </c>
      <c r="O40" s="33">
        <f>IF(OR($E40="",$F40=""),"",IF(AND(O$4&lt;=$F40,O$4+6&gt;=$E40),IF($F40-$E40&lt;=2,"◆",IF($H40="Yes","X",LEFT($D40,1))),""))</f>
        <v/>
      </c>
      <c r="P40" s="33">
        <f>IF(OR($E40="",$F40=""),"",IF(AND(P$4&lt;=$F40,P$4+6&gt;=$E40),IF($F40-$E40&lt;=2,"◆",IF($H40="Yes","X",LEFT($D40,1))),""))</f>
        <v/>
      </c>
      <c r="Q40" s="33">
        <f>IF(OR($E40="",$F40=""),"",IF(AND(Q$4&lt;=$F40,Q$4+6&gt;=$E40),IF($F40-$E40&lt;=2,"◆",IF($H40="Yes","X",LEFT($D40,1))),""))</f>
        <v/>
      </c>
      <c r="R40" s="33">
        <f>IF(OR($E40="",$F40=""),"",IF(AND(R$4&lt;=$F40,R$4+6&gt;=$E40),IF($F40-$E40&lt;=2,"◆",IF($H40="Yes","X",LEFT($D40,1))),""))</f>
        <v/>
      </c>
      <c r="S40" s="33">
        <f>IF(OR($E40="",$F40=""),"",IF(AND(S$4&lt;=$F40,S$4+6&gt;=$E40),IF($F40-$E40&lt;=2,"◆",IF($H40="Yes","X",LEFT($D40,1))),""))</f>
        <v/>
      </c>
      <c r="T40" s="33">
        <f>IF(OR($E40="",$F40=""),"",IF(AND(T$4&lt;=$F40,T$4+6&gt;=$E40),IF($F40-$E40&lt;=2,"◆",IF($H40="Yes","X",LEFT($D40,1))),""))</f>
        <v/>
      </c>
      <c r="U40" s="33">
        <f>IF(OR($E40="",$F40=""),"",IF(AND(U$4&lt;=$F40,U$4+6&gt;=$E40),IF($F40-$E40&lt;=2,"◆",IF($H40="Yes","X",LEFT($D40,1))),""))</f>
        <v/>
      </c>
      <c r="V40" s="33">
        <f>IF(OR($E40="",$F40=""),"",IF(AND(V$4&lt;=$F40,V$4+6&gt;=$E40),IF($F40-$E40&lt;=2,"◆",IF($H40="Yes","X",LEFT($D40,1))),""))</f>
        <v/>
      </c>
      <c r="W40" s="33">
        <f>IF(OR($E40="",$F40=""),"",IF(AND(W$4&lt;=$F40,W$4+6&gt;=$E40),IF($F40-$E40&lt;=2,"◆",IF($H40="Yes","X",LEFT($D40,1))),""))</f>
        <v/>
      </c>
      <c r="X40" s="33">
        <f>IF(OR($E40="",$F40=""),"",IF(AND(X$4&lt;=$F40,X$4+6&gt;=$E40),IF($F40-$E40&lt;=2,"◆",IF($H40="Yes","X",LEFT($D40,1))),""))</f>
        <v/>
      </c>
      <c r="Y40" s="33">
        <f>IF(OR($E40="",$F40=""),"",IF(AND(Y$4&lt;=$F40,Y$4+6&gt;=$E40),IF($F40-$E40&lt;=2,"◆",IF($H40="Yes","X",LEFT($D40,1))),""))</f>
        <v/>
      </c>
      <c r="Z40" s="33">
        <f>IF(OR($E40="",$F40=""),"",IF(AND(Z$4&lt;=$F40,Z$4+6&gt;=$E40),IF($F40-$E40&lt;=2,"◆",IF($H40="Yes","X",LEFT($D40,1))),""))</f>
        <v/>
      </c>
      <c r="AA40" s="33">
        <f>IF(OR($E40="",$F40=""),"",IF(AND(AA$4&lt;=$F40,AA$4+6&gt;=$E40),IF($F40-$E40&lt;=2,"◆",IF($H40="Yes","X",LEFT($D40,1))),""))</f>
        <v/>
      </c>
      <c r="AB40" s="33">
        <f>IF(OR($E40="",$F40=""),"",IF(AND(AB$4&lt;=$F40,AB$4+6&gt;=$E40),IF($F40-$E40&lt;=2,"◆",IF($H40="Yes","X",LEFT($D40,1))),""))</f>
        <v/>
      </c>
      <c r="AC40" s="33">
        <f>IF(OR($E40="",$F40=""),"",IF(AND(AC$4&lt;=$F40,AC$4+6&gt;=$E40),IF($F40-$E40&lt;=2,"◆",IF($H40="Yes","X",LEFT($D40,1))),""))</f>
        <v/>
      </c>
      <c r="AD40" s="33">
        <f>IF(OR($E40="",$F40=""),"",IF(AND(AD$4&lt;=$F40,AD$4+6&gt;=$E40),IF($F40-$E40&lt;=2,"◆",IF($H40="Yes","X",LEFT($D40,1))),""))</f>
        <v/>
      </c>
      <c r="AE40" s="33">
        <f>IF(OR($E40="",$F40=""),"",IF(AND(AE$4&lt;=$F40,AE$4+6&gt;=$E40),IF($F40-$E40&lt;=2,"◆",IF($H40="Yes","X",LEFT($D40,1))),""))</f>
        <v/>
      </c>
      <c r="AF40" s="33">
        <f>IF(OR($E40="",$F40=""),"",IF(AND(AF$4&lt;=$F40,AF$4+6&gt;=$E40),IF($F40-$E40&lt;=2,"◆",IF($H40="Yes","X",LEFT($D40,1))),""))</f>
        <v/>
      </c>
      <c r="AG40" s="33">
        <f>IF(OR($E40="",$F40=""),"",IF(AND(AG$4&lt;=$F40,AG$4+6&gt;=$E40),IF($F40-$E40&lt;=2,"◆",IF($H40="Yes","X",LEFT($D40,1))),""))</f>
        <v/>
      </c>
      <c r="AH40" s="33">
        <f>IF(OR($E40="",$F40=""),"",IF(AND(AH$4&lt;=$F40,AH$4+6&gt;=$E40),IF($F40-$E40&lt;=2,"◆",IF($H40="Yes","X",LEFT($D40,1))),""))</f>
        <v/>
      </c>
      <c r="AI40" s="33">
        <f>IF(OR($E40="",$F40=""),"",IF(AND(AI$4&lt;=$F40,AI$4+6&gt;=$E40),IF($F40-$E40&lt;=2,"◆",IF($H40="Yes","X",LEFT($D40,1))),""))</f>
        <v/>
      </c>
      <c r="AJ40" s="33">
        <f>IF(OR($E40="",$F40=""),"",IF(AND(AJ$4&lt;=$F40,AJ$4+6&gt;=$E40),IF($F40-$E40&lt;=2,"◆",IF($H40="Yes","X",LEFT($D40,1))),""))</f>
        <v/>
      </c>
      <c r="AK40" s="33">
        <f>IF(OR($E40="",$F40=""),"",IF(AND(AK$4&lt;=$F40,AK$4+6&gt;=$E40),IF($F40-$E40&lt;=2,"◆",IF($H40="Yes","X",LEFT($D40,1))),""))</f>
        <v/>
      </c>
      <c r="AL40" s="33">
        <f>IF(OR($E40="",$F40=""),"",IF(AND(AL$4&lt;=$F40,AL$4+6&gt;=$E40),IF($F40-$E40&lt;=2,"◆",IF($H40="Yes","X",LEFT($D40,1))),""))</f>
        <v/>
      </c>
      <c r="AM40" s="33">
        <f>IF(OR($E40="",$F40=""),"",IF(AND(AM$4&lt;=$F40,AM$4+6&gt;=$E40),IF($F40-$E40&lt;=2,"◆",IF($H40="Yes","X",LEFT($D40,1))),""))</f>
        <v/>
      </c>
      <c r="AN40" s="33">
        <f>IF(OR($E40="",$F40=""),"",IF(AND(AN$4&lt;=$F40,AN$4+6&gt;=$E40),IF($F40-$E40&lt;=2,"◆",IF($H40="Yes","X",LEFT($D40,1))),""))</f>
        <v/>
      </c>
      <c r="AO40" s="33">
        <f>IF(OR($E40="",$F40=""),"",IF(AND(AO$4&lt;=$F40,AO$4+6&gt;=$E40),IF($F40-$E40&lt;=2,"◆",IF($H40="Yes","X",LEFT($D40,1))),""))</f>
        <v/>
      </c>
      <c r="AP40" s="33">
        <f>IF(OR($E40="",$F40=""),"",IF(AND(AP$4&lt;=$F40,AP$4+6&gt;=$E40),IF($F40-$E40&lt;=2,"◆",IF($H40="Yes","X",LEFT($D40,1))),""))</f>
        <v/>
      </c>
      <c r="AQ40" s="33">
        <f>IF(OR($E40="",$F40=""),"",IF(AND(AQ$4&lt;=$F40,AQ$4+6&gt;=$E40),IF($F40-$E40&lt;=2,"◆",IF($H40="Yes","X",LEFT($D40,1))),""))</f>
        <v/>
      </c>
      <c r="AR40" s="33">
        <f>IF(OR($E40="",$F40=""),"",IF(AND(AR$4&lt;=$F40,AR$4+6&gt;=$E40),IF($F40-$E40&lt;=2,"◆",IF($H40="Yes","X",LEFT($D40,1))),""))</f>
        <v/>
      </c>
      <c r="AS40" s="33">
        <f>IF(OR($E40="",$F40=""),"",IF(AND(AS$4&lt;=$F40,AS$4+6&gt;=$E40),IF($F40-$E40&lt;=2,"◆",IF($H40="Yes","X",LEFT($D40,1))),""))</f>
        <v/>
      </c>
      <c r="AT40" s="33">
        <f>IF(OR($E40="",$F40=""),"",IF(AND(AT$4&lt;=$F40,AT$4+6&gt;=$E40),IF($F40-$E40&lt;=2,"◆",IF($H40="Yes","X",LEFT($D40,1))),""))</f>
        <v/>
      </c>
      <c r="AU40" s="33">
        <f>IF(OR($E40="",$F40=""),"",IF(AND(AU$4&lt;=$F40,AU$4+6&gt;=$E40),IF($F40-$E40&lt;=2,"◆",IF($H40="Yes","X",LEFT($D40,1))),""))</f>
        <v/>
      </c>
      <c r="AV40" s="33">
        <f>IF(OR($E40="",$F40=""),"",IF(AND(AV$4&lt;=$F40,AV$4+6&gt;=$E40),IF($F40-$E40&lt;=2,"◆",IF($H40="Yes","X",LEFT($D40,1))),""))</f>
        <v/>
      </c>
      <c r="AW40" s="33">
        <f>IF(OR($E40="",$F40=""),"",IF(AND(AW$4&lt;=$F40,AW$4+6&gt;=$E40),IF($F40-$E40&lt;=2,"◆",IF($H40="Yes","X",LEFT($D40,1))),""))</f>
        <v/>
      </c>
      <c r="AX40" s="33">
        <f>IF(OR($E40="",$F40=""),"",IF(AND(AX$4&lt;=$F40,AX$4+6&gt;=$E40),IF($F40-$E40&lt;=2,"◆",IF($H40="Yes","X",LEFT($D40,1))),""))</f>
        <v/>
      </c>
      <c r="AY40" s="33">
        <f>IF(OR($E40="",$F40=""),"",IF(AND(AY$4&lt;=$F40,AY$4+6&gt;=$E40),IF($F40-$E40&lt;=2,"◆",IF($H40="Yes","X",LEFT($D40,1))),""))</f>
        <v/>
      </c>
      <c r="AZ40" s="33">
        <f>IF(OR($E40="",$F40=""),"",IF(AND(AZ$4&lt;=$F40,AZ$4+6&gt;=$E40),IF($F40-$E40&lt;=2,"◆",IF($H40="Yes","X",LEFT($D40,1))),""))</f>
        <v/>
      </c>
      <c r="BA40" s="33">
        <f>IF(OR($E40="",$F40=""),"",IF(AND(BA$4&lt;=$F40,BA$4+6&gt;=$E40),IF($F40-$E40&lt;=2,"◆",IF($H40="Yes","X",LEFT($D40,1))),""))</f>
        <v/>
      </c>
      <c r="BB40" s="33">
        <f>IF(OR($E40="",$F40=""),"",IF(AND(BB$4&lt;=$F40,BB$4+6&gt;=$E40),IF($F40-$E40&lt;=2,"◆",IF($H40="Yes","X",LEFT($D40,1))),""))</f>
        <v/>
      </c>
      <c r="BC40" s="33">
        <f>IF(OR($E40="",$F40=""),"",IF(AND(BC$4&lt;=$F40,BC$4+6&gt;=$E40),IF($F40-$E40&lt;=2,"◆",IF($H40="Yes","X",LEFT($D40,1))),""))</f>
        <v/>
      </c>
      <c r="BD40" s="33">
        <f>IF(OR($E40="",$F40=""),"",IF(AND(BD$4&lt;=$F40,BD$4+6&gt;=$E40),IF($F40-$E40&lt;=2,"◆",IF($H40="Yes","X",LEFT($D40,1))),""))</f>
        <v/>
      </c>
      <c r="BE40" s="33">
        <f>IF(OR($E40="",$F40=""),"",IF(AND(BE$4&lt;=$F40,BE$4+6&gt;=$E40),IF($F40-$E40&lt;=2,"◆",IF($H40="Yes","X",LEFT($D40,1))),""))</f>
        <v/>
      </c>
      <c r="BF40" s="33">
        <f>IF(OR($E40="",$F40=""),"",IF(AND(BF$4&lt;=$F40,BF$4+6&gt;=$E40),IF($F40-$E40&lt;=2,"◆",IF($H40="Yes","X",LEFT($D40,1))),""))</f>
        <v/>
      </c>
      <c r="BG40" s="33">
        <f>IF(OR($E40="",$F40=""),"",IF(AND(BG$4&lt;=$F40,BG$4+6&gt;=$E40),IF($F40-$E40&lt;=2,"◆",IF($H40="Yes","X",LEFT($D40,1))),""))</f>
        <v/>
      </c>
      <c r="BH40" s="33">
        <f>IF(OR($E40="",$F40=""),"",IF(AND(BH$4&lt;=$F40,BH$4+6&gt;=$E40),IF($F40-$E40&lt;=2,"◆",IF($H40="Yes","X",LEFT($D40,1))),""))</f>
        <v/>
      </c>
      <c r="BI40" s="33">
        <f>IF(OR($E40="",$F40=""),"",IF(AND(BI$4&lt;=$F40,BI$4+6&gt;=$E40),IF($F40-$E40&lt;=2,"◆",IF($H40="Yes","X",LEFT($D40,1))),""))</f>
        <v/>
      </c>
    </row>
    <row r="41">
      <c r="A41" s="30" t="inlineStr">
        <is>
          <t>T-037</t>
        </is>
      </c>
      <c r="B41" s="30" t="inlineStr">
        <is>
          <t>AWS Secrets Manager Enforcement for Service Credentials</t>
        </is>
      </c>
      <c r="C41" s="30" t="inlineStr">
        <is>
          <t>MJ</t>
        </is>
      </c>
      <c r="D41" s="30" t="inlineStr">
        <is>
          <t>In Progress</t>
        </is>
      </c>
      <c r="E41" s="31" t="n">
        <v>46209</v>
      </c>
      <c r="F41" s="31" t="n">
        <v>46235</v>
      </c>
      <c r="G41" s="32" t="n">
        <v>0.42</v>
      </c>
      <c r="H41" s="30" t="inlineStr">
        <is>
          <t>Yes</t>
        </is>
      </c>
      <c r="I41" s="33">
        <f>IF(OR($E41="",$F41=""),"",IF(AND(I$4&lt;=$F41,I$4+6&gt;=$E41),IF($F41-$E41&lt;=2,"◆",IF($H41="Yes","X",LEFT($D41,1))),""))</f>
        <v/>
      </c>
      <c r="J41" s="33">
        <f>IF(OR($E41="",$F41=""),"",IF(AND(J$4&lt;=$F41,J$4+6&gt;=$E41),IF($F41-$E41&lt;=2,"◆",IF($H41="Yes","X",LEFT($D41,1))),""))</f>
        <v/>
      </c>
      <c r="K41" s="33">
        <f>IF(OR($E41="",$F41=""),"",IF(AND(K$4&lt;=$F41,K$4+6&gt;=$E41),IF($F41-$E41&lt;=2,"◆",IF($H41="Yes","X",LEFT($D41,1))),""))</f>
        <v/>
      </c>
      <c r="L41" s="33">
        <f>IF(OR($E41="",$F41=""),"",IF(AND(L$4&lt;=$F41,L$4+6&gt;=$E41),IF($F41-$E41&lt;=2,"◆",IF($H41="Yes","X",LEFT($D41,1))),""))</f>
        <v/>
      </c>
      <c r="M41" s="33">
        <f>IF(OR($E41="",$F41=""),"",IF(AND(M$4&lt;=$F41,M$4+6&gt;=$E41),IF($F41-$E41&lt;=2,"◆",IF($H41="Yes","X",LEFT($D41,1))),""))</f>
        <v/>
      </c>
      <c r="N41" s="33">
        <f>IF(OR($E41="",$F41=""),"",IF(AND(N$4&lt;=$F41,N$4+6&gt;=$E41),IF($F41-$E41&lt;=2,"◆",IF($H41="Yes","X",LEFT($D41,1))),""))</f>
        <v/>
      </c>
      <c r="O41" s="33">
        <f>IF(OR($E41="",$F41=""),"",IF(AND(O$4&lt;=$F41,O$4+6&gt;=$E41),IF($F41-$E41&lt;=2,"◆",IF($H41="Yes","X",LEFT($D41,1))),""))</f>
        <v/>
      </c>
      <c r="P41" s="33">
        <f>IF(OR($E41="",$F41=""),"",IF(AND(P$4&lt;=$F41,P$4+6&gt;=$E41),IF($F41-$E41&lt;=2,"◆",IF($H41="Yes","X",LEFT($D41,1))),""))</f>
        <v/>
      </c>
      <c r="Q41" s="33">
        <f>IF(OR($E41="",$F41=""),"",IF(AND(Q$4&lt;=$F41,Q$4+6&gt;=$E41),IF($F41-$E41&lt;=2,"◆",IF($H41="Yes","X",LEFT($D41,1))),""))</f>
        <v/>
      </c>
      <c r="R41" s="33">
        <f>IF(OR($E41="",$F41=""),"",IF(AND(R$4&lt;=$F41,R$4+6&gt;=$E41),IF($F41-$E41&lt;=2,"◆",IF($H41="Yes","X",LEFT($D41,1))),""))</f>
        <v/>
      </c>
      <c r="S41" s="33">
        <f>IF(OR($E41="",$F41=""),"",IF(AND(S$4&lt;=$F41,S$4+6&gt;=$E41),IF($F41-$E41&lt;=2,"◆",IF($H41="Yes","X",LEFT($D41,1))),""))</f>
        <v/>
      </c>
      <c r="T41" s="33">
        <f>IF(OR($E41="",$F41=""),"",IF(AND(T$4&lt;=$F41,T$4+6&gt;=$E41),IF($F41-$E41&lt;=2,"◆",IF($H41="Yes","X",LEFT($D41,1))),""))</f>
        <v/>
      </c>
      <c r="U41" s="33">
        <f>IF(OR($E41="",$F41=""),"",IF(AND(U$4&lt;=$F41,U$4+6&gt;=$E41),IF($F41-$E41&lt;=2,"◆",IF($H41="Yes","X",LEFT($D41,1))),""))</f>
        <v/>
      </c>
      <c r="V41" s="33">
        <f>IF(OR($E41="",$F41=""),"",IF(AND(V$4&lt;=$F41,V$4+6&gt;=$E41),IF($F41-$E41&lt;=2,"◆",IF($H41="Yes","X",LEFT($D41,1))),""))</f>
        <v/>
      </c>
      <c r="W41" s="33">
        <f>IF(OR($E41="",$F41=""),"",IF(AND(W$4&lt;=$F41,W$4+6&gt;=$E41),IF($F41-$E41&lt;=2,"◆",IF($H41="Yes","X",LEFT($D41,1))),""))</f>
        <v/>
      </c>
      <c r="X41" s="33">
        <f>IF(OR($E41="",$F41=""),"",IF(AND(X$4&lt;=$F41,X$4+6&gt;=$E41),IF($F41-$E41&lt;=2,"◆",IF($H41="Yes","X",LEFT($D41,1))),""))</f>
        <v/>
      </c>
      <c r="Y41" s="33">
        <f>IF(OR($E41="",$F41=""),"",IF(AND(Y$4&lt;=$F41,Y$4+6&gt;=$E41),IF($F41-$E41&lt;=2,"◆",IF($H41="Yes","X",LEFT($D41,1))),""))</f>
        <v/>
      </c>
      <c r="Z41" s="33">
        <f>IF(OR($E41="",$F41=""),"",IF(AND(Z$4&lt;=$F41,Z$4+6&gt;=$E41),IF($F41-$E41&lt;=2,"◆",IF($H41="Yes","X",LEFT($D41,1))),""))</f>
        <v/>
      </c>
      <c r="AA41" s="33">
        <f>IF(OR($E41="",$F41=""),"",IF(AND(AA$4&lt;=$F41,AA$4+6&gt;=$E41),IF($F41-$E41&lt;=2,"◆",IF($H41="Yes","X",LEFT($D41,1))),""))</f>
        <v/>
      </c>
      <c r="AB41" s="33">
        <f>IF(OR($E41="",$F41=""),"",IF(AND(AB$4&lt;=$F41,AB$4+6&gt;=$E41),IF($F41-$E41&lt;=2,"◆",IF($H41="Yes","X",LEFT($D41,1))),""))</f>
        <v/>
      </c>
      <c r="AC41" s="33">
        <f>IF(OR($E41="",$F41=""),"",IF(AND(AC$4&lt;=$F41,AC$4+6&gt;=$E41),IF($F41-$E41&lt;=2,"◆",IF($H41="Yes","X",LEFT($D41,1))),""))</f>
        <v/>
      </c>
      <c r="AD41" s="33">
        <f>IF(OR($E41="",$F41=""),"",IF(AND(AD$4&lt;=$F41,AD$4+6&gt;=$E41),IF($F41-$E41&lt;=2,"◆",IF($H41="Yes","X",LEFT($D41,1))),""))</f>
        <v/>
      </c>
      <c r="AE41" s="33">
        <f>IF(OR($E41="",$F41=""),"",IF(AND(AE$4&lt;=$F41,AE$4+6&gt;=$E41),IF($F41-$E41&lt;=2,"◆",IF($H41="Yes","X",LEFT($D41,1))),""))</f>
        <v/>
      </c>
      <c r="AF41" s="33">
        <f>IF(OR($E41="",$F41=""),"",IF(AND(AF$4&lt;=$F41,AF$4+6&gt;=$E41),IF($F41-$E41&lt;=2,"◆",IF($H41="Yes","X",LEFT($D41,1))),""))</f>
        <v/>
      </c>
      <c r="AG41" s="33">
        <f>IF(OR($E41="",$F41=""),"",IF(AND(AG$4&lt;=$F41,AG$4+6&gt;=$E41),IF($F41-$E41&lt;=2,"◆",IF($H41="Yes","X",LEFT($D41,1))),""))</f>
        <v/>
      </c>
      <c r="AH41" s="33">
        <f>IF(OR($E41="",$F41=""),"",IF(AND(AH$4&lt;=$F41,AH$4+6&gt;=$E41),IF($F41-$E41&lt;=2,"◆",IF($H41="Yes","X",LEFT($D41,1))),""))</f>
        <v/>
      </c>
      <c r="AI41" s="33">
        <f>IF(OR($E41="",$F41=""),"",IF(AND(AI$4&lt;=$F41,AI$4+6&gt;=$E41),IF($F41-$E41&lt;=2,"◆",IF($H41="Yes","X",LEFT($D41,1))),""))</f>
        <v/>
      </c>
      <c r="AJ41" s="33">
        <f>IF(OR($E41="",$F41=""),"",IF(AND(AJ$4&lt;=$F41,AJ$4+6&gt;=$E41),IF($F41-$E41&lt;=2,"◆",IF($H41="Yes","X",LEFT($D41,1))),""))</f>
        <v/>
      </c>
      <c r="AK41" s="33">
        <f>IF(OR($E41="",$F41=""),"",IF(AND(AK$4&lt;=$F41,AK$4+6&gt;=$E41),IF($F41-$E41&lt;=2,"◆",IF($H41="Yes","X",LEFT($D41,1))),""))</f>
        <v/>
      </c>
      <c r="AL41" s="33">
        <f>IF(OR($E41="",$F41=""),"",IF(AND(AL$4&lt;=$F41,AL$4+6&gt;=$E41),IF($F41-$E41&lt;=2,"◆",IF($H41="Yes","X",LEFT($D41,1))),""))</f>
        <v/>
      </c>
      <c r="AM41" s="33">
        <f>IF(OR($E41="",$F41=""),"",IF(AND(AM$4&lt;=$F41,AM$4+6&gt;=$E41),IF($F41-$E41&lt;=2,"◆",IF($H41="Yes","X",LEFT($D41,1))),""))</f>
        <v/>
      </c>
      <c r="AN41" s="33">
        <f>IF(OR($E41="",$F41=""),"",IF(AND(AN$4&lt;=$F41,AN$4+6&gt;=$E41),IF($F41-$E41&lt;=2,"◆",IF($H41="Yes","X",LEFT($D41,1))),""))</f>
        <v/>
      </c>
      <c r="AO41" s="33">
        <f>IF(OR($E41="",$F41=""),"",IF(AND(AO$4&lt;=$F41,AO$4+6&gt;=$E41),IF($F41-$E41&lt;=2,"◆",IF($H41="Yes","X",LEFT($D41,1))),""))</f>
        <v/>
      </c>
      <c r="AP41" s="33">
        <f>IF(OR($E41="",$F41=""),"",IF(AND(AP$4&lt;=$F41,AP$4+6&gt;=$E41),IF($F41-$E41&lt;=2,"◆",IF($H41="Yes","X",LEFT($D41,1))),""))</f>
        <v/>
      </c>
      <c r="AQ41" s="33">
        <f>IF(OR($E41="",$F41=""),"",IF(AND(AQ$4&lt;=$F41,AQ$4+6&gt;=$E41),IF($F41-$E41&lt;=2,"◆",IF($H41="Yes","X",LEFT($D41,1))),""))</f>
        <v/>
      </c>
      <c r="AR41" s="33">
        <f>IF(OR($E41="",$F41=""),"",IF(AND(AR$4&lt;=$F41,AR$4+6&gt;=$E41),IF($F41-$E41&lt;=2,"◆",IF($H41="Yes","X",LEFT($D41,1))),""))</f>
        <v/>
      </c>
      <c r="AS41" s="33">
        <f>IF(OR($E41="",$F41=""),"",IF(AND(AS$4&lt;=$F41,AS$4+6&gt;=$E41),IF($F41-$E41&lt;=2,"◆",IF($H41="Yes","X",LEFT($D41,1))),""))</f>
        <v/>
      </c>
      <c r="AT41" s="33">
        <f>IF(OR($E41="",$F41=""),"",IF(AND(AT$4&lt;=$F41,AT$4+6&gt;=$E41),IF($F41-$E41&lt;=2,"◆",IF($H41="Yes","X",LEFT($D41,1))),""))</f>
        <v/>
      </c>
      <c r="AU41" s="33">
        <f>IF(OR($E41="",$F41=""),"",IF(AND(AU$4&lt;=$F41,AU$4+6&gt;=$E41),IF($F41-$E41&lt;=2,"◆",IF($H41="Yes","X",LEFT($D41,1))),""))</f>
        <v/>
      </c>
      <c r="AV41" s="33">
        <f>IF(OR($E41="",$F41=""),"",IF(AND(AV$4&lt;=$F41,AV$4+6&gt;=$E41),IF($F41-$E41&lt;=2,"◆",IF($H41="Yes","X",LEFT($D41,1))),""))</f>
        <v/>
      </c>
      <c r="AW41" s="33">
        <f>IF(OR($E41="",$F41=""),"",IF(AND(AW$4&lt;=$F41,AW$4+6&gt;=$E41),IF($F41-$E41&lt;=2,"◆",IF($H41="Yes","X",LEFT($D41,1))),""))</f>
        <v/>
      </c>
      <c r="AX41" s="33">
        <f>IF(OR($E41="",$F41=""),"",IF(AND(AX$4&lt;=$F41,AX$4+6&gt;=$E41),IF($F41-$E41&lt;=2,"◆",IF($H41="Yes","X",LEFT($D41,1))),""))</f>
        <v/>
      </c>
      <c r="AY41" s="33">
        <f>IF(OR($E41="",$F41=""),"",IF(AND(AY$4&lt;=$F41,AY$4+6&gt;=$E41),IF($F41-$E41&lt;=2,"◆",IF($H41="Yes","X",LEFT($D41,1))),""))</f>
        <v/>
      </c>
      <c r="AZ41" s="33">
        <f>IF(OR($E41="",$F41=""),"",IF(AND(AZ$4&lt;=$F41,AZ$4+6&gt;=$E41),IF($F41-$E41&lt;=2,"◆",IF($H41="Yes","X",LEFT($D41,1))),""))</f>
        <v/>
      </c>
      <c r="BA41" s="33">
        <f>IF(OR($E41="",$F41=""),"",IF(AND(BA$4&lt;=$F41,BA$4+6&gt;=$E41),IF($F41-$E41&lt;=2,"◆",IF($H41="Yes","X",LEFT($D41,1))),""))</f>
        <v/>
      </c>
      <c r="BB41" s="33">
        <f>IF(OR($E41="",$F41=""),"",IF(AND(BB$4&lt;=$F41,BB$4+6&gt;=$E41),IF($F41-$E41&lt;=2,"◆",IF($H41="Yes","X",LEFT($D41,1))),""))</f>
        <v/>
      </c>
      <c r="BC41" s="33">
        <f>IF(OR($E41="",$F41=""),"",IF(AND(BC$4&lt;=$F41,BC$4+6&gt;=$E41),IF($F41-$E41&lt;=2,"◆",IF($H41="Yes","X",LEFT($D41,1))),""))</f>
        <v/>
      </c>
      <c r="BD41" s="33">
        <f>IF(OR($E41="",$F41=""),"",IF(AND(BD$4&lt;=$F41,BD$4+6&gt;=$E41),IF($F41-$E41&lt;=2,"◆",IF($H41="Yes","X",LEFT($D41,1))),""))</f>
        <v/>
      </c>
      <c r="BE41" s="33">
        <f>IF(OR($E41="",$F41=""),"",IF(AND(BE$4&lt;=$F41,BE$4+6&gt;=$E41),IF($F41-$E41&lt;=2,"◆",IF($H41="Yes","X",LEFT($D41,1))),""))</f>
        <v/>
      </c>
      <c r="BF41" s="33">
        <f>IF(OR($E41="",$F41=""),"",IF(AND(BF$4&lt;=$F41,BF$4+6&gt;=$E41),IF($F41-$E41&lt;=2,"◆",IF($H41="Yes","X",LEFT($D41,1))),""))</f>
        <v/>
      </c>
      <c r="BG41" s="33">
        <f>IF(OR($E41="",$F41=""),"",IF(AND(BG$4&lt;=$F41,BG$4+6&gt;=$E41),IF($F41-$E41&lt;=2,"◆",IF($H41="Yes","X",LEFT($D41,1))),""))</f>
        <v/>
      </c>
      <c r="BH41" s="33">
        <f>IF(OR($E41="",$F41=""),"",IF(AND(BH$4&lt;=$F41,BH$4+6&gt;=$E41),IF($F41-$E41&lt;=2,"◆",IF($H41="Yes","X",LEFT($D41,1))),""))</f>
        <v/>
      </c>
      <c r="BI41" s="33">
        <f>IF(OR($E41="",$F41=""),"",IF(AND(BI$4&lt;=$F41,BI$4+6&gt;=$E41),IF($F41-$E41&lt;=2,"◆",IF($H41="Yes","X",LEFT($D41,1))),""))</f>
        <v/>
      </c>
    </row>
    <row r="42">
      <c r="A42" s="30" t="inlineStr">
        <is>
          <t>T-038</t>
        </is>
      </c>
      <c r="B42" s="30" t="inlineStr">
        <is>
          <t>SAST Vulnerability Fixes Based on GitLab Security Findings</t>
        </is>
      </c>
      <c r="C42" s="30" t="inlineStr">
        <is>
          <t>Jawahar</t>
        </is>
      </c>
      <c r="D42" s="30" t="inlineStr">
        <is>
          <t>In Progress</t>
        </is>
      </c>
      <c r="E42" s="31" t="n">
        <v>46233</v>
      </c>
      <c r="F42" s="31" t="n">
        <v>46252</v>
      </c>
      <c r="G42" s="32" t="n">
        <v>0.29</v>
      </c>
      <c r="H42" s="30" t="inlineStr">
        <is>
          <t>Yes</t>
        </is>
      </c>
      <c r="I42" s="33">
        <f>IF(OR($E42="",$F42=""),"",IF(AND(I$4&lt;=$F42,I$4+6&gt;=$E42),IF($F42-$E42&lt;=2,"◆",IF($H42="Yes","X",LEFT($D42,1))),""))</f>
        <v/>
      </c>
      <c r="J42" s="33">
        <f>IF(OR($E42="",$F42=""),"",IF(AND(J$4&lt;=$F42,J$4+6&gt;=$E42),IF($F42-$E42&lt;=2,"◆",IF($H42="Yes","X",LEFT($D42,1))),""))</f>
        <v/>
      </c>
      <c r="K42" s="33">
        <f>IF(OR($E42="",$F42=""),"",IF(AND(K$4&lt;=$F42,K$4+6&gt;=$E42),IF($F42-$E42&lt;=2,"◆",IF($H42="Yes","X",LEFT($D42,1))),""))</f>
        <v/>
      </c>
      <c r="L42" s="33">
        <f>IF(OR($E42="",$F42=""),"",IF(AND(L$4&lt;=$F42,L$4+6&gt;=$E42),IF($F42-$E42&lt;=2,"◆",IF($H42="Yes","X",LEFT($D42,1))),""))</f>
        <v/>
      </c>
      <c r="M42" s="33">
        <f>IF(OR($E42="",$F42=""),"",IF(AND(M$4&lt;=$F42,M$4+6&gt;=$E42),IF($F42-$E42&lt;=2,"◆",IF($H42="Yes","X",LEFT($D42,1))),""))</f>
        <v/>
      </c>
      <c r="N42" s="33">
        <f>IF(OR($E42="",$F42=""),"",IF(AND(N$4&lt;=$F42,N$4+6&gt;=$E42),IF($F42-$E42&lt;=2,"◆",IF($H42="Yes","X",LEFT($D42,1))),""))</f>
        <v/>
      </c>
      <c r="O42" s="33">
        <f>IF(OR($E42="",$F42=""),"",IF(AND(O$4&lt;=$F42,O$4+6&gt;=$E42),IF($F42-$E42&lt;=2,"◆",IF($H42="Yes","X",LEFT($D42,1))),""))</f>
        <v/>
      </c>
      <c r="P42" s="33">
        <f>IF(OR($E42="",$F42=""),"",IF(AND(P$4&lt;=$F42,P$4+6&gt;=$E42),IF($F42-$E42&lt;=2,"◆",IF($H42="Yes","X",LEFT($D42,1))),""))</f>
        <v/>
      </c>
      <c r="Q42" s="33">
        <f>IF(OR($E42="",$F42=""),"",IF(AND(Q$4&lt;=$F42,Q$4+6&gt;=$E42),IF($F42-$E42&lt;=2,"◆",IF($H42="Yes","X",LEFT($D42,1))),""))</f>
        <v/>
      </c>
      <c r="R42" s="33">
        <f>IF(OR($E42="",$F42=""),"",IF(AND(R$4&lt;=$F42,R$4+6&gt;=$E42),IF($F42-$E42&lt;=2,"◆",IF($H42="Yes","X",LEFT($D42,1))),""))</f>
        <v/>
      </c>
      <c r="S42" s="33">
        <f>IF(OR($E42="",$F42=""),"",IF(AND(S$4&lt;=$F42,S$4+6&gt;=$E42),IF($F42-$E42&lt;=2,"◆",IF($H42="Yes","X",LEFT($D42,1))),""))</f>
        <v/>
      </c>
      <c r="T42" s="33">
        <f>IF(OR($E42="",$F42=""),"",IF(AND(T$4&lt;=$F42,T$4+6&gt;=$E42),IF($F42-$E42&lt;=2,"◆",IF($H42="Yes","X",LEFT($D42,1))),""))</f>
        <v/>
      </c>
      <c r="U42" s="33">
        <f>IF(OR($E42="",$F42=""),"",IF(AND(U$4&lt;=$F42,U$4+6&gt;=$E42),IF($F42-$E42&lt;=2,"◆",IF($H42="Yes","X",LEFT($D42,1))),""))</f>
        <v/>
      </c>
      <c r="V42" s="33">
        <f>IF(OR($E42="",$F42=""),"",IF(AND(V$4&lt;=$F42,V$4+6&gt;=$E42),IF($F42-$E42&lt;=2,"◆",IF($H42="Yes","X",LEFT($D42,1))),""))</f>
        <v/>
      </c>
      <c r="W42" s="33">
        <f>IF(OR($E42="",$F42=""),"",IF(AND(W$4&lt;=$F42,W$4+6&gt;=$E42),IF($F42-$E42&lt;=2,"◆",IF($H42="Yes","X",LEFT($D42,1))),""))</f>
        <v/>
      </c>
      <c r="X42" s="33">
        <f>IF(OR($E42="",$F42=""),"",IF(AND(X$4&lt;=$F42,X$4+6&gt;=$E42),IF($F42-$E42&lt;=2,"◆",IF($H42="Yes","X",LEFT($D42,1))),""))</f>
        <v/>
      </c>
      <c r="Y42" s="33">
        <f>IF(OR($E42="",$F42=""),"",IF(AND(Y$4&lt;=$F42,Y$4+6&gt;=$E42),IF($F42-$E42&lt;=2,"◆",IF($H42="Yes","X",LEFT($D42,1))),""))</f>
        <v/>
      </c>
      <c r="Z42" s="33">
        <f>IF(OR($E42="",$F42=""),"",IF(AND(Z$4&lt;=$F42,Z$4+6&gt;=$E42),IF($F42-$E42&lt;=2,"◆",IF($H42="Yes","X",LEFT($D42,1))),""))</f>
        <v/>
      </c>
      <c r="AA42" s="33">
        <f>IF(OR($E42="",$F42=""),"",IF(AND(AA$4&lt;=$F42,AA$4+6&gt;=$E42),IF($F42-$E42&lt;=2,"◆",IF($H42="Yes","X",LEFT($D42,1))),""))</f>
        <v/>
      </c>
      <c r="AB42" s="33">
        <f>IF(OR($E42="",$F42=""),"",IF(AND(AB$4&lt;=$F42,AB$4+6&gt;=$E42),IF($F42-$E42&lt;=2,"◆",IF($H42="Yes","X",LEFT($D42,1))),""))</f>
        <v/>
      </c>
      <c r="AC42" s="33">
        <f>IF(OR($E42="",$F42=""),"",IF(AND(AC$4&lt;=$F42,AC$4+6&gt;=$E42),IF($F42-$E42&lt;=2,"◆",IF($H42="Yes","X",LEFT($D42,1))),""))</f>
        <v/>
      </c>
      <c r="AD42" s="33">
        <f>IF(OR($E42="",$F42=""),"",IF(AND(AD$4&lt;=$F42,AD$4+6&gt;=$E42),IF($F42-$E42&lt;=2,"◆",IF($H42="Yes","X",LEFT($D42,1))),""))</f>
        <v/>
      </c>
      <c r="AE42" s="33">
        <f>IF(OR($E42="",$F42=""),"",IF(AND(AE$4&lt;=$F42,AE$4+6&gt;=$E42),IF($F42-$E42&lt;=2,"◆",IF($H42="Yes","X",LEFT($D42,1))),""))</f>
        <v/>
      </c>
      <c r="AF42" s="33">
        <f>IF(OR($E42="",$F42=""),"",IF(AND(AF$4&lt;=$F42,AF$4+6&gt;=$E42),IF($F42-$E42&lt;=2,"◆",IF($H42="Yes","X",LEFT($D42,1))),""))</f>
        <v/>
      </c>
      <c r="AG42" s="33">
        <f>IF(OR($E42="",$F42=""),"",IF(AND(AG$4&lt;=$F42,AG$4+6&gt;=$E42),IF($F42-$E42&lt;=2,"◆",IF($H42="Yes","X",LEFT($D42,1))),""))</f>
        <v/>
      </c>
      <c r="AH42" s="33">
        <f>IF(OR($E42="",$F42=""),"",IF(AND(AH$4&lt;=$F42,AH$4+6&gt;=$E42),IF($F42-$E42&lt;=2,"◆",IF($H42="Yes","X",LEFT($D42,1))),""))</f>
        <v/>
      </c>
      <c r="AI42" s="33">
        <f>IF(OR($E42="",$F42=""),"",IF(AND(AI$4&lt;=$F42,AI$4+6&gt;=$E42),IF($F42-$E42&lt;=2,"◆",IF($H42="Yes","X",LEFT($D42,1))),""))</f>
        <v/>
      </c>
      <c r="AJ42" s="33">
        <f>IF(OR($E42="",$F42=""),"",IF(AND(AJ$4&lt;=$F42,AJ$4+6&gt;=$E42),IF($F42-$E42&lt;=2,"◆",IF($H42="Yes","X",LEFT($D42,1))),""))</f>
        <v/>
      </c>
      <c r="AK42" s="33">
        <f>IF(OR($E42="",$F42=""),"",IF(AND(AK$4&lt;=$F42,AK$4+6&gt;=$E42),IF($F42-$E42&lt;=2,"◆",IF($H42="Yes","X",LEFT($D42,1))),""))</f>
        <v/>
      </c>
      <c r="AL42" s="33">
        <f>IF(OR($E42="",$F42=""),"",IF(AND(AL$4&lt;=$F42,AL$4+6&gt;=$E42),IF($F42-$E42&lt;=2,"◆",IF($H42="Yes","X",LEFT($D42,1))),""))</f>
        <v/>
      </c>
      <c r="AM42" s="33">
        <f>IF(OR($E42="",$F42=""),"",IF(AND(AM$4&lt;=$F42,AM$4+6&gt;=$E42),IF($F42-$E42&lt;=2,"◆",IF($H42="Yes","X",LEFT($D42,1))),""))</f>
        <v/>
      </c>
      <c r="AN42" s="33">
        <f>IF(OR($E42="",$F42=""),"",IF(AND(AN$4&lt;=$F42,AN$4+6&gt;=$E42),IF($F42-$E42&lt;=2,"◆",IF($H42="Yes","X",LEFT($D42,1))),""))</f>
        <v/>
      </c>
      <c r="AO42" s="33">
        <f>IF(OR($E42="",$F42=""),"",IF(AND(AO$4&lt;=$F42,AO$4+6&gt;=$E42),IF($F42-$E42&lt;=2,"◆",IF($H42="Yes","X",LEFT($D42,1))),""))</f>
        <v/>
      </c>
      <c r="AP42" s="33">
        <f>IF(OR($E42="",$F42=""),"",IF(AND(AP$4&lt;=$F42,AP$4+6&gt;=$E42),IF($F42-$E42&lt;=2,"◆",IF($H42="Yes","X",LEFT($D42,1))),""))</f>
        <v/>
      </c>
      <c r="AQ42" s="33">
        <f>IF(OR($E42="",$F42=""),"",IF(AND(AQ$4&lt;=$F42,AQ$4+6&gt;=$E42),IF($F42-$E42&lt;=2,"◆",IF($H42="Yes","X",LEFT($D42,1))),""))</f>
        <v/>
      </c>
      <c r="AR42" s="33">
        <f>IF(OR($E42="",$F42=""),"",IF(AND(AR$4&lt;=$F42,AR$4+6&gt;=$E42),IF($F42-$E42&lt;=2,"◆",IF($H42="Yes","X",LEFT($D42,1))),""))</f>
        <v/>
      </c>
      <c r="AS42" s="33">
        <f>IF(OR($E42="",$F42=""),"",IF(AND(AS$4&lt;=$F42,AS$4+6&gt;=$E42),IF($F42-$E42&lt;=2,"◆",IF($H42="Yes","X",LEFT($D42,1))),""))</f>
        <v/>
      </c>
      <c r="AT42" s="33">
        <f>IF(OR($E42="",$F42=""),"",IF(AND(AT$4&lt;=$F42,AT$4+6&gt;=$E42),IF($F42-$E42&lt;=2,"◆",IF($H42="Yes","X",LEFT($D42,1))),""))</f>
        <v/>
      </c>
      <c r="AU42" s="33">
        <f>IF(OR($E42="",$F42=""),"",IF(AND(AU$4&lt;=$F42,AU$4+6&gt;=$E42),IF($F42-$E42&lt;=2,"◆",IF($H42="Yes","X",LEFT($D42,1))),""))</f>
        <v/>
      </c>
      <c r="AV42" s="33">
        <f>IF(OR($E42="",$F42=""),"",IF(AND(AV$4&lt;=$F42,AV$4+6&gt;=$E42),IF($F42-$E42&lt;=2,"◆",IF($H42="Yes","X",LEFT($D42,1))),""))</f>
        <v/>
      </c>
      <c r="AW42" s="33">
        <f>IF(OR($E42="",$F42=""),"",IF(AND(AW$4&lt;=$F42,AW$4+6&gt;=$E42),IF($F42-$E42&lt;=2,"◆",IF($H42="Yes","X",LEFT($D42,1))),""))</f>
        <v/>
      </c>
      <c r="AX42" s="33">
        <f>IF(OR($E42="",$F42=""),"",IF(AND(AX$4&lt;=$F42,AX$4+6&gt;=$E42),IF($F42-$E42&lt;=2,"◆",IF($H42="Yes","X",LEFT($D42,1))),""))</f>
        <v/>
      </c>
      <c r="AY42" s="33">
        <f>IF(OR($E42="",$F42=""),"",IF(AND(AY$4&lt;=$F42,AY$4+6&gt;=$E42),IF($F42-$E42&lt;=2,"◆",IF($H42="Yes","X",LEFT($D42,1))),""))</f>
        <v/>
      </c>
      <c r="AZ42" s="33">
        <f>IF(OR($E42="",$F42=""),"",IF(AND(AZ$4&lt;=$F42,AZ$4+6&gt;=$E42),IF($F42-$E42&lt;=2,"◆",IF($H42="Yes","X",LEFT($D42,1))),""))</f>
        <v/>
      </c>
      <c r="BA42" s="33">
        <f>IF(OR($E42="",$F42=""),"",IF(AND(BA$4&lt;=$F42,BA$4+6&gt;=$E42),IF($F42-$E42&lt;=2,"◆",IF($H42="Yes","X",LEFT($D42,1))),""))</f>
        <v/>
      </c>
      <c r="BB42" s="33">
        <f>IF(OR($E42="",$F42=""),"",IF(AND(BB$4&lt;=$F42,BB$4+6&gt;=$E42),IF($F42-$E42&lt;=2,"◆",IF($H42="Yes","X",LEFT($D42,1))),""))</f>
        <v/>
      </c>
      <c r="BC42" s="33">
        <f>IF(OR($E42="",$F42=""),"",IF(AND(BC$4&lt;=$F42,BC$4+6&gt;=$E42),IF($F42-$E42&lt;=2,"◆",IF($H42="Yes","X",LEFT($D42,1))),""))</f>
        <v/>
      </c>
      <c r="BD42" s="33">
        <f>IF(OR($E42="",$F42=""),"",IF(AND(BD$4&lt;=$F42,BD$4+6&gt;=$E42),IF($F42-$E42&lt;=2,"◆",IF($H42="Yes","X",LEFT($D42,1))),""))</f>
        <v/>
      </c>
      <c r="BE42" s="33">
        <f>IF(OR($E42="",$F42=""),"",IF(AND(BE$4&lt;=$F42,BE$4+6&gt;=$E42),IF($F42-$E42&lt;=2,"◆",IF($H42="Yes","X",LEFT($D42,1))),""))</f>
        <v/>
      </c>
      <c r="BF42" s="33">
        <f>IF(OR($E42="",$F42=""),"",IF(AND(BF$4&lt;=$F42,BF$4+6&gt;=$E42),IF($F42-$E42&lt;=2,"◆",IF($H42="Yes","X",LEFT($D42,1))),""))</f>
        <v/>
      </c>
      <c r="BG42" s="33">
        <f>IF(OR($E42="",$F42=""),"",IF(AND(BG$4&lt;=$F42,BG$4+6&gt;=$E42),IF($F42-$E42&lt;=2,"◆",IF($H42="Yes","X",LEFT($D42,1))),""))</f>
        <v/>
      </c>
      <c r="BH42" s="33">
        <f>IF(OR($E42="",$F42=""),"",IF(AND(BH$4&lt;=$F42,BH$4+6&gt;=$E42),IF($F42-$E42&lt;=2,"◆",IF($H42="Yes","X",LEFT($D42,1))),""))</f>
        <v/>
      </c>
      <c r="BI42" s="33">
        <f>IF(OR($E42="",$F42=""),"",IF(AND(BI$4&lt;=$F42,BI$4+6&gt;=$E42),IF($F42-$E42&lt;=2,"◆",IF($H42="Yes","X",LEFT($D42,1))),""))</f>
        <v/>
      </c>
    </row>
    <row r="43">
      <c r="A43" s="30" t="inlineStr">
        <is>
          <t>T-039</t>
        </is>
      </c>
      <c r="B43" s="30" t="inlineStr">
        <is>
          <t>Kubernetes Resource Optimization</t>
        </is>
      </c>
      <c r="C43" s="30" t="inlineStr">
        <is>
          <t>Jawahar</t>
        </is>
      </c>
      <c r="D43" s="30" t="inlineStr">
        <is>
          <t>In Progress</t>
        </is>
      </c>
      <c r="E43" s="31" t="n">
        <v>46265</v>
      </c>
      <c r="F43" s="31" t="n">
        <v>46284</v>
      </c>
      <c r="G43" s="32" t="n">
        <v>0.34</v>
      </c>
      <c r="H43" s="30" t="inlineStr">
        <is>
          <t>Yes</t>
        </is>
      </c>
      <c r="I43" s="33">
        <f>IF(OR($E43="",$F43=""),"",IF(AND(I$4&lt;=$F43,I$4+6&gt;=$E43),IF($F43-$E43&lt;=2,"◆",IF($H43="Yes","X",LEFT($D43,1))),""))</f>
        <v/>
      </c>
      <c r="J43" s="33">
        <f>IF(OR($E43="",$F43=""),"",IF(AND(J$4&lt;=$F43,J$4+6&gt;=$E43),IF($F43-$E43&lt;=2,"◆",IF($H43="Yes","X",LEFT($D43,1))),""))</f>
        <v/>
      </c>
      <c r="K43" s="33">
        <f>IF(OR($E43="",$F43=""),"",IF(AND(K$4&lt;=$F43,K$4+6&gt;=$E43),IF($F43-$E43&lt;=2,"◆",IF($H43="Yes","X",LEFT($D43,1))),""))</f>
        <v/>
      </c>
      <c r="L43" s="33">
        <f>IF(OR($E43="",$F43=""),"",IF(AND(L$4&lt;=$F43,L$4+6&gt;=$E43),IF($F43-$E43&lt;=2,"◆",IF($H43="Yes","X",LEFT($D43,1))),""))</f>
        <v/>
      </c>
      <c r="M43" s="33">
        <f>IF(OR($E43="",$F43=""),"",IF(AND(M$4&lt;=$F43,M$4+6&gt;=$E43),IF($F43-$E43&lt;=2,"◆",IF($H43="Yes","X",LEFT($D43,1))),""))</f>
        <v/>
      </c>
      <c r="N43" s="33">
        <f>IF(OR($E43="",$F43=""),"",IF(AND(N$4&lt;=$F43,N$4+6&gt;=$E43),IF($F43-$E43&lt;=2,"◆",IF($H43="Yes","X",LEFT($D43,1))),""))</f>
        <v/>
      </c>
      <c r="O43" s="33">
        <f>IF(OR($E43="",$F43=""),"",IF(AND(O$4&lt;=$F43,O$4+6&gt;=$E43),IF($F43-$E43&lt;=2,"◆",IF($H43="Yes","X",LEFT($D43,1))),""))</f>
        <v/>
      </c>
      <c r="P43" s="33">
        <f>IF(OR($E43="",$F43=""),"",IF(AND(P$4&lt;=$F43,P$4+6&gt;=$E43),IF($F43-$E43&lt;=2,"◆",IF($H43="Yes","X",LEFT($D43,1))),""))</f>
        <v/>
      </c>
      <c r="Q43" s="33">
        <f>IF(OR($E43="",$F43=""),"",IF(AND(Q$4&lt;=$F43,Q$4+6&gt;=$E43),IF($F43-$E43&lt;=2,"◆",IF($H43="Yes","X",LEFT($D43,1))),""))</f>
        <v/>
      </c>
      <c r="R43" s="33">
        <f>IF(OR($E43="",$F43=""),"",IF(AND(R$4&lt;=$F43,R$4+6&gt;=$E43),IF($F43-$E43&lt;=2,"◆",IF($H43="Yes","X",LEFT($D43,1))),""))</f>
        <v/>
      </c>
      <c r="S43" s="33">
        <f>IF(OR($E43="",$F43=""),"",IF(AND(S$4&lt;=$F43,S$4+6&gt;=$E43),IF($F43-$E43&lt;=2,"◆",IF($H43="Yes","X",LEFT($D43,1))),""))</f>
        <v/>
      </c>
      <c r="T43" s="33">
        <f>IF(OR($E43="",$F43=""),"",IF(AND(T$4&lt;=$F43,T$4+6&gt;=$E43),IF($F43-$E43&lt;=2,"◆",IF($H43="Yes","X",LEFT($D43,1))),""))</f>
        <v/>
      </c>
      <c r="U43" s="33">
        <f>IF(OR($E43="",$F43=""),"",IF(AND(U$4&lt;=$F43,U$4+6&gt;=$E43),IF($F43-$E43&lt;=2,"◆",IF($H43="Yes","X",LEFT($D43,1))),""))</f>
        <v/>
      </c>
      <c r="V43" s="33">
        <f>IF(OR($E43="",$F43=""),"",IF(AND(V$4&lt;=$F43,V$4+6&gt;=$E43),IF($F43-$E43&lt;=2,"◆",IF($H43="Yes","X",LEFT($D43,1))),""))</f>
        <v/>
      </c>
      <c r="W43" s="33">
        <f>IF(OR($E43="",$F43=""),"",IF(AND(W$4&lt;=$F43,W$4+6&gt;=$E43),IF($F43-$E43&lt;=2,"◆",IF($H43="Yes","X",LEFT($D43,1))),""))</f>
        <v/>
      </c>
      <c r="X43" s="33">
        <f>IF(OR($E43="",$F43=""),"",IF(AND(X$4&lt;=$F43,X$4+6&gt;=$E43),IF($F43-$E43&lt;=2,"◆",IF($H43="Yes","X",LEFT($D43,1))),""))</f>
        <v/>
      </c>
      <c r="Y43" s="33">
        <f>IF(OR($E43="",$F43=""),"",IF(AND(Y$4&lt;=$F43,Y$4+6&gt;=$E43),IF($F43-$E43&lt;=2,"◆",IF($H43="Yes","X",LEFT($D43,1))),""))</f>
        <v/>
      </c>
      <c r="Z43" s="33">
        <f>IF(OR($E43="",$F43=""),"",IF(AND(Z$4&lt;=$F43,Z$4+6&gt;=$E43),IF($F43-$E43&lt;=2,"◆",IF($H43="Yes","X",LEFT($D43,1))),""))</f>
        <v/>
      </c>
      <c r="AA43" s="33">
        <f>IF(OR($E43="",$F43=""),"",IF(AND(AA$4&lt;=$F43,AA$4+6&gt;=$E43),IF($F43-$E43&lt;=2,"◆",IF($H43="Yes","X",LEFT($D43,1))),""))</f>
        <v/>
      </c>
      <c r="AB43" s="33">
        <f>IF(OR($E43="",$F43=""),"",IF(AND(AB$4&lt;=$F43,AB$4+6&gt;=$E43),IF($F43-$E43&lt;=2,"◆",IF($H43="Yes","X",LEFT($D43,1))),""))</f>
        <v/>
      </c>
      <c r="AC43" s="33">
        <f>IF(OR($E43="",$F43=""),"",IF(AND(AC$4&lt;=$F43,AC$4+6&gt;=$E43),IF($F43-$E43&lt;=2,"◆",IF($H43="Yes","X",LEFT($D43,1))),""))</f>
        <v/>
      </c>
      <c r="AD43" s="33">
        <f>IF(OR($E43="",$F43=""),"",IF(AND(AD$4&lt;=$F43,AD$4+6&gt;=$E43),IF($F43-$E43&lt;=2,"◆",IF($H43="Yes","X",LEFT($D43,1))),""))</f>
        <v/>
      </c>
      <c r="AE43" s="33">
        <f>IF(OR($E43="",$F43=""),"",IF(AND(AE$4&lt;=$F43,AE$4+6&gt;=$E43),IF($F43-$E43&lt;=2,"◆",IF($H43="Yes","X",LEFT($D43,1))),""))</f>
        <v/>
      </c>
      <c r="AF43" s="33">
        <f>IF(OR($E43="",$F43=""),"",IF(AND(AF$4&lt;=$F43,AF$4+6&gt;=$E43),IF($F43-$E43&lt;=2,"◆",IF($H43="Yes","X",LEFT($D43,1))),""))</f>
        <v/>
      </c>
      <c r="AG43" s="33">
        <f>IF(OR($E43="",$F43=""),"",IF(AND(AG$4&lt;=$F43,AG$4+6&gt;=$E43),IF($F43-$E43&lt;=2,"◆",IF($H43="Yes","X",LEFT($D43,1))),""))</f>
        <v/>
      </c>
      <c r="AH43" s="33">
        <f>IF(OR($E43="",$F43=""),"",IF(AND(AH$4&lt;=$F43,AH$4+6&gt;=$E43),IF($F43-$E43&lt;=2,"◆",IF($H43="Yes","X",LEFT($D43,1))),""))</f>
        <v/>
      </c>
      <c r="AI43" s="33">
        <f>IF(OR($E43="",$F43=""),"",IF(AND(AI$4&lt;=$F43,AI$4+6&gt;=$E43),IF($F43-$E43&lt;=2,"◆",IF($H43="Yes","X",LEFT($D43,1))),""))</f>
        <v/>
      </c>
      <c r="AJ43" s="33">
        <f>IF(OR($E43="",$F43=""),"",IF(AND(AJ$4&lt;=$F43,AJ$4+6&gt;=$E43),IF($F43-$E43&lt;=2,"◆",IF($H43="Yes","X",LEFT($D43,1))),""))</f>
        <v/>
      </c>
      <c r="AK43" s="33">
        <f>IF(OR($E43="",$F43=""),"",IF(AND(AK$4&lt;=$F43,AK$4+6&gt;=$E43),IF($F43-$E43&lt;=2,"◆",IF($H43="Yes","X",LEFT($D43,1))),""))</f>
        <v/>
      </c>
      <c r="AL43" s="33">
        <f>IF(OR($E43="",$F43=""),"",IF(AND(AL$4&lt;=$F43,AL$4+6&gt;=$E43),IF($F43-$E43&lt;=2,"◆",IF($H43="Yes","X",LEFT($D43,1))),""))</f>
        <v/>
      </c>
      <c r="AM43" s="33">
        <f>IF(OR($E43="",$F43=""),"",IF(AND(AM$4&lt;=$F43,AM$4+6&gt;=$E43),IF($F43-$E43&lt;=2,"◆",IF($H43="Yes","X",LEFT($D43,1))),""))</f>
        <v/>
      </c>
      <c r="AN43" s="33">
        <f>IF(OR($E43="",$F43=""),"",IF(AND(AN$4&lt;=$F43,AN$4+6&gt;=$E43),IF($F43-$E43&lt;=2,"◆",IF($H43="Yes","X",LEFT($D43,1))),""))</f>
        <v/>
      </c>
      <c r="AO43" s="33">
        <f>IF(OR($E43="",$F43=""),"",IF(AND(AO$4&lt;=$F43,AO$4+6&gt;=$E43),IF($F43-$E43&lt;=2,"◆",IF($H43="Yes","X",LEFT($D43,1))),""))</f>
        <v/>
      </c>
      <c r="AP43" s="33">
        <f>IF(OR($E43="",$F43=""),"",IF(AND(AP$4&lt;=$F43,AP$4+6&gt;=$E43),IF($F43-$E43&lt;=2,"◆",IF($H43="Yes","X",LEFT($D43,1))),""))</f>
        <v/>
      </c>
      <c r="AQ43" s="33">
        <f>IF(OR($E43="",$F43=""),"",IF(AND(AQ$4&lt;=$F43,AQ$4+6&gt;=$E43),IF($F43-$E43&lt;=2,"◆",IF($H43="Yes","X",LEFT($D43,1))),""))</f>
        <v/>
      </c>
      <c r="AR43" s="33">
        <f>IF(OR($E43="",$F43=""),"",IF(AND(AR$4&lt;=$F43,AR$4+6&gt;=$E43),IF($F43-$E43&lt;=2,"◆",IF($H43="Yes","X",LEFT($D43,1))),""))</f>
        <v/>
      </c>
      <c r="AS43" s="33">
        <f>IF(OR($E43="",$F43=""),"",IF(AND(AS$4&lt;=$F43,AS$4+6&gt;=$E43),IF($F43-$E43&lt;=2,"◆",IF($H43="Yes","X",LEFT($D43,1))),""))</f>
        <v/>
      </c>
      <c r="AT43" s="33">
        <f>IF(OR($E43="",$F43=""),"",IF(AND(AT$4&lt;=$F43,AT$4+6&gt;=$E43),IF($F43-$E43&lt;=2,"◆",IF($H43="Yes","X",LEFT($D43,1))),""))</f>
        <v/>
      </c>
      <c r="AU43" s="33">
        <f>IF(OR($E43="",$F43=""),"",IF(AND(AU$4&lt;=$F43,AU$4+6&gt;=$E43),IF($F43-$E43&lt;=2,"◆",IF($H43="Yes","X",LEFT($D43,1))),""))</f>
        <v/>
      </c>
      <c r="AV43" s="33">
        <f>IF(OR($E43="",$F43=""),"",IF(AND(AV$4&lt;=$F43,AV$4+6&gt;=$E43),IF($F43-$E43&lt;=2,"◆",IF($H43="Yes","X",LEFT($D43,1))),""))</f>
        <v/>
      </c>
      <c r="AW43" s="33">
        <f>IF(OR($E43="",$F43=""),"",IF(AND(AW$4&lt;=$F43,AW$4+6&gt;=$E43),IF($F43-$E43&lt;=2,"◆",IF($H43="Yes","X",LEFT($D43,1))),""))</f>
        <v/>
      </c>
      <c r="AX43" s="33">
        <f>IF(OR($E43="",$F43=""),"",IF(AND(AX$4&lt;=$F43,AX$4+6&gt;=$E43),IF($F43-$E43&lt;=2,"◆",IF($H43="Yes","X",LEFT($D43,1))),""))</f>
        <v/>
      </c>
      <c r="AY43" s="33">
        <f>IF(OR($E43="",$F43=""),"",IF(AND(AY$4&lt;=$F43,AY$4+6&gt;=$E43),IF($F43-$E43&lt;=2,"◆",IF($H43="Yes","X",LEFT($D43,1))),""))</f>
        <v/>
      </c>
      <c r="AZ43" s="33">
        <f>IF(OR($E43="",$F43=""),"",IF(AND(AZ$4&lt;=$F43,AZ$4+6&gt;=$E43),IF($F43-$E43&lt;=2,"◆",IF($H43="Yes","X",LEFT($D43,1))),""))</f>
        <v/>
      </c>
      <c r="BA43" s="33">
        <f>IF(OR($E43="",$F43=""),"",IF(AND(BA$4&lt;=$F43,BA$4+6&gt;=$E43),IF($F43-$E43&lt;=2,"◆",IF($H43="Yes","X",LEFT($D43,1))),""))</f>
        <v/>
      </c>
      <c r="BB43" s="33">
        <f>IF(OR($E43="",$F43=""),"",IF(AND(BB$4&lt;=$F43,BB$4+6&gt;=$E43),IF($F43-$E43&lt;=2,"◆",IF($H43="Yes","X",LEFT($D43,1))),""))</f>
        <v/>
      </c>
      <c r="BC43" s="33">
        <f>IF(OR($E43="",$F43=""),"",IF(AND(BC$4&lt;=$F43,BC$4+6&gt;=$E43),IF($F43-$E43&lt;=2,"◆",IF($H43="Yes","X",LEFT($D43,1))),""))</f>
        <v/>
      </c>
      <c r="BD43" s="33">
        <f>IF(OR($E43="",$F43=""),"",IF(AND(BD$4&lt;=$F43,BD$4+6&gt;=$E43),IF($F43-$E43&lt;=2,"◆",IF($H43="Yes","X",LEFT($D43,1))),""))</f>
        <v/>
      </c>
      <c r="BE43" s="33">
        <f>IF(OR($E43="",$F43=""),"",IF(AND(BE$4&lt;=$F43,BE$4+6&gt;=$E43),IF($F43-$E43&lt;=2,"◆",IF($H43="Yes","X",LEFT($D43,1))),""))</f>
        <v/>
      </c>
      <c r="BF43" s="33">
        <f>IF(OR($E43="",$F43=""),"",IF(AND(BF$4&lt;=$F43,BF$4+6&gt;=$E43),IF($F43-$E43&lt;=2,"◆",IF($H43="Yes","X",LEFT($D43,1))),""))</f>
        <v/>
      </c>
      <c r="BG43" s="33">
        <f>IF(OR($E43="",$F43=""),"",IF(AND(BG$4&lt;=$F43,BG$4+6&gt;=$E43),IF($F43-$E43&lt;=2,"◆",IF($H43="Yes","X",LEFT($D43,1))),""))</f>
        <v/>
      </c>
      <c r="BH43" s="33">
        <f>IF(OR($E43="",$F43=""),"",IF(AND(BH$4&lt;=$F43,BH$4+6&gt;=$E43),IF($F43-$E43&lt;=2,"◆",IF($H43="Yes","X",LEFT($D43,1))),""))</f>
        <v/>
      </c>
      <c r="BI43" s="33">
        <f>IF(OR($E43="",$F43=""),"",IF(AND(BI$4&lt;=$F43,BI$4+6&gt;=$E43),IF($F43-$E43&lt;=2,"◆",IF($H43="Yes","X",LEFT($D43,1))),""))</f>
        <v/>
      </c>
    </row>
    <row r="44">
      <c r="A44" s="30" t="inlineStr">
        <is>
          <t>T-040</t>
        </is>
      </c>
      <c r="B44" s="30" t="inlineStr">
        <is>
          <t>Infrastructure and Application Monitoring for EKS Platform</t>
        </is>
      </c>
      <c r="C44" s="30" t="inlineStr">
        <is>
          <t>Jawahar</t>
        </is>
      </c>
      <c r="D44" s="30" t="inlineStr">
        <is>
          <t>In Progress</t>
        </is>
      </c>
      <c r="E44" s="31" t="n">
        <v>46239</v>
      </c>
      <c r="F44" s="31" t="n">
        <v>46254</v>
      </c>
      <c r="G44" s="32" t="n">
        <v>0.3</v>
      </c>
      <c r="H44" s="30" t="inlineStr">
        <is>
          <t>Yes</t>
        </is>
      </c>
      <c r="I44" s="33">
        <f>IF(OR($E44="",$F44=""),"",IF(AND(I$4&lt;=$F44,I$4+6&gt;=$E44),IF($F44-$E44&lt;=2,"◆",IF($H44="Yes","X",LEFT($D44,1))),""))</f>
        <v/>
      </c>
      <c r="J44" s="33">
        <f>IF(OR($E44="",$F44=""),"",IF(AND(J$4&lt;=$F44,J$4+6&gt;=$E44),IF($F44-$E44&lt;=2,"◆",IF($H44="Yes","X",LEFT($D44,1))),""))</f>
        <v/>
      </c>
      <c r="K44" s="33">
        <f>IF(OR($E44="",$F44=""),"",IF(AND(K$4&lt;=$F44,K$4+6&gt;=$E44),IF($F44-$E44&lt;=2,"◆",IF($H44="Yes","X",LEFT($D44,1))),""))</f>
        <v/>
      </c>
      <c r="L44" s="33">
        <f>IF(OR($E44="",$F44=""),"",IF(AND(L$4&lt;=$F44,L$4+6&gt;=$E44),IF($F44-$E44&lt;=2,"◆",IF($H44="Yes","X",LEFT($D44,1))),""))</f>
        <v/>
      </c>
      <c r="M44" s="33">
        <f>IF(OR($E44="",$F44=""),"",IF(AND(M$4&lt;=$F44,M$4+6&gt;=$E44),IF($F44-$E44&lt;=2,"◆",IF($H44="Yes","X",LEFT($D44,1))),""))</f>
        <v/>
      </c>
      <c r="N44" s="33">
        <f>IF(OR($E44="",$F44=""),"",IF(AND(N$4&lt;=$F44,N$4+6&gt;=$E44),IF($F44-$E44&lt;=2,"◆",IF($H44="Yes","X",LEFT($D44,1))),""))</f>
        <v/>
      </c>
      <c r="O44" s="33">
        <f>IF(OR($E44="",$F44=""),"",IF(AND(O$4&lt;=$F44,O$4+6&gt;=$E44),IF($F44-$E44&lt;=2,"◆",IF($H44="Yes","X",LEFT($D44,1))),""))</f>
        <v/>
      </c>
      <c r="P44" s="33">
        <f>IF(OR($E44="",$F44=""),"",IF(AND(P$4&lt;=$F44,P$4+6&gt;=$E44),IF($F44-$E44&lt;=2,"◆",IF($H44="Yes","X",LEFT($D44,1))),""))</f>
        <v/>
      </c>
      <c r="Q44" s="33">
        <f>IF(OR($E44="",$F44=""),"",IF(AND(Q$4&lt;=$F44,Q$4+6&gt;=$E44),IF($F44-$E44&lt;=2,"◆",IF($H44="Yes","X",LEFT($D44,1))),""))</f>
        <v/>
      </c>
      <c r="R44" s="33">
        <f>IF(OR($E44="",$F44=""),"",IF(AND(R$4&lt;=$F44,R$4+6&gt;=$E44),IF($F44-$E44&lt;=2,"◆",IF($H44="Yes","X",LEFT($D44,1))),""))</f>
        <v/>
      </c>
      <c r="S44" s="33">
        <f>IF(OR($E44="",$F44=""),"",IF(AND(S$4&lt;=$F44,S$4+6&gt;=$E44),IF($F44-$E44&lt;=2,"◆",IF($H44="Yes","X",LEFT($D44,1))),""))</f>
        <v/>
      </c>
      <c r="T44" s="33">
        <f>IF(OR($E44="",$F44=""),"",IF(AND(T$4&lt;=$F44,T$4+6&gt;=$E44),IF($F44-$E44&lt;=2,"◆",IF($H44="Yes","X",LEFT($D44,1))),""))</f>
        <v/>
      </c>
      <c r="U44" s="33">
        <f>IF(OR($E44="",$F44=""),"",IF(AND(U$4&lt;=$F44,U$4+6&gt;=$E44),IF($F44-$E44&lt;=2,"◆",IF($H44="Yes","X",LEFT($D44,1))),""))</f>
        <v/>
      </c>
      <c r="V44" s="33">
        <f>IF(OR($E44="",$F44=""),"",IF(AND(V$4&lt;=$F44,V$4+6&gt;=$E44),IF($F44-$E44&lt;=2,"◆",IF($H44="Yes","X",LEFT($D44,1))),""))</f>
        <v/>
      </c>
      <c r="W44" s="33">
        <f>IF(OR($E44="",$F44=""),"",IF(AND(W$4&lt;=$F44,W$4+6&gt;=$E44),IF($F44-$E44&lt;=2,"◆",IF($H44="Yes","X",LEFT($D44,1))),""))</f>
        <v/>
      </c>
      <c r="X44" s="33">
        <f>IF(OR($E44="",$F44=""),"",IF(AND(X$4&lt;=$F44,X$4+6&gt;=$E44),IF($F44-$E44&lt;=2,"◆",IF($H44="Yes","X",LEFT($D44,1))),""))</f>
        <v/>
      </c>
      <c r="Y44" s="33">
        <f>IF(OR($E44="",$F44=""),"",IF(AND(Y$4&lt;=$F44,Y$4+6&gt;=$E44),IF($F44-$E44&lt;=2,"◆",IF($H44="Yes","X",LEFT($D44,1))),""))</f>
        <v/>
      </c>
      <c r="Z44" s="33">
        <f>IF(OR($E44="",$F44=""),"",IF(AND(Z$4&lt;=$F44,Z$4+6&gt;=$E44),IF($F44-$E44&lt;=2,"◆",IF($H44="Yes","X",LEFT($D44,1))),""))</f>
        <v/>
      </c>
      <c r="AA44" s="33">
        <f>IF(OR($E44="",$F44=""),"",IF(AND(AA$4&lt;=$F44,AA$4+6&gt;=$E44),IF($F44-$E44&lt;=2,"◆",IF($H44="Yes","X",LEFT($D44,1))),""))</f>
        <v/>
      </c>
      <c r="AB44" s="33">
        <f>IF(OR($E44="",$F44=""),"",IF(AND(AB$4&lt;=$F44,AB$4+6&gt;=$E44),IF($F44-$E44&lt;=2,"◆",IF($H44="Yes","X",LEFT($D44,1))),""))</f>
        <v/>
      </c>
      <c r="AC44" s="33">
        <f>IF(OR($E44="",$F44=""),"",IF(AND(AC$4&lt;=$F44,AC$4+6&gt;=$E44),IF($F44-$E44&lt;=2,"◆",IF($H44="Yes","X",LEFT($D44,1))),""))</f>
        <v/>
      </c>
      <c r="AD44" s="33">
        <f>IF(OR($E44="",$F44=""),"",IF(AND(AD$4&lt;=$F44,AD$4+6&gt;=$E44),IF($F44-$E44&lt;=2,"◆",IF($H44="Yes","X",LEFT($D44,1))),""))</f>
        <v/>
      </c>
      <c r="AE44" s="33">
        <f>IF(OR($E44="",$F44=""),"",IF(AND(AE$4&lt;=$F44,AE$4+6&gt;=$E44),IF($F44-$E44&lt;=2,"◆",IF($H44="Yes","X",LEFT($D44,1))),""))</f>
        <v/>
      </c>
      <c r="AF44" s="33">
        <f>IF(OR($E44="",$F44=""),"",IF(AND(AF$4&lt;=$F44,AF$4+6&gt;=$E44),IF($F44-$E44&lt;=2,"◆",IF($H44="Yes","X",LEFT($D44,1))),""))</f>
        <v/>
      </c>
      <c r="AG44" s="33">
        <f>IF(OR($E44="",$F44=""),"",IF(AND(AG$4&lt;=$F44,AG$4+6&gt;=$E44),IF($F44-$E44&lt;=2,"◆",IF($H44="Yes","X",LEFT($D44,1))),""))</f>
        <v/>
      </c>
      <c r="AH44" s="33">
        <f>IF(OR($E44="",$F44=""),"",IF(AND(AH$4&lt;=$F44,AH$4+6&gt;=$E44),IF($F44-$E44&lt;=2,"◆",IF($H44="Yes","X",LEFT($D44,1))),""))</f>
        <v/>
      </c>
      <c r="AI44" s="33">
        <f>IF(OR($E44="",$F44=""),"",IF(AND(AI$4&lt;=$F44,AI$4+6&gt;=$E44),IF($F44-$E44&lt;=2,"◆",IF($H44="Yes","X",LEFT($D44,1))),""))</f>
        <v/>
      </c>
      <c r="AJ44" s="33">
        <f>IF(OR($E44="",$F44=""),"",IF(AND(AJ$4&lt;=$F44,AJ$4+6&gt;=$E44),IF($F44-$E44&lt;=2,"◆",IF($H44="Yes","X",LEFT($D44,1))),""))</f>
        <v/>
      </c>
      <c r="AK44" s="33">
        <f>IF(OR($E44="",$F44=""),"",IF(AND(AK$4&lt;=$F44,AK$4+6&gt;=$E44),IF($F44-$E44&lt;=2,"◆",IF($H44="Yes","X",LEFT($D44,1))),""))</f>
        <v/>
      </c>
      <c r="AL44" s="33">
        <f>IF(OR($E44="",$F44=""),"",IF(AND(AL$4&lt;=$F44,AL$4+6&gt;=$E44),IF($F44-$E44&lt;=2,"◆",IF($H44="Yes","X",LEFT($D44,1))),""))</f>
        <v/>
      </c>
      <c r="AM44" s="33">
        <f>IF(OR($E44="",$F44=""),"",IF(AND(AM$4&lt;=$F44,AM$4+6&gt;=$E44),IF($F44-$E44&lt;=2,"◆",IF($H44="Yes","X",LEFT($D44,1))),""))</f>
        <v/>
      </c>
      <c r="AN44" s="33">
        <f>IF(OR($E44="",$F44=""),"",IF(AND(AN$4&lt;=$F44,AN$4+6&gt;=$E44),IF($F44-$E44&lt;=2,"◆",IF($H44="Yes","X",LEFT($D44,1))),""))</f>
        <v/>
      </c>
      <c r="AO44" s="33">
        <f>IF(OR($E44="",$F44=""),"",IF(AND(AO$4&lt;=$F44,AO$4+6&gt;=$E44),IF($F44-$E44&lt;=2,"◆",IF($H44="Yes","X",LEFT($D44,1))),""))</f>
        <v/>
      </c>
      <c r="AP44" s="33">
        <f>IF(OR($E44="",$F44=""),"",IF(AND(AP$4&lt;=$F44,AP$4+6&gt;=$E44),IF($F44-$E44&lt;=2,"◆",IF($H44="Yes","X",LEFT($D44,1))),""))</f>
        <v/>
      </c>
      <c r="AQ44" s="33">
        <f>IF(OR($E44="",$F44=""),"",IF(AND(AQ$4&lt;=$F44,AQ$4+6&gt;=$E44),IF($F44-$E44&lt;=2,"◆",IF($H44="Yes","X",LEFT($D44,1))),""))</f>
        <v/>
      </c>
      <c r="AR44" s="33">
        <f>IF(OR($E44="",$F44=""),"",IF(AND(AR$4&lt;=$F44,AR$4+6&gt;=$E44),IF($F44-$E44&lt;=2,"◆",IF($H44="Yes","X",LEFT($D44,1))),""))</f>
        <v/>
      </c>
      <c r="AS44" s="33">
        <f>IF(OR($E44="",$F44=""),"",IF(AND(AS$4&lt;=$F44,AS$4+6&gt;=$E44),IF($F44-$E44&lt;=2,"◆",IF($H44="Yes","X",LEFT($D44,1))),""))</f>
        <v/>
      </c>
      <c r="AT44" s="33">
        <f>IF(OR($E44="",$F44=""),"",IF(AND(AT$4&lt;=$F44,AT$4+6&gt;=$E44),IF($F44-$E44&lt;=2,"◆",IF($H44="Yes","X",LEFT($D44,1))),""))</f>
        <v/>
      </c>
      <c r="AU44" s="33">
        <f>IF(OR($E44="",$F44=""),"",IF(AND(AU$4&lt;=$F44,AU$4+6&gt;=$E44),IF($F44-$E44&lt;=2,"◆",IF($H44="Yes","X",LEFT($D44,1))),""))</f>
        <v/>
      </c>
      <c r="AV44" s="33">
        <f>IF(OR($E44="",$F44=""),"",IF(AND(AV$4&lt;=$F44,AV$4+6&gt;=$E44),IF($F44-$E44&lt;=2,"◆",IF($H44="Yes","X",LEFT($D44,1))),""))</f>
        <v/>
      </c>
      <c r="AW44" s="33">
        <f>IF(OR($E44="",$F44=""),"",IF(AND(AW$4&lt;=$F44,AW$4+6&gt;=$E44),IF($F44-$E44&lt;=2,"◆",IF($H44="Yes","X",LEFT($D44,1))),""))</f>
        <v/>
      </c>
      <c r="AX44" s="33">
        <f>IF(OR($E44="",$F44=""),"",IF(AND(AX$4&lt;=$F44,AX$4+6&gt;=$E44),IF($F44-$E44&lt;=2,"◆",IF($H44="Yes","X",LEFT($D44,1))),""))</f>
        <v/>
      </c>
      <c r="AY44" s="33">
        <f>IF(OR($E44="",$F44=""),"",IF(AND(AY$4&lt;=$F44,AY$4+6&gt;=$E44),IF($F44-$E44&lt;=2,"◆",IF($H44="Yes","X",LEFT($D44,1))),""))</f>
        <v/>
      </c>
      <c r="AZ44" s="33">
        <f>IF(OR($E44="",$F44=""),"",IF(AND(AZ$4&lt;=$F44,AZ$4+6&gt;=$E44),IF($F44-$E44&lt;=2,"◆",IF($H44="Yes","X",LEFT($D44,1))),""))</f>
        <v/>
      </c>
      <c r="BA44" s="33">
        <f>IF(OR($E44="",$F44=""),"",IF(AND(BA$4&lt;=$F44,BA$4+6&gt;=$E44),IF($F44-$E44&lt;=2,"◆",IF($H44="Yes","X",LEFT($D44,1))),""))</f>
        <v/>
      </c>
      <c r="BB44" s="33">
        <f>IF(OR($E44="",$F44=""),"",IF(AND(BB$4&lt;=$F44,BB$4+6&gt;=$E44),IF($F44-$E44&lt;=2,"◆",IF($H44="Yes","X",LEFT($D44,1))),""))</f>
        <v/>
      </c>
      <c r="BC44" s="33">
        <f>IF(OR($E44="",$F44=""),"",IF(AND(BC$4&lt;=$F44,BC$4+6&gt;=$E44),IF($F44-$E44&lt;=2,"◆",IF($H44="Yes","X",LEFT($D44,1))),""))</f>
        <v/>
      </c>
      <c r="BD44" s="33">
        <f>IF(OR($E44="",$F44=""),"",IF(AND(BD$4&lt;=$F44,BD$4+6&gt;=$E44),IF($F44-$E44&lt;=2,"◆",IF($H44="Yes","X",LEFT($D44,1))),""))</f>
        <v/>
      </c>
      <c r="BE44" s="33">
        <f>IF(OR($E44="",$F44=""),"",IF(AND(BE$4&lt;=$F44,BE$4+6&gt;=$E44),IF($F44-$E44&lt;=2,"◆",IF($H44="Yes","X",LEFT($D44,1))),""))</f>
        <v/>
      </c>
      <c r="BF44" s="33">
        <f>IF(OR($E44="",$F44=""),"",IF(AND(BF$4&lt;=$F44,BF$4+6&gt;=$E44),IF($F44-$E44&lt;=2,"◆",IF($H44="Yes","X",LEFT($D44,1))),""))</f>
        <v/>
      </c>
      <c r="BG44" s="33">
        <f>IF(OR($E44="",$F44=""),"",IF(AND(BG$4&lt;=$F44,BG$4+6&gt;=$E44),IF($F44-$E44&lt;=2,"◆",IF($H44="Yes","X",LEFT($D44,1))),""))</f>
        <v/>
      </c>
      <c r="BH44" s="33">
        <f>IF(OR($E44="",$F44=""),"",IF(AND(BH$4&lt;=$F44,BH$4+6&gt;=$E44),IF($F44-$E44&lt;=2,"◆",IF($H44="Yes","X",LEFT($D44,1))),""))</f>
        <v/>
      </c>
      <c r="BI44" s="33">
        <f>IF(OR($E44="",$F44=""),"",IF(AND(BI$4&lt;=$F44,BI$4+6&gt;=$E44),IF($F44-$E44&lt;=2,"◆",IF($H44="Yes","X",LEFT($D44,1))),""))</f>
        <v/>
      </c>
    </row>
    <row r="45">
      <c r="A45" s="30" t="inlineStr">
        <is>
          <t>T-041</t>
        </is>
      </c>
      <c r="B45" s="30" t="inlineStr">
        <is>
          <t>Application Issue Fixes and Remediation</t>
        </is>
      </c>
      <c r="C45" s="30" t="inlineStr">
        <is>
          <t>Jawahar</t>
        </is>
      </c>
      <c r="D45" s="30" t="inlineStr">
        <is>
          <t>In Progress</t>
        </is>
      </c>
      <c r="E45" s="31" t="n">
        <v>46221</v>
      </c>
      <c r="F45" s="31" t="n">
        <v>46290</v>
      </c>
      <c r="G45" s="32" t="n">
        <v>0.41</v>
      </c>
      <c r="H45" s="30" t="inlineStr">
        <is>
          <t>Yes</t>
        </is>
      </c>
      <c r="I45" s="33">
        <f>IF(OR($E45="",$F45=""),"",IF(AND(I$4&lt;=$F45,I$4+6&gt;=$E45),IF($F45-$E45&lt;=2,"◆",IF($H45="Yes","X",LEFT($D45,1))),""))</f>
        <v/>
      </c>
      <c r="J45" s="33">
        <f>IF(OR($E45="",$F45=""),"",IF(AND(J$4&lt;=$F45,J$4+6&gt;=$E45),IF($F45-$E45&lt;=2,"◆",IF($H45="Yes","X",LEFT($D45,1))),""))</f>
        <v/>
      </c>
      <c r="K45" s="33">
        <f>IF(OR($E45="",$F45=""),"",IF(AND(K$4&lt;=$F45,K$4+6&gt;=$E45),IF($F45-$E45&lt;=2,"◆",IF($H45="Yes","X",LEFT($D45,1))),""))</f>
        <v/>
      </c>
      <c r="L45" s="33">
        <f>IF(OR($E45="",$F45=""),"",IF(AND(L$4&lt;=$F45,L$4+6&gt;=$E45),IF($F45-$E45&lt;=2,"◆",IF($H45="Yes","X",LEFT($D45,1))),""))</f>
        <v/>
      </c>
      <c r="M45" s="33">
        <f>IF(OR($E45="",$F45=""),"",IF(AND(M$4&lt;=$F45,M$4+6&gt;=$E45),IF($F45-$E45&lt;=2,"◆",IF($H45="Yes","X",LEFT($D45,1))),""))</f>
        <v/>
      </c>
      <c r="N45" s="33">
        <f>IF(OR($E45="",$F45=""),"",IF(AND(N$4&lt;=$F45,N$4+6&gt;=$E45),IF($F45-$E45&lt;=2,"◆",IF($H45="Yes","X",LEFT($D45,1))),""))</f>
        <v/>
      </c>
      <c r="O45" s="33">
        <f>IF(OR($E45="",$F45=""),"",IF(AND(O$4&lt;=$F45,O$4+6&gt;=$E45),IF($F45-$E45&lt;=2,"◆",IF($H45="Yes","X",LEFT($D45,1))),""))</f>
        <v/>
      </c>
      <c r="P45" s="33">
        <f>IF(OR($E45="",$F45=""),"",IF(AND(P$4&lt;=$F45,P$4+6&gt;=$E45),IF($F45-$E45&lt;=2,"◆",IF($H45="Yes","X",LEFT($D45,1))),""))</f>
        <v/>
      </c>
      <c r="Q45" s="33">
        <f>IF(OR($E45="",$F45=""),"",IF(AND(Q$4&lt;=$F45,Q$4+6&gt;=$E45),IF($F45-$E45&lt;=2,"◆",IF($H45="Yes","X",LEFT($D45,1))),""))</f>
        <v/>
      </c>
      <c r="R45" s="33">
        <f>IF(OR($E45="",$F45=""),"",IF(AND(R$4&lt;=$F45,R$4+6&gt;=$E45),IF($F45-$E45&lt;=2,"◆",IF($H45="Yes","X",LEFT($D45,1))),""))</f>
        <v/>
      </c>
      <c r="S45" s="33">
        <f>IF(OR($E45="",$F45=""),"",IF(AND(S$4&lt;=$F45,S$4+6&gt;=$E45),IF($F45-$E45&lt;=2,"◆",IF($H45="Yes","X",LEFT($D45,1))),""))</f>
        <v/>
      </c>
      <c r="T45" s="33">
        <f>IF(OR($E45="",$F45=""),"",IF(AND(T$4&lt;=$F45,T$4+6&gt;=$E45),IF($F45-$E45&lt;=2,"◆",IF($H45="Yes","X",LEFT($D45,1))),""))</f>
        <v/>
      </c>
      <c r="U45" s="33">
        <f>IF(OR($E45="",$F45=""),"",IF(AND(U$4&lt;=$F45,U$4+6&gt;=$E45),IF($F45-$E45&lt;=2,"◆",IF($H45="Yes","X",LEFT($D45,1))),""))</f>
        <v/>
      </c>
      <c r="V45" s="33">
        <f>IF(OR($E45="",$F45=""),"",IF(AND(V$4&lt;=$F45,V$4+6&gt;=$E45),IF($F45-$E45&lt;=2,"◆",IF($H45="Yes","X",LEFT($D45,1))),""))</f>
        <v/>
      </c>
      <c r="W45" s="33">
        <f>IF(OR($E45="",$F45=""),"",IF(AND(W$4&lt;=$F45,W$4+6&gt;=$E45),IF($F45-$E45&lt;=2,"◆",IF($H45="Yes","X",LEFT($D45,1))),""))</f>
        <v/>
      </c>
      <c r="X45" s="33">
        <f>IF(OR($E45="",$F45=""),"",IF(AND(X$4&lt;=$F45,X$4+6&gt;=$E45),IF($F45-$E45&lt;=2,"◆",IF($H45="Yes","X",LEFT($D45,1))),""))</f>
        <v/>
      </c>
      <c r="Y45" s="33">
        <f>IF(OR($E45="",$F45=""),"",IF(AND(Y$4&lt;=$F45,Y$4+6&gt;=$E45),IF($F45-$E45&lt;=2,"◆",IF($H45="Yes","X",LEFT($D45,1))),""))</f>
        <v/>
      </c>
      <c r="Z45" s="33">
        <f>IF(OR($E45="",$F45=""),"",IF(AND(Z$4&lt;=$F45,Z$4+6&gt;=$E45),IF($F45-$E45&lt;=2,"◆",IF($H45="Yes","X",LEFT($D45,1))),""))</f>
        <v/>
      </c>
      <c r="AA45" s="33">
        <f>IF(OR($E45="",$F45=""),"",IF(AND(AA$4&lt;=$F45,AA$4+6&gt;=$E45),IF($F45-$E45&lt;=2,"◆",IF($H45="Yes","X",LEFT($D45,1))),""))</f>
        <v/>
      </c>
      <c r="AB45" s="33">
        <f>IF(OR($E45="",$F45=""),"",IF(AND(AB$4&lt;=$F45,AB$4+6&gt;=$E45),IF($F45-$E45&lt;=2,"◆",IF($H45="Yes","X",LEFT($D45,1))),""))</f>
        <v/>
      </c>
      <c r="AC45" s="33">
        <f>IF(OR($E45="",$F45=""),"",IF(AND(AC$4&lt;=$F45,AC$4+6&gt;=$E45),IF($F45-$E45&lt;=2,"◆",IF($H45="Yes","X",LEFT($D45,1))),""))</f>
        <v/>
      </c>
      <c r="AD45" s="33">
        <f>IF(OR($E45="",$F45=""),"",IF(AND(AD$4&lt;=$F45,AD$4+6&gt;=$E45),IF($F45-$E45&lt;=2,"◆",IF($H45="Yes","X",LEFT($D45,1))),""))</f>
        <v/>
      </c>
      <c r="AE45" s="33">
        <f>IF(OR($E45="",$F45=""),"",IF(AND(AE$4&lt;=$F45,AE$4+6&gt;=$E45),IF($F45-$E45&lt;=2,"◆",IF($H45="Yes","X",LEFT($D45,1))),""))</f>
        <v/>
      </c>
      <c r="AF45" s="33">
        <f>IF(OR($E45="",$F45=""),"",IF(AND(AF$4&lt;=$F45,AF$4+6&gt;=$E45),IF($F45-$E45&lt;=2,"◆",IF($H45="Yes","X",LEFT($D45,1))),""))</f>
        <v/>
      </c>
      <c r="AG45" s="33">
        <f>IF(OR($E45="",$F45=""),"",IF(AND(AG$4&lt;=$F45,AG$4+6&gt;=$E45),IF($F45-$E45&lt;=2,"◆",IF($H45="Yes","X",LEFT($D45,1))),""))</f>
        <v/>
      </c>
      <c r="AH45" s="33">
        <f>IF(OR($E45="",$F45=""),"",IF(AND(AH$4&lt;=$F45,AH$4+6&gt;=$E45),IF($F45-$E45&lt;=2,"◆",IF($H45="Yes","X",LEFT($D45,1))),""))</f>
        <v/>
      </c>
      <c r="AI45" s="33">
        <f>IF(OR($E45="",$F45=""),"",IF(AND(AI$4&lt;=$F45,AI$4+6&gt;=$E45),IF($F45-$E45&lt;=2,"◆",IF($H45="Yes","X",LEFT($D45,1))),""))</f>
        <v/>
      </c>
      <c r="AJ45" s="33">
        <f>IF(OR($E45="",$F45=""),"",IF(AND(AJ$4&lt;=$F45,AJ$4+6&gt;=$E45),IF($F45-$E45&lt;=2,"◆",IF($H45="Yes","X",LEFT($D45,1))),""))</f>
        <v/>
      </c>
      <c r="AK45" s="33">
        <f>IF(OR($E45="",$F45=""),"",IF(AND(AK$4&lt;=$F45,AK$4+6&gt;=$E45),IF($F45-$E45&lt;=2,"◆",IF($H45="Yes","X",LEFT($D45,1))),""))</f>
        <v/>
      </c>
      <c r="AL45" s="33">
        <f>IF(OR($E45="",$F45=""),"",IF(AND(AL$4&lt;=$F45,AL$4+6&gt;=$E45),IF($F45-$E45&lt;=2,"◆",IF($H45="Yes","X",LEFT($D45,1))),""))</f>
        <v/>
      </c>
      <c r="AM45" s="33">
        <f>IF(OR($E45="",$F45=""),"",IF(AND(AM$4&lt;=$F45,AM$4+6&gt;=$E45),IF($F45-$E45&lt;=2,"◆",IF($H45="Yes","X",LEFT($D45,1))),""))</f>
        <v/>
      </c>
      <c r="AN45" s="33">
        <f>IF(OR($E45="",$F45=""),"",IF(AND(AN$4&lt;=$F45,AN$4+6&gt;=$E45),IF($F45-$E45&lt;=2,"◆",IF($H45="Yes","X",LEFT($D45,1))),""))</f>
        <v/>
      </c>
      <c r="AO45" s="33">
        <f>IF(OR($E45="",$F45=""),"",IF(AND(AO$4&lt;=$F45,AO$4+6&gt;=$E45),IF($F45-$E45&lt;=2,"◆",IF($H45="Yes","X",LEFT($D45,1))),""))</f>
        <v/>
      </c>
      <c r="AP45" s="33">
        <f>IF(OR($E45="",$F45=""),"",IF(AND(AP$4&lt;=$F45,AP$4+6&gt;=$E45),IF($F45-$E45&lt;=2,"◆",IF($H45="Yes","X",LEFT($D45,1))),""))</f>
        <v/>
      </c>
      <c r="AQ45" s="33">
        <f>IF(OR($E45="",$F45=""),"",IF(AND(AQ$4&lt;=$F45,AQ$4+6&gt;=$E45),IF($F45-$E45&lt;=2,"◆",IF($H45="Yes","X",LEFT($D45,1))),""))</f>
        <v/>
      </c>
      <c r="AR45" s="33">
        <f>IF(OR($E45="",$F45=""),"",IF(AND(AR$4&lt;=$F45,AR$4+6&gt;=$E45),IF($F45-$E45&lt;=2,"◆",IF($H45="Yes","X",LEFT($D45,1))),""))</f>
        <v/>
      </c>
      <c r="AS45" s="33">
        <f>IF(OR($E45="",$F45=""),"",IF(AND(AS$4&lt;=$F45,AS$4+6&gt;=$E45),IF($F45-$E45&lt;=2,"◆",IF($H45="Yes","X",LEFT($D45,1))),""))</f>
        <v/>
      </c>
      <c r="AT45" s="33">
        <f>IF(OR($E45="",$F45=""),"",IF(AND(AT$4&lt;=$F45,AT$4+6&gt;=$E45),IF($F45-$E45&lt;=2,"◆",IF($H45="Yes","X",LEFT($D45,1))),""))</f>
        <v/>
      </c>
      <c r="AU45" s="33">
        <f>IF(OR($E45="",$F45=""),"",IF(AND(AU$4&lt;=$F45,AU$4+6&gt;=$E45),IF($F45-$E45&lt;=2,"◆",IF($H45="Yes","X",LEFT($D45,1))),""))</f>
        <v/>
      </c>
      <c r="AV45" s="33">
        <f>IF(OR($E45="",$F45=""),"",IF(AND(AV$4&lt;=$F45,AV$4+6&gt;=$E45),IF($F45-$E45&lt;=2,"◆",IF($H45="Yes","X",LEFT($D45,1))),""))</f>
        <v/>
      </c>
      <c r="AW45" s="33">
        <f>IF(OR($E45="",$F45=""),"",IF(AND(AW$4&lt;=$F45,AW$4+6&gt;=$E45),IF($F45-$E45&lt;=2,"◆",IF($H45="Yes","X",LEFT($D45,1))),""))</f>
        <v/>
      </c>
      <c r="AX45" s="33">
        <f>IF(OR($E45="",$F45=""),"",IF(AND(AX$4&lt;=$F45,AX$4+6&gt;=$E45),IF($F45-$E45&lt;=2,"◆",IF($H45="Yes","X",LEFT($D45,1))),""))</f>
        <v/>
      </c>
      <c r="AY45" s="33">
        <f>IF(OR($E45="",$F45=""),"",IF(AND(AY$4&lt;=$F45,AY$4+6&gt;=$E45),IF($F45-$E45&lt;=2,"◆",IF($H45="Yes","X",LEFT($D45,1))),""))</f>
        <v/>
      </c>
      <c r="AZ45" s="33">
        <f>IF(OR($E45="",$F45=""),"",IF(AND(AZ$4&lt;=$F45,AZ$4+6&gt;=$E45),IF($F45-$E45&lt;=2,"◆",IF($H45="Yes","X",LEFT($D45,1))),""))</f>
        <v/>
      </c>
      <c r="BA45" s="33">
        <f>IF(OR($E45="",$F45=""),"",IF(AND(BA$4&lt;=$F45,BA$4+6&gt;=$E45),IF($F45-$E45&lt;=2,"◆",IF($H45="Yes","X",LEFT($D45,1))),""))</f>
        <v/>
      </c>
      <c r="BB45" s="33">
        <f>IF(OR($E45="",$F45=""),"",IF(AND(BB$4&lt;=$F45,BB$4+6&gt;=$E45),IF($F45-$E45&lt;=2,"◆",IF($H45="Yes","X",LEFT($D45,1))),""))</f>
        <v/>
      </c>
      <c r="BC45" s="33">
        <f>IF(OR($E45="",$F45=""),"",IF(AND(BC$4&lt;=$F45,BC$4+6&gt;=$E45),IF($F45-$E45&lt;=2,"◆",IF($H45="Yes","X",LEFT($D45,1))),""))</f>
        <v/>
      </c>
      <c r="BD45" s="33">
        <f>IF(OR($E45="",$F45=""),"",IF(AND(BD$4&lt;=$F45,BD$4+6&gt;=$E45),IF($F45-$E45&lt;=2,"◆",IF($H45="Yes","X",LEFT($D45,1))),""))</f>
        <v/>
      </c>
      <c r="BE45" s="33">
        <f>IF(OR($E45="",$F45=""),"",IF(AND(BE$4&lt;=$F45,BE$4+6&gt;=$E45),IF($F45-$E45&lt;=2,"◆",IF($H45="Yes","X",LEFT($D45,1))),""))</f>
        <v/>
      </c>
      <c r="BF45" s="33">
        <f>IF(OR($E45="",$F45=""),"",IF(AND(BF$4&lt;=$F45,BF$4+6&gt;=$E45),IF($F45-$E45&lt;=2,"◆",IF($H45="Yes","X",LEFT($D45,1))),""))</f>
        <v/>
      </c>
      <c r="BG45" s="33">
        <f>IF(OR($E45="",$F45=""),"",IF(AND(BG$4&lt;=$F45,BG$4+6&gt;=$E45),IF($F45-$E45&lt;=2,"◆",IF($H45="Yes","X",LEFT($D45,1))),""))</f>
        <v/>
      </c>
      <c r="BH45" s="33">
        <f>IF(OR($E45="",$F45=""),"",IF(AND(BH$4&lt;=$F45,BH$4+6&gt;=$E45),IF($F45-$E45&lt;=2,"◆",IF($H45="Yes","X",LEFT($D45,1))),""))</f>
        <v/>
      </c>
      <c r="BI45" s="33">
        <f>IF(OR($E45="",$F45=""),"",IF(AND(BI$4&lt;=$F45,BI$4+6&gt;=$E45),IF($F45-$E45&lt;=2,"◆",IF($H45="Yes","X",LEFT($D45,1))),""))</f>
        <v/>
      </c>
    </row>
    <row r="46">
      <c r="A46" s="30" t="inlineStr">
        <is>
          <t>T-042</t>
        </is>
      </c>
      <c r="B46" s="30" t="inlineStr">
        <is>
          <t>GitLab DAST Enablement for Web Application and Admin Console</t>
        </is>
      </c>
      <c r="C46" s="30" t="inlineStr">
        <is>
          <t>Jawahar</t>
        </is>
      </c>
      <c r="D46" s="30" t="inlineStr">
        <is>
          <t>Not Started</t>
        </is>
      </c>
      <c r="E46" s="31" t="n">
        <v>46242</v>
      </c>
      <c r="F46" s="31" t="n">
        <v>46248</v>
      </c>
      <c r="G46" s="32" t="n">
        <v>0</v>
      </c>
      <c r="H46" s="30" t="inlineStr">
        <is>
          <t>No</t>
        </is>
      </c>
      <c r="I46" s="33">
        <f>IF(OR($E46="",$F46=""),"",IF(AND(I$4&lt;=$F46,I$4+6&gt;=$E46),IF($F46-$E46&lt;=2,"◆",IF($H46="Yes","X",LEFT($D46,1))),""))</f>
        <v/>
      </c>
      <c r="J46" s="33">
        <f>IF(OR($E46="",$F46=""),"",IF(AND(J$4&lt;=$F46,J$4+6&gt;=$E46),IF($F46-$E46&lt;=2,"◆",IF($H46="Yes","X",LEFT($D46,1))),""))</f>
        <v/>
      </c>
      <c r="K46" s="33">
        <f>IF(OR($E46="",$F46=""),"",IF(AND(K$4&lt;=$F46,K$4+6&gt;=$E46),IF($F46-$E46&lt;=2,"◆",IF($H46="Yes","X",LEFT($D46,1))),""))</f>
        <v/>
      </c>
      <c r="L46" s="33">
        <f>IF(OR($E46="",$F46=""),"",IF(AND(L$4&lt;=$F46,L$4+6&gt;=$E46),IF($F46-$E46&lt;=2,"◆",IF($H46="Yes","X",LEFT($D46,1))),""))</f>
        <v/>
      </c>
      <c r="M46" s="33">
        <f>IF(OR($E46="",$F46=""),"",IF(AND(M$4&lt;=$F46,M$4+6&gt;=$E46),IF($F46-$E46&lt;=2,"◆",IF($H46="Yes","X",LEFT($D46,1))),""))</f>
        <v/>
      </c>
      <c r="N46" s="33">
        <f>IF(OR($E46="",$F46=""),"",IF(AND(N$4&lt;=$F46,N$4+6&gt;=$E46),IF($F46-$E46&lt;=2,"◆",IF($H46="Yes","X",LEFT($D46,1))),""))</f>
        <v/>
      </c>
      <c r="O46" s="33">
        <f>IF(OR($E46="",$F46=""),"",IF(AND(O$4&lt;=$F46,O$4+6&gt;=$E46),IF($F46-$E46&lt;=2,"◆",IF($H46="Yes","X",LEFT($D46,1))),""))</f>
        <v/>
      </c>
      <c r="P46" s="33">
        <f>IF(OR($E46="",$F46=""),"",IF(AND(P$4&lt;=$F46,P$4+6&gt;=$E46),IF($F46-$E46&lt;=2,"◆",IF($H46="Yes","X",LEFT($D46,1))),""))</f>
        <v/>
      </c>
      <c r="Q46" s="33">
        <f>IF(OR($E46="",$F46=""),"",IF(AND(Q$4&lt;=$F46,Q$4+6&gt;=$E46),IF($F46-$E46&lt;=2,"◆",IF($H46="Yes","X",LEFT($D46,1))),""))</f>
        <v/>
      </c>
      <c r="R46" s="33">
        <f>IF(OR($E46="",$F46=""),"",IF(AND(R$4&lt;=$F46,R$4+6&gt;=$E46),IF($F46-$E46&lt;=2,"◆",IF($H46="Yes","X",LEFT($D46,1))),""))</f>
        <v/>
      </c>
      <c r="S46" s="33">
        <f>IF(OR($E46="",$F46=""),"",IF(AND(S$4&lt;=$F46,S$4+6&gt;=$E46),IF($F46-$E46&lt;=2,"◆",IF($H46="Yes","X",LEFT($D46,1))),""))</f>
        <v/>
      </c>
      <c r="T46" s="33">
        <f>IF(OR($E46="",$F46=""),"",IF(AND(T$4&lt;=$F46,T$4+6&gt;=$E46),IF($F46-$E46&lt;=2,"◆",IF($H46="Yes","X",LEFT($D46,1))),""))</f>
        <v/>
      </c>
      <c r="U46" s="33">
        <f>IF(OR($E46="",$F46=""),"",IF(AND(U$4&lt;=$F46,U$4+6&gt;=$E46),IF($F46-$E46&lt;=2,"◆",IF($H46="Yes","X",LEFT($D46,1))),""))</f>
        <v/>
      </c>
      <c r="V46" s="33">
        <f>IF(OR($E46="",$F46=""),"",IF(AND(V$4&lt;=$F46,V$4+6&gt;=$E46),IF($F46-$E46&lt;=2,"◆",IF($H46="Yes","X",LEFT($D46,1))),""))</f>
        <v/>
      </c>
      <c r="W46" s="33">
        <f>IF(OR($E46="",$F46=""),"",IF(AND(W$4&lt;=$F46,W$4+6&gt;=$E46),IF($F46-$E46&lt;=2,"◆",IF($H46="Yes","X",LEFT($D46,1))),""))</f>
        <v/>
      </c>
      <c r="X46" s="33">
        <f>IF(OR($E46="",$F46=""),"",IF(AND(X$4&lt;=$F46,X$4+6&gt;=$E46),IF($F46-$E46&lt;=2,"◆",IF($H46="Yes","X",LEFT($D46,1))),""))</f>
        <v/>
      </c>
      <c r="Y46" s="33">
        <f>IF(OR($E46="",$F46=""),"",IF(AND(Y$4&lt;=$F46,Y$4+6&gt;=$E46),IF($F46-$E46&lt;=2,"◆",IF($H46="Yes","X",LEFT($D46,1))),""))</f>
        <v/>
      </c>
      <c r="Z46" s="33">
        <f>IF(OR($E46="",$F46=""),"",IF(AND(Z$4&lt;=$F46,Z$4+6&gt;=$E46),IF($F46-$E46&lt;=2,"◆",IF($H46="Yes","X",LEFT($D46,1))),""))</f>
        <v/>
      </c>
      <c r="AA46" s="33">
        <f>IF(OR($E46="",$F46=""),"",IF(AND(AA$4&lt;=$F46,AA$4+6&gt;=$E46),IF($F46-$E46&lt;=2,"◆",IF($H46="Yes","X",LEFT($D46,1))),""))</f>
        <v/>
      </c>
      <c r="AB46" s="33">
        <f>IF(OR($E46="",$F46=""),"",IF(AND(AB$4&lt;=$F46,AB$4+6&gt;=$E46),IF($F46-$E46&lt;=2,"◆",IF($H46="Yes","X",LEFT($D46,1))),""))</f>
        <v/>
      </c>
      <c r="AC46" s="33">
        <f>IF(OR($E46="",$F46=""),"",IF(AND(AC$4&lt;=$F46,AC$4+6&gt;=$E46),IF($F46-$E46&lt;=2,"◆",IF($H46="Yes","X",LEFT($D46,1))),""))</f>
        <v/>
      </c>
      <c r="AD46" s="33">
        <f>IF(OR($E46="",$F46=""),"",IF(AND(AD$4&lt;=$F46,AD$4+6&gt;=$E46),IF($F46-$E46&lt;=2,"◆",IF($H46="Yes","X",LEFT($D46,1))),""))</f>
        <v/>
      </c>
      <c r="AE46" s="33">
        <f>IF(OR($E46="",$F46=""),"",IF(AND(AE$4&lt;=$F46,AE$4+6&gt;=$E46),IF($F46-$E46&lt;=2,"◆",IF($H46="Yes","X",LEFT($D46,1))),""))</f>
        <v/>
      </c>
      <c r="AF46" s="33">
        <f>IF(OR($E46="",$F46=""),"",IF(AND(AF$4&lt;=$F46,AF$4+6&gt;=$E46),IF($F46-$E46&lt;=2,"◆",IF($H46="Yes","X",LEFT($D46,1))),""))</f>
        <v/>
      </c>
      <c r="AG46" s="33">
        <f>IF(OR($E46="",$F46=""),"",IF(AND(AG$4&lt;=$F46,AG$4+6&gt;=$E46),IF($F46-$E46&lt;=2,"◆",IF($H46="Yes","X",LEFT($D46,1))),""))</f>
        <v/>
      </c>
      <c r="AH46" s="33">
        <f>IF(OR($E46="",$F46=""),"",IF(AND(AH$4&lt;=$F46,AH$4+6&gt;=$E46),IF($F46-$E46&lt;=2,"◆",IF($H46="Yes","X",LEFT($D46,1))),""))</f>
        <v/>
      </c>
      <c r="AI46" s="33">
        <f>IF(OR($E46="",$F46=""),"",IF(AND(AI$4&lt;=$F46,AI$4+6&gt;=$E46),IF($F46-$E46&lt;=2,"◆",IF($H46="Yes","X",LEFT($D46,1))),""))</f>
        <v/>
      </c>
      <c r="AJ46" s="33">
        <f>IF(OR($E46="",$F46=""),"",IF(AND(AJ$4&lt;=$F46,AJ$4+6&gt;=$E46),IF($F46-$E46&lt;=2,"◆",IF($H46="Yes","X",LEFT($D46,1))),""))</f>
        <v/>
      </c>
      <c r="AK46" s="33">
        <f>IF(OR($E46="",$F46=""),"",IF(AND(AK$4&lt;=$F46,AK$4+6&gt;=$E46),IF($F46-$E46&lt;=2,"◆",IF($H46="Yes","X",LEFT($D46,1))),""))</f>
        <v/>
      </c>
      <c r="AL46" s="33">
        <f>IF(OR($E46="",$F46=""),"",IF(AND(AL$4&lt;=$F46,AL$4+6&gt;=$E46),IF($F46-$E46&lt;=2,"◆",IF($H46="Yes","X",LEFT($D46,1))),""))</f>
        <v/>
      </c>
      <c r="AM46" s="33">
        <f>IF(OR($E46="",$F46=""),"",IF(AND(AM$4&lt;=$F46,AM$4+6&gt;=$E46),IF($F46-$E46&lt;=2,"◆",IF($H46="Yes","X",LEFT($D46,1))),""))</f>
        <v/>
      </c>
      <c r="AN46" s="33">
        <f>IF(OR($E46="",$F46=""),"",IF(AND(AN$4&lt;=$F46,AN$4+6&gt;=$E46),IF($F46-$E46&lt;=2,"◆",IF($H46="Yes","X",LEFT($D46,1))),""))</f>
        <v/>
      </c>
      <c r="AO46" s="33">
        <f>IF(OR($E46="",$F46=""),"",IF(AND(AO$4&lt;=$F46,AO$4+6&gt;=$E46),IF($F46-$E46&lt;=2,"◆",IF($H46="Yes","X",LEFT($D46,1))),""))</f>
        <v/>
      </c>
      <c r="AP46" s="33">
        <f>IF(OR($E46="",$F46=""),"",IF(AND(AP$4&lt;=$F46,AP$4+6&gt;=$E46),IF($F46-$E46&lt;=2,"◆",IF($H46="Yes","X",LEFT($D46,1))),""))</f>
        <v/>
      </c>
      <c r="AQ46" s="33">
        <f>IF(OR($E46="",$F46=""),"",IF(AND(AQ$4&lt;=$F46,AQ$4+6&gt;=$E46),IF($F46-$E46&lt;=2,"◆",IF($H46="Yes","X",LEFT($D46,1))),""))</f>
        <v/>
      </c>
      <c r="AR46" s="33">
        <f>IF(OR($E46="",$F46=""),"",IF(AND(AR$4&lt;=$F46,AR$4+6&gt;=$E46),IF($F46-$E46&lt;=2,"◆",IF($H46="Yes","X",LEFT($D46,1))),""))</f>
        <v/>
      </c>
      <c r="AS46" s="33">
        <f>IF(OR($E46="",$F46=""),"",IF(AND(AS$4&lt;=$F46,AS$4+6&gt;=$E46),IF($F46-$E46&lt;=2,"◆",IF($H46="Yes","X",LEFT($D46,1))),""))</f>
        <v/>
      </c>
      <c r="AT46" s="33">
        <f>IF(OR($E46="",$F46=""),"",IF(AND(AT$4&lt;=$F46,AT$4+6&gt;=$E46),IF($F46-$E46&lt;=2,"◆",IF($H46="Yes","X",LEFT($D46,1))),""))</f>
        <v/>
      </c>
      <c r="AU46" s="33">
        <f>IF(OR($E46="",$F46=""),"",IF(AND(AU$4&lt;=$F46,AU$4+6&gt;=$E46),IF($F46-$E46&lt;=2,"◆",IF($H46="Yes","X",LEFT($D46,1))),""))</f>
        <v/>
      </c>
      <c r="AV46" s="33">
        <f>IF(OR($E46="",$F46=""),"",IF(AND(AV$4&lt;=$F46,AV$4+6&gt;=$E46),IF($F46-$E46&lt;=2,"◆",IF($H46="Yes","X",LEFT($D46,1))),""))</f>
        <v/>
      </c>
      <c r="AW46" s="33">
        <f>IF(OR($E46="",$F46=""),"",IF(AND(AW$4&lt;=$F46,AW$4+6&gt;=$E46),IF($F46-$E46&lt;=2,"◆",IF($H46="Yes","X",LEFT($D46,1))),""))</f>
        <v/>
      </c>
      <c r="AX46" s="33">
        <f>IF(OR($E46="",$F46=""),"",IF(AND(AX$4&lt;=$F46,AX$4+6&gt;=$E46),IF($F46-$E46&lt;=2,"◆",IF($H46="Yes","X",LEFT($D46,1))),""))</f>
        <v/>
      </c>
      <c r="AY46" s="33">
        <f>IF(OR($E46="",$F46=""),"",IF(AND(AY$4&lt;=$F46,AY$4+6&gt;=$E46),IF($F46-$E46&lt;=2,"◆",IF($H46="Yes","X",LEFT($D46,1))),""))</f>
        <v/>
      </c>
      <c r="AZ46" s="33">
        <f>IF(OR($E46="",$F46=""),"",IF(AND(AZ$4&lt;=$F46,AZ$4+6&gt;=$E46),IF($F46-$E46&lt;=2,"◆",IF($H46="Yes","X",LEFT($D46,1))),""))</f>
        <v/>
      </c>
      <c r="BA46" s="33">
        <f>IF(OR($E46="",$F46=""),"",IF(AND(BA$4&lt;=$F46,BA$4+6&gt;=$E46),IF($F46-$E46&lt;=2,"◆",IF($H46="Yes","X",LEFT($D46,1))),""))</f>
        <v/>
      </c>
      <c r="BB46" s="33">
        <f>IF(OR($E46="",$F46=""),"",IF(AND(BB$4&lt;=$F46,BB$4+6&gt;=$E46),IF($F46-$E46&lt;=2,"◆",IF($H46="Yes","X",LEFT($D46,1))),""))</f>
        <v/>
      </c>
      <c r="BC46" s="33">
        <f>IF(OR($E46="",$F46=""),"",IF(AND(BC$4&lt;=$F46,BC$4+6&gt;=$E46),IF($F46-$E46&lt;=2,"◆",IF($H46="Yes","X",LEFT($D46,1))),""))</f>
        <v/>
      </c>
      <c r="BD46" s="33">
        <f>IF(OR($E46="",$F46=""),"",IF(AND(BD$4&lt;=$F46,BD$4+6&gt;=$E46),IF($F46-$E46&lt;=2,"◆",IF($H46="Yes","X",LEFT($D46,1))),""))</f>
        <v/>
      </c>
      <c r="BE46" s="33">
        <f>IF(OR($E46="",$F46=""),"",IF(AND(BE$4&lt;=$F46,BE$4+6&gt;=$E46),IF($F46-$E46&lt;=2,"◆",IF($H46="Yes","X",LEFT($D46,1))),""))</f>
        <v/>
      </c>
      <c r="BF46" s="33">
        <f>IF(OR($E46="",$F46=""),"",IF(AND(BF$4&lt;=$F46,BF$4+6&gt;=$E46),IF($F46-$E46&lt;=2,"◆",IF($H46="Yes","X",LEFT($D46,1))),""))</f>
        <v/>
      </c>
      <c r="BG46" s="33">
        <f>IF(OR($E46="",$F46=""),"",IF(AND(BG$4&lt;=$F46,BG$4+6&gt;=$E46),IF($F46-$E46&lt;=2,"◆",IF($H46="Yes","X",LEFT($D46,1))),""))</f>
        <v/>
      </c>
      <c r="BH46" s="33">
        <f>IF(OR($E46="",$F46=""),"",IF(AND(BH$4&lt;=$F46,BH$4+6&gt;=$E46),IF($F46-$E46&lt;=2,"◆",IF($H46="Yes","X",LEFT($D46,1))),""))</f>
        <v/>
      </c>
      <c r="BI46" s="33">
        <f>IF(OR($E46="",$F46=""),"",IF(AND(BI$4&lt;=$F46,BI$4+6&gt;=$E46),IF($F46-$E46&lt;=2,"◆",IF($H46="Yes","X",LEFT($D46,1))),""))</f>
        <v/>
      </c>
    </row>
    <row r="47">
      <c r="A47" s="30" t="inlineStr">
        <is>
          <t>T-043</t>
        </is>
      </c>
      <c r="B47" s="30" t="inlineStr">
        <is>
          <t>Release Management, Regression Testing and Test Automation</t>
        </is>
      </c>
      <c r="C47" s="30" t="inlineStr">
        <is>
          <t>Kadarkarai</t>
        </is>
      </c>
      <c r="D47" s="30" t="inlineStr">
        <is>
          <t>Not Started</t>
        </is>
      </c>
      <c r="E47" s="31" t="n">
        <v>46269</v>
      </c>
      <c r="F47" s="31" t="n">
        <v>46293</v>
      </c>
      <c r="G47" s="32" t="n">
        <v>0</v>
      </c>
      <c r="H47" s="30" t="inlineStr">
        <is>
          <t>No</t>
        </is>
      </c>
      <c r="I47" s="33">
        <f>IF(OR($E47="",$F47=""),"",IF(AND(I$4&lt;=$F47,I$4+6&gt;=$E47),IF($F47-$E47&lt;=2,"◆",IF($H47="Yes","X",LEFT($D47,1))),""))</f>
        <v/>
      </c>
      <c r="J47" s="33">
        <f>IF(OR($E47="",$F47=""),"",IF(AND(J$4&lt;=$F47,J$4+6&gt;=$E47),IF($F47-$E47&lt;=2,"◆",IF($H47="Yes","X",LEFT($D47,1))),""))</f>
        <v/>
      </c>
      <c r="K47" s="33">
        <f>IF(OR($E47="",$F47=""),"",IF(AND(K$4&lt;=$F47,K$4+6&gt;=$E47),IF($F47-$E47&lt;=2,"◆",IF($H47="Yes","X",LEFT($D47,1))),""))</f>
        <v/>
      </c>
      <c r="L47" s="33">
        <f>IF(OR($E47="",$F47=""),"",IF(AND(L$4&lt;=$F47,L$4+6&gt;=$E47),IF($F47-$E47&lt;=2,"◆",IF($H47="Yes","X",LEFT($D47,1))),""))</f>
        <v/>
      </c>
      <c r="M47" s="33">
        <f>IF(OR($E47="",$F47=""),"",IF(AND(M$4&lt;=$F47,M$4+6&gt;=$E47),IF($F47-$E47&lt;=2,"◆",IF($H47="Yes","X",LEFT($D47,1))),""))</f>
        <v/>
      </c>
      <c r="N47" s="33">
        <f>IF(OR($E47="",$F47=""),"",IF(AND(N$4&lt;=$F47,N$4+6&gt;=$E47),IF($F47-$E47&lt;=2,"◆",IF($H47="Yes","X",LEFT($D47,1))),""))</f>
        <v/>
      </c>
      <c r="O47" s="33">
        <f>IF(OR($E47="",$F47=""),"",IF(AND(O$4&lt;=$F47,O$4+6&gt;=$E47),IF($F47-$E47&lt;=2,"◆",IF($H47="Yes","X",LEFT($D47,1))),""))</f>
        <v/>
      </c>
      <c r="P47" s="33">
        <f>IF(OR($E47="",$F47=""),"",IF(AND(P$4&lt;=$F47,P$4+6&gt;=$E47),IF($F47-$E47&lt;=2,"◆",IF($H47="Yes","X",LEFT($D47,1))),""))</f>
        <v/>
      </c>
      <c r="Q47" s="33">
        <f>IF(OR($E47="",$F47=""),"",IF(AND(Q$4&lt;=$F47,Q$4+6&gt;=$E47),IF($F47-$E47&lt;=2,"◆",IF($H47="Yes","X",LEFT($D47,1))),""))</f>
        <v/>
      </c>
      <c r="R47" s="33">
        <f>IF(OR($E47="",$F47=""),"",IF(AND(R$4&lt;=$F47,R$4+6&gt;=$E47),IF($F47-$E47&lt;=2,"◆",IF($H47="Yes","X",LEFT($D47,1))),""))</f>
        <v/>
      </c>
      <c r="S47" s="33">
        <f>IF(OR($E47="",$F47=""),"",IF(AND(S$4&lt;=$F47,S$4+6&gt;=$E47),IF($F47-$E47&lt;=2,"◆",IF($H47="Yes","X",LEFT($D47,1))),""))</f>
        <v/>
      </c>
      <c r="T47" s="33">
        <f>IF(OR($E47="",$F47=""),"",IF(AND(T$4&lt;=$F47,T$4+6&gt;=$E47),IF($F47-$E47&lt;=2,"◆",IF($H47="Yes","X",LEFT($D47,1))),""))</f>
        <v/>
      </c>
      <c r="U47" s="33">
        <f>IF(OR($E47="",$F47=""),"",IF(AND(U$4&lt;=$F47,U$4+6&gt;=$E47),IF($F47-$E47&lt;=2,"◆",IF($H47="Yes","X",LEFT($D47,1))),""))</f>
        <v/>
      </c>
      <c r="V47" s="33">
        <f>IF(OR($E47="",$F47=""),"",IF(AND(V$4&lt;=$F47,V$4+6&gt;=$E47),IF($F47-$E47&lt;=2,"◆",IF($H47="Yes","X",LEFT($D47,1))),""))</f>
        <v/>
      </c>
      <c r="W47" s="33">
        <f>IF(OR($E47="",$F47=""),"",IF(AND(W$4&lt;=$F47,W$4+6&gt;=$E47),IF($F47-$E47&lt;=2,"◆",IF($H47="Yes","X",LEFT($D47,1))),""))</f>
        <v/>
      </c>
      <c r="X47" s="33">
        <f>IF(OR($E47="",$F47=""),"",IF(AND(X$4&lt;=$F47,X$4+6&gt;=$E47),IF($F47-$E47&lt;=2,"◆",IF($H47="Yes","X",LEFT($D47,1))),""))</f>
        <v/>
      </c>
      <c r="Y47" s="33">
        <f>IF(OR($E47="",$F47=""),"",IF(AND(Y$4&lt;=$F47,Y$4+6&gt;=$E47),IF($F47-$E47&lt;=2,"◆",IF($H47="Yes","X",LEFT($D47,1))),""))</f>
        <v/>
      </c>
      <c r="Z47" s="33">
        <f>IF(OR($E47="",$F47=""),"",IF(AND(Z$4&lt;=$F47,Z$4+6&gt;=$E47),IF($F47-$E47&lt;=2,"◆",IF($H47="Yes","X",LEFT($D47,1))),""))</f>
        <v/>
      </c>
      <c r="AA47" s="33">
        <f>IF(OR($E47="",$F47=""),"",IF(AND(AA$4&lt;=$F47,AA$4+6&gt;=$E47),IF($F47-$E47&lt;=2,"◆",IF($H47="Yes","X",LEFT($D47,1))),""))</f>
        <v/>
      </c>
      <c r="AB47" s="33">
        <f>IF(OR($E47="",$F47=""),"",IF(AND(AB$4&lt;=$F47,AB$4+6&gt;=$E47),IF($F47-$E47&lt;=2,"◆",IF($H47="Yes","X",LEFT($D47,1))),""))</f>
        <v/>
      </c>
      <c r="AC47" s="33">
        <f>IF(OR($E47="",$F47=""),"",IF(AND(AC$4&lt;=$F47,AC$4+6&gt;=$E47),IF($F47-$E47&lt;=2,"◆",IF($H47="Yes","X",LEFT($D47,1))),""))</f>
        <v/>
      </c>
      <c r="AD47" s="33">
        <f>IF(OR($E47="",$F47=""),"",IF(AND(AD$4&lt;=$F47,AD$4+6&gt;=$E47),IF($F47-$E47&lt;=2,"◆",IF($H47="Yes","X",LEFT($D47,1))),""))</f>
        <v/>
      </c>
      <c r="AE47" s="33">
        <f>IF(OR($E47="",$F47=""),"",IF(AND(AE$4&lt;=$F47,AE$4+6&gt;=$E47),IF($F47-$E47&lt;=2,"◆",IF($H47="Yes","X",LEFT($D47,1))),""))</f>
        <v/>
      </c>
      <c r="AF47" s="33">
        <f>IF(OR($E47="",$F47=""),"",IF(AND(AF$4&lt;=$F47,AF$4+6&gt;=$E47),IF($F47-$E47&lt;=2,"◆",IF($H47="Yes","X",LEFT($D47,1))),""))</f>
        <v/>
      </c>
      <c r="AG47" s="33">
        <f>IF(OR($E47="",$F47=""),"",IF(AND(AG$4&lt;=$F47,AG$4+6&gt;=$E47),IF($F47-$E47&lt;=2,"◆",IF($H47="Yes","X",LEFT($D47,1))),""))</f>
        <v/>
      </c>
      <c r="AH47" s="33">
        <f>IF(OR($E47="",$F47=""),"",IF(AND(AH$4&lt;=$F47,AH$4+6&gt;=$E47),IF($F47-$E47&lt;=2,"◆",IF($H47="Yes","X",LEFT($D47,1))),""))</f>
        <v/>
      </c>
      <c r="AI47" s="33">
        <f>IF(OR($E47="",$F47=""),"",IF(AND(AI$4&lt;=$F47,AI$4+6&gt;=$E47),IF($F47-$E47&lt;=2,"◆",IF($H47="Yes","X",LEFT($D47,1))),""))</f>
        <v/>
      </c>
      <c r="AJ47" s="33">
        <f>IF(OR($E47="",$F47=""),"",IF(AND(AJ$4&lt;=$F47,AJ$4+6&gt;=$E47),IF($F47-$E47&lt;=2,"◆",IF($H47="Yes","X",LEFT($D47,1))),""))</f>
        <v/>
      </c>
      <c r="AK47" s="33">
        <f>IF(OR($E47="",$F47=""),"",IF(AND(AK$4&lt;=$F47,AK$4+6&gt;=$E47),IF($F47-$E47&lt;=2,"◆",IF($H47="Yes","X",LEFT($D47,1))),""))</f>
        <v/>
      </c>
      <c r="AL47" s="33">
        <f>IF(OR($E47="",$F47=""),"",IF(AND(AL$4&lt;=$F47,AL$4+6&gt;=$E47),IF($F47-$E47&lt;=2,"◆",IF($H47="Yes","X",LEFT($D47,1))),""))</f>
        <v/>
      </c>
      <c r="AM47" s="33">
        <f>IF(OR($E47="",$F47=""),"",IF(AND(AM$4&lt;=$F47,AM$4+6&gt;=$E47),IF($F47-$E47&lt;=2,"◆",IF($H47="Yes","X",LEFT($D47,1))),""))</f>
        <v/>
      </c>
      <c r="AN47" s="33">
        <f>IF(OR($E47="",$F47=""),"",IF(AND(AN$4&lt;=$F47,AN$4+6&gt;=$E47),IF($F47-$E47&lt;=2,"◆",IF($H47="Yes","X",LEFT($D47,1))),""))</f>
        <v/>
      </c>
      <c r="AO47" s="33">
        <f>IF(OR($E47="",$F47=""),"",IF(AND(AO$4&lt;=$F47,AO$4+6&gt;=$E47),IF($F47-$E47&lt;=2,"◆",IF($H47="Yes","X",LEFT($D47,1))),""))</f>
        <v/>
      </c>
      <c r="AP47" s="33">
        <f>IF(OR($E47="",$F47=""),"",IF(AND(AP$4&lt;=$F47,AP$4+6&gt;=$E47),IF($F47-$E47&lt;=2,"◆",IF($H47="Yes","X",LEFT($D47,1))),""))</f>
        <v/>
      </c>
      <c r="AQ47" s="33">
        <f>IF(OR($E47="",$F47=""),"",IF(AND(AQ$4&lt;=$F47,AQ$4+6&gt;=$E47),IF($F47-$E47&lt;=2,"◆",IF($H47="Yes","X",LEFT($D47,1))),""))</f>
        <v/>
      </c>
      <c r="AR47" s="33">
        <f>IF(OR($E47="",$F47=""),"",IF(AND(AR$4&lt;=$F47,AR$4+6&gt;=$E47),IF($F47-$E47&lt;=2,"◆",IF($H47="Yes","X",LEFT($D47,1))),""))</f>
        <v/>
      </c>
      <c r="AS47" s="33">
        <f>IF(OR($E47="",$F47=""),"",IF(AND(AS$4&lt;=$F47,AS$4+6&gt;=$E47),IF($F47-$E47&lt;=2,"◆",IF($H47="Yes","X",LEFT($D47,1))),""))</f>
        <v/>
      </c>
      <c r="AT47" s="33">
        <f>IF(OR($E47="",$F47=""),"",IF(AND(AT$4&lt;=$F47,AT$4+6&gt;=$E47),IF($F47-$E47&lt;=2,"◆",IF($H47="Yes","X",LEFT($D47,1))),""))</f>
        <v/>
      </c>
      <c r="AU47" s="33">
        <f>IF(OR($E47="",$F47=""),"",IF(AND(AU$4&lt;=$F47,AU$4+6&gt;=$E47),IF($F47-$E47&lt;=2,"◆",IF($H47="Yes","X",LEFT($D47,1))),""))</f>
        <v/>
      </c>
      <c r="AV47" s="33">
        <f>IF(OR($E47="",$F47=""),"",IF(AND(AV$4&lt;=$F47,AV$4+6&gt;=$E47),IF($F47-$E47&lt;=2,"◆",IF($H47="Yes","X",LEFT($D47,1))),""))</f>
        <v/>
      </c>
      <c r="AW47" s="33">
        <f>IF(OR($E47="",$F47=""),"",IF(AND(AW$4&lt;=$F47,AW$4+6&gt;=$E47),IF($F47-$E47&lt;=2,"◆",IF($H47="Yes","X",LEFT($D47,1))),""))</f>
        <v/>
      </c>
      <c r="AX47" s="33">
        <f>IF(OR($E47="",$F47=""),"",IF(AND(AX$4&lt;=$F47,AX$4+6&gt;=$E47),IF($F47-$E47&lt;=2,"◆",IF($H47="Yes","X",LEFT($D47,1))),""))</f>
        <v/>
      </c>
      <c r="AY47" s="33">
        <f>IF(OR($E47="",$F47=""),"",IF(AND(AY$4&lt;=$F47,AY$4+6&gt;=$E47),IF($F47-$E47&lt;=2,"◆",IF($H47="Yes","X",LEFT($D47,1))),""))</f>
        <v/>
      </c>
      <c r="AZ47" s="33">
        <f>IF(OR($E47="",$F47=""),"",IF(AND(AZ$4&lt;=$F47,AZ$4+6&gt;=$E47),IF($F47-$E47&lt;=2,"◆",IF($H47="Yes","X",LEFT($D47,1))),""))</f>
        <v/>
      </c>
      <c r="BA47" s="33">
        <f>IF(OR($E47="",$F47=""),"",IF(AND(BA$4&lt;=$F47,BA$4+6&gt;=$E47),IF($F47-$E47&lt;=2,"◆",IF($H47="Yes","X",LEFT($D47,1))),""))</f>
        <v/>
      </c>
      <c r="BB47" s="33">
        <f>IF(OR($E47="",$F47=""),"",IF(AND(BB$4&lt;=$F47,BB$4+6&gt;=$E47),IF($F47-$E47&lt;=2,"◆",IF($H47="Yes","X",LEFT($D47,1))),""))</f>
        <v/>
      </c>
      <c r="BC47" s="33">
        <f>IF(OR($E47="",$F47=""),"",IF(AND(BC$4&lt;=$F47,BC$4+6&gt;=$E47),IF($F47-$E47&lt;=2,"◆",IF($H47="Yes","X",LEFT($D47,1))),""))</f>
        <v/>
      </c>
      <c r="BD47" s="33">
        <f>IF(OR($E47="",$F47=""),"",IF(AND(BD$4&lt;=$F47,BD$4+6&gt;=$E47),IF($F47-$E47&lt;=2,"◆",IF($H47="Yes","X",LEFT($D47,1))),""))</f>
        <v/>
      </c>
      <c r="BE47" s="33">
        <f>IF(OR($E47="",$F47=""),"",IF(AND(BE$4&lt;=$F47,BE$4+6&gt;=$E47),IF($F47-$E47&lt;=2,"◆",IF($H47="Yes","X",LEFT($D47,1))),""))</f>
        <v/>
      </c>
      <c r="BF47" s="33">
        <f>IF(OR($E47="",$F47=""),"",IF(AND(BF$4&lt;=$F47,BF$4+6&gt;=$E47),IF($F47-$E47&lt;=2,"◆",IF($H47="Yes","X",LEFT($D47,1))),""))</f>
        <v/>
      </c>
      <c r="BG47" s="33">
        <f>IF(OR($E47="",$F47=""),"",IF(AND(BG$4&lt;=$F47,BG$4+6&gt;=$E47),IF($F47-$E47&lt;=2,"◆",IF($H47="Yes","X",LEFT($D47,1))),""))</f>
        <v/>
      </c>
      <c r="BH47" s="33">
        <f>IF(OR($E47="",$F47=""),"",IF(AND(BH$4&lt;=$F47,BH$4+6&gt;=$E47),IF($F47-$E47&lt;=2,"◆",IF($H47="Yes","X",LEFT($D47,1))),""))</f>
        <v/>
      </c>
      <c r="BI47" s="33">
        <f>IF(OR($E47="",$F47=""),"",IF(AND(BI$4&lt;=$F47,BI$4+6&gt;=$E47),IF($F47-$E47&lt;=2,"◆",IF($H47="Yes","X",LEFT($D47,1))),""))</f>
        <v/>
      </c>
    </row>
    <row r="48">
      <c r="A48" s="30" t="inlineStr">
        <is>
          <t>T-044</t>
        </is>
      </c>
      <c r="B48" s="30" t="inlineStr">
        <is>
          <t>Performance Testing, Tuning and Test Suite Management</t>
        </is>
      </c>
      <c r="C48" s="30" t="inlineStr">
        <is>
          <t>Kadarkarai</t>
        </is>
      </c>
      <c r="D48" s="30" t="inlineStr">
        <is>
          <t>Not Started</t>
        </is>
      </c>
      <c r="E48" s="31" t="n">
        <v>46223</v>
      </c>
      <c r="F48" s="31" t="n">
        <v>46247</v>
      </c>
      <c r="G48" s="32" t="n">
        <v>0</v>
      </c>
      <c r="H48" s="30" t="inlineStr">
        <is>
          <t>No</t>
        </is>
      </c>
      <c r="I48" s="33">
        <f>IF(OR($E48="",$F48=""),"",IF(AND(I$4&lt;=$F48,I$4+6&gt;=$E48),IF($F48-$E48&lt;=2,"◆",IF($H48="Yes","X",LEFT($D48,1))),""))</f>
        <v/>
      </c>
      <c r="J48" s="33">
        <f>IF(OR($E48="",$F48=""),"",IF(AND(J$4&lt;=$F48,J$4+6&gt;=$E48),IF($F48-$E48&lt;=2,"◆",IF($H48="Yes","X",LEFT($D48,1))),""))</f>
        <v/>
      </c>
      <c r="K48" s="33">
        <f>IF(OR($E48="",$F48=""),"",IF(AND(K$4&lt;=$F48,K$4+6&gt;=$E48),IF($F48-$E48&lt;=2,"◆",IF($H48="Yes","X",LEFT($D48,1))),""))</f>
        <v/>
      </c>
      <c r="L48" s="33">
        <f>IF(OR($E48="",$F48=""),"",IF(AND(L$4&lt;=$F48,L$4+6&gt;=$E48),IF($F48-$E48&lt;=2,"◆",IF($H48="Yes","X",LEFT($D48,1))),""))</f>
        <v/>
      </c>
      <c r="M48" s="33">
        <f>IF(OR($E48="",$F48=""),"",IF(AND(M$4&lt;=$F48,M$4+6&gt;=$E48),IF($F48-$E48&lt;=2,"◆",IF($H48="Yes","X",LEFT($D48,1))),""))</f>
        <v/>
      </c>
      <c r="N48" s="33">
        <f>IF(OR($E48="",$F48=""),"",IF(AND(N$4&lt;=$F48,N$4+6&gt;=$E48),IF($F48-$E48&lt;=2,"◆",IF($H48="Yes","X",LEFT($D48,1))),""))</f>
        <v/>
      </c>
      <c r="O48" s="33">
        <f>IF(OR($E48="",$F48=""),"",IF(AND(O$4&lt;=$F48,O$4+6&gt;=$E48),IF($F48-$E48&lt;=2,"◆",IF($H48="Yes","X",LEFT($D48,1))),""))</f>
        <v/>
      </c>
      <c r="P48" s="33">
        <f>IF(OR($E48="",$F48=""),"",IF(AND(P$4&lt;=$F48,P$4+6&gt;=$E48),IF($F48-$E48&lt;=2,"◆",IF($H48="Yes","X",LEFT($D48,1))),""))</f>
        <v/>
      </c>
      <c r="Q48" s="33">
        <f>IF(OR($E48="",$F48=""),"",IF(AND(Q$4&lt;=$F48,Q$4+6&gt;=$E48),IF($F48-$E48&lt;=2,"◆",IF($H48="Yes","X",LEFT($D48,1))),""))</f>
        <v/>
      </c>
      <c r="R48" s="33">
        <f>IF(OR($E48="",$F48=""),"",IF(AND(R$4&lt;=$F48,R$4+6&gt;=$E48),IF($F48-$E48&lt;=2,"◆",IF($H48="Yes","X",LEFT($D48,1))),""))</f>
        <v/>
      </c>
      <c r="S48" s="33">
        <f>IF(OR($E48="",$F48=""),"",IF(AND(S$4&lt;=$F48,S$4+6&gt;=$E48),IF($F48-$E48&lt;=2,"◆",IF($H48="Yes","X",LEFT($D48,1))),""))</f>
        <v/>
      </c>
      <c r="T48" s="33">
        <f>IF(OR($E48="",$F48=""),"",IF(AND(T$4&lt;=$F48,T$4+6&gt;=$E48),IF($F48-$E48&lt;=2,"◆",IF($H48="Yes","X",LEFT($D48,1))),""))</f>
        <v/>
      </c>
      <c r="U48" s="33">
        <f>IF(OR($E48="",$F48=""),"",IF(AND(U$4&lt;=$F48,U$4+6&gt;=$E48),IF($F48-$E48&lt;=2,"◆",IF($H48="Yes","X",LEFT($D48,1))),""))</f>
        <v/>
      </c>
      <c r="V48" s="33">
        <f>IF(OR($E48="",$F48=""),"",IF(AND(V$4&lt;=$F48,V$4+6&gt;=$E48),IF($F48-$E48&lt;=2,"◆",IF($H48="Yes","X",LEFT($D48,1))),""))</f>
        <v/>
      </c>
      <c r="W48" s="33">
        <f>IF(OR($E48="",$F48=""),"",IF(AND(W$4&lt;=$F48,W$4+6&gt;=$E48),IF($F48-$E48&lt;=2,"◆",IF($H48="Yes","X",LEFT($D48,1))),""))</f>
        <v/>
      </c>
      <c r="X48" s="33">
        <f>IF(OR($E48="",$F48=""),"",IF(AND(X$4&lt;=$F48,X$4+6&gt;=$E48),IF($F48-$E48&lt;=2,"◆",IF($H48="Yes","X",LEFT($D48,1))),""))</f>
        <v/>
      </c>
      <c r="Y48" s="33">
        <f>IF(OR($E48="",$F48=""),"",IF(AND(Y$4&lt;=$F48,Y$4+6&gt;=$E48),IF($F48-$E48&lt;=2,"◆",IF($H48="Yes","X",LEFT($D48,1))),""))</f>
        <v/>
      </c>
      <c r="Z48" s="33">
        <f>IF(OR($E48="",$F48=""),"",IF(AND(Z$4&lt;=$F48,Z$4+6&gt;=$E48),IF($F48-$E48&lt;=2,"◆",IF($H48="Yes","X",LEFT($D48,1))),""))</f>
        <v/>
      </c>
      <c r="AA48" s="33">
        <f>IF(OR($E48="",$F48=""),"",IF(AND(AA$4&lt;=$F48,AA$4+6&gt;=$E48),IF($F48-$E48&lt;=2,"◆",IF($H48="Yes","X",LEFT($D48,1))),""))</f>
        <v/>
      </c>
      <c r="AB48" s="33">
        <f>IF(OR($E48="",$F48=""),"",IF(AND(AB$4&lt;=$F48,AB$4+6&gt;=$E48),IF($F48-$E48&lt;=2,"◆",IF($H48="Yes","X",LEFT($D48,1))),""))</f>
        <v/>
      </c>
      <c r="AC48" s="33">
        <f>IF(OR($E48="",$F48=""),"",IF(AND(AC$4&lt;=$F48,AC$4+6&gt;=$E48),IF($F48-$E48&lt;=2,"◆",IF($H48="Yes","X",LEFT($D48,1))),""))</f>
        <v/>
      </c>
      <c r="AD48" s="33">
        <f>IF(OR($E48="",$F48=""),"",IF(AND(AD$4&lt;=$F48,AD$4+6&gt;=$E48),IF($F48-$E48&lt;=2,"◆",IF($H48="Yes","X",LEFT($D48,1))),""))</f>
        <v/>
      </c>
      <c r="AE48" s="33">
        <f>IF(OR($E48="",$F48=""),"",IF(AND(AE$4&lt;=$F48,AE$4+6&gt;=$E48),IF($F48-$E48&lt;=2,"◆",IF($H48="Yes","X",LEFT($D48,1))),""))</f>
        <v/>
      </c>
      <c r="AF48" s="33">
        <f>IF(OR($E48="",$F48=""),"",IF(AND(AF$4&lt;=$F48,AF$4+6&gt;=$E48),IF($F48-$E48&lt;=2,"◆",IF($H48="Yes","X",LEFT($D48,1))),""))</f>
        <v/>
      </c>
      <c r="AG48" s="33">
        <f>IF(OR($E48="",$F48=""),"",IF(AND(AG$4&lt;=$F48,AG$4+6&gt;=$E48),IF($F48-$E48&lt;=2,"◆",IF($H48="Yes","X",LEFT($D48,1))),""))</f>
        <v/>
      </c>
      <c r="AH48" s="33">
        <f>IF(OR($E48="",$F48=""),"",IF(AND(AH$4&lt;=$F48,AH$4+6&gt;=$E48),IF($F48-$E48&lt;=2,"◆",IF($H48="Yes","X",LEFT($D48,1))),""))</f>
        <v/>
      </c>
      <c r="AI48" s="33">
        <f>IF(OR($E48="",$F48=""),"",IF(AND(AI$4&lt;=$F48,AI$4+6&gt;=$E48),IF($F48-$E48&lt;=2,"◆",IF($H48="Yes","X",LEFT($D48,1))),""))</f>
        <v/>
      </c>
      <c r="AJ48" s="33">
        <f>IF(OR($E48="",$F48=""),"",IF(AND(AJ$4&lt;=$F48,AJ$4+6&gt;=$E48),IF($F48-$E48&lt;=2,"◆",IF($H48="Yes","X",LEFT($D48,1))),""))</f>
        <v/>
      </c>
      <c r="AK48" s="33">
        <f>IF(OR($E48="",$F48=""),"",IF(AND(AK$4&lt;=$F48,AK$4+6&gt;=$E48),IF($F48-$E48&lt;=2,"◆",IF($H48="Yes","X",LEFT($D48,1))),""))</f>
        <v/>
      </c>
      <c r="AL48" s="33">
        <f>IF(OR($E48="",$F48=""),"",IF(AND(AL$4&lt;=$F48,AL$4+6&gt;=$E48),IF($F48-$E48&lt;=2,"◆",IF($H48="Yes","X",LEFT($D48,1))),""))</f>
        <v/>
      </c>
      <c r="AM48" s="33">
        <f>IF(OR($E48="",$F48=""),"",IF(AND(AM$4&lt;=$F48,AM$4+6&gt;=$E48),IF($F48-$E48&lt;=2,"◆",IF($H48="Yes","X",LEFT($D48,1))),""))</f>
        <v/>
      </c>
      <c r="AN48" s="33">
        <f>IF(OR($E48="",$F48=""),"",IF(AND(AN$4&lt;=$F48,AN$4+6&gt;=$E48),IF($F48-$E48&lt;=2,"◆",IF($H48="Yes","X",LEFT($D48,1))),""))</f>
        <v/>
      </c>
      <c r="AO48" s="33">
        <f>IF(OR($E48="",$F48=""),"",IF(AND(AO$4&lt;=$F48,AO$4+6&gt;=$E48),IF($F48-$E48&lt;=2,"◆",IF($H48="Yes","X",LEFT($D48,1))),""))</f>
        <v/>
      </c>
      <c r="AP48" s="33">
        <f>IF(OR($E48="",$F48=""),"",IF(AND(AP$4&lt;=$F48,AP$4+6&gt;=$E48),IF($F48-$E48&lt;=2,"◆",IF($H48="Yes","X",LEFT($D48,1))),""))</f>
        <v/>
      </c>
      <c r="AQ48" s="33">
        <f>IF(OR($E48="",$F48=""),"",IF(AND(AQ$4&lt;=$F48,AQ$4+6&gt;=$E48),IF($F48-$E48&lt;=2,"◆",IF($H48="Yes","X",LEFT($D48,1))),""))</f>
        <v/>
      </c>
      <c r="AR48" s="33">
        <f>IF(OR($E48="",$F48=""),"",IF(AND(AR$4&lt;=$F48,AR$4+6&gt;=$E48),IF($F48-$E48&lt;=2,"◆",IF($H48="Yes","X",LEFT($D48,1))),""))</f>
        <v/>
      </c>
      <c r="AS48" s="33">
        <f>IF(OR($E48="",$F48=""),"",IF(AND(AS$4&lt;=$F48,AS$4+6&gt;=$E48),IF($F48-$E48&lt;=2,"◆",IF($H48="Yes","X",LEFT($D48,1))),""))</f>
        <v/>
      </c>
      <c r="AT48" s="33">
        <f>IF(OR($E48="",$F48=""),"",IF(AND(AT$4&lt;=$F48,AT$4+6&gt;=$E48),IF($F48-$E48&lt;=2,"◆",IF($H48="Yes","X",LEFT($D48,1))),""))</f>
        <v/>
      </c>
      <c r="AU48" s="33">
        <f>IF(OR($E48="",$F48=""),"",IF(AND(AU$4&lt;=$F48,AU$4+6&gt;=$E48),IF($F48-$E48&lt;=2,"◆",IF($H48="Yes","X",LEFT($D48,1))),""))</f>
        <v/>
      </c>
      <c r="AV48" s="33">
        <f>IF(OR($E48="",$F48=""),"",IF(AND(AV$4&lt;=$F48,AV$4+6&gt;=$E48),IF($F48-$E48&lt;=2,"◆",IF($H48="Yes","X",LEFT($D48,1))),""))</f>
        <v/>
      </c>
      <c r="AW48" s="33">
        <f>IF(OR($E48="",$F48=""),"",IF(AND(AW$4&lt;=$F48,AW$4+6&gt;=$E48),IF($F48-$E48&lt;=2,"◆",IF($H48="Yes","X",LEFT($D48,1))),""))</f>
        <v/>
      </c>
      <c r="AX48" s="33">
        <f>IF(OR($E48="",$F48=""),"",IF(AND(AX$4&lt;=$F48,AX$4+6&gt;=$E48),IF($F48-$E48&lt;=2,"◆",IF($H48="Yes","X",LEFT($D48,1))),""))</f>
        <v/>
      </c>
      <c r="AY48" s="33">
        <f>IF(OR($E48="",$F48=""),"",IF(AND(AY$4&lt;=$F48,AY$4+6&gt;=$E48),IF($F48-$E48&lt;=2,"◆",IF($H48="Yes","X",LEFT($D48,1))),""))</f>
        <v/>
      </c>
      <c r="AZ48" s="33">
        <f>IF(OR($E48="",$F48=""),"",IF(AND(AZ$4&lt;=$F48,AZ$4+6&gt;=$E48),IF($F48-$E48&lt;=2,"◆",IF($H48="Yes","X",LEFT($D48,1))),""))</f>
        <v/>
      </c>
      <c r="BA48" s="33">
        <f>IF(OR($E48="",$F48=""),"",IF(AND(BA$4&lt;=$F48,BA$4+6&gt;=$E48),IF($F48-$E48&lt;=2,"◆",IF($H48="Yes","X",LEFT($D48,1))),""))</f>
        <v/>
      </c>
      <c r="BB48" s="33">
        <f>IF(OR($E48="",$F48=""),"",IF(AND(BB$4&lt;=$F48,BB$4+6&gt;=$E48),IF($F48-$E48&lt;=2,"◆",IF($H48="Yes","X",LEFT($D48,1))),""))</f>
        <v/>
      </c>
      <c r="BC48" s="33">
        <f>IF(OR($E48="",$F48=""),"",IF(AND(BC$4&lt;=$F48,BC$4+6&gt;=$E48),IF($F48-$E48&lt;=2,"◆",IF($H48="Yes","X",LEFT($D48,1))),""))</f>
        <v/>
      </c>
      <c r="BD48" s="33">
        <f>IF(OR($E48="",$F48=""),"",IF(AND(BD$4&lt;=$F48,BD$4+6&gt;=$E48),IF($F48-$E48&lt;=2,"◆",IF($H48="Yes","X",LEFT($D48,1))),""))</f>
        <v/>
      </c>
      <c r="BE48" s="33">
        <f>IF(OR($E48="",$F48=""),"",IF(AND(BE$4&lt;=$F48,BE$4+6&gt;=$E48),IF($F48-$E48&lt;=2,"◆",IF($H48="Yes","X",LEFT($D48,1))),""))</f>
        <v/>
      </c>
      <c r="BF48" s="33">
        <f>IF(OR($E48="",$F48=""),"",IF(AND(BF$4&lt;=$F48,BF$4+6&gt;=$E48),IF($F48-$E48&lt;=2,"◆",IF($H48="Yes","X",LEFT($D48,1))),""))</f>
        <v/>
      </c>
      <c r="BG48" s="33">
        <f>IF(OR($E48="",$F48=""),"",IF(AND(BG$4&lt;=$F48,BG$4+6&gt;=$E48),IF($F48-$E48&lt;=2,"◆",IF($H48="Yes","X",LEFT($D48,1))),""))</f>
        <v/>
      </c>
      <c r="BH48" s="33">
        <f>IF(OR($E48="",$F48=""),"",IF(AND(BH$4&lt;=$F48,BH$4+6&gt;=$E48),IF($F48-$E48&lt;=2,"◆",IF($H48="Yes","X",LEFT($D48,1))),""))</f>
        <v/>
      </c>
      <c r="BI48" s="33">
        <f>IF(OR($E48="",$F48=""),"",IF(AND(BI$4&lt;=$F48,BI$4+6&gt;=$E48),IF($F48-$E48&lt;=2,"◆",IF($H48="Yes","X",LEFT($D48,1))),""))</f>
        <v/>
      </c>
    </row>
    <row r="49">
      <c r="A49" s="30" t="inlineStr">
        <is>
          <t>T-045</t>
        </is>
      </c>
      <c r="B49" s="30" t="inlineStr">
        <is>
          <t>DevOps Management, Improvements and Pipeline Monitoring</t>
        </is>
      </c>
      <c r="C49" s="30" t="inlineStr">
        <is>
          <t>Jawahar</t>
        </is>
      </c>
      <c r="D49" s="30" t="inlineStr">
        <is>
          <t>Not Started</t>
        </is>
      </c>
      <c r="E49" s="31" t="n">
        <v>46246</v>
      </c>
      <c r="F49" s="31" t="n">
        <v>46251</v>
      </c>
      <c r="G49" s="32" t="n">
        <v>0</v>
      </c>
      <c r="H49" s="30" t="inlineStr">
        <is>
          <t>No</t>
        </is>
      </c>
      <c r="I49" s="33">
        <f>IF(OR($E49="",$F49=""),"",IF(AND(I$4&lt;=$F49,I$4+6&gt;=$E49),IF($F49-$E49&lt;=2,"◆",IF($H49="Yes","X",LEFT($D49,1))),""))</f>
        <v/>
      </c>
      <c r="J49" s="33">
        <f>IF(OR($E49="",$F49=""),"",IF(AND(J$4&lt;=$F49,J$4+6&gt;=$E49),IF($F49-$E49&lt;=2,"◆",IF($H49="Yes","X",LEFT($D49,1))),""))</f>
        <v/>
      </c>
      <c r="K49" s="33">
        <f>IF(OR($E49="",$F49=""),"",IF(AND(K$4&lt;=$F49,K$4+6&gt;=$E49),IF($F49-$E49&lt;=2,"◆",IF($H49="Yes","X",LEFT($D49,1))),""))</f>
        <v/>
      </c>
      <c r="L49" s="33">
        <f>IF(OR($E49="",$F49=""),"",IF(AND(L$4&lt;=$F49,L$4+6&gt;=$E49),IF($F49-$E49&lt;=2,"◆",IF($H49="Yes","X",LEFT($D49,1))),""))</f>
        <v/>
      </c>
      <c r="M49" s="33">
        <f>IF(OR($E49="",$F49=""),"",IF(AND(M$4&lt;=$F49,M$4+6&gt;=$E49),IF($F49-$E49&lt;=2,"◆",IF($H49="Yes","X",LEFT($D49,1))),""))</f>
        <v/>
      </c>
      <c r="N49" s="33">
        <f>IF(OR($E49="",$F49=""),"",IF(AND(N$4&lt;=$F49,N$4+6&gt;=$E49),IF($F49-$E49&lt;=2,"◆",IF($H49="Yes","X",LEFT($D49,1))),""))</f>
        <v/>
      </c>
      <c r="O49" s="33">
        <f>IF(OR($E49="",$F49=""),"",IF(AND(O$4&lt;=$F49,O$4+6&gt;=$E49),IF($F49-$E49&lt;=2,"◆",IF($H49="Yes","X",LEFT($D49,1))),""))</f>
        <v/>
      </c>
      <c r="P49" s="33">
        <f>IF(OR($E49="",$F49=""),"",IF(AND(P$4&lt;=$F49,P$4+6&gt;=$E49),IF($F49-$E49&lt;=2,"◆",IF($H49="Yes","X",LEFT($D49,1))),""))</f>
        <v/>
      </c>
      <c r="Q49" s="33">
        <f>IF(OR($E49="",$F49=""),"",IF(AND(Q$4&lt;=$F49,Q$4+6&gt;=$E49),IF($F49-$E49&lt;=2,"◆",IF($H49="Yes","X",LEFT($D49,1))),""))</f>
        <v/>
      </c>
      <c r="R49" s="33">
        <f>IF(OR($E49="",$F49=""),"",IF(AND(R$4&lt;=$F49,R$4+6&gt;=$E49),IF($F49-$E49&lt;=2,"◆",IF($H49="Yes","X",LEFT($D49,1))),""))</f>
        <v/>
      </c>
      <c r="S49" s="33">
        <f>IF(OR($E49="",$F49=""),"",IF(AND(S$4&lt;=$F49,S$4+6&gt;=$E49),IF($F49-$E49&lt;=2,"◆",IF($H49="Yes","X",LEFT($D49,1))),""))</f>
        <v/>
      </c>
      <c r="T49" s="33">
        <f>IF(OR($E49="",$F49=""),"",IF(AND(T$4&lt;=$F49,T$4+6&gt;=$E49),IF($F49-$E49&lt;=2,"◆",IF($H49="Yes","X",LEFT($D49,1))),""))</f>
        <v/>
      </c>
      <c r="U49" s="33">
        <f>IF(OR($E49="",$F49=""),"",IF(AND(U$4&lt;=$F49,U$4+6&gt;=$E49),IF($F49-$E49&lt;=2,"◆",IF($H49="Yes","X",LEFT($D49,1))),""))</f>
        <v/>
      </c>
      <c r="V49" s="33">
        <f>IF(OR($E49="",$F49=""),"",IF(AND(V$4&lt;=$F49,V$4+6&gt;=$E49),IF($F49-$E49&lt;=2,"◆",IF($H49="Yes","X",LEFT($D49,1))),""))</f>
        <v/>
      </c>
      <c r="W49" s="33">
        <f>IF(OR($E49="",$F49=""),"",IF(AND(W$4&lt;=$F49,W$4+6&gt;=$E49),IF($F49-$E49&lt;=2,"◆",IF($H49="Yes","X",LEFT($D49,1))),""))</f>
        <v/>
      </c>
      <c r="X49" s="33">
        <f>IF(OR($E49="",$F49=""),"",IF(AND(X$4&lt;=$F49,X$4+6&gt;=$E49),IF($F49-$E49&lt;=2,"◆",IF($H49="Yes","X",LEFT($D49,1))),""))</f>
        <v/>
      </c>
      <c r="Y49" s="33">
        <f>IF(OR($E49="",$F49=""),"",IF(AND(Y$4&lt;=$F49,Y$4+6&gt;=$E49),IF($F49-$E49&lt;=2,"◆",IF($H49="Yes","X",LEFT($D49,1))),""))</f>
        <v/>
      </c>
      <c r="Z49" s="33">
        <f>IF(OR($E49="",$F49=""),"",IF(AND(Z$4&lt;=$F49,Z$4+6&gt;=$E49),IF($F49-$E49&lt;=2,"◆",IF($H49="Yes","X",LEFT($D49,1))),""))</f>
        <v/>
      </c>
      <c r="AA49" s="33">
        <f>IF(OR($E49="",$F49=""),"",IF(AND(AA$4&lt;=$F49,AA$4+6&gt;=$E49),IF($F49-$E49&lt;=2,"◆",IF($H49="Yes","X",LEFT($D49,1))),""))</f>
        <v/>
      </c>
      <c r="AB49" s="33">
        <f>IF(OR($E49="",$F49=""),"",IF(AND(AB$4&lt;=$F49,AB$4+6&gt;=$E49),IF($F49-$E49&lt;=2,"◆",IF($H49="Yes","X",LEFT($D49,1))),""))</f>
        <v/>
      </c>
      <c r="AC49" s="33">
        <f>IF(OR($E49="",$F49=""),"",IF(AND(AC$4&lt;=$F49,AC$4+6&gt;=$E49),IF($F49-$E49&lt;=2,"◆",IF($H49="Yes","X",LEFT($D49,1))),""))</f>
        <v/>
      </c>
      <c r="AD49" s="33">
        <f>IF(OR($E49="",$F49=""),"",IF(AND(AD$4&lt;=$F49,AD$4+6&gt;=$E49),IF($F49-$E49&lt;=2,"◆",IF($H49="Yes","X",LEFT($D49,1))),""))</f>
        <v/>
      </c>
      <c r="AE49" s="33">
        <f>IF(OR($E49="",$F49=""),"",IF(AND(AE$4&lt;=$F49,AE$4+6&gt;=$E49),IF($F49-$E49&lt;=2,"◆",IF($H49="Yes","X",LEFT($D49,1))),""))</f>
        <v/>
      </c>
      <c r="AF49" s="33">
        <f>IF(OR($E49="",$F49=""),"",IF(AND(AF$4&lt;=$F49,AF$4+6&gt;=$E49),IF($F49-$E49&lt;=2,"◆",IF($H49="Yes","X",LEFT($D49,1))),""))</f>
        <v/>
      </c>
      <c r="AG49" s="33">
        <f>IF(OR($E49="",$F49=""),"",IF(AND(AG$4&lt;=$F49,AG$4+6&gt;=$E49),IF($F49-$E49&lt;=2,"◆",IF($H49="Yes","X",LEFT($D49,1))),""))</f>
        <v/>
      </c>
      <c r="AH49" s="33">
        <f>IF(OR($E49="",$F49=""),"",IF(AND(AH$4&lt;=$F49,AH$4+6&gt;=$E49),IF($F49-$E49&lt;=2,"◆",IF($H49="Yes","X",LEFT($D49,1))),""))</f>
        <v/>
      </c>
      <c r="AI49" s="33">
        <f>IF(OR($E49="",$F49=""),"",IF(AND(AI$4&lt;=$F49,AI$4+6&gt;=$E49),IF($F49-$E49&lt;=2,"◆",IF($H49="Yes","X",LEFT($D49,1))),""))</f>
        <v/>
      </c>
      <c r="AJ49" s="33">
        <f>IF(OR($E49="",$F49=""),"",IF(AND(AJ$4&lt;=$F49,AJ$4+6&gt;=$E49),IF($F49-$E49&lt;=2,"◆",IF($H49="Yes","X",LEFT($D49,1))),""))</f>
        <v/>
      </c>
      <c r="AK49" s="33">
        <f>IF(OR($E49="",$F49=""),"",IF(AND(AK$4&lt;=$F49,AK$4+6&gt;=$E49),IF($F49-$E49&lt;=2,"◆",IF($H49="Yes","X",LEFT($D49,1))),""))</f>
        <v/>
      </c>
      <c r="AL49" s="33">
        <f>IF(OR($E49="",$F49=""),"",IF(AND(AL$4&lt;=$F49,AL$4+6&gt;=$E49),IF($F49-$E49&lt;=2,"◆",IF($H49="Yes","X",LEFT($D49,1))),""))</f>
        <v/>
      </c>
      <c r="AM49" s="33">
        <f>IF(OR($E49="",$F49=""),"",IF(AND(AM$4&lt;=$F49,AM$4+6&gt;=$E49),IF($F49-$E49&lt;=2,"◆",IF($H49="Yes","X",LEFT($D49,1))),""))</f>
        <v/>
      </c>
      <c r="AN49" s="33">
        <f>IF(OR($E49="",$F49=""),"",IF(AND(AN$4&lt;=$F49,AN$4+6&gt;=$E49),IF($F49-$E49&lt;=2,"◆",IF($H49="Yes","X",LEFT($D49,1))),""))</f>
        <v/>
      </c>
      <c r="AO49" s="33">
        <f>IF(OR($E49="",$F49=""),"",IF(AND(AO$4&lt;=$F49,AO$4+6&gt;=$E49),IF($F49-$E49&lt;=2,"◆",IF($H49="Yes","X",LEFT($D49,1))),""))</f>
        <v/>
      </c>
      <c r="AP49" s="33">
        <f>IF(OR($E49="",$F49=""),"",IF(AND(AP$4&lt;=$F49,AP$4+6&gt;=$E49),IF($F49-$E49&lt;=2,"◆",IF($H49="Yes","X",LEFT($D49,1))),""))</f>
        <v/>
      </c>
      <c r="AQ49" s="33">
        <f>IF(OR($E49="",$F49=""),"",IF(AND(AQ$4&lt;=$F49,AQ$4+6&gt;=$E49),IF($F49-$E49&lt;=2,"◆",IF($H49="Yes","X",LEFT($D49,1))),""))</f>
        <v/>
      </c>
      <c r="AR49" s="33">
        <f>IF(OR($E49="",$F49=""),"",IF(AND(AR$4&lt;=$F49,AR$4+6&gt;=$E49),IF($F49-$E49&lt;=2,"◆",IF($H49="Yes","X",LEFT($D49,1))),""))</f>
        <v/>
      </c>
      <c r="AS49" s="33">
        <f>IF(OR($E49="",$F49=""),"",IF(AND(AS$4&lt;=$F49,AS$4+6&gt;=$E49),IF($F49-$E49&lt;=2,"◆",IF($H49="Yes","X",LEFT($D49,1))),""))</f>
        <v/>
      </c>
      <c r="AT49" s="33">
        <f>IF(OR($E49="",$F49=""),"",IF(AND(AT$4&lt;=$F49,AT$4+6&gt;=$E49),IF($F49-$E49&lt;=2,"◆",IF($H49="Yes","X",LEFT($D49,1))),""))</f>
        <v/>
      </c>
      <c r="AU49" s="33">
        <f>IF(OR($E49="",$F49=""),"",IF(AND(AU$4&lt;=$F49,AU$4+6&gt;=$E49),IF($F49-$E49&lt;=2,"◆",IF($H49="Yes","X",LEFT($D49,1))),""))</f>
        <v/>
      </c>
      <c r="AV49" s="33">
        <f>IF(OR($E49="",$F49=""),"",IF(AND(AV$4&lt;=$F49,AV$4+6&gt;=$E49),IF($F49-$E49&lt;=2,"◆",IF($H49="Yes","X",LEFT($D49,1))),""))</f>
        <v/>
      </c>
      <c r="AW49" s="33">
        <f>IF(OR($E49="",$F49=""),"",IF(AND(AW$4&lt;=$F49,AW$4+6&gt;=$E49),IF($F49-$E49&lt;=2,"◆",IF($H49="Yes","X",LEFT($D49,1))),""))</f>
        <v/>
      </c>
      <c r="AX49" s="33">
        <f>IF(OR($E49="",$F49=""),"",IF(AND(AX$4&lt;=$F49,AX$4+6&gt;=$E49),IF($F49-$E49&lt;=2,"◆",IF($H49="Yes","X",LEFT($D49,1))),""))</f>
        <v/>
      </c>
      <c r="AY49" s="33">
        <f>IF(OR($E49="",$F49=""),"",IF(AND(AY$4&lt;=$F49,AY$4+6&gt;=$E49),IF($F49-$E49&lt;=2,"◆",IF($H49="Yes","X",LEFT($D49,1))),""))</f>
        <v/>
      </c>
      <c r="AZ49" s="33">
        <f>IF(OR($E49="",$F49=""),"",IF(AND(AZ$4&lt;=$F49,AZ$4+6&gt;=$E49),IF($F49-$E49&lt;=2,"◆",IF($H49="Yes","X",LEFT($D49,1))),""))</f>
        <v/>
      </c>
      <c r="BA49" s="33">
        <f>IF(OR($E49="",$F49=""),"",IF(AND(BA$4&lt;=$F49,BA$4+6&gt;=$E49),IF($F49-$E49&lt;=2,"◆",IF($H49="Yes","X",LEFT($D49,1))),""))</f>
        <v/>
      </c>
      <c r="BB49" s="33">
        <f>IF(OR($E49="",$F49=""),"",IF(AND(BB$4&lt;=$F49,BB$4+6&gt;=$E49),IF($F49-$E49&lt;=2,"◆",IF($H49="Yes","X",LEFT($D49,1))),""))</f>
        <v/>
      </c>
      <c r="BC49" s="33">
        <f>IF(OR($E49="",$F49=""),"",IF(AND(BC$4&lt;=$F49,BC$4+6&gt;=$E49),IF($F49-$E49&lt;=2,"◆",IF($H49="Yes","X",LEFT($D49,1))),""))</f>
        <v/>
      </c>
      <c r="BD49" s="33">
        <f>IF(OR($E49="",$F49=""),"",IF(AND(BD$4&lt;=$F49,BD$4+6&gt;=$E49),IF($F49-$E49&lt;=2,"◆",IF($H49="Yes","X",LEFT($D49,1))),""))</f>
        <v/>
      </c>
      <c r="BE49" s="33">
        <f>IF(OR($E49="",$F49=""),"",IF(AND(BE$4&lt;=$F49,BE$4+6&gt;=$E49),IF($F49-$E49&lt;=2,"◆",IF($H49="Yes","X",LEFT($D49,1))),""))</f>
        <v/>
      </c>
      <c r="BF49" s="33">
        <f>IF(OR($E49="",$F49=""),"",IF(AND(BF$4&lt;=$F49,BF$4+6&gt;=$E49),IF($F49-$E49&lt;=2,"◆",IF($H49="Yes","X",LEFT($D49,1))),""))</f>
        <v/>
      </c>
      <c r="BG49" s="33">
        <f>IF(OR($E49="",$F49=""),"",IF(AND(BG$4&lt;=$F49,BG$4+6&gt;=$E49),IF($F49-$E49&lt;=2,"◆",IF($H49="Yes","X",LEFT($D49,1))),""))</f>
        <v/>
      </c>
      <c r="BH49" s="33">
        <f>IF(OR($E49="",$F49=""),"",IF(AND(BH$4&lt;=$F49,BH$4+6&gt;=$E49),IF($F49-$E49&lt;=2,"◆",IF($H49="Yes","X",LEFT($D49,1))),""))</f>
        <v/>
      </c>
      <c r="BI49" s="33">
        <f>IF(OR($E49="",$F49=""),"",IF(AND(BI$4&lt;=$F49,BI$4+6&gt;=$E49),IF($F49-$E49&lt;=2,"◆",IF($H49="Yes","X",LEFT($D49,1))),""))</f>
        <v/>
      </c>
    </row>
    <row r="50">
      <c r="A50" s="30" t="inlineStr">
        <is>
          <t>T-046</t>
        </is>
      </c>
      <c r="B50" s="30" t="inlineStr">
        <is>
          <t>Release Based Feature Documentation</t>
        </is>
      </c>
      <c r="C50" s="30" t="inlineStr">
        <is>
          <t>Jawahar</t>
        </is>
      </c>
      <c r="D50" s="30" t="inlineStr">
        <is>
          <t>Not Started</t>
        </is>
      </c>
      <c r="E50" s="31" t="n">
        <v>46211</v>
      </c>
      <c r="F50" s="31" t="n">
        <v>46216</v>
      </c>
      <c r="G50" s="32" t="n">
        <v>0</v>
      </c>
      <c r="H50" s="30" t="inlineStr">
        <is>
          <t>No</t>
        </is>
      </c>
      <c r="I50" s="33">
        <f>IF(OR($E50="",$F50=""),"",IF(AND(I$4&lt;=$F50,I$4+6&gt;=$E50),IF($F50-$E50&lt;=2,"◆",IF($H50="Yes","X",LEFT($D50,1))),""))</f>
        <v/>
      </c>
      <c r="J50" s="33">
        <f>IF(OR($E50="",$F50=""),"",IF(AND(J$4&lt;=$F50,J$4+6&gt;=$E50),IF($F50-$E50&lt;=2,"◆",IF($H50="Yes","X",LEFT($D50,1))),""))</f>
        <v/>
      </c>
      <c r="K50" s="33">
        <f>IF(OR($E50="",$F50=""),"",IF(AND(K$4&lt;=$F50,K$4+6&gt;=$E50),IF($F50-$E50&lt;=2,"◆",IF($H50="Yes","X",LEFT($D50,1))),""))</f>
        <v/>
      </c>
      <c r="L50" s="33">
        <f>IF(OR($E50="",$F50=""),"",IF(AND(L$4&lt;=$F50,L$4+6&gt;=$E50),IF($F50-$E50&lt;=2,"◆",IF($H50="Yes","X",LEFT($D50,1))),""))</f>
        <v/>
      </c>
      <c r="M50" s="33">
        <f>IF(OR($E50="",$F50=""),"",IF(AND(M$4&lt;=$F50,M$4+6&gt;=$E50),IF($F50-$E50&lt;=2,"◆",IF($H50="Yes","X",LEFT($D50,1))),""))</f>
        <v/>
      </c>
      <c r="N50" s="33">
        <f>IF(OR($E50="",$F50=""),"",IF(AND(N$4&lt;=$F50,N$4+6&gt;=$E50),IF($F50-$E50&lt;=2,"◆",IF($H50="Yes","X",LEFT($D50,1))),""))</f>
        <v/>
      </c>
      <c r="O50" s="33">
        <f>IF(OR($E50="",$F50=""),"",IF(AND(O$4&lt;=$F50,O$4+6&gt;=$E50),IF($F50-$E50&lt;=2,"◆",IF($H50="Yes","X",LEFT($D50,1))),""))</f>
        <v/>
      </c>
      <c r="P50" s="33">
        <f>IF(OR($E50="",$F50=""),"",IF(AND(P$4&lt;=$F50,P$4+6&gt;=$E50),IF($F50-$E50&lt;=2,"◆",IF($H50="Yes","X",LEFT($D50,1))),""))</f>
        <v/>
      </c>
      <c r="Q50" s="33">
        <f>IF(OR($E50="",$F50=""),"",IF(AND(Q$4&lt;=$F50,Q$4+6&gt;=$E50),IF($F50-$E50&lt;=2,"◆",IF($H50="Yes","X",LEFT($D50,1))),""))</f>
        <v/>
      </c>
      <c r="R50" s="33">
        <f>IF(OR($E50="",$F50=""),"",IF(AND(R$4&lt;=$F50,R$4+6&gt;=$E50),IF($F50-$E50&lt;=2,"◆",IF($H50="Yes","X",LEFT($D50,1))),""))</f>
        <v/>
      </c>
      <c r="S50" s="33">
        <f>IF(OR($E50="",$F50=""),"",IF(AND(S$4&lt;=$F50,S$4+6&gt;=$E50),IF($F50-$E50&lt;=2,"◆",IF($H50="Yes","X",LEFT($D50,1))),""))</f>
        <v/>
      </c>
      <c r="T50" s="33">
        <f>IF(OR($E50="",$F50=""),"",IF(AND(T$4&lt;=$F50,T$4+6&gt;=$E50),IF($F50-$E50&lt;=2,"◆",IF($H50="Yes","X",LEFT($D50,1))),""))</f>
        <v/>
      </c>
      <c r="U50" s="33">
        <f>IF(OR($E50="",$F50=""),"",IF(AND(U$4&lt;=$F50,U$4+6&gt;=$E50),IF($F50-$E50&lt;=2,"◆",IF($H50="Yes","X",LEFT($D50,1))),""))</f>
        <v/>
      </c>
      <c r="V50" s="33">
        <f>IF(OR($E50="",$F50=""),"",IF(AND(V$4&lt;=$F50,V$4+6&gt;=$E50),IF($F50-$E50&lt;=2,"◆",IF($H50="Yes","X",LEFT($D50,1))),""))</f>
        <v/>
      </c>
      <c r="W50" s="33">
        <f>IF(OR($E50="",$F50=""),"",IF(AND(W$4&lt;=$F50,W$4+6&gt;=$E50),IF($F50-$E50&lt;=2,"◆",IF($H50="Yes","X",LEFT($D50,1))),""))</f>
        <v/>
      </c>
      <c r="X50" s="33">
        <f>IF(OR($E50="",$F50=""),"",IF(AND(X$4&lt;=$F50,X$4+6&gt;=$E50),IF($F50-$E50&lt;=2,"◆",IF($H50="Yes","X",LEFT($D50,1))),""))</f>
        <v/>
      </c>
      <c r="Y50" s="33">
        <f>IF(OR($E50="",$F50=""),"",IF(AND(Y$4&lt;=$F50,Y$4+6&gt;=$E50),IF($F50-$E50&lt;=2,"◆",IF($H50="Yes","X",LEFT($D50,1))),""))</f>
        <v/>
      </c>
      <c r="Z50" s="33">
        <f>IF(OR($E50="",$F50=""),"",IF(AND(Z$4&lt;=$F50,Z$4+6&gt;=$E50),IF($F50-$E50&lt;=2,"◆",IF($H50="Yes","X",LEFT($D50,1))),""))</f>
        <v/>
      </c>
      <c r="AA50" s="33">
        <f>IF(OR($E50="",$F50=""),"",IF(AND(AA$4&lt;=$F50,AA$4+6&gt;=$E50),IF($F50-$E50&lt;=2,"◆",IF($H50="Yes","X",LEFT($D50,1))),""))</f>
        <v/>
      </c>
      <c r="AB50" s="33">
        <f>IF(OR($E50="",$F50=""),"",IF(AND(AB$4&lt;=$F50,AB$4+6&gt;=$E50),IF($F50-$E50&lt;=2,"◆",IF($H50="Yes","X",LEFT($D50,1))),""))</f>
        <v/>
      </c>
      <c r="AC50" s="33">
        <f>IF(OR($E50="",$F50=""),"",IF(AND(AC$4&lt;=$F50,AC$4+6&gt;=$E50),IF($F50-$E50&lt;=2,"◆",IF($H50="Yes","X",LEFT($D50,1))),""))</f>
        <v/>
      </c>
      <c r="AD50" s="33">
        <f>IF(OR($E50="",$F50=""),"",IF(AND(AD$4&lt;=$F50,AD$4+6&gt;=$E50),IF($F50-$E50&lt;=2,"◆",IF($H50="Yes","X",LEFT($D50,1))),""))</f>
        <v/>
      </c>
      <c r="AE50" s="33">
        <f>IF(OR($E50="",$F50=""),"",IF(AND(AE$4&lt;=$F50,AE$4+6&gt;=$E50),IF($F50-$E50&lt;=2,"◆",IF($H50="Yes","X",LEFT($D50,1))),""))</f>
        <v/>
      </c>
      <c r="AF50" s="33">
        <f>IF(OR($E50="",$F50=""),"",IF(AND(AF$4&lt;=$F50,AF$4+6&gt;=$E50),IF($F50-$E50&lt;=2,"◆",IF($H50="Yes","X",LEFT($D50,1))),""))</f>
        <v/>
      </c>
      <c r="AG50" s="33">
        <f>IF(OR($E50="",$F50=""),"",IF(AND(AG$4&lt;=$F50,AG$4+6&gt;=$E50),IF($F50-$E50&lt;=2,"◆",IF($H50="Yes","X",LEFT($D50,1))),""))</f>
        <v/>
      </c>
      <c r="AH50" s="33">
        <f>IF(OR($E50="",$F50=""),"",IF(AND(AH$4&lt;=$F50,AH$4+6&gt;=$E50),IF($F50-$E50&lt;=2,"◆",IF($H50="Yes","X",LEFT($D50,1))),""))</f>
        <v/>
      </c>
      <c r="AI50" s="33">
        <f>IF(OR($E50="",$F50=""),"",IF(AND(AI$4&lt;=$F50,AI$4+6&gt;=$E50),IF($F50-$E50&lt;=2,"◆",IF($H50="Yes","X",LEFT($D50,1))),""))</f>
        <v/>
      </c>
      <c r="AJ50" s="33">
        <f>IF(OR($E50="",$F50=""),"",IF(AND(AJ$4&lt;=$F50,AJ$4+6&gt;=$E50),IF($F50-$E50&lt;=2,"◆",IF($H50="Yes","X",LEFT($D50,1))),""))</f>
        <v/>
      </c>
      <c r="AK50" s="33">
        <f>IF(OR($E50="",$F50=""),"",IF(AND(AK$4&lt;=$F50,AK$4+6&gt;=$E50),IF($F50-$E50&lt;=2,"◆",IF($H50="Yes","X",LEFT($D50,1))),""))</f>
        <v/>
      </c>
      <c r="AL50" s="33">
        <f>IF(OR($E50="",$F50=""),"",IF(AND(AL$4&lt;=$F50,AL$4+6&gt;=$E50),IF($F50-$E50&lt;=2,"◆",IF($H50="Yes","X",LEFT($D50,1))),""))</f>
        <v/>
      </c>
      <c r="AM50" s="33">
        <f>IF(OR($E50="",$F50=""),"",IF(AND(AM$4&lt;=$F50,AM$4+6&gt;=$E50),IF($F50-$E50&lt;=2,"◆",IF($H50="Yes","X",LEFT($D50,1))),""))</f>
        <v/>
      </c>
      <c r="AN50" s="33">
        <f>IF(OR($E50="",$F50=""),"",IF(AND(AN$4&lt;=$F50,AN$4+6&gt;=$E50),IF($F50-$E50&lt;=2,"◆",IF($H50="Yes","X",LEFT($D50,1))),""))</f>
        <v/>
      </c>
      <c r="AO50" s="33">
        <f>IF(OR($E50="",$F50=""),"",IF(AND(AO$4&lt;=$F50,AO$4+6&gt;=$E50),IF($F50-$E50&lt;=2,"◆",IF($H50="Yes","X",LEFT($D50,1))),""))</f>
        <v/>
      </c>
      <c r="AP50" s="33">
        <f>IF(OR($E50="",$F50=""),"",IF(AND(AP$4&lt;=$F50,AP$4+6&gt;=$E50),IF($F50-$E50&lt;=2,"◆",IF($H50="Yes","X",LEFT($D50,1))),""))</f>
        <v/>
      </c>
      <c r="AQ50" s="33">
        <f>IF(OR($E50="",$F50=""),"",IF(AND(AQ$4&lt;=$F50,AQ$4+6&gt;=$E50),IF($F50-$E50&lt;=2,"◆",IF($H50="Yes","X",LEFT($D50,1))),""))</f>
        <v/>
      </c>
      <c r="AR50" s="33">
        <f>IF(OR($E50="",$F50=""),"",IF(AND(AR$4&lt;=$F50,AR$4+6&gt;=$E50),IF($F50-$E50&lt;=2,"◆",IF($H50="Yes","X",LEFT($D50,1))),""))</f>
        <v/>
      </c>
      <c r="AS50" s="33">
        <f>IF(OR($E50="",$F50=""),"",IF(AND(AS$4&lt;=$F50,AS$4+6&gt;=$E50),IF($F50-$E50&lt;=2,"◆",IF($H50="Yes","X",LEFT($D50,1))),""))</f>
        <v/>
      </c>
      <c r="AT50" s="33">
        <f>IF(OR($E50="",$F50=""),"",IF(AND(AT$4&lt;=$F50,AT$4+6&gt;=$E50),IF($F50-$E50&lt;=2,"◆",IF($H50="Yes","X",LEFT($D50,1))),""))</f>
        <v/>
      </c>
      <c r="AU50" s="33">
        <f>IF(OR($E50="",$F50=""),"",IF(AND(AU$4&lt;=$F50,AU$4+6&gt;=$E50),IF($F50-$E50&lt;=2,"◆",IF($H50="Yes","X",LEFT($D50,1))),""))</f>
        <v/>
      </c>
      <c r="AV50" s="33">
        <f>IF(OR($E50="",$F50=""),"",IF(AND(AV$4&lt;=$F50,AV$4+6&gt;=$E50),IF($F50-$E50&lt;=2,"◆",IF($H50="Yes","X",LEFT($D50,1))),""))</f>
        <v/>
      </c>
      <c r="AW50" s="33">
        <f>IF(OR($E50="",$F50=""),"",IF(AND(AW$4&lt;=$F50,AW$4+6&gt;=$E50),IF($F50-$E50&lt;=2,"◆",IF($H50="Yes","X",LEFT($D50,1))),""))</f>
        <v/>
      </c>
      <c r="AX50" s="33">
        <f>IF(OR($E50="",$F50=""),"",IF(AND(AX$4&lt;=$F50,AX$4+6&gt;=$E50),IF($F50-$E50&lt;=2,"◆",IF($H50="Yes","X",LEFT($D50,1))),""))</f>
        <v/>
      </c>
      <c r="AY50" s="33">
        <f>IF(OR($E50="",$F50=""),"",IF(AND(AY$4&lt;=$F50,AY$4+6&gt;=$E50),IF($F50-$E50&lt;=2,"◆",IF($H50="Yes","X",LEFT($D50,1))),""))</f>
        <v/>
      </c>
      <c r="AZ50" s="33">
        <f>IF(OR($E50="",$F50=""),"",IF(AND(AZ$4&lt;=$F50,AZ$4+6&gt;=$E50),IF($F50-$E50&lt;=2,"◆",IF($H50="Yes","X",LEFT($D50,1))),""))</f>
        <v/>
      </c>
      <c r="BA50" s="33">
        <f>IF(OR($E50="",$F50=""),"",IF(AND(BA$4&lt;=$F50,BA$4+6&gt;=$E50),IF($F50-$E50&lt;=2,"◆",IF($H50="Yes","X",LEFT($D50,1))),""))</f>
        <v/>
      </c>
      <c r="BB50" s="33">
        <f>IF(OR($E50="",$F50=""),"",IF(AND(BB$4&lt;=$F50,BB$4+6&gt;=$E50),IF($F50-$E50&lt;=2,"◆",IF($H50="Yes","X",LEFT($D50,1))),""))</f>
        <v/>
      </c>
      <c r="BC50" s="33">
        <f>IF(OR($E50="",$F50=""),"",IF(AND(BC$4&lt;=$F50,BC$4+6&gt;=$E50),IF($F50-$E50&lt;=2,"◆",IF($H50="Yes","X",LEFT($D50,1))),""))</f>
        <v/>
      </c>
      <c r="BD50" s="33">
        <f>IF(OR($E50="",$F50=""),"",IF(AND(BD$4&lt;=$F50,BD$4+6&gt;=$E50),IF($F50-$E50&lt;=2,"◆",IF($H50="Yes","X",LEFT($D50,1))),""))</f>
        <v/>
      </c>
      <c r="BE50" s="33">
        <f>IF(OR($E50="",$F50=""),"",IF(AND(BE$4&lt;=$F50,BE$4+6&gt;=$E50),IF($F50-$E50&lt;=2,"◆",IF($H50="Yes","X",LEFT($D50,1))),""))</f>
        <v/>
      </c>
      <c r="BF50" s="33">
        <f>IF(OR($E50="",$F50=""),"",IF(AND(BF$4&lt;=$F50,BF$4+6&gt;=$E50),IF($F50-$E50&lt;=2,"◆",IF($H50="Yes","X",LEFT($D50,1))),""))</f>
        <v/>
      </c>
      <c r="BG50" s="33">
        <f>IF(OR($E50="",$F50=""),"",IF(AND(BG$4&lt;=$F50,BG$4+6&gt;=$E50),IF($F50-$E50&lt;=2,"◆",IF($H50="Yes","X",LEFT($D50,1))),""))</f>
        <v/>
      </c>
      <c r="BH50" s="33">
        <f>IF(OR($E50="",$F50=""),"",IF(AND(BH$4&lt;=$F50,BH$4+6&gt;=$E50),IF($F50-$E50&lt;=2,"◆",IF($H50="Yes","X",LEFT($D50,1))),""))</f>
        <v/>
      </c>
      <c r="BI50" s="33">
        <f>IF(OR($E50="",$F50=""),"",IF(AND(BI$4&lt;=$F50,BI$4+6&gt;=$E50),IF($F50-$E50&lt;=2,"◆",IF($H50="Yes","X",LEFT($D50,1))),""))</f>
        <v/>
      </c>
    </row>
    <row r="51">
      <c r="A51" s="30" t="inlineStr">
        <is>
          <t>T-047</t>
        </is>
      </c>
      <c r="B51" s="30" t="inlineStr">
        <is>
          <t>Monthly Library Upgrade Assessment and Remediation Across Services</t>
        </is>
      </c>
      <c r="C51" s="30" t="inlineStr">
        <is>
          <t>Jawahar</t>
        </is>
      </c>
      <c r="D51" s="30" t="inlineStr">
        <is>
          <t>In Progress</t>
        </is>
      </c>
      <c r="E51" s="31" t="n">
        <v>46219</v>
      </c>
      <c r="F51" s="31" t="n">
        <v>46223</v>
      </c>
      <c r="G51" s="32" t="n">
        <v>0.34</v>
      </c>
      <c r="H51" s="30" t="inlineStr">
        <is>
          <t>Yes</t>
        </is>
      </c>
      <c r="I51" s="33">
        <f>IF(OR($E51="",$F51=""),"",IF(AND(I$4&lt;=$F51,I$4+6&gt;=$E51),IF($F51-$E51&lt;=2,"◆",IF($H51="Yes","X",LEFT($D51,1))),""))</f>
        <v/>
      </c>
      <c r="J51" s="33">
        <f>IF(OR($E51="",$F51=""),"",IF(AND(J$4&lt;=$F51,J$4+6&gt;=$E51),IF($F51-$E51&lt;=2,"◆",IF($H51="Yes","X",LEFT($D51,1))),""))</f>
        <v/>
      </c>
      <c r="K51" s="33">
        <f>IF(OR($E51="",$F51=""),"",IF(AND(K$4&lt;=$F51,K$4+6&gt;=$E51),IF($F51-$E51&lt;=2,"◆",IF($H51="Yes","X",LEFT($D51,1))),""))</f>
        <v/>
      </c>
      <c r="L51" s="33">
        <f>IF(OR($E51="",$F51=""),"",IF(AND(L$4&lt;=$F51,L$4+6&gt;=$E51),IF($F51-$E51&lt;=2,"◆",IF($H51="Yes","X",LEFT($D51,1))),""))</f>
        <v/>
      </c>
      <c r="M51" s="33">
        <f>IF(OR($E51="",$F51=""),"",IF(AND(M$4&lt;=$F51,M$4+6&gt;=$E51),IF($F51-$E51&lt;=2,"◆",IF($H51="Yes","X",LEFT($D51,1))),""))</f>
        <v/>
      </c>
      <c r="N51" s="33">
        <f>IF(OR($E51="",$F51=""),"",IF(AND(N$4&lt;=$F51,N$4+6&gt;=$E51),IF($F51-$E51&lt;=2,"◆",IF($H51="Yes","X",LEFT($D51,1))),""))</f>
        <v/>
      </c>
      <c r="O51" s="33">
        <f>IF(OR($E51="",$F51=""),"",IF(AND(O$4&lt;=$F51,O$4+6&gt;=$E51),IF($F51-$E51&lt;=2,"◆",IF($H51="Yes","X",LEFT($D51,1))),""))</f>
        <v/>
      </c>
      <c r="P51" s="33">
        <f>IF(OR($E51="",$F51=""),"",IF(AND(P$4&lt;=$F51,P$4+6&gt;=$E51),IF($F51-$E51&lt;=2,"◆",IF($H51="Yes","X",LEFT($D51,1))),""))</f>
        <v/>
      </c>
      <c r="Q51" s="33">
        <f>IF(OR($E51="",$F51=""),"",IF(AND(Q$4&lt;=$F51,Q$4+6&gt;=$E51),IF($F51-$E51&lt;=2,"◆",IF($H51="Yes","X",LEFT($D51,1))),""))</f>
        <v/>
      </c>
      <c r="R51" s="33">
        <f>IF(OR($E51="",$F51=""),"",IF(AND(R$4&lt;=$F51,R$4+6&gt;=$E51),IF($F51-$E51&lt;=2,"◆",IF($H51="Yes","X",LEFT($D51,1))),""))</f>
        <v/>
      </c>
      <c r="S51" s="33">
        <f>IF(OR($E51="",$F51=""),"",IF(AND(S$4&lt;=$F51,S$4+6&gt;=$E51),IF($F51-$E51&lt;=2,"◆",IF($H51="Yes","X",LEFT($D51,1))),""))</f>
        <v/>
      </c>
      <c r="T51" s="33">
        <f>IF(OR($E51="",$F51=""),"",IF(AND(T$4&lt;=$F51,T$4+6&gt;=$E51),IF($F51-$E51&lt;=2,"◆",IF($H51="Yes","X",LEFT($D51,1))),""))</f>
        <v/>
      </c>
      <c r="U51" s="33">
        <f>IF(OR($E51="",$F51=""),"",IF(AND(U$4&lt;=$F51,U$4+6&gt;=$E51),IF($F51-$E51&lt;=2,"◆",IF($H51="Yes","X",LEFT($D51,1))),""))</f>
        <v/>
      </c>
      <c r="V51" s="33">
        <f>IF(OR($E51="",$F51=""),"",IF(AND(V$4&lt;=$F51,V$4+6&gt;=$E51),IF($F51-$E51&lt;=2,"◆",IF($H51="Yes","X",LEFT($D51,1))),""))</f>
        <v/>
      </c>
      <c r="W51" s="33">
        <f>IF(OR($E51="",$F51=""),"",IF(AND(W$4&lt;=$F51,W$4+6&gt;=$E51),IF($F51-$E51&lt;=2,"◆",IF($H51="Yes","X",LEFT($D51,1))),""))</f>
        <v/>
      </c>
      <c r="X51" s="33">
        <f>IF(OR($E51="",$F51=""),"",IF(AND(X$4&lt;=$F51,X$4+6&gt;=$E51),IF($F51-$E51&lt;=2,"◆",IF($H51="Yes","X",LEFT($D51,1))),""))</f>
        <v/>
      </c>
      <c r="Y51" s="33">
        <f>IF(OR($E51="",$F51=""),"",IF(AND(Y$4&lt;=$F51,Y$4+6&gt;=$E51),IF($F51-$E51&lt;=2,"◆",IF($H51="Yes","X",LEFT($D51,1))),""))</f>
        <v/>
      </c>
      <c r="Z51" s="33">
        <f>IF(OR($E51="",$F51=""),"",IF(AND(Z$4&lt;=$F51,Z$4+6&gt;=$E51),IF($F51-$E51&lt;=2,"◆",IF($H51="Yes","X",LEFT($D51,1))),""))</f>
        <v/>
      </c>
      <c r="AA51" s="33">
        <f>IF(OR($E51="",$F51=""),"",IF(AND(AA$4&lt;=$F51,AA$4+6&gt;=$E51),IF($F51-$E51&lt;=2,"◆",IF($H51="Yes","X",LEFT($D51,1))),""))</f>
        <v/>
      </c>
      <c r="AB51" s="33">
        <f>IF(OR($E51="",$F51=""),"",IF(AND(AB$4&lt;=$F51,AB$4+6&gt;=$E51),IF($F51-$E51&lt;=2,"◆",IF($H51="Yes","X",LEFT($D51,1))),""))</f>
        <v/>
      </c>
      <c r="AC51" s="33">
        <f>IF(OR($E51="",$F51=""),"",IF(AND(AC$4&lt;=$F51,AC$4+6&gt;=$E51),IF($F51-$E51&lt;=2,"◆",IF($H51="Yes","X",LEFT($D51,1))),""))</f>
        <v/>
      </c>
      <c r="AD51" s="33">
        <f>IF(OR($E51="",$F51=""),"",IF(AND(AD$4&lt;=$F51,AD$4+6&gt;=$E51),IF($F51-$E51&lt;=2,"◆",IF($H51="Yes","X",LEFT($D51,1))),""))</f>
        <v/>
      </c>
      <c r="AE51" s="33">
        <f>IF(OR($E51="",$F51=""),"",IF(AND(AE$4&lt;=$F51,AE$4+6&gt;=$E51),IF($F51-$E51&lt;=2,"◆",IF($H51="Yes","X",LEFT($D51,1))),""))</f>
        <v/>
      </c>
      <c r="AF51" s="33">
        <f>IF(OR($E51="",$F51=""),"",IF(AND(AF$4&lt;=$F51,AF$4+6&gt;=$E51),IF($F51-$E51&lt;=2,"◆",IF($H51="Yes","X",LEFT($D51,1))),""))</f>
        <v/>
      </c>
      <c r="AG51" s="33">
        <f>IF(OR($E51="",$F51=""),"",IF(AND(AG$4&lt;=$F51,AG$4+6&gt;=$E51),IF($F51-$E51&lt;=2,"◆",IF($H51="Yes","X",LEFT($D51,1))),""))</f>
        <v/>
      </c>
      <c r="AH51" s="33">
        <f>IF(OR($E51="",$F51=""),"",IF(AND(AH$4&lt;=$F51,AH$4+6&gt;=$E51),IF($F51-$E51&lt;=2,"◆",IF($H51="Yes","X",LEFT($D51,1))),""))</f>
        <v/>
      </c>
      <c r="AI51" s="33">
        <f>IF(OR($E51="",$F51=""),"",IF(AND(AI$4&lt;=$F51,AI$4+6&gt;=$E51),IF($F51-$E51&lt;=2,"◆",IF($H51="Yes","X",LEFT($D51,1))),""))</f>
        <v/>
      </c>
      <c r="AJ51" s="33">
        <f>IF(OR($E51="",$F51=""),"",IF(AND(AJ$4&lt;=$F51,AJ$4+6&gt;=$E51),IF($F51-$E51&lt;=2,"◆",IF($H51="Yes","X",LEFT($D51,1))),""))</f>
        <v/>
      </c>
      <c r="AK51" s="33">
        <f>IF(OR($E51="",$F51=""),"",IF(AND(AK$4&lt;=$F51,AK$4+6&gt;=$E51),IF($F51-$E51&lt;=2,"◆",IF($H51="Yes","X",LEFT($D51,1))),""))</f>
        <v/>
      </c>
      <c r="AL51" s="33">
        <f>IF(OR($E51="",$F51=""),"",IF(AND(AL$4&lt;=$F51,AL$4+6&gt;=$E51),IF($F51-$E51&lt;=2,"◆",IF($H51="Yes","X",LEFT($D51,1))),""))</f>
        <v/>
      </c>
      <c r="AM51" s="33">
        <f>IF(OR($E51="",$F51=""),"",IF(AND(AM$4&lt;=$F51,AM$4+6&gt;=$E51),IF($F51-$E51&lt;=2,"◆",IF($H51="Yes","X",LEFT($D51,1))),""))</f>
        <v/>
      </c>
      <c r="AN51" s="33">
        <f>IF(OR($E51="",$F51=""),"",IF(AND(AN$4&lt;=$F51,AN$4+6&gt;=$E51),IF($F51-$E51&lt;=2,"◆",IF($H51="Yes","X",LEFT($D51,1))),""))</f>
        <v/>
      </c>
      <c r="AO51" s="33">
        <f>IF(OR($E51="",$F51=""),"",IF(AND(AO$4&lt;=$F51,AO$4+6&gt;=$E51),IF($F51-$E51&lt;=2,"◆",IF($H51="Yes","X",LEFT($D51,1))),""))</f>
        <v/>
      </c>
      <c r="AP51" s="33">
        <f>IF(OR($E51="",$F51=""),"",IF(AND(AP$4&lt;=$F51,AP$4+6&gt;=$E51),IF($F51-$E51&lt;=2,"◆",IF($H51="Yes","X",LEFT($D51,1))),""))</f>
        <v/>
      </c>
      <c r="AQ51" s="33">
        <f>IF(OR($E51="",$F51=""),"",IF(AND(AQ$4&lt;=$F51,AQ$4+6&gt;=$E51),IF($F51-$E51&lt;=2,"◆",IF($H51="Yes","X",LEFT($D51,1))),""))</f>
        <v/>
      </c>
      <c r="AR51" s="33">
        <f>IF(OR($E51="",$F51=""),"",IF(AND(AR$4&lt;=$F51,AR$4+6&gt;=$E51),IF($F51-$E51&lt;=2,"◆",IF($H51="Yes","X",LEFT($D51,1))),""))</f>
        <v/>
      </c>
      <c r="AS51" s="33">
        <f>IF(OR($E51="",$F51=""),"",IF(AND(AS$4&lt;=$F51,AS$4+6&gt;=$E51),IF($F51-$E51&lt;=2,"◆",IF($H51="Yes","X",LEFT($D51,1))),""))</f>
        <v/>
      </c>
      <c r="AT51" s="33">
        <f>IF(OR($E51="",$F51=""),"",IF(AND(AT$4&lt;=$F51,AT$4+6&gt;=$E51),IF($F51-$E51&lt;=2,"◆",IF($H51="Yes","X",LEFT($D51,1))),""))</f>
        <v/>
      </c>
      <c r="AU51" s="33">
        <f>IF(OR($E51="",$F51=""),"",IF(AND(AU$4&lt;=$F51,AU$4+6&gt;=$E51),IF($F51-$E51&lt;=2,"◆",IF($H51="Yes","X",LEFT($D51,1))),""))</f>
        <v/>
      </c>
      <c r="AV51" s="33">
        <f>IF(OR($E51="",$F51=""),"",IF(AND(AV$4&lt;=$F51,AV$4+6&gt;=$E51),IF($F51-$E51&lt;=2,"◆",IF($H51="Yes","X",LEFT($D51,1))),""))</f>
        <v/>
      </c>
      <c r="AW51" s="33">
        <f>IF(OR($E51="",$F51=""),"",IF(AND(AW$4&lt;=$F51,AW$4+6&gt;=$E51),IF($F51-$E51&lt;=2,"◆",IF($H51="Yes","X",LEFT($D51,1))),""))</f>
        <v/>
      </c>
      <c r="AX51" s="33">
        <f>IF(OR($E51="",$F51=""),"",IF(AND(AX$4&lt;=$F51,AX$4+6&gt;=$E51),IF($F51-$E51&lt;=2,"◆",IF($H51="Yes","X",LEFT($D51,1))),""))</f>
        <v/>
      </c>
      <c r="AY51" s="33">
        <f>IF(OR($E51="",$F51=""),"",IF(AND(AY$4&lt;=$F51,AY$4+6&gt;=$E51),IF($F51-$E51&lt;=2,"◆",IF($H51="Yes","X",LEFT($D51,1))),""))</f>
        <v/>
      </c>
      <c r="AZ51" s="33">
        <f>IF(OR($E51="",$F51=""),"",IF(AND(AZ$4&lt;=$F51,AZ$4+6&gt;=$E51),IF($F51-$E51&lt;=2,"◆",IF($H51="Yes","X",LEFT($D51,1))),""))</f>
        <v/>
      </c>
      <c r="BA51" s="33">
        <f>IF(OR($E51="",$F51=""),"",IF(AND(BA$4&lt;=$F51,BA$4+6&gt;=$E51),IF($F51-$E51&lt;=2,"◆",IF($H51="Yes","X",LEFT($D51,1))),""))</f>
        <v/>
      </c>
      <c r="BB51" s="33">
        <f>IF(OR($E51="",$F51=""),"",IF(AND(BB$4&lt;=$F51,BB$4+6&gt;=$E51),IF($F51-$E51&lt;=2,"◆",IF($H51="Yes","X",LEFT($D51,1))),""))</f>
        <v/>
      </c>
      <c r="BC51" s="33">
        <f>IF(OR($E51="",$F51=""),"",IF(AND(BC$4&lt;=$F51,BC$4+6&gt;=$E51),IF($F51-$E51&lt;=2,"◆",IF($H51="Yes","X",LEFT($D51,1))),""))</f>
        <v/>
      </c>
      <c r="BD51" s="33">
        <f>IF(OR($E51="",$F51=""),"",IF(AND(BD$4&lt;=$F51,BD$4+6&gt;=$E51),IF($F51-$E51&lt;=2,"◆",IF($H51="Yes","X",LEFT($D51,1))),""))</f>
        <v/>
      </c>
      <c r="BE51" s="33">
        <f>IF(OR($E51="",$F51=""),"",IF(AND(BE$4&lt;=$F51,BE$4+6&gt;=$E51),IF($F51-$E51&lt;=2,"◆",IF($H51="Yes","X",LEFT($D51,1))),""))</f>
        <v/>
      </c>
      <c r="BF51" s="33">
        <f>IF(OR($E51="",$F51=""),"",IF(AND(BF$4&lt;=$F51,BF$4+6&gt;=$E51),IF($F51-$E51&lt;=2,"◆",IF($H51="Yes","X",LEFT($D51,1))),""))</f>
        <v/>
      </c>
      <c r="BG51" s="33">
        <f>IF(OR($E51="",$F51=""),"",IF(AND(BG$4&lt;=$F51,BG$4+6&gt;=$E51),IF($F51-$E51&lt;=2,"◆",IF($H51="Yes","X",LEFT($D51,1))),""))</f>
        <v/>
      </c>
      <c r="BH51" s="33">
        <f>IF(OR($E51="",$F51=""),"",IF(AND(BH$4&lt;=$F51,BH$4+6&gt;=$E51),IF($F51-$E51&lt;=2,"◆",IF($H51="Yes","X",LEFT($D51,1))),""))</f>
        <v/>
      </c>
      <c r="BI51" s="33">
        <f>IF(OR($E51="",$F51=""),"",IF(AND(BI$4&lt;=$F51,BI$4+6&gt;=$E51),IF($F51-$E51&lt;=2,"◆",IF($H51="Yes","X",LEFT($D51,1))),""))</f>
        <v/>
      </c>
    </row>
    <row r="52">
      <c r="A52" s="30" t="inlineStr">
        <is>
          <t>T-048</t>
        </is>
      </c>
      <c r="B52" s="30" t="inlineStr">
        <is>
          <t>Cloud Usage Chargeback Model, Monthly Tenant-Level Allocation</t>
        </is>
      </c>
      <c r="C52" s="30" t="inlineStr">
        <is>
          <t>Jawahar</t>
        </is>
      </c>
      <c r="D52" s="30" t="inlineStr">
        <is>
          <t>In Progress</t>
        </is>
      </c>
      <c r="E52" s="31" t="n">
        <v>46214</v>
      </c>
      <c r="F52" s="31" t="n">
        <v>46218</v>
      </c>
      <c r="G52" s="32" t="n">
        <v>0.25</v>
      </c>
      <c r="H52" s="30" t="inlineStr">
        <is>
          <t>Yes</t>
        </is>
      </c>
      <c r="I52" s="33">
        <f>IF(OR($E52="",$F52=""),"",IF(AND(I$4&lt;=$F52,I$4+6&gt;=$E52),IF($F52-$E52&lt;=2,"◆",IF($H52="Yes","X",LEFT($D52,1))),""))</f>
        <v/>
      </c>
      <c r="J52" s="33">
        <f>IF(OR($E52="",$F52=""),"",IF(AND(J$4&lt;=$F52,J$4+6&gt;=$E52),IF($F52-$E52&lt;=2,"◆",IF($H52="Yes","X",LEFT($D52,1))),""))</f>
        <v/>
      </c>
      <c r="K52" s="33">
        <f>IF(OR($E52="",$F52=""),"",IF(AND(K$4&lt;=$F52,K$4+6&gt;=$E52),IF($F52-$E52&lt;=2,"◆",IF($H52="Yes","X",LEFT($D52,1))),""))</f>
        <v/>
      </c>
      <c r="L52" s="33">
        <f>IF(OR($E52="",$F52=""),"",IF(AND(L$4&lt;=$F52,L$4+6&gt;=$E52),IF($F52-$E52&lt;=2,"◆",IF($H52="Yes","X",LEFT($D52,1))),""))</f>
        <v/>
      </c>
      <c r="M52" s="33">
        <f>IF(OR($E52="",$F52=""),"",IF(AND(M$4&lt;=$F52,M$4+6&gt;=$E52),IF($F52-$E52&lt;=2,"◆",IF($H52="Yes","X",LEFT($D52,1))),""))</f>
        <v/>
      </c>
      <c r="N52" s="33">
        <f>IF(OR($E52="",$F52=""),"",IF(AND(N$4&lt;=$F52,N$4+6&gt;=$E52),IF($F52-$E52&lt;=2,"◆",IF($H52="Yes","X",LEFT($D52,1))),""))</f>
        <v/>
      </c>
      <c r="O52" s="33">
        <f>IF(OR($E52="",$F52=""),"",IF(AND(O$4&lt;=$F52,O$4+6&gt;=$E52),IF($F52-$E52&lt;=2,"◆",IF($H52="Yes","X",LEFT($D52,1))),""))</f>
        <v/>
      </c>
      <c r="P52" s="33">
        <f>IF(OR($E52="",$F52=""),"",IF(AND(P$4&lt;=$F52,P$4+6&gt;=$E52),IF($F52-$E52&lt;=2,"◆",IF($H52="Yes","X",LEFT($D52,1))),""))</f>
        <v/>
      </c>
      <c r="Q52" s="33">
        <f>IF(OR($E52="",$F52=""),"",IF(AND(Q$4&lt;=$F52,Q$4+6&gt;=$E52),IF($F52-$E52&lt;=2,"◆",IF($H52="Yes","X",LEFT($D52,1))),""))</f>
        <v/>
      </c>
      <c r="R52" s="33">
        <f>IF(OR($E52="",$F52=""),"",IF(AND(R$4&lt;=$F52,R$4+6&gt;=$E52),IF($F52-$E52&lt;=2,"◆",IF($H52="Yes","X",LEFT($D52,1))),""))</f>
        <v/>
      </c>
      <c r="S52" s="33">
        <f>IF(OR($E52="",$F52=""),"",IF(AND(S$4&lt;=$F52,S$4+6&gt;=$E52),IF($F52-$E52&lt;=2,"◆",IF($H52="Yes","X",LEFT($D52,1))),""))</f>
        <v/>
      </c>
      <c r="T52" s="33">
        <f>IF(OR($E52="",$F52=""),"",IF(AND(T$4&lt;=$F52,T$4+6&gt;=$E52),IF($F52-$E52&lt;=2,"◆",IF($H52="Yes","X",LEFT($D52,1))),""))</f>
        <v/>
      </c>
      <c r="U52" s="33">
        <f>IF(OR($E52="",$F52=""),"",IF(AND(U$4&lt;=$F52,U$4+6&gt;=$E52),IF($F52-$E52&lt;=2,"◆",IF($H52="Yes","X",LEFT($D52,1))),""))</f>
        <v/>
      </c>
      <c r="V52" s="33">
        <f>IF(OR($E52="",$F52=""),"",IF(AND(V$4&lt;=$F52,V$4+6&gt;=$E52),IF($F52-$E52&lt;=2,"◆",IF($H52="Yes","X",LEFT($D52,1))),""))</f>
        <v/>
      </c>
      <c r="W52" s="33">
        <f>IF(OR($E52="",$F52=""),"",IF(AND(W$4&lt;=$F52,W$4+6&gt;=$E52),IF($F52-$E52&lt;=2,"◆",IF($H52="Yes","X",LEFT($D52,1))),""))</f>
        <v/>
      </c>
      <c r="X52" s="33">
        <f>IF(OR($E52="",$F52=""),"",IF(AND(X$4&lt;=$F52,X$4+6&gt;=$E52),IF($F52-$E52&lt;=2,"◆",IF($H52="Yes","X",LEFT($D52,1))),""))</f>
        <v/>
      </c>
      <c r="Y52" s="33">
        <f>IF(OR($E52="",$F52=""),"",IF(AND(Y$4&lt;=$F52,Y$4+6&gt;=$E52),IF($F52-$E52&lt;=2,"◆",IF($H52="Yes","X",LEFT($D52,1))),""))</f>
        <v/>
      </c>
      <c r="Z52" s="33">
        <f>IF(OR($E52="",$F52=""),"",IF(AND(Z$4&lt;=$F52,Z$4+6&gt;=$E52),IF($F52-$E52&lt;=2,"◆",IF($H52="Yes","X",LEFT($D52,1))),""))</f>
        <v/>
      </c>
      <c r="AA52" s="33">
        <f>IF(OR($E52="",$F52=""),"",IF(AND(AA$4&lt;=$F52,AA$4+6&gt;=$E52),IF($F52-$E52&lt;=2,"◆",IF($H52="Yes","X",LEFT($D52,1))),""))</f>
        <v/>
      </c>
      <c r="AB52" s="33">
        <f>IF(OR($E52="",$F52=""),"",IF(AND(AB$4&lt;=$F52,AB$4+6&gt;=$E52),IF($F52-$E52&lt;=2,"◆",IF($H52="Yes","X",LEFT($D52,1))),""))</f>
        <v/>
      </c>
      <c r="AC52" s="33">
        <f>IF(OR($E52="",$F52=""),"",IF(AND(AC$4&lt;=$F52,AC$4+6&gt;=$E52),IF($F52-$E52&lt;=2,"◆",IF($H52="Yes","X",LEFT($D52,1))),""))</f>
        <v/>
      </c>
      <c r="AD52" s="33">
        <f>IF(OR($E52="",$F52=""),"",IF(AND(AD$4&lt;=$F52,AD$4+6&gt;=$E52),IF($F52-$E52&lt;=2,"◆",IF($H52="Yes","X",LEFT($D52,1))),""))</f>
        <v/>
      </c>
      <c r="AE52" s="33">
        <f>IF(OR($E52="",$F52=""),"",IF(AND(AE$4&lt;=$F52,AE$4+6&gt;=$E52),IF($F52-$E52&lt;=2,"◆",IF($H52="Yes","X",LEFT($D52,1))),""))</f>
        <v/>
      </c>
      <c r="AF52" s="33">
        <f>IF(OR($E52="",$F52=""),"",IF(AND(AF$4&lt;=$F52,AF$4+6&gt;=$E52),IF($F52-$E52&lt;=2,"◆",IF($H52="Yes","X",LEFT($D52,1))),""))</f>
        <v/>
      </c>
      <c r="AG52" s="33">
        <f>IF(OR($E52="",$F52=""),"",IF(AND(AG$4&lt;=$F52,AG$4+6&gt;=$E52),IF($F52-$E52&lt;=2,"◆",IF($H52="Yes","X",LEFT($D52,1))),""))</f>
        <v/>
      </c>
      <c r="AH52" s="33">
        <f>IF(OR($E52="",$F52=""),"",IF(AND(AH$4&lt;=$F52,AH$4+6&gt;=$E52),IF($F52-$E52&lt;=2,"◆",IF($H52="Yes","X",LEFT($D52,1))),""))</f>
        <v/>
      </c>
      <c r="AI52" s="33">
        <f>IF(OR($E52="",$F52=""),"",IF(AND(AI$4&lt;=$F52,AI$4+6&gt;=$E52),IF($F52-$E52&lt;=2,"◆",IF($H52="Yes","X",LEFT($D52,1))),""))</f>
        <v/>
      </c>
      <c r="AJ52" s="33">
        <f>IF(OR($E52="",$F52=""),"",IF(AND(AJ$4&lt;=$F52,AJ$4+6&gt;=$E52),IF($F52-$E52&lt;=2,"◆",IF($H52="Yes","X",LEFT($D52,1))),""))</f>
        <v/>
      </c>
      <c r="AK52" s="33">
        <f>IF(OR($E52="",$F52=""),"",IF(AND(AK$4&lt;=$F52,AK$4+6&gt;=$E52),IF($F52-$E52&lt;=2,"◆",IF($H52="Yes","X",LEFT($D52,1))),""))</f>
        <v/>
      </c>
      <c r="AL52" s="33">
        <f>IF(OR($E52="",$F52=""),"",IF(AND(AL$4&lt;=$F52,AL$4+6&gt;=$E52),IF($F52-$E52&lt;=2,"◆",IF($H52="Yes","X",LEFT($D52,1))),""))</f>
        <v/>
      </c>
      <c r="AM52" s="33">
        <f>IF(OR($E52="",$F52=""),"",IF(AND(AM$4&lt;=$F52,AM$4+6&gt;=$E52),IF($F52-$E52&lt;=2,"◆",IF($H52="Yes","X",LEFT($D52,1))),""))</f>
        <v/>
      </c>
      <c r="AN52" s="33">
        <f>IF(OR($E52="",$F52=""),"",IF(AND(AN$4&lt;=$F52,AN$4+6&gt;=$E52),IF($F52-$E52&lt;=2,"◆",IF($H52="Yes","X",LEFT($D52,1))),""))</f>
        <v/>
      </c>
      <c r="AO52" s="33">
        <f>IF(OR($E52="",$F52=""),"",IF(AND(AO$4&lt;=$F52,AO$4+6&gt;=$E52),IF($F52-$E52&lt;=2,"◆",IF($H52="Yes","X",LEFT($D52,1))),""))</f>
        <v/>
      </c>
      <c r="AP52" s="33">
        <f>IF(OR($E52="",$F52=""),"",IF(AND(AP$4&lt;=$F52,AP$4+6&gt;=$E52),IF($F52-$E52&lt;=2,"◆",IF($H52="Yes","X",LEFT($D52,1))),""))</f>
        <v/>
      </c>
      <c r="AQ52" s="33">
        <f>IF(OR($E52="",$F52=""),"",IF(AND(AQ$4&lt;=$F52,AQ$4+6&gt;=$E52),IF($F52-$E52&lt;=2,"◆",IF($H52="Yes","X",LEFT($D52,1))),""))</f>
        <v/>
      </c>
      <c r="AR52" s="33">
        <f>IF(OR($E52="",$F52=""),"",IF(AND(AR$4&lt;=$F52,AR$4+6&gt;=$E52),IF($F52-$E52&lt;=2,"◆",IF($H52="Yes","X",LEFT($D52,1))),""))</f>
        <v/>
      </c>
      <c r="AS52" s="33">
        <f>IF(OR($E52="",$F52=""),"",IF(AND(AS$4&lt;=$F52,AS$4+6&gt;=$E52),IF($F52-$E52&lt;=2,"◆",IF($H52="Yes","X",LEFT($D52,1))),""))</f>
        <v/>
      </c>
      <c r="AT52" s="33">
        <f>IF(OR($E52="",$F52=""),"",IF(AND(AT$4&lt;=$F52,AT$4+6&gt;=$E52),IF($F52-$E52&lt;=2,"◆",IF($H52="Yes","X",LEFT($D52,1))),""))</f>
        <v/>
      </c>
      <c r="AU52" s="33">
        <f>IF(OR($E52="",$F52=""),"",IF(AND(AU$4&lt;=$F52,AU$4+6&gt;=$E52),IF($F52-$E52&lt;=2,"◆",IF($H52="Yes","X",LEFT($D52,1))),""))</f>
        <v/>
      </c>
      <c r="AV52" s="33">
        <f>IF(OR($E52="",$F52=""),"",IF(AND(AV$4&lt;=$F52,AV$4+6&gt;=$E52),IF($F52-$E52&lt;=2,"◆",IF($H52="Yes","X",LEFT($D52,1))),""))</f>
        <v/>
      </c>
      <c r="AW52" s="33">
        <f>IF(OR($E52="",$F52=""),"",IF(AND(AW$4&lt;=$F52,AW$4+6&gt;=$E52),IF($F52-$E52&lt;=2,"◆",IF($H52="Yes","X",LEFT($D52,1))),""))</f>
        <v/>
      </c>
      <c r="AX52" s="33">
        <f>IF(OR($E52="",$F52=""),"",IF(AND(AX$4&lt;=$F52,AX$4+6&gt;=$E52),IF($F52-$E52&lt;=2,"◆",IF($H52="Yes","X",LEFT($D52,1))),""))</f>
        <v/>
      </c>
      <c r="AY52" s="33">
        <f>IF(OR($E52="",$F52=""),"",IF(AND(AY$4&lt;=$F52,AY$4+6&gt;=$E52),IF($F52-$E52&lt;=2,"◆",IF($H52="Yes","X",LEFT($D52,1))),""))</f>
        <v/>
      </c>
      <c r="AZ52" s="33">
        <f>IF(OR($E52="",$F52=""),"",IF(AND(AZ$4&lt;=$F52,AZ$4+6&gt;=$E52),IF($F52-$E52&lt;=2,"◆",IF($H52="Yes","X",LEFT($D52,1))),""))</f>
        <v/>
      </c>
      <c r="BA52" s="33">
        <f>IF(OR($E52="",$F52=""),"",IF(AND(BA$4&lt;=$F52,BA$4+6&gt;=$E52),IF($F52-$E52&lt;=2,"◆",IF($H52="Yes","X",LEFT($D52,1))),""))</f>
        <v/>
      </c>
      <c r="BB52" s="33">
        <f>IF(OR($E52="",$F52=""),"",IF(AND(BB$4&lt;=$F52,BB$4+6&gt;=$E52),IF($F52-$E52&lt;=2,"◆",IF($H52="Yes","X",LEFT($D52,1))),""))</f>
        <v/>
      </c>
      <c r="BC52" s="33">
        <f>IF(OR($E52="",$F52=""),"",IF(AND(BC$4&lt;=$F52,BC$4+6&gt;=$E52),IF($F52-$E52&lt;=2,"◆",IF($H52="Yes","X",LEFT($D52,1))),""))</f>
        <v/>
      </c>
      <c r="BD52" s="33">
        <f>IF(OR($E52="",$F52=""),"",IF(AND(BD$4&lt;=$F52,BD$4+6&gt;=$E52),IF($F52-$E52&lt;=2,"◆",IF($H52="Yes","X",LEFT($D52,1))),""))</f>
        <v/>
      </c>
      <c r="BE52" s="33">
        <f>IF(OR($E52="",$F52=""),"",IF(AND(BE$4&lt;=$F52,BE$4+6&gt;=$E52),IF($F52-$E52&lt;=2,"◆",IF($H52="Yes","X",LEFT($D52,1))),""))</f>
        <v/>
      </c>
      <c r="BF52" s="33">
        <f>IF(OR($E52="",$F52=""),"",IF(AND(BF$4&lt;=$F52,BF$4+6&gt;=$E52),IF($F52-$E52&lt;=2,"◆",IF($H52="Yes","X",LEFT($D52,1))),""))</f>
        <v/>
      </c>
      <c r="BG52" s="33">
        <f>IF(OR($E52="",$F52=""),"",IF(AND(BG$4&lt;=$F52,BG$4+6&gt;=$E52),IF($F52-$E52&lt;=2,"◆",IF($H52="Yes","X",LEFT($D52,1))),""))</f>
        <v/>
      </c>
      <c r="BH52" s="33">
        <f>IF(OR($E52="",$F52=""),"",IF(AND(BH$4&lt;=$F52,BH$4+6&gt;=$E52),IF($F52-$E52&lt;=2,"◆",IF($H52="Yes","X",LEFT($D52,1))),""))</f>
        <v/>
      </c>
      <c r="BI52" s="33">
        <f>IF(OR($E52="",$F52=""),"",IF(AND(BI$4&lt;=$F52,BI$4+6&gt;=$E52),IF($F52-$E52&lt;=2,"◆",IF($H52="Yes","X",LEFT($D52,1))),""))</f>
        <v/>
      </c>
    </row>
    <row r="53">
      <c r="A53" s="30" t="inlineStr">
        <is>
          <t>T-049</t>
        </is>
      </c>
      <c r="B53" s="30" t="inlineStr">
        <is>
          <t>Internal VAPT - Half-Yearly Penetration Testing and Fixes</t>
        </is>
      </c>
      <c r="C53" s="30" t="inlineStr">
        <is>
          <t>Jawahar</t>
        </is>
      </c>
      <c r="D53" s="30" t="inlineStr">
        <is>
          <t>Not Started</t>
        </is>
      </c>
      <c r="E53" s="31" t="n">
        <v>46312</v>
      </c>
      <c r="F53" s="31" t="n">
        <v>46328</v>
      </c>
      <c r="G53" s="32" t="n">
        <v>0</v>
      </c>
      <c r="H53" s="30" t="inlineStr">
        <is>
          <t>No</t>
        </is>
      </c>
      <c r="I53" s="33">
        <f>IF(OR($E53="",$F53=""),"",IF(AND(I$4&lt;=$F53,I$4+6&gt;=$E53),IF($F53-$E53&lt;=2,"◆",IF($H53="Yes","X",LEFT($D53,1))),""))</f>
        <v/>
      </c>
      <c r="J53" s="33">
        <f>IF(OR($E53="",$F53=""),"",IF(AND(J$4&lt;=$F53,J$4+6&gt;=$E53),IF($F53-$E53&lt;=2,"◆",IF($H53="Yes","X",LEFT($D53,1))),""))</f>
        <v/>
      </c>
      <c r="K53" s="33">
        <f>IF(OR($E53="",$F53=""),"",IF(AND(K$4&lt;=$F53,K$4+6&gt;=$E53),IF($F53-$E53&lt;=2,"◆",IF($H53="Yes","X",LEFT($D53,1))),""))</f>
        <v/>
      </c>
      <c r="L53" s="33">
        <f>IF(OR($E53="",$F53=""),"",IF(AND(L$4&lt;=$F53,L$4+6&gt;=$E53),IF($F53-$E53&lt;=2,"◆",IF($H53="Yes","X",LEFT($D53,1))),""))</f>
        <v/>
      </c>
      <c r="M53" s="33">
        <f>IF(OR($E53="",$F53=""),"",IF(AND(M$4&lt;=$F53,M$4+6&gt;=$E53),IF($F53-$E53&lt;=2,"◆",IF($H53="Yes","X",LEFT($D53,1))),""))</f>
        <v/>
      </c>
      <c r="N53" s="33">
        <f>IF(OR($E53="",$F53=""),"",IF(AND(N$4&lt;=$F53,N$4+6&gt;=$E53),IF($F53-$E53&lt;=2,"◆",IF($H53="Yes","X",LEFT($D53,1))),""))</f>
        <v/>
      </c>
      <c r="O53" s="33">
        <f>IF(OR($E53="",$F53=""),"",IF(AND(O$4&lt;=$F53,O$4+6&gt;=$E53),IF($F53-$E53&lt;=2,"◆",IF($H53="Yes","X",LEFT($D53,1))),""))</f>
        <v/>
      </c>
      <c r="P53" s="33">
        <f>IF(OR($E53="",$F53=""),"",IF(AND(P$4&lt;=$F53,P$4+6&gt;=$E53),IF($F53-$E53&lt;=2,"◆",IF($H53="Yes","X",LEFT($D53,1))),""))</f>
        <v/>
      </c>
      <c r="Q53" s="33">
        <f>IF(OR($E53="",$F53=""),"",IF(AND(Q$4&lt;=$F53,Q$4+6&gt;=$E53),IF($F53-$E53&lt;=2,"◆",IF($H53="Yes","X",LEFT($D53,1))),""))</f>
        <v/>
      </c>
      <c r="R53" s="33">
        <f>IF(OR($E53="",$F53=""),"",IF(AND(R$4&lt;=$F53,R$4+6&gt;=$E53),IF($F53-$E53&lt;=2,"◆",IF($H53="Yes","X",LEFT($D53,1))),""))</f>
        <v/>
      </c>
      <c r="S53" s="33">
        <f>IF(OR($E53="",$F53=""),"",IF(AND(S$4&lt;=$F53,S$4+6&gt;=$E53),IF($F53-$E53&lt;=2,"◆",IF($H53="Yes","X",LEFT($D53,1))),""))</f>
        <v/>
      </c>
      <c r="T53" s="33">
        <f>IF(OR($E53="",$F53=""),"",IF(AND(T$4&lt;=$F53,T$4+6&gt;=$E53),IF($F53-$E53&lt;=2,"◆",IF($H53="Yes","X",LEFT($D53,1))),""))</f>
        <v/>
      </c>
      <c r="U53" s="33">
        <f>IF(OR($E53="",$F53=""),"",IF(AND(U$4&lt;=$F53,U$4+6&gt;=$E53),IF($F53-$E53&lt;=2,"◆",IF($H53="Yes","X",LEFT($D53,1))),""))</f>
        <v/>
      </c>
      <c r="V53" s="33">
        <f>IF(OR($E53="",$F53=""),"",IF(AND(V$4&lt;=$F53,V$4+6&gt;=$E53),IF($F53-$E53&lt;=2,"◆",IF($H53="Yes","X",LEFT($D53,1))),""))</f>
        <v/>
      </c>
      <c r="W53" s="33">
        <f>IF(OR($E53="",$F53=""),"",IF(AND(W$4&lt;=$F53,W$4+6&gt;=$E53),IF($F53-$E53&lt;=2,"◆",IF($H53="Yes","X",LEFT($D53,1))),""))</f>
        <v/>
      </c>
      <c r="X53" s="33">
        <f>IF(OR($E53="",$F53=""),"",IF(AND(X$4&lt;=$F53,X$4+6&gt;=$E53),IF($F53-$E53&lt;=2,"◆",IF($H53="Yes","X",LEFT($D53,1))),""))</f>
        <v/>
      </c>
      <c r="Y53" s="33">
        <f>IF(OR($E53="",$F53=""),"",IF(AND(Y$4&lt;=$F53,Y$4+6&gt;=$E53),IF($F53-$E53&lt;=2,"◆",IF($H53="Yes","X",LEFT($D53,1))),""))</f>
        <v/>
      </c>
      <c r="Z53" s="33">
        <f>IF(OR($E53="",$F53=""),"",IF(AND(Z$4&lt;=$F53,Z$4+6&gt;=$E53),IF($F53-$E53&lt;=2,"◆",IF($H53="Yes","X",LEFT($D53,1))),""))</f>
        <v/>
      </c>
      <c r="AA53" s="33">
        <f>IF(OR($E53="",$F53=""),"",IF(AND(AA$4&lt;=$F53,AA$4+6&gt;=$E53),IF($F53-$E53&lt;=2,"◆",IF($H53="Yes","X",LEFT($D53,1))),""))</f>
        <v/>
      </c>
      <c r="AB53" s="33">
        <f>IF(OR($E53="",$F53=""),"",IF(AND(AB$4&lt;=$F53,AB$4+6&gt;=$E53),IF($F53-$E53&lt;=2,"◆",IF($H53="Yes","X",LEFT($D53,1))),""))</f>
        <v/>
      </c>
      <c r="AC53" s="33">
        <f>IF(OR($E53="",$F53=""),"",IF(AND(AC$4&lt;=$F53,AC$4+6&gt;=$E53),IF($F53-$E53&lt;=2,"◆",IF($H53="Yes","X",LEFT($D53,1))),""))</f>
        <v/>
      </c>
      <c r="AD53" s="33">
        <f>IF(OR($E53="",$F53=""),"",IF(AND(AD$4&lt;=$F53,AD$4+6&gt;=$E53),IF($F53-$E53&lt;=2,"◆",IF($H53="Yes","X",LEFT($D53,1))),""))</f>
        <v/>
      </c>
      <c r="AE53" s="33">
        <f>IF(OR($E53="",$F53=""),"",IF(AND(AE$4&lt;=$F53,AE$4+6&gt;=$E53),IF($F53-$E53&lt;=2,"◆",IF($H53="Yes","X",LEFT($D53,1))),""))</f>
        <v/>
      </c>
      <c r="AF53" s="33">
        <f>IF(OR($E53="",$F53=""),"",IF(AND(AF$4&lt;=$F53,AF$4+6&gt;=$E53),IF($F53-$E53&lt;=2,"◆",IF($H53="Yes","X",LEFT($D53,1))),""))</f>
        <v/>
      </c>
      <c r="AG53" s="33">
        <f>IF(OR($E53="",$F53=""),"",IF(AND(AG$4&lt;=$F53,AG$4+6&gt;=$E53),IF($F53-$E53&lt;=2,"◆",IF($H53="Yes","X",LEFT($D53,1))),""))</f>
        <v/>
      </c>
      <c r="AH53" s="33">
        <f>IF(OR($E53="",$F53=""),"",IF(AND(AH$4&lt;=$F53,AH$4+6&gt;=$E53),IF($F53-$E53&lt;=2,"◆",IF($H53="Yes","X",LEFT($D53,1))),""))</f>
        <v/>
      </c>
      <c r="AI53" s="33">
        <f>IF(OR($E53="",$F53=""),"",IF(AND(AI$4&lt;=$F53,AI$4+6&gt;=$E53),IF($F53-$E53&lt;=2,"◆",IF($H53="Yes","X",LEFT($D53,1))),""))</f>
        <v/>
      </c>
      <c r="AJ53" s="33">
        <f>IF(OR($E53="",$F53=""),"",IF(AND(AJ$4&lt;=$F53,AJ$4+6&gt;=$E53),IF($F53-$E53&lt;=2,"◆",IF($H53="Yes","X",LEFT($D53,1))),""))</f>
        <v/>
      </c>
      <c r="AK53" s="33">
        <f>IF(OR($E53="",$F53=""),"",IF(AND(AK$4&lt;=$F53,AK$4+6&gt;=$E53),IF($F53-$E53&lt;=2,"◆",IF($H53="Yes","X",LEFT($D53,1))),""))</f>
        <v/>
      </c>
      <c r="AL53" s="33">
        <f>IF(OR($E53="",$F53=""),"",IF(AND(AL$4&lt;=$F53,AL$4+6&gt;=$E53),IF($F53-$E53&lt;=2,"◆",IF($H53="Yes","X",LEFT($D53,1))),""))</f>
        <v/>
      </c>
      <c r="AM53" s="33">
        <f>IF(OR($E53="",$F53=""),"",IF(AND(AM$4&lt;=$F53,AM$4+6&gt;=$E53),IF($F53-$E53&lt;=2,"◆",IF($H53="Yes","X",LEFT($D53,1))),""))</f>
        <v/>
      </c>
      <c r="AN53" s="33">
        <f>IF(OR($E53="",$F53=""),"",IF(AND(AN$4&lt;=$F53,AN$4+6&gt;=$E53),IF($F53-$E53&lt;=2,"◆",IF($H53="Yes","X",LEFT($D53,1))),""))</f>
        <v/>
      </c>
      <c r="AO53" s="33">
        <f>IF(OR($E53="",$F53=""),"",IF(AND(AO$4&lt;=$F53,AO$4+6&gt;=$E53),IF($F53-$E53&lt;=2,"◆",IF($H53="Yes","X",LEFT($D53,1))),""))</f>
        <v/>
      </c>
      <c r="AP53" s="33">
        <f>IF(OR($E53="",$F53=""),"",IF(AND(AP$4&lt;=$F53,AP$4+6&gt;=$E53),IF($F53-$E53&lt;=2,"◆",IF($H53="Yes","X",LEFT($D53,1))),""))</f>
        <v/>
      </c>
      <c r="AQ53" s="33">
        <f>IF(OR($E53="",$F53=""),"",IF(AND(AQ$4&lt;=$F53,AQ$4+6&gt;=$E53),IF($F53-$E53&lt;=2,"◆",IF($H53="Yes","X",LEFT($D53,1))),""))</f>
        <v/>
      </c>
      <c r="AR53" s="33">
        <f>IF(OR($E53="",$F53=""),"",IF(AND(AR$4&lt;=$F53,AR$4+6&gt;=$E53),IF($F53-$E53&lt;=2,"◆",IF($H53="Yes","X",LEFT($D53,1))),""))</f>
        <v/>
      </c>
      <c r="AS53" s="33">
        <f>IF(OR($E53="",$F53=""),"",IF(AND(AS$4&lt;=$F53,AS$4+6&gt;=$E53),IF($F53-$E53&lt;=2,"◆",IF($H53="Yes","X",LEFT($D53,1))),""))</f>
        <v/>
      </c>
      <c r="AT53" s="33">
        <f>IF(OR($E53="",$F53=""),"",IF(AND(AT$4&lt;=$F53,AT$4+6&gt;=$E53),IF($F53-$E53&lt;=2,"◆",IF($H53="Yes","X",LEFT($D53,1))),""))</f>
        <v/>
      </c>
      <c r="AU53" s="33">
        <f>IF(OR($E53="",$F53=""),"",IF(AND(AU$4&lt;=$F53,AU$4+6&gt;=$E53),IF($F53-$E53&lt;=2,"◆",IF($H53="Yes","X",LEFT($D53,1))),""))</f>
        <v/>
      </c>
      <c r="AV53" s="33">
        <f>IF(OR($E53="",$F53=""),"",IF(AND(AV$4&lt;=$F53,AV$4+6&gt;=$E53),IF($F53-$E53&lt;=2,"◆",IF($H53="Yes","X",LEFT($D53,1))),""))</f>
        <v/>
      </c>
      <c r="AW53" s="33">
        <f>IF(OR($E53="",$F53=""),"",IF(AND(AW$4&lt;=$F53,AW$4+6&gt;=$E53),IF($F53-$E53&lt;=2,"◆",IF($H53="Yes","X",LEFT($D53,1))),""))</f>
        <v/>
      </c>
      <c r="AX53" s="33">
        <f>IF(OR($E53="",$F53=""),"",IF(AND(AX$4&lt;=$F53,AX$4+6&gt;=$E53),IF($F53-$E53&lt;=2,"◆",IF($H53="Yes","X",LEFT($D53,1))),""))</f>
        <v/>
      </c>
      <c r="AY53" s="33">
        <f>IF(OR($E53="",$F53=""),"",IF(AND(AY$4&lt;=$F53,AY$4+6&gt;=$E53),IF($F53-$E53&lt;=2,"◆",IF($H53="Yes","X",LEFT($D53,1))),""))</f>
        <v/>
      </c>
      <c r="AZ53" s="33">
        <f>IF(OR($E53="",$F53=""),"",IF(AND(AZ$4&lt;=$F53,AZ$4+6&gt;=$E53),IF($F53-$E53&lt;=2,"◆",IF($H53="Yes","X",LEFT($D53,1))),""))</f>
        <v/>
      </c>
      <c r="BA53" s="33">
        <f>IF(OR($E53="",$F53=""),"",IF(AND(BA$4&lt;=$F53,BA$4+6&gt;=$E53),IF($F53-$E53&lt;=2,"◆",IF($H53="Yes","X",LEFT($D53,1))),""))</f>
        <v/>
      </c>
      <c r="BB53" s="33">
        <f>IF(OR($E53="",$F53=""),"",IF(AND(BB$4&lt;=$F53,BB$4+6&gt;=$E53),IF($F53-$E53&lt;=2,"◆",IF($H53="Yes","X",LEFT($D53,1))),""))</f>
        <v/>
      </c>
      <c r="BC53" s="33">
        <f>IF(OR($E53="",$F53=""),"",IF(AND(BC$4&lt;=$F53,BC$4+6&gt;=$E53),IF($F53-$E53&lt;=2,"◆",IF($H53="Yes","X",LEFT($D53,1))),""))</f>
        <v/>
      </c>
      <c r="BD53" s="33">
        <f>IF(OR($E53="",$F53=""),"",IF(AND(BD$4&lt;=$F53,BD$4+6&gt;=$E53),IF($F53-$E53&lt;=2,"◆",IF($H53="Yes","X",LEFT($D53,1))),""))</f>
        <v/>
      </c>
      <c r="BE53" s="33">
        <f>IF(OR($E53="",$F53=""),"",IF(AND(BE$4&lt;=$F53,BE$4+6&gt;=$E53),IF($F53-$E53&lt;=2,"◆",IF($H53="Yes","X",LEFT($D53,1))),""))</f>
        <v/>
      </c>
      <c r="BF53" s="33">
        <f>IF(OR($E53="",$F53=""),"",IF(AND(BF$4&lt;=$F53,BF$4+6&gt;=$E53),IF($F53-$E53&lt;=2,"◆",IF($H53="Yes","X",LEFT($D53,1))),""))</f>
        <v/>
      </c>
      <c r="BG53" s="33">
        <f>IF(OR($E53="",$F53=""),"",IF(AND(BG$4&lt;=$F53,BG$4+6&gt;=$E53),IF($F53-$E53&lt;=2,"◆",IF($H53="Yes","X",LEFT($D53,1))),""))</f>
        <v/>
      </c>
      <c r="BH53" s="33">
        <f>IF(OR($E53="",$F53=""),"",IF(AND(BH$4&lt;=$F53,BH$4+6&gt;=$E53),IF($F53-$E53&lt;=2,"◆",IF($H53="Yes","X",LEFT($D53,1))),""))</f>
        <v/>
      </c>
      <c r="BI53" s="33">
        <f>IF(OR($E53="",$F53=""),"",IF(AND(BI$4&lt;=$F53,BI$4+6&gt;=$E53),IF($F53-$E53&lt;=2,"◆",IF($H53="Yes","X",LEFT($D53,1))),""))</f>
        <v/>
      </c>
    </row>
    <row r="54">
      <c r="A54" s="30" t="inlineStr">
        <is>
          <t>T-050</t>
        </is>
      </c>
      <c r="B54" s="30" t="inlineStr">
        <is>
          <t>Configuration Migration Tool Enhancement</t>
        </is>
      </c>
      <c r="C54" s="30" t="inlineStr">
        <is>
          <t>MJ</t>
        </is>
      </c>
      <c r="D54" s="30" t="inlineStr">
        <is>
          <t>Not Started</t>
        </is>
      </c>
      <c r="E54" s="31" t="n">
        <v>46302</v>
      </c>
      <c r="F54" s="31" t="n">
        <v>46341</v>
      </c>
      <c r="G54" s="32" t="n">
        <v>0</v>
      </c>
      <c r="H54" s="30" t="inlineStr">
        <is>
          <t>No</t>
        </is>
      </c>
      <c r="I54" s="33">
        <f>IF(OR($E54="",$F54=""),"",IF(AND(I$4&lt;=$F54,I$4+6&gt;=$E54),IF($F54-$E54&lt;=2,"◆",IF($H54="Yes","X",LEFT($D54,1))),""))</f>
        <v/>
      </c>
      <c r="J54" s="33">
        <f>IF(OR($E54="",$F54=""),"",IF(AND(J$4&lt;=$F54,J$4+6&gt;=$E54),IF($F54-$E54&lt;=2,"◆",IF($H54="Yes","X",LEFT($D54,1))),""))</f>
        <v/>
      </c>
      <c r="K54" s="33">
        <f>IF(OR($E54="",$F54=""),"",IF(AND(K$4&lt;=$F54,K$4+6&gt;=$E54),IF($F54-$E54&lt;=2,"◆",IF($H54="Yes","X",LEFT($D54,1))),""))</f>
        <v/>
      </c>
      <c r="L54" s="33">
        <f>IF(OR($E54="",$F54=""),"",IF(AND(L$4&lt;=$F54,L$4+6&gt;=$E54),IF($F54-$E54&lt;=2,"◆",IF($H54="Yes","X",LEFT($D54,1))),""))</f>
        <v/>
      </c>
      <c r="M54" s="33">
        <f>IF(OR($E54="",$F54=""),"",IF(AND(M$4&lt;=$F54,M$4+6&gt;=$E54),IF($F54-$E54&lt;=2,"◆",IF($H54="Yes","X",LEFT($D54,1))),""))</f>
        <v/>
      </c>
      <c r="N54" s="33">
        <f>IF(OR($E54="",$F54=""),"",IF(AND(N$4&lt;=$F54,N$4+6&gt;=$E54),IF($F54-$E54&lt;=2,"◆",IF($H54="Yes","X",LEFT($D54,1))),""))</f>
        <v/>
      </c>
      <c r="O54" s="33">
        <f>IF(OR($E54="",$F54=""),"",IF(AND(O$4&lt;=$F54,O$4+6&gt;=$E54),IF($F54-$E54&lt;=2,"◆",IF($H54="Yes","X",LEFT($D54,1))),""))</f>
        <v/>
      </c>
      <c r="P54" s="33">
        <f>IF(OR($E54="",$F54=""),"",IF(AND(P$4&lt;=$F54,P$4+6&gt;=$E54),IF($F54-$E54&lt;=2,"◆",IF($H54="Yes","X",LEFT($D54,1))),""))</f>
        <v/>
      </c>
      <c r="Q54" s="33">
        <f>IF(OR($E54="",$F54=""),"",IF(AND(Q$4&lt;=$F54,Q$4+6&gt;=$E54),IF($F54-$E54&lt;=2,"◆",IF($H54="Yes","X",LEFT($D54,1))),""))</f>
        <v/>
      </c>
      <c r="R54" s="33">
        <f>IF(OR($E54="",$F54=""),"",IF(AND(R$4&lt;=$F54,R$4+6&gt;=$E54),IF($F54-$E54&lt;=2,"◆",IF($H54="Yes","X",LEFT($D54,1))),""))</f>
        <v/>
      </c>
      <c r="S54" s="33">
        <f>IF(OR($E54="",$F54=""),"",IF(AND(S$4&lt;=$F54,S$4+6&gt;=$E54),IF($F54-$E54&lt;=2,"◆",IF($H54="Yes","X",LEFT($D54,1))),""))</f>
        <v/>
      </c>
      <c r="T54" s="33">
        <f>IF(OR($E54="",$F54=""),"",IF(AND(T$4&lt;=$F54,T$4+6&gt;=$E54),IF($F54-$E54&lt;=2,"◆",IF($H54="Yes","X",LEFT($D54,1))),""))</f>
        <v/>
      </c>
      <c r="U54" s="33">
        <f>IF(OR($E54="",$F54=""),"",IF(AND(U$4&lt;=$F54,U$4+6&gt;=$E54),IF($F54-$E54&lt;=2,"◆",IF($H54="Yes","X",LEFT($D54,1))),""))</f>
        <v/>
      </c>
      <c r="V54" s="33">
        <f>IF(OR($E54="",$F54=""),"",IF(AND(V$4&lt;=$F54,V$4+6&gt;=$E54),IF($F54-$E54&lt;=2,"◆",IF($H54="Yes","X",LEFT($D54,1))),""))</f>
        <v/>
      </c>
      <c r="W54" s="33">
        <f>IF(OR($E54="",$F54=""),"",IF(AND(W$4&lt;=$F54,W$4+6&gt;=$E54),IF($F54-$E54&lt;=2,"◆",IF($H54="Yes","X",LEFT($D54,1))),""))</f>
        <v/>
      </c>
      <c r="X54" s="33">
        <f>IF(OR($E54="",$F54=""),"",IF(AND(X$4&lt;=$F54,X$4+6&gt;=$E54),IF($F54-$E54&lt;=2,"◆",IF($H54="Yes","X",LEFT($D54,1))),""))</f>
        <v/>
      </c>
      <c r="Y54" s="33">
        <f>IF(OR($E54="",$F54=""),"",IF(AND(Y$4&lt;=$F54,Y$4+6&gt;=$E54),IF($F54-$E54&lt;=2,"◆",IF($H54="Yes","X",LEFT($D54,1))),""))</f>
        <v/>
      </c>
      <c r="Z54" s="33">
        <f>IF(OR($E54="",$F54=""),"",IF(AND(Z$4&lt;=$F54,Z$4+6&gt;=$E54),IF($F54-$E54&lt;=2,"◆",IF($H54="Yes","X",LEFT($D54,1))),""))</f>
        <v/>
      </c>
      <c r="AA54" s="33">
        <f>IF(OR($E54="",$F54=""),"",IF(AND(AA$4&lt;=$F54,AA$4+6&gt;=$E54),IF($F54-$E54&lt;=2,"◆",IF($H54="Yes","X",LEFT($D54,1))),""))</f>
        <v/>
      </c>
      <c r="AB54" s="33">
        <f>IF(OR($E54="",$F54=""),"",IF(AND(AB$4&lt;=$F54,AB$4+6&gt;=$E54),IF($F54-$E54&lt;=2,"◆",IF($H54="Yes","X",LEFT($D54,1))),""))</f>
        <v/>
      </c>
      <c r="AC54" s="33">
        <f>IF(OR($E54="",$F54=""),"",IF(AND(AC$4&lt;=$F54,AC$4+6&gt;=$E54),IF($F54-$E54&lt;=2,"◆",IF($H54="Yes","X",LEFT($D54,1))),""))</f>
        <v/>
      </c>
      <c r="AD54" s="33">
        <f>IF(OR($E54="",$F54=""),"",IF(AND(AD$4&lt;=$F54,AD$4+6&gt;=$E54),IF($F54-$E54&lt;=2,"◆",IF($H54="Yes","X",LEFT($D54,1))),""))</f>
        <v/>
      </c>
      <c r="AE54" s="33">
        <f>IF(OR($E54="",$F54=""),"",IF(AND(AE$4&lt;=$F54,AE$4+6&gt;=$E54),IF($F54-$E54&lt;=2,"◆",IF($H54="Yes","X",LEFT($D54,1))),""))</f>
        <v/>
      </c>
      <c r="AF54" s="33">
        <f>IF(OR($E54="",$F54=""),"",IF(AND(AF$4&lt;=$F54,AF$4+6&gt;=$E54),IF($F54-$E54&lt;=2,"◆",IF($H54="Yes","X",LEFT($D54,1))),""))</f>
        <v/>
      </c>
      <c r="AG54" s="33">
        <f>IF(OR($E54="",$F54=""),"",IF(AND(AG$4&lt;=$F54,AG$4+6&gt;=$E54),IF($F54-$E54&lt;=2,"◆",IF($H54="Yes","X",LEFT($D54,1))),""))</f>
        <v/>
      </c>
      <c r="AH54" s="33">
        <f>IF(OR($E54="",$F54=""),"",IF(AND(AH$4&lt;=$F54,AH$4+6&gt;=$E54),IF($F54-$E54&lt;=2,"◆",IF($H54="Yes","X",LEFT($D54,1))),""))</f>
        <v/>
      </c>
      <c r="AI54" s="33">
        <f>IF(OR($E54="",$F54=""),"",IF(AND(AI$4&lt;=$F54,AI$4+6&gt;=$E54),IF($F54-$E54&lt;=2,"◆",IF($H54="Yes","X",LEFT($D54,1))),""))</f>
        <v/>
      </c>
      <c r="AJ54" s="33">
        <f>IF(OR($E54="",$F54=""),"",IF(AND(AJ$4&lt;=$F54,AJ$4+6&gt;=$E54),IF($F54-$E54&lt;=2,"◆",IF($H54="Yes","X",LEFT($D54,1))),""))</f>
        <v/>
      </c>
      <c r="AK54" s="33">
        <f>IF(OR($E54="",$F54=""),"",IF(AND(AK$4&lt;=$F54,AK$4+6&gt;=$E54),IF($F54-$E54&lt;=2,"◆",IF($H54="Yes","X",LEFT($D54,1))),""))</f>
        <v/>
      </c>
      <c r="AL54" s="33">
        <f>IF(OR($E54="",$F54=""),"",IF(AND(AL$4&lt;=$F54,AL$4+6&gt;=$E54),IF($F54-$E54&lt;=2,"◆",IF($H54="Yes","X",LEFT($D54,1))),""))</f>
        <v/>
      </c>
      <c r="AM54" s="33">
        <f>IF(OR($E54="",$F54=""),"",IF(AND(AM$4&lt;=$F54,AM$4+6&gt;=$E54),IF($F54-$E54&lt;=2,"◆",IF($H54="Yes","X",LEFT($D54,1))),""))</f>
        <v/>
      </c>
      <c r="AN54" s="33">
        <f>IF(OR($E54="",$F54=""),"",IF(AND(AN$4&lt;=$F54,AN$4+6&gt;=$E54),IF($F54-$E54&lt;=2,"◆",IF($H54="Yes","X",LEFT($D54,1))),""))</f>
        <v/>
      </c>
      <c r="AO54" s="33">
        <f>IF(OR($E54="",$F54=""),"",IF(AND(AO$4&lt;=$F54,AO$4+6&gt;=$E54),IF($F54-$E54&lt;=2,"◆",IF($H54="Yes","X",LEFT($D54,1))),""))</f>
        <v/>
      </c>
      <c r="AP54" s="33">
        <f>IF(OR($E54="",$F54=""),"",IF(AND(AP$4&lt;=$F54,AP$4+6&gt;=$E54),IF($F54-$E54&lt;=2,"◆",IF($H54="Yes","X",LEFT($D54,1))),""))</f>
        <v/>
      </c>
      <c r="AQ54" s="33">
        <f>IF(OR($E54="",$F54=""),"",IF(AND(AQ$4&lt;=$F54,AQ$4+6&gt;=$E54),IF($F54-$E54&lt;=2,"◆",IF($H54="Yes","X",LEFT($D54,1))),""))</f>
        <v/>
      </c>
      <c r="AR54" s="33">
        <f>IF(OR($E54="",$F54=""),"",IF(AND(AR$4&lt;=$F54,AR$4+6&gt;=$E54),IF($F54-$E54&lt;=2,"◆",IF($H54="Yes","X",LEFT($D54,1))),""))</f>
        <v/>
      </c>
      <c r="AS54" s="33">
        <f>IF(OR($E54="",$F54=""),"",IF(AND(AS$4&lt;=$F54,AS$4+6&gt;=$E54),IF($F54-$E54&lt;=2,"◆",IF($H54="Yes","X",LEFT($D54,1))),""))</f>
        <v/>
      </c>
      <c r="AT54" s="33">
        <f>IF(OR($E54="",$F54=""),"",IF(AND(AT$4&lt;=$F54,AT$4+6&gt;=$E54),IF($F54-$E54&lt;=2,"◆",IF($H54="Yes","X",LEFT($D54,1))),""))</f>
        <v/>
      </c>
      <c r="AU54" s="33">
        <f>IF(OR($E54="",$F54=""),"",IF(AND(AU$4&lt;=$F54,AU$4+6&gt;=$E54),IF($F54-$E54&lt;=2,"◆",IF($H54="Yes","X",LEFT($D54,1))),""))</f>
        <v/>
      </c>
      <c r="AV54" s="33">
        <f>IF(OR($E54="",$F54=""),"",IF(AND(AV$4&lt;=$F54,AV$4+6&gt;=$E54),IF($F54-$E54&lt;=2,"◆",IF($H54="Yes","X",LEFT($D54,1))),""))</f>
        <v/>
      </c>
      <c r="AW54" s="33">
        <f>IF(OR($E54="",$F54=""),"",IF(AND(AW$4&lt;=$F54,AW$4+6&gt;=$E54),IF($F54-$E54&lt;=2,"◆",IF($H54="Yes","X",LEFT($D54,1))),""))</f>
        <v/>
      </c>
      <c r="AX54" s="33">
        <f>IF(OR($E54="",$F54=""),"",IF(AND(AX$4&lt;=$F54,AX$4+6&gt;=$E54),IF($F54-$E54&lt;=2,"◆",IF($H54="Yes","X",LEFT($D54,1))),""))</f>
        <v/>
      </c>
      <c r="AY54" s="33">
        <f>IF(OR($E54="",$F54=""),"",IF(AND(AY$4&lt;=$F54,AY$4+6&gt;=$E54),IF($F54-$E54&lt;=2,"◆",IF($H54="Yes","X",LEFT($D54,1))),""))</f>
        <v/>
      </c>
      <c r="AZ54" s="33">
        <f>IF(OR($E54="",$F54=""),"",IF(AND(AZ$4&lt;=$F54,AZ$4+6&gt;=$E54),IF($F54-$E54&lt;=2,"◆",IF($H54="Yes","X",LEFT($D54,1))),""))</f>
        <v/>
      </c>
      <c r="BA54" s="33">
        <f>IF(OR($E54="",$F54=""),"",IF(AND(BA$4&lt;=$F54,BA$4+6&gt;=$E54),IF($F54-$E54&lt;=2,"◆",IF($H54="Yes","X",LEFT($D54,1))),""))</f>
        <v/>
      </c>
      <c r="BB54" s="33">
        <f>IF(OR($E54="",$F54=""),"",IF(AND(BB$4&lt;=$F54,BB$4+6&gt;=$E54),IF($F54-$E54&lt;=2,"◆",IF($H54="Yes","X",LEFT($D54,1))),""))</f>
        <v/>
      </c>
      <c r="BC54" s="33">
        <f>IF(OR($E54="",$F54=""),"",IF(AND(BC$4&lt;=$F54,BC$4+6&gt;=$E54),IF($F54-$E54&lt;=2,"◆",IF($H54="Yes","X",LEFT($D54,1))),""))</f>
        <v/>
      </c>
      <c r="BD54" s="33">
        <f>IF(OR($E54="",$F54=""),"",IF(AND(BD$4&lt;=$F54,BD$4+6&gt;=$E54),IF($F54-$E54&lt;=2,"◆",IF($H54="Yes","X",LEFT($D54,1))),""))</f>
        <v/>
      </c>
      <c r="BE54" s="33">
        <f>IF(OR($E54="",$F54=""),"",IF(AND(BE$4&lt;=$F54,BE$4+6&gt;=$E54),IF($F54-$E54&lt;=2,"◆",IF($H54="Yes","X",LEFT($D54,1))),""))</f>
        <v/>
      </c>
      <c r="BF54" s="33">
        <f>IF(OR($E54="",$F54=""),"",IF(AND(BF$4&lt;=$F54,BF$4+6&gt;=$E54),IF($F54-$E54&lt;=2,"◆",IF($H54="Yes","X",LEFT($D54,1))),""))</f>
        <v/>
      </c>
      <c r="BG54" s="33">
        <f>IF(OR($E54="",$F54=""),"",IF(AND(BG$4&lt;=$F54,BG$4+6&gt;=$E54),IF($F54-$E54&lt;=2,"◆",IF($H54="Yes","X",LEFT($D54,1))),""))</f>
        <v/>
      </c>
      <c r="BH54" s="33">
        <f>IF(OR($E54="",$F54=""),"",IF(AND(BH$4&lt;=$F54,BH$4+6&gt;=$E54),IF($F54-$E54&lt;=2,"◆",IF($H54="Yes","X",LEFT($D54,1))),""))</f>
        <v/>
      </c>
      <c r="BI54" s="33">
        <f>IF(OR($E54="",$F54=""),"",IF(AND(BI$4&lt;=$F54,BI$4+6&gt;=$E54),IF($F54-$E54&lt;=2,"◆",IF($H54="Yes","X",LEFT($D54,1))),""))</f>
        <v/>
      </c>
    </row>
    <row r="55">
      <c r="A55" s="30" t="inlineStr">
        <is>
          <t>T-051</t>
        </is>
      </c>
      <c r="B55" s="30" t="inlineStr">
        <is>
          <t>Application Issue Fixes and Remediation</t>
        </is>
      </c>
      <c r="C55" s="30" t="inlineStr">
        <is>
          <t>Jawahar</t>
        </is>
      </c>
      <c r="D55" s="30" t="inlineStr">
        <is>
          <t>Not Started</t>
        </is>
      </c>
      <c r="E55" s="31" t="n">
        <v>46308</v>
      </c>
      <c r="F55" s="31" t="n">
        <v>46377</v>
      </c>
      <c r="G55" s="32" t="n">
        <v>0</v>
      </c>
      <c r="H55" s="30" t="inlineStr">
        <is>
          <t>No</t>
        </is>
      </c>
      <c r="I55" s="33">
        <f>IF(OR($E55="",$F55=""),"",IF(AND(I$4&lt;=$F55,I$4+6&gt;=$E55),IF($F55-$E55&lt;=2,"◆",IF($H55="Yes","X",LEFT($D55,1))),""))</f>
        <v/>
      </c>
      <c r="J55" s="33">
        <f>IF(OR($E55="",$F55=""),"",IF(AND(J$4&lt;=$F55,J$4+6&gt;=$E55),IF($F55-$E55&lt;=2,"◆",IF($H55="Yes","X",LEFT($D55,1))),""))</f>
        <v/>
      </c>
      <c r="K55" s="33">
        <f>IF(OR($E55="",$F55=""),"",IF(AND(K$4&lt;=$F55,K$4+6&gt;=$E55),IF($F55-$E55&lt;=2,"◆",IF($H55="Yes","X",LEFT($D55,1))),""))</f>
        <v/>
      </c>
      <c r="L55" s="33">
        <f>IF(OR($E55="",$F55=""),"",IF(AND(L$4&lt;=$F55,L$4+6&gt;=$E55),IF($F55-$E55&lt;=2,"◆",IF($H55="Yes","X",LEFT($D55,1))),""))</f>
        <v/>
      </c>
      <c r="M55" s="33">
        <f>IF(OR($E55="",$F55=""),"",IF(AND(M$4&lt;=$F55,M$4+6&gt;=$E55),IF($F55-$E55&lt;=2,"◆",IF($H55="Yes","X",LEFT($D55,1))),""))</f>
        <v/>
      </c>
      <c r="N55" s="33">
        <f>IF(OR($E55="",$F55=""),"",IF(AND(N$4&lt;=$F55,N$4+6&gt;=$E55),IF($F55-$E55&lt;=2,"◆",IF($H55="Yes","X",LEFT($D55,1))),""))</f>
        <v/>
      </c>
      <c r="O55" s="33">
        <f>IF(OR($E55="",$F55=""),"",IF(AND(O$4&lt;=$F55,O$4+6&gt;=$E55),IF($F55-$E55&lt;=2,"◆",IF($H55="Yes","X",LEFT($D55,1))),""))</f>
        <v/>
      </c>
      <c r="P55" s="33">
        <f>IF(OR($E55="",$F55=""),"",IF(AND(P$4&lt;=$F55,P$4+6&gt;=$E55),IF($F55-$E55&lt;=2,"◆",IF($H55="Yes","X",LEFT($D55,1))),""))</f>
        <v/>
      </c>
      <c r="Q55" s="33">
        <f>IF(OR($E55="",$F55=""),"",IF(AND(Q$4&lt;=$F55,Q$4+6&gt;=$E55),IF($F55-$E55&lt;=2,"◆",IF($H55="Yes","X",LEFT($D55,1))),""))</f>
        <v/>
      </c>
      <c r="R55" s="33">
        <f>IF(OR($E55="",$F55=""),"",IF(AND(R$4&lt;=$F55,R$4+6&gt;=$E55),IF($F55-$E55&lt;=2,"◆",IF($H55="Yes","X",LEFT($D55,1))),""))</f>
        <v/>
      </c>
      <c r="S55" s="33">
        <f>IF(OR($E55="",$F55=""),"",IF(AND(S$4&lt;=$F55,S$4+6&gt;=$E55),IF($F55-$E55&lt;=2,"◆",IF($H55="Yes","X",LEFT($D55,1))),""))</f>
        <v/>
      </c>
      <c r="T55" s="33">
        <f>IF(OR($E55="",$F55=""),"",IF(AND(T$4&lt;=$F55,T$4+6&gt;=$E55),IF($F55-$E55&lt;=2,"◆",IF($H55="Yes","X",LEFT($D55,1))),""))</f>
        <v/>
      </c>
      <c r="U55" s="33">
        <f>IF(OR($E55="",$F55=""),"",IF(AND(U$4&lt;=$F55,U$4+6&gt;=$E55),IF($F55-$E55&lt;=2,"◆",IF($H55="Yes","X",LEFT($D55,1))),""))</f>
        <v/>
      </c>
      <c r="V55" s="33">
        <f>IF(OR($E55="",$F55=""),"",IF(AND(V$4&lt;=$F55,V$4+6&gt;=$E55),IF($F55-$E55&lt;=2,"◆",IF($H55="Yes","X",LEFT($D55,1))),""))</f>
        <v/>
      </c>
      <c r="W55" s="33">
        <f>IF(OR($E55="",$F55=""),"",IF(AND(W$4&lt;=$F55,W$4+6&gt;=$E55),IF($F55-$E55&lt;=2,"◆",IF($H55="Yes","X",LEFT($D55,1))),""))</f>
        <v/>
      </c>
      <c r="X55" s="33">
        <f>IF(OR($E55="",$F55=""),"",IF(AND(X$4&lt;=$F55,X$4+6&gt;=$E55),IF($F55-$E55&lt;=2,"◆",IF($H55="Yes","X",LEFT($D55,1))),""))</f>
        <v/>
      </c>
      <c r="Y55" s="33">
        <f>IF(OR($E55="",$F55=""),"",IF(AND(Y$4&lt;=$F55,Y$4+6&gt;=$E55),IF($F55-$E55&lt;=2,"◆",IF($H55="Yes","X",LEFT($D55,1))),""))</f>
        <v/>
      </c>
      <c r="Z55" s="33">
        <f>IF(OR($E55="",$F55=""),"",IF(AND(Z$4&lt;=$F55,Z$4+6&gt;=$E55),IF($F55-$E55&lt;=2,"◆",IF($H55="Yes","X",LEFT($D55,1))),""))</f>
        <v/>
      </c>
      <c r="AA55" s="33">
        <f>IF(OR($E55="",$F55=""),"",IF(AND(AA$4&lt;=$F55,AA$4+6&gt;=$E55),IF($F55-$E55&lt;=2,"◆",IF($H55="Yes","X",LEFT($D55,1))),""))</f>
        <v/>
      </c>
      <c r="AB55" s="33">
        <f>IF(OR($E55="",$F55=""),"",IF(AND(AB$4&lt;=$F55,AB$4+6&gt;=$E55),IF($F55-$E55&lt;=2,"◆",IF($H55="Yes","X",LEFT($D55,1))),""))</f>
        <v/>
      </c>
      <c r="AC55" s="33">
        <f>IF(OR($E55="",$F55=""),"",IF(AND(AC$4&lt;=$F55,AC$4+6&gt;=$E55),IF($F55-$E55&lt;=2,"◆",IF($H55="Yes","X",LEFT($D55,1))),""))</f>
        <v/>
      </c>
      <c r="AD55" s="33">
        <f>IF(OR($E55="",$F55=""),"",IF(AND(AD$4&lt;=$F55,AD$4+6&gt;=$E55),IF($F55-$E55&lt;=2,"◆",IF($H55="Yes","X",LEFT($D55,1))),""))</f>
        <v/>
      </c>
      <c r="AE55" s="33">
        <f>IF(OR($E55="",$F55=""),"",IF(AND(AE$4&lt;=$F55,AE$4+6&gt;=$E55),IF($F55-$E55&lt;=2,"◆",IF($H55="Yes","X",LEFT($D55,1))),""))</f>
        <v/>
      </c>
      <c r="AF55" s="33">
        <f>IF(OR($E55="",$F55=""),"",IF(AND(AF$4&lt;=$F55,AF$4+6&gt;=$E55),IF($F55-$E55&lt;=2,"◆",IF($H55="Yes","X",LEFT($D55,1))),""))</f>
        <v/>
      </c>
      <c r="AG55" s="33">
        <f>IF(OR($E55="",$F55=""),"",IF(AND(AG$4&lt;=$F55,AG$4+6&gt;=$E55),IF($F55-$E55&lt;=2,"◆",IF($H55="Yes","X",LEFT($D55,1))),""))</f>
        <v/>
      </c>
      <c r="AH55" s="33">
        <f>IF(OR($E55="",$F55=""),"",IF(AND(AH$4&lt;=$F55,AH$4+6&gt;=$E55),IF($F55-$E55&lt;=2,"◆",IF($H55="Yes","X",LEFT($D55,1))),""))</f>
        <v/>
      </c>
      <c r="AI55" s="33">
        <f>IF(OR($E55="",$F55=""),"",IF(AND(AI$4&lt;=$F55,AI$4+6&gt;=$E55),IF($F55-$E55&lt;=2,"◆",IF($H55="Yes","X",LEFT($D55,1))),""))</f>
        <v/>
      </c>
      <c r="AJ55" s="33">
        <f>IF(OR($E55="",$F55=""),"",IF(AND(AJ$4&lt;=$F55,AJ$4+6&gt;=$E55),IF($F55-$E55&lt;=2,"◆",IF($H55="Yes","X",LEFT($D55,1))),""))</f>
        <v/>
      </c>
      <c r="AK55" s="33">
        <f>IF(OR($E55="",$F55=""),"",IF(AND(AK$4&lt;=$F55,AK$4+6&gt;=$E55),IF($F55-$E55&lt;=2,"◆",IF($H55="Yes","X",LEFT($D55,1))),""))</f>
        <v/>
      </c>
      <c r="AL55" s="33">
        <f>IF(OR($E55="",$F55=""),"",IF(AND(AL$4&lt;=$F55,AL$4+6&gt;=$E55),IF($F55-$E55&lt;=2,"◆",IF($H55="Yes","X",LEFT($D55,1))),""))</f>
        <v/>
      </c>
      <c r="AM55" s="33">
        <f>IF(OR($E55="",$F55=""),"",IF(AND(AM$4&lt;=$F55,AM$4+6&gt;=$E55),IF($F55-$E55&lt;=2,"◆",IF($H55="Yes","X",LEFT($D55,1))),""))</f>
        <v/>
      </c>
      <c r="AN55" s="33">
        <f>IF(OR($E55="",$F55=""),"",IF(AND(AN$4&lt;=$F55,AN$4+6&gt;=$E55),IF($F55-$E55&lt;=2,"◆",IF($H55="Yes","X",LEFT($D55,1))),""))</f>
        <v/>
      </c>
      <c r="AO55" s="33">
        <f>IF(OR($E55="",$F55=""),"",IF(AND(AO$4&lt;=$F55,AO$4+6&gt;=$E55),IF($F55-$E55&lt;=2,"◆",IF($H55="Yes","X",LEFT($D55,1))),""))</f>
        <v/>
      </c>
      <c r="AP55" s="33">
        <f>IF(OR($E55="",$F55=""),"",IF(AND(AP$4&lt;=$F55,AP$4+6&gt;=$E55),IF($F55-$E55&lt;=2,"◆",IF($H55="Yes","X",LEFT($D55,1))),""))</f>
        <v/>
      </c>
      <c r="AQ55" s="33">
        <f>IF(OR($E55="",$F55=""),"",IF(AND(AQ$4&lt;=$F55,AQ$4+6&gt;=$E55),IF($F55-$E55&lt;=2,"◆",IF($H55="Yes","X",LEFT($D55,1))),""))</f>
        <v/>
      </c>
      <c r="AR55" s="33">
        <f>IF(OR($E55="",$F55=""),"",IF(AND(AR$4&lt;=$F55,AR$4+6&gt;=$E55),IF($F55-$E55&lt;=2,"◆",IF($H55="Yes","X",LEFT($D55,1))),""))</f>
        <v/>
      </c>
      <c r="AS55" s="33">
        <f>IF(OR($E55="",$F55=""),"",IF(AND(AS$4&lt;=$F55,AS$4+6&gt;=$E55),IF($F55-$E55&lt;=2,"◆",IF($H55="Yes","X",LEFT($D55,1))),""))</f>
        <v/>
      </c>
      <c r="AT55" s="33">
        <f>IF(OR($E55="",$F55=""),"",IF(AND(AT$4&lt;=$F55,AT$4+6&gt;=$E55),IF($F55-$E55&lt;=2,"◆",IF($H55="Yes","X",LEFT($D55,1))),""))</f>
        <v/>
      </c>
      <c r="AU55" s="33">
        <f>IF(OR($E55="",$F55=""),"",IF(AND(AU$4&lt;=$F55,AU$4+6&gt;=$E55),IF($F55-$E55&lt;=2,"◆",IF($H55="Yes","X",LEFT($D55,1))),""))</f>
        <v/>
      </c>
      <c r="AV55" s="33">
        <f>IF(OR($E55="",$F55=""),"",IF(AND(AV$4&lt;=$F55,AV$4+6&gt;=$E55),IF($F55-$E55&lt;=2,"◆",IF($H55="Yes","X",LEFT($D55,1))),""))</f>
        <v/>
      </c>
      <c r="AW55" s="33">
        <f>IF(OR($E55="",$F55=""),"",IF(AND(AW$4&lt;=$F55,AW$4+6&gt;=$E55),IF($F55-$E55&lt;=2,"◆",IF($H55="Yes","X",LEFT($D55,1))),""))</f>
        <v/>
      </c>
      <c r="AX55" s="33">
        <f>IF(OR($E55="",$F55=""),"",IF(AND(AX$4&lt;=$F55,AX$4+6&gt;=$E55),IF($F55-$E55&lt;=2,"◆",IF($H55="Yes","X",LEFT($D55,1))),""))</f>
        <v/>
      </c>
      <c r="AY55" s="33">
        <f>IF(OR($E55="",$F55=""),"",IF(AND(AY$4&lt;=$F55,AY$4+6&gt;=$E55),IF($F55-$E55&lt;=2,"◆",IF($H55="Yes","X",LEFT($D55,1))),""))</f>
        <v/>
      </c>
      <c r="AZ55" s="33">
        <f>IF(OR($E55="",$F55=""),"",IF(AND(AZ$4&lt;=$F55,AZ$4+6&gt;=$E55),IF($F55-$E55&lt;=2,"◆",IF($H55="Yes","X",LEFT($D55,1))),""))</f>
        <v/>
      </c>
      <c r="BA55" s="33">
        <f>IF(OR($E55="",$F55=""),"",IF(AND(BA$4&lt;=$F55,BA$4+6&gt;=$E55),IF($F55-$E55&lt;=2,"◆",IF($H55="Yes","X",LEFT($D55,1))),""))</f>
        <v/>
      </c>
      <c r="BB55" s="33">
        <f>IF(OR($E55="",$F55=""),"",IF(AND(BB$4&lt;=$F55,BB$4+6&gt;=$E55),IF($F55-$E55&lt;=2,"◆",IF($H55="Yes","X",LEFT($D55,1))),""))</f>
        <v/>
      </c>
      <c r="BC55" s="33">
        <f>IF(OR($E55="",$F55=""),"",IF(AND(BC$4&lt;=$F55,BC$4+6&gt;=$E55),IF($F55-$E55&lt;=2,"◆",IF($H55="Yes","X",LEFT($D55,1))),""))</f>
        <v/>
      </c>
      <c r="BD55" s="33">
        <f>IF(OR($E55="",$F55=""),"",IF(AND(BD$4&lt;=$F55,BD$4+6&gt;=$E55),IF($F55-$E55&lt;=2,"◆",IF($H55="Yes","X",LEFT($D55,1))),""))</f>
        <v/>
      </c>
      <c r="BE55" s="33">
        <f>IF(OR($E55="",$F55=""),"",IF(AND(BE$4&lt;=$F55,BE$4+6&gt;=$E55),IF($F55-$E55&lt;=2,"◆",IF($H55="Yes","X",LEFT($D55,1))),""))</f>
        <v/>
      </c>
      <c r="BF55" s="33">
        <f>IF(OR($E55="",$F55=""),"",IF(AND(BF$4&lt;=$F55,BF$4+6&gt;=$E55),IF($F55-$E55&lt;=2,"◆",IF($H55="Yes","X",LEFT($D55,1))),""))</f>
        <v/>
      </c>
      <c r="BG55" s="33">
        <f>IF(OR($E55="",$F55=""),"",IF(AND(BG$4&lt;=$F55,BG$4+6&gt;=$E55),IF($F55-$E55&lt;=2,"◆",IF($H55="Yes","X",LEFT($D55,1))),""))</f>
        <v/>
      </c>
      <c r="BH55" s="33">
        <f>IF(OR($E55="",$F55=""),"",IF(AND(BH$4&lt;=$F55,BH$4+6&gt;=$E55),IF($F55-$E55&lt;=2,"◆",IF($H55="Yes","X",LEFT($D55,1))),""))</f>
        <v/>
      </c>
      <c r="BI55" s="33">
        <f>IF(OR($E55="",$F55=""),"",IF(AND(BI$4&lt;=$F55,BI$4+6&gt;=$E55),IF($F55-$E55&lt;=2,"◆",IF($H55="Yes","X",LEFT($D55,1))),""))</f>
        <v/>
      </c>
    </row>
    <row r="56">
      <c r="A56" s="30" t="inlineStr">
        <is>
          <t>T-052</t>
        </is>
      </c>
      <c r="B56" s="30" t="inlineStr">
        <is>
          <t>GitLab DAST Enablement for Web Application and Admin Console</t>
        </is>
      </c>
      <c r="C56" s="30" t="inlineStr">
        <is>
          <t>Jawahar</t>
        </is>
      </c>
      <c r="D56" s="30" t="inlineStr">
        <is>
          <t>Not Started</t>
        </is>
      </c>
      <c r="E56" s="31" t="n">
        <v>46307</v>
      </c>
      <c r="F56" s="31" t="n">
        <v>46313</v>
      </c>
      <c r="G56" s="32" t="n">
        <v>0</v>
      </c>
      <c r="H56" s="30" t="inlineStr">
        <is>
          <t>No</t>
        </is>
      </c>
      <c r="I56" s="33">
        <f>IF(OR($E56="",$F56=""),"",IF(AND(I$4&lt;=$F56,I$4+6&gt;=$E56),IF($F56-$E56&lt;=2,"◆",IF($H56="Yes","X",LEFT($D56,1))),""))</f>
        <v/>
      </c>
      <c r="J56" s="33">
        <f>IF(OR($E56="",$F56=""),"",IF(AND(J$4&lt;=$F56,J$4+6&gt;=$E56),IF($F56-$E56&lt;=2,"◆",IF($H56="Yes","X",LEFT($D56,1))),""))</f>
        <v/>
      </c>
      <c r="K56" s="33">
        <f>IF(OR($E56="",$F56=""),"",IF(AND(K$4&lt;=$F56,K$4+6&gt;=$E56),IF($F56-$E56&lt;=2,"◆",IF($H56="Yes","X",LEFT($D56,1))),""))</f>
        <v/>
      </c>
      <c r="L56" s="33">
        <f>IF(OR($E56="",$F56=""),"",IF(AND(L$4&lt;=$F56,L$4+6&gt;=$E56),IF($F56-$E56&lt;=2,"◆",IF($H56="Yes","X",LEFT($D56,1))),""))</f>
        <v/>
      </c>
      <c r="M56" s="33">
        <f>IF(OR($E56="",$F56=""),"",IF(AND(M$4&lt;=$F56,M$4+6&gt;=$E56),IF($F56-$E56&lt;=2,"◆",IF($H56="Yes","X",LEFT($D56,1))),""))</f>
        <v/>
      </c>
      <c r="N56" s="33">
        <f>IF(OR($E56="",$F56=""),"",IF(AND(N$4&lt;=$F56,N$4+6&gt;=$E56),IF($F56-$E56&lt;=2,"◆",IF($H56="Yes","X",LEFT($D56,1))),""))</f>
        <v/>
      </c>
      <c r="O56" s="33">
        <f>IF(OR($E56="",$F56=""),"",IF(AND(O$4&lt;=$F56,O$4+6&gt;=$E56),IF($F56-$E56&lt;=2,"◆",IF($H56="Yes","X",LEFT($D56,1))),""))</f>
        <v/>
      </c>
      <c r="P56" s="33">
        <f>IF(OR($E56="",$F56=""),"",IF(AND(P$4&lt;=$F56,P$4+6&gt;=$E56),IF($F56-$E56&lt;=2,"◆",IF($H56="Yes","X",LEFT($D56,1))),""))</f>
        <v/>
      </c>
      <c r="Q56" s="33">
        <f>IF(OR($E56="",$F56=""),"",IF(AND(Q$4&lt;=$F56,Q$4+6&gt;=$E56),IF($F56-$E56&lt;=2,"◆",IF($H56="Yes","X",LEFT($D56,1))),""))</f>
        <v/>
      </c>
      <c r="R56" s="33">
        <f>IF(OR($E56="",$F56=""),"",IF(AND(R$4&lt;=$F56,R$4+6&gt;=$E56),IF($F56-$E56&lt;=2,"◆",IF($H56="Yes","X",LEFT($D56,1))),""))</f>
        <v/>
      </c>
      <c r="S56" s="33">
        <f>IF(OR($E56="",$F56=""),"",IF(AND(S$4&lt;=$F56,S$4+6&gt;=$E56),IF($F56-$E56&lt;=2,"◆",IF($H56="Yes","X",LEFT($D56,1))),""))</f>
        <v/>
      </c>
      <c r="T56" s="33">
        <f>IF(OR($E56="",$F56=""),"",IF(AND(T$4&lt;=$F56,T$4+6&gt;=$E56),IF($F56-$E56&lt;=2,"◆",IF($H56="Yes","X",LEFT($D56,1))),""))</f>
        <v/>
      </c>
      <c r="U56" s="33">
        <f>IF(OR($E56="",$F56=""),"",IF(AND(U$4&lt;=$F56,U$4+6&gt;=$E56),IF($F56-$E56&lt;=2,"◆",IF($H56="Yes","X",LEFT($D56,1))),""))</f>
        <v/>
      </c>
      <c r="V56" s="33">
        <f>IF(OR($E56="",$F56=""),"",IF(AND(V$4&lt;=$F56,V$4+6&gt;=$E56),IF($F56-$E56&lt;=2,"◆",IF($H56="Yes","X",LEFT($D56,1))),""))</f>
        <v/>
      </c>
      <c r="W56" s="33">
        <f>IF(OR($E56="",$F56=""),"",IF(AND(W$4&lt;=$F56,W$4+6&gt;=$E56),IF($F56-$E56&lt;=2,"◆",IF($H56="Yes","X",LEFT($D56,1))),""))</f>
        <v/>
      </c>
      <c r="X56" s="33">
        <f>IF(OR($E56="",$F56=""),"",IF(AND(X$4&lt;=$F56,X$4+6&gt;=$E56),IF($F56-$E56&lt;=2,"◆",IF($H56="Yes","X",LEFT($D56,1))),""))</f>
        <v/>
      </c>
      <c r="Y56" s="33">
        <f>IF(OR($E56="",$F56=""),"",IF(AND(Y$4&lt;=$F56,Y$4+6&gt;=$E56),IF($F56-$E56&lt;=2,"◆",IF($H56="Yes","X",LEFT($D56,1))),""))</f>
        <v/>
      </c>
      <c r="Z56" s="33">
        <f>IF(OR($E56="",$F56=""),"",IF(AND(Z$4&lt;=$F56,Z$4+6&gt;=$E56),IF($F56-$E56&lt;=2,"◆",IF($H56="Yes","X",LEFT($D56,1))),""))</f>
        <v/>
      </c>
      <c r="AA56" s="33">
        <f>IF(OR($E56="",$F56=""),"",IF(AND(AA$4&lt;=$F56,AA$4+6&gt;=$E56),IF($F56-$E56&lt;=2,"◆",IF($H56="Yes","X",LEFT($D56,1))),""))</f>
        <v/>
      </c>
      <c r="AB56" s="33">
        <f>IF(OR($E56="",$F56=""),"",IF(AND(AB$4&lt;=$F56,AB$4+6&gt;=$E56),IF($F56-$E56&lt;=2,"◆",IF($H56="Yes","X",LEFT($D56,1))),""))</f>
        <v/>
      </c>
      <c r="AC56" s="33">
        <f>IF(OR($E56="",$F56=""),"",IF(AND(AC$4&lt;=$F56,AC$4+6&gt;=$E56),IF($F56-$E56&lt;=2,"◆",IF($H56="Yes","X",LEFT($D56,1))),""))</f>
        <v/>
      </c>
      <c r="AD56" s="33">
        <f>IF(OR($E56="",$F56=""),"",IF(AND(AD$4&lt;=$F56,AD$4+6&gt;=$E56),IF($F56-$E56&lt;=2,"◆",IF($H56="Yes","X",LEFT($D56,1))),""))</f>
        <v/>
      </c>
      <c r="AE56" s="33">
        <f>IF(OR($E56="",$F56=""),"",IF(AND(AE$4&lt;=$F56,AE$4+6&gt;=$E56),IF($F56-$E56&lt;=2,"◆",IF($H56="Yes","X",LEFT($D56,1))),""))</f>
        <v/>
      </c>
      <c r="AF56" s="33">
        <f>IF(OR($E56="",$F56=""),"",IF(AND(AF$4&lt;=$F56,AF$4+6&gt;=$E56),IF($F56-$E56&lt;=2,"◆",IF($H56="Yes","X",LEFT($D56,1))),""))</f>
        <v/>
      </c>
      <c r="AG56" s="33">
        <f>IF(OR($E56="",$F56=""),"",IF(AND(AG$4&lt;=$F56,AG$4+6&gt;=$E56),IF($F56-$E56&lt;=2,"◆",IF($H56="Yes","X",LEFT($D56,1))),""))</f>
        <v/>
      </c>
      <c r="AH56" s="33">
        <f>IF(OR($E56="",$F56=""),"",IF(AND(AH$4&lt;=$F56,AH$4+6&gt;=$E56),IF($F56-$E56&lt;=2,"◆",IF($H56="Yes","X",LEFT($D56,1))),""))</f>
        <v/>
      </c>
      <c r="AI56" s="33">
        <f>IF(OR($E56="",$F56=""),"",IF(AND(AI$4&lt;=$F56,AI$4+6&gt;=$E56),IF($F56-$E56&lt;=2,"◆",IF($H56="Yes","X",LEFT($D56,1))),""))</f>
        <v/>
      </c>
      <c r="AJ56" s="33">
        <f>IF(OR($E56="",$F56=""),"",IF(AND(AJ$4&lt;=$F56,AJ$4+6&gt;=$E56),IF($F56-$E56&lt;=2,"◆",IF($H56="Yes","X",LEFT($D56,1))),""))</f>
        <v/>
      </c>
      <c r="AK56" s="33">
        <f>IF(OR($E56="",$F56=""),"",IF(AND(AK$4&lt;=$F56,AK$4+6&gt;=$E56),IF($F56-$E56&lt;=2,"◆",IF($H56="Yes","X",LEFT($D56,1))),""))</f>
        <v/>
      </c>
      <c r="AL56" s="33">
        <f>IF(OR($E56="",$F56=""),"",IF(AND(AL$4&lt;=$F56,AL$4+6&gt;=$E56),IF($F56-$E56&lt;=2,"◆",IF($H56="Yes","X",LEFT($D56,1))),""))</f>
        <v/>
      </c>
      <c r="AM56" s="33">
        <f>IF(OR($E56="",$F56=""),"",IF(AND(AM$4&lt;=$F56,AM$4+6&gt;=$E56),IF($F56-$E56&lt;=2,"◆",IF($H56="Yes","X",LEFT($D56,1))),""))</f>
        <v/>
      </c>
      <c r="AN56" s="33">
        <f>IF(OR($E56="",$F56=""),"",IF(AND(AN$4&lt;=$F56,AN$4+6&gt;=$E56),IF($F56-$E56&lt;=2,"◆",IF($H56="Yes","X",LEFT($D56,1))),""))</f>
        <v/>
      </c>
      <c r="AO56" s="33">
        <f>IF(OR($E56="",$F56=""),"",IF(AND(AO$4&lt;=$F56,AO$4+6&gt;=$E56),IF($F56-$E56&lt;=2,"◆",IF($H56="Yes","X",LEFT($D56,1))),""))</f>
        <v/>
      </c>
      <c r="AP56" s="33">
        <f>IF(OR($E56="",$F56=""),"",IF(AND(AP$4&lt;=$F56,AP$4+6&gt;=$E56),IF($F56-$E56&lt;=2,"◆",IF($H56="Yes","X",LEFT($D56,1))),""))</f>
        <v/>
      </c>
      <c r="AQ56" s="33">
        <f>IF(OR($E56="",$F56=""),"",IF(AND(AQ$4&lt;=$F56,AQ$4+6&gt;=$E56),IF($F56-$E56&lt;=2,"◆",IF($H56="Yes","X",LEFT($D56,1))),""))</f>
        <v/>
      </c>
      <c r="AR56" s="33">
        <f>IF(OR($E56="",$F56=""),"",IF(AND(AR$4&lt;=$F56,AR$4+6&gt;=$E56),IF($F56-$E56&lt;=2,"◆",IF($H56="Yes","X",LEFT($D56,1))),""))</f>
        <v/>
      </c>
      <c r="AS56" s="33">
        <f>IF(OR($E56="",$F56=""),"",IF(AND(AS$4&lt;=$F56,AS$4+6&gt;=$E56),IF($F56-$E56&lt;=2,"◆",IF($H56="Yes","X",LEFT($D56,1))),""))</f>
        <v/>
      </c>
      <c r="AT56" s="33">
        <f>IF(OR($E56="",$F56=""),"",IF(AND(AT$4&lt;=$F56,AT$4+6&gt;=$E56),IF($F56-$E56&lt;=2,"◆",IF($H56="Yes","X",LEFT($D56,1))),""))</f>
        <v/>
      </c>
      <c r="AU56" s="33">
        <f>IF(OR($E56="",$F56=""),"",IF(AND(AU$4&lt;=$F56,AU$4+6&gt;=$E56),IF($F56-$E56&lt;=2,"◆",IF($H56="Yes","X",LEFT($D56,1))),""))</f>
        <v/>
      </c>
      <c r="AV56" s="33">
        <f>IF(OR($E56="",$F56=""),"",IF(AND(AV$4&lt;=$F56,AV$4+6&gt;=$E56),IF($F56-$E56&lt;=2,"◆",IF($H56="Yes","X",LEFT($D56,1))),""))</f>
        <v/>
      </c>
      <c r="AW56" s="33">
        <f>IF(OR($E56="",$F56=""),"",IF(AND(AW$4&lt;=$F56,AW$4+6&gt;=$E56),IF($F56-$E56&lt;=2,"◆",IF($H56="Yes","X",LEFT($D56,1))),""))</f>
        <v/>
      </c>
      <c r="AX56" s="33">
        <f>IF(OR($E56="",$F56=""),"",IF(AND(AX$4&lt;=$F56,AX$4+6&gt;=$E56),IF($F56-$E56&lt;=2,"◆",IF($H56="Yes","X",LEFT($D56,1))),""))</f>
        <v/>
      </c>
      <c r="AY56" s="33">
        <f>IF(OR($E56="",$F56=""),"",IF(AND(AY$4&lt;=$F56,AY$4+6&gt;=$E56),IF($F56-$E56&lt;=2,"◆",IF($H56="Yes","X",LEFT($D56,1))),""))</f>
        <v/>
      </c>
      <c r="AZ56" s="33">
        <f>IF(OR($E56="",$F56=""),"",IF(AND(AZ$4&lt;=$F56,AZ$4+6&gt;=$E56),IF($F56-$E56&lt;=2,"◆",IF($H56="Yes","X",LEFT($D56,1))),""))</f>
        <v/>
      </c>
      <c r="BA56" s="33">
        <f>IF(OR($E56="",$F56=""),"",IF(AND(BA$4&lt;=$F56,BA$4+6&gt;=$E56),IF($F56-$E56&lt;=2,"◆",IF($H56="Yes","X",LEFT($D56,1))),""))</f>
        <v/>
      </c>
      <c r="BB56" s="33">
        <f>IF(OR($E56="",$F56=""),"",IF(AND(BB$4&lt;=$F56,BB$4+6&gt;=$E56),IF($F56-$E56&lt;=2,"◆",IF($H56="Yes","X",LEFT($D56,1))),""))</f>
        <v/>
      </c>
      <c r="BC56" s="33">
        <f>IF(OR($E56="",$F56=""),"",IF(AND(BC$4&lt;=$F56,BC$4+6&gt;=$E56),IF($F56-$E56&lt;=2,"◆",IF($H56="Yes","X",LEFT($D56,1))),""))</f>
        <v/>
      </c>
      <c r="BD56" s="33">
        <f>IF(OR($E56="",$F56=""),"",IF(AND(BD$4&lt;=$F56,BD$4+6&gt;=$E56),IF($F56-$E56&lt;=2,"◆",IF($H56="Yes","X",LEFT($D56,1))),""))</f>
        <v/>
      </c>
      <c r="BE56" s="33">
        <f>IF(OR($E56="",$F56=""),"",IF(AND(BE$4&lt;=$F56,BE$4+6&gt;=$E56),IF($F56-$E56&lt;=2,"◆",IF($H56="Yes","X",LEFT($D56,1))),""))</f>
        <v/>
      </c>
      <c r="BF56" s="33">
        <f>IF(OR($E56="",$F56=""),"",IF(AND(BF$4&lt;=$F56,BF$4+6&gt;=$E56),IF($F56-$E56&lt;=2,"◆",IF($H56="Yes","X",LEFT($D56,1))),""))</f>
        <v/>
      </c>
      <c r="BG56" s="33">
        <f>IF(OR($E56="",$F56=""),"",IF(AND(BG$4&lt;=$F56,BG$4+6&gt;=$E56),IF($F56-$E56&lt;=2,"◆",IF($H56="Yes","X",LEFT($D56,1))),""))</f>
        <v/>
      </c>
      <c r="BH56" s="33">
        <f>IF(OR($E56="",$F56=""),"",IF(AND(BH$4&lt;=$F56,BH$4+6&gt;=$E56),IF($F56-$E56&lt;=2,"◆",IF($H56="Yes","X",LEFT($D56,1))),""))</f>
        <v/>
      </c>
      <c r="BI56" s="33">
        <f>IF(OR($E56="",$F56=""),"",IF(AND(BI$4&lt;=$F56,BI$4+6&gt;=$E56),IF($F56-$E56&lt;=2,"◆",IF($H56="Yes","X",LEFT($D56,1))),""))</f>
        <v/>
      </c>
    </row>
    <row r="57">
      <c r="A57" s="30" t="inlineStr">
        <is>
          <t>T-053</t>
        </is>
      </c>
      <c r="B57" s="30" t="inlineStr">
        <is>
          <t>Release Management, Regression Testing and Test Automation</t>
        </is>
      </c>
      <c r="C57" s="30" t="inlineStr">
        <is>
          <t>Jawahar</t>
        </is>
      </c>
      <c r="D57" s="30" t="inlineStr">
        <is>
          <t>Not Started</t>
        </is>
      </c>
      <c r="E57" s="31" t="n">
        <v>46343</v>
      </c>
      <c r="F57" s="31" t="n">
        <v>46367</v>
      </c>
      <c r="G57" s="32" t="n">
        <v>0</v>
      </c>
      <c r="H57" s="30" t="inlineStr">
        <is>
          <t>No</t>
        </is>
      </c>
      <c r="I57" s="33">
        <f>IF(OR($E57="",$F57=""),"",IF(AND(I$4&lt;=$F57,I$4+6&gt;=$E57),IF($F57-$E57&lt;=2,"◆",IF($H57="Yes","X",LEFT($D57,1))),""))</f>
        <v/>
      </c>
      <c r="J57" s="33">
        <f>IF(OR($E57="",$F57=""),"",IF(AND(J$4&lt;=$F57,J$4+6&gt;=$E57),IF($F57-$E57&lt;=2,"◆",IF($H57="Yes","X",LEFT($D57,1))),""))</f>
        <v/>
      </c>
      <c r="K57" s="33">
        <f>IF(OR($E57="",$F57=""),"",IF(AND(K$4&lt;=$F57,K$4+6&gt;=$E57),IF($F57-$E57&lt;=2,"◆",IF($H57="Yes","X",LEFT($D57,1))),""))</f>
        <v/>
      </c>
      <c r="L57" s="33">
        <f>IF(OR($E57="",$F57=""),"",IF(AND(L$4&lt;=$F57,L$4+6&gt;=$E57),IF($F57-$E57&lt;=2,"◆",IF($H57="Yes","X",LEFT($D57,1))),""))</f>
        <v/>
      </c>
      <c r="M57" s="33">
        <f>IF(OR($E57="",$F57=""),"",IF(AND(M$4&lt;=$F57,M$4+6&gt;=$E57),IF($F57-$E57&lt;=2,"◆",IF($H57="Yes","X",LEFT($D57,1))),""))</f>
        <v/>
      </c>
      <c r="N57" s="33">
        <f>IF(OR($E57="",$F57=""),"",IF(AND(N$4&lt;=$F57,N$4+6&gt;=$E57),IF($F57-$E57&lt;=2,"◆",IF($H57="Yes","X",LEFT($D57,1))),""))</f>
        <v/>
      </c>
      <c r="O57" s="33">
        <f>IF(OR($E57="",$F57=""),"",IF(AND(O$4&lt;=$F57,O$4+6&gt;=$E57),IF($F57-$E57&lt;=2,"◆",IF($H57="Yes","X",LEFT($D57,1))),""))</f>
        <v/>
      </c>
      <c r="P57" s="33">
        <f>IF(OR($E57="",$F57=""),"",IF(AND(P$4&lt;=$F57,P$4+6&gt;=$E57),IF($F57-$E57&lt;=2,"◆",IF($H57="Yes","X",LEFT($D57,1))),""))</f>
        <v/>
      </c>
      <c r="Q57" s="33">
        <f>IF(OR($E57="",$F57=""),"",IF(AND(Q$4&lt;=$F57,Q$4+6&gt;=$E57),IF($F57-$E57&lt;=2,"◆",IF($H57="Yes","X",LEFT($D57,1))),""))</f>
        <v/>
      </c>
      <c r="R57" s="33">
        <f>IF(OR($E57="",$F57=""),"",IF(AND(R$4&lt;=$F57,R$4+6&gt;=$E57),IF($F57-$E57&lt;=2,"◆",IF($H57="Yes","X",LEFT($D57,1))),""))</f>
        <v/>
      </c>
      <c r="S57" s="33">
        <f>IF(OR($E57="",$F57=""),"",IF(AND(S$4&lt;=$F57,S$4+6&gt;=$E57),IF($F57-$E57&lt;=2,"◆",IF($H57="Yes","X",LEFT($D57,1))),""))</f>
        <v/>
      </c>
      <c r="T57" s="33">
        <f>IF(OR($E57="",$F57=""),"",IF(AND(T$4&lt;=$F57,T$4+6&gt;=$E57),IF($F57-$E57&lt;=2,"◆",IF($H57="Yes","X",LEFT($D57,1))),""))</f>
        <v/>
      </c>
      <c r="U57" s="33">
        <f>IF(OR($E57="",$F57=""),"",IF(AND(U$4&lt;=$F57,U$4+6&gt;=$E57),IF($F57-$E57&lt;=2,"◆",IF($H57="Yes","X",LEFT($D57,1))),""))</f>
        <v/>
      </c>
      <c r="V57" s="33">
        <f>IF(OR($E57="",$F57=""),"",IF(AND(V$4&lt;=$F57,V$4+6&gt;=$E57),IF($F57-$E57&lt;=2,"◆",IF($H57="Yes","X",LEFT($D57,1))),""))</f>
        <v/>
      </c>
      <c r="W57" s="33">
        <f>IF(OR($E57="",$F57=""),"",IF(AND(W$4&lt;=$F57,W$4+6&gt;=$E57),IF($F57-$E57&lt;=2,"◆",IF($H57="Yes","X",LEFT($D57,1))),""))</f>
        <v/>
      </c>
      <c r="X57" s="33">
        <f>IF(OR($E57="",$F57=""),"",IF(AND(X$4&lt;=$F57,X$4+6&gt;=$E57),IF($F57-$E57&lt;=2,"◆",IF($H57="Yes","X",LEFT($D57,1))),""))</f>
        <v/>
      </c>
      <c r="Y57" s="33">
        <f>IF(OR($E57="",$F57=""),"",IF(AND(Y$4&lt;=$F57,Y$4+6&gt;=$E57),IF($F57-$E57&lt;=2,"◆",IF($H57="Yes","X",LEFT($D57,1))),""))</f>
        <v/>
      </c>
      <c r="Z57" s="33">
        <f>IF(OR($E57="",$F57=""),"",IF(AND(Z$4&lt;=$F57,Z$4+6&gt;=$E57),IF($F57-$E57&lt;=2,"◆",IF($H57="Yes","X",LEFT($D57,1))),""))</f>
        <v/>
      </c>
      <c r="AA57" s="33">
        <f>IF(OR($E57="",$F57=""),"",IF(AND(AA$4&lt;=$F57,AA$4+6&gt;=$E57),IF($F57-$E57&lt;=2,"◆",IF($H57="Yes","X",LEFT($D57,1))),""))</f>
        <v/>
      </c>
      <c r="AB57" s="33">
        <f>IF(OR($E57="",$F57=""),"",IF(AND(AB$4&lt;=$F57,AB$4+6&gt;=$E57),IF($F57-$E57&lt;=2,"◆",IF($H57="Yes","X",LEFT($D57,1))),""))</f>
        <v/>
      </c>
      <c r="AC57" s="33">
        <f>IF(OR($E57="",$F57=""),"",IF(AND(AC$4&lt;=$F57,AC$4+6&gt;=$E57),IF($F57-$E57&lt;=2,"◆",IF($H57="Yes","X",LEFT($D57,1))),""))</f>
        <v/>
      </c>
      <c r="AD57" s="33">
        <f>IF(OR($E57="",$F57=""),"",IF(AND(AD$4&lt;=$F57,AD$4+6&gt;=$E57),IF($F57-$E57&lt;=2,"◆",IF($H57="Yes","X",LEFT($D57,1))),""))</f>
        <v/>
      </c>
      <c r="AE57" s="33">
        <f>IF(OR($E57="",$F57=""),"",IF(AND(AE$4&lt;=$F57,AE$4+6&gt;=$E57),IF($F57-$E57&lt;=2,"◆",IF($H57="Yes","X",LEFT($D57,1))),""))</f>
        <v/>
      </c>
      <c r="AF57" s="33">
        <f>IF(OR($E57="",$F57=""),"",IF(AND(AF$4&lt;=$F57,AF$4+6&gt;=$E57),IF($F57-$E57&lt;=2,"◆",IF($H57="Yes","X",LEFT($D57,1))),""))</f>
        <v/>
      </c>
      <c r="AG57" s="33">
        <f>IF(OR($E57="",$F57=""),"",IF(AND(AG$4&lt;=$F57,AG$4+6&gt;=$E57),IF($F57-$E57&lt;=2,"◆",IF($H57="Yes","X",LEFT($D57,1))),""))</f>
        <v/>
      </c>
      <c r="AH57" s="33">
        <f>IF(OR($E57="",$F57=""),"",IF(AND(AH$4&lt;=$F57,AH$4+6&gt;=$E57),IF($F57-$E57&lt;=2,"◆",IF($H57="Yes","X",LEFT($D57,1))),""))</f>
        <v/>
      </c>
      <c r="AI57" s="33">
        <f>IF(OR($E57="",$F57=""),"",IF(AND(AI$4&lt;=$F57,AI$4+6&gt;=$E57),IF($F57-$E57&lt;=2,"◆",IF($H57="Yes","X",LEFT($D57,1))),""))</f>
        <v/>
      </c>
      <c r="AJ57" s="33">
        <f>IF(OR($E57="",$F57=""),"",IF(AND(AJ$4&lt;=$F57,AJ$4+6&gt;=$E57),IF($F57-$E57&lt;=2,"◆",IF($H57="Yes","X",LEFT($D57,1))),""))</f>
        <v/>
      </c>
      <c r="AK57" s="33">
        <f>IF(OR($E57="",$F57=""),"",IF(AND(AK$4&lt;=$F57,AK$4+6&gt;=$E57),IF($F57-$E57&lt;=2,"◆",IF($H57="Yes","X",LEFT($D57,1))),""))</f>
        <v/>
      </c>
      <c r="AL57" s="33">
        <f>IF(OR($E57="",$F57=""),"",IF(AND(AL$4&lt;=$F57,AL$4+6&gt;=$E57),IF($F57-$E57&lt;=2,"◆",IF($H57="Yes","X",LEFT($D57,1))),""))</f>
        <v/>
      </c>
      <c r="AM57" s="33">
        <f>IF(OR($E57="",$F57=""),"",IF(AND(AM$4&lt;=$F57,AM$4+6&gt;=$E57),IF($F57-$E57&lt;=2,"◆",IF($H57="Yes","X",LEFT($D57,1))),""))</f>
        <v/>
      </c>
      <c r="AN57" s="33">
        <f>IF(OR($E57="",$F57=""),"",IF(AND(AN$4&lt;=$F57,AN$4+6&gt;=$E57),IF($F57-$E57&lt;=2,"◆",IF($H57="Yes","X",LEFT($D57,1))),""))</f>
        <v/>
      </c>
      <c r="AO57" s="33">
        <f>IF(OR($E57="",$F57=""),"",IF(AND(AO$4&lt;=$F57,AO$4+6&gt;=$E57),IF($F57-$E57&lt;=2,"◆",IF($H57="Yes","X",LEFT($D57,1))),""))</f>
        <v/>
      </c>
      <c r="AP57" s="33">
        <f>IF(OR($E57="",$F57=""),"",IF(AND(AP$4&lt;=$F57,AP$4+6&gt;=$E57),IF($F57-$E57&lt;=2,"◆",IF($H57="Yes","X",LEFT($D57,1))),""))</f>
        <v/>
      </c>
      <c r="AQ57" s="33">
        <f>IF(OR($E57="",$F57=""),"",IF(AND(AQ$4&lt;=$F57,AQ$4+6&gt;=$E57),IF($F57-$E57&lt;=2,"◆",IF($H57="Yes","X",LEFT($D57,1))),""))</f>
        <v/>
      </c>
      <c r="AR57" s="33">
        <f>IF(OR($E57="",$F57=""),"",IF(AND(AR$4&lt;=$F57,AR$4+6&gt;=$E57),IF($F57-$E57&lt;=2,"◆",IF($H57="Yes","X",LEFT($D57,1))),""))</f>
        <v/>
      </c>
      <c r="AS57" s="33">
        <f>IF(OR($E57="",$F57=""),"",IF(AND(AS$4&lt;=$F57,AS$4+6&gt;=$E57),IF($F57-$E57&lt;=2,"◆",IF($H57="Yes","X",LEFT($D57,1))),""))</f>
        <v/>
      </c>
      <c r="AT57" s="33">
        <f>IF(OR($E57="",$F57=""),"",IF(AND(AT$4&lt;=$F57,AT$4+6&gt;=$E57),IF($F57-$E57&lt;=2,"◆",IF($H57="Yes","X",LEFT($D57,1))),""))</f>
        <v/>
      </c>
      <c r="AU57" s="33">
        <f>IF(OR($E57="",$F57=""),"",IF(AND(AU$4&lt;=$F57,AU$4+6&gt;=$E57),IF($F57-$E57&lt;=2,"◆",IF($H57="Yes","X",LEFT($D57,1))),""))</f>
        <v/>
      </c>
      <c r="AV57" s="33">
        <f>IF(OR($E57="",$F57=""),"",IF(AND(AV$4&lt;=$F57,AV$4+6&gt;=$E57),IF($F57-$E57&lt;=2,"◆",IF($H57="Yes","X",LEFT($D57,1))),""))</f>
        <v/>
      </c>
      <c r="AW57" s="33">
        <f>IF(OR($E57="",$F57=""),"",IF(AND(AW$4&lt;=$F57,AW$4+6&gt;=$E57),IF($F57-$E57&lt;=2,"◆",IF($H57="Yes","X",LEFT($D57,1))),""))</f>
        <v/>
      </c>
      <c r="AX57" s="33">
        <f>IF(OR($E57="",$F57=""),"",IF(AND(AX$4&lt;=$F57,AX$4+6&gt;=$E57),IF($F57-$E57&lt;=2,"◆",IF($H57="Yes","X",LEFT($D57,1))),""))</f>
        <v/>
      </c>
      <c r="AY57" s="33">
        <f>IF(OR($E57="",$F57=""),"",IF(AND(AY$4&lt;=$F57,AY$4+6&gt;=$E57),IF($F57-$E57&lt;=2,"◆",IF($H57="Yes","X",LEFT($D57,1))),""))</f>
        <v/>
      </c>
      <c r="AZ57" s="33">
        <f>IF(OR($E57="",$F57=""),"",IF(AND(AZ$4&lt;=$F57,AZ$4+6&gt;=$E57),IF($F57-$E57&lt;=2,"◆",IF($H57="Yes","X",LEFT($D57,1))),""))</f>
        <v/>
      </c>
      <c r="BA57" s="33">
        <f>IF(OR($E57="",$F57=""),"",IF(AND(BA$4&lt;=$F57,BA$4+6&gt;=$E57),IF($F57-$E57&lt;=2,"◆",IF($H57="Yes","X",LEFT($D57,1))),""))</f>
        <v/>
      </c>
      <c r="BB57" s="33">
        <f>IF(OR($E57="",$F57=""),"",IF(AND(BB$4&lt;=$F57,BB$4+6&gt;=$E57),IF($F57-$E57&lt;=2,"◆",IF($H57="Yes","X",LEFT($D57,1))),""))</f>
        <v/>
      </c>
      <c r="BC57" s="33">
        <f>IF(OR($E57="",$F57=""),"",IF(AND(BC$4&lt;=$F57,BC$4+6&gt;=$E57),IF($F57-$E57&lt;=2,"◆",IF($H57="Yes","X",LEFT($D57,1))),""))</f>
        <v/>
      </c>
      <c r="BD57" s="33">
        <f>IF(OR($E57="",$F57=""),"",IF(AND(BD$4&lt;=$F57,BD$4+6&gt;=$E57),IF($F57-$E57&lt;=2,"◆",IF($H57="Yes","X",LEFT($D57,1))),""))</f>
        <v/>
      </c>
      <c r="BE57" s="33">
        <f>IF(OR($E57="",$F57=""),"",IF(AND(BE$4&lt;=$F57,BE$4+6&gt;=$E57),IF($F57-$E57&lt;=2,"◆",IF($H57="Yes","X",LEFT($D57,1))),""))</f>
        <v/>
      </c>
      <c r="BF57" s="33">
        <f>IF(OR($E57="",$F57=""),"",IF(AND(BF$4&lt;=$F57,BF$4+6&gt;=$E57),IF($F57-$E57&lt;=2,"◆",IF($H57="Yes","X",LEFT($D57,1))),""))</f>
        <v/>
      </c>
      <c r="BG57" s="33">
        <f>IF(OR($E57="",$F57=""),"",IF(AND(BG$4&lt;=$F57,BG$4+6&gt;=$E57),IF($F57-$E57&lt;=2,"◆",IF($H57="Yes","X",LEFT($D57,1))),""))</f>
        <v/>
      </c>
      <c r="BH57" s="33">
        <f>IF(OR($E57="",$F57=""),"",IF(AND(BH$4&lt;=$F57,BH$4+6&gt;=$E57),IF($F57-$E57&lt;=2,"◆",IF($H57="Yes","X",LEFT($D57,1))),""))</f>
        <v/>
      </c>
      <c r="BI57" s="33">
        <f>IF(OR($E57="",$F57=""),"",IF(AND(BI$4&lt;=$F57,BI$4+6&gt;=$E57),IF($F57-$E57&lt;=2,"◆",IF($H57="Yes","X",LEFT($D57,1))),""))</f>
        <v/>
      </c>
    </row>
    <row r="58">
      <c r="A58" s="30" t="inlineStr">
        <is>
          <t>T-054</t>
        </is>
      </c>
      <c r="B58" s="30" t="inlineStr">
        <is>
          <t>Performance Testing, Tuning and Test Suite Management</t>
        </is>
      </c>
      <c r="C58" s="30" t="inlineStr">
        <is>
          <t>Jawahar</t>
        </is>
      </c>
      <c r="D58" s="30" t="inlineStr">
        <is>
          <t>Not Started</t>
        </is>
      </c>
      <c r="E58" s="31" t="n">
        <v>46322</v>
      </c>
      <c r="F58" s="31" t="n">
        <v>46346</v>
      </c>
      <c r="G58" s="32" t="n">
        <v>0</v>
      </c>
      <c r="H58" s="30" t="inlineStr">
        <is>
          <t>No</t>
        </is>
      </c>
      <c r="I58" s="33">
        <f>IF(OR($E58="",$F58=""),"",IF(AND(I$4&lt;=$F58,I$4+6&gt;=$E58),IF($F58-$E58&lt;=2,"◆",IF($H58="Yes","X",LEFT($D58,1))),""))</f>
        <v/>
      </c>
      <c r="J58" s="33">
        <f>IF(OR($E58="",$F58=""),"",IF(AND(J$4&lt;=$F58,J$4+6&gt;=$E58),IF($F58-$E58&lt;=2,"◆",IF($H58="Yes","X",LEFT($D58,1))),""))</f>
        <v/>
      </c>
      <c r="K58" s="33">
        <f>IF(OR($E58="",$F58=""),"",IF(AND(K$4&lt;=$F58,K$4+6&gt;=$E58),IF($F58-$E58&lt;=2,"◆",IF($H58="Yes","X",LEFT($D58,1))),""))</f>
        <v/>
      </c>
      <c r="L58" s="33">
        <f>IF(OR($E58="",$F58=""),"",IF(AND(L$4&lt;=$F58,L$4+6&gt;=$E58),IF($F58-$E58&lt;=2,"◆",IF($H58="Yes","X",LEFT($D58,1))),""))</f>
        <v/>
      </c>
      <c r="M58" s="33">
        <f>IF(OR($E58="",$F58=""),"",IF(AND(M$4&lt;=$F58,M$4+6&gt;=$E58),IF($F58-$E58&lt;=2,"◆",IF($H58="Yes","X",LEFT($D58,1))),""))</f>
        <v/>
      </c>
      <c r="N58" s="33">
        <f>IF(OR($E58="",$F58=""),"",IF(AND(N$4&lt;=$F58,N$4+6&gt;=$E58),IF($F58-$E58&lt;=2,"◆",IF($H58="Yes","X",LEFT($D58,1))),""))</f>
        <v/>
      </c>
      <c r="O58" s="33">
        <f>IF(OR($E58="",$F58=""),"",IF(AND(O$4&lt;=$F58,O$4+6&gt;=$E58),IF($F58-$E58&lt;=2,"◆",IF($H58="Yes","X",LEFT($D58,1))),""))</f>
        <v/>
      </c>
      <c r="P58" s="33">
        <f>IF(OR($E58="",$F58=""),"",IF(AND(P$4&lt;=$F58,P$4+6&gt;=$E58),IF($F58-$E58&lt;=2,"◆",IF($H58="Yes","X",LEFT($D58,1))),""))</f>
        <v/>
      </c>
      <c r="Q58" s="33">
        <f>IF(OR($E58="",$F58=""),"",IF(AND(Q$4&lt;=$F58,Q$4+6&gt;=$E58),IF($F58-$E58&lt;=2,"◆",IF($H58="Yes","X",LEFT($D58,1))),""))</f>
        <v/>
      </c>
      <c r="R58" s="33">
        <f>IF(OR($E58="",$F58=""),"",IF(AND(R$4&lt;=$F58,R$4+6&gt;=$E58),IF($F58-$E58&lt;=2,"◆",IF($H58="Yes","X",LEFT($D58,1))),""))</f>
        <v/>
      </c>
      <c r="S58" s="33">
        <f>IF(OR($E58="",$F58=""),"",IF(AND(S$4&lt;=$F58,S$4+6&gt;=$E58),IF($F58-$E58&lt;=2,"◆",IF($H58="Yes","X",LEFT($D58,1))),""))</f>
        <v/>
      </c>
      <c r="T58" s="33">
        <f>IF(OR($E58="",$F58=""),"",IF(AND(T$4&lt;=$F58,T$4+6&gt;=$E58),IF($F58-$E58&lt;=2,"◆",IF($H58="Yes","X",LEFT($D58,1))),""))</f>
        <v/>
      </c>
      <c r="U58" s="33">
        <f>IF(OR($E58="",$F58=""),"",IF(AND(U$4&lt;=$F58,U$4+6&gt;=$E58),IF($F58-$E58&lt;=2,"◆",IF($H58="Yes","X",LEFT($D58,1))),""))</f>
        <v/>
      </c>
      <c r="V58" s="33">
        <f>IF(OR($E58="",$F58=""),"",IF(AND(V$4&lt;=$F58,V$4+6&gt;=$E58),IF($F58-$E58&lt;=2,"◆",IF($H58="Yes","X",LEFT($D58,1))),""))</f>
        <v/>
      </c>
      <c r="W58" s="33">
        <f>IF(OR($E58="",$F58=""),"",IF(AND(W$4&lt;=$F58,W$4+6&gt;=$E58),IF($F58-$E58&lt;=2,"◆",IF($H58="Yes","X",LEFT($D58,1))),""))</f>
        <v/>
      </c>
      <c r="X58" s="33">
        <f>IF(OR($E58="",$F58=""),"",IF(AND(X$4&lt;=$F58,X$4+6&gt;=$E58),IF($F58-$E58&lt;=2,"◆",IF($H58="Yes","X",LEFT($D58,1))),""))</f>
        <v/>
      </c>
      <c r="Y58" s="33">
        <f>IF(OR($E58="",$F58=""),"",IF(AND(Y$4&lt;=$F58,Y$4+6&gt;=$E58),IF($F58-$E58&lt;=2,"◆",IF($H58="Yes","X",LEFT($D58,1))),""))</f>
        <v/>
      </c>
      <c r="Z58" s="33">
        <f>IF(OR($E58="",$F58=""),"",IF(AND(Z$4&lt;=$F58,Z$4+6&gt;=$E58),IF($F58-$E58&lt;=2,"◆",IF($H58="Yes","X",LEFT($D58,1))),""))</f>
        <v/>
      </c>
      <c r="AA58" s="33">
        <f>IF(OR($E58="",$F58=""),"",IF(AND(AA$4&lt;=$F58,AA$4+6&gt;=$E58),IF($F58-$E58&lt;=2,"◆",IF($H58="Yes","X",LEFT($D58,1))),""))</f>
        <v/>
      </c>
      <c r="AB58" s="33">
        <f>IF(OR($E58="",$F58=""),"",IF(AND(AB$4&lt;=$F58,AB$4+6&gt;=$E58),IF($F58-$E58&lt;=2,"◆",IF($H58="Yes","X",LEFT($D58,1))),""))</f>
        <v/>
      </c>
      <c r="AC58" s="33">
        <f>IF(OR($E58="",$F58=""),"",IF(AND(AC$4&lt;=$F58,AC$4+6&gt;=$E58),IF($F58-$E58&lt;=2,"◆",IF($H58="Yes","X",LEFT($D58,1))),""))</f>
        <v/>
      </c>
      <c r="AD58" s="33">
        <f>IF(OR($E58="",$F58=""),"",IF(AND(AD$4&lt;=$F58,AD$4+6&gt;=$E58),IF($F58-$E58&lt;=2,"◆",IF($H58="Yes","X",LEFT($D58,1))),""))</f>
        <v/>
      </c>
      <c r="AE58" s="33">
        <f>IF(OR($E58="",$F58=""),"",IF(AND(AE$4&lt;=$F58,AE$4+6&gt;=$E58),IF($F58-$E58&lt;=2,"◆",IF($H58="Yes","X",LEFT($D58,1))),""))</f>
        <v/>
      </c>
      <c r="AF58" s="33">
        <f>IF(OR($E58="",$F58=""),"",IF(AND(AF$4&lt;=$F58,AF$4+6&gt;=$E58),IF($F58-$E58&lt;=2,"◆",IF($H58="Yes","X",LEFT($D58,1))),""))</f>
        <v/>
      </c>
      <c r="AG58" s="33">
        <f>IF(OR($E58="",$F58=""),"",IF(AND(AG$4&lt;=$F58,AG$4+6&gt;=$E58),IF($F58-$E58&lt;=2,"◆",IF($H58="Yes","X",LEFT($D58,1))),""))</f>
        <v/>
      </c>
      <c r="AH58" s="33">
        <f>IF(OR($E58="",$F58=""),"",IF(AND(AH$4&lt;=$F58,AH$4+6&gt;=$E58),IF($F58-$E58&lt;=2,"◆",IF($H58="Yes","X",LEFT($D58,1))),""))</f>
        <v/>
      </c>
      <c r="AI58" s="33">
        <f>IF(OR($E58="",$F58=""),"",IF(AND(AI$4&lt;=$F58,AI$4+6&gt;=$E58),IF($F58-$E58&lt;=2,"◆",IF($H58="Yes","X",LEFT($D58,1))),""))</f>
        <v/>
      </c>
      <c r="AJ58" s="33">
        <f>IF(OR($E58="",$F58=""),"",IF(AND(AJ$4&lt;=$F58,AJ$4+6&gt;=$E58),IF($F58-$E58&lt;=2,"◆",IF($H58="Yes","X",LEFT($D58,1))),""))</f>
        <v/>
      </c>
      <c r="AK58" s="33">
        <f>IF(OR($E58="",$F58=""),"",IF(AND(AK$4&lt;=$F58,AK$4+6&gt;=$E58),IF($F58-$E58&lt;=2,"◆",IF($H58="Yes","X",LEFT($D58,1))),""))</f>
        <v/>
      </c>
      <c r="AL58" s="33">
        <f>IF(OR($E58="",$F58=""),"",IF(AND(AL$4&lt;=$F58,AL$4+6&gt;=$E58),IF($F58-$E58&lt;=2,"◆",IF($H58="Yes","X",LEFT($D58,1))),""))</f>
        <v/>
      </c>
      <c r="AM58" s="33">
        <f>IF(OR($E58="",$F58=""),"",IF(AND(AM$4&lt;=$F58,AM$4+6&gt;=$E58),IF($F58-$E58&lt;=2,"◆",IF($H58="Yes","X",LEFT($D58,1))),""))</f>
        <v/>
      </c>
      <c r="AN58" s="33">
        <f>IF(OR($E58="",$F58=""),"",IF(AND(AN$4&lt;=$F58,AN$4+6&gt;=$E58),IF($F58-$E58&lt;=2,"◆",IF($H58="Yes","X",LEFT($D58,1))),""))</f>
        <v/>
      </c>
      <c r="AO58" s="33">
        <f>IF(OR($E58="",$F58=""),"",IF(AND(AO$4&lt;=$F58,AO$4+6&gt;=$E58),IF($F58-$E58&lt;=2,"◆",IF($H58="Yes","X",LEFT($D58,1))),""))</f>
        <v/>
      </c>
      <c r="AP58" s="33">
        <f>IF(OR($E58="",$F58=""),"",IF(AND(AP$4&lt;=$F58,AP$4+6&gt;=$E58),IF($F58-$E58&lt;=2,"◆",IF($H58="Yes","X",LEFT($D58,1))),""))</f>
        <v/>
      </c>
      <c r="AQ58" s="33">
        <f>IF(OR($E58="",$F58=""),"",IF(AND(AQ$4&lt;=$F58,AQ$4+6&gt;=$E58),IF($F58-$E58&lt;=2,"◆",IF($H58="Yes","X",LEFT($D58,1))),""))</f>
        <v/>
      </c>
      <c r="AR58" s="33">
        <f>IF(OR($E58="",$F58=""),"",IF(AND(AR$4&lt;=$F58,AR$4+6&gt;=$E58),IF($F58-$E58&lt;=2,"◆",IF($H58="Yes","X",LEFT($D58,1))),""))</f>
        <v/>
      </c>
      <c r="AS58" s="33">
        <f>IF(OR($E58="",$F58=""),"",IF(AND(AS$4&lt;=$F58,AS$4+6&gt;=$E58),IF($F58-$E58&lt;=2,"◆",IF($H58="Yes","X",LEFT($D58,1))),""))</f>
        <v/>
      </c>
      <c r="AT58" s="33">
        <f>IF(OR($E58="",$F58=""),"",IF(AND(AT$4&lt;=$F58,AT$4+6&gt;=$E58),IF($F58-$E58&lt;=2,"◆",IF($H58="Yes","X",LEFT($D58,1))),""))</f>
        <v/>
      </c>
      <c r="AU58" s="33">
        <f>IF(OR($E58="",$F58=""),"",IF(AND(AU$4&lt;=$F58,AU$4+6&gt;=$E58),IF($F58-$E58&lt;=2,"◆",IF($H58="Yes","X",LEFT($D58,1))),""))</f>
        <v/>
      </c>
      <c r="AV58" s="33">
        <f>IF(OR($E58="",$F58=""),"",IF(AND(AV$4&lt;=$F58,AV$4+6&gt;=$E58),IF($F58-$E58&lt;=2,"◆",IF($H58="Yes","X",LEFT($D58,1))),""))</f>
        <v/>
      </c>
      <c r="AW58" s="33">
        <f>IF(OR($E58="",$F58=""),"",IF(AND(AW$4&lt;=$F58,AW$4+6&gt;=$E58),IF($F58-$E58&lt;=2,"◆",IF($H58="Yes","X",LEFT($D58,1))),""))</f>
        <v/>
      </c>
      <c r="AX58" s="33">
        <f>IF(OR($E58="",$F58=""),"",IF(AND(AX$4&lt;=$F58,AX$4+6&gt;=$E58),IF($F58-$E58&lt;=2,"◆",IF($H58="Yes","X",LEFT($D58,1))),""))</f>
        <v/>
      </c>
      <c r="AY58" s="33">
        <f>IF(OR($E58="",$F58=""),"",IF(AND(AY$4&lt;=$F58,AY$4+6&gt;=$E58),IF($F58-$E58&lt;=2,"◆",IF($H58="Yes","X",LEFT($D58,1))),""))</f>
        <v/>
      </c>
      <c r="AZ58" s="33">
        <f>IF(OR($E58="",$F58=""),"",IF(AND(AZ$4&lt;=$F58,AZ$4+6&gt;=$E58),IF($F58-$E58&lt;=2,"◆",IF($H58="Yes","X",LEFT($D58,1))),""))</f>
        <v/>
      </c>
      <c r="BA58" s="33">
        <f>IF(OR($E58="",$F58=""),"",IF(AND(BA$4&lt;=$F58,BA$4+6&gt;=$E58),IF($F58-$E58&lt;=2,"◆",IF($H58="Yes","X",LEFT($D58,1))),""))</f>
        <v/>
      </c>
      <c r="BB58" s="33">
        <f>IF(OR($E58="",$F58=""),"",IF(AND(BB$4&lt;=$F58,BB$4+6&gt;=$E58),IF($F58-$E58&lt;=2,"◆",IF($H58="Yes","X",LEFT($D58,1))),""))</f>
        <v/>
      </c>
      <c r="BC58" s="33">
        <f>IF(OR($E58="",$F58=""),"",IF(AND(BC$4&lt;=$F58,BC$4+6&gt;=$E58),IF($F58-$E58&lt;=2,"◆",IF($H58="Yes","X",LEFT($D58,1))),""))</f>
        <v/>
      </c>
      <c r="BD58" s="33">
        <f>IF(OR($E58="",$F58=""),"",IF(AND(BD$4&lt;=$F58,BD$4+6&gt;=$E58),IF($F58-$E58&lt;=2,"◆",IF($H58="Yes","X",LEFT($D58,1))),""))</f>
        <v/>
      </c>
      <c r="BE58" s="33">
        <f>IF(OR($E58="",$F58=""),"",IF(AND(BE$4&lt;=$F58,BE$4+6&gt;=$E58),IF($F58-$E58&lt;=2,"◆",IF($H58="Yes","X",LEFT($D58,1))),""))</f>
        <v/>
      </c>
      <c r="BF58" s="33">
        <f>IF(OR($E58="",$F58=""),"",IF(AND(BF$4&lt;=$F58,BF$4+6&gt;=$E58),IF($F58-$E58&lt;=2,"◆",IF($H58="Yes","X",LEFT($D58,1))),""))</f>
        <v/>
      </c>
      <c r="BG58" s="33">
        <f>IF(OR($E58="",$F58=""),"",IF(AND(BG$4&lt;=$F58,BG$4+6&gt;=$E58),IF($F58-$E58&lt;=2,"◆",IF($H58="Yes","X",LEFT($D58,1))),""))</f>
        <v/>
      </c>
      <c r="BH58" s="33">
        <f>IF(OR($E58="",$F58=""),"",IF(AND(BH$4&lt;=$F58,BH$4+6&gt;=$E58),IF($F58-$E58&lt;=2,"◆",IF($H58="Yes","X",LEFT($D58,1))),""))</f>
        <v/>
      </c>
      <c r="BI58" s="33">
        <f>IF(OR($E58="",$F58=""),"",IF(AND(BI$4&lt;=$F58,BI$4+6&gt;=$E58),IF($F58-$E58&lt;=2,"◆",IF($H58="Yes","X",LEFT($D58,1))),""))</f>
        <v/>
      </c>
    </row>
    <row r="59">
      <c r="A59" s="30" t="inlineStr">
        <is>
          <t>T-055</t>
        </is>
      </c>
      <c r="B59" s="30" t="inlineStr">
        <is>
          <t>DevOps Management, Improvements and Pipeline Monitoring</t>
        </is>
      </c>
      <c r="C59" s="30" t="inlineStr">
        <is>
          <t>Jawahar</t>
        </is>
      </c>
      <c r="D59" s="30" t="inlineStr">
        <is>
          <t>Not Started</t>
        </is>
      </c>
      <c r="E59" s="31" t="n">
        <v>46317</v>
      </c>
      <c r="F59" s="31" t="n">
        <v>46322</v>
      </c>
      <c r="G59" s="32" t="n">
        <v>0</v>
      </c>
      <c r="H59" s="30" t="inlineStr">
        <is>
          <t>No</t>
        </is>
      </c>
      <c r="I59" s="33">
        <f>IF(OR($E59="",$F59=""),"",IF(AND(I$4&lt;=$F59,I$4+6&gt;=$E59),IF($F59-$E59&lt;=2,"◆",IF($H59="Yes","X",LEFT($D59,1))),""))</f>
        <v/>
      </c>
      <c r="J59" s="33">
        <f>IF(OR($E59="",$F59=""),"",IF(AND(J$4&lt;=$F59,J$4+6&gt;=$E59),IF($F59-$E59&lt;=2,"◆",IF($H59="Yes","X",LEFT($D59,1))),""))</f>
        <v/>
      </c>
      <c r="K59" s="33">
        <f>IF(OR($E59="",$F59=""),"",IF(AND(K$4&lt;=$F59,K$4+6&gt;=$E59),IF($F59-$E59&lt;=2,"◆",IF($H59="Yes","X",LEFT($D59,1))),""))</f>
        <v/>
      </c>
      <c r="L59" s="33">
        <f>IF(OR($E59="",$F59=""),"",IF(AND(L$4&lt;=$F59,L$4+6&gt;=$E59),IF($F59-$E59&lt;=2,"◆",IF($H59="Yes","X",LEFT($D59,1))),""))</f>
        <v/>
      </c>
      <c r="M59" s="33">
        <f>IF(OR($E59="",$F59=""),"",IF(AND(M$4&lt;=$F59,M$4+6&gt;=$E59),IF($F59-$E59&lt;=2,"◆",IF($H59="Yes","X",LEFT($D59,1))),""))</f>
        <v/>
      </c>
      <c r="N59" s="33">
        <f>IF(OR($E59="",$F59=""),"",IF(AND(N$4&lt;=$F59,N$4+6&gt;=$E59),IF($F59-$E59&lt;=2,"◆",IF($H59="Yes","X",LEFT($D59,1))),""))</f>
        <v/>
      </c>
      <c r="O59" s="33">
        <f>IF(OR($E59="",$F59=""),"",IF(AND(O$4&lt;=$F59,O$4+6&gt;=$E59),IF($F59-$E59&lt;=2,"◆",IF($H59="Yes","X",LEFT($D59,1))),""))</f>
        <v/>
      </c>
      <c r="P59" s="33">
        <f>IF(OR($E59="",$F59=""),"",IF(AND(P$4&lt;=$F59,P$4+6&gt;=$E59),IF($F59-$E59&lt;=2,"◆",IF($H59="Yes","X",LEFT($D59,1))),""))</f>
        <v/>
      </c>
      <c r="Q59" s="33">
        <f>IF(OR($E59="",$F59=""),"",IF(AND(Q$4&lt;=$F59,Q$4+6&gt;=$E59),IF($F59-$E59&lt;=2,"◆",IF($H59="Yes","X",LEFT($D59,1))),""))</f>
        <v/>
      </c>
      <c r="R59" s="33">
        <f>IF(OR($E59="",$F59=""),"",IF(AND(R$4&lt;=$F59,R$4+6&gt;=$E59),IF($F59-$E59&lt;=2,"◆",IF($H59="Yes","X",LEFT($D59,1))),""))</f>
        <v/>
      </c>
      <c r="S59" s="33">
        <f>IF(OR($E59="",$F59=""),"",IF(AND(S$4&lt;=$F59,S$4+6&gt;=$E59),IF($F59-$E59&lt;=2,"◆",IF($H59="Yes","X",LEFT($D59,1))),""))</f>
        <v/>
      </c>
      <c r="T59" s="33">
        <f>IF(OR($E59="",$F59=""),"",IF(AND(T$4&lt;=$F59,T$4+6&gt;=$E59),IF($F59-$E59&lt;=2,"◆",IF($H59="Yes","X",LEFT($D59,1))),""))</f>
        <v/>
      </c>
      <c r="U59" s="33">
        <f>IF(OR($E59="",$F59=""),"",IF(AND(U$4&lt;=$F59,U$4+6&gt;=$E59),IF($F59-$E59&lt;=2,"◆",IF($H59="Yes","X",LEFT($D59,1))),""))</f>
        <v/>
      </c>
      <c r="V59" s="33">
        <f>IF(OR($E59="",$F59=""),"",IF(AND(V$4&lt;=$F59,V$4+6&gt;=$E59),IF($F59-$E59&lt;=2,"◆",IF($H59="Yes","X",LEFT($D59,1))),""))</f>
        <v/>
      </c>
      <c r="W59" s="33">
        <f>IF(OR($E59="",$F59=""),"",IF(AND(W$4&lt;=$F59,W$4+6&gt;=$E59),IF($F59-$E59&lt;=2,"◆",IF($H59="Yes","X",LEFT($D59,1))),""))</f>
        <v/>
      </c>
      <c r="X59" s="33">
        <f>IF(OR($E59="",$F59=""),"",IF(AND(X$4&lt;=$F59,X$4+6&gt;=$E59),IF($F59-$E59&lt;=2,"◆",IF($H59="Yes","X",LEFT($D59,1))),""))</f>
        <v/>
      </c>
      <c r="Y59" s="33">
        <f>IF(OR($E59="",$F59=""),"",IF(AND(Y$4&lt;=$F59,Y$4+6&gt;=$E59),IF($F59-$E59&lt;=2,"◆",IF($H59="Yes","X",LEFT($D59,1))),""))</f>
        <v/>
      </c>
      <c r="Z59" s="33">
        <f>IF(OR($E59="",$F59=""),"",IF(AND(Z$4&lt;=$F59,Z$4+6&gt;=$E59),IF($F59-$E59&lt;=2,"◆",IF($H59="Yes","X",LEFT($D59,1))),""))</f>
        <v/>
      </c>
      <c r="AA59" s="33">
        <f>IF(OR($E59="",$F59=""),"",IF(AND(AA$4&lt;=$F59,AA$4+6&gt;=$E59),IF($F59-$E59&lt;=2,"◆",IF($H59="Yes","X",LEFT($D59,1))),""))</f>
        <v/>
      </c>
      <c r="AB59" s="33">
        <f>IF(OR($E59="",$F59=""),"",IF(AND(AB$4&lt;=$F59,AB$4+6&gt;=$E59),IF($F59-$E59&lt;=2,"◆",IF($H59="Yes","X",LEFT($D59,1))),""))</f>
        <v/>
      </c>
      <c r="AC59" s="33">
        <f>IF(OR($E59="",$F59=""),"",IF(AND(AC$4&lt;=$F59,AC$4+6&gt;=$E59),IF($F59-$E59&lt;=2,"◆",IF($H59="Yes","X",LEFT($D59,1))),""))</f>
        <v/>
      </c>
      <c r="AD59" s="33">
        <f>IF(OR($E59="",$F59=""),"",IF(AND(AD$4&lt;=$F59,AD$4+6&gt;=$E59),IF($F59-$E59&lt;=2,"◆",IF($H59="Yes","X",LEFT($D59,1))),""))</f>
        <v/>
      </c>
      <c r="AE59" s="33">
        <f>IF(OR($E59="",$F59=""),"",IF(AND(AE$4&lt;=$F59,AE$4+6&gt;=$E59),IF($F59-$E59&lt;=2,"◆",IF($H59="Yes","X",LEFT($D59,1))),""))</f>
        <v/>
      </c>
      <c r="AF59" s="33">
        <f>IF(OR($E59="",$F59=""),"",IF(AND(AF$4&lt;=$F59,AF$4+6&gt;=$E59),IF($F59-$E59&lt;=2,"◆",IF($H59="Yes","X",LEFT($D59,1))),""))</f>
        <v/>
      </c>
      <c r="AG59" s="33">
        <f>IF(OR($E59="",$F59=""),"",IF(AND(AG$4&lt;=$F59,AG$4+6&gt;=$E59),IF($F59-$E59&lt;=2,"◆",IF($H59="Yes","X",LEFT($D59,1))),""))</f>
        <v/>
      </c>
      <c r="AH59" s="33">
        <f>IF(OR($E59="",$F59=""),"",IF(AND(AH$4&lt;=$F59,AH$4+6&gt;=$E59),IF($F59-$E59&lt;=2,"◆",IF($H59="Yes","X",LEFT($D59,1))),""))</f>
        <v/>
      </c>
      <c r="AI59" s="33">
        <f>IF(OR($E59="",$F59=""),"",IF(AND(AI$4&lt;=$F59,AI$4+6&gt;=$E59),IF($F59-$E59&lt;=2,"◆",IF($H59="Yes","X",LEFT($D59,1))),""))</f>
        <v/>
      </c>
      <c r="AJ59" s="33">
        <f>IF(OR($E59="",$F59=""),"",IF(AND(AJ$4&lt;=$F59,AJ$4+6&gt;=$E59),IF($F59-$E59&lt;=2,"◆",IF($H59="Yes","X",LEFT($D59,1))),""))</f>
        <v/>
      </c>
      <c r="AK59" s="33">
        <f>IF(OR($E59="",$F59=""),"",IF(AND(AK$4&lt;=$F59,AK$4+6&gt;=$E59),IF($F59-$E59&lt;=2,"◆",IF($H59="Yes","X",LEFT($D59,1))),""))</f>
        <v/>
      </c>
      <c r="AL59" s="33">
        <f>IF(OR($E59="",$F59=""),"",IF(AND(AL$4&lt;=$F59,AL$4+6&gt;=$E59),IF($F59-$E59&lt;=2,"◆",IF($H59="Yes","X",LEFT($D59,1))),""))</f>
        <v/>
      </c>
      <c r="AM59" s="33">
        <f>IF(OR($E59="",$F59=""),"",IF(AND(AM$4&lt;=$F59,AM$4+6&gt;=$E59),IF($F59-$E59&lt;=2,"◆",IF($H59="Yes","X",LEFT($D59,1))),""))</f>
        <v/>
      </c>
      <c r="AN59" s="33">
        <f>IF(OR($E59="",$F59=""),"",IF(AND(AN$4&lt;=$F59,AN$4+6&gt;=$E59),IF($F59-$E59&lt;=2,"◆",IF($H59="Yes","X",LEFT($D59,1))),""))</f>
        <v/>
      </c>
      <c r="AO59" s="33">
        <f>IF(OR($E59="",$F59=""),"",IF(AND(AO$4&lt;=$F59,AO$4+6&gt;=$E59),IF($F59-$E59&lt;=2,"◆",IF($H59="Yes","X",LEFT($D59,1))),""))</f>
        <v/>
      </c>
      <c r="AP59" s="33">
        <f>IF(OR($E59="",$F59=""),"",IF(AND(AP$4&lt;=$F59,AP$4+6&gt;=$E59),IF($F59-$E59&lt;=2,"◆",IF($H59="Yes","X",LEFT($D59,1))),""))</f>
        <v/>
      </c>
      <c r="AQ59" s="33">
        <f>IF(OR($E59="",$F59=""),"",IF(AND(AQ$4&lt;=$F59,AQ$4+6&gt;=$E59),IF($F59-$E59&lt;=2,"◆",IF($H59="Yes","X",LEFT($D59,1))),""))</f>
        <v/>
      </c>
      <c r="AR59" s="33">
        <f>IF(OR($E59="",$F59=""),"",IF(AND(AR$4&lt;=$F59,AR$4+6&gt;=$E59),IF($F59-$E59&lt;=2,"◆",IF($H59="Yes","X",LEFT($D59,1))),""))</f>
        <v/>
      </c>
      <c r="AS59" s="33">
        <f>IF(OR($E59="",$F59=""),"",IF(AND(AS$4&lt;=$F59,AS$4+6&gt;=$E59),IF($F59-$E59&lt;=2,"◆",IF($H59="Yes","X",LEFT($D59,1))),""))</f>
        <v/>
      </c>
      <c r="AT59" s="33">
        <f>IF(OR($E59="",$F59=""),"",IF(AND(AT$4&lt;=$F59,AT$4+6&gt;=$E59),IF($F59-$E59&lt;=2,"◆",IF($H59="Yes","X",LEFT($D59,1))),""))</f>
        <v/>
      </c>
      <c r="AU59" s="33">
        <f>IF(OR($E59="",$F59=""),"",IF(AND(AU$4&lt;=$F59,AU$4+6&gt;=$E59),IF($F59-$E59&lt;=2,"◆",IF($H59="Yes","X",LEFT($D59,1))),""))</f>
        <v/>
      </c>
      <c r="AV59" s="33">
        <f>IF(OR($E59="",$F59=""),"",IF(AND(AV$4&lt;=$F59,AV$4+6&gt;=$E59),IF($F59-$E59&lt;=2,"◆",IF($H59="Yes","X",LEFT($D59,1))),""))</f>
        <v/>
      </c>
      <c r="AW59" s="33">
        <f>IF(OR($E59="",$F59=""),"",IF(AND(AW$4&lt;=$F59,AW$4+6&gt;=$E59),IF($F59-$E59&lt;=2,"◆",IF($H59="Yes","X",LEFT($D59,1))),""))</f>
        <v/>
      </c>
      <c r="AX59" s="33">
        <f>IF(OR($E59="",$F59=""),"",IF(AND(AX$4&lt;=$F59,AX$4+6&gt;=$E59),IF($F59-$E59&lt;=2,"◆",IF($H59="Yes","X",LEFT($D59,1))),""))</f>
        <v/>
      </c>
      <c r="AY59" s="33">
        <f>IF(OR($E59="",$F59=""),"",IF(AND(AY$4&lt;=$F59,AY$4+6&gt;=$E59),IF($F59-$E59&lt;=2,"◆",IF($H59="Yes","X",LEFT($D59,1))),""))</f>
        <v/>
      </c>
      <c r="AZ59" s="33">
        <f>IF(OR($E59="",$F59=""),"",IF(AND(AZ$4&lt;=$F59,AZ$4+6&gt;=$E59),IF($F59-$E59&lt;=2,"◆",IF($H59="Yes","X",LEFT($D59,1))),""))</f>
        <v/>
      </c>
      <c r="BA59" s="33">
        <f>IF(OR($E59="",$F59=""),"",IF(AND(BA$4&lt;=$F59,BA$4+6&gt;=$E59),IF($F59-$E59&lt;=2,"◆",IF($H59="Yes","X",LEFT($D59,1))),""))</f>
        <v/>
      </c>
      <c r="BB59" s="33">
        <f>IF(OR($E59="",$F59=""),"",IF(AND(BB$4&lt;=$F59,BB$4+6&gt;=$E59),IF($F59-$E59&lt;=2,"◆",IF($H59="Yes","X",LEFT($D59,1))),""))</f>
        <v/>
      </c>
      <c r="BC59" s="33">
        <f>IF(OR($E59="",$F59=""),"",IF(AND(BC$4&lt;=$F59,BC$4+6&gt;=$E59),IF($F59-$E59&lt;=2,"◆",IF($H59="Yes","X",LEFT($D59,1))),""))</f>
        <v/>
      </c>
      <c r="BD59" s="33">
        <f>IF(OR($E59="",$F59=""),"",IF(AND(BD$4&lt;=$F59,BD$4+6&gt;=$E59),IF($F59-$E59&lt;=2,"◆",IF($H59="Yes","X",LEFT($D59,1))),""))</f>
        <v/>
      </c>
      <c r="BE59" s="33">
        <f>IF(OR($E59="",$F59=""),"",IF(AND(BE$4&lt;=$F59,BE$4+6&gt;=$E59),IF($F59-$E59&lt;=2,"◆",IF($H59="Yes","X",LEFT($D59,1))),""))</f>
        <v/>
      </c>
      <c r="BF59" s="33">
        <f>IF(OR($E59="",$F59=""),"",IF(AND(BF$4&lt;=$F59,BF$4+6&gt;=$E59),IF($F59-$E59&lt;=2,"◆",IF($H59="Yes","X",LEFT($D59,1))),""))</f>
        <v/>
      </c>
      <c r="BG59" s="33">
        <f>IF(OR($E59="",$F59=""),"",IF(AND(BG$4&lt;=$F59,BG$4+6&gt;=$E59),IF($F59-$E59&lt;=2,"◆",IF($H59="Yes","X",LEFT($D59,1))),""))</f>
        <v/>
      </c>
      <c r="BH59" s="33">
        <f>IF(OR($E59="",$F59=""),"",IF(AND(BH$4&lt;=$F59,BH$4+6&gt;=$E59),IF($F59-$E59&lt;=2,"◆",IF($H59="Yes","X",LEFT($D59,1))),""))</f>
        <v/>
      </c>
      <c r="BI59" s="33">
        <f>IF(OR($E59="",$F59=""),"",IF(AND(BI$4&lt;=$F59,BI$4+6&gt;=$E59),IF($F59-$E59&lt;=2,"◆",IF($H59="Yes","X",LEFT($D59,1))),""))</f>
        <v/>
      </c>
    </row>
    <row r="60">
      <c r="A60" s="30" t="inlineStr">
        <is>
          <t>T-056</t>
        </is>
      </c>
      <c r="B60" s="30" t="inlineStr">
        <is>
          <t>Release Based Feature Documentation</t>
        </is>
      </c>
      <c r="C60" s="30" t="inlineStr">
        <is>
          <t>Jawahar</t>
        </is>
      </c>
      <c r="D60" s="30" t="inlineStr">
        <is>
          <t>Not Started</t>
        </is>
      </c>
      <c r="E60" s="31" t="n">
        <v>46365</v>
      </c>
      <c r="F60" s="31" t="n">
        <v>46370</v>
      </c>
      <c r="G60" s="32" t="n">
        <v>0</v>
      </c>
      <c r="H60" s="30" t="inlineStr">
        <is>
          <t>No</t>
        </is>
      </c>
      <c r="I60" s="33">
        <f>IF(OR($E60="",$F60=""),"",IF(AND(I$4&lt;=$F60,I$4+6&gt;=$E60),IF($F60-$E60&lt;=2,"◆",IF($H60="Yes","X",LEFT($D60,1))),""))</f>
        <v/>
      </c>
      <c r="J60" s="33">
        <f>IF(OR($E60="",$F60=""),"",IF(AND(J$4&lt;=$F60,J$4+6&gt;=$E60),IF($F60-$E60&lt;=2,"◆",IF($H60="Yes","X",LEFT($D60,1))),""))</f>
        <v/>
      </c>
      <c r="K60" s="33">
        <f>IF(OR($E60="",$F60=""),"",IF(AND(K$4&lt;=$F60,K$4+6&gt;=$E60),IF($F60-$E60&lt;=2,"◆",IF($H60="Yes","X",LEFT($D60,1))),""))</f>
        <v/>
      </c>
      <c r="L60" s="33">
        <f>IF(OR($E60="",$F60=""),"",IF(AND(L$4&lt;=$F60,L$4+6&gt;=$E60),IF($F60-$E60&lt;=2,"◆",IF($H60="Yes","X",LEFT($D60,1))),""))</f>
        <v/>
      </c>
      <c r="M60" s="33">
        <f>IF(OR($E60="",$F60=""),"",IF(AND(M$4&lt;=$F60,M$4+6&gt;=$E60),IF($F60-$E60&lt;=2,"◆",IF($H60="Yes","X",LEFT($D60,1))),""))</f>
        <v/>
      </c>
      <c r="N60" s="33">
        <f>IF(OR($E60="",$F60=""),"",IF(AND(N$4&lt;=$F60,N$4+6&gt;=$E60),IF($F60-$E60&lt;=2,"◆",IF($H60="Yes","X",LEFT($D60,1))),""))</f>
        <v/>
      </c>
      <c r="O60" s="33">
        <f>IF(OR($E60="",$F60=""),"",IF(AND(O$4&lt;=$F60,O$4+6&gt;=$E60),IF($F60-$E60&lt;=2,"◆",IF($H60="Yes","X",LEFT($D60,1))),""))</f>
        <v/>
      </c>
      <c r="P60" s="33">
        <f>IF(OR($E60="",$F60=""),"",IF(AND(P$4&lt;=$F60,P$4+6&gt;=$E60),IF($F60-$E60&lt;=2,"◆",IF($H60="Yes","X",LEFT($D60,1))),""))</f>
        <v/>
      </c>
      <c r="Q60" s="33">
        <f>IF(OR($E60="",$F60=""),"",IF(AND(Q$4&lt;=$F60,Q$4+6&gt;=$E60),IF($F60-$E60&lt;=2,"◆",IF($H60="Yes","X",LEFT($D60,1))),""))</f>
        <v/>
      </c>
      <c r="R60" s="33">
        <f>IF(OR($E60="",$F60=""),"",IF(AND(R$4&lt;=$F60,R$4+6&gt;=$E60),IF($F60-$E60&lt;=2,"◆",IF($H60="Yes","X",LEFT($D60,1))),""))</f>
        <v/>
      </c>
      <c r="S60" s="33">
        <f>IF(OR($E60="",$F60=""),"",IF(AND(S$4&lt;=$F60,S$4+6&gt;=$E60),IF($F60-$E60&lt;=2,"◆",IF($H60="Yes","X",LEFT($D60,1))),""))</f>
        <v/>
      </c>
      <c r="T60" s="33">
        <f>IF(OR($E60="",$F60=""),"",IF(AND(T$4&lt;=$F60,T$4+6&gt;=$E60),IF($F60-$E60&lt;=2,"◆",IF($H60="Yes","X",LEFT($D60,1))),""))</f>
        <v/>
      </c>
      <c r="U60" s="33">
        <f>IF(OR($E60="",$F60=""),"",IF(AND(U$4&lt;=$F60,U$4+6&gt;=$E60),IF($F60-$E60&lt;=2,"◆",IF($H60="Yes","X",LEFT($D60,1))),""))</f>
        <v/>
      </c>
      <c r="V60" s="33">
        <f>IF(OR($E60="",$F60=""),"",IF(AND(V$4&lt;=$F60,V$4+6&gt;=$E60),IF($F60-$E60&lt;=2,"◆",IF($H60="Yes","X",LEFT($D60,1))),""))</f>
        <v/>
      </c>
      <c r="W60" s="33">
        <f>IF(OR($E60="",$F60=""),"",IF(AND(W$4&lt;=$F60,W$4+6&gt;=$E60),IF($F60-$E60&lt;=2,"◆",IF($H60="Yes","X",LEFT($D60,1))),""))</f>
        <v/>
      </c>
      <c r="X60" s="33">
        <f>IF(OR($E60="",$F60=""),"",IF(AND(X$4&lt;=$F60,X$4+6&gt;=$E60),IF($F60-$E60&lt;=2,"◆",IF($H60="Yes","X",LEFT($D60,1))),""))</f>
        <v/>
      </c>
      <c r="Y60" s="33">
        <f>IF(OR($E60="",$F60=""),"",IF(AND(Y$4&lt;=$F60,Y$4+6&gt;=$E60),IF($F60-$E60&lt;=2,"◆",IF($H60="Yes","X",LEFT($D60,1))),""))</f>
        <v/>
      </c>
      <c r="Z60" s="33">
        <f>IF(OR($E60="",$F60=""),"",IF(AND(Z$4&lt;=$F60,Z$4+6&gt;=$E60),IF($F60-$E60&lt;=2,"◆",IF($H60="Yes","X",LEFT($D60,1))),""))</f>
        <v/>
      </c>
      <c r="AA60" s="33">
        <f>IF(OR($E60="",$F60=""),"",IF(AND(AA$4&lt;=$F60,AA$4+6&gt;=$E60),IF($F60-$E60&lt;=2,"◆",IF($H60="Yes","X",LEFT($D60,1))),""))</f>
        <v/>
      </c>
      <c r="AB60" s="33">
        <f>IF(OR($E60="",$F60=""),"",IF(AND(AB$4&lt;=$F60,AB$4+6&gt;=$E60),IF($F60-$E60&lt;=2,"◆",IF($H60="Yes","X",LEFT($D60,1))),""))</f>
        <v/>
      </c>
      <c r="AC60" s="33">
        <f>IF(OR($E60="",$F60=""),"",IF(AND(AC$4&lt;=$F60,AC$4+6&gt;=$E60),IF($F60-$E60&lt;=2,"◆",IF($H60="Yes","X",LEFT($D60,1))),""))</f>
        <v/>
      </c>
      <c r="AD60" s="33">
        <f>IF(OR($E60="",$F60=""),"",IF(AND(AD$4&lt;=$F60,AD$4+6&gt;=$E60),IF($F60-$E60&lt;=2,"◆",IF($H60="Yes","X",LEFT($D60,1))),""))</f>
        <v/>
      </c>
      <c r="AE60" s="33">
        <f>IF(OR($E60="",$F60=""),"",IF(AND(AE$4&lt;=$F60,AE$4+6&gt;=$E60),IF($F60-$E60&lt;=2,"◆",IF($H60="Yes","X",LEFT($D60,1))),""))</f>
        <v/>
      </c>
      <c r="AF60" s="33">
        <f>IF(OR($E60="",$F60=""),"",IF(AND(AF$4&lt;=$F60,AF$4+6&gt;=$E60),IF($F60-$E60&lt;=2,"◆",IF($H60="Yes","X",LEFT($D60,1))),""))</f>
        <v/>
      </c>
      <c r="AG60" s="33">
        <f>IF(OR($E60="",$F60=""),"",IF(AND(AG$4&lt;=$F60,AG$4+6&gt;=$E60),IF($F60-$E60&lt;=2,"◆",IF($H60="Yes","X",LEFT($D60,1))),""))</f>
        <v/>
      </c>
      <c r="AH60" s="33">
        <f>IF(OR($E60="",$F60=""),"",IF(AND(AH$4&lt;=$F60,AH$4+6&gt;=$E60),IF($F60-$E60&lt;=2,"◆",IF($H60="Yes","X",LEFT($D60,1))),""))</f>
        <v/>
      </c>
      <c r="AI60" s="33">
        <f>IF(OR($E60="",$F60=""),"",IF(AND(AI$4&lt;=$F60,AI$4+6&gt;=$E60),IF($F60-$E60&lt;=2,"◆",IF($H60="Yes","X",LEFT($D60,1))),""))</f>
        <v/>
      </c>
      <c r="AJ60" s="33">
        <f>IF(OR($E60="",$F60=""),"",IF(AND(AJ$4&lt;=$F60,AJ$4+6&gt;=$E60),IF($F60-$E60&lt;=2,"◆",IF($H60="Yes","X",LEFT($D60,1))),""))</f>
        <v/>
      </c>
      <c r="AK60" s="33">
        <f>IF(OR($E60="",$F60=""),"",IF(AND(AK$4&lt;=$F60,AK$4+6&gt;=$E60),IF($F60-$E60&lt;=2,"◆",IF($H60="Yes","X",LEFT($D60,1))),""))</f>
        <v/>
      </c>
      <c r="AL60" s="33">
        <f>IF(OR($E60="",$F60=""),"",IF(AND(AL$4&lt;=$F60,AL$4+6&gt;=$E60),IF($F60-$E60&lt;=2,"◆",IF($H60="Yes","X",LEFT($D60,1))),""))</f>
        <v/>
      </c>
      <c r="AM60" s="33">
        <f>IF(OR($E60="",$F60=""),"",IF(AND(AM$4&lt;=$F60,AM$4+6&gt;=$E60),IF($F60-$E60&lt;=2,"◆",IF($H60="Yes","X",LEFT($D60,1))),""))</f>
        <v/>
      </c>
      <c r="AN60" s="33">
        <f>IF(OR($E60="",$F60=""),"",IF(AND(AN$4&lt;=$F60,AN$4+6&gt;=$E60),IF($F60-$E60&lt;=2,"◆",IF($H60="Yes","X",LEFT($D60,1))),""))</f>
        <v/>
      </c>
      <c r="AO60" s="33">
        <f>IF(OR($E60="",$F60=""),"",IF(AND(AO$4&lt;=$F60,AO$4+6&gt;=$E60),IF($F60-$E60&lt;=2,"◆",IF($H60="Yes","X",LEFT($D60,1))),""))</f>
        <v/>
      </c>
      <c r="AP60" s="33">
        <f>IF(OR($E60="",$F60=""),"",IF(AND(AP$4&lt;=$F60,AP$4+6&gt;=$E60),IF($F60-$E60&lt;=2,"◆",IF($H60="Yes","X",LEFT($D60,1))),""))</f>
        <v/>
      </c>
      <c r="AQ60" s="33">
        <f>IF(OR($E60="",$F60=""),"",IF(AND(AQ$4&lt;=$F60,AQ$4+6&gt;=$E60),IF($F60-$E60&lt;=2,"◆",IF($H60="Yes","X",LEFT($D60,1))),""))</f>
        <v/>
      </c>
      <c r="AR60" s="33">
        <f>IF(OR($E60="",$F60=""),"",IF(AND(AR$4&lt;=$F60,AR$4+6&gt;=$E60),IF($F60-$E60&lt;=2,"◆",IF($H60="Yes","X",LEFT($D60,1))),""))</f>
        <v/>
      </c>
      <c r="AS60" s="33">
        <f>IF(OR($E60="",$F60=""),"",IF(AND(AS$4&lt;=$F60,AS$4+6&gt;=$E60),IF($F60-$E60&lt;=2,"◆",IF($H60="Yes","X",LEFT($D60,1))),""))</f>
        <v/>
      </c>
      <c r="AT60" s="33">
        <f>IF(OR($E60="",$F60=""),"",IF(AND(AT$4&lt;=$F60,AT$4+6&gt;=$E60),IF($F60-$E60&lt;=2,"◆",IF($H60="Yes","X",LEFT($D60,1))),""))</f>
        <v/>
      </c>
      <c r="AU60" s="33">
        <f>IF(OR($E60="",$F60=""),"",IF(AND(AU$4&lt;=$F60,AU$4+6&gt;=$E60),IF($F60-$E60&lt;=2,"◆",IF($H60="Yes","X",LEFT($D60,1))),""))</f>
        <v/>
      </c>
      <c r="AV60" s="33">
        <f>IF(OR($E60="",$F60=""),"",IF(AND(AV$4&lt;=$F60,AV$4+6&gt;=$E60),IF($F60-$E60&lt;=2,"◆",IF($H60="Yes","X",LEFT($D60,1))),""))</f>
        <v/>
      </c>
      <c r="AW60" s="33">
        <f>IF(OR($E60="",$F60=""),"",IF(AND(AW$4&lt;=$F60,AW$4+6&gt;=$E60),IF($F60-$E60&lt;=2,"◆",IF($H60="Yes","X",LEFT($D60,1))),""))</f>
        <v/>
      </c>
      <c r="AX60" s="33">
        <f>IF(OR($E60="",$F60=""),"",IF(AND(AX$4&lt;=$F60,AX$4+6&gt;=$E60),IF($F60-$E60&lt;=2,"◆",IF($H60="Yes","X",LEFT($D60,1))),""))</f>
        <v/>
      </c>
      <c r="AY60" s="33">
        <f>IF(OR($E60="",$F60=""),"",IF(AND(AY$4&lt;=$F60,AY$4+6&gt;=$E60),IF($F60-$E60&lt;=2,"◆",IF($H60="Yes","X",LEFT($D60,1))),""))</f>
        <v/>
      </c>
      <c r="AZ60" s="33">
        <f>IF(OR($E60="",$F60=""),"",IF(AND(AZ$4&lt;=$F60,AZ$4+6&gt;=$E60),IF($F60-$E60&lt;=2,"◆",IF($H60="Yes","X",LEFT($D60,1))),""))</f>
        <v/>
      </c>
      <c r="BA60" s="33">
        <f>IF(OR($E60="",$F60=""),"",IF(AND(BA$4&lt;=$F60,BA$4+6&gt;=$E60),IF($F60-$E60&lt;=2,"◆",IF($H60="Yes","X",LEFT($D60,1))),""))</f>
        <v/>
      </c>
      <c r="BB60" s="33">
        <f>IF(OR($E60="",$F60=""),"",IF(AND(BB$4&lt;=$F60,BB$4+6&gt;=$E60),IF($F60-$E60&lt;=2,"◆",IF($H60="Yes","X",LEFT($D60,1))),""))</f>
        <v/>
      </c>
      <c r="BC60" s="33">
        <f>IF(OR($E60="",$F60=""),"",IF(AND(BC$4&lt;=$F60,BC$4+6&gt;=$E60),IF($F60-$E60&lt;=2,"◆",IF($H60="Yes","X",LEFT($D60,1))),""))</f>
        <v/>
      </c>
      <c r="BD60" s="33">
        <f>IF(OR($E60="",$F60=""),"",IF(AND(BD$4&lt;=$F60,BD$4+6&gt;=$E60),IF($F60-$E60&lt;=2,"◆",IF($H60="Yes","X",LEFT($D60,1))),""))</f>
        <v/>
      </c>
      <c r="BE60" s="33">
        <f>IF(OR($E60="",$F60=""),"",IF(AND(BE$4&lt;=$F60,BE$4+6&gt;=$E60),IF($F60-$E60&lt;=2,"◆",IF($H60="Yes","X",LEFT($D60,1))),""))</f>
        <v/>
      </c>
      <c r="BF60" s="33">
        <f>IF(OR($E60="",$F60=""),"",IF(AND(BF$4&lt;=$F60,BF$4+6&gt;=$E60),IF($F60-$E60&lt;=2,"◆",IF($H60="Yes","X",LEFT($D60,1))),""))</f>
        <v/>
      </c>
      <c r="BG60" s="33">
        <f>IF(OR($E60="",$F60=""),"",IF(AND(BG$4&lt;=$F60,BG$4+6&gt;=$E60),IF($F60-$E60&lt;=2,"◆",IF($H60="Yes","X",LEFT($D60,1))),""))</f>
        <v/>
      </c>
      <c r="BH60" s="33">
        <f>IF(OR($E60="",$F60=""),"",IF(AND(BH$4&lt;=$F60,BH$4+6&gt;=$E60),IF($F60-$E60&lt;=2,"◆",IF($H60="Yes","X",LEFT($D60,1))),""))</f>
        <v/>
      </c>
      <c r="BI60" s="33">
        <f>IF(OR($E60="",$F60=""),"",IF(AND(BI$4&lt;=$F60,BI$4+6&gt;=$E60),IF($F60-$E60&lt;=2,"◆",IF($H60="Yes","X",LEFT($D60,1))),""))</f>
        <v/>
      </c>
    </row>
    <row r="61">
      <c r="A61" s="30" t="inlineStr">
        <is>
          <t>T-057</t>
        </is>
      </c>
      <c r="B61" s="30" t="inlineStr">
        <is>
          <t>Monthly Library Upgrade Assessment and Remediation Across Services</t>
        </is>
      </c>
      <c r="C61" s="30" t="inlineStr">
        <is>
          <t>Jawahar</t>
        </is>
      </c>
      <c r="D61" s="30" t="inlineStr">
        <is>
          <t>Not Started</t>
        </is>
      </c>
      <c r="E61" s="31" t="n">
        <v>46298</v>
      </c>
      <c r="F61" s="31" t="n">
        <v>46302</v>
      </c>
      <c r="G61" s="32" t="n">
        <v>0</v>
      </c>
      <c r="H61" s="30" t="inlineStr">
        <is>
          <t>No</t>
        </is>
      </c>
      <c r="I61" s="33">
        <f>IF(OR($E61="",$F61=""),"",IF(AND(I$4&lt;=$F61,I$4+6&gt;=$E61),IF($F61-$E61&lt;=2,"◆",IF($H61="Yes","X",LEFT($D61,1))),""))</f>
        <v/>
      </c>
      <c r="J61" s="33">
        <f>IF(OR($E61="",$F61=""),"",IF(AND(J$4&lt;=$F61,J$4+6&gt;=$E61),IF($F61-$E61&lt;=2,"◆",IF($H61="Yes","X",LEFT($D61,1))),""))</f>
        <v/>
      </c>
      <c r="K61" s="33">
        <f>IF(OR($E61="",$F61=""),"",IF(AND(K$4&lt;=$F61,K$4+6&gt;=$E61),IF($F61-$E61&lt;=2,"◆",IF($H61="Yes","X",LEFT($D61,1))),""))</f>
        <v/>
      </c>
      <c r="L61" s="33">
        <f>IF(OR($E61="",$F61=""),"",IF(AND(L$4&lt;=$F61,L$4+6&gt;=$E61),IF($F61-$E61&lt;=2,"◆",IF($H61="Yes","X",LEFT($D61,1))),""))</f>
        <v/>
      </c>
      <c r="M61" s="33">
        <f>IF(OR($E61="",$F61=""),"",IF(AND(M$4&lt;=$F61,M$4+6&gt;=$E61),IF($F61-$E61&lt;=2,"◆",IF($H61="Yes","X",LEFT($D61,1))),""))</f>
        <v/>
      </c>
      <c r="N61" s="33">
        <f>IF(OR($E61="",$F61=""),"",IF(AND(N$4&lt;=$F61,N$4+6&gt;=$E61),IF($F61-$E61&lt;=2,"◆",IF($H61="Yes","X",LEFT($D61,1))),""))</f>
        <v/>
      </c>
      <c r="O61" s="33">
        <f>IF(OR($E61="",$F61=""),"",IF(AND(O$4&lt;=$F61,O$4+6&gt;=$E61),IF($F61-$E61&lt;=2,"◆",IF($H61="Yes","X",LEFT($D61,1))),""))</f>
        <v/>
      </c>
      <c r="P61" s="33">
        <f>IF(OR($E61="",$F61=""),"",IF(AND(P$4&lt;=$F61,P$4+6&gt;=$E61),IF($F61-$E61&lt;=2,"◆",IF($H61="Yes","X",LEFT($D61,1))),""))</f>
        <v/>
      </c>
      <c r="Q61" s="33">
        <f>IF(OR($E61="",$F61=""),"",IF(AND(Q$4&lt;=$F61,Q$4+6&gt;=$E61),IF($F61-$E61&lt;=2,"◆",IF($H61="Yes","X",LEFT($D61,1))),""))</f>
        <v/>
      </c>
      <c r="R61" s="33">
        <f>IF(OR($E61="",$F61=""),"",IF(AND(R$4&lt;=$F61,R$4+6&gt;=$E61),IF($F61-$E61&lt;=2,"◆",IF($H61="Yes","X",LEFT($D61,1))),""))</f>
        <v/>
      </c>
      <c r="S61" s="33">
        <f>IF(OR($E61="",$F61=""),"",IF(AND(S$4&lt;=$F61,S$4+6&gt;=$E61),IF($F61-$E61&lt;=2,"◆",IF($H61="Yes","X",LEFT($D61,1))),""))</f>
        <v/>
      </c>
      <c r="T61" s="33">
        <f>IF(OR($E61="",$F61=""),"",IF(AND(T$4&lt;=$F61,T$4+6&gt;=$E61),IF($F61-$E61&lt;=2,"◆",IF($H61="Yes","X",LEFT($D61,1))),""))</f>
        <v/>
      </c>
      <c r="U61" s="33">
        <f>IF(OR($E61="",$F61=""),"",IF(AND(U$4&lt;=$F61,U$4+6&gt;=$E61),IF($F61-$E61&lt;=2,"◆",IF($H61="Yes","X",LEFT($D61,1))),""))</f>
        <v/>
      </c>
      <c r="V61" s="33">
        <f>IF(OR($E61="",$F61=""),"",IF(AND(V$4&lt;=$F61,V$4+6&gt;=$E61),IF($F61-$E61&lt;=2,"◆",IF($H61="Yes","X",LEFT($D61,1))),""))</f>
        <v/>
      </c>
      <c r="W61" s="33">
        <f>IF(OR($E61="",$F61=""),"",IF(AND(W$4&lt;=$F61,W$4+6&gt;=$E61),IF($F61-$E61&lt;=2,"◆",IF($H61="Yes","X",LEFT($D61,1))),""))</f>
        <v/>
      </c>
      <c r="X61" s="33">
        <f>IF(OR($E61="",$F61=""),"",IF(AND(X$4&lt;=$F61,X$4+6&gt;=$E61),IF($F61-$E61&lt;=2,"◆",IF($H61="Yes","X",LEFT($D61,1))),""))</f>
        <v/>
      </c>
      <c r="Y61" s="33">
        <f>IF(OR($E61="",$F61=""),"",IF(AND(Y$4&lt;=$F61,Y$4+6&gt;=$E61),IF($F61-$E61&lt;=2,"◆",IF($H61="Yes","X",LEFT($D61,1))),""))</f>
        <v/>
      </c>
      <c r="Z61" s="33">
        <f>IF(OR($E61="",$F61=""),"",IF(AND(Z$4&lt;=$F61,Z$4+6&gt;=$E61),IF($F61-$E61&lt;=2,"◆",IF($H61="Yes","X",LEFT($D61,1))),""))</f>
        <v/>
      </c>
      <c r="AA61" s="33">
        <f>IF(OR($E61="",$F61=""),"",IF(AND(AA$4&lt;=$F61,AA$4+6&gt;=$E61),IF($F61-$E61&lt;=2,"◆",IF($H61="Yes","X",LEFT($D61,1))),""))</f>
        <v/>
      </c>
      <c r="AB61" s="33">
        <f>IF(OR($E61="",$F61=""),"",IF(AND(AB$4&lt;=$F61,AB$4+6&gt;=$E61),IF($F61-$E61&lt;=2,"◆",IF($H61="Yes","X",LEFT($D61,1))),""))</f>
        <v/>
      </c>
      <c r="AC61" s="33">
        <f>IF(OR($E61="",$F61=""),"",IF(AND(AC$4&lt;=$F61,AC$4+6&gt;=$E61),IF($F61-$E61&lt;=2,"◆",IF($H61="Yes","X",LEFT($D61,1))),""))</f>
        <v/>
      </c>
      <c r="AD61" s="33">
        <f>IF(OR($E61="",$F61=""),"",IF(AND(AD$4&lt;=$F61,AD$4+6&gt;=$E61),IF($F61-$E61&lt;=2,"◆",IF($H61="Yes","X",LEFT($D61,1))),""))</f>
        <v/>
      </c>
      <c r="AE61" s="33">
        <f>IF(OR($E61="",$F61=""),"",IF(AND(AE$4&lt;=$F61,AE$4+6&gt;=$E61),IF($F61-$E61&lt;=2,"◆",IF($H61="Yes","X",LEFT($D61,1))),""))</f>
        <v/>
      </c>
      <c r="AF61" s="33">
        <f>IF(OR($E61="",$F61=""),"",IF(AND(AF$4&lt;=$F61,AF$4+6&gt;=$E61),IF($F61-$E61&lt;=2,"◆",IF($H61="Yes","X",LEFT($D61,1))),""))</f>
        <v/>
      </c>
      <c r="AG61" s="33">
        <f>IF(OR($E61="",$F61=""),"",IF(AND(AG$4&lt;=$F61,AG$4+6&gt;=$E61),IF($F61-$E61&lt;=2,"◆",IF($H61="Yes","X",LEFT($D61,1))),""))</f>
        <v/>
      </c>
      <c r="AH61" s="33">
        <f>IF(OR($E61="",$F61=""),"",IF(AND(AH$4&lt;=$F61,AH$4+6&gt;=$E61),IF($F61-$E61&lt;=2,"◆",IF($H61="Yes","X",LEFT($D61,1))),""))</f>
        <v/>
      </c>
      <c r="AI61" s="33">
        <f>IF(OR($E61="",$F61=""),"",IF(AND(AI$4&lt;=$F61,AI$4+6&gt;=$E61),IF($F61-$E61&lt;=2,"◆",IF($H61="Yes","X",LEFT($D61,1))),""))</f>
        <v/>
      </c>
      <c r="AJ61" s="33">
        <f>IF(OR($E61="",$F61=""),"",IF(AND(AJ$4&lt;=$F61,AJ$4+6&gt;=$E61),IF($F61-$E61&lt;=2,"◆",IF($H61="Yes","X",LEFT($D61,1))),""))</f>
        <v/>
      </c>
      <c r="AK61" s="33">
        <f>IF(OR($E61="",$F61=""),"",IF(AND(AK$4&lt;=$F61,AK$4+6&gt;=$E61),IF($F61-$E61&lt;=2,"◆",IF($H61="Yes","X",LEFT($D61,1))),""))</f>
        <v/>
      </c>
      <c r="AL61" s="33">
        <f>IF(OR($E61="",$F61=""),"",IF(AND(AL$4&lt;=$F61,AL$4+6&gt;=$E61),IF($F61-$E61&lt;=2,"◆",IF($H61="Yes","X",LEFT($D61,1))),""))</f>
        <v/>
      </c>
      <c r="AM61" s="33">
        <f>IF(OR($E61="",$F61=""),"",IF(AND(AM$4&lt;=$F61,AM$4+6&gt;=$E61),IF($F61-$E61&lt;=2,"◆",IF($H61="Yes","X",LEFT($D61,1))),""))</f>
        <v/>
      </c>
      <c r="AN61" s="33">
        <f>IF(OR($E61="",$F61=""),"",IF(AND(AN$4&lt;=$F61,AN$4+6&gt;=$E61),IF($F61-$E61&lt;=2,"◆",IF($H61="Yes","X",LEFT($D61,1))),""))</f>
        <v/>
      </c>
      <c r="AO61" s="33">
        <f>IF(OR($E61="",$F61=""),"",IF(AND(AO$4&lt;=$F61,AO$4+6&gt;=$E61),IF($F61-$E61&lt;=2,"◆",IF($H61="Yes","X",LEFT($D61,1))),""))</f>
        <v/>
      </c>
      <c r="AP61" s="33">
        <f>IF(OR($E61="",$F61=""),"",IF(AND(AP$4&lt;=$F61,AP$4+6&gt;=$E61),IF($F61-$E61&lt;=2,"◆",IF($H61="Yes","X",LEFT($D61,1))),""))</f>
        <v/>
      </c>
      <c r="AQ61" s="33">
        <f>IF(OR($E61="",$F61=""),"",IF(AND(AQ$4&lt;=$F61,AQ$4+6&gt;=$E61),IF($F61-$E61&lt;=2,"◆",IF($H61="Yes","X",LEFT($D61,1))),""))</f>
        <v/>
      </c>
      <c r="AR61" s="33">
        <f>IF(OR($E61="",$F61=""),"",IF(AND(AR$4&lt;=$F61,AR$4+6&gt;=$E61),IF($F61-$E61&lt;=2,"◆",IF($H61="Yes","X",LEFT($D61,1))),""))</f>
        <v/>
      </c>
      <c r="AS61" s="33">
        <f>IF(OR($E61="",$F61=""),"",IF(AND(AS$4&lt;=$F61,AS$4+6&gt;=$E61),IF($F61-$E61&lt;=2,"◆",IF($H61="Yes","X",LEFT($D61,1))),""))</f>
        <v/>
      </c>
      <c r="AT61" s="33">
        <f>IF(OR($E61="",$F61=""),"",IF(AND(AT$4&lt;=$F61,AT$4+6&gt;=$E61),IF($F61-$E61&lt;=2,"◆",IF($H61="Yes","X",LEFT($D61,1))),""))</f>
        <v/>
      </c>
      <c r="AU61" s="33">
        <f>IF(OR($E61="",$F61=""),"",IF(AND(AU$4&lt;=$F61,AU$4+6&gt;=$E61),IF($F61-$E61&lt;=2,"◆",IF($H61="Yes","X",LEFT($D61,1))),""))</f>
        <v/>
      </c>
      <c r="AV61" s="33">
        <f>IF(OR($E61="",$F61=""),"",IF(AND(AV$4&lt;=$F61,AV$4+6&gt;=$E61),IF($F61-$E61&lt;=2,"◆",IF($H61="Yes","X",LEFT($D61,1))),""))</f>
        <v/>
      </c>
      <c r="AW61" s="33">
        <f>IF(OR($E61="",$F61=""),"",IF(AND(AW$4&lt;=$F61,AW$4+6&gt;=$E61),IF($F61-$E61&lt;=2,"◆",IF($H61="Yes","X",LEFT($D61,1))),""))</f>
        <v/>
      </c>
      <c r="AX61" s="33">
        <f>IF(OR($E61="",$F61=""),"",IF(AND(AX$4&lt;=$F61,AX$4+6&gt;=$E61),IF($F61-$E61&lt;=2,"◆",IF($H61="Yes","X",LEFT($D61,1))),""))</f>
        <v/>
      </c>
      <c r="AY61" s="33">
        <f>IF(OR($E61="",$F61=""),"",IF(AND(AY$4&lt;=$F61,AY$4+6&gt;=$E61),IF($F61-$E61&lt;=2,"◆",IF($H61="Yes","X",LEFT($D61,1))),""))</f>
        <v/>
      </c>
      <c r="AZ61" s="33">
        <f>IF(OR($E61="",$F61=""),"",IF(AND(AZ$4&lt;=$F61,AZ$4+6&gt;=$E61),IF($F61-$E61&lt;=2,"◆",IF($H61="Yes","X",LEFT($D61,1))),""))</f>
        <v/>
      </c>
      <c r="BA61" s="33">
        <f>IF(OR($E61="",$F61=""),"",IF(AND(BA$4&lt;=$F61,BA$4+6&gt;=$E61),IF($F61-$E61&lt;=2,"◆",IF($H61="Yes","X",LEFT($D61,1))),""))</f>
        <v/>
      </c>
      <c r="BB61" s="33">
        <f>IF(OR($E61="",$F61=""),"",IF(AND(BB$4&lt;=$F61,BB$4+6&gt;=$E61),IF($F61-$E61&lt;=2,"◆",IF($H61="Yes","X",LEFT($D61,1))),""))</f>
        <v/>
      </c>
      <c r="BC61" s="33">
        <f>IF(OR($E61="",$F61=""),"",IF(AND(BC$4&lt;=$F61,BC$4+6&gt;=$E61),IF($F61-$E61&lt;=2,"◆",IF($H61="Yes","X",LEFT($D61,1))),""))</f>
        <v/>
      </c>
      <c r="BD61" s="33">
        <f>IF(OR($E61="",$F61=""),"",IF(AND(BD$4&lt;=$F61,BD$4+6&gt;=$E61),IF($F61-$E61&lt;=2,"◆",IF($H61="Yes","X",LEFT($D61,1))),""))</f>
        <v/>
      </c>
      <c r="BE61" s="33">
        <f>IF(OR($E61="",$F61=""),"",IF(AND(BE$4&lt;=$F61,BE$4+6&gt;=$E61),IF($F61-$E61&lt;=2,"◆",IF($H61="Yes","X",LEFT($D61,1))),""))</f>
        <v/>
      </c>
      <c r="BF61" s="33">
        <f>IF(OR($E61="",$F61=""),"",IF(AND(BF$4&lt;=$F61,BF$4+6&gt;=$E61),IF($F61-$E61&lt;=2,"◆",IF($H61="Yes","X",LEFT($D61,1))),""))</f>
        <v/>
      </c>
      <c r="BG61" s="33">
        <f>IF(OR($E61="",$F61=""),"",IF(AND(BG$4&lt;=$F61,BG$4+6&gt;=$E61),IF($F61-$E61&lt;=2,"◆",IF($H61="Yes","X",LEFT($D61,1))),""))</f>
        <v/>
      </c>
      <c r="BH61" s="33">
        <f>IF(OR($E61="",$F61=""),"",IF(AND(BH$4&lt;=$F61,BH$4+6&gt;=$E61),IF($F61-$E61&lt;=2,"◆",IF($H61="Yes","X",LEFT($D61,1))),""))</f>
        <v/>
      </c>
      <c r="BI61" s="33">
        <f>IF(OR($E61="",$F61=""),"",IF(AND(BI$4&lt;=$F61,BI$4+6&gt;=$E61),IF($F61-$E61&lt;=2,"◆",IF($H61="Yes","X",LEFT($D61,1))),""))</f>
        <v/>
      </c>
    </row>
    <row r="62">
      <c r="A62" s="30" t="inlineStr">
        <is>
          <t>T-058</t>
        </is>
      </c>
      <c r="B62" s="30" t="inlineStr">
        <is>
          <t>Cloud Usage Chargeback Model, Monthly Tenant-Level Allocation</t>
        </is>
      </c>
      <c r="C62" s="30" t="inlineStr">
        <is>
          <t>Jawahar</t>
        </is>
      </c>
      <c r="D62" s="30" t="inlineStr">
        <is>
          <t>Not Started</t>
        </is>
      </c>
      <c r="E62" s="31" t="n">
        <v>46319</v>
      </c>
      <c r="F62" s="31" t="n">
        <v>46323</v>
      </c>
      <c r="G62" s="32" t="n">
        <v>0</v>
      </c>
      <c r="H62" s="30" t="inlineStr">
        <is>
          <t>No</t>
        </is>
      </c>
      <c r="I62" s="33">
        <f>IF(OR($E62="",$F62=""),"",IF(AND(I$4&lt;=$F62,I$4+6&gt;=$E62),IF($F62-$E62&lt;=2,"◆",IF($H62="Yes","X",LEFT($D62,1))),""))</f>
        <v/>
      </c>
      <c r="J62" s="33">
        <f>IF(OR($E62="",$F62=""),"",IF(AND(J$4&lt;=$F62,J$4+6&gt;=$E62),IF($F62-$E62&lt;=2,"◆",IF($H62="Yes","X",LEFT($D62,1))),""))</f>
        <v/>
      </c>
      <c r="K62" s="33">
        <f>IF(OR($E62="",$F62=""),"",IF(AND(K$4&lt;=$F62,K$4+6&gt;=$E62),IF($F62-$E62&lt;=2,"◆",IF($H62="Yes","X",LEFT($D62,1))),""))</f>
        <v/>
      </c>
      <c r="L62" s="33">
        <f>IF(OR($E62="",$F62=""),"",IF(AND(L$4&lt;=$F62,L$4+6&gt;=$E62),IF($F62-$E62&lt;=2,"◆",IF($H62="Yes","X",LEFT($D62,1))),""))</f>
        <v/>
      </c>
      <c r="M62" s="33">
        <f>IF(OR($E62="",$F62=""),"",IF(AND(M$4&lt;=$F62,M$4+6&gt;=$E62),IF($F62-$E62&lt;=2,"◆",IF($H62="Yes","X",LEFT($D62,1))),""))</f>
        <v/>
      </c>
      <c r="N62" s="33">
        <f>IF(OR($E62="",$F62=""),"",IF(AND(N$4&lt;=$F62,N$4+6&gt;=$E62),IF($F62-$E62&lt;=2,"◆",IF($H62="Yes","X",LEFT($D62,1))),""))</f>
        <v/>
      </c>
      <c r="O62" s="33">
        <f>IF(OR($E62="",$F62=""),"",IF(AND(O$4&lt;=$F62,O$4+6&gt;=$E62),IF($F62-$E62&lt;=2,"◆",IF($H62="Yes","X",LEFT($D62,1))),""))</f>
        <v/>
      </c>
      <c r="P62" s="33">
        <f>IF(OR($E62="",$F62=""),"",IF(AND(P$4&lt;=$F62,P$4+6&gt;=$E62),IF($F62-$E62&lt;=2,"◆",IF($H62="Yes","X",LEFT($D62,1))),""))</f>
        <v/>
      </c>
      <c r="Q62" s="33">
        <f>IF(OR($E62="",$F62=""),"",IF(AND(Q$4&lt;=$F62,Q$4+6&gt;=$E62),IF($F62-$E62&lt;=2,"◆",IF($H62="Yes","X",LEFT($D62,1))),""))</f>
        <v/>
      </c>
      <c r="R62" s="33">
        <f>IF(OR($E62="",$F62=""),"",IF(AND(R$4&lt;=$F62,R$4+6&gt;=$E62),IF($F62-$E62&lt;=2,"◆",IF($H62="Yes","X",LEFT($D62,1))),""))</f>
        <v/>
      </c>
      <c r="S62" s="33">
        <f>IF(OR($E62="",$F62=""),"",IF(AND(S$4&lt;=$F62,S$4+6&gt;=$E62),IF($F62-$E62&lt;=2,"◆",IF($H62="Yes","X",LEFT($D62,1))),""))</f>
        <v/>
      </c>
      <c r="T62" s="33">
        <f>IF(OR($E62="",$F62=""),"",IF(AND(T$4&lt;=$F62,T$4+6&gt;=$E62),IF($F62-$E62&lt;=2,"◆",IF($H62="Yes","X",LEFT($D62,1))),""))</f>
        <v/>
      </c>
      <c r="U62" s="33">
        <f>IF(OR($E62="",$F62=""),"",IF(AND(U$4&lt;=$F62,U$4+6&gt;=$E62),IF($F62-$E62&lt;=2,"◆",IF($H62="Yes","X",LEFT($D62,1))),""))</f>
        <v/>
      </c>
      <c r="V62" s="33">
        <f>IF(OR($E62="",$F62=""),"",IF(AND(V$4&lt;=$F62,V$4+6&gt;=$E62),IF($F62-$E62&lt;=2,"◆",IF($H62="Yes","X",LEFT($D62,1))),""))</f>
        <v/>
      </c>
      <c r="W62" s="33">
        <f>IF(OR($E62="",$F62=""),"",IF(AND(W$4&lt;=$F62,W$4+6&gt;=$E62),IF($F62-$E62&lt;=2,"◆",IF($H62="Yes","X",LEFT($D62,1))),""))</f>
        <v/>
      </c>
      <c r="X62" s="33">
        <f>IF(OR($E62="",$F62=""),"",IF(AND(X$4&lt;=$F62,X$4+6&gt;=$E62),IF($F62-$E62&lt;=2,"◆",IF($H62="Yes","X",LEFT($D62,1))),""))</f>
        <v/>
      </c>
      <c r="Y62" s="33">
        <f>IF(OR($E62="",$F62=""),"",IF(AND(Y$4&lt;=$F62,Y$4+6&gt;=$E62),IF($F62-$E62&lt;=2,"◆",IF($H62="Yes","X",LEFT($D62,1))),""))</f>
        <v/>
      </c>
      <c r="Z62" s="33">
        <f>IF(OR($E62="",$F62=""),"",IF(AND(Z$4&lt;=$F62,Z$4+6&gt;=$E62),IF($F62-$E62&lt;=2,"◆",IF($H62="Yes","X",LEFT($D62,1))),""))</f>
        <v/>
      </c>
      <c r="AA62" s="33">
        <f>IF(OR($E62="",$F62=""),"",IF(AND(AA$4&lt;=$F62,AA$4+6&gt;=$E62),IF($F62-$E62&lt;=2,"◆",IF($H62="Yes","X",LEFT($D62,1))),""))</f>
        <v/>
      </c>
      <c r="AB62" s="33">
        <f>IF(OR($E62="",$F62=""),"",IF(AND(AB$4&lt;=$F62,AB$4+6&gt;=$E62),IF($F62-$E62&lt;=2,"◆",IF($H62="Yes","X",LEFT($D62,1))),""))</f>
        <v/>
      </c>
      <c r="AC62" s="33">
        <f>IF(OR($E62="",$F62=""),"",IF(AND(AC$4&lt;=$F62,AC$4+6&gt;=$E62),IF($F62-$E62&lt;=2,"◆",IF($H62="Yes","X",LEFT($D62,1))),""))</f>
        <v/>
      </c>
      <c r="AD62" s="33">
        <f>IF(OR($E62="",$F62=""),"",IF(AND(AD$4&lt;=$F62,AD$4+6&gt;=$E62),IF($F62-$E62&lt;=2,"◆",IF($H62="Yes","X",LEFT($D62,1))),""))</f>
        <v/>
      </c>
      <c r="AE62" s="33">
        <f>IF(OR($E62="",$F62=""),"",IF(AND(AE$4&lt;=$F62,AE$4+6&gt;=$E62),IF($F62-$E62&lt;=2,"◆",IF($H62="Yes","X",LEFT($D62,1))),""))</f>
        <v/>
      </c>
      <c r="AF62" s="33">
        <f>IF(OR($E62="",$F62=""),"",IF(AND(AF$4&lt;=$F62,AF$4+6&gt;=$E62),IF($F62-$E62&lt;=2,"◆",IF($H62="Yes","X",LEFT($D62,1))),""))</f>
        <v/>
      </c>
      <c r="AG62" s="33">
        <f>IF(OR($E62="",$F62=""),"",IF(AND(AG$4&lt;=$F62,AG$4+6&gt;=$E62),IF($F62-$E62&lt;=2,"◆",IF($H62="Yes","X",LEFT($D62,1))),""))</f>
        <v/>
      </c>
      <c r="AH62" s="33">
        <f>IF(OR($E62="",$F62=""),"",IF(AND(AH$4&lt;=$F62,AH$4+6&gt;=$E62),IF($F62-$E62&lt;=2,"◆",IF($H62="Yes","X",LEFT($D62,1))),""))</f>
        <v/>
      </c>
      <c r="AI62" s="33">
        <f>IF(OR($E62="",$F62=""),"",IF(AND(AI$4&lt;=$F62,AI$4+6&gt;=$E62),IF($F62-$E62&lt;=2,"◆",IF($H62="Yes","X",LEFT($D62,1))),""))</f>
        <v/>
      </c>
      <c r="AJ62" s="33">
        <f>IF(OR($E62="",$F62=""),"",IF(AND(AJ$4&lt;=$F62,AJ$4+6&gt;=$E62),IF($F62-$E62&lt;=2,"◆",IF($H62="Yes","X",LEFT($D62,1))),""))</f>
        <v/>
      </c>
      <c r="AK62" s="33">
        <f>IF(OR($E62="",$F62=""),"",IF(AND(AK$4&lt;=$F62,AK$4+6&gt;=$E62),IF($F62-$E62&lt;=2,"◆",IF($H62="Yes","X",LEFT($D62,1))),""))</f>
        <v/>
      </c>
      <c r="AL62" s="33">
        <f>IF(OR($E62="",$F62=""),"",IF(AND(AL$4&lt;=$F62,AL$4+6&gt;=$E62),IF($F62-$E62&lt;=2,"◆",IF($H62="Yes","X",LEFT($D62,1))),""))</f>
        <v/>
      </c>
      <c r="AM62" s="33">
        <f>IF(OR($E62="",$F62=""),"",IF(AND(AM$4&lt;=$F62,AM$4+6&gt;=$E62),IF($F62-$E62&lt;=2,"◆",IF($H62="Yes","X",LEFT($D62,1))),""))</f>
        <v/>
      </c>
      <c r="AN62" s="33">
        <f>IF(OR($E62="",$F62=""),"",IF(AND(AN$4&lt;=$F62,AN$4+6&gt;=$E62),IF($F62-$E62&lt;=2,"◆",IF($H62="Yes","X",LEFT($D62,1))),""))</f>
        <v/>
      </c>
      <c r="AO62" s="33">
        <f>IF(OR($E62="",$F62=""),"",IF(AND(AO$4&lt;=$F62,AO$4+6&gt;=$E62),IF($F62-$E62&lt;=2,"◆",IF($H62="Yes","X",LEFT($D62,1))),""))</f>
        <v/>
      </c>
      <c r="AP62" s="33">
        <f>IF(OR($E62="",$F62=""),"",IF(AND(AP$4&lt;=$F62,AP$4+6&gt;=$E62),IF($F62-$E62&lt;=2,"◆",IF($H62="Yes","X",LEFT($D62,1))),""))</f>
        <v/>
      </c>
      <c r="AQ62" s="33">
        <f>IF(OR($E62="",$F62=""),"",IF(AND(AQ$4&lt;=$F62,AQ$4+6&gt;=$E62),IF($F62-$E62&lt;=2,"◆",IF($H62="Yes","X",LEFT($D62,1))),""))</f>
        <v/>
      </c>
      <c r="AR62" s="33">
        <f>IF(OR($E62="",$F62=""),"",IF(AND(AR$4&lt;=$F62,AR$4+6&gt;=$E62),IF($F62-$E62&lt;=2,"◆",IF($H62="Yes","X",LEFT($D62,1))),""))</f>
        <v/>
      </c>
      <c r="AS62" s="33">
        <f>IF(OR($E62="",$F62=""),"",IF(AND(AS$4&lt;=$F62,AS$4+6&gt;=$E62),IF($F62-$E62&lt;=2,"◆",IF($H62="Yes","X",LEFT($D62,1))),""))</f>
        <v/>
      </c>
      <c r="AT62" s="33">
        <f>IF(OR($E62="",$F62=""),"",IF(AND(AT$4&lt;=$F62,AT$4+6&gt;=$E62),IF($F62-$E62&lt;=2,"◆",IF($H62="Yes","X",LEFT($D62,1))),""))</f>
        <v/>
      </c>
      <c r="AU62" s="33">
        <f>IF(OR($E62="",$F62=""),"",IF(AND(AU$4&lt;=$F62,AU$4+6&gt;=$E62),IF($F62-$E62&lt;=2,"◆",IF($H62="Yes","X",LEFT($D62,1))),""))</f>
        <v/>
      </c>
      <c r="AV62" s="33">
        <f>IF(OR($E62="",$F62=""),"",IF(AND(AV$4&lt;=$F62,AV$4+6&gt;=$E62),IF($F62-$E62&lt;=2,"◆",IF($H62="Yes","X",LEFT($D62,1))),""))</f>
        <v/>
      </c>
      <c r="AW62" s="33">
        <f>IF(OR($E62="",$F62=""),"",IF(AND(AW$4&lt;=$F62,AW$4+6&gt;=$E62),IF($F62-$E62&lt;=2,"◆",IF($H62="Yes","X",LEFT($D62,1))),""))</f>
        <v/>
      </c>
      <c r="AX62" s="33">
        <f>IF(OR($E62="",$F62=""),"",IF(AND(AX$4&lt;=$F62,AX$4+6&gt;=$E62),IF($F62-$E62&lt;=2,"◆",IF($H62="Yes","X",LEFT($D62,1))),""))</f>
        <v/>
      </c>
      <c r="AY62" s="33">
        <f>IF(OR($E62="",$F62=""),"",IF(AND(AY$4&lt;=$F62,AY$4+6&gt;=$E62),IF($F62-$E62&lt;=2,"◆",IF($H62="Yes","X",LEFT($D62,1))),""))</f>
        <v/>
      </c>
      <c r="AZ62" s="33">
        <f>IF(OR($E62="",$F62=""),"",IF(AND(AZ$4&lt;=$F62,AZ$4+6&gt;=$E62),IF($F62-$E62&lt;=2,"◆",IF($H62="Yes","X",LEFT($D62,1))),""))</f>
        <v/>
      </c>
      <c r="BA62" s="33">
        <f>IF(OR($E62="",$F62=""),"",IF(AND(BA$4&lt;=$F62,BA$4+6&gt;=$E62),IF($F62-$E62&lt;=2,"◆",IF($H62="Yes","X",LEFT($D62,1))),""))</f>
        <v/>
      </c>
      <c r="BB62" s="33">
        <f>IF(OR($E62="",$F62=""),"",IF(AND(BB$4&lt;=$F62,BB$4+6&gt;=$E62),IF($F62-$E62&lt;=2,"◆",IF($H62="Yes","X",LEFT($D62,1))),""))</f>
        <v/>
      </c>
      <c r="BC62" s="33">
        <f>IF(OR($E62="",$F62=""),"",IF(AND(BC$4&lt;=$F62,BC$4+6&gt;=$E62),IF($F62-$E62&lt;=2,"◆",IF($H62="Yes","X",LEFT($D62,1))),""))</f>
        <v/>
      </c>
      <c r="BD62" s="33">
        <f>IF(OR($E62="",$F62=""),"",IF(AND(BD$4&lt;=$F62,BD$4+6&gt;=$E62),IF($F62-$E62&lt;=2,"◆",IF($H62="Yes","X",LEFT($D62,1))),""))</f>
        <v/>
      </c>
      <c r="BE62" s="33">
        <f>IF(OR($E62="",$F62=""),"",IF(AND(BE$4&lt;=$F62,BE$4+6&gt;=$E62),IF($F62-$E62&lt;=2,"◆",IF($H62="Yes","X",LEFT($D62,1))),""))</f>
        <v/>
      </c>
      <c r="BF62" s="33">
        <f>IF(OR($E62="",$F62=""),"",IF(AND(BF$4&lt;=$F62,BF$4+6&gt;=$E62),IF($F62-$E62&lt;=2,"◆",IF($H62="Yes","X",LEFT($D62,1))),""))</f>
        <v/>
      </c>
      <c r="BG62" s="33">
        <f>IF(OR($E62="",$F62=""),"",IF(AND(BG$4&lt;=$F62,BG$4+6&gt;=$E62),IF($F62-$E62&lt;=2,"◆",IF($H62="Yes","X",LEFT($D62,1))),""))</f>
        <v/>
      </c>
      <c r="BH62" s="33">
        <f>IF(OR($E62="",$F62=""),"",IF(AND(BH$4&lt;=$F62,BH$4+6&gt;=$E62),IF($F62-$E62&lt;=2,"◆",IF($H62="Yes","X",LEFT($D62,1))),""))</f>
        <v/>
      </c>
      <c r="BI62" s="33">
        <f>IF(OR($E62="",$F62=""),"",IF(AND(BI$4&lt;=$F62,BI$4+6&gt;=$E62),IF($F62-$E62&lt;=2,"◆",IF($H62="Yes","X",LEFT($D62,1))),""))</f>
        <v/>
      </c>
    </row>
    <row r="63">
      <c r="A63" s="30" t="inlineStr">
        <is>
          <t>T-059</t>
        </is>
      </c>
      <c r="B63" s="30" t="inlineStr">
        <is>
          <t>Code Refactoring, Dependency Upgrades and Deprecated Code Removal</t>
        </is>
      </c>
      <c r="C63" s="30" t="inlineStr">
        <is>
          <t>Jawahar</t>
        </is>
      </c>
      <c r="D63" s="30" t="inlineStr">
        <is>
          <t>Not Started</t>
        </is>
      </c>
      <c r="E63" s="31" t="n">
        <v>46324</v>
      </c>
      <c r="F63" s="31" t="n">
        <v>46363</v>
      </c>
      <c r="G63" s="32" t="n">
        <v>0</v>
      </c>
      <c r="H63" s="30" t="inlineStr">
        <is>
          <t>No</t>
        </is>
      </c>
      <c r="I63" s="33">
        <f>IF(OR($E63="",$F63=""),"",IF(AND(I$4&lt;=$F63,I$4+6&gt;=$E63),IF($F63-$E63&lt;=2,"◆",IF($H63="Yes","X",LEFT($D63,1))),""))</f>
        <v/>
      </c>
      <c r="J63" s="33">
        <f>IF(OR($E63="",$F63=""),"",IF(AND(J$4&lt;=$F63,J$4+6&gt;=$E63),IF($F63-$E63&lt;=2,"◆",IF($H63="Yes","X",LEFT($D63,1))),""))</f>
        <v/>
      </c>
      <c r="K63" s="33">
        <f>IF(OR($E63="",$F63=""),"",IF(AND(K$4&lt;=$F63,K$4+6&gt;=$E63),IF($F63-$E63&lt;=2,"◆",IF($H63="Yes","X",LEFT($D63,1))),""))</f>
        <v/>
      </c>
      <c r="L63" s="33">
        <f>IF(OR($E63="",$F63=""),"",IF(AND(L$4&lt;=$F63,L$4+6&gt;=$E63),IF($F63-$E63&lt;=2,"◆",IF($H63="Yes","X",LEFT($D63,1))),""))</f>
        <v/>
      </c>
      <c r="M63" s="33">
        <f>IF(OR($E63="",$F63=""),"",IF(AND(M$4&lt;=$F63,M$4+6&gt;=$E63),IF($F63-$E63&lt;=2,"◆",IF($H63="Yes","X",LEFT($D63,1))),""))</f>
        <v/>
      </c>
      <c r="N63" s="33">
        <f>IF(OR($E63="",$F63=""),"",IF(AND(N$4&lt;=$F63,N$4+6&gt;=$E63),IF($F63-$E63&lt;=2,"◆",IF($H63="Yes","X",LEFT($D63,1))),""))</f>
        <v/>
      </c>
      <c r="O63" s="33">
        <f>IF(OR($E63="",$F63=""),"",IF(AND(O$4&lt;=$F63,O$4+6&gt;=$E63),IF($F63-$E63&lt;=2,"◆",IF($H63="Yes","X",LEFT($D63,1))),""))</f>
        <v/>
      </c>
      <c r="P63" s="33">
        <f>IF(OR($E63="",$F63=""),"",IF(AND(P$4&lt;=$F63,P$4+6&gt;=$E63),IF($F63-$E63&lt;=2,"◆",IF($H63="Yes","X",LEFT($D63,1))),""))</f>
        <v/>
      </c>
      <c r="Q63" s="33">
        <f>IF(OR($E63="",$F63=""),"",IF(AND(Q$4&lt;=$F63,Q$4+6&gt;=$E63),IF($F63-$E63&lt;=2,"◆",IF($H63="Yes","X",LEFT($D63,1))),""))</f>
        <v/>
      </c>
      <c r="R63" s="33">
        <f>IF(OR($E63="",$F63=""),"",IF(AND(R$4&lt;=$F63,R$4+6&gt;=$E63),IF($F63-$E63&lt;=2,"◆",IF($H63="Yes","X",LEFT($D63,1))),""))</f>
        <v/>
      </c>
      <c r="S63" s="33">
        <f>IF(OR($E63="",$F63=""),"",IF(AND(S$4&lt;=$F63,S$4+6&gt;=$E63),IF($F63-$E63&lt;=2,"◆",IF($H63="Yes","X",LEFT($D63,1))),""))</f>
        <v/>
      </c>
      <c r="T63" s="33">
        <f>IF(OR($E63="",$F63=""),"",IF(AND(T$4&lt;=$F63,T$4+6&gt;=$E63),IF($F63-$E63&lt;=2,"◆",IF($H63="Yes","X",LEFT($D63,1))),""))</f>
        <v/>
      </c>
      <c r="U63" s="33">
        <f>IF(OR($E63="",$F63=""),"",IF(AND(U$4&lt;=$F63,U$4+6&gt;=$E63),IF($F63-$E63&lt;=2,"◆",IF($H63="Yes","X",LEFT($D63,1))),""))</f>
        <v/>
      </c>
      <c r="V63" s="33">
        <f>IF(OR($E63="",$F63=""),"",IF(AND(V$4&lt;=$F63,V$4+6&gt;=$E63),IF($F63-$E63&lt;=2,"◆",IF($H63="Yes","X",LEFT($D63,1))),""))</f>
        <v/>
      </c>
      <c r="W63" s="33">
        <f>IF(OR($E63="",$F63=""),"",IF(AND(W$4&lt;=$F63,W$4+6&gt;=$E63),IF($F63-$E63&lt;=2,"◆",IF($H63="Yes","X",LEFT($D63,1))),""))</f>
        <v/>
      </c>
      <c r="X63" s="33">
        <f>IF(OR($E63="",$F63=""),"",IF(AND(X$4&lt;=$F63,X$4+6&gt;=$E63),IF($F63-$E63&lt;=2,"◆",IF($H63="Yes","X",LEFT($D63,1))),""))</f>
        <v/>
      </c>
      <c r="Y63" s="33">
        <f>IF(OR($E63="",$F63=""),"",IF(AND(Y$4&lt;=$F63,Y$4+6&gt;=$E63),IF($F63-$E63&lt;=2,"◆",IF($H63="Yes","X",LEFT($D63,1))),""))</f>
        <v/>
      </c>
      <c r="Z63" s="33">
        <f>IF(OR($E63="",$F63=""),"",IF(AND(Z$4&lt;=$F63,Z$4+6&gt;=$E63),IF($F63-$E63&lt;=2,"◆",IF($H63="Yes","X",LEFT($D63,1))),""))</f>
        <v/>
      </c>
      <c r="AA63" s="33">
        <f>IF(OR($E63="",$F63=""),"",IF(AND(AA$4&lt;=$F63,AA$4+6&gt;=$E63),IF($F63-$E63&lt;=2,"◆",IF($H63="Yes","X",LEFT($D63,1))),""))</f>
        <v/>
      </c>
      <c r="AB63" s="33">
        <f>IF(OR($E63="",$F63=""),"",IF(AND(AB$4&lt;=$F63,AB$4+6&gt;=$E63),IF($F63-$E63&lt;=2,"◆",IF($H63="Yes","X",LEFT($D63,1))),""))</f>
        <v/>
      </c>
      <c r="AC63" s="33">
        <f>IF(OR($E63="",$F63=""),"",IF(AND(AC$4&lt;=$F63,AC$4+6&gt;=$E63),IF($F63-$E63&lt;=2,"◆",IF($H63="Yes","X",LEFT($D63,1))),""))</f>
        <v/>
      </c>
      <c r="AD63" s="33">
        <f>IF(OR($E63="",$F63=""),"",IF(AND(AD$4&lt;=$F63,AD$4+6&gt;=$E63),IF($F63-$E63&lt;=2,"◆",IF($H63="Yes","X",LEFT($D63,1))),""))</f>
        <v/>
      </c>
      <c r="AE63" s="33">
        <f>IF(OR($E63="",$F63=""),"",IF(AND(AE$4&lt;=$F63,AE$4+6&gt;=$E63),IF($F63-$E63&lt;=2,"◆",IF($H63="Yes","X",LEFT($D63,1))),""))</f>
        <v/>
      </c>
      <c r="AF63" s="33">
        <f>IF(OR($E63="",$F63=""),"",IF(AND(AF$4&lt;=$F63,AF$4+6&gt;=$E63),IF($F63-$E63&lt;=2,"◆",IF($H63="Yes","X",LEFT($D63,1))),""))</f>
        <v/>
      </c>
      <c r="AG63" s="33">
        <f>IF(OR($E63="",$F63=""),"",IF(AND(AG$4&lt;=$F63,AG$4+6&gt;=$E63),IF($F63-$E63&lt;=2,"◆",IF($H63="Yes","X",LEFT($D63,1))),""))</f>
        <v/>
      </c>
      <c r="AH63" s="33">
        <f>IF(OR($E63="",$F63=""),"",IF(AND(AH$4&lt;=$F63,AH$4+6&gt;=$E63),IF($F63-$E63&lt;=2,"◆",IF($H63="Yes","X",LEFT($D63,1))),""))</f>
        <v/>
      </c>
      <c r="AI63" s="33">
        <f>IF(OR($E63="",$F63=""),"",IF(AND(AI$4&lt;=$F63,AI$4+6&gt;=$E63),IF($F63-$E63&lt;=2,"◆",IF($H63="Yes","X",LEFT($D63,1))),""))</f>
        <v/>
      </c>
      <c r="AJ63" s="33">
        <f>IF(OR($E63="",$F63=""),"",IF(AND(AJ$4&lt;=$F63,AJ$4+6&gt;=$E63),IF($F63-$E63&lt;=2,"◆",IF($H63="Yes","X",LEFT($D63,1))),""))</f>
        <v/>
      </c>
      <c r="AK63" s="33">
        <f>IF(OR($E63="",$F63=""),"",IF(AND(AK$4&lt;=$F63,AK$4+6&gt;=$E63),IF($F63-$E63&lt;=2,"◆",IF($H63="Yes","X",LEFT($D63,1))),""))</f>
        <v/>
      </c>
      <c r="AL63" s="33">
        <f>IF(OR($E63="",$F63=""),"",IF(AND(AL$4&lt;=$F63,AL$4+6&gt;=$E63),IF($F63-$E63&lt;=2,"◆",IF($H63="Yes","X",LEFT($D63,1))),""))</f>
        <v/>
      </c>
      <c r="AM63" s="33">
        <f>IF(OR($E63="",$F63=""),"",IF(AND(AM$4&lt;=$F63,AM$4+6&gt;=$E63),IF($F63-$E63&lt;=2,"◆",IF($H63="Yes","X",LEFT($D63,1))),""))</f>
        <v/>
      </c>
      <c r="AN63" s="33">
        <f>IF(OR($E63="",$F63=""),"",IF(AND(AN$4&lt;=$F63,AN$4+6&gt;=$E63),IF($F63-$E63&lt;=2,"◆",IF($H63="Yes","X",LEFT($D63,1))),""))</f>
        <v/>
      </c>
      <c r="AO63" s="33">
        <f>IF(OR($E63="",$F63=""),"",IF(AND(AO$4&lt;=$F63,AO$4+6&gt;=$E63),IF($F63-$E63&lt;=2,"◆",IF($H63="Yes","X",LEFT($D63,1))),""))</f>
        <v/>
      </c>
      <c r="AP63" s="33">
        <f>IF(OR($E63="",$F63=""),"",IF(AND(AP$4&lt;=$F63,AP$4+6&gt;=$E63),IF($F63-$E63&lt;=2,"◆",IF($H63="Yes","X",LEFT($D63,1))),""))</f>
        <v/>
      </c>
      <c r="AQ63" s="33">
        <f>IF(OR($E63="",$F63=""),"",IF(AND(AQ$4&lt;=$F63,AQ$4+6&gt;=$E63),IF($F63-$E63&lt;=2,"◆",IF($H63="Yes","X",LEFT($D63,1))),""))</f>
        <v/>
      </c>
      <c r="AR63" s="33">
        <f>IF(OR($E63="",$F63=""),"",IF(AND(AR$4&lt;=$F63,AR$4+6&gt;=$E63),IF($F63-$E63&lt;=2,"◆",IF($H63="Yes","X",LEFT($D63,1))),""))</f>
        <v/>
      </c>
      <c r="AS63" s="33">
        <f>IF(OR($E63="",$F63=""),"",IF(AND(AS$4&lt;=$F63,AS$4+6&gt;=$E63),IF($F63-$E63&lt;=2,"◆",IF($H63="Yes","X",LEFT($D63,1))),""))</f>
        <v/>
      </c>
      <c r="AT63" s="33">
        <f>IF(OR($E63="",$F63=""),"",IF(AND(AT$4&lt;=$F63,AT$4+6&gt;=$E63),IF($F63-$E63&lt;=2,"◆",IF($H63="Yes","X",LEFT($D63,1))),""))</f>
        <v/>
      </c>
      <c r="AU63" s="33">
        <f>IF(OR($E63="",$F63=""),"",IF(AND(AU$4&lt;=$F63,AU$4+6&gt;=$E63),IF($F63-$E63&lt;=2,"◆",IF($H63="Yes","X",LEFT($D63,1))),""))</f>
        <v/>
      </c>
      <c r="AV63" s="33">
        <f>IF(OR($E63="",$F63=""),"",IF(AND(AV$4&lt;=$F63,AV$4+6&gt;=$E63),IF($F63-$E63&lt;=2,"◆",IF($H63="Yes","X",LEFT($D63,1))),""))</f>
        <v/>
      </c>
      <c r="AW63" s="33">
        <f>IF(OR($E63="",$F63=""),"",IF(AND(AW$4&lt;=$F63,AW$4+6&gt;=$E63),IF($F63-$E63&lt;=2,"◆",IF($H63="Yes","X",LEFT($D63,1))),""))</f>
        <v/>
      </c>
      <c r="AX63" s="33">
        <f>IF(OR($E63="",$F63=""),"",IF(AND(AX$4&lt;=$F63,AX$4+6&gt;=$E63),IF($F63-$E63&lt;=2,"◆",IF($H63="Yes","X",LEFT($D63,1))),""))</f>
        <v/>
      </c>
      <c r="AY63" s="33">
        <f>IF(OR($E63="",$F63=""),"",IF(AND(AY$4&lt;=$F63,AY$4+6&gt;=$E63),IF($F63-$E63&lt;=2,"◆",IF($H63="Yes","X",LEFT($D63,1))),""))</f>
        <v/>
      </c>
      <c r="AZ63" s="33">
        <f>IF(OR($E63="",$F63=""),"",IF(AND(AZ$4&lt;=$F63,AZ$4+6&gt;=$E63),IF($F63-$E63&lt;=2,"◆",IF($H63="Yes","X",LEFT($D63,1))),""))</f>
        <v/>
      </c>
      <c r="BA63" s="33">
        <f>IF(OR($E63="",$F63=""),"",IF(AND(BA$4&lt;=$F63,BA$4+6&gt;=$E63),IF($F63-$E63&lt;=2,"◆",IF($H63="Yes","X",LEFT($D63,1))),""))</f>
        <v/>
      </c>
      <c r="BB63" s="33">
        <f>IF(OR($E63="",$F63=""),"",IF(AND(BB$4&lt;=$F63,BB$4+6&gt;=$E63),IF($F63-$E63&lt;=2,"◆",IF($H63="Yes","X",LEFT($D63,1))),""))</f>
        <v/>
      </c>
      <c r="BC63" s="33">
        <f>IF(OR($E63="",$F63=""),"",IF(AND(BC$4&lt;=$F63,BC$4+6&gt;=$E63),IF($F63-$E63&lt;=2,"◆",IF($H63="Yes","X",LEFT($D63,1))),""))</f>
        <v/>
      </c>
      <c r="BD63" s="33">
        <f>IF(OR($E63="",$F63=""),"",IF(AND(BD$4&lt;=$F63,BD$4+6&gt;=$E63),IF($F63-$E63&lt;=2,"◆",IF($H63="Yes","X",LEFT($D63,1))),""))</f>
        <v/>
      </c>
      <c r="BE63" s="33">
        <f>IF(OR($E63="",$F63=""),"",IF(AND(BE$4&lt;=$F63,BE$4+6&gt;=$E63),IF($F63-$E63&lt;=2,"◆",IF($H63="Yes","X",LEFT($D63,1))),""))</f>
        <v/>
      </c>
      <c r="BF63" s="33">
        <f>IF(OR($E63="",$F63=""),"",IF(AND(BF$4&lt;=$F63,BF$4+6&gt;=$E63),IF($F63-$E63&lt;=2,"◆",IF($H63="Yes","X",LEFT($D63,1))),""))</f>
        <v/>
      </c>
      <c r="BG63" s="33">
        <f>IF(OR($E63="",$F63=""),"",IF(AND(BG$4&lt;=$F63,BG$4+6&gt;=$E63),IF($F63-$E63&lt;=2,"◆",IF($H63="Yes","X",LEFT($D63,1))),""))</f>
        <v/>
      </c>
      <c r="BH63" s="33">
        <f>IF(OR($E63="",$F63=""),"",IF(AND(BH$4&lt;=$F63,BH$4+6&gt;=$E63),IF($F63-$E63&lt;=2,"◆",IF($H63="Yes","X",LEFT($D63,1))),""))</f>
        <v/>
      </c>
      <c r="BI63" s="33">
        <f>IF(OR($E63="",$F63=""),"",IF(AND(BI$4&lt;=$F63,BI$4+6&gt;=$E63),IF($F63-$E63&lt;=2,"◆",IF($H63="Yes","X",LEFT($D63,1))),""))</f>
        <v/>
      </c>
    </row>
    <row r="64">
      <c r="A64" s="30" t="inlineStr">
        <is>
          <t>T-060</t>
        </is>
      </c>
      <c r="B64" s="30" t="inlineStr">
        <is>
          <t>Table-Specific Metadata Model Storage Enhancement</t>
        </is>
      </c>
      <c r="C64" s="30" t="inlineStr">
        <is>
          <t>MJ</t>
        </is>
      </c>
      <c r="D64" s="30" t="inlineStr">
        <is>
          <t>Not Started</t>
        </is>
      </c>
      <c r="E64" s="31" t="n">
        <v>46354</v>
      </c>
      <c r="F64" s="31" t="n">
        <v>46383</v>
      </c>
      <c r="G64" s="32" t="n">
        <v>0</v>
      </c>
      <c r="H64" s="30" t="inlineStr">
        <is>
          <t>No</t>
        </is>
      </c>
      <c r="I64" s="33">
        <f>IF(OR($E64="",$F64=""),"",IF(AND(I$4&lt;=$F64,I$4+6&gt;=$E64),IF($F64-$E64&lt;=2,"◆",IF($H64="Yes","X",LEFT($D64,1))),""))</f>
        <v/>
      </c>
      <c r="J64" s="33">
        <f>IF(OR($E64="",$F64=""),"",IF(AND(J$4&lt;=$F64,J$4+6&gt;=$E64),IF($F64-$E64&lt;=2,"◆",IF($H64="Yes","X",LEFT($D64,1))),""))</f>
        <v/>
      </c>
      <c r="K64" s="33">
        <f>IF(OR($E64="",$F64=""),"",IF(AND(K$4&lt;=$F64,K$4+6&gt;=$E64),IF($F64-$E64&lt;=2,"◆",IF($H64="Yes","X",LEFT($D64,1))),""))</f>
        <v/>
      </c>
      <c r="L64" s="33">
        <f>IF(OR($E64="",$F64=""),"",IF(AND(L$4&lt;=$F64,L$4+6&gt;=$E64),IF($F64-$E64&lt;=2,"◆",IF($H64="Yes","X",LEFT($D64,1))),""))</f>
        <v/>
      </c>
      <c r="M64" s="33">
        <f>IF(OR($E64="",$F64=""),"",IF(AND(M$4&lt;=$F64,M$4+6&gt;=$E64),IF($F64-$E64&lt;=2,"◆",IF($H64="Yes","X",LEFT($D64,1))),""))</f>
        <v/>
      </c>
      <c r="N64" s="33">
        <f>IF(OR($E64="",$F64=""),"",IF(AND(N$4&lt;=$F64,N$4+6&gt;=$E64),IF($F64-$E64&lt;=2,"◆",IF($H64="Yes","X",LEFT($D64,1))),""))</f>
        <v/>
      </c>
      <c r="O64" s="33">
        <f>IF(OR($E64="",$F64=""),"",IF(AND(O$4&lt;=$F64,O$4+6&gt;=$E64),IF($F64-$E64&lt;=2,"◆",IF($H64="Yes","X",LEFT($D64,1))),""))</f>
        <v/>
      </c>
      <c r="P64" s="33">
        <f>IF(OR($E64="",$F64=""),"",IF(AND(P$4&lt;=$F64,P$4+6&gt;=$E64),IF($F64-$E64&lt;=2,"◆",IF($H64="Yes","X",LEFT($D64,1))),""))</f>
        <v/>
      </c>
      <c r="Q64" s="33">
        <f>IF(OR($E64="",$F64=""),"",IF(AND(Q$4&lt;=$F64,Q$4+6&gt;=$E64),IF($F64-$E64&lt;=2,"◆",IF($H64="Yes","X",LEFT($D64,1))),""))</f>
        <v/>
      </c>
      <c r="R64" s="33">
        <f>IF(OR($E64="",$F64=""),"",IF(AND(R$4&lt;=$F64,R$4+6&gt;=$E64),IF($F64-$E64&lt;=2,"◆",IF($H64="Yes","X",LEFT($D64,1))),""))</f>
        <v/>
      </c>
      <c r="S64" s="33">
        <f>IF(OR($E64="",$F64=""),"",IF(AND(S$4&lt;=$F64,S$4+6&gt;=$E64),IF($F64-$E64&lt;=2,"◆",IF($H64="Yes","X",LEFT($D64,1))),""))</f>
        <v/>
      </c>
      <c r="T64" s="33">
        <f>IF(OR($E64="",$F64=""),"",IF(AND(T$4&lt;=$F64,T$4+6&gt;=$E64),IF($F64-$E64&lt;=2,"◆",IF($H64="Yes","X",LEFT($D64,1))),""))</f>
        <v/>
      </c>
      <c r="U64" s="33">
        <f>IF(OR($E64="",$F64=""),"",IF(AND(U$4&lt;=$F64,U$4+6&gt;=$E64),IF($F64-$E64&lt;=2,"◆",IF($H64="Yes","X",LEFT($D64,1))),""))</f>
        <v/>
      </c>
      <c r="V64" s="33">
        <f>IF(OR($E64="",$F64=""),"",IF(AND(V$4&lt;=$F64,V$4+6&gt;=$E64),IF($F64-$E64&lt;=2,"◆",IF($H64="Yes","X",LEFT($D64,1))),""))</f>
        <v/>
      </c>
      <c r="W64" s="33">
        <f>IF(OR($E64="",$F64=""),"",IF(AND(W$4&lt;=$F64,W$4+6&gt;=$E64),IF($F64-$E64&lt;=2,"◆",IF($H64="Yes","X",LEFT($D64,1))),""))</f>
        <v/>
      </c>
      <c r="X64" s="33">
        <f>IF(OR($E64="",$F64=""),"",IF(AND(X$4&lt;=$F64,X$4+6&gt;=$E64),IF($F64-$E64&lt;=2,"◆",IF($H64="Yes","X",LEFT($D64,1))),""))</f>
        <v/>
      </c>
      <c r="Y64" s="33">
        <f>IF(OR($E64="",$F64=""),"",IF(AND(Y$4&lt;=$F64,Y$4+6&gt;=$E64),IF($F64-$E64&lt;=2,"◆",IF($H64="Yes","X",LEFT($D64,1))),""))</f>
        <v/>
      </c>
      <c r="Z64" s="33">
        <f>IF(OR($E64="",$F64=""),"",IF(AND(Z$4&lt;=$F64,Z$4+6&gt;=$E64),IF($F64-$E64&lt;=2,"◆",IF($H64="Yes","X",LEFT($D64,1))),""))</f>
        <v/>
      </c>
      <c r="AA64" s="33">
        <f>IF(OR($E64="",$F64=""),"",IF(AND(AA$4&lt;=$F64,AA$4+6&gt;=$E64),IF($F64-$E64&lt;=2,"◆",IF($H64="Yes","X",LEFT($D64,1))),""))</f>
        <v/>
      </c>
      <c r="AB64" s="33">
        <f>IF(OR($E64="",$F64=""),"",IF(AND(AB$4&lt;=$F64,AB$4+6&gt;=$E64),IF($F64-$E64&lt;=2,"◆",IF($H64="Yes","X",LEFT($D64,1))),""))</f>
        <v/>
      </c>
      <c r="AC64" s="33">
        <f>IF(OR($E64="",$F64=""),"",IF(AND(AC$4&lt;=$F64,AC$4+6&gt;=$E64),IF($F64-$E64&lt;=2,"◆",IF($H64="Yes","X",LEFT($D64,1))),""))</f>
        <v/>
      </c>
      <c r="AD64" s="33">
        <f>IF(OR($E64="",$F64=""),"",IF(AND(AD$4&lt;=$F64,AD$4+6&gt;=$E64),IF($F64-$E64&lt;=2,"◆",IF($H64="Yes","X",LEFT($D64,1))),""))</f>
        <v/>
      </c>
      <c r="AE64" s="33">
        <f>IF(OR($E64="",$F64=""),"",IF(AND(AE$4&lt;=$F64,AE$4+6&gt;=$E64),IF($F64-$E64&lt;=2,"◆",IF($H64="Yes","X",LEFT($D64,1))),""))</f>
        <v/>
      </c>
      <c r="AF64" s="33">
        <f>IF(OR($E64="",$F64=""),"",IF(AND(AF$4&lt;=$F64,AF$4+6&gt;=$E64),IF($F64-$E64&lt;=2,"◆",IF($H64="Yes","X",LEFT($D64,1))),""))</f>
        <v/>
      </c>
      <c r="AG64" s="33">
        <f>IF(OR($E64="",$F64=""),"",IF(AND(AG$4&lt;=$F64,AG$4+6&gt;=$E64),IF($F64-$E64&lt;=2,"◆",IF($H64="Yes","X",LEFT($D64,1))),""))</f>
        <v/>
      </c>
      <c r="AH64" s="33">
        <f>IF(OR($E64="",$F64=""),"",IF(AND(AH$4&lt;=$F64,AH$4+6&gt;=$E64),IF($F64-$E64&lt;=2,"◆",IF($H64="Yes","X",LEFT($D64,1))),""))</f>
        <v/>
      </c>
      <c r="AI64" s="33">
        <f>IF(OR($E64="",$F64=""),"",IF(AND(AI$4&lt;=$F64,AI$4+6&gt;=$E64),IF($F64-$E64&lt;=2,"◆",IF($H64="Yes","X",LEFT($D64,1))),""))</f>
        <v/>
      </c>
      <c r="AJ64" s="33">
        <f>IF(OR($E64="",$F64=""),"",IF(AND(AJ$4&lt;=$F64,AJ$4+6&gt;=$E64),IF($F64-$E64&lt;=2,"◆",IF($H64="Yes","X",LEFT($D64,1))),""))</f>
        <v/>
      </c>
      <c r="AK64" s="33">
        <f>IF(OR($E64="",$F64=""),"",IF(AND(AK$4&lt;=$F64,AK$4+6&gt;=$E64),IF($F64-$E64&lt;=2,"◆",IF($H64="Yes","X",LEFT($D64,1))),""))</f>
        <v/>
      </c>
      <c r="AL64" s="33">
        <f>IF(OR($E64="",$F64=""),"",IF(AND(AL$4&lt;=$F64,AL$4+6&gt;=$E64),IF($F64-$E64&lt;=2,"◆",IF($H64="Yes","X",LEFT($D64,1))),""))</f>
        <v/>
      </c>
      <c r="AM64" s="33">
        <f>IF(OR($E64="",$F64=""),"",IF(AND(AM$4&lt;=$F64,AM$4+6&gt;=$E64),IF($F64-$E64&lt;=2,"◆",IF($H64="Yes","X",LEFT($D64,1))),""))</f>
        <v/>
      </c>
      <c r="AN64" s="33">
        <f>IF(OR($E64="",$F64=""),"",IF(AND(AN$4&lt;=$F64,AN$4+6&gt;=$E64),IF($F64-$E64&lt;=2,"◆",IF($H64="Yes","X",LEFT($D64,1))),""))</f>
        <v/>
      </c>
      <c r="AO64" s="33">
        <f>IF(OR($E64="",$F64=""),"",IF(AND(AO$4&lt;=$F64,AO$4+6&gt;=$E64),IF($F64-$E64&lt;=2,"◆",IF($H64="Yes","X",LEFT($D64,1))),""))</f>
        <v/>
      </c>
      <c r="AP64" s="33">
        <f>IF(OR($E64="",$F64=""),"",IF(AND(AP$4&lt;=$F64,AP$4+6&gt;=$E64),IF($F64-$E64&lt;=2,"◆",IF($H64="Yes","X",LEFT($D64,1))),""))</f>
        <v/>
      </c>
      <c r="AQ64" s="33">
        <f>IF(OR($E64="",$F64=""),"",IF(AND(AQ$4&lt;=$F64,AQ$4+6&gt;=$E64),IF($F64-$E64&lt;=2,"◆",IF($H64="Yes","X",LEFT($D64,1))),""))</f>
        <v/>
      </c>
      <c r="AR64" s="33">
        <f>IF(OR($E64="",$F64=""),"",IF(AND(AR$4&lt;=$F64,AR$4+6&gt;=$E64),IF($F64-$E64&lt;=2,"◆",IF($H64="Yes","X",LEFT($D64,1))),""))</f>
        <v/>
      </c>
      <c r="AS64" s="33">
        <f>IF(OR($E64="",$F64=""),"",IF(AND(AS$4&lt;=$F64,AS$4+6&gt;=$E64),IF($F64-$E64&lt;=2,"◆",IF($H64="Yes","X",LEFT($D64,1))),""))</f>
        <v/>
      </c>
      <c r="AT64" s="33">
        <f>IF(OR($E64="",$F64=""),"",IF(AND(AT$4&lt;=$F64,AT$4+6&gt;=$E64),IF($F64-$E64&lt;=2,"◆",IF($H64="Yes","X",LEFT($D64,1))),""))</f>
        <v/>
      </c>
      <c r="AU64" s="33">
        <f>IF(OR($E64="",$F64=""),"",IF(AND(AU$4&lt;=$F64,AU$4+6&gt;=$E64),IF($F64-$E64&lt;=2,"◆",IF($H64="Yes","X",LEFT($D64,1))),""))</f>
        <v/>
      </c>
      <c r="AV64" s="33">
        <f>IF(OR($E64="",$F64=""),"",IF(AND(AV$4&lt;=$F64,AV$4+6&gt;=$E64),IF($F64-$E64&lt;=2,"◆",IF($H64="Yes","X",LEFT($D64,1))),""))</f>
        <v/>
      </c>
      <c r="AW64" s="33">
        <f>IF(OR($E64="",$F64=""),"",IF(AND(AW$4&lt;=$F64,AW$4+6&gt;=$E64),IF($F64-$E64&lt;=2,"◆",IF($H64="Yes","X",LEFT($D64,1))),""))</f>
        <v/>
      </c>
      <c r="AX64" s="33">
        <f>IF(OR($E64="",$F64=""),"",IF(AND(AX$4&lt;=$F64,AX$4+6&gt;=$E64),IF($F64-$E64&lt;=2,"◆",IF($H64="Yes","X",LEFT($D64,1))),""))</f>
        <v/>
      </c>
      <c r="AY64" s="33">
        <f>IF(OR($E64="",$F64=""),"",IF(AND(AY$4&lt;=$F64,AY$4+6&gt;=$E64),IF($F64-$E64&lt;=2,"◆",IF($H64="Yes","X",LEFT($D64,1))),""))</f>
        <v/>
      </c>
      <c r="AZ64" s="33">
        <f>IF(OR($E64="",$F64=""),"",IF(AND(AZ$4&lt;=$F64,AZ$4+6&gt;=$E64),IF($F64-$E64&lt;=2,"◆",IF($H64="Yes","X",LEFT($D64,1))),""))</f>
        <v/>
      </c>
      <c r="BA64" s="33">
        <f>IF(OR($E64="",$F64=""),"",IF(AND(BA$4&lt;=$F64,BA$4+6&gt;=$E64),IF($F64-$E64&lt;=2,"◆",IF($H64="Yes","X",LEFT($D64,1))),""))</f>
        <v/>
      </c>
      <c r="BB64" s="33">
        <f>IF(OR($E64="",$F64=""),"",IF(AND(BB$4&lt;=$F64,BB$4+6&gt;=$E64),IF($F64-$E64&lt;=2,"◆",IF($H64="Yes","X",LEFT($D64,1))),""))</f>
        <v/>
      </c>
      <c r="BC64" s="33">
        <f>IF(OR($E64="",$F64=""),"",IF(AND(BC$4&lt;=$F64,BC$4+6&gt;=$E64),IF($F64-$E64&lt;=2,"◆",IF($H64="Yes","X",LEFT($D64,1))),""))</f>
        <v/>
      </c>
      <c r="BD64" s="33">
        <f>IF(OR($E64="",$F64=""),"",IF(AND(BD$4&lt;=$F64,BD$4+6&gt;=$E64),IF($F64-$E64&lt;=2,"◆",IF($H64="Yes","X",LEFT($D64,1))),""))</f>
        <v/>
      </c>
      <c r="BE64" s="33">
        <f>IF(OR($E64="",$F64=""),"",IF(AND(BE$4&lt;=$F64,BE$4+6&gt;=$E64),IF($F64-$E64&lt;=2,"◆",IF($H64="Yes","X",LEFT($D64,1))),""))</f>
        <v/>
      </c>
      <c r="BF64" s="33">
        <f>IF(OR($E64="",$F64=""),"",IF(AND(BF$4&lt;=$F64,BF$4+6&gt;=$E64),IF($F64-$E64&lt;=2,"◆",IF($H64="Yes","X",LEFT($D64,1))),""))</f>
        <v/>
      </c>
      <c r="BG64" s="33">
        <f>IF(OR($E64="",$F64=""),"",IF(AND(BG$4&lt;=$F64,BG$4+6&gt;=$E64),IF($F64-$E64&lt;=2,"◆",IF($H64="Yes","X",LEFT($D64,1))),""))</f>
        <v/>
      </c>
      <c r="BH64" s="33">
        <f>IF(OR($E64="",$F64=""),"",IF(AND(BH$4&lt;=$F64,BH$4+6&gt;=$E64),IF($F64-$E64&lt;=2,"◆",IF($H64="Yes","X",LEFT($D64,1))),""))</f>
        <v/>
      </c>
      <c r="BI64" s="33">
        <f>IF(OR($E64="",$F64=""),"",IF(AND(BI$4&lt;=$F64,BI$4+6&gt;=$E64),IF($F64-$E64&lt;=2,"◆",IF($H64="Yes","X",LEFT($D64,1))),""))</f>
        <v/>
      </c>
    </row>
    <row r="65">
      <c r="A65" s="30" t="inlineStr">
        <is>
          <t>T-061</t>
        </is>
      </c>
      <c r="B65" s="30" t="inlineStr">
        <is>
          <t>System Wide AWS Redis Caching Layer Enablement</t>
        </is>
      </c>
      <c r="C65" s="30" t="inlineStr">
        <is>
          <t>MJ</t>
        </is>
      </c>
      <c r="D65" s="30" t="inlineStr">
        <is>
          <t>Not Started</t>
        </is>
      </c>
      <c r="E65" s="31" t="n">
        <v>46302</v>
      </c>
      <c r="F65" s="31" t="n">
        <v>46328</v>
      </c>
      <c r="G65" s="32" t="n">
        <v>0</v>
      </c>
      <c r="H65" s="30" t="inlineStr">
        <is>
          <t>No</t>
        </is>
      </c>
      <c r="I65" s="33">
        <f>IF(OR($E65="",$F65=""),"",IF(AND(I$4&lt;=$F65,I$4+6&gt;=$E65),IF($F65-$E65&lt;=2,"◆",IF($H65="Yes","X",LEFT($D65,1))),""))</f>
        <v/>
      </c>
      <c r="J65" s="33">
        <f>IF(OR($E65="",$F65=""),"",IF(AND(J$4&lt;=$F65,J$4+6&gt;=$E65),IF($F65-$E65&lt;=2,"◆",IF($H65="Yes","X",LEFT($D65,1))),""))</f>
        <v/>
      </c>
      <c r="K65" s="33">
        <f>IF(OR($E65="",$F65=""),"",IF(AND(K$4&lt;=$F65,K$4+6&gt;=$E65),IF($F65-$E65&lt;=2,"◆",IF($H65="Yes","X",LEFT($D65,1))),""))</f>
        <v/>
      </c>
      <c r="L65" s="33">
        <f>IF(OR($E65="",$F65=""),"",IF(AND(L$4&lt;=$F65,L$4+6&gt;=$E65),IF($F65-$E65&lt;=2,"◆",IF($H65="Yes","X",LEFT($D65,1))),""))</f>
        <v/>
      </c>
      <c r="M65" s="33">
        <f>IF(OR($E65="",$F65=""),"",IF(AND(M$4&lt;=$F65,M$4+6&gt;=$E65),IF($F65-$E65&lt;=2,"◆",IF($H65="Yes","X",LEFT($D65,1))),""))</f>
        <v/>
      </c>
      <c r="N65" s="33">
        <f>IF(OR($E65="",$F65=""),"",IF(AND(N$4&lt;=$F65,N$4+6&gt;=$E65),IF($F65-$E65&lt;=2,"◆",IF($H65="Yes","X",LEFT($D65,1))),""))</f>
        <v/>
      </c>
      <c r="O65" s="33">
        <f>IF(OR($E65="",$F65=""),"",IF(AND(O$4&lt;=$F65,O$4+6&gt;=$E65),IF($F65-$E65&lt;=2,"◆",IF($H65="Yes","X",LEFT($D65,1))),""))</f>
        <v/>
      </c>
      <c r="P65" s="33">
        <f>IF(OR($E65="",$F65=""),"",IF(AND(P$4&lt;=$F65,P$4+6&gt;=$E65),IF($F65-$E65&lt;=2,"◆",IF($H65="Yes","X",LEFT($D65,1))),""))</f>
        <v/>
      </c>
      <c r="Q65" s="33">
        <f>IF(OR($E65="",$F65=""),"",IF(AND(Q$4&lt;=$F65,Q$4+6&gt;=$E65),IF($F65-$E65&lt;=2,"◆",IF($H65="Yes","X",LEFT($D65,1))),""))</f>
        <v/>
      </c>
      <c r="R65" s="33">
        <f>IF(OR($E65="",$F65=""),"",IF(AND(R$4&lt;=$F65,R$4+6&gt;=$E65),IF($F65-$E65&lt;=2,"◆",IF($H65="Yes","X",LEFT($D65,1))),""))</f>
        <v/>
      </c>
      <c r="S65" s="33">
        <f>IF(OR($E65="",$F65=""),"",IF(AND(S$4&lt;=$F65,S$4+6&gt;=$E65),IF($F65-$E65&lt;=2,"◆",IF($H65="Yes","X",LEFT($D65,1))),""))</f>
        <v/>
      </c>
      <c r="T65" s="33">
        <f>IF(OR($E65="",$F65=""),"",IF(AND(T$4&lt;=$F65,T$4+6&gt;=$E65),IF($F65-$E65&lt;=2,"◆",IF($H65="Yes","X",LEFT($D65,1))),""))</f>
        <v/>
      </c>
      <c r="U65" s="33">
        <f>IF(OR($E65="",$F65=""),"",IF(AND(U$4&lt;=$F65,U$4+6&gt;=$E65),IF($F65-$E65&lt;=2,"◆",IF($H65="Yes","X",LEFT($D65,1))),""))</f>
        <v/>
      </c>
      <c r="V65" s="33">
        <f>IF(OR($E65="",$F65=""),"",IF(AND(V$4&lt;=$F65,V$4+6&gt;=$E65),IF($F65-$E65&lt;=2,"◆",IF($H65="Yes","X",LEFT($D65,1))),""))</f>
        <v/>
      </c>
      <c r="W65" s="33">
        <f>IF(OR($E65="",$F65=""),"",IF(AND(W$4&lt;=$F65,W$4+6&gt;=$E65),IF($F65-$E65&lt;=2,"◆",IF($H65="Yes","X",LEFT($D65,1))),""))</f>
        <v/>
      </c>
      <c r="X65" s="33">
        <f>IF(OR($E65="",$F65=""),"",IF(AND(X$4&lt;=$F65,X$4+6&gt;=$E65),IF($F65-$E65&lt;=2,"◆",IF($H65="Yes","X",LEFT($D65,1))),""))</f>
        <v/>
      </c>
      <c r="Y65" s="33">
        <f>IF(OR($E65="",$F65=""),"",IF(AND(Y$4&lt;=$F65,Y$4+6&gt;=$E65),IF($F65-$E65&lt;=2,"◆",IF($H65="Yes","X",LEFT($D65,1))),""))</f>
        <v/>
      </c>
      <c r="Z65" s="33">
        <f>IF(OR($E65="",$F65=""),"",IF(AND(Z$4&lt;=$F65,Z$4+6&gt;=$E65),IF($F65-$E65&lt;=2,"◆",IF($H65="Yes","X",LEFT($D65,1))),""))</f>
        <v/>
      </c>
      <c r="AA65" s="33">
        <f>IF(OR($E65="",$F65=""),"",IF(AND(AA$4&lt;=$F65,AA$4+6&gt;=$E65),IF($F65-$E65&lt;=2,"◆",IF($H65="Yes","X",LEFT($D65,1))),""))</f>
        <v/>
      </c>
      <c r="AB65" s="33">
        <f>IF(OR($E65="",$F65=""),"",IF(AND(AB$4&lt;=$F65,AB$4+6&gt;=$E65),IF($F65-$E65&lt;=2,"◆",IF($H65="Yes","X",LEFT($D65,1))),""))</f>
        <v/>
      </c>
      <c r="AC65" s="33">
        <f>IF(OR($E65="",$F65=""),"",IF(AND(AC$4&lt;=$F65,AC$4+6&gt;=$E65),IF($F65-$E65&lt;=2,"◆",IF($H65="Yes","X",LEFT($D65,1))),""))</f>
        <v/>
      </c>
      <c r="AD65" s="33">
        <f>IF(OR($E65="",$F65=""),"",IF(AND(AD$4&lt;=$F65,AD$4+6&gt;=$E65),IF($F65-$E65&lt;=2,"◆",IF($H65="Yes","X",LEFT($D65,1))),""))</f>
        <v/>
      </c>
      <c r="AE65" s="33">
        <f>IF(OR($E65="",$F65=""),"",IF(AND(AE$4&lt;=$F65,AE$4+6&gt;=$E65),IF($F65-$E65&lt;=2,"◆",IF($H65="Yes","X",LEFT($D65,1))),""))</f>
        <v/>
      </c>
      <c r="AF65" s="33">
        <f>IF(OR($E65="",$F65=""),"",IF(AND(AF$4&lt;=$F65,AF$4+6&gt;=$E65),IF($F65-$E65&lt;=2,"◆",IF($H65="Yes","X",LEFT($D65,1))),""))</f>
        <v/>
      </c>
      <c r="AG65" s="33">
        <f>IF(OR($E65="",$F65=""),"",IF(AND(AG$4&lt;=$F65,AG$4+6&gt;=$E65),IF($F65-$E65&lt;=2,"◆",IF($H65="Yes","X",LEFT($D65,1))),""))</f>
        <v/>
      </c>
      <c r="AH65" s="33">
        <f>IF(OR($E65="",$F65=""),"",IF(AND(AH$4&lt;=$F65,AH$4+6&gt;=$E65),IF($F65-$E65&lt;=2,"◆",IF($H65="Yes","X",LEFT($D65,1))),""))</f>
        <v/>
      </c>
      <c r="AI65" s="33">
        <f>IF(OR($E65="",$F65=""),"",IF(AND(AI$4&lt;=$F65,AI$4+6&gt;=$E65),IF($F65-$E65&lt;=2,"◆",IF($H65="Yes","X",LEFT($D65,1))),""))</f>
        <v/>
      </c>
      <c r="AJ65" s="33">
        <f>IF(OR($E65="",$F65=""),"",IF(AND(AJ$4&lt;=$F65,AJ$4+6&gt;=$E65),IF($F65-$E65&lt;=2,"◆",IF($H65="Yes","X",LEFT($D65,1))),""))</f>
        <v/>
      </c>
      <c r="AK65" s="33">
        <f>IF(OR($E65="",$F65=""),"",IF(AND(AK$4&lt;=$F65,AK$4+6&gt;=$E65),IF($F65-$E65&lt;=2,"◆",IF($H65="Yes","X",LEFT($D65,1))),""))</f>
        <v/>
      </c>
      <c r="AL65" s="33">
        <f>IF(OR($E65="",$F65=""),"",IF(AND(AL$4&lt;=$F65,AL$4+6&gt;=$E65),IF($F65-$E65&lt;=2,"◆",IF($H65="Yes","X",LEFT($D65,1))),""))</f>
        <v/>
      </c>
      <c r="AM65" s="33">
        <f>IF(OR($E65="",$F65=""),"",IF(AND(AM$4&lt;=$F65,AM$4+6&gt;=$E65),IF($F65-$E65&lt;=2,"◆",IF($H65="Yes","X",LEFT($D65,1))),""))</f>
        <v/>
      </c>
      <c r="AN65" s="33">
        <f>IF(OR($E65="",$F65=""),"",IF(AND(AN$4&lt;=$F65,AN$4+6&gt;=$E65),IF($F65-$E65&lt;=2,"◆",IF($H65="Yes","X",LEFT($D65,1))),""))</f>
        <v/>
      </c>
      <c r="AO65" s="33">
        <f>IF(OR($E65="",$F65=""),"",IF(AND(AO$4&lt;=$F65,AO$4+6&gt;=$E65),IF($F65-$E65&lt;=2,"◆",IF($H65="Yes","X",LEFT($D65,1))),""))</f>
        <v/>
      </c>
      <c r="AP65" s="33">
        <f>IF(OR($E65="",$F65=""),"",IF(AND(AP$4&lt;=$F65,AP$4+6&gt;=$E65),IF($F65-$E65&lt;=2,"◆",IF($H65="Yes","X",LEFT($D65,1))),""))</f>
        <v/>
      </c>
      <c r="AQ65" s="33">
        <f>IF(OR($E65="",$F65=""),"",IF(AND(AQ$4&lt;=$F65,AQ$4+6&gt;=$E65),IF($F65-$E65&lt;=2,"◆",IF($H65="Yes","X",LEFT($D65,1))),""))</f>
        <v/>
      </c>
      <c r="AR65" s="33">
        <f>IF(OR($E65="",$F65=""),"",IF(AND(AR$4&lt;=$F65,AR$4+6&gt;=$E65),IF($F65-$E65&lt;=2,"◆",IF($H65="Yes","X",LEFT($D65,1))),""))</f>
        <v/>
      </c>
      <c r="AS65" s="33">
        <f>IF(OR($E65="",$F65=""),"",IF(AND(AS$4&lt;=$F65,AS$4+6&gt;=$E65),IF($F65-$E65&lt;=2,"◆",IF($H65="Yes","X",LEFT($D65,1))),""))</f>
        <v/>
      </c>
      <c r="AT65" s="33">
        <f>IF(OR($E65="",$F65=""),"",IF(AND(AT$4&lt;=$F65,AT$4+6&gt;=$E65),IF($F65-$E65&lt;=2,"◆",IF($H65="Yes","X",LEFT($D65,1))),""))</f>
        <v/>
      </c>
      <c r="AU65" s="33">
        <f>IF(OR($E65="",$F65=""),"",IF(AND(AU$4&lt;=$F65,AU$4+6&gt;=$E65),IF($F65-$E65&lt;=2,"◆",IF($H65="Yes","X",LEFT($D65,1))),""))</f>
        <v/>
      </c>
      <c r="AV65" s="33">
        <f>IF(OR($E65="",$F65=""),"",IF(AND(AV$4&lt;=$F65,AV$4+6&gt;=$E65),IF($F65-$E65&lt;=2,"◆",IF($H65="Yes","X",LEFT($D65,1))),""))</f>
        <v/>
      </c>
      <c r="AW65" s="33">
        <f>IF(OR($E65="",$F65=""),"",IF(AND(AW$4&lt;=$F65,AW$4+6&gt;=$E65),IF($F65-$E65&lt;=2,"◆",IF($H65="Yes","X",LEFT($D65,1))),""))</f>
        <v/>
      </c>
      <c r="AX65" s="33">
        <f>IF(OR($E65="",$F65=""),"",IF(AND(AX$4&lt;=$F65,AX$4+6&gt;=$E65),IF($F65-$E65&lt;=2,"◆",IF($H65="Yes","X",LEFT($D65,1))),""))</f>
        <v/>
      </c>
      <c r="AY65" s="33">
        <f>IF(OR($E65="",$F65=""),"",IF(AND(AY$4&lt;=$F65,AY$4+6&gt;=$E65),IF($F65-$E65&lt;=2,"◆",IF($H65="Yes","X",LEFT($D65,1))),""))</f>
        <v/>
      </c>
      <c r="AZ65" s="33">
        <f>IF(OR($E65="",$F65=""),"",IF(AND(AZ$4&lt;=$F65,AZ$4+6&gt;=$E65),IF($F65-$E65&lt;=2,"◆",IF($H65="Yes","X",LEFT($D65,1))),""))</f>
        <v/>
      </c>
      <c r="BA65" s="33">
        <f>IF(OR($E65="",$F65=""),"",IF(AND(BA$4&lt;=$F65,BA$4+6&gt;=$E65),IF($F65-$E65&lt;=2,"◆",IF($H65="Yes","X",LEFT($D65,1))),""))</f>
        <v/>
      </c>
      <c r="BB65" s="33">
        <f>IF(OR($E65="",$F65=""),"",IF(AND(BB$4&lt;=$F65,BB$4+6&gt;=$E65),IF($F65-$E65&lt;=2,"◆",IF($H65="Yes","X",LEFT($D65,1))),""))</f>
        <v/>
      </c>
      <c r="BC65" s="33">
        <f>IF(OR($E65="",$F65=""),"",IF(AND(BC$4&lt;=$F65,BC$4+6&gt;=$E65),IF($F65-$E65&lt;=2,"◆",IF($H65="Yes","X",LEFT($D65,1))),""))</f>
        <v/>
      </c>
      <c r="BD65" s="33">
        <f>IF(OR($E65="",$F65=""),"",IF(AND(BD$4&lt;=$F65,BD$4+6&gt;=$E65),IF($F65-$E65&lt;=2,"◆",IF($H65="Yes","X",LEFT($D65,1))),""))</f>
        <v/>
      </c>
      <c r="BE65" s="33">
        <f>IF(OR($E65="",$F65=""),"",IF(AND(BE$4&lt;=$F65,BE$4+6&gt;=$E65),IF($F65-$E65&lt;=2,"◆",IF($H65="Yes","X",LEFT($D65,1))),""))</f>
        <v/>
      </c>
      <c r="BF65" s="33">
        <f>IF(OR($E65="",$F65=""),"",IF(AND(BF$4&lt;=$F65,BF$4+6&gt;=$E65),IF($F65-$E65&lt;=2,"◆",IF($H65="Yes","X",LEFT($D65,1))),""))</f>
        <v/>
      </c>
      <c r="BG65" s="33">
        <f>IF(OR($E65="",$F65=""),"",IF(AND(BG$4&lt;=$F65,BG$4+6&gt;=$E65),IF($F65-$E65&lt;=2,"◆",IF($H65="Yes","X",LEFT($D65,1))),""))</f>
        <v/>
      </c>
      <c r="BH65" s="33">
        <f>IF(OR($E65="",$F65=""),"",IF(AND(BH$4&lt;=$F65,BH$4+6&gt;=$E65),IF($F65-$E65&lt;=2,"◆",IF($H65="Yes","X",LEFT($D65,1))),""))</f>
        <v/>
      </c>
      <c r="BI65" s="33">
        <f>IF(OR($E65="",$F65=""),"",IF(AND(BI$4&lt;=$F65,BI$4+6&gt;=$E65),IF($F65-$E65&lt;=2,"◆",IF($H65="Yes","X",LEFT($D65,1))),""))</f>
        <v/>
      </c>
    </row>
    <row r="66">
      <c r="A66" s="30" t="inlineStr">
        <is>
          <t>T-062</t>
        </is>
      </c>
      <c r="B66" s="30" t="inlineStr">
        <is>
          <t>Workflow Engine Observability and Traceability Enhancements</t>
        </is>
      </c>
      <c r="C66" s="30" t="inlineStr">
        <is>
          <t>MJ</t>
        </is>
      </c>
      <c r="D66" s="30" t="inlineStr">
        <is>
          <t>Not Started</t>
        </is>
      </c>
      <c r="E66" s="31" t="n">
        <v>46352</v>
      </c>
      <c r="F66" s="31" t="n">
        <v>46378</v>
      </c>
      <c r="G66" s="32" t="n">
        <v>0</v>
      </c>
      <c r="H66" s="30" t="inlineStr">
        <is>
          <t>No</t>
        </is>
      </c>
      <c r="I66" s="33">
        <f>IF(OR($E66="",$F66=""),"",IF(AND(I$4&lt;=$F66,I$4+6&gt;=$E66),IF($F66-$E66&lt;=2,"◆",IF($H66="Yes","X",LEFT($D66,1))),""))</f>
        <v/>
      </c>
      <c r="J66" s="33">
        <f>IF(OR($E66="",$F66=""),"",IF(AND(J$4&lt;=$F66,J$4+6&gt;=$E66),IF($F66-$E66&lt;=2,"◆",IF($H66="Yes","X",LEFT($D66,1))),""))</f>
        <v/>
      </c>
      <c r="K66" s="33">
        <f>IF(OR($E66="",$F66=""),"",IF(AND(K$4&lt;=$F66,K$4+6&gt;=$E66),IF($F66-$E66&lt;=2,"◆",IF($H66="Yes","X",LEFT($D66,1))),""))</f>
        <v/>
      </c>
      <c r="L66" s="33">
        <f>IF(OR($E66="",$F66=""),"",IF(AND(L$4&lt;=$F66,L$4+6&gt;=$E66),IF($F66-$E66&lt;=2,"◆",IF($H66="Yes","X",LEFT($D66,1))),""))</f>
        <v/>
      </c>
      <c r="M66" s="33">
        <f>IF(OR($E66="",$F66=""),"",IF(AND(M$4&lt;=$F66,M$4+6&gt;=$E66),IF($F66-$E66&lt;=2,"◆",IF($H66="Yes","X",LEFT($D66,1))),""))</f>
        <v/>
      </c>
      <c r="N66" s="33">
        <f>IF(OR($E66="",$F66=""),"",IF(AND(N$4&lt;=$F66,N$4+6&gt;=$E66),IF($F66-$E66&lt;=2,"◆",IF($H66="Yes","X",LEFT($D66,1))),""))</f>
        <v/>
      </c>
      <c r="O66" s="33">
        <f>IF(OR($E66="",$F66=""),"",IF(AND(O$4&lt;=$F66,O$4+6&gt;=$E66),IF($F66-$E66&lt;=2,"◆",IF($H66="Yes","X",LEFT($D66,1))),""))</f>
        <v/>
      </c>
      <c r="P66" s="33">
        <f>IF(OR($E66="",$F66=""),"",IF(AND(P$4&lt;=$F66,P$4+6&gt;=$E66),IF($F66-$E66&lt;=2,"◆",IF($H66="Yes","X",LEFT($D66,1))),""))</f>
        <v/>
      </c>
      <c r="Q66" s="33">
        <f>IF(OR($E66="",$F66=""),"",IF(AND(Q$4&lt;=$F66,Q$4+6&gt;=$E66),IF($F66-$E66&lt;=2,"◆",IF($H66="Yes","X",LEFT($D66,1))),""))</f>
        <v/>
      </c>
      <c r="R66" s="33">
        <f>IF(OR($E66="",$F66=""),"",IF(AND(R$4&lt;=$F66,R$4+6&gt;=$E66),IF($F66-$E66&lt;=2,"◆",IF($H66="Yes","X",LEFT($D66,1))),""))</f>
        <v/>
      </c>
      <c r="S66" s="33">
        <f>IF(OR($E66="",$F66=""),"",IF(AND(S$4&lt;=$F66,S$4+6&gt;=$E66),IF($F66-$E66&lt;=2,"◆",IF($H66="Yes","X",LEFT($D66,1))),""))</f>
        <v/>
      </c>
      <c r="T66" s="33">
        <f>IF(OR($E66="",$F66=""),"",IF(AND(T$4&lt;=$F66,T$4+6&gt;=$E66),IF($F66-$E66&lt;=2,"◆",IF($H66="Yes","X",LEFT($D66,1))),""))</f>
        <v/>
      </c>
      <c r="U66" s="33">
        <f>IF(OR($E66="",$F66=""),"",IF(AND(U$4&lt;=$F66,U$4+6&gt;=$E66),IF($F66-$E66&lt;=2,"◆",IF($H66="Yes","X",LEFT($D66,1))),""))</f>
        <v/>
      </c>
      <c r="V66" s="33">
        <f>IF(OR($E66="",$F66=""),"",IF(AND(V$4&lt;=$F66,V$4+6&gt;=$E66),IF($F66-$E66&lt;=2,"◆",IF($H66="Yes","X",LEFT($D66,1))),""))</f>
        <v/>
      </c>
      <c r="W66" s="33">
        <f>IF(OR($E66="",$F66=""),"",IF(AND(W$4&lt;=$F66,W$4+6&gt;=$E66),IF($F66-$E66&lt;=2,"◆",IF($H66="Yes","X",LEFT($D66,1))),""))</f>
        <v/>
      </c>
      <c r="X66" s="33">
        <f>IF(OR($E66="",$F66=""),"",IF(AND(X$4&lt;=$F66,X$4+6&gt;=$E66),IF($F66-$E66&lt;=2,"◆",IF($H66="Yes","X",LEFT($D66,1))),""))</f>
        <v/>
      </c>
      <c r="Y66" s="33">
        <f>IF(OR($E66="",$F66=""),"",IF(AND(Y$4&lt;=$F66,Y$4+6&gt;=$E66),IF($F66-$E66&lt;=2,"◆",IF($H66="Yes","X",LEFT($D66,1))),""))</f>
        <v/>
      </c>
      <c r="Z66" s="33">
        <f>IF(OR($E66="",$F66=""),"",IF(AND(Z$4&lt;=$F66,Z$4+6&gt;=$E66),IF($F66-$E66&lt;=2,"◆",IF($H66="Yes","X",LEFT($D66,1))),""))</f>
        <v/>
      </c>
      <c r="AA66" s="33">
        <f>IF(OR($E66="",$F66=""),"",IF(AND(AA$4&lt;=$F66,AA$4+6&gt;=$E66),IF($F66-$E66&lt;=2,"◆",IF($H66="Yes","X",LEFT($D66,1))),""))</f>
        <v/>
      </c>
      <c r="AB66" s="33">
        <f>IF(OR($E66="",$F66=""),"",IF(AND(AB$4&lt;=$F66,AB$4+6&gt;=$E66),IF($F66-$E66&lt;=2,"◆",IF($H66="Yes","X",LEFT($D66,1))),""))</f>
        <v/>
      </c>
      <c r="AC66" s="33">
        <f>IF(OR($E66="",$F66=""),"",IF(AND(AC$4&lt;=$F66,AC$4+6&gt;=$E66),IF($F66-$E66&lt;=2,"◆",IF($H66="Yes","X",LEFT($D66,1))),""))</f>
        <v/>
      </c>
      <c r="AD66" s="33">
        <f>IF(OR($E66="",$F66=""),"",IF(AND(AD$4&lt;=$F66,AD$4+6&gt;=$E66),IF($F66-$E66&lt;=2,"◆",IF($H66="Yes","X",LEFT($D66,1))),""))</f>
        <v/>
      </c>
      <c r="AE66" s="33">
        <f>IF(OR($E66="",$F66=""),"",IF(AND(AE$4&lt;=$F66,AE$4+6&gt;=$E66),IF($F66-$E66&lt;=2,"◆",IF($H66="Yes","X",LEFT($D66,1))),""))</f>
        <v/>
      </c>
      <c r="AF66" s="33">
        <f>IF(OR($E66="",$F66=""),"",IF(AND(AF$4&lt;=$F66,AF$4+6&gt;=$E66),IF($F66-$E66&lt;=2,"◆",IF($H66="Yes","X",LEFT($D66,1))),""))</f>
        <v/>
      </c>
      <c r="AG66" s="33">
        <f>IF(OR($E66="",$F66=""),"",IF(AND(AG$4&lt;=$F66,AG$4+6&gt;=$E66),IF($F66-$E66&lt;=2,"◆",IF($H66="Yes","X",LEFT($D66,1))),""))</f>
        <v/>
      </c>
      <c r="AH66" s="33">
        <f>IF(OR($E66="",$F66=""),"",IF(AND(AH$4&lt;=$F66,AH$4+6&gt;=$E66),IF($F66-$E66&lt;=2,"◆",IF($H66="Yes","X",LEFT($D66,1))),""))</f>
        <v/>
      </c>
      <c r="AI66" s="33">
        <f>IF(OR($E66="",$F66=""),"",IF(AND(AI$4&lt;=$F66,AI$4+6&gt;=$E66),IF($F66-$E66&lt;=2,"◆",IF($H66="Yes","X",LEFT($D66,1))),""))</f>
        <v/>
      </c>
      <c r="AJ66" s="33">
        <f>IF(OR($E66="",$F66=""),"",IF(AND(AJ$4&lt;=$F66,AJ$4+6&gt;=$E66),IF($F66-$E66&lt;=2,"◆",IF($H66="Yes","X",LEFT($D66,1))),""))</f>
        <v/>
      </c>
      <c r="AK66" s="33">
        <f>IF(OR($E66="",$F66=""),"",IF(AND(AK$4&lt;=$F66,AK$4+6&gt;=$E66),IF($F66-$E66&lt;=2,"◆",IF($H66="Yes","X",LEFT($D66,1))),""))</f>
        <v/>
      </c>
      <c r="AL66" s="33">
        <f>IF(OR($E66="",$F66=""),"",IF(AND(AL$4&lt;=$F66,AL$4+6&gt;=$E66),IF($F66-$E66&lt;=2,"◆",IF($H66="Yes","X",LEFT($D66,1))),""))</f>
        <v/>
      </c>
      <c r="AM66" s="33">
        <f>IF(OR($E66="",$F66=""),"",IF(AND(AM$4&lt;=$F66,AM$4+6&gt;=$E66),IF($F66-$E66&lt;=2,"◆",IF($H66="Yes","X",LEFT($D66,1))),""))</f>
        <v/>
      </c>
      <c r="AN66" s="33">
        <f>IF(OR($E66="",$F66=""),"",IF(AND(AN$4&lt;=$F66,AN$4+6&gt;=$E66),IF($F66-$E66&lt;=2,"◆",IF($H66="Yes","X",LEFT($D66,1))),""))</f>
        <v/>
      </c>
      <c r="AO66" s="33">
        <f>IF(OR($E66="",$F66=""),"",IF(AND(AO$4&lt;=$F66,AO$4+6&gt;=$E66),IF($F66-$E66&lt;=2,"◆",IF($H66="Yes","X",LEFT($D66,1))),""))</f>
        <v/>
      </c>
      <c r="AP66" s="33">
        <f>IF(OR($E66="",$F66=""),"",IF(AND(AP$4&lt;=$F66,AP$4+6&gt;=$E66),IF($F66-$E66&lt;=2,"◆",IF($H66="Yes","X",LEFT($D66,1))),""))</f>
        <v/>
      </c>
      <c r="AQ66" s="33">
        <f>IF(OR($E66="",$F66=""),"",IF(AND(AQ$4&lt;=$F66,AQ$4+6&gt;=$E66),IF($F66-$E66&lt;=2,"◆",IF($H66="Yes","X",LEFT($D66,1))),""))</f>
        <v/>
      </c>
      <c r="AR66" s="33">
        <f>IF(OR($E66="",$F66=""),"",IF(AND(AR$4&lt;=$F66,AR$4+6&gt;=$E66),IF($F66-$E66&lt;=2,"◆",IF($H66="Yes","X",LEFT($D66,1))),""))</f>
        <v/>
      </c>
      <c r="AS66" s="33">
        <f>IF(OR($E66="",$F66=""),"",IF(AND(AS$4&lt;=$F66,AS$4+6&gt;=$E66),IF($F66-$E66&lt;=2,"◆",IF($H66="Yes","X",LEFT($D66,1))),""))</f>
        <v/>
      </c>
      <c r="AT66" s="33">
        <f>IF(OR($E66="",$F66=""),"",IF(AND(AT$4&lt;=$F66,AT$4+6&gt;=$E66),IF($F66-$E66&lt;=2,"◆",IF($H66="Yes","X",LEFT($D66,1))),""))</f>
        <v/>
      </c>
      <c r="AU66" s="33">
        <f>IF(OR($E66="",$F66=""),"",IF(AND(AU$4&lt;=$F66,AU$4+6&gt;=$E66),IF($F66-$E66&lt;=2,"◆",IF($H66="Yes","X",LEFT($D66,1))),""))</f>
        <v/>
      </c>
      <c r="AV66" s="33">
        <f>IF(OR($E66="",$F66=""),"",IF(AND(AV$4&lt;=$F66,AV$4+6&gt;=$E66),IF($F66-$E66&lt;=2,"◆",IF($H66="Yes","X",LEFT($D66,1))),""))</f>
        <v/>
      </c>
      <c r="AW66" s="33">
        <f>IF(OR($E66="",$F66=""),"",IF(AND(AW$4&lt;=$F66,AW$4+6&gt;=$E66),IF($F66-$E66&lt;=2,"◆",IF($H66="Yes","X",LEFT($D66,1))),""))</f>
        <v/>
      </c>
      <c r="AX66" s="33">
        <f>IF(OR($E66="",$F66=""),"",IF(AND(AX$4&lt;=$F66,AX$4+6&gt;=$E66),IF($F66-$E66&lt;=2,"◆",IF($H66="Yes","X",LEFT($D66,1))),""))</f>
        <v/>
      </c>
      <c r="AY66" s="33">
        <f>IF(OR($E66="",$F66=""),"",IF(AND(AY$4&lt;=$F66,AY$4+6&gt;=$E66),IF($F66-$E66&lt;=2,"◆",IF($H66="Yes","X",LEFT($D66,1))),""))</f>
        <v/>
      </c>
      <c r="AZ66" s="33">
        <f>IF(OR($E66="",$F66=""),"",IF(AND(AZ$4&lt;=$F66,AZ$4+6&gt;=$E66),IF($F66-$E66&lt;=2,"◆",IF($H66="Yes","X",LEFT($D66,1))),""))</f>
        <v/>
      </c>
      <c r="BA66" s="33">
        <f>IF(OR($E66="",$F66=""),"",IF(AND(BA$4&lt;=$F66,BA$4+6&gt;=$E66),IF($F66-$E66&lt;=2,"◆",IF($H66="Yes","X",LEFT($D66,1))),""))</f>
        <v/>
      </c>
      <c r="BB66" s="33">
        <f>IF(OR($E66="",$F66=""),"",IF(AND(BB$4&lt;=$F66,BB$4+6&gt;=$E66),IF($F66-$E66&lt;=2,"◆",IF($H66="Yes","X",LEFT($D66,1))),""))</f>
        <v/>
      </c>
      <c r="BC66" s="33">
        <f>IF(OR($E66="",$F66=""),"",IF(AND(BC$4&lt;=$F66,BC$4+6&gt;=$E66),IF($F66-$E66&lt;=2,"◆",IF($H66="Yes","X",LEFT($D66,1))),""))</f>
        <v/>
      </c>
      <c r="BD66" s="33">
        <f>IF(OR($E66="",$F66=""),"",IF(AND(BD$4&lt;=$F66,BD$4+6&gt;=$E66),IF($F66-$E66&lt;=2,"◆",IF($H66="Yes","X",LEFT($D66,1))),""))</f>
        <v/>
      </c>
      <c r="BE66" s="33">
        <f>IF(OR($E66="",$F66=""),"",IF(AND(BE$4&lt;=$F66,BE$4+6&gt;=$E66),IF($F66-$E66&lt;=2,"◆",IF($H66="Yes","X",LEFT($D66,1))),""))</f>
        <v/>
      </c>
      <c r="BF66" s="33">
        <f>IF(OR($E66="",$F66=""),"",IF(AND(BF$4&lt;=$F66,BF$4+6&gt;=$E66),IF($F66-$E66&lt;=2,"◆",IF($H66="Yes","X",LEFT($D66,1))),""))</f>
        <v/>
      </c>
      <c r="BG66" s="33">
        <f>IF(OR($E66="",$F66=""),"",IF(AND(BG$4&lt;=$F66,BG$4+6&gt;=$E66),IF($F66-$E66&lt;=2,"◆",IF($H66="Yes","X",LEFT($D66,1))),""))</f>
        <v/>
      </c>
      <c r="BH66" s="33">
        <f>IF(OR($E66="",$F66=""),"",IF(AND(BH$4&lt;=$F66,BH$4+6&gt;=$E66),IF($F66-$E66&lt;=2,"◆",IF($H66="Yes","X",LEFT($D66,1))),""))</f>
        <v/>
      </c>
      <c r="BI66" s="33">
        <f>IF(OR($E66="",$F66=""),"",IF(AND(BI$4&lt;=$F66,BI$4+6&gt;=$E66),IF($F66-$E66&lt;=2,"◆",IF($H66="Yes","X",LEFT($D66,1))),""))</f>
        <v/>
      </c>
    </row>
    <row r="67">
      <c r="A67" s="30" t="inlineStr">
        <is>
          <t>T-063</t>
        </is>
      </c>
      <c r="B67" s="30" t="inlineStr">
        <is>
          <t>Command and Query Engine Enhancement with GraphQL Evaluation</t>
        </is>
      </c>
      <c r="C67" s="30" t="inlineStr">
        <is>
          <t>MJ</t>
        </is>
      </c>
      <c r="D67" s="30" t="inlineStr">
        <is>
          <t>Not Started</t>
        </is>
      </c>
      <c r="E67" s="31" t="n">
        <v>46334</v>
      </c>
      <c r="F67" s="31" t="n">
        <v>46373</v>
      </c>
      <c r="G67" s="32" t="n">
        <v>0</v>
      </c>
      <c r="H67" s="30" t="inlineStr">
        <is>
          <t>No</t>
        </is>
      </c>
      <c r="I67" s="33">
        <f>IF(OR($E67="",$F67=""),"",IF(AND(I$4&lt;=$F67,I$4+6&gt;=$E67),IF($F67-$E67&lt;=2,"◆",IF($H67="Yes","X",LEFT($D67,1))),""))</f>
        <v/>
      </c>
      <c r="J67" s="33">
        <f>IF(OR($E67="",$F67=""),"",IF(AND(J$4&lt;=$F67,J$4+6&gt;=$E67),IF($F67-$E67&lt;=2,"◆",IF($H67="Yes","X",LEFT($D67,1))),""))</f>
        <v/>
      </c>
      <c r="K67" s="33">
        <f>IF(OR($E67="",$F67=""),"",IF(AND(K$4&lt;=$F67,K$4+6&gt;=$E67),IF($F67-$E67&lt;=2,"◆",IF($H67="Yes","X",LEFT($D67,1))),""))</f>
        <v/>
      </c>
      <c r="L67" s="33">
        <f>IF(OR($E67="",$F67=""),"",IF(AND(L$4&lt;=$F67,L$4+6&gt;=$E67),IF($F67-$E67&lt;=2,"◆",IF($H67="Yes","X",LEFT($D67,1))),""))</f>
        <v/>
      </c>
      <c r="M67" s="33">
        <f>IF(OR($E67="",$F67=""),"",IF(AND(M$4&lt;=$F67,M$4+6&gt;=$E67),IF($F67-$E67&lt;=2,"◆",IF($H67="Yes","X",LEFT($D67,1))),""))</f>
        <v/>
      </c>
      <c r="N67" s="33">
        <f>IF(OR($E67="",$F67=""),"",IF(AND(N$4&lt;=$F67,N$4+6&gt;=$E67),IF($F67-$E67&lt;=2,"◆",IF($H67="Yes","X",LEFT($D67,1))),""))</f>
        <v/>
      </c>
      <c r="O67" s="33">
        <f>IF(OR($E67="",$F67=""),"",IF(AND(O$4&lt;=$F67,O$4+6&gt;=$E67),IF($F67-$E67&lt;=2,"◆",IF($H67="Yes","X",LEFT($D67,1))),""))</f>
        <v/>
      </c>
      <c r="P67" s="33">
        <f>IF(OR($E67="",$F67=""),"",IF(AND(P$4&lt;=$F67,P$4+6&gt;=$E67),IF($F67-$E67&lt;=2,"◆",IF($H67="Yes","X",LEFT($D67,1))),""))</f>
        <v/>
      </c>
      <c r="Q67" s="33">
        <f>IF(OR($E67="",$F67=""),"",IF(AND(Q$4&lt;=$F67,Q$4+6&gt;=$E67),IF($F67-$E67&lt;=2,"◆",IF($H67="Yes","X",LEFT($D67,1))),""))</f>
        <v/>
      </c>
      <c r="R67" s="33">
        <f>IF(OR($E67="",$F67=""),"",IF(AND(R$4&lt;=$F67,R$4+6&gt;=$E67),IF($F67-$E67&lt;=2,"◆",IF($H67="Yes","X",LEFT($D67,1))),""))</f>
        <v/>
      </c>
      <c r="S67" s="33">
        <f>IF(OR($E67="",$F67=""),"",IF(AND(S$4&lt;=$F67,S$4+6&gt;=$E67),IF($F67-$E67&lt;=2,"◆",IF($H67="Yes","X",LEFT($D67,1))),""))</f>
        <v/>
      </c>
      <c r="T67" s="33">
        <f>IF(OR($E67="",$F67=""),"",IF(AND(T$4&lt;=$F67,T$4+6&gt;=$E67),IF($F67-$E67&lt;=2,"◆",IF($H67="Yes","X",LEFT($D67,1))),""))</f>
        <v/>
      </c>
      <c r="U67" s="33">
        <f>IF(OR($E67="",$F67=""),"",IF(AND(U$4&lt;=$F67,U$4+6&gt;=$E67),IF($F67-$E67&lt;=2,"◆",IF($H67="Yes","X",LEFT($D67,1))),""))</f>
        <v/>
      </c>
      <c r="V67" s="33">
        <f>IF(OR($E67="",$F67=""),"",IF(AND(V$4&lt;=$F67,V$4+6&gt;=$E67),IF($F67-$E67&lt;=2,"◆",IF($H67="Yes","X",LEFT($D67,1))),""))</f>
        <v/>
      </c>
      <c r="W67" s="33">
        <f>IF(OR($E67="",$F67=""),"",IF(AND(W$4&lt;=$F67,W$4+6&gt;=$E67),IF($F67-$E67&lt;=2,"◆",IF($H67="Yes","X",LEFT($D67,1))),""))</f>
        <v/>
      </c>
      <c r="X67" s="33">
        <f>IF(OR($E67="",$F67=""),"",IF(AND(X$4&lt;=$F67,X$4+6&gt;=$E67),IF($F67-$E67&lt;=2,"◆",IF($H67="Yes","X",LEFT($D67,1))),""))</f>
        <v/>
      </c>
      <c r="Y67" s="33">
        <f>IF(OR($E67="",$F67=""),"",IF(AND(Y$4&lt;=$F67,Y$4+6&gt;=$E67),IF($F67-$E67&lt;=2,"◆",IF($H67="Yes","X",LEFT($D67,1))),""))</f>
        <v/>
      </c>
      <c r="Z67" s="33">
        <f>IF(OR($E67="",$F67=""),"",IF(AND(Z$4&lt;=$F67,Z$4+6&gt;=$E67),IF($F67-$E67&lt;=2,"◆",IF($H67="Yes","X",LEFT($D67,1))),""))</f>
        <v/>
      </c>
      <c r="AA67" s="33">
        <f>IF(OR($E67="",$F67=""),"",IF(AND(AA$4&lt;=$F67,AA$4+6&gt;=$E67),IF($F67-$E67&lt;=2,"◆",IF($H67="Yes","X",LEFT($D67,1))),""))</f>
        <v/>
      </c>
      <c r="AB67" s="33">
        <f>IF(OR($E67="",$F67=""),"",IF(AND(AB$4&lt;=$F67,AB$4+6&gt;=$E67),IF($F67-$E67&lt;=2,"◆",IF($H67="Yes","X",LEFT($D67,1))),""))</f>
        <v/>
      </c>
      <c r="AC67" s="33">
        <f>IF(OR($E67="",$F67=""),"",IF(AND(AC$4&lt;=$F67,AC$4+6&gt;=$E67),IF($F67-$E67&lt;=2,"◆",IF($H67="Yes","X",LEFT($D67,1))),""))</f>
        <v/>
      </c>
      <c r="AD67" s="33">
        <f>IF(OR($E67="",$F67=""),"",IF(AND(AD$4&lt;=$F67,AD$4+6&gt;=$E67),IF($F67-$E67&lt;=2,"◆",IF($H67="Yes","X",LEFT($D67,1))),""))</f>
        <v/>
      </c>
      <c r="AE67" s="33">
        <f>IF(OR($E67="",$F67=""),"",IF(AND(AE$4&lt;=$F67,AE$4+6&gt;=$E67),IF($F67-$E67&lt;=2,"◆",IF($H67="Yes","X",LEFT($D67,1))),""))</f>
        <v/>
      </c>
      <c r="AF67" s="33">
        <f>IF(OR($E67="",$F67=""),"",IF(AND(AF$4&lt;=$F67,AF$4+6&gt;=$E67),IF($F67-$E67&lt;=2,"◆",IF($H67="Yes","X",LEFT($D67,1))),""))</f>
        <v/>
      </c>
      <c r="AG67" s="33">
        <f>IF(OR($E67="",$F67=""),"",IF(AND(AG$4&lt;=$F67,AG$4+6&gt;=$E67),IF($F67-$E67&lt;=2,"◆",IF($H67="Yes","X",LEFT($D67,1))),""))</f>
        <v/>
      </c>
      <c r="AH67" s="33">
        <f>IF(OR($E67="",$F67=""),"",IF(AND(AH$4&lt;=$F67,AH$4+6&gt;=$E67),IF($F67-$E67&lt;=2,"◆",IF($H67="Yes","X",LEFT($D67,1))),""))</f>
        <v/>
      </c>
      <c r="AI67" s="33">
        <f>IF(OR($E67="",$F67=""),"",IF(AND(AI$4&lt;=$F67,AI$4+6&gt;=$E67),IF($F67-$E67&lt;=2,"◆",IF($H67="Yes","X",LEFT($D67,1))),""))</f>
        <v/>
      </c>
      <c r="AJ67" s="33">
        <f>IF(OR($E67="",$F67=""),"",IF(AND(AJ$4&lt;=$F67,AJ$4+6&gt;=$E67),IF($F67-$E67&lt;=2,"◆",IF($H67="Yes","X",LEFT($D67,1))),""))</f>
        <v/>
      </c>
      <c r="AK67" s="33">
        <f>IF(OR($E67="",$F67=""),"",IF(AND(AK$4&lt;=$F67,AK$4+6&gt;=$E67),IF($F67-$E67&lt;=2,"◆",IF($H67="Yes","X",LEFT($D67,1))),""))</f>
        <v/>
      </c>
      <c r="AL67" s="33">
        <f>IF(OR($E67="",$F67=""),"",IF(AND(AL$4&lt;=$F67,AL$4+6&gt;=$E67),IF($F67-$E67&lt;=2,"◆",IF($H67="Yes","X",LEFT($D67,1))),""))</f>
        <v/>
      </c>
      <c r="AM67" s="33">
        <f>IF(OR($E67="",$F67=""),"",IF(AND(AM$4&lt;=$F67,AM$4+6&gt;=$E67),IF($F67-$E67&lt;=2,"◆",IF($H67="Yes","X",LEFT($D67,1))),""))</f>
        <v/>
      </c>
      <c r="AN67" s="33">
        <f>IF(OR($E67="",$F67=""),"",IF(AND(AN$4&lt;=$F67,AN$4+6&gt;=$E67),IF($F67-$E67&lt;=2,"◆",IF($H67="Yes","X",LEFT($D67,1))),""))</f>
        <v/>
      </c>
      <c r="AO67" s="33">
        <f>IF(OR($E67="",$F67=""),"",IF(AND(AO$4&lt;=$F67,AO$4+6&gt;=$E67),IF($F67-$E67&lt;=2,"◆",IF($H67="Yes","X",LEFT($D67,1))),""))</f>
        <v/>
      </c>
      <c r="AP67" s="33">
        <f>IF(OR($E67="",$F67=""),"",IF(AND(AP$4&lt;=$F67,AP$4+6&gt;=$E67),IF($F67-$E67&lt;=2,"◆",IF($H67="Yes","X",LEFT($D67,1))),""))</f>
        <v/>
      </c>
      <c r="AQ67" s="33">
        <f>IF(OR($E67="",$F67=""),"",IF(AND(AQ$4&lt;=$F67,AQ$4+6&gt;=$E67),IF($F67-$E67&lt;=2,"◆",IF($H67="Yes","X",LEFT($D67,1))),""))</f>
        <v/>
      </c>
      <c r="AR67" s="33">
        <f>IF(OR($E67="",$F67=""),"",IF(AND(AR$4&lt;=$F67,AR$4+6&gt;=$E67),IF($F67-$E67&lt;=2,"◆",IF($H67="Yes","X",LEFT($D67,1))),""))</f>
        <v/>
      </c>
      <c r="AS67" s="33">
        <f>IF(OR($E67="",$F67=""),"",IF(AND(AS$4&lt;=$F67,AS$4+6&gt;=$E67),IF($F67-$E67&lt;=2,"◆",IF($H67="Yes","X",LEFT($D67,1))),""))</f>
        <v/>
      </c>
      <c r="AT67" s="33">
        <f>IF(OR($E67="",$F67=""),"",IF(AND(AT$4&lt;=$F67,AT$4+6&gt;=$E67),IF($F67-$E67&lt;=2,"◆",IF($H67="Yes","X",LEFT($D67,1))),""))</f>
        <v/>
      </c>
      <c r="AU67" s="33">
        <f>IF(OR($E67="",$F67=""),"",IF(AND(AU$4&lt;=$F67,AU$4+6&gt;=$E67),IF($F67-$E67&lt;=2,"◆",IF($H67="Yes","X",LEFT($D67,1))),""))</f>
        <v/>
      </c>
      <c r="AV67" s="33">
        <f>IF(OR($E67="",$F67=""),"",IF(AND(AV$4&lt;=$F67,AV$4+6&gt;=$E67),IF($F67-$E67&lt;=2,"◆",IF($H67="Yes","X",LEFT($D67,1))),""))</f>
        <v/>
      </c>
      <c r="AW67" s="33">
        <f>IF(OR($E67="",$F67=""),"",IF(AND(AW$4&lt;=$F67,AW$4+6&gt;=$E67),IF($F67-$E67&lt;=2,"◆",IF($H67="Yes","X",LEFT($D67,1))),""))</f>
        <v/>
      </c>
      <c r="AX67" s="33">
        <f>IF(OR($E67="",$F67=""),"",IF(AND(AX$4&lt;=$F67,AX$4+6&gt;=$E67),IF($F67-$E67&lt;=2,"◆",IF($H67="Yes","X",LEFT($D67,1))),""))</f>
        <v/>
      </c>
      <c r="AY67" s="33">
        <f>IF(OR($E67="",$F67=""),"",IF(AND(AY$4&lt;=$F67,AY$4+6&gt;=$E67),IF($F67-$E67&lt;=2,"◆",IF($H67="Yes","X",LEFT($D67,1))),""))</f>
        <v/>
      </c>
      <c r="AZ67" s="33">
        <f>IF(OR($E67="",$F67=""),"",IF(AND(AZ$4&lt;=$F67,AZ$4+6&gt;=$E67),IF($F67-$E67&lt;=2,"◆",IF($H67="Yes","X",LEFT($D67,1))),""))</f>
        <v/>
      </c>
      <c r="BA67" s="33">
        <f>IF(OR($E67="",$F67=""),"",IF(AND(BA$4&lt;=$F67,BA$4+6&gt;=$E67),IF($F67-$E67&lt;=2,"◆",IF($H67="Yes","X",LEFT($D67,1))),""))</f>
        <v/>
      </c>
      <c r="BB67" s="33">
        <f>IF(OR($E67="",$F67=""),"",IF(AND(BB$4&lt;=$F67,BB$4+6&gt;=$E67),IF($F67-$E67&lt;=2,"◆",IF($H67="Yes","X",LEFT($D67,1))),""))</f>
        <v/>
      </c>
      <c r="BC67" s="33">
        <f>IF(OR($E67="",$F67=""),"",IF(AND(BC$4&lt;=$F67,BC$4+6&gt;=$E67),IF($F67-$E67&lt;=2,"◆",IF($H67="Yes","X",LEFT($D67,1))),""))</f>
        <v/>
      </c>
      <c r="BD67" s="33">
        <f>IF(OR($E67="",$F67=""),"",IF(AND(BD$4&lt;=$F67,BD$4+6&gt;=$E67),IF($F67-$E67&lt;=2,"◆",IF($H67="Yes","X",LEFT($D67,1))),""))</f>
        <v/>
      </c>
      <c r="BE67" s="33">
        <f>IF(OR($E67="",$F67=""),"",IF(AND(BE$4&lt;=$F67,BE$4+6&gt;=$E67),IF($F67-$E67&lt;=2,"◆",IF($H67="Yes","X",LEFT($D67,1))),""))</f>
        <v/>
      </c>
      <c r="BF67" s="33">
        <f>IF(OR($E67="",$F67=""),"",IF(AND(BF$4&lt;=$F67,BF$4+6&gt;=$E67),IF($F67-$E67&lt;=2,"◆",IF($H67="Yes","X",LEFT($D67,1))),""))</f>
        <v/>
      </c>
      <c r="BG67" s="33">
        <f>IF(OR($E67="",$F67=""),"",IF(AND(BG$4&lt;=$F67,BG$4+6&gt;=$E67),IF($F67-$E67&lt;=2,"◆",IF($H67="Yes","X",LEFT($D67,1))),""))</f>
        <v/>
      </c>
      <c r="BH67" s="33">
        <f>IF(OR($E67="",$F67=""),"",IF(AND(BH$4&lt;=$F67,BH$4+6&gt;=$E67),IF($F67-$E67&lt;=2,"◆",IF($H67="Yes","X",LEFT($D67,1))),""))</f>
        <v/>
      </c>
      <c r="BI67" s="33">
        <f>IF(OR($E67="",$F67=""),"",IF(AND(BI$4&lt;=$F67,BI$4+6&gt;=$E67),IF($F67-$E67&lt;=2,"◆",IF($H67="Yes","X",LEFT($D67,1))),""))</f>
        <v/>
      </c>
    </row>
    <row r="68">
      <c r="A68" s="30" t="inlineStr">
        <is>
          <t>T-064</t>
        </is>
      </c>
      <c r="B68" s="30" t="inlineStr">
        <is>
          <t>Metadata Services Governance and Validation Enhancements</t>
        </is>
      </c>
      <c r="C68" s="30" t="inlineStr">
        <is>
          <t>MJ</t>
        </is>
      </c>
      <c r="D68" s="30" t="inlineStr">
        <is>
          <t>Not Started</t>
        </is>
      </c>
      <c r="E68" s="31" t="n">
        <v>46299</v>
      </c>
      <c r="F68" s="31" t="n">
        <v>46335</v>
      </c>
      <c r="G68" s="32" t="n">
        <v>0</v>
      </c>
      <c r="H68" s="30" t="inlineStr">
        <is>
          <t>No</t>
        </is>
      </c>
      <c r="I68" s="33">
        <f>IF(OR($E68="",$F68=""),"",IF(AND(I$4&lt;=$F68,I$4+6&gt;=$E68),IF($F68-$E68&lt;=2,"◆",IF($H68="Yes","X",LEFT($D68,1))),""))</f>
        <v/>
      </c>
      <c r="J68" s="33">
        <f>IF(OR($E68="",$F68=""),"",IF(AND(J$4&lt;=$F68,J$4+6&gt;=$E68),IF($F68-$E68&lt;=2,"◆",IF($H68="Yes","X",LEFT($D68,1))),""))</f>
        <v/>
      </c>
      <c r="K68" s="33">
        <f>IF(OR($E68="",$F68=""),"",IF(AND(K$4&lt;=$F68,K$4+6&gt;=$E68),IF($F68-$E68&lt;=2,"◆",IF($H68="Yes","X",LEFT($D68,1))),""))</f>
        <v/>
      </c>
      <c r="L68" s="33">
        <f>IF(OR($E68="",$F68=""),"",IF(AND(L$4&lt;=$F68,L$4+6&gt;=$E68),IF($F68-$E68&lt;=2,"◆",IF($H68="Yes","X",LEFT($D68,1))),""))</f>
        <v/>
      </c>
      <c r="M68" s="33">
        <f>IF(OR($E68="",$F68=""),"",IF(AND(M$4&lt;=$F68,M$4+6&gt;=$E68),IF($F68-$E68&lt;=2,"◆",IF($H68="Yes","X",LEFT($D68,1))),""))</f>
        <v/>
      </c>
      <c r="N68" s="33">
        <f>IF(OR($E68="",$F68=""),"",IF(AND(N$4&lt;=$F68,N$4+6&gt;=$E68),IF($F68-$E68&lt;=2,"◆",IF($H68="Yes","X",LEFT($D68,1))),""))</f>
        <v/>
      </c>
      <c r="O68" s="33">
        <f>IF(OR($E68="",$F68=""),"",IF(AND(O$4&lt;=$F68,O$4+6&gt;=$E68),IF($F68-$E68&lt;=2,"◆",IF($H68="Yes","X",LEFT($D68,1))),""))</f>
        <v/>
      </c>
      <c r="P68" s="33">
        <f>IF(OR($E68="",$F68=""),"",IF(AND(P$4&lt;=$F68,P$4+6&gt;=$E68),IF($F68-$E68&lt;=2,"◆",IF($H68="Yes","X",LEFT($D68,1))),""))</f>
        <v/>
      </c>
      <c r="Q68" s="33">
        <f>IF(OR($E68="",$F68=""),"",IF(AND(Q$4&lt;=$F68,Q$4+6&gt;=$E68),IF($F68-$E68&lt;=2,"◆",IF($H68="Yes","X",LEFT($D68,1))),""))</f>
        <v/>
      </c>
      <c r="R68" s="33">
        <f>IF(OR($E68="",$F68=""),"",IF(AND(R$4&lt;=$F68,R$4+6&gt;=$E68),IF($F68-$E68&lt;=2,"◆",IF($H68="Yes","X",LEFT($D68,1))),""))</f>
        <v/>
      </c>
      <c r="S68" s="33">
        <f>IF(OR($E68="",$F68=""),"",IF(AND(S$4&lt;=$F68,S$4+6&gt;=$E68),IF($F68-$E68&lt;=2,"◆",IF($H68="Yes","X",LEFT($D68,1))),""))</f>
        <v/>
      </c>
      <c r="T68" s="33">
        <f>IF(OR($E68="",$F68=""),"",IF(AND(T$4&lt;=$F68,T$4+6&gt;=$E68),IF($F68-$E68&lt;=2,"◆",IF($H68="Yes","X",LEFT($D68,1))),""))</f>
        <v/>
      </c>
      <c r="U68" s="33">
        <f>IF(OR($E68="",$F68=""),"",IF(AND(U$4&lt;=$F68,U$4+6&gt;=$E68),IF($F68-$E68&lt;=2,"◆",IF($H68="Yes","X",LEFT($D68,1))),""))</f>
        <v/>
      </c>
      <c r="V68" s="33">
        <f>IF(OR($E68="",$F68=""),"",IF(AND(V$4&lt;=$F68,V$4+6&gt;=$E68),IF($F68-$E68&lt;=2,"◆",IF($H68="Yes","X",LEFT($D68,1))),""))</f>
        <v/>
      </c>
      <c r="W68" s="33">
        <f>IF(OR($E68="",$F68=""),"",IF(AND(W$4&lt;=$F68,W$4+6&gt;=$E68),IF($F68-$E68&lt;=2,"◆",IF($H68="Yes","X",LEFT($D68,1))),""))</f>
        <v/>
      </c>
      <c r="X68" s="33">
        <f>IF(OR($E68="",$F68=""),"",IF(AND(X$4&lt;=$F68,X$4+6&gt;=$E68),IF($F68-$E68&lt;=2,"◆",IF($H68="Yes","X",LEFT($D68,1))),""))</f>
        <v/>
      </c>
      <c r="Y68" s="33">
        <f>IF(OR($E68="",$F68=""),"",IF(AND(Y$4&lt;=$F68,Y$4+6&gt;=$E68),IF($F68-$E68&lt;=2,"◆",IF($H68="Yes","X",LEFT($D68,1))),""))</f>
        <v/>
      </c>
      <c r="Z68" s="33">
        <f>IF(OR($E68="",$F68=""),"",IF(AND(Z$4&lt;=$F68,Z$4+6&gt;=$E68),IF($F68-$E68&lt;=2,"◆",IF($H68="Yes","X",LEFT($D68,1))),""))</f>
        <v/>
      </c>
      <c r="AA68" s="33">
        <f>IF(OR($E68="",$F68=""),"",IF(AND(AA$4&lt;=$F68,AA$4+6&gt;=$E68),IF($F68-$E68&lt;=2,"◆",IF($H68="Yes","X",LEFT($D68,1))),""))</f>
        <v/>
      </c>
      <c r="AB68" s="33">
        <f>IF(OR($E68="",$F68=""),"",IF(AND(AB$4&lt;=$F68,AB$4+6&gt;=$E68),IF($F68-$E68&lt;=2,"◆",IF($H68="Yes","X",LEFT($D68,1))),""))</f>
        <v/>
      </c>
      <c r="AC68" s="33">
        <f>IF(OR($E68="",$F68=""),"",IF(AND(AC$4&lt;=$F68,AC$4+6&gt;=$E68),IF($F68-$E68&lt;=2,"◆",IF($H68="Yes","X",LEFT($D68,1))),""))</f>
        <v/>
      </c>
      <c r="AD68" s="33">
        <f>IF(OR($E68="",$F68=""),"",IF(AND(AD$4&lt;=$F68,AD$4+6&gt;=$E68),IF($F68-$E68&lt;=2,"◆",IF($H68="Yes","X",LEFT($D68,1))),""))</f>
        <v/>
      </c>
      <c r="AE68" s="33">
        <f>IF(OR($E68="",$F68=""),"",IF(AND(AE$4&lt;=$F68,AE$4+6&gt;=$E68),IF($F68-$E68&lt;=2,"◆",IF($H68="Yes","X",LEFT($D68,1))),""))</f>
        <v/>
      </c>
      <c r="AF68" s="33">
        <f>IF(OR($E68="",$F68=""),"",IF(AND(AF$4&lt;=$F68,AF$4+6&gt;=$E68),IF($F68-$E68&lt;=2,"◆",IF($H68="Yes","X",LEFT($D68,1))),""))</f>
        <v/>
      </c>
      <c r="AG68" s="33">
        <f>IF(OR($E68="",$F68=""),"",IF(AND(AG$4&lt;=$F68,AG$4+6&gt;=$E68),IF($F68-$E68&lt;=2,"◆",IF($H68="Yes","X",LEFT($D68,1))),""))</f>
        <v/>
      </c>
      <c r="AH68" s="33">
        <f>IF(OR($E68="",$F68=""),"",IF(AND(AH$4&lt;=$F68,AH$4+6&gt;=$E68),IF($F68-$E68&lt;=2,"◆",IF($H68="Yes","X",LEFT($D68,1))),""))</f>
        <v/>
      </c>
      <c r="AI68" s="33">
        <f>IF(OR($E68="",$F68=""),"",IF(AND(AI$4&lt;=$F68,AI$4+6&gt;=$E68),IF($F68-$E68&lt;=2,"◆",IF($H68="Yes","X",LEFT($D68,1))),""))</f>
        <v/>
      </c>
      <c r="AJ68" s="33">
        <f>IF(OR($E68="",$F68=""),"",IF(AND(AJ$4&lt;=$F68,AJ$4+6&gt;=$E68),IF($F68-$E68&lt;=2,"◆",IF($H68="Yes","X",LEFT($D68,1))),""))</f>
        <v/>
      </c>
      <c r="AK68" s="33">
        <f>IF(OR($E68="",$F68=""),"",IF(AND(AK$4&lt;=$F68,AK$4+6&gt;=$E68),IF($F68-$E68&lt;=2,"◆",IF($H68="Yes","X",LEFT($D68,1))),""))</f>
        <v/>
      </c>
      <c r="AL68" s="33">
        <f>IF(OR($E68="",$F68=""),"",IF(AND(AL$4&lt;=$F68,AL$4+6&gt;=$E68),IF($F68-$E68&lt;=2,"◆",IF($H68="Yes","X",LEFT($D68,1))),""))</f>
        <v/>
      </c>
      <c r="AM68" s="33">
        <f>IF(OR($E68="",$F68=""),"",IF(AND(AM$4&lt;=$F68,AM$4+6&gt;=$E68),IF($F68-$E68&lt;=2,"◆",IF($H68="Yes","X",LEFT($D68,1))),""))</f>
        <v/>
      </c>
      <c r="AN68" s="33">
        <f>IF(OR($E68="",$F68=""),"",IF(AND(AN$4&lt;=$F68,AN$4+6&gt;=$E68),IF($F68-$E68&lt;=2,"◆",IF($H68="Yes","X",LEFT($D68,1))),""))</f>
        <v/>
      </c>
      <c r="AO68" s="33">
        <f>IF(OR($E68="",$F68=""),"",IF(AND(AO$4&lt;=$F68,AO$4+6&gt;=$E68),IF($F68-$E68&lt;=2,"◆",IF($H68="Yes","X",LEFT($D68,1))),""))</f>
        <v/>
      </c>
      <c r="AP68" s="33">
        <f>IF(OR($E68="",$F68=""),"",IF(AND(AP$4&lt;=$F68,AP$4+6&gt;=$E68),IF($F68-$E68&lt;=2,"◆",IF($H68="Yes","X",LEFT($D68,1))),""))</f>
        <v/>
      </c>
      <c r="AQ68" s="33">
        <f>IF(OR($E68="",$F68=""),"",IF(AND(AQ$4&lt;=$F68,AQ$4+6&gt;=$E68),IF($F68-$E68&lt;=2,"◆",IF($H68="Yes","X",LEFT($D68,1))),""))</f>
        <v/>
      </c>
      <c r="AR68" s="33">
        <f>IF(OR($E68="",$F68=""),"",IF(AND(AR$4&lt;=$F68,AR$4+6&gt;=$E68),IF($F68-$E68&lt;=2,"◆",IF($H68="Yes","X",LEFT($D68,1))),""))</f>
        <v/>
      </c>
      <c r="AS68" s="33">
        <f>IF(OR($E68="",$F68=""),"",IF(AND(AS$4&lt;=$F68,AS$4+6&gt;=$E68),IF($F68-$E68&lt;=2,"◆",IF($H68="Yes","X",LEFT($D68,1))),""))</f>
        <v/>
      </c>
      <c r="AT68" s="33">
        <f>IF(OR($E68="",$F68=""),"",IF(AND(AT$4&lt;=$F68,AT$4+6&gt;=$E68),IF($F68-$E68&lt;=2,"◆",IF($H68="Yes","X",LEFT($D68,1))),""))</f>
        <v/>
      </c>
      <c r="AU68" s="33">
        <f>IF(OR($E68="",$F68=""),"",IF(AND(AU$4&lt;=$F68,AU$4+6&gt;=$E68),IF($F68-$E68&lt;=2,"◆",IF($H68="Yes","X",LEFT($D68,1))),""))</f>
        <v/>
      </c>
      <c r="AV68" s="33">
        <f>IF(OR($E68="",$F68=""),"",IF(AND(AV$4&lt;=$F68,AV$4+6&gt;=$E68),IF($F68-$E68&lt;=2,"◆",IF($H68="Yes","X",LEFT($D68,1))),""))</f>
        <v/>
      </c>
      <c r="AW68" s="33">
        <f>IF(OR($E68="",$F68=""),"",IF(AND(AW$4&lt;=$F68,AW$4+6&gt;=$E68),IF($F68-$E68&lt;=2,"◆",IF($H68="Yes","X",LEFT($D68,1))),""))</f>
        <v/>
      </c>
      <c r="AX68" s="33">
        <f>IF(OR($E68="",$F68=""),"",IF(AND(AX$4&lt;=$F68,AX$4+6&gt;=$E68),IF($F68-$E68&lt;=2,"◆",IF($H68="Yes","X",LEFT($D68,1))),""))</f>
        <v/>
      </c>
      <c r="AY68" s="33">
        <f>IF(OR($E68="",$F68=""),"",IF(AND(AY$4&lt;=$F68,AY$4+6&gt;=$E68),IF($F68-$E68&lt;=2,"◆",IF($H68="Yes","X",LEFT($D68,1))),""))</f>
        <v/>
      </c>
      <c r="AZ68" s="33">
        <f>IF(OR($E68="",$F68=""),"",IF(AND(AZ$4&lt;=$F68,AZ$4+6&gt;=$E68),IF($F68-$E68&lt;=2,"◆",IF($H68="Yes","X",LEFT($D68,1))),""))</f>
        <v/>
      </c>
      <c r="BA68" s="33">
        <f>IF(OR($E68="",$F68=""),"",IF(AND(BA$4&lt;=$F68,BA$4+6&gt;=$E68),IF($F68-$E68&lt;=2,"◆",IF($H68="Yes","X",LEFT($D68,1))),""))</f>
        <v/>
      </c>
      <c r="BB68" s="33">
        <f>IF(OR($E68="",$F68=""),"",IF(AND(BB$4&lt;=$F68,BB$4+6&gt;=$E68),IF($F68-$E68&lt;=2,"◆",IF($H68="Yes","X",LEFT($D68,1))),""))</f>
        <v/>
      </c>
      <c r="BC68" s="33">
        <f>IF(OR($E68="",$F68=""),"",IF(AND(BC$4&lt;=$F68,BC$4+6&gt;=$E68),IF($F68-$E68&lt;=2,"◆",IF($H68="Yes","X",LEFT($D68,1))),""))</f>
        <v/>
      </c>
      <c r="BD68" s="33">
        <f>IF(OR($E68="",$F68=""),"",IF(AND(BD$4&lt;=$F68,BD$4+6&gt;=$E68),IF($F68-$E68&lt;=2,"◆",IF($H68="Yes","X",LEFT($D68,1))),""))</f>
        <v/>
      </c>
      <c r="BE68" s="33">
        <f>IF(OR($E68="",$F68=""),"",IF(AND(BE$4&lt;=$F68,BE$4+6&gt;=$E68),IF($F68-$E68&lt;=2,"◆",IF($H68="Yes","X",LEFT($D68,1))),""))</f>
        <v/>
      </c>
      <c r="BF68" s="33">
        <f>IF(OR($E68="",$F68=""),"",IF(AND(BF$4&lt;=$F68,BF$4+6&gt;=$E68),IF($F68-$E68&lt;=2,"◆",IF($H68="Yes","X",LEFT($D68,1))),""))</f>
        <v/>
      </c>
      <c r="BG68" s="33">
        <f>IF(OR($E68="",$F68=""),"",IF(AND(BG$4&lt;=$F68,BG$4+6&gt;=$E68),IF($F68-$E68&lt;=2,"◆",IF($H68="Yes","X",LEFT($D68,1))),""))</f>
        <v/>
      </c>
      <c r="BH68" s="33">
        <f>IF(OR($E68="",$F68=""),"",IF(AND(BH$4&lt;=$F68,BH$4+6&gt;=$E68),IF($F68-$E68&lt;=2,"◆",IF($H68="Yes","X",LEFT($D68,1))),""))</f>
        <v/>
      </c>
      <c r="BI68" s="33">
        <f>IF(OR($E68="",$F68=""),"",IF(AND(BI$4&lt;=$F68,BI$4+6&gt;=$E68),IF($F68-$E68&lt;=2,"◆",IF($H68="Yes","X",LEFT($D68,1))),""))</f>
        <v/>
      </c>
    </row>
    <row r="69">
      <c r="A69" s="30" t="inlineStr">
        <is>
          <t>T-065</t>
        </is>
      </c>
      <c r="B69" s="30" t="inlineStr">
        <is>
          <t>Connector Specific Property Model Enhancement</t>
        </is>
      </c>
      <c r="C69" s="30" t="inlineStr">
        <is>
          <t>MJ</t>
        </is>
      </c>
      <c r="D69" s="30" t="inlineStr">
        <is>
          <t>Not Started</t>
        </is>
      </c>
      <c r="E69" s="31" t="n">
        <v>46324</v>
      </c>
      <c r="F69" s="31" t="n">
        <v>46350</v>
      </c>
      <c r="G69" s="32" t="n">
        <v>0</v>
      </c>
      <c r="H69" s="30" t="inlineStr">
        <is>
          <t>No</t>
        </is>
      </c>
      <c r="I69" s="33">
        <f>IF(OR($E69="",$F69=""),"",IF(AND(I$4&lt;=$F69,I$4+6&gt;=$E69),IF($F69-$E69&lt;=2,"◆",IF($H69="Yes","X",LEFT($D69,1))),""))</f>
        <v/>
      </c>
      <c r="J69" s="33">
        <f>IF(OR($E69="",$F69=""),"",IF(AND(J$4&lt;=$F69,J$4+6&gt;=$E69),IF($F69-$E69&lt;=2,"◆",IF($H69="Yes","X",LEFT($D69,1))),""))</f>
        <v/>
      </c>
      <c r="K69" s="33">
        <f>IF(OR($E69="",$F69=""),"",IF(AND(K$4&lt;=$F69,K$4+6&gt;=$E69),IF($F69-$E69&lt;=2,"◆",IF($H69="Yes","X",LEFT($D69,1))),""))</f>
        <v/>
      </c>
      <c r="L69" s="33">
        <f>IF(OR($E69="",$F69=""),"",IF(AND(L$4&lt;=$F69,L$4+6&gt;=$E69),IF($F69-$E69&lt;=2,"◆",IF($H69="Yes","X",LEFT($D69,1))),""))</f>
        <v/>
      </c>
      <c r="M69" s="33">
        <f>IF(OR($E69="",$F69=""),"",IF(AND(M$4&lt;=$F69,M$4+6&gt;=$E69),IF($F69-$E69&lt;=2,"◆",IF($H69="Yes","X",LEFT($D69,1))),""))</f>
        <v/>
      </c>
      <c r="N69" s="33">
        <f>IF(OR($E69="",$F69=""),"",IF(AND(N$4&lt;=$F69,N$4+6&gt;=$E69),IF($F69-$E69&lt;=2,"◆",IF($H69="Yes","X",LEFT($D69,1))),""))</f>
        <v/>
      </c>
      <c r="O69" s="33">
        <f>IF(OR($E69="",$F69=""),"",IF(AND(O$4&lt;=$F69,O$4+6&gt;=$E69),IF($F69-$E69&lt;=2,"◆",IF($H69="Yes","X",LEFT($D69,1))),""))</f>
        <v/>
      </c>
      <c r="P69" s="33">
        <f>IF(OR($E69="",$F69=""),"",IF(AND(P$4&lt;=$F69,P$4+6&gt;=$E69),IF($F69-$E69&lt;=2,"◆",IF($H69="Yes","X",LEFT($D69,1))),""))</f>
        <v/>
      </c>
      <c r="Q69" s="33">
        <f>IF(OR($E69="",$F69=""),"",IF(AND(Q$4&lt;=$F69,Q$4+6&gt;=$E69),IF($F69-$E69&lt;=2,"◆",IF($H69="Yes","X",LEFT($D69,1))),""))</f>
        <v/>
      </c>
      <c r="R69" s="33">
        <f>IF(OR($E69="",$F69=""),"",IF(AND(R$4&lt;=$F69,R$4+6&gt;=$E69),IF($F69-$E69&lt;=2,"◆",IF($H69="Yes","X",LEFT($D69,1))),""))</f>
        <v/>
      </c>
      <c r="S69" s="33">
        <f>IF(OR($E69="",$F69=""),"",IF(AND(S$4&lt;=$F69,S$4+6&gt;=$E69),IF($F69-$E69&lt;=2,"◆",IF($H69="Yes","X",LEFT($D69,1))),""))</f>
        <v/>
      </c>
      <c r="T69" s="33">
        <f>IF(OR($E69="",$F69=""),"",IF(AND(T$4&lt;=$F69,T$4+6&gt;=$E69),IF($F69-$E69&lt;=2,"◆",IF($H69="Yes","X",LEFT($D69,1))),""))</f>
        <v/>
      </c>
      <c r="U69" s="33">
        <f>IF(OR($E69="",$F69=""),"",IF(AND(U$4&lt;=$F69,U$4+6&gt;=$E69),IF($F69-$E69&lt;=2,"◆",IF($H69="Yes","X",LEFT($D69,1))),""))</f>
        <v/>
      </c>
      <c r="V69" s="33">
        <f>IF(OR($E69="",$F69=""),"",IF(AND(V$4&lt;=$F69,V$4+6&gt;=$E69),IF($F69-$E69&lt;=2,"◆",IF($H69="Yes","X",LEFT($D69,1))),""))</f>
        <v/>
      </c>
      <c r="W69" s="33">
        <f>IF(OR($E69="",$F69=""),"",IF(AND(W$4&lt;=$F69,W$4+6&gt;=$E69),IF($F69-$E69&lt;=2,"◆",IF($H69="Yes","X",LEFT($D69,1))),""))</f>
        <v/>
      </c>
      <c r="X69" s="33">
        <f>IF(OR($E69="",$F69=""),"",IF(AND(X$4&lt;=$F69,X$4+6&gt;=$E69),IF($F69-$E69&lt;=2,"◆",IF($H69="Yes","X",LEFT($D69,1))),""))</f>
        <v/>
      </c>
      <c r="Y69" s="33">
        <f>IF(OR($E69="",$F69=""),"",IF(AND(Y$4&lt;=$F69,Y$4+6&gt;=$E69),IF($F69-$E69&lt;=2,"◆",IF($H69="Yes","X",LEFT($D69,1))),""))</f>
        <v/>
      </c>
      <c r="Z69" s="33">
        <f>IF(OR($E69="",$F69=""),"",IF(AND(Z$4&lt;=$F69,Z$4+6&gt;=$E69),IF($F69-$E69&lt;=2,"◆",IF($H69="Yes","X",LEFT($D69,1))),""))</f>
        <v/>
      </c>
      <c r="AA69" s="33">
        <f>IF(OR($E69="",$F69=""),"",IF(AND(AA$4&lt;=$F69,AA$4+6&gt;=$E69),IF($F69-$E69&lt;=2,"◆",IF($H69="Yes","X",LEFT($D69,1))),""))</f>
        <v/>
      </c>
      <c r="AB69" s="33">
        <f>IF(OR($E69="",$F69=""),"",IF(AND(AB$4&lt;=$F69,AB$4+6&gt;=$E69),IF($F69-$E69&lt;=2,"◆",IF($H69="Yes","X",LEFT($D69,1))),""))</f>
        <v/>
      </c>
      <c r="AC69" s="33">
        <f>IF(OR($E69="",$F69=""),"",IF(AND(AC$4&lt;=$F69,AC$4+6&gt;=$E69),IF($F69-$E69&lt;=2,"◆",IF($H69="Yes","X",LEFT($D69,1))),""))</f>
        <v/>
      </c>
      <c r="AD69" s="33">
        <f>IF(OR($E69="",$F69=""),"",IF(AND(AD$4&lt;=$F69,AD$4+6&gt;=$E69),IF($F69-$E69&lt;=2,"◆",IF($H69="Yes","X",LEFT($D69,1))),""))</f>
        <v/>
      </c>
      <c r="AE69" s="33">
        <f>IF(OR($E69="",$F69=""),"",IF(AND(AE$4&lt;=$F69,AE$4+6&gt;=$E69),IF($F69-$E69&lt;=2,"◆",IF($H69="Yes","X",LEFT($D69,1))),""))</f>
        <v/>
      </c>
      <c r="AF69" s="33">
        <f>IF(OR($E69="",$F69=""),"",IF(AND(AF$4&lt;=$F69,AF$4+6&gt;=$E69),IF($F69-$E69&lt;=2,"◆",IF($H69="Yes","X",LEFT($D69,1))),""))</f>
        <v/>
      </c>
      <c r="AG69" s="33">
        <f>IF(OR($E69="",$F69=""),"",IF(AND(AG$4&lt;=$F69,AG$4+6&gt;=$E69),IF($F69-$E69&lt;=2,"◆",IF($H69="Yes","X",LEFT($D69,1))),""))</f>
        <v/>
      </c>
      <c r="AH69" s="33">
        <f>IF(OR($E69="",$F69=""),"",IF(AND(AH$4&lt;=$F69,AH$4+6&gt;=$E69),IF($F69-$E69&lt;=2,"◆",IF($H69="Yes","X",LEFT($D69,1))),""))</f>
        <v/>
      </c>
      <c r="AI69" s="33">
        <f>IF(OR($E69="",$F69=""),"",IF(AND(AI$4&lt;=$F69,AI$4+6&gt;=$E69),IF($F69-$E69&lt;=2,"◆",IF($H69="Yes","X",LEFT($D69,1))),""))</f>
        <v/>
      </c>
      <c r="AJ69" s="33">
        <f>IF(OR($E69="",$F69=""),"",IF(AND(AJ$4&lt;=$F69,AJ$4+6&gt;=$E69),IF($F69-$E69&lt;=2,"◆",IF($H69="Yes","X",LEFT($D69,1))),""))</f>
        <v/>
      </c>
      <c r="AK69" s="33">
        <f>IF(OR($E69="",$F69=""),"",IF(AND(AK$4&lt;=$F69,AK$4+6&gt;=$E69),IF($F69-$E69&lt;=2,"◆",IF($H69="Yes","X",LEFT($D69,1))),""))</f>
        <v/>
      </c>
      <c r="AL69" s="33">
        <f>IF(OR($E69="",$F69=""),"",IF(AND(AL$4&lt;=$F69,AL$4+6&gt;=$E69),IF($F69-$E69&lt;=2,"◆",IF($H69="Yes","X",LEFT($D69,1))),""))</f>
        <v/>
      </c>
      <c r="AM69" s="33">
        <f>IF(OR($E69="",$F69=""),"",IF(AND(AM$4&lt;=$F69,AM$4+6&gt;=$E69),IF($F69-$E69&lt;=2,"◆",IF($H69="Yes","X",LEFT($D69,1))),""))</f>
        <v/>
      </c>
      <c r="AN69" s="33">
        <f>IF(OR($E69="",$F69=""),"",IF(AND(AN$4&lt;=$F69,AN$4+6&gt;=$E69),IF($F69-$E69&lt;=2,"◆",IF($H69="Yes","X",LEFT($D69,1))),""))</f>
        <v/>
      </c>
      <c r="AO69" s="33">
        <f>IF(OR($E69="",$F69=""),"",IF(AND(AO$4&lt;=$F69,AO$4+6&gt;=$E69),IF($F69-$E69&lt;=2,"◆",IF($H69="Yes","X",LEFT($D69,1))),""))</f>
        <v/>
      </c>
      <c r="AP69" s="33">
        <f>IF(OR($E69="",$F69=""),"",IF(AND(AP$4&lt;=$F69,AP$4+6&gt;=$E69),IF($F69-$E69&lt;=2,"◆",IF($H69="Yes","X",LEFT($D69,1))),""))</f>
        <v/>
      </c>
      <c r="AQ69" s="33">
        <f>IF(OR($E69="",$F69=""),"",IF(AND(AQ$4&lt;=$F69,AQ$4+6&gt;=$E69),IF($F69-$E69&lt;=2,"◆",IF($H69="Yes","X",LEFT($D69,1))),""))</f>
        <v/>
      </c>
      <c r="AR69" s="33">
        <f>IF(OR($E69="",$F69=""),"",IF(AND(AR$4&lt;=$F69,AR$4+6&gt;=$E69),IF($F69-$E69&lt;=2,"◆",IF($H69="Yes","X",LEFT($D69,1))),""))</f>
        <v/>
      </c>
      <c r="AS69" s="33">
        <f>IF(OR($E69="",$F69=""),"",IF(AND(AS$4&lt;=$F69,AS$4+6&gt;=$E69),IF($F69-$E69&lt;=2,"◆",IF($H69="Yes","X",LEFT($D69,1))),""))</f>
        <v/>
      </c>
      <c r="AT69" s="33">
        <f>IF(OR($E69="",$F69=""),"",IF(AND(AT$4&lt;=$F69,AT$4+6&gt;=$E69),IF($F69-$E69&lt;=2,"◆",IF($H69="Yes","X",LEFT($D69,1))),""))</f>
        <v/>
      </c>
      <c r="AU69" s="33">
        <f>IF(OR($E69="",$F69=""),"",IF(AND(AU$4&lt;=$F69,AU$4+6&gt;=$E69),IF($F69-$E69&lt;=2,"◆",IF($H69="Yes","X",LEFT($D69,1))),""))</f>
        <v/>
      </c>
      <c r="AV69" s="33">
        <f>IF(OR($E69="",$F69=""),"",IF(AND(AV$4&lt;=$F69,AV$4+6&gt;=$E69),IF($F69-$E69&lt;=2,"◆",IF($H69="Yes","X",LEFT($D69,1))),""))</f>
        <v/>
      </c>
      <c r="AW69" s="33">
        <f>IF(OR($E69="",$F69=""),"",IF(AND(AW$4&lt;=$F69,AW$4+6&gt;=$E69),IF($F69-$E69&lt;=2,"◆",IF($H69="Yes","X",LEFT($D69,1))),""))</f>
        <v/>
      </c>
      <c r="AX69" s="33">
        <f>IF(OR($E69="",$F69=""),"",IF(AND(AX$4&lt;=$F69,AX$4+6&gt;=$E69),IF($F69-$E69&lt;=2,"◆",IF($H69="Yes","X",LEFT($D69,1))),""))</f>
        <v/>
      </c>
      <c r="AY69" s="33">
        <f>IF(OR($E69="",$F69=""),"",IF(AND(AY$4&lt;=$F69,AY$4+6&gt;=$E69),IF($F69-$E69&lt;=2,"◆",IF($H69="Yes","X",LEFT($D69,1))),""))</f>
        <v/>
      </c>
      <c r="AZ69" s="33">
        <f>IF(OR($E69="",$F69=""),"",IF(AND(AZ$4&lt;=$F69,AZ$4+6&gt;=$E69),IF($F69-$E69&lt;=2,"◆",IF($H69="Yes","X",LEFT($D69,1))),""))</f>
        <v/>
      </c>
      <c r="BA69" s="33">
        <f>IF(OR($E69="",$F69=""),"",IF(AND(BA$4&lt;=$F69,BA$4+6&gt;=$E69),IF($F69-$E69&lt;=2,"◆",IF($H69="Yes","X",LEFT($D69,1))),""))</f>
        <v/>
      </c>
      <c r="BB69" s="33">
        <f>IF(OR($E69="",$F69=""),"",IF(AND(BB$4&lt;=$F69,BB$4+6&gt;=$E69),IF($F69-$E69&lt;=2,"◆",IF($H69="Yes","X",LEFT($D69,1))),""))</f>
        <v/>
      </c>
      <c r="BC69" s="33">
        <f>IF(OR($E69="",$F69=""),"",IF(AND(BC$4&lt;=$F69,BC$4+6&gt;=$E69),IF($F69-$E69&lt;=2,"◆",IF($H69="Yes","X",LEFT($D69,1))),""))</f>
        <v/>
      </c>
      <c r="BD69" s="33">
        <f>IF(OR($E69="",$F69=""),"",IF(AND(BD$4&lt;=$F69,BD$4+6&gt;=$E69),IF($F69-$E69&lt;=2,"◆",IF($H69="Yes","X",LEFT($D69,1))),""))</f>
        <v/>
      </c>
      <c r="BE69" s="33">
        <f>IF(OR($E69="",$F69=""),"",IF(AND(BE$4&lt;=$F69,BE$4+6&gt;=$E69),IF($F69-$E69&lt;=2,"◆",IF($H69="Yes","X",LEFT($D69,1))),""))</f>
        <v/>
      </c>
      <c r="BF69" s="33">
        <f>IF(OR($E69="",$F69=""),"",IF(AND(BF$4&lt;=$F69,BF$4+6&gt;=$E69),IF($F69-$E69&lt;=2,"◆",IF($H69="Yes","X",LEFT($D69,1))),""))</f>
        <v/>
      </c>
      <c r="BG69" s="33">
        <f>IF(OR($E69="",$F69=""),"",IF(AND(BG$4&lt;=$F69,BG$4+6&gt;=$E69),IF($F69-$E69&lt;=2,"◆",IF($H69="Yes","X",LEFT($D69,1))),""))</f>
        <v/>
      </c>
      <c r="BH69" s="33">
        <f>IF(OR($E69="",$F69=""),"",IF(AND(BH$4&lt;=$F69,BH$4+6&gt;=$E69),IF($F69-$E69&lt;=2,"◆",IF($H69="Yes","X",LEFT($D69,1))),""))</f>
        <v/>
      </c>
      <c r="BI69" s="33">
        <f>IF(OR($E69="",$F69=""),"",IF(AND(BI$4&lt;=$F69,BI$4+6&gt;=$E69),IF($F69-$E69&lt;=2,"◆",IF($H69="Yes","X",LEFT($D69,1))),""))</f>
        <v/>
      </c>
    </row>
    <row r="70">
      <c r="A70" s="30" t="inlineStr">
        <is>
          <t>T-066</t>
        </is>
      </c>
      <c r="B70" s="30" t="inlineStr">
        <is>
          <t>Disaster Recovery Drill and Runbook Execution</t>
        </is>
      </c>
      <c r="C70" s="30" t="inlineStr">
        <is>
          <t>Jawahar</t>
        </is>
      </c>
      <c r="D70" s="30" t="inlineStr">
        <is>
          <t>Not Started</t>
        </is>
      </c>
      <c r="E70" s="31" t="n">
        <v>46331</v>
      </c>
      <c r="F70" s="31" t="n">
        <v>46337</v>
      </c>
      <c r="G70" s="32" t="n">
        <v>0</v>
      </c>
      <c r="H70" s="30" t="inlineStr">
        <is>
          <t>No</t>
        </is>
      </c>
      <c r="I70" s="33">
        <f>IF(OR($E70="",$F70=""),"",IF(AND(I$4&lt;=$F70,I$4+6&gt;=$E70),IF($F70-$E70&lt;=2,"◆",IF($H70="Yes","X",LEFT($D70,1))),""))</f>
        <v/>
      </c>
      <c r="J70" s="33">
        <f>IF(OR($E70="",$F70=""),"",IF(AND(J$4&lt;=$F70,J$4+6&gt;=$E70),IF($F70-$E70&lt;=2,"◆",IF($H70="Yes","X",LEFT($D70,1))),""))</f>
        <v/>
      </c>
      <c r="K70" s="33">
        <f>IF(OR($E70="",$F70=""),"",IF(AND(K$4&lt;=$F70,K$4+6&gt;=$E70),IF($F70-$E70&lt;=2,"◆",IF($H70="Yes","X",LEFT($D70,1))),""))</f>
        <v/>
      </c>
      <c r="L70" s="33">
        <f>IF(OR($E70="",$F70=""),"",IF(AND(L$4&lt;=$F70,L$4+6&gt;=$E70),IF($F70-$E70&lt;=2,"◆",IF($H70="Yes","X",LEFT($D70,1))),""))</f>
        <v/>
      </c>
      <c r="M70" s="33">
        <f>IF(OR($E70="",$F70=""),"",IF(AND(M$4&lt;=$F70,M$4+6&gt;=$E70),IF($F70-$E70&lt;=2,"◆",IF($H70="Yes","X",LEFT($D70,1))),""))</f>
        <v/>
      </c>
      <c r="N70" s="33">
        <f>IF(OR($E70="",$F70=""),"",IF(AND(N$4&lt;=$F70,N$4+6&gt;=$E70),IF($F70-$E70&lt;=2,"◆",IF($H70="Yes","X",LEFT($D70,1))),""))</f>
        <v/>
      </c>
      <c r="O70" s="33">
        <f>IF(OR($E70="",$F70=""),"",IF(AND(O$4&lt;=$F70,O$4+6&gt;=$E70),IF($F70-$E70&lt;=2,"◆",IF($H70="Yes","X",LEFT($D70,1))),""))</f>
        <v/>
      </c>
      <c r="P70" s="33">
        <f>IF(OR($E70="",$F70=""),"",IF(AND(P$4&lt;=$F70,P$4+6&gt;=$E70),IF($F70-$E70&lt;=2,"◆",IF($H70="Yes","X",LEFT($D70,1))),""))</f>
        <v/>
      </c>
      <c r="Q70" s="33">
        <f>IF(OR($E70="",$F70=""),"",IF(AND(Q$4&lt;=$F70,Q$4+6&gt;=$E70),IF($F70-$E70&lt;=2,"◆",IF($H70="Yes","X",LEFT($D70,1))),""))</f>
        <v/>
      </c>
      <c r="R70" s="33">
        <f>IF(OR($E70="",$F70=""),"",IF(AND(R$4&lt;=$F70,R$4+6&gt;=$E70),IF($F70-$E70&lt;=2,"◆",IF($H70="Yes","X",LEFT($D70,1))),""))</f>
        <v/>
      </c>
      <c r="S70" s="33">
        <f>IF(OR($E70="",$F70=""),"",IF(AND(S$4&lt;=$F70,S$4+6&gt;=$E70),IF($F70-$E70&lt;=2,"◆",IF($H70="Yes","X",LEFT($D70,1))),""))</f>
        <v/>
      </c>
      <c r="T70" s="33">
        <f>IF(OR($E70="",$F70=""),"",IF(AND(T$4&lt;=$F70,T$4+6&gt;=$E70),IF($F70-$E70&lt;=2,"◆",IF($H70="Yes","X",LEFT($D70,1))),""))</f>
        <v/>
      </c>
      <c r="U70" s="33">
        <f>IF(OR($E70="",$F70=""),"",IF(AND(U$4&lt;=$F70,U$4+6&gt;=$E70),IF($F70-$E70&lt;=2,"◆",IF($H70="Yes","X",LEFT($D70,1))),""))</f>
        <v/>
      </c>
      <c r="V70" s="33">
        <f>IF(OR($E70="",$F70=""),"",IF(AND(V$4&lt;=$F70,V$4+6&gt;=$E70),IF($F70-$E70&lt;=2,"◆",IF($H70="Yes","X",LEFT($D70,1))),""))</f>
        <v/>
      </c>
      <c r="W70" s="33">
        <f>IF(OR($E70="",$F70=""),"",IF(AND(W$4&lt;=$F70,W$4+6&gt;=$E70),IF($F70-$E70&lt;=2,"◆",IF($H70="Yes","X",LEFT($D70,1))),""))</f>
        <v/>
      </c>
      <c r="X70" s="33">
        <f>IF(OR($E70="",$F70=""),"",IF(AND(X$4&lt;=$F70,X$4+6&gt;=$E70),IF($F70-$E70&lt;=2,"◆",IF($H70="Yes","X",LEFT($D70,1))),""))</f>
        <v/>
      </c>
      <c r="Y70" s="33">
        <f>IF(OR($E70="",$F70=""),"",IF(AND(Y$4&lt;=$F70,Y$4+6&gt;=$E70),IF($F70-$E70&lt;=2,"◆",IF($H70="Yes","X",LEFT($D70,1))),""))</f>
        <v/>
      </c>
      <c r="Z70" s="33">
        <f>IF(OR($E70="",$F70=""),"",IF(AND(Z$4&lt;=$F70,Z$4+6&gt;=$E70),IF($F70-$E70&lt;=2,"◆",IF($H70="Yes","X",LEFT($D70,1))),""))</f>
        <v/>
      </c>
      <c r="AA70" s="33">
        <f>IF(OR($E70="",$F70=""),"",IF(AND(AA$4&lt;=$F70,AA$4+6&gt;=$E70),IF($F70-$E70&lt;=2,"◆",IF($H70="Yes","X",LEFT($D70,1))),""))</f>
        <v/>
      </c>
      <c r="AB70" s="33">
        <f>IF(OR($E70="",$F70=""),"",IF(AND(AB$4&lt;=$F70,AB$4+6&gt;=$E70),IF($F70-$E70&lt;=2,"◆",IF($H70="Yes","X",LEFT($D70,1))),""))</f>
        <v/>
      </c>
      <c r="AC70" s="33">
        <f>IF(OR($E70="",$F70=""),"",IF(AND(AC$4&lt;=$F70,AC$4+6&gt;=$E70),IF($F70-$E70&lt;=2,"◆",IF($H70="Yes","X",LEFT($D70,1))),""))</f>
        <v/>
      </c>
      <c r="AD70" s="33">
        <f>IF(OR($E70="",$F70=""),"",IF(AND(AD$4&lt;=$F70,AD$4+6&gt;=$E70),IF($F70-$E70&lt;=2,"◆",IF($H70="Yes","X",LEFT($D70,1))),""))</f>
        <v/>
      </c>
      <c r="AE70" s="33">
        <f>IF(OR($E70="",$F70=""),"",IF(AND(AE$4&lt;=$F70,AE$4+6&gt;=$E70),IF($F70-$E70&lt;=2,"◆",IF($H70="Yes","X",LEFT($D70,1))),""))</f>
        <v/>
      </c>
      <c r="AF70" s="33">
        <f>IF(OR($E70="",$F70=""),"",IF(AND(AF$4&lt;=$F70,AF$4+6&gt;=$E70),IF($F70-$E70&lt;=2,"◆",IF($H70="Yes","X",LEFT($D70,1))),""))</f>
        <v/>
      </c>
      <c r="AG70" s="33">
        <f>IF(OR($E70="",$F70=""),"",IF(AND(AG$4&lt;=$F70,AG$4+6&gt;=$E70),IF($F70-$E70&lt;=2,"◆",IF($H70="Yes","X",LEFT($D70,1))),""))</f>
        <v/>
      </c>
      <c r="AH70" s="33">
        <f>IF(OR($E70="",$F70=""),"",IF(AND(AH$4&lt;=$F70,AH$4+6&gt;=$E70),IF($F70-$E70&lt;=2,"◆",IF($H70="Yes","X",LEFT($D70,1))),""))</f>
        <v/>
      </c>
      <c r="AI70" s="33">
        <f>IF(OR($E70="",$F70=""),"",IF(AND(AI$4&lt;=$F70,AI$4+6&gt;=$E70),IF($F70-$E70&lt;=2,"◆",IF($H70="Yes","X",LEFT($D70,1))),""))</f>
        <v/>
      </c>
      <c r="AJ70" s="33">
        <f>IF(OR($E70="",$F70=""),"",IF(AND(AJ$4&lt;=$F70,AJ$4+6&gt;=$E70),IF($F70-$E70&lt;=2,"◆",IF($H70="Yes","X",LEFT($D70,1))),""))</f>
        <v/>
      </c>
      <c r="AK70" s="33">
        <f>IF(OR($E70="",$F70=""),"",IF(AND(AK$4&lt;=$F70,AK$4+6&gt;=$E70),IF($F70-$E70&lt;=2,"◆",IF($H70="Yes","X",LEFT($D70,1))),""))</f>
        <v/>
      </c>
      <c r="AL70" s="33">
        <f>IF(OR($E70="",$F70=""),"",IF(AND(AL$4&lt;=$F70,AL$4+6&gt;=$E70),IF($F70-$E70&lt;=2,"◆",IF($H70="Yes","X",LEFT($D70,1))),""))</f>
        <v/>
      </c>
      <c r="AM70" s="33">
        <f>IF(OR($E70="",$F70=""),"",IF(AND(AM$4&lt;=$F70,AM$4+6&gt;=$E70),IF($F70-$E70&lt;=2,"◆",IF($H70="Yes","X",LEFT($D70,1))),""))</f>
        <v/>
      </c>
      <c r="AN70" s="33">
        <f>IF(OR($E70="",$F70=""),"",IF(AND(AN$4&lt;=$F70,AN$4+6&gt;=$E70),IF($F70-$E70&lt;=2,"◆",IF($H70="Yes","X",LEFT($D70,1))),""))</f>
        <v/>
      </c>
      <c r="AO70" s="33">
        <f>IF(OR($E70="",$F70=""),"",IF(AND(AO$4&lt;=$F70,AO$4+6&gt;=$E70),IF($F70-$E70&lt;=2,"◆",IF($H70="Yes","X",LEFT($D70,1))),""))</f>
        <v/>
      </c>
      <c r="AP70" s="33">
        <f>IF(OR($E70="",$F70=""),"",IF(AND(AP$4&lt;=$F70,AP$4+6&gt;=$E70),IF($F70-$E70&lt;=2,"◆",IF($H70="Yes","X",LEFT($D70,1))),""))</f>
        <v/>
      </c>
      <c r="AQ70" s="33">
        <f>IF(OR($E70="",$F70=""),"",IF(AND(AQ$4&lt;=$F70,AQ$4+6&gt;=$E70),IF($F70-$E70&lt;=2,"◆",IF($H70="Yes","X",LEFT($D70,1))),""))</f>
        <v/>
      </c>
      <c r="AR70" s="33">
        <f>IF(OR($E70="",$F70=""),"",IF(AND(AR$4&lt;=$F70,AR$4+6&gt;=$E70),IF($F70-$E70&lt;=2,"◆",IF($H70="Yes","X",LEFT($D70,1))),""))</f>
        <v/>
      </c>
      <c r="AS70" s="33">
        <f>IF(OR($E70="",$F70=""),"",IF(AND(AS$4&lt;=$F70,AS$4+6&gt;=$E70),IF($F70-$E70&lt;=2,"◆",IF($H70="Yes","X",LEFT($D70,1))),""))</f>
        <v/>
      </c>
      <c r="AT70" s="33">
        <f>IF(OR($E70="",$F70=""),"",IF(AND(AT$4&lt;=$F70,AT$4+6&gt;=$E70),IF($F70-$E70&lt;=2,"◆",IF($H70="Yes","X",LEFT($D70,1))),""))</f>
        <v/>
      </c>
      <c r="AU70" s="33">
        <f>IF(OR($E70="",$F70=""),"",IF(AND(AU$4&lt;=$F70,AU$4+6&gt;=$E70),IF($F70-$E70&lt;=2,"◆",IF($H70="Yes","X",LEFT($D70,1))),""))</f>
        <v/>
      </c>
      <c r="AV70" s="33">
        <f>IF(OR($E70="",$F70=""),"",IF(AND(AV$4&lt;=$F70,AV$4+6&gt;=$E70),IF($F70-$E70&lt;=2,"◆",IF($H70="Yes","X",LEFT($D70,1))),""))</f>
        <v/>
      </c>
      <c r="AW70" s="33">
        <f>IF(OR($E70="",$F70=""),"",IF(AND(AW$4&lt;=$F70,AW$4+6&gt;=$E70),IF($F70-$E70&lt;=2,"◆",IF($H70="Yes","X",LEFT($D70,1))),""))</f>
        <v/>
      </c>
      <c r="AX70" s="33">
        <f>IF(OR($E70="",$F70=""),"",IF(AND(AX$4&lt;=$F70,AX$4+6&gt;=$E70),IF($F70-$E70&lt;=2,"◆",IF($H70="Yes","X",LEFT($D70,1))),""))</f>
        <v/>
      </c>
      <c r="AY70" s="33">
        <f>IF(OR($E70="",$F70=""),"",IF(AND(AY$4&lt;=$F70,AY$4+6&gt;=$E70),IF($F70-$E70&lt;=2,"◆",IF($H70="Yes","X",LEFT($D70,1))),""))</f>
        <v/>
      </c>
      <c r="AZ70" s="33">
        <f>IF(OR($E70="",$F70=""),"",IF(AND(AZ$4&lt;=$F70,AZ$4+6&gt;=$E70),IF($F70-$E70&lt;=2,"◆",IF($H70="Yes","X",LEFT($D70,1))),""))</f>
        <v/>
      </c>
      <c r="BA70" s="33">
        <f>IF(OR($E70="",$F70=""),"",IF(AND(BA$4&lt;=$F70,BA$4+6&gt;=$E70),IF($F70-$E70&lt;=2,"◆",IF($H70="Yes","X",LEFT($D70,1))),""))</f>
        <v/>
      </c>
      <c r="BB70" s="33">
        <f>IF(OR($E70="",$F70=""),"",IF(AND(BB$4&lt;=$F70,BB$4+6&gt;=$E70),IF($F70-$E70&lt;=2,"◆",IF($H70="Yes","X",LEFT($D70,1))),""))</f>
        <v/>
      </c>
      <c r="BC70" s="33">
        <f>IF(OR($E70="",$F70=""),"",IF(AND(BC$4&lt;=$F70,BC$4+6&gt;=$E70),IF($F70-$E70&lt;=2,"◆",IF($H70="Yes","X",LEFT($D70,1))),""))</f>
        <v/>
      </c>
      <c r="BD70" s="33">
        <f>IF(OR($E70="",$F70=""),"",IF(AND(BD$4&lt;=$F70,BD$4+6&gt;=$E70),IF($F70-$E70&lt;=2,"◆",IF($H70="Yes","X",LEFT($D70,1))),""))</f>
        <v/>
      </c>
      <c r="BE70" s="33">
        <f>IF(OR($E70="",$F70=""),"",IF(AND(BE$4&lt;=$F70,BE$4+6&gt;=$E70),IF($F70-$E70&lt;=2,"◆",IF($H70="Yes","X",LEFT($D70,1))),""))</f>
        <v/>
      </c>
      <c r="BF70" s="33">
        <f>IF(OR($E70="",$F70=""),"",IF(AND(BF$4&lt;=$F70,BF$4+6&gt;=$E70),IF($F70-$E70&lt;=2,"◆",IF($H70="Yes","X",LEFT($D70,1))),""))</f>
        <v/>
      </c>
      <c r="BG70" s="33">
        <f>IF(OR($E70="",$F70=""),"",IF(AND(BG$4&lt;=$F70,BG$4+6&gt;=$E70),IF($F70-$E70&lt;=2,"◆",IF($H70="Yes","X",LEFT($D70,1))),""))</f>
        <v/>
      </c>
      <c r="BH70" s="33">
        <f>IF(OR($E70="",$F70=""),"",IF(AND(BH$4&lt;=$F70,BH$4+6&gt;=$E70),IF($F70-$E70&lt;=2,"◆",IF($H70="Yes","X",LEFT($D70,1))),""))</f>
        <v/>
      </c>
      <c r="BI70" s="33">
        <f>IF(OR($E70="",$F70=""),"",IF(AND(BI$4&lt;=$F70,BI$4+6&gt;=$E70),IF($F70-$E70&lt;=2,"◆",IF($H70="Yes","X",LEFT($D70,1))),""))</f>
        <v/>
      </c>
    </row>
    <row r="71">
      <c r="A71" s="30" t="inlineStr">
        <is>
          <t>T-067</t>
        </is>
      </c>
      <c r="B71" s="30" t="inlineStr">
        <is>
          <t>Application Issue Fixes and Remediation</t>
        </is>
      </c>
      <c r="C71" s="30" t="inlineStr">
        <is>
          <t>Jawahar</t>
        </is>
      </c>
      <c r="D71" s="30" t="inlineStr">
        <is>
          <t>Not Started</t>
        </is>
      </c>
      <c r="E71" s="31" t="n">
        <v>46405</v>
      </c>
      <c r="F71" s="31" t="n">
        <v>46474</v>
      </c>
      <c r="G71" s="32" t="n">
        <v>0</v>
      </c>
      <c r="H71" s="30" t="inlineStr">
        <is>
          <t>No</t>
        </is>
      </c>
      <c r="I71" s="33">
        <f>IF(OR($E71="",$F71=""),"",IF(AND(I$4&lt;=$F71,I$4+6&gt;=$E71),IF($F71-$E71&lt;=2,"◆",IF($H71="Yes","X",LEFT($D71,1))),""))</f>
        <v/>
      </c>
      <c r="J71" s="33">
        <f>IF(OR($E71="",$F71=""),"",IF(AND(J$4&lt;=$F71,J$4+6&gt;=$E71),IF($F71-$E71&lt;=2,"◆",IF($H71="Yes","X",LEFT($D71,1))),""))</f>
        <v/>
      </c>
      <c r="K71" s="33">
        <f>IF(OR($E71="",$F71=""),"",IF(AND(K$4&lt;=$F71,K$4+6&gt;=$E71),IF($F71-$E71&lt;=2,"◆",IF($H71="Yes","X",LEFT($D71,1))),""))</f>
        <v/>
      </c>
      <c r="L71" s="33">
        <f>IF(OR($E71="",$F71=""),"",IF(AND(L$4&lt;=$F71,L$4+6&gt;=$E71),IF($F71-$E71&lt;=2,"◆",IF($H71="Yes","X",LEFT($D71,1))),""))</f>
        <v/>
      </c>
      <c r="M71" s="33">
        <f>IF(OR($E71="",$F71=""),"",IF(AND(M$4&lt;=$F71,M$4+6&gt;=$E71),IF($F71-$E71&lt;=2,"◆",IF($H71="Yes","X",LEFT($D71,1))),""))</f>
        <v/>
      </c>
      <c r="N71" s="33">
        <f>IF(OR($E71="",$F71=""),"",IF(AND(N$4&lt;=$F71,N$4+6&gt;=$E71),IF($F71-$E71&lt;=2,"◆",IF($H71="Yes","X",LEFT($D71,1))),""))</f>
        <v/>
      </c>
      <c r="O71" s="33">
        <f>IF(OR($E71="",$F71=""),"",IF(AND(O$4&lt;=$F71,O$4+6&gt;=$E71),IF($F71-$E71&lt;=2,"◆",IF($H71="Yes","X",LEFT($D71,1))),""))</f>
        <v/>
      </c>
      <c r="P71" s="33">
        <f>IF(OR($E71="",$F71=""),"",IF(AND(P$4&lt;=$F71,P$4+6&gt;=$E71),IF($F71-$E71&lt;=2,"◆",IF($H71="Yes","X",LEFT($D71,1))),""))</f>
        <v/>
      </c>
      <c r="Q71" s="33">
        <f>IF(OR($E71="",$F71=""),"",IF(AND(Q$4&lt;=$F71,Q$4+6&gt;=$E71),IF($F71-$E71&lt;=2,"◆",IF($H71="Yes","X",LEFT($D71,1))),""))</f>
        <v/>
      </c>
      <c r="R71" s="33">
        <f>IF(OR($E71="",$F71=""),"",IF(AND(R$4&lt;=$F71,R$4+6&gt;=$E71),IF($F71-$E71&lt;=2,"◆",IF($H71="Yes","X",LEFT($D71,1))),""))</f>
        <v/>
      </c>
      <c r="S71" s="33">
        <f>IF(OR($E71="",$F71=""),"",IF(AND(S$4&lt;=$F71,S$4+6&gt;=$E71),IF($F71-$E71&lt;=2,"◆",IF($H71="Yes","X",LEFT($D71,1))),""))</f>
        <v/>
      </c>
      <c r="T71" s="33">
        <f>IF(OR($E71="",$F71=""),"",IF(AND(T$4&lt;=$F71,T$4+6&gt;=$E71),IF($F71-$E71&lt;=2,"◆",IF($H71="Yes","X",LEFT($D71,1))),""))</f>
        <v/>
      </c>
      <c r="U71" s="33">
        <f>IF(OR($E71="",$F71=""),"",IF(AND(U$4&lt;=$F71,U$4+6&gt;=$E71),IF($F71-$E71&lt;=2,"◆",IF($H71="Yes","X",LEFT($D71,1))),""))</f>
        <v/>
      </c>
      <c r="V71" s="33">
        <f>IF(OR($E71="",$F71=""),"",IF(AND(V$4&lt;=$F71,V$4+6&gt;=$E71),IF($F71-$E71&lt;=2,"◆",IF($H71="Yes","X",LEFT($D71,1))),""))</f>
        <v/>
      </c>
      <c r="W71" s="33">
        <f>IF(OR($E71="",$F71=""),"",IF(AND(W$4&lt;=$F71,W$4+6&gt;=$E71),IF($F71-$E71&lt;=2,"◆",IF($H71="Yes","X",LEFT($D71,1))),""))</f>
        <v/>
      </c>
      <c r="X71" s="33">
        <f>IF(OR($E71="",$F71=""),"",IF(AND(X$4&lt;=$F71,X$4+6&gt;=$E71),IF($F71-$E71&lt;=2,"◆",IF($H71="Yes","X",LEFT($D71,1))),""))</f>
        <v/>
      </c>
      <c r="Y71" s="33">
        <f>IF(OR($E71="",$F71=""),"",IF(AND(Y$4&lt;=$F71,Y$4+6&gt;=$E71),IF($F71-$E71&lt;=2,"◆",IF($H71="Yes","X",LEFT($D71,1))),""))</f>
        <v/>
      </c>
      <c r="Z71" s="33">
        <f>IF(OR($E71="",$F71=""),"",IF(AND(Z$4&lt;=$F71,Z$4+6&gt;=$E71),IF($F71-$E71&lt;=2,"◆",IF($H71="Yes","X",LEFT($D71,1))),""))</f>
        <v/>
      </c>
      <c r="AA71" s="33">
        <f>IF(OR($E71="",$F71=""),"",IF(AND(AA$4&lt;=$F71,AA$4+6&gt;=$E71),IF($F71-$E71&lt;=2,"◆",IF($H71="Yes","X",LEFT($D71,1))),""))</f>
        <v/>
      </c>
      <c r="AB71" s="33">
        <f>IF(OR($E71="",$F71=""),"",IF(AND(AB$4&lt;=$F71,AB$4+6&gt;=$E71),IF($F71-$E71&lt;=2,"◆",IF($H71="Yes","X",LEFT($D71,1))),""))</f>
        <v/>
      </c>
      <c r="AC71" s="33">
        <f>IF(OR($E71="",$F71=""),"",IF(AND(AC$4&lt;=$F71,AC$4+6&gt;=$E71),IF($F71-$E71&lt;=2,"◆",IF($H71="Yes","X",LEFT($D71,1))),""))</f>
        <v/>
      </c>
      <c r="AD71" s="33">
        <f>IF(OR($E71="",$F71=""),"",IF(AND(AD$4&lt;=$F71,AD$4+6&gt;=$E71),IF($F71-$E71&lt;=2,"◆",IF($H71="Yes","X",LEFT($D71,1))),""))</f>
        <v/>
      </c>
      <c r="AE71" s="33">
        <f>IF(OR($E71="",$F71=""),"",IF(AND(AE$4&lt;=$F71,AE$4+6&gt;=$E71),IF($F71-$E71&lt;=2,"◆",IF($H71="Yes","X",LEFT($D71,1))),""))</f>
        <v/>
      </c>
      <c r="AF71" s="33">
        <f>IF(OR($E71="",$F71=""),"",IF(AND(AF$4&lt;=$F71,AF$4+6&gt;=$E71),IF($F71-$E71&lt;=2,"◆",IF($H71="Yes","X",LEFT($D71,1))),""))</f>
        <v/>
      </c>
      <c r="AG71" s="33">
        <f>IF(OR($E71="",$F71=""),"",IF(AND(AG$4&lt;=$F71,AG$4+6&gt;=$E71),IF($F71-$E71&lt;=2,"◆",IF($H71="Yes","X",LEFT($D71,1))),""))</f>
        <v/>
      </c>
      <c r="AH71" s="33">
        <f>IF(OR($E71="",$F71=""),"",IF(AND(AH$4&lt;=$F71,AH$4+6&gt;=$E71),IF($F71-$E71&lt;=2,"◆",IF($H71="Yes","X",LEFT($D71,1))),""))</f>
        <v/>
      </c>
      <c r="AI71" s="33">
        <f>IF(OR($E71="",$F71=""),"",IF(AND(AI$4&lt;=$F71,AI$4+6&gt;=$E71),IF($F71-$E71&lt;=2,"◆",IF($H71="Yes","X",LEFT($D71,1))),""))</f>
        <v/>
      </c>
      <c r="AJ71" s="33">
        <f>IF(OR($E71="",$F71=""),"",IF(AND(AJ$4&lt;=$F71,AJ$4+6&gt;=$E71),IF($F71-$E71&lt;=2,"◆",IF($H71="Yes","X",LEFT($D71,1))),""))</f>
        <v/>
      </c>
      <c r="AK71" s="33">
        <f>IF(OR($E71="",$F71=""),"",IF(AND(AK$4&lt;=$F71,AK$4+6&gt;=$E71),IF($F71-$E71&lt;=2,"◆",IF($H71="Yes","X",LEFT($D71,1))),""))</f>
        <v/>
      </c>
      <c r="AL71" s="33">
        <f>IF(OR($E71="",$F71=""),"",IF(AND(AL$4&lt;=$F71,AL$4+6&gt;=$E71),IF($F71-$E71&lt;=2,"◆",IF($H71="Yes","X",LEFT($D71,1))),""))</f>
        <v/>
      </c>
      <c r="AM71" s="33">
        <f>IF(OR($E71="",$F71=""),"",IF(AND(AM$4&lt;=$F71,AM$4+6&gt;=$E71),IF($F71-$E71&lt;=2,"◆",IF($H71="Yes","X",LEFT($D71,1))),""))</f>
        <v/>
      </c>
      <c r="AN71" s="33">
        <f>IF(OR($E71="",$F71=""),"",IF(AND(AN$4&lt;=$F71,AN$4+6&gt;=$E71),IF($F71-$E71&lt;=2,"◆",IF($H71="Yes","X",LEFT($D71,1))),""))</f>
        <v/>
      </c>
      <c r="AO71" s="33">
        <f>IF(OR($E71="",$F71=""),"",IF(AND(AO$4&lt;=$F71,AO$4+6&gt;=$E71),IF($F71-$E71&lt;=2,"◆",IF($H71="Yes","X",LEFT($D71,1))),""))</f>
        <v/>
      </c>
      <c r="AP71" s="33">
        <f>IF(OR($E71="",$F71=""),"",IF(AND(AP$4&lt;=$F71,AP$4+6&gt;=$E71),IF($F71-$E71&lt;=2,"◆",IF($H71="Yes","X",LEFT($D71,1))),""))</f>
        <v/>
      </c>
      <c r="AQ71" s="33">
        <f>IF(OR($E71="",$F71=""),"",IF(AND(AQ$4&lt;=$F71,AQ$4+6&gt;=$E71),IF($F71-$E71&lt;=2,"◆",IF($H71="Yes","X",LEFT($D71,1))),""))</f>
        <v/>
      </c>
      <c r="AR71" s="33">
        <f>IF(OR($E71="",$F71=""),"",IF(AND(AR$4&lt;=$F71,AR$4+6&gt;=$E71),IF($F71-$E71&lt;=2,"◆",IF($H71="Yes","X",LEFT($D71,1))),""))</f>
        <v/>
      </c>
      <c r="AS71" s="33">
        <f>IF(OR($E71="",$F71=""),"",IF(AND(AS$4&lt;=$F71,AS$4+6&gt;=$E71),IF($F71-$E71&lt;=2,"◆",IF($H71="Yes","X",LEFT($D71,1))),""))</f>
        <v/>
      </c>
      <c r="AT71" s="33">
        <f>IF(OR($E71="",$F71=""),"",IF(AND(AT$4&lt;=$F71,AT$4+6&gt;=$E71),IF($F71-$E71&lt;=2,"◆",IF($H71="Yes","X",LEFT($D71,1))),""))</f>
        <v/>
      </c>
      <c r="AU71" s="33">
        <f>IF(OR($E71="",$F71=""),"",IF(AND(AU$4&lt;=$F71,AU$4+6&gt;=$E71),IF($F71-$E71&lt;=2,"◆",IF($H71="Yes","X",LEFT($D71,1))),""))</f>
        <v/>
      </c>
      <c r="AV71" s="33">
        <f>IF(OR($E71="",$F71=""),"",IF(AND(AV$4&lt;=$F71,AV$4+6&gt;=$E71),IF($F71-$E71&lt;=2,"◆",IF($H71="Yes","X",LEFT($D71,1))),""))</f>
        <v/>
      </c>
      <c r="AW71" s="33">
        <f>IF(OR($E71="",$F71=""),"",IF(AND(AW$4&lt;=$F71,AW$4+6&gt;=$E71),IF($F71-$E71&lt;=2,"◆",IF($H71="Yes","X",LEFT($D71,1))),""))</f>
        <v/>
      </c>
      <c r="AX71" s="33">
        <f>IF(OR($E71="",$F71=""),"",IF(AND(AX$4&lt;=$F71,AX$4+6&gt;=$E71),IF($F71-$E71&lt;=2,"◆",IF($H71="Yes","X",LEFT($D71,1))),""))</f>
        <v/>
      </c>
      <c r="AY71" s="33">
        <f>IF(OR($E71="",$F71=""),"",IF(AND(AY$4&lt;=$F71,AY$4+6&gt;=$E71),IF($F71-$E71&lt;=2,"◆",IF($H71="Yes","X",LEFT($D71,1))),""))</f>
        <v/>
      </c>
      <c r="AZ71" s="33">
        <f>IF(OR($E71="",$F71=""),"",IF(AND(AZ$4&lt;=$F71,AZ$4+6&gt;=$E71),IF($F71-$E71&lt;=2,"◆",IF($H71="Yes","X",LEFT($D71,1))),""))</f>
        <v/>
      </c>
      <c r="BA71" s="33">
        <f>IF(OR($E71="",$F71=""),"",IF(AND(BA$4&lt;=$F71,BA$4+6&gt;=$E71),IF($F71-$E71&lt;=2,"◆",IF($H71="Yes","X",LEFT($D71,1))),""))</f>
        <v/>
      </c>
      <c r="BB71" s="33">
        <f>IF(OR($E71="",$F71=""),"",IF(AND(BB$4&lt;=$F71,BB$4+6&gt;=$E71),IF($F71-$E71&lt;=2,"◆",IF($H71="Yes","X",LEFT($D71,1))),""))</f>
        <v/>
      </c>
      <c r="BC71" s="33">
        <f>IF(OR($E71="",$F71=""),"",IF(AND(BC$4&lt;=$F71,BC$4+6&gt;=$E71),IF($F71-$E71&lt;=2,"◆",IF($H71="Yes","X",LEFT($D71,1))),""))</f>
        <v/>
      </c>
      <c r="BD71" s="33">
        <f>IF(OR($E71="",$F71=""),"",IF(AND(BD$4&lt;=$F71,BD$4+6&gt;=$E71),IF($F71-$E71&lt;=2,"◆",IF($H71="Yes","X",LEFT($D71,1))),""))</f>
        <v/>
      </c>
      <c r="BE71" s="33">
        <f>IF(OR($E71="",$F71=""),"",IF(AND(BE$4&lt;=$F71,BE$4+6&gt;=$E71),IF($F71-$E71&lt;=2,"◆",IF($H71="Yes","X",LEFT($D71,1))),""))</f>
        <v/>
      </c>
      <c r="BF71" s="33">
        <f>IF(OR($E71="",$F71=""),"",IF(AND(BF$4&lt;=$F71,BF$4+6&gt;=$E71),IF($F71-$E71&lt;=2,"◆",IF($H71="Yes","X",LEFT($D71,1))),""))</f>
        <v/>
      </c>
      <c r="BG71" s="33">
        <f>IF(OR($E71="",$F71=""),"",IF(AND(BG$4&lt;=$F71,BG$4+6&gt;=$E71),IF($F71-$E71&lt;=2,"◆",IF($H71="Yes","X",LEFT($D71,1))),""))</f>
        <v/>
      </c>
      <c r="BH71" s="33">
        <f>IF(OR($E71="",$F71=""),"",IF(AND(BH$4&lt;=$F71,BH$4+6&gt;=$E71),IF($F71-$E71&lt;=2,"◆",IF($H71="Yes","X",LEFT($D71,1))),""))</f>
        <v/>
      </c>
      <c r="BI71" s="33">
        <f>IF(OR($E71="",$F71=""),"",IF(AND(BI$4&lt;=$F71,BI$4+6&gt;=$E71),IF($F71-$E71&lt;=2,"◆",IF($H71="Yes","X",LEFT($D71,1))),""))</f>
        <v/>
      </c>
    </row>
    <row r="72">
      <c r="A72" s="30" t="inlineStr">
        <is>
          <t>T-068</t>
        </is>
      </c>
      <c r="B72" s="30" t="inlineStr">
        <is>
          <t>GitLab DAST Enablement for Web Application and Admin Console</t>
        </is>
      </c>
      <c r="C72" s="30" t="inlineStr">
        <is>
          <t>Jawahar</t>
        </is>
      </c>
      <c r="D72" s="30" t="inlineStr">
        <is>
          <t>Not Started</t>
        </is>
      </c>
      <c r="E72" s="31" t="n">
        <v>46413</v>
      </c>
      <c r="F72" s="31" t="n">
        <v>46419</v>
      </c>
      <c r="G72" s="32" t="n">
        <v>0</v>
      </c>
      <c r="H72" s="30" t="inlineStr">
        <is>
          <t>No</t>
        </is>
      </c>
      <c r="I72" s="33">
        <f>IF(OR($E72="",$F72=""),"",IF(AND(I$4&lt;=$F72,I$4+6&gt;=$E72),IF($F72-$E72&lt;=2,"◆",IF($H72="Yes","X",LEFT($D72,1))),""))</f>
        <v/>
      </c>
      <c r="J72" s="33">
        <f>IF(OR($E72="",$F72=""),"",IF(AND(J$4&lt;=$F72,J$4+6&gt;=$E72),IF($F72-$E72&lt;=2,"◆",IF($H72="Yes","X",LEFT($D72,1))),""))</f>
        <v/>
      </c>
      <c r="K72" s="33">
        <f>IF(OR($E72="",$F72=""),"",IF(AND(K$4&lt;=$F72,K$4+6&gt;=$E72),IF($F72-$E72&lt;=2,"◆",IF($H72="Yes","X",LEFT($D72,1))),""))</f>
        <v/>
      </c>
      <c r="L72" s="33">
        <f>IF(OR($E72="",$F72=""),"",IF(AND(L$4&lt;=$F72,L$4+6&gt;=$E72),IF($F72-$E72&lt;=2,"◆",IF($H72="Yes","X",LEFT($D72,1))),""))</f>
        <v/>
      </c>
      <c r="M72" s="33">
        <f>IF(OR($E72="",$F72=""),"",IF(AND(M$4&lt;=$F72,M$4+6&gt;=$E72),IF($F72-$E72&lt;=2,"◆",IF($H72="Yes","X",LEFT($D72,1))),""))</f>
        <v/>
      </c>
      <c r="N72" s="33">
        <f>IF(OR($E72="",$F72=""),"",IF(AND(N$4&lt;=$F72,N$4+6&gt;=$E72),IF($F72-$E72&lt;=2,"◆",IF($H72="Yes","X",LEFT($D72,1))),""))</f>
        <v/>
      </c>
      <c r="O72" s="33">
        <f>IF(OR($E72="",$F72=""),"",IF(AND(O$4&lt;=$F72,O$4+6&gt;=$E72),IF($F72-$E72&lt;=2,"◆",IF($H72="Yes","X",LEFT($D72,1))),""))</f>
        <v/>
      </c>
      <c r="P72" s="33">
        <f>IF(OR($E72="",$F72=""),"",IF(AND(P$4&lt;=$F72,P$4+6&gt;=$E72),IF($F72-$E72&lt;=2,"◆",IF($H72="Yes","X",LEFT($D72,1))),""))</f>
        <v/>
      </c>
      <c r="Q72" s="33">
        <f>IF(OR($E72="",$F72=""),"",IF(AND(Q$4&lt;=$F72,Q$4+6&gt;=$E72),IF($F72-$E72&lt;=2,"◆",IF($H72="Yes","X",LEFT($D72,1))),""))</f>
        <v/>
      </c>
      <c r="R72" s="33">
        <f>IF(OR($E72="",$F72=""),"",IF(AND(R$4&lt;=$F72,R$4+6&gt;=$E72),IF($F72-$E72&lt;=2,"◆",IF($H72="Yes","X",LEFT($D72,1))),""))</f>
        <v/>
      </c>
      <c r="S72" s="33">
        <f>IF(OR($E72="",$F72=""),"",IF(AND(S$4&lt;=$F72,S$4+6&gt;=$E72),IF($F72-$E72&lt;=2,"◆",IF($H72="Yes","X",LEFT($D72,1))),""))</f>
        <v/>
      </c>
      <c r="T72" s="33">
        <f>IF(OR($E72="",$F72=""),"",IF(AND(T$4&lt;=$F72,T$4+6&gt;=$E72),IF($F72-$E72&lt;=2,"◆",IF($H72="Yes","X",LEFT($D72,1))),""))</f>
        <v/>
      </c>
      <c r="U72" s="33">
        <f>IF(OR($E72="",$F72=""),"",IF(AND(U$4&lt;=$F72,U$4+6&gt;=$E72),IF($F72-$E72&lt;=2,"◆",IF($H72="Yes","X",LEFT($D72,1))),""))</f>
        <v/>
      </c>
      <c r="V72" s="33">
        <f>IF(OR($E72="",$F72=""),"",IF(AND(V$4&lt;=$F72,V$4+6&gt;=$E72),IF($F72-$E72&lt;=2,"◆",IF($H72="Yes","X",LEFT($D72,1))),""))</f>
        <v/>
      </c>
      <c r="W72" s="33">
        <f>IF(OR($E72="",$F72=""),"",IF(AND(W$4&lt;=$F72,W$4+6&gt;=$E72),IF($F72-$E72&lt;=2,"◆",IF($H72="Yes","X",LEFT($D72,1))),""))</f>
        <v/>
      </c>
      <c r="X72" s="33">
        <f>IF(OR($E72="",$F72=""),"",IF(AND(X$4&lt;=$F72,X$4+6&gt;=$E72),IF($F72-$E72&lt;=2,"◆",IF($H72="Yes","X",LEFT($D72,1))),""))</f>
        <v/>
      </c>
      <c r="Y72" s="33">
        <f>IF(OR($E72="",$F72=""),"",IF(AND(Y$4&lt;=$F72,Y$4+6&gt;=$E72),IF($F72-$E72&lt;=2,"◆",IF($H72="Yes","X",LEFT($D72,1))),""))</f>
        <v/>
      </c>
      <c r="Z72" s="33">
        <f>IF(OR($E72="",$F72=""),"",IF(AND(Z$4&lt;=$F72,Z$4+6&gt;=$E72),IF($F72-$E72&lt;=2,"◆",IF($H72="Yes","X",LEFT($D72,1))),""))</f>
        <v/>
      </c>
      <c r="AA72" s="33">
        <f>IF(OR($E72="",$F72=""),"",IF(AND(AA$4&lt;=$F72,AA$4+6&gt;=$E72),IF($F72-$E72&lt;=2,"◆",IF($H72="Yes","X",LEFT($D72,1))),""))</f>
        <v/>
      </c>
      <c r="AB72" s="33">
        <f>IF(OR($E72="",$F72=""),"",IF(AND(AB$4&lt;=$F72,AB$4+6&gt;=$E72),IF($F72-$E72&lt;=2,"◆",IF($H72="Yes","X",LEFT($D72,1))),""))</f>
        <v/>
      </c>
      <c r="AC72" s="33">
        <f>IF(OR($E72="",$F72=""),"",IF(AND(AC$4&lt;=$F72,AC$4+6&gt;=$E72),IF($F72-$E72&lt;=2,"◆",IF($H72="Yes","X",LEFT($D72,1))),""))</f>
        <v/>
      </c>
      <c r="AD72" s="33">
        <f>IF(OR($E72="",$F72=""),"",IF(AND(AD$4&lt;=$F72,AD$4+6&gt;=$E72),IF($F72-$E72&lt;=2,"◆",IF($H72="Yes","X",LEFT($D72,1))),""))</f>
        <v/>
      </c>
      <c r="AE72" s="33">
        <f>IF(OR($E72="",$F72=""),"",IF(AND(AE$4&lt;=$F72,AE$4+6&gt;=$E72),IF($F72-$E72&lt;=2,"◆",IF($H72="Yes","X",LEFT($D72,1))),""))</f>
        <v/>
      </c>
      <c r="AF72" s="33">
        <f>IF(OR($E72="",$F72=""),"",IF(AND(AF$4&lt;=$F72,AF$4+6&gt;=$E72),IF($F72-$E72&lt;=2,"◆",IF($H72="Yes","X",LEFT($D72,1))),""))</f>
        <v/>
      </c>
      <c r="AG72" s="33">
        <f>IF(OR($E72="",$F72=""),"",IF(AND(AG$4&lt;=$F72,AG$4+6&gt;=$E72),IF($F72-$E72&lt;=2,"◆",IF($H72="Yes","X",LEFT($D72,1))),""))</f>
        <v/>
      </c>
      <c r="AH72" s="33">
        <f>IF(OR($E72="",$F72=""),"",IF(AND(AH$4&lt;=$F72,AH$4+6&gt;=$E72),IF($F72-$E72&lt;=2,"◆",IF($H72="Yes","X",LEFT($D72,1))),""))</f>
        <v/>
      </c>
      <c r="AI72" s="33">
        <f>IF(OR($E72="",$F72=""),"",IF(AND(AI$4&lt;=$F72,AI$4+6&gt;=$E72),IF($F72-$E72&lt;=2,"◆",IF($H72="Yes","X",LEFT($D72,1))),""))</f>
        <v/>
      </c>
      <c r="AJ72" s="33">
        <f>IF(OR($E72="",$F72=""),"",IF(AND(AJ$4&lt;=$F72,AJ$4+6&gt;=$E72),IF($F72-$E72&lt;=2,"◆",IF($H72="Yes","X",LEFT($D72,1))),""))</f>
        <v/>
      </c>
      <c r="AK72" s="33">
        <f>IF(OR($E72="",$F72=""),"",IF(AND(AK$4&lt;=$F72,AK$4+6&gt;=$E72),IF($F72-$E72&lt;=2,"◆",IF($H72="Yes","X",LEFT($D72,1))),""))</f>
        <v/>
      </c>
      <c r="AL72" s="33">
        <f>IF(OR($E72="",$F72=""),"",IF(AND(AL$4&lt;=$F72,AL$4+6&gt;=$E72),IF($F72-$E72&lt;=2,"◆",IF($H72="Yes","X",LEFT($D72,1))),""))</f>
        <v/>
      </c>
      <c r="AM72" s="33">
        <f>IF(OR($E72="",$F72=""),"",IF(AND(AM$4&lt;=$F72,AM$4+6&gt;=$E72),IF($F72-$E72&lt;=2,"◆",IF($H72="Yes","X",LEFT($D72,1))),""))</f>
        <v/>
      </c>
      <c r="AN72" s="33">
        <f>IF(OR($E72="",$F72=""),"",IF(AND(AN$4&lt;=$F72,AN$4+6&gt;=$E72),IF($F72-$E72&lt;=2,"◆",IF($H72="Yes","X",LEFT($D72,1))),""))</f>
        <v/>
      </c>
      <c r="AO72" s="33">
        <f>IF(OR($E72="",$F72=""),"",IF(AND(AO$4&lt;=$F72,AO$4+6&gt;=$E72),IF($F72-$E72&lt;=2,"◆",IF($H72="Yes","X",LEFT($D72,1))),""))</f>
        <v/>
      </c>
      <c r="AP72" s="33">
        <f>IF(OR($E72="",$F72=""),"",IF(AND(AP$4&lt;=$F72,AP$4+6&gt;=$E72),IF($F72-$E72&lt;=2,"◆",IF($H72="Yes","X",LEFT($D72,1))),""))</f>
        <v/>
      </c>
      <c r="AQ72" s="33">
        <f>IF(OR($E72="",$F72=""),"",IF(AND(AQ$4&lt;=$F72,AQ$4+6&gt;=$E72),IF($F72-$E72&lt;=2,"◆",IF($H72="Yes","X",LEFT($D72,1))),""))</f>
        <v/>
      </c>
      <c r="AR72" s="33">
        <f>IF(OR($E72="",$F72=""),"",IF(AND(AR$4&lt;=$F72,AR$4+6&gt;=$E72),IF($F72-$E72&lt;=2,"◆",IF($H72="Yes","X",LEFT($D72,1))),""))</f>
        <v/>
      </c>
      <c r="AS72" s="33">
        <f>IF(OR($E72="",$F72=""),"",IF(AND(AS$4&lt;=$F72,AS$4+6&gt;=$E72),IF($F72-$E72&lt;=2,"◆",IF($H72="Yes","X",LEFT($D72,1))),""))</f>
        <v/>
      </c>
      <c r="AT72" s="33">
        <f>IF(OR($E72="",$F72=""),"",IF(AND(AT$4&lt;=$F72,AT$4+6&gt;=$E72),IF($F72-$E72&lt;=2,"◆",IF($H72="Yes","X",LEFT($D72,1))),""))</f>
        <v/>
      </c>
      <c r="AU72" s="33">
        <f>IF(OR($E72="",$F72=""),"",IF(AND(AU$4&lt;=$F72,AU$4+6&gt;=$E72),IF($F72-$E72&lt;=2,"◆",IF($H72="Yes","X",LEFT($D72,1))),""))</f>
        <v/>
      </c>
      <c r="AV72" s="33">
        <f>IF(OR($E72="",$F72=""),"",IF(AND(AV$4&lt;=$F72,AV$4+6&gt;=$E72),IF($F72-$E72&lt;=2,"◆",IF($H72="Yes","X",LEFT($D72,1))),""))</f>
        <v/>
      </c>
      <c r="AW72" s="33">
        <f>IF(OR($E72="",$F72=""),"",IF(AND(AW$4&lt;=$F72,AW$4+6&gt;=$E72),IF($F72-$E72&lt;=2,"◆",IF($H72="Yes","X",LEFT($D72,1))),""))</f>
        <v/>
      </c>
      <c r="AX72" s="33">
        <f>IF(OR($E72="",$F72=""),"",IF(AND(AX$4&lt;=$F72,AX$4+6&gt;=$E72),IF($F72-$E72&lt;=2,"◆",IF($H72="Yes","X",LEFT($D72,1))),""))</f>
        <v/>
      </c>
      <c r="AY72" s="33">
        <f>IF(OR($E72="",$F72=""),"",IF(AND(AY$4&lt;=$F72,AY$4+6&gt;=$E72),IF($F72-$E72&lt;=2,"◆",IF($H72="Yes","X",LEFT($D72,1))),""))</f>
        <v/>
      </c>
      <c r="AZ72" s="33">
        <f>IF(OR($E72="",$F72=""),"",IF(AND(AZ$4&lt;=$F72,AZ$4+6&gt;=$E72),IF($F72-$E72&lt;=2,"◆",IF($H72="Yes","X",LEFT($D72,1))),""))</f>
        <v/>
      </c>
      <c r="BA72" s="33">
        <f>IF(OR($E72="",$F72=""),"",IF(AND(BA$4&lt;=$F72,BA$4+6&gt;=$E72),IF($F72-$E72&lt;=2,"◆",IF($H72="Yes","X",LEFT($D72,1))),""))</f>
        <v/>
      </c>
      <c r="BB72" s="33">
        <f>IF(OR($E72="",$F72=""),"",IF(AND(BB$4&lt;=$F72,BB$4+6&gt;=$E72),IF($F72-$E72&lt;=2,"◆",IF($H72="Yes","X",LEFT($D72,1))),""))</f>
        <v/>
      </c>
      <c r="BC72" s="33">
        <f>IF(OR($E72="",$F72=""),"",IF(AND(BC$4&lt;=$F72,BC$4+6&gt;=$E72),IF($F72-$E72&lt;=2,"◆",IF($H72="Yes","X",LEFT($D72,1))),""))</f>
        <v/>
      </c>
      <c r="BD72" s="33">
        <f>IF(OR($E72="",$F72=""),"",IF(AND(BD$4&lt;=$F72,BD$4+6&gt;=$E72),IF($F72-$E72&lt;=2,"◆",IF($H72="Yes","X",LEFT($D72,1))),""))</f>
        <v/>
      </c>
      <c r="BE72" s="33">
        <f>IF(OR($E72="",$F72=""),"",IF(AND(BE$4&lt;=$F72,BE$4+6&gt;=$E72),IF($F72-$E72&lt;=2,"◆",IF($H72="Yes","X",LEFT($D72,1))),""))</f>
        <v/>
      </c>
      <c r="BF72" s="33">
        <f>IF(OR($E72="",$F72=""),"",IF(AND(BF$4&lt;=$F72,BF$4+6&gt;=$E72),IF($F72-$E72&lt;=2,"◆",IF($H72="Yes","X",LEFT($D72,1))),""))</f>
        <v/>
      </c>
      <c r="BG72" s="33">
        <f>IF(OR($E72="",$F72=""),"",IF(AND(BG$4&lt;=$F72,BG$4+6&gt;=$E72),IF($F72-$E72&lt;=2,"◆",IF($H72="Yes","X",LEFT($D72,1))),""))</f>
        <v/>
      </c>
      <c r="BH72" s="33">
        <f>IF(OR($E72="",$F72=""),"",IF(AND(BH$4&lt;=$F72,BH$4+6&gt;=$E72),IF($F72-$E72&lt;=2,"◆",IF($H72="Yes","X",LEFT($D72,1))),""))</f>
        <v/>
      </c>
      <c r="BI72" s="33">
        <f>IF(OR($E72="",$F72=""),"",IF(AND(BI$4&lt;=$F72,BI$4+6&gt;=$E72),IF($F72-$E72&lt;=2,"◆",IF($H72="Yes","X",LEFT($D72,1))),""))</f>
        <v/>
      </c>
    </row>
    <row r="73">
      <c r="A73" s="30" t="inlineStr">
        <is>
          <t>T-069</t>
        </is>
      </c>
      <c r="B73" s="30" t="inlineStr">
        <is>
          <t>Release Management, Regression Testing and Test Automation</t>
        </is>
      </c>
      <c r="C73" s="30" t="inlineStr">
        <is>
          <t>Jawahar</t>
        </is>
      </c>
      <c r="D73" s="30" t="inlineStr">
        <is>
          <t>Not Started</t>
        </is>
      </c>
      <c r="E73" s="31" t="n">
        <v>46400</v>
      </c>
      <c r="F73" s="31" t="n">
        <v>46424</v>
      </c>
      <c r="G73" s="32" t="n">
        <v>0</v>
      </c>
      <c r="H73" s="30" t="inlineStr">
        <is>
          <t>No</t>
        </is>
      </c>
      <c r="I73" s="33">
        <f>IF(OR($E73="",$F73=""),"",IF(AND(I$4&lt;=$F73,I$4+6&gt;=$E73),IF($F73-$E73&lt;=2,"◆",IF($H73="Yes","X",LEFT($D73,1))),""))</f>
        <v/>
      </c>
      <c r="J73" s="33">
        <f>IF(OR($E73="",$F73=""),"",IF(AND(J$4&lt;=$F73,J$4+6&gt;=$E73),IF($F73-$E73&lt;=2,"◆",IF($H73="Yes","X",LEFT($D73,1))),""))</f>
        <v/>
      </c>
      <c r="K73" s="33">
        <f>IF(OR($E73="",$F73=""),"",IF(AND(K$4&lt;=$F73,K$4+6&gt;=$E73),IF($F73-$E73&lt;=2,"◆",IF($H73="Yes","X",LEFT($D73,1))),""))</f>
        <v/>
      </c>
      <c r="L73" s="33">
        <f>IF(OR($E73="",$F73=""),"",IF(AND(L$4&lt;=$F73,L$4+6&gt;=$E73),IF($F73-$E73&lt;=2,"◆",IF($H73="Yes","X",LEFT($D73,1))),""))</f>
        <v/>
      </c>
      <c r="M73" s="33">
        <f>IF(OR($E73="",$F73=""),"",IF(AND(M$4&lt;=$F73,M$4+6&gt;=$E73),IF($F73-$E73&lt;=2,"◆",IF($H73="Yes","X",LEFT($D73,1))),""))</f>
        <v/>
      </c>
      <c r="N73" s="33">
        <f>IF(OR($E73="",$F73=""),"",IF(AND(N$4&lt;=$F73,N$4+6&gt;=$E73),IF($F73-$E73&lt;=2,"◆",IF($H73="Yes","X",LEFT($D73,1))),""))</f>
        <v/>
      </c>
      <c r="O73" s="33">
        <f>IF(OR($E73="",$F73=""),"",IF(AND(O$4&lt;=$F73,O$4+6&gt;=$E73),IF($F73-$E73&lt;=2,"◆",IF($H73="Yes","X",LEFT($D73,1))),""))</f>
        <v/>
      </c>
      <c r="P73" s="33">
        <f>IF(OR($E73="",$F73=""),"",IF(AND(P$4&lt;=$F73,P$4+6&gt;=$E73),IF($F73-$E73&lt;=2,"◆",IF($H73="Yes","X",LEFT($D73,1))),""))</f>
        <v/>
      </c>
      <c r="Q73" s="33">
        <f>IF(OR($E73="",$F73=""),"",IF(AND(Q$4&lt;=$F73,Q$4+6&gt;=$E73),IF($F73-$E73&lt;=2,"◆",IF($H73="Yes","X",LEFT($D73,1))),""))</f>
        <v/>
      </c>
      <c r="R73" s="33">
        <f>IF(OR($E73="",$F73=""),"",IF(AND(R$4&lt;=$F73,R$4+6&gt;=$E73),IF($F73-$E73&lt;=2,"◆",IF($H73="Yes","X",LEFT($D73,1))),""))</f>
        <v/>
      </c>
      <c r="S73" s="33">
        <f>IF(OR($E73="",$F73=""),"",IF(AND(S$4&lt;=$F73,S$4+6&gt;=$E73),IF($F73-$E73&lt;=2,"◆",IF($H73="Yes","X",LEFT($D73,1))),""))</f>
        <v/>
      </c>
      <c r="T73" s="33">
        <f>IF(OR($E73="",$F73=""),"",IF(AND(T$4&lt;=$F73,T$4+6&gt;=$E73),IF($F73-$E73&lt;=2,"◆",IF($H73="Yes","X",LEFT($D73,1))),""))</f>
        <v/>
      </c>
      <c r="U73" s="33">
        <f>IF(OR($E73="",$F73=""),"",IF(AND(U$4&lt;=$F73,U$4+6&gt;=$E73),IF($F73-$E73&lt;=2,"◆",IF($H73="Yes","X",LEFT($D73,1))),""))</f>
        <v/>
      </c>
      <c r="V73" s="33">
        <f>IF(OR($E73="",$F73=""),"",IF(AND(V$4&lt;=$F73,V$4+6&gt;=$E73),IF($F73-$E73&lt;=2,"◆",IF($H73="Yes","X",LEFT($D73,1))),""))</f>
        <v/>
      </c>
      <c r="W73" s="33">
        <f>IF(OR($E73="",$F73=""),"",IF(AND(W$4&lt;=$F73,W$4+6&gt;=$E73),IF($F73-$E73&lt;=2,"◆",IF($H73="Yes","X",LEFT($D73,1))),""))</f>
        <v/>
      </c>
      <c r="X73" s="33">
        <f>IF(OR($E73="",$F73=""),"",IF(AND(X$4&lt;=$F73,X$4+6&gt;=$E73),IF($F73-$E73&lt;=2,"◆",IF($H73="Yes","X",LEFT($D73,1))),""))</f>
        <v/>
      </c>
      <c r="Y73" s="33">
        <f>IF(OR($E73="",$F73=""),"",IF(AND(Y$4&lt;=$F73,Y$4+6&gt;=$E73),IF($F73-$E73&lt;=2,"◆",IF($H73="Yes","X",LEFT($D73,1))),""))</f>
        <v/>
      </c>
      <c r="Z73" s="33">
        <f>IF(OR($E73="",$F73=""),"",IF(AND(Z$4&lt;=$F73,Z$4+6&gt;=$E73),IF($F73-$E73&lt;=2,"◆",IF($H73="Yes","X",LEFT($D73,1))),""))</f>
        <v/>
      </c>
      <c r="AA73" s="33">
        <f>IF(OR($E73="",$F73=""),"",IF(AND(AA$4&lt;=$F73,AA$4+6&gt;=$E73),IF($F73-$E73&lt;=2,"◆",IF($H73="Yes","X",LEFT($D73,1))),""))</f>
        <v/>
      </c>
      <c r="AB73" s="33">
        <f>IF(OR($E73="",$F73=""),"",IF(AND(AB$4&lt;=$F73,AB$4+6&gt;=$E73),IF($F73-$E73&lt;=2,"◆",IF($H73="Yes","X",LEFT($D73,1))),""))</f>
        <v/>
      </c>
      <c r="AC73" s="33">
        <f>IF(OR($E73="",$F73=""),"",IF(AND(AC$4&lt;=$F73,AC$4+6&gt;=$E73),IF($F73-$E73&lt;=2,"◆",IF($H73="Yes","X",LEFT($D73,1))),""))</f>
        <v/>
      </c>
      <c r="AD73" s="33">
        <f>IF(OR($E73="",$F73=""),"",IF(AND(AD$4&lt;=$F73,AD$4+6&gt;=$E73),IF($F73-$E73&lt;=2,"◆",IF($H73="Yes","X",LEFT($D73,1))),""))</f>
        <v/>
      </c>
      <c r="AE73" s="33">
        <f>IF(OR($E73="",$F73=""),"",IF(AND(AE$4&lt;=$F73,AE$4+6&gt;=$E73),IF($F73-$E73&lt;=2,"◆",IF($H73="Yes","X",LEFT($D73,1))),""))</f>
        <v/>
      </c>
      <c r="AF73" s="33">
        <f>IF(OR($E73="",$F73=""),"",IF(AND(AF$4&lt;=$F73,AF$4+6&gt;=$E73),IF($F73-$E73&lt;=2,"◆",IF($H73="Yes","X",LEFT($D73,1))),""))</f>
        <v/>
      </c>
      <c r="AG73" s="33">
        <f>IF(OR($E73="",$F73=""),"",IF(AND(AG$4&lt;=$F73,AG$4+6&gt;=$E73),IF($F73-$E73&lt;=2,"◆",IF($H73="Yes","X",LEFT($D73,1))),""))</f>
        <v/>
      </c>
      <c r="AH73" s="33">
        <f>IF(OR($E73="",$F73=""),"",IF(AND(AH$4&lt;=$F73,AH$4+6&gt;=$E73),IF($F73-$E73&lt;=2,"◆",IF($H73="Yes","X",LEFT($D73,1))),""))</f>
        <v/>
      </c>
      <c r="AI73" s="33">
        <f>IF(OR($E73="",$F73=""),"",IF(AND(AI$4&lt;=$F73,AI$4+6&gt;=$E73),IF($F73-$E73&lt;=2,"◆",IF($H73="Yes","X",LEFT($D73,1))),""))</f>
        <v/>
      </c>
      <c r="AJ73" s="33">
        <f>IF(OR($E73="",$F73=""),"",IF(AND(AJ$4&lt;=$F73,AJ$4+6&gt;=$E73),IF($F73-$E73&lt;=2,"◆",IF($H73="Yes","X",LEFT($D73,1))),""))</f>
        <v/>
      </c>
      <c r="AK73" s="33">
        <f>IF(OR($E73="",$F73=""),"",IF(AND(AK$4&lt;=$F73,AK$4+6&gt;=$E73),IF($F73-$E73&lt;=2,"◆",IF($H73="Yes","X",LEFT($D73,1))),""))</f>
        <v/>
      </c>
      <c r="AL73" s="33">
        <f>IF(OR($E73="",$F73=""),"",IF(AND(AL$4&lt;=$F73,AL$4+6&gt;=$E73),IF($F73-$E73&lt;=2,"◆",IF($H73="Yes","X",LEFT($D73,1))),""))</f>
        <v/>
      </c>
      <c r="AM73" s="33">
        <f>IF(OR($E73="",$F73=""),"",IF(AND(AM$4&lt;=$F73,AM$4+6&gt;=$E73),IF($F73-$E73&lt;=2,"◆",IF($H73="Yes","X",LEFT($D73,1))),""))</f>
        <v/>
      </c>
      <c r="AN73" s="33">
        <f>IF(OR($E73="",$F73=""),"",IF(AND(AN$4&lt;=$F73,AN$4+6&gt;=$E73),IF($F73-$E73&lt;=2,"◆",IF($H73="Yes","X",LEFT($D73,1))),""))</f>
        <v/>
      </c>
      <c r="AO73" s="33">
        <f>IF(OR($E73="",$F73=""),"",IF(AND(AO$4&lt;=$F73,AO$4+6&gt;=$E73),IF($F73-$E73&lt;=2,"◆",IF($H73="Yes","X",LEFT($D73,1))),""))</f>
        <v/>
      </c>
      <c r="AP73" s="33">
        <f>IF(OR($E73="",$F73=""),"",IF(AND(AP$4&lt;=$F73,AP$4+6&gt;=$E73),IF($F73-$E73&lt;=2,"◆",IF($H73="Yes","X",LEFT($D73,1))),""))</f>
        <v/>
      </c>
      <c r="AQ73" s="33">
        <f>IF(OR($E73="",$F73=""),"",IF(AND(AQ$4&lt;=$F73,AQ$4+6&gt;=$E73),IF($F73-$E73&lt;=2,"◆",IF($H73="Yes","X",LEFT($D73,1))),""))</f>
        <v/>
      </c>
      <c r="AR73" s="33">
        <f>IF(OR($E73="",$F73=""),"",IF(AND(AR$4&lt;=$F73,AR$4+6&gt;=$E73),IF($F73-$E73&lt;=2,"◆",IF($H73="Yes","X",LEFT($D73,1))),""))</f>
        <v/>
      </c>
      <c r="AS73" s="33">
        <f>IF(OR($E73="",$F73=""),"",IF(AND(AS$4&lt;=$F73,AS$4+6&gt;=$E73),IF($F73-$E73&lt;=2,"◆",IF($H73="Yes","X",LEFT($D73,1))),""))</f>
        <v/>
      </c>
      <c r="AT73" s="33">
        <f>IF(OR($E73="",$F73=""),"",IF(AND(AT$4&lt;=$F73,AT$4+6&gt;=$E73),IF($F73-$E73&lt;=2,"◆",IF($H73="Yes","X",LEFT($D73,1))),""))</f>
        <v/>
      </c>
      <c r="AU73" s="33">
        <f>IF(OR($E73="",$F73=""),"",IF(AND(AU$4&lt;=$F73,AU$4+6&gt;=$E73),IF($F73-$E73&lt;=2,"◆",IF($H73="Yes","X",LEFT($D73,1))),""))</f>
        <v/>
      </c>
      <c r="AV73" s="33">
        <f>IF(OR($E73="",$F73=""),"",IF(AND(AV$4&lt;=$F73,AV$4+6&gt;=$E73),IF($F73-$E73&lt;=2,"◆",IF($H73="Yes","X",LEFT($D73,1))),""))</f>
        <v/>
      </c>
      <c r="AW73" s="33">
        <f>IF(OR($E73="",$F73=""),"",IF(AND(AW$4&lt;=$F73,AW$4+6&gt;=$E73),IF($F73-$E73&lt;=2,"◆",IF($H73="Yes","X",LEFT($D73,1))),""))</f>
        <v/>
      </c>
      <c r="AX73" s="33">
        <f>IF(OR($E73="",$F73=""),"",IF(AND(AX$4&lt;=$F73,AX$4+6&gt;=$E73),IF($F73-$E73&lt;=2,"◆",IF($H73="Yes","X",LEFT($D73,1))),""))</f>
        <v/>
      </c>
      <c r="AY73" s="33">
        <f>IF(OR($E73="",$F73=""),"",IF(AND(AY$4&lt;=$F73,AY$4+6&gt;=$E73),IF($F73-$E73&lt;=2,"◆",IF($H73="Yes","X",LEFT($D73,1))),""))</f>
        <v/>
      </c>
      <c r="AZ73" s="33">
        <f>IF(OR($E73="",$F73=""),"",IF(AND(AZ$4&lt;=$F73,AZ$4+6&gt;=$E73),IF($F73-$E73&lt;=2,"◆",IF($H73="Yes","X",LEFT($D73,1))),""))</f>
        <v/>
      </c>
      <c r="BA73" s="33">
        <f>IF(OR($E73="",$F73=""),"",IF(AND(BA$4&lt;=$F73,BA$4+6&gt;=$E73),IF($F73-$E73&lt;=2,"◆",IF($H73="Yes","X",LEFT($D73,1))),""))</f>
        <v/>
      </c>
      <c r="BB73" s="33">
        <f>IF(OR($E73="",$F73=""),"",IF(AND(BB$4&lt;=$F73,BB$4+6&gt;=$E73),IF($F73-$E73&lt;=2,"◆",IF($H73="Yes","X",LEFT($D73,1))),""))</f>
        <v/>
      </c>
      <c r="BC73" s="33">
        <f>IF(OR($E73="",$F73=""),"",IF(AND(BC$4&lt;=$F73,BC$4+6&gt;=$E73),IF($F73-$E73&lt;=2,"◆",IF($H73="Yes","X",LEFT($D73,1))),""))</f>
        <v/>
      </c>
      <c r="BD73" s="33">
        <f>IF(OR($E73="",$F73=""),"",IF(AND(BD$4&lt;=$F73,BD$4+6&gt;=$E73),IF($F73-$E73&lt;=2,"◆",IF($H73="Yes","X",LEFT($D73,1))),""))</f>
        <v/>
      </c>
      <c r="BE73" s="33">
        <f>IF(OR($E73="",$F73=""),"",IF(AND(BE$4&lt;=$F73,BE$4+6&gt;=$E73),IF($F73-$E73&lt;=2,"◆",IF($H73="Yes","X",LEFT($D73,1))),""))</f>
        <v/>
      </c>
      <c r="BF73" s="33">
        <f>IF(OR($E73="",$F73=""),"",IF(AND(BF$4&lt;=$F73,BF$4+6&gt;=$E73),IF($F73-$E73&lt;=2,"◆",IF($H73="Yes","X",LEFT($D73,1))),""))</f>
        <v/>
      </c>
      <c r="BG73" s="33">
        <f>IF(OR($E73="",$F73=""),"",IF(AND(BG$4&lt;=$F73,BG$4+6&gt;=$E73),IF($F73-$E73&lt;=2,"◆",IF($H73="Yes","X",LEFT($D73,1))),""))</f>
        <v/>
      </c>
      <c r="BH73" s="33">
        <f>IF(OR($E73="",$F73=""),"",IF(AND(BH$4&lt;=$F73,BH$4+6&gt;=$E73),IF($F73-$E73&lt;=2,"◆",IF($H73="Yes","X",LEFT($D73,1))),""))</f>
        <v/>
      </c>
      <c r="BI73" s="33">
        <f>IF(OR($E73="",$F73=""),"",IF(AND(BI$4&lt;=$F73,BI$4+6&gt;=$E73),IF($F73-$E73&lt;=2,"◆",IF($H73="Yes","X",LEFT($D73,1))),""))</f>
        <v/>
      </c>
    </row>
    <row r="74">
      <c r="A74" s="30" t="inlineStr">
        <is>
          <t>T-070</t>
        </is>
      </c>
      <c r="B74" s="30" t="inlineStr">
        <is>
          <t>Performance Testing, Tuning and Test Suite Management</t>
        </is>
      </c>
      <c r="C74" s="30" t="inlineStr">
        <is>
          <t>Jawahar</t>
        </is>
      </c>
      <c r="D74" s="30" t="inlineStr">
        <is>
          <t>Not Started</t>
        </is>
      </c>
      <c r="E74" s="31" t="n">
        <v>46444</v>
      </c>
      <c r="F74" s="31" t="n">
        <v>46468</v>
      </c>
      <c r="G74" s="32" t="n">
        <v>0</v>
      </c>
      <c r="H74" s="30" t="inlineStr">
        <is>
          <t>No</t>
        </is>
      </c>
      <c r="I74" s="33">
        <f>IF(OR($E74="",$F74=""),"",IF(AND(I$4&lt;=$F74,I$4+6&gt;=$E74),IF($F74-$E74&lt;=2,"◆",IF($H74="Yes","X",LEFT($D74,1))),""))</f>
        <v/>
      </c>
      <c r="J74" s="33">
        <f>IF(OR($E74="",$F74=""),"",IF(AND(J$4&lt;=$F74,J$4+6&gt;=$E74),IF($F74-$E74&lt;=2,"◆",IF($H74="Yes","X",LEFT($D74,1))),""))</f>
        <v/>
      </c>
      <c r="K74" s="33">
        <f>IF(OR($E74="",$F74=""),"",IF(AND(K$4&lt;=$F74,K$4+6&gt;=$E74),IF($F74-$E74&lt;=2,"◆",IF($H74="Yes","X",LEFT($D74,1))),""))</f>
        <v/>
      </c>
      <c r="L74" s="33">
        <f>IF(OR($E74="",$F74=""),"",IF(AND(L$4&lt;=$F74,L$4+6&gt;=$E74),IF($F74-$E74&lt;=2,"◆",IF($H74="Yes","X",LEFT($D74,1))),""))</f>
        <v/>
      </c>
      <c r="M74" s="33">
        <f>IF(OR($E74="",$F74=""),"",IF(AND(M$4&lt;=$F74,M$4+6&gt;=$E74),IF($F74-$E74&lt;=2,"◆",IF($H74="Yes","X",LEFT($D74,1))),""))</f>
        <v/>
      </c>
      <c r="N74" s="33">
        <f>IF(OR($E74="",$F74=""),"",IF(AND(N$4&lt;=$F74,N$4+6&gt;=$E74),IF($F74-$E74&lt;=2,"◆",IF($H74="Yes","X",LEFT($D74,1))),""))</f>
        <v/>
      </c>
      <c r="O74" s="33">
        <f>IF(OR($E74="",$F74=""),"",IF(AND(O$4&lt;=$F74,O$4+6&gt;=$E74),IF($F74-$E74&lt;=2,"◆",IF($H74="Yes","X",LEFT($D74,1))),""))</f>
        <v/>
      </c>
      <c r="P74" s="33">
        <f>IF(OR($E74="",$F74=""),"",IF(AND(P$4&lt;=$F74,P$4+6&gt;=$E74),IF($F74-$E74&lt;=2,"◆",IF($H74="Yes","X",LEFT($D74,1))),""))</f>
        <v/>
      </c>
      <c r="Q74" s="33">
        <f>IF(OR($E74="",$F74=""),"",IF(AND(Q$4&lt;=$F74,Q$4+6&gt;=$E74),IF($F74-$E74&lt;=2,"◆",IF($H74="Yes","X",LEFT($D74,1))),""))</f>
        <v/>
      </c>
      <c r="R74" s="33">
        <f>IF(OR($E74="",$F74=""),"",IF(AND(R$4&lt;=$F74,R$4+6&gt;=$E74),IF($F74-$E74&lt;=2,"◆",IF($H74="Yes","X",LEFT($D74,1))),""))</f>
        <v/>
      </c>
      <c r="S74" s="33">
        <f>IF(OR($E74="",$F74=""),"",IF(AND(S$4&lt;=$F74,S$4+6&gt;=$E74),IF($F74-$E74&lt;=2,"◆",IF($H74="Yes","X",LEFT($D74,1))),""))</f>
        <v/>
      </c>
      <c r="T74" s="33">
        <f>IF(OR($E74="",$F74=""),"",IF(AND(T$4&lt;=$F74,T$4+6&gt;=$E74),IF($F74-$E74&lt;=2,"◆",IF($H74="Yes","X",LEFT($D74,1))),""))</f>
        <v/>
      </c>
      <c r="U74" s="33">
        <f>IF(OR($E74="",$F74=""),"",IF(AND(U$4&lt;=$F74,U$4+6&gt;=$E74),IF($F74-$E74&lt;=2,"◆",IF($H74="Yes","X",LEFT($D74,1))),""))</f>
        <v/>
      </c>
      <c r="V74" s="33">
        <f>IF(OR($E74="",$F74=""),"",IF(AND(V$4&lt;=$F74,V$4+6&gt;=$E74),IF($F74-$E74&lt;=2,"◆",IF($H74="Yes","X",LEFT($D74,1))),""))</f>
        <v/>
      </c>
      <c r="W74" s="33">
        <f>IF(OR($E74="",$F74=""),"",IF(AND(W$4&lt;=$F74,W$4+6&gt;=$E74),IF($F74-$E74&lt;=2,"◆",IF($H74="Yes","X",LEFT($D74,1))),""))</f>
        <v/>
      </c>
      <c r="X74" s="33">
        <f>IF(OR($E74="",$F74=""),"",IF(AND(X$4&lt;=$F74,X$4+6&gt;=$E74),IF($F74-$E74&lt;=2,"◆",IF($H74="Yes","X",LEFT($D74,1))),""))</f>
        <v/>
      </c>
      <c r="Y74" s="33">
        <f>IF(OR($E74="",$F74=""),"",IF(AND(Y$4&lt;=$F74,Y$4+6&gt;=$E74),IF($F74-$E74&lt;=2,"◆",IF($H74="Yes","X",LEFT($D74,1))),""))</f>
        <v/>
      </c>
      <c r="Z74" s="33">
        <f>IF(OR($E74="",$F74=""),"",IF(AND(Z$4&lt;=$F74,Z$4+6&gt;=$E74),IF($F74-$E74&lt;=2,"◆",IF($H74="Yes","X",LEFT($D74,1))),""))</f>
        <v/>
      </c>
      <c r="AA74" s="33">
        <f>IF(OR($E74="",$F74=""),"",IF(AND(AA$4&lt;=$F74,AA$4+6&gt;=$E74),IF($F74-$E74&lt;=2,"◆",IF($H74="Yes","X",LEFT($D74,1))),""))</f>
        <v/>
      </c>
      <c r="AB74" s="33">
        <f>IF(OR($E74="",$F74=""),"",IF(AND(AB$4&lt;=$F74,AB$4+6&gt;=$E74),IF($F74-$E74&lt;=2,"◆",IF($H74="Yes","X",LEFT($D74,1))),""))</f>
        <v/>
      </c>
      <c r="AC74" s="33">
        <f>IF(OR($E74="",$F74=""),"",IF(AND(AC$4&lt;=$F74,AC$4+6&gt;=$E74),IF($F74-$E74&lt;=2,"◆",IF($H74="Yes","X",LEFT($D74,1))),""))</f>
        <v/>
      </c>
      <c r="AD74" s="33">
        <f>IF(OR($E74="",$F74=""),"",IF(AND(AD$4&lt;=$F74,AD$4+6&gt;=$E74),IF($F74-$E74&lt;=2,"◆",IF($H74="Yes","X",LEFT($D74,1))),""))</f>
        <v/>
      </c>
      <c r="AE74" s="33">
        <f>IF(OR($E74="",$F74=""),"",IF(AND(AE$4&lt;=$F74,AE$4+6&gt;=$E74),IF($F74-$E74&lt;=2,"◆",IF($H74="Yes","X",LEFT($D74,1))),""))</f>
        <v/>
      </c>
      <c r="AF74" s="33">
        <f>IF(OR($E74="",$F74=""),"",IF(AND(AF$4&lt;=$F74,AF$4+6&gt;=$E74),IF($F74-$E74&lt;=2,"◆",IF($H74="Yes","X",LEFT($D74,1))),""))</f>
        <v/>
      </c>
      <c r="AG74" s="33">
        <f>IF(OR($E74="",$F74=""),"",IF(AND(AG$4&lt;=$F74,AG$4+6&gt;=$E74),IF($F74-$E74&lt;=2,"◆",IF($H74="Yes","X",LEFT($D74,1))),""))</f>
        <v/>
      </c>
      <c r="AH74" s="33">
        <f>IF(OR($E74="",$F74=""),"",IF(AND(AH$4&lt;=$F74,AH$4+6&gt;=$E74),IF($F74-$E74&lt;=2,"◆",IF($H74="Yes","X",LEFT($D74,1))),""))</f>
        <v/>
      </c>
      <c r="AI74" s="33">
        <f>IF(OR($E74="",$F74=""),"",IF(AND(AI$4&lt;=$F74,AI$4+6&gt;=$E74),IF($F74-$E74&lt;=2,"◆",IF($H74="Yes","X",LEFT($D74,1))),""))</f>
        <v/>
      </c>
      <c r="AJ74" s="33">
        <f>IF(OR($E74="",$F74=""),"",IF(AND(AJ$4&lt;=$F74,AJ$4+6&gt;=$E74),IF($F74-$E74&lt;=2,"◆",IF($H74="Yes","X",LEFT($D74,1))),""))</f>
        <v/>
      </c>
      <c r="AK74" s="33">
        <f>IF(OR($E74="",$F74=""),"",IF(AND(AK$4&lt;=$F74,AK$4+6&gt;=$E74),IF($F74-$E74&lt;=2,"◆",IF($H74="Yes","X",LEFT($D74,1))),""))</f>
        <v/>
      </c>
      <c r="AL74" s="33">
        <f>IF(OR($E74="",$F74=""),"",IF(AND(AL$4&lt;=$F74,AL$4+6&gt;=$E74),IF($F74-$E74&lt;=2,"◆",IF($H74="Yes","X",LEFT($D74,1))),""))</f>
        <v/>
      </c>
      <c r="AM74" s="33">
        <f>IF(OR($E74="",$F74=""),"",IF(AND(AM$4&lt;=$F74,AM$4+6&gt;=$E74),IF($F74-$E74&lt;=2,"◆",IF($H74="Yes","X",LEFT($D74,1))),""))</f>
        <v/>
      </c>
      <c r="AN74" s="33">
        <f>IF(OR($E74="",$F74=""),"",IF(AND(AN$4&lt;=$F74,AN$4+6&gt;=$E74),IF($F74-$E74&lt;=2,"◆",IF($H74="Yes","X",LEFT($D74,1))),""))</f>
        <v/>
      </c>
      <c r="AO74" s="33">
        <f>IF(OR($E74="",$F74=""),"",IF(AND(AO$4&lt;=$F74,AO$4+6&gt;=$E74),IF($F74-$E74&lt;=2,"◆",IF($H74="Yes","X",LEFT($D74,1))),""))</f>
        <v/>
      </c>
      <c r="AP74" s="33">
        <f>IF(OR($E74="",$F74=""),"",IF(AND(AP$4&lt;=$F74,AP$4+6&gt;=$E74),IF($F74-$E74&lt;=2,"◆",IF($H74="Yes","X",LEFT($D74,1))),""))</f>
        <v/>
      </c>
      <c r="AQ74" s="33">
        <f>IF(OR($E74="",$F74=""),"",IF(AND(AQ$4&lt;=$F74,AQ$4+6&gt;=$E74),IF($F74-$E74&lt;=2,"◆",IF($H74="Yes","X",LEFT($D74,1))),""))</f>
        <v/>
      </c>
      <c r="AR74" s="33">
        <f>IF(OR($E74="",$F74=""),"",IF(AND(AR$4&lt;=$F74,AR$4+6&gt;=$E74),IF($F74-$E74&lt;=2,"◆",IF($H74="Yes","X",LEFT($D74,1))),""))</f>
        <v/>
      </c>
      <c r="AS74" s="33">
        <f>IF(OR($E74="",$F74=""),"",IF(AND(AS$4&lt;=$F74,AS$4+6&gt;=$E74),IF($F74-$E74&lt;=2,"◆",IF($H74="Yes","X",LEFT($D74,1))),""))</f>
        <v/>
      </c>
      <c r="AT74" s="33">
        <f>IF(OR($E74="",$F74=""),"",IF(AND(AT$4&lt;=$F74,AT$4+6&gt;=$E74),IF($F74-$E74&lt;=2,"◆",IF($H74="Yes","X",LEFT($D74,1))),""))</f>
        <v/>
      </c>
      <c r="AU74" s="33">
        <f>IF(OR($E74="",$F74=""),"",IF(AND(AU$4&lt;=$F74,AU$4+6&gt;=$E74),IF($F74-$E74&lt;=2,"◆",IF($H74="Yes","X",LEFT($D74,1))),""))</f>
        <v/>
      </c>
      <c r="AV74" s="33">
        <f>IF(OR($E74="",$F74=""),"",IF(AND(AV$4&lt;=$F74,AV$4+6&gt;=$E74),IF($F74-$E74&lt;=2,"◆",IF($H74="Yes","X",LEFT($D74,1))),""))</f>
        <v/>
      </c>
      <c r="AW74" s="33">
        <f>IF(OR($E74="",$F74=""),"",IF(AND(AW$4&lt;=$F74,AW$4+6&gt;=$E74),IF($F74-$E74&lt;=2,"◆",IF($H74="Yes","X",LEFT($D74,1))),""))</f>
        <v/>
      </c>
      <c r="AX74" s="33">
        <f>IF(OR($E74="",$F74=""),"",IF(AND(AX$4&lt;=$F74,AX$4+6&gt;=$E74),IF($F74-$E74&lt;=2,"◆",IF($H74="Yes","X",LEFT($D74,1))),""))</f>
        <v/>
      </c>
      <c r="AY74" s="33">
        <f>IF(OR($E74="",$F74=""),"",IF(AND(AY$4&lt;=$F74,AY$4+6&gt;=$E74),IF($F74-$E74&lt;=2,"◆",IF($H74="Yes","X",LEFT($D74,1))),""))</f>
        <v/>
      </c>
      <c r="AZ74" s="33">
        <f>IF(OR($E74="",$F74=""),"",IF(AND(AZ$4&lt;=$F74,AZ$4+6&gt;=$E74),IF($F74-$E74&lt;=2,"◆",IF($H74="Yes","X",LEFT($D74,1))),""))</f>
        <v/>
      </c>
      <c r="BA74" s="33">
        <f>IF(OR($E74="",$F74=""),"",IF(AND(BA$4&lt;=$F74,BA$4+6&gt;=$E74),IF($F74-$E74&lt;=2,"◆",IF($H74="Yes","X",LEFT($D74,1))),""))</f>
        <v/>
      </c>
      <c r="BB74" s="33">
        <f>IF(OR($E74="",$F74=""),"",IF(AND(BB$4&lt;=$F74,BB$4+6&gt;=$E74),IF($F74-$E74&lt;=2,"◆",IF($H74="Yes","X",LEFT($D74,1))),""))</f>
        <v/>
      </c>
      <c r="BC74" s="33">
        <f>IF(OR($E74="",$F74=""),"",IF(AND(BC$4&lt;=$F74,BC$4+6&gt;=$E74),IF($F74-$E74&lt;=2,"◆",IF($H74="Yes","X",LEFT($D74,1))),""))</f>
        <v/>
      </c>
      <c r="BD74" s="33">
        <f>IF(OR($E74="",$F74=""),"",IF(AND(BD$4&lt;=$F74,BD$4+6&gt;=$E74),IF($F74-$E74&lt;=2,"◆",IF($H74="Yes","X",LEFT($D74,1))),""))</f>
        <v/>
      </c>
      <c r="BE74" s="33">
        <f>IF(OR($E74="",$F74=""),"",IF(AND(BE$4&lt;=$F74,BE$4+6&gt;=$E74),IF($F74-$E74&lt;=2,"◆",IF($H74="Yes","X",LEFT($D74,1))),""))</f>
        <v/>
      </c>
      <c r="BF74" s="33">
        <f>IF(OR($E74="",$F74=""),"",IF(AND(BF$4&lt;=$F74,BF$4+6&gt;=$E74),IF($F74-$E74&lt;=2,"◆",IF($H74="Yes","X",LEFT($D74,1))),""))</f>
        <v/>
      </c>
      <c r="BG74" s="33">
        <f>IF(OR($E74="",$F74=""),"",IF(AND(BG$4&lt;=$F74,BG$4+6&gt;=$E74),IF($F74-$E74&lt;=2,"◆",IF($H74="Yes","X",LEFT($D74,1))),""))</f>
        <v/>
      </c>
      <c r="BH74" s="33">
        <f>IF(OR($E74="",$F74=""),"",IF(AND(BH$4&lt;=$F74,BH$4+6&gt;=$E74),IF($F74-$E74&lt;=2,"◆",IF($H74="Yes","X",LEFT($D74,1))),""))</f>
        <v/>
      </c>
      <c r="BI74" s="33">
        <f>IF(OR($E74="",$F74=""),"",IF(AND(BI$4&lt;=$F74,BI$4+6&gt;=$E74),IF($F74-$E74&lt;=2,"◆",IF($H74="Yes","X",LEFT($D74,1))),""))</f>
        <v/>
      </c>
    </row>
    <row r="75">
      <c r="A75" s="30" t="inlineStr">
        <is>
          <t>T-071</t>
        </is>
      </c>
      <c r="B75" s="30" t="inlineStr">
        <is>
          <t>DevOps Management, Improvements and Pipeline Monitoring</t>
        </is>
      </c>
      <c r="C75" s="30" t="inlineStr">
        <is>
          <t>Jawahar</t>
        </is>
      </c>
      <c r="D75" s="30" t="inlineStr">
        <is>
          <t>Not Started</t>
        </is>
      </c>
      <c r="E75" s="31" t="n">
        <v>46434</v>
      </c>
      <c r="F75" s="31" t="n">
        <v>46439</v>
      </c>
      <c r="G75" s="32" t="n">
        <v>0</v>
      </c>
      <c r="H75" s="30" t="inlineStr">
        <is>
          <t>No</t>
        </is>
      </c>
      <c r="I75" s="33">
        <f>IF(OR($E75="",$F75=""),"",IF(AND(I$4&lt;=$F75,I$4+6&gt;=$E75),IF($F75-$E75&lt;=2,"◆",IF($H75="Yes","X",LEFT($D75,1))),""))</f>
        <v/>
      </c>
      <c r="J75" s="33">
        <f>IF(OR($E75="",$F75=""),"",IF(AND(J$4&lt;=$F75,J$4+6&gt;=$E75),IF($F75-$E75&lt;=2,"◆",IF($H75="Yes","X",LEFT($D75,1))),""))</f>
        <v/>
      </c>
      <c r="K75" s="33">
        <f>IF(OR($E75="",$F75=""),"",IF(AND(K$4&lt;=$F75,K$4+6&gt;=$E75),IF($F75-$E75&lt;=2,"◆",IF($H75="Yes","X",LEFT($D75,1))),""))</f>
        <v/>
      </c>
      <c r="L75" s="33">
        <f>IF(OR($E75="",$F75=""),"",IF(AND(L$4&lt;=$F75,L$4+6&gt;=$E75),IF($F75-$E75&lt;=2,"◆",IF($H75="Yes","X",LEFT($D75,1))),""))</f>
        <v/>
      </c>
      <c r="M75" s="33">
        <f>IF(OR($E75="",$F75=""),"",IF(AND(M$4&lt;=$F75,M$4+6&gt;=$E75),IF($F75-$E75&lt;=2,"◆",IF($H75="Yes","X",LEFT($D75,1))),""))</f>
        <v/>
      </c>
      <c r="N75" s="33">
        <f>IF(OR($E75="",$F75=""),"",IF(AND(N$4&lt;=$F75,N$4+6&gt;=$E75),IF($F75-$E75&lt;=2,"◆",IF($H75="Yes","X",LEFT($D75,1))),""))</f>
        <v/>
      </c>
      <c r="O75" s="33">
        <f>IF(OR($E75="",$F75=""),"",IF(AND(O$4&lt;=$F75,O$4+6&gt;=$E75),IF($F75-$E75&lt;=2,"◆",IF($H75="Yes","X",LEFT($D75,1))),""))</f>
        <v/>
      </c>
      <c r="P75" s="33">
        <f>IF(OR($E75="",$F75=""),"",IF(AND(P$4&lt;=$F75,P$4+6&gt;=$E75),IF($F75-$E75&lt;=2,"◆",IF($H75="Yes","X",LEFT($D75,1))),""))</f>
        <v/>
      </c>
      <c r="Q75" s="33">
        <f>IF(OR($E75="",$F75=""),"",IF(AND(Q$4&lt;=$F75,Q$4+6&gt;=$E75),IF($F75-$E75&lt;=2,"◆",IF($H75="Yes","X",LEFT($D75,1))),""))</f>
        <v/>
      </c>
      <c r="R75" s="33">
        <f>IF(OR($E75="",$F75=""),"",IF(AND(R$4&lt;=$F75,R$4+6&gt;=$E75),IF($F75-$E75&lt;=2,"◆",IF($H75="Yes","X",LEFT($D75,1))),""))</f>
        <v/>
      </c>
      <c r="S75" s="33">
        <f>IF(OR($E75="",$F75=""),"",IF(AND(S$4&lt;=$F75,S$4+6&gt;=$E75),IF($F75-$E75&lt;=2,"◆",IF($H75="Yes","X",LEFT($D75,1))),""))</f>
        <v/>
      </c>
      <c r="T75" s="33">
        <f>IF(OR($E75="",$F75=""),"",IF(AND(T$4&lt;=$F75,T$4+6&gt;=$E75),IF($F75-$E75&lt;=2,"◆",IF($H75="Yes","X",LEFT($D75,1))),""))</f>
        <v/>
      </c>
      <c r="U75" s="33">
        <f>IF(OR($E75="",$F75=""),"",IF(AND(U$4&lt;=$F75,U$4+6&gt;=$E75),IF($F75-$E75&lt;=2,"◆",IF($H75="Yes","X",LEFT($D75,1))),""))</f>
        <v/>
      </c>
      <c r="V75" s="33">
        <f>IF(OR($E75="",$F75=""),"",IF(AND(V$4&lt;=$F75,V$4+6&gt;=$E75),IF($F75-$E75&lt;=2,"◆",IF($H75="Yes","X",LEFT($D75,1))),""))</f>
        <v/>
      </c>
      <c r="W75" s="33">
        <f>IF(OR($E75="",$F75=""),"",IF(AND(W$4&lt;=$F75,W$4+6&gt;=$E75),IF($F75-$E75&lt;=2,"◆",IF($H75="Yes","X",LEFT($D75,1))),""))</f>
        <v/>
      </c>
      <c r="X75" s="33">
        <f>IF(OR($E75="",$F75=""),"",IF(AND(X$4&lt;=$F75,X$4+6&gt;=$E75),IF($F75-$E75&lt;=2,"◆",IF($H75="Yes","X",LEFT($D75,1))),""))</f>
        <v/>
      </c>
      <c r="Y75" s="33">
        <f>IF(OR($E75="",$F75=""),"",IF(AND(Y$4&lt;=$F75,Y$4+6&gt;=$E75),IF($F75-$E75&lt;=2,"◆",IF($H75="Yes","X",LEFT($D75,1))),""))</f>
        <v/>
      </c>
      <c r="Z75" s="33">
        <f>IF(OR($E75="",$F75=""),"",IF(AND(Z$4&lt;=$F75,Z$4+6&gt;=$E75),IF($F75-$E75&lt;=2,"◆",IF($H75="Yes","X",LEFT($D75,1))),""))</f>
        <v/>
      </c>
      <c r="AA75" s="33">
        <f>IF(OR($E75="",$F75=""),"",IF(AND(AA$4&lt;=$F75,AA$4+6&gt;=$E75),IF($F75-$E75&lt;=2,"◆",IF($H75="Yes","X",LEFT($D75,1))),""))</f>
        <v/>
      </c>
      <c r="AB75" s="33">
        <f>IF(OR($E75="",$F75=""),"",IF(AND(AB$4&lt;=$F75,AB$4+6&gt;=$E75),IF($F75-$E75&lt;=2,"◆",IF($H75="Yes","X",LEFT($D75,1))),""))</f>
        <v/>
      </c>
      <c r="AC75" s="33">
        <f>IF(OR($E75="",$F75=""),"",IF(AND(AC$4&lt;=$F75,AC$4+6&gt;=$E75),IF($F75-$E75&lt;=2,"◆",IF($H75="Yes","X",LEFT($D75,1))),""))</f>
        <v/>
      </c>
      <c r="AD75" s="33">
        <f>IF(OR($E75="",$F75=""),"",IF(AND(AD$4&lt;=$F75,AD$4+6&gt;=$E75),IF($F75-$E75&lt;=2,"◆",IF($H75="Yes","X",LEFT($D75,1))),""))</f>
        <v/>
      </c>
      <c r="AE75" s="33">
        <f>IF(OR($E75="",$F75=""),"",IF(AND(AE$4&lt;=$F75,AE$4+6&gt;=$E75),IF($F75-$E75&lt;=2,"◆",IF($H75="Yes","X",LEFT($D75,1))),""))</f>
        <v/>
      </c>
      <c r="AF75" s="33">
        <f>IF(OR($E75="",$F75=""),"",IF(AND(AF$4&lt;=$F75,AF$4+6&gt;=$E75),IF($F75-$E75&lt;=2,"◆",IF($H75="Yes","X",LEFT($D75,1))),""))</f>
        <v/>
      </c>
      <c r="AG75" s="33">
        <f>IF(OR($E75="",$F75=""),"",IF(AND(AG$4&lt;=$F75,AG$4+6&gt;=$E75),IF($F75-$E75&lt;=2,"◆",IF($H75="Yes","X",LEFT($D75,1))),""))</f>
        <v/>
      </c>
      <c r="AH75" s="33">
        <f>IF(OR($E75="",$F75=""),"",IF(AND(AH$4&lt;=$F75,AH$4+6&gt;=$E75),IF($F75-$E75&lt;=2,"◆",IF($H75="Yes","X",LEFT($D75,1))),""))</f>
        <v/>
      </c>
      <c r="AI75" s="33">
        <f>IF(OR($E75="",$F75=""),"",IF(AND(AI$4&lt;=$F75,AI$4+6&gt;=$E75),IF($F75-$E75&lt;=2,"◆",IF($H75="Yes","X",LEFT($D75,1))),""))</f>
        <v/>
      </c>
      <c r="AJ75" s="33">
        <f>IF(OR($E75="",$F75=""),"",IF(AND(AJ$4&lt;=$F75,AJ$4+6&gt;=$E75),IF($F75-$E75&lt;=2,"◆",IF($H75="Yes","X",LEFT($D75,1))),""))</f>
        <v/>
      </c>
      <c r="AK75" s="33">
        <f>IF(OR($E75="",$F75=""),"",IF(AND(AK$4&lt;=$F75,AK$4+6&gt;=$E75),IF($F75-$E75&lt;=2,"◆",IF($H75="Yes","X",LEFT($D75,1))),""))</f>
        <v/>
      </c>
      <c r="AL75" s="33">
        <f>IF(OR($E75="",$F75=""),"",IF(AND(AL$4&lt;=$F75,AL$4+6&gt;=$E75),IF($F75-$E75&lt;=2,"◆",IF($H75="Yes","X",LEFT($D75,1))),""))</f>
        <v/>
      </c>
      <c r="AM75" s="33">
        <f>IF(OR($E75="",$F75=""),"",IF(AND(AM$4&lt;=$F75,AM$4+6&gt;=$E75),IF($F75-$E75&lt;=2,"◆",IF($H75="Yes","X",LEFT($D75,1))),""))</f>
        <v/>
      </c>
      <c r="AN75" s="33">
        <f>IF(OR($E75="",$F75=""),"",IF(AND(AN$4&lt;=$F75,AN$4+6&gt;=$E75),IF($F75-$E75&lt;=2,"◆",IF($H75="Yes","X",LEFT($D75,1))),""))</f>
        <v/>
      </c>
      <c r="AO75" s="33">
        <f>IF(OR($E75="",$F75=""),"",IF(AND(AO$4&lt;=$F75,AO$4+6&gt;=$E75),IF($F75-$E75&lt;=2,"◆",IF($H75="Yes","X",LEFT($D75,1))),""))</f>
        <v/>
      </c>
      <c r="AP75" s="33">
        <f>IF(OR($E75="",$F75=""),"",IF(AND(AP$4&lt;=$F75,AP$4+6&gt;=$E75),IF($F75-$E75&lt;=2,"◆",IF($H75="Yes","X",LEFT($D75,1))),""))</f>
        <v/>
      </c>
      <c r="AQ75" s="33">
        <f>IF(OR($E75="",$F75=""),"",IF(AND(AQ$4&lt;=$F75,AQ$4+6&gt;=$E75),IF($F75-$E75&lt;=2,"◆",IF($H75="Yes","X",LEFT($D75,1))),""))</f>
        <v/>
      </c>
      <c r="AR75" s="33">
        <f>IF(OR($E75="",$F75=""),"",IF(AND(AR$4&lt;=$F75,AR$4+6&gt;=$E75),IF($F75-$E75&lt;=2,"◆",IF($H75="Yes","X",LEFT($D75,1))),""))</f>
        <v/>
      </c>
      <c r="AS75" s="33">
        <f>IF(OR($E75="",$F75=""),"",IF(AND(AS$4&lt;=$F75,AS$4+6&gt;=$E75),IF($F75-$E75&lt;=2,"◆",IF($H75="Yes","X",LEFT($D75,1))),""))</f>
        <v/>
      </c>
      <c r="AT75" s="33">
        <f>IF(OR($E75="",$F75=""),"",IF(AND(AT$4&lt;=$F75,AT$4+6&gt;=$E75),IF($F75-$E75&lt;=2,"◆",IF($H75="Yes","X",LEFT($D75,1))),""))</f>
        <v/>
      </c>
      <c r="AU75" s="33">
        <f>IF(OR($E75="",$F75=""),"",IF(AND(AU$4&lt;=$F75,AU$4+6&gt;=$E75),IF($F75-$E75&lt;=2,"◆",IF($H75="Yes","X",LEFT($D75,1))),""))</f>
        <v/>
      </c>
      <c r="AV75" s="33">
        <f>IF(OR($E75="",$F75=""),"",IF(AND(AV$4&lt;=$F75,AV$4+6&gt;=$E75),IF($F75-$E75&lt;=2,"◆",IF($H75="Yes","X",LEFT($D75,1))),""))</f>
        <v/>
      </c>
      <c r="AW75" s="33">
        <f>IF(OR($E75="",$F75=""),"",IF(AND(AW$4&lt;=$F75,AW$4+6&gt;=$E75),IF($F75-$E75&lt;=2,"◆",IF($H75="Yes","X",LEFT($D75,1))),""))</f>
        <v/>
      </c>
      <c r="AX75" s="33">
        <f>IF(OR($E75="",$F75=""),"",IF(AND(AX$4&lt;=$F75,AX$4+6&gt;=$E75),IF($F75-$E75&lt;=2,"◆",IF($H75="Yes","X",LEFT($D75,1))),""))</f>
        <v/>
      </c>
      <c r="AY75" s="33">
        <f>IF(OR($E75="",$F75=""),"",IF(AND(AY$4&lt;=$F75,AY$4+6&gt;=$E75),IF($F75-$E75&lt;=2,"◆",IF($H75="Yes","X",LEFT($D75,1))),""))</f>
        <v/>
      </c>
      <c r="AZ75" s="33">
        <f>IF(OR($E75="",$F75=""),"",IF(AND(AZ$4&lt;=$F75,AZ$4+6&gt;=$E75),IF($F75-$E75&lt;=2,"◆",IF($H75="Yes","X",LEFT($D75,1))),""))</f>
        <v/>
      </c>
      <c r="BA75" s="33">
        <f>IF(OR($E75="",$F75=""),"",IF(AND(BA$4&lt;=$F75,BA$4+6&gt;=$E75),IF($F75-$E75&lt;=2,"◆",IF($H75="Yes","X",LEFT($D75,1))),""))</f>
        <v/>
      </c>
      <c r="BB75" s="33">
        <f>IF(OR($E75="",$F75=""),"",IF(AND(BB$4&lt;=$F75,BB$4+6&gt;=$E75),IF($F75-$E75&lt;=2,"◆",IF($H75="Yes","X",LEFT($D75,1))),""))</f>
        <v/>
      </c>
      <c r="BC75" s="33">
        <f>IF(OR($E75="",$F75=""),"",IF(AND(BC$4&lt;=$F75,BC$4+6&gt;=$E75),IF($F75-$E75&lt;=2,"◆",IF($H75="Yes","X",LEFT($D75,1))),""))</f>
        <v/>
      </c>
      <c r="BD75" s="33">
        <f>IF(OR($E75="",$F75=""),"",IF(AND(BD$4&lt;=$F75,BD$4+6&gt;=$E75),IF($F75-$E75&lt;=2,"◆",IF($H75="Yes","X",LEFT($D75,1))),""))</f>
        <v/>
      </c>
      <c r="BE75" s="33">
        <f>IF(OR($E75="",$F75=""),"",IF(AND(BE$4&lt;=$F75,BE$4+6&gt;=$E75),IF($F75-$E75&lt;=2,"◆",IF($H75="Yes","X",LEFT($D75,1))),""))</f>
        <v/>
      </c>
      <c r="BF75" s="33">
        <f>IF(OR($E75="",$F75=""),"",IF(AND(BF$4&lt;=$F75,BF$4+6&gt;=$E75),IF($F75-$E75&lt;=2,"◆",IF($H75="Yes","X",LEFT($D75,1))),""))</f>
        <v/>
      </c>
      <c r="BG75" s="33">
        <f>IF(OR($E75="",$F75=""),"",IF(AND(BG$4&lt;=$F75,BG$4+6&gt;=$E75),IF($F75-$E75&lt;=2,"◆",IF($H75="Yes","X",LEFT($D75,1))),""))</f>
        <v/>
      </c>
      <c r="BH75" s="33">
        <f>IF(OR($E75="",$F75=""),"",IF(AND(BH$4&lt;=$F75,BH$4+6&gt;=$E75),IF($F75-$E75&lt;=2,"◆",IF($H75="Yes","X",LEFT($D75,1))),""))</f>
        <v/>
      </c>
      <c r="BI75" s="33">
        <f>IF(OR($E75="",$F75=""),"",IF(AND(BI$4&lt;=$F75,BI$4+6&gt;=$E75),IF($F75-$E75&lt;=2,"◆",IF($H75="Yes","X",LEFT($D75,1))),""))</f>
        <v/>
      </c>
    </row>
    <row r="76">
      <c r="A76" s="30" t="inlineStr">
        <is>
          <t>T-072</t>
        </is>
      </c>
      <c r="B76" s="30" t="inlineStr">
        <is>
          <t>Release Based Feature Documentation</t>
        </is>
      </c>
      <c r="C76" s="30" t="inlineStr">
        <is>
          <t>Jawahar</t>
        </is>
      </c>
      <c r="D76" s="30" t="inlineStr">
        <is>
          <t>Not Started</t>
        </is>
      </c>
      <c r="E76" s="31" t="n">
        <v>46430</v>
      </c>
      <c r="F76" s="31" t="n">
        <v>46435</v>
      </c>
      <c r="G76" s="32" t="n">
        <v>0</v>
      </c>
      <c r="H76" s="30" t="inlineStr">
        <is>
          <t>No</t>
        </is>
      </c>
      <c r="I76" s="33">
        <f>IF(OR($E76="",$F76=""),"",IF(AND(I$4&lt;=$F76,I$4+6&gt;=$E76),IF($F76-$E76&lt;=2,"◆",IF($H76="Yes","X",LEFT($D76,1))),""))</f>
        <v/>
      </c>
      <c r="J76" s="33">
        <f>IF(OR($E76="",$F76=""),"",IF(AND(J$4&lt;=$F76,J$4+6&gt;=$E76),IF($F76-$E76&lt;=2,"◆",IF($H76="Yes","X",LEFT($D76,1))),""))</f>
        <v/>
      </c>
      <c r="K76" s="33">
        <f>IF(OR($E76="",$F76=""),"",IF(AND(K$4&lt;=$F76,K$4+6&gt;=$E76),IF($F76-$E76&lt;=2,"◆",IF($H76="Yes","X",LEFT($D76,1))),""))</f>
        <v/>
      </c>
      <c r="L76" s="33">
        <f>IF(OR($E76="",$F76=""),"",IF(AND(L$4&lt;=$F76,L$4+6&gt;=$E76),IF($F76-$E76&lt;=2,"◆",IF($H76="Yes","X",LEFT($D76,1))),""))</f>
        <v/>
      </c>
      <c r="M76" s="33">
        <f>IF(OR($E76="",$F76=""),"",IF(AND(M$4&lt;=$F76,M$4+6&gt;=$E76),IF($F76-$E76&lt;=2,"◆",IF($H76="Yes","X",LEFT($D76,1))),""))</f>
        <v/>
      </c>
      <c r="N76" s="33">
        <f>IF(OR($E76="",$F76=""),"",IF(AND(N$4&lt;=$F76,N$4+6&gt;=$E76),IF($F76-$E76&lt;=2,"◆",IF($H76="Yes","X",LEFT($D76,1))),""))</f>
        <v/>
      </c>
      <c r="O76" s="33">
        <f>IF(OR($E76="",$F76=""),"",IF(AND(O$4&lt;=$F76,O$4+6&gt;=$E76),IF($F76-$E76&lt;=2,"◆",IF($H76="Yes","X",LEFT($D76,1))),""))</f>
        <v/>
      </c>
      <c r="P76" s="33">
        <f>IF(OR($E76="",$F76=""),"",IF(AND(P$4&lt;=$F76,P$4+6&gt;=$E76),IF($F76-$E76&lt;=2,"◆",IF($H76="Yes","X",LEFT($D76,1))),""))</f>
        <v/>
      </c>
      <c r="Q76" s="33">
        <f>IF(OR($E76="",$F76=""),"",IF(AND(Q$4&lt;=$F76,Q$4+6&gt;=$E76),IF($F76-$E76&lt;=2,"◆",IF($H76="Yes","X",LEFT($D76,1))),""))</f>
        <v/>
      </c>
      <c r="R76" s="33">
        <f>IF(OR($E76="",$F76=""),"",IF(AND(R$4&lt;=$F76,R$4+6&gt;=$E76),IF($F76-$E76&lt;=2,"◆",IF($H76="Yes","X",LEFT($D76,1))),""))</f>
        <v/>
      </c>
      <c r="S76" s="33">
        <f>IF(OR($E76="",$F76=""),"",IF(AND(S$4&lt;=$F76,S$4+6&gt;=$E76),IF($F76-$E76&lt;=2,"◆",IF($H76="Yes","X",LEFT($D76,1))),""))</f>
        <v/>
      </c>
      <c r="T76" s="33">
        <f>IF(OR($E76="",$F76=""),"",IF(AND(T$4&lt;=$F76,T$4+6&gt;=$E76),IF($F76-$E76&lt;=2,"◆",IF($H76="Yes","X",LEFT($D76,1))),""))</f>
        <v/>
      </c>
      <c r="U76" s="33">
        <f>IF(OR($E76="",$F76=""),"",IF(AND(U$4&lt;=$F76,U$4+6&gt;=$E76),IF($F76-$E76&lt;=2,"◆",IF($H76="Yes","X",LEFT($D76,1))),""))</f>
        <v/>
      </c>
      <c r="V76" s="33">
        <f>IF(OR($E76="",$F76=""),"",IF(AND(V$4&lt;=$F76,V$4+6&gt;=$E76),IF($F76-$E76&lt;=2,"◆",IF($H76="Yes","X",LEFT($D76,1))),""))</f>
        <v/>
      </c>
      <c r="W76" s="33">
        <f>IF(OR($E76="",$F76=""),"",IF(AND(W$4&lt;=$F76,W$4+6&gt;=$E76),IF($F76-$E76&lt;=2,"◆",IF($H76="Yes","X",LEFT($D76,1))),""))</f>
        <v/>
      </c>
      <c r="X76" s="33">
        <f>IF(OR($E76="",$F76=""),"",IF(AND(X$4&lt;=$F76,X$4+6&gt;=$E76),IF($F76-$E76&lt;=2,"◆",IF($H76="Yes","X",LEFT($D76,1))),""))</f>
        <v/>
      </c>
      <c r="Y76" s="33">
        <f>IF(OR($E76="",$F76=""),"",IF(AND(Y$4&lt;=$F76,Y$4+6&gt;=$E76),IF($F76-$E76&lt;=2,"◆",IF($H76="Yes","X",LEFT($D76,1))),""))</f>
        <v/>
      </c>
      <c r="Z76" s="33">
        <f>IF(OR($E76="",$F76=""),"",IF(AND(Z$4&lt;=$F76,Z$4+6&gt;=$E76),IF($F76-$E76&lt;=2,"◆",IF($H76="Yes","X",LEFT($D76,1))),""))</f>
        <v/>
      </c>
      <c r="AA76" s="33">
        <f>IF(OR($E76="",$F76=""),"",IF(AND(AA$4&lt;=$F76,AA$4+6&gt;=$E76),IF($F76-$E76&lt;=2,"◆",IF($H76="Yes","X",LEFT($D76,1))),""))</f>
        <v/>
      </c>
      <c r="AB76" s="33">
        <f>IF(OR($E76="",$F76=""),"",IF(AND(AB$4&lt;=$F76,AB$4+6&gt;=$E76),IF($F76-$E76&lt;=2,"◆",IF($H76="Yes","X",LEFT($D76,1))),""))</f>
        <v/>
      </c>
      <c r="AC76" s="33">
        <f>IF(OR($E76="",$F76=""),"",IF(AND(AC$4&lt;=$F76,AC$4+6&gt;=$E76),IF($F76-$E76&lt;=2,"◆",IF($H76="Yes","X",LEFT($D76,1))),""))</f>
        <v/>
      </c>
      <c r="AD76" s="33">
        <f>IF(OR($E76="",$F76=""),"",IF(AND(AD$4&lt;=$F76,AD$4+6&gt;=$E76),IF($F76-$E76&lt;=2,"◆",IF($H76="Yes","X",LEFT($D76,1))),""))</f>
        <v/>
      </c>
      <c r="AE76" s="33">
        <f>IF(OR($E76="",$F76=""),"",IF(AND(AE$4&lt;=$F76,AE$4+6&gt;=$E76),IF($F76-$E76&lt;=2,"◆",IF($H76="Yes","X",LEFT($D76,1))),""))</f>
        <v/>
      </c>
      <c r="AF76" s="33">
        <f>IF(OR($E76="",$F76=""),"",IF(AND(AF$4&lt;=$F76,AF$4+6&gt;=$E76),IF($F76-$E76&lt;=2,"◆",IF($H76="Yes","X",LEFT($D76,1))),""))</f>
        <v/>
      </c>
      <c r="AG76" s="33">
        <f>IF(OR($E76="",$F76=""),"",IF(AND(AG$4&lt;=$F76,AG$4+6&gt;=$E76),IF($F76-$E76&lt;=2,"◆",IF($H76="Yes","X",LEFT($D76,1))),""))</f>
        <v/>
      </c>
      <c r="AH76" s="33">
        <f>IF(OR($E76="",$F76=""),"",IF(AND(AH$4&lt;=$F76,AH$4+6&gt;=$E76),IF($F76-$E76&lt;=2,"◆",IF($H76="Yes","X",LEFT($D76,1))),""))</f>
        <v/>
      </c>
      <c r="AI76" s="33">
        <f>IF(OR($E76="",$F76=""),"",IF(AND(AI$4&lt;=$F76,AI$4+6&gt;=$E76),IF($F76-$E76&lt;=2,"◆",IF($H76="Yes","X",LEFT($D76,1))),""))</f>
        <v/>
      </c>
      <c r="AJ76" s="33">
        <f>IF(OR($E76="",$F76=""),"",IF(AND(AJ$4&lt;=$F76,AJ$4+6&gt;=$E76),IF($F76-$E76&lt;=2,"◆",IF($H76="Yes","X",LEFT($D76,1))),""))</f>
        <v/>
      </c>
      <c r="AK76" s="33">
        <f>IF(OR($E76="",$F76=""),"",IF(AND(AK$4&lt;=$F76,AK$4+6&gt;=$E76),IF($F76-$E76&lt;=2,"◆",IF($H76="Yes","X",LEFT($D76,1))),""))</f>
        <v/>
      </c>
      <c r="AL76" s="33">
        <f>IF(OR($E76="",$F76=""),"",IF(AND(AL$4&lt;=$F76,AL$4+6&gt;=$E76),IF($F76-$E76&lt;=2,"◆",IF($H76="Yes","X",LEFT($D76,1))),""))</f>
        <v/>
      </c>
      <c r="AM76" s="33">
        <f>IF(OR($E76="",$F76=""),"",IF(AND(AM$4&lt;=$F76,AM$4+6&gt;=$E76),IF($F76-$E76&lt;=2,"◆",IF($H76="Yes","X",LEFT($D76,1))),""))</f>
        <v/>
      </c>
      <c r="AN76" s="33">
        <f>IF(OR($E76="",$F76=""),"",IF(AND(AN$4&lt;=$F76,AN$4+6&gt;=$E76),IF($F76-$E76&lt;=2,"◆",IF($H76="Yes","X",LEFT($D76,1))),""))</f>
        <v/>
      </c>
      <c r="AO76" s="33">
        <f>IF(OR($E76="",$F76=""),"",IF(AND(AO$4&lt;=$F76,AO$4+6&gt;=$E76),IF($F76-$E76&lt;=2,"◆",IF($H76="Yes","X",LEFT($D76,1))),""))</f>
        <v/>
      </c>
      <c r="AP76" s="33">
        <f>IF(OR($E76="",$F76=""),"",IF(AND(AP$4&lt;=$F76,AP$4+6&gt;=$E76),IF($F76-$E76&lt;=2,"◆",IF($H76="Yes","X",LEFT($D76,1))),""))</f>
        <v/>
      </c>
      <c r="AQ76" s="33">
        <f>IF(OR($E76="",$F76=""),"",IF(AND(AQ$4&lt;=$F76,AQ$4+6&gt;=$E76),IF($F76-$E76&lt;=2,"◆",IF($H76="Yes","X",LEFT($D76,1))),""))</f>
        <v/>
      </c>
      <c r="AR76" s="33">
        <f>IF(OR($E76="",$F76=""),"",IF(AND(AR$4&lt;=$F76,AR$4+6&gt;=$E76),IF($F76-$E76&lt;=2,"◆",IF($H76="Yes","X",LEFT($D76,1))),""))</f>
        <v/>
      </c>
      <c r="AS76" s="33">
        <f>IF(OR($E76="",$F76=""),"",IF(AND(AS$4&lt;=$F76,AS$4+6&gt;=$E76),IF($F76-$E76&lt;=2,"◆",IF($H76="Yes","X",LEFT($D76,1))),""))</f>
        <v/>
      </c>
      <c r="AT76" s="33">
        <f>IF(OR($E76="",$F76=""),"",IF(AND(AT$4&lt;=$F76,AT$4+6&gt;=$E76),IF($F76-$E76&lt;=2,"◆",IF($H76="Yes","X",LEFT($D76,1))),""))</f>
        <v/>
      </c>
      <c r="AU76" s="33">
        <f>IF(OR($E76="",$F76=""),"",IF(AND(AU$4&lt;=$F76,AU$4+6&gt;=$E76),IF($F76-$E76&lt;=2,"◆",IF($H76="Yes","X",LEFT($D76,1))),""))</f>
        <v/>
      </c>
      <c r="AV76" s="33">
        <f>IF(OR($E76="",$F76=""),"",IF(AND(AV$4&lt;=$F76,AV$4+6&gt;=$E76),IF($F76-$E76&lt;=2,"◆",IF($H76="Yes","X",LEFT($D76,1))),""))</f>
        <v/>
      </c>
      <c r="AW76" s="33">
        <f>IF(OR($E76="",$F76=""),"",IF(AND(AW$4&lt;=$F76,AW$4+6&gt;=$E76),IF($F76-$E76&lt;=2,"◆",IF($H76="Yes","X",LEFT($D76,1))),""))</f>
        <v/>
      </c>
      <c r="AX76" s="33">
        <f>IF(OR($E76="",$F76=""),"",IF(AND(AX$4&lt;=$F76,AX$4+6&gt;=$E76),IF($F76-$E76&lt;=2,"◆",IF($H76="Yes","X",LEFT($D76,1))),""))</f>
        <v/>
      </c>
      <c r="AY76" s="33">
        <f>IF(OR($E76="",$F76=""),"",IF(AND(AY$4&lt;=$F76,AY$4+6&gt;=$E76),IF($F76-$E76&lt;=2,"◆",IF($H76="Yes","X",LEFT($D76,1))),""))</f>
        <v/>
      </c>
      <c r="AZ76" s="33">
        <f>IF(OR($E76="",$F76=""),"",IF(AND(AZ$4&lt;=$F76,AZ$4+6&gt;=$E76),IF($F76-$E76&lt;=2,"◆",IF($H76="Yes","X",LEFT($D76,1))),""))</f>
        <v/>
      </c>
      <c r="BA76" s="33">
        <f>IF(OR($E76="",$F76=""),"",IF(AND(BA$4&lt;=$F76,BA$4+6&gt;=$E76),IF($F76-$E76&lt;=2,"◆",IF($H76="Yes","X",LEFT($D76,1))),""))</f>
        <v/>
      </c>
      <c r="BB76" s="33">
        <f>IF(OR($E76="",$F76=""),"",IF(AND(BB$4&lt;=$F76,BB$4+6&gt;=$E76),IF($F76-$E76&lt;=2,"◆",IF($H76="Yes","X",LEFT($D76,1))),""))</f>
        <v/>
      </c>
      <c r="BC76" s="33">
        <f>IF(OR($E76="",$F76=""),"",IF(AND(BC$4&lt;=$F76,BC$4+6&gt;=$E76),IF($F76-$E76&lt;=2,"◆",IF($H76="Yes","X",LEFT($D76,1))),""))</f>
        <v/>
      </c>
      <c r="BD76" s="33">
        <f>IF(OR($E76="",$F76=""),"",IF(AND(BD$4&lt;=$F76,BD$4+6&gt;=$E76),IF($F76-$E76&lt;=2,"◆",IF($H76="Yes","X",LEFT($D76,1))),""))</f>
        <v/>
      </c>
      <c r="BE76" s="33">
        <f>IF(OR($E76="",$F76=""),"",IF(AND(BE$4&lt;=$F76,BE$4+6&gt;=$E76),IF($F76-$E76&lt;=2,"◆",IF($H76="Yes","X",LEFT($D76,1))),""))</f>
        <v/>
      </c>
      <c r="BF76" s="33">
        <f>IF(OR($E76="",$F76=""),"",IF(AND(BF$4&lt;=$F76,BF$4+6&gt;=$E76),IF($F76-$E76&lt;=2,"◆",IF($H76="Yes","X",LEFT($D76,1))),""))</f>
        <v/>
      </c>
      <c r="BG76" s="33">
        <f>IF(OR($E76="",$F76=""),"",IF(AND(BG$4&lt;=$F76,BG$4+6&gt;=$E76),IF($F76-$E76&lt;=2,"◆",IF($H76="Yes","X",LEFT($D76,1))),""))</f>
        <v/>
      </c>
      <c r="BH76" s="33">
        <f>IF(OR($E76="",$F76=""),"",IF(AND(BH$4&lt;=$F76,BH$4+6&gt;=$E76),IF($F76-$E76&lt;=2,"◆",IF($H76="Yes","X",LEFT($D76,1))),""))</f>
        <v/>
      </c>
      <c r="BI76" s="33">
        <f>IF(OR($E76="",$F76=""),"",IF(AND(BI$4&lt;=$F76,BI$4+6&gt;=$E76),IF($F76-$E76&lt;=2,"◆",IF($H76="Yes","X",LEFT($D76,1))),""))</f>
        <v/>
      </c>
    </row>
    <row r="77">
      <c r="A77" s="30" t="inlineStr">
        <is>
          <t>T-073</t>
        </is>
      </c>
      <c r="B77" s="30" t="inlineStr">
        <is>
          <t>Monthly Library Upgrade Assessment and Remediation Across Services</t>
        </is>
      </c>
      <c r="C77" s="30" t="inlineStr">
        <is>
          <t>Jawahar</t>
        </is>
      </c>
      <c r="D77" s="30" t="inlineStr">
        <is>
          <t>Not Started</t>
        </is>
      </c>
      <c r="E77" s="31" t="n">
        <v>46469</v>
      </c>
      <c r="F77" s="31" t="n">
        <v>46473</v>
      </c>
      <c r="G77" s="32" t="n">
        <v>0</v>
      </c>
      <c r="H77" s="30" t="inlineStr">
        <is>
          <t>No</t>
        </is>
      </c>
      <c r="I77" s="33">
        <f>IF(OR($E77="",$F77=""),"",IF(AND(I$4&lt;=$F77,I$4+6&gt;=$E77),IF($F77-$E77&lt;=2,"◆",IF($H77="Yes","X",LEFT($D77,1))),""))</f>
        <v/>
      </c>
      <c r="J77" s="33">
        <f>IF(OR($E77="",$F77=""),"",IF(AND(J$4&lt;=$F77,J$4+6&gt;=$E77),IF($F77-$E77&lt;=2,"◆",IF($H77="Yes","X",LEFT($D77,1))),""))</f>
        <v/>
      </c>
      <c r="K77" s="33">
        <f>IF(OR($E77="",$F77=""),"",IF(AND(K$4&lt;=$F77,K$4+6&gt;=$E77),IF($F77-$E77&lt;=2,"◆",IF($H77="Yes","X",LEFT($D77,1))),""))</f>
        <v/>
      </c>
      <c r="L77" s="33">
        <f>IF(OR($E77="",$F77=""),"",IF(AND(L$4&lt;=$F77,L$4+6&gt;=$E77),IF($F77-$E77&lt;=2,"◆",IF($H77="Yes","X",LEFT($D77,1))),""))</f>
        <v/>
      </c>
      <c r="M77" s="33">
        <f>IF(OR($E77="",$F77=""),"",IF(AND(M$4&lt;=$F77,M$4+6&gt;=$E77),IF($F77-$E77&lt;=2,"◆",IF($H77="Yes","X",LEFT($D77,1))),""))</f>
        <v/>
      </c>
      <c r="N77" s="33">
        <f>IF(OR($E77="",$F77=""),"",IF(AND(N$4&lt;=$F77,N$4+6&gt;=$E77),IF($F77-$E77&lt;=2,"◆",IF($H77="Yes","X",LEFT($D77,1))),""))</f>
        <v/>
      </c>
      <c r="O77" s="33">
        <f>IF(OR($E77="",$F77=""),"",IF(AND(O$4&lt;=$F77,O$4+6&gt;=$E77),IF($F77-$E77&lt;=2,"◆",IF($H77="Yes","X",LEFT($D77,1))),""))</f>
        <v/>
      </c>
      <c r="P77" s="33">
        <f>IF(OR($E77="",$F77=""),"",IF(AND(P$4&lt;=$F77,P$4+6&gt;=$E77),IF($F77-$E77&lt;=2,"◆",IF($H77="Yes","X",LEFT($D77,1))),""))</f>
        <v/>
      </c>
      <c r="Q77" s="33">
        <f>IF(OR($E77="",$F77=""),"",IF(AND(Q$4&lt;=$F77,Q$4+6&gt;=$E77),IF($F77-$E77&lt;=2,"◆",IF($H77="Yes","X",LEFT($D77,1))),""))</f>
        <v/>
      </c>
      <c r="R77" s="33">
        <f>IF(OR($E77="",$F77=""),"",IF(AND(R$4&lt;=$F77,R$4+6&gt;=$E77),IF($F77-$E77&lt;=2,"◆",IF($H77="Yes","X",LEFT($D77,1))),""))</f>
        <v/>
      </c>
      <c r="S77" s="33">
        <f>IF(OR($E77="",$F77=""),"",IF(AND(S$4&lt;=$F77,S$4+6&gt;=$E77),IF($F77-$E77&lt;=2,"◆",IF($H77="Yes","X",LEFT($D77,1))),""))</f>
        <v/>
      </c>
      <c r="T77" s="33">
        <f>IF(OR($E77="",$F77=""),"",IF(AND(T$4&lt;=$F77,T$4+6&gt;=$E77),IF($F77-$E77&lt;=2,"◆",IF($H77="Yes","X",LEFT($D77,1))),""))</f>
        <v/>
      </c>
      <c r="U77" s="33">
        <f>IF(OR($E77="",$F77=""),"",IF(AND(U$4&lt;=$F77,U$4+6&gt;=$E77),IF($F77-$E77&lt;=2,"◆",IF($H77="Yes","X",LEFT($D77,1))),""))</f>
        <v/>
      </c>
      <c r="V77" s="33">
        <f>IF(OR($E77="",$F77=""),"",IF(AND(V$4&lt;=$F77,V$4+6&gt;=$E77),IF($F77-$E77&lt;=2,"◆",IF($H77="Yes","X",LEFT($D77,1))),""))</f>
        <v/>
      </c>
      <c r="W77" s="33">
        <f>IF(OR($E77="",$F77=""),"",IF(AND(W$4&lt;=$F77,W$4+6&gt;=$E77),IF($F77-$E77&lt;=2,"◆",IF($H77="Yes","X",LEFT($D77,1))),""))</f>
        <v/>
      </c>
      <c r="X77" s="33">
        <f>IF(OR($E77="",$F77=""),"",IF(AND(X$4&lt;=$F77,X$4+6&gt;=$E77),IF($F77-$E77&lt;=2,"◆",IF($H77="Yes","X",LEFT($D77,1))),""))</f>
        <v/>
      </c>
      <c r="Y77" s="33">
        <f>IF(OR($E77="",$F77=""),"",IF(AND(Y$4&lt;=$F77,Y$4+6&gt;=$E77),IF($F77-$E77&lt;=2,"◆",IF($H77="Yes","X",LEFT($D77,1))),""))</f>
        <v/>
      </c>
      <c r="Z77" s="33">
        <f>IF(OR($E77="",$F77=""),"",IF(AND(Z$4&lt;=$F77,Z$4+6&gt;=$E77),IF($F77-$E77&lt;=2,"◆",IF($H77="Yes","X",LEFT($D77,1))),""))</f>
        <v/>
      </c>
      <c r="AA77" s="33">
        <f>IF(OR($E77="",$F77=""),"",IF(AND(AA$4&lt;=$F77,AA$4+6&gt;=$E77),IF($F77-$E77&lt;=2,"◆",IF($H77="Yes","X",LEFT($D77,1))),""))</f>
        <v/>
      </c>
      <c r="AB77" s="33">
        <f>IF(OR($E77="",$F77=""),"",IF(AND(AB$4&lt;=$F77,AB$4+6&gt;=$E77),IF($F77-$E77&lt;=2,"◆",IF($H77="Yes","X",LEFT($D77,1))),""))</f>
        <v/>
      </c>
      <c r="AC77" s="33">
        <f>IF(OR($E77="",$F77=""),"",IF(AND(AC$4&lt;=$F77,AC$4+6&gt;=$E77),IF($F77-$E77&lt;=2,"◆",IF($H77="Yes","X",LEFT($D77,1))),""))</f>
        <v/>
      </c>
      <c r="AD77" s="33">
        <f>IF(OR($E77="",$F77=""),"",IF(AND(AD$4&lt;=$F77,AD$4+6&gt;=$E77),IF($F77-$E77&lt;=2,"◆",IF($H77="Yes","X",LEFT($D77,1))),""))</f>
        <v/>
      </c>
      <c r="AE77" s="33">
        <f>IF(OR($E77="",$F77=""),"",IF(AND(AE$4&lt;=$F77,AE$4+6&gt;=$E77),IF($F77-$E77&lt;=2,"◆",IF($H77="Yes","X",LEFT($D77,1))),""))</f>
        <v/>
      </c>
      <c r="AF77" s="33">
        <f>IF(OR($E77="",$F77=""),"",IF(AND(AF$4&lt;=$F77,AF$4+6&gt;=$E77),IF($F77-$E77&lt;=2,"◆",IF($H77="Yes","X",LEFT($D77,1))),""))</f>
        <v/>
      </c>
      <c r="AG77" s="33">
        <f>IF(OR($E77="",$F77=""),"",IF(AND(AG$4&lt;=$F77,AG$4+6&gt;=$E77),IF($F77-$E77&lt;=2,"◆",IF($H77="Yes","X",LEFT($D77,1))),""))</f>
        <v/>
      </c>
      <c r="AH77" s="33">
        <f>IF(OR($E77="",$F77=""),"",IF(AND(AH$4&lt;=$F77,AH$4+6&gt;=$E77),IF($F77-$E77&lt;=2,"◆",IF($H77="Yes","X",LEFT($D77,1))),""))</f>
        <v/>
      </c>
      <c r="AI77" s="33">
        <f>IF(OR($E77="",$F77=""),"",IF(AND(AI$4&lt;=$F77,AI$4+6&gt;=$E77),IF($F77-$E77&lt;=2,"◆",IF($H77="Yes","X",LEFT($D77,1))),""))</f>
        <v/>
      </c>
      <c r="AJ77" s="33">
        <f>IF(OR($E77="",$F77=""),"",IF(AND(AJ$4&lt;=$F77,AJ$4+6&gt;=$E77),IF($F77-$E77&lt;=2,"◆",IF($H77="Yes","X",LEFT($D77,1))),""))</f>
        <v/>
      </c>
      <c r="AK77" s="33">
        <f>IF(OR($E77="",$F77=""),"",IF(AND(AK$4&lt;=$F77,AK$4+6&gt;=$E77),IF($F77-$E77&lt;=2,"◆",IF($H77="Yes","X",LEFT($D77,1))),""))</f>
        <v/>
      </c>
      <c r="AL77" s="33">
        <f>IF(OR($E77="",$F77=""),"",IF(AND(AL$4&lt;=$F77,AL$4+6&gt;=$E77),IF($F77-$E77&lt;=2,"◆",IF($H77="Yes","X",LEFT($D77,1))),""))</f>
        <v/>
      </c>
      <c r="AM77" s="33">
        <f>IF(OR($E77="",$F77=""),"",IF(AND(AM$4&lt;=$F77,AM$4+6&gt;=$E77),IF($F77-$E77&lt;=2,"◆",IF($H77="Yes","X",LEFT($D77,1))),""))</f>
        <v/>
      </c>
      <c r="AN77" s="33">
        <f>IF(OR($E77="",$F77=""),"",IF(AND(AN$4&lt;=$F77,AN$4+6&gt;=$E77),IF($F77-$E77&lt;=2,"◆",IF($H77="Yes","X",LEFT($D77,1))),""))</f>
        <v/>
      </c>
      <c r="AO77" s="33">
        <f>IF(OR($E77="",$F77=""),"",IF(AND(AO$4&lt;=$F77,AO$4+6&gt;=$E77),IF($F77-$E77&lt;=2,"◆",IF($H77="Yes","X",LEFT($D77,1))),""))</f>
        <v/>
      </c>
      <c r="AP77" s="33">
        <f>IF(OR($E77="",$F77=""),"",IF(AND(AP$4&lt;=$F77,AP$4+6&gt;=$E77),IF($F77-$E77&lt;=2,"◆",IF($H77="Yes","X",LEFT($D77,1))),""))</f>
        <v/>
      </c>
      <c r="AQ77" s="33">
        <f>IF(OR($E77="",$F77=""),"",IF(AND(AQ$4&lt;=$F77,AQ$4+6&gt;=$E77),IF($F77-$E77&lt;=2,"◆",IF($H77="Yes","X",LEFT($D77,1))),""))</f>
        <v/>
      </c>
      <c r="AR77" s="33">
        <f>IF(OR($E77="",$F77=""),"",IF(AND(AR$4&lt;=$F77,AR$4+6&gt;=$E77),IF($F77-$E77&lt;=2,"◆",IF($H77="Yes","X",LEFT($D77,1))),""))</f>
        <v/>
      </c>
      <c r="AS77" s="33">
        <f>IF(OR($E77="",$F77=""),"",IF(AND(AS$4&lt;=$F77,AS$4+6&gt;=$E77),IF($F77-$E77&lt;=2,"◆",IF($H77="Yes","X",LEFT($D77,1))),""))</f>
        <v/>
      </c>
      <c r="AT77" s="33">
        <f>IF(OR($E77="",$F77=""),"",IF(AND(AT$4&lt;=$F77,AT$4+6&gt;=$E77),IF($F77-$E77&lt;=2,"◆",IF($H77="Yes","X",LEFT($D77,1))),""))</f>
        <v/>
      </c>
      <c r="AU77" s="33">
        <f>IF(OR($E77="",$F77=""),"",IF(AND(AU$4&lt;=$F77,AU$4+6&gt;=$E77),IF($F77-$E77&lt;=2,"◆",IF($H77="Yes","X",LEFT($D77,1))),""))</f>
        <v/>
      </c>
      <c r="AV77" s="33">
        <f>IF(OR($E77="",$F77=""),"",IF(AND(AV$4&lt;=$F77,AV$4+6&gt;=$E77),IF($F77-$E77&lt;=2,"◆",IF($H77="Yes","X",LEFT($D77,1))),""))</f>
        <v/>
      </c>
      <c r="AW77" s="33">
        <f>IF(OR($E77="",$F77=""),"",IF(AND(AW$4&lt;=$F77,AW$4+6&gt;=$E77),IF($F77-$E77&lt;=2,"◆",IF($H77="Yes","X",LEFT($D77,1))),""))</f>
        <v/>
      </c>
      <c r="AX77" s="33">
        <f>IF(OR($E77="",$F77=""),"",IF(AND(AX$4&lt;=$F77,AX$4+6&gt;=$E77),IF($F77-$E77&lt;=2,"◆",IF($H77="Yes","X",LEFT($D77,1))),""))</f>
        <v/>
      </c>
      <c r="AY77" s="33">
        <f>IF(OR($E77="",$F77=""),"",IF(AND(AY$4&lt;=$F77,AY$4+6&gt;=$E77),IF($F77-$E77&lt;=2,"◆",IF($H77="Yes","X",LEFT($D77,1))),""))</f>
        <v/>
      </c>
      <c r="AZ77" s="33">
        <f>IF(OR($E77="",$F77=""),"",IF(AND(AZ$4&lt;=$F77,AZ$4+6&gt;=$E77),IF($F77-$E77&lt;=2,"◆",IF($H77="Yes","X",LEFT($D77,1))),""))</f>
        <v/>
      </c>
      <c r="BA77" s="33">
        <f>IF(OR($E77="",$F77=""),"",IF(AND(BA$4&lt;=$F77,BA$4+6&gt;=$E77),IF($F77-$E77&lt;=2,"◆",IF($H77="Yes","X",LEFT($D77,1))),""))</f>
        <v/>
      </c>
      <c r="BB77" s="33">
        <f>IF(OR($E77="",$F77=""),"",IF(AND(BB$4&lt;=$F77,BB$4+6&gt;=$E77),IF($F77-$E77&lt;=2,"◆",IF($H77="Yes","X",LEFT($D77,1))),""))</f>
        <v/>
      </c>
      <c r="BC77" s="33">
        <f>IF(OR($E77="",$F77=""),"",IF(AND(BC$4&lt;=$F77,BC$4+6&gt;=$E77),IF($F77-$E77&lt;=2,"◆",IF($H77="Yes","X",LEFT($D77,1))),""))</f>
        <v/>
      </c>
      <c r="BD77" s="33">
        <f>IF(OR($E77="",$F77=""),"",IF(AND(BD$4&lt;=$F77,BD$4+6&gt;=$E77),IF($F77-$E77&lt;=2,"◆",IF($H77="Yes","X",LEFT($D77,1))),""))</f>
        <v/>
      </c>
      <c r="BE77" s="33">
        <f>IF(OR($E77="",$F77=""),"",IF(AND(BE$4&lt;=$F77,BE$4+6&gt;=$E77),IF($F77-$E77&lt;=2,"◆",IF($H77="Yes","X",LEFT($D77,1))),""))</f>
        <v/>
      </c>
      <c r="BF77" s="33">
        <f>IF(OR($E77="",$F77=""),"",IF(AND(BF$4&lt;=$F77,BF$4+6&gt;=$E77),IF($F77-$E77&lt;=2,"◆",IF($H77="Yes","X",LEFT($D77,1))),""))</f>
        <v/>
      </c>
      <c r="BG77" s="33">
        <f>IF(OR($E77="",$F77=""),"",IF(AND(BG$4&lt;=$F77,BG$4+6&gt;=$E77),IF($F77-$E77&lt;=2,"◆",IF($H77="Yes","X",LEFT($D77,1))),""))</f>
        <v/>
      </c>
      <c r="BH77" s="33">
        <f>IF(OR($E77="",$F77=""),"",IF(AND(BH$4&lt;=$F77,BH$4+6&gt;=$E77),IF($F77-$E77&lt;=2,"◆",IF($H77="Yes","X",LEFT($D77,1))),""))</f>
        <v/>
      </c>
      <c r="BI77" s="33">
        <f>IF(OR($E77="",$F77=""),"",IF(AND(BI$4&lt;=$F77,BI$4+6&gt;=$E77),IF($F77-$E77&lt;=2,"◆",IF($H77="Yes","X",LEFT($D77,1))),""))</f>
        <v/>
      </c>
    </row>
    <row r="78">
      <c r="A78" s="30" t="inlineStr">
        <is>
          <t>T-074</t>
        </is>
      </c>
      <c r="B78" s="30" t="inlineStr">
        <is>
          <t>Cloud Usage Chargeback Model, Monthly Tenant-Level Allocation</t>
        </is>
      </c>
      <c r="C78" s="30" t="inlineStr">
        <is>
          <t>Jawahar</t>
        </is>
      </c>
      <c r="D78" s="30" t="inlineStr">
        <is>
          <t>Not Started</t>
        </is>
      </c>
      <c r="E78" s="31" t="n">
        <v>46452</v>
      </c>
      <c r="F78" s="31" t="n">
        <v>46456</v>
      </c>
      <c r="G78" s="32" t="n">
        <v>0</v>
      </c>
      <c r="H78" s="30" t="inlineStr">
        <is>
          <t>No</t>
        </is>
      </c>
      <c r="I78" s="33">
        <f>IF(OR($E78="",$F78=""),"",IF(AND(I$4&lt;=$F78,I$4+6&gt;=$E78),IF($F78-$E78&lt;=2,"◆",IF($H78="Yes","X",LEFT($D78,1))),""))</f>
        <v/>
      </c>
      <c r="J78" s="33">
        <f>IF(OR($E78="",$F78=""),"",IF(AND(J$4&lt;=$F78,J$4+6&gt;=$E78),IF($F78-$E78&lt;=2,"◆",IF($H78="Yes","X",LEFT($D78,1))),""))</f>
        <v/>
      </c>
      <c r="K78" s="33">
        <f>IF(OR($E78="",$F78=""),"",IF(AND(K$4&lt;=$F78,K$4+6&gt;=$E78),IF($F78-$E78&lt;=2,"◆",IF($H78="Yes","X",LEFT($D78,1))),""))</f>
        <v/>
      </c>
      <c r="L78" s="33">
        <f>IF(OR($E78="",$F78=""),"",IF(AND(L$4&lt;=$F78,L$4+6&gt;=$E78),IF($F78-$E78&lt;=2,"◆",IF($H78="Yes","X",LEFT($D78,1))),""))</f>
        <v/>
      </c>
      <c r="M78" s="33">
        <f>IF(OR($E78="",$F78=""),"",IF(AND(M$4&lt;=$F78,M$4+6&gt;=$E78),IF($F78-$E78&lt;=2,"◆",IF($H78="Yes","X",LEFT($D78,1))),""))</f>
        <v/>
      </c>
      <c r="N78" s="33">
        <f>IF(OR($E78="",$F78=""),"",IF(AND(N$4&lt;=$F78,N$4+6&gt;=$E78),IF($F78-$E78&lt;=2,"◆",IF($H78="Yes","X",LEFT($D78,1))),""))</f>
        <v/>
      </c>
      <c r="O78" s="33">
        <f>IF(OR($E78="",$F78=""),"",IF(AND(O$4&lt;=$F78,O$4+6&gt;=$E78),IF($F78-$E78&lt;=2,"◆",IF($H78="Yes","X",LEFT($D78,1))),""))</f>
        <v/>
      </c>
      <c r="P78" s="33">
        <f>IF(OR($E78="",$F78=""),"",IF(AND(P$4&lt;=$F78,P$4+6&gt;=$E78),IF($F78-$E78&lt;=2,"◆",IF($H78="Yes","X",LEFT($D78,1))),""))</f>
        <v/>
      </c>
      <c r="Q78" s="33">
        <f>IF(OR($E78="",$F78=""),"",IF(AND(Q$4&lt;=$F78,Q$4+6&gt;=$E78),IF($F78-$E78&lt;=2,"◆",IF($H78="Yes","X",LEFT($D78,1))),""))</f>
        <v/>
      </c>
      <c r="R78" s="33">
        <f>IF(OR($E78="",$F78=""),"",IF(AND(R$4&lt;=$F78,R$4+6&gt;=$E78),IF($F78-$E78&lt;=2,"◆",IF($H78="Yes","X",LEFT($D78,1))),""))</f>
        <v/>
      </c>
      <c r="S78" s="33">
        <f>IF(OR($E78="",$F78=""),"",IF(AND(S$4&lt;=$F78,S$4+6&gt;=$E78),IF($F78-$E78&lt;=2,"◆",IF($H78="Yes","X",LEFT($D78,1))),""))</f>
        <v/>
      </c>
      <c r="T78" s="33">
        <f>IF(OR($E78="",$F78=""),"",IF(AND(T$4&lt;=$F78,T$4+6&gt;=$E78),IF($F78-$E78&lt;=2,"◆",IF($H78="Yes","X",LEFT($D78,1))),""))</f>
        <v/>
      </c>
      <c r="U78" s="33">
        <f>IF(OR($E78="",$F78=""),"",IF(AND(U$4&lt;=$F78,U$4+6&gt;=$E78),IF($F78-$E78&lt;=2,"◆",IF($H78="Yes","X",LEFT($D78,1))),""))</f>
        <v/>
      </c>
      <c r="V78" s="33">
        <f>IF(OR($E78="",$F78=""),"",IF(AND(V$4&lt;=$F78,V$4+6&gt;=$E78),IF($F78-$E78&lt;=2,"◆",IF($H78="Yes","X",LEFT($D78,1))),""))</f>
        <v/>
      </c>
      <c r="W78" s="33">
        <f>IF(OR($E78="",$F78=""),"",IF(AND(W$4&lt;=$F78,W$4+6&gt;=$E78),IF($F78-$E78&lt;=2,"◆",IF($H78="Yes","X",LEFT($D78,1))),""))</f>
        <v/>
      </c>
      <c r="X78" s="33">
        <f>IF(OR($E78="",$F78=""),"",IF(AND(X$4&lt;=$F78,X$4+6&gt;=$E78),IF($F78-$E78&lt;=2,"◆",IF($H78="Yes","X",LEFT($D78,1))),""))</f>
        <v/>
      </c>
      <c r="Y78" s="33">
        <f>IF(OR($E78="",$F78=""),"",IF(AND(Y$4&lt;=$F78,Y$4+6&gt;=$E78),IF($F78-$E78&lt;=2,"◆",IF($H78="Yes","X",LEFT($D78,1))),""))</f>
        <v/>
      </c>
      <c r="Z78" s="33">
        <f>IF(OR($E78="",$F78=""),"",IF(AND(Z$4&lt;=$F78,Z$4+6&gt;=$E78),IF($F78-$E78&lt;=2,"◆",IF($H78="Yes","X",LEFT($D78,1))),""))</f>
        <v/>
      </c>
      <c r="AA78" s="33">
        <f>IF(OR($E78="",$F78=""),"",IF(AND(AA$4&lt;=$F78,AA$4+6&gt;=$E78),IF($F78-$E78&lt;=2,"◆",IF($H78="Yes","X",LEFT($D78,1))),""))</f>
        <v/>
      </c>
      <c r="AB78" s="33">
        <f>IF(OR($E78="",$F78=""),"",IF(AND(AB$4&lt;=$F78,AB$4+6&gt;=$E78),IF($F78-$E78&lt;=2,"◆",IF($H78="Yes","X",LEFT($D78,1))),""))</f>
        <v/>
      </c>
      <c r="AC78" s="33">
        <f>IF(OR($E78="",$F78=""),"",IF(AND(AC$4&lt;=$F78,AC$4+6&gt;=$E78),IF($F78-$E78&lt;=2,"◆",IF($H78="Yes","X",LEFT($D78,1))),""))</f>
        <v/>
      </c>
      <c r="AD78" s="33">
        <f>IF(OR($E78="",$F78=""),"",IF(AND(AD$4&lt;=$F78,AD$4+6&gt;=$E78),IF($F78-$E78&lt;=2,"◆",IF($H78="Yes","X",LEFT($D78,1))),""))</f>
        <v/>
      </c>
      <c r="AE78" s="33">
        <f>IF(OR($E78="",$F78=""),"",IF(AND(AE$4&lt;=$F78,AE$4+6&gt;=$E78),IF($F78-$E78&lt;=2,"◆",IF($H78="Yes","X",LEFT($D78,1))),""))</f>
        <v/>
      </c>
      <c r="AF78" s="33">
        <f>IF(OR($E78="",$F78=""),"",IF(AND(AF$4&lt;=$F78,AF$4+6&gt;=$E78),IF($F78-$E78&lt;=2,"◆",IF($H78="Yes","X",LEFT($D78,1))),""))</f>
        <v/>
      </c>
      <c r="AG78" s="33">
        <f>IF(OR($E78="",$F78=""),"",IF(AND(AG$4&lt;=$F78,AG$4+6&gt;=$E78),IF($F78-$E78&lt;=2,"◆",IF($H78="Yes","X",LEFT($D78,1))),""))</f>
        <v/>
      </c>
      <c r="AH78" s="33">
        <f>IF(OR($E78="",$F78=""),"",IF(AND(AH$4&lt;=$F78,AH$4+6&gt;=$E78),IF($F78-$E78&lt;=2,"◆",IF($H78="Yes","X",LEFT($D78,1))),""))</f>
        <v/>
      </c>
      <c r="AI78" s="33">
        <f>IF(OR($E78="",$F78=""),"",IF(AND(AI$4&lt;=$F78,AI$4+6&gt;=$E78),IF($F78-$E78&lt;=2,"◆",IF($H78="Yes","X",LEFT($D78,1))),""))</f>
        <v/>
      </c>
      <c r="AJ78" s="33">
        <f>IF(OR($E78="",$F78=""),"",IF(AND(AJ$4&lt;=$F78,AJ$4+6&gt;=$E78),IF($F78-$E78&lt;=2,"◆",IF($H78="Yes","X",LEFT($D78,1))),""))</f>
        <v/>
      </c>
      <c r="AK78" s="33">
        <f>IF(OR($E78="",$F78=""),"",IF(AND(AK$4&lt;=$F78,AK$4+6&gt;=$E78),IF($F78-$E78&lt;=2,"◆",IF($H78="Yes","X",LEFT($D78,1))),""))</f>
        <v/>
      </c>
      <c r="AL78" s="33">
        <f>IF(OR($E78="",$F78=""),"",IF(AND(AL$4&lt;=$F78,AL$4+6&gt;=$E78),IF($F78-$E78&lt;=2,"◆",IF($H78="Yes","X",LEFT($D78,1))),""))</f>
        <v/>
      </c>
      <c r="AM78" s="33">
        <f>IF(OR($E78="",$F78=""),"",IF(AND(AM$4&lt;=$F78,AM$4+6&gt;=$E78),IF($F78-$E78&lt;=2,"◆",IF($H78="Yes","X",LEFT($D78,1))),""))</f>
        <v/>
      </c>
      <c r="AN78" s="33">
        <f>IF(OR($E78="",$F78=""),"",IF(AND(AN$4&lt;=$F78,AN$4+6&gt;=$E78),IF($F78-$E78&lt;=2,"◆",IF($H78="Yes","X",LEFT($D78,1))),""))</f>
        <v/>
      </c>
      <c r="AO78" s="33">
        <f>IF(OR($E78="",$F78=""),"",IF(AND(AO$4&lt;=$F78,AO$4+6&gt;=$E78),IF($F78-$E78&lt;=2,"◆",IF($H78="Yes","X",LEFT($D78,1))),""))</f>
        <v/>
      </c>
      <c r="AP78" s="33">
        <f>IF(OR($E78="",$F78=""),"",IF(AND(AP$4&lt;=$F78,AP$4+6&gt;=$E78),IF($F78-$E78&lt;=2,"◆",IF($H78="Yes","X",LEFT($D78,1))),""))</f>
        <v/>
      </c>
      <c r="AQ78" s="33">
        <f>IF(OR($E78="",$F78=""),"",IF(AND(AQ$4&lt;=$F78,AQ$4+6&gt;=$E78),IF($F78-$E78&lt;=2,"◆",IF($H78="Yes","X",LEFT($D78,1))),""))</f>
        <v/>
      </c>
      <c r="AR78" s="33">
        <f>IF(OR($E78="",$F78=""),"",IF(AND(AR$4&lt;=$F78,AR$4+6&gt;=$E78),IF($F78-$E78&lt;=2,"◆",IF($H78="Yes","X",LEFT($D78,1))),""))</f>
        <v/>
      </c>
      <c r="AS78" s="33">
        <f>IF(OR($E78="",$F78=""),"",IF(AND(AS$4&lt;=$F78,AS$4+6&gt;=$E78),IF($F78-$E78&lt;=2,"◆",IF($H78="Yes","X",LEFT($D78,1))),""))</f>
        <v/>
      </c>
      <c r="AT78" s="33">
        <f>IF(OR($E78="",$F78=""),"",IF(AND(AT$4&lt;=$F78,AT$4+6&gt;=$E78),IF($F78-$E78&lt;=2,"◆",IF($H78="Yes","X",LEFT($D78,1))),""))</f>
        <v/>
      </c>
      <c r="AU78" s="33">
        <f>IF(OR($E78="",$F78=""),"",IF(AND(AU$4&lt;=$F78,AU$4+6&gt;=$E78),IF($F78-$E78&lt;=2,"◆",IF($H78="Yes","X",LEFT($D78,1))),""))</f>
        <v/>
      </c>
      <c r="AV78" s="33">
        <f>IF(OR($E78="",$F78=""),"",IF(AND(AV$4&lt;=$F78,AV$4+6&gt;=$E78),IF($F78-$E78&lt;=2,"◆",IF($H78="Yes","X",LEFT($D78,1))),""))</f>
        <v/>
      </c>
      <c r="AW78" s="33">
        <f>IF(OR($E78="",$F78=""),"",IF(AND(AW$4&lt;=$F78,AW$4+6&gt;=$E78),IF($F78-$E78&lt;=2,"◆",IF($H78="Yes","X",LEFT($D78,1))),""))</f>
        <v/>
      </c>
      <c r="AX78" s="33">
        <f>IF(OR($E78="",$F78=""),"",IF(AND(AX$4&lt;=$F78,AX$4+6&gt;=$E78),IF($F78-$E78&lt;=2,"◆",IF($H78="Yes","X",LEFT($D78,1))),""))</f>
        <v/>
      </c>
      <c r="AY78" s="33">
        <f>IF(OR($E78="",$F78=""),"",IF(AND(AY$4&lt;=$F78,AY$4+6&gt;=$E78),IF($F78-$E78&lt;=2,"◆",IF($H78="Yes","X",LEFT($D78,1))),""))</f>
        <v/>
      </c>
      <c r="AZ78" s="33">
        <f>IF(OR($E78="",$F78=""),"",IF(AND(AZ$4&lt;=$F78,AZ$4+6&gt;=$E78),IF($F78-$E78&lt;=2,"◆",IF($H78="Yes","X",LEFT($D78,1))),""))</f>
        <v/>
      </c>
      <c r="BA78" s="33">
        <f>IF(OR($E78="",$F78=""),"",IF(AND(BA$4&lt;=$F78,BA$4+6&gt;=$E78),IF($F78-$E78&lt;=2,"◆",IF($H78="Yes","X",LEFT($D78,1))),""))</f>
        <v/>
      </c>
      <c r="BB78" s="33">
        <f>IF(OR($E78="",$F78=""),"",IF(AND(BB$4&lt;=$F78,BB$4+6&gt;=$E78),IF($F78-$E78&lt;=2,"◆",IF($H78="Yes","X",LEFT($D78,1))),""))</f>
        <v/>
      </c>
      <c r="BC78" s="33">
        <f>IF(OR($E78="",$F78=""),"",IF(AND(BC$4&lt;=$F78,BC$4+6&gt;=$E78),IF($F78-$E78&lt;=2,"◆",IF($H78="Yes","X",LEFT($D78,1))),""))</f>
        <v/>
      </c>
      <c r="BD78" s="33">
        <f>IF(OR($E78="",$F78=""),"",IF(AND(BD$4&lt;=$F78,BD$4+6&gt;=$E78),IF($F78-$E78&lt;=2,"◆",IF($H78="Yes","X",LEFT($D78,1))),""))</f>
        <v/>
      </c>
      <c r="BE78" s="33">
        <f>IF(OR($E78="",$F78=""),"",IF(AND(BE$4&lt;=$F78,BE$4+6&gt;=$E78),IF($F78-$E78&lt;=2,"◆",IF($H78="Yes","X",LEFT($D78,1))),""))</f>
        <v/>
      </c>
      <c r="BF78" s="33">
        <f>IF(OR($E78="",$F78=""),"",IF(AND(BF$4&lt;=$F78,BF$4+6&gt;=$E78),IF($F78-$E78&lt;=2,"◆",IF($H78="Yes","X",LEFT($D78,1))),""))</f>
        <v/>
      </c>
      <c r="BG78" s="33">
        <f>IF(OR($E78="",$F78=""),"",IF(AND(BG$4&lt;=$F78,BG$4+6&gt;=$E78),IF($F78-$E78&lt;=2,"◆",IF($H78="Yes","X",LEFT($D78,1))),""))</f>
        <v/>
      </c>
      <c r="BH78" s="33">
        <f>IF(OR($E78="",$F78=""),"",IF(AND(BH$4&lt;=$F78,BH$4+6&gt;=$E78),IF($F78-$E78&lt;=2,"◆",IF($H78="Yes","X",LEFT($D78,1))),""))</f>
        <v/>
      </c>
      <c r="BI78" s="33">
        <f>IF(OR($E78="",$F78=""),"",IF(AND(BI$4&lt;=$F78,BI$4+6&gt;=$E78),IF($F78-$E78&lt;=2,"◆",IF($H78="Yes","X",LEFT($D78,1))),""))</f>
        <v/>
      </c>
    </row>
    <row r="79">
      <c r="A79" s="30" t="inlineStr">
        <is>
          <t>T-075</t>
        </is>
      </c>
      <c r="B79" s="30" t="inlineStr">
        <is>
          <t>Yearly External VAPT for Web Application</t>
        </is>
      </c>
      <c r="C79" s="30" t="inlineStr">
        <is>
          <t>Jawahar</t>
        </is>
      </c>
      <c r="D79" s="30" t="inlineStr">
        <is>
          <t>Not Started</t>
        </is>
      </c>
      <c r="E79" s="31" t="n">
        <v>46401</v>
      </c>
      <c r="F79" s="31" t="n">
        <v>46437</v>
      </c>
      <c r="G79" s="32" t="n">
        <v>0</v>
      </c>
      <c r="H79" s="30" t="inlineStr">
        <is>
          <t>No</t>
        </is>
      </c>
      <c r="I79" s="33">
        <f>IF(OR($E79="",$F79=""),"",IF(AND(I$4&lt;=$F79,I$4+6&gt;=$E79),IF($F79-$E79&lt;=2,"◆",IF($H79="Yes","X",LEFT($D79,1))),""))</f>
        <v/>
      </c>
      <c r="J79" s="33">
        <f>IF(OR($E79="",$F79=""),"",IF(AND(J$4&lt;=$F79,J$4+6&gt;=$E79),IF($F79-$E79&lt;=2,"◆",IF($H79="Yes","X",LEFT($D79,1))),""))</f>
        <v/>
      </c>
      <c r="K79" s="33">
        <f>IF(OR($E79="",$F79=""),"",IF(AND(K$4&lt;=$F79,K$4+6&gt;=$E79),IF($F79-$E79&lt;=2,"◆",IF($H79="Yes","X",LEFT($D79,1))),""))</f>
        <v/>
      </c>
      <c r="L79" s="33">
        <f>IF(OR($E79="",$F79=""),"",IF(AND(L$4&lt;=$F79,L$4+6&gt;=$E79),IF($F79-$E79&lt;=2,"◆",IF($H79="Yes","X",LEFT($D79,1))),""))</f>
        <v/>
      </c>
      <c r="M79" s="33">
        <f>IF(OR($E79="",$F79=""),"",IF(AND(M$4&lt;=$F79,M$4+6&gt;=$E79),IF($F79-$E79&lt;=2,"◆",IF($H79="Yes","X",LEFT($D79,1))),""))</f>
        <v/>
      </c>
      <c r="N79" s="33">
        <f>IF(OR($E79="",$F79=""),"",IF(AND(N$4&lt;=$F79,N$4+6&gt;=$E79),IF($F79-$E79&lt;=2,"◆",IF($H79="Yes","X",LEFT($D79,1))),""))</f>
        <v/>
      </c>
      <c r="O79" s="33">
        <f>IF(OR($E79="",$F79=""),"",IF(AND(O$4&lt;=$F79,O$4+6&gt;=$E79),IF($F79-$E79&lt;=2,"◆",IF($H79="Yes","X",LEFT($D79,1))),""))</f>
        <v/>
      </c>
      <c r="P79" s="33">
        <f>IF(OR($E79="",$F79=""),"",IF(AND(P$4&lt;=$F79,P$4+6&gt;=$E79),IF($F79-$E79&lt;=2,"◆",IF($H79="Yes","X",LEFT($D79,1))),""))</f>
        <v/>
      </c>
      <c r="Q79" s="33">
        <f>IF(OR($E79="",$F79=""),"",IF(AND(Q$4&lt;=$F79,Q$4+6&gt;=$E79),IF($F79-$E79&lt;=2,"◆",IF($H79="Yes","X",LEFT($D79,1))),""))</f>
        <v/>
      </c>
      <c r="R79" s="33">
        <f>IF(OR($E79="",$F79=""),"",IF(AND(R$4&lt;=$F79,R$4+6&gt;=$E79),IF($F79-$E79&lt;=2,"◆",IF($H79="Yes","X",LEFT($D79,1))),""))</f>
        <v/>
      </c>
      <c r="S79" s="33">
        <f>IF(OR($E79="",$F79=""),"",IF(AND(S$4&lt;=$F79,S$4+6&gt;=$E79),IF($F79-$E79&lt;=2,"◆",IF($H79="Yes","X",LEFT($D79,1))),""))</f>
        <v/>
      </c>
      <c r="T79" s="33">
        <f>IF(OR($E79="",$F79=""),"",IF(AND(T$4&lt;=$F79,T$4+6&gt;=$E79),IF($F79-$E79&lt;=2,"◆",IF($H79="Yes","X",LEFT($D79,1))),""))</f>
        <v/>
      </c>
      <c r="U79" s="33">
        <f>IF(OR($E79="",$F79=""),"",IF(AND(U$4&lt;=$F79,U$4+6&gt;=$E79),IF($F79-$E79&lt;=2,"◆",IF($H79="Yes","X",LEFT($D79,1))),""))</f>
        <v/>
      </c>
      <c r="V79" s="33">
        <f>IF(OR($E79="",$F79=""),"",IF(AND(V$4&lt;=$F79,V$4+6&gt;=$E79),IF($F79-$E79&lt;=2,"◆",IF($H79="Yes","X",LEFT($D79,1))),""))</f>
        <v/>
      </c>
      <c r="W79" s="33">
        <f>IF(OR($E79="",$F79=""),"",IF(AND(W$4&lt;=$F79,W$4+6&gt;=$E79),IF($F79-$E79&lt;=2,"◆",IF($H79="Yes","X",LEFT($D79,1))),""))</f>
        <v/>
      </c>
      <c r="X79" s="33">
        <f>IF(OR($E79="",$F79=""),"",IF(AND(X$4&lt;=$F79,X$4+6&gt;=$E79),IF($F79-$E79&lt;=2,"◆",IF($H79="Yes","X",LEFT($D79,1))),""))</f>
        <v/>
      </c>
      <c r="Y79" s="33">
        <f>IF(OR($E79="",$F79=""),"",IF(AND(Y$4&lt;=$F79,Y$4+6&gt;=$E79),IF($F79-$E79&lt;=2,"◆",IF($H79="Yes","X",LEFT($D79,1))),""))</f>
        <v/>
      </c>
      <c r="Z79" s="33">
        <f>IF(OR($E79="",$F79=""),"",IF(AND(Z$4&lt;=$F79,Z$4+6&gt;=$E79),IF($F79-$E79&lt;=2,"◆",IF($H79="Yes","X",LEFT($D79,1))),""))</f>
        <v/>
      </c>
      <c r="AA79" s="33">
        <f>IF(OR($E79="",$F79=""),"",IF(AND(AA$4&lt;=$F79,AA$4+6&gt;=$E79),IF($F79-$E79&lt;=2,"◆",IF($H79="Yes","X",LEFT($D79,1))),""))</f>
        <v/>
      </c>
      <c r="AB79" s="33">
        <f>IF(OR($E79="",$F79=""),"",IF(AND(AB$4&lt;=$F79,AB$4+6&gt;=$E79),IF($F79-$E79&lt;=2,"◆",IF($H79="Yes","X",LEFT($D79,1))),""))</f>
        <v/>
      </c>
      <c r="AC79" s="33">
        <f>IF(OR($E79="",$F79=""),"",IF(AND(AC$4&lt;=$F79,AC$4+6&gt;=$E79),IF($F79-$E79&lt;=2,"◆",IF($H79="Yes","X",LEFT($D79,1))),""))</f>
        <v/>
      </c>
      <c r="AD79" s="33">
        <f>IF(OR($E79="",$F79=""),"",IF(AND(AD$4&lt;=$F79,AD$4+6&gt;=$E79),IF($F79-$E79&lt;=2,"◆",IF($H79="Yes","X",LEFT($D79,1))),""))</f>
        <v/>
      </c>
      <c r="AE79" s="33">
        <f>IF(OR($E79="",$F79=""),"",IF(AND(AE$4&lt;=$F79,AE$4+6&gt;=$E79),IF($F79-$E79&lt;=2,"◆",IF($H79="Yes","X",LEFT($D79,1))),""))</f>
        <v/>
      </c>
      <c r="AF79" s="33">
        <f>IF(OR($E79="",$F79=""),"",IF(AND(AF$4&lt;=$F79,AF$4+6&gt;=$E79),IF($F79-$E79&lt;=2,"◆",IF($H79="Yes","X",LEFT($D79,1))),""))</f>
        <v/>
      </c>
      <c r="AG79" s="33">
        <f>IF(OR($E79="",$F79=""),"",IF(AND(AG$4&lt;=$F79,AG$4+6&gt;=$E79),IF($F79-$E79&lt;=2,"◆",IF($H79="Yes","X",LEFT($D79,1))),""))</f>
        <v/>
      </c>
      <c r="AH79" s="33">
        <f>IF(OR($E79="",$F79=""),"",IF(AND(AH$4&lt;=$F79,AH$4+6&gt;=$E79),IF($F79-$E79&lt;=2,"◆",IF($H79="Yes","X",LEFT($D79,1))),""))</f>
        <v/>
      </c>
      <c r="AI79" s="33">
        <f>IF(OR($E79="",$F79=""),"",IF(AND(AI$4&lt;=$F79,AI$4+6&gt;=$E79),IF($F79-$E79&lt;=2,"◆",IF($H79="Yes","X",LEFT($D79,1))),""))</f>
        <v/>
      </c>
      <c r="AJ79" s="33">
        <f>IF(OR($E79="",$F79=""),"",IF(AND(AJ$4&lt;=$F79,AJ$4+6&gt;=$E79),IF($F79-$E79&lt;=2,"◆",IF($H79="Yes","X",LEFT($D79,1))),""))</f>
        <v/>
      </c>
      <c r="AK79" s="33">
        <f>IF(OR($E79="",$F79=""),"",IF(AND(AK$4&lt;=$F79,AK$4+6&gt;=$E79),IF($F79-$E79&lt;=2,"◆",IF($H79="Yes","X",LEFT($D79,1))),""))</f>
        <v/>
      </c>
      <c r="AL79" s="33">
        <f>IF(OR($E79="",$F79=""),"",IF(AND(AL$4&lt;=$F79,AL$4+6&gt;=$E79),IF($F79-$E79&lt;=2,"◆",IF($H79="Yes","X",LEFT($D79,1))),""))</f>
        <v/>
      </c>
      <c r="AM79" s="33">
        <f>IF(OR($E79="",$F79=""),"",IF(AND(AM$4&lt;=$F79,AM$4+6&gt;=$E79),IF($F79-$E79&lt;=2,"◆",IF($H79="Yes","X",LEFT($D79,1))),""))</f>
        <v/>
      </c>
      <c r="AN79" s="33">
        <f>IF(OR($E79="",$F79=""),"",IF(AND(AN$4&lt;=$F79,AN$4+6&gt;=$E79),IF($F79-$E79&lt;=2,"◆",IF($H79="Yes","X",LEFT($D79,1))),""))</f>
        <v/>
      </c>
      <c r="AO79" s="33">
        <f>IF(OR($E79="",$F79=""),"",IF(AND(AO$4&lt;=$F79,AO$4+6&gt;=$E79),IF($F79-$E79&lt;=2,"◆",IF($H79="Yes","X",LEFT($D79,1))),""))</f>
        <v/>
      </c>
      <c r="AP79" s="33">
        <f>IF(OR($E79="",$F79=""),"",IF(AND(AP$4&lt;=$F79,AP$4+6&gt;=$E79),IF($F79-$E79&lt;=2,"◆",IF($H79="Yes","X",LEFT($D79,1))),""))</f>
        <v/>
      </c>
      <c r="AQ79" s="33">
        <f>IF(OR($E79="",$F79=""),"",IF(AND(AQ$4&lt;=$F79,AQ$4+6&gt;=$E79),IF($F79-$E79&lt;=2,"◆",IF($H79="Yes","X",LEFT($D79,1))),""))</f>
        <v/>
      </c>
      <c r="AR79" s="33">
        <f>IF(OR($E79="",$F79=""),"",IF(AND(AR$4&lt;=$F79,AR$4+6&gt;=$E79),IF($F79-$E79&lt;=2,"◆",IF($H79="Yes","X",LEFT($D79,1))),""))</f>
        <v/>
      </c>
      <c r="AS79" s="33">
        <f>IF(OR($E79="",$F79=""),"",IF(AND(AS$4&lt;=$F79,AS$4+6&gt;=$E79),IF($F79-$E79&lt;=2,"◆",IF($H79="Yes","X",LEFT($D79,1))),""))</f>
        <v/>
      </c>
      <c r="AT79" s="33">
        <f>IF(OR($E79="",$F79=""),"",IF(AND(AT$4&lt;=$F79,AT$4+6&gt;=$E79),IF($F79-$E79&lt;=2,"◆",IF($H79="Yes","X",LEFT($D79,1))),""))</f>
        <v/>
      </c>
      <c r="AU79" s="33">
        <f>IF(OR($E79="",$F79=""),"",IF(AND(AU$4&lt;=$F79,AU$4+6&gt;=$E79),IF($F79-$E79&lt;=2,"◆",IF($H79="Yes","X",LEFT($D79,1))),""))</f>
        <v/>
      </c>
      <c r="AV79" s="33">
        <f>IF(OR($E79="",$F79=""),"",IF(AND(AV$4&lt;=$F79,AV$4+6&gt;=$E79),IF($F79-$E79&lt;=2,"◆",IF($H79="Yes","X",LEFT($D79,1))),""))</f>
        <v/>
      </c>
      <c r="AW79" s="33">
        <f>IF(OR($E79="",$F79=""),"",IF(AND(AW$4&lt;=$F79,AW$4+6&gt;=$E79),IF($F79-$E79&lt;=2,"◆",IF($H79="Yes","X",LEFT($D79,1))),""))</f>
        <v/>
      </c>
      <c r="AX79" s="33">
        <f>IF(OR($E79="",$F79=""),"",IF(AND(AX$4&lt;=$F79,AX$4+6&gt;=$E79),IF($F79-$E79&lt;=2,"◆",IF($H79="Yes","X",LEFT($D79,1))),""))</f>
        <v/>
      </c>
      <c r="AY79" s="33">
        <f>IF(OR($E79="",$F79=""),"",IF(AND(AY$4&lt;=$F79,AY$4+6&gt;=$E79),IF($F79-$E79&lt;=2,"◆",IF($H79="Yes","X",LEFT($D79,1))),""))</f>
        <v/>
      </c>
      <c r="AZ79" s="33">
        <f>IF(OR($E79="",$F79=""),"",IF(AND(AZ$4&lt;=$F79,AZ$4+6&gt;=$E79),IF($F79-$E79&lt;=2,"◆",IF($H79="Yes","X",LEFT($D79,1))),""))</f>
        <v/>
      </c>
      <c r="BA79" s="33">
        <f>IF(OR($E79="",$F79=""),"",IF(AND(BA$4&lt;=$F79,BA$4+6&gt;=$E79),IF($F79-$E79&lt;=2,"◆",IF($H79="Yes","X",LEFT($D79,1))),""))</f>
        <v/>
      </c>
      <c r="BB79" s="33">
        <f>IF(OR($E79="",$F79=""),"",IF(AND(BB$4&lt;=$F79,BB$4+6&gt;=$E79),IF($F79-$E79&lt;=2,"◆",IF($H79="Yes","X",LEFT($D79,1))),""))</f>
        <v/>
      </c>
      <c r="BC79" s="33">
        <f>IF(OR($E79="",$F79=""),"",IF(AND(BC$4&lt;=$F79,BC$4+6&gt;=$E79),IF($F79-$E79&lt;=2,"◆",IF($H79="Yes","X",LEFT($D79,1))),""))</f>
        <v/>
      </c>
      <c r="BD79" s="33">
        <f>IF(OR($E79="",$F79=""),"",IF(AND(BD$4&lt;=$F79,BD$4+6&gt;=$E79),IF($F79-$E79&lt;=2,"◆",IF($H79="Yes","X",LEFT($D79,1))),""))</f>
        <v/>
      </c>
      <c r="BE79" s="33">
        <f>IF(OR($E79="",$F79=""),"",IF(AND(BE$4&lt;=$F79,BE$4+6&gt;=$E79),IF($F79-$E79&lt;=2,"◆",IF($H79="Yes","X",LEFT($D79,1))),""))</f>
        <v/>
      </c>
      <c r="BF79" s="33">
        <f>IF(OR($E79="",$F79=""),"",IF(AND(BF$4&lt;=$F79,BF$4+6&gt;=$E79),IF($F79-$E79&lt;=2,"◆",IF($H79="Yes","X",LEFT($D79,1))),""))</f>
        <v/>
      </c>
      <c r="BG79" s="33">
        <f>IF(OR($E79="",$F79=""),"",IF(AND(BG$4&lt;=$F79,BG$4+6&gt;=$E79),IF($F79-$E79&lt;=2,"◆",IF($H79="Yes","X",LEFT($D79,1))),""))</f>
        <v/>
      </c>
      <c r="BH79" s="33">
        <f>IF(OR($E79="",$F79=""),"",IF(AND(BH$4&lt;=$F79,BH$4+6&gt;=$E79),IF($F79-$E79&lt;=2,"◆",IF($H79="Yes","X",LEFT($D79,1))),""))</f>
        <v/>
      </c>
      <c r="BI79" s="33">
        <f>IF(OR($E79="",$F79=""),"",IF(AND(BI$4&lt;=$F79,BI$4+6&gt;=$E79),IF($F79-$E79&lt;=2,"◆",IF($H79="Yes","X",LEFT($D79,1))),""))</f>
        <v/>
      </c>
    </row>
    <row r="80">
      <c r="A80" s="30" t="inlineStr">
        <is>
          <t>T-076</t>
        </is>
      </c>
      <c r="B80" s="30" t="inlineStr">
        <is>
          <t>Yearly External VAPT for Mobile Application</t>
        </is>
      </c>
      <c r="C80" s="30" t="inlineStr">
        <is>
          <t>Jawahar</t>
        </is>
      </c>
      <c r="D80" s="30" t="inlineStr">
        <is>
          <t>Not Started</t>
        </is>
      </c>
      <c r="E80" s="31" t="n">
        <v>46438</v>
      </c>
      <c r="F80" s="31" t="n">
        <v>46454</v>
      </c>
      <c r="G80" s="32" t="n">
        <v>0</v>
      </c>
      <c r="H80" s="30" t="inlineStr">
        <is>
          <t>No</t>
        </is>
      </c>
      <c r="I80" s="33">
        <f>IF(OR($E80="",$F80=""),"",IF(AND(I$4&lt;=$F80,I$4+6&gt;=$E80),IF($F80-$E80&lt;=2,"◆",IF($H80="Yes","X",LEFT($D80,1))),""))</f>
        <v/>
      </c>
      <c r="J80" s="33">
        <f>IF(OR($E80="",$F80=""),"",IF(AND(J$4&lt;=$F80,J$4+6&gt;=$E80),IF($F80-$E80&lt;=2,"◆",IF($H80="Yes","X",LEFT($D80,1))),""))</f>
        <v/>
      </c>
      <c r="K80" s="33">
        <f>IF(OR($E80="",$F80=""),"",IF(AND(K$4&lt;=$F80,K$4+6&gt;=$E80),IF($F80-$E80&lt;=2,"◆",IF($H80="Yes","X",LEFT($D80,1))),""))</f>
        <v/>
      </c>
      <c r="L80" s="33">
        <f>IF(OR($E80="",$F80=""),"",IF(AND(L$4&lt;=$F80,L$4+6&gt;=$E80),IF($F80-$E80&lt;=2,"◆",IF($H80="Yes","X",LEFT($D80,1))),""))</f>
        <v/>
      </c>
      <c r="M80" s="33">
        <f>IF(OR($E80="",$F80=""),"",IF(AND(M$4&lt;=$F80,M$4+6&gt;=$E80),IF($F80-$E80&lt;=2,"◆",IF($H80="Yes","X",LEFT($D80,1))),""))</f>
        <v/>
      </c>
      <c r="N80" s="33">
        <f>IF(OR($E80="",$F80=""),"",IF(AND(N$4&lt;=$F80,N$4+6&gt;=$E80),IF($F80-$E80&lt;=2,"◆",IF($H80="Yes","X",LEFT($D80,1))),""))</f>
        <v/>
      </c>
      <c r="O80" s="33">
        <f>IF(OR($E80="",$F80=""),"",IF(AND(O$4&lt;=$F80,O$4+6&gt;=$E80),IF($F80-$E80&lt;=2,"◆",IF($H80="Yes","X",LEFT($D80,1))),""))</f>
        <v/>
      </c>
      <c r="P80" s="33">
        <f>IF(OR($E80="",$F80=""),"",IF(AND(P$4&lt;=$F80,P$4+6&gt;=$E80),IF($F80-$E80&lt;=2,"◆",IF($H80="Yes","X",LEFT($D80,1))),""))</f>
        <v/>
      </c>
      <c r="Q80" s="33">
        <f>IF(OR($E80="",$F80=""),"",IF(AND(Q$4&lt;=$F80,Q$4+6&gt;=$E80),IF($F80-$E80&lt;=2,"◆",IF($H80="Yes","X",LEFT($D80,1))),""))</f>
        <v/>
      </c>
      <c r="R80" s="33">
        <f>IF(OR($E80="",$F80=""),"",IF(AND(R$4&lt;=$F80,R$4+6&gt;=$E80),IF($F80-$E80&lt;=2,"◆",IF($H80="Yes","X",LEFT($D80,1))),""))</f>
        <v/>
      </c>
      <c r="S80" s="33">
        <f>IF(OR($E80="",$F80=""),"",IF(AND(S$4&lt;=$F80,S$4+6&gt;=$E80),IF($F80-$E80&lt;=2,"◆",IF($H80="Yes","X",LEFT($D80,1))),""))</f>
        <v/>
      </c>
      <c r="T80" s="33">
        <f>IF(OR($E80="",$F80=""),"",IF(AND(T$4&lt;=$F80,T$4+6&gt;=$E80),IF($F80-$E80&lt;=2,"◆",IF($H80="Yes","X",LEFT($D80,1))),""))</f>
        <v/>
      </c>
      <c r="U80" s="33">
        <f>IF(OR($E80="",$F80=""),"",IF(AND(U$4&lt;=$F80,U$4+6&gt;=$E80),IF($F80-$E80&lt;=2,"◆",IF($H80="Yes","X",LEFT($D80,1))),""))</f>
        <v/>
      </c>
      <c r="V80" s="33">
        <f>IF(OR($E80="",$F80=""),"",IF(AND(V$4&lt;=$F80,V$4+6&gt;=$E80),IF($F80-$E80&lt;=2,"◆",IF($H80="Yes","X",LEFT($D80,1))),""))</f>
        <v/>
      </c>
      <c r="W80" s="33">
        <f>IF(OR($E80="",$F80=""),"",IF(AND(W$4&lt;=$F80,W$4+6&gt;=$E80),IF($F80-$E80&lt;=2,"◆",IF($H80="Yes","X",LEFT($D80,1))),""))</f>
        <v/>
      </c>
      <c r="X80" s="33">
        <f>IF(OR($E80="",$F80=""),"",IF(AND(X$4&lt;=$F80,X$4+6&gt;=$E80),IF($F80-$E80&lt;=2,"◆",IF($H80="Yes","X",LEFT($D80,1))),""))</f>
        <v/>
      </c>
      <c r="Y80" s="33">
        <f>IF(OR($E80="",$F80=""),"",IF(AND(Y$4&lt;=$F80,Y$4+6&gt;=$E80),IF($F80-$E80&lt;=2,"◆",IF($H80="Yes","X",LEFT($D80,1))),""))</f>
        <v/>
      </c>
      <c r="Z80" s="33">
        <f>IF(OR($E80="",$F80=""),"",IF(AND(Z$4&lt;=$F80,Z$4+6&gt;=$E80),IF($F80-$E80&lt;=2,"◆",IF($H80="Yes","X",LEFT($D80,1))),""))</f>
        <v/>
      </c>
      <c r="AA80" s="33">
        <f>IF(OR($E80="",$F80=""),"",IF(AND(AA$4&lt;=$F80,AA$4+6&gt;=$E80),IF($F80-$E80&lt;=2,"◆",IF($H80="Yes","X",LEFT($D80,1))),""))</f>
        <v/>
      </c>
      <c r="AB80" s="33">
        <f>IF(OR($E80="",$F80=""),"",IF(AND(AB$4&lt;=$F80,AB$4+6&gt;=$E80),IF($F80-$E80&lt;=2,"◆",IF($H80="Yes","X",LEFT($D80,1))),""))</f>
        <v/>
      </c>
      <c r="AC80" s="33">
        <f>IF(OR($E80="",$F80=""),"",IF(AND(AC$4&lt;=$F80,AC$4+6&gt;=$E80),IF($F80-$E80&lt;=2,"◆",IF($H80="Yes","X",LEFT($D80,1))),""))</f>
        <v/>
      </c>
      <c r="AD80" s="33">
        <f>IF(OR($E80="",$F80=""),"",IF(AND(AD$4&lt;=$F80,AD$4+6&gt;=$E80),IF($F80-$E80&lt;=2,"◆",IF($H80="Yes","X",LEFT($D80,1))),""))</f>
        <v/>
      </c>
      <c r="AE80" s="33">
        <f>IF(OR($E80="",$F80=""),"",IF(AND(AE$4&lt;=$F80,AE$4+6&gt;=$E80),IF($F80-$E80&lt;=2,"◆",IF($H80="Yes","X",LEFT($D80,1))),""))</f>
        <v/>
      </c>
      <c r="AF80" s="33">
        <f>IF(OR($E80="",$F80=""),"",IF(AND(AF$4&lt;=$F80,AF$4+6&gt;=$E80),IF($F80-$E80&lt;=2,"◆",IF($H80="Yes","X",LEFT($D80,1))),""))</f>
        <v/>
      </c>
      <c r="AG80" s="33">
        <f>IF(OR($E80="",$F80=""),"",IF(AND(AG$4&lt;=$F80,AG$4+6&gt;=$E80),IF($F80-$E80&lt;=2,"◆",IF($H80="Yes","X",LEFT($D80,1))),""))</f>
        <v/>
      </c>
      <c r="AH80" s="33">
        <f>IF(OR($E80="",$F80=""),"",IF(AND(AH$4&lt;=$F80,AH$4+6&gt;=$E80),IF($F80-$E80&lt;=2,"◆",IF($H80="Yes","X",LEFT($D80,1))),""))</f>
        <v/>
      </c>
      <c r="AI80" s="33">
        <f>IF(OR($E80="",$F80=""),"",IF(AND(AI$4&lt;=$F80,AI$4+6&gt;=$E80),IF($F80-$E80&lt;=2,"◆",IF($H80="Yes","X",LEFT($D80,1))),""))</f>
        <v/>
      </c>
      <c r="AJ80" s="33">
        <f>IF(OR($E80="",$F80=""),"",IF(AND(AJ$4&lt;=$F80,AJ$4+6&gt;=$E80),IF($F80-$E80&lt;=2,"◆",IF($H80="Yes","X",LEFT($D80,1))),""))</f>
        <v/>
      </c>
      <c r="AK80" s="33">
        <f>IF(OR($E80="",$F80=""),"",IF(AND(AK$4&lt;=$F80,AK$4+6&gt;=$E80),IF($F80-$E80&lt;=2,"◆",IF($H80="Yes","X",LEFT($D80,1))),""))</f>
        <v/>
      </c>
      <c r="AL80" s="33">
        <f>IF(OR($E80="",$F80=""),"",IF(AND(AL$4&lt;=$F80,AL$4+6&gt;=$E80),IF($F80-$E80&lt;=2,"◆",IF($H80="Yes","X",LEFT($D80,1))),""))</f>
        <v/>
      </c>
      <c r="AM80" s="33">
        <f>IF(OR($E80="",$F80=""),"",IF(AND(AM$4&lt;=$F80,AM$4+6&gt;=$E80),IF($F80-$E80&lt;=2,"◆",IF($H80="Yes","X",LEFT($D80,1))),""))</f>
        <v/>
      </c>
      <c r="AN80" s="33">
        <f>IF(OR($E80="",$F80=""),"",IF(AND(AN$4&lt;=$F80,AN$4+6&gt;=$E80),IF($F80-$E80&lt;=2,"◆",IF($H80="Yes","X",LEFT($D80,1))),""))</f>
        <v/>
      </c>
      <c r="AO80" s="33">
        <f>IF(OR($E80="",$F80=""),"",IF(AND(AO$4&lt;=$F80,AO$4+6&gt;=$E80),IF($F80-$E80&lt;=2,"◆",IF($H80="Yes","X",LEFT($D80,1))),""))</f>
        <v/>
      </c>
      <c r="AP80" s="33">
        <f>IF(OR($E80="",$F80=""),"",IF(AND(AP$4&lt;=$F80,AP$4+6&gt;=$E80),IF($F80-$E80&lt;=2,"◆",IF($H80="Yes","X",LEFT($D80,1))),""))</f>
        <v/>
      </c>
      <c r="AQ80" s="33">
        <f>IF(OR($E80="",$F80=""),"",IF(AND(AQ$4&lt;=$F80,AQ$4+6&gt;=$E80),IF($F80-$E80&lt;=2,"◆",IF($H80="Yes","X",LEFT($D80,1))),""))</f>
        <v/>
      </c>
      <c r="AR80" s="33">
        <f>IF(OR($E80="",$F80=""),"",IF(AND(AR$4&lt;=$F80,AR$4+6&gt;=$E80),IF($F80-$E80&lt;=2,"◆",IF($H80="Yes","X",LEFT($D80,1))),""))</f>
        <v/>
      </c>
      <c r="AS80" s="33">
        <f>IF(OR($E80="",$F80=""),"",IF(AND(AS$4&lt;=$F80,AS$4+6&gt;=$E80),IF($F80-$E80&lt;=2,"◆",IF($H80="Yes","X",LEFT($D80,1))),""))</f>
        <v/>
      </c>
      <c r="AT80" s="33">
        <f>IF(OR($E80="",$F80=""),"",IF(AND(AT$4&lt;=$F80,AT$4+6&gt;=$E80),IF($F80-$E80&lt;=2,"◆",IF($H80="Yes","X",LEFT($D80,1))),""))</f>
        <v/>
      </c>
      <c r="AU80" s="33">
        <f>IF(OR($E80="",$F80=""),"",IF(AND(AU$4&lt;=$F80,AU$4+6&gt;=$E80),IF($F80-$E80&lt;=2,"◆",IF($H80="Yes","X",LEFT($D80,1))),""))</f>
        <v/>
      </c>
      <c r="AV80" s="33">
        <f>IF(OR($E80="",$F80=""),"",IF(AND(AV$4&lt;=$F80,AV$4+6&gt;=$E80),IF($F80-$E80&lt;=2,"◆",IF($H80="Yes","X",LEFT($D80,1))),""))</f>
        <v/>
      </c>
      <c r="AW80" s="33">
        <f>IF(OR($E80="",$F80=""),"",IF(AND(AW$4&lt;=$F80,AW$4+6&gt;=$E80),IF($F80-$E80&lt;=2,"◆",IF($H80="Yes","X",LEFT($D80,1))),""))</f>
        <v/>
      </c>
      <c r="AX80" s="33">
        <f>IF(OR($E80="",$F80=""),"",IF(AND(AX$4&lt;=$F80,AX$4+6&gt;=$E80),IF($F80-$E80&lt;=2,"◆",IF($H80="Yes","X",LEFT($D80,1))),""))</f>
        <v/>
      </c>
      <c r="AY80" s="33">
        <f>IF(OR($E80="",$F80=""),"",IF(AND(AY$4&lt;=$F80,AY$4+6&gt;=$E80),IF($F80-$E80&lt;=2,"◆",IF($H80="Yes","X",LEFT($D80,1))),""))</f>
        <v/>
      </c>
      <c r="AZ80" s="33">
        <f>IF(OR($E80="",$F80=""),"",IF(AND(AZ$4&lt;=$F80,AZ$4+6&gt;=$E80),IF($F80-$E80&lt;=2,"◆",IF($H80="Yes","X",LEFT($D80,1))),""))</f>
        <v/>
      </c>
      <c r="BA80" s="33">
        <f>IF(OR($E80="",$F80=""),"",IF(AND(BA$4&lt;=$F80,BA$4+6&gt;=$E80),IF($F80-$E80&lt;=2,"◆",IF($H80="Yes","X",LEFT($D80,1))),""))</f>
        <v/>
      </c>
      <c r="BB80" s="33">
        <f>IF(OR($E80="",$F80=""),"",IF(AND(BB$4&lt;=$F80,BB$4+6&gt;=$E80),IF($F80-$E80&lt;=2,"◆",IF($H80="Yes","X",LEFT($D80,1))),""))</f>
        <v/>
      </c>
      <c r="BC80" s="33">
        <f>IF(OR($E80="",$F80=""),"",IF(AND(BC$4&lt;=$F80,BC$4+6&gt;=$E80),IF($F80-$E80&lt;=2,"◆",IF($H80="Yes","X",LEFT($D80,1))),""))</f>
        <v/>
      </c>
      <c r="BD80" s="33">
        <f>IF(OR($E80="",$F80=""),"",IF(AND(BD$4&lt;=$F80,BD$4+6&gt;=$E80),IF($F80-$E80&lt;=2,"◆",IF($H80="Yes","X",LEFT($D80,1))),""))</f>
        <v/>
      </c>
      <c r="BE80" s="33">
        <f>IF(OR($E80="",$F80=""),"",IF(AND(BE$4&lt;=$F80,BE$4+6&gt;=$E80),IF($F80-$E80&lt;=2,"◆",IF($H80="Yes","X",LEFT($D80,1))),""))</f>
        <v/>
      </c>
      <c r="BF80" s="33">
        <f>IF(OR($E80="",$F80=""),"",IF(AND(BF$4&lt;=$F80,BF$4+6&gt;=$E80),IF($F80-$E80&lt;=2,"◆",IF($H80="Yes","X",LEFT($D80,1))),""))</f>
        <v/>
      </c>
      <c r="BG80" s="33">
        <f>IF(OR($E80="",$F80=""),"",IF(AND(BG$4&lt;=$F80,BG$4+6&gt;=$E80),IF($F80-$E80&lt;=2,"◆",IF($H80="Yes","X",LEFT($D80,1))),""))</f>
        <v/>
      </c>
      <c r="BH80" s="33">
        <f>IF(OR($E80="",$F80=""),"",IF(AND(BH$4&lt;=$F80,BH$4+6&gt;=$E80),IF($F80-$E80&lt;=2,"◆",IF($H80="Yes","X",LEFT($D80,1))),""))</f>
        <v/>
      </c>
      <c r="BI80" s="33">
        <f>IF(OR($E80="",$F80=""),"",IF(AND(BI$4&lt;=$F80,BI$4+6&gt;=$E80),IF($F80-$E80&lt;=2,"◆",IF($H80="Yes","X",LEFT($D80,1))),""))</f>
        <v/>
      </c>
    </row>
    <row r="81">
      <c r="A81" s="30" t="inlineStr">
        <is>
          <t>T-077</t>
        </is>
      </c>
      <c r="B81" s="30" t="inlineStr">
        <is>
          <t>Form Builder Decoupling into Standalone NPM Package</t>
        </is>
      </c>
      <c r="C81" s="30" t="inlineStr">
        <is>
          <t>MJ</t>
        </is>
      </c>
      <c r="D81" s="30" t="inlineStr">
        <is>
          <t>Not Started</t>
        </is>
      </c>
      <c r="E81" s="31" t="n">
        <v>46412</v>
      </c>
      <c r="F81" s="31" t="n">
        <v>46434</v>
      </c>
      <c r="G81" s="32" t="n">
        <v>0</v>
      </c>
      <c r="H81" s="30" t="inlineStr">
        <is>
          <t>No</t>
        </is>
      </c>
      <c r="I81" s="33">
        <f>IF(OR($E81="",$F81=""),"",IF(AND(I$4&lt;=$F81,I$4+6&gt;=$E81),IF($F81-$E81&lt;=2,"◆",IF($H81="Yes","X",LEFT($D81,1))),""))</f>
        <v/>
      </c>
      <c r="J81" s="33">
        <f>IF(OR($E81="",$F81=""),"",IF(AND(J$4&lt;=$F81,J$4+6&gt;=$E81),IF($F81-$E81&lt;=2,"◆",IF($H81="Yes","X",LEFT($D81,1))),""))</f>
        <v/>
      </c>
      <c r="K81" s="33">
        <f>IF(OR($E81="",$F81=""),"",IF(AND(K$4&lt;=$F81,K$4+6&gt;=$E81),IF($F81-$E81&lt;=2,"◆",IF($H81="Yes","X",LEFT($D81,1))),""))</f>
        <v/>
      </c>
      <c r="L81" s="33">
        <f>IF(OR($E81="",$F81=""),"",IF(AND(L$4&lt;=$F81,L$4+6&gt;=$E81),IF($F81-$E81&lt;=2,"◆",IF($H81="Yes","X",LEFT($D81,1))),""))</f>
        <v/>
      </c>
      <c r="M81" s="33">
        <f>IF(OR($E81="",$F81=""),"",IF(AND(M$4&lt;=$F81,M$4+6&gt;=$E81),IF($F81-$E81&lt;=2,"◆",IF($H81="Yes","X",LEFT($D81,1))),""))</f>
        <v/>
      </c>
      <c r="N81" s="33">
        <f>IF(OR($E81="",$F81=""),"",IF(AND(N$4&lt;=$F81,N$4+6&gt;=$E81),IF($F81-$E81&lt;=2,"◆",IF($H81="Yes","X",LEFT($D81,1))),""))</f>
        <v/>
      </c>
      <c r="O81" s="33">
        <f>IF(OR($E81="",$F81=""),"",IF(AND(O$4&lt;=$F81,O$4+6&gt;=$E81),IF($F81-$E81&lt;=2,"◆",IF($H81="Yes","X",LEFT($D81,1))),""))</f>
        <v/>
      </c>
      <c r="P81" s="33">
        <f>IF(OR($E81="",$F81=""),"",IF(AND(P$4&lt;=$F81,P$4+6&gt;=$E81),IF($F81-$E81&lt;=2,"◆",IF($H81="Yes","X",LEFT($D81,1))),""))</f>
        <v/>
      </c>
      <c r="Q81" s="33">
        <f>IF(OR($E81="",$F81=""),"",IF(AND(Q$4&lt;=$F81,Q$4+6&gt;=$E81),IF($F81-$E81&lt;=2,"◆",IF($H81="Yes","X",LEFT($D81,1))),""))</f>
        <v/>
      </c>
      <c r="R81" s="33">
        <f>IF(OR($E81="",$F81=""),"",IF(AND(R$4&lt;=$F81,R$4+6&gt;=$E81),IF($F81-$E81&lt;=2,"◆",IF($H81="Yes","X",LEFT($D81,1))),""))</f>
        <v/>
      </c>
      <c r="S81" s="33">
        <f>IF(OR($E81="",$F81=""),"",IF(AND(S$4&lt;=$F81,S$4+6&gt;=$E81),IF($F81-$E81&lt;=2,"◆",IF($H81="Yes","X",LEFT($D81,1))),""))</f>
        <v/>
      </c>
      <c r="T81" s="33">
        <f>IF(OR($E81="",$F81=""),"",IF(AND(T$4&lt;=$F81,T$4+6&gt;=$E81),IF($F81-$E81&lt;=2,"◆",IF($H81="Yes","X",LEFT($D81,1))),""))</f>
        <v/>
      </c>
      <c r="U81" s="33">
        <f>IF(OR($E81="",$F81=""),"",IF(AND(U$4&lt;=$F81,U$4+6&gt;=$E81),IF($F81-$E81&lt;=2,"◆",IF($H81="Yes","X",LEFT($D81,1))),""))</f>
        <v/>
      </c>
      <c r="V81" s="33">
        <f>IF(OR($E81="",$F81=""),"",IF(AND(V$4&lt;=$F81,V$4+6&gt;=$E81),IF($F81-$E81&lt;=2,"◆",IF($H81="Yes","X",LEFT($D81,1))),""))</f>
        <v/>
      </c>
      <c r="W81" s="33">
        <f>IF(OR($E81="",$F81=""),"",IF(AND(W$4&lt;=$F81,W$4+6&gt;=$E81),IF($F81-$E81&lt;=2,"◆",IF($H81="Yes","X",LEFT($D81,1))),""))</f>
        <v/>
      </c>
      <c r="X81" s="33">
        <f>IF(OR($E81="",$F81=""),"",IF(AND(X$4&lt;=$F81,X$4+6&gt;=$E81),IF($F81-$E81&lt;=2,"◆",IF($H81="Yes","X",LEFT($D81,1))),""))</f>
        <v/>
      </c>
      <c r="Y81" s="33">
        <f>IF(OR($E81="",$F81=""),"",IF(AND(Y$4&lt;=$F81,Y$4+6&gt;=$E81),IF($F81-$E81&lt;=2,"◆",IF($H81="Yes","X",LEFT($D81,1))),""))</f>
        <v/>
      </c>
      <c r="Z81" s="33">
        <f>IF(OR($E81="",$F81=""),"",IF(AND(Z$4&lt;=$F81,Z$4+6&gt;=$E81),IF($F81-$E81&lt;=2,"◆",IF($H81="Yes","X",LEFT($D81,1))),""))</f>
        <v/>
      </c>
      <c r="AA81" s="33">
        <f>IF(OR($E81="",$F81=""),"",IF(AND(AA$4&lt;=$F81,AA$4+6&gt;=$E81),IF($F81-$E81&lt;=2,"◆",IF($H81="Yes","X",LEFT($D81,1))),""))</f>
        <v/>
      </c>
      <c r="AB81" s="33">
        <f>IF(OR($E81="",$F81=""),"",IF(AND(AB$4&lt;=$F81,AB$4+6&gt;=$E81),IF($F81-$E81&lt;=2,"◆",IF($H81="Yes","X",LEFT($D81,1))),""))</f>
        <v/>
      </c>
      <c r="AC81" s="33">
        <f>IF(OR($E81="",$F81=""),"",IF(AND(AC$4&lt;=$F81,AC$4+6&gt;=$E81),IF($F81-$E81&lt;=2,"◆",IF($H81="Yes","X",LEFT($D81,1))),""))</f>
        <v/>
      </c>
      <c r="AD81" s="33">
        <f>IF(OR($E81="",$F81=""),"",IF(AND(AD$4&lt;=$F81,AD$4+6&gt;=$E81),IF($F81-$E81&lt;=2,"◆",IF($H81="Yes","X",LEFT($D81,1))),""))</f>
        <v/>
      </c>
      <c r="AE81" s="33">
        <f>IF(OR($E81="",$F81=""),"",IF(AND(AE$4&lt;=$F81,AE$4+6&gt;=$E81),IF($F81-$E81&lt;=2,"◆",IF($H81="Yes","X",LEFT($D81,1))),""))</f>
        <v/>
      </c>
      <c r="AF81" s="33">
        <f>IF(OR($E81="",$F81=""),"",IF(AND(AF$4&lt;=$F81,AF$4+6&gt;=$E81),IF($F81-$E81&lt;=2,"◆",IF($H81="Yes","X",LEFT($D81,1))),""))</f>
        <v/>
      </c>
      <c r="AG81" s="33">
        <f>IF(OR($E81="",$F81=""),"",IF(AND(AG$4&lt;=$F81,AG$4+6&gt;=$E81),IF($F81-$E81&lt;=2,"◆",IF($H81="Yes","X",LEFT($D81,1))),""))</f>
        <v/>
      </c>
      <c r="AH81" s="33">
        <f>IF(OR($E81="",$F81=""),"",IF(AND(AH$4&lt;=$F81,AH$4+6&gt;=$E81),IF($F81-$E81&lt;=2,"◆",IF($H81="Yes","X",LEFT($D81,1))),""))</f>
        <v/>
      </c>
      <c r="AI81" s="33">
        <f>IF(OR($E81="",$F81=""),"",IF(AND(AI$4&lt;=$F81,AI$4+6&gt;=$E81),IF($F81-$E81&lt;=2,"◆",IF($H81="Yes","X",LEFT($D81,1))),""))</f>
        <v/>
      </c>
      <c r="AJ81" s="33">
        <f>IF(OR($E81="",$F81=""),"",IF(AND(AJ$4&lt;=$F81,AJ$4+6&gt;=$E81),IF($F81-$E81&lt;=2,"◆",IF($H81="Yes","X",LEFT($D81,1))),""))</f>
        <v/>
      </c>
      <c r="AK81" s="33">
        <f>IF(OR($E81="",$F81=""),"",IF(AND(AK$4&lt;=$F81,AK$4+6&gt;=$E81),IF($F81-$E81&lt;=2,"◆",IF($H81="Yes","X",LEFT($D81,1))),""))</f>
        <v/>
      </c>
      <c r="AL81" s="33">
        <f>IF(OR($E81="",$F81=""),"",IF(AND(AL$4&lt;=$F81,AL$4+6&gt;=$E81),IF($F81-$E81&lt;=2,"◆",IF($H81="Yes","X",LEFT($D81,1))),""))</f>
        <v/>
      </c>
      <c r="AM81" s="33">
        <f>IF(OR($E81="",$F81=""),"",IF(AND(AM$4&lt;=$F81,AM$4+6&gt;=$E81),IF($F81-$E81&lt;=2,"◆",IF($H81="Yes","X",LEFT($D81,1))),""))</f>
        <v/>
      </c>
      <c r="AN81" s="33">
        <f>IF(OR($E81="",$F81=""),"",IF(AND(AN$4&lt;=$F81,AN$4+6&gt;=$E81),IF($F81-$E81&lt;=2,"◆",IF($H81="Yes","X",LEFT($D81,1))),""))</f>
        <v/>
      </c>
      <c r="AO81" s="33">
        <f>IF(OR($E81="",$F81=""),"",IF(AND(AO$4&lt;=$F81,AO$4+6&gt;=$E81),IF($F81-$E81&lt;=2,"◆",IF($H81="Yes","X",LEFT($D81,1))),""))</f>
        <v/>
      </c>
      <c r="AP81" s="33">
        <f>IF(OR($E81="",$F81=""),"",IF(AND(AP$4&lt;=$F81,AP$4+6&gt;=$E81),IF($F81-$E81&lt;=2,"◆",IF($H81="Yes","X",LEFT($D81,1))),""))</f>
        <v/>
      </c>
      <c r="AQ81" s="33">
        <f>IF(OR($E81="",$F81=""),"",IF(AND(AQ$4&lt;=$F81,AQ$4+6&gt;=$E81),IF($F81-$E81&lt;=2,"◆",IF($H81="Yes","X",LEFT($D81,1))),""))</f>
        <v/>
      </c>
      <c r="AR81" s="33">
        <f>IF(OR($E81="",$F81=""),"",IF(AND(AR$4&lt;=$F81,AR$4+6&gt;=$E81),IF($F81-$E81&lt;=2,"◆",IF($H81="Yes","X",LEFT($D81,1))),""))</f>
        <v/>
      </c>
      <c r="AS81" s="33">
        <f>IF(OR($E81="",$F81=""),"",IF(AND(AS$4&lt;=$F81,AS$4+6&gt;=$E81),IF($F81-$E81&lt;=2,"◆",IF($H81="Yes","X",LEFT($D81,1))),""))</f>
        <v/>
      </c>
      <c r="AT81" s="33">
        <f>IF(OR($E81="",$F81=""),"",IF(AND(AT$4&lt;=$F81,AT$4+6&gt;=$E81),IF($F81-$E81&lt;=2,"◆",IF($H81="Yes","X",LEFT($D81,1))),""))</f>
        <v/>
      </c>
      <c r="AU81" s="33">
        <f>IF(OR($E81="",$F81=""),"",IF(AND(AU$4&lt;=$F81,AU$4+6&gt;=$E81),IF($F81-$E81&lt;=2,"◆",IF($H81="Yes","X",LEFT($D81,1))),""))</f>
        <v/>
      </c>
      <c r="AV81" s="33">
        <f>IF(OR($E81="",$F81=""),"",IF(AND(AV$4&lt;=$F81,AV$4+6&gt;=$E81),IF($F81-$E81&lt;=2,"◆",IF($H81="Yes","X",LEFT($D81,1))),""))</f>
        <v/>
      </c>
      <c r="AW81" s="33">
        <f>IF(OR($E81="",$F81=""),"",IF(AND(AW$4&lt;=$F81,AW$4+6&gt;=$E81),IF($F81-$E81&lt;=2,"◆",IF($H81="Yes","X",LEFT($D81,1))),""))</f>
        <v/>
      </c>
      <c r="AX81" s="33">
        <f>IF(OR($E81="",$F81=""),"",IF(AND(AX$4&lt;=$F81,AX$4+6&gt;=$E81),IF($F81-$E81&lt;=2,"◆",IF($H81="Yes","X",LEFT($D81,1))),""))</f>
        <v/>
      </c>
      <c r="AY81" s="33">
        <f>IF(OR($E81="",$F81=""),"",IF(AND(AY$4&lt;=$F81,AY$4+6&gt;=$E81),IF($F81-$E81&lt;=2,"◆",IF($H81="Yes","X",LEFT($D81,1))),""))</f>
        <v/>
      </c>
      <c r="AZ81" s="33">
        <f>IF(OR($E81="",$F81=""),"",IF(AND(AZ$4&lt;=$F81,AZ$4+6&gt;=$E81),IF($F81-$E81&lt;=2,"◆",IF($H81="Yes","X",LEFT($D81,1))),""))</f>
        <v/>
      </c>
      <c r="BA81" s="33">
        <f>IF(OR($E81="",$F81=""),"",IF(AND(BA$4&lt;=$F81,BA$4+6&gt;=$E81),IF($F81-$E81&lt;=2,"◆",IF($H81="Yes","X",LEFT($D81,1))),""))</f>
        <v/>
      </c>
      <c r="BB81" s="33">
        <f>IF(OR($E81="",$F81=""),"",IF(AND(BB$4&lt;=$F81,BB$4+6&gt;=$E81),IF($F81-$E81&lt;=2,"◆",IF($H81="Yes","X",LEFT($D81,1))),""))</f>
        <v/>
      </c>
      <c r="BC81" s="33">
        <f>IF(OR($E81="",$F81=""),"",IF(AND(BC$4&lt;=$F81,BC$4+6&gt;=$E81),IF($F81-$E81&lt;=2,"◆",IF($H81="Yes","X",LEFT($D81,1))),""))</f>
        <v/>
      </c>
      <c r="BD81" s="33">
        <f>IF(OR($E81="",$F81=""),"",IF(AND(BD$4&lt;=$F81,BD$4+6&gt;=$E81),IF($F81-$E81&lt;=2,"◆",IF($H81="Yes","X",LEFT($D81,1))),""))</f>
        <v/>
      </c>
      <c r="BE81" s="33">
        <f>IF(OR($E81="",$F81=""),"",IF(AND(BE$4&lt;=$F81,BE$4+6&gt;=$E81),IF($F81-$E81&lt;=2,"◆",IF($H81="Yes","X",LEFT($D81,1))),""))</f>
        <v/>
      </c>
      <c r="BF81" s="33">
        <f>IF(OR($E81="",$F81=""),"",IF(AND(BF$4&lt;=$F81,BF$4+6&gt;=$E81),IF($F81-$E81&lt;=2,"◆",IF($H81="Yes","X",LEFT($D81,1))),""))</f>
        <v/>
      </c>
      <c r="BG81" s="33">
        <f>IF(OR($E81="",$F81=""),"",IF(AND(BG$4&lt;=$F81,BG$4+6&gt;=$E81),IF($F81-$E81&lt;=2,"◆",IF($H81="Yes","X",LEFT($D81,1))),""))</f>
        <v/>
      </c>
      <c r="BH81" s="33">
        <f>IF(OR($E81="",$F81=""),"",IF(AND(BH$4&lt;=$F81,BH$4+6&gt;=$E81),IF($F81-$E81&lt;=2,"◆",IF($H81="Yes","X",LEFT($D81,1))),""))</f>
        <v/>
      </c>
      <c r="BI81" s="33">
        <f>IF(OR($E81="",$F81=""),"",IF(AND(BI$4&lt;=$F81,BI$4+6&gt;=$E81),IF($F81-$E81&lt;=2,"◆",IF($H81="Yes","X",LEFT($D81,1))),""))</f>
        <v/>
      </c>
    </row>
    <row r="82">
      <c r="A82" s="30" t="inlineStr">
        <is>
          <t>T-078</t>
        </is>
      </c>
      <c r="B82" s="30" t="inlineStr">
        <is>
          <t>View Builder Governance and Performance Enhancement</t>
        </is>
      </c>
      <c r="C82" s="30" t="inlineStr">
        <is>
          <t>MJ</t>
        </is>
      </c>
      <c r="D82" s="30" t="inlineStr">
        <is>
          <t>Not Started</t>
        </is>
      </c>
      <c r="E82" s="31" t="n">
        <v>46398</v>
      </c>
      <c r="F82" s="31" t="n">
        <v>46444</v>
      </c>
      <c r="G82" s="32" t="n">
        <v>0</v>
      </c>
      <c r="H82" s="30" t="inlineStr">
        <is>
          <t>No</t>
        </is>
      </c>
      <c r="I82" s="33">
        <f>IF(OR($E82="",$F82=""),"",IF(AND(I$4&lt;=$F82,I$4+6&gt;=$E82),IF($F82-$E82&lt;=2,"◆",IF($H82="Yes","X",LEFT($D82,1))),""))</f>
        <v/>
      </c>
      <c r="J82" s="33">
        <f>IF(OR($E82="",$F82=""),"",IF(AND(J$4&lt;=$F82,J$4+6&gt;=$E82),IF($F82-$E82&lt;=2,"◆",IF($H82="Yes","X",LEFT($D82,1))),""))</f>
        <v/>
      </c>
      <c r="K82" s="33">
        <f>IF(OR($E82="",$F82=""),"",IF(AND(K$4&lt;=$F82,K$4+6&gt;=$E82),IF($F82-$E82&lt;=2,"◆",IF($H82="Yes","X",LEFT($D82,1))),""))</f>
        <v/>
      </c>
      <c r="L82" s="33">
        <f>IF(OR($E82="",$F82=""),"",IF(AND(L$4&lt;=$F82,L$4+6&gt;=$E82),IF($F82-$E82&lt;=2,"◆",IF($H82="Yes","X",LEFT($D82,1))),""))</f>
        <v/>
      </c>
      <c r="M82" s="33">
        <f>IF(OR($E82="",$F82=""),"",IF(AND(M$4&lt;=$F82,M$4+6&gt;=$E82),IF($F82-$E82&lt;=2,"◆",IF($H82="Yes","X",LEFT($D82,1))),""))</f>
        <v/>
      </c>
      <c r="N82" s="33">
        <f>IF(OR($E82="",$F82=""),"",IF(AND(N$4&lt;=$F82,N$4+6&gt;=$E82),IF($F82-$E82&lt;=2,"◆",IF($H82="Yes","X",LEFT($D82,1))),""))</f>
        <v/>
      </c>
      <c r="O82" s="33">
        <f>IF(OR($E82="",$F82=""),"",IF(AND(O$4&lt;=$F82,O$4+6&gt;=$E82),IF($F82-$E82&lt;=2,"◆",IF($H82="Yes","X",LEFT($D82,1))),""))</f>
        <v/>
      </c>
      <c r="P82" s="33">
        <f>IF(OR($E82="",$F82=""),"",IF(AND(P$4&lt;=$F82,P$4+6&gt;=$E82),IF($F82-$E82&lt;=2,"◆",IF($H82="Yes","X",LEFT($D82,1))),""))</f>
        <v/>
      </c>
      <c r="Q82" s="33">
        <f>IF(OR($E82="",$F82=""),"",IF(AND(Q$4&lt;=$F82,Q$4+6&gt;=$E82),IF($F82-$E82&lt;=2,"◆",IF($H82="Yes","X",LEFT($D82,1))),""))</f>
        <v/>
      </c>
      <c r="R82" s="33">
        <f>IF(OR($E82="",$F82=""),"",IF(AND(R$4&lt;=$F82,R$4+6&gt;=$E82),IF($F82-$E82&lt;=2,"◆",IF($H82="Yes","X",LEFT($D82,1))),""))</f>
        <v/>
      </c>
      <c r="S82" s="33">
        <f>IF(OR($E82="",$F82=""),"",IF(AND(S$4&lt;=$F82,S$4+6&gt;=$E82),IF($F82-$E82&lt;=2,"◆",IF($H82="Yes","X",LEFT($D82,1))),""))</f>
        <v/>
      </c>
      <c r="T82" s="33">
        <f>IF(OR($E82="",$F82=""),"",IF(AND(T$4&lt;=$F82,T$4+6&gt;=$E82),IF($F82-$E82&lt;=2,"◆",IF($H82="Yes","X",LEFT($D82,1))),""))</f>
        <v/>
      </c>
      <c r="U82" s="33">
        <f>IF(OR($E82="",$F82=""),"",IF(AND(U$4&lt;=$F82,U$4+6&gt;=$E82),IF($F82-$E82&lt;=2,"◆",IF($H82="Yes","X",LEFT($D82,1))),""))</f>
        <v/>
      </c>
      <c r="V82" s="33">
        <f>IF(OR($E82="",$F82=""),"",IF(AND(V$4&lt;=$F82,V$4+6&gt;=$E82),IF($F82-$E82&lt;=2,"◆",IF($H82="Yes","X",LEFT($D82,1))),""))</f>
        <v/>
      </c>
      <c r="W82" s="33">
        <f>IF(OR($E82="",$F82=""),"",IF(AND(W$4&lt;=$F82,W$4+6&gt;=$E82),IF($F82-$E82&lt;=2,"◆",IF($H82="Yes","X",LEFT($D82,1))),""))</f>
        <v/>
      </c>
      <c r="X82" s="33">
        <f>IF(OR($E82="",$F82=""),"",IF(AND(X$4&lt;=$F82,X$4+6&gt;=$E82),IF($F82-$E82&lt;=2,"◆",IF($H82="Yes","X",LEFT($D82,1))),""))</f>
        <v/>
      </c>
      <c r="Y82" s="33">
        <f>IF(OR($E82="",$F82=""),"",IF(AND(Y$4&lt;=$F82,Y$4+6&gt;=$E82),IF($F82-$E82&lt;=2,"◆",IF($H82="Yes","X",LEFT($D82,1))),""))</f>
        <v/>
      </c>
      <c r="Z82" s="33">
        <f>IF(OR($E82="",$F82=""),"",IF(AND(Z$4&lt;=$F82,Z$4+6&gt;=$E82),IF($F82-$E82&lt;=2,"◆",IF($H82="Yes","X",LEFT($D82,1))),""))</f>
        <v/>
      </c>
      <c r="AA82" s="33">
        <f>IF(OR($E82="",$F82=""),"",IF(AND(AA$4&lt;=$F82,AA$4+6&gt;=$E82),IF($F82-$E82&lt;=2,"◆",IF($H82="Yes","X",LEFT($D82,1))),""))</f>
        <v/>
      </c>
      <c r="AB82" s="33">
        <f>IF(OR($E82="",$F82=""),"",IF(AND(AB$4&lt;=$F82,AB$4+6&gt;=$E82),IF($F82-$E82&lt;=2,"◆",IF($H82="Yes","X",LEFT($D82,1))),""))</f>
        <v/>
      </c>
      <c r="AC82" s="33">
        <f>IF(OR($E82="",$F82=""),"",IF(AND(AC$4&lt;=$F82,AC$4+6&gt;=$E82),IF($F82-$E82&lt;=2,"◆",IF($H82="Yes","X",LEFT($D82,1))),""))</f>
        <v/>
      </c>
      <c r="AD82" s="33">
        <f>IF(OR($E82="",$F82=""),"",IF(AND(AD$4&lt;=$F82,AD$4+6&gt;=$E82),IF($F82-$E82&lt;=2,"◆",IF($H82="Yes","X",LEFT($D82,1))),""))</f>
        <v/>
      </c>
      <c r="AE82" s="33">
        <f>IF(OR($E82="",$F82=""),"",IF(AND(AE$4&lt;=$F82,AE$4+6&gt;=$E82),IF($F82-$E82&lt;=2,"◆",IF($H82="Yes","X",LEFT($D82,1))),""))</f>
        <v/>
      </c>
      <c r="AF82" s="33">
        <f>IF(OR($E82="",$F82=""),"",IF(AND(AF$4&lt;=$F82,AF$4+6&gt;=$E82),IF($F82-$E82&lt;=2,"◆",IF($H82="Yes","X",LEFT($D82,1))),""))</f>
        <v/>
      </c>
      <c r="AG82" s="33">
        <f>IF(OR($E82="",$F82=""),"",IF(AND(AG$4&lt;=$F82,AG$4+6&gt;=$E82),IF($F82-$E82&lt;=2,"◆",IF($H82="Yes","X",LEFT($D82,1))),""))</f>
        <v/>
      </c>
      <c r="AH82" s="33">
        <f>IF(OR($E82="",$F82=""),"",IF(AND(AH$4&lt;=$F82,AH$4+6&gt;=$E82),IF($F82-$E82&lt;=2,"◆",IF($H82="Yes","X",LEFT($D82,1))),""))</f>
        <v/>
      </c>
      <c r="AI82" s="33">
        <f>IF(OR($E82="",$F82=""),"",IF(AND(AI$4&lt;=$F82,AI$4+6&gt;=$E82),IF($F82-$E82&lt;=2,"◆",IF($H82="Yes","X",LEFT($D82,1))),""))</f>
        <v/>
      </c>
      <c r="AJ82" s="33">
        <f>IF(OR($E82="",$F82=""),"",IF(AND(AJ$4&lt;=$F82,AJ$4+6&gt;=$E82),IF($F82-$E82&lt;=2,"◆",IF($H82="Yes","X",LEFT($D82,1))),""))</f>
        <v/>
      </c>
      <c r="AK82" s="33">
        <f>IF(OR($E82="",$F82=""),"",IF(AND(AK$4&lt;=$F82,AK$4+6&gt;=$E82),IF($F82-$E82&lt;=2,"◆",IF($H82="Yes","X",LEFT($D82,1))),""))</f>
        <v/>
      </c>
      <c r="AL82" s="33">
        <f>IF(OR($E82="",$F82=""),"",IF(AND(AL$4&lt;=$F82,AL$4+6&gt;=$E82),IF($F82-$E82&lt;=2,"◆",IF($H82="Yes","X",LEFT($D82,1))),""))</f>
        <v/>
      </c>
      <c r="AM82" s="33">
        <f>IF(OR($E82="",$F82=""),"",IF(AND(AM$4&lt;=$F82,AM$4+6&gt;=$E82),IF($F82-$E82&lt;=2,"◆",IF($H82="Yes","X",LEFT($D82,1))),""))</f>
        <v/>
      </c>
      <c r="AN82" s="33">
        <f>IF(OR($E82="",$F82=""),"",IF(AND(AN$4&lt;=$F82,AN$4+6&gt;=$E82),IF($F82-$E82&lt;=2,"◆",IF($H82="Yes","X",LEFT($D82,1))),""))</f>
        <v/>
      </c>
      <c r="AO82" s="33">
        <f>IF(OR($E82="",$F82=""),"",IF(AND(AO$4&lt;=$F82,AO$4+6&gt;=$E82),IF($F82-$E82&lt;=2,"◆",IF($H82="Yes","X",LEFT($D82,1))),""))</f>
        <v/>
      </c>
      <c r="AP82" s="33">
        <f>IF(OR($E82="",$F82=""),"",IF(AND(AP$4&lt;=$F82,AP$4+6&gt;=$E82),IF($F82-$E82&lt;=2,"◆",IF($H82="Yes","X",LEFT($D82,1))),""))</f>
        <v/>
      </c>
      <c r="AQ82" s="33">
        <f>IF(OR($E82="",$F82=""),"",IF(AND(AQ$4&lt;=$F82,AQ$4+6&gt;=$E82),IF($F82-$E82&lt;=2,"◆",IF($H82="Yes","X",LEFT($D82,1))),""))</f>
        <v/>
      </c>
      <c r="AR82" s="33">
        <f>IF(OR($E82="",$F82=""),"",IF(AND(AR$4&lt;=$F82,AR$4+6&gt;=$E82),IF($F82-$E82&lt;=2,"◆",IF($H82="Yes","X",LEFT($D82,1))),""))</f>
        <v/>
      </c>
      <c r="AS82" s="33">
        <f>IF(OR($E82="",$F82=""),"",IF(AND(AS$4&lt;=$F82,AS$4+6&gt;=$E82),IF($F82-$E82&lt;=2,"◆",IF($H82="Yes","X",LEFT($D82,1))),""))</f>
        <v/>
      </c>
      <c r="AT82" s="33">
        <f>IF(OR($E82="",$F82=""),"",IF(AND(AT$4&lt;=$F82,AT$4+6&gt;=$E82),IF($F82-$E82&lt;=2,"◆",IF($H82="Yes","X",LEFT($D82,1))),""))</f>
        <v/>
      </c>
      <c r="AU82" s="33">
        <f>IF(OR($E82="",$F82=""),"",IF(AND(AU$4&lt;=$F82,AU$4+6&gt;=$E82),IF($F82-$E82&lt;=2,"◆",IF($H82="Yes","X",LEFT($D82,1))),""))</f>
        <v/>
      </c>
      <c r="AV82" s="33">
        <f>IF(OR($E82="",$F82=""),"",IF(AND(AV$4&lt;=$F82,AV$4+6&gt;=$E82),IF($F82-$E82&lt;=2,"◆",IF($H82="Yes","X",LEFT($D82,1))),""))</f>
        <v/>
      </c>
      <c r="AW82" s="33">
        <f>IF(OR($E82="",$F82=""),"",IF(AND(AW$4&lt;=$F82,AW$4+6&gt;=$E82),IF($F82-$E82&lt;=2,"◆",IF($H82="Yes","X",LEFT($D82,1))),""))</f>
        <v/>
      </c>
      <c r="AX82" s="33">
        <f>IF(OR($E82="",$F82=""),"",IF(AND(AX$4&lt;=$F82,AX$4+6&gt;=$E82),IF($F82-$E82&lt;=2,"◆",IF($H82="Yes","X",LEFT($D82,1))),""))</f>
        <v/>
      </c>
      <c r="AY82" s="33">
        <f>IF(OR($E82="",$F82=""),"",IF(AND(AY$4&lt;=$F82,AY$4+6&gt;=$E82),IF($F82-$E82&lt;=2,"◆",IF($H82="Yes","X",LEFT($D82,1))),""))</f>
        <v/>
      </c>
      <c r="AZ82" s="33">
        <f>IF(OR($E82="",$F82=""),"",IF(AND(AZ$4&lt;=$F82,AZ$4+6&gt;=$E82),IF($F82-$E82&lt;=2,"◆",IF($H82="Yes","X",LEFT($D82,1))),""))</f>
        <v/>
      </c>
      <c r="BA82" s="33">
        <f>IF(OR($E82="",$F82=""),"",IF(AND(BA$4&lt;=$F82,BA$4+6&gt;=$E82),IF($F82-$E82&lt;=2,"◆",IF($H82="Yes","X",LEFT($D82,1))),""))</f>
        <v/>
      </c>
      <c r="BB82" s="33">
        <f>IF(OR($E82="",$F82=""),"",IF(AND(BB$4&lt;=$F82,BB$4+6&gt;=$E82),IF($F82-$E82&lt;=2,"◆",IF($H82="Yes","X",LEFT($D82,1))),""))</f>
        <v/>
      </c>
      <c r="BC82" s="33">
        <f>IF(OR($E82="",$F82=""),"",IF(AND(BC$4&lt;=$F82,BC$4+6&gt;=$E82),IF($F82-$E82&lt;=2,"◆",IF($H82="Yes","X",LEFT($D82,1))),""))</f>
        <v/>
      </c>
      <c r="BD82" s="33">
        <f>IF(OR($E82="",$F82=""),"",IF(AND(BD$4&lt;=$F82,BD$4+6&gt;=$E82),IF($F82-$E82&lt;=2,"◆",IF($H82="Yes","X",LEFT($D82,1))),""))</f>
        <v/>
      </c>
      <c r="BE82" s="33">
        <f>IF(OR($E82="",$F82=""),"",IF(AND(BE$4&lt;=$F82,BE$4+6&gt;=$E82),IF($F82-$E82&lt;=2,"◆",IF($H82="Yes","X",LEFT($D82,1))),""))</f>
        <v/>
      </c>
      <c r="BF82" s="33">
        <f>IF(OR($E82="",$F82=""),"",IF(AND(BF$4&lt;=$F82,BF$4+6&gt;=$E82),IF($F82-$E82&lt;=2,"◆",IF($H82="Yes","X",LEFT($D82,1))),""))</f>
        <v/>
      </c>
      <c r="BG82" s="33">
        <f>IF(OR($E82="",$F82=""),"",IF(AND(BG$4&lt;=$F82,BG$4+6&gt;=$E82),IF($F82-$E82&lt;=2,"◆",IF($H82="Yes","X",LEFT($D82,1))),""))</f>
        <v/>
      </c>
      <c r="BH82" s="33">
        <f>IF(OR($E82="",$F82=""),"",IF(AND(BH$4&lt;=$F82,BH$4+6&gt;=$E82),IF($F82-$E82&lt;=2,"◆",IF($H82="Yes","X",LEFT($D82,1))),""))</f>
        <v/>
      </c>
      <c r="BI82" s="33">
        <f>IF(OR($E82="",$F82=""),"",IF(AND(BI$4&lt;=$F82,BI$4+6&gt;=$E82),IF($F82-$E82&lt;=2,"◆",IF($H82="Yes","X",LEFT($D82,1))),""))</f>
        <v/>
      </c>
    </row>
    <row r="83">
      <c r="A83" s="30" t="inlineStr">
        <is>
          <t>T-079</t>
        </is>
      </c>
      <c r="B83" s="30" t="inlineStr">
        <is>
          <t>Application Health Monitoring Dashboard</t>
        </is>
      </c>
      <c r="C83" s="30" t="inlineStr">
        <is>
          <t>MJ</t>
        </is>
      </c>
      <c r="D83" s="30" t="inlineStr">
        <is>
          <t>Not Started</t>
        </is>
      </c>
      <c r="E83" s="31" t="n">
        <v>46388</v>
      </c>
      <c r="F83" s="31" t="n">
        <v>46437</v>
      </c>
      <c r="G83" s="32" t="n">
        <v>0</v>
      </c>
      <c r="H83" s="30" t="inlineStr">
        <is>
          <t>No</t>
        </is>
      </c>
      <c r="I83" s="33">
        <f>IF(OR($E83="",$F83=""),"",IF(AND(I$4&lt;=$F83,I$4+6&gt;=$E83),IF($F83-$E83&lt;=2,"◆",IF($H83="Yes","X",LEFT($D83,1))),""))</f>
        <v/>
      </c>
      <c r="J83" s="33">
        <f>IF(OR($E83="",$F83=""),"",IF(AND(J$4&lt;=$F83,J$4+6&gt;=$E83),IF($F83-$E83&lt;=2,"◆",IF($H83="Yes","X",LEFT($D83,1))),""))</f>
        <v/>
      </c>
      <c r="K83" s="33">
        <f>IF(OR($E83="",$F83=""),"",IF(AND(K$4&lt;=$F83,K$4+6&gt;=$E83),IF($F83-$E83&lt;=2,"◆",IF($H83="Yes","X",LEFT($D83,1))),""))</f>
        <v/>
      </c>
      <c r="L83" s="33">
        <f>IF(OR($E83="",$F83=""),"",IF(AND(L$4&lt;=$F83,L$4+6&gt;=$E83),IF($F83-$E83&lt;=2,"◆",IF($H83="Yes","X",LEFT($D83,1))),""))</f>
        <v/>
      </c>
      <c r="M83" s="33">
        <f>IF(OR($E83="",$F83=""),"",IF(AND(M$4&lt;=$F83,M$4+6&gt;=$E83),IF($F83-$E83&lt;=2,"◆",IF($H83="Yes","X",LEFT($D83,1))),""))</f>
        <v/>
      </c>
      <c r="N83" s="33">
        <f>IF(OR($E83="",$F83=""),"",IF(AND(N$4&lt;=$F83,N$4+6&gt;=$E83),IF($F83-$E83&lt;=2,"◆",IF($H83="Yes","X",LEFT($D83,1))),""))</f>
        <v/>
      </c>
      <c r="O83" s="33">
        <f>IF(OR($E83="",$F83=""),"",IF(AND(O$4&lt;=$F83,O$4+6&gt;=$E83),IF($F83-$E83&lt;=2,"◆",IF($H83="Yes","X",LEFT($D83,1))),""))</f>
        <v/>
      </c>
      <c r="P83" s="33">
        <f>IF(OR($E83="",$F83=""),"",IF(AND(P$4&lt;=$F83,P$4+6&gt;=$E83),IF($F83-$E83&lt;=2,"◆",IF($H83="Yes","X",LEFT($D83,1))),""))</f>
        <v/>
      </c>
      <c r="Q83" s="33">
        <f>IF(OR($E83="",$F83=""),"",IF(AND(Q$4&lt;=$F83,Q$4+6&gt;=$E83),IF($F83-$E83&lt;=2,"◆",IF($H83="Yes","X",LEFT($D83,1))),""))</f>
        <v/>
      </c>
      <c r="R83" s="33">
        <f>IF(OR($E83="",$F83=""),"",IF(AND(R$4&lt;=$F83,R$4+6&gt;=$E83),IF($F83-$E83&lt;=2,"◆",IF($H83="Yes","X",LEFT($D83,1))),""))</f>
        <v/>
      </c>
      <c r="S83" s="33">
        <f>IF(OR($E83="",$F83=""),"",IF(AND(S$4&lt;=$F83,S$4+6&gt;=$E83),IF($F83-$E83&lt;=2,"◆",IF($H83="Yes","X",LEFT($D83,1))),""))</f>
        <v/>
      </c>
      <c r="T83" s="33">
        <f>IF(OR($E83="",$F83=""),"",IF(AND(T$4&lt;=$F83,T$4+6&gt;=$E83),IF($F83-$E83&lt;=2,"◆",IF($H83="Yes","X",LEFT($D83,1))),""))</f>
        <v/>
      </c>
      <c r="U83" s="33">
        <f>IF(OR($E83="",$F83=""),"",IF(AND(U$4&lt;=$F83,U$4+6&gt;=$E83),IF($F83-$E83&lt;=2,"◆",IF($H83="Yes","X",LEFT($D83,1))),""))</f>
        <v/>
      </c>
      <c r="V83" s="33">
        <f>IF(OR($E83="",$F83=""),"",IF(AND(V$4&lt;=$F83,V$4+6&gt;=$E83),IF($F83-$E83&lt;=2,"◆",IF($H83="Yes","X",LEFT($D83,1))),""))</f>
        <v/>
      </c>
      <c r="W83" s="33">
        <f>IF(OR($E83="",$F83=""),"",IF(AND(W$4&lt;=$F83,W$4+6&gt;=$E83),IF($F83-$E83&lt;=2,"◆",IF($H83="Yes","X",LEFT($D83,1))),""))</f>
        <v/>
      </c>
      <c r="X83" s="33">
        <f>IF(OR($E83="",$F83=""),"",IF(AND(X$4&lt;=$F83,X$4+6&gt;=$E83),IF($F83-$E83&lt;=2,"◆",IF($H83="Yes","X",LEFT($D83,1))),""))</f>
        <v/>
      </c>
      <c r="Y83" s="33">
        <f>IF(OR($E83="",$F83=""),"",IF(AND(Y$4&lt;=$F83,Y$4+6&gt;=$E83),IF($F83-$E83&lt;=2,"◆",IF($H83="Yes","X",LEFT($D83,1))),""))</f>
        <v/>
      </c>
      <c r="Z83" s="33">
        <f>IF(OR($E83="",$F83=""),"",IF(AND(Z$4&lt;=$F83,Z$4+6&gt;=$E83),IF($F83-$E83&lt;=2,"◆",IF($H83="Yes","X",LEFT($D83,1))),""))</f>
        <v/>
      </c>
      <c r="AA83" s="33">
        <f>IF(OR($E83="",$F83=""),"",IF(AND(AA$4&lt;=$F83,AA$4+6&gt;=$E83),IF($F83-$E83&lt;=2,"◆",IF($H83="Yes","X",LEFT($D83,1))),""))</f>
        <v/>
      </c>
      <c r="AB83" s="33">
        <f>IF(OR($E83="",$F83=""),"",IF(AND(AB$4&lt;=$F83,AB$4+6&gt;=$E83),IF($F83-$E83&lt;=2,"◆",IF($H83="Yes","X",LEFT($D83,1))),""))</f>
        <v/>
      </c>
      <c r="AC83" s="33">
        <f>IF(OR($E83="",$F83=""),"",IF(AND(AC$4&lt;=$F83,AC$4+6&gt;=$E83),IF($F83-$E83&lt;=2,"◆",IF($H83="Yes","X",LEFT($D83,1))),""))</f>
        <v/>
      </c>
      <c r="AD83" s="33">
        <f>IF(OR($E83="",$F83=""),"",IF(AND(AD$4&lt;=$F83,AD$4+6&gt;=$E83),IF($F83-$E83&lt;=2,"◆",IF($H83="Yes","X",LEFT($D83,1))),""))</f>
        <v/>
      </c>
      <c r="AE83" s="33">
        <f>IF(OR($E83="",$F83=""),"",IF(AND(AE$4&lt;=$F83,AE$4+6&gt;=$E83),IF($F83-$E83&lt;=2,"◆",IF($H83="Yes","X",LEFT($D83,1))),""))</f>
        <v/>
      </c>
      <c r="AF83" s="33">
        <f>IF(OR($E83="",$F83=""),"",IF(AND(AF$4&lt;=$F83,AF$4+6&gt;=$E83),IF($F83-$E83&lt;=2,"◆",IF($H83="Yes","X",LEFT($D83,1))),""))</f>
        <v/>
      </c>
      <c r="AG83" s="33">
        <f>IF(OR($E83="",$F83=""),"",IF(AND(AG$4&lt;=$F83,AG$4+6&gt;=$E83),IF($F83-$E83&lt;=2,"◆",IF($H83="Yes","X",LEFT($D83,1))),""))</f>
        <v/>
      </c>
      <c r="AH83" s="33">
        <f>IF(OR($E83="",$F83=""),"",IF(AND(AH$4&lt;=$F83,AH$4+6&gt;=$E83),IF($F83-$E83&lt;=2,"◆",IF($H83="Yes","X",LEFT($D83,1))),""))</f>
        <v/>
      </c>
      <c r="AI83" s="33">
        <f>IF(OR($E83="",$F83=""),"",IF(AND(AI$4&lt;=$F83,AI$4+6&gt;=$E83),IF($F83-$E83&lt;=2,"◆",IF($H83="Yes","X",LEFT($D83,1))),""))</f>
        <v/>
      </c>
      <c r="AJ83" s="33">
        <f>IF(OR($E83="",$F83=""),"",IF(AND(AJ$4&lt;=$F83,AJ$4+6&gt;=$E83),IF($F83-$E83&lt;=2,"◆",IF($H83="Yes","X",LEFT($D83,1))),""))</f>
        <v/>
      </c>
      <c r="AK83" s="33">
        <f>IF(OR($E83="",$F83=""),"",IF(AND(AK$4&lt;=$F83,AK$4+6&gt;=$E83),IF($F83-$E83&lt;=2,"◆",IF($H83="Yes","X",LEFT($D83,1))),""))</f>
        <v/>
      </c>
      <c r="AL83" s="33">
        <f>IF(OR($E83="",$F83=""),"",IF(AND(AL$4&lt;=$F83,AL$4+6&gt;=$E83),IF($F83-$E83&lt;=2,"◆",IF($H83="Yes","X",LEFT($D83,1))),""))</f>
        <v/>
      </c>
      <c r="AM83" s="33">
        <f>IF(OR($E83="",$F83=""),"",IF(AND(AM$4&lt;=$F83,AM$4+6&gt;=$E83),IF($F83-$E83&lt;=2,"◆",IF($H83="Yes","X",LEFT($D83,1))),""))</f>
        <v/>
      </c>
      <c r="AN83" s="33">
        <f>IF(OR($E83="",$F83=""),"",IF(AND(AN$4&lt;=$F83,AN$4+6&gt;=$E83),IF($F83-$E83&lt;=2,"◆",IF($H83="Yes","X",LEFT($D83,1))),""))</f>
        <v/>
      </c>
      <c r="AO83" s="33">
        <f>IF(OR($E83="",$F83=""),"",IF(AND(AO$4&lt;=$F83,AO$4+6&gt;=$E83),IF($F83-$E83&lt;=2,"◆",IF($H83="Yes","X",LEFT($D83,1))),""))</f>
        <v/>
      </c>
      <c r="AP83" s="33">
        <f>IF(OR($E83="",$F83=""),"",IF(AND(AP$4&lt;=$F83,AP$4+6&gt;=$E83),IF($F83-$E83&lt;=2,"◆",IF($H83="Yes","X",LEFT($D83,1))),""))</f>
        <v/>
      </c>
      <c r="AQ83" s="33">
        <f>IF(OR($E83="",$F83=""),"",IF(AND(AQ$4&lt;=$F83,AQ$4+6&gt;=$E83),IF($F83-$E83&lt;=2,"◆",IF($H83="Yes","X",LEFT($D83,1))),""))</f>
        <v/>
      </c>
      <c r="AR83" s="33">
        <f>IF(OR($E83="",$F83=""),"",IF(AND(AR$4&lt;=$F83,AR$4+6&gt;=$E83),IF($F83-$E83&lt;=2,"◆",IF($H83="Yes","X",LEFT($D83,1))),""))</f>
        <v/>
      </c>
      <c r="AS83" s="33">
        <f>IF(OR($E83="",$F83=""),"",IF(AND(AS$4&lt;=$F83,AS$4+6&gt;=$E83),IF($F83-$E83&lt;=2,"◆",IF($H83="Yes","X",LEFT($D83,1))),""))</f>
        <v/>
      </c>
      <c r="AT83" s="33">
        <f>IF(OR($E83="",$F83=""),"",IF(AND(AT$4&lt;=$F83,AT$4+6&gt;=$E83),IF($F83-$E83&lt;=2,"◆",IF($H83="Yes","X",LEFT($D83,1))),""))</f>
        <v/>
      </c>
      <c r="AU83" s="33">
        <f>IF(OR($E83="",$F83=""),"",IF(AND(AU$4&lt;=$F83,AU$4+6&gt;=$E83),IF($F83-$E83&lt;=2,"◆",IF($H83="Yes","X",LEFT($D83,1))),""))</f>
        <v/>
      </c>
      <c r="AV83" s="33">
        <f>IF(OR($E83="",$F83=""),"",IF(AND(AV$4&lt;=$F83,AV$4+6&gt;=$E83),IF($F83-$E83&lt;=2,"◆",IF($H83="Yes","X",LEFT($D83,1))),""))</f>
        <v/>
      </c>
      <c r="AW83" s="33">
        <f>IF(OR($E83="",$F83=""),"",IF(AND(AW$4&lt;=$F83,AW$4+6&gt;=$E83),IF($F83-$E83&lt;=2,"◆",IF($H83="Yes","X",LEFT($D83,1))),""))</f>
        <v/>
      </c>
      <c r="AX83" s="33">
        <f>IF(OR($E83="",$F83=""),"",IF(AND(AX$4&lt;=$F83,AX$4+6&gt;=$E83),IF($F83-$E83&lt;=2,"◆",IF($H83="Yes","X",LEFT($D83,1))),""))</f>
        <v/>
      </c>
      <c r="AY83" s="33">
        <f>IF(OR($E83="",$F83=""),"",IF(AND(AY$4&lt;=$F83,AY$4+6&gt;=$E83),IF($F83-$E83&lt;=2,"◆",IF($H83="Yes","X",LEFT($D83,1))),""))</f>
        <v/>
      </c>
      <c r="AZ83" s="33">
        <f>IF(OR($E83="",$F83=""),"",IF(AND(AZ$4&lt;=$F83,AZ$4+6&gt;=$E83),IF($F83-$E83&lt;=2,"◆",IF($H83="Yes","X",LEFT($D83,1))),""))</f>
        <v/>
      </c>
      <c r="BA83" s="33">
        <f>IF(OR($E83="",$F83=""),"",IF(AND(BA$4&lt;=$F83,BA$4+6&gt;=$E83),IF($F83-$E83&lt;=2,"◆",IF($H83="Yes","X",LEFT($D83,1))),""))</f>
        <v/>
      </c>
      <c r="BB83" s="33">
        <f>IF(OR($E83="",$F83=""),"",IF(AND(BB$4&lt;=$F83,BB$4+6&gt;=$E83),IF($F83-$E83&lt;=2,"◆",IF($H83="Yes","X",LEFT($D83,1))),""))</f>
        <v/>
      </c>
      <c r="BC83" s="33">
        <f>IF(OR($E83="",$F83=""),"",IF(AND(BC$4&lt;=$F83,BC$4+6&gt;=$E83),IF($F83-$E83&lt;=2,"◆",IF($H83="Yes","X",LEFT($D83,1))),""))</f>
        <v/>
      </c>
      <c r="BD83" s="33">
        <f>IF(OR($E83="",$F83=""),"",IF(AND(BD$4&lt;=$F83,BD$4+6&gt;=$E83),IF($F83-$E83&lt;=2,"◆",IF($H83="Yes","X",LEFT($D83,1))),""))</f>
        <v/>
      </c>
      <c r="BE83" s="33">
        <f>IF(OR($E83="",$F83=""),"",IF(AND(BE$4&lt;=$F83,BE$4+6&gt;=$E83),IF($F83-$E83&lt;=2,"◆",IF($H83="Yes","X",LEFT($D83,1))),""))</f>
        <v/>
      </c>
      <c r="BF83" s="33">
        <f>IF(OR($E83="",$F83=""),"",IF(AND(BF$4&lt;=$F83,BF$4+6&gt;=$E83),IF($F83-$E83&lt;=2,"◆",IF($H83="Yes","X",LEFT($D83,1))),""))</f>
        <v/>
      </c>
      <c r="BG83" s="33">
        <f>IF(OR($E83="",$F83=""),"",IF(AND(BG$4&lt;=$F83,BG$4+6&gt;=$E83),IF($F83-$E83&lt;=2,"◆",IF($H83="Yes","X",LEFT($D83,1))),""))</f>
        <v/>
      </c>
      <c r="BH83" s="33">
        <f>IF(OR($E83="",$F83=""),"",IF(AND(BH$4&lt;=$F83,BH$4+6&gt;=$E83),IF($F83-$E83&lt;=2,"◆",IF($H83="Yes","X",LEFT($D83,1))),""))</f>
        <v/>
      </c>
      <c r="BI83" s="33">
        <f>IF(OR($E83="",$F83=""),"",IF(AND(BI$4&lt;=$F83,BI$4+6&gt;=$E83),IF($F83-$E83&lt;=2,"◆",IF($H83="Yes","X",LEFT($D83,1))),""))</f>
        <v/>
      </c>
    </row>
    <row r="84">
      <c r="A84" s="30" t="inlineStr">
        <is>
          <t>T-080</t>
        </is>
      </c>
      <c r="B84" s="30" t="inlineStr">
        <is>
          <t>Application Issue Fixes and Remediation</t>
        </is>
      </c>
      <c r="C84" s="30" t="inlineStr">
        <is>
          <t>Jawahar</t>
        </is>
      </c>
      <c r="D84" s="30" t="inlineStr">
        <is>
          <t>Not Started</t>
        </is>
      </c>
      <c r="E84" s="31" t="n">
        <v>46489</v>
      </c>
      <c r="F84" s="31" t="n">
        <v>46558</v>
      </c>
      <c r="G84" s="32" t="n">
        <v>0</v>
      </c>
      <c r="H84" s="30" t="inlineStr">
        <is>
          <t>No</t>
        </is>
      </c>
      <c r="I84" s="33">
        <f>IF(OR($E84="",$F84=""),"",IF(AND(I$4&lt;=$F84,I$4+6&gt;=$E84),IF($F84-$E84&lt;=2,"◆",IF($H84="Yes","X",LEFT($D84,1))),""))</f>
        <v/>
      </c>
      <c r="J84" s="33">
        <f>IF(OR($E84="",$F84=""),"",IF(AND(J$4&lt;=$F84,J$4+6&gt;=$E84),IF($F84-$E84&lt;=2,"◆",IF($H84="Yes","X",LEFT($D84,1))),""))</f>
        <v/>
      </c>
      <c r="K84" s="33">
        <f>IF(OR($E84="",$F84=""),"",IF(AND(K$4&lt;=$F84,K$4+6&gt;=$E84),IF($F84-$E84&lt;=2,"◆",IF($H84="Yes","X",LEFT($D84,1))),""))</f>
        <v/>
      </c>
      <c r="L84" s="33">
        <f>IF(OR($E84="",$F84=""),"",IF(AND(L$4&lt;=$F84,L$4+6&gt;=$E84),IF($F84-$E84&lt;=2,"◆",IF($H84="Yes","X",LEFT($D84,1))),""))</f>
        <v/>
      </c>
      <c r="M84" s="33">
        <f>IF(OR($E84="",$F84=""),"",IF(AND(M$4&lt;=$F84,M$4+6&gt;=$E84),IF($F84-$E84&lt;=2,"◆",IF($H84="Yes","X",LEFT($D84,1))),""))</f>
        <v/>
      </c>
      <c r="N84" s="33">
        <f>IF(OR($E84="",$F84=""),"",IF(AND(N$4&lt;=$F84,N$4+6&gt;=$E84),IF($F84-$E84&lt;=2,"◆",IF($H84="Yes","X",LEFT($D84,1))),""))</f>
        <v/>
      </c>
      <c r="O84" s="33">
        <f>IF(OR($E84="",$F84=""),"",IF(AND(O$4&lt;=$F84,O$4+6&gt;=$E84),IF($F84-$E84&lt;=2,"◆",IF($H84="Yes","X",LEFT($D84,1))),""))</f>
        <v/>
      </c>
      <c r="P84" s="33">
        <f>IF(OR($E84="",$F84=""),"",IF(AND(P$4&lt;=$F84,P$4+6&gt;=$E84),IF($F84-$E84&lt;=2,"◆",IF($H84="Yes","X",LEFT($D84,1))),""))</f>
        <v/>
      </c>
      <c r="Q84" s="33">
        <f>IF(OR($E84="",$F84=""),"",IF(AND(Q$4&lt;=$F84,Q$4+6&gt;=$E84),IF($F84-$E84&lt;=2,"◆",IF($H84="Yes","X",LEFT($D84,1))),""))</f>
        <v/>
      </c>
      <c r="R84" s="33">
        <f>IF(OR($E84="",$F84=""),"",IF(AND(R$4&lt;=$F84,R$4+6&gt;=$E84),IF($F84-$E84&lt;=2,"◆",IF($H84="Yes","X",LEFT($D84,1))),""))</f>
        <v/>
      </c>
      <c r="S84" s="33">
        <f>IF(OR($E84="",$F84=""),"",IF(AND(S$4&lt;=$F84,S$4+6&gt;=$E84),IF($F84-$E84&lt;=2,"◆",IF($H84="Yes","X",LEFT($D84,1))),""))</f>
        <v/>
      </c>
      <c r="T84" s="33">
        <f>IF(OR($E84="",$F84=""),"",IF(AND(T$4&lt;=$F84,T$4+6&gt;=$E84),IF($F84-$E84&lt;=2,"◆",IF($H84="Yes","X",LEFT($D84,1))),""))</f>
        <v/>
      </c>
      <c r="U84" s="33">
        <f>IF(OR($E84="",$F84=""),"",IF(AND(U$4&lt;=$F84,U$4+6&gt;=$E84),IF($F84-$E84&lt;=2,"◆",IF($H84="Yes","X",LEFT($D84,1))),""))</f>
        <v/>
      </c>
      <c r="V84" s="33">
        <f>IF(OR($E84="",$F84=""),"",IF(AND(V$4&lt;=$F84,V$4+6&gt;=$E84),IF($F84-$E84&lt;=2,"◆",IF($H84="Yes","X",LEFT($D84,1))),""))</f>
        <v/>
      </c>
      <c r="W84" s="33">
        <f>IF(OR($E84="",$F84=""),"",IF(AND(W$4&lt;=$F84,W$4+6&gt;=$E84),IF($F84-$E84&lt;=2,"◆",IF($H84="Yes","X",LEFT($D84,1))),""))</f>
        <v/>
      </c>
      <c r="X84" s="33">
        <f>IF(OR($E84="",$F84=""),"",IF(AND(X$4&lt;=$F84,X$4+6&gt;=$E84),IF($F84-$E84&lt;=2,"◆",IF($H84="Yes","X",LEFT($D84,1))),""))</f>
        <v/>
      </c>
      <c r="Y84" s="33">
        <f>IF(OR($E84="",$F84=""),"",IF(AND(Y$4&lt;=$F84,Y$4+6&gt;=$E84),IF($F84-$E84&lt;=2,"◆",IF($H84="Yes","X",LEFT($D84,1))),""))</f>
        <v/>
      </c>
      <c r="Z84" s="33">
        <f>IF(OR($E84="",$F84=""),"",IF(AND(Z$4&lt;=$F84,Z$4+6&gt;=$E84),IF($F84-$E84&lt;=2,"◆",IF($H84="Yes","X",LEFT($D84,1))),""))</f>
        <v/>
      </c>
      <c r="AA84" s="33">
        <f>IF(OR($E84="",$F84=""),"",IF(AND(AA$4&lt;=$F84,AA$4+6&gt;=$E84),IF($F84-$E84&lt;=2,"◆",IF($H84="Yes","X",LEFT($D84,1))),""))</f>
        <v/>
      </c>
      <c r="AB84" s="33">
        <f>IF(OR($E84="",$F84=""),"",IF(AND(AB$4&lt;=$F84,AB$4+6&gt;=$E84),IF($F84-$E84&lt;=2,"◆",IF($H84="Yes","X",LEFT($D84,1))),""))</f>
        <v/>
      </c>
      <c r="AC84" s="33">
        <f>IF(OR($E84="",$F84=""),"",IF(AND(AC$4&lt;=$F84,AC$4+6&gt;=$E84),IF($F84-$E84&lt;=2,"◆",IF($H84="Yes","X",LEFT($D84,1))),""))</f>
        <v/>
      </c>
      <c r="AD84" s="33">
        <f>IF(OR($E84="",$F84=""),"",IF(AND(AD$4&lt;=$F84,AD$4+6&gt;=$E84),IF($F84-$E84&lt;=2,"◆",IF($H84="Yes","X",LEFT($D84,1))),""))</f>
        <v/>
      </c>
      <c r="AE84" s="33">
        <f>IF(OR($E84="",$F84=""),"",IF(AND(AE$4&lt;=$F84,AE$4+6&gt;=$E84),IF($F84-$E84&lt;=2,"◆",IF($H84="Yes","X",LEFT($D84,1))),""))</f>
        <v/>
      </c>
      <c r="AF84" s="33">
        <f>IF(OR($E84="",$F84=""),"",IF(AND(AF$4&lt;=$F84,AF$4+6&gt;=$E84),IF($F84-$E84&lt;=2,"◆",IF($H84="Yes","X",LEFT($D84,1))),""))</f>
        <v/>
      </c>
      <c r="AG84" s="33">
        <f>IF(OR($E84="",$F84=""),"",IF(AND(AG$4&lt;=$F84,AG$4+6&gt;=$E84),IF($F84-$E84&lt;=2,"◆",IF($H84="Yes","X",LEFT($D84,1))),""))</f>
        <v/>
      </c>
      <c r="AH84" s="33">
        <f>IF(OR($E84="",$F84=""),"",IF(AND(AH$4&lt;=$F84,AH$4+6&gt;=$E84),IF($F84-$E84&lt;=2,"◆",IF($H84="Yes","X",LEFT($D84,1))),""))</f>
        <v/>
      </c>
      <c r="AI84" s="33">
        <f>IF(OR($E84="",$F84=""),"",IF(AND(AI$4&lt;=$F84,AI$4+6&gt;=$E84),IF($F84-$E84&lt;=2,"◆",IF($H84="Yes","X",LEFT($D84,1))),""))</f>
        <v/>
      </c>
      <c r="AJ84" s="33">
        <f>IF(OR($E84="",$F84=""),"",IF(AND(AJ$4&lt;=$F84,AJ$4+6&gt;=$E84),IF($F84-$E84&lt;=2,"◆",IF($H84="Yes","X",LEFT($D84,1))),""))</f>
        <v/>
      </c>
      <c r="AK84" s="33">
        <f>IF(OR($E84="",$F84=""),"",IF(AND(AK$4&lt;=$F84,AK$4+6&gt;=$E84),IF($F84-$E84&lt;=2,"◆",IF($H84="Yes","X",LEFT($D84,1))),""))</f>
        <v/>
      </c>
      <c r="AL84" s="33">
        <f>IF(OR($E84="",$F84=""),"",IF(AND(AL$4&lt;=$F84,AL$4+6&gt;=$E84),IF($F84-$E84&lt;=2,"◆",IF($H84="Yes","X",LEFT($D84,1))),""))</f>
        <v/>
      </c>
      <c r="AM84" s="33">
        <f>IF(OR($E84="",$F84=""),"",IF(AND(AM$4&lt;=$F84,AM$4+6&gt;=$E84),IF($F84-$E84&lt;=2,"◆",IF($H84="Yes","X",LEFT($D84,1))),""))</f>
        <v/>
      </c>
      <c r="AN84" s="33">
        <f>IF(OR($E84="",$F84=""),"",IF(AND(AN$4&lt;=$F84,AN$4+6&gt;=$E84),IF($F84-$E84&lt;=2,"◆",IF($H84="Yes","X",LEFT($D84,1))),""))</f>
        <v/>
      </c>
      <c r="AO84" s="33">
        <f>IF(OR($E84="",$F84=""),"",IF(AND(AO$4&lt;=$F84,AO$4+6&gt;=$E84),IF($F84-$E84&lt;=2,"◆",IF($H84="Yes","X",LEFT($D84,1))),""))</f>
        <v/>
      </c>
      <c r="AP84" s="33">
        <f>IF(OR($E84="",$F84=""),"",IF(AND(AP$4&lt;=$F84,AP$4+6&gt;=$E84),IF($F84-$E84&lt;=2,"◆",IF($H84="Yes","X",LEFT($D84,1))),""))</f>
        <v/>
      </c>
      <c r="AQ84" s="33">
        <f>IF(OR($E84="",$F84=""),"",IF(AND(AQ$4&lt;=$F84,AQ$4+6&gt;=$E84),IF($F84-$E84&lt;=2,"◆",IF($H84="Yes","X",LEFT($D84,1))),""))</f>
        <v/>
      </c>
      <c r="AR84" s="33">
        <f>IF(OR($E84="",$F84=""),"",IF(AND(AR$4&lt;=$F84,AR$4+6&gt;=$E84),IF($F84-$E84&lt;=2,"◆",IF($H84="Yes","X",LEFT($D84,1))),""))</f>
        <v/>
      </c>
      <c r="AS84" s="33">
        <f>IF(OR($E84="",$F84=""),"",IF(AND(AS$4&lt;=$F84,AS$4+6&gt;=$E84),IF($F84-$E84&lt;=2,"◆",IF($H84="Yes","X",LEFT($D84,1))),""))</f>
        <v/>
      </c>
      <c r="AT84" s="33">
        <f>IF(OR($E84="",$F84=""),"",IF(AND(AT$4&lt;=$F84,AT$4+6&gt;=$E84),IF($F84-$E84&lt;=2,"◆",IF($H84="Yes","X",LEFT($D84,1))),""))</f>
        <v/>
      </c>
      <c r="AU84" s="33">
        <f>IF(OR($E84="",$F84=""),"",IF(AND(AU$4&lt;=$F84,AU$4+6&gt;=$E84),IF($F84-$E84&lt;=2,"◆",IF($H84="Yes","X",LEFT($D84,1))),""))</f>
        <v/>
      </c>
      <c r="AV84" s="33">
        <f>IF(OR($E84="",$F84=""),"",IF(AND(AV$4&lt;=$F84,AV$4+6&gt;=$E84),IF($F84-$E84&lt;=2,"◆",IF($H84="Yes","X",LEFT($D84,1))),""))</f>
        <v/>
      </c>
      <c r="AW84" s="33">
        <f>IF(OR($E84="",$F84=""),"",IF(AND(AW$4&lt;=$F84,AW$4+6&gt;=$E84),IF($F84-$E84&lt;=2,"◆",IF($H84="Yes","X",LEFT($D84,1))),""))</f>
        <v/>
      </c>
      <c r="AX84" s="33">
        <f>IF(OR($E84="",$F84=""),"",IF(AND(AX$4&lt;=$F84,AX$4+6&gt;=$E84),IF($F84-$E84&lt;=2,"◆",IF($H84="Yes","X",LEFT($D84,1))),""))</f>
        <v/>
      </c>
      <c r="AY84" s="33">
        <f>IF(OR($E84="",$F84=""),"",IF(AND(AY$4&lt;=$F84,AY$4+6&gt;=$E84),IF($F84-$E84&lt;=2,"◆",IF($H84="Yes","X",LEFT($D84,1))),""))</f>
        <v/>
      </c>
      <c r="AZ84" s="33">
        <f>IF(OR($E84="",$F84=""),"",IF(AND(AZ$4&lt;=$F84,AZ$4+6&gt;=$E84),IF($F84-$E84&lt;=2,"◆",IF($H84="Yes","X",LEFT($D84,1))),""))</f>
        <v/>
      </c>
      <c r="BA84" s="33">
        <f>IF(OR($E84="",$F84=""),"",IF(AND(BA$4&lt;=$F84,BA$4+6&gt;=$E84),IF($F84-$E84&lt;=2,"◆",IF($H84="Yes","X",LEFT($D84,1))),""))</f>
        <v/>
      </c>
      <c r="BB84" s="33">
        <f>IF(OR($E84="",$F84=""),"",IF(AND(BB$4&lt;=$F84,BB$4+6&gt;=$E84),IF($F84-$E84&lt;=2,"◆",IF($H84="Yes","X",LEFT($D84,1))),""))</f>
        <v/>
      </c>
      <c r="BC84" s="33">
        <f>IF(OR($E84="",$F84=""),"",IF(AND(BC$4&lt;=$F84,BC$4+6&gt;=$E84),IF($F84-$E84&lt;=2,"◆",IF($H84="Yes","X",LEFT($D84,1))),""))</f>
        <v/>
      </c>
      <c r="BD84" s="33">
        <f>IF(OR($E84="",$F84=""),"",IF(AND(BD$4&lt;=$F84,BD$4+6&gt;=$E84),IF($F84-$E84&lt;=2,"◆",IF($H84="Yes","X",LEFT($D84,1))),""))</f>
        <v/>
      </c>
      <c r="BE84" s="33">
        <f>IF(OR($E84="",$F84=""),"",IF(AND(BE$4&lt;=$F84,BE$4+6&gt;=$E84),IF($F84-$E84&lt;=2,"◆",IF($H84="Yes","X",LEFT($D84,1))),""))</f>
        <v/>
      </c>
      <c r="BF84" s="33">
        <f>IF(OR($E84="",$F84=""),"",IF(AND(BF$4&lt;=$F84,BF$4+6&gt;=$E84),IF($F84-$E84&lt;=2,"◆",IF($H84="Yes","X",LEFT($D84,1))),""))</f>
        <v/>
      </c>
      <c r="BG84" s="33">
        <f>IF(OR($E84="",$F84=""),"",IF(AND(BG$4&lt;=$F84,BG$4+6&gt;=$E84),IF($F84-$E84&lt;=2,"◆",IF($H84="Yes","X",LEFT($D84,1))),""))</f>
        <v/>
      </c>
      <c r="BH84" s="33">
        <f>IF(OR($E84="",$F84=""),"",IF(AND(BH$4&lt;=$F84,BH$4+6&gt;=$E84),IF($F84-$E84&lt;=2,"◆",IF($H84="Yes","X",LEFT($D84,1))),""))</f>
        <v/>
      </c>
      <c r="BI84" s="33">
        <f>IF(OR($E84="",$F84=""),"",IF(AND(BI$4&lt;=$F84,BI$4+6&gt;=$E84),IF($F84-$E84&lt;=2,"◆",IF($H84="Yes","X",LEFT($D84,1))),""))</f>
        <v/>
      </c>
    </row>
    <row r="85">
      <c r="A85" s="30" t="inlineStr">
        <is>
          <t>T-081</t>
        </is>
      </c>
      <c r="B85" s="30" t="inlineStr">
        <is>
          <t>GitLab DAST Enablement for Web Application and Admin Console</t>
        </is>
      </c>
      <c r="C85" s="30" t="inlineStr">
        <is>
          <t>Jawahar</t>
        </is>
      </c>
      <c r="D85" s="30" t="inlineStr">
        <is>
          <t>Not Started</t>
        </is>
      </c>
      <c r="E85" s="31" t="n">
        <v>46508</v>
      </c>
      <c r="F85" s="31" t="n">
        <v>46514</v>
      </c>
      <c r="G85" s="32" t="n">
        <v>0</v>
      </c>
      <c r="H85" s="30" t="inlineStr">
        <is>
          <t>No</t>
        </is>
      </c>
      <c r="I85" s="33">
        <f>IF(OR($E85="",$F85=""),"",IF(AND(I$4&lt;=$F85,I$4+6&gt;=$E85),IF($F85-$E85&lt;=2,"◆",IF($H85="Yes","X",LEFT($D85,1))),""))</f>
        <v/>
      </c>
      <c r="J85" s="33">
        <f>IF(OR($E85="",$F85=""),"",IF(AND(J$4&lt;=$F85,J$4+6&gt;=$E85),IF($F85-$E85&lt;=2,"◆",IF($H85="Yes","X",LEFT($D85,1))),""))</f>
        <v/>
      </c>
      <c r="K85" s="33">
        <f>IF(OR($E85="",$F85=""),"",IF(AND(K$4&lt;=$F85,K$4+6&gt;=$E85),IF($F85-$E85&lt;=2,"◆",IF($H85="Yes","X",LEFT($D85,1))),""))</f>
        <v/>
      </c>
      <c r="L85" s="33">
        <f>IF(OR($E85="",$F85=""),"",IF(AND(L$4&lt;=$F85,L$4+6&gt;=$E85),IF($F85-$E85&lt;=2,"◆",IF($H85="Yes","X",LEFT($D85,1))),""))</f>
        <v/>
      </c>
      <c r="M85" s="33">
        <f>IF(OR($E85="",$F85=""),"",IF(AND(M$4&lt;=$F85,M$4+6&gt;=$E85),IF($F85-$E85&lt;=2,"◆",IF($H85="Yes","X",LEFT($D85,1))),""))</f>
        <v/>
      </c>
      <c r="N85" s="33">
        <f>IF(OR($E85="",$F85=""),"",IF(AND(N$4&lt;=$F85,N$4+6&gt;=$E85),IF($F85-$E85&lt;=2,"◆",IF($H85="Yes","X",LEFT($D85,1))),""))</f>
        <v/>
      </c>
      <c r="O85" s="33">
        <f>IF(OR($E85="",$F85=""),"",IF(AND(O$4&lt;=$F85,O$4+6&gt;=$E85),IF($F85-$E85&lt;=2,"◆",IF($H85="Yes","X",LEFT($D85,1))),""))</f>
        <v/>
      </c>
      <c r="P85" s="33">
        <f>IF(OR($E85="",$F85=""),"",IF(AND(P$4&lt;=$F85,P$4+6&gt;=$E85),IF($F85-$E85&lt;=2,"◆",IF($H85="Yes","X",LEFT($D85,1))),""))</f>
        <v/>
      </c>
      <c r="Q85" s="33">
        <f>IF(OR($E85="",$F85=""),"",IF(AND(Q$4&lt;=$F85,Q$4+6&gt;=$E85),IF($F85-$E85&lt;=2,"◆",IF($H85="Yes","X",LEFT($D85,1))),""))</f>
        <v/>
      </c>
      <c r="R85" s="33">
        <f>IF(OR($E85="",$F85=""),"",IF(AND(R$4&lt;=$F85,R$4+6&gt;=$E85),IF($F85-$E85&lt;=2,"◆",IF($H85="Yes","X",LEFT($D85,1))),""))</f>
        <v/>
      </c>
      <c r="S85" s="33">
        <f>IF(OR($E85="",$F85=""),"",IF(AND(S$4&lt;=$F85,S$4+6&gt;=$E85),IF($F85-$E85&lt;=2,"◆",IF($H85="Yes","X",LEFT($D85,1))),""))</f>
        <v/>
      </c>
      <c r="T85" s="33">
        <f>IF(OR($E85="",$F85=""),"",IF(AND(T$4&lt;=$F85,T$4+6&gt;=$E85),IF($F85-$E85&lt;=2,"◆",IF($H85="Yes","X",LEFT($D85,1))),""))</f>
        <v/>
      </c>
      <c r="U85" s="33">
        <f>IF(OR($E85="",$F85=""),"",IF(AND(U$4&lt;=$F85,U$4+6&gt;=$E85),IF($F85-$E85&lt;=2,"◆",IF($H85="Yes","X",LEFT($D85,1))),""))</f>
        <v/>
      </c>
      <c r="V85" s="33">
        <f>IF(OR($E85="",$F85=""),"",IF(AND(V$4&lt;=$F85,V$4+6&gt;=$E85),IF($F85-$E85&lt;=2,"◆",IF($H85="Yes","X",LEFT($D85,1))),""))</f>
        <v/>
      </c>
      <c r="W85" s="33">
        <f>IF(OR($E85="",$F85=""),"",IF(AND(W$4&lt;=$F85,W$4+6&gt;=$E85),IF($F85-$E85&lt;=2,"◆",IF($H85="Yes","X",LEFT($D85,1))),""))</f>
        <v/>
      </c>
      <c r="X85" s="33">
        <f>IF(OR($E85="",$F85=""),"",IF(AND(X$4&lt;=$F85,X$4+6&gt;=$E85),IF($F85-$E85&lt;=2,"◆",IF($H85="Yes","X",LEFT($D85,1))),""))</f>
        <v/>
      </c>
      <c r="Y85" s="33">
        <f>IF(OR($E85="",$F85=""),"",IF(AND(Y$4&lt;=$F85,Y$4+6&gt;=$E85),IF($F85-$E85&lt;=2,"◆",IF($H85="Yes","X",LEFT($D85,1))),""))</f>
        <v/>
      </c>
      <c r="Z85" s="33">
        <f>IF(OR($E85="",$F85=""),"",IF(AND(Z$4&lt;=$F85,Z$4+6&gt;=$E85),IF($F85-$E85&lt;=2,"◆",IF($H85="Yes","X",LEFT($D85,1))),""))</f>
        <v/>
      </c>
      <c r="AA85" s="33">
        <f>IF(OR($E85="",$F85=""),"",IF(AND(AA$4&lt;=$F85,AA$4+6&gt;=$E85),IF($F85-$E85&lt;=2,"◆",IF($H85="Yes","X",LEFT($D85,1))),""))</f>
        <v/>
      </c>
      <c r="AB85" s="33">
        <f>IF(OR($E85="",$F85=""),"",IF(AND(AB$4&lt;=$F85,AB$4+6&gt;=$E85),IF($F85-$E85&lt;=2,"◆",IF($H85="Yes","X",LEFT($D85,1))),""))</f>
        <v/>
      </c>
      <c r="AC85" s="33">
        <f>IF(OR($E85="",$F85=""),"",IF(AND(AC$4&lt;=$F85,AC$4+6&gt;=$E85),IF($F85-$E85&lt;=2,"◆",IF($H85="Yes","X",LEFT($D85,1))),""))</f>
        <v/>
      </c>
      <c r="AD85" s="33">
        <f>IF(OR($E85="",$F85=""),"",IF(AND(AD$4&lt;=$F85,AD$4+6&gt;=$E85),IF($F85-$E85&lt;=2,"◆",IF($H85="Yes","X",LEFT($D85,1))),""))</f>
        <v/>
      </c>
      <c r="AE85" s="33">
        <f>IF(OR($E85="",$F85=""),"",IF(AND(AE$4&lt;=$F85,AE$4+6&gt;=$E85),IF($F85-$E85&lt;=2,"◆",IF($H85="Yes","X",LEFT($D85,1))),""))</f>
        <v/>
      </c>
      <c r="AF85" s="33">
        <f>IF(OR($E85="",$F85=""),"",IF(AND(AF$4&lt;=$F85,AF$4+6&gt;=$E85),IF($F85-$E85&lt;=2,"◆",IF($H85="Yes","X",LEFT($D85,1))),""))</f>
        <v/>
      </c>
      <c r="AG85" s="33">
        <f>IF(OR($E85="",$F85=""),"",IF(AND(AG$4&lt;=$F85,AG$4+6&gt;=$E85),IF($F85-$E85&lt;=2,"◆",IF($H85="Yes","X",LEFT($D85,1))),""))</f>
        <v/>
      </c>
      <c r="AH85" s="33">
        <f>IF(OR($E85="",$F85=""),"",IF(AND(AH$4&lt;=$F85,AH$4+6&gt;=$E85),IF($F85-$E85&lt;=2,"◆",IF($H85="Yes","X",LEFT($D85,1))),""))</f>
        <v/>
      </c>
      <c r="AI85" s="33">
        <f>IF(OR($E85="",$F85=""),"",IF(AND(AI$4&lt;=$F85,AI$4+6&gt;=$E85),IF($F85-$E85&lt;=2,"◆",IF($H85="Yes","X",LEFT($D85,1))),""))</f>
        <v/>
      </c>
      <c r="AJ85" s="33">
        <f>IF(OR($E85="",$F85=""),"",IF(AND(AJ$4&lt;=$F85,AJ$4+6&gt;=$E85),IF($F85-$E85&lt;=2,"◆",IF($H85="Yes","X",LEFT($D85,1))),""))</f>
        <v/>
      </c>
      <c r="AK85" s="33">
        <f>IF(OR($E85="",$F85=""),"",IF(AND(AK$4&lt;=$F85,AK$4+6&gt;=$E85),IF($F85-$E85&lt;=2,"◆",IF($H85="Yes","X",LEFT($D85,1))),""))</f>
        <v/>
      </c>
      <c r="AL85" s="33">
        <f>IF(OR($E85="",$F85=""),"",IF(AND(AL$4&lt;=$F85,AL$4+6&gt;=$E85),IF($F85-$E85&lt;=2,"◆",IF($H85="Yes","X",LEFT($D85,1))),""))</f>
        <v/>
      </c>
      <c r="AM85" s="33">
        <f>IF(OR($E85="",$F85=""),"",IF(AND(AM$4&lt;=$F85,AM$4+6&gt;=$E85),IF($F85-$E85&lt;=2,"◆",IF($H85="Yes","X",LEFT($D85,1))),""))</f>
        <v/>
      </c>
      <c r="AN85" s="33">
        <f>IF(OR($E85="",$F85=""),"",IF(AND(AN$4&lt;=$F85,AN$4+6&gt;=$E85),IF($F85-$E85&lt;=2,"◆",IF($H85="Yes","X",LEFT($D85,1))),""))</f>
        <v/>
      </c>
      <c r="AO85" s="33">
        <f>IF(OR($E85="",$F85=""),"",IF(AND(AO$4&lt;=$F85,AO$4+6&gt;=$E85),IF($F85-$E85&lt;=2,"◆",IF($H85="Yes","X",LEFT($D85,1))),""))</f>
        <v/>
      </c>
      <c r="AP85" s="33">
        <f>IF(OR($E85="",$F85=""),"",IF(AND(AP$4&lt;=$F85,AP$4+6&gt;=$E85),IF($F85-$E85&lt;=2,"◆",IF($H85="Yes","X",LEFT($D85,1))),""))</f>
        <v/>
      </c>
      <c r="AQ85" s="33">
        <f>IF(OR($E85="",$F85=""),"",IF(AND(AQ$4&lt;=$F85,AQ$4+6&gt;=$E85),IF($F85-$E85&lt;=2,"◆",IF($H85="Yes","X",LEFT($D85,1))),""))</f>
        <v/>
      </c>
      <c r="AR85" s="33">
        <f>IF(OR($E85="",$F85=""),"",IF(AND(AR$4&lt;=$F85,AR$4+6&gt;=$E85),IF($F85-$E85&lt;=2,"◆",IF($H85="Yes","X",LEFT($D85,1))),""))</f>
        <v/>
      </c>
      <c r="AS85" s="33">
        <f>IF(OR($E85="",$F85=""),"",IF(AND(AS$4&lt;=$F85,AS$4+6&gt;=$E85),IF($F85-$E85&lt;=2,"◆",IF($H85="Yes","X",LEFT($D85,1))),""))</f>
        <v/>
      </c>
      <c r="AT85" s="33">
        <f>IF(OR($E85="",$F85=""),"",IF(AND(AT$4&lt;=$F85,AT$4+6&gt;=$E85),IF($F85-$E85&lt;=2,"◆",IF($H85="Yes","X",LEFT($D85,1))),""))</f>
        <v/>
      </c>
      <c r="AU85" s="33">
        <f>IF(OR($E85="",$F85=""),"",IF(AND(AU$4&lt;=$F85,AU$4+6&gt;=$E85),IF($F85-$E85&lt;=2,"◆",IF($H85="Yes","X",LEFT($D85,1))),""))</f>
        <v/>
      </c>
      <c r="AV85" s="33">
        <f>IF(OR($E85="",$F85=""),"",IF(AND(AV$4&lt;=$F85,AV$4+6&gt;=$E85),IF($F85-$E85&lt;=2,"◆",IF($H85="Yes","X",LEFT($D85,1))),""))</f>
        <v/>
      </c>
      <c r="AW85" s="33">
        <f>IF(OR($E85="",$F85=""),"",IF(AND(AW$4&lt;=$F85,AW$4+6&gt;=$E85),IF($F85-$E85&lt;=2,"◆",IF($H85="Yes","X",LEFT($D85,1))),""))</f>
        <v/>
      </c>
      <c r="AX85" s="33">
        <f>IF(OR($E85="",$F85=""),"",IF(AND(AX$4&lt;=$F85,AX$4+6&gt;=$E85),IF($F85-$E85&lt;=2,"◆",IF($H85="Yes","X",LEFT($D85,1))),""))</f>
        <v/>
      </c>
      <c r="AY85" s="33">
        <f>IF(OR($E85="",$F85=""),"",IF(AND(AY$4&lt;=$F85,AY$4+6&gt;=$E85),IF($F85-$E85&lt;=2,"◆",IF($H85="Yes","X",LEFT($D85,1))),""))</f>
        <v/>
      </c>
      <c r="AZ85" s="33">
        <f>IF(OR($E85="",$F85=""),"",IF(AND(AZ$4&lt;=$F85,AZ$4+6&gt;=$E85),IF($F85-$E85&lt;=2,"◆",IF($H85="Yes","X",LEFT($D85,1))),""))</f>
        <v/>
      </c>
      <c r="BA85" s="33">
        <f>IF(OR($E85="",$F85=""),"",IF(AND(BA$4&lt;=$F85,BA$4+6&gt;=$E85),IF($F85-$E85&lt;=2,"◆",IF($H85="Yes","X",LEFT($D85,1))),""))</f>
        <v/>
      </c>
      <c r="BB85" s="33">
        <f>IF(OR($E85="",$F85=""),"",IF(AND(BB$4&lt;=$F85,BB$4+6&gt;=$E85),IF($F85-$E85&lt;=2,"◆",IF($H85="Yes","X",LEFT($D85,1))),""))</f>
        <v/>
      </c>
      <c r="BC85" s="33">
        <f>IF(OR($E85="",$F85=""),"",IF(AND(BC$4&lt;=$F85,BC$4+6&gt;=$E85),IF($F85-$E85&lt;=2,"◆",IF($H85="Yes","X",LEFT($D85,1))),""))</f>
        <v/>
      </c>
      <c r="BD85" s="33">
        <f>IF(OR($E85="",$F85=""),"",IF(AND(BD$4&lt;=$F85,BD$4+6&gt;=$E85),IF($F85-$E85&lt;=2,"◆",IF($H85="Yes","X",LEFT($D85,1))),""))</f>
        <v/>
      </c>
      <c r="BE85" s="33">
        <f>IF(OR($E85="",$F85=""),"",IF(AND(BE$4&lt;=$F85,BE$4+6&gt;=$E85),IF($F85-$E85&lt;=2,"◆",IF($H85="Yes","X",LEFT($D85,1))),""))</f>
        <v/>
      </c>
      <c r="BF85" s="33">
        <f>IF(OR($E85="",$F85=""),"",IF(AND(BF$4&lt;=$F85,BF$4+6&gt;=$E85),IF($F85-$E85&lt;=2,"◆",IF($H85="Yes","X",LEFT($D85,1))),""))</f>
        <v/>
      </c>
      <c r="BG85" s="33">
        <f>IF(OR($E85="",$F85=""),"",IF(AND(BG$4&lt;=$F85,BG$4+6&gt;=$E85),IF($F85-$E85&lt;=2,"◆",IF($H85="Yes","X",LEFT($D85,1))),""))</f>
        <v/>
      </c>
      <c r="BH85" s="33">
        <f>IF(OR($E85="",$F85=""),"",IF(AND(BH$4&lt;=$F85,BH$4+6&gt;=$E85),IF($F85-$E85&lt;=2,"◆",IF($H85="Yes","X",LEFT($D85,1))),""))</f>
        <v/>
      </c>
      <c r="BI85" s="33">
        <f>IF(OR($E85="",$F85=""),"",IF(AND(BI$4&lt;=$F85,BI$4+6&gt;=$E85),IF($F85-$E85&lt;=2,"◆",IF($H85="Yes","X",LEFT($D85,1))),""))</f>
        <v/>
      </c>
    </row>
    <row r="86">
      <c r="A86" s="30" t="inlineStr">
        <is>
          <t>T-082</t>
        </is>
      </c>
      <c r="B86" s="30" t="inlineStr">
        <is>
          <t>Release Management, Regression Testing and Test Automation</t>
        </is>
      </c>
      <c r="C86" s="30" t="inlineStr">
        <is>
          <t>Jawahar</t>
        </is>
      </c>
      <c r="D86" s="30" t="inlineStr">
        <is>
          <t>Not Started</t>
        </is>
      </c>
      <c r="E86" s="31" t="n">
        <v>46503</v>
      </c>
      <c r="F86" s="31" t="n">
        <v>46527</v>
      </c>
      <c r="G86" s="32" t="n">
        <v>0</v>
      </c>
      <c r="H86" s="30" t="inlineStr">
        <is>
          <t>No</t>
        </is>
      </c>
      <c r="I86" s="33">
        <f>IF(OR($E86="",$F86=""),"",IF(AND(I$4&lt;=$F86,I$4+6&gt;=$E86),IF($F86-$E86&lt;=2,"◆",IF($H86="Yes","X",LEFT($D86,1))),""))</f>
        <v/>
      </c>
      <c r="J86" s="33">
        <f>IF(OR($E86="",$F86=""),"",IF(AND(J$4&lt;=$F86,J$4+6&gt;=$E86),IF($F86-$E86&lt;=2,"◆",IF($H86="Yes","X",LEFT($D86,1))),""))</f>
        <v/>
      </c>
      <c r="K86" s="33">
        <f>IF(OR($E86="",$F86=""),"",IF(AND(K$4&lt;=$F86,K$4+6&gt;=$E86),IF($F86-$E86&lt;=2,"◆",IF($H86="Yes","X",LEFT($D86,1))),""))</f>
        <v/>
      </c>
      <c r="L86" s="33">
        <f>IF(OR($E86="",$F86=""),"",IF(AND(L$4&lt;=$F86,L$4+6&gt;=$E86),IF($F86-$E86&lt;=2,"◆",IF($H86="Yes","X",LEFT($D86,1))),""))</f>
        <v/>
      </c>
      <c r="M86" s="33">
        <f>IF(OR($E86="",$F86=""),"",IF(AND(M$4&lt;=$F86,M$4+6&gt;=$E86),IF($F86-$E86&lt;=2,"◆",IF($H86="Yes","X",LEFT($D86,1))),""))</f>
        <v/>
      </c>
      <c r="N86" s="33">
        <f>IF(OR($E86="",$F86=""),"",IF(AND(N$4&lt;=$F86,N$4+6&gt;=$E86),IF($F86-$E86&lt;=2,"◆",IF($H86="Yes","X",LEFT($D86,1))),""))</f>
        <v/>
      </c>
      <c r="O86" s="33">
        <f>IF(OR($E86="",$F86=""),"",IF(AND(O$4&lt;=$F86,O$4+6&gt;=$E86),IF($F86-$E86&lt;=2,"◆",IF($H86="Yes","X",LEFT($D86,1))),""))</f>
        <v/>
      </c>
      <c r="P86" s="33">
        <f>IF(OR($E86="",$F86=""),"",IF(AND(P$4&lt;=$F86,P$4+6&gt;=$E86),IF($F86-$E86&lt;=2,"◆",IF($H86="Yes","X",LEFT($D86,1))),""))</f>
        <v/>
      </c>
      <c r="Q86" s="33">
        <f>IF(OR($E86="",$F86=""),"",IF(AND(Q$4&lt;=$F86,Q$4+6&gt;=$E86),IF($F86-$E86&lt;=2,"◆",IF($H86="Yes","X",LEFT($D86,1))),""))</f>
        <v/>
      </c>
      <c r="R86" s="33">
        <f>IF(OR($E86="",$F86=""),"",IF(AND(R$4&lt;=$F86,R$4+6&gt;=$E86),IF($F86-$E86&lt;=2,"◆",IF($H86="Yes","X",LEFT($D86,1))),""))</f>
        <v/>
      </c>
      <c r="S86" s="33">
        <f>IF(OR($E86="",$F86=""),"",IF(AND(S$4&lt;=$F86,S$4+6&gt;=$E86),IF($F86-$E86&lt;=2,"◆",IF($H86="Yes","X",LEFT($D86,1))),""))</f>
        <v/>
      </c>
      <c r="T86" s="33">
        <f>IF(OR($E86="",$F86=""),"",IF(AND(T$4&lt;=$F86,T$4+6&gt;=$E86),IF($F86-$E86&lt;=2,"◆",IF($H86="Yes","X",LEFT($D86,1))),""))</f>
        <v/>
      </c>
      <c r="U86" s="33">
        <f>IF(OR($E86="",$F86=""),"",IF(AND(U$4&lt;=$F86,U$4+6&gt;=$E86),IF($F86-$E86&lt;=2,"◆",IF($H86="Yes","X",LEFT($D86,1))),""))</f>
        <v/>
      </c>
      <c r="V86" s="33">
        <f>IF(OR($E86="",$F86=""),"",IF(AND(V$4&lt;=$F86,V$4+6&gt;=$E86),IF($F86-$E86&lt;=2,"◆",IF($H86="Yes","X",LEFT($D86,1))),""))</f>
        <v/>
      </c>
      <c r="W86" s="33">
        <f>IF(OR($E86="",$F86=""),"",IF(AND(W$4&lt;=$F86,W$4+6&gt;=$E86),IF($F86-$E86&lt;=2,"◆",IF($H86="Yes","X",LEFT($D86,1))),""))</f>
        <v/>
      </c>
      <c r="X86" s="33">
        <f>IF(OR($E86="",$F86=""),"",IF(AND(X$4&lt;=$F86,X$4+6&gt;=$E86),IF($F86-$E86&lt;=2,"◆",IF($H86="Yes","X",LEFT($D86,1))),""))</f>
        <v/>
      </c>
      <c r="Y86" s="33">
        <f>IF(OR($E86="",$F86=""),"",IF(AND(Y$4&lt;=$F86,Y$4+6&gt;=$E86),IF($F86-$E86&lt;=2,"◆",IF($H86="Yes","X",LEFT($D86,1))),""))</f>
        <v/>
      </c>
      <c r="Z86" s="33">
        <f>IF(OR($E86="",$F86=""),"",IF(AND(Z$4&lt;=$F86,Z$4+6&gt;=$E86),IF($F86-$E86&lt;=2,"◆",IF($H86="Yes","X",LEFT($D86,1))),""))</f>
        <v/>
      </c>
      <c r="AA86" s="33">
        <f>IF(OR($E86="",$F86=""),"",IF(AND(AA$4&lt;=$F86,AA$4+6&gt;=$E86),IF($F86-$E86&lt;=2,"◆",IF($H86="Yes","X",LEFT($D86,1))),""))</f>
        <v/>
      </c>
      <c r="AB86" s="33">
        <f>IF(OR($E86="",$F86=""),"",IF(AND(AB$4&lt;=$F86,AB$4+6&gt;=$E86),IF($F86-$E86&lt;=2,"◆",IF($H86="Yes","X",LEFT($D86,1))),""))</f>
        <v/>
      </c>
      <c r="AC86" s="33">
        <f>IF(OR($E86="",$F86=""),"",IF(AND(AC$4&lt;=$F86,AC$4+6&gt;=$E86),IF($F86-$E86&lt;=2,"◆",IF($H86="Yes","X",LEFT($D86,1))),""))</f>
        <v/>
      </c>
      <c r="AD86" s="33">
        <f>IF(OR($E86="",$F86=""),"",IF(AND(AD$4&lt;=$F86,AD$4+6&gt;=$E86),IF($F86-$E86&lt;=2,"◆",IF($H86="Yes","X",LEFT($D86,1))),""))</f>
        <v/>
      </c>
      <c r="AE86" s="33">
        <f>IF(OR($E86="",$F86=""),"",IF(AND(AE$4&lt;=$F86,AE$4+6&gt;=$E86),IF($F86-$E86&lt;=2,"◆",IF($H86="Yes","X",LEFT($D86,1))),""))</f>
        <v/>
      </c>
      <c r="AF86" s="33">
        <f>IF(OR($E86="",$F86=""),"",IF(AND(AF$4&lt;=$F86,AF$4+6&gt;=$E86),IF($F86-$E86&lt;=2,"◆",IF($H86="Yes","X",LEFT($D86,1))),""))</f>
        <v/>
      </c>
      <c r="AG86" s="33">
        <f>IF(OR($E86="",$F86=""),"",IF(AND(AG$4&lt;=$F86,AG$4+6&gt;=$E86),IF($F86-$E86&lt;=2,"◆",IF($H86="Yes","X",LEFT($D86,1))),""))</f>
        <v/>
      </c>
      <c r="AH86" s="33">
        <f>IF(OR($E86="",$F86=""),"",IF(AND(AH$4&lt;=$F86,AH$4+6&gt;=$E86),IF($F86-$E86&lt;=2,"◆",IF($H86="Yes","X",LEFT($D86,1))),""))</f>
        <v/>
      </c>
      <c r="AI86" s="33">
        <f>IF(OR($E86="",$F86=""),"",IF(AND(AI$4&lt;=$F86,AI$4+6&gt;=$E86),IF($F86-$E86&lt;=2,"◆",IF($H86="Yes","X",LEFT($D86,1))),""))</f>
        <v/>
      </c>
      <c r="AJ86" s="33">
        <f>IF(OR($E86="",$F86=""),"",IF(AND(AJ$4&lt;=$F86,AJ$4+6&gt;=$E86),IF($F86-$E86&lt;=2,"◆",IF($H86="Yes","X",LEFT($D86,1))),""))</f>
        <v/>
      </c>
      <c r="AK86" s="33">
        <f>IF(OR($E86="",$F86=""),"",IF(AND(AK$4&lt;=$F86,AK$4+6&gt;=$E86),IF($F86-$E86&lt;=2,"◆",IF($H86="Yes","X",LEFT($D86,1))),""))</f>
        <v/>
      </c>
      <c r="AL86" s="33">
        <f>IF(OR($E86="",$F86=""),"",IF(AND(AL$4&lt;=$F86,AL$4+6&gt;=$E86),IF($F86-$E86&lt;=2,"◆",IF($H86="Yes","X",LEFT($D86,1))),""))</f>
        <v/>
      </c>
      <c r="AM86" s="33">
        <f>IF(OR($E86="",$F86=""),"",IF(AND(AM$4&lt;=$F86,AM$4+6&gt;=$E86),IF($F86-$E86&lt;=2,"◆",IF($H86="Yes","X",LEFT($D86,1))),""))</f>
        <v/>
      </c>
      <c r="AN86" s="33">
        <f>IF(OR($E86="",$F86=""),"",IF(AND(AN$4&lt;=$F86,AN$4+6&gt;=$E86),IF($F86-$E86&lt;=2,"◆",IF($H86="Yes","X",LEFT($D86,1))),""))</f>
        <v/>
      </c>
      <c r="AO86" s="33">
        <f>IF(OR($E86="",$F86=""),"",IF(AND(AO$4&lt;=$F86,AO$4+6&gt;=$E86),IF($F86-$E86&lt;=2,"◆",IF($H86="Yes","X",LEFT($D86,1))),""))</f>
        <v/>
      </c>
      <c r="AP86" s="33">
        <f>IF(OR($E86="",$F86=""),"",IF(AND(AP$4&lt;=$F86,AP$4+6&gt;=$E86),IF($F86-$E86&lt;=2,"◆",IF($H86="Yes","X",LEFT($D86,1))),""))</f>
        <v/>
      </c>
      <c r="AQ86" s="33">
        <f>IF(OR($E86="",$F86=""),"",IF(AND(AQ$4&lt;=$F86,AQ$4+6&gt;=$E86),IF($F86-$E86&lt;=2,"◆",IF($H86="Yes","X",LEFT($D86,1))),""))</f>
        <v/>
      </c>
      <c r="AR86" s="33">
        <f>IF(OR($E86="",$F86=""),"",IF(AND(AR$4&lt;=$F86,AR$4+6&gt;=$E86),IF($F86-$E86&lt;=2,"◆",IF($H86="Yes","X",LEFT($D86,1))),""))</f>
        <v/>
      </c>
      <c r="AS86" s="33">
        <f>IF(OR($E86="",$F86=""),"",IF(AND(AS$4&lt;=$F86,AS$4+6&gt;=$E86),IF($F86-$E86&lt;=2,"◆",IF($H86="Yes","X",LEFT($D86,1))),""))</f>
        <v/>
      </c>
      <c r="AT86" s="33">
        <f>IF(OR($E86="",$F86=""),"",IF(AND(AT$4&lt;=$F86,AT$4+6&gt;=$E86),IF($F86-$E86&lt;=2,"◆",IF($H86="Yes","X",LEFT($D86,1))),""))</f>
        <v/>
      </c>
      <c r="AU86" s="33">
        <f>IF(OR($E86="",$F86=""),"",IF(AND(AU$4&lt;=$F86,AU$4+6&gt;=$E86),IF($F86-$E86&lt;=2,"◆",IF($H86="Yes","X",LEFT($D86,1))),""))</f>
        <v/>
      </c>
      <c r="AV86" s="33">
        <f>IF(OR($E86="",$F86=""),"",IF(AND(AV$4&lt;=$F86,AV$4+6&gt;=$E86),IF($F86-$E86&lt;=2,"◆",IF($H86="Yes","X",LEFT($D86,1))),""))</f>
        <v/>
      </c>
      <c r="AW86" s="33">
        <f>IF(OR($E86="",$F86=""),"",IF(AND(AW$4&lt;=$F86,AW$4+6&gt;=$E86),IF($F86-$E86&lt;=2,"◆",IF($H86="Yes","X",LEFT($D86,1))),""))</f>
        <v/>
      </c>
      <c r="AX86" s="33">
        <f>IF(OR($E86="",$F86=""),"",IF(AND(AX$4&lt;=$F86,AX$4+6&gt;=$E86),IF($F86-$E86&lt;=2,"◆",IF($H86="Yes","X",LEFT($D86,1))),""))</f>
        <v/>
      </c>
      <c r="AY86" s="33">
        <f>IF(OR($E86="",$F86=""),"",IF(AND(AY$4&lt;=$F86,AY$4+6&gt;=$E86),IF($F86-$E86&lt;=2,"◆",IF($H86="Yes","X",LEFT($D86,1))),""))</f>
        <v/>
      </c>
      <c r="AZ86" s="33">
        <f>IF(OR($E86="",$F86=""),"",IF(AND(AZ$4&lt;=$F86,AZ$4+6&gt;=$E86),IF($F86-$E86&lt;=2,"◆",IF($H86="Yes","X",LEFT($D86,1))),""))</f>
        <v/>
      </c>
      <c r="BA86" s="33">
        <f>IF(OR($E86="",$F86=""),"",IF(AND(BA$4&lt;=$F86,BA$4+6&gt;=$E86),IF($F86-$E86&lt;=2,"◆",IF($H86="Yes","X",LEFT($D86,1))),""))</f>
        <v/>
      </c>
      <c r="BB86" s="33">
        <f>IF(OR($E86="",$F86=""),"",IF(AND(BB$4&lt;=$F86,BB$4+6&gt;=$E86),IF($F86-$E86&lt;=2,"◆",IF($H86="Yes","X",LEFT($D86,1))),""))</f>
        <v/>
      </c>
      <c r="BC86" s="33">
        <f>IF(OR($E86="",$F86=""),"",IF(AND(BC$4&lt;=$F86,BC$4+6&gt;=$E86),IF($F86-$E86&lt;=2,"◆",IF($H86="Yes","X",LEFT($D86,1))),""))</f>
        <v/>
      </c>
      <c r="BD86" s="33">
        <f>IF(OR($E86="",$F86=""),"",IF(AND(BD$4&lt;=$F86,BD$4+6&gt;=$E86),IF($F86-$E86&lt;=2,"◆",IF($H86="Yes","X",LEFT($D86,1))),""))</f>
        <v/>
      </c>
      <c r="BE86" s="33">
        <f>IF(OR($E86="",$F86=""),"",IF(AND(BE$4&lt;=$F86,BE$4+6&gt;=$E86),IF($F86-$E86&lt;=2,"◆",IF($H86="Yes","X",LEFT($D86,1))),""))</f>
        <v/>
      </c>
      <c r="BF86" s="33">
        <f>IF(OR($E86="",$F86=""),"",IF(AND(BF$4&lt;=$F86,BF$4+6&gt;=$E86),IF($F86-$E86&lt;=2,"◆",IF($H86="Yes","X",LEFT($D86,1))),""))</f>
        <v/>
      </c>
      <c r="BG86" s="33">
        <f>IF(OR($E86="",$F86=""),"",IF(AND(BG$4&lt;=$F86,BG$4+6&gt;=$E86),IF($F86-$E86&lt;=2,"◆",IF($H86="Yes","X",LEFT($D86,1))),""))</f>
        <v/>
      </c>
      <c r="BH86" s="33">
        <f>IF(OR($E86="",$F86=""),"",IF(AND(BH$4&lt;=$F86,BH$4+6&gt;=$E86),IF($F86-$E86&lt;=2,"◆",IF($H86="Yes","X",LEFT($D86,1))),""))</f>
        <v/>
      </c>
      <c r="BI86" s="33">
        <f>IF(OR($E86="",$F86=""),"",IF(AND(BI$4&lt;=$F86,BI$4+6&gt;=$E86),IF($F86-$E86&lt;=2,"◆",IF($H86="Yes","X",LEFT($D86,1))),""))</f>
        <v/>
      </c>
    </row>
    <row r="87">
      <c r="A87" s="30" t="inlineStr">
        <is>
          <t>T-083</t>
        </is>
      </c>
      <c r="B87" s="30" t="inlineStr">
        <is>
          <t>Performance Testing, Tuning and Test Suite Management</t>
        </is>
      </c>
      <c r="C87" s="30" t="inlineStr">
        <is>
          <t>Jawahar</t>
        </is>
      </c>
      <c r="D87" s="30" t="inlineStr">
        <is>
          <t>Not Started</t>
        </is>
      </c>
      <c r="E87" s="31" t="n">
        <v>46519</v>
      </c>
      <c r="F87" s="31" t="n">
        <v>46543</v>
      </c>
      <c r="G87" s="32" t="n">
        <v>0</v>
      </c>
      <c r="H87" s="30" t="inlineStr">
        <is>
          <t>No</t>
        </is>
      </c>
      <c r="I87" s="33">
        <f>IF(OR($E87="",$F87=""),"",IF(AND(I$4&lt;=$F87,I$4+6&gt;=$E87),IF($F87-$E87&lt;=2,"◆",IF($H87="Yes","X",LEFT($D87,1))),""))</f>
        <v/>
      </c>
      <c r="J87" s="33">
        <f>IF(OR($E87="",$F87=""),"",IF(AND(J$4&lt;=$F87,J$4+6&gt;=$E87),IF($F87-$E87&lt;=2,"◆",IF($H87="Yes","X",LEFT($D87,1))),""))</f>
        <v/>
      </c>
      <c r="K87" s="33">
        <f>IF(OR($E87="",$F87=""),"",IF(AND(K$4&lt;=$F87,K$4+6&gt;=$E87),IF($F87-$E87&lt;=2,"◆",IF($H87="Yes","X",LEFT($D87,1))),""))</f>
        <v/>
      </c>
      <c r="L87" s="33">
        <f>IF(OR($E87="",$F87=""),"",IF(AND(L$4&lt;=$F87,L$4+6&gt;=$E87),IF($F87-$E87&lt;=2,"◆",IF($H87="Yes","X",LEFT($D87,1))),""))</f>
        <v/>
      </c>
      <c r="M87" s="33">
        <f>IF(OR($E87="",$F87=""),"",IF(AND(M$4&lt;=$F87,M$4+6&gt;=$E87),IF($F87-$E87&lt;=2,"◆",IF($H87="Yes","X",LEFT($D87,1))),""))</f>
        <v/>
      </c>
      <c r="N87" s="33">
        <f>IF(OR($E87="",$F87=""),"",IF(AND(N$4&lt;=$F87,N$4+6&gt;=$E87),IF($F87-$E87&lt;=2,"◆",IF($H87="Yes","X",LEFT($D87,1))),""))</f>
        <v/>
      </c>
      <c r="O87" s="33">
        <f>IF(OR($E87="",$F87=""),"",IF(AND(O$4&lt;=$F87,O$4+6&gt;=$E87),IF($F87-$E87&lt;=2,"◆",IF($H87="Yes","X",LEFT($D87,1))),""))</f>
        <v/>
      </c>
      <c r="P87" s="33">
        <f>IF(OR($E87="",$F87=""),"",IF(AND(P$4&lt;=$F87,P$4+6&gt;=$E87),IF($F87-$E87&lt;=2,"◆",IF($H87="Yes","X",LEFT($D87,1))),""))</f>
        <v/>
      </c>
      <c r="Q87" s="33">
        <f>IF(OR($E87="",$F87=""),"",IF(AND(Q$4&lt;=$F87,Q$4+6&gt;=$E87),IF($F87-$E87&lt;=2,"◆",IF($H87="Yes","X",LEFT($D87,1))),""))</f>
        <v/>
      </c>
      <c r="R87" s="33">
        <f>IF(OR($E87="",$F87=""),"",IF(AND(R$4&lt;=$F87,R$4+6&gt;=$E87),IF($F87-$E87&lt;=2,"◆",IF($H87="Yes","X",LEFT($D87,1))),""))</f>
        <v/>
      </c>
      <c r="S87" s="33">
        <f>IF(OR($E87="",$F87=""),"",IF(AND(S$4&lt;=$F87,S$4+6&gt;=$E87),IF($F87-$E87&lt;=2,"◆",IF($H87="Yes","X",LEFT($D87,1))),""))</f>
        <v/>
      </c>
      <c r="T87" s="33">
        <f>IF(OR($E87="",$F87=""),"",IF(AND(T$4&lt;=$F87,T$4+6&gt;=$E87),IF($F87-$E87&lt;=2,"◆",IF($H87="Yes","X",LEFT($D87,1))),""))</f>
        <v/>
      </c>
      <c r="U87" s="33">
        <f>IF(OR($E87="",$F87=""),"",IF(AND(U$4&lt;=$F87,U$4+6&gt;=$E87),IF($F87-$E87&lt;=2,"◆",IF($H87="Yes","X",LEFT($D87,1))),""))</f>
        <v/>
      </c>
      <c r="V87" s="33">
        <f>IF(OR($E87="",$F87=""),"",IF(AND(V$4&lt;=$F87,V$4+6&gt;=$E87),IF($F87-$E87&lt;=2,"◆",IF($H87="Yes","X",LEFT($D87,1))),""))</f>
        <v/>
      </c>
      <c r="W87" s="33">
        <f>IF(OR($E87="",$F87=""),"",IF(AND(W$4&lt;=$F87,W$4+6&gt;=$E87),IF($F87-$E87&lt;=2,"◆",IF($H87="Yes","X",LEFT($D87,1))),""))</f>
        <v/>
      </c>
      <c r="X87" s="33">
        <f>IF(OR($E87="",$F87=""),"",IF(AND(X$4&lt;=$F87,X$4+6&gt;=$E87),IF($F87-$E87&lt;=2,"◆",IF($H87="Yes","X",LEFT($D87,1))),""))</f>
        <v/>
      </c>
      <c r="Y87" s="33">
        <f>IF(OR($E87="",$F87=""),"",IF(AND(Y$4&lt;=$F87,Y$4+6&gt;=$E87),IF($F87-$E87&lt;=2,"◆",IF($H87="Yes","X",LEFT($D87,1))),""))</f>
        <v/>
      </c>
      <c r="Z87" s="33">
        <f>IF(OR($E87="",$F87=""),"",IF(AND(Z$4&lt;=$F87,Z$4+6&gt;=$E87),IF($F87-$E87&lt;=2,"◆",IF($H87="Yes","X",LEFT($D87,1))),""))</f>
        <v/>
      </c>
      <c r="AA87" s="33">
        <f>IF(OR($E87="",$F87=""),"",IF(AND(AA$4&lt;=$F87,AA$4+6&gt;=$E87),IF($F87-$E87&lt;=2,"◆",IF($H87="Yes","X",LEFT($D87,1))),""))</f>
        <v/>
      </c>
      <c r="AB87" s="33">
        <f>IF(OR($E87="",$F87=""),"",IF(AND(AB$4&lt;=$F87,AB$4+6&gt;=$E87),IF($F87-$E87&lt;=2,"◆",IF($H87="Yes","X",LEFT($D87,1))),""))</f>
        <v/>
      </c>
      <c r="AC87" s="33">
        <f>IF(OR($E87="",$F87=""),"",IF(AND(AC$4&lt;=$F87,AC$4+6&gt;=$E87),IF($F87-$E87&lt;=2,"◆",IF($H87="Yes","X",LEFT($D87,1))),""))</f>
        <v/>
      </c>
      <c r="AD87" s="33">
        <f>IF(OR($E87="",$F87=""),"",IF(AND(AD$4&lt;=$F87,AD$4+6&gt;=$E87),IF($F87-$E87&lt;=2,"◆",IF($H87="Yes","X",LEFT($D87,1))),""))</f>
        <v/>
      </c>
      <c r="AE87" s="33">
        <f>IF(OR($E87="",$F87=""),"",IF(AND(AE$4&lt;=$F87,AE$4+6&gt;=$E87),IF($F87-$E87&lt;=2,"◆",IF($H87="Yes","X",LEFT($D87,1))),""))</f>
        <v/>
      </c>
      <c r="AF87" s="33">
        <f>IF(OR($E87="",$F87=""),"",IF(AND(AF$4&lt;=$F87,AF$4+6&gt;=$E87),IF($F87-$E87&lt;=2,"◆",IF($H87="Yes","X",LEFT($D87,1))),""))</f>
        <v/>
      </c>
      <c r="AG87" s="33">
        <f>IF(OR($E87="",$F87=""),"",IF(AND(AG$4&lt;=$F87,AG$4+6&gt;=$E87),IF($F87-$E87&lt;=2,"◆",IF($H87="Yes","X",LEFT($D87,1))),""))</f>
        <v/>
      </c>
      <c r="AH87" s="33">
        <f>IF(OR($E87="",$F87=""),"",IF(AND(AH$4&lt;=$F87,AH$4+6&gt;=$E87),IF($F87-$E87&lt;=2,"◆",IF($H87="Yes","X",LEFT($D87,1))),""))</f>
        <v/>
      </c>
      <c r="AI87" s="33">
        <f>IF(OR($E87="",$F87=""),"",IF(AND(AI$4&lt;=$F87,AI$4+6&gt;=$E87),IF($F87-$E87&lt;=2,"◆",IF($H87="Yes","X",LEFT($D87,1))),""))</f>
        <v/>
      </c>
      <c r="AJ87" s="33">
        <f>IF(OR($E87="",$F87=""),"",IF(AND(AJ$4&lt;=$F87,AJ$4+6&gt;=$E87),IF($F87-$E87&lt;=2,"◆",IF($H87="Yes","X",LEFT($D87,1))),""))</f>
        <v/>
      </c>
      <c r="AK87" s="33">
        <f>IF(OR($E87="",$F87=""),"",IF(AND(AK$4&lt;=$F87,AK$4+6&gt;=$E87),IF($F87-$E87&lt;=2,"◆",IF($H87="Yes","X",LEFT($D87,1))),""))</f>
        <v/>
      </c>
      <c r="AL87" s="33">
        <f>IF(OR($E87="",$F87=""),"",IF(AND(AL$4&lt;=$F87,AL$4+6&gt;=$E87),IF($F87-$E87&lt;=2,"◆",IF($H87="Yes","X",LEFT($D87,1))),""))</f>
        <v/>
      </c>
      <c r="AM87" s="33">
        <f>IF(OR($E87="",$F87=""),"",IF(AND(AM$4&lt;=$F87,AM$4+6&gt;=$E87),IF($F87-$E87&lt;=2,"◆",IF($H87="Yes","X",LEFT($D87,1))),""))</f>
        <v/>
      </c>
      <c r="AN87" s="33">
        <f>IF(OR($E87="",$F87=""),"",IF(AND(AN$4&lt;=$F87,AN$4+6&gt;=$E87),IF($F87-$E87&lt;=2,"◆",IF($H87="Yes","X",LEFT($D87,1))),""))</f>
        <v/>
      </c>
      <c r="AO87" s="33">
        <f>IF(OR($E87="",$F87=""),"",IF(AND(AO$4&lt;=$F87,AO$4+6&gt;=$E87),IF($F87-$E87&lt;=2,"◆",IF($H87="Yes","X",LEFT($D87,1))),""))</f>
        <v/>
      </c>
      <c r="AP87" s="33">
        <f>IF(OR($E87="",$F87=""),"",IF(AND(AP$4&lt;=$F87,AP$4+6&gt;=$E87),IF($F87-$E87&lt;=2,"◆",IF($H87="Yes","X",LEFT($D87,1))),""))</f>
        <v/>
      </c>
      <c r="AQ87" s="33">
        <f>IF(OR($E87="",$F87=""),"",IF(AND(AQ$4&lt;=$F87,AQ$4+6&gt;=$E87),IF($F87-$E87&lt;=2,"◆",IF($H87="Yes","X",LEFT($D87,1))),""))</f>
        <v/>
      </c>
      <c r="AR87" s="33">
        <f>IF(OR($E87="",$F87=""),"",IF(AND(AR$4&lt;=$F87,AR$4+6&gt;=$E87),IF($F87-$E87&lt;=2,"◆",IF($H87="Yes","X",LEFT($D87,1))),""))</f>
        <v/>
      </c>
      <c r="AS87" s="33">
        <f>IF(OR($E87="",$F87=""),"",IF(AND(AS$4&lt;=$F87,AS$4+6&gt;=$E87),IF($F87-$E87&lt;=2,"◆",IF($H87="Yes","X",LEFT($D87,1))),""))</f>
        <v/>
      </c>
      <c r="AT87" s="33">
        <f>IF(OR($E87="",$F87=""),"",IF(AND(AT$4&lt;=$F87,AT$4+6&gt;=$E87),IF($F87-$E87&lt;=2,"◆",IF($H87="Yes","X",LEFT($D87,1))),""))</f>
        <v/>
      </c>
      <c r="AU87" s="33">
        <f>IF(OR($E87="",$F87=""),"",IF(AND(AU$4&lt;=$F87,AU$4+6&gt;=$E87),IF($F87-$E87&lt;=2,"◆",IF($H87="Yes","X",LEFT($D87,1))),""))</f>
        <v/>
      </c>
      <c r="AV87" s="33">
        <f>IF(OR($E87="",$F87=""),"",IF(AND(AV$4&lt;=$F87,AV$4+6&gt;=$E87),IF($F87-$E87&lt;=2,"◆",IF($H87="Yes","X",LEFT($D87,1))),""))</f>
        <v/>
      </c>
      <c r="AW87" s="33">
        <f>IF(OR($E87="",$F87=""),"",IF(AND(AW$4&lt;=$F87,AW$4+6&gt;=$E87),IF($F87-$E87&lt;=2,"◆",IF($H87="Yes","X",LEFT($D87,1))),""))</f>
        <v/>
      </c>
      <c r="AX87" s="33">
        <f>IF(OR($E87="",$F87=""),"",IF(AND(AX$4&lt;=$F87,AX$4+6&gt;=$E87),IF($F87-$E87&lt;=2,"◆",IF($H87="Yes","X",LEFT($D87,1))),""))</f>
        <v/>
      </c>
      <c r="AY87" s="33">
        <f>IF(OR($E87="",$F87=""),"",IF(AND(AY$4&lt;=$F87,AY$4+6&gt;=$E87),IF($F87-$E87&lt;=2,"◆",IF($H87="Yes","X",LEFT($D87,1))),""))</f>
        <v/>
      </c>
      <c r="AZ87" s="33">
        <f>IF(OR($E87="",$F87=""),"",IF(AND(AZ$4&lt;=$F87,AZ$4+6&gt;=$E87),IF($F87-$E87&lt;=2,"◆",IF($H87="Yes","X",LEFT($D87,1))),""))</f>
        <v/>
      </c>
      <c r="BA87" s="33">
        <f>IF(OR($E87="",$F87=""),"",IF(AND(BA$4&lt;=$F87,BA$4+6&gt;=$E87),IF($F87-$E87&lt;=2,"◆",IF($H87="Yes","X",LEFT($D87,1))),""))</f>
        <v/>
      </c>
      <c r="BB87" s="33">
        <f>IF(OR($E87="",$F87=""),"",IF(AND(BB$4&lt;=$F87,BB$4+6&gt;=$E87),IF($F87-$E87&lt;=2,"◆",IF($H87="Yes","X",LEFT($D87,1))),""))</f>
        <v/>
      </c>
      <c r="BC87" s="33">
        <f>IF(OR($E87="",$F87=""),"",IF(AND(BC$4&lt;=$F87,BC$4+6&gt;=$E87),IF($F87-$E87&lt;=2,"◆",IF($H87="Yes","X",LEFT($D87,1))),""))</f>
        <v/>
      </c>
      <c r="BD87" s="33">
        <f>IF(OR($E87="",$F87=""),"",IF(AND(BD$4&lt;=$F87,BD$4+6&gt;=$E87),IF($F87-$E87&lt;=2,"◆",IF($H87="Yes","X",LEFT($D87,1))),""))</f>
        <v/>
      </c>
      <c r="BE87" s="33">
        <f>IF(OR($E87="",$F87=""),"",IF(AND(BE$4&lt;=$F87,BE$4+6&gt;=$E87),IF($F87-$E87&lt;=2,"◆",IF($H87="Yes","X",LEFT($D87,1))),""))</f>
        <v/>
      </c>
      <c r="BF87" s="33">
        <f>IF(OR($E87="",$F87=""),"",IF(AND(BF$4&lt;=$F87,BF$4+6&gt;=$E87),IF($F87-$E87&lt;=2,"◆",IF($H87="Yes","X",LEFT($D87,1))),""))</f>
        <v/>
      </c>
      <c r="BG87" s="33">
        <f>IF(OR($E87="",$F87=""),"",IF(AND(BG$4&lt;=$F87,BG$4+6&gt;=$E87),IF($F87-$E87&lt;=2,"◆",IF($H87="Yes","X",LEFT($D87,1))),""))</f>
        <v/>
      </c>
      <c r="BH87" s="33">
        <f>IF(OR($E87="",$F87=""),"",IF(AND(BH$4&lt;=$F87,BH$4+6&gt;=$E87),IF($F87-$E87&lt;=2,"◆",IF($H87="Yes","X",LEFT($D87,1))),""))</f>
        <v/>
      </c>
      <c r="BI87" s="33">
        <f>IF(OR($E87="",$F87=""),"",IF(AND(BI$4&lt;=$F87,BI$4+6&gt;=$E87),IF($F87-$E87&lt;=2,"◆",IF($H87="Yes","X",LEFT($D87,1))),""))</f>
        <v/>
      </c>
    </row>
    <row r="88">
      <c r="A88" s="30" t="inlineStr">
        <is>
          <t>T-084</t>
        </is>
      </c>
      <c r="B88" s="30" t="inlineStr">
        <is>
          <t>DevOps Management, Improvements and Pipeline Monitoring</t>
        </is>
      </c>
      <c r="C88" s="30" t="inlineStr">
        <is>
          <t>Jawahar</t>
        </is>
      </c>
      <c r="D88" s="30" t="inlineStr">
        <is>
          <t>Not Started</t>
        </is>
      </c>
      <c r="E88" s="31" t="n">
        <v>46526</v>
      </c>
      <c r="F88" s="31" t="n">
        <v>46531</v>
      </c>
      <c r="G88" s="32" t="n">
        <v>0</v>
      </c>
      <c r="H88" s="30" t="inlineStr">
        <is>
          <t>No</t>
        </is>
      </c>
      <c r="I88" s="33">
        <f>IF(OR($E88="",$F88=""),"",IF(AND(I$4&lt;=$F88,I$4+6&gt;=$E88),IF($F88-$E88&lt;=2,"◆",IF($H88="Yes","X",LEFT($D88,1))),""))</f>
        <v/>
      </c>
      <c r="J88" s="33">
        <f>IF(OR($E88="",$F88=""),"",IF(AND(J$4&lt;=$F88,J$4+6&gt;=$E88),IF($F88-$E88&lt;=2,"◆",IF($H88="Yes","X",LEFT($D88,1))),""))</f>
        <v/>
      </c>
      <c r="K88" s="33">
        <f>IF(OR($E88="",$F88=""),"",IF(AND(K$4&lt;=$F88,K$4+6&gt;=$E88),IF($F88-$E88&lt;=2,"◆",IF($H88="Yes","X",LEFT($D88,1))),""))</f>
        <v/>
      </c>
      <c r="L88" s="33">
        <f>IF(OR($E88="",$F88=""),"",IF(AND(L$4&lt;=$F88,L$4+6&gt;=$E88),IF($F88-$E88&lt;=2,"◆",IF($H88="Yes","X",LEFT($D88,1))),""))</f>
        <v/>
      </c>
      <c r="M88" s="33">
        <f>IF(OR($E88="",$F88=""),"",IF(AND(M$4&lt;=$F88,M$4+6&gt;=$E88),IF($F88-$E88&lt;=2,"◆",IF($H88="Yes","X",LEFT($D88,1))),""))</f>
        <v/>
      </c>
      <c r="N88" s="33">
        <f>IF(OR($E88="",$F88=""),"",IF(AND(N$4&lt;=$F88,N$4+6&gt;=$E88),IF($F88-$E88&lt;=2,"◆",IF($H88="Yes","X",LEFT($D88,1))),""))</f>
        <v/>
      </c>
      <c r="O88" s="33">
        <f>IF(OR($E88="",$F88=""),"",IF(AND(O$4&lt;=$F88,O$4+6&gt;=$E88),IF($F88-$E88&lt;=2,"◆",IF($H88="Yes","X",LEFT($D88,1))),""))</f>
        <v/>
      </c>
      <c r="P88" s="33">
        <f>IF(OR($E88="",$F88=""),"",IF(AND(P$4&lt;=$F88,P$4+6&gt;=$E88),IF($F88-$E88&lt;=2,"◆",IF($H88="Yes","X",LEFT($D88,1))),""))</f>
        <v/>
      </c>
      <c r="Q88" s="33">
        <f>IF(OR($E88="",$F88=""),"",IF(AND(Q$4&lt;=$F88,Q$4+6&gt;=$E88),IF($F88-$E88&lt;=2,"◆",IF($H88="Yes","X",LEFT($D88,1))),""))</f>
        <v/>
      </c>
      <c r="R88" s="33">
        <f>IF(OR($E88="",$F88=""),"",IF(AND(R$4&lt;=$F88,R$4+6&gt;=$E88),IF($F88-$E88&lt;=2,"◆",IF($H88="Yes","X",LEFT($D88,1))),""))</f>
        <v/>
      </c>
      <c r="S88" s="33">
        <f>IF(OR($E88="",$F88=""),"",IF(AND(S$4&lt;=$F88,S$4+6&gt;=$E88),IF($F88-$E88&lt;=2,"◆",IF($H88="Yes","X",LEFT($D88,1))),""))</f>
        <v/>
      </c>
      <c r="T88" s="33">
        <f>IF(OR($E88="",$F88=""),"",IF(AND(T$4&lt;=$F88,T$4+6&gt;=$E88),IF($F88-$E88&lt;=2,"◆",IF($H88="Yes","X",LEFT($D88,1))),""))</f>
        <v/>
      </c>
      <c r="U88" s="33">
        <f>IF(OR($E88="",$F88=""),"",IF(AND(U$4&lt;=$F88,U$4+6&gt;=$E88),IF($F88-$E88&lt;=2,"◆",IF($H88="Yes","X",LEFT($D88,1))),""))</f>
        <v/>
      </c>
      <c r="V88" s="33">
        <f>IF(OR($E88="",$F88=""),"",IF(AND(V$4&lt;=$F88,V$4+6&gt;=$E88),IF($F88-$E88&lt;=2,"◆",IF($H88="Yes","X",LEFT($D88,1))),""))</f>
        <v/>
      </c>
      <c r="W88" s="33">
        <f>IF(OR($E88="",$F88=""),"",IF(AND(W$4&lt;=$F88,W$4+6&gt;=$E88),IF($F88-$E88&lt;=2,"◆",IF($H88="Yes","X",LEFT($D88,1))),""))</f>
        <v/>
      </c>
      <c r="X88" s="33">
        <f>IF(OR($E88="",$F88=""),"",IF(AND(X$4&lt;=$F88,X$4+6&gt;=$E88),IF($F88-$E88&lt;=2,"◆",IF($H88="Yes","X",LEFT($D88,1))),""))</f>
        <v/>
      </c>
      <c r="Y88" s="33">
        <f>IF(OR($E88="",$F88=""),"",IF(AND(Y$4&lt;=$F88,Y$4+6&gt;=$E88),IF($F88-$E88&lt;=2,"◆",IF($H88="Yes","X",LEFT($D88,1))),""))</f>
        <v/>
      </c>
      <c r="Z88" s="33">
        <f>IF(OR($E88="",$F88=""),"",IF(AND(Z$4&lt;=$F88,Z$4+6&gt;=$E88),IF($F88-$E88&lt;=2,"◆",IF($H88="Yes","X",LEFT($D88,1))),""))</f>
        <v/>
      </c>
      <c r="AA88" s="33">
        <f>IF(OR($E88="",$F88=""),"",IF(AND(AA$4&lt;=$F88,AA$4+6&gt;=$E88),IF($F88-$E88&lt;=2,"◆",IF($H88="Yes","X",LEFT($D88,1))),""))</f>
        <v/>
      </c>
      <c r="AB88" s="33">
        <f>IF(OR($E88="",$F88=""),"",IF(AND(AB$4&lt;=$F88,AB$4+6&gt;=$E88),IF($F88-$E88&lt;=2,"◆",IF($H88="Yes","X",LEFT($D88,1))),""))</f>
        <v/>
      </c>
      <c r="AC88" s="33">
        <f>IF(OR($E88="",$F88=""),"",IF(AND(AC$4&lt;=$F88,AC$4+6&gt;=$E88),IF($F88-$E88&lt;=2,"◆",IF($H88="Yes","X",LEFT($D88,1))),""))</f>
        <v/>
      </c>
      <c r="AD88" s="33">
        <f>IF(OR($E88="",$F88=""),"",IF(AND(AD$4&lt;=$F88,AD$4+6&gt;=$E88),IF($F88-$E88&lt;=2,"◆",IF($H88="Yes","X",LEFT($D88,1))),""))</f>
        <v/>
      </c>
      <c r="AE88" s="33">
        <f>IF(OR($E88="",$F88=""),"",IF(AND(AE$4&lt;=$F88,AE$4+6&gt;=$E88),IF($F88-$E88&lt;=2,"◆",IF($H88="Yes","X",LEFT($D88,1))),""))</f>
        <v/>
      </c>
      <c r="AF88" s="33">
        <f>IF(OR($E88="",$F88=""),"",IF(AND(AF$4&lt;=$F88,AF$4+6&gt;=$E88),IF($F88-$E88&lt;=2,"◆",IF($H88="Yes","X",LEFT($D88,1))),""))</f>
        <v/>
      </c>
      <c r="AG88" s="33">
        <f>IF(OR($E88="",$F88=""),"",IF(AND(AG$4&lt;=$F88,AG$4+6&gt;=$E88),IF($F88-$E88&lt;=2,"◆",IF($H88="Yes","X",LEFT($D88,1))),""))</f>
        <v/>
      </c>
      <c r="AH88" s="33">
        <f>IF(OR($E88="",$F88=""),"",IF(AND(AH$4&lt;=$F88,AH$4+6&gt;=$E88),IF($F88-$E88&lt;=2,"◆",IF($H88="Yes","X",LEFT($D88,1))),""))</f>
        <v/>
      </c>
      <c r="AI88" s="33">
        <f>IF(OR($E88="",$F88=""),"",IF(AND(AI$4&lt;=$F88,AI$4+6&gt;=$E88),IF($F88-$E88&lt;=2,"◆",IF($H88="Yes","X",LEFT($D88,1))),""))</f>
        <v/>
      </c>
      <c r="AJ88" s="33">
        <f>IF(OR($E88="",$F88=""),"",IF(AND(AJ$4&lt;=$F88,AJ$4+6&gt;=$E88),IF($F88-$E88&lt;=2,"◆",IF($H88="Yes","X",LEFT($D88,1))),""))</f>
        <v/>
      </c>
      <c r="AK88" s="33">
        <f>IF(OR($E88="",$F88=""),"",IF(AND(AK$4&lt;=$F88,AK$4+6&gt;=$E88),IF($F88-$E88&lt;=2,"◆",IF($H88="Yes","X",LEFT($D88,1))),""))</f>
        <v/>
      </c>
      <c r="AL88" s="33">
        <f>IF(OR($E88="",$F88=""),"",IF(AND(AL$4&lt;=$F88,AL$4+6&gt;=$E88),IF($F88-$E88&lt;=2,"◆",IF($H88="Yes","X",LEFT($D88,1))),""))</f>
        <v/>
      </c>
      <c r="AM88" s="33">
        <f>IF(OR($E88="",$F88=""),"",IF(AND(AM$4&lt;=$F88,AM$4+6&gt;=$E88),IF($F88-$E88&lt;=2,"◆",IF($H88="Yes","X",LEFT($D88,1))),""))</f>
        <v/>
      </c>
      <c r="AN88" s="33">
        <f>IF(OR($E88="",$F88=""),"",IF(AND(AN$4&lt;=$F88,AN$4+6&gt;=$E88),IF($F88-$E88&lt;=2,"◆",IF($H88="Yes","X",LEFT($D88,1))),""))</f>
        <v/>
      </c>
      <c r="AO88" s="33">
        <f>IF(OR($E88="",$F88=""),"",IF(AND(AO$4&lt;=$F88,AO$4+6&gt;=$E88),IF($F88-$E88&lt;=2,"◆",IF($H88="Yes","X",LEFT($D88,1))),""))</f>
        <v/>
      </c>
      <c r="AP88" s="33">
        <f>IF(OR($E88="",$F88=""),"",IF(AND(AP$4&lt;=$F88,AP$4+6&gt;=$E88),IF($F88-$E88&lt;=2,"◆",IF($H88="Yes","X",LEFT($D88,1))),""))</f>
        <v/>
      </c>
      <c r="AQ88" s="33">
        <f>IF(OR($E88="",$F88=""),"",IF(AND(AQ$4&lt;=$F88,AQ$4+6&gt;=$E88),IF($F88-$E88&lt;=2,"◆",IF($H88="Yes","X",LEFT($D88,1))),""))</f>
        <v/>
      </c>
      <c r="AR88" s="33">
        <f>IF(OR($E88="",$F88=""),"",IF(AND(AR$4&lt;=$F88,AR$4+6&gt;=$E88),IF($F88-$E88&lt;=2,"◆",IF($H88="Yes","X",LEFT($D88,1))),""))</f>
        <v/>
      </c>
      <c r="AS88" s="33">
        <f>IF(OR($E88="",$F88=""),"",IF(AND(AS$4&lt;=$F88,AS$4+6&gt;=$E88),IF($F88-$E88&lt;=2,"◆",IF($H88="Yes","X",LEFT($D88,1))),""))</f>
        <v/>
      </c>
      <c r="AT88" s="33">
        <f>IF(OR($E88="",$F88=""),"",IF(AND(AT$4&lt;=$F88,AT$4+6&gt;=$E88),IF($F88-$E88&lt;=2,"◆",IF($H88="Yes","X",LEFT($D88,1))),""))</f>
        <v/>
      </c>
      <c r="AU88" s="33">
        <f>IF(OR($E88="",$F88=""),"",IF(AND(AU$4&lt;=$F88,AU$4+6&gt;=$E88),IF($F88-$E88&lt;=2,"◆",IF($H88="Yes","X",LEFT($D88,1))),""))</f>
        <v/>
      </c>
      <c r="AV88" s="33">
        <f>IF(OR($E88="",$F88=""),"",IF(AND(AV$4&lt;=$F88,AV$4+6&gt;=$E88),IF($F88-$E88&lt;=2,"◆",IF($H88="Yes","X",LEFT($D88,1))),""))</f>
        <v/>
      </c>
      <c r="AW88" s="33">
        <f>IF(OR($E88="",$F88=""),"",IF(AND(AW$4&lt;=$F88,AW$4+6&gt;=$E88),IF($F88-$E88&lt;=2,"◆",IF($H88="Yes","X",LEFT($D88,1))),""))</f>
        <v/>
      </c>
      <c r="AX88" s="33">
        <f>IF(OR($E88="",$F88=""),"",IF(AND(AX$4&lt;=$F88,AX$4+6&gt;=$E88),IF($F88-$E88&lt;=2,"◆",IF($H88="Yes","X",LEFT($D88,1))),""))</f>
        <v/>
      </c>
      <c r="AY88" s="33">
        <f>IF(OR($E88="",$F88=""),"",IF(AND(AY$4&lt;=$F88,AY$4+6&gt;=$E88),IF($F88-$E88&lt;=2,"◆",IF($H88="Yes","X",LEFT($D88,1))),""))</f>
        <v/>
      </c>
      <c r="AZ88" s="33">
        <f>IF(OR($E88="",$F88=""),"",IF(AND(AZ$4&lt;=$F88,AZ$4+6&gt;=$E88),IF($F88-$E88&lt;=2,"◆",IF($H88="Yes","X",LEFT($D88,1))),""))</f>
        <v/>
      </c>
      <c r="BA88" s="33">
        <f>IF(OR($E88="",$F88=""),"",IF(AND(BA$4&lt;=$F88,BA$4+6&gt;=$E88),IF($F88-$E88&lt;=2,"◆",IF($H88="Yes","X",LEFT($D88,1))),""))</f>
        <v/>
      </c>
      <c r="BB88" s="33">
        <f>IF(OR($E88="",$F88=""),"",IF(AND(BB$4&lt;=$F88,BB$4+6&gt;=$E88),IF($F88-$E88&lt;=2,"◆",IF($H88="Yes","X",LEFT($D88,1))),""))</f>
        <v/>
      </c>
      <c r="BC88" s="33">
        <f>IF(OR($E88="",$F88=""),"",IF(AND(BC$4&lt;=$F88,BC$4+6&gt;=$E88),IF($F88-$E88&lt;=2,"◆",IF($H88="Yes","X",LEFT($D88,1))),""))</f>
        <v/>
      </c>
      <c r="BD88" s="33">
        <f>IF(OR($E88="",$F88=""),"",IF(AND(BD$4&lt;=$F88,BD$4+6&gt;=$E88),IF($F88-$E88&lt;=2,"◆",IF($H88="Yes","X",LEFT($D88,1))),""))</f>
        <v/>
      </c>
      <c r="BE88" s="33">
        <f>IF(OR($E88="",$F88=""),"",IF(AND(BE$4&lt;=$F88,BE$4+6&gt;=$E88),IF($F88-$E88&lt;=2,"◆",IF($H88="Yes","X",LEFT($D88,1))),""))</f>
        <v/>
      </c>
      <c r="BF88" s="33">
        <f>IF(OR($E88="",$F88=""),"",IF(AND(BF$4&lt;=$F88,BF$4+6&gt;=$E88),IF($F88-$E88&lt;=2,"◆",IF($H88="Yes","X",LEFT($D88,1))),""))</f>
        <v/>
      </c>
      <c r="BG88" s="33">
        <f>IF(OR($E88="",$F88=""),"",IF(AND(BG$4&lt;=$F88,BG$4+6&gt;=$E88),IF($F88-$E88&lt;=2,"◆",IF($H88="Yes","X",LEFT($D88,1))),""))</f>
        <v/>
      </c>
      <c r="BH88" s="33">
        <f>IF(OR($E88="",$F88=""),"",IF(AND(BH$4&lt;=$F88,BH$4+6&gt;=$E88),IF($F88-$E88&lt;=2,"◆",IF($H88="Yes","X",LEFT($D88,1))),""))</f>
        <v/>
      </c>
      <c r="BI88" s="33">
        <f>IF(OR($E88="",$F88=""),"",IF(AND(BI$4&lt;=$F88,BI$4+6&gt;=$E88),IF($F88-$E88&lt;=2,"◆",IF($H88="Yes","X",LEFT($D88,1))),""))</f>
        <v/>
      </c>
    </row>
    <row r="89">
      <c r="A89" s="30" t="inlineStr">
        <is>
          <t>T-085</t>
        </is>
      </c>
      <c r="B89" s="30" t="inlineStr">
        <is>
          <t>Release Based Feature Documentation</t>
        </is>
      </c>
      <c r="C89" s="30" t="inlineStr">
        <is>
          <t>Jawahar</t>
        </is>
      </c>
      <c r="D89" s="30" t="inlineStr">
        <is>
          <t>Not Started</t>
        </is>
      </c>
      <c r="E89" s="31" t="n">
        <v>46538</v>
      </c>
      <c r="F89" s="31" t="n">
        <v>46543</v>
      </c>
      <c r="G89" s="32" t="n">
        <v>0</v>
      </c>
      <c r="H89" s="30" t="inlineStr">
        <is>
          <t>No</t>
        </is>
      </c>
      <c r="I89" s="33">
        <f>IF(OR($E89="",$F89=""),"",IF(AND(I$4&lt;=$F89,I$4+6&gt;=$E89),IF($F89-$E89&lt;=2,"◆",IF($H89="Yes","X",LEFT($D89,1))),""))</f>
        <v/>
      </c>
      <c r="J89" s="33">
        <f>IF(OR($E89="",$F89=""),"",IF(AND(J$4&lt;=$F89,J$4+6&gt;=$E89),IF($F89-$E89&lt;=2,"◆",IF($H89="Yes","X",LEFT($D89,1))),""))</f>
        <v/>
      </c>
      <c r="K89" s="33">
        <f>IF(OR($E89="",$F89=""),"",IF(AND(K$4&lt;=$F89,K$4+6&gt;=$E89),IF($F89-$E89&lt;=2,"◆",IF($H89="Yes","X",LEFT($D89,1))),""))</f>
        <v/>
      </c>
      <c r="L89" s="33">
        <f>IF(OR($E89="",$F89=""),"",IF(AND(L$4&lt;=$F89,L$4+6&gt;=$E89),IF($F89-$E89&lt;=2,"◆",IF($H89="Yes","X",LEFT($D89,1))),""))</f>
        <v/>
      </c>
      <c r="M89" s="33">
        <f>IF(OR($E89="",$F89=""),"",IF(AND(M$4&lt;=$F89,M$4+6&gt;=$E89),IF($F89-$E89&lt;=2,"◆",IF($H89="Yes","X",LEFT($D89,1))),""))</f>
        <v/>
      </c>
      <c r="N89" s="33">
        <f>IF(OR($E89="",$F89=""),"",IF(AND(N$4&lt;=$F89,N$4+6&gt;=$E89),IF($F89-$E89&lt;=2,"◆",IF($H89="Yes","X",LEFT($D89,1))),""))</f>
        <v/>
      </c>
      <c r="O89" s="33">
        <f>IF(OR($E89="",$F89=""),"",IF(AND(O$4&lt;=$F89,O$4+6&gt;=$E89),IF($F89-$E89&lt;=2,"◆",IF($H89="Yes","X",LEFT($D89,1))),""))</f>
        <v/>
      </c>
      <c r="P89" s="33">
        <f>IF(OR($E89="",$F89=""),"",IF(AND(P$4&lt;=$F89,P$4+6&gt;=$E89),IF($F89-$E89&lt;=2,"◆",IF($H89="Yes","X",LEFT($D89,1))),""))</f>
        <v/>
      </c>
      <c r="Q89" s="33">
        <f>IF(OR($E89="",$F89=""),"",IF(AND(Q$4&lt;=$F89,Q$4+6&gt;=$E89),IF($F89-$E89&lt;=2,"◆",IF($H89="Yes","X",LEFT($D89,1))),""))</f>
        <v/>
      </c>
      <c r="R89" s="33">
        <f>IF(OR($E89="",$F89=""),"",IF(AND(R$4&lt;=$F89,R$4+6&gt;=$E89),IF($F89-$E89&lt;=2,"◆",IF($H89="Yes","X",LEFT($D89,1))),""))</f>
        <v/>
      </c>
      <c r="S89" s="33">
        <f>IF(OR($E89="",$F89=""),"",IF(AND(S$4&lt;=$F89,S$4+6&gt;=$E89),IF($F89-$E89&lt;=2,"◆",IF($H89="Yes","X",LEFT($D89,1))),""))</f>
        <v/>
      </c>
      <c r="T89" s="33">
        <f>IF(OR($E89="",$F89=""),"",IF(AND(T$4&lt;=$F89,T$4+6&gt;=$E89),IF($F89-$E89&lt;=2,"◆",IF($H89="Yes","X",LEFT($D89,1))),""))</f>
        <v/>
      </c>
      <c r="U89" s="33">
        <f>IF(OR($E89="",$F89=""),"",IF(AND(U$4&lt;=$F89,U$4+6&gt;=$E89),IF($F89-$E89&lt;=2,"◆",IF($H89="Yes","X",LEFT($D89,1))),""))</f>
        <v/>
      </c>
      <c r="V89" s="33">
        <f>IF(OR($E89="",$F89=""),"",IF(AND(V$4&lt;=$F89,V$4+6&gt;=$E89),IF($F89-$E89&lt;=2,"◆",IF($H89="Yes","X",LEFT($D89,1))),""))</f>
        <v/>
      </c>
      <c r="W89" s="33">
        <f>IF(OR($E89="",$F89=""),"",IF(AND(W$4&lt;=$F89,W$4+6&gt;=$E89),IF($F89-$E89&lt;=2,"◆",IF($H89="Yes","X",LEFT($D89,1))),""))</f>
        <v/>
      </c>
      <c r="X89" s="33">
        <f>IF(OR($E89="",$F89=""),"",IF(AND(X$4&lt;=$F89,X$4+6&gt;=$E89),IF($F89-$E89&lt;=2,"◆",IF($H89="Yes","X",LEFT($D89,1))),""))</f>
        <v/>
      </c>
      <c r="Y89" s="33">
        <f>IF(OR($E89="",$F89=""),"",IF(AND(Y$4&lt;=$F89,Y$4+6&gt;=$E89),IF($F89-$E89&lt;=2,"◆",IF($H89="Yes","X",LEFT($D89,1))),""))</f>
        <v/>
      </c>
      <c r="Z89" s="33">
        <f>IF(OR($E89="",$F89=""),"",IF(AND(Z$4&lt;=$F89,Z$4+6&gt;=$E89),IF($F89-$E89&lt;=2,"◆",IF($H89="Yes","X",LEFT($D89,1))),""))</f>
        <v/>
      </c>
      <c r="AA89" s="33">
        <f>IF(OR($E89="",$F89=""),"",IF(AND(AA$4&lt;=$F89,AA$4+6&gt;=$E89),IF($F89-$E89&lt;=2,"◆",IF($H89="Yes","X",LEFT($D89,1))),""))</f>
        <v/>
      </c>
      <c r="AB89" s="33">
        <f>IF(OR($E89="",$F89=""),"",IF(AND(AB$4&lt;=$F89,AB$4+6&gt;=$E89),IF($F89-$E89&lt;=2,"◆",IF($H89="Yes","X",LEFT($D89,1))),""))</f>
        <v/>
      </c>
      <c r="AC89" s="33">
        <f>IF(OR($E89="",$F89=""),"",IF(AND(AC$4&lt;=$F89,AC$4+6&gt;=$E89),IF($F89-$E89&lt;=2,"◆",IF($H89="Yes","X",LEFT($D89,1))),""))</f>
        <v/>
      </c>
      <c r="AD89" s="33">
        <f>IF(OR($E89="",$F89=""),"",IF(AND(AD$4&lt;=$F89,AD$4+6&gt;=$E89),IF($F89-$E89&lt;=2,"◆",IF($H89="Yes","X",LEFT($D89,1))),""))</f>
        <v/>
      </c>
      <c r="AE89" s="33">
        <f>IF(OR($E89="",$F89=""),"",IF(AND(AE$4&lt;=$F89,AE$4+6&gt;=$E89),IF($F89-$E89&lt;=2,"◆",IF($H89="Yes","X",LEFT($D89,1))),""))</f>
        <v/>
      </c>
      <c r="AF89" s="33">
        <f>IF(OR($E89="",$F89=""),"",IF(AND(AF$4&lt;=$F89,AF$4+6&gt;=$E89),IF($F89-$E89&lt;=2,"◆",IF($H89="Yes","X",LEFT($D89,1))),""))</f>
        <v/>
      </c>
      <c r="AG89" s="33">
        <f>IF(OR($E89="",$F89=""),"",IF(AND(AG$4&lt;=$F89,AG$4+6&gt;=$E89),IF($F89-$E89&lt;=2,"◆",IF($H89="Yes","X",LEFT($D89,1))),""))</f>
        <v/>
      </c>
      <c r="AH89" s="33">
        <f>IF(OR($E89="",$F89=""),"",IF(AND(AH$4&lt;=$F89,AH$4+6&gt;=$E89),IF($F89-$E89&lt;=2,"◆",IF($H89="Yes","X",LEFT($D89,1))),""))</f>
        <v/>
      </c>
      <c r="AI89" s="33">
        <f>IF(OR($E89="",$F89=""),"",IF(AND(AI$4&lt;=$F89,AI$4+6&gt;=$E89),IF($F89-$E89&lt;=2,"◆",IF($H89="Yes","X",LEFT($D89,1))),""))</f>
        <v/>
      </c>
      <c r="AJ89" s="33">
        <f>IF(OR($E89="",$F89=""),"",IF(AND(AJ$4&lt;=$F89,AJ$4+6&gt;=$E89),IF($F89-$E89&lt;=2,"◆",IF($H89="Yes","X",LEFT($D89,1))),""))</f>
        <v/>
      </c>
      <c r="AK89" s="33">
        <f>IF(OR($E89="",$F89=""),"",IF(AND(AK$4&lt;=$F89,AK$4+6&gt;=$E89),IF($F89-$E89&lt;=2,"◆",IF($H89="Yes","X",LEFT($D89,1))),""))</f>
        <v/>
      </c>
      <c r="AL89" s="33">
        <f>IF(OR($E89="",$F89=""),"",IF(AND(AL$4&lt;=$F89,AL$4+6&gt;=$E89),IF($F89-$E89&lt;=2,"◆",IF($H89="Yes","X",LEFT($D89,1))),""))</f>
        <v/>
      </c>
      <c r="AM89" s="33">
        <f>IF(OR($E89="",$F89=""),"",IF(AND(AM$4&lt;=$F89,AM$4+6&gt;=$E89),IF($F89-$E89&lt;=2,"◆",IF($H89="Yes","X",LEFT($D89,1))),""))</f>
        <v/>
      </c>
      <c r="AN89" s="33">
        <f>IF(OR($E89="",$F89=""),"",IF(AND(AN$4&lt;=$F89,AN$4+6&gt;=$E89),IF($F89-$E89&lt;=2,"◆",IF($H89="Yes","X",LEFT($D89,1))),""))</f>
        <v/>
      </c>
      <c r="AO89" s="33">
        <f>IF(OR($E89="",$F89=""),"",IF(AND(AO$4&lt;=$F89,AO$4+6&gt;=$E89),IF($F89-$E89&lt;=2,"◆",IF($H89="Yes","X",LEFT($D89,1))),""))</f>
        <v/>
      </c>
      <c r="AP89" s="33">
        <f>IF(OR($E89="",$F89=""),"",IF(AND(AP$4&lt;=$F89,AP$4+6&gt;=$E89),IF($F89-$E89&lt;=2,"◆",IF($H89="Yes","X",LEFT($D89,1))),""))</f>
        <v/>
      </c>
      <c r="AQ89" s="33">
        <f>IF(OR($E89="",$F89=""),"",IF(AND(AQ$4&lt;=$F89,AQ$4+6&gt;=$E89),IF($F89-$E89&lt;=2,"◆",IF($H89="Yes","X",LEFT($D89,1))),""))</f>
        <v/>
      </c>
      <c r="AR89" s="33">
        <f>IF(OR($E89="",$F89=""),"",IF(AND(AR$4&lt;=$F89,AR$4+6&gt;=$E89),IF($F89-$E89&lt;=2,"◆",IF($H89="Yes","X",LEFT($D89,1))),""))</f>
        <v/>
      </c>
      <c r="AS89" s="33">
        <f>IF(OR($E89="",$F89=""),"",IF(AND(AS$4&lt;=$F89,AS$4+6&gt;=$E89),IF($F89-$E89&lt;=2,"◆",IF($H89="Yes","X",LEFT($D89,1))),""))</f>
        <v/>
      </c>
      <c r="AT89" s="33">
        <f>IF(OR($E89="",$F89=""),"",IF(AND(AT$4&lt;=$F89,AT$4+6&gt;=$E89),IF($F89-$E89&lt;=2,"◆",IF($H89="Yes","X",LEFT($D89,1))),""))</f>
        <v/>
      </c>
      <c r="AU89" s="33">
        <f>IF(OR($E89="",$F89=""),"",IF(AND(AU$4&lt;=$F89,AU$4+6&gt;=$E89),IF($F89-$E89&lt;=2,"◆",IF($H89="Yes","X",LEFT($D89,1))),""))</f>
        <v/>
      </c>
      <c r="AV89" s="33">
        <f>IF(OR($E89="",$F89=""),"",IF(AND(AV$4&lt;=$F89,AV$4+6&gt;=$E89),IF($F89-$E89&lt;=2,"◆",IF($H89="Yes","X",LEFT($D89,1))),""))</f>
        <v/>
      </c>
      <c r="AW89" s="33">
        <f>IF(OR($E89="",$F89=""),"",IF(AND(AW$4&lt;=$F89,AW$4+6&gt;=$E89),IF($F89-$E89&lt;=2,"◆",IF($H89="Yes","X",LEFT($D89,1))),""))</f>
        <v/>
      </c>
      <c r="AX89" s="33">
        <f>IF(OR($E89="",$F89=""),"",IF(AND(AX$4&lt;=$F89,AX$4+6&gt;=$E89),IF($F89-$E89&lt;=2,"◆",IF($H89="Yes","X",LEFT($D89,1))),""))</f>
        <v/>
      </c>
      <c r="AY89" s="33">
        <f>IF(OR($E89="",$F89=""),"",IF(AND(AY$4&lt;=$F89,AY$4+6&gt;=$E89),IF($F89-$E89&lt;=2,"◆",IF($H89="Yes","X",LEFT($D89,1))),""))</f>
        <v/>
      </c>
      <c r="AZ89" s="33">
        <f>IF(OR($E89="",$F89=""),"",IF(AND(AZ$4&lt;=$F89,AZ$4+6&gt;=$E89),IF($F89-$E89&lt;=2,"◆",IF($H89="Yes","X",LEFT($D89,1))),""))</f>
        <v/>
      </c>
      <c r="BA89" s="33">
        <f>IF(OR($E89="",$F89=""),"",IF(AND(BA$4&lt;=$F89,BA$4+6&gt;=$E89),IF($F89-$E89&lt;=2,"◆",IF($H89="Yes","X",LEFT($D89,1))),""))</f>
        <v/>
      </c>
      <c r="BB89" s="33">
        <f>IF(OR($E89="",$F89=""),"",IF(AND(BB$4&lt;=$F89,BB$4+6&gt;=$E89),IF($F89-$E89&lt;=2,"◆",IF($H89="Yes","X",LEFT($D89,1))),""))</f>
        <v/>
      </c>
      <c r="BC89" s="33">
        <f>IF(OR($E89="",$F89=""),"",IF(AND(BC$4&lt;=$F89,BC$4+6&gt;=$E89),IF($F89-$E89&lt;=2,"◆",IF($H89="Yes","X",LEFT($D89,1))),""))</f>
        <v/>
      </c>
      <c r="BD89" s="33">
        <f>IF(OR($E89="",$F89=""),"",IF(AND(BD$4&lt;=$F89,BD$4+6&gt;=$E89),IF($F89-$E89&lt;=2,"◆",IF($H89="Yes","X",LEFT($D89,1))),""))</f>
        <v/>
      </c>
      <c r="BE89" s="33">
        <f>IF(OR($E89="",$F89=""),"",IF(AND(BE$4&lt;=$F89,BE$4+6&gt;=$E89),IF($F89-$E89&lt;=2,"◆",IF($H89="Yes","X",LEFT($D89,1))),""))</f>
        <v/>
      </c>
      <c r="BF89" s="33">
        <f>IF(OR($E89="",$F89=""),"",IF(AND(BF$4&lt;=$F89,BF$4+6&gt;=$E89),IF($F89-$E89&lt;=2,"◆",IF($H89="Yes","X",LEFT($D89,1))),""))</f>
        <v/>
      </c>
      <c r="BG89" s="33">
        <f>IF(OR($E89="",$F89=""),"",IF(AND(BG$4&lt;=$F89,BG$4+6&gt;=$E89),IF($F89-$E89&lt;=2,"◆",IF($H89="Yes","X",LEFT($D89,1))),""))</f>
        <v/>
      </c>
      <c r="BH89" s="33">
        <f>IF(OR($E89="",$F89=""),"",IF(AND(BH$4&lt;=$F89,BH$4+6&gt;=$E89),IF($F89-$E89&lt;=2,"◆",IF($H89="Yes","X",LEFT($D89,1))),""))</f>
        <v/>
      </c>
      <c r="BI89" s="33">
        <f>IF(OR($E89="",$F89=""),"",IF(AND(BI$4&lt;=$F89,BI$4+6&gt;=$E89),IF($F89-$E89&lt;=2,"◆",IF($H89="Yes","X",LEFT($D89,1))),""))</f>
        <v/>
      </c>
    </row>
    <row r="90">
      <c r="A90" s="30" t="inlineStr">
        <is>
          <t>T-086</t>
        </is>
      </c>
      <c r="B90" s="30" t="inlineStr">
        <is>
          <t>Monthly Library Upgrade Assessment and Remediation Across Services</t>
        </is>
      </c>
      <c r="C90" s="30" t="inlineStr">
        <is>
          <t>Jawahar</t>
        </is>
      </c>
      <c r="D90" s="30" t="inlineStr">
        <is>
          <t>Not Started</t>
        </is>
      </c>
      <c r="E90" s="31" t="n">
        <v>46521</v>
      </c>
      <c r="F90" s="31" t="n">
        <v>46525</v>
      </c>
      <c r="G90" s="32" t="n">
        <v>0</v>
      </c>
      <c r="H90" s="30" t="inlineStr">
        <is>
          <t>No</t>
        </is>
      </c>
      <c r="I90" s="33">
        <f>IF(OR($E90="",$F90=""),"",IF(AND(I$4&lt;=$F90,I$4+6&gt;=$E90),IF($F90-$E90&lt;=2,"◆",IF($H90="Yes","X",LEFT($D90,1))),""))</f>
        <v/>
      </c>
      <c r="J90" s="33">
        <f>IF(OR($E90="",$F90=""),"",IF(AND(J$4&lt;=$F90,J$4+6&gt;=$E90),IF($F90-$E90&lt;=2,"◆",IF($H90="Yes","X",LEFT($D90,1))),""))</f>
        <v/>
      </c>
      <c r="K90" s="33">
        <f>IF(OR($E90="",$F90=""),"",IF(AND(K$4&lt;=$F90,K$4+6&gt;=$E90),IF($F90-$E90&lt;=2,"◆",IF($H90="Yes","X",LEFT($D90,1))),""))</f>
        <v/>
      </c>
      <c r="L90" s="33">
        <f>IF(OR($E90="",$F90=""),"",IF(AND(L$4&lt;=$F90,L$4+6&gt;=$E90),IF($F90-$E90&lt;=2,"◆",IF($H90="Yes","X",LEFT($D90,1))),""))</f>
        <v/>
      </c>
      <c r="M90" s="33">
        <f>IF(OR($E90="",$F90=""),"",IF(AND(M$4&lt;=$F90,M$4+6&gt;=$E90),IF($F90-$E90&lt;=2,"◆",IF($H90="Yes","X",LEFT($D90,1))),""))</f>
        <v/>
      </c>
      <c r="N90" s="33">
        <f>IF(OR($E90="",$F90=""),"",IF(AND(N$4&lt;=$F90,N$4+6&gt;=$E90),IF($F90-$E90&lt;=2,"◆",IF($H90="Yes","X",LEFT($D90,1))),""))</f>
        <v/>
      </c>
      <c r="O90" s="33">
        <f>IF(OR($E90="",$F90=""),"",IF(AND(O$4&lt;=$F90,O$4+6&gt;=$E90),IF($F90-$E90&lt;=2,"◆",IF($H90="Yes","X",LEFT($D90,1))),""))</f>
        <v/>
      </c>
      <c r="P90" s="33">
        <f>IF(OR($E90="",$F90=""),"",IF(AND(P$4&lt;=$F90,P$4+6&gt;=$E90),IF($F90-$E90&lt;=2,"◆",IF($H90="Yes","X",LEFT($D90,1))),""))</f>
        <v/>
      </c>
      <c r="Q90" s="33">
        <f>IF(OR($E90="",$F90=""),"",IF(AND(Q$4&lt;=$F90,Q$4+6&gt;=$E90),IF($F90-$E90&lt;=2,"◆",IF($H90="Yes","X",LEFT($D90,1))),""))</f>
        <v/>
      </c>
      <c r="R90" s="33">
        <f>IF(OR($E90="",$F90=""),"",IF(AND(R$4&lt;=$F90,R$4+6&gt;=$E90),IF($F90-$E90&lt;=2,"◆",IF($H90="Yes","X",LEFT($D90,1))),""))</f>
        <v/>
      </c>
      <c r="S90" s="33">
        <f>IF(OR($E90="",$F90=""),"",IF(AND(S$4&lt;=$F90,S$4+6&gt;=$E90),IF($F90-$E90&lt;=2,"◆",IF($H90="Yes","X",LEFT($D90,1))),""))</f>
        <v/>
      </c>
      <c r="T90" s="33">
        <f>IF(OR($E90="",$F90=""),"",IF(AND(T$4&lt;=$F90,T$4+6&gt;=$E90),IF($F90-$E90&lt;=2,"◆",IF($H90="Yes","X",LEFT($D90,1))),""))</f>
        <v/>
      </c>
      <c r="U90" s="33">
        <f>IF(OR($E90="",$F90=""),"",IF(AND(U$4&lt;=$F90,U$4+6&gt;=$E90),IF($F90-$E90&lt;=2,"◆",IF($H90="Yes","X",LEFT($D90,1))),""))</f>
        <v/>
      </c>
      <c r="V90" s="33">
        <f>IF(OR($E90="",$F90=""),"",IF(AND(V$4&lt;=$F90,V$4+6&gt;=$E90),IF($F90-$E90&lt;=2,"◆",IF($H90="Yes","X",LEFT($D90,1))),""))</f>
        <v/>
      </c>
      <c r="W90" s="33">
        <f>IF(OR($E90="",$F90=""),"",IF(AND(W$4&lt;=$F90,W$4+6&gt;=$E90),IF($F90-$E90&lt;=2,"◆",IF($H90="Yes","X",LEFT($D90,1))),""))</f>
        <v/>
      </c>
      <c r="X90" s="33">
        <f>IF(OR($E90="",$F90=""),"",IF(AND(X$4&lt;=$F90,X$4+6&gt;=$E90),IF($F90-$E90&lt;=2,"◆",IF($H90="Yes","X",LEFT($D90,1))),""))</f>
        <v/>
      </c>
      <c r="Y90" s="33">
        <f>IF(OR($E90="",$F90=""),"",IF(AND(Y$4&lt;=$F90,Y$4+6&gt;=$E90),IF($F90-$E90&lt;=2,"◆",IF($H90="Yes","X",LEFT($D90,1))),""))</f>
        <v/>
      </c>
      <c r="Z90" s="33">
        <f>IF(OR($E90="",$F90=""),"",IF(AND(Z$4&lt;=$F90,Z$4+6&gt;=$E90),IF($F90-$E90&lt;=2,"◆",IF($H90="Yes","X",LEFT($D90,1))),""))</f>
        <v/>
      </c>
      <c r="AA90" s="33">
        <f>IF(OR($E90="",$F90=""),"",IF(AND(AA$4&lt;=$F90,AA$4+6&gt;=$E90),IF($F90-$E90&lt;=2,"◆",IF($H90="Yes","X",LEFT($D90,1))),""))</f>
        <v/>
      </c>
      <c r="AB90" s="33">
        <f>IF(OR($E90="",$F90=""),"",IF(AND(AB$4&lt;=$F90,AB$4+6&gt;=$E90),IF($F90-$E90&lt;=2,"◆",IF($H90="Yes","X",LEFT($D90,1))),""))</f>
        <v/>
      </c>
      <c r="AC90" s="33">
        <f>IF(OR($E90="",$F90=""),"",IF(AND(AC$4&lt;=$F90,AC$4+6&gt;=$E90),IF($F90-$E90&lt;=2,"◆",IF($H90="Yes","X",LEFT($D90,1))),""))</f>
        <v/>
      </c>
      <c r="AD90" s="33">
        <f>IF(OR($E90="",$F90=""),"",IF(AND(AD$4&lt;=$F90,AD$4+6&gt;=$E90),IF($F90-$E90&lt;=2,"◆",IF($H90="Yes","X",LEFT($D90,1))),""))</f>
        <v/>
      </c>
      <c r="AE90" s="33">
        <f>IF(OR($E90="",$F90=""),"",IF(AND(AE$4&lt;=$F90,AE$4+6&gt;=$E90),IF($F90-$E90&lt;=2,"◆",IF($H90="Yes","X",LEFT($D90,1))),""))</f>
        <v/>
      </c>
      <c r="AF90" s="33">
        <f>IF(OR($E90="",$F90=""),"",IF(AND(AF$4&lt;=$F90,AF$4+6&gt;=$E90),IF($F90-$E90&lt;=2,"◆",IF($H90="Yes","X",LEFT($D90,1))),""))</f>
        <v/>
      </c>
      <c r="AG90" s="33">
        <f>IF(OR($E90="",$F90=""),"",IF(AND(AG$4&lt;=$F90,AG$4+6&gt;=$E90),IF($F90-$E90&lt;=2,"◆",IF($H90="Yes","X",LEFT($D90,1))),""))</f>
        <v/>
      </c>
      <c r="AH90" s="33">
        <f>IF(OR($E90="",$F90=""),"",IF(AND(AH$4&lt;=$F90,AH$4+6&gt;=$E90),IF($F90-$E90&lt;=2,"◆",IF($H90="Yes","X",LEFT($D90,1))),""))</f>
        <v/>
      </c>
      <c r="AI90" s="33">
        <f>IF(OR($E90="",$F90=""),"",IF(AND(AI$4&lt;=$F90,AI$4+6&gt;=$E90),IF($F90-$E90&lt;=2,"◆",IF($H90="Yes","X",LEFT($D90,1))),""))</f>
        <v/>
      </c>
      <c r="AJ90" s="33">
        <f>IF(OR($E90="",$F90=""),"",IF(AND(AJ$4&lt;=$F90,AJ$4+6&gt;=$E90),IF($F90-$E90&lt;=2,"◆",IF($H90="Yes","X",LEFT($D90,1))),""))</f>
        <v/>
      </c>
      <c r="AK90" s="33">
        <f>IF(OR($E90="",$F90=""),"",IF(AND(AK$4&lt;=$F90,AK$4+6&gt;=$E90),IF($F90-$E90&lt;=2,"◆",IF($H90="Yes","X",LEFT($D90,1))),""))</f>
        <v/>
      </c>
      <c r="AL90" s="33">
        <f>IF(OR($E90="",$F90=""),"",IF(AND(AL$4&lt;=$F90,AL$4+6&gt;=$E90),IF($F90-$E90&lt;=2,"◆",IF($H90="Yes","X",LEFT($D90,1))),""))</f>
        <v/>
      </c>
      <c r="AM90" s="33">
        <f>IF(OR($E90="",$F90=""),"",IF(AND(AM$4&lt;=$F90,AM$4+6&gt;=$E90),IF($F90-$E90&lt;=2,"◆",IF($H90="Yes","X",LEFT($D90,1))),""))</f>
        <v/>
      </c>
      <c r="AN90" s="33">
        <f>IF(OR($E90="",$F90=""),"",IF(AND(AN$4&lt;=$F90,AN$4+6&gt;=$E90),IF($F90-$E90&lt;=2,"◆",IF($H90="Yes","X",LEFT($D90,1))),""))</f>
        <v/>
      </c>
      <c r="AO90" s="33">
        <f>IF(OR($E90="",$F90=""),"",IF(AND(AO$4&lt;=$F90,AO$4+6&gt;=$E90),IF($F90-$E90&lt;=2,"◆",IF($H90="Yes","X",LEFT($D90,1))),""))</f>
        <v/>
      </c>
      <c r="AP90" s="33">
        <f>IF(OR($E90="",$F90=""),"",IF(AND(AP$4&lt;=$F90,AP$4+6&gt;=$E90),IF($F90-$E90&lt;=2,"◆",IF($H90="Yes","X",LEFT($D90,1))),""))</f>
        <v/>
      </c>
      <c r="AQ90" s="33">
        <f>IF(OR($E90="",$F90=""),"",IF(AND(AQ$4&lt;=$F90,AQ$4+6&gt;=$E90),IF($F90-$E90&lt;=2,"◆",IF($H90="Yes","X",LEFT($D90,1))),""))</f>
        <v/>
      </c>
      <c r="AR90" s="33">
        <f>IF(OR($E90="",$F90=""),"",IF(AND(AR$4&lt;=$F90,AR$4+6&gt;=$E90),IF($F90-$E90&lt;=2,"◆",IF($H90="Yes","X",LEFT($D90,1))),""))</f>
        <v/>
      </c>
      <c r="AS90" s="33">
        <f>IF(OR($E90="",$F90=""),"",IF(AND(AS$4&lt;=$F90,AS$4+6&gt;=$E90),IF($F90-$E90&lt;=2,"◆",IF($H90="Yes","X",LEFT($D90,1))),""))</f>
        <v/>
      </c>
      <c r="AT90" s="33">
        <f>IF(OR($E90="",$F90=""),"",IF(AND(AT$4&lt;=$F90,AT$4+6&gt;=$E90),IF($F90-$E90&lt;=2,"◆",IF($H90="Yes","X",LEFT($D90,1))),""))</f>
        <v/>
      </c>
      <c r="AU90" s="33">
        <f>IF(OR($E90="",$F90=""),"",IF(AND(AU$4&lt;=$F90,AU$4+6&gt;=$E90),IF($F90-$E90&lt;=2,"◆",IF($H90="Yes","X",LEFT($D90,1))),""))</f>
        <v/>
      </c>
      <c r="AV90" s="33">
        <f>IF(OR($E90="",$F90=""),"",IF(AND(AV$4&lt;=$F90,AV$4+6&gt;=$E90),IF($F90-$E90&lt;=2,"◆",IF($H90="Yes","X",LEFT($D90,1))),""))</f>
        <v/>
      </c>
      <c r="AW90" s="33">
        <f>IF(OR($E90="",$F90=""),"",IF(AND(AW$4&lt;=$F90,AW$4+6&gt;=$E90),IF($F90-$E90&lt;=2,"◆",IF($H90="Yes","X",LEFT($D90,1))),""))</f>
        <v/>
      </c>
      <c r="AX90" s="33">
        <f>IF(OR($E90="",$F90=""),"",IF(AND(AX$4&lt;=$F90,AX$4+6&gt;=$E90),IF($F90-$E90&lt;=2,"◆",IF($H90="Yes","X",LEFT($D90,1))),""))</f>
        <v/>
      </c>
      <c r="AY90" s="33">
        <f>IF(OR($E90="",$F90=""),"",IF(AND(AY$4&lt;=$F90,AY$4+6&gt;=$E90),IF($F90-$E90&lt;=2,"◆",IF($H90="Yes","X",LEFT($D90,1))),""))</f>
        <v/>
      </c>
      <c r="AZ90" s="33">
        <f>IF(OR($E90="",$F90=""),"",IF(AND(AZ$4&lt;=$F90,AZ$4+6&gt;=$E90),IF($F90-$E90&lt;=2,"◆",IF($H90="Yes","X",LEFT($D90,1))),""))</f>
        <v/>
      </c>
      <c r="BA90" s="33">
        <f>IF(OR($E90="",$F90=""),"",IF(AND(BA$4&lt;=$F90,BA$4+6&gt;=$E90),IF($F90-$E90&lt;=2,"◆",IF($H90="Yes","X",LEFT($D90,1))),""))</f>
        <v/>
      </c>
      <c r="BB90" s="33">
        <f>IF(OR($E90="",$F90=""),"",IF(AND(BB$4&lt;=$F90,BB$4+6&gt;=$E90),IF($F90-$E90&lt;=2,"◆",IF($H90="Yes","X",LEFT($D90,1))),""))</f>
        <v/>
      </c>
      <c r="BC90" s="33">
        <f>IF(OR($E90="",$F90=""),"",IF(AND(BC$4&lt;=$F90,BC$4+6&gt;=$E90),IF($F90-$E90&lt;=2,"◆",IF($H90="Yes","X",LEFT($D90,1))),""))</f>
        <v/>
      </c>
      <c r="BD90" s="33">
        <f>IF(OR($E90="",$F90=""),"",IF(AND(BD$4&lt;=$F90,BD$4+6&gt;=$E90),IF($F90-$E90&lt;=2,"◆",IF($H90="Yes","X",LEFT($D90,1))),""))</f>
        <v/>
      </c>
      <c r="BE90" s="33">
        <f>IF(OR($E90="",$F90=""),"",IF(AND(BE$4&lt;=$F90,BE$4+6&gt;=$E90),IF($F90-$E90&lt;=2,"◆",IF($H90="Yes","X",LEFT($D90,1))),""))</f>
        <v/>
      </c>
      <c r="BF90" s="33">
        <f>IF(OR($E90="",$F90=""),"",IF(AND(BF$4&lt;=$F90,BF$4+6&gt;=$E90),IF($F90-$E90&lt;=2,"◆",IF($H90="Yes","X",LEFT($D90,1))),""))</f>
        <v/>
      </c>
      <c r="BG90" s="33">
        <f>IF(OR($E90="",$F90=""),"",IF(AND(BG$4&lt;=$F90,BG$4+6&gt;=$E90),IF($F90-$E90&lt;=2,"◆",IF($H90="Yes","X",LEFT($D90,1))),""))</f>
        <v/>
      </c>
      <c r="BH90" s="33">
        <f>IF(OR($E90="",$F90=""),"",IF(AND(BH$4&lt;=$F90,BH$4+6&gt;=$E90),IF($F90-$E90&lt;=2,"◆",IF($H90="Yes","X",LEFT($D90,1))),""))</f>
        <v/>
      </c>
      <c r="BI90" s="33">
        <f>IF(OR($E90="",$F90=""),"",IF(AND(BI$4&lt;=$F90,BI$4+6&gt;=$E90),IF($F90-$E90&lt;=2,"◆",IF($H90="Yes","X",LEFT($D90,1))),""))</f>
        <v/>
      </c>
    </row>
    <row r="91">
      <c r="A91" s="30" t="inlineStr">
        <is>
          <t>T-087</t>
        </is>
      </c>
      <c r="B91" s="30" t="inlineStr">
        <is>
          <t>Cloud Usage Chargeback Model, Monthly Tenant-Level Allocation</t>
        </is>
      </c>
      <c r="C91" s="30" t="inlineStr">
        <is>
          <t>Jawahar</t>
        </is>
      </c>
      <c r="D91" s="30" t="inlineStr">
        <is>
          <t>Not Started</t>
        </is>
      </c>
      <c r="E91" s="31" t="n">
        <v>46486</v>
      </c>
      <c r="F91" s="31" t="n">
        <v>46490</v>
      </c>
      <c r="G91" s="32" t="n">
        <v>0</v>
      </c>
      <c r="H91" s="30" t="inlineStr">
        <is>
          <t>No</t>
        </is>
      </c>
      <c r="I91" s="33">
        <f>IF(OR($E91="",$F91=""),"",IF(AND(I$4&lt;=$F91,I$4+6&gt;=$E91),IF($F91-$E91&lt;=2,"◆",IF($H91="Yes","X",LEFT($D91,1))),""))</f>
        <v/>
      </c>
      <c r="J91" s="33">
        <f>IF(OR($E91="",$F91=""),"",IF(AND(J$4&lt;=$F91,J$4+6&gt;=$E91),IF($F91-$E91&lt;=2,"◆",IF($H91="Yes","X",LEFT($D91,1))),""))</f>
        <v/>
      </c>
      <c r="K91" s="33">
        <f>IF(OR($E91="",$F91=""),"",IF(AND(K$4&lt;=$F91,K$4+6&gt;=$E91),IF($F91-$E91&lt;=2,"◆",IF($H91="Yes","X",LEFT($D91,1))),""))</f>
        <v/>
      </c>
      <c r="L91" s="33">
        <f>IF(OR($E91="",$F91=""),"",IF(AND(L$4&lt;=$F91,L$4+6&gt;=$E91),IF($F91-$E91&lt;=2,"◆",IF($H91="Yes","X",LEFT($D91,1))),""))</f>
        <v/>
      </c>
      <c r="M91" s="33">
        <f>IF(OR($E91="",$F91=""),"",IF(AND(M$4&lt;=$F91,M$4+6&gt;=$E91),IF($F91-$E91&lt;=2,"◆",IF($H91="Yes","X",LEFT($D91,1))),""))</f>
        <v/>
      </c>
      <c r="N91" s="33">
        <f>IF(OR($E91="",$F91=""),"",IF(AND(N$4&lt;=$F91,N$4+6&gt;=$E91),IF($F91-$E91&lt;=2,"◆",IF($H91="Yes","X",LEFT($D91,1))),""))</f>
        <v/>
      </c>
      <c r="O91" s="33">
        <f>IF(OR($E91="",$F91=""),"",IF(AND(O$4&lt;=$F91,O$4+6&gt;=$E91),IF($F91-$E91&lt;=2,"◆",IF($H91="Yes","X",LEFT($D91,1))),""))</f>
        <v/>
      </c>
      <c r="P91" s="33">
        <f>IF(OR($E91="",$F91=""),"",IF(AND(P$4&lt;=$F91,P$4+6&gt;=$E91),IF($F91-$E91&lt;=2,"◆",IF($H91="Yes","X",LEFT($D91,1))),""))</f>
        <v/>
      </c>
      <c r="Q91" s="33">
        <f>IF(OR($E91="",$F91=""),"",IF(AND(Q$4&lt;=$F91,Q$4+6&gt;=$E91),IF($F91-$E91&lt;=2,"◆",IF($H91="Yes","X",LEFT($D91,1))),""))</f>
        <v/>
      </c>
      <c r="R91" s="33">
        <f>IF(OR($E91="",$F91=""),"",IF(AND(R$4&lt;=$F91,R$4+6&gt;=$E91),IF($F91-$E91&lt;=2,"◆",IF($H91="Yes","X",LEFT($D91,1))),""))</f>
        <v/>
      </c>
      <c r="S91" s="33">
        <f>IF(OR($E91="",$F91=""),"",IF(AND(S$4&lt;=$F91,S$4+6&gt;=$E91),IF($F91-$E91&lt;=2,"◆",IF($H91="Yes","X",LEFT($D91,1))),""))</f>
        <v/>
      </c>
      <c r="T91" s="33">
        <f>IF(OR($E91="",$F91=""),"",IF(AND(T$4&lt;=$F91,T$4+6&gt;=$E91),IF($F91-$E91&lt;=2,"◆",IF($H91="Yes","X",LEFT($D91,1))),""))</f>
        <v/>
      </c>
      <c r="U91" s="33">
        <f>IF(OR($E91="",$F91=""),"",IF(AND(U$4&lt;=$F91,U$4+6&gt;=$E91),IF($F91-$E91&lt;=2,"◆",IF($H91="Yes","X",LEFT($D91,1))),""))</f>
        <v/>
      </c>
      <c r="V91" s="33">
        <f>IF(OR($E91="",$F91=""),"",IF(AND(V$4&lt;=$F91,V$4+6&gt;=$E91),IF($F91-$E91&lt;=2,"◆",IF($H91="Yes","X",LEFT($D91,1))),""))</f>
        <v/>
      </c>
      <c r="W91" s="33">
        <f>IF(OR($E91="",$F91=""),"",IF(AND(W$4&lt;=$F91,W$4+6&gt;=$E91),IF($F91-$E91&lt;=2,"◆",IF($H91="Yes","X",LEFT($D91,1))),""))</f>
        <v/>
      </c>
      <c r="X91" s="33">
        <f>IF(OR($E91="",$F91=""),"",IF(AND(X$4&lt;=$F91,X$4+6&gt;=$E91),IF($F91-$E91&lt;=2,"◆",IF($H91="Yes","X",LEFT($D91,1))),""))</f>
        <v/>
      </c>
      <c r="Y91" s="33">
        <f>IF(OR($E91="",$F91=""),"",IF(AND(Y$4&lt;=$F91,Y$4+6&gt;=$E91),IF($F91-$E91&lt;=2,"◆",IF($H91="Yes","X",LEFT($D91,1))),""))</f>
        <v/>
      </c>
      <c r="Z91" s="33">
        <f>IF(OR($E91="",$F91=""),"",IF(AND(Z$4&lt;=$F91,Z$4+6&gt;=$E91),IF($F91-$E91&lt;=2,"◆",IF($H91="Yes","X",LEFT($D91,1))),""))</f>
        <v/>
      </c>
      <c r="AA91" s="33">
        <f>IF(OR($E91="",$F91=""),"",IF(AND(AA$4&lt;=$F91,AA$4+6&gt;=$E91),IF($F91-$E91&lt;=2,"◆",IF($H91="Yes","X",LEFT($D91,1))),""))</f>
        <v/>
      </c>
      <c r="AB91" s="33">
        <f>IF(OR($E91="",$F91=""),"",IF(AND(AB$4&lt;=$F91,AB$4+6&gt;=$E91),IF($F91-$E91&lt;=2,"◆",IF($H91="Yes","X",LEFT($D91,1))),""))</f>
        <v/>
      </c>
      <c r="AC91" s="33">
        <f>IF(OR($E91="",$F91=""),"",IF(AND(AC$4&lt;=$F91,AC$4+6&gt;=$E91),IF($F91-$E91&lt;=2,"◆",IF($H91="Yes","X",LEFT($D91,1))),""))</f>
        <v/>
      </c>
      <c r="AD91" s="33">
        <f>IF(OR($E91="",$F91=""),"",IF(AND(AD$4&lt;=$F91,AD$4+6&gt;=$E91),IF($F91-$E91&lt;=2,"◆",IF($H91="Yes","X",LEFT($D91,1))),""))</f>
        <v/>
      </c>
      <c r="AE91" s="33">
        <f>IF(OR($E91="",$F91=""),"",IF(AND(AE$4&lt;=$F91,AE$4+6&gt;=$E91),IF($F91-$E91&lt;=2,"◆",IF($H91="Yes","X",LEFT($D91,1))),""))</f>
        <v/>
      </c>
      <c r="AF91" s="33">
        <f>IF(OR($E91="",$F91=""),"",IF(AND(AF$4&lt;=$F91,AF$4+6&gt;=$E91),IF($F91-$E91&lt;=2,"◆",IF($H91="Yes","X",LEFT($D91,1))),""))</f>
        <v/>
      </c>
      <c r="AG91" s="33">
        <f>IF(OR($E91="",$F91=""),"",IF(AND(AG$4&lt;=$F91,AG$4+6&gt;=$E91),IF($F91-$E91&lt;=2,"◆",IF($H91="Yes","X",LEFT($D91,1))),""))</f>
        <v/>
      </c>
      <c r="AH91" s="33">
        <f>IF(OR($E91="",$F91=""),"",IF(AND(AH$4&lt;=$F91,AH$4+6&gt;=$E91),IF($F91-$E91&lt;=2,"◆",IF($H91="Yes","X",LEFT($D91,1))),""))</f>
        <v/>
      </c>
      <c r="AI91" s="33">
        <f>IF(OR($E91="",$F91=""),"",IF(AND(AI$4&lt;=$F91,AI$4+6&gt;=$E91),IF($F91-$E91&lt;=2,"◆",IF($H91="Yes","X",LEFT($D91,1))),""))</f>
        <v/>
      </c>
      <c r="AJ91" s="33">
        <f>IF(OR($E91="",$F91=""),"",IF(AND(AJ$4&lt;=$F91,AJ$4+6&gt;=$E91),IF($F91-$E91&lt;=2,"◆",IF($H91="Yes","X",LEFT($D91,1))),""))</f>
        <v/>
      </c>
      <c r="AK91" s="33">
        <f>IF(OR($E91="",$F91=""),"",IF(AND(AK$4&lt;=$F91,AK$4+6&gt;=$E91),IF($F91-$E91&lt;=2,"◆",IF($H91="Yes","X",LEFT($D91,1))),""))</f>
        <v/>
      </c>
      <c r="AL91" s="33">
        <f>IF(OR($E91="",$F91=""),"",IF(AND(AL$4&lt;=$F91,AL$4+6&gt;=$E91),IF($F91-$E91&lt;=2,"◆",IF($H91="Yes","X",LEFT($D91,1))),""))</f>
        <v/>
      </c>
      <c r="AM91" s="33">
        <f>IF(OR($E91="",$F91=""),"",IF(AND(AM$4&lt;=$F91,AM$4+6&gt;=$E91),IF($F91-$E91&lt;=2,"◆",IF($H91="Yes","X",LEFT($D91,1))),""))</f>
        <v/>
      </c>
      <c r="AN91" s="33">
        <f>IF(OR($E91="",$F91=""),"",IF(AND(AN$4&lt;=$F91,AN$4+6&gt;=$E91),IF($F91-$E91&lt;=2,"◆",IF($H91="Yes","X",LEFT($D91,1))),""))</f>
        <v/>
      </c>
      <c r="AO91" s="33">
        <f>IF(OR($E91="",$F91=""),"",IF(AND(AO$4&lt;=$F91,AO$4+6&gt;=$E91),IF($F91-$E91&lt;=2,"◆",IF($H91="Yes","X",LEFT($D91,1))),""))</f>
        <v/>
      </c>
      <c r="AP91" s="33">
        <f>IF(OR($E91="",$F91=""),"",IF(AND(AP$4&lt;=$F91,AP$4+6&gt;=$E91),IF($F91-$E91&lt;=2,"◆",IF($H91="Yes","X",LEFT($D91,1))),""))</f>
        <v/>
      </c>
      <c r="AQ91" s="33">
        <f>IF(OR($E91="",$F91=""),"",IF(AND(AQ$4&lt;=$F91,AQ$4+6&gt;=$E91),IF($F91-$E91&lt;=2,"◆",IF($H91="Yes","X",LEFT($D91,1))),""))</f>
        <v/>
      </c>
      <c r="AR91" s="33">
        <f>IF(OR($E91="",$F91=""),"",IF(AND(AR$4&lt;=$F91,AR$4+6&gt;=$E91),IF($F91-$E91&lt;=2,"◆",IF($H91="Yes","X",LEFT($D91,1))),""))</f>
        <v/>
      </c>
      <c r="AS91" s="33">
        <f>IF(OR($E91="",$F91=""),"",IF(AND(AS$4&lt;=$F91,AS$4+6&gt;=$E91),IF($F91-$E91&lt;=2,"◆",IF($H91="Yes","X",LEFT($D91,1))),""))</f>
        <v/>
      </c>
      <c r="AT91" s="33">
        <f>IF(OR($E91="",$F91=""),"",IF(AND(AT$4&lt;=$F91,AT$4+6&gt;=$E91),IF($F91-$E91&lt;=2,"◆",IF($H91="Yes","X",LEFT($D91,1))),""))</f>
        <v/>
      </c>
      <c r="AU91" s="33">
        <f>IF(OR($E91="",$F91=""),"",IF(AND(AU$4&lt;=$F91,AU$4+6&gt;=$E91),IF($F91-$E91&lt;=2,"◆",IF($H91="Yes","X",LEFT($D91,1))),""))</f>
        <v/>
      </c>
      <c r="AV91" s="33">
        <f>IF(OR($E91="",$F91=""),"",IF(AND(AV$4&lt;=$F91,AV$4+6&gt;=$E91),IF($F91-$E91&lt;=2,"◆",IF($H91="Yes","X",LEFT($D91,1))),""))</f>
        <v/>
      </c>
      <c r="AW91" s="33">
        <f>IF(OR($E91="",$F91=""),"",IF(AND(AW$4&lt;=$F91,AW$4+6&gt;=$E91),IF($F91-$E91&lt;=2,"◆",IF($H91="Yes","X",LEFT($D91,1))),""))</f>
        <v/>
      </c>
      <c r="AX91" s="33">
        <f>IF(OR($E91="",$F91=""),"",IF(AND(AX$4&lt;=$F91,AX$4+6&gt;=$E91),IF($F91-$E91&lt;=2,"◆",IF($H91="Yes","X",LEFT($D91,1))),""))</f>
        <v/>
      </c>
      <c r="AY91" s="33">
        <f>IF(OR($E91="",$F91=""),"",IF(AND(AY$4&lt;=$F91,AY$4+6&gt;=$E91),IF($F91-$E91&lt;=2,"◆",IF($H91="Yes","X",LEFT($D91,1))),""))</f>
        <v/>
      </c>
      <c r="AZ91" s="33">
        <f>IF(OR($E91="",$F91=""),"",IF(AND(AZ$4&lt;=$F91,AZ$4+6&gt;=$E91),IF($F91-$E91&lt;=2,"◆",IF($H91="Yes","X",LEFT($D91,1))),""))</f>
        <v/>
      </c>
      <c r="BA91" s="33">
        <f>IF(OR($E91="",$F91=""),"",IF(AND(BA$4&lt;=$F91,BA$4+6&gt;=$E91),IF($F91-$E91&lt;=2,"◆",IF($H91="Yes","X",LEFT($D91,1))),""))</f>
        <v/>
      </c>
      <c r="BB91" s="33">
        <f>IF(OR($E91="",$F91=""),"",IF(AND(BB$4&lt;=$F91,BB$4+6&gt;=$E91),IF($F91-$E91&lt;=2,"◆",IF($H91="Yes","X",LEFT($D91,1))),""))</f>
        <v/>
      </c>
      <c r="BC91" s="33">
        <f>IF(OR($E91="",$F91=""),"",IF(AND(BC$4&lt;=$F91,BC$4+6&gt;=$E91),IF($F91-$E91&lt;=2,"◆",IF($H91="Yes","X",LEFT($D91,1))),""))</f>
        <v/>
      </c>
      <c r="BD91" s="33">
        <f>IF(OR($E91="",$F91=""),"",IF(AND(BD$4&lt;=$F91,BD$4+6&gt;=$E91),IF($F91-$E91&lt;=2,"◆",IF($H91="Yes","X",LEFT($D91,1))),""))</f>
        <v/>
      </c>
      <c r="BE91" s="33">
        <f>IF(OR($E91="",$F91=""),"",IF(AND(BE$4&lt;=$F91,BE$4+6&gt;=$E91),IF($F91-$E91&lt;=2,"◆",IF($H91="Yes","X",LEFT($D91,1))),""))</f>
        <v/>
      </c>
      <c r="BF91" s="33">
        <f>IF(OR($E91="",$F91=""),"",IF(AND(BF$4&lt;=$F91,BF$4+6&gt;=$E91),IF($F91-$E91&lt;=2,"◆",IF($H91="Yes","X",LEFT($D91,1))),""))</f>
        <v/>
      </c>
      <c r="BG91" s="33">
        <f>IF(OR($E91="",$F91=""),"",IF(AND(BG$4&lt;=$F91,BG$4+6&gt;=$E91),IF($F91-$E91&lt;=2,"◆",IF($H91="Yes","X",LEFT($D91,1))),""))</f>
        <v/>
      </c>
      <c r="BH91" s="33">
        <f>IF(OR($E91="",$F91=""),"",IF(AND(BH$4&lt;=$F91,BH$4+6&gt;=$E91),IF($F91-$E91&lt;=2,"◆",IF($H91="Yes","X",LEFT($D91,1))),""))</f>
        <v/>
      </c>
      <c r="BI91" s="33">
        <f>IF(OR($E91="",$F91=""),"",IF(AND(BI$4&lt;=$F91,BI$4+6&gt;=$E91),IF($F91-$E91&lt;=2,"◆",IF($H91="Yes","X",LEFT($D91,1))),""))</f>
        <v/>
      </c>
    </row>
    <row r="92">
      <c r="A92" s="30" t="inlineStr">
        <is>
          <t>T-088</t>
        </is>
      </c>
      <c r="B92" s="30" t="inlineStr">
        <is>
          <t>Insight Agent Requirements Building and POC Closure</t>
        </is>
      </c>
      <c r="C92" s="30" t="inlineStr">
        <is>
          <t>Siva</t>
        </is>
      </c>
      <c r="D92" s="30" t="inlineStr">
        <is>
          <t>Not Started</t>
        </is>
      </c>
      <c r="E92" s="31" t="n">
        <v>46235</v>
      </c>
      <c r="F92" s="31" t="n">
        <v>46251</v>
      </c>
      <c r="G92" s="32" t="n">
        <v>0</v>
      </c>
      <c r="H92" s="30" t="inlineStr">
        <is>
          <t>No</t>
        </is>
      </c>
      <c r="I92" s="33">
        <f>IF(OR($E92="",$F92=""),"",IF(AND(I$4&lt;=$F92,I$4+6&gt;=$E92),IF($F92-$E92&lt;=2,"◆",IF($H92="Yes","X",LEFT($D92,1))),""))</f>
        <v/>
      </c>
      <c r="J92" s="33">
        <f>IF(OR($E92="",$F92=""),"",IF(AND(J$4&lt;=$F92,J$4+6&gt;=$E92),IF($F92-$E92&lt;=2,"◆",IF($H92="Yes","X",LEFT($D92,1))),""))</f>
        <v/>
      </c>
      <c r="K92" s="33">
        <f>IF(OR($E92="",$F92=""),"",IF(AND(K$4&lt;=$F92,K$4+6&gt;=$E92),IF($F92-$E92&lt;=2,"◆",IF($H92="Yes","X",LEFT($D92,1))),""))</f>
        <v/>
      </c>
      <c r="L92" s="33">
        <f>IF(OR($E92="",$F92=""),"",IF(AND(L$4&lt;=$F92,L$4+6&gt;=$E92),IF($F92-$E92&lt;=2,"◆",IF($H92="Yes","X",LEFT($D92,1))),""))</f>
        <v/>
      </c>
      <c r="M92" s="33">
        <f>IF(OR($E92="",$F92=""),"",IF(AND(M$4&lt;=$F92,M$4+6&gt;=$E92),IF($F92-$E92&lt;=2,"◆",IF($H92="Yes","X",LEFT($D92,1))),""))</f>
        <v/>
      </c>
      <c r="N92" s="33">
        <f>IF(OR($E92="",$F92=""),"",IF(AND(N$4&lt;=$F92,N$4+6&gt;=$E92),IF($F92-$E92&lt;=2,"◆",IF($H92="Yes","X",LEFT($D92,1))),""))</f>
        <v/>
      </c>
      <c r="O92" s="33">
        <f>IF(OR($E92="",$F92=""),"",IF(AND(O$4&lt;=$F92,O$4+6&gt;=$E92),IF($F92-$E92&lt;=2,"◆",IF($H92="Yes","X",LEFT($D92,1))),""))</f>
        <v/>
      </c>
      <c r="P92" s="33">
        <f>IF(OR($E92="",$F92=""),"",IF(AND(P$4&lt;=$F92,P$4+6&gt;=$E92),IF($F92-$E92&lt;=2,"◆",IF($H92="Yes","X",LEFT($D92,1))),""))</f>
        <v/>
      </c>
      <c r="Q92" s="33">
        <f>IF(OR($E92="",$F92=""),"",IF(AND(Q$4&lt;=$F92,Q$4+6&gt;=$E92),IF($F92-$E92&lt;=2,"◆",IF($H92="Yes","X",LEFT($D92,1))),""))</f>
        <v/>
      </c>
      <c r="R92" s="33">
        <f>IF(OR($E92="",$F92=""),"",IF(AND(R$4&lt;=$F92,R$4+6&gt;=$E92),IF($F92-$E92&lt;=2,"◆",IF($H92="Yes","X",LEFT($D92,1))),""))</f>
        <v/>
      </c>
      <c r="S92" s="33">
        <f>IF(OR($E92="",$F92=""),"",IF(AND(S$4&lt;=$F92,S$4+6&gt;=$E92),IF($F92-$E92&lt;=2,"◆",IF($H92="Yes","X",LEFT($D92,1))),""))</f>
        <v/>
      </c>
      <c r="T92" s="33">
        <f>IF(OR($E92="",$F92=""),"",IF(AND(T$4&lt;=$F92,T$4+6&gt;=$E92),IF($F92-$E92&lt;=2,"◆",IF($H92="Yes","X",LEFT($D92,1))),""))</f>
        <v/>
      </c>
      <c r="U92" s="33">
        <f>IF(OR($E92="",$F92=""),"",IF(AND(U$4&lt;=$F92,U$4+6&gt;=$E92),IF($F92-$E92&lt;=2,"◆",IF($H92="Yes","X",LEFT($D92,1))),""))</f>
        <v/>
      </c>
      <c r="V92" s="33">
        <f>IF(OR($E92="",$F92=""),"",IF(AND(V$4&lt;=$F92,V$4+6&gt;=$E92),IF($F92-$E92&lt;=2,"◆",IF($H92="Yes","X",LEFT($D92,1))),""))</f>
        <v/>
      </c>
      <c r="W92" s="33">
        <f>IF(OR($E92="",$F92=""),"",IF(AND(W$4&lt;=$F92,W$4+6&gt;=$E92),IF($F92-$E92&lt;=2,"◆",IF($H92="Yes","X",LEFT($D92,1))),""))</f>
        <v/>
      </c>
      <c r="X92" s="33">
        <f>IF(OR($E92="",$F92=""),"",IF(AND(X$4&lt;=$F92,X$4+6&gt;=$E92),IF($F92-$E92&lt;=2,"◆",IF($H92="Yes","X",LEFT($D92,1))),""))</f>
        <v/>
      </c>
      <c r="Y92" s="33">
        <f>IF(OR($E92="",$F92=""),"",IF(AND(Y$4&lt;=$F92,Y$4+6&gt;=$E92),IF($F92-$E92&lt;=2,"◆",IF($H92="Yes","X",LEFT($D92,1))),""))</f>
        <v/>
      </c>
      <c r="Z92" s="33">
        <f>IF(OR($E92="",$F92=""),"",IF(AND(Z$4&lt;=$F92,Z$4+6&gt;=$E92),IF($F92-$E92&lt;=2,"◆",IF($H92="Yes","X",LEFT($D92,1))),""))</f>
        <v/>
      </c>
      <c r="AA92" s="33">
        <f>IF(OR($E92="",$F92=""),"",IF(AND(AA$4&lt;=$F92,AA$4+6&gt;=$E92),IF($F92-$E92&lt;=2,"◆",IF($H92="Yes","X",LEFT($D92,1))),""))</f>
        <v/>
      </c>
      <c r="AB92" s="33">
        <f>IF(OR($E92="",$F92=""),"",IF(AND(AB$4&lt;=$F92,AB$4+6&gt;=$E92),IF($F92-$E92&lt;=2,"◆",IF($H92="Yes","X",LEFT($D92,1))),""))</f>
        <v/>
      </c>
      <c r="AC92" s="33">
        <f>IF(OR($E92="",$F92=""),"",IF(AND(AC$4&lt;=$F92,AC$4+6&gt;=$E92),IF($F92-$E92&lt;=2,"◆",IF($H92="Yes","X",LEFT($D92,1))),""))</f>
        <v/>
      </c>
      <c r="AD92" s="33">
        <f>IF(OR($E92="",$F92=""),"",IF(AND(AD$4&lt;=$F92,AD$4+6&gt;=$E92),IF($F92-$E92&lt;=2,"◆",IF($H92="Yes","X",LEFT($D92,1))),""))</f>
        <v/>
      </c>
      <c r="AE92" s="33">
        <f>IF(OR($E92="",$F92=""),"",IF(AND(AE$4&lt;=$F92,AE$4+6&gt;=$E92),IF($F92-$E92&lt;=2,"◆",IF($H92="Yes","X",LEFT($D92,1))),""))</f>
        <v/>
      </c>
      <c r="AF92" s="33">
        <f>IF(OR($E92="",$F92=""),"",IF(AND(AF$4&lt;=$F92,AF$4+6&gt;=$E92),IF($F92-$E92&lt;=2,"◆",IF($H92="Yes","X",LEFT($D92,1))),""))</f>
        <v/>
      </c>
      <c r="AG92" s="33">
        <f>IF(OR($E92="",$F92=""),"",IF(AND(AG$4&lt;=$F92,AG$4+6&gt;=$E92),IF($F92-$E92&lt;=2,"◆",IF($H92="Yes","X",LEFT($D92,1))),""))</f>
        <v/>
      </c>
      <c r="AH92" s="33">
        <f>IF(OR($E92="",$F92=""),"",IF(AND(AH$4&lt;=$F92,AH$4+6&gt;=$E92),IF($F92-$E92&lt;=2,"◆",IF($H92="Yes","X",LEFT($D92,1))),""))</f>
        <v/>
      </c>
      <c r="AI92" s="33">
        <f>IF(OR($E92="",$F92=""),"",IF(AND(AI$4&lt;=$F92,AI$4+6&gt;=$E92),IF($F92-$E92&lt;=2,"◆",IF($H92="Yes","X",LEFT($D92,1))),""))</f>
        <v/>
      </c>
      <c r="AJ92" s="33">
        <f>IF(OR($E92="",$F92=""),"",IF(AND(AJ$4&lt;=$F92,AJ$4+6&gt;=$E92),IF($F92-$E92&lt;=2,"◆",IF($H92="Yes","X",LEFT($D92,1))),""))</f>
        <v/>
      </c>
      <c r="AK92" s="33">
        <f>IF(OR($E92="",$F92=""),"",IF(AND(AK$4&lt;=$F92,AK$4+6&gt;=$E92),IF($F92-$E92&lt;=2,"◆",IF($H92="Yes","X",LEFT($D92,1))),""))</f>
        <v/>
      </c>
      <c r="AL92" s="33">
        <f>IF(OR($E92="",$F92=""),"",IF(AND(AL$4&lt;=$F92,AL$4+6&gt;=$E92),IF($F92-$E92&lt;=2,"◆",IF($H92="Yes","X",LEFT($D92,1))),""))</f>
        <v/>
      </c>
      <c r="AM92" s="33">
        <f>IF(OR($E92="",$F92=""),"",IF(AND(AM$4&lt;=$F92,AM$4+6&gt;=$E92),IF($F92-$E92&lt;=2,"◆",IF($H92="Yes","X",LEFT($D92,1))),""))</f>
        <v/>
      </c>
      <c r="AN92" s="33">
        <f>IF(OR($E92="",$F92=""),"",IF(AND(AN$4&lt;=$F92,AN$4+6&gt;=$E92),IF($F92-$E92&lt;=2,"◆",IF($H92="Yes","X",LEFT($D92,1))),""))</f>
        <v/>
      </c>
      <c r="AO92" s="33">
        <f>IF(OR($E92="",$F92=""),"",IF(AND(AO$4&lt;=$F92,AO$4+6&gt;=$E92),IF($F92-$E92&lt;=2,"◆",IF($H92="Yes","X",LEFT($D92,1))),""))</f>
        <v/>
      </c>
      <c r="AP92" s="33">
        <f>IF(OR($E92="",$F92=""),"",IF(AND(AP$4&lt;=$F92,AP$4+6&gt;=$E92),IF($F92-$E92&lt;=2,"◆",IF($H92="Yes","X",LEFT($D92,1))),""))</f>
        <v/>
      </c>
      <c r="AQ92" s="33">
        <f>IF(OR($E92="",$F92=""),"",IF(AND(AQ$4&lt;=$F92,AQ$4+6&gt;=$E92),IF($F92-$E92&lt;=2,"◆",IF($H92="Yes","X",LEFT($D92,1))),""))</f>
        <v/>
      </c>
      <c r="AR92" s="33">
        <f>IF(OR($E92="",$F92=""),"",IF(AND(AR$4&lt;=$F92,AR$4+6&gt;=$E92),IF($F92-$E92&lt;=2,"◆",IF($H92="Yes","X",LEFT($D92,1))),""))</f>
        <v/>
      </c>
      <c r="AS92" s="33">
        <f>IF(OR($E92="",$F92=""),"",IF(AND(AS$4&lt;=$F92,AS$4+6&gt;=$E92),IF($F92-$E92&lt;=2,"◆",IF($H92="Yes","X",LEFT($D92,1))),""))</f>
        <v/>
      </c>
      <c r="AT92" s="33">
        <f>IF(OR($E92="",$F92=""),"",IF(AND(AT$4&lt;=$F92,AT$4+6&gt;=$E92),IF($F92-$E92&lt;=2,"◆",IF($H92="Yes","X",LEFT($D92,1))),""))</f>
        <v/>
      </c>
      <c r="AU92" s="33">
        <f>IF(OR($E92="",$F92=""),"",IF(AND(AU$4&lt;=$F92,AU$4+6&gt;=$E92),IF($F92-$E92&lt;=2,"◆",IF($H92="Yes","X",LEFT($D92,1))),""))</f>
        <v/>
      </c>
      <c r="AV92" s="33">
        <f>IF(OR($E92="",$F92=""),"",IF(AND(AV$4&lt;=$F92,AV$4+6&gt;=$E92),IF($F92-$E92&lt;=2,"◆",IF($H92="Yes","X",LEFT($D92,1))),""))</f>
        <v/>
      </c>
      <c r="AW92" s="33">
        <f>IF(OR($E92="",$F92=""),"",IF(AND(AW$4&lt;=$F92,AW$4+6&gt;=$E92),IF($F92-$E92&lt;=2,"◆",IF($H92="Yes","X",LEFT($D92,1))),""))</f>
        <v/>
      </c>
      <c r="AX92" s="33">
        <f>IF(OR($E92="",$F92=""),"",IF(AND(AX$4&lt;=$F92,AX$4+6&gt;=$E92),IF($F92-$E92&lt;=2,"◆",IF($H92="Yes","X",LEFT($D92,1))),""))</f>
        <v/>
      </c>
      <c r="AY92" s="33">
        <f>IF(OR($E92="",$F92=""),"",IF(AND(AY$4&lt;=$F92,AY$4+6&gt;=$E92),IF($F92-$E92&lt;=2,"◆",IF($H92="Yes","X",LEFT($D92,1))),""))</f>
        <v/>
      </c>
      <c r="AZ92" s="33">
        <f>IF(OR($E92="",$F92=""),"",IF(AND(AZ$4&lt;=$F92,AZ$4+6&gt;=$E92),IF($F92-$E92&lt;=2,"◆",IF($H92="Yes","X",LEFT($D92,1))),""))</f>
        <v/>
      </c>
      <c r="BA92" s="33">
        <f>IF(OR($E92="",$F92=""),"",IF(AND(BA$4&lt;=$F92,BA$4+6&gt;=$E92),IF($F92-$E92&lt;=2,"◆",IF($H92="Yes","X",LEFT($D92,1))),""))</f>
        <v/>
      </c>
      <c r="BB92" s="33">
        <f>IF(OR($E92="",$F92=""),"",IF(AND(BB$4&lt;=$F92,BB$4+6&gt;=$E92),IF($F92-$E92&lt;=2,"◆",IF($H92="Yes","X",LEFT($D92,1))),""))</f>
        <v/>
      </c>
      <c r="BC92" s="33">
        <f>IF(OR($E92="",$F92=""),"",IF(AND(BC$4&lt;=$F92,BC$4+6&gt;=$E92),IF($F92-$E92&lt;=2,"◆",IF($H92="Yes","X",LEFT($D92,1))),""))</f>
        <v/>
      </c>
      <c r="BD92" s="33">
        <f>IF(OR($E92="",$F92=""),"",IF(AND(BD$4&lt;=$F92,BD$4+6&gt;=$E92),IF($F92-$E92&lt;=2,"◆",IF($H92="Yes","X",LEFT($D92,1))),""))</f>
        <v/>
      </c>
      <c r="BE92" s="33">
        <f>IF(OR($E92="",$F92=""),"",IF(AND(BE$4&lt;=$F92,BE$4+6&gt;=$E92),IF($F92-$E92&lt;=2,"◆",IF($H92="Yes","X",LEFT($D92,1))),""))</f>
        <v/>
      </c>
      <c r="BF92" s="33">
        <f>IF(OR($E92="",$F92=""),"",IF(AND(BF$4&lt;=$F92,BF$4+6&gt;=$E92),IF($F92-$E92&lt;=2,"◆",IF($H92="Yes","X",LEFT($D92,1))),""))</f>
        <v/>
      </c>
      <c r="BG92" s="33">
        <f>IF(OR($E92="",$F92=""),"",IF(AND(BG$4&lt;=$F92,BG$4+6&gt;=$E92),IF($F92-$E92&lt;=2,"◆",IF($H92="Yes","X",LEFT($D92,1))),""))</f>
        <v/>
      </c>
      <c r="BH92" s="33">
        <f>IF(OR($E92="",$F92=""),"",IF(AND(BH$4&lt;=$F92,BH$4+6&gt;=$E92),IF($F92-$E92&lt;=2,"◆",IF($H92="Yes","X",LEFT($D92,1))),""))</f>
        <v/>
      </c>
      <c r="BI92" s="33">
        <f>IF(OR($E92="",$F92=""),"",IF(AND(BI$4&lt;=$F92,BI$4+6&gt;=$E92),IF($F92-$E92&lt;=2,"◆",IF($H92="Yes","X",LEFT($D92,1))),""))</f>
        <v/>
      </c>
    </row>
    <row r="93">
      <c r="A93" s="30" t="inlineStr">
        <is>
          <t>T-089</t>
        </is>
      </c>
      <c r="B93" s="30" t="inlineStr">
        <is>
          <t>Insights Agent</t>
        </is>
      </c>
      <c r="C93" s="30" t="inlineStr">
        <is>
          <t>Siva</t>
        </is>
      </c>
      <c r="D93" s="30" t="inlineStr">
        <is>
          <t>Not Started</t>
        </is>
      </c>
      <c r="E93" s="31" t="n">
        <v>46241</v>
      </c>
      <c r="F93" s="31" t="n">
        <v>46273</v>
      </c>
      <c r="G93" s="32" t="n">
        <v>0</v>
      </c>
      <c r="H93" s="30" t="inlineStr">
        <is>
          <t>No</t>
        </is>
      </c>
      <c r="I93" s="33">
        <f>IF(OR($E93="",$F93=""),"",IF(AND(I$4&lt;=$F93,I$4+6&gt;=$E93),IF($F93-$E93&lt;=2,"◆",IF($H93="Yes","X",LEFT($D93,1))),""))</f>
        <v/>
      </c>
      <c r="J93" s="33">
        <f>IF(OR($E93="",$F93=""),"",IF(AND(J$4&lt;=$F93,J$4+6&gt;=$E93),IF($F93-$E93&lt;=2,"◆",IF($H93="Yes","X",LEFT($D93,1))),""))</f>
        <v/>
      </c>
      <c r="K93" s="33">
        <f>IF(OR($E93="",$F93=""),"",IF(AND(K$4&lt;=$F93,K$4+6&gt;=$E93),IF($F93-$E93&lt;=2,"◆",IF($H93="Yes","X",LEFT($D93,1))),""))</f>
        <v/>
      </c>
      <c r="L93" s="33">
        <f>IF(OR($E93="",$F93=""),"",IF(AND(L$4&lt;=$F93,L$4+6&gt;=$E93),IF($F93-$E93&lt;=2,"◆",IF($H93="Yes","X",LEFT($D93,1))),""))</f>
        <v/>
      </c>
      <c r="M93" s="33">
        <f>IF(OR($E93="",$F93=""),"",IF(AND(M$4&lt;=$F93,M$4+6&gt;=$E93),IF($F93-$E93&lt;=2,"◆",IF($H93="Yes","X",LEFT($D93,1))),""))</f>
        <v/>
      </c>
      <c r="N93" s="33">
        <f>IF(OR($E93="",$F93=""),"",IF(AND(N$4&lt;=$F93,N$4+6&gt;=$E93),IF($F93-$E93&lt;=2,"◆",IF($H93="Yes","X",LEFT($D93,1))),""))</f>
        <v/>
      </c>
      <c r="O93" s="33">
        <f>IF(OR($E93="",$F93=""),"",IF(AND(O$4&lt;=$F93,O$4+6&gt;=$E93),IF($F93-$E93&lt;=2,"◆",IF($H93="Yes","X",LEFT($D93,1))),""))</f>
        <v/>
      </c>
      <c r="P93" s="33">
        <f>IF(OR($E93="",$F93=""),"",IF(AND(P$4&lt;=$F93,P$4+6&gt;=$E93),IF($F93-$E93&lt;=2,"◆",IF($H93="Yes","X",LEFT($D93,1))),""))</f>
        <v/>
      </c>
      <c r="Q93" s="33">
        <f>IF(OR($E93="",$F93=""),"",IF(AND(Q$4&lt;=$F93,Q$4+6&gt;=$E93),IF($F93-$E93&lt;=2,"◆",IF($H93="Yes","X",LEFT($D93,1))),""))</f>
        <v/>
      </c>
      <c r="R93" s="33">
        <f>IF(OR($E93="",$F93=""),"",IF(AND(R$4&lt;=$F93,R$4+6&gt;=$E93),IF($F93-$E93&lt;=2,"◆",IF($H93="Yes","X",LEFT($D93,1))),""))</f>
        <v/>
      </c>
      <c r="S93" s="33">
        <f>IF(OR($E93="",$F93=""),"",IF(AND(S$4&lt;=$F93,S$4+6&gt;=$E93),IF($F93-$E93&lt;=2,"◆",IF($H93="Yes","X",LEFT($D93,1))),""))</f>
        <v/>
      </c>
      <c r="T93" s="33">
        <f>IF(OR($E93="",$F93=""),"",IF(AND(T$4&lt;=$F93,T$4+6&gt;=$E93),IF($F93-$E93&lt;=2,"◆",IF($H93="Yes","X",LEFT($D93,1))),""))</f>
        <v/>
      </c>
      <c r="U93" s="33">
        <f>IF(OR($E93="",$F93=""),"",IF(AND(U$4&lt;=$F93,U$4+6&gt;=$E93),IF($F93-$E93&lt;=2,"◆",IF($H93="Yes","X",LEFT($D93,1))),""))</f>
        <v/>
      </c>
      <c r="V93" s="33">
        <f>IF(OR($E93="",$F93=""),"",IF(AND(V$4&lt;=$F93,V$4+6&gt;=$E93),IF($F93-$E93&lt;=2,"◆",IF($H93="Yes","X",LEFT($D93,1))),""))</f>
        <v/>
      </c>
      <c r="W93" s="33">
        <f>IF(OR($E93="",$F93=""),"",IF(AND(W$4&lt;=$F93,W$4+6&gt;=$E93),IF($F93-$E93&lt;=2,"◆",IF($H93="Yes","X",LEFT($D93,1))),""))</f>
        <v/>
      </c>
      <c r="X93" s="33">
        <f>IF(OR($E93="",$F93=""),"",IF(AND(X$4&lt;=$F93,X$4+6&gt;=$E93),IF($F93-$E93&lt;=2,"◆",IF($H93="Yes","X",LEFT($D93,1))),""))</f>
        <v/>
      </c>
      <c r="Y93" s="33">
        <f>IF(OR($E93="",$F93=""),"",IF(AND(Y$4&lt;=$F93,Y$4+6&gt;=$E93),IF($F93-$E93&lt;=2,"◆",IF($H93="Yes","X",LEFT($D93,1))),""))</f>
        <v/>
      </c>
      <c r="Z93" s="33">
        <f>IF(OR($E93="",$F93=""),"",IF(AND(Z$4&lt;=$F93,Z$4+6&gt;=$E93),IF($F93-$E93&lt;=2,"◆",IF($H93="Yes","X",LEFT($D93,1))),""))</f>
        <v/>
      </c>
      <c r="AA93" s="33">
        <f>IF(OR($E93="",$F93=""),"",IF(AND(AA$4&lt;=$F93,AA$4+6&gt;=$E93),IF($F93-$E93&lt;=2,"◆",IF($H93="Yes","X",LEFT($D93,1))),""))</f>
        <v/>
      </c>
      <c r="AB93" s="33">
        <f>IF(OR($E93="",$F93=""),"",IF(AND(AB$4&lt;=$F93,AB$4+6&gt;=$E93),IF($F93-$E93&lt;=2,"◆",IF($H93="Yes","X",LEFT($D93,1))),""))</f>
        <v/>
      </c>
      <c r="AC93" s="33">
        <f>IF(OR($E93="",$F93=""),"",IF(AND(AC$4&lt;=$F93,AC$4+6&gt;=$E93),IF($F93-$E93&lt;=2,"◆",IF($H93="Yes","X",LEFT($D93,1))),""))</f>
        <v/>
      </c>
      <c r="AD93" s="33">
        <f>IF(OR($E93="",$F93=""),"",IF(AND(AD$4&lt;=$F93,AD$4+6&gt;=$E93),IF($F93-$E93&lt;=2,"◆",IF($H93="Yes","X",LEFT($D93,1))),""))</f>
        <v/>
      </c>
      <c r="AE93" s="33">
        <f>IF(OR($E93="",$F93=""),"",IF(AND(AE$4&lt;=$F93,AE$4+6&gt;=$E93),IF($F93-$E93&lt;=2,"◆",IF($H93="Yes","X",LEFT($D93,1))),""))</f>
        <v/>
      </c>
      <c r="AF93" s="33">
        <f>IF(OR($E93="",$F93=""),"",IF(AND(AF$4&lt;=$F93,AF$4+6&gt;=$E93),IF($F93-$E93&lt;=2,"◆",IF($H93="Yes","X",LEFT($D93,1))),""))</f>
        <v/>
      </c>
      <c r="AG93" s="33">
        <f>IF(OR($E93="",$F93=""),"",IF(AND(AG$4&lt;=$F93,AG$4+6&gt;=$E93),IF($F93-$E93&lt;=2,"◆",IF($H93="Yes","X",LEFT($D93,1))),""))</f>
        <v/>
      </c>
      <c r="AH93" s="33">
        <f>IF(OR($E93="",$F93=""),"",IF(AND(AH$4&lt;=$F93,AH$4+6&gt;=$E93),IF($F93-$E93&lt;=2,"◆",IF($H93="Yes","X",LEFT($D93,1))),""))</f>
        <v/>
      </c>
      <c r="AI93" s="33">
        <f>IF(OR($E93="",$F93=""),"",IF(AND(AI$4&lt;=$F93,AI$4+6&gt;=$E93),IF($F93-$E93&lt;=2,"◆",IF($H93="Yes","X",LEFT($D93,1))),""))</f>
        <v/>
      </c>
      <c r="AJ93" s="33">
        <f>IF(OR($E93="",$F93=""),"",IF(AND(AJ$4&lt;=$F93,AJ$4+6&gt;=$E93),IF($F93-$E93&lt;=2,"◆",IF($H93="Yes","X",LEFT($D93,1))),""))</f>
        <v/>
      </c>
      <c r="AK93" s="33">
        <f>IF(OR($E93="",$F93=""),"",IF(AND(AK$4&lt;=$F93,AK$4+6&gt;=$E93),IF($F93-$E93&lt;=2,"◆",IF($H93="Yes","X",LEFT($D93,1))),""))</f>
        <v/>
      </c>
      <c r="AL93" s="33">
        <f>IF(OR($E93="",$F93=""),"",IF(AND(AL$4&lt;=$F93,AL$4+6&gt;=$E93),IF($F93-$E93&lt;=2,"◆",IF($H93="Yes","X",LEFT($D93,1))),""))</f>
        <v/>
      </c>
      <c r="AM93" s="33">
        <f>IF(OR($E93="",$F93=""),"",IF(AND(AM$4&lt;=$F93,AM$4+6&gt;=$E93),IF($F93-$E93&lt;=2,"◆",IF($H93="Yes","X",LEFT($D93,1))),""))</f>
        <v/>
      </c>
      <c r="AN93" s="33">
        <f>IF(OR($E93="",$F93=""),"",IF(AND(AN$4&lt;=$F93,AN$4+6&gt;=$E93),IF($F93-$E93&lt;=2,"◆",IF($H93="Yes","X",LEFT($D93,1))),""))</f>
        <v/>
      </c>
      <c r="AO93" s="33">
        <f>IF(OR($E93="",$F93=""),"",IF(AND(AO$4&lt;=$F93,AO$4+6&gt;=$E93),IF($F93-$E93&lt;=2,"◆",IF($H93="Yes","X",LEFT($D93,1))),""))</f>
        <v/>
      </c>
      <c r="AP93" s="33">
        <f>IF(OR($E93="",$F93=""),"",IF(AND(AP$4&lt;=$F93,AP$4+6&gt;=$E93),IF($F93-$E93&lt;=2,"◆",IF($H93="Yes","X",LEFT($D93,1))),""))</f>
        <v/>
      </c>
      <c r="AQ93" s="33">
        <f>IF(OR($E93="",$F93=""),"",IF(AND(AQ$4&lt;=$F93,AQ$4+6&gt;=$E93),IF($F93-$E93&lt;=2,"◆",IF($H93="Yes","X",LEFT($D93,1))),""))</f>
        <v/>
      </c>
      <c r="AR93" s="33">
        <f>IF(OR($E93="",$F93=""),"",IF(AND(AR$4&lt;=$F93,AR$4+6&gt;=$E93),IF($F93-$E93&lt;=2,"◆",IF($H93="Yes","X",LEFT($D93,1))),""))</f>
        <v/>
      </c>
      <c r="AS93" s="33">
        <f>IF(OR($E93="",$F93=""),"",IF(AND(AS$4&lt;=$F93,AS$4+6&gt;=$E93),IF($F93-$E93&lt;=2,"◆",IF($H93="Yes","X",LEFT($D93,1))),""))</f>
        <v/>
      </c>
      <c r="AT93" s="33">
        <f>IF(OR($E93="",$F93=""),"",IF(AND(AT$4&lt;=$F93,AT$4+6&gt;=$E93),IF($F93-$E93&lt;=2,"◆",IF($H93="Yes","X",LEFT($D93,1))),""))</f>
        <v/>
      </c>
      <c r="AU93" s="33">
        <f>IF(OR($E93="",$F93=""),"",IF(AND(AU$4&lt;=$F93,AU$4+6&gt;=$E93),IF($F93-$E93&lt;=2,"◆",IF($H93="Yes","X",LEFT($D93,1))),""))</f>
        <v/>
      </c>
      <c r="AV93" s="33">
        <f>IF(OR($E93="",$F93=""),"",IF(AND(AV$4&lt;=$F93,AV$4+6&gt;=$E93),IF($F93-$E93&lt;=2,"◆",IF($H93="Yes","X",LEFT($D93,1))),""))</f>
        <v/>
      </c>
      <c r="AW93" s="33">
        <f>IF(OR($E93="",$F93=""),"",IF(AND(AW$4&lt;=$F93,AW$4+6&gt;=$E93),IF($F93-$E93&lt;=2,"◆",IF($H93="Yes","X",LEFT($D93,1))),""))</f>
        <v/>
      </c>
      <c r="AX93" s="33">
        <f>IF(OR($E93="",$F93=""),"",IF(AND(AX$4&lt;=$F93,AX$4+6&gt;=$E93),IF($F93-$E93&lt;=2,"◆",IF($H93="Yes","X",LEFT($D93,1))),""))</f>
        <v/>
      </c>
      <c r="AY93" s="33">
        <f>IF(OR($E93="",$F93=""),"",IF(AND(AY$4&lt;=$F93,AY$4+6&gt;=$E93),IF($F93-$E93&lt;=2,"◆",IF($H93="Yes","X",LEFT($D93,1))),""))</f>
        <v/>
      </c>
      <c r="AZ93" s="33">
        <f>IF(OR($E93="",$F93=""),"",IF(AND(AZ$4&lt;=$F93,AZ$4+6&gt;=$E93),IF($F93-$E93&lt;=2,"◆",IF($H93="Yes","X",LEFT($D93,1))),""))</f>
        <v/>
      </c>
      <c r="BA93" s="33">
        <f>IF(OR($E93="",$F93=""),"",IF(AND(BA$4&lt;=$F93,BA$4+6&gt;=$E93),IF($F93-$E93&lt;=2,"◆",IF($H93="Yes","X",LEFT($D93,1))),""))</f>
        <v/>
      </c>
      <c r="BB93" s="33">
        <f>IF(OR($E93="",$F93=""),"",IF(AND(BB$4&lt;=$F93,BB$4+6&gt;=$E93),IF($F93-$E93&lt;=2,"◆",IF($H93="Yes","X",LEFT($D93,1))),""))</f>
        <v/>
      </c>
      <c r="BC93" s="33">
        <f>IF(OR($E93="",$F93=""),"",IF(AND(BC$4&lt;=$F93,BC$4+6&gt;=$E93),IF($F93-$E93&lt;=2,"◆",IF($H93="Yes","X",LEFT($D93,1))),""))</f>
        <v/>
      </c>
      <c r="BD93" s="33">
        <f>IF(OR($E93="",$F93=""),"",IF(AND(BD$4&lt;=$F93,BD$4+6&gt;=$E93),IF($F93-$E93&lt;=2,"◆",IF($H93="Yes","X",LEFT($D93,1))),""))</f>
        <v/>
      </c>
      <c r="BE93" s="33">
        <f>IF(OR($E93="",$F93=""),"",IF(AND(BE$4&lt;=$F93,BE$4+6&gt;=$E93),IF($F93-$E93&lt;=2,"◆",IF($H93="Yes","X",LEFT($D93,1))),""))</f>
        <v/>
      </c>
      <c r="BF93" s="33">
        <f>IF(OR($E93="",$F93=""),"",IF(AND(BF$4&lt;=$F93,BF$4+6&gt;=$E93),IF($F93-$E93&lt;=2,"◆",IF($H93="Yes","X",LEFT($D93,1))),""))</f>
        <v/>
      </c>
      <c r="BG93" s="33">
        <f>IF(OR($E93="",$F93=""),"",IF(AND(BG$4&lt;=$F93,BG$4+6&gt;=$E93),IF($F93-$E93&lt;=2,"◆",IF($H93="Yes","X",LEFT($D93,1))),""))</f>
        <v/>
      </c>
      <c r="BH93" s="33">
        <f>IF(OR($E93="",$F93=""),"",IF(AND(BH$4&lt;=$F93,BH$4+6&gt;=$E93),IF($F93-$E93&lt;=2,"◆",IF($H93="Yes","X",LEFT($D93,1))),""))</f>
        <v/>
      </c>
      <c r="BI93" s="33">
        <f>IF(OR($E93="",$F93=""),"",IF(AND(BI$4&lt;=$F93,BI$4+6&gt;=$E93),IF($F93-$E93&lt;=2,"◆",IF($H93="Yes","X",LEFT($D93,1))),""))</f>
        <v/>
      </c>
    </row>
    <row r="94">
      <c r="A94" s="30" t="inlineStr">
        <is>
          <t>T-090</t>
        </is>
      </c>
      <c r="B94" s="30" t="inlineStr">
        <is>
          <t>Insights Agent</t>
        </is>
      </c>
      <c r="C94" s="30" t="inlineStr">
        <is>
          <t>Siva</t>
        </is>
      </c>
      <c r="D94" s="30" t="inlineStr">
        <is>
          <t>In Progress</t>
        </is>
      </c>
      <c r="E94" s="31" t="n">
        <v>46259</v>
      </c>
      <c r="F94" s="31" t="n">
        <v>46291</v>
      </c>
      <c r="G94" s="32" t="n">
        <v>0.35</v>
      </c>
      <c r="H94" s="30" t="inlineStr">
        <is>
          <t>No</t>
        </is>
      </c>
      <c r="I94" s="33">
        <f>IF(OR($E94="",$F94=""),"",IF(AND(I$4&lt;=$F94,I$4+6&gt;=$E94),IF($F94-$E94&lt;=2,"◆",IF($H94="Yes","X",LEFT($D94,1))),""))</f>
        <v/>
      </c>
      <c r="J94" s="33">
        <f>IF(OR($E94="",$F94=""),"",IF(AND(J$4&lt;=$F94,J$4+6&gt;=$E94),IF($F94-$E94&lt;=2,"◆",IF($H94="Yes","X",LEFT($D94,1))),""))</f>
        <v/>
      </c>
      <c r="K94" s="33">
        <f>IF(OR($E94="",$F94=""),"",IF(AND(K$4&lt;=$F94,K$4+6&gt;=$E94),IF($F94-$E94&lt;=2,"◆",IF($H94="Yes","X",LEFT($D94,1))),""))</f>
        <v/>
      </c>
      <c r="L94" s="33">
        <f>IF(OR($E94="",$F94=""),"",IF(AND(L$4&lt;=$F94,L$4+6&gt;=$E94),IF($F94-$E94&lt;=2,"◆",IF($H94="Yes","X",LEFT($D94,1))),""))</f>
        <v/>
      </c>
      <c r="M94" s="33">
        <f>IF(OR($E94="",$F94=""),"",IF(AND(M$4&lt;=$F94,M$4+6&gt;=$E94),IF($F94-$E94&lt;=2,"◆",IF($H94="Yes","X",LEFT($D94,1))),""))</f>
        <v/>
      </c>
      <c r="N94" s="33">
        <f>IF(OR($E94="",$F94=""),"",IF(AND(N$4&lt;=$F94,N$4+6&gt;=$E94),IF($F94-$E94&lt;=2,"◆",IF($H94="Yes","X",LEFT($D94,1))),""))</f>
        <v/>
      </c>
      <c r="O94" s="33">
        <f>IF(OR($E94="",$F94=""),"",IF(AND(O$4&lt;=$F94,O$4+6&gt;=$E94),IF($F94-$E94&lt;=2,"◆",IF($H94="Yes","X",LEFT($D94,1))),""))</f>
        <v/>
      </c>
      <c r="P94" s="33">
        <f>IF(OR($E94="",$F94=""),"",IF(AND(P$4&lt;=$F94,P$4+6&gt;=$E94),IF($F94-$E94&lt;=2,"◆",IF($H94="Yes","X",LEFT($D94,1))),""))</f>
        <v/>
      </c>
      <c r="Q94" s="33">
        <f>IF(OR($E94="",$F94=""),"",IF(AND(Q$4&lt;=$F94,Q$4+6&gt;=$E94),IF($F94-$E94&lt;=2,"◆",IF($H94="Yes","X",LEFT($D94,1))),""))</f>
        <v/>
      </c>
      <c r="R94" s="33">
        <f>IF(OR($E94="",$F94=""),"",IF(AND(R$4&lt;=$F94,R$4+6&gt;=$E94),IF($F94-$E94&lt;=2,"◆",IF($H94="Yes","X",LEFT($D94,1))),""))</f>
        <v/>
      </c>
      <c r="S94" s="33">
        <f>IF(OR($E94="",$F94=""),"",IF(AND(S$4&lt;=$F94,S$4+6&gt;=$E94),IF($F94-$E94&lt;=2,"◆",IF($H94="Yes","X",LEFT($D94,1))),""))</f>
        <v/>
      </c>
      <c r="T94" s="33">
        <f>IF(OR($E94="",$F94=""),"",IF(AND(T$4&lt;=$F94,T$4+6&gt;=$E94),IF($F94-$E94&lt;=2,"◆",IF($H94="Yes","X",LEFT($D94,1))),""))</f>
        <v/>
      </c>
      <c r="U94" s="33">
        <f>IF(OR($E94="",$F94=""),"",IF(AND(U$4&lt;=$F94,U$4+6&gt;=$E94),IF($F94-$E94&lt;=2,"◆",IF($H94="Yes","X",LEFT($D94,1))),""))</f>
        <v/>
      </c>
      <c r="V94" s="33">
        <f>IF(OR($E94="",$F94=""),"",IF(AND(V$4&lt;=$F94,V$4+6&gt;=$E94),IF($F94-$E94&lt;=2,"◆",IF($H94="Yes","X",LEFT($D94,1))),""))</f>
        <v/>
      </c>
      <c r="W94" s="33">
        <f>IF(OR($E94="",$F94=""),"",IF(AND(W$4&lt;=$F94,W$4+6&gt;=$E94),IF($F94-$E94&lt;=2,"◆",IF($H94="Yes","X",LEFT($D94,1))),""))</f>
        <v/>
      </c>
      <c r="X94" s="33">
        <f>IF(OR($E94="",$F94=""),"",IF(AND(X$4&lt;=$F94,X$4+6&gt;=$E94),IF($F94-$E94&lt;=2,"◆",IF($H94="Yes","X",LEFT($D94,1))),""))</f>
        <v/>
      </c>
      <c r="Y94" s="33">
        <f>IF(OR($E94="",$F94=""),"",IF(AND(Y$4&lt;=$F94,Y$4+6&gt;=$E94),IF($F94-$E94&lt;=2,"◆",IF($H94="Yes","X",LEFT($D94,1))),""))</f>
        <v/>
      </c>
      <c r="Z94" s="33">
        <f>IF(OR($E94="",$F94=""),"",IF(AND(Z$4&lt;=$F94,Z$4+6&gt;=$E94),IF($F94-$E94&lt;=2,"◆",IF($H94="Yes","X",LEFT($D94,1))),""))</f>
        <v/>
      </c>
      <c r="AA94" s="33">
        <f>IF(OR($E94="",$F94=""),"",IF(AND(AA$4&lt;=$F94,AA$4+6&gt;=$E94),IF($F94-$E94&lt;=2,"◆",IF($H94="Yes","X",LEFT($D94,1))),""))</f>
        <v/>
      </c>
      <c r="AB94" s="33">
        <f>IF(OR($E94="",$F94=""),"",IF(AND(AB$4&lt;=$F94,AB$4+6&gt;=$E94),IF($F94-$E94&lt;=2,"◆",IF($H94="Yes","X",LEFT($D94,1))),""))</f>
        <v/>
      </c>
      <c r="AC94" s="33">
        <f>IF(OR($E94="",$F94=""),"",IF(AND(AC$4&lt;=$F94,AC$4+6&gt;=$E94),IF($F94-$E94&lt;=2,"◆",IF($H94="Yes","X",LEFT($D94,1))),""))</f>
        <v/>
      </c>
      <c r="AD94" s="33">
        <f>IF(OR($E94="",$F94=""),"",IF(AND(AD$4&lt;=$F94,AD$4+6&gt;=$E94),IF($F94-$E94&lt;=2,"◆",IF($H94="Yes","X",LEFT($D94,1))),""))</f>
        <v/>
      </c>
      <c r="AE94" s="33">
        <f>IF(OR($E94="",$F94=""),"",IF(AND(AE$4&lt;=$F94,AE$4+6&gt;=$E94),IF($F94-$E94&lt;=2,"◆",IF($H94="Yes","X",LEFT($D94,1))),""))</f>
        <v/>
      </c>
      <c r="AF94" s="33">
        <f>IF(OR($E94="",$F94=""),"",IF(AND(AF$4&lt;=$F94,AF$4+6&gt;=$E94),IF($F94-$E94&lt;=2,"◆",IF($H94="Yes","X",LEFT($D94,1))),""))</f>
        <v/>
      </c>
      <c r="AG94" s="33">
        <f>IF(OR($E94="",$F94=""),"",IF(AND(AG$4&lt;=$F94,AG$4+6&gt;=$E94),IF($F94-$E94&lt;=2,"◆",IF($H94="Yes","X",LEFT($D94,1))),""))</f>
        <v/>
      </c>
      <c r="AH94" s="33">
        <f>IF(OR($E94="",$F94=""),"",IF(AND(AH$4&lt;=$F94,AH$4+6&gt;=$E94),IF($F94-$E94&lt;=2,"◆",IF($H94="Yes","X",LEFT($D94,1))),""))</f>
        <v/>
      </c>
      <c r="AI94" s="33">
        <f>IF(OR($E94="",$F94=""),"",IF(AND(AI$4&lt;=$F94,AI$4+6&gt;=$E94),IF($F94-$E94&lt;=2,"◆",IF($H94="Yes","X",LEFT($D94,1))),""))</f>
        <v/>
      </c>
      <c r="AJ94" s="33">
        <f>IF(OR($E94="",$F94=""),"",IF(AND(AJ$4&lt;=$F94,AJ$4+6&gt;=$E94),IF($F94-$E94&lt;=2,"◆",IF($H94="Yes","X",LEFT($D94,1))),""))</f>
        <v/>
      </c>
      <c r="AK94" s="33">
        <f>IF(OR($E94="",$F94=""),"",IF(AND(AK$4&lt;=$F94,AK$4+6&gt;=$E94),IF($F94-$E94&lt;=2,"◆",IF($H94="Yes","X",LEFT($D94,1))),""))</f>
        <v/>
      </c>
      <c r="AL94" s="33">
        <f>IF(OR($E94="",$F94=""),"",IF(AND(AL$4&lt;=$F94,AL$4+6&gt;=$E94),IF($F94-$E94&lt;=2,"◆",IF($H94="Yes","X",LEFT($D94,1))),""))</f>
        <v/>
      </c>
      <c r="AM94" s="33">
        <f>IF(OR($E94="",$F94=""),"",IF(AND(AM$4&lt;=$F94,AM$4+6&gt;=$E94),IF($F94-$E94&lt;=2,"◆",IF($H94="Yes","X",LEFT($D94,1))),""))</f>
        <v/>
      </c>
      <c r="AN94" s="33">
        <f>IF(OR($E94="",$F94=""),"",IF(AND(AN$4&lt;=$F94,AN$4+6&gt;=$E94),IF($F94-$E94&lt;=2,"◆",IF($H94="Yes","X",LEFT($D94,1))),""))</f>
        <v/>
      </c>
      <c r="AO94" s="33">
        <f>IF(OR($E94="",$F94=""),"",IF(AND(AO$4&lt;=$F94,AO$4+6&gt;=$E94),IF($F94-$E94&lt;=2,"◆",IF($H94="Yes","X",LEFT($D94,1))),""))</f>
        <v/>
      </c>
      <c r="AP94" s="33">
        <f>IF(OR($E94="",$F94=""),"",IF(AND(AP$4&lt;=$F94,AP$4+6&gt;=$E94),IF($F94-$E94&lt;=2,"◆",IF($H94="Yes","X",LEFT($D94,1))),""))</f>
        <v/>
      </c>
      <c r="AQ94" s="33">
        <f>IF(OR($E94="",$F94=""),"",IF(AND(AQ$4&lt;=$F94,AQ$4+6&gt;=$E94),IF($F94-$E94&lt;=2,"◆",IF($H94="Yes","X",LEFT($D94,1))),""))</f>
        <v/>
      </c>
      <c r="AR94" s="33">
        <f>IF(OR($E94="",$F94=""),"",IF(AND(AR$4&lt;=$F94,AR$4+6&gt;=$E94),IF($F94-$E94&lt;=2,"◆",IF($H94="Yes","X",LEFT($D94,1))),""))</f>
        <v/>
      </c>
      <c r="AS94" s="33">
        <f>IF(OR($E94="",$F94=""),"",IF(AND(AS$4&lt;=$F94,AS$4+6&gt;=$E94),IF($F94-$E94&lt;=2,"◆",IF($H94="Yes","X",LEFT($D94,1))),""))</f>
        <v/>
      </c>
      <c r="AT94" s="33">
        <f>IF(OR($E94="",$F94=""),"",IF(AND(AT$4&lt;=$F94,AT$4+6&gt;=$E94),IF($F94-$E94&lt;=2,"◆",IF($H94="Yes","X",LEFT($D94,1))),""))</f>
        <v/>
      </c>
      <c r="AU94" s="33">
        <f>IF(OR($E94="",$F94=""),"",IF(AND(AU$4&lt;=$F94,AU$4+6&gt;=$E94),IF($F94-$E94&lt;=2,"◆",IF($H94="Yes","X",LEFT($D94,1))),""))</f>
        <v/>
      </c>
      <c r="AV94" s="33">
        <f>IF(OR($E94="",$F94=""),"",IF(AND(AV$4&lt;=$F94,AV$4+6&gt;=$E94),IF($F94-$E94&lt;=2,"◆",IF($H94="Yes","X",LEFT($D94,1))),""))</f>
        <v/>
      </c>
      <c r="AW94" s="33">
        <f>IF(OR($E94="",$F94=""),"",IF(AND(AW$4&lt;=$F94,AW$4+6&gt;=$E94),IF($F94-$E94&lt;=2,"◆",IF($H94="Yes","X",LEFT($D94,1))),""))</f>
        <v/>
      </c>
      <c r="AX94" s="33">
        <f>IF(OR($E94="",$F94=""),"",IF(AND(AX$4&lt;=$F94,AX$4+6&gt;=$E94),IF($F94-$E94&lt;=2,"◆",IF($H94="Yes","X",LEFT($D94,1))),""))</f>
        <v/>
      </c>
      <c r="AY94" s="33">
        <f>IF(OR($E94="",$F94=""),"",IF(AND(AY$4&lt;=$F94,AY$4+6&gt;=$E94),IF($F94-$E94&lt;=2,"◆",IF($H94="Yes","X",LEFT($D94,1))),""))</f>
        <v/>
      </c>
      <c r="AZ94" s="33">
        <f>IF(OR($E94="",$F94=""),"",IF(AND(AZ$4&lt;=$F94,AZ$4+6&gt;=$E94),IF($F94-$E94&lt;=2,"◆",IF($H94="Yes","X",LEFT($D94,1))),""))</f>
        <v/>
      </c>
      <c r="BA94" s="33">
        <f>IF(OR($E94="",$F94=""),"",IF(AND(BA$4&lt;=$F94,BA$4+6&gt;=$E94),IF($F94-$E94&lt;=2,"◆",IF($H94="Yes","X",LEFT($D94,1))),""))</f>
        <v/>
      </c>
      <c r="BB94" s="33">
        <f>IF(OR($E94="",$F94=""),"",IF(AND(BB$4&lt;=$F94,BB$4+6&gt;=$E94),IF($F94-$E94&lt;=2,"◆",IF($H94="Yes","X",LEFT($D94,1))),""))</f>
        <v/>
      </c>
      <c r="BC94" s="33">
        <f>IF(OR($E94="",$F94=""),"",IF(AND(BC$4&lt;=$F94,BC$4+6&gt;=$E94),IF($F94-$E94&lt;=2,"◆",IF($H94="Yes","X",LEFT($D94,1))),""))</f>
        <v/>
      </c>
      <c r="BD94" s="33">
        <f>IF(OR($E94="",$F94=""),"",IF(AND(BD$4&lt;=$F94,BD$4+6&gt;=$E94),IF($F94-$E94&lt;=2,"◆",IF($H94="Yes","X",LEFT($D94,1))),""))</f>
        <v/>
      </c>
      <c r="BE94" s="33">
        <f>IF(OR($E94="",$F94=""),"",IF(AND(BE$4&lt;=$F94,BE$4+6&gt;=$E94),IF($F94-$E94&lt;=2,"◆",IF($H94="Yes","X",LEFT($D94,1))),""))</f>
        <v/>
      </c>
      <c r="BF94" s="33">
        <f>IF(OR($E94="",$F94=""),"",IF(AND(BF$4&lt;=$F94,BF$4+6&gt;=$E94),IF($F94-$E94&lt;=2,"◆",IF($H94="Yes","X",LEFT($D94,1))),""))</f>
        <v/>
      </c>
      <c r="BG94" s="33">
        <f>IF(OR($E94="",$F94=""),"",IF(AND(BG$4&lt;=$F94,BG$4+6&gt;=$E94),IF($F94-$E94&lt;=2,"◆",IF($H94="Yes","X",LEFT($D94,1))),""))</f>
        <v/>
      </c>
      <c r="BH94" s="33">
        <f>IF(OR($E94="",$F94=""),"",IF(AND(BH$4&lt;=$F94,BH$4+6&gt;=$E94),IF($F94-$E94&lt;=2,"◆",IF($H94="Yes","X",LEFT($D94,1))),""))</f>
        <v/>
      </c>
      <c r="BI94" s="33">
        <f>IF(OR($E94="",$F94=""),"",IF(AND(BI$4&lt;=$F94,BI$4+6&gt;=$E94),IF($F94-$E94&lt;=2,"◆",IF($H94="Yes","X",LEFT($D94,1))),""))</f>
        <v/>
      </c>
    </row>
    <row r="95">
      <c r="A95" s="30" t="inlineStr">
        <is>
          <t>T-091</t>
        </is>
      </c>
      <c r="B95" s="30" t="inlineStr">
        <is>
          <t>Insights Agent</t>
        </is>
      </c>
      <c r="C95" s="30" t="inlineStr">
        <is>
          <t>Siva</t>
        </is>
      </c>
      <c r="D95" s="30" t="inlineStr">
        <is>
          <t>Not Started</t>
        </is>
      </c>
      <c r="E95" s="31" t="n">
        <v>46207</v>
      </c>
      <c r="F95" s="31" t="n">
        <v>46239</v>
      </c>
      <c r="G95" s="32" t="n">
        <v>0</v>
      </c>
      <c r="H95" s="30" t="inlineStr">
        <is>
          <t>No</t>
        </is>
      </c>
      <c r="I95" s="33">
        <f>IF(OR($E95="",$F95=""),"",IF(AND(I$4&lt;=$F95,I$4+6&gt;=$E95),IF($F95-$E95&lt;=2,"◆",IF($H95="Yes","X",LEFT($D95,1))),""))</f>
        <v/>
      </c>
      <c r="J95" s="33">
        <f>IF(OR($E95="",$F95=""),"",IF(AND(J$4&lt;=$F95,J$4+6&gt;=$E95),IF($F95-$E95&lt;=2,"◆",IF($H95="Yes","X",LEFT($D95,1))),""))</f>
        <v/>
      </c>
      <c r="K95" s="33">
        <f>IF(OR($E95="",$F95=""),"",IF(AND(K$4&lt;=$F95,K$4+6&gt;=$E95),IF($F95-$E95&lt;=2,"◆",IF($H95="Yes","X",LEFT($D95,1))),""))</f>
        <v/>
      </c>
      <c r="L95" s="33">
        <f>IF(OR($E95="",$F95=""),"",IF(AND(L$4&lt;=$F95,L$4+6&gt;=$E95),IF($F95-$E95&lt;=2,"◆",IF($H95="Yes","X",LEFT($D95,1))),""))</f>
        <v/>
      </c>
      <c r="M95" s="33">
        <f>IF(OR($E95="",$F95=""),"",IF(AND(M$4&lt;=$F95,M$4+6&gt;=$E95),IF($F95-$E95&lt;=2,"◆",IF($H95="Yes","X",LEFT($D95,1))),""))</f>
        <v/>
      </c>
      <c r="N95" s="33">
        <f>IF(OR($E95="",$F95=""),"",IF(AND(N$4&lt;=$F95,N$4+6&gt;=$E95),IF($F95-$E95&lt;=2,"◆",IF($H95="Yes","X",LEFT($D95,1))),""))</f>
        <v/>
      </c>
      <c r="O95" s="33">
        <f>IF(OR($E95="",$F95=""),"",IF(AND(O$4&lt;=$F95,O$4+6&gt;=$E95),IF($F95-$E95&lt;=2,"◆",IF($H95="Yes","X",LEFT($D95,1))),""))</f>
        <v/>
      </c>
      <c r="P95" s="33">
        <f>IF(OR($E95="",$F95=""),"",IF(AND(P$4&lt;=$F95,P$4+6&gt;=$E95),IF($F95-$E95&lt;=2,"◆",IF($H95="Yes","X",LEFT($D95,1))),""))</f>
        <v/>
      </c>
      <c r="Q95" s="33">
        <f>IF(OR($E95="",$F95=""),"",IF(AND(Q$4&lt;=$F95,Q$4+6&gt;=$E95),IF($F95-$E95&lt;=2,"◆",IF($H95="Yes","X",LEFT($D95,1))),""))</f>
        <v/>
      </c>
      <c r="R95" s="33">
        <f>IF(OR($E95="",$F95=""),"",IF(AND(R$4&lt;=$F95,R$4+6&gt;=$E95),IF($F95-$E95&lt;=2,"◆",IF($H95="Yes","X",LEFT($D95,1))),""))</f>
        <v/>
      </c>
      <c r="S95" s="33">
        <f>IF(OR($E95="",$F95=""),"",IF(AND(S$4&lt;=$F95,S$4+6&gt;=$E95),IF($F95-$E95&lt;=2,"◆",IF($H95="Yes","X",LEFT($D95,1))),""))</f>
        <v/>
      </c>
      <c r="T95" s="33">
        <f>IF(OR($E95="",$F95=""),"",IF(AND(T$4&lt;=$F95,T$4+6&gt;=$E95),IF($F95-$E95&lt;=2,"◆",IF($H95="Yes","X",LEFT($D95,1))),""))</f>
        <v/>
      </c>
      <c r="U95" s="33">
        <f>IF(OR($E95="",$F95=""),"",IF(AND(U$4&lt;=$F95,U$4+6&gt;=$E95),IF($F95-$E95&lt;=2,"◆",IF($H95="Yes","X",LEFT($D95,1))),""))</f>
        <v/>
      </c>
      <c r="V95" s="33">
        <f>IF(OR($E95="",$F95=""),"",IF(AND(V$4&lt;=$F95,V$4+6&gt;=$E95),IF($F95-$E95&lt;=2,"◆",IF($H95="Yes","X",LEFT($D95,1))),""))</f>
        <v/>
      </c>
      <c r="W95" s="33">
        <f>IF(OR($E95="",$F95=""),"",IF(AND(W$4&lt;=$F95,W$4+6&gt;=$E95),IF($F95-$E95&lt;=2,"◆",IF($H95="Yes","X",LEFT($D95,1))),""))</f>
        <v/>
      </c>
      <c r="X95" s="33">
        <f>IF(OR($E95="",$F95=""),"",IF(AND(X$4&lt;=$F95,X$4+6&gt;=$E95),IF($F95-$E95&lt;=2,"◆",IF($H95="Yes","X",LEFT($D95,1))),""))</f>
        <v/>
      </c>
      <c r="Y95" s="33">
        <f>IF(OR($E95="",$F95=""),"",IF(AND(Y$4&lt;=$F95,Y$4+6&gt;=$E95),IF($F95-$E95&lt;=2,"◆",IF($H95="Yes","X",LEFT($D95,1))),""))</f>
        <v/>
      </c>
      <c r="Z95" s="33">
        <f>IF(OR($E95="",$F95=""),"",IF(AND(Z$4&lt;=$F95,Z$4+6&gt;=$E95),IF($F95-$E95&lt;=2,"◆",IF($H95="Yes","X",LEFT($D95,1))),""))</f>
        <v/>
      </c>
      <c r="AA95" s="33">
        <f>IF(OR($E95="",$F95=""),"",IF(AND(AA$4&lt;=$F95,AA$4+6&gt;=$E95),IF($F95-$E95&lt;=2,"◆",IF($H95="Yes","X",LEFT($D95,1))),""))</f>
        <v/>
      </c>
      <c r="AB95" s="33">
        <f>IF(OR($E95="",$F95=""),"",IF(AND(AB$4&lt;=$F95,AB$4+6&gt;=$E95),IF($F95-$E95&lt;=2,"◆",IF($H95="Yes","X",LEFT($D95,1))),""))</f>
        <v/>
      </c>
      <c r="AC95" s="33">
        <f>IF(OR($E95="",$F95=""),"",IF(AND(AC$4&lt;=$F95,AC$4+6&gt;=$E95),IF($F95-$E95&lt;=2,"◆",IF($H95="Yes","X",LEFT($D95,1))),""))</f>
        <v/>
      </c>
      <c r="AD95" s="33">
        <f>IF(OR($E95="",$F95=""),"",IF(AND(AD$4&lt;=$F95,AD$4+6&gt;=$E95),IF($F95-$E95&lt;=2,"◆",IF($H95="Yes","X",LEFT($D95,1))),""))</f>
        <v/>
      </c>
      <c r="AE95" s="33">
        <f>IF(OR($E95="",$F95=""),"",IF(AND(AE$4&lt;=$F95,AE$4+6&gt;=$E95),IF($F95-$E95&lt;=2,"◆",IF($H95="Yes","X",LEFT($D95,1))),""))</f>
        <v/>
      </c>
      <c r="AF95" s="33">
        <f>IF(OR($E95="",$F95=""),"",IF(AND(AF$4&lt;=$F95,AF$4+6&gt;=$E95),IF($F95-$E95&lt;=2,"◆",IF($H95="Yes","X",LEFT($D95,1))),""))</f>
        <v/>
      </c>
      <c r="AG95" s="33">
        <f>IF(OR($E95="",$F95=""),"",IF(AND(AG$4&lt;=$F95,AG$4+6&gt;=$E95),IF($F95-$E95&lt;=2,"◆",IF($H95="Yes","X",LEFT($D95,1))),""))</f>
        <v/>
      </c>
      <c r="AH95" s="33">
        <f>IF(OR($E95="",$F95=""),"",IF(AND(AH$4&lt;=$F95,AH$4+6&gt;=$E95),IF($F95-$E95&lt;=2,"◆",IF($H95="Yes","X",LEFT($D95,1))),""))</f>
        <v/>
      </c>
      <c r="AI95" s="33">
        <f>IF(OR($E95="",$F95=""),"",IF(AND(AI$4&lt;=$F95,AI$4+6&gt;=$E95),IF($F95-$E95&lt;=2,"◆",IF($H95="Yes","X",LEFT($D95,1))),""))</f>
        <v/>
      </c>
      <c r="AJ95" s="33">
        <f>IF(OR($E95="",$F95=""),"",IF(AND(AJ$4&lt;=$F95,AJ$4+6&gt;=$E95),IF($F95-$E95&lt;=2,"◆",IF($H95="Yes","X",LEFT($D95,1))),""))</f>
        <v/>
      </c>
      <c r="AK95" s="33">
        <f>IF(OR($E95="",$F95=""),"",IF(AND(AK$4&lt;=$F95,AK$4+6&gt;=$E95),IF($F95-$E95&lt;=2,"◆",IF($H95="Yes","X",LEFT($D95,1))),""))</f>
        <v/>
      </c>
      <c r="AL95" s="33">
        <f>IF(OR($E95="",$F95=""),"",IF(AND(AL$4&lt;=$F95,AL$4+6&gt;=$E95),IF($F95-$E95&lt;=2,"◆",IF($H95="Yes","X",LEFT($D95,1))),""))</f>
        <v/>
      </c>
      <c r="AM95" s="33">
        <f>IF(OR($E95="",$F95=""),"",IF(AND(AM$4&lt;=$F95,AM$4+6&gt;=$E95),IF($F95-$E95&lt;=2,"◆",IF($H95="Yes","X",LEFT($D95,1))),""))</f>
        <v/>
      </c>
      <c r="AN95" s="33">
        <f>IF(OR($E95="",$F95=""),"",IF(AND(AN$4&lt;=$F95,AN$4+6&gt;=$E95),IF($F95-$E95&lt;=2,"◆",IF($H95="Yes","X",LEFT($D95,1))),""))</f>
        <v/>
      </c>
      <c r="AO95" s="33">
        <f>IF(OR($E95="",$F95=""),"",IF(AND(AO$4&lt;=$F95,AO$4+6&gt;=$E95),IF($F95-$E95&lt;=2,"◆",IF($H95="Yes","X",LEFT($D95,1))),""))</f>
        <v/>
      </c>
      <c r="AP95" s="33">
        <f>IF(OR($E95="",$F95=""),"",IF(AND(AP$4&lt;=$F95,AP$4+6&gt;=$E95),IF($F95-$E95&lt;=2,"◆",IF($H95="Yes","X",LEFT($D95,1))),""))</f>
        <v/>
      </c>
      <c r="AQ95" s="33">
        <f>IF(OR($E95="",$F95=""),"",IF(AND(AQ$4&lt;=$F95,AQ$4+6&gt;=$E95),IF($F95-$E95&lt;=2,"◆",IF($H95="Yes","X",LEFT($D95,1))),""))</f>
        <v/>
      </c>
      <c r="AR95" s="33">
        <f>IF(OR($E95="",$F95=""),"",IF(AND(AR$4&lt;=$F95,AR$4+6&gt;=$E95),IF($F95-$E95&lt;=2,"◆",IF($H95="Yes","X",LEFT($D95,1))),""))</f>
        <v/>
      </c>
      <c r="AS95" s="33">
        <f>IF(OR($E95="",$F95=""),"",IF(AND(AS$4&lt;=$F95,AS$4+6&gt;=$E95),IF($F95-$E95&lt;=2,"◆",IF($H95="Yes","X",LEFT($D95,1))),""))</f>
        <v/>
      </c>
      <c r="AT95" s="33">
        <f>IF(OR($E95="",$F95=""),"",IF(AND(AT$4&lt;=$F95,AT$4+6&gt;=$E95),IF($F95-$E95&lt;=2,"◆",IF($H95="Yes","X",LEFT($D95,1))),""))</f>
        <v/>
      </c>
      <c r="AU95" s="33">
        <f>IF(OR($E95="",$F95=""),"",IF(AND(AU$4&lt;=$F95,AU$4+6&gt;=$E95),IF($F95-$E95&lt;=2,"◆",IF($H95="Yes","X",LEFT($D95,1))),""))</f>
        <v/>
      </c>
      <c r="AV95" s="33">
        <f>IF(OR($E95="",$F95=""),"",IF(AND(AV$4&lt;=$F95,AV$4+6&gt;=$E95),IF($F95-$E95&lt;=2,"◆",IF($H95="Yes","X",LEFT($D95,1))),""))</f>
        <v/>
      </c>
      <c r="AW95" s="33">
        <f>IF(OR($E95="",$F95=""),"",IF(AND(AW$4&lt;=$F95,AW$4+6&gt;=$E95),IF($F95-$E95&lt;=2,"◆",IF($H95="Yes","X",LEFT($D95,1))),""))</f>
        <v/>
      </c>
      <c r="AX95" s="33">
        <f>IF(OR($E95="",$F95=""),"",IF(AND(AX$4&lt;=$F95,AX$4+6&gt;=$E95),IF($F95-$E95&lt;=2,"◆",IF($H95="Yes","X",LEFT($D95,1))),""))</f>
        <v/>
      </c>
      <c r="AY95" s="33">
        <f>IF(OR($E95="",$F95=""),"",IF(AND(AY$4&lt;=$F95,AY$4+6&gt;=$E95),IF($F95-$E95&lt;=2,"◆",IF($H95="Yes","X",LEFT($D95,1))),""))</f>
        <v/>
      </c>
      <c r="AZ95" s="33">
        <f>IF(OR($E95="",$F95=""),"",IF(AND(AZ$4&lt;=$F95,AZ$4+6&gt;=$E95),IF($F95-$E95&lt;=2,"◆",IF($H95="Yes","X",LEFT($D95,1))),""))</f>
        <v/>
      </c>
      <c r="BA95" s="33">
        <f>IF(OR($E95="",$F95=""),"",IF(AND(BA$4&lt;=$F95,BA$4+6&gt;=$E95),IF($F95-$E95&lt;=2,"◆",IF($H95="Yes","X",LEFT($D95,1))),""))</f>
        <v/>
      </c>
      <c r="BB95" s="33">
        <f>IF(OR($E95="",$F95=""),"",IF(AND(BB$4&lt;=$F95,BB$4+6&gt;=$E95),IF($F95-$E95&lt;=2,"◆",IF($H95="Yes","X",LEFT($D95,1))),""))</f>
        <v/>
      </c>
      <c r="BC95" s="33">
        <f>IF(OR($E95="",$F95=""),"",IF(AND(BC$4&lt;=$F95,BC$4+6&gt;=$E95),IF($F95-$E95&lt;=2,"◆",IF($H95="Yes","X",LEFT($D95,1))),""))</f>
        <v/>
      </c>
      <c r="BD95" s="33">
        <f>IF(OR($E95="",$F95=""),"",IF(AND(BD$4&lt;=$F95,BD$4+6&gt;=$E95),IF($F95-$E95&lt;=2,"◆",IF($H95="Yes","X",LEFT($D95,1))),""))</f>
        <v/>
      </c>
      <c r="BE95" s="33">
        <f>IF(OR($E95="",$F95=""),"",IF(AND(BE$4&lt;=$F95,BE$4+6&gt;=$E95),IF($F95-$E95&lt;=2,"◆",IF($H95="Yes","X",LEFT($D95,1))),""))</f>
        <v/>
      </c>
      <c r="BF95" s="33">
        <f>IF(OR($E95="",$F95=""),"",IF(AND(BF$4&lt;=$F95,BF$4+6&gt;=$E95),IF($F95-$E95&lt;=2,"◆",IF($H95="Yes","X",LEFT($D95,1))),""))</f>
        <v/>
      </c>
      <c r="BG95" s="33">
        <f>IF(OR($E95="",$F95=""),"",IF(AND(BG$4&lt;=$F95,BG$4+6&gt;=$E95),IF($F95-$E95&lt;=2,"◆",IF($H95="Yes","X",LEFT($D95,1))),""))</f>
        <v/>
      </c>
      <c r="BH95" s="33">
        <f>IF(OR($E95="",$F95=""),"",IF(AND(BH$4&lt;=$F95,BH$4+6&gt;=$E95),IF($F95-$E95&lt;=2,"◆",IF($H95="Yes","X",LEFT($D95,1))),""))</f>
        <v/>
      </c>
      <c r="BI95" s="33">
        <f>IF(OR($E95="",$F95=""),"",IF(AND(BI$4&lt;=$F95,BI$4+6&gt;=$E95),IF($F95-$E95&lt;=2,"◆",IF($H95="Yes","X",LEFT($D95,1))),""))</f>
        <v/>
      </c>
    </row>
    <row r="96">
      <c r="A96" s="30" t="inlineStr">
        <is>
          <t>T-092</t>
        </is>
      </c>
      <c r="B96" s="30" t="inlineStr">
        <is>
          <t>Insights Agent</t>
        </is>
      </c>
      <c r="C96" s="30" t="inlineStr">
        <is>
          <t>Siva</t>
        </is>
      </c>
      <c r="D96" s="30" t="inlineStr">
        <is>
          <t>Not Started</t>
        </is>
      </c>
      <c r="E96" s="31" t="n">
        <v>46327</v>
      </c>
      <c r="F96" s="31" t="n">
        <v>46359</v>
      </c>
      <c r="G96" s="32" t="n">
        <v>0</v>
      </c>
      <c r="H96" s="30" t="inlineStr">
        <is>
          <t>No</t>
        </is>
      </c>
      <c r="I96" s="33">
        <f>IF(OR($E96="",$F96=""),"",IF(AND(I$4&lt;=$F96,I$4+6&gt;=$E96),IF($F96-$E96&lt;=2,"◆",IF($H96="Yes","X",LEFT($D96,1))),""))</f>
        <v/>
      </c>
      <c r="J96" s="33">
        <f>IF(OR($E96="",$F96=""),"",IF(AND(J$4&lt;=$F96,J$4+6&gt;=$E96),IF($F96-$E96&lt;=2,"◆",IF($H96="Yes","X",LEFT($D96,1))),""))</f>
        <v/>
      </c>
      <c r="K96" s="33">
        <f>IF(OR($E96="",$F96=""),"",IF(AND(K$4&lt;=$F96,K$4+6&gt;=$E96),IF($F96-$E96&lt;=2,"◆",IF($H96="Yes","X",LEFT($D96,1))),""))</f>
        <v/>
      </c>
      <c r="L96" s="33">
        <f>IF(OR($E96="",$F96=""),"",IF(AND(L$4&lt;=$F96,L$4+6&gt;=$E96),IF($F96-$E96&lt;=2,"◆",IF($H96="Yes","X",LEFT($D96,1))),""))</f>
        <v/>
      </c>
      <c r="M96" s="33">
        <f>IF(OR($E96="",$F96=""),"",IF(AND(M$4&lt;=$F96,M$4+6&gt;=$E96),IF($F96-$E96&lt;=2,"◆",IF($H96="Yes","X",LEFT($D96,1))),""))</f>
        <v/>
      </c>
      <c r="N96" s="33">
        <f>IF(OR($E96="",$F96=""),"",IF(AND(N$4&lt;=$F96,N$4+6&gt;=$E96),IF($F96-$E96&lt;=2,"◆",IF($H96="Yes","X",LEFT($D96,1))),""))</f>
        <v/>
      </c>
      <c r="O96" s="33">
        <f>IF(OR($E96="",$F96=""),"",IF(AND(O$4&lt;=$F96,O$4+6&gt;=$E96),IF($F96-$E96&lt;=2,"◆",IF($H96="Yes","X",LEFT($D96,1))),""))</f>
        <v/>
      </c>
      <c r="P96" s="33">
        <f>IF(OR($E96="",$F96=""),"",IF(AND(P$4&lt;=$F96,P$4+6&gt;=$E96),IF($F96-$E96&lt;=2,"◆",IF($H96="Yes","X",LEFT($D96,1))),""))</f>
        <v/>
      </c>
      <c r="Q96" s="33">
        <f>IF(OR($E96="",$F96=""),"",IF(AND(Q$4&lt;=$F96,Q$4+6&gt;=$E96),IF($F96-$E96&lt;=2,"◆",IF($H96="Yes","X",LEFT($D96,1))),""))</f>
        <v/>
      </c>
      <c r="R96" s="33">
        <f>IF(OR($E96="",$F96=""),"",IF(AND(R$4&lt;=$F96,R$4+6&gt;=$E96),IF($F96-$E96&lt;=2,"◆",IF($H96="Yes","X",LEFT($D96,1))),""))</f>
        <v/>
      </c>
      <c r="S96" s="33">
        <f>IF(OR($E96="",$F96=""),"",IF(AND(S$4&lt;=$F96,S$4+6&gt;=$E96),IF($F96-$E96&lt;=2,"◆",IF($H96="Yes","X",LEFT($D96,1))),""))</f>
        <v/>
      </c>
      <c r="T96" s="33">
        <f>IF(OR($E96="",$F96=""),"",IF(AND(T$4&lt;=$F96,T$4+6&gt;=$E96),IF($F96-$E96&lt;=2,"◆",IF($H96="Yes","X",LEFT($D96,1))),""))</f>
        <v/>
      </c>
      <c r="U96" s="33">
        <f>IF(OR($E96="",$F96=""),"",IF(AND(U$4&lt;=$F96,U$4+6&gt;=$E96),IF($F96-$E96&lt;=2,"◆",IF($H96="Yes","X",LEFT($D96,1))),""))</f>
        <v/>
      </c>
      <c r="V96" s="33">
        <f>IF(OR($E96="",$F96=""),"",IF(AND(V$4&lt;=$F96,V$4+6&gt;=$E96),IF($F96-$E96&lt;=2,"◆",IF($H96="Yes","X",LEFT($D96,1))),""))</f>
        <v/>
      </c>
      <c r="W96" s="33">
        <f>IF(OR($E96="",$F96=""),"",IF(AND(W$4&lt;=$F96,W$4+6&gt;=$E96),IF($F96-$E96&lt;=2,"◆",IF($H96="Yes","X",LEFT($D96,1))),""))</f>
        <v/>
      </c>
      <c r="X96" s="33">
        <f>IF(OR($E96="",$F96=""),"",IF(AND(X$4&lt;=$F96,X$4+6&gt;=$E96),IF($F96-$E96&lt;=2,"◆",IF($H96="Yes","X",LEFT($D96,1))),""))</f>
        <v/>
      </c>
      <c r="Y96" s="33">
        <f>IF(OR($E96="",$F96=""),"",IF(AND(Y$4&lt;=$F96,Y$4+6&gt;=$E96),IF($F96-$E96&lt;=2,"◆",IF($H96="Yes","X",LEFT($D96,1))),""))</f>
        <v/>
      </c>
      <c r="Z96" s="33">
        <f>IF(OR($E96="",$F96=""),"",IF(AND(Z$4&lt;=$F96,Z$4+6&gt;=$E96),IF($F96-$E96&lt;=2,"◆",IF($H96="Yes","X",LEFT($D96,1))),""))</f>
        <v/>
      </c>
      <c r="AA96" s="33">
        <f>IF(OR($E96="",$F96=""),"",IF(AND(AA$4&lt;=$F96,AA$4+6&gt;=$E96),IF($F96-$E96&lt;=2,"◆",IF($H96="Yes","X",LEFT($D96,1))),""))</f>
        <v/>
      </c>
      <c r="AB96" s="33">
        <f>IF(OR($E96="",$F96=""),"",IF(AND(AB$4&lt;=$F96,AB$4+6&gt;=$E96),IF($F96-$E96&lt;=2,"◆",IF($H96="Yes","X",LEFT($D96,1))),""))</f>
        <v/>
      </c>
      <c r="AC96" s="33">
        <f>IF(OR($E96="",$F96=""),"",IF(AND(AC$4&lt;=$F96,AC$4+6&gt;=$E96),IF($F96-$E96&lt;=2,"◆",IF($H96="Yes","X",LEFT($D96,1))),""))</f>
        <v/>
      </c>
      <c r="AD96" s="33">
        <f>IF(OR($E96="",$F96=""),"",IF(AND(AD$4&lt;=$F96,AD$4+6&gt;=$E96),IF($F96-$E96&lt;=2,"◆",IF($H96="Yes","X",LEFT($D96,1))),""))</f>
        <v/>
      </c>
      <c r="AE96" s="33">
        <f>IF(OR($E96="",$F96=""),"",IF(AND(AE$4&lt;=$F96,AE$4+6&gt;=$E96),IF($F96-$E96&lt;=2,"◆",IF($H96="Yes","X",LEFT($D96,1))),""))</f>
        <v/>
      </c>
      <c r="AF96" s="33">
        <f>IF(OR($E96="",$F96=""),"",IF(AND(AF$4&lt;=$F96,AF$4+6&gt;=$E96),IF($F96-$E96&lt;=2,"◆",IF($H96="Yes","X",LEFT($D96,1))),""))</f>
        <v/>
      </c>
      <c r="AG96" s="33">
        <f>IF(OR($E96="",$F96=""),"",IF(AND(AG$4&lt;=$F96,AG$4+6&gt;=$E96),IF($F96-$E96&lt;=2,"◆",IF($H96="Yes","X",LEFT($D96,1))),""))</f>
        <v/>
      </c>
      <c r="AH96" s="33">
        <f>IF(OR($E96="",$F96=""),"",IF(AND(AH$4&lt;=$F96,AH$4+6&gt;=$E96),IF($F96-$E96&lt;=2,"◆",IF($H96="Yes","X",LEFT($D96,1))),""))</f>
        <v/>
      </c>
      <c r="AI96" s="33">
        <f>IF(OR($E96="",$F96=""),"",IF(AND(AI$4&lt;=$F96,AI$4+6&gt;=$E96),IF($F96-$E96&lt;=2,"◆",IF($H96="Yes","X",LEFT($D96,1))),""))</f>
        <v/>
      </c>
      <c r="AJ96" s="33">
        <f>IF(OR($E96="",$F96=""),"",IF(AND(AJ$4&lt;=$F96,AJ$4+6&gt;=$E96),IF($F96-$E96&lt;=2,"◆",IF($H96="Yes","X",LEFT($D96,1))),""))</f>
        <v/>
      </c>
      <c r="AK96" s="33">
        <f>IF(OR($E96="",$F96=""),"",IF(AND(AK$4&lt;=$F96,AK$4+6&gt;=$E96),IF($F96-$E96&lt;=2,"◆",IF($H96="Yes","X",LEFT($D96,1))),""))</f>
        <v/>
      </c>
      <c r="AL96" s="33">
        <f>IF(OR($E96="",$F96=""),"",IF(AND(AL$4&lt;=$F96,AL$4+6&gt;=$E96),IF($F96-$E96&lt;=2,"◆",IF($H96="Yes","X",LEFT($D96,1))),""))</f>
        <v/>
      </c>
      <c r="AM96" s="33">
        <f>IF(OR($E96="",$F96=""),"",IF(AND(AM$4&lt;=$F96,AM$4+6&gt;=$E96),IF($F96-$E96&lt;=2,"◆",IF($H96="Yes","X",LEFT($D96,1))),""))</f>
        <v/>
      </c>
      <c r="AN96" s="33">
        <f>IF(OR($E96="",$F96=""),"",IF(AND(AN$4&lt;=$F96,AN$4+6&gt;=$E96),IF($F96-$E96&lt;=2,"◆",IF($H96="Yes","X",LEFT($D96,1))),""))</f>
        <v/>
      </c>
      <c r="AO96" s="33">
        <f>IF(OR($E96="",$F96=""),"",IF(AND(AO$4&lt;=$F96,AO$4+6&gt;=$E96),IF($F96-$E96&lt;=2,"◆",IF($H96="Yes","X",LEFT($D96,1))),""))</f>
        <v/>
      </c>
      <c r="AP96" s="33">
        <f>IF(OR($E96="",$F96=""),"",IF(AND(AP$4&lt;=$F96,AP$4+6&gt;=$E96),IF($F96-$E96&lt;=2,"◆",IF($H96="Yes","X",LEFT($D96,1))),""))</f>
        <v/>
      </c>
      <c r="AQ96" s="33">
        <f>IF(OR($E96="",$F96=""),"",IF(AND(AQ$4&lt;=$F96,AQ$4+6&gt;=$E96),IF($F96-$E96&lt;=2,"◆",IF($H96="Yes","X",LEFT($D96,1))),""))</f>
        <v/>
      </c>
      <c r="AR96" s="33">
        <f>IF(OR($E96="",$F96=""),"",IF(AND(AR$4&lt;=$F96,AR$4+6&gt;=$E96),IF($F96-$E96&lt;=2,"◆",IF($H96="Yes","X",LEFT($D96,1))),""))</f>
        <v/>
      </c>
      <c r="AS96" s="33">
        <f>IF(OR($E96="",$F96=""),"",IF(AND(AS$4&lt;=$F96,AS$4+6&gt;=$E96),IF($F96-$E96&lt;=2,"◆",IF($H96="Yes","X",LEFT($D96,1))),""))</f>
        <v/>
      </c>
      <c r="AT96" s="33">
        <f>IF(OR($E96="",$F96=""),"",IF(AND(AT$4&lt;=$F96,AT$4+6&gt;=$E96),IF($F96-$E96&lt;=2,"◆",IF($H96="Yes","X",LEFT($D96,1))),""))</f>
        <v/>
      </c>
      <c r="AU96" s="33">
        <f>IF(OR($E96="",$F96=""),"",IF(AND(AU$4&lt;=$F96,AU$4+6&gt;=$E96),IF($F96-$E96&lt;=2,"◆",IF($H96="Yes","X",LEFT($D96,1))),""))</f>
        <v/>
      </c>
      <c r="AV96" s="33">
        <f>IF(OR($E96="",$F96=""),"",IF(AND(AV$4&lt;=$F96,AV$4+6&gt;=$E96),IF($F96-$E96&lt;=2,"◆",IF($H96="Yes","X",LEFT($D96,1))),""))</f>
        <v/>
      </c>
      <c r="AW96" s="33">
        <f>IF(OR($E96="",$F96=""),"",IF(AND(AW$4&lt;=$F96,AW$4+6&gt;=$E96),IF($F96-$E96&lt;=2,"◆",IF($H96="Yes","X",LEFT($D96,1))),""))</f>
        <v/>
      </c>
      <c r="AX96" s="33">
        <f>IF(OR($E96="",$F96=""),"",IF(AND(AX$4&lt;=$F96,AX$4+6&gt;=$E96),IF($F96-$E96&lt;=2,"◆",IF($H96="Yes","X",LEFT($D96,1))),""))</f>
        <v/>
      </c>
      <c r="AY96" s="33">
        <f>IF(OR($E96="",$F96=""),"",IF(AND(AY$4&lt;=$F96,AY$4+6&gt;=$E96),IF($F96-$E96&lt;=2,"◆",IF($H96="Yes","X",LEFT($D96,1))),""))</f>
        <v/>
      </c>
      <c r="AZ96" s="33">
        <f>IF(OR($E96="",$F96=""),"",IF(AND(AZ$4&lt;=$F96,AZ$4+6&gt;=$E96),IF($F96-$E96&lt;=2,"◆",IF($H96="Yes","X",LEFT($D96,1))),""))</f>
        <v/>
      </c>
      <c r="BA96" s="33">
        <f>IF(OR($E96="",$F96=""),"",IF(AND(BA$4&lt;=$F96,BA$4+6&gt;=$E96),IF($F96-$E96&lt;=2,"◆",IF($H96="Yes","X",LEFT($D96,1))),""))</f>
        <v/>
      </c>
      <c r="BB96" s="33">
        <f>IF(OR($E96="",$F96=""),"",IF(AND(BB$4&lt;=$F96,BB$4+6&gt;=$E96),IF($F96-$E96&lt;=2,"◆",IF($H96="Yes","X",LEFT($D96,1))),""))</f>
        <v/>
      </c>
      <c r="BC96" s="33">
        <f>IF(OR($E96="",$F96=""),"",IF(AND(BC$4&lt;=$F96,BC$4+6&gt;=$E96),IF($F96-$E96&lt;=2,"◆",IF($H96="Yes","X",LEFT($D96,1))),""))</f>
        <v/>
      </c>
      <c r="BD96" s="33">
        <f>IF(OR($E96="",$F96=""),"",IF(AND(BD$4&lt;=$F96,BD$4+6&gt;=$E96),IF($F96-$E96&lt;=2,"◆",IF($H96="Yes","X",LEFT($D96,1))),""))</f>
        <v/>
      </c>
      <c r="BE96" s="33">
        <f>IF(OR($E96="",$F96=""),"",IF(AND(BE$4&lt;=$F96,BE$4+6&gt;=$E96),IF($F96-$E96&lt;=2,"◆",IF($H96="Yes","X",LEFT($D96,1))),""))</f>
        <v/>
      </c>
      <c r="BF96" s="33">
        <f>IF(OR($E96="",$F96=""),"",IF(AND(BF$4&lt;=$F96,BF$4+6&gt;=$E96),IF($F96-$E96&lt;=2,"◆",IF($H96="Yes","X",LEFT($D96,1))),""))</f>
        <v/>
      </c>
      <c r="BG96" s="33">
        <f>IF(OR($E96="",$F96=""),"",IF(AND(BG$4&lt;=$F96,BG$4+6&gt;=$E96),IF($F96-$E96&lt;=2,"◆",IF($H96="Yes","X",LEFT($D96,1))),""))</f>
        <v/>
      </c>
      <c r="BH96" s="33">
        <f>IF(OR($E96="",$F96=""),"",IF(AND(BH$4&lt;=$F96,BH$4+6&gt;=$E96),IF($F96-$E96&lt;=2,"◆",IF($H96="Yes","X",LEFT($D96,1))),""))</f>
        <v/>
      </c>
      <c r="BI96" s="33">
        <f>IF(OR($E96="",$F96=""),"",IF(AND(BI$4&lt;=$F96,BI$4+6&gt;=$E96),IF($F96-$E96&lt;=2,"◆",IF($H96="Yes","X",LEFT($D96,1))),""))</f>
        <v/>
      </c>
    </row>
    <row r="97">
      <c r="A97" s="30" t="inlineStr">
        <is>
          <t>T-093</t>
        </is>
      </c>
      <c r="B97" s="30" t="inlineStr">
        <is>
          <t>Insights Agent</t>
        </is>
      </c>
      <c r="C97" s="30" t="inlineStr">
        <is>
          <t>Siva</t>
        </is>
      </c>
      <c r="D97" s="30" t="inlineStr">
        <is>
          <t>Not Started</t>
        </is>
      </c>
      <c r="E97" s="31" t="n">
        <v>46330</v>
      </c>
      <c r="F97" s="31" t="n">
        <v>46362</v>
      </c>
      <c r="G97" s="32" t="n">
        <v>0</v>
      </c>
      <c r="H97" s="30" t="inlineStr">
        <is>
          <t>No</t>
        </is>
      </c>
      <c r="I97" s="33">
        <f>IF(OR($E97="",$F97=""),"",IF(AND(I$4&lt;=$F97,I$4+6&gt;=$E97),IF($F97-$E97&lt;=2,"◆",IF($H97="Yes","X",LEFT($D97,1))),""))</f>
        <v/>
      </c>
      <c r="J97" s="33">
        <f>IF(OR($E97="",$F97=""),"",IF(AND(J$4&lt;=$F97,J$4+6&gt;=$E97),IF($F97-$E97&lt;=2,"◆",IF($H97="Yes","X",LEFT($D97,1))),""))</f>
        <v/>
      </c>
      <c r="K97" s="33">
        <f>IF(OR($E97="",$F97=""),"",IF(AND(K$4&lt;=$F97,K$4+6&gt;=$E97),IF($F97-$E97&lt;=2,"◆",IF($H97="Yes","X",LEFT($D97,1))),""))</f>
        <v/>
      </c>
      <c r="L97" s="33">
        <f>IF(OR($E97="",$F97=""),"",IF(AND(L$4&lt;=$F97,L$4+6&gt;=$E97),IF($F97-$E97&lt;=2,"◆",IF($H97="Yes","X",LEFT($D97,1))),""))</f>
        <v/>
      </c>
      <c r="M97" s="33">
        <f>IF(OR($E97="",$F97=""),"",IF(AND(M$4&lt;=$F97,M$4+6&gt;=$E97),IF($F97-$E97&lt;=2,"◆",IF($H97="Yes","X",LEFT($D97,1))),""))</f>
        <v/>
      </c>
      <c r="N97" s="33">
        <f>IF(OR($E97="",$F97=""),"",IF(AND(N$4&lt;=$F97,N$4+6&gt;=$E97),IF($F97-$E97&lt;=2,"◆",IF($H97="Yes","X",LEFT($D97,1))),""))</f>
        <v/>
      </c>
      <c r="O97" s="33">
        <f>IF(OR($E97="",$F97=""),"",IF(AND(O$4&lt;=$F97,O$4+6&gt;=$E97),IF($F97-$E97&lt;=2,"◆",IF($H97="Yes","X",LEFT($D97,1))),""))</f>
        <v/>
      </c>
      <c r="P97" s="33">
        <f>IF(OR($E97="",$F97=""),"",IF(AND(P$4&lt;=$F97,P$4+6&gt;=$E97),IF($F97-$E97&lt;=2,"◆",IF($H97="Yes","X",LEFT($D97,1))),""))</f>
        <v/>
      </c>
      <c r="Q97" s="33">
        <f>IF(OR($E97="",$F97=""),"",IF(AND(Q$4&lt;=$F97,Q$4+6&gt;=$E97),IF($F97-$E97&lt;=2,"◆",IF($H97="Yes","X",LEFT($D97,1))),""))</f>
        <v/>
      </c>
      <c r="R97" s="33">
        <f>IF(OR($E97="",$F97=""),"",IF(AND(R$4&lt;=$F97,R$4+6&gt;=$E97),IF($F97-$E97&lt;=2,"◆",IF($H97="Yes","X",LEFT($D97,1))),""))</f>
        <v/>
      </c>
      <c r="S97" s="33">
        <f>IF(OR($E97="",$F97=""),"",IF(AND(S$4&lt;=$F97,S$4+6&gt;=$E97),IF($F97-$E97&lt;=2,"◆",IF($H97="Yes","X",LEFT($D97,1))),""))</f>
        <v/>
      </c>
      <c r="T97" s="33">
        <f>IF(OR($E97="",$F97=""),"",IF(AND(T$4&lt;=$F97,T$4+6&gt;=$E97),IF($F97-$E97&lt;=2,"◆",IF($H97="Yes","X",LEFT($D97,1))),""))</f>
        <v/>
      </c>
      <c r="U97" s="33">
        <f>IF(OR($E97="",$F97=""),"",IF(AND(U$4&lt;=$F97,U$4+6&gt;=$E97),IF($F97-$E97&lt;=2,"◆",IF($H97="Yes","X",LEFT($D97,1))),""))</f>
        <v/>
      </c>
      <c r="V97" s="33">
        <f>IF(OR($E97="",$F97=""),"",IF(AND(V$4&lt;=$F97,V$4+6&gt;=$E97),IF($F97-$E97&lt;=2,"◆",IF($H97="Yes","X",LEFT($D97,1))),""))</f>
        <v/>
      </c>
      <c r="W97" s="33">
        <f>IF(OR($E97="",$F97=""),"",IF(AND(W$4&lt;=$F97,W$4+6&gt;=$E97),IF($F97-$E97&lt;=2,"◆",IF($H97="Yes","X",LEFT($D97,1))),""))</f>
        <v/>
      </c>
      <c r="X97" s="33">
        <f>IF(OR($E97="",$F97=""),"",IF(AND(X$4&lt;=$F97,X$4+6&gt;=$E97),IF($F97-$E97&lt;=2,"◆",IF($H97="Yes","X",LEFT($D97,1))),""))</f>
        <v/>
      </c>
      <c r="Y97" s="33">
        <f>IF(OR($E97="",$F97=""),"",IF(AND(Y$4&lt;=$F97,Y$4+6&gt;=$E97),IF($F97-$E97&lt;=2,"◆",IF($H97="Yes","X",LEFT($D97,1))),""))</f>
        <v/>
      </c>
      <c r="Z97" s="33">
        <f>IF(OR($E97="",$F97=""),"",IF(AND(Z$4&lt;=$F97,Z$4+6&gt;=$E97),IF($F97-$E97&lt;=2,"◆",IF($H97="Yes","X",LEFT($D97,1))),""))</f>
        <v/>
      </c>
      <c r="AA97" s="33">
        <f>IF(OR($E97="",$F97=""),"",IF(AND(AA$4&lt;=$F97,AA$4+6&gt;=$E97),IF($F97-$E97&lt;=2,"◆",IF($H97="Yes","X",LEFT($D97,1))),""))</f>
        <v/>
      </c>
      <c r="AB97" s="33">
        <f>IF(OR($E97="",$F97=""),"",IF(AND(AB$4&lt;=$F97,AB$4+6&gt;=$E97),IF($F97-$E97&lt;=2,"◆",IF($H97="Yes","X",LEFT($D97,1))),""))</f>
        <v/>
      </c>
      <c r="AC97" s="33">
        <f>IF(OR($E97="",$F97=""),"",IF(AND(AC$4&lt;=$F97,AC$4+6&gt;=$E97),IF($F97-$E97&lt;=2,"◆",IF($H97="Yes","X",LEFT($D97,1))),""))</f>
        <v/>
      </c>
      <c r="AD97" s="33">
        <f>IF(OR($E97="",$F97=""),"",IF(AND(AD$4&lt;=$F97,AD$4+6&gt;=$E97),IF($F97-$E97&lt;=2,"◆",IF($H97="Yes","X",LEFT($D97,1))),""))</f>
        <v/>
      </c>
      <c r="AE97" s="33">
        <f>IF(OR($E97="",$F97=""),"",IF(AND(AE$4&lt;=$F97,AE$4+6&gt;=$E97),IF($F97-$E97&lt;=2,"◆",IF($H97="Yes","X",LEFT($D97,1))),""))</f>
        <v/>
      </c>
      <c r="AF97" s="33">
        <f>IF(OR($E97="",$F97=""),"",IF(AND(AF$4&lt;=$F97,AF$4+6&gt;=$E97),IF($F97-$E97&lt;=2,"◆",IF($H97="Yes","X",LEFT($D97,1))),""))</f>
        <v/>
      </c>
      <c r="AG97" s="33">
        <f>IF(OR($E97="",$F97=""),"",IF(AND(AG$4&lt;=$F97,AG$4+6&gt;=$E97),IF($F97-$E97&lt;=2,"◆",IF($H97="Yes","X",LEFT($D97,1))),""))</f>
        <v/>
      </c>
      <c r="AH97" s="33">
        <f>IF(OR($E97="",$F97=""),"",IF(AND(AH$4&lt;=$F97,AH$4+6&gt;=$E97),IF($F97-$E97&lt;=2,"◆",IF($H97="Yes","X",LEFT($D97,1))),""))</f>
        <v/>
      </c>
      <c r="AI97" s="33">
        <f>IF(OR($E97="",$F97=""),"",IF(AND(AI$4&lt;=$F97,AI$4+6&gt;=$E97),IF($F97-$E97&lt;=2,"◆",IF($H97="Yes","X",LEFT($D97,1))),""))</f>
        <v/>
      </c>
      <c r="AJ97" s="33">
        <f>IF(OR($E97="",$F97=""),"",IF(AND(AJ$4&lt;=$F97,AJ$4+6&gt;=$E97),IF($F97-$E97&lt;=2,"◆",IF($H97="Yes","X",LEFT($D97,1))),""))</f>
        <v/>
      </c>
      <c r="AK97" s="33">
        <f>IF(OR($E97="",$F97=""),"",IF(AND(AK$4&lt;=$F97,AK$4+6&gt;=$E97),IF($F97-$E97&lt;=2,"◆",IF($H97="Yes","X",LEFT($D97,1))),""))</f>
        <v/>
      </c>
      <c r="AL97" s="33">
        <f>IF(OR($E97="",$F97=""),"",IF(AND(AL$4&lt;=$F97,AL$4+6&gt;=$E97),IF($F97-$E97&lt;=2,"◆",IF($H97="Yes","X",LEFT($D97,1))),""))</f>
        <v/>
      </c>
      <c r="AM97" s="33">
        <f>IF(OR($E97="",$F97=""),"",IF(AND(AM$4&lt;=$F97,AM$4+6&gt;=$E97),IF($F97-$E97&lt;=2,"◆",IF($H97="Yes","X",LEFT($D97,1))),""))</f>
        <v/>
      </c>
      <c r="AN97" s="33">
        <f>IF(OR($E97="",$F97=""),"",IF(AND(AN$4&lt;=$F97,AN$4+6&gt;=$E97),IF($F97-$E97&lt;=2,"◆",IF($H97="Yes","X",LEFT($D97,1))),""))</f>
        <v/>
      </c>
      <c r="AO97" s="33">
        <f>IF(OR($E97="",$F97=""),"",IF(AND(AO$4&lt;=$F97,AO$4+6&gt;=$E97),IF($F97-$E97&lt;=2,"◆",IF($H97="Yes","X",LEFT($D97,1))),""))</f>
        <v/>
      </c>
      <c r="AP97" s="33">
        <f>IF(OR($E97="",$F97=""),"",IF(AND(AP$4&lt;=$F97,AP$4+6&gt;=$E97),IF($F97-$E97&lt;=2,"◆",IF($H97="Yes","X",LEFT($D97,1))),""))</f>
        <v/>
      </c>
      <c r="AQ97" s="33">
        <f>IF(OR($E97="",$F97=""),"",IF(AND(AQ$4&lt;=$F97,AQ$4+6&gt;=$E97),IF($F97-$E97&lt;=2,"◆",IF($H97="Yes","X",LEFT($D97,1))),""))</f>
        <v/>
      </c>
      <c r="AR97" s="33">
        <f>IF(OR($E97="",$F97=""),"",IF(AND(AR$4&lt;=$F97,AR$4+6&gt;=$E97),IF($F97-$E97&lt;=2,"◆",IF($H97="Yes","X",LEFT($D97,1))),""))</f>
        <v/>
      </c>
      <c r="AS97" s="33">
        <f>IF(OR($E97="",$F97=""),"",IF(AND(AS$4&lt;=$F97,AS$4+6&gt;=$E97),IF($F97-$E97&lt;=2,"◆",IF($H97="Yes","X",LEFT($D97,1))),""))</f>
        <v/>
      </c>
      <c r="AT97" s="33">
        <f>IF(OR($E97="",$F97=""),"",IF(AND(AT$4&lt;=$F97,AT$4+6&gt;=$E97),IF($F97-$E97&lt;=2,"◆",IF($H97="Yes","X",LEFT($D97,1))),""))</f>
        <v/>
      </c>
      <c r="AU97" s="33">
        <f>IF(OR($E97="",$F97=""),"",IF(AND(AU$4&lt;=$F97,AU$4+6&gt;=$E97),IF($F97-$E97&lt;=2,"◆",IF($H97="Yes","X",LEFT($D97,1))),""))</f>
        <v/>
      </c>
      <c r="AV97" s="33">
        <f>IF(OR($E97="",$F97=""),"",IF(AND(AV$4&lt;=$F97,AV$4+6&gt;=$E97),IF($F97-$E97&lt;=2,"◆",IF($H97="Yes","X",LEFT($D97,1))),""))</f>
        <v/>
      </c>
      <c r="AW97" s="33">
        <f>IF(OR($E97="",$F97=""),"",IF(AND(AW$4&lt;=$F97,AW$4+6&gt;=$E97),IF($F97-$E97&lt;=2,"◆",IF($H97="Yes","X",LEFT($D97,1))),""))</f>
        <v/>
      </c>
      <c r="AX97" s="33">
        <f>IF(OR($E97="",$F97=""),"",IF(AND(AX$4&lt;=$F97,AX$4+6&gt;=$E97),IF($F97-$E97&lt;=2,"◆",IF($H97="Yes","X",LEFT($D97,1))),""))</f>
        <v/>
      </c>
      <c r="AY97" s="33">
        <f>IF(OR($E97="",$F97=""),"",IF(AND(AY$4&lt;=$F97,AY$4+6&gt;=$E97),IF($F97-$E97&lt;=2,"◆",IF($H97="Yes","X",LEFT($D97,1))),""))</f>
        <v/>
      </c>
      <c r="AZ97" s="33">
        <f>IF(OR($E97="",$F97=""),"",IF(AND(AZ$4&lt;=$F97,AZ$4+6&gt;=$E97),IF($F97-$E97&lt;=2,"◆",IF($H97="Yes","X",LEFT($D97,1))),""))</f>
        <v/>
      </c>
      <c r="BA97" s="33">
        <f>IF(OR($E97="",$F97=""),"",IF(AND(BA$4&lt;=$F97,BA$4+6&gt;=$E97),IF($F97-$E97&lt;=2,"◆",IF($H97="Yes","X",LEFT($D97,1))),""))</f>
        <v/>
      </c>
      <c r="BB97" s="33">
        <f>IF(OR($E97="",$F97=""),"",IF(AND(BB$4&lt;=$F97,BB$4+6&gt;=$E97),IF($F97-$E97&lt;=2,"◆",IF($H97="Yes","X",LEFT($D97,1))),""))</f>
        <v/>
      </c>
      <c r="BC97" s="33">
        <f>IF(OR($E97="",$F97=""),"",IF(AND(BC$4&lt;=$F97,BC$4+6&gt;=$E97),IF($F97-$E97&lt;=2,"◆",IF($H97="Yes","X",LEFT($D97,1))),""))</f>
        <v/>
      </c>
      <c r="BD97" s="33">
        <f>IF(OR($E97="",$F97=""),"",IF(AND(BD$4&lt;=$F97,BD$4+6&gt;=$E97),IF($F97-$E97&lt;=2,"◆",IF($H97="Yes","X",LEFT($D97,1))),""))</f>
        <v/>
      </c>
      <c r="BE97" s="33">
        <f>IF(OR($E97="",$F97=""),"",IF(AND(BE$4&lt;=$F97,BE$4+6&gt;=$E97),IF($F97-$E97&lt;=2,"◆",IF($H97="Yes","X",LEFT($D97,1))),""))</f>
        <v/>
      </c>
      <c r="BF97" s="33">
        <f>IF(OR($E97="",$F97=""),"",IF(AND(BF$4&lt;=$F97,BF$4+6&gt;=$E97),IF($F97-$E97&lt;=2,"◆",IF($H97="Yes","X",LEFT($D97,1))),""))</f>
        <v/>
      </c>
      <c r="BG97" s="33">
        <f>IF(OR($E97="",$F97=""),"",IF(AND(BG$4&lt;=$F97,BG$4+6&gt;=$E97),IF($F97-$E97&lt;=2,"◆",IF($H97="Yes","X",LEFT($D97,1))),""))</f>
        <v/>
      </c>
      <c r="BH97" s="33">
        <f>IF(OR($E97="",$F97=""),"",IF(AND(BH$4&lt;=$F97,BH$4+6&gt;=$E97),IF($F97-$E97&lt;=2,"◆",IF($H97="Yes","X",LEFT($D97,1))),""))</f>
        <v/>
      </c>
      <c r="BI97" s="33">
        <f>IF(OR($E97="",$F97=""),"",IF(AND(BI$4&lt;=$F97,BI$4+6&gt;=$E97),IF($F97-$E97&lt;=2,"◆",IF($H97="Yes","X",LEFT($D97,1))),""))</f>
        <v/>
      </c>
    </row>
    <row r="98">
      <c r="A98" s="30" t="inlineStr">
        <is>
          <t>T-094</t>
        </is>
      </c>
      <c r="B98" s="30" t="inlineStr">
        <is>
          <t>Insights Agent</t>
        </is>
      </c>
      <c r="C98" s="30" t="inlineStr">
        <is>
          <t>Siva</t>
        </is>
      </c>
      <c r="D98" s="30" t="inlineStr">
        <is>
          <t>Not Started</t>
        </is>
      </c>
      <c r="E98" s="31" t="n">
        <v>46301</v>
      </c>
      <c r="F98" s="31" t="n">
        <v>46333</v>
      </c>
      <c r="G98" s="32" t="n">
        <v>0</v>
      </c>
      <c r="H98" s="30" t="inlineStr">
        <is>
          <t>No</t>
        </is>
      </c>
      <c r="I98" s="33">
        <f>IF(OR($E98="",$F98=""),"",IF(AND(I$4&lt;=$F98,I$4+6&gt;=$E98),IF($F98-$E98&lt;=2,"◆",IF($H98="Yes","X",LEFT($D98,1))),""))</f>
        <v/>
      </c>
      <c r="J98" s="33">
        <f>IF(OR($E98="",$F98=""),"",IF(AND(J$4&lt;=$F98,J$4+6&gt;=$E98),IF($F98-$E98&lt;=2,"◆",IF($H98="Yes","X",LEFT($D98,1))),""))</f>
        <v/>
      </c>
      <c r="K98" s="33">
        <f>IF(OR($E98="",$F98=""),"",IF(AND(K$4&lt;=$F98,K$4+6&gt;=$E98),IF($F98-$E98&lt;=2,"◆",IF($H98="Yes","X",LEFT($D98,1))),""))</f>
        <v/>
      </c>
      <c r="L98" s="33">
        <f>IF(OR($E98="",$F98=""),"",IF(AND(L$4&lt;=$F98,L$4+6&gt;=$E98),IF($F98-$E98&lt;=2,"◆",IF($H98="Yes","X",LEFT($D98,1))),""))</f>
        <v/>
      </c>
      <c r="M98" s="33">
        <f>IF(OR($E98="",$F98=""),"",IF(AND(M$4&lt;=$F98,M$4+6&gt;=$E98),IF($F98-$E98&lt;=2,"◆",IF($H98="Yes","X",LEFT($D98,1))),""))</f>
        <v/>
      </c>
      <c r="N98" s="33">
        <f>IF(OR($E98="",$F98=""),"",IF(AND(N$4&lt;=$F98,N$4+6&gt;=$E98),IF($F98-$E98&lt;=2,"◆",IF($H98="Yes","X",LEFT($D98,1))),""))</f>
        <v/>
      </c>
      <c r="O98" s="33">
        <f>IF(OR($E98="",$F98=""),"",IF(AND(O$4&lt;=$F98,O$4+6&gt;=$E98),IF($F98-$E98&lt;=2,"◆",IF($H98="Yes","X",LEFT($D98,1))),""))</f>
        <v/>
      </c>
      <c r="P98" s="33">
        <f>IF(OR($E98="",$F98=""),"",IF(AND(P$4&lt;=$F98,P$4+6&gt;=$E98),IF($F98-$E98&lt;=2,"◆",IF($H98="Yes","X",LEFT($D98,1))),""))</f>
        <v/>
      </c>
      <c r="Q98" s="33">
        <f>IF(OR($E98="",$F98=""),"",IF(AND(Q$4&lt;=$F98,Q$4+6&gt;=$E98),IF($F98-$E98&lt;=2,"◆",IF($H98="Yes","X",LEFT($D98,1))),""))</f>
        <v/>
      </c>
      <c r="R98" s="33">
        <f>IF(OR($E98="",$F98=""),"",IF(AND(R$4&lt;=$F98,R$4+6&gt;=$E98),IF($F98-$E98&lt;=2,"◆",IF($H98="Yes","X",LEFT($D98,1))),""))</f>
        <v/>
      </c>
      <c r="S98" s="33">
        <f>IF(OR($E98="",$F98=""),"",IF(AND(S$4&lt;=$F98,S$4+6&gt;=$E98),IF($F98-$E98&lt;=2,"◆",IF($H98="Yes","X",LEFT($D98,1))),""))</f>
        <v/>
      </c>
      <c r="T98" s="33">
        <f>IF(OR($E98="",$F98=""),"",IF(AND(T$4&lt;=$F98,T$4+6&gt;=$E98),IF($F98-$E98&lt;=2,"◆",IF($H98="Yes","X",LEFT($D98,1))),""))</f>
        <v/>
      </c>
      <c r="U98" s="33">
        <f>IF(OR($E98="",$F98=""),"",IF(AND(U$4&lt;=$F98,U$4+6&gt;=$E98),IF($F98-$E98&lt;=2,"◆",IF($H98="Yes","X",LEFT($D98,1))),""))</f>
        <v/>
      </c>
      <c r="V98" s="33">
        <f>IF(OR($E98="",$F98=""),"",IF(AND(V$4&lt;=$F98,V$4+6&gt;=$E98),IF($F98-$E98&lt;=2,"◆",IF($H98="Yes","X",LEFT($D98,1))),""))</f>
        <v/>
      </c>
      <c r="W98" s="33">
        <f>IF(OR($E98="",$F98=""),"",IF(AND(W$4&lt;=$F98,W$4+6&gt;=$E98),IF($F98-$E98&lt;=2,"◆",IF($H98="Yes","X",LEFT($D98,1))),""))</f>
        <v/>
      </c>
      <c r="X98" s="33">
        <f>IF(OR($E98="",$F98=""),"",IF(AND(X$4&lt;=$F98,X$4+6&gt;=$E98),IF($F98-$E98&lt;=2,"◆",IF($H98="Yes","X",LEFT($D98,1))),""))</f>
        <v/>
      </c>
      <c r="Y98" s="33">
        <f>IF(OR($E98="",$F98=""),"",IF(AND(Y$4&lt;=$F98,Y$4+6&gt;=$E98),IF($F98-$E98&lt;=2,"◆",IF($H98="Yes","X",LEFT($D98,1))),""))</f>
        <v/>
      </c>
      <c r="Z98" s="33">
        <f>IF(OR($E98="",$F98=""),"",IF(AND(Z$4&lt;=$F98,Z$4+6&gt;=$E98),IF($F98-$E98&lt;=2,"◆",IF($H98="Yes","X",LEFT($D98,1))),""))</f>
        <v/>
      </c>
      <c r="AA98" s="33">
        <f>IF(OR($E98="",$F98=""),"",IF(AND(AA$4&lt;=$F98,AA$4+6&gt;=$E98),IF($F98-$E98&lt;=2,"◆",IF($H98="Yes","X",LEFT($D98,1))),""))</f>
        <v/>
      </c>
      <c r="AB98" s="33">
        <f>IF(OR($E98="",$F98=""),"",IF(AND(AB$4&lt;=$F98,AB$4+6&gt;=$E98),IF($F98-$E98&lt;=2,"◆",IF($H98="Yes","X",LEFT($D98,1))),""))</f>
        <v/>
      </c>
      <c r="AC98" s="33">
        <f>IF(OR($E98="",$F98=""),"",IF(AND(AC$4&lt;=$F98,AC$4+6&gt;=$E98),IF($F98-$E98&lt;=2,"◆",IF($H98="Yes","X",LEFT($D98,1))),""))</f>
        <v/>
      </c>
      <c r="AD98" s="33">
        <f>IF(OR($E98="",$F98=""),"",IF(AND(AD$4&lt;=$F98,AD$4+6&gt;=$E98),IF($F98-$E98&lt;=2,"◆",IF($H98="Yes","X",LEFT($D98,1))),""))</f>
        <v/>
      </c>
      <c r="AE98" s="33">
        <f>IF(OR($E98="",$F98=""),"",IF(AND(AE$4&lt;=$F98,AE$4+6&gt;=$E98),IF($F98-$E98&lt;=2,"◆",IF($H98="Yes","X",LEFT($D98,1))),""))</f>
        <v/>
      </c>
      <c r="AF98" s="33">
        <f>IF(OR($E98="",$F98=""),"",IF(AND(AF$4&lt;=$F98,AF$4+6&gt;=$E98),IF($F98-$E98&lt;=2,"◆",IF($H98="Yes","X",LEFT($D98,1))),""))</f>
        <v/>
      </c>
      <c r="AG98" s="33">
        <f>IF(OR($E98="",$F98=""),"",IF(AND(AG$4&lt;=$F98,AG$4+6&gt;=$E98),IF($F98-$E98&lt;=2,"◆",IF($H98="Yes","X",LEFT($D98,1))),""))</f>
        <v/>
      </c>
      <c r="AH98" s="33">
        <f>IF(OR($E98="",$F98=""),"",IF(AND(AH$4&lt;=$F98,AH$4+6&gt;=$E98),IF($F98-$E98&lt;=2,"◆",IF($H98="Yes","X",LEFT($D98,1))),""))</f>
        <v/>
      </c>
      <c r="AI98" s="33">
        <f>IF(OR($E98="",$F98=""),"",IF(AND(AI$4&lt;=$F98,AI$4+6&gt;=$E98),IF($F98-$E98&lt;=2,"◆",IF($H98="Yes","X",LEFT($D98,1))),""))</f>
        <v/>
      </c>
      <c r="AJ98" s="33">
        <f>IF(OR($E98="",$F98=""),"",IF(AND(AJ$4&lt;=$F98,AJ$4+6&gt;=$E98),IF($F98-$E98&lt;=2,"◆",IF($H98="Yes","X",LEFT($D98,1))),""))</f>
        <v/>
      </c>
      <c r="AK98" s="33">
        <f>IF(OR($E98="",$F98=""),"",IF(AND(AK$4&lt;=$F98,AK$4+6&gt;=$E98),IF($F98-$E98&lt;=2,"◆",IF($H98="Yes","X",LEFT($D98,1))),""))</f>
        <v/>
      </c>
      <c r="AL98" s="33">
        <f>IF(OR($E98="",$F98=""),"",IF(AND(AL$4&lt;=$F98,AL$4+6&gt;=$E98),IF($F98-$E98&lt;=2,"◆",IF($H98="Yes","X",LEFT($D98,1))),""))</f>
        <v/>
      </c>
      <c r="AM98" s="33">
        <f>IF(OR($E98="",$F98=""),"",IF(AND(AM$4&lt;=$F98,AM$4+6&gt;=$E98),IF($F98-$E98&lt;=2,"◆",IF($H98="Yes","X",LEFT($D98,1))),""))</f>
        <v/>
      </c>
      <c r="AN98" s="33">
        <f>IF(OR($E98="",$F98=""),"",IF(AND(AN$4&lt;=$F98,AN$4+6&gt;=$E98),IF($F98-$E98&lt;=2,"◆",IF($H98="Yes","X",LEFT($D98,1))),""))</f>
        <v/>
      </c>
      <c r="AO98" s="33">
        <f>IF(OR($E98="",$F98=""),"",IF(AND(AO$4&lt;=$F98,AO$4+6&gt;=$E98),IF($F98-$E98&lt;=2,"◆",IF($H98="Yes","X",LEFT($D98,1))),""))</f>
        <v/>
      </c>
      <c r="AP98" s="33">
        <f>IF(OR($E98="",$F98=""),"",IF(AND(AP$4&lt;=$F98,AP$4+6&gt;=$E98),IF($F98-$E98&lt;=2,"◆",IF($H98="Yes","X",LEFT($D98,1))),""))</f>
        <v/>
      </c>
      <c r="AQ98" s="33">
        <f>IF(OR($E98="",$F98=""),"",IF(AND(AQ$4&lt;=$F98,AQ$4+6&gt;=$E98),IF($F98-$E98&lt;=2,"◆",IF($H98="Yes","X",LEFT($D98,1))),""))</f>
        <v/>
      </c>
      <c r="AR98" s="33">
        <f>IF(OR($E98="",$F98=""),"",IF(AND(AR$4&lt;=$F98,AR$4+6&gt;=$E98),IF($F98-$E98&lt;=2,"◆",IF($H98="Yes","X",LEFT($D98,1))),""))</f>
        <v/>
      </c>
      <c r="AS98" s="33">
        <f>IF(OR($E98="",$F98=""),"",IF(AND(AS$4&lt;=$F98,AS$4+6&gt;=$E98),IF($F98-$E98&lt;=2,"◆",IF($H98="Yes","X",LEFT($D98,1))),""))</f>
        <v/>
      </c>
      <c r="AT98" s="33">
        <f>IF(OR($E98="",$F98=""),"",IF(AND(AT$4&lt;=$F98,AT$4+6&gt;=$E98),IF($F98-$E98&lt;=2,"◆",IF($H98="Yes","X",LEFT($D98,1))),""))</f>
        <v/>
      </c>
      <c r="AU98" s="33">
        <f>IF(OR($E98="",$F98=""),"",IF(AND(AU$4&lt;=$F98,AU$4+6&gt;=$E98),IF($F98-$E98&lt;=2,"◆",IF($H98="Yes","X",LEFT($D98,1))),""))</f>
        <v/>
      </c>
      <c r="AV98" s="33">
        <f>IF(OR($E98="",$F98=""),"",IF(AND(AV$4&lt;=$F98,AV$4+6&gt;=$E98),IF($F98-$E98&lt;=2,"◆",IF($H98="Yes","X",LEFT($D98,1))),""))</f>
        <v/>
      </c>
      <c r="AW98" s="33">
        <f>IF(OR($E98="",$F98=""),"",IF(AND(AW$4&lt;=$F98,AW$4+6&gt;=$E98),IF($F98-$E98&lt;=2,"◆",IF($H98="Yes","X",LEFT($D98,1))),""))</f>
        <v/>
      </c>
      <c r="AX98" s="33">
        <f>IF(OR($E98="",$F98=""),"",IF(AND(AX$4&lt;=$F98,AX$4+6&gt;=$E98),IF($F98-$E98&lt;=2,"◆",IF($H98="Yes","X",LEFT($D98,1))),""))</f>
        <v/>
      </c>
      <c r="AY98" s="33">
        <f>IF(OR($E98="",$F98=""),"",IF(AND(AY$4&lt;=$F98,AY$4+6&gt;=$E98),IF($F98-$E98&lt;=2,"◆",IF($H98="Yes","X",LEFT($D98,1))),""))</f>
        <v/>
      </c>
      <c r="AZ98" s="33">
        <f>IF(OR($E98="",$F98=""),"",IF(AND(AZ$4&lt;=$F98,AZ$4+6&gt;=$E98),IF($F98-$E98&lt;=2,"◆",IF($H98="Yes","X",LEFT($D98,1))),""))</f>
        <v/>
      </c>
      <c r="BA98" s="33">
        <f>IF(OR($E98="",$F98=""),"",IF(AND(BA$4&lt;=$F98,BA$4+6&gt;=$E98),IF($F98-$E98&lt;=2,"◆",IF($H98="Yes","X",LEFT($D98,1))),""))</f>
        <v/>
      </c>
      <c r="BB98" s="33">
        <f>IF(OR($E98="",$F98=""),"",IF(AND(BB$4&lt;=$F98,BB$4+6&gt;=$E98),IF($F98-$E98&lt;=2,"◆",IF($H98="Yes","X",LEFT($D98,1))),""))</f>
        <v/>
      </c>
      <c r="BC98" s="33">
        <f>IF(OR($E98="",$F98=""),"",IF(AND(BC$4&lt;=$F98,BC$4+6&gt;=$E98),IF($F98-$E98&lt;=2,"◆",IF($H98="Yes","X",LEFT($D98,1))),""))</f>
        <v/>
      </c>
      <c r="BD98" s="33">
        <f>IF(OR($E98="",$F98=""),"",IF(AND(BD$4&lt;=$F98,BD$4+6&gt;=$E98),IF($F98-$E98&lt;=2,"◆",IF($H98="Yes","X",LEFT($D98,1))),""))</f>
        <v/>
      </c>
      <c r="BE98" s="33">
        <f>IF(OR($E98="",$F98=""),"",IF(AND(BE$4&lt;=$F98,BE$4+6&gt;=$E98),IF($F98-$E98&lt;=2,"◆",IF($H98="Yes","X",LEFT($D98,1))),""))</f>
        <v/>
      </c>
      <c r="BF98" s="33">
        <f>IF(OR($E98="",$F98=""),"",IF(AND(BF$4&lt;=$F98,BF$4+6&gt;=$E98),IF($F98-$E98&lt;=2,"◆",IF($H98="Yes","X",LEFT($D98,1))),""))</f>
        <v/>
      </c>
      <c r="BG98" s="33">
        <f>IF(OR($E98="",$F98=""),"",IF(AND(BG$4&lt;=$F98,BG$4+6&gt;=$E98),IF($F98-$E98&lt;=2,"◆",IF($H98="Yes","X",LEFT($D98,1))),""))</f>
        <v/>
      </c>
      <c r="BH98" s="33">
        <f>IF(OR($E98="",$F98=""),"",IF(AND(BH$4&lt;=$F98,BH$4+6&gt;=$E98),IF($F98-$E98&lt;=2,"◆",IF($H98="Yes","X",LEFT($D98,1))),""))</f>
        <v/>
      </c>
      <c r="BI98" s="33">
        <f>IF(OR($E98="",$F98=""),"",IF(AND(BI$4&lt;=$F98,BI$4+6&gt;=$E98),IF($F98-$E98&lt;=2,"◆",IF($H98="Yes","X",LEFT($D98,1))),""))</f>
        <v/>
      </c>
    </row>
    <row r="99">
      <c r="A99" s="30" t="inlineStr">
        <is>
          <t>T-095</t>
        </is>
      </c>
      <c r="B99" s="30" t="inlineStr">
        <is>
          <t>Journey Builder - Requirements Building</t>
        </is>
      </c>
      <c r="C99" s="30" t="inlineStr">
        <is>
          <t>Siva</t>
        </is>
      </c>
      <c r="D99" s="30" t="inlineStr">
        <is>
          <t>Not Started</t>
        </is>
      </c>
      <c r="E99" s="31" t="n">
        <v>46353</v>
      </c>
      <c r="F99" s="31" t="n">
        <v>46369</v>
      </c>
      <c r="G99" s="32" t="n">
        <v>0</v>
      </c>
      <c r="H99" s="30" t="inlineStr">
        <is>
          <t>No</t>
        </is>
      </c>
      <c r="I99" s="33">
        <f>IF(OR($E99="",$F99=""),"",IF(AND(I$4&lt;=$F99,I$4+6&gt;=$E99),IF($F99-$E99&lt;=2,"◆",IF($H99="Yes","X",LEFT($D99,1))),""))</f>
        <v/>
      </c>
      <c r="J99" s="33">
        <f>IF(OR($E99="",$F99=""),"",IF(AND(J$4&lt;=$F99,J$4+6&gt;=$E99),IF($F99-$E99&lt;=2,"◆",IF($H99="Yes","X",LEFT($D99,1))),""))</f>
        <v/>
      </c>
      <c r="K99" s="33">
        <f>IF(OR($E99="",$F99=""),"",IF(AND(K$4&lt;=$F99,K$4+6&gt;=$E99),IF($F99-$E99&lt;=2,"◆",IF($H99="Yes","X",LEFT($D99,1))),""))</f>
        <v/>
      </c>
      <c r="L99" s="33">
        <f>IF(OR($E99="",$F99=""),"",IF(AND(L$4&lt;=$F99,L$4+6&gt;=$E99),IF($F99-$E99&lt;=2,"◆",IF($H99="Yes","X",LEFT($D99,1))),""))</f>
        <v/>
      </c>
      <c r="M99" s="33">
        <f>IF(OR($E99="",$F99=""),"",IF(AND(M$4&lt;=$F99,M$4+6&gt;=$E99),IF($F99-$E99&lt;=2,"◆",IF($H99="Yes","X",LEFT($D99,1))),""))</f>
        <v/>
      </c>
      <c r="N99" s="33">
        <f>IF(OR($E99="",$F99=""),"",IF(AND(N$4&lt;=$F99,N$4+6&gt;=$E99),IF($F99-$E99&lt;=2,"◆",IF($H99="Yes","X",LEFT($D99,1))),""))</f>
        <v/>
      </c>
      <c r="O99" s="33">
        <f>IF(OR($E99="",$F99=""),"",IF(AND(O$4&lt;=$F99,O$4+6&gt;=$E99),IF($F99-$E99&lt;=2,"◆",IF($H99="Yes","X",LEFT($D99,1))),""))</f>
        <v/>
      </c>
      <c r="P99" s="33">
        <f>IF(OR($E99="",$F99=""),"",IF(AND(P$4&lt;=$F99,P$4+6&gt;=$E99),IF($F99-$E99&lt;=2,"◆",IF($H99="Yes","X",LEFT($D99,1))),""))</f>
        <v/>
      </c>
      <c r="Q99" s="33">
        <f>IF(OR($E99="",$F99=""),"",IF(AND(Q$4&lt;=$F99,Q$4+6&gt;=$E99),IF($F99-$E99&lt;=2,"◆",IF($H99="Yes","X",LEFT($D99,1))),""))</f>
        <v/>
      </c>
      <c r="R99" s="33">
        <f>IF(OR($E99="",$F99=""),"",IF(AND(R$4&lt;=$F99,R$4+6&gt;=$E99),IF($F99-$E99&lt;=2,"◆",IF($H99="Yes","X",LEFT($D99,1))),""))</f>
        <v/>
      </c>
      <c r="S99" s="33">
        <f>IF(OR($E99="",$F99=""),"",IF(AND(S$4&lt;=$F99,S$4+6&gt;=$E99),IF($F99-$E99&lt;=2,"◆",IF($H99="Yes","X",LEFT($D99,1))),""))</f>
        <v/>
      </c>
      <c r="T99" s="33">
        <f>IF(OR($E99="",$F99=""),"",IF(AND(T$4&lt;=$F99,T$4+6&gt;=$E99),IF($F99-$E99&lt;=2,"◆",IF($H99="Yes","X",LEFT($D99,1))),""))</f>
        <v/>
      </c>
      <c r="U99" s="33">
        <f>IF(OR($E99="",$F99=""),"",IF(AND(U$4&lt;=$F99,U$4+6&gt;=$E99),IF($F99-$E99&lt;=2,"◆",IF($H99="Yes","X",LEFT($D99,1))),""))</f>
        <v/>
      </c>
      <c r="V99" s="33">
        <f>IF(OR($E99="",$F99=""),"",IF(AND(V$4&lt;=$F99,V$4+6&gt;=$E99),IF($F99-$E99&lt;=2,"◆",IF($H99="Yes","X",LEFT($D99,1))),""))</f>
        <v/>
      </c>
      <c r="W99" s="33">
        <f>IF(OR($E99="",$F99=""),"",IF(AND(W$4&lt;=$F99,W$4+6&gt;=$E99),IF($F99-$E99&lt;=2,"◆",IF($H99="Yes","X",LEFT($D99,1))),""))</f>
        <v/>
      </c>
      <c r="X99" s="33">
        <f>IF(OR($E99="",$F99=""),"",IF(AND(X$4&lt;=$F99,X$4+6&gt;=$E99),IF($F99-$E99&lt;=2,"◆",IF($H99="Yes","X",LEFT($D99,1))),""))</f>
        <v/>
      </c>
      <c r="Y99" s="33">
        <f>IF(OR($E99="",$F99=""),"",IF(AND(Y$4&lt;=$F99,Y$4+6&gt;=$E99),IF($F99-$E99&lt;=2,"◆",IF($H99="Yes","X",LEFT($D99,1))),""))</f>
        <v/>
      </c>
      <c r="Z99" s="33">
        <f>IF(OR($E99="",$F99=""),"",IF(AND(Z$4&lt;=$F99,Z$4+6&gt;=$E99),IF($F99-$E99&lt;=2,"◆",IF($H99="Yes","X",LEFT($D99,1))),""))</f>
        <v/>
      </c>
      <c r="AA99" s="33">
        <f>IF(OR($E99="",$F99=""),"",IF(AND(AA$4&lt;=$F99,AA$4+6&gt;=$E99),IF($F99-$E99&lt;=2,"◆",IF($H99="Yes","X",LEFT($D99,1))),""))</f>
        <v/>
      </c>
      <c r="AB99" s="33">
        <f>IF(OR($E99="",$F99=""),"",IF(AND(AB$4&lt;=$F99,AB$4+6&gt;=$E99),IF($F99-$E99&lt;=2,"◆",IF($H99="Yes","X",LEFT($D99,1))),""))</f>
        <v/>
      </c>
      <c r="AC99" s="33">
        <f>IF(OR($E99="",$F99=""),"",IF(AND(AC$4&lt;=$F99,AC$4+6&gt;=$E99),IF($F99-$E99&lt;=2,"◆",IF($H99="Yes","X",LEFT($D99,1))),""))</f>
        <v/>
      </c>
      <c r="AD99" s="33">
        <f>IF(OR($E99="",$F99=""),"",IF(AND(AD$4&lt;=$F99,AD$4+6&gt;=$E99),IF($F99-$E99&lt;=2,"◆",IF($H99="Yes","X",LEFT($D99,1))),""))</f>
        <v/>
      </c>
      <c r="AE99" s="33">
        <f>IF(OR($E99="",$F99=""),"",IF(AND(AE$4&lt;=$F99,AE$4+6&gt;=$E99),IF($F99-$E99&lt;=2,"◆",IF($H99="Yes","X",LEFT($D99,1))),""))</f>
        <v/>
      </c>
      <c r="AF99" s="33">
        <f>IF(OR($E99="",$F99=""),"",IF(AND(AF$4&lt;=$F99,AF$4+6&gt;=$E99),IF($F99-$E99&lt;=2,"◆",IF($H99="Yes","X",LEFT($D99,1))),""))</f>
        <v/>
      </c>
      <c r="AG99" s="33">
        <f>IF(OR($E99="",$F99=""),"",IF(AND(AG$4&lt;=$F99,AG$4+6&gt;=$E99),IF($F99-$E99&lt;=2,"◆",IF($H99="Yes","X",LEFT($D99,1))),""))</f>
        <v/>
      </c>
      <c r="AH99" s="33">
        <f>IF(OR($E99="",$F99=""),"",IF(AND(AH$4&lt;=$F99,AH$4+6&gt;=$E99),IF($F99-$E99&lt;=2,"◆",IF($H99="Yes","X",LEFT($D99,1))),""))</f>
        <v/>
      </c>
      <c r="AI99" s="33">
        <f>IF(OR($E99="",$F99=""),"",IF(AND(AI$4&lt;=$F99,AI$4+6&gt;=$E99),IF($F99-$E99&lt;=2,"◆",IF($H99="Yes","X",LEFT($D99,1))),""))</f>
        <v/>
      </c>
      <c r="AJ99" s="33">
        <f>IF(OR($E99="",$F99=""),"",IF(AND(AJ$4&lt;=$F99,AJ$4+6&gt;=$E99),IF($F99-$E99&lt;=2,"◆",IF($H99="Yes","X",LEFT($D99,1))),""))</f>
        <v/>
      </c>
      <c r="AK99" s="33">
        <f>IF(OR($E99="",$F99=""),"",IF(AND(AK$4&lt;=$F99,AK$4+6&gt;=$E99),IF($F99-$E99&lt;=2,"◆",IF($H99="Yes","X",LEFT($D99,1))),""))</f>
        <v/>
      </c>
      <c r="AL99" s="33">
        <f>IF(OR($E99="",$F99=""),"",IF(AND(AL$4&lt;=$F99,AL$4+6&gt;=$E99),IF($F99-$E99&lt;=2,"◆",IF($H99="Yes","X",LEFT($D99,1))),""))</f>
        <v/>
      </c>
      <c r="AM99" s="33">
        <f>IF(OR($E99="",$F99=""),"",IF(AND(AM$4&lt;=$F99,AM$4+6&gt;=$E99),IF($F99-$E99&lt;=2,"◆",IF($H99="Yes","X",LEFT($D99,1))),""))</f>
        <v/>
      </c>
      <c r="AN99" s="33">
        <f>IF(OR($E99="",$F99=""),"",IF(AND(AN$4&lt;=$F99,AN$4+6&gt;=$E99),IF($F99-$E99&lt;=2,"◆",IF($H99="Yes","X",LEFT($D99,1))),""))</f>
        <v/>
      </c>
      <c r="AO99" s="33">
        <f>IF(OR($E99="",$F99=""),"",IF(AND(AO$4&lt;=$F99,AO$4+6&gt;=$E99),IF($F99-$E99&lt;=2,"◆",IF($H99="Yes","X",LEFT($D99,1))),""))</f>
        <v/>
      </c>
      <c r="AP99" s="33">
        <f>IF(OR($E99="",$F99=""),"",IF(AND(AP$4&lt;=$F99,AP$4+6&gt;=$E99),IF($F99-$E99&lt;=2,"◆",IF($H99="Yes","X",LEFT($D99,1))),""))</f>
        <v/>
      </c>
      <c r="AQ99" s="33">
        <f>IF(OR($E99="",$F99=""),"",IF(AND(AQ$4&lt;=$F99,AQ$4+6&gt;=$E99),IF($F99-$E99&lt;=2,"◆",IF($H99="Yes","X",LEFT($D99,1))),""))</f>
        <v/>
      </c>
      <c r="AR99" s="33">
        <f>IF(OR($E99="",$F99=""),"",IF(AND(AR$4&lt;=$F99,AR$4+6&gt;=$E99),IF($F99-$E99&lt;=2,"◆",IF($H99="Yes","X",LEFT($D99,1))),""))</f>
        <v/>
      </c>
      <c r="AS99" s="33">
        <f>IF(OR($E99="",$F99=""),"",IF(AND(AS$4&lt;=$F99,AS$4+6&gt;=$E99),IF($F99-$E99&lt;=2,"◆",IF($H99="Yes","X",LEFT($D99,1))),""))</f>
        <v/>
      </c>
      <c r="AT99" s="33">
        <f>IF(OR($E99="",$F99=""),"",IF(AND(AT$4&lt;=$F99,AT$4+6&gt;=$E99),IF($F99-$E99&lt;=2,"◆",IF($H99="Yes","X",LEFT($D99,1))),""))</f>
        <v/>
      </c>
      <c r="AU99" s="33">
        <f>IF(OR($E99="",$F99=""),"",IF(AND(AU$4&lt;=$F99,AU$4+6&gt;=$E99),IF($F99-$E99&lt;=2,"◆",IF($H99="Yes","X",LEFT($D99,1))),""))</f>
        <v/>
      </c>
      <c r="AV99" s="33">
        <f>IF(OR($E99="",$F99=""),"",IF(AND(AV$4&lt;=$F99,AV$4+6&gt;=$E99),IF($F99-$E99&lt;=2,"◆",IF($H99="Yes","X",LEFT($D99,1))),""))</f>
        <v/>
      </c>
      <c r="AW99" s="33">
        <f>IF(OR($E99="",$F99=""),"",IF(AND(AW$4&lt;=$F99,AW$4+6&gt;=$E99),IF($F99-$E99&lt;=2,"◆",IF($H99="Yes","X",LEFT($D99,1))),""))</f>
        <v/>
      </c>
      <c r="AX99" s="33">
        <f>IF(OR($E99="",$F99=""),"",IF(AND(AX$4&lt;=$F99,AX$4+6&gt;=$E99),IF($F99-$E99&lt;=2,"◆",IF($H99="Yes","X",LEFT($D99,1))),""))</f>
        <v/>
      </c>
      <c r="AY99" s="33">
        <f>IF(OR($E99="",$F99=""),"",IF(AND(AY$4&lt;=$F99,AY$4+6&gt;=$E99),IF($F99-$E99&lt;=2,"◆",IF($H99="Yes","X",LEFT($D99,1))),""))</f>
        <v/>
      </c>
      <c r="AZ99" s="33">
        <f>IF(OR($E99="",$F99=""),"",IF(AND(AZ$4&lt;=$F99,AZ$4+6&gt;=$E99),IF($F99-$E99&lt;=2,"◆",IF($H99="Yes","X",LEFT($D99,1))),""))</f>
        <v/>
      </c>
      <c r="BA99" s="33">
        <f>IF(OR($E99="",$F99=""),"",IF(AND(BA$4&lt;=$F99,BA$4+6&gt;=$E99),IF($F99-$E99&lt;=2,"◆",IF($H99="Yes","X",LEFT($D99,1))),""))</f>
        <v/>
      </c>
      <c r="BB99" s="33">
        <f>IF(OR($E99="",$F99=""),"",IF(AND(BB$4&lt;=$F99,BB$4+6&gt;=$E99),IF($F99-$E99&lt;=2,"◆",IF($H99="Yes","X",LEFT($D99,1))),""))</f>
        <v/>
      </c>
      <c r="BC99" s="33">
        <f>IF(OR($E99="",$F99=""),"",IF(AND(BC$4&lt;=$F99,BC$4+6&gt;=$E99),IF($F99-$E99&lt;=2,"◆",IF($H99="Yes","X",LEFT($D99,1))),""))</f>
        <v/>
      </c>
      <c r="BD99" s="33">
        <f>IF(OR($E99="",$F99=""),"",IF(AND(BD$4&lt;=$F99,BD$4+6&gt;=$E99),IF($F99-$E99&lt;=2,"◆",IF($H99="Yes","X",LEFT($D99,1))),""))</f>
        <v/>
      </c>
      <c r="BE99" s="33">
        <f>IF(OR($E99="",$F99=""),"",IF(AND(BE$4&lt;=$F99,BE$4+6&gt;=$E99),IF($F99-$E99&lt;=2,"◆",IF($H99="Yes","X",LEFT($D99,1))),""))</f>
        <v/>
      </c>
      <c r="BF99" s="33">
        <f>IF(OR($E99="",$F99=""),"",IF(AND(BF$4&lt;=$F99,BF$4+6&gt;=$E99),IF($F99-$E99&lt;=2,"◆",IF($H99="Yes","X",LEFT($D99,1))),""))</f>
        <v/>
      </c>
      <c r="BG99" s="33">
        <f>IF(OR($E99="",$F99=""),"",IF(AND(BG$4&lt;=$F99,BG$4+6&gt;=$E99),IF($F99-$E99&lt;=2,"◆",IF($H99="Yes","X",LEFT($D99,1))),""))</f>
        <v/>
      </c>
      <c r="BH99" s="33">
        <f>IF(OR($E99="",$F99=""),"",IF(AND(BH$4&lt;=$F99,BH$4+6&gt;=$E99),IF($F99-$E99&lt;=2,"◆",IF($H99="Yes","X",LEFT($D99,1))),""))</f>
        <v/>
      </c>
      <c r="BI99" s="33">
        <f>IF(OR($E99="",$F99=""),"",IF(AND(BI$4&lt;=$F99,BI$4+6&gt;=$E99),IF($F99-$E99&lt;=2,"◆",IF($H99="Yes","X",LEFT($D99,1))),""))</f>
        <v/>
      </c>
    </row>
    <row r="100">
      <c r="A100" s="30" t="inlineStr">
        <is>
          <t>T-096</t>
        </is>
      </c>
      <c r="B100" s="30" t="inlineStr">
        <is>
          <t>Journey Builder</t>
        </is>
      </c>
      <c r="C100" s="30" t="inlineStr">
        <is>
          <t>Siva</t>
        </is>
      </c>
      <c r="D100" s="30" t="inlineStr">
        <is>
          <t>Not Started</t>
        </is>
      </c>
      <c r="E100" s="31" t="n">
        <v>46302</v>
      </c>
      <c r="F100" s="31" t="n">
        <v>46334</v>
      </c>
      <c r="G100" s="32" t="n">
        <v>0</v>
      </c>
      <c r="H100" s="30" t="inlineStr">
        <is>
          <t>No</t>
        </is>
      </c>
      <c r="I100" s="33">
        <f>IF(OR($E100="",$F100=""),"",IF(AND(I$4&lt;=$F100,I$4+6&gt;=$E100),IF($F100-$E100&lt;=2,"◆",IF($H100="Yes","X",LEFT($D100,1))),""))</f>
        <v/>
      </c>
      <c r="J100" s="33">
        <f>IF(OR($E100="",$F100=""),"",IF(AND(J$4&lt;=$F100,J$4+6&gt;=$E100),IF($F100-$E100&lt;=2,"◆",IF($H100="Yes","X",LEFT($D100,1))),""))</f>
        <v/>
      </c>
      <c r="K100" s="33">
        <f>IF(OR($E100="",$F100=""),"",IF(AND(K$4&lt;=$F100,K$4+6&gt;=$E100),IF($F100-$E100&lt;=2,"◆",IF($H100="Yes","X",LEFT($D100,1))),""))</f>
        <v/>
      </c>
      <c r="L100" s="33">
        <f>IF(OR($E100="",$F100=""),"",IF(AND(L$4&lt;=$F100,L$4+6&gt;=$E100),IF($F100-$E100&lt;=2,"◆",IF($H100="Yes","X",LEFT($D100,1))),""))</f>
        <v/>
      </c>
      <c r="M100" s="33">
        <f>IF(OR($E100="",$F100=""),"",IF(AND(M$4&lt;=$F100,M$4+6&gt;=$E100),IF($F100-$E100&lt;=2,"◆",IF($H100="Yes","X",LEFT($D100,1))),""))</f>
        <v/>
      </c>
      <c r="N100" s="33">
        <f>IF(OR($E100="",$F100=""),"",IF(AND(N$4&lt;=$F100,N$4+6&gt;=$E100),IF($F100-$E100&lt;=2,"◆",IF($H100="Yes","X",LEFT($D100,1))),""))</f>
        <v/>
      </c>
      <c r="O100" s="33">
        <f>IF(OR($E100="",$F100=""),"",IF(AND(O$4&lt;=$F100,O$4+6&gt;=$E100),IF($F100-$E100&lt;=2,"◆",IF($H100="Yes","X",LEFT($D100,1))),""))</f>
        <v/>
      </c>
      <c r="P100" s="33">
        <f>IF(OR($E100="",$F100=""),"",IF(AND(P$4&lt;=$F100,P$4+6&gt;=$E100),IF($F100-$E100&lt;=2,"◆",IF($H100="Yes","X",LEFT($D100,1))),""))</f>
        <v/>
      </c>
      <c r="Q100" s="33">
        <f>IF(OR($E100="",$F100=""),"",IF(AND(Q$4&lt;=$F100,Q$4+6&gt;=$E100),IF($F100-$E100&lt;=2,"◆",IF($H100="Yes","X",LEFT($D100,1))),""))</f>
        <v/>
      </c>
      <c r="R100" s="33">
        <f>IF(OR($E100="",$F100=""),"",IF(AND(R$4&lt;=$F100,R$4+6&gt;=$E100),IF($F100-$E100&lt;=2,"◆",IF($H100="Yes","X",LEFT($D100,1))),""))</f>
        <v/>
      </c>
      <c r="S100" s="33">
        <f>IF(OR($E100="",$F100=""),"",IF(AND(S$4&lt;=$F100,S$4+6&gt;=$E100),IF($F100-$E100&lt;=2,"◆",IF($H100="Yes","X",LEFT($D100,1))),""))</f>
        <v/>
      </c>
      <c r="T100" s="33">
        <f>IF(OR($E100="",$F100=""),"",IF(AND(T$4&lt;=$F100,T$4+6&gt;=$E100),IF($F100-$E100&lt;=2,"◆",IF($H100="Yes","X",LEFT($D100,1))),""))</f>
        <v/>
      </c>
      <c r="U100" s="33">
        <f>IF(OR($E100="",$F100=""),"",IF(AND(U$4&lt;=$F100,U$4+6&gt;=$E100),IF($F100-$E100&lt;=2,"◆",IF($H100="Yes","X",LEFT($D100,1))),""))</f>
        <v/>
      </c>
      <c r="V100" s="33">
        <f>IF(OR($E100="",$F100=""),"",IF(AND(V$4&lt;=$F100,V$4+6&gt;=$E100),IF($F100-$E100&lt;=2,"◆",IF($H100="Yes","X",LEFT($D100,1))),""))</f>
        <v/>
      </c>
      <c r="W100" s="33">
        <f>IF(OR($E100="",$F100=""),"",IF(AND(W$4&lt;=$F100,W$4+6&gt;=$E100),IF($F100-$E100&lt;=2,"◆",IF($H100="Yes","X",LEFT($D100,1))),""))</f>
        <v/>
      </c>
      <c r="X100" s="33">
        <f>IF(OR($E100="",$F100=""),"",IF(AND(X$4&lt;=$F100,X$4+6&gt;=$E100),IF($F100-$E100&lt;=2,"◆",IF($H100="Yes","X",LEFT($D100,1))),""))</f>
        <v/>
      </c>
      <c r="Y100" s="33">
        <f>IF(OR($E100="",$F100=""),"",IF(AND(Y$4&lt;=$F100,Y$4+6&gt;=$E100),IF($F100-$E100&lt;=2,"◆",IF($H100="Yes","X",LEFT($D100,1))),""))</f>
        <v/>
      </c>
      <c r="Z100" s="33">
        <f>IF(OR($E100="",$F100=""),"",IF(AND(Z$4&lt;=$F100,Z$4+6&gt;=$E100),IF($F100-$E100&lt;=2,"◆",IF($H100="Yes","X",LEFT($D100,1))),""))</f>
        <v/>
      </c>
      <c r="AA100" s="33">
        <f>IF(OR($E100="",$F100=""),"",IF(AND(AA$4&lt;=$F100,AA$4+6&gt;=$E100),IF($F100-$E100&lt;=2,"◆",IF($H100="Yes","X",LEFT($D100,1))),""))</f>
        <v/>
      </c>
      <c r="AB100" s="33">
        <f>IF(OR($E100="",$F100=""),"",IF(AND(AB$4&lt;=$F100,AB$4+6&gt;=$E100),IF($F100-$E100&lt;=2,"◆",IF($H100="Yes","X",LEFT($D100,1))),""))</f>
        <v/>
      </c>
      <c r="AC100" s="33">
        <f>IF(OR($E100="",$F100=""),"",IF(AND(AC$4&lt;=$F100,AC$4+6&gt;=$E100),IF($F100-$E100&lt;=2,"◆",IF($H100="Yes","X",LEFT($D100,1))),""))</f>
        <v/>
      </c>
      <c r="AD100" s="33">
        <f>IF(OR($E100="",$F100=""),"",IF(AND(AD$4&lt;=$F100,AD$4+6&gt;=$E100),IF($F100-$E100&lt;=2,"◆",IF($H100="Yes","X",LEFT($D100,1))),""))</f>
        <v/>
      </c>
      <c r="AE100" s="33">
        <f>IF(OR($E100="",$F100=""),"",IF(AND(AE$4&lt;=$F100,AE$4+6&gt;=$E100),IF($F100-$E100&lt;=2,"◆",IF($H100="Yes","X",LEFT($D100,1))),""))</f>
        <v/>
      </c>
      <c r="AF100" s="33">
        <f>IF(OR($E100="",$F100=""),"",IF(AND(AF$4&lt;=$F100,AF$4+6&gt;=$E100),IF($F100-$E100&lt;=2,"◆",IF($H100="Yes","X",LEFT($D100,1))),""))</f>
        <v/>
      </c>
      <c r="AG100" s="33">
        <f>IF(OR($E100="",$F100=""),"",IF(AND(AG$4&lt;=$F100,AG$4+6&gt;=$E100),IF($F100-$E100&lt;=2,"◆",IF($H100="Yes","X",LEFT($D100,1))),""))</f>
        <v/>
      </c>
      <c r="AH100" s="33">
        <f>IF(OR($E100="",$F100=""),"",IF(AND(AH$4&lt;=$F100,AH$4+6&gt;=$E100),IF($F100-$E100&lt;=2,"◆",IF($H100="Yes","X",LEFT($D100,1))),""))</f>
        <v/>
      </c>
      <c r="AI100" s="33">
        <f>IF(OR($E100="",$F100=""),"",IF(AND(AI$4&lt;=$F100,AI$4+6&gt;=$E100),IF($F100-$E100&lt;=2,"◆",IF($H100="Yes","X",LEFT($D100,1))),""))</f>
        <v/>
      </c>
      <c r="AJ100" s="33">
        <f>IF(OR($E100="",$F100=""),"",IF(AND(AJ$4&lt;=$F100,AJ$4+6&gt;=$E100),IF($F100-$E100&lt;=2,"◆",IF($H100="Yes","X",LEFT($D100,1))),""))</f>
        <v/>
      </c>
      <c r="AK100" s="33">
        <f>IF(OR($E100="",$F100=""),"",IF(AND(AK$4&lt;=$F100,AK$4+6&gt;=$E100),IF($F100-$E100&lt;=2,"◆",IF($H100="Yes","X",LEFT($D100,1))),""))</f>
        <v/>
      </c>
      <c r="AL100" s="33">
        <f>IF(OR($E100="",$F100=""),"",IF(AND(AL$4&lt;=$F100,AL$4+6&gt;=$E100),IF($F100-$E100&lt;=2,"◆",IF($H100="Yes","X",LEFT($D100,1))),""))</f>
        <v/>
      </c>
      <c r="AM100" s="33">
        <f>IF(OR($E100="",$F100=""),"",IF(AND(AM$4&lt;=$F100,AM$4+6&gt;=$E100),IF($F100-$E100&lt;=2,"◆",IF($H100="Yes","X",LEFT($D100,1))),""))</f>
        <v/>
      </c>
      <c r="AN100" s="33">
        <f>IF(OR($E100="",$F100=""),"",IF(AND(AN$4&lt;=$F100,AN$4+6&gt;=$E100),IF($F100-$E100&lt;=2,"◆",IF($H100="Yes","X",LEFT($D100,1))),""))</f>
        <v/>
      </c>
      <c r="AO100" s="33">
        <f>IF(OR($E100="",$F100=""),"",IF(AND(AO$4&lt;=$F100,AO$4+6&gt;=$E100),IF($F100-$E100&lt;=2,"◆",IF($H100="Yes","X",LEFT($D100,1))),""))</f>
        <v/>
      </c>
      <c r="AP100" s="33">
        <f>IF(OR($E100="",$F100=""),"",IF(AND(AP$4&lt;=$F100,AP$4+6&gt;=$E100),IF($F100-$E100&lt;=2,"◆",IF($H100="Yes","X",LEFT($D100,1))),""))</f>
        <v/>
      </c>
      <c r="AQ100" s="33">
        <f>IF(OR($E100="",$F100=""),"",IF(AND(AQ$4&lt;=$F100,AQ$4+6&gt;=$E100),IF($F100-$E100&lt;=2,"◆",IF($H100="Yes","X",LEFT($D100,1))),""))</f>
        <v/>
      </c>
      <c r="AR100" s="33">
        <f>IF(OR($E100="",$F100=""),"",IF(AND(AR$4&lt;=$F100,AR$4+6&gt;=$E100),IF($F100-$E100&lt;=2,"◆",IF($H100="Yes","X",LEFT($D100,1))),""))</f>
        <v/>
      </c>
      <c r="AS100" s="33">
        <f>IF(OR($E100="",$F100=""),"",IF(AND(AS$4&lt;=$F100,AS$4+6&gt;=$E100),IF($F100-$E100&lt;=2,"◆",IF($H100="Yes","X",LEFT($D100,1))),""))</f>
        <v/>
      </c>
      <c r="AT100" s="33">
        <f>IF(OR($E100="",$F100=""),"",IF(AND(AT$4&lt;=$F100,AT$4+6&gt;=$E100),IF($F100-$E100&lt;=2,"◆",IF($H100="Yes","X",LEFT($D100,1))),""))</f>
        <v/>
      </c>
      <c r="AU100" s="33">
        <f>IF(OR($E100="",$F100=""),"",IF(AND(AU$4&lt;=$F100,AU$4+6&gt;=$E100),IF($F100-$E100&lt;=2,"◆",IF($H100="Yes","X",LEFT($D100,1))),""))</f>
        <v/>
      </c>
      <c r="AV100" s="33">
        <f>IF(OR($E100="",$F100=""),"",IF(AND(AV$4&lt;=$F100,AV$4+6&gt;=$E100),IF($F100-$E100&lt;=2,"◆",IF($H100="Yes","X",LEFT($D100,1))),""))</f>
        <v/>
      </c>
      <c r="AW100" s="33">
        <f>IF(OR($E100="",$F100=""),"",IF(AND(AW$4&lt;=$F100,AW$4+6&gt;=$E100),IF($F100-$E100&lt;=2,"◆",IF($H100="Yes","X",LEFT($D100,1))),""))</f>
        <v/>
      </c>
      <c r="AX100" s="33">
        <f>IF(OR($E100="",$F100=""),"",IF(AND(AX$4&lt;=$F100,AX$4+6&gt;=$E100),IF($F100-$E100&lt;=2,"◆",IF($H100="Yes","X",LEFT($D100,1))),""))</f>
        <v/>
      </c>
      <c r="AY100" s="33">
        <f>IF(OR($E100="",$F100=""),"",IF(AND(AY$4&lt;=$F100,AY$4+6&gt;=$E100),IF($F100-$E100&lt;=2,"◆",IF($H100="Yes","X",LEFT($D100,1))),""))</f>
        <v/>
      </c>
      <c r="AZ100" s="33">
        <f>IF(OR($E100="",$F100=""),"",IF(AND(AZ$4&lt;=$F100,AZ$4+6&gt;=$E100),IF($F100-$E100&lt;=2,"◆",IF($H100="Yes","X",LEFT($D100,1))),""))</f>
        <v/>
      </c>
      <c r="BA100" s="33">
        <f>IF(OR($E100="",$F100=""),"",IF(AND(BA$4&lt;=$F100,BA$4+6&gt;=$E100),IF($F100-$E100&lt;=2,"◆",IF($H100="Yes","X",LEFT($D100,1))),""))</f>
        <v/>
      </c>
      <c r="BB100" s="33">
        <f>IF(OR($E100="",$F100=""),"",IF(AND(BB$4&lt;=$F100,BB$4+6&gt;=$E100),IF($F100-$E100&lt;=2,"◆",IF($H100="Yes","X",LEFT($D100,1))),""))</f>
        <v/>
      </c>
      <c r="BC100" s="33">
        <f>IF(OR($E100="",$F100=""),"",IF(AND(BC$4&lt;=$F100,BC$4+6&gt;=$E100),IF($F100-$E100&lt;=2,"◆",IF($H100="Yes","X",LEFT($D100,1))),""))</f>
        <v/>
      </c>
      <c r="BD100" s="33">
        <f>IF(OR($E100="",$F100=""),"",IF(AND(BD$4&lt;=$F100,BD$4+6&gt;=$E100),IF($F100-$E100&lt;=2,"◆",IF($H100="Yes","X",LEFT($D100,1))),""))</f>
        <v/>
      </c>
      <c r="BE100" s="33">
        <f>IF(OR($E100="",$F100=""),"",IF(AND(BE$4&lt;=$F100,BE$4+6&gt;=$E100),IF($F100-$E100&lt;=2,"◆",IF($H100="Yes","X",LEFT($D100,1))),""))</f>
        <v/>
      </c>
      <c r="BF100" s="33">
        <f>IF(OR($E100="",$F100=""),"",IF(AND(BF$4&lt;=$F100,BF$4+6&gt;=$E100),IF($F100-$E100&lt;=2,"◆",IF($H100="Yes","X",LEFT($D100,1))),""))</f>
        <v/>
      </c>
      <c r="BG100" s="33">
        <f>IF(OR($E100="",$F100=""),"",IF(AND(BG$4&lt;=$F100,BG$4+6&gt;=$E100),IF($F100-$E100&lt;=2,"◆",IF($H100="Yes","X",LEFT($D100,1))),""))</f>
        <v/>
      </c>
      <c r="BH100" s="33">
        <f>IF(OR($E100="",$F100=""),"",IF(AND(BH$4&lt;=$F100,BH$4+6&gt;=$E100),IF($F100-$E100&lt;=2,"◆",IF($H100="Yes","X",LEFT($D100,1))),""))</f>
        <v/>
      </c>
      <c r="BI100" s="33">
        <f>IF(OR($E100="",$F100=""),"",IF(AND(BI$4&lt;=$F100,BI$4+6&gt;=$E100),IF($F100-$E100&lt;=2,"◆",IF($H100="Yes","X",LEFT($D100,1))),""))</f>
        <v/>
      </c>
    </row>
    <row r="101">
      <c r="A101" s="30" t="inlineStr">
        <is>
          <t>T-097</t>
        </is>
      </c>
      <c r="B101" s="30" t="inlineStr">
        <is>
          <t>Journey Builder</t>
        </is>
      </c>
      <c r="C101" s="30" t="inlineStr">
        <is>
          <t>Siva</t>
        </is>
      </c>
      <c r="D101" s="30" t="inlineStr">
        <is>
          <t>Not Started</t>
        </is>
      </c>
      <c r="E101" s="31" t="n">
        <v>46338</v>
      </c>
      <c r="F101" s="31" t="n">
        <v>46370</v>
      </c>
      <c r="G101" s="32" t="n">
        <v>0</v>
      </c>
      <c r="H101" s="30" t="inlineStr">
        <is>
          <t>No</t>
        </is>
      </c>
      <c r="I101" s="33">
        <f>IF(OR($E101="",$F101=""),"",IF(AND(I$4&lt;=$F101,I$4+6&gt;=$E101),IF($F101-$E101&lt;=2,"◆",IF($H101="Yes","X",LEFT($D101,1))),""))</f>
        <v/>
      </c>
      <c r="J101" s="33">
        <f>IF(OR($E101="",$F101=""),"",IF(AND(J$4&lt;=$F101,J$4+6&gt;=$E101),IF($F101-$E101&lt;=2,"◆",IF($H101="Yes","X",LEFT($D101,1))),""))</f>
        <v/>
      </c>
      <c r="K101" s="33">
        <f>IF(OR($E101="",$F101=""),"",IF(AND(K$4&lt;=$F101,K$4+6&gt;=$E101),IF($F101-$E101&lt;=2,"◆",IF($H101="Yes","X",LEFT($D101,1))),""))</f>
        <v/>
      </c>
      <c r="L101" s="33">
        <f>IF(OR($E101="",$F101=""),"",IF(AND(L$4&lt;=$F101,L$4+6&gt;=$E101),IF($F101-$E101&lt;=2,"◆",IF($H101="Yes","X",LEFT($D101,1))),""))</f>
        <v/>
      </c>
      <c r="M101" s="33">
        <f>IF(OR($E101="",$F101=""),"",IF(AND(M$4&lt;=$F101,M$4+6&gt;=$E101),IF($F101-$E101&lt;=2,"◆",IF($H101="Yes","X",LEFT($D101,1))),""))</f>
        <v/>
      </c>
      <c r="N101" s="33">
        <f>IF(OR($E101="",$F101=""),"",IF(AND(N$4&lt;=$F101,N$4+6&gt;=$E101),IF($F101-$E101&lt;=2,"◆",IF($H101="Yes","X",LEFT($D101,1))),""))</f>
        <v/>
      </c>
      <c r="O101" s="33">
        <f>IF(OR($E101="",$F101=""),"",IF(AND(O$4&lt;=$F101,O$4+6&gt;=$E101),IF($F101-$E101&lt;=2,"◆",IF($H101="Yes","X",LEFT($D101,1))),""))</f>
        <v/>
      </c>
      <c r="P101" s="33">
        <f>IF(OR($E101="",$F101=""),"",IF(AND(P$4&lt;=$F101,P$4+6&gt;=$E101),IF($F101-$E101&lt;=2,"◆",IF($H101="Yes","X",LEFT($D101,1))),""))</f>
        <v/>
      </c>
      <c r="Q101" s="33">
        <f>IF(OR($E101="",$F101=""),"",IF(AND(Q$4&lt;=$F101,Q$4+6&gt;=$E101),IF($F101-$E101&lt;=2,"◆",IF($H101="Yes","X",LEFT($D101,1))),""))</f>
        <v/>
      </c>
      <c r="R101" s="33">
        <f>IF(OR($E101="",$F101=""),"",IF(AND(R$4&lt;=$F101,R$4+6&gt;=$E101),IF($F101-$E101&lt;=2,"◆",IF($H101="Yes","X",LEFT($D101,1))),""))</f>
        <v/>
      </c>
      <c r="S101" s="33">
        <f>IF(OR($E101="",$F101=""),"",IF(AND(S$4&lt;=$F101,S$4+6&gt;=$E101),IF($F101-$E101&lt;=2,"◆",IF($H101="Yes","X",LEFT($D101,1))),""))</f>
        <v/>
      </c>
      <c r="T101" s="33">
        <f>IF(OR($E101="",$F101=""),"",IF(AND(T$4&lt;=$F101,T$4+6&gt;=$E101),IF($F101-$E101&lt;=2,"◆",IF($H101="Yes","X",LEFT($D101,1))),""))</f>
        <v/>
      </c>
      <c r="U101" s="33">
        <f>IF(OR($E101="",$F101=""),"",IF(AND(U$4&lt;=$F101,U$4+6&gt;=$E101),IF($F101-$E101&lt;=2,"◆",IF($H101="Yes","X",LEFT($D101,1))),""))</f>
        <v/>
      </c>
      <c r="V101" s="33">
        <f>IF(OR($E101="",$F101=""),"",IF(AND(V$4&lt;=$F101,V$4+6&gt;=$E101),IF($F101-$E101&lt;=2,"◆",IF($H101="Yes","X",LEFT($D101,1))),""))</f>
        <v/>
      </c>
      <c r="W101" s="33">
        <f>IF(OR($E101="",$F101=""),"",IF(AND(W$4&lt;=$F101,W$4+6&gt;=$E101),IF($F101-$E101&lt;=2,"◆",IF($H101="Yes","X",LEFT($D101,1))),""))</f>
        <v/>
      </c>
      <c r="X101" s="33">
        <f>IF(OR($E101="",$F101=""),"",IF(AND(X$4&lt;=$F101,X$4+6&gt;=$E101),IF($F101-$E101&lt;=2,"◆",IF($H101="Yes","X",LEFT($D101,1))),""))</f>
        <v/>
      </c>
      <c r="Y101" s="33">
        <f>IF(OR($E101="",$F101=""),"",IF(AND(Y$4&lt;=$F101,Y$4+6&gt;=$E101),IF($F101-$E101&lt;=2,"◆",IF($H101="Yes","X",LEFT($D101,1))),""))</f>
        <v/>
      </c>
      <c r="Z101" s="33">
        <f>IF(OR($E101="",$F101=""),"",IF(AND(Z$4&lt;=$F101,Z$4+6&gt;=$E101),IF($F101-$E101&lt;=2,"◆",IF($H101="Yes","X",LEFT($D101,1))),""))</f>
        <v/>
      </c>
      <c r="AA101" s="33">
        <f>IF(OR($E101="",$F101=""),"",IF(AND(AA$4&lt;=$F101,AA$4+6&gt;=$E101),IF($F101-$E101&lt;=2,"◆",IF($H101="Yes","X",LEFT($D101,1))),""))</f>
        <v/>
      </c>
      <c r="AB101" s="33">
        <f>IF(OR($E101="",$F101=""),"",IF(AND(AB$4&lt;=$F101,AB$4+6&gt;=$E101),IF($F101-$E101&lt;=2,"◆",IF($H101="Yes","X",LEFT($D101,1))),""))</f>
        <v/>
      </c>
      <c r="AC101" s="33">
        <f>IF(OR($E101="",$F101=""),"",IF(AND(AC$4&lt;=$F101,AC$4+6&gt;=$E101),IF($F101-$E101&lt;=2,"◆",IF($H101="Yes","X",LEFT($D101,1))),""))</f>
        <v/>
      </c>
      <c r="AD101" s="33">
        <f>IF(OR($E101="",$F101=""),"",IF(AND(AD$4&lt;=$F101,AD$4+6&gt;=$E101),IF($F101-$E101&lt;=2,"◆",IF($H101="Yes","X",LEFT($D101,1))),""))</f>
        <v/>
      </c>
      <c r="AE101" s="33">
        <f>IF(OR($E101="",$F101=""),"",IF(AND(AE$4&lt;=$F101,AE$4+6&gt;=$E101),IF($F101-$E101&lt;=2,"◆",IF($H101="Yes","X",LEFT($D101,1))),""))</f>
        <v/>
      </c>
      <c r="AF101" s="33">
        <f>IF(OR($E101="",$F101=""),"",IF(AND(AF$4&lt;=$F101,AF$4+6&gt;=$E101),IF($F101-$E101&lt;=2,"◆",IF($H101="Yes","X",LEFT($D101,1))),""))</f>
        <v/>
      </c>
      <c r="AG101" s="33">
        <f>IF(OR($E101="",$F101=""),"",IF(AND(AG$4&lt;=$F101,AG$4+6&gt;=$E101),IF($F101-$E101&lt;=2,"◆",IF($H101="Yes","X",LEFT($D101,1))),""))</f>
        <v/>
      </c>
      <c r="AH101" s="33">
        <f>IF(OR($E101="",$F101=""),"",IF(AND(AH$4&lt;=$F101,AH$4+6&gt;=$E101),IF($F101-$E101&lt;=2,"◆",IF($H101="Yes","X",LEFT($D101,1))),""))</f>
        <v/>
      </c>
      <c r="AI101" s="33">
        <f>IF(OR($E101="",$F101=""),"",IF(AND(AI$4&lt;=$F101,AI$4+6&gt;=$E101),IF($F101-$E101&lt;=2,"◆",IF($H101="Yes","X",LEFT($D101,1))),""))</f>
        <v/>
      </c>
      <c r="AJ101" s="33">
        <f>IF(OR($E101="",$F101=""),"",IF(AND(AJ$4&lt;=$F101,AJ$4+6&gt;=$E101),IF($F101-$E101&lt;=2,"◆",IF($H101="Yes","X",LEFT($D101,1))),""))</f>
        <v/>
      </c>
      <c r="AK101" s="33">
        <f>IF(OR($E101="",$F101=""),"",IF(AND(AK$4&lt;=$F101,AK$4+6&gt;=$E101),IF($F101-$E101&lt;=2,"◆",IF($H101="Yes","X",LEFT($D101,1))),""))</f>
        <v/>
      </c>
      <c r="AL101" s="33">
        <f>IF(OR($E101="",$F101=""),"",IF(AND(AL$4&lt;=$F101,AL$4+6&gt;=$E101),IF($F101-$E101&lt;=2,"◆",IF($H101="Yes","X",LEFT($D101,1))),""))</f>
        <v/>
      </c>
      <c r="AM101" s="33">
        <f>IF(OR($E101="",$F101=""),"",IF(AND(AM$4&lt;=$F101,AM$4+6&gt;=$E101),IF($F101-$E101&lt;=2,"◆",IF($H101="Yes","X",LEFT($D101,1))),""))</f>
        <v/>
      </c>
      <c r="AN101" s="33">
        <f>IF(OR($E101="",$F101=""),"",IF(AND(AN$4&lt;=$F101,AN$4+6&gt;=$E101),IF($F101-$E101&lt;=2,"◆",IF($H101="Yes","X",LEFT($D101,1))),""))</f>
        <v/>
      </c>
      <c r="AO101" s="33">
        <f>IF(OR($E101="",$F101=""),"",IF(AND(AO$4&lt;=$F101,AO$4+6&gt;=$E101),IF($F101-$E101&lt;=2,"◆",IF($H101="Yes","X",LEFT($D101,1))),""))</f>
        <v/>
      </c>
      <c r="AP101" s="33">
        <f>IF(OR($E101="",$F101=""),"",IF(AND(AP$4&lt;=$F101,AP$4+6&gt;=$E101),IF($F101-$E101&lt;=2,"◆",IF($H101="Yes","X",LEFT($D101,1))),""))</f>
        <v/>
      </c>
      <c r="AQ101" s="33">
        <f>IF(OR($E101="",$F101=""),"",IF(AND(AQ$4&lt;=$F101,AQ$4+6&gt;=$E101),IF($F101-$E101&lt;=2,"◆",IF($H101="Yes","X",LEFT($D101,1))),""))</f>
        <v/>
      </c>
      <c r="AR101" s="33">
        <f>IF(OR($E101="",$F101=""),"",IF(AND(AR$4&lt;=$F101,AR$4+6&gt;=$E101),IF($F101-$E101&lt;=2,"◆",IF($H101="Yes","X",LEFT($D101,1))),""))</f>
        <v/>
      </c>
      <c r="AS101" s="33">
        <f>IF(OR($E101="",$F101=""),"",IF(AND(AS$4&lt;=$F101,AS$4+6&gt;=$E101),IF($F101-$E101&lt;=2,"◆",IF($H101="Yes","X",LEFT($D101,1))),""))</f>
        <v/>
      </c>
      <c r="AT101" s="33">
        <f>IF(OR($E101="",$F101=""),"",IF(AND(AT$4&lt;=$F101,AT$4+6&gt;=$E101),IF($F101-$E101&lt;=2,"◆",IF($H101="Yes","X",LEFT($D101,1))),""))</f>
        <v/>
      </c>
      <c r="AU101" s="33">
        <f>IF(OR($E101="",$F101=""),"",IF(AND(AU$4&lt;=$F101,AU$4+6&gt;=$E101),IF($F101-$E101&lt;=2,"◆",IF($H101="Yes","X",LEFT($D101,1))),""))</f>
        <v/>
      </c>
      <c r="AV101" s="33">
        <f>IF(OR($E101="",$F101=""),"",IF(AND(AV$4&lt;=$F101,AV$4+6&gt;=$E101),IF($F101-$E101&lt;=2,"◆",IF($H101="Yes","X",LEFT($D101,1))),""))</f>
        <v/>
      </c>
      <c r="AW101" s="33">
        <f>IF(OR($E101="",$F101=""),"",IF(AND(AW$4&lt;=$F101,AW$4+6&gt;=$E101),IF($F101-$E101&lt;=2,"◆",IF($H101="Yes","X",LEFT($D101,1))),""))</f>
        <v/>
      </c>
      <c r="AX101" s="33">
        <f>IF(OR($E101="",$F101=""),"",IF(AND(AX$4&lt;=$F101,AX$4+6&gt;=$E101),IF($F101-$E101&lt;=2,"◆",IF($H101="Yes","X",LEFT($D101,1))),""))</f>
        <v/>
      </c>
      <c r="AY101" s="33">
        <f>IF(OR($E101="",$F101=""),"",IF(AND(AY$4&lt;=$F101,AY$4+6&gt;=$E101),IF($F101-$E101&lt;=2,"◆",IF($H101="Yes","X",LEFT($D101,1))),""))</f>
        <v/>
      </c>
      <c r="AZ101" s="33">
        <f>IF(OR($E101="",$F101=""),"",IF(AND(AZ$4&lt;=$F101,AZ$4+6&gt;=$E101),IF($F101-$E101&lt;=2,"◆",IF($H101="Yes","X",LEFT($D101,1))),""))</f>
        <v/>
      </c>
      <c r="BA101" s="33">
        <f>IF(OR($E101="",$F101=""),"",IF(AND(BA$4&lt;=$F101,BA$4+6&gt;=$E101),IF($F101-$E101&lt;=2,"◆",IF($H101="Yes","X",LEFT($D101,1))),""))</f>
        <v/>
      </c>
      <c r="BB101" s="33">
        <f>IF(OR($E101="",$F101=""),"",IF(AND(BB$4&lt;=$F101,BB$4+6&gt;=$E101),IF($F101-$E101&lt;=2,"◆",IF($H101="Yes","X",LEFT($D101,1))),""))</f>
        <v/>
      </c>
      <c r="BC101" s="33">
        <f>IF(OR($E101="",$F101=""),"",IF(AND(BC$4&lt;=$F101,BC$4+6&gt;=$E101),IF($F101-$E101&lt;=2,"◆",IF($H101="Yes","X",LEFT($D101,1))),""))</f>
        <v/>
      </c>
      <c r="BD101" s="33">
        <f>IF(OR($E101="",$F101=""),"",IF(AND(BD$4&lt;=$F101,BD$4+6&gt;=$E101),IF($F101-$E101&lt;=2,"◆",IF($H101="Yes","X",LEFT($D101,1))),""))</f>
        <v/>
      </c>
      <c r="BE101" s="33">
        <f>IF(OR($E101="",$F101=""),"",IF(AND(BE$4&lt;=$F101,BE$4+6&gt;=$E101),IF($F101-$E101&lt;=2,"◆",IF($H101="Yes","X",LEFT($D101,1))),""))</f>
        <v/>
      </c>
      <c r="BF101" s="33">
        <f>IF(OR($E101="",$F101=""),"",IF(AND(BF$4&lt;=$F101,BF$4+6&gt;=$E101),IF($F101-$E101&lt;=2,"◆",IF($H101="Yes","X",LEFT($D101,1))),""))</f>
        <v/>
      </c>
      <c r="BG101" s="33">
        <f>IF(OR($E101="",$F101=""),"",IF(AND(BG$4&lt;=$F101,BG$4+6&gt;=$E101),IF($F101-$E101&lt;=2,"◆",IF($H101="Yes","X",LEFT($D101,1))),""))</f>
        <v/>
      </c>
      <c r="BH101" s="33">
        <f>IF(OR($E101="",$F101=""),"",IF(AND(BH$4&lt;=$F101,BH$4+6&gt;=$E101),IF($F101-$E101&lt;=2,"◆",IF($H101="Yes","X",LEFT($D101,1))),""))</f>
        <v/>
      </c>
      <c r="BI101" s="33">
        <f>IF(OR($E101="",$F101=""),"",IF(AND(BI$4&lt;=$F101,BI$4+6&gt;=$E101),IF($F101-$E101&lt;=2,"◆",IF($H101="Yes","X",LEFT($D101,1))),""))</f>
        <v/>
      </c>
    </row>
    <row r="102">
      <c r="A102" s="30" t="inlineStr">
        <is>
          <t>T-098</t>
        </is>
      </c>
      <c r="B102" s="30" t="inlineStr">
        <is>
          <t>Journey Builder</t>
        </is>
      </c>
      <c r="C102" s="30" t="inlineStr">
        <is>
          <t>Siva</t>
        </is>
      </c>
      <c r="D102" s="30" t="inlineStr">
        <is>
          <t>Not Started</t>
        </is>
      </c>
      <c r="E102" s="31" t="n">
        <v>46343</v>
      </c>
      <c r="F102" s="31" t="n">
        <v>46375</v>
      </c>
      <c r="G102" s="32" t="n">
        <v>0</v>
      </c>
      <c r="H102" s="30" t="inlineStr">
        <is>
          <t>No</t>
        </is>
      </c>
      <c r="I102" s="33">
        <f>IF(OR($E102="",$F102=""),"",IF(AND(I$4&lt;=$F102,I$4+6&gt;=$E102),IF($F102-$E102&lt;=2,"◆",IF($H102="Yes","X",LEFT($D102,1))),""))</f>
        <v/>
      </c>
      <c r="J102" s="33">
        <f>IF(OR($E102="",$F102=""),"",IF(AND(J$4&lt;=$F102,J$4+6&gt;=$E102),IF($F102-$E102&lt;=2,"◆",IF($H102="Yes","X",LEFT($D102,1))),""))</f>
        <v/>
      </c>
      <c r="K102" s="33">
        <f>IF(OR($E102="",$F102=""),"",IF(AND(K$4&lt;=$F102,K$4+6&gt;=$E102),IF($F102-$E102&lt;=2,"◆",IF($H102="Yes","X",LEFT($D102,1))),""))</f>
        <v/>
      </c>
      <c r="L102" s="33">
        <f>IF(OR($E102="",$F102=""),"",IF(AND(L$4&lt;=$F102,L$4+6&gt;=$E102),IF($F102-$E102&lt;=2,"◆",IF($H102="Yes","X",LEFT($D102,1))),""))</f>
        <v/>
      </c>
      <c r="M102" s="33">
        <f>IF(OR($E102="",$F102=""),"",IF(AND(M$4&lt;=$F102,M$4+6&gt;=$E102),IF($F102-$E102&lt;=2,"◆",IF($H102="Yes","X",LEFT($D102,1))),""))</f>
        <v/>
      </c>
      <c r="N102" s="33">
        <f>IF(OR($E102="",$F102=""),"",IF(AND(N$4&lt;=$F102,N$4+6&gt;=$E102),IF($F102-$E102&lt;=2,"◆",IF($H102="Yes","X",LEFT($D102,1))),""))</f>
        <v/>
      </c>
      <c r="O102" s="33">
        <f>IF(OR($E102="",$F102=""),"",IF(AND(O$4&lt;=$F102,O$4+6&gt;=$E102),IF($F102-$E102&lt;=2,"◆",IF($H102="Yes","X",LEFT($D102,1))),""))</f>
        <v/>
      </c>
      <c r="P102" s="33">
        <f>IF(OR($E102="",$F102=""),"",IF(AND(P$4&lt;=$F102,P$4+6&gt;=$E102),IF($F102-$E102&lt;=2,"◆",IF($H102="Yes","X",LEFT($D102,1))),""))</f>
        <v/>
      </c>
      <c r="Q102" s="33">
        <f>IF(OR($E102="",$F102=""),"",IF(AND(Q$4&lt;=$F102,Q$4+6&gt;=$E102),IF($F102-$E102&lt;=2,"◆",IF($H102="Yes","X",LEFT($D102,1))),""))</f>
        <v/>
      </c>
      <c r="R102" s="33">
        <f>IF(OR($E102="",$F102=""),"",IF(AND(R$4&lt;=$F102,R$4+6&gt;=$E102),IF($F102-$E102&lt;=2,"◆",IF($H102="Yes","X",LEFT($D102,1))),""))</f>
        <v/>
      </c>
      <c r="S102" s="33">
        <f>IF(OR($E102="",$F102=""),"",IF(AND(S$4&lt;=$F102,S$4+6&gt;=$E102),IF($F102-$E102&lt;=2,"◆",IF($H102="Yes","X",LEFT($D102,1))),""))</f>
        <v/>
      </c>
      <c r="T102" s="33">
        <f>IF(OR($E102="",$F102=""),"",IF(AND(T$4&lt;=$F102,T$4+6&gt;=$E102),IF($F102-$E102&lt;=2,"◆",IF($H102="Yes","X",LEFT($D102,1))),""))</f>
        <v/>
      </c>
      <c r="U102" s="33">
        <f>IF(OR($E102="",$F102=""),"",IF(AND(U$4&lt;=$F102,U$4+6&gt;=$E102),IF($F102-$E102&lt;=2,"◆",IF($H102="Yes","X",LEFT($D102,1))),""))</f>
        <v/>
      </c>
      <c r="V102" s="33">
        <f>IF(OR($E102="",$F102=""),"",IF(AND(V$4&lt;=$F102,V$4+6&gt;=$E102),IF($F102-$E102&lt;=2,"◆",IF($H102="Yes","X",LEFT($D102,1))),""))</f>
        <v/>
      </c>
      <c r="W102" s="33">
        <f>IF(OR($E102="",$F102=""),"",IF(AND(W$4&lt;=$F102,W$4+6&gt;=$E102),IF($F102-$E102&lt;=2,"◆",IF($H102="Yes","X",LEFT($D102,1))),""))</f>
        <v/>
      </c>
      <c r="X102" s="33">
        <f>IF(OR($E102="",$F102=""),"",IF(AND(X$4&lt;=$F102,X$4+6&gt;=$E102),IF($F102-$E102&lt;=2,"◆",IF($H102="Yes","X",LEFT($D102,1))),""))</f>
        <v/>
      </c>
      <c r="Y102" s="33">
        <f>IF(OR($E102="",$F102=""),"",IF(AND(Y$4&lt;=$F102,Y$4+6&gt;=$E102),IF($F102-$E102&lt;=2,"◆",IF($H102="Yes","X",LEFT($D102,1))),""))</f>
        <v/>
      </c>
      <c r="Z102" s="33">
        <f>IF(OR($E102="",$F102=""),"",IF(AND(Z$4&lt;=$F102,Z$4+6&gt;=$E102),IF($F102-$E102&lt;=2,"◆",IF($H102="Yes","X",LEFT($D102,1))),""))</f>
        <v/>
      </c>
      <c r="AA102" s="33">
        <f>IF(OR($E102="",$F102=""),"",IF(AND(AA$4&lt;=$F102,AA$4+6&gt;=$E102),IF($F102-$E102&lt;=2,"◆",IF($H102="Yes","X",LEFT($D102,1))),""))</f>
        <v/>
      </c>
      <c r="AB102" s="33">
        <f>IF(OR($E102="",$F102=""),"",IF(AND(AB$4&lt;=$F102,AB$4+6&gt;=$E102),IF($F102-$E102&lt;=2,"◆",IF($H102="Yes","X",LEFT($D102,1))),""))</f>
        <v/>
      </c>
      <c r="AC102" s="33">
        <f>IF(OR($E102="",$F102=""),"",IF(AND(AC$4&lt;=$F102,AC$4+6&gt;=$E102),IF($F102-$E102&lt;=2,"◆",IF($H102="Yes","X",LEFT($D102,1))),""))</f>
        <v/>
      </c>
      <c r="AD102" s="33">
        <f>IF(OR($E102="",$F102=""),"",IF(AND(AD$4&lt;=$F102,AD$4+6&gt;=$E102),IF($F102-$E102&lt;=2,"◆",IF($H102="Yes","X",LEFT($D102,1))),""))</f>
        <v/>
      </c>
      <c r="AE102" s="33">
        <f>IF(OR($E102="",$F102=""),"",IF(AND(AE$4&lt;=$F102,AE$4+6&gt;=$E102),IF($F102-$E102&lt;=2,"◆",IF($H102="Yes","X",LEFT($D102,1))),""))</f>
        <v/>
      </c>
      <c r="AF102" s="33">
        <f>IF(OR($E102="",$F102=""),"",IF(AND(AF$4&lt;=$F102,AF$4+6&gt;=$E102),IF($F102-$E102&lt;=2,"◆",IF($H102="Yes","X",LEFT($D102,1))),""))</f>
        <v/>
      </c>
      <c r="AG102" s="33">
        <f>IF(OR($E102="",$F102=""),"",IF(AND(AG$4&lt;=$F102,AG$4+6&gt;=$E102),IF($F102-$E102&lt;=2,"◆",IF($H102="Yes","X",LEFT($D102,1))),""))</f>
        <v/>
      </c>
      <c r="AH102" s="33">
        <f>IF(OR($E102="",$F102=""),"",IF(AND(AH$4&lt;=$F102,AH$4+6&gt;=$E102),IF($F102-$E102&lt;=2,"◆",IF($H102="Yes","X",LEFT($D102,1))),""))</f>
        <v/>
      </c>
      <c r="AI102" s="33">
        <f>IF(OR($E102="",$F102=""),"",IF(AND(AI$4&lt;=$F102,AI$4+6&gt;=$E102),IF($F102-$E102&lt;=2,"◆",IF($H102="Yes","X",LEFT($D102,1))),""))</f>
        <v/>
      </c>
      <c r="AJ102" s="33">
        <f>IF(OR($E102="",$F102=""),"",IF(AND(AJ$4&lt;=$F102,AJ$4+6&gt;=$E102),IF($F102-$E102&lt;=2,"◆",IF($H102="Yes","X",LEFT($D102,1))),""))</f>
        <v/>
      </c>
      <c r="AK102" s="33">
        <f>IF(OR($E102="",$F102=""),"",IF(AND(AK$4&lt;=$F102,AK$4+6&gt;=$E102),IF($F102-$E102&lt;=2,"◆",IF($H102="Yes","X",LEFT($D102,1))),""))</f>
        <v/>
      </c>
      <c r="AL102" s="33">
        <f>IF(OR($E102="",$F102=""),"",IF(AND(AL$4&lt;=$F102,AL$4+6&gt;=$E102),IF($F102-$E102&lt;=2,"◆",IF($H102="Yes","X",LEFT($D102,1))),""))</f>
        <v/>
      </c>
      <c r="AM102" s="33">
        <f>IF(OR($E102="",$F102=""),"",IF(AND(AM$4&lt;=$F102,AM$4+6&gt;=$E102),IF($F102-$E102&lt;=2,"◆",IF($H102="Yes","X",LEFT($D102,1))),""))</f>
        <v/>
      </c>
      <c r="AN102" s="33">
        <f>IF(OR($E102="",$F102=""),"",IF(AND(AN$4&lt;=$F102,AN$4+6&gt;=$E102),IF($F102-$E102&lt;=2,"◆",IF($H102="Yes","X",LEFT($D102,1))),""))</f>
        <v/>
      </c>
      <c r="AO102" s="33">
        <f>IF(OR($E102="",$F102=""),"",IF(AND(AO$4&lt;=$F102,AO$4+6&gt;=$E102),IF($F102-$E102&lt;=2,"◆",IF($H102="Yes","X",LEFT($D102,1))),""))</f>
        <v/>
      </c>
      <c r="AP102" s="33">
        <f>IF(OR($E102="",$F102=""),"",IF(AND(AP$4&lt;=$F102,AP$4+6&gt;=$E102),IF($F102-$E102&lt;=2,"◆",IF($H102="Yes","X",LEFT($D102,1))),""))</f>
        <v/>
      </c>
      <c r="AQ102" s="33">
        <f>IF(OR($E102="",$F102=""),"",IF(AND(AQ$4&lt;=$F102,AQ$4+6&gt;=$E102),IF($F102-$E102&lt;=2,"◆",IF($H102="Yes","X",LEFT($D102,1))),""))</f>
        <v/>
      </c>
      <c r="AR102" s="33">
        <f>IF(OR($E102="",$F102=""),"",IF(AND(AR$4&lt;=$F102,AR$4+6&gt;=$E102),IF($F102-$E102&lt;=2,"◆",IF($H102="Yes","X",LEFT($D102,1))),""))</f>
        <v/>
      </c>
      <c r="AS102" s="33">
        <f>IF(OR($E102="",$F102=""),"",IF(AND(AS$4&lt;=$F102,AS$4+6&gt;=$E102),IF($F102-$E102&lt;=2,"◆",IF($H102="Yes","X",LEFT($D102,1))),""))</f>
        <v/>
      </c>
      <c r="AT102" s="33">
        <f>IF(OR($E102="",$F102=""),"",IF(AND(AT$4&lt;=$F102,AT$4+6&gt;=$E102),IF($F102-$E102&lt;=2,"◆",IF($H102="Yes","X",LEFT($D102,1))),""))</f>
        <v/>
      </c>
      <c r="AU102" s="33">
        <f>IF(OR($E102="",$F102=""),"",IF(AND(AU$4&lt;=$F102,AU$4+6&gt;=$E102),IF($F102-$E102&lt;=2,"◆",IF($H102="Yes","X",LEFT($D102,1))),""))</f>
        <v/>
      </c>
      <c r="AV102" s="33">
        <f>IF(OR($E102="",$F102=""),"",IF(AND(AV$4&lt;=$F102,AV$4+6&gt;=$E102),IF($F102-$E102&lt;=2,"◆",IF($H102="Yes","X",LEFT($D102,1))),""))</f>
        <v/>
      </c>
      <c r="AW102" s="33">
        <f>IF(OR($E102="",$F102=""),"",IF(AND(AW$4&lt;=$F102,AW$4+6&gt;=$E102),IF($F102-$E102&lt;=2,"◆",IF($H102="Yes","X",LEFT($D102,1))),""))</f>
        <v/>
      </c>
      <c r="AX102" s="33">
        <f>IF(OR($E102="",$F102=""),"",IF(AND(AX$4&lt;=$F102,AX$4+6&gt;=$E102),IF($F102-$E102&lt;=2,"◆",IF($H102="Yes","X",LEFT($D102,1))),""))</f>
        <v/>
      </c>
      <c r="AY102" s="33">
        <f>IF(OR($E102="",$F102=""),"",IF(AND(AY$4&lt;=$F102,AY$4+6&gt;=$E102),IF($F102-$E102&lt;=2,"◆",IF($H102="Yes","X",LEFT($D102,1))),""))</f>
        <v/>
      </c>
      <c r="AZ102" s="33">
        <f>IF(OR($E102="",$F102=""),"",IF(AND(AZ$4&lt;=$F102,AZ$4+6&gt;=$E102),IF($F102-$E102&lt;=2,"◆",IF($H102="Yes","X",LEFT($D102,1))),""))</f>
        <v/>
      </c>
      <c r="BA102" s="33">
        <f>IF(OR($E102="",$F102=""),"",IF(AND(BA$4&lt;=$F102,BA$4+6&gt;=$E102),IF($F102-$E102&lt;=2,"◆",IF($H102="Yes","X",LEFT($D102,1))),""))</f>
        <v/>
      </c>
      <c r="BB102" s="33">
        <f>IF(OR($E102="",$F102=""),"",IF(AND(BB$4&lt;=$F102,BB$4+6&gt;=$E102),IF($F102-$E102&lt;=2,"◆",IF($H102="Yes","X",LEFT($D102,1))),""))</f>
        <v/>
      </c>
      <c r="BC102" s="33">
        <f>IF(OR($E102="",$F102=""),"",IF(AND(BC$4&lt;=$F102,BC$4+6&gt;=$E102),IF($F102-$E102&lt;=2,"◆",IF($H102="Yes","X",LEFT($D102,1))),""))</f>
        <v/>
      </c>
      <c r="BD102" s="33">
        <f>IF(OR($E102="",$F102=""),"",IF(AND(BD$4&lt;=$F102,BD$4+6&gt;=$E102),IF($F102-$E102&lt;=2,"◆",IF($H102="Yes","X",LEFT($D102,1))),""))</f>
        <v/>
      </c>
      <c r="BE102" s="33">
        <f>IF(OR($E102="",$F102=""),"",IF(AND(BE$4&lt;=$F102,BE$4+6&gt;=$E102),IF($F102-$E102&lt;=2,"◆",IF($H102="Yes","X",LEFT($D102,1))),""))</f>
        <v/>
      </c>
      <c r="BF102" s="33">
        <f>IF(OR($E102="",$F102=""),"",IF(AND(BF$4&lt;=$F102,BF$4+6&gt;=$E102),IF($F102-$E102&lt;=2,"◆",IF($H102="Yes","X",LEFT($D102,1))),""))</f>
        <v/>
      </c>
      <c r="BG102" s="33">
        <f>IF(OR($E102="",$F102=""),"",IF(AND(BG$4&lt;=$F102,BG$4+6&gt;=$E102),IF($F102-$E102&lt;=2,"◆",IF($H102="Yes","X",LEFT($D102,1))),""))</f>
        <v/>
      </c>
      <c r="BH102" s="33">
        <f>IF(OR($E102="",$F102=""),"",IF(AND(BH$4&lt;=$F102,BH$4+6&gt;=$E102),IF($F102-$E102&lt;=2,"◆",IF($H102="Yes","X",LEFT($D102,1))),""))</f>
        <v/>
      </c>
      <c r="BI102" s="33">
        <f>IF(OR($E102="",$F102=""),"",IF(AND(BI$4&lt;=$F102,BI$4+6&gt;=$E102),IF($F102-$E102&lt;=2,"◆",IF($H102="Yes","X",LEFT($D102,1))),""))</f>
        <v/>
      </c>
    </row>
    <row r="103">
      <c r="A103" s="30" t="inlineStr">
        <is>
          <t>T-099</t>
        </is>
      </c>
      <c r="B103" s="30" t="inlineStr">
        <is>
          <t>Journey Builder</t>
        </is>
      </c>
      <c r="C103" s="30" t="inlineStr">
        <is>
          <t>Siva</t>
        </is>
      </c>
      <c r="D103" s="30" t="inlineStr">
        <is>
          <t>Not Started</t>
        </is>
      </c>
      <c r="E103" s="31" t="n">
        <v>46396</v>
      </c>
      <c r="F103" s="31" t="n">
        <v>46428</v>
      </c>
      <c r="G103" s="32" t="n">
        <v>0</v>
      </c>
      <c r="H103" s="30" t="inlineStr">
        <is>
          <t>No</t>
        </is>
      </c>
      <c r="I103" s="33">
        <f>IF(OR($E103="",$F103=""),"",IF(AND(I$4&lt;=$F103,I$4+6&gt;=$E103),IF($F103-$E103&lt;=2,"◆",IF($H103="Yes","X",LEFT($D103,1))),""))</f>
        <v/>
      </c>
      <c r="J103" s="33">
        <f>IF(OR($E103="",$F103=""),"",IF(AND(J$4&lt;=$F103,J$4+6&gt;=$E103),IF($F103-$E103&lt;=2,"◆",IF($H103="Yes","X",LEFT($D103,1))),""))</f>
        <v/>
      </c>
      <c r="K103" s="33">
        <f>IF(OR($E103="",$F103=""),"",IF(AND(K$4&lt;=$F103,K$4+6&gt;=$E103),IF($F103-$E103&lt;=2,"◆",IF($H103="Yes","X",LEFT($D103,1))),""))</f>
        <v/>
      </c>
      <c r="L103" s="33">
        <f>IF(OR($E103="",$F103=""),"",IF(AND(L$4&lt;=$F103,L$4+6&gt;=$E103),IF($F103-$E103&lt;=2,"◆",IF($H103="Yes","X",LEFT($D103,1))),""))</f>
        <v/>
      </c>
      <c r="M103" s="33">
        <f>IF(OR($E103="",$F103=""),"",IF(AND(M$4&lt;=$F103,M$4+6&gt;=$E103),IF($F103-$E103&lt;=2,"◆",IF($H103="Yes","X",LEFT($D103,1))),""))</f>
        <v/>
      </c>
      <c r="N103" s="33">
        <f>IF(OR($E103="",$F103=""),"",IF(AND(N$4&lt;=$F103,N$4+6&gt;=$E103),IF($F103-$E103&lt;=2,"◆",IF($H103="Yes","X",LEFT($D103,1))),""))</f>
        <v/>
      </c>
      <c r="O103" s="33">
        <f>IF(OR($E103="",$F103=""),"",IF(AND(O$4&lt;=$F103,O$4+6&gt;=$E103),IF($F103-$E103&lt;=2,"◆",IF($H103="Yes","X",LEFT($D103,1))),""))</f>
        <v/>
      </c>
      <c r="P103" s="33">
        <f>IF(OR($E103="",$F103=""),"",IF(AND(P$4&lt;=$F103,P$4+6&gt;=$E103),IF($F103-$E103&lt;=2,"◆",IF($H103="Yes","X",LEFT($D103,1))),""))</f>
        <v/>
      </c>
      <c r="Q103" s="33">
        <f>IF(OR($E103="",$F103=""),"",IF(AND(Q$4&lt;=$F103,Q$4+6&gt;=$E103),IF($F103-$E103&lt;=2,"◆",IF($H103="Yes","X",LEFT($D103,1))),""))</f>
        <v/>
      </c>
      <c r="R103" s="33">
        <f>IF(OR($E103="",$F103=""),"",IF(AND(R$4&lt;=$F103,R$4+6&gt;=$E103),IF($F103-$E103&lt;=2,"◆",IF($H103="Yes","X",LEFT($D103,1))),""))</f>
        <v/>
      </c>
      <c r="S103" s="33">
        <f>IF(OR($E103="",$F103=""),"",IF(AND(S$4&lt;=$F103,S$4+6&gt;=$E103),IF($F103-$E103&lt;=2,"◆",IF($H103="Yes","X",LEFT($D103,1))),""))</f>
        <v/>
      </c>
      <c r="T103" s="33">
        <f>IF(OR($E103="",$F103=""),"",IF(AND(T$4&lt;=$F103,T$4+6&gt;=$E103),IF($F103-$E103&lt;=2,"◆",IF($H103="Yes","X",LEFT($D103,1))),""))</f>
        <v/>
      </c>
      <c r="U103" s="33">
        <f>IF(OR($E103="",$F103=""),"",IF(AND(U$4&lt;=$F103,U$4+6&gt;=$E103),IF($F103-$E103&lt;=2,"◆",IF($H103="Yes","X",LEFT($D103,1))),""))</f>
        <v/>
      </c>
      <c r="V103" s="33">
        <f>IF(OR($E103="",$F103=""),"",IF(AND(V$4&lt;=$F103,V$4+6&gt;=$E103),IF($F103-$E103&lt;=2,"◆",IF($H103="Yes","X",LEFT($D103,1))),""))</f>
        <v/>
      </c>
      <c r="W103" s="33">
        <f>IF(OR($E103="",$F103=""),"",IF(AND(W$4&lt;=$F103,W$4+6&gt;=$E103),IF($F103-$E103&lt;=2,"◆",IF($H103="Yes","X",LEFT($D103,1))),""))</f>
        <v/>
      </c>
      <c r="X103" s="33">
        <f>IF(OR($E103="",$F103=""),"",IF(AND(X$4&lt;=$F103,X$4+6&gt;=$E103),IF($F103-$E103&lt;=2,"◆",IF($H103="Yes","X",LEFT($D103,1))),""))</f>
        <v/>
      </c>
      <c r="Y103" s="33">
        <f>IF(OR($E103="",$F103=""),"",IF(AND(Y$4&lt;=$F103,Y$4+6&gt;=$E103),IF($F103-$E103&lt;=2,"◆",IF($H103="Yes","X",LEFT($D103,1))),""))</f>
        <v/>
      </c>
      <c r="Z103" s="33">
        <f>IF(OR($E103="",$F103=""),"",IF(AND(Z$4&lt;=$F103,Z$4+6&gt;=$E103),IF($F103-$E103&lt;=2,"◆",IF($H103="Yes","X",LEFT($D103,1))),""))</f>
        <v/>
      </c>
      <c r="AA103" s="33">
        <f>IF(OR($E103="",$F103=""),"",IF(AND(AA$4&lt;=$F103,AA$4+6&gt;=$E103),IF($F103-$E103&lt;=2,"◆",IF($H103="Yes","X",LEFT($D103,1))),""))</f>
        <v/>
      </c>
      <c r="AB103" s="33">
        <f>IF(OR($E103="",$F103=""),"",IF(AND(AB$4&lt;=$F103,AB$4+6&gt;=$E103),IF($F103-$E103&lt;=2,"◆",IF($H103="Yes","X",LEFT($D103,1))),""))</f>
        <v/>
      </c>
      <c r="AC103" s="33">
        <f>IF(OR($E103="",$F103=""),"",IF(AND(AC$4&lt;=$F103,AC$4+6&gt;=$E103),IF($F103-$E103&lt;=2,"◆",IF($H103="Yes","X",LEFT($D103,1))),""))</f>
        <v/>
      </c>
      <c r="AD103" s="33">
        <f>IF(OR($E103="",$F103=""),"",IF(AND(AD$4&lt;=$F103,AD$4+6&gt;=$E103),IF($F103-$E103&lt;=2,"◆",IF($H103="Yes","X",LEFT($D103,1))),""))</f>
        <v/>
      </c>
      <c r="AE103" s="33">
        <f>IF(OR($E103="",$F103=""),"",IF(AND(AE$4&lt;=$F103,AE$4+6&gt;=$E103),IF($F103-$E103&lt;=2,"◆",IF($H103="Yes","X",LEFT($D103,1))),""))</f>
        <v/>
      </c>
      <c r="AF103" s="33">
        <f>IF(OR($E103="",$F103=""),"",IF(AND(AF$4&lt;=$F103,AF$4+6&gt;=$E103),IF($F103-$E103&lt;=2,"◆",IF($H103="Yes","X",LEFT($D103,1))),""))</f>
        <v/>
      </c>
      <c r="AG103" s="33">
        <f>IF(OR($E103="",$F103=""),"",IF(AND(AG$4&lt;=$F103,AG$4+6&gt;=$E103),IF($F103-$E103&lt;=2,"◆",IF($H103="Yes","X",LEFT($D103,1))),""))</f>
        <v/>
      </c>
      <c r="AH103" s="33">
        <f>IF(OR($E103="",$F103=""),"",IF(AND(AH$4&lt;=$F103,AH$4+6&gt;=$E103),IF($F103-$E103&lt;=2,"◆",IF($H103="Yes","X",LEFT($D103,1))),""))</f>
        <v/>
      </c>
      <c r="AI103" s="33">
        <f>IF(OR($E103="",$F103=""),"",IF(AND(AI$4&lt;=$F103,AI$4+6&gt;=$E103),IF($F103-$E103&lt;=2,"◆",IF($H103="Yes","X",LEFT($D103,1))),""))</f>
        <v/>
      </c>
      <c r="AJ103" s="33">
        <f>IF(OR($E103="",$F103=""),"",IF(AND(AJ$4&lt;=$F103,AJ$4+6&gt;=$E103),IF($F103-$E103&lt;=2,"◆",IF($H103="Yes","X",LEFT($D103,1))),""))</f>
        <v/>
      </c>
      <c r="AK103" s="33">
        <f>IF(OR($E103="",$F103=""),"",IF(AND(AK$4&lt;=$F103,AK$4+6&gt;=$E103),IF($F103-$E103&lt;=2,"◆",IF($H103="Yes","X",LEFT($D103,1))),""))</f>
        <v/>
      </c>
      <c r="AL103" s="33">
        <f>IF(OR($E103="",$F103=""),"",IF(AND(AL$4&lt;=$F103,AL$4+6&gt;=$E103),IF($F103-$E103&lt;=2,"◆",IF($H103="Yes","X",LEFT($D103,1))),""))</f>
        <v/>
      </c>
      <c r="AM103" s="33">
        <f>IF(OR($E103="",$F103=""),"",IF(AND(AM$4&lt;=$F103,AM$4+6&gt;=$E103),IF($F103-$E103&lt;=2,"◆",IF($H103="Yes","X",LEFT($D103,1))),""))</f>
        <v/>
      </c>
      <c r="AN103" s="33">
        <f>IF(OR($E103="",$F103=""),"",IF(AND(AN$4&lt;=$F103,AN$4+6&gt;=$E103),IF($F103-$E103&lt;=2,"◆",IF($H103="Yes","X",LEFT($D103,1))),""))</f>
        <v/>
      </c>
      <c r="AO103" s="33">
        <f>IF(OR($E103="",$F103=""),"",IF(AND(AO$4&lt;=$F103,AO$4+6&gt;=$E103),IF($F103-$E103&lt;=2,"◆",IF($H103="Yes","X",LEFT($D103,1))),""))</f>
        <v/>
      </c>
      <c r="AP103" s="33">
        <f>IF(OR($E103="",$F103=""),"",IF(AND(AP$4&lt;=$F103,AP$4+6&gt;=$E103),IF($F103-$E103&lt;=2,"◆",IF($H103="Yes","X",LEFT($D103,1))),""))</f>
        <v/>
      </c>
      <c r="AQ103" s="33">
        <f>IF(OR($E103="",$F103=""),"",IF(AND(AQ$4&lt;=$F103,AQ$4+6&gt;=$E103),IF($F103-$E103&lt;=2,"◆",IF($H103="Yes","X",LEFT($D103,1))),""))</f>
        <v/>
      </c>
      <c r="AR103" s="33">
        <f>IF(OR($E103="",$F103=""),"",IF(AND(AR$4&lt;=$F103,AR$4+6&gt;=$E103),IF($F103-$E103&lt;=2,"◆",IF($H103="Yes","X",LEFT($D103,1))),""))</f>
        <v/>
      </c>
      <c r="AS103" s="33">
        <f>IF(OR($E103="",$F103=""),"",IF(AND(AS$4&lt;=$F103,AS$4+6&gt;=$E103),IF($F103-$E103&lt;=2,"◆",IF($H103="Yes","X",LEFT($D103,1))),""))</f>
        <v/>
      </c>
      <c r="AT103" s="33">
        <f>IF(OR($E103="",$F103=""),"",IF(AND(AT$4&lt;=$F103,AT$4+6&gt;=$E103),IF($F103-$E103&lt;=2,"◆",IF($H103="Yes","X",LEFT($D103,1))),""))</f>
        <v/>
      </c>
      <c r="AU103" s="33">
        <f>IF(OR($E103="",$F103=""),"",IF(AND(AU$4&lt;=$F103,AU$4+6&gt;=$E103),IF($F103-$E103&lt;=2,"◆",IF($H103="Yes","X",LEFT($D103,1))),""))</f>
        <v/>
      </c>
      <c r="AV103" s="33">
        <f>IF(OR($E103="",$F103=""),"",IF(AND(AV$4&lt;=$F103,AV$4+6&gt;=$E103),IF($F103-$E103&lt;=2,"◆",IF($H103="Yes","X",LEFT($D103,1))),""))</f>
        <v/>
      </c>
      <c r="AW103" s="33">
        <f>IF(OR($E103="",$F103=""),"",IF(AND(AW$4&lt;=$F103,AW$4+6&gt;=$E103),IF($F103-$E103&lt;=2,"◆",IF($H103="Yes","X",LEFT($D103,1))),""))</f>
        <v/>
      </c>
      <c r="AX103" s="33">
        <f>IF(OR($E103="",$F103=""),"",IF(AND(AX$4&lt;=$F103,AX$4+6&gt;=$E103),IF($F103-$E103&lt;=2,"◆",IF($H103="Yes","X",LEFT($D103,1))),""))</f>
        <v/>
      </c>
      <c r="AY103" s="33">
        <f>IF(OR($E103="",$F103=""),"",IF(AND(AY$4&lt;=$F103,AY$4+6&gt;=$E103),IF($F103-$E103&lt;=2,"◆",IF($H103="Yes","X",LEFT($D103,1))),""))</f>
        <v/>
      </c>
      <c r="AZ103" s="33">
        <f>IF(OR($E103="",$F103=""),"",IF(AND(AZ$4&lt;=$F103,AZ$4+6&gt;=$E103),IF($F103-$E103&lt;=2,"◆",IF($H103="Yes","X",LEFT($D103,1))),""))</f>
        <v/>
      </c>
      <c r="BA103" s="33">
        <f>IF(OR($E103="",$F103=""),"",IF(AND(BA$4&lt;=$F103,BA$4+6&gt;=$E103),IF($F103-$E103&lt;=2,"◆",IF($H103="Yes","X",LEFT($D103,1))),""))</f>
        <v/>
      </c>
      <c r="BB103" s="33">
        <f>IF(OR($E103="",$F103=""),"",IF(AND(BB$4&lt;=$F103,BB$4+6&gt;=$E103),IF($F103-$E103&lt;=2,"◆",IF($H103="Yes","X",LEFT($D103,1))),""))</f>
        <v/>
      </c>
      <c r="BC103" s="33">
        <f>IF(OR($E103="",$F103=""),"",IF(AND(BC$4&lt;=$F103,BC$4+6&gt;=$E103),IF($F103-$E103&lt;=2,"◆",IF($H103="Yes","X",LEFT($D103,1))),""))</f>
        <v/>
      </c>
      <c r="BD103" s="33">
        <f>IF(OR($E103="",$F103=""),"",IF(AND(BD$4&lt;=$F103,BD$4+6&gt;=$E103),IF($F103-$E103&lt;=2,"◆",IF($H103="Yes","X",LEFT($D103,1))),""))</f>
        <v/>
      </c>
      <c r="BE103" s="33">
        <f>IF(OR($E103="",$F103=""),"",IF(AND(BE$4&lt;=$F103,BE$4+6&gt;=$E103),IF($F103-$E103&lt;=2,"◆",IF($H103="Yes","X",LEFT($D103,1))),""))</f>
        <v/>
      </c>
      <c r="BF103" s="33">
        <f>IF(OR($E103="",$F103=""),"",IF(AND(BF$4&lt;=$F103,BF$4+6&gt;=$E103),IF($F103-$E103&lt;=2,"◆",IF($H103="Yes","X",LEFT($D103,1))),""))</f>
        <v/>
      </c>
      <c r="BG103" s="33">
        <f>IF(OR($E103="",$F103=""),"",IF(AND(BG$4&lt;=$F103,BG$4+6&gt;=$E103),IF($F103-$E103&lt;=2,"◆",IF($H103="Yes","X",LEFT($D103,1))),""))</f>
        <v/>
      </c>
      <c r="BH103" s="33">
        <f>IF(OR($E103="",$F103=""),"",IF(AND(BH$4&lt;=$F103,BH$4+6&gt;=$E103),IF($F103-$E103&lt;=2,"◆",IF($H103="Yes","X",LEFT($D103,1))),""))</f>
        <v/>
      </c>
      <c r="BI103" s="33">
        <f>IF(OR($E103="",$F103=""),"",IF(AND(BI$4&lt;=$F103,BI$4+6&gt;=$E103),IF($F103-$E103&lt;=2,"◆",IF($H103="Yes","X",LEFT($D103,1))),""))</f>
        <v/>
      </c>
    </row>
    <row r="104">
      <c r="A104" s="30" t="inlineStr">
        <is>
          <t>T-100</t>
        </is>
      </c>
      <c r="B104" s="30" t="inlineStr">
        <is>
          <t>Journey Builder</t>
        </is>
      </c>
      <c r="C104" s="30" t="inlineStr">
        <is>
          <t>Siva</t>
        </is>
      </c>
      <c r="D104" s="30" t="inlineStr">
        <is>
          <t>Not Started</t>
        </is>
      </c>
      <c r="E104" s="31" t="n">
        <v>46407</v>
      </c>
      <c r="F104" s="31" t="n">
        <v>46439</v>
      </c>
      <c r="G104" s="32" t="n">
        <v>0</v>
      </c>
      <c r="H104" s="30" t="inlineStr">
        <is>
          <t>No</t>
        </is>
      </c>
      <c r="I104" s="33">
        <f>IF(OR($E104="",$F104=""),"",IF(AND(I$4&lt;=$F104,I$4+6&gt;=$E104),IF($F104-$E104&lt;=2,"◆",IF($H104="Yes","X",LEFT($D104,1))),""))</f>
        <v/>
      </c>
      <c r="J104" s="33">
        <f>IF(OR($E104="",$F104=""),"",IF(AND(J$4&lt;=$F104,J$4+6&gt;=$E104),IF($F104-$E104&lt;=2,"◆",IF($H104="Yes","X",LEFT($D104,1))),""))</f>
        <v/>
      </c>
      <c r="K104" s="33">
        <f>IF(OR($E104="",$F104=""),"",IF(AND(K$4&lt;=$F104,K$4+6&gt;=$E104),IF($F104-$E104&lt;=2,"◆",IF($H104="Yes","X",LEFT($D104,1))),""))</f>
        <v/>
      </c>
      <c r="L104" s="33">
        <f>IF(OR($E104="",$F104=""),"",IF(AND(L$4&lt;=$F104,L$4+6&gt;=$E104),IF($F104-$E104&lt;=2,"◆",IF($H104="Yes","X",LEFT($D104,1))),""))</f>
        <v/>
      </c>
      <c r="M104" s="33">
        <f>IF(OR($E104="",$F104=""),"",IF(AND(M$4&lt;=$F104,M$4+6&gt;=$E104),IF($F104-$E104&lt;=2,"◆",IF($H104="Yes","X",LEFT($D104,1))),""))</f>
        <v/>
      </c>
      <c r="N104" s="33">
        <f>IF(OR($E104="",$F104=""),"",IF(AND(N$4&lt;=$F104,N$4+6&gt;=$E104),IF($F104-$E104&lt;=2,"◆",IF($H104="Yes","X",LEFT($D104,1))),""))</f>
        <v/>
      </c>
      <c r="O104" s="33">
        <f>IF(OR($E104="",$F104=""),"",IF(AND(O$4&lt;=$F104,O$4+6&gt;=$E104),IF($F104-$E104&lt;=2,"◆",IF($H104="Yes","X",LEFT($D104,1))),""))</f>
        <v/>
      </c>
      <c r="P104" s="33">
        <f>IF(OR($E104="",$F104=""),"",IF(AND(P$4&lt;=$F104,P$4+6&gt;=$E104),IF($F104-$E104&lt;=2,"◆",IF($H104="Yes","X",LEFT($D104,1))),""))</f>
        <v/>
      </c>
      <c r="Q104" s="33">
        <f>IF(OR($E104="",$F104=""),"",IF(AND(Q$4&lt;=$F104,Q$4+6&gt;=$E104),IF($F104-$E104&lt;=2,"◆",IF($H104="Yes","X",LEFT($D104,1))),""))</f>
        <v/>
      </c>
      <c r="R104" s="33">
        <f>IF(OR($E104="",$F104=""),"",IF(AND(R$4&lt;=$F104,R$4+6&gt;=$E104),IF($F104-$E104&lt;=2,"◆",IF($H104="Yes","X",LEFT($D104,1))),""))</f>
        <v/>
      </c>
      <c r="S104" s="33">
        <f>IF(OR($E104="",$F104=""),"",IF(AND(S$4&lt;=$F104,S$4+6&gt;=$E104),IF($F104-$E104&lt;=2,"◆",IF($H104="Yes","X",LEFT($D104,1))),""))</f>
        <v/>
      </c>
      <c r="T104" s="33">
        <f>IF(OR($E104="",$F104=""),"",IF(AND(T$4&lt;=$F104,T$4+6&gt;=$E104),IF($F104-$E104&lt;=2,"◆",IF($H104="Yes","X",LEFT($D104,1))),""))</f>
        <v/>
      </c>
      <c r="U104" s="33">
        <f>IF(OR($E104="",$F104=""),"",IF(AND(U$4&lt;=$F104,U$4+6&gt;=$E104),IF($F104-$E104&lt;=2,"◆",IF($H104="Yes","X",LEFT($D104,1))),""))</f>
        <v/>
      </c>
      <c r="V104" s="33">
        <f>IF(OR($E104="",$F104=""),"",IF(AND(V$4&lt;=$F104,V$4+6&gt;=$E104),IF($F104-$E104&lt;=2,"◆",IF($H104="Yes","X",LEFT($D104,1))),""))</f>
        <v/>
      </c>
      <c r="W104" s="33">
        <f>IF(OR($E104="",$F104=""),"",IF(AND(W$4&lt;=$F104,W$4+6&gt;=$E104),IF($F104-$E104&lt;=2,"◆",IF($H104="Yes","X",LEFT($D104,1))),""))</f>
        <v/>
      </c>
      <c r="X104" s="33">
        <f>IF(OR($E104="",$F104=""),"",IF(AND(X$4&lt;=$F104,X$4+6&gt;=$E104),IF($F104-$E104&lt;=2,"◆",IF($H104="Yes","X",LEFT($D104,1))),""))</f>
        <v/>
      </c>
      <c r="Y104" s="33">
        <f>IF(OR($E104="",$F104=""),"",IF(AND(Y$4&lt;=$F104,Y$4+6&gt;=$E104),IF($F104-$E104&lt;=2,"◆",IF($H104="Yes","X",LEFT($D104,1))),""))</f>
        <v/>
      </c>
      <c r="Z104" s="33">
        <f>IF(OR($E104="",$F104=""),"",IF(AND(Z$4&lt;=$F104,Z$4+6&gt;=$E104),IF($F104-$E104&lt;=2,"◆",IF($H104="Yes","X",LEFT($D104,1))),""))</f>
        <v/>
      </c>
      <c r="AA104" s="33">
        <f>IF(OR($E104="",$F104=""),"",IF(AND(AA$4&lt;=$F104,AA$4+6&gt;=$E104),IF($F104-$E104&lt;=2,"◆",IF($H104="Yes","X",LEFT($D104,1))),""))</f>
        <v/>
      </c>
      <c r="AB104" s="33">
        <f>IF(OR($E104="",$F104=""),"",IF(AND(AB$4&lt;=$F104,AB$4+6&gt;=$E104),IF($F104-$E104&lt;=2,"◆",IF($H104="Yes","X",LEFT($D104,1))),""))</f>
        <v/>
      </c>
      <c r="AC104" s="33">
        <f>IF(OR($E104="",$F104=""),"",IF(AND(AC$4&lt;=$F104,AC$4+6&gt;=$E104),IF($F104-$E104&lt;=2,"◆",IF($H104="Yes","X",LEFT($D104,1))),""))</f>
        <v/>
      </c>
      <c r="AD104" s="33">
        <f>IF(OR($E104="",$F104=""),"",IF(AND(AD$4&lt;=$F104,AD$4+6&gt;=$E104),IF($F104-$E104&lt;=2,"◆",IF($H104="Yes","X",LEFT($D104,1))),""))</f>
        <v/>
      </c>
      <c r="AE104" s="33">
        <f>IF(OR($E104="",$F104=""),"",IF(AND(AE$4&lt;=$F104,AE$4+6&gt;=$E104),IF($F104-$E104&lt;=2,"◆",IF($H104="Yes","X",LEFT($D104,1))),""))</f>
        <v/>
      </c>
      <c r="AF104" s="33">
        <f>IF(OR($E104="",$F104=""),"",IF(AND(AF$4&lt;=$F104,AF$4+6&gt;=$E104),IF($F104-$E104&lt;=2,"◆",IF($H104="Yes","X",LEFT($D104,1))),""))</f>
        <v/>
      </c>
      <c r="AG104" s="33">
        <f>IF(OR($E104="",$F104=""),"",IF(AND(AG$4&lt;=$F104,AG$4+6&gt;=$E104),IF($F104-$E104&lt;=2,"◆",IF($H104="Yes","X",LEFT($D104,1))),""))</f>
        <v/>
      </c>
      <c r="AH104" s="33">
        <f>IF(OR($E104="",$F104=""),"",IF(AND(AH$4&lt;=$F104,AH$4+6&gt;=$E104),IF($F104-$E104&lt;=2,"◆",IF($H104="Yes","X",LEFT($D104,1))),""))</f>
        <v/>
      </c>
      <c r="AI104" s="33">
        <f>IF(OR($E104="",$F104=""),"",IF(AND(AI$4&lt;=$F104,AI$4+6&gt;=$E104),IF($F104-$E104&lt;=2,"◆",IF($H104="Yes","X",LEFT($D104,1))),""))</f>
        <v/>
      </c>
      <c r="AJ104" s="33">
        <f>IF(OR($E104="",$F104=""),"",IF(AND(AJ$4&lt;=$F104,AJ$4+6&gt;=$E104),IF($F104-$E104&lt;=2,"◆",IF($H104="Yes","X",LEFT($D104,1))),""))</f>
        <v/>
      </c>
      <c r="AK104" s="33">
        <f>IF(OR($E104="",$F104=""),"",IF(AND(AK$4&lt;=$F104,AK$4+6&gt;=$E104),IF($F104-$E104&lt;=2,"◆",IF($H104="Yes","X",LEFT($D104,1))),""))</f>
        <v/>
      </c>
      <c r="AL104" s="33">
        <f>IF(OR($E104="",$F104=""),"",IF(AND(AL$4&lt;=$F104,AL$4+6&gt;=$E104),IF($F104-$E104&lt;=2,"◆",IF($H104="Yes","X",LEFT($D104,1))),""))</f>
        <v/>
      </c>
      <c r="AM104" s="33">
        <f>IF(OR($E104="",$F104=""),"",IF(AND(AM$4&lt;=$F104,AM$4+6&gt;=$E104),IF($F104-$E104&lt;=2,"◆",IF($H104="Yes","X",LEFT($D104,1))),""))</f>
        <v/>
      </c>
      <c r="AN104" s="33">
        <f>IF(OR($E104="",$F104=""),"",IF(AND(AN$4&lt;=$F104,AN$4+6&gt;=$E104),IF($F104-$E104&lt;=2,"◆",IF($H104="Yes","X",LEFT($D104,1))),""))</f>
        <v/>
      </c>
      <c r="AO104" s="33">
        <f>IF(OR($E104="",$F104=""),"",IF(AND(AO$4&lt;=$F104,AO$4+6&gt;=$E104),IF($F104-$E104&lt;=2,"◆",IF($H104="Yes","X",LEFT($D104,1))),""))</f>
        <v/>
      </c>
      <c r="AP104" s="33">
        <f>IF(OR($E104="",$F104=""),"",IF(AND(AP$4&lt;=$F104,AP$4+6&gt;=$E104),IF($F104-$E104&lt;=2,"◆",IF($H104="Yes","X",LEFT($D104,1))),""))</f>
        <v/>
      </c>
      <c r="AQ104" s="33">
        <f>IF(OR($E104="",$F104=""),"",IF(AND(AQ$4&lt;=$F104,AQ$4+6&gt;=$E104),IF($F104-$E104&lt;=2,"◆",IF($H104="Yes","X",LEFT($D104,1))),""))</f>
        <v/>
      </c>
      <c r="AR104" s="33">
        <f>IF(OR($E104="",$F104=""),"",IF(AND(AR$4&lt;=$F104,AR$4+6&gt;=$E104),IF($F104-$E104&lt;=2,"◆",IF($H104="Yes","X",LEFT($D104,1))),""))</f>
        <v/>
      </c>
      <c r="AS104" s="33">
        <f>IF(OR($E104="",$F104=""),"",IF(AND(AS$4&lt;=$F104,AS$4+6&gt;=$E104),IF($F104-$E104&lt;=2,"◆",IF($H104="Yes","X",LEFT($D104,1))),""))</f>
        <v/>
      </c>
      <c r="AT104" s="33">
        <f>IF(OR($E104="",$F104=""),"",IF(AND(AT$4&lt;=$F104,AT$4+6&gt;=$E104),IF($F104-$E104&lt;=2,"◆",IF($H104="Yes","X",LEFT($D104,1))),""))</f>
        <v/>
      </c>
      <c r="AU104" s="33">
        <f>IF(OR($E104="",$F104=""),"",IF(AND(AU$4&lt;=$F104,AU$4+6&gt;=$E104),IF($F104-$E104&lt;=2,"◆",IF($H104="Yes","X",LEFT($D104,1))),""))</f>
        <v/>
      </c>
      <c r="AV104" s="33">
        <f>IF(OR($E104="",$F104=""),"",IF(AND(AV$4&lt;=$F104,AV$4+6&gt;=$E104),IF($F104-$E104&lt;=2,"◆",IF($H104="Yes","X",LEFT($D104,1))),""))</f>
        <v/>
      </c>
      <c r="AW104" s="33">
        <f>IF(OR($E104="",$F104=""),"",IF(AND(AW$4&lt;=$F104,AW$4+6&gt;=$E104),IF($F104-$E104&lt;=2,"◆",IF($H104="Yes","X",LEFT($D104,1))),""))</f>
        <v/>
      </c>
      <c r="AX104" s="33">
        <f>IF(OR($E104="",$F104=""),"",IF(AND(AX$4&lt;=$F104,AX$4+6&gt;=$E104),IF($F104-$E104&lt;=2,"◆",IF($H104="Yes","X",LEFT($D104,1))),""))</f>
        <v/>
      </c>
      <c r="AY104" s="33">
        <f>IF(OR($E104="",$F104=""),"",IF(AND(AY$4&lt;=$F104,AY$4+6&gt;=$E104),IF($F104-$E104&lt;=2,"◆",IF($H104="Yes","X",LEFT($D104,1))),""))</f>
        <v/>
      </c>
      <c r="AZ104" s="33">
        <f>IF(OR($E104="",$F104=""),"",IF(AND(AZ$4&lt;=$F104,AZ$4+6&gt;=$E104),IF($F104-$E104&lt;=2,"◆",IF($H104="Yes","X",LEFT($D104,1))),""))</f>
        <v/>
      </c>
      <c r="BA104" s="33">
        <f>IF(OR($E104="",$F104=""),"",IF(AND(BA$4&lt;=$F104,BA$4+6&gt;=$E104),IF($F104-$E104&lt;=2,"◆",IF($H104="Yes","X",LEFT($D104,1))),""))</f>
        <v/>
      </c>
      <c r="BB104" s="33">
        <f>IF(OR($E104="",$F104=""),"",IF(AND(BB$4&lt;=$F104,BB$4+6&gt;=$E104),IF($F104-$E104&lt;=2,"◆",IF($H104="Yes","X",LEFT($D104,1))),""))</f>
        <v/>
      </c>
      <c r="BC104" s="33">
        <f>IF(OR($E104="",$F104=""),"",IF(AND(BC$4&lt;=$F104,BC$4+6&gt;=$E104),IF($F104-$E104&lt;=2,"◆",IF($H104="Yes","X",LEFT($D104,1))),""))</f>
        <v/>
      </c>
      <c r="BD104" s="33">
        <f>IF(OR($E104="",$F104=""),"",IF(AND(BD$4&lt;=$F104,BD$4+6&gt;=$E104),IF($F104-$E104&lt;=2,"◆",IF($H104="Yes","X",LEFT($D104,1))),""))</f>
        <v/>
      </c>
      <c r="BE104" s="33">
        <f>IF(OR($E104="",$F104=""),"",IF(AND(BE$4&lt;=$F104,BE$4+6&gt;=$E104),IF($F104-$E104&lt;=2,"◆",IF($H104="Yes","X",LEFT($D104,1))),""))</f>
        <v/>
      </c>
      <c r="BF104" s="33">
        <f>IF(OR($E104="",$F104=""),"",IF(AND(BF$4&lt;=$F104,BF$4+6&gt;=$E104),IF($F104-$E104&lt;=2,"◆",IF($H104="Yes","X",LEFT($D104,1))),""))</f>
        <v/>
      </c>
      <c r="BG104" s="33">
        <f>IF(OR($E104="",$F104=""),"",IF(AND(BG$4&lt;=$F104,BG$4+6&gt;=$E104),IF($F104-$E104&lt;=2,"◆",IF($H104="Yes","X",LEFT($D104,1))),""))</f>
        <v/>
      </c>
      <c r="BH104" s="33">
        <f>IF(OR($E104="",$F104=""),"",IF(AND(BH$4&lt;=$F104,BH$4+6&gt;=$E104),IF($F104-$E104&lt;=2,"◆",IF($H104="Yes","X",LEFT($D104,1))),""))</f>
        <v/>
      </c>
      <c r="BI104" s="33">
        <f>IF(OR($E104="",$F104=""),"",IF(AND(BI$4&lt;=$F104,BI$4+6&gt;=$E104),IF($F104-$E104&lt;=2,"◆",IF($H104="Yes","X",LEFT($D104,1))),""))</f>
        <v/>
      </c>
    </row>
    <row r="105">
      <c r="A105" s="30" t="inlineStr">
        <is>
          <t>T-101</t>
        </is>
      </c>
      <c r="B105" s="30" t="inlineStr">
        <is>
          <t>Journey Builder</t>
        </is>
      </c>
      <c r="C105" s="30" t="inlineStr">
        <is>
          <t>Siva</t>
        </is>
      </c>
      <c r="D105" s="30" t="inlineStr">
        <is>
          <t>Not Started</t>
        </is>
      </c>
      <c r="E105" s="31" t="n">
        <v>46430</v>
      </c>
      <c r="F105" s="31" t="n">
        <v>46462</v>
      </c>
      <c r="G105" s="32" t="n">
        <v>0</v>
      </c>
      <c r="H105" s="30" t="inlineStr">
        <is>
          <t>No</t>
        </is>
      </c>
      <c r="I105" s="33">
        <f>IF(OR($E105="",$F105=""),"",IF(AND(I$4&lt;=$F105,I$4+6&gt;=$E105),IF($F105-$E105&lt;=2,"◆",IF($H105="Yes","X",LEFT($D105,1))),""))</f>
        <v/>
      </c>
      <c r="J105" s="33">
        <f>IF(OR($E105="",$F105=""),"",IF(AND(J$4&lt;=$F105,J$4+6&gt;=$E105),IF($F105-$E105&lt;=2,"◆",IF($H105="Yes","X",LEFT($D105,1))),""))</f>
        <v/>
      </c>
      <c r="K105" s="33">
        <f>IF(OR($E105="",$F105=""),"",IF(AND(K$4&lt;=$F105,K$4+6&gt;=$E105),IF($F105-$E105&lt;=2,"◆",IF($H105="Yes","X",LEFT($D105,1))),""))</f>
        <v/>
      </c>
      <c r="L105" s="33">
        <f>IF(OR($E105="",$F105=""),"",IF(AND(L$4&lt;=$F105,L$4+6&gt;=$E105),IF($F105-$E105&lt;=2,"◆",IF($H105="Yes","X",LEFT($D105,1))),""))</f>
        <v/>
      </c>
      <c r="M105" s="33">
        <f>IF(OR($E105="",$F105=""),"",IF(AND(M$4&lt;=$F105,M$4+6&gt;=$E105),IF($F105-$E105&lt;=2,"◆",IF($H105="Yes","X",LEFT($D105,1))),""))</f>
        <v/>
      </c>
      <c r="N105" s="33">
        <f>IF(OR($E105="",$F105=""),"",IF(AND(N$4&lt;=$F105,N$4+6&gt;=$E105),IF($F105-$E105&lt;=2,"◆",IF($H105="Yes","X",LEFT($D105,1))),""))</f>
        <v/>
      </c>
      <c r="O105" s="33">
        <f>IF(OR($E105="",$F105=""),"",IF(AND(O$4&lt;=$F105,O$4+6&gt;=$E105),IF($F105-$E105&lt;=2,"◆",IF($H105="Yes","X",LEFT($D105,1))),""))</f>
        <v/>
      </c>
      <c r="P105" s="33">
        <f>IF(OR($E105="",$F105=""),"",IF(AND(P$4&lt;=$F105,P$4+6&gt;=$E105),IF($F105-$E105&lt;=2,"◆",IF($H105="Yes","X",LEFT($D105,1))),""))</f>
        <v/>
      </c>
      <c r="Q105" s="33">
        <f>IF(OR($E105="",$F105=""),"",IF(AND(Q$4&lt;=$F105,Q$4+6&gt;=$E105),IF($F105-$E105&lt;=2,"◆",IF($H105="Yes","X",LEFT($D105,1))),""))</f>
        <v/>
      </c>
      <c r="R105" s="33">
        <f>IF(OR($E105="",$F105=""),"",IF(AND(R$4&lt;=$F105,R$4+6&gt;=$E105),IF($F105-$E105&lt;=2,"◆",IF($H105="Yes","X",LEFT($D105,1))),""))</f>
        <v/>
      </c>
      <c r="S105" s="33">
        <f>IF(OR($E105="",$F105=""),"",IF(AND(S$4&lt;=$F105,S$4+6&gt;=$E105),IF($F105-$E105&lt;=2,"◆",IF($H105="Yes","X",LEFT($D105,1))),""))</f>
        <v/>
      </c>
      <c r="T105" s="33">
        <f>IF(OR($E105="",$F105=""),"",IF(AND(T$4&lt;=$F105,T$4+6&gt;=$E105),IF($F105-$E105&lt;=2,"◆",IF($H105="Yes","X",LEFT($D105,1))),""))</f>
        <v/>
      </c>
      <c r="U105" s="33">
        <f>IF(OR($E105="",$F105=""),"",IF(AND(U$4&lt;=$F105,U$4+6&gt;=$E105),IF($F105-$E105&lt;=2,"◆",IF($H105="Yes","X",LEFT($D105,1))),""))</f>
        <v/>
      </c>
      <c r="V105" s="33">
        <f>IF(OR($E105="",$F105=""),"",IF(AND(V$4&lt;=$F105,V$4+6&gt;=$E105),IF($F105-$E105&lt;=2,"◆",IF($H105="Yes","X",LEFT($D105,1))),""))</f>
        <v/>
      </c>
      <c r="W105" s="33">
        <f>IF(OR($E105="",$F105=""),"",IF(AND(W$4&lt;=$F105,W$4+6&gt;=$E105),IF($F105-$E105&lt;=2,"◆",IF($H105="Yes","X",LEFT($D105,1))),""))</f>
        <v/>
      </c>
      <c r="X105" s="33">
        <f>IF(OR($E105="",$F105=""),"",IF(AND(X$4&lt;=$F105,X$4+6&gt;=$E105),IF($F105-$E105&lt;=2,"◆",IF($H105="Yes","X",LEFT($D105,1))),""))</f>
        <v/>
      </c>
      <c r="Y105" s="33">
        <f>IF(OR($E105="",$F105=""),"",IF(AND(Y$4&lt;=$F105,Y$4+6&gt;=$E105),IF($F105-$E105&lt;=2,"◆",IF($H105="Yes","X",LEFT($D105,1))),""))</f>
        <v/>
      </c>
      <c r="Z105" s="33">
        <f>IF(OR($E105="",$F105=""),"",IF(AND(Z$4&lt;=$F105,Z$4+6&gt;=$E105),IF($F105-$E105&lt;=2,"◆",IF($H105="Yes","X",LEFT($D105,1))),""))</f>
        <v/>
      </c>
      <c r="AA105" s="33">
        <f>IF(OR($E105="",$F105=""),"",IF(AND(AA$4&lt;=$F105,AA$4+6&gt;=$E105),IF($F105-$E105&lt;=2,"◆",IF($H105="Yes","X",LEFT($D105,1))),""))</f>
        <v/>
      </c>
      <c r="AB105" s="33">
        <f>IF(OR($E105="",$F105=""),"",IF(AND(AB$4&lt;=$F105,AB$4+6&gt;=$E105),IF($F105-$E105&lt;=2,"◆",IF($H105="Yes","X",LEFT($D105,1))),""))</f>
        <v/>
      </c>
      <c r="AC105" s="33">
        <f>IF(OR($E105="",$F105=""),"",IF(AND(AC$4&lt;=$F105,AC$4+6&gt;=$E105),IF($F105-$E105&lt;=2,"◆",IF($H105="Yes","X",LEFT($D105,1))),""))</f>
        <v/>
      </c>
      <c r="AD105" s="33">
        <f>IF(OR($E105="",$F105=""),"",IF(AND(AD$4&lt;=$F105,AD$4+6&gt;=$E105),IF($F105-$E105&lt;=2,"◆",IF($H105="Yes","X",LEFT($D105,1))),""))</f>
        <v/>
      </c>
      <c r="AE105" s="33">
        <f>IF(OR($E105="",$F105=""),"",IF(AND(AE$4&lt;=$F105,AE$4+6&gt;=$E105),IF($F105-$E105&lt;=2,"◆",IF($H105="Yes","X",LEFT($D105,1))),""))</f>
        <v/>
      </c>
      <c r="AF105" s="33">
        <f>IF(OR($E105="",$F105=""),"",IF(AND(AF$4&lt;=$F105,AF$4+6&gt;=$E105),IF($F105-$E105&lt;=2,"◆",IF($H105="Yes","X",LEFT($D105,1))),""))</f>
        <v/>
      </c>
      <c r="AG105" s="33">
        <f>IF(OR($E105="",$F105=""),"",IF(AND(AG$4&lt;=$F105,AG$4+6&gt;=$E105),IF($F105-$E105&lt;=2,"◆",IF($H105="Yes","X",LEFT($D105,1))),""))</f>
        <v/>
      </c>
      <c r="AH105" s="33">
        <f>IF(OR($E105="",$F105=""),"",IF(AND(AH$4&lt;=$F105,AH$4+6&gt;=$E105),IF($F105-$E105&lt;=2,"◆",IF($H105="Yes","X",LEFT($D105,1))),""))</f>
        <v/>
      </c>
      <c r="AI105" s="33">
        <f>IF(OR($E105="",$F105=""),"",IF(AND(AI$4&lt;=$F105,AI$4+6&gt;=$E105),IF($F105-$E105&lt;=2,"◆",IF($H105="Yes","X",LEFT($D105,1))),""))</f>
        <v/>
      </c>
      <c r="AJ105" s="33">
        <f>IF(OR($E105="",$F105=""),"",IF(AND(AJ$4&lt;=$F105,AJ$4+6&gt;=$E105),IF($F105-$E105&lt;=2,"◆",IF($H105="Yes","X",LEFT($D105,1))),""))</f>
        <v/>
      </c>
      <c r="AK105" s="33">
        <f>IF(OR($E105="",$F105=""),"",IF(AND(AK$4&lt;=$F105,AK$4+6&gt;=$E105),IF($F105-$E105&lt;=2,"◆",IF($H105="Yes","X",LEFT($D105,1))),""))</f>
        <v/>
      </c>
      <c r="AL105" s="33">
        <f>IF(OR($E105="",$F105=""),"",IF(AND(AL$4&lt;=$F105,AL$4+6&gt;=$E105),IF($F105-$E105&lt;=2,"◆",IF($H105="Yes","X",LEFT($D105,1))),""))</f>
        <v/>
      </c>
      <c r="AM105" s="33">
        <f>IF(OR($E105="",$F105=""),"",IF(AND(AM$4&lt;=$F105,AM$4+6&gt;=$E105),IF($F105-$E105&lt;=2,"◆",IF($H105="Yes","X",LEFT($D105,1))),""))</f>
        <v/>
      </c>
      <c r="AN105" s="33">
        <f>IF(OR($E105="",$F105=""),"",IF(AND(AN$4&lt;=$F105,AN$4+6&gt;=$E105),IF($F105-$E105&lt;=2,"◆",IF($H105="Yes","X",LEFT($D105,1))),""))</f>
        <v/>
      </c>
      <c r="AO105" s="33">
        <f>IF(OR($E105="",$F105=""),"",IF(AND(AO$4&lt;=$F105,AO$4+6&gt;=$E105),IF($F105-$E105&lt;=2,"◆",IF($H105="Yes","X",LEFT($D105,1))),""))</f>
        <v/>
      </c>
      <c r="AP105" s="33">
        <f>IF(OR($E105="",$F105=""),"",IF(AND(AP$4&lt;=$F105,AP$4+6&gt;=$E105),IF($F105-$E105&lt;=2,"◆",IF($H105="Yes","X",LEFT($D105,1))),""))</f>
        <v/>
      </c>
      <c r="AQ105" s="33">
        <f>IF(OR($E105="",$F105=""),"",IF(AND(AQ$4&lt;=$F105,AQ$4+6&gt;=$E105),IF($F105-$E105&lt;=2,"◆",IF($H105="Yes","X",LEFT($D105,1))),""))</f>
        <v/>
      </c>
      <c r="AR105" s="33">
        <f>IF(OR($E105="",$F105=""),"",IF(AND(AR$4&lt;=$F105,AR$4+6&gt;=$E105),IF($F105-$E105&lt;=2,"◆",IF($H105="Yes","X",LEFT($D105,1))),""))</f>
        <v/>
      </c>
      <c r="AS105" s="33">
        <f>IF(OR($E105="",$F105=""),"",IF(AND(AS$4&lt;=$F105,AS$4+6&gt;=$E105),IF($F105-$E105&lt;=2,"◆",IF($H105="Yes","X",LEFT($D105,1))),""))</f>
        <v/>
      </c>
      <c r="AT105" s="33">
        <f>IF(OR($E105="",$F105=""),"",IF(AND(AT$4&lt;=$F105,AT$4+6&gt;=$E105),IF($F105-$E105&lt;=2,"◆",IF($H105="Yes","X",LEFT($D105,1))),""))</f>
        <v/>
      </c>
      <c r="AU105" s="33">
        <f>IF(OR($E105="",$F105=""),"",IF(AND(AU$4&lt;=$F105,AU$4+6&gt;=$E105),IF($F105-$E105&lt;=2,"◆",IF($H105="Yes","X",LEFT($D105,1))),""))</f>
        <v/>
      </c>
      <c r="AV105" s="33">
        <f>IF(OR($E105="",$F105=""),"",IF(AND(AV$4&lt;=$F105,AV$4+6&gt;=$E105),IF($F105-$E105&lt;=2,"◆",IF($H105="Yes","X",LEFT($D105,1))),""))</f>
        <v/>
      </c>
      <c r="AW105" s="33">
        <f>IF(OR($E105="",$F105=""),"",IF(AND(AW$4&lt;=$F105,AW$4+6&gt;=$E105),IF($F105-$E105&lt;=2,"◆",IF($H105="Yes","X",LEFT($D105,1))),""))</f>
        <v/>
      </c>
      <c r="AX105" s="33">
        <f>IF(OR($E105="",$F105=""),"",IF(AND(AX$4&lt;=$F105,AX$4+6&gt;=$E105),IF($F105-$E105&lt;=2,"◆",IF($H105="Yes","X",LEFT($D105,1))),""))</f>
        <v/>
      </c>
      <c r="AY105" s="33">
        <f>IF(OR($E105="",$F105=""),"",IF(AND(AY$4&lt;=$F105,AY$4+6&gt;=$E105),IF($F105-$E105&lt;=2,"◆",IF($H105="Yes","X",LEFT($D105,1))),""))</f>
        <v/>
      </c>
      <c r="AZ105" s="33">
        <f>IF(OR($E105="",$F105=""),"",IF(AND(AZ$4&lt;=$F105,AZ$4+6&gt;=$E105),IF($F105-$E105&lt;=2,"◆",IF($H105="Yes","X",LEFT($D105,1))),""))</f>
        <v/>
      </c>
      <c r="BA105" s="33">
        <f>IF(OR($E105="",$F105=""),"",IF(AND(BA$4&lt;=$F105,BA$4+6&gt;=$E105),IF($F105-$E105&lt;=2,"◆",IF($H105="Yes","X",LEFT($D105,1))),""))</f>
        <v/>
      </c>
      <c r="BB105" s="33">
        <f>IF(OR($E105="",$F105=""),"",IF(AND(BB$4&lt;=$F105,BB$4+6&gt;=$E105),IF($F105-$E105&lt;=2,"◆",IF($H105="Yes","X",LEFT($D105,1))),""))</f>
        <v/>
      </c>
      <c r="BC105" s="33">
        <f>IF(OR($E105="",$F105=""),"",IF(AND(BC$4&lt;=$F105,BC$4+6&gt;=$E105),IF($F105-$E105&lt;=2,"◆",IF($H105="Yes","X",LEFT($D105,1))),""))</f>
        <v/>
      </c>
      <c r="BD105" s="33">
        <f>IF(OR($E105="",$F105=""),"",IF(AND(BD$4&lt;=$F105,BD$4+6&gt;=$E105),IF($F105-$E105&lt;=2,"◆",IF($H105="Yes","X",LEFT($D105,1))),""))</f>
        <v/>
      </c>
      <c r="BE105" s="33">
        <f>IF(OR($E105="",$F105=""),"",IF(AND(BE$4&lt;=$F105,BE$4+6&gt;=$E105),IF($F105-$E105&lt;=2,"◆",IF($H105="Yes","X",LEFT($D105,1))),""))</f>
        <v/>
      </c>
      <c r="BF105" s="33">
        <f>IF(OR($E105="",$F105=""),"",IF(AND(BF$4&lt;=$F105,BF$4+6&gt;=$E105),IF($F105-$E105&lt;=2,"◆",IF($H105="Yes","X",LEFT($D105,1))),""))</f>
        <v/>
      </c>
      <c r="BG105" s="33">
        <f>IF(OR($E105="",$F105=""),"",IF(AND(BG$4&lt;=$F105,BG$4+6&gt;=$E105),IF($F105-$E105&lt;=2,"◆",IF($H105="Yes","X",LEFT($D105,1))),""))</f>
        <v/>
      </c>
      <c r="BH105" s="33">
        <f>IF(OR($E105="",$F105=""),"",IF(AND(BH$4&lt;=$F105,BH$4+6&gt;=$E105),IF($F105-$E105&lt;=2,"◆",IF($H105="Yes","X",LEFT($D105,1))),""))</f>
        <v/>
      </c>
      <c r="BI105" s="33">
        <f>IF(OR($E105="",$F105=""),"",IF(AND(BI$4&lt;=$F105,BI$4+6&gt;=$E105),IF($F105-$E105&lt;=2,"◆",IF($H105="Yes","X",LEFT($D105,1))),""))</f>
        <v/>
      </c>
    </row>
    <row r="106">
      <c r="A106" s="30" t="inlineStr">
        <is>
          <t>T-102</t>
        </is>
      </c>
      <c r="B106" s="30" t="inlineStr">
        <is>
          <t>AI-Powered Journey Intelligence Platform</t>
        </is>
      </c>
      <c r="C106" s="30" t="inlineStr">
        <is>
          <t>Siva</t>
        </is>
      </c>
      <c r="D106" s="30" t="inlineStr">
        <is>
          <t>Not Started</t>
        </is>
      </c>
      <c r="E106" s="31" t="n">
        <v>46537</v>
      </c>
      <c r="F106" s="31" t="n">
        <v>46564</v>
      </c>
      <c r="G106" s="32" t="n">
        <v>0</v>
      </c>
      <c r="H106" s="30" t="inlineStr">
        <is>
          <t>No</t>
        </is>
      </c>
      <c r="I106" s="33">
        <f>IF(OR($E106="",$F106=""),"",IF(AND(I$4&lt;=$F106,I$4+6&gt;=$E106),IF($F106-$E106&lt;=2,"◆",IF($H106="Yes","X",LEFT($D106,1))),""))</f>
        <v/>
      </c>
      <c r="J106" s="33">
        <f>IF(OR($E106="",$F106=""),"",IF(AND(J$4&lt;=$F106,J$4+6&gt;=$E106),IF($F106-$E106&lt;=2,"◆",IF($H106="Yes","X",LEFT($D106,1))),""))</f>
        <v/>
      </c>
      <c r="K106" s="33">
        <f>IF(OR($E106="",$F106=""),"",IF(AND(K$4&lt;=$F106,K$4+6&gt;=$E106),IF($F106-$E106&lt;=2,"◆",IF($H106="Yes","X",LEFT($D106,1))),""))</f>
        <v/>
      </c>
      <c r="L106" s="33">
        <f>IF(OR($E106="",$F106=""),"",IF(AND(L$4&lt;=$F106,L$4+6&gt;=$E106),IF($F106-$E106&lt;=2,"◆",IF($H106="Yes","X",LEFT($D106,1))),""))</f>
        <v/>
      </c>
      <c r="M106" s="33">
        <f>IF(OR($E106="",$F106=""),"",IF(AND(M$4&lt;=$F106,M$4+6&gt;=$E106),IF($F106-$E106&lt;=2,"◆",IF($H106="Yes","X",LEFT($D106,1))),""))</f>
        <v/>
      </c>
      <c r="N106" s="33">
        <f>IF(OR($E106="",$F106=""),"",IF(AND(N$4&lt;=$F106,N$4+6&gt;=$E106),IF($F106-$E106&lt;=2,"◆",IF($H106="Yes","X",LEFT($D106,1))),""))</f>
        <v/>
      </c>
      <c r="O106" s="33">
        <f>IF(OR($E106="",$F106=""),"",IF(AND(O$4&lt;=$F106,O$4+6&gt;=$E106),IF($F106-$E106&lt;=2,"◆",IF($H106="Yes","X",LEFT($D106,1))),""))</f>
        <v/>
      </c>
      <c r="P106" s="33">
        <f>IF(OR($E106="",$F106=""),"",IF(AND(P$4&lt;=$F106,P$4+6&gt;=$E106),IF($F106-$E106&lt;=2,"◆",IF($H106="Yes","X",LEFT($D106,1))),""))</f>
        <v/>
      </c>
      <c r="Q106" s="33">
        <f>IF(OR($E106="",$F106=""),"",IF(AND(Q$4&lt;=$F106,Q$4+6&gt;=$E106),IF($F106-$E106&lt;=2,"◆",IF($H106="Yes","X",LEFT($D106,1))),""))</f>
        <v/>
      </c>
      <c r="R106" s="33">
        <f>IF(OR($E106="",$F106=""),"",IF(AND(R$4&lt;=$F106,R$4+6&gt;=$E106),IF($F106-$E106&lt;=2,"◆",IF($H106="Yes","X",LEFT($D106,1))),""))</f>
        <v/>
      </c>
      <c r="S106" s="33">
        <f>IF(OR($E106="",$F106=""),"",IF(AND(S$4&lt;=$F106,S$4+6&gt;=$E106),IF($F106-$E106&lt;=2,"◆",IF($H106="Yes","X",LEFT($D106,1))),""))</f>
        <v/>
      </c>
      <c r="T106" s="33">
        <f>IF(OR($E106="",$F106=""),"",IF(AND(T$4&lt;=$F106,T$4+6&gt;=$E106),IF($F106-$E106&lt;=2,"◆",IF($H106="Yes","X",LEFT($D106,1))),""))</f>
        <v/>
      </c>
      <c r="U106" s="33">
        <f>IF(OR($E106="",$F106=""),"",IF(AND(U$4&lt;=$F106,U$4+6&gt;=$E106),IF($F106-$E106&lt;=2,"◆",IF($H106="Yes","X",LEFT($D106,1))),""))</f>
        <v/>
      </c>
      <c r="V106" s="33">
        <f>IF(OR($E106="",$F106=""),"",IF(AND(V$4&lt;=$F106,V$4+6&gt;=$E106),IF($F106-$E106&lt;=2,"◆",IF($H106="Yes","X",LEFT($D106,1))),""))</f>
        <v/>
      </c>
      <c r="W106" s="33">
        <f>IF(OR($E106="",$F106=""),"",IF(AND(W$4&lt;=$F106,W$4+6&gt;=$E106),IF($F106-$E106&lt;=2,"◆",IF($H106="Yes","X",LEFT($D106,1))),""))</f>
        <v/>
      </c>
      <c r="X106" s="33">
        <f>IF(OR($E106="",$F106=""),"",IF(AND(X$4&lt;=$F106,X$4+6&gt;=$E106),IF($F106-$E106&lt;=2,"◆",IF($H106="Yes","X",LEFT($D106,1))),""))</f>
        <v/>
      </c>
      <c r="Y106" s="33">
        <f>IF(OR($E106="",$F106=""),"",IF(AND(Y$4&lt;=$F106,Y$4+6&gt;=$E106),IF($F106-$E106&lt;=2,"◆",IF($H106="Yes","X",LEFT($D106,1))),""))</f>
        <v/>
      </c>
      <c r="Z106" s="33">
        <f>IF(OR($E106="",$F106=""),"",IF(AND(Z$4&lt;=$F106,Z$4+6&gt;=$E106),IF($F106-$E106&lt;=2,"◆",IF($H106="Yes","X",LEFT($D106,1))),""))</f>
        <v/>
      </c>
      <c r="AA106" s="33">
        <f>IF(OR($E106="",$F106=""),"",IF(AND(AA$4&lt;=$F106,AA$4+6&gt;=$E106),IF($F106-$E106&lt;=2,"◆",IF($H106="Yes","X",LEFT($D106,1))),""))</f>
        <v/>
      </c>
      <c r="AB106" s="33">
        <f>IF(OR($E106="",$F106=""),"",IF(AND(AB$4&lt;=$F106,AB$4+6&gt;=$E106),IF($F106-$E106&lt;=2,"◆",IF($H106="Yes","X",LEFT($D106,1))),""))</f>
        <v/>
      </c>
      <c r="AC106" s="33">
        <f>IF(OR($E106="",$F106=""),"",IF(AND(AC$4&lt;=$F106,AC$4+6&gt;=$E106),IF($F106-$E106&lt;=2,"◆",IF($H106="Yes","X",LEFT($D106,1))),""))</f>
        <v/>
      </c>
      <c r="AD106" s="33">
        <f>IF(OR($E106="",$F106=""),"",IF(AND(AD$4&lt;=$F106,AD$4+6&gt;=$E106),IF($F106-$E106&lt;=2,"◆",IF($H106="Yes","X",LEFT($D106,1))),""))</f>
        <v/>
      </c>
      <c r="AE106" s="33">
        <f>IF(OR($E106="",$F106=""),"",IF(AND(AE$4&lt;=$F106,AE$4+6&gt;=$E106),IF($F106-$E106&lt;=2,"◆",IF($H106="Yes","X",LEFT($D106,1))),""))</f>
        <v/>
      </c>
      <c r="AF106" s="33">
        <f>IF(OR($E106="",$F106=""),"",IF(AND(AF$4&lt;=$F106,AF$4+6&gt;=$E106),IF($F106-$E106&lt;=2,"◆",IF($H106="Yes","X",LEFT($D106,1))),""))</f>
        <v/>
      </c>
      <c r="AG106" s="33">
        <f>IF(OR($E106="",$F106=""),"",IF(AND(AG$4&lt;=$F106,AG$4+6&gt;=$E106),IF($F106-$E106&lt;=2,"◆",IF($H106="Yes","X",LEFT($D106,1))),""))</f>
        <v/>
      </c>
      <c r="AH106" s="33">
        <f>IF(OR($E106="",$F106=""),"",IF(AND(AH$4&lt;=$F106,AH$4+6&gt;=$E106),IF($F106-$E106&lt;=2,"◆",IF($H106="Yes","X",LEFT($D106,1))),""))</f>
        <v/>
      </c>
      <c r="AI106" s="33">
        <f>IF(OR($E106="",$F106=""),"",IF(AND(AI$4&lt;=$F106,AI$4+6&gt;=$E106),IF($F106-$E106&lt;=2,"◆",IF($H106="Yes","X",LEFT($D106,1))),""))</f>
        <v/>
      </c>
      <c r="AJ106" s="33">
        <f>IF(OR($E106="",$F106=""),"",IF(AND(AJ$4&lt;=$F106,AJ$4+6&gt;=$E106),IF($F106-$E106&lt;=2,"◆",IF($H106="Yes","X",LEFT($D106,1))),""))</f>
        <v/>
      </c>
      <c r="AK106" s="33">
        <f>IF(OR($E106="",$F106=""),"",IF(AND(AK$4&lt;=$F106,AK$4+6&gt;=$E106),IF($F106-$E106&lt;=2,"◆",IF($H106="Yes","X",LEFT($D106,1))),""))</f>
        <v/>
      </c>
      <c r="AL106" s="33">
        <f>IF(OR($E106="",$F106=""),"",IF(AND(AL$4&lt;=$F106,AL$4+6&gt;=$E106),IF($F106-$E106&lt;=2,"◆",IF($H106="Yes","X",LEFT($D106,1))),""))</f>
        <v/>
      </c>
      <c r="AM106" s="33">
        <f>IF(OR($E106="",$F106=""),"",IF(AND(AM$4&lt;=$F106,AM$4+6&gt;=$E106),IF($F106-$E106&lt;=2,"◆",IF($H106="Yes","X",LEFT($D106,1))),""))</f>
        <v/>
      </c>
      <c r="AN106" s="33">
        <f>IF(OR($E106="",$F106=""),"",IF(AND(AN$4&lt;=$F106,AN$4+6&gt;=$E106),IF($F106-$E106&lt;=2,"◆",IF($H106="Yes","X",LEFT($D106,1))),""))</f>
        <v/>
      </c>
      <c r="AO106" s="33">
        <f>IF(OR($E106="",$F106=""),"",IF(AND(AO$4&lt;=$F106,AO$4+6&gt;=$E106),IF($F106-$E106&lt;=2,"◆",IF($H106="Yes","X",LEFT($D106,1))),""))</f>
        <v/>
      </c>
      <c r="AP106" s="33">
        <f>IF(OR($E106="",$F106=""),"",IF(AND(AP$4&lt;=$F106,AP$4+6&gt;=$E106),IF($F106-$E106&lt;=2,"◆",IF($H106="Yes","X",LEFT($D106,1))),""))</f>
        <v/>
      </c>
      <c r="AQ106" s="33">
        <f>IF(OR($E106="",$F106=""),"",IF(AND(AQ$4&lt;=$F106,AQ$4+6&gt;=$E106),IF($F106-$E106&lt;=2,"◆",IF($H106="Yes","X",LEFT($D106,1))),""))</f>
        <v/>
      </c>
      <c r="AR106" s="33">
        <f>IF(OR($E106="",$F106=""),"",IF(AND(AR$4&lt;=$F106,AR$4+6&gt;=$E106),IF($F106-$E106&lt;=2,"◆",IF($H106="Yes","X",LEFT($D106,1))),""))</f>
        <v/>
      </c>
      <c r="AS106" s="33">
        <f>IF(OR($E106="",$F106=""),"",IF(AND(AS$4&lt;=$F106,AS$4+6&gt;=$E106),IF($F106-$E106&lt;=2,"◆",IF($H106="Yes","X",LEFT($D106,1))),""))</f>
        <v/>
      </c>
      <c r="AT106" s="33">
        <f>IF(OR($E106="",$F106=""),"",IF(AND(AT$4&lt;=$F106,AT$4+6&gt;=$E106),IF($F106-$E106&lt;=2,"◆",IF($H106="Yes","X",LEFT($D106,1))),""))</f>
        <v/>
      </c>
      <c r="AU106" s="33">
        <f>IF(OR($E106="",$F106=""),"",IF(AND(AU$4&lt;=$F106,AU$4+6&gt;=$E106),IF($F106-$E106&lt;=2,"◆",IF($H106="Yes","X",LEFT($D106,1))),""))</f>
        <v/>
      </c>
      <c r="AV106" s="33">
        <f>IF(OR($E106="",$F106=""),"",IF(AND(AV$4&lt;=$F106,AV$4+6&gt;=$E106),IF($F106-$E106&lt;=2,"◆",IF($H106="Yes","X",LEFT($D106,1))),""))</f>
        <v/>
      </c>
      <c r="AW106" s="33">
        <f>IF(OR($E106="",$F106=""),"",IF(AND(AW$4&lt;=$F106,AW$4+6&gt;=$E106),IF($F106-$E106&lt;=2,"◆",IF($H106="Yes","X",LEFT($D106,1))),""))</f>
        <v/>
      </c>
      <c r="AX106" s="33">
        <f>IF(OR($E106="",$F106=""),"",IF(AND(AX$4&lt;=$F106,AX$4+6&gt;=$E106),IF($F106-$E106&lt;=2,"◆",IF($H106="Yes","X",LEFT($D106,1))),""))</f>
        <v/>
      </c>
      <c r="AY106" s="33">
        <f>IF(OR($E106="",$F106=""),"",IF(AND(AY$4&lt;=$F106,AY$4+6&gt;=$E106),IF($F106-$E106&lt;=2,"◆",IF($H106="Yes","X",LEFT($D106,1))),""))</f>
        <v/>
      </c>
      <c r="AZ106" s="33">
        <f>IF(OR($E106="",$F106=""),"",IF(AND(AZ$4&lt;=$F106,AZ$4+6&gt;=$E106),IF($F106-$E106&lt;=2,"◆",IF($H106="Yes","X",LEFT($D106,1))),""))</f>
        <v/>
      </c>
      <c r="BA106" s="33">
        <f>IF(OR($E106="",$F106=""),"",IF(AND(BA$4&lt;=$F106,BA$4+6&gt;=$E106),IF($F106-$E106&lt;=2,"◆",IF($H106="Yes","X",LEFT($D106,1))),""))</f>
        <v/>
      </c>
      <c r="BB106" s="33">
        <f>IF(OR($E106="",$F106=""),"",IF(AND(BB$4&lt;=$F106,BB$4+6&gt;=$E106),IF($F106-$E106&lt;=2,"◆",IF($H106="Yes","X",LEFT($D106,1))),""))</f>
        <v/>
      </c>
      <c r="BC106" s="33">
        <f>IF(OR($E106="",$F106=""),"",IF(AND(BC$4&lt;=$F106,BC$4+6&gt;=$E106),IF($F106-$E106&lt;=2,"◆",IF($H106="Yes","X",LEFT($D106,1))),""))</f>
        <v/>
      </c>
      <c r="BD106" s="33">
        <f>IF(OR($E106="",$F106=""),"",IF(AND(BD$4&lt;=$F106,BD$4+6&gt;=$E106),IF($F106-$E106&lt;=2,"◆",IF($H106="Yes","X",LEFT($D106,1))),""))</f>
        <v/>
      </c>
      <c r="BE106" s="33">
        <f>IF(OR($E106="",$F106=""),"",IF(AND(BE$4&lt;=$F106,BE$4+6&gt;=$E106),IF($F106-$E106&lt;=2,"◆",IF($H106="Yes","X",LEFT($D106,1))),""))</f>
        <v/>
      </c>
      <c r="BF106" s="33">
        <f>IF(OR($E106="",$F106=""),"",IF(AND(BF$4&lt;=$F106,BF$4+6&gt;=$E106),IF($F106-$E106&lt;=2,"◆",IF($H106="Yes","X",LEFT($D106,1))),""))</f>
        <v/>
      </c>
      <c r="BG106" s="33">
        <f>IF(OR($E106="",$F106=""),"",IF(AND(BG$4&lt;=$F106,BG$4+6&gt;=$E106),IF($F106-$E106&lt;=2,"◆",IF($H106="Yes","X",LEFT($D106,1))),""))</f>
        <v/>
      </c>
      <c r="BH106" s="33">
        <f>IF(OR($E106="",$F106=""),"",IF(AND(BH$4&lt;=$F106,BH$4+6&gt;=$E106),IF($F106-$E106&lt;=2,"◆",IF($H106="Yes","X",LEFT($D106,1))),""))</f>
        <v/>
      </c>
      <c r="BI106" s="33">
        <f>IF(OR($E106="",$F106=""),"",IF(AND(BI$4&lt;=$F106,BI$4+6&gt;=$E106),IF($F106-$E106&lt;=2,"◆",IF($H106="Yes","X",LEFT($D106,1))),""))</f>
        <v/>
      </c>
    </row>
    <row r="107">
      <c r="A107" s="30" t="inlineStr">
        <is>
          <t>T-103</t>
        </is>
      </c>
      <c r="B107" s="30" t="inlineStr">
        <is>
          <t>Data &amp; Intelligence Foundation Modernization</t>
        </is>
      </c>
      <c r="C107" s="30" t="inlineStr">
        <is>
          <t>Siva</t>
        </is>
      </c>
      <c r="D107" s="30" t="inlineStr">
        <is>
          <t>Not Started</t>
        </is>
      </c>
      <c r="E107" s="31" t="n">
        <v>46545</v>
      </c>
      <c r="F107" s="31" t="n">
        <v>46565</v>
      </c>
      <c r="G107" s="32" t="n">
        <v>0</v>
      </c>
      <c r="H107" s="30" t="inlineStr">
        <is>
          <t>No</t>
        </is>
      </c>
      <c r="I107" s="33">
        <f>IF(OR($E107="",$F107=""),"",IF(AND(I$4&lt;=$F107,I$4+6&gt;=$E107),IF($F107-$E107&lt;=2,"◆",IF($H107="Yes","X",LEFT($D107,1))),""))</f>
        <v/>
      </c>
      <c r="J107" s="33">
        <f>IF(OR($E107="",$F107=""),"",IF(AND(J$4&lt;=$F107,J$4+6&gt;=$E107),IF($F107-$E107&lt;=2,"◆",IF($H107="Yes","X",LEFT($D107,1))),""))</f>
        <v/>
      </c>
      <c r="K107" s="33">
        <f>IF(OR($E107="",$F107=""),"",IF(AND(K$4&lt;=$F107,K$4+6&gt;=$E107),IF($F107-$E107&lt;=2,"◆",IF($H107="Yes","X",LEFT($D107,1))),""))</f>
        <v/>
      </c>
      <c r="L107" s="33">
        <f>IF(OR($E107="",$F107=""),"",IF(AND(L$4&lt;=$F107,L$4+6&gt;=$E107),IF($F107-$E107&lt;=2,"◆",IF($H107="Yes","X",LEFT($D107,1))),""))</f>
        <v/>
      </c>
      <c r="M107" s="33">
        <f>IF(OR($E107="",$F107=""),"",IF(AND(M$4&lt;=$F107,M$4+6&gt;=$E107),IF($F107-$E107&lt;=2,"◆",IF($H107="Yes","X",LEFT($D107,1))),""))</f>
        <v/>
      </c>
      <c r="N107" s="33">
        <f>IF(OR($E107="",$F107=""),"",IF(AND(N$4&lt;=$F107,N$4+6&gt;=$E107),IF($F107-$E107&lt;=2,"◆",IF($H107="Yes","X",LEFT($D107,1))),""))</f>
        <v/>
      </c>
      <c r="O107" s="33">
        <f>IF(OR($E107="",$F107=""),"",IF(AND(O$4&lt;=$F107,O$4+6&gt;=$E107),IF($F107-$E107&lt;=2,"◆",IF($H107="Yes","X",LEFT($D107,1))),""))</f>
        <v/>
      </c>
      <c r="P107" s="33">
        <f>IF(OR($E107="",$F107=""),"",IF(AND(P$4&lt;=$F107,P$4+6&gt;=$E107),IF($F107-$E107&lt;=2,"◆",IF($H107="Yes","X",LEFT($D107,1))),""))</f>
        <v/>
      </c>
      <c r="Q107" s="33">
        <f>IF(OR($E107="",$F107=""),"",IF(AND(Q$4&lt;=$F107,Q$4+6&gt;=$E107),IF($F107-$E107&lt;=2,"◆",IF($H107="Yes","X",LEFT($D107,1))),""))</f>
        <v/>
      </c>
      <c r="R107" s="33">
        <f>IF(OR($E107="",$F107=""),"",IF(AND(R$4&lt;=$F107,R$4+6&gt;=$E107),IF($F107-$E107&lt;=2,"◆",IF($H107="Yes","X",LEFT($D107,1))),""))</f>
        <v/>
      </c>
      <c r="S107" s="33">
        <f>IF(OR($E107="",$F107=""),"",IF(AND(S$4&lt;=$F107,S$4+6&gt;=$E107),IF($F107-$E107&lt;=2,"◆",IF($H107="Yes","X",LEFT($D107,1))),""))</f>
        <v/>
      </c>
      <c r="T107" s="33">
        <f>IF(OR($E107="",$F107=""),"",IF(AND(T$4&lt;=$F107,T$4+6&gt;=$E107),IF($F107-$E107&lt;=2,"◆",IF($H107="Yes","X",LEFT($D107,1))),""))</f>
        <v/>
      </c>
      <c r="U107" s="33">
        <f>IF(OR($E107="",$F107=""),"",IF(AND(U$4&lt;=$F107,U$4+6&gt;=$E107),IF($F107-$E107&lt;=2,"◆",IF($H107="Yes","X",LEFT($D107,1))),""))</f>
        <v/>
      </c>
      <c r="V107" s="33">
        <f>IF(OR($E107="",$F107=""),"",IF(AND(V$4&lt;=$F107,V$4+6&gt;=$E107),IF($F107-$E107&lt;=2,"◆",IF($H107="Yes","X",LEFT($D107,1))),""))</f>
        <v/>
      </c>
      <c r="W107" s="33">
        <f>IF(OR($E107="",$F107=""),"",IF(AND(W$4&lt;=$F107,W$4+6&gt;=$E107),IF($F107-$E107&lt;=2,"◆",IF($H107="Yes","X",LEFT($D107,1))),""))</f>
        <v/>
      </c>
      <c r="X107" s="33">
        <f>IF(OR($E107="",$F107=""),"",IF(AND(X$4&lt;=$F107,X$4+6&gt;=$E107),IF($F107-$E107&lt;=2,"◆",IF($H107="Yes","X",LEFT($D107,1))),""))</f>
        <v/>
      </c>
      <c r="Y107" s="33">
        <f>IF(OR($E107="",$F107=""),"",IF(AND(Y$4&lt;=$F107,Y$4+6&gt;=$E107),IF($F107-$E107&lt;=2,"◆",IF($H107="Yes","X",LEFT($D107,1))),""))</f>
        <v/>
      </c>
      <c r="Z107" s="33">
        <f>IF(OR($E107="",$F107=""),"",IF(AND(Z$4&lt;=$F107,Z$4+6&gt;=$E107),IF($F107-$E107&lt;=2,"◆",IF($H107="Yes","X",LEFT($D107,1))),""))</f>
        <v/>
      </c>
      <c r="AA107" s="33">
        <f>IF(OR($E107="",$F107=""),"",IF(AND(AA$4&lt;=$F107,AA$4+6&gt;=$E107),IF($F107-$E107&lt;=2,"◆",IF($H107="Yes","X",LEFT($D107,1))),""))</f>
        <v/>
      </c>
      <c r="AB107" s="33">
        <f>IF(OR($E107="",$F107=""),"",IF(AND(AB$4&lt;=$F107,AB$4+6&gt;=$E107),IF($F107-$E107&lt;=2,"◆",IF($H107="Yes","X",LEFT($D107,1))),""))</f>
        <v/>
      </c>
      <c r="AC107" s="33">
        <f>IF(OR($E107="",$F107=""),"",IF(AND(AC$4&lt;=$F107,AC$4+6&gt;=$E107),IF($F107-$E107&lt;=2,"◆",IF($H107="Yes","X",LEFT($D107,1))),""))</f>
        <v/>
      </c>
      <c r="AD107" s="33">
        <f>IF(OR($E107="",$F107=""),"",IF(AND(AD$4&lt;=$F107,AD$4+6&gt;=$E107),IF($F107-$E107&lt;=2,"◆",IF($H107="Yes","X",LEFT($D107,1))),""))</f>
        <v/>
      </c>
      <c r="AE107" s="33">
        <f>IF(OR($E107="",$F107=""),"",IF(AND(AE$4&lt;=$F107,AE$4+6&gt;=$E107),IF($F107-$E107&lt;=2,"◆",IF($H107="Yes","X",LEFT($D107,1))),""))</f>
        <v/>
      </c>
      <c r="AF107" s="33">
        <f>IF(OR($E107="",$F107=""),"",IF(AND(AF$4&lt;=$F107,AF$4+6&gt;=$E107),IF($F107-$E107&lt;=2,"◆",IF($H107="Yes","X",LEFT($D107,1))),""))</f>
        <v/>
      </c>
      <c r="AG107" s="33">
        <f>IF(OR($E107="",$F107=""),"",IF(AND(AG$4&lt;=$F107,AG$4+6&gt;=$E107),IF($F107-$E107&lt;=2,"◆",IF($H107="Yes","X",LEFT($D107,1))),""))</f>
        <v/>
      </c>
      <c r="AH107" s="33">
        <f>IF(OR($E107="",$F107=""),"",IF(AND(AH$4&lt;=$F107,AH$4+6&gt;=$E107),IF($F107-$E107&lt;=2,"◆",IF($H107="Yes","X",LEFT($D107,1))),""))</f>
        <v/>
      </c>
      <c r="AI107" s="33">
        <f>IF(OR($E107="",$F107=""),"",IF(AND(AI$4&lt;=$F107,AI$4+6&gt;=$E107),IF($F107-$E107&lt;=2,"◆",IF($H107="Yes","X",LEFT($D107,1))),""))</f>
        <v/>
      </c>
      <c r="AJ107" s="33">
        <f>IF(OR($E107="",$F107=""),"",IF(AND(AJ$4&lt;=$F107,AJ$4+6&gt;=$E107),IF($F107-$E107&lt;=2,"◆",IF($H107="Yes","X",LEFT($D107,1))),""))</f>
        <v/>
      </c>
      <c r="AK107" s="33">
        <f>IF(OR($E107="",$F107=""),"",IF(AND(AK$4&lt;=$F107,AK$4+6&gt;=$E107),IF($F107-$E107&lt;=2,"◆",IF($H107="Yes","X",LEFT($D107,1))),""))</f>
        <v/>
      </c>
      <c r="AL107" s="33">
        <f>IF(OR($E107="",$F107=""),"",IF(AND(AL$4&lt;=$F107,AL$4+6&gt;=$E107),IF($F107-$E107&lt;=2,"◆",IF($H107="Yes","X",LEFT($D107,1))),""))</f>
        <v/>
      </c>
      <c r="AM107" s="33">
        <f>IF(OR($E107="",$F107=""),"",IF(AND(AM$4&lt;=$F107,AM$4+6&gt;=$E107),IF($F107-$E107&lt;=2,"◆",IF($H107="Yes","X",LEFT($D107,1))),""))</f>
        <v/>
      </c>
      <c r="AN107" s="33">
        <f>IF(OR($E107="",$F107=""),"",IF(AND(AN$4&lt;=$F107,AN$4+6&gt;=$E107),IF($F107-$E107&lt;=2,"◆",IF($H107="Yes","X",LEFT($D107,1))),""))</f>
        <v/>
      </c>
      <c r="AO107" s="33">
        <f>IF(OR($E107="",$F107=""),"",IF(AND(AO$4&lt;=$F107,AO$4+6&gt;=$E107),IF($F107-$E107&lt;=2,"◆",IF($H107="Yes","X",LEFT($D107,1))),""))</f>
        <v/>
      </c>
      <c r="AP107" s="33">
        <f>IF(OR($E107="",$F107=""),"",IF(AND(AP$4&lt;=$F107,AP$4+6&gt;=$E107),IF($F107-$E107&lt;=2,"◆",IF($H107="Yes","X",LEFT($D107,1))),""))</f>
        <v/>
      </c>
      <c r="AQ107" s="33">
        <f>IF(OR($E107="",$F107=""),"",IF(AND(AQ$4&lt;=$F107,AQ$4+6&gt;=$E107),IF($F107-$E107&lt;=2,"◆",IF($H107="Yes","X",LEFT($D107,1))),""))</f>
        <v/>
      </c>
      <c r="AR107" s="33">
        <f>IF(OR($E107="",$F107=""),"",IF(AND(AR$4&lt;=$F107,AR$4+6&gt;=$E107),IF($F107-$E107&lt;=2,"◆",IF($H107="Yes","X",LEFT($D107,1))),""))</f>
        <v/>
      </c>
      <c r="AS107" s="33">
        <f>IF(OR($E107="",$F107=""),"",IF(AND(AS$4&lt;=$F107,AS$4+6&gt;=$E107),IF($F107-$E107&lt;=2,"◆",IF($H107="Yes","X",LEFT($D107,1))),""))</f>
        <v/>
      </c>
      <c r="AT107" s="33">
        <f>IF(OR($E107="",$F107=""),"",IF(AND(AT$4&lt;=$F107,AT$4+6&gt;=$E107),IF($F107-$E107&lt;=2,"◆",IF($H107="Yes","X",LEFT($D107,1))),""))</f>
        <v/>
      </c>
      <c r="AU107" s="33">
        <f>IF(OR($E107="",$F107=""),"",IF(AND(AU$4&lt;=$F107,AU$4+6&gt;=$E107),IF($F107-$E107&lt;=2,"◆",IF($H107="Yes","X",LEFT($D107,1))),""))</f>
        <v/>
      </c>
      <c r="AV107" s="33">
        <f>IF(OR($E107="",$F107=""),"",IF(AND(AV$4&lt;=$F107,AV$4+6&gt;=$E107),IF($F107-$E107&lt;=2,"◆",IF($H107="Yes","X",LEFT($D107,1))),""))</f>
        <v/>
      </c>
      <c r="AW107" s="33">
        <f>IF(OR($E107="",$F107=""),"",IF(AND(AW$4&lt;=$F107,AW$4+6&gt;=$E107),IF($F107-$E107&lt;=2,"◆",IF($H107="Yes","X",LEFT($D107,1))),""))</f>
        <v/>
      </c>
      <c r="AX107" s="33">
        <f>IF(OR($E107="",$F107=""),"",IF(AND(AX$4&lt;=$F107,AX$4+6&gt;=$E107),IF($F107-$E107&lt;=2,"◆",IF($H107="Yes","X",LEFT($D107,1))),""))</f>
        <v/>
      </c>
      <c r="AY107" s="33">
        <f>IF(OR($E107="",$F107=""),"",IF(AND(AY$4&lt;=$F107,AY$4+6&gt;=$E107),IF($F107-$E107&lt;=2,"◆",IF($H107="Yes","X",LEFT($D107,1))),""))</f>
        <v/>
      </c>
      <c r="AZ107" s="33">
        <f>IF(OR($E107="",$F107=""),"",IF(AND(AZ$4&lt;=$F107,AZ$4+6&gt;=$E107),IF($F107-$E107&lt;=2,"◆",IF($H107="Yes","X",LEFT($D107,1))),""))</f>
        <v/>
      </c>
      <c r="BA107" s="33">
        <f>IF(OR($E107="",$F107=""),"",IF(AND(BA$4&lt;=$F107,BA$4+6&gt;=$E107),IF($F107-$E107&lt;=2,"◆",IF($H107="Yes","X",LEFT($D107,1))),""))</f>
        <v/>
      </c>
      <c r="BB107" s="33">
        <f>IF(OR($E107="",$F107=""),"",IF(AND(BB$4&lt;=$F107,BB$4+6&gt;=$E107),IF($F107-$E107&lt;=2,"◆",IF($H107="Yes","X",LEFT($D107,1))),""))</f>
        <v/>
      </c>
      <c r="BC107" s="33">
        <f>IF(OR($E107="",$F107=""),"",IF(AND(BC$4&lt;=$F107,BC$4+6&gt;=$E107),IF($F107-$E107&lt;=2,"◆",IF($H107="Yes","X",LEFT($D107,1))),""))</f>
        <v/>
      </c>
      <c r="BD107" s="33">
        <f>IF(OR($E107="",$F107=""),"",IF(AND(BD$4&lt;=$F107,BD$4+6&gt;=$E107),IF($F107-$E107&lt;=2,"◆",IF($H107="Yes","X",LEFT($D107,1))),""))</f>
        <v/>
      </c>
      <c r="BE107" s="33">
        <f>IF(OR($E107="",$F107=""),"",IF(AND(BE$4&lt;=$F107,BE$4+6&gt;=$E107),IF($F107-$E107&lt;=2,"◆",IF($H107="Yes","X",LEFT($D107,1))),""))</f>
        <v/>
      </c>
      <c r="BF107" s="33">
        <f>IF(OR($E107="",$F107=""),"",IF(AND(BF$4&lt;=$F107,BF$4+6&gt;=$E107),IF($F107-$E107&lt;=2,"◆",IF($H107="Yes","X",LEFT($D107,1))),""))</f>
        <v/>
      </c>
      <c r="BG107" s="33">
        <f>IF(OR($E107="",$F107=""),"",IF(AND(BG$4&lt;=$F107,BG$4+6&gt;=$E107),IF($F107-$E107&lt;=2,"◆",IF($H107="Yes","X",LEFT($D107,1))),""))</f>
        <v/>
      </c>
      <c r="BH107" s="33">
        <f>IF(OR($E107="",$F107=""),"",IF(AND(BH$4&lt;=$F107,BH$4+6&gt;=$E107),IF($F107-$E107&lt;=2,"◆",IF($H107="Yes","X",LEFT($D107,1))),""))</f>
        <v/>
      </c>
      <c r="BI107" s="33">
        <f>IF(OR($E107="",$F107=""),"",IF(AND(BI$4&lt;=$F107,BI$4+6&gt;=$E107),IF($F107-$E107&lt;=2,"◆",IF($H107="Yes","X",LEFT($D107,1))),""))</f>
        <v/>
      </c>
    </row>
    <row r="108">
      <c r="A108" s="30" t="inlineStr">
        <is>
          <t>T-104</t>
        </is>
      </c>
      <c r="B108" s="30" t="inlineStr">
        <is>
          <t>Promotion Optimization &amp; Decision Intelligence</t>
        </is>
      </c>
      <c r="C108" s="30" t="inlineStr">
        <is>
          <t>Siva</t>
        </is>
      </c>
      <c r="D108" s="30" t="inlineStr">
        <is>
          <t>Not Started</t>
        </is>
      </c>
      <c r="E108" s="31" t="n">
        <v>46531</v>
      </c>
      <c r="F108" s="31" t="n">
        <v>46558</v>
      </c>
      <c r="G108" s="32" t="n">
        <v>0</v>
      </c>
      <c r="H108" s="30" t="inlineStr">
        <is>
          <t>No</t>
        </is>
      </c>
      <c r="I108" s="33">
        <f>IF(OR($E108="",$F108=""),"",IF(AND(I$4&lt;=$F108,I$4+6&gt;=$E108),IF($F108-$E108&lt;=2,"◆",IF($H108="Yes","X",LEFT($D108,1))),""))</f>
        <v/>
      </c>
      <c r="J108" s="33">
        <f>IF(OR($E108="",$F108=""),"",IF(AND(J$4&lt;=$F108,J$4+6&gt;=$E108),IF($F108-$E108&lt;=2,"◆",IF($H108="Yes","X",LEFT($D108,1))),""))</f>
        <v/>
      </c>
      <c r="K108" s="33">
        <f>IF(OR($E108="",$F108=""),"",IF(AND(K$4&lt;=$F108,K$4+6&gt;=$E108),IF($F108-$E108&lt;=2,"◆",IF($H108="Yes","X",LEFT($D108,1))),""))</f>
        <v/>
      </c>
      <c r="L108" s="33">
        <f>IF(OR($E108="",$F108=""),"",IF(AND(L$4&lt;=$F108,L$4+6&gt;=$E108),IF($F108-$E108&lt;=2,"◆",IF($H108="Yes","X",LEFT($D108,1))),""))</f>
        <v/>
      </c>
      <c r="M108" s="33">
        <f>IF(OR($E108="",$F108=""),"",IF(AND(M$4&lt;=$F108,M$4+6&gt;=$E108),IF($F108-$E108&lt;=2,"◆",IF($H108="Yes","X",LEFT($D108,1))),""))</f>
        <v/>
      </c>
      <c r="N108" s="33">
        <f>IF(OR($E108="",$F108=""),"",IF(AND(N$4&lt;=$F108,N$4+6&gt;=$E108),IF($F108-$E108&lt;=2,"◆",IF($H108="Yes","X",LEFT($D108,1))),""))</f>
        <v/>
      </c>
      <c r="O108" s="33">
        <f>IF(OR($E108="",$F108=""),"",IF(AND(O$4&lt;=$F108,O$4+6&gt;=$E108),IF($F108-$E108&lt;=2,"◆",IF($H108="Yes","X",LEFT($D108,1))),""))</f>
        <v/>
      </c>
      <c r="P108" s="33">
        <f>IF(OR($E108="",$F108=""),"",IF(AND(P$4&lt;=$F108,P$4+6&gt;=$E108),IF($F108-$E108&lt;=2,"◆",IF($H108="Yes","X",LEFT($D108,1))),""))</f>
        <v/>
      </c>
      <c r="Q108" s="33">
        <f>IF(OR($E108="",$F108=""),"",IF(AND(Q$4&lt;=$F108,Q$4+6&gt;=$E108),IF($F108-$E108&lt;=2,"◆",IF($H108="Yes","X",LEFT($D108,1))),""))</f>
        <v/>
      </c>
      <c r="R108" s="33">
        <f>IF(OR($E108="",$F108=""),"",IF(AND(R$4&lt;=$F108,R$4+6&gt;=$E108),IF($F108-$E108&lt;=2,"◆",IF($H108="Yes","X",LEFT($D108,1))),""))</f>
        <v/>
      </c>
      <c r="S108" s="33">
        <f>IF(OR($E108="",$F108=""),"",IF(AND(S$4&lt;=$F108,S$4+6&gt;=$E108),IF($F108-$E108&lt;=2,"◆",IF($H108="Yes","X",LEFT($D108,1))),""))</f>
        <v/>
      </c>
      <c r="T108" s="33">
        <f>IF(OR($E108="",$F108=""),"",IF(AND(T$4&lt;=$F108,T$4+6&gt;=$E108),IF($F108-$E108&lt;=2,"◆",IF($H108="Yes","X",LEFT($D108,1))),""))</f>
        <v/>
      </c>
      <c r="U108" s="33">
        <f>IF(OR($E108="",$F108=""),"",IF(AND(U$4&lt;=$F108,U$4+6&gt;=$E108),IF($F108-$E108&lt;=2,"◆",IF($H108="Yes","X",LEFT($D108,1))),""))</f>
        <v/>
      </c>
      <c r="V108" s="33">
        <f>IF(OR($E108="",$F108=""),"",IF(AND(V$4&lt;=$F108,V$4+6&gt;=$E108),IF($F108-$E108&lt;=2,"◆",IF($H108="Yes","X",LEFT($D108,1))),""))</f>
        <v/>
      </c>
      <c r="W108" s="33">
        <f>IF(OR($E108="",$F108=""),"",IF(AND(W$4&lt;=$F108,W$4+6&gt;=$E108),IF($F108-$E108&lt;=2,"◆",IF($H108="Yes","X",LEFT($D108,1))),""))</f>
        <v/>
      </c>
      <c r="X108" s="33">
        <f>IF(OR($E108="",$F108=""),"",IF(AND(X$4&lt;=$F108,X$4+6&gt;=$E108),IF($F108-$E108&lt;=2,"◆",IF($H108="Yes","X",LEFT($D108,1))),""))</f>
        <v/>
      </c>
      <c r="Y108" s="33">
        <f>IF(OR($E108="",$F108=""),"",IF(AND(Y$4&lt;=$F108,Y$4+6&gt;=$E108),IF($F108-$E108&lt;=2,"◆",IF($H108="Yes","X",LEFT($D108,1))),""))</f>
        <v/>
      </c>
      <c r="Z108" s="33">
        <f>IF(OR($E108="",$F108=""),"",IF(AND(Z$4&lt;=$F108,Z$4+6&gt;=$E108),IF($F108-$E108&lt;=2,"◆",IF($H108="Yes","X",LEFT($D108,1))),""))</f>
        <v/>
      </c>
      <c r="AA108" s="33">
        <f>IF(OR($E108="",$F108=""),"",IF(AND(AA$4&lt;=$F108,AA$4+6&gt;=$E108),IF($F108-$E108&lt;=2,"◆",IF($H108="Yes","X",LEFT($D108,1))),""))</f>
        <v/>
      </c>
      <c r="AB108" s="33">
        <f>IF(OR($E108="",$F108=""),"",IF(AND(AB$4&lt;=$F108,AB$4+6&gt;=$E108),IF($F108-$E108&lt;=2,"◆",IF($H108="Yes","X",LEFT($D108,1))),""))</f>
        <v/>
      </c>
      <c r="AC108" s="33">
        <f>IF(OR($E108="",$F108=""),"",IF(AND(AC$4&lt;=$F108,AC$4+6&gt;=$E108),IF($F108-$E108&lt;=2,"◆",IF($H108="Yes","X",LEFT($D108,1))),""))</f>
        <v/>
      </c>
      <c r="AD108" s="33">
        <f>IF(OR($E108="",$F108=""),"",IF(AND(AD$4&lt;=$F108,AD$4+6&gt;=$E108),IF($F108-$E108&lt;=2,"◆",IF($H108="Yes","X",LEFT($D108,1))),""))</f>
        <v/>
      </c>
      <c r="AE108" s="33">
        <f>IF(OR($E108="",$F108=""),"",IF(AND(AE$4&lt;=$F108,AE$4+6&gt;=$E108),IF($F108-$E108&lt;=2,"◆",IF($H108="Yes","X",LEFT($D108,1))),""))</f>
        <v/>
      </c>
      <c r="AF108" s="33">
        <f>IF(OR($E108="",$F108=""),"",IF(AND(AF$4&lt;=$F108,AF$4+6&gt;=$E108),IF($F108-$E108&lt;=2,"◆",IF($H108="Yes","X",LEFT($D108,1))),""))</f>
        <v/>
      </c>
      <c r="AG108" s="33">
        <f>IF(OR($E108="",$F108=""),"",IF(AND(AG$4&lt;=$F108,AG$4+6&gt;=$E108),IF($F108-$E108&lt;=2,"◆",IF($H108="Yes","X",LEFT($D108,1))),""))</f>
        <v/>
      </c>
      <c r="AH108" s="33">
        <f>IF(OR($E108="",$F108=""),"",IF(AND(AH$4&lt;=$F108,AH$4+6&gt;=$E108),IF($F108-$E108&lt;=2,"◆",IF($H108="Yes","X",LEFT($D108,1))),""))</f>
        <v/>
      </c>
      <c r="AI108" s="33">
        <f>IF(OR($E108="",$F108=""),"",IF(AND(AI$4&lt;=$F108,AI$4+6&gt;=$E108),IF($F108-$E108&lt;=2,"◆",IF($H108="Yes","X",LEFT($D108,1))),""))</f>
        <v/>
      </c>
      <c r="AJ108" s="33">
        <f>IF(OR($E108="",$F108=""),"",IF(AND(AJ$4&lt;=$F108,AJ$4+6&gt;=$E108),IF($F108-$E108&lt;=2,"◆",IF($H108="Yes","X",LEFT($D108,1))),""))</f>
        <v/>
      </c>
      <c r="AK108" s="33">
        <f>IF(OR($E108="",$F108=""),"",IF(AND(AK$4&lt;=$F108,AK$4+6&gt;=$E108),IF($F108-$E108&lt;=2,"◆",IF($H108="Yes","X",LEFT($D108,1))),""))</f>
        <v/>
      </c>
      <c r="AL108" s="33">
        <f>IF(OR($E108="",$F108=""),"",IF(AND(AL$4&lt;=$F108,AL$4+6&gt;=$E108),IF($F108-$E108&lt;=2,"◆",IF($H108="Yes","X",LEFT($D108,1))),""))</f>
        <v/>
      </c>
      <c r="AM108" s="33">
        <f>IF(OR($E108="",$F108=""),"",IF(AND(AM$4&lt;=$F108,AM$4+6&gt;=$E108),IF($F108-$E108&lt;=2,"◆",IF($H108="Yes","X",LEFT($D108,1))),""))</f>
        <v/>
      </c>
      <c r="AN108" s="33">
        <f>IF(OR($E108="",$F108=""),"",IF(AND(AN$4&lt;=$F108,AN$4+6&gt;=$E108),IF($F108-$E108&lt;=2,"◆",IF($H108="Yes","X",LEFT($D108,1))),""))</f>
        <v/>
      </c>
      <c r="AO108" s="33">
        <f>IF(OR($E108="",$F108=""),"",IF(AND(AO$4&lt;=$F108,AO$4+6&gt;=$E108),IF($F108-$E108&lt;=2,"◆",IF($H108="Yes","X",LEFT($D108,1))),""))</f>
        <v/>
      </c>
      <c r="AP108" s="33">
        <f>IF(OR($E108="",$F108=""),"",IF(AND(AP$4&lt;=$F108,AP$4+6&gt;=$E108),IF($F108-$E108&lt;=2,"◆",IF($H108="Yes","X",LEFT($D108,1))),""))</f>
        <v/>
      </c>
      <c r="AQ108" s="33">
        <f>IF(OR($E108="",$F108=""),"",IF(AND(AQ$4&lt;=$F108,AQ$4+6&gt;=$E108),IF($F108-$E108&lt;=2,"◆",IF($H108="Yes","X",LEFT($D108,1))),""))</f>
        <v/>
      </c>
      <c r="AR108" s="33">
        <f>IF(OR($E108="",$F108=""),"",IF(AND(AR$4&lt;=$F108,AR$4+6&gt;=$E108),IF($F108-$E108&lt;=2,"◆",IF($H108="Yes","X",LEFT($D108,1))),""))</f>
        <v/>
      </c>
      <c r="AS108" s="33">
        <f>IF(OR($E108="",$F108=""),"",IF(AND(AS$4&lt;=$F108,AS$4+6&gt;=$E108),IF($F108-$E108&lt;=2,"◆",IF($H108="Yes","X",LEFT($D108,1))),""))</f>
        <v/>
      </c>
      <c r="AT108" s="33">
        <f>IF(OR($E108="",$F108=""),"",IF(AND(AT$4&lt;=$F108,AT$4+6&gt;=$E108),IF($F108-$E108&lt;=2,"◆",IF($H108="Yes","X",LEFT($D108,1))),""))</f>
        <v/>
      </c>
      <c r="AU108" s="33">
        <f>IF(OR($E108="",$F108=""),"",IF(AND(AU$4&lt;=$F108,AU$4+6&gt;=$E108),IF($F108-$E108&lt;=2,"◆",IF($H108="Yes","X",LEFT($D108,1))),""))</f>
        <v/>
      </c>
      <c r="AV108" s="33">
        <f>IF(OR($E108="",$F108=""),"",IF(AND(AV$4&lt;=$F108,AV$4+6&gt;=$E108),IF($F108-$E108&lt;=2,"◆",IF($H108="Yes","X",LEFT($D108,1))),""))</f>
        <v/>
      </c>
      <c r="AW108" s="33">
        <f>IF(OR($E108="",$F108=""),"",IF(AND(AW$4&lt;=$F108,AW$4+6&gt;=$E108),IF($F108-$E108&lt;=2,"◆",IF($H108="Yes","X",LEFT($D108,1))),""))</f>
        <v/>
      </c>
      <c r="AX108" s="33">
        <f>IF(OR($E108="",$F108=""),"",IF(AND(AX$4&lt;=$F108,AX$4+6&gt;=$E108),IF($F108-$E108&lt;=2,"◆",IF($H108="Yes","X",LEFT($D108,1))),""))</f>
        <v/>
      </c>
      <c r="AY108" s="33">
        <f>IF(OR($E108="",$F108=""),"",IF(AND(AY$4&lt;=$F108,AY$4+6&gt;=$E108),IF($F108-$E108&lt;=2,"◆",IF($H108="Yes","X",LEFT($D108,1))),""))</f>
        <v/>
      </c>
      <c r="AZ108" s="33">
        <f>IF(OR($E108="",$F108=""),"",IF(AND(AZ$4&lt;=$F108,AZ$4+6&gt;=$E108),IF($F108-$E108&lt;=2,"◆",IF($H108="Yes","X",LEFT($D108,1))),""))</f>
        <v/>
      </c>
      <c r="BA108" s="33">
        <f>IF(OR($E108="",$F108=""),"",IF(AND(BA$4&lt;=$F108,BA$4+6&gt;=$E108),IF($F108-$E108&lt;=2,"◆",IF($H108="Yes","X",LEFT($D108,1))),""))</f>
        <v/>
      </c>
      <c r="BB108" s="33">
        <f>IF(OR($E108="",$F108=""),"",IF(AND(BB$4&lt;=$F108,BB$4+6&gt;=$E108),IF($F108-$E108&lt;=2,"◆",IF($H108="Yes","X",LEFT($D108,1))),""))</f>
        <v/>
      </c>
      <c r="BC108" s="33">
        <f>IF(OR($E108="",$F108=""),"",IF(AND(BC$4&lt;=$F108,BC$4+6&gt;=$E108),IF($F108-$E108&lt;=2,"◆",IF($H108="Yes","X",LEFT($D108,1))),""))</f>
        <v/>
      </c>
      <c r="BD108" s="33">
        <f>IF(OR($E108="",$F108=""),"",IF(AND(BD$4&lt;=$F108,BD$4+6&gt;=$E108),IF($F108-$E108&lt;=2,"◆",IF($H108="Yes","X",LEFT($D108,1))),""))</f>
        <v/>
      </c>
      <c r="BE108" s="33">
        <f>IF(OR($E108="",$F108=""),"",IF(AND(BE$4&lt;=$F108,BE$4+6&gt;=$E108),IF($F108-$E108&lt;=2,"◆",IF($H108="Yes","X",LEFT($D108,1))),""))</f>
        <v/>
      </c>
      <c r="BF108" s="33">
        <f>IF(OR($E108="",$F108=""),"",IF(AND(BF$4&lt;=$F108,BF$4+6&gt;=$E108),IF($F108-$E108&lt;=2,"◆",IF($H108="Yes","X",LEFT($D108,1))),""))</f>
        <v/>
      </c>
      <c r="BG108" s="33">
        <f>IF(OR($E108="",$F108=""),"",IF(AND(BG$4&lt;=$F108,BG$4+6&gt;=$E108),IF($F108-$E108&lt;=2,"◆",IF($H108="Yes","X",LEFT($D108,1))),""))</f>
        <v/>
      </c>
      <c r="BH108" s="33">
        <f>IF(OR($E108="",$F108=""),"",IF(AND(BH$4&lt;=$F108,BH$4+6&gt;=$E108),IF($F108-$E108&lt;=2,"◆",IF($H108="Yes","X",LEFT($D108,1))),""))</f>
        <v/>
      </c>
      <c r="BI108" s="33">
        <f>IF(OR($E108="",$F108=""),"",IF(AND(BI$4&lt;=$F108,BI$4+6&gt;=$E108),IF($F108-$E108&lt;=2,"◆",IF($H108="Yes","X",LEFT($D108,1))),""))</f>
        <v/>
      </c>
    </row>
    <row r="109">
      <c r="A109" s="30" t="inlineStr">
        <is>
          <t>T-105</t>
        </is>
      </c>
      <c r="B109" s="30" t="inlineStr">
        <is>
          <t>Partner Intelligence &amp; Fraud Analytics Suite</t>
        </is>
      </c>
      <c r="C109" s="30" t="inlineStr">
        <is>
          <t>Siva</t>
        </is>
      </c>
      <c r="D109" s="30" t="inlineStr">
        <is>
          <t>Not Started</t>
        </is>
      </c>
      <c r="E109" s="31" t="n">
        <v>46486</v>
      </c>
      <c r="F109" s="31" t="n">
        <v>46506</v>
      </c>
      <c r="G109" s="32" t="n">
        <v>0</v>
      </c>
      <c r="H109" s="30" t="inlineStr">
        <is>
          <t>No</t>
        </is>
      </c>
      <c r="I109" s="33">
        <f>IF(OR($E109="",$F109=""),"",IF(AND(I$4&lt;=$F109,I$4+6&gt;=$E109),IF($F109-$E109&lt;=2,"◆",IF($H109="Yes","X",LEFT($D109,1))),""))</f>
        <v/>
      </c>
      <c r="J109" s="33">
        <f>IF(OR($E109="",$F109=""),"",IF(AND(J$4&lt;=$F109,J$4+6&gt;=$E109),IF($F109-$E109&lt;=2,"◆",IF($H109="Yes","X",LEFT($D109,1))),""))</f>
        <v/>
      </c>
      <c r="K109" s="33">
        <f>IF(OR($E109="",$F109=""),"",IF(AND(K$4&lt;=$F109,K$4+6&gt;=$E109),IF($F109-$E109&lt;=2,"◆",IF($H109="Yes","X",LEFT($D109,1))),""))</f>
        <v/>
      </c>
      <c r="L109" s="33">
        <f>IF(OR($E109="",$F109=""),"",IF(AND(L$4&lt;=$F109,L$4+6&gt;=$E109),IF($F109-$E109&lt;=2,"◆",IF($H109="Yes","X",LEFT($D109,1))),""))</f>
        <v/>
      </c>
      <c r="M109" s="33">
        <f>IF(OR($E109="",$F109=""),"",IF(AND(M$4&lt;=$F109,M$4+6&gt;=$E109),IF($F109-$E109&lt;=2,"◆",IF($H109="Yes","X",LEFT($D109,1))),""))</f>
        <v/>
      </c>
      <c r="N109" s="33">
        <f>IF(OR($E109="",$F109=""),"",IF(AND(N$4&lt;=$F109,N$4+6&gt;=$E109),IF($F109-$E109&lt;=2,"◆",IF($H109="Yes","X",LEFT($D109,1))),""))</f>
        <v/>
      </c>
      <c r="O109" s="33">
        <f>IF(OR($E109="",$F109=""),"",IF(AND(O$4&lt;=$F109,O$4+6&gt;=$E109),IF($F109-$E109&lt;=2,"◆",IF($H109="Yes","X",LEFT($D109,1))),""))</f>
        <v/>
      </c>
      <c r="P109" s="33">
        <f>IF(OR($E109="",$F109=""),"",IF(AND(P$4&lt;=$F109,P$4+6&gt;=$E109),IF($F109-$E109&lt;=2,"◆",IF($H109="Yes","X",LEFT($D109,1))),""))</f>
        <v/>
      </c>
      <c r="Q109" s="33">
        <f>IF(OR($E109="",$F109=""),"",IF(AND(Q$4&lt;=$F109,Q$4+6&gt;=$E109),IF($F109-$E109&lt;=2,"◆",IF($H109="Yes","X",LEFT($D109,1))),""))</f>
        <v/>
      </c>
      <c r="R109" s="33">
        <f>IF(OR($E109="",$F109=""),"",IF(AND(R$4&lt;=$F109,R$4+6&gt;=$E109),IF($F109-$E109&lt;=2,"◆",IF($H109="Yes","X",LEFT($D109,1))),""))</f>
        <v/>
      </c>
      <c r="S109" s="33">
        <f>IF(OR($E109="",$F109=""),"",IF(AND(S$4&lt;=$F109,S$4+6&gt;=$E109),IF($F109-$E109&lt;=2,"◆",IF($H109="Yes","X",LEFT($D109,1))),""))</f>
        <v/>
      </c>
      <c r="T109" s="33">
        <f>IF(OR($E109="",$F109=""),"",IF(AND(T$4&lt;=$F109,T$4+6&gt;=$E109),IF($F109-$E109&lt;=2,"◆",IF($H109="Yes","X",LEFT($D109,1))),""))</f>
        <v/>
      </c>
      <c r="U109" s="33">
        <f>IF(OR($E109="",$F109=""),"",IF(AND(U$4&lt;=$F109,U$4+6&gt;=$E109),IF($F109-$E109&lt;=2,"◆",IF($H109="Yes","X",LEFT($D109,1))),""))</f>
        <v/>
      </c>
      <c r="V109" s="33">
        <f>IF(OR($E109="",$F109=""),"",IF(AND(V$4&lt;=$F109,V$4+6&gt;=$E109),IF($F109-$E109&lt;=2,"◆",IF($H109="Yes","X",LEFT($D109,1))),""))</f>
        <v/>
      </c>
      <c r="W109" s="33">
        <f>IF(OR($E109="",$F109=""),"",IF(AND(W$4&lt;=$F109,W$4+6&gt;=$E109),IF($F109-$E109&lt;=2,"◆",IF($H109="Yes","X",LEFT($D109,1))),""))</f>
        <v/>
      </c>
      <c r="X109" s="33">
        <f>IF(OR($E109="",$F109=""),"",IF(AND(X$4&lt;=$F109,X$4+6&gt;=$E109),IF($F109-$E109&lt;=2,"◆",IF($H109="Yes","X",LEFT($D109,1))),""))</f>
        <v/>
      </c>
      <c r="Y109" s="33">
        <f>IF(OR($E109="",$F109=""),"",IF(AND(Y$4&lt;=$F109,Y$4+6&gt;=$E109),IF($F109-$E109&lt;=2,"◆",IF($H109="Yes","X",LEFT($D109,1))),""))</f>
        <v/>
      </c>
      <c r="Z109" s="33">
        <f>IF(OR($E109="",$F109=""),"",IF(AND(Z$4&lt;=$F109,Z$4+6&gt;=$E109),IF($F109-$E109&lt;=2,"◆",IF($H109="Yes","X",LEFT($D109,1))),""))</f>
        <v/>
      </c>
      <c r="AA109" s="33">
        <f>IF(OR($E109="",$F109=""),"",IF(AND(AA$4&lt;=$F109,AA$4+6&gt;=$E109),IF($F109-$E109&lt;=2,"◆",IF($H109="Yes","X",LEFT($D109,1))),""))</f>
        <v/>
      </c>
      <c r="AB109" s="33">
        <f>IF(OR($E109="",$F109=""),"",IF(AND(AB$4&lt;=$F109,AB$4+6&gt;=$E109),IF($F109-$E109&lt;=2,"◆",IF($H109="Yes","X",LEFT($D109,1))),""))</f>
        <v/>
      </c>
      <c r="AC109" s="33">
        <f>IF(OR($E109="",$F109=""),"",IF(AND(AC$4&lt;=$F109,AC$4+6&gt;=$E109),IF($F109-$E109&lt;=2,"◆",IF($H109="Yes","X",LEFT($D109,1))),""))</f>
        <v/>
      </c>
      <c r="AD109" s="33">
        <f>IF(OR($E109="",$F109=""),"",IF(AND(AD$4&lt;=$F109,AD$4+6&gt;=$E109),IF($F109-$E109&lt;=2,"◆",IF($H109="Yes","X",LEFT($D109,1))),""))</f>
        <v/>
      </c>
      <c r="AE109" s="33">
        <f>IF(OR($E109="",$F109=""),"",IF(AND(AE$4&lt;=$F109,AE$4+6&gt;=$E109),IF($F109-$E109&lt;=2,"◆",IF($H109="Yes","X",LEFT($D109,1))),""))</f>
        <v/>
      </c>
      <c r="AF109" s="33">
        <f>IF(OR($E109="",$F109=""),"",IF(AND(AF$4&lt;=$F109,AF$4+6&gt;=$E109),IF($F109-$E109&lt;=2,"◆",IF($H109="Yes","X",LEFT($D109,1))),""))</f>
        <v/>
      </c>
      <c r="AG109" s="33">
        <f>IF(OR($E109="",$F109=""),"",IF(AND(AG$4&lt;=$F109,AG$4+6&gt;=$E109),IF($F109-$E109&lt;=2,"◆",IF($H109="Yes","X",LEFT($D109,1))),""))</f>
        <v/>
      </c>
      <c r="AH109" s="33">
        <f>IF(OR($E109="",$F109=""),"",IF(AND(AH$4&lt;=$F109,AH$4+6&gt;=$E109),IF($F109-$E109&lt;=2,"◆",IF($H109="Yes","X",LEFT($D109,1))),""))</f>
        <v/>
      </c>
      <c r="AI109" s="33">
        <f>IF(OR($E109="",$F109=""),"",IF(AND(AI$4&lt;=$F109,AI$4+6&gt;=$E109),IF($F109-$E109&lt;=2,"◆",IF($H109="Yes","X",LEFT($D109,1))),""))</f>
        <v/>
      </c>
      <c r="AJ109" s="33">
        <f>IF(OR($E109="",$F109=""),"",IF(AND(AJ$4&lt;=$F109,AJ$4+6&gt;=$E109),IF($F109-$E109&lt;=2,"◆",IF($H109="Yes","X",LEFT($D109,1))),""))</f>
        <v/>
      </c>
      <c r="AK109" s="33">
        <f>IF(OR($E109="",$F109=""),"",IF(AND(AK$4&lt;=$F109,AK$4+6&gt;=$E109),IF($F109-$E109&lt;=2,"◆",IF($H109="Yes","X",LEFT($D109,1))),""))</f>
        <v/>
      </c>
      <c r="AL109" s="33">
        <f>IF(OR($E109="",$F109=""),"",IF(AND(AL$4&lt;=$F109,AL$4+6&gt;=$E109),IF($F109-$E109&lt;=2,"◆",IF($H109="Yes","X",LEFT($D109,1))),""))</f>
        <v/>
      </c>
      <c r="AM109" s="33">
        <f>IF(OR($E109="",$F109=""),"",IF(AND(AM$4&lt;=$F109,AM$4+6&gt;=$E109),IF($F109-$E109&lt;=2,"◆",IF($H109="Yes","X",LEFT($D109,1))),""))</f>
        <v/>
      </c>
      <c r="AN109" s="33">
        <f>IF(OR($E109="",$F109=""),"",IF(AND(AN$4&lt;=$F109,AN$4+6&gt;=$E109),IF($F109-$E109&lt;=2,"◆",IF($H109="Yes","X",LEFT($D109,1))),""))</f>
        <v/>
      </c>
      <c r="AO109" s="33">
        <f>IF(OR($E109="",$F109=""),"",IF(AND(AO$4&lt;=$F109,AO$4+6&gt;=$E109),IF($F109-$E109&lt;=2,"◆",IF($H109="Yes","X",LEFT($D109,1))),""))</f>
        <v/>
      </c>
      <c r="AP109" s="33">
        <f>IF(OR($E109="",$F109=""),"",IF(AND(AP$4&lt;=$F109,AP$4+6&gt;=$E109),IF($F109-$E109&lt;=2,"◆",IF($H109="Yes","X",LEFT($D109,1))),""))</f>
        <v/>
      </c>
      <c r="AQ109" s="33">
        <f>IF(OR($E109="",$F109=""),"",IF(AND(AQ$4&lt;=$F109,AQ$4+6&gt;=$E109),IF($F109-$E109&lt;=2,"◆",IF($H109="Yes","X",LEFT($D109,1))),""))</f>
        <v/>
      </c>
      <c r="AR109" s="33">
        <f>IF(OR($E109="",$F109=""),"",IF(AND(AR$4&lt;=$F109,AR$4+6&gt;=$E109),IF($F109-$E109&lt;=2,"◆",IF($H109="Yes","X",LEFT($D109,1))),""))</f>
        <v/>
      </c>
      <c r="AS109" s="33">
        <f>IF(OR($E109="",$F109=""),"",IF(AND(AS$4&lt;=$F109,AS$4+6&gt;=$E109),IF($F109-$E109&lt;=2,"◆",IF($H109="Yes","X",LEFT($D109,1))),""))</f>
        <v/>
      </c>
      <c r="AT109" s="33">
        <f>IF(OR($E109="",$F109=""),"",IF(AND(AT$4&lt;=$F109,AT$4+6&gt;=$E109),IF($F109-$E109&lt;=2,"◆",IF($H109="Yes","X",LEFT($D109,1))),""))</f>
        <v/>
      </c>
      <c r="AU109" s="33">
        <f>IF(OR($E109="",$F109=""),"",IF(AND(AU$4&lt;=$F109,AU$4+6&gt;=$E109),IF($F109-$E109&lt;=2,"◆",IF($H109="Yes","X",LEFT($D109,1))),""))</f>
        <v/>
      </c>
      <c r="AV109" s="33">
        <f>IF(OR($E109="",$F109=""),"",IF(AND(AV$4&lt;=$F109,AV$4+6&gt;=$E109),IF($F109-$E109&lt;=2,"◆",IF($H109="Yes","X",LEFT($D109,1))),""))</f>
        <v/>
      </c>
      <c r="AW109" s="33">
        <f>IF(OR($E109="",$F109=""),"",IF(AND(AW$4&lt;=$F109,AW$4+6&gt;=$E109),IF($F109-$E109&lt;=2,"◆",IF($H109="Yes","X",LEFT($D109,1))),""))</f>
        <v/>
      </c>
      <c r="AX109" s="33">
        <f>IF(OR($E109="",$F109=""),"",IF(AND(AX$4&lt;=$F109,AX$4+6&gt;=$E109),IF($F109-$E109&lt;=2,"◆",IF($H109="Yes","X",LEFT($D109,1))),""))</f>
        <v/>
      </c>
      <c r="AY109" s="33">
        <f>IF(OR($E109="",$F109=""),"",IF(AND(AY$4&lt;=$F109,AY$4+6&gt;=$E109),IF($F109-$E109&lt;=2,"◆",IF($H109="Yes","X",LEFT($D109,1))),""))</f>
        <v/>
      </c>
      <c r="AZ109" s="33">
        <f>IF(OR($E109="",$F109=""),"",IF(AND(AZ$4&lt;=$F109,AZ$4+6&gt;=$E109),IF($F109-$E109&lt;=2,"◆",IF($H109="Yes","X",LEFT($D109,1))),""))</f>
        <v/>
      </c>
      <c r="BA109" s="33">
        <f>IF(OR($E109="",$F109=""),"",IF(AND(BA$4&lt;=$F109,BA$4+6&gt;=$E109),IF($F109-$E109&lt;=2,"◆",IF($H109="Yes","X",LEFT($D109,1))),""))</f>
        <v/>
      </c>
      <c r="BB109" s="33">
        <f>IF(OR($E109="",$F109=""),"",IF(AND(BB$4&lt;=$F109,BB$4+6&gt;=$E109),IF($F109-$E109&lt;=2,"◆",IF($H109="Yes","X",LEFT($D109,1))),""))</f>
        <v/>
      </c>
      <c r="BC109" s="33">
        <f>IF(OR($E109="",$F109=""),"",IF(AND(BC$4&lt;=$F109,BC$4+6&gt;=$E109),IF($F109-$E109&lt;=2,"◆",IF($H109="Yes","X",LEFT($D109,1))),""))</f>
        <v/>
      </c>
      <c r="BD109" s="33">
        <f>IF(OR($E109="",$F109=""),"",IF(AND(BD$4&lt;=$F109,BD$4+6&gt;=$E109),IF($F109-$E109&lt;=2,"◆",IF($H109="Yes","X",LEFT($D109,1))),""))</f>
        <v/>
      </c>
      <c r="BE109" s="33">
        <f>IF(OR($E109="",$F109=""),"",IF(AND(BE$4&lt;=$F109,BE$4+6&gt;=$E109),IF($F109-$E109&lt;=2,"◆",IF($H109="Yes","X",LEFT($D109,1))),""))</f>
        <v/>
      </c>
      <c r="BF109" s="33">
        <f>IF(OR($E109="",$F109=""),"",IF(AND(BF$4&lt;=$F109,BF$4+6&gt;=$E109),IF($F109-$E109&lt;=2,"◆",IF($H109="Yes","X",LEFT($D109,1))),""))</f>
        <v/>
      </c>
      <c r="BG109" s="33">
        <f>IF(OR($E109="",$F109=""),"",IF(AND(BG$4&lt;=$F109,BG$4+6&gt;=$E109),IF($F109-$E109&lt;=2,"◆",IF($H109="Yes","X",LEFT($D109,1))),""))</f>
        <v/>
      </c>
      <c r="BH109" s="33">
        <f>IF(OR($E109="",$F109=""),"",IF(AND(BH$4&lt;=$F109,BH$4+6&gt;=$E109),IF($F109-$E109&lt;=2,"◆",IF($H109="Yes","X",LEFT($D109,1))),""))</f>
        <v/>
      </c>
      <c r="BI109" s="33">
        <f>IF(OR($E109="",$F109=""),"",IF(AND(BI$4&lt;=$F109,BI$4+6&gt;=$E109),IF($F109-$E109&lt;=2,"◆",IF($H109="Yes","X",LEFT($D109,1))),""))</f>
        <v/>
      </c>
    </row>
    <row r="110">
      <c r="A110" s="30" t="inlineStr">
        <is>
          <t>T-106</t>
        </is>
      </c>
      <c r="B110" s="30" t="inlineStr">
        <is>
          <t>Update Tuskr Connector and Remove duplicate</t>
        </is>
      </c>
      <c r="C110" s="30" t="inlineStr">
        <is>
          <t>Kadarkarai</t>
        </is>
      </c>
      <c r="D110" s="30" t="inlineStr">
        <is>
          <t>At Risk</t>
        </is>
      </c>
      <c r="E110" s="31" t="n">
        <v>46267</v>
      </c>
      <c r="F110" s="31" t="n">
        <v>46271</v>
      </c>
      <c r="G110" s="32" t="n">
        <v>0.16</v>
      </c>
      <c r="H110" s="30" t="inlineStr">
        <is>
          <t>Yes</t>
        </is>
      </c>
      <c r="I110" s="33">
        <f>IF(OR($E110="",$F110=""),"",IF(AND(I$4&lt;=$F110,I$4+6&gt;=$E110),IF($F110-$E110&lt;=2,"◆",IF($H110="Yes","X",LEFT($D110,1))),""))</f>
        <v/>
      </c>
      <c r="J110" s="33">
        <f>IF(OR($E110="",$F110=""),"",IF(AND(J$4&lt;=$F110,J$4+6&gt;=$E110),IF($F110-$E110&lt;=2,"◆",IF($H110="Yes","X",LEFT($D110,1))),""))</f>
        <v/>
      </c>
      <c r="K110" s="33">
        <f>IF(OR($E110="",$F110=""),"",IF(AND(K$4&lt;=$F110,K$4+6&gt;=$E110),IF($F110-$E110&lt;=2,"◆",IF($H110="Yes","X",LEFT($D110,1))),""))</f>
        <v/>
      </c>
      <c r="L110" s="33">
        <f>IF(OR($E110="",$F110=""),"",IF(AND(L$4&lt;=$F110,L$4+6&gt;=$E110),IF($F110-$E110&lt;=2,"◆",IF($H110="Yes","X",LEFT($D110,1))),""))</f>
        <v/>
      </c>
      <c r="M110" s="33">
        <f>IF(OR($E110="",$F110=""),"",IF(AND(M$4&lt;=$F110,M$4+6&gt;=$E110),IF($F110-$E110&lt;=2,"◆",IF($H110="Yes","X",LEFT($D110,1))),""))</f>
        <v/>
      </c>
      <c r="N110" s="33">
        <f>IF(OR($E110="",$F110=""),"",IF(AND(N$4&lt;=$F110,N$4+6&gt;=$E110),IF($F110-$E110&lt;=2,"◆",IF($H110="Yes","X",LEFT($D110,1))),""))</f>
        <v/>
      </c>
      <c r="O110" s="33">
        <f>IF(OR($E110="",$F110=""),"",IF(AND(O$4&lt;=$F110,O$4+6&gt;=$E110),IF($F110-$E110&lt;=2,"◆",IF($H110="Yes","X",LEFT($D110,1))),""))</f>
        <v/>
      </c>
      <c r="P110" s="33">
        <f>IF(OR($E110="",$F110=""),"",IF(AND(P$4&lt;=$F110,P$4+6&gt;=$E110),IF($F110-$E110&lt;=2,"◆",IF($H110="Yes","X",LEFT($D110,1))),""))</f>
        <v/>
      </c>
      <c r="Q110" s="33">
        <f>IF(OR($E110="",$F110=""),"",IF(AND(Q$4&lt;=$F110,Q$4+6&gt;=$E110),IF($F110-$E110&lt;=2,"◆",IF($H110="Yes","X",LEFT($D110,1))),""))</f>
        <v/>
      </c>
      <c r="R110" s="33">
        <f>IF(OR($E110="",$F110=""),"",IF(AND(R$4&lt;=$F110,R$4+6&gt;=$E110),IF($F110-$E110&lt;=2,"◆",IF($H110="Yes","X",LEFT($D110,1))),""))</f>
        <v/>
      </c>
      <c r="S110" s="33">
        <f>IF(OR($E110="",$F110=""),"",IF(AND(S$4&lt;=$F110,S$4+6&gt;=$E110),IF($F110-$E110&lt;=2,"◆",IF($H110="Yes","X",LEFT($D110,1))),""))</f>
        <v/>
      </c>
      <c r="T110" s="33">
        <f>IF(OR($E110="",$F110=""),"",IF(AND(T$4&lt;=$F110,T$4+6&gt;=$E110),IF($F110-$E110&lt;=2,"◆",IF($H110="Yes","X",LEFT($D110,1))),""))</f>
        <v/>
      </c>
      <c r="U110" s="33">
        <f>IF(OR($E110="",$F110=""),"",IF(AND(U$4&lt;=$F110,U$4+6&gt;=$E110),IF($F110-$E110&lt;=2,"◆",IF($H110="Yes","X",LEFT($D110,1))),""))</f>
        <v/>
      </c>
      <c r="V110" s="33">
        <f>IF(OR($E110="",$F110=""),"",IF(AND(V$4&lt;=$F110,V$4+6&gt;=$E110),IF($F110-$E110&lt;=2,"◆",IF($H110="Yes","X",LEFT($D110,1))),""))</f>
        <v/>
      </c>
      <c r="W110" s="33">
        <f>IF(OR($E110="",$F110=""),"",IF(AND(W$4&lt;=$F110,W$4+6&gt;=$E110),IF($F110-$E110&lt;=2,"◆",IF($H110="Yes","X",LEFT($D110,1))),""))</f>
        <v/>
      </c>
      <c r="X110" s="33">
        <f>IF(OR($E110="",$F110=""),"",IF(AND(X$4&lt;=$F110,X$4+6&gt;=$E110),IF($F110-$E110&lt;=2,"◆",IF($H110="Yes","X",LEFT($D110,1))),""))</f>
        <v/>
      </c>
      <c r="Y110" s="33">
        <f>IF(OR($E110="",$F110=""),"",IF(AND(Y$4&lt;=$F110,Y$4+6&gt;=$E110),IF($F110-$E110&lt;=2,"◆",IF($H110="Yes","X",LEFT($D110,1))),""))</f>
        <v/>
      </c>
      <c r="Z110" s="33">
        <f>IF(OR($E110="",$F110=""),"",IF(AND(Z$4&lt;=$F110,Z$4+6&gt;=$E110),IF($F110-$E110&lt;=2,"◆",IF($H110="Yes","X",LEFT($D110,1))),""))</f>
        <v/>
      </c>
      <c r="AA110" s="33">
        <f>IF(OR($E110="",$F110=""),"",IF(AND(AA$4&lt;=$F110,AA$4+6&gt;=$E110),IF($F110-$E110&lt;=2,"◆",IF($H110="Yes","X",LEFT($D110,1))),""))</f>
        <v/>
      </c>
      <c r="AB110" s="33">
        <f>IF(OR($E110="",$F110=""),"",IF(AND(AB$4&lt;=$F110,AB$4+6&gt;=$E110),IF($F110-$E110&lt;=2,"◆",IF($H110="Yes","X",LEFT($D110,1))),""))</f>
        <v/>
      </c>
      <c r="AC110" s="33">
        <f>IF(OR($E110="",$F110=""),"",IF(AND(AC$4&lt;=$F110,AC$4+6&gt;=$E110),IF($F110-$E110&lt;=2,"◆",IF($H110="Yes","X",LEFT($D110,1))),""))</f>
        <v/>
      </c>
      <c r="AD110" s="33">
        <f>IF(OR($E110="",$F110=""),"",IF(AND(AD$4&lt;=$F110,AD$4+6&gt;=$E110),IF($F110-$E110&lt;=2,"◆",IF($H110="Yes","X",LEFT($D110,1))),""))</f>
        <v/>
      </c>
      <c r="AE110" s="33">
        <f>IF(OR($E110="",$F110=""),"",IF(AND(AE$4&lt;=$F110,AE$4+6&gt;=$E110),IF($F110-$E110&lt;=2,"◆",IF($H110="Yes","X",LEFT($D110,1))),""))</f>
        <v/>
      </c>
      <c r="AF110" s="33">
        <f>IF(OR($E110="",$F110=""),"",IF(AND(AF$4&lt;=$F110,AF$4+6&gt;=$E110),IF($F110-$E110&lt;=2,"◆",IF($H110="Yes","X",LEFT($D110,1))),""))</f>
        <v/>
      </c>
      <c r="AG110" s="33">
        <f>IF(OR($E110="",$F110=""),"",IF(AND(AG$4&lt;=$F110,AG$4+6&gt;=$E110),IF($F110-$E110&lt;=2,"◆",IF($H110="Yes","X",LEFT($D110,1))),""))</f>
        <v/>
      </c>
      <c r="AH110" s="33">
        <f>IF(OR($E110="",$F110=""),"",IF(AND(AH$4&lt;=$F110,AH$4+6&gt;=$E110),IF($F110-$E110&lt;=2,"◆",IF($H110="Yes","X",LEFT($D110,1))),""))</f>
        <v/>
      </c>
      <c r="AI110" s="33">
        <f>IF(OR($E110="",$F110=""),"",IF(AND(AI$4&lt;=$F110,AI$4+6&gt;=$E110),IF($F110-$E110&lt;=2,"◆",IF($H110="Yes","X",LEFT($D110,1))),""))</f>
        <v/>
      </c>
      <c r="AJ110" s="33">
        <f>IF(OR($E110="",$F110=""),"",IF(AND(AJ$4&lt;=$F110,AJ$4+6&gt;=$E110),IF($F110-$E110&lt;=2,"◆",IF($H110="Yes","X",LEFT($D110,1))),""))</f>
        <v/>
      </c>
      <c r="AK110" s="33">
        <f>IF(OR($E110="",$F110=""),"",IF(AND(AK$4&lt;=$F110,AK$4+6&gt;=$E110),IF($F110-$E110&lt;=2,"◆",IF($H110="Yes","X",LEFT($D110,1))),""))</f>
        <v/>
      </c>
      <c r="AL110" s="33">
        <f>IF(OR($E110="",$F110=""),"",IF(AND(AL$4&lt;=$F110,AL$4+6&gt;=$E110),IF($F110-$E110&lt;=2,"◆",IF($H110="Yes","X",LEFT($D110,1))),""))</f>
        <v/>
      </c>
      <c r="AM110" s="33">
        <f>IF(OR($E110="",$F110=""),"",IF(AND(AM$4&lt;=$F110,AM$4+6&gt;=$E110),IF($F110-$E110&lt;=2,"◆",IF($H110="Yes","X",LEFT($D110,1))),""))</f>
        <v/>
      </c>
      <c r="AN110" s="33">
        <f>IF(OR($E110="",$F110=""),"",IF(AND(AN$4&lt;=$F110,AN$4+6&gt;=$E110),IF($F110-$E110&lt;=2,"◆",IF($H110="Yes","X",LEFT($D110,1))),""))</f>
        <v/>
      </c>
      <c r="AO110" s="33">
        <f>IF(OR($E110="",$F110=""),"",IF(AND(AO$4&lt;=$F110,AO$4+6&gt;=$E110),IF($F110-$E110&lt;=2,"◆",IF($H110="Yes","X",LEFT($D110,1))),""))</f>
        <v/>
      </c>
      <c r="AP110" s="33">
        <f>IF(OR($E110="",$F110=""),"",IF(AND(AP$4&lt;=$F110,AP$4+6&gt;=$E110),IF($F110-$E110&lt;=2,"◆",IF($H110="Yes","X",LEFT($D110,1))),""))</f>
        <v/>
      </c>
      <c r="AQ110" s="33">
        <f>IF(OR($E110="",$F110=""),"",IF(AND(AQ$4&lt;=$F110,AQ$4+6&gt;=$E110),IF($F110-$E110&lt;=2,"◆",IF($H110="Yes","X",LEFT($D110,1))),""))</f>
        <v/>
      </c>
      <c r="AR110" s="33">
        <f>IF(OR($E110="",$F110=""),"",IF(AND(AR$4&lt;=$F110,AR$4+6&gt;=$E110),IF($F110-$E110&lt;=2,"◆",IF($H110="Yes","X",LEFT($D110,1))),""))</f>
        <v/>
      </c>
      <c r="AS110" s="33">
        <f>IF(OR($E110="",$F110=""),"",IF(AND(AS$4&lt;=$F110,AS$4+6&gt;=$E110),IF($F110-$E110&lt;=2,"◆",IF($H110="Yes","X",LEFT($D110,1))),""))</f>
        <v/>
      </c>
      <c r="AT110" s="33">
        <f>IF(OR($E110="",$F110=""),"",IF(AND(AT$4&lt;=$F110,AT$4+6&gt;=$E110),IF($F110-$E110&lt;=2,"◆",IF($H110="Yes","X",LEFT($D110,1))),""))</f>
        <v/>
      </c>
      <c r="AU110" s="33">
        <f>IF(OR($E110="",$F110=""),"",IF(AND(AU$4&lt;=$F110,AU$4+6&gt;=$E110),IF($F110-$E110&lt;=2,"◆",IF($H110="Yes","X",LEFT($D110,1))),""))</f>
        <v/>
      </c>
      <c r="AV110" s="33">
        <f>IF(OR($E110="",$F110=""),"",IF(AND(AV$4&lt;=$F110,AV$4+6&gt;=$E110),IF($F110-$E110&lt;=2,"◆",IF($H110="Yes","X",LEFT($D110,1))),""))</f>
        <v/>
      </c>
      <c r="AW110" s="33">
        <f>IF(OR($E110="",$F110=""),"",IF(AND(AW$4&lt;=$F110,AW$4+6&gt;=$E110),IF($F110-$E110&lt;=2,"◆",IF($H110="Yes","X",LEFT($D110,1))),""))</f>
        <v/>
      </c>
      <c r="AX110" s="33">
        <f>IF(OR($E110="",$F110=""),"",IF(AND(AX$4&lt;=$F110,AX$4+6&gt;=$E110),IF($F110-$E110&lt;=2,"◆",IF($H110="Yes","X",LEFT($D110,1))),""))</f>
        <v/>
      </c>
      <c r="AY110" s="33">
        <f>IF(OR($E110="",$F110=""),"",IF(AND(AY$4&lt;=$F110,AY$4+6&gt;=$E110),IF($F110-$E110&lt;=2,"◆",IF($H110="Yes","X",LEFT($D110,1))),""))</f>
        <v/>
      </c>
      <c r="AZ110" s="33">
        <f>IF(OR($E110="",$F110=""),"",IF(AND(AZ$4&lt;=$F110,AZ$4+6&gt;=$E110),IF($F110-$E110&lt;=2,"◆",IF($H110="Yes","X",LEFT($D110,1))),""))</f>
        <v/>
      </c>
      <c r="BA110" s="33">
        <f>IF(OR($E110="",$F110=""),"",IF(AND(BA$4&lt;=$F110,BA$4+6&gt;=$E110),IF($F110-$E110&lt;=2,"◆",IF($H110="Yes","X",LEFT($D110,1))),""))</f>
        <v/>
      </c>
      <c r="BB110" s="33">
        <f>IF(OR($E110="",$F110=""),"",IF(AND(BB$4&lt;=$F110,BB$4+6&gt;=$E110),IF($F110-$E110&lt;=2,"◆",IF($H110="Yes","X",LEFT($D110,1))),""))</f>
        <v/>
      </c>
      <c r="BC110" s="33">
        <f>IF(OR($E110="",$F110=""),"",IF(AND(BC$4&lt;=$F110,BC$4+6&gt;=$E110),IF($F110-$E110&lt;=2,"◆",IF($H110="Yes","X",LEFT($D110,1))),""))</f>
        <v/>
      </c>
      <c r="BD110" s="33">
        <f>IF(OR($E110="",$F110=""),"",IF(AND(BD$4&lt;=$F110,BD$4+6&gt;=$E110),IF($F110-$E110&lt;=2,"◆",IF($H110="Yes","X",LEFT($D110,1))),""))</f>
        <v/>
      </c>
      <c r="BE110" s="33">
        <f>IF(OR($E110="",$F110=""),"",IF(AND(BE$4&lt;=$F110,BE$4+6&gt;=$E110),IF($F110-$E110&lt;=2,"◆",IF($H110="Yes","X",LEFT($D110,1))),""))</f>
        <v/>
      </c>
      <c r="BF110" s="33">
        <f>IF(OR($E110="",$F110=""),"",IF(AND(BF$4&lt;=$F110,BF$4+6&gt;=$E110),IF($F110-$E110&lt;=2,"◆",IF($H110="Yes","X",LEFT($D110,1))),""))</f>
        <v/>
      </c>
      <c r="BG110" s="33">
        <f>IF(OR($E110="",$F110=""),"",IF(AND(BG$4&lt;=$F110,BG$4+6&gt;=$E110),IF($F110-$E110&lt;=2,"◆",IF($H110="Yes","X",LEFT($D110,1))),""))</f>
        <v/>
      </c>
      <c r="BH110" s="33">
        <f>IF(OR($E110="",$F110=""),"",IF(AND(BH$4&lt;=$F110,BH$4+6&gt;=$E110),IF($F110-$E110&lt;=2,"◆",IF($H110="Yes","X",LEFT($D110,1))),""))</f>
        <v/>
      </c>
      <c r="BI110" s="33">
        <f>IF(OR($E110="",$F110=""),"",IF(AND(BI$4&lt;=$F110,BI$4+6&gt;=$E110),IF($F110-$E110&lt;=2,"◆",IF($H110="Yes","X",LEFT($D110,1))),""))</f>
        <v/>
      </c>
    </row>
    <row r="111">
      <c r="A111" s="30" t="inlineStr">
        <is>
          <t>T-107</t>
        </is>
      </c>
      <c r="B111" s="30" t="inlineStr">
        <is>
          <t>Mobile Automation POC</t>
        </is>
      </c>
      <c r="C111" s="30" t="inlineStr">
        <is>
          <t>Kadarkarai</t>
        </is>
      </c>
      <c r="D111" s="30" t="inlineStr">
        <is>
          <t>Blocked</t>
        </is>
      </c>
      <c r="E111" s="31" t="n">
        <v>46265</v>
      </c>
      <c r="F111" s="31" t="n">
        <v>46271</v>
      </c>
      <c r="G111" s="32" t="n">
        <v>0.14</v>
      </c>
      <c r="H111" s="30" t="inlineStr">
        <is>
          <t>No</t>
        </is>
      </c>
      <c r="I111" s="33">
        <f>IF(OR($E111="",$F111=""),"",IF(AND(I$4&lt;=$F111,I$4+6&gt;=$E111),IF($F111-$E111&lt;=2,"◆",IF($H111="Yes","X",LEFT($D111,1))),""))</f>
        <v/>
      </c>
      <c r="J111" s="33">
        <f>IF(OR($E111="",$F111=""),"",IF(AND(J$4&lt;=$F111,J$4+6&gt;=$E111),IF($F111-$E111&lt;=2,"◆",IF($H111="Yes","X",LEFT($D111,1))),""))</f>
        <v/>
      </c>
      <c r="K111" s="33">
        <f>IF(OR($E111="",$F111=""),"",IF(AND(K$4&lt;=$F111,K$4+6&gt;=$E111),IF($F111-$E111&lt;=2,"◆",IF($H111="Yes","X",LEFT($D111,1))),""))</f>
        <v/>
      </c>
      <c r="L111" s="33">
        <f>IF(OR($E111="",$F111=""),"",IF(AND(L$4&lt;=$F111,L$4+6&gt;=$E111),IF($F111-$E111&lt;=2,"◆",IF($H111="Yes","X",LEFT($D111,1))),""))</f>
        <v/>
      </c>
      <c r="M111" s="33">
        <f>IF(OR($E111="",$F111=""),"",IF(AND(M$4&lt;=$F111,M$4+6&gt;=$E111),IF($F111-$E111&lt;=2,"◆",IF($H111="Yes","X",LEFT($D111,1))),""))</f>
        <v/>
      </c>
      <c r="N111" s="33">
        <f>IF(OR($E111="",$F111=""),"",IF(AND(N$4&lt;=$F111,N$4+6&gt;=$E111),IF($F111-$E111&lt;=2,"◆",IF($H111="Yes","X",LEFT($D111,1))),""))</f>
        <v/>
      </c>
      <c r="O111" s="33">
        <f>IF(OR($E111="",$F111=""),"",IF(AND(O$4&lt;=$F111,O$4+6&gt;=$E111),IF($F111-$E111&lt;=2,"◆",IF($H111="Yes","X",LEFT($D111,1))),""))</f>
        <v/>
      </c>
      <c r="P111" s="33">
        <f>IF(OR($E111="",$F111=""),"",IF(AND(P$4&lt;=$F111,P$4+6&gt;=$E111),IF($F111-$E111&lt;=2,"◆",IF($H111="Yes","X",LEFT($D111,1))),""))</f>
        <v/>
      </c>
      <c r="Q111" s="33">
        <f>IF(OR($E111="",$F111=""),"",IF(AND(Q$4&lt;=$F111,Q$4+6&gt;=$E111),IF($F111-$E111&lt;=2,"◆",IF($H111="Yes","X",LEFT($D111,1))),""))</f>
        <v/>
      </c>
      <c r="R111" s="33">
        <f>IF(OR($E111="",$F111=""),"",IF(AND(R$4&lt;=$F111,R$4+6&gt;=$E111),IF($F111-$E111&lt;=2,"◆",IF($H111="Yes","X",LEFT($D111,1))),""))</f>
        <v/>
      </c>
      <c r="S111" s="33">
        <f>IF(OR($E111="",$F111=""),"",IF(AND(S$4&lt;=$F111,S$4+6&gt;=$E111),IF($F111-$E111&lt;=2,"◆",IF($H111="Yes","X",LEFT($D111,1))),""))</f>
        <v/>
      </c>
      <c r="T111" s="33">
        <f>IF(OR($E111="",$F111=""),"",IF(AND(T$4&lt;=$F111,T$4+6&gt;=$E111),IF($F111-$E111&lt;=2,"◆",IF($H111="Yes","X",LEFT($D111,1))),""))</f>
        <v/>
      </c>
      <c r="U111" s="33">
        <f>IF(OR($E111="",$F111=""),"",IF(AND(U$4&lt;=$F111,U$4+6&gt;=$E111),IF($F111-$E111&lt;=2,"◆",IF($H111="Yes","X",LEFT($D111,1))),""))</f>
        <v/>
      </c>
      <c r="V111" s="33">
        <f>IF(OR($E111="",$F111=""),"",IF(AND(V$4&lt;=$F111,V$4+6&gt;=$E111),IF($F111-$E111&lt;=2,"◆",IF($H111="Yes","X",LEFT($D111,1))),""))</f>
        <v/>
      </c>
      <c r="W111" s="33">
        <f>IF(OR($E111="",$F111=""),"",IF(AND(W$4&lt;=$F111,W$4+6&gt;=$E111),IF($F111-$E111&lt;=2,"◆",IF($H111="Yes","X",LEFT($D111,1))),""))</f>
        <v/>
      </c>
      <c r="X111" s="33">
        <f>IF(OR($E111="",$F111=""),"",IF(AND(X$4&lt;=$F111,X$4+6&gt;=$E111),IF($F111-$E111&lt;=2,"◆",IF($H111="Yes","X",LEFT($D111,1))),""))</f>
        <v/>
      </c>
      <c r="Y111" s="33">
        <f>IF(OR($E111="",$F111=""),"",IF(AND(Y$4&lt;=$F111,Y$4+6&gt;=$E111),IF($F111-$E111&lt;=2,"◆",IF($H111="Yes","X",LEFT($D111,1))),""))</f>
        <v/>
      </c>
      <c r="Z111" s="33">
        <f>IF(OR($E111="",$F111=""),"",IF(AND(Z$4&lt;=$F111,Z$4+6&gt;=$E111),IF($F111-$E111&lt;=2,"◆",IF($H111="Yes","X",LEFT($D111,1))),""))</f>
        <v/>
      </c>
      <c r="AA111" s="33">
        <f>IF(OR($E111="",$F111=""),"",IF(AND(AA$4&lt;=$F111,AA$4+6&gt;=$E111),IF($F111-$E111&lt;=2,"◆",IF($H111="Yes","X",LEFT($D111,1))),""))</f>
        <v/>
      </c>
      <c r="AB111" s="33">
        <f>IF(OR($E111="",$F111=""),"",IF(AND(AB$4&lt;=$F111,AB$4+6&gt;=$E111),IF($F111-$E111&lt;=2,"◆",IF($H111="Yes","X",LEFT($D111,1))),""))</f>
        <v/>
      </c>
      <c r="AC111" s="33">
        <f>IF(OR($E111="",$F111=""),"",IF(AND(AC$4&lt;=$F111,AC$4+6&gt;=$E111),IF($F111-$E111&lt;=2,"◆",IF($H111="Yes","X",LEFT($D111,1))),""))</f>
        <v/>
      </c>
      <c r="AD111" s="33">
        <f>IF(OR($E111="",$F111=""),"",IF(AND(AD$4&lt;=$F111,AD$4+6&gt;=$E111),IF($F111-$E111&lt;=2,"◆",IF($H111="Yes","X",LEFT($D111,1))),""))</f>
        <v/>
      </c>
      <c r="AE111" s="33">
        <f>IF(OR($E111="",$F111=""),"",IF(AND(AE$4&lt;=$F111,AE$4+6&gt;=$E111),IF($F111-$E111&lt;=2,"◆",IF($H111="Yes","X",LEFT($D111,1))),""))</f>
        <v/>
      </c>
      <c r="AF111" s="33">
        <f>IF(OR($E111="",$F111=""),"",IF(AND(AF$4&lt;=$F111,AF$4+6&gt;=$E111),IF($F111-$E111&lt;=2,"◆",IF($H111="Yes","X",LEFT($D111,1))),""))</f>
        <v/>
      </c>
      <c r="AG111" s="33">
        <f>IF(OR($E111="",$F111=""),"",IF(AND(AG$4&lt;=$F111,AG$4+6&gt;=$E111),IF($F111-$E111&lt;=2,"◆",IF($H111="Yes","X",LEFT($D111,1))),""))</f>
        <v/>
      </c>
      <c r="AH111" s="33">
        <f>IF(OR($E111="",$F111=""),"",IF(AND(AH$4&lt;=$F111,AH$4+6&gt;=$E111),IF($F111-$E111&lt;=2,"◆",IF($H111="Yes","X",LEFT($D111,1))),""))</f>
        <v/>
      </c>
      <c r="AI111" s="33">
        <f>IF(OR($E111="",$F111=""),"",IF(AND(AI$4&lt;=$F111,AI$4+6&gt;=$E111),IF($F111-$E111&lt;=2,"◆",IF($H111="Yes","X",LEFT($D111,1))),""))</f>
        <v/>
      </c>
      <c r="AJ111" s="33">
        <f>IF(OR($E111="",$F111=""),"",IF(AND(AJ$4&lt;=$F111,AJ$4+6&gt;=$E111),IF($F111-$E111&lt;=2,"◆",IF($H111="Yes","X",LEFT($D111,1))),""))</f>
        <v/>
      </c>
      <c r="AK111" s="33">
        <f>IF(OR($E111="",$F111=""),"",IF(AND(AK$4&lt;=$F111,AK$4+6&gt;=$E111),IF($F111-$E111&lt;=2,"◆",IF($H111="Yes","X",LEFT($D111,1))),""))</f>
        <v/>
      </c>
      <c r="AL111" s="33">
        <f>IF(OR($E111="",$F111=""),"",IF(AND(AL$4&lt;=$F111,AL$4+6&gt;=$E111),IF($F111-$E111&lt;=2,"◆",IF($H111="Yes","X",LEFT($D111,1))),""))</f>
        <v/>
      </c>
      <c r="AM111" s="33">
        <f>IF(OR($E111="",$F111=""),"",IF(AND(AM$4&lt;=$F111,AM$4+6&gt;=$E111),IF($F111-$E111&lt;=2,"◆",IF($H111="Yes","X",LEFT($D111,1))),""))</f>
        <v/>
      </c>
      <c r="AN111" s="33">
        <f>IF(OR($E111="",$F111=""),"",IF(AND(AN$4&lt;=$F111,AN$4+6&gt;=$E111),IF($F111-$E111&lt;=2,"◆",IF($H111="Yes","X",LEFT($D111,1))),""))</f>
        <v/>
      </c>
      <c r="AO111" s="33">
        <f>IF(OR($E111="",$F111=""),"",IF(AND(AO$4&lt;=$F111,AO$4+6&gt;=$E111),IF($F111-$E111&lt;=2,"◆",IF($H111="Yes","X",LEFT($D111,1))),""))</f>
        <v/>
      </c>
      <c r="AP111" s="33">
        <f>IF(OR($E111="",$F111=""),"",IF(AND(AP$4&lt;=$F111,AP$4+6&gt;=$E111),IF($F111-$E111&lt;=2,"◆",IF($H111="Yes","X",LEFT($D111,1))),""))</f>
        <v/>
      </c>
      <c r="AQ111" s="33">
        <f>IF(OR($E111="",$F111=""),"",IF(AND(AQ$4&lt;=$F111,AQ$4+6&gt;=$E111),IF($F111-$E111&lt;=2,"◆",IF($H111="Yes","X",LEFT($D111,1))),""))</f>
        <v/>
      </c>
      <c r="AR111" s="33">
        <f>IF(OR($E111="",$F111=""),"",IF(AND(AR$4&lt;=$F111,AR$4+6&gt;=$E111),IF($F111-$E111&lt;=2,"◆",IF($H111="Yes","X",LEFT($D111,1))),""))</f>
        <v/>
      </c>
      <c r="AS111" s="33">
        <f>IF(OR($E111="",$F111=""),"",IF(AND(AS$4&lt;=$F111,AS$4+6&gt;=$E111),IF($F111-$E111&lt;=2,"◆",IF($H111="Yes","X",LEFT($D111,1))),""))</f>
        <v/>
      </c>
      <c r="AT111" s="33">
        <f>IF(OR($E111="",$F111=""),"",IF(AND(AT$4&lt;=$F111,AT$4+6&gt;=$E111),IF($F111-$E111&lt;=2,"◆",IF($H111="Yes","X",LEFT($D111,1))),""))</f>
        <v/>
      </c>
      <c r="AU111" s="33">
        <f>IF(OR($E111="",$F111=""),"",IF(AND(AU$4&lt;=$F111,AU$4+6&gt;=$E111),IF($F111-$E111&lt;=2,"◆",IF($H111="Yes","X",LEFT($D111,1))),""))</f>
        <v/>
      </c>
      <c r="AV111" s="33">
        <f>IF(OR($E111="",$F111=""),"",IF(AND(AV$4&lt;=$F111,AV$4+6&gt;=$E111),IF($F111-$E111&lt;=2,"◆",IF($H111="Yes","X",LEFT($D111,1))),""))</f>
        <v/>
      </c>
      <c r="AW111" s="33">
        <f>IF(OR($E111="",$F111=""),"",IF(AND(AW$4&lt;=$F111,AW$4+6&gt;=$E111),IF($F111-$E111&lt;=2,"◆",IF($H111="Yes","X",LEFT($D111,1))),""))</f>
        <v/>
      </c>
      <c r="AX111" s="33">
        <f>IF(OR($E111="",$F111=""),"",IF(AND(AX$4&lt;=$F111,AX$4+6&gt;=$E111),IF($F111-$E111&lt;=2,"◆",IF($H111="Yes","X",LEFT($D111,1))),""))</f>
        <v/>
      </c>
      <c r="AY111" s="33">
        <f>IF(OR($E111="",$F111=""),"",IF(AND(AY$4&lt;=$F111,AY$4+6&gt;=$E111),IF($F111-$E111&lt;=2,"◆",IF($H111="Yes","X",LEFT($D111,1))),""))</f>
        <v/>
      </c>
      <c r="AZ111" s="33">
        <f>IF(OR($E111="",$F111=""),"",IF(AND(AZ$4&lt;=$F111,AZ$4+6&gt;=$E111),IF($F111-$E111&lt;=2,"◆",IF($H111="Yes","X",LEFT($D111,1))),""))</f>
        <v/>
      </c>
      <c r="BA111" s="33">
        <f>IF(OR($E111="",$F111=""),"",IF(AND(BA$4&lt;=$F111,BA$4+6&gt;=$E111),IF($F111-$E111&lt;=2,"◆",IF($H111="Yes","X",LEFT($D111,1))),""))</f>
        <v/>
      </c>
      <c r="BB111" s="33">
        <f>IF(OR($E111="",$F111=""),"",IF(AND(BB$4&lt;=$F111,BB$4+6&gt;=$E111),IF($F111-$E111&lt;=2,"◆",IF($H111="Yes","X",LEFT($D111,1))),""))</f>
        <v/>
      </c>
      <c r="BC111" s="33">
        <f>IF(OR($E111="",$F111=""),"",IF(AND(BC$4&lt;=$F111,BC$4+6&gt;=$E111),IF($F111-$E111&lt;=2,"◆",IF($H111="Yes","X",LEFT($D111,1))),""))</f>
        <v/>
      </c>
      <c r="BD111" s="33">
        <f>IF(OR($E111="",$F111=""),"",IF(AND(BD$4&lt;=$F111,BD$4+6&gt;=$E111),IF($F111-$E111&lt;=2,"◆",IF($H111="Yes","X",LEFT($D111,1))),""))</f>
        <v/>
      </c>
      <c r="BE111" s="33">
        <f>IF(OR($E111="",$F111=""),"",IF(AND(BE$4&lt;=$F111,BE$4+6&gt;=$E111),IF($F111-$E111&lt;=2,"◆",IF($H111="Yes","X",LEFT($D111,1))),""))</f>
        <v/>
      </c>
      <c r="BF111" s="33">
        <f>IF(OR($E111="",$F111=""),"",IF(AND(BF$4&lt;=$F111,BF$4+6&gt;=$E111),IF($F111-$E111&lt;=2,"◆",IF($H111="Yes","X",LEFT($D111,1))),""))</f>
        <v/>
      </c>
      <c r="BG111" s="33">
        <f>IF(OR($E111="",$F111=""),"",IF(AND(BG$4&lt;=$F111,BG$4+6&gt;=$E111),IF($F111-$E111&lt;=2,"◆",IF($H111="Yes","X",LEFT($D111,1))),""))</f>
        <v/>
      </c>
      <c r="BH111" s="33">
        <f>IF(OR($E111="",$F111=""),"",IF(AND(BH$4&lt;=$F111,BH$4+6&gt;=$E111),IF($F111-$E111&lt;=2,"◆",IF($H111="Yes","X",LEFT($D111,1))),""))</f>
        <v/>
      </c>
      <c r="BI111" s="33">
        <f>IF(OR($E111="",$F111=""),"",IF(AND(BI$4&lt;=$F111,BI$4+6&gt;=$E111),IF($F111-$E111&lt;=2,"◆",IF($H111="Yes","X",LEFT($D111,1))),""))</f>
        <v/>
      </c>
    </row>
    <row r="112">
      <c r="A112" s="30" t="inlineStr">
        <is>
          <t>T-108</t>
        </is>
      </c>
      <c r="B112" s="30" t="inlineStr">
        <is>
          <t>Automating the main features for mobile</t>
        </is>
      </c>
      <c r="C112" s="30" t="inlineStr">
        <is>
          <t>Kadarkarai</t>
        </is>
      </c>
      <c r="D112" s="30" t="inlineStr">
        <is>
          <t>Blocked</t>
        </is>
      </c>
      <c r="E112" s="31" t="n">
        <v>46228</v>
      </c>
      <c r="F112" s="31" t="n">
        <v>46254</v>
      </c>
      <c r="G112" s="32" t="n">
        <v>0.15</v>
      </c>
      <c r="H112" s="30" t="inlineStr">
        <is>
          <t>No</t>
        </is>
      </c>
      <c r="I112" s="33">
        <f>IF(OR($E112="",$F112=""),"",IF(AND(I$4&lt;=$F112,I$4+6&gt;=$E112),IF($F112-$E112&lt;=2,"◆",IF($H112="Yes","X",LEFT($D112,1))),""))</f>
        <v/>
      </c>
      <c r="J112" s="33">
        <f>IF(OR($E112="",$F112=""),"",IF(AND(J$4&lt;=$F112,J$4+6&gt;=$E112),IF($F112-$E112&lt;=2,"◆",IF($H112="Yes","X",LEFT($D112,1))),""))</f>
        <v/>
      </c>
      <c r="K112" s="33">
        <f>IF(OR($E112="",$F112=""),"",IF(AND(K$4&lt;=$F112,K$4+6&gt;=$E112),IF($F112-$E112&lt;=2,"◆",IF($H112="Yes","X",LEFT($D112,1))),""))</f>
        <v/>
      </c>
      <c r="L112" s="33">
        <f>IF(OR($E112="",$F112=""),"",IF(AND(L$4&lt;=$F112,L$4+6&gt;=$E112),IF($F112-$E112&lt;=2,"◆",IF($H112="Yes","X",LEFT($D112,1))),""))</f>
        <v/>
      </c>
      <c r="M112" s="33">
        <f>IF(OR($E112="",$F112=""),"",IF(AND(M$4&lt;=$F112,M$4+6&gt;=$E112),IF($F112-$E112&lt;=2,"◆",IF($H112="Yes","X",LEFT($D112,1))),""))</f>
        <v/>
      </c>
      <c r="N112" s="33">
        <f>IF(OR($E112="",$F112=""),"",IF(AND(N$4&lt;=$F112,N$4+6&gt;=$E112),IF($F112-$E112&lt;=2,"◆",IF($H112="Yes","X",LEFT($D112,1))),""))</f>
        <v/>
      </c>
      <c r="O112" s="33">
        <f>IF(OR($E112="",$F112=""),"",IF(AND(O$4&lt;=$F112,O$4+6&gt;=$E112),IF($F112-$E112&lt;=2,"◆",IF($H112="Yes","X",LEFT($D112,1))),""))</f>
        <v/>
      </c>
      <c r="P112" s="33">
        <f>IF(OR($E112="",$F112=""),"",IF(AND(P$4&lt;=$F112,P$4+6&gt;=$E112),IF($F112-$E112&lt;=2,"◆",IF($H112="Yes","X",LEFT($D112,1))),""))</f>
        <v/>
      </c>
      <c r="Q112" s="33">
        <f>IF(OR($E112="",$F112=""),"",IF(AND(Q$4&lt;=$F112,Q$4+6&gt;=$E112),IF($F112-$E112&lt;=2,"◆",IF($H112="Yes","X",LEFT($D112,1))),""))</f>
        <v/>
      </c>
      <c r="R112" s="33">
        <f>IF(OR($E112="",$F112=""),"",IF(AND(R$4&lt;=$F112,R$4+6&gt;=$E112),IF($F112-$E112&lt;=2,"◆",IF($H112="Yes","X",LEFT($D112,1))),""))</f>
        <v/>
      </c>
      <c r="S112" s="33">
        <f>IF(OR($E112="",$F112=""),"",IF(AND(S$4&lt;=$F112,S$4+6&gt;=$E112),IF($F112-$E112&lt;=2,"◆",IF($H112="Yes","X",LEFT($D112,1))),""))</f>
        <v/>
      </c>
      <c r="T112" s="33">
        <f>IF(OR($E112="",$F112=""),"",IF(AND(T$4&lt;=$F112,T$4+6&gt;=$E112),IF($F112-$E112&lt;=2,"◆",IF($H112="Yes","X",LEFT($D112,1))),""))</f>
        <v/>
      </c>
      <c r="U112" s="33">
        <f>IF(OR($E112="",$F112=""),"",IF(AND(U$4&lt;=$F112,U$4+6&gt;=$E112),IF($F112-$E112&lt;=2,"◆",IF($H112="Yes","X",LEFT($D112,1))),""))</f>
        <v/>
      </c>
      <c r="V112" s="33">
        <f>IF(OR($E112="",$F112=""),"",IF(AND(V$4&lt;=$F112,V$4+6&gt;=$E112),IF($F112-$E112&lt;=2,"◆",IF($H112="Yes","X",LEFT($D112,1))),""))</f>
        <v/>
      </c>
      <c r="W112" s="33">
        <f>IF(OR($E112="",$F112=""),"",IF(AND(W$4&lt;=$F112,W$4+6&gt;=$E112),IF($F112-$E112&lt;=2,"◆",IF($H112="Yes","X",LEFT($D112,1))),""))</f>
        <v/>
      </c>
      <c r="X112" s="33">
        <f>IF(OR($E112="",$F112=""),"",IF(AND(X$4&lt;=$F112,X$4+6&gt;=$E112),IF($F112-$E112&lt;=2,"◆",IF($H112="Yes","X",LEFT($D112,1))),""))</f>
        <v/>
      </c>
      <c r="Y112" s="33">
        <f>IF(OR($E112="",$F112=""),"",IF(AND(Y$4&lt;=$F112,Y$4+6&gt;=$E112),IF($F112-$E112&lt;=2,"◆",IF($H112="Yes","X",LEFT($D112,1))),""))</f>
        <v/>
      </c>
      <c r="Z112" s="33">
        <f>IF(OR($E112="",$F112=""),"",IF(AND(Z$4&lt;=$F112,Z$4+6&gt;=$E112),IF($F112-$E112&lt;=2,"◆",IF($H112="Yes","X",LEFT($D112,1))),""))</f>
        <v/>
      </c>
      <c r="AA112" s="33">
        <f>IF(OR($E112="",$F112=""),"",IF(AND(AA$4&lt;=$F112,AA$4+6&gt;=$E112),IF($F112-$E112&lt;=2,"◆",IF($H112="Yes","X",LEFT($D112,1))),""))</f>
        <v/>
      </c>
      <c r="AB112" s="33">
        <f>IF(OR($E112="",$F112=""),"",IF(AND(AB$4&lt;=$F112,AB$4+6&gt;=$E112),IF($F112-$E112&lt;=2,"◆",IF($H112="Yes","X",LEFT($D112,1))),""))</f>
        <v/>
      </c>
      <c r="AC112" s="33">
        <f>IF(OR($E112="",$F112=""),"",IF(AND(AC$4&lt;=$F112,AC$4+6&gt;=$E112),IF($F112-$E112&lt;=2,"◆",IF($H112="Yes","X",LEFT($D112,1))),""))</f>
        <v/>
      </c>
      <c r="AD112" s="33">
        <f>IF(OR($E112="",$F112=""),"",IF(AND(AD$4&lt;=$F112,AD$4+6&gt;=$E112),IF($F112-$E112&lt;=2,"◆",IF($H112="Yes","X",LEFT($D112,1))),""))</f>
        <v/>
      </c>
      <c r="AE112" s="33">
        <f>IF(OR($E112="",$F112=""),"",IF(AND(AE$4&lt;=$F112,AE$4+6&gt;=$E112),IF($F112-$E112&lt;=2,"◆",IF($H112="Yes","X",LEFT($D112,1))),""))</f>
        <v/>
      </c>
      <c r="AF112" s="33">
        <f>IF(OR($E112="",$F112=""),"",IF(AND(AF$4&lt;=$F112,AF$4+6&gt;=$E112),IF($F112-$E112&lt;=2,"◆",IF($H112="Yes","X",LEFT($D112,1))),""))</f>
        <v/>
      </c>
      <c r="AG112" s="33">
        <f>IF(OR($E112="",$F112=""),"",IF(AND(AG$4&lt;=$F112,AG$4+6&gt;=$E112),IF($F112-$E112&lt;=2,"◆",IF($H112="Yes","X",LEFT($D112,1))),""))</f>
        <v/>
      </c>
      <c r="AH112" s="33">
        <f>IF(OR($E112="",$F112=""),"",IF(AND(AH$4&lt;=$F112,AH$4+6&gt;=$E112),IF($F112-$E112&lt;=2,"◆",IF($H112="Yes","X",LEFT($D112,1))),""))</f>
        <v/>
      </c>
      <c r="AI112" s="33">
        <f>IF(OR($E112="",$F112=""),"",IF(AND(AI$4&lt;=$F112,AI$4+6&gt;=$E112),IF($F112-$E112&lt;=2,"◆",IF($H112="Yes","X",LEFT($D112,1))),""))</f>
        <v/>
      </c>
      <c r="AJ112" s="33">
        <f>IF(OR($E112="",$F112=""),"",IF(AND(AJ$4&lt;=$F112,AJ$4+6&gt;=$E112),IF($F112-$E112&lt;=2,"◆",IF($H112="Yes","X",LEFT($D112,1))),""))</f>
        <v/>
      </c>
      <c r="AK112" s="33">
        <f>IF(OR($E112="",$F112=""),"",IF(AND(AK$4&lt;=$F112,AK$4+6&gt;=$E112),IF($F112-$E112&lt;=2,"◆",IF($H112="Yes","X",LEFT($D112,1))),""))</f>
        <v/>
      </c>
      <c r="AL112" s="33">
        <f>IF(OR($E112="",$F112=""),"",IF(AND(AL$4&lt;=$F112,AL$4+6&gt;=$E112),IF($F112-$E112&lt;=2,"◆",IF($H112="Yes","X",LEFT($D112,1))),""))</f>
        <v/>
      </c>
      <c r="AM112" s="33">
        <f>IF(OR($E112="",$F112=""),"",IF(AND(AM$4&lt;=$F112,AM$4+6&gt;=$E112),IF($F112-$E112&lt;=2,"◆",IF($H112="Yes","X",LEFT($D112,1))),""))</f>
        <v/>
      </c>
      <c r="AN112" s="33">
        <f>IF(OR($E112="",$F112=""),"",IF(AND(AN$4&lt;=$F112,AN$4+6&gt;=$E112),IF($F112-$E112&lt;=2,"◆",IF($H112="Yes","X",LEFT($D112,1))),""))</f>
        <v/>
      </c>
      <c r="AO112" s="33">
        <f>IF(OR($E112="",$F112=""),"",IF(AND(AO$4&lt;=$F112,AO$4+6&gt;=$E112),IF($F112-$E112&lt;=2,"◆",IF($H112="Yes","X",LEFT($D112,1))),""))</f>
        <v/>
      </c>
      <c r="AP112" s="33">
        <f>IF(OR($E112="",$F112=""),"",IF(AND(AP$4&lt;=$F112,AP$4+6&gt;=$E112),IF($F112-$E112&lt;=2,"◆",IF($H112="Yes","X",LEFT($D112,1))),""))</f>
        <v/>
      </c>
      <c r="AQ112" s="33">
        <f>IF(OR($E112="",$F112=""),"",IF(AND(AQ$4&lt;=$F112,AQ$4+6&gt;=$E112),IF($F112-$E112&lt;=2,"◆",IF($H112="Yes","X",LEFT($D112,1))),""))</f>
        <v/>
      </c>
      <c r="AR112" s="33">
        <f>IF(OR($E112="",$F112=""),"",IF(AND(AR$4&lt;=$F112,AR$4+6&gt;=$E112),IF($F112-$E112&lt;=2,"◆",IF($H112="Yes","X",LEFT($D112,1))),""))</f>
        <v/>
      </c>
      <c r="AS112" s="33">
        <f>IF(OR($E112="",$F112=""),"",IF(AND(AS$4&lt;=$F112,AS$4+6&gt;=$E112),IF($F112-$E112&lt;=2,"◆",IF($H112="Yes","X",LEFT($D112,1))),""))</f>
        <v/>
      </c>
      <c r="AT112" s="33">
        <f>IF(OR($E112="",$F112=""),"",IF(AND(AT$4&lt;=$F112,AT$4+6&gt;=$E112),IF($F112-$E112&lt;=2,"◆",IF($H112="Yes","X",LEFT($D112,1))),""))</f>
        <v/>
      </c>
      <c r="AU112" s="33">
        <f>IF(OR($E112="",$F112=""),"",IF(AND(AU$4&lt;=$F112,AU$4+6&gt;=$E112),IF($F112-$E112&lt;=2,"◆",IF($H112="Yes","X",LEFT($D112,1))),""))</f>
        <v/>
      </c>
      <c r="AV112" s="33">
        <f>IF(OR($E112="",$F112=""),"",IF(AND(AV$4&lt;=$F112,AV$4+6&gt;=$E112),IF($F112-$E112&lt;=2,"◆",IF($H112="Yes","X",LEFT($D112,1))),""))</f>
        <v/>
      </c>
      <c r="AW112" s="33">
        <f>IF(OR($E112="",$F112=""),"",IF(AND(AW$4&lt;=$F112,AW$4+6&gt;=$E112),IF($F112-$E112&lt;=2,"◆",IF($H112="Yes","X",LEFT($D112,1))),""))</f>
        <v/>
      </c>
      <c r="AX112" s="33">
        <f>IF(OR($E112="",$F112=""),"",IF(AND(AX$4&lt;=$F112,AX$4+6&gt;=$E112),IF($F112-$E112&lt;=2,"◆",IF($H112="Yes","X",LEFT($D112,1))),""))</f>
        <v/>
      </c>
      <c r="AY112" s="33">
        <f>IF(OR($E112="",$F112=""),"",IF(AND(AY$4&lt;=$F112,AY$4+6&gt;=$E112),IF($F112-$E112&lt;=2,"◆",IF($H112="Yes","X",LEFT($D112,1))),""))</f>
        <v/>
      </c>
      <c r="AZ112" s="33">
        <f>IF(OR($E112="",$F112=""),"",IF(AND(AZ$4&lt;=$F112,AZ$4+6&gt;=$E112),IF($F112-$E112&lt;=2,"◆",IF($H112="Yes","X",LEFT($D112,1))),""))</f>
        <v/>
      </c>
      <c r="BA112" s="33">
        <f>IF(OR($E112="",$F112=""),"",IF(AND(BA$4&lt;=$F112,BA$4+6&gt;=$E112),IF($F112-$E112&lt;=2,"◆",IF($H112="Yes","X",LEFT($D112,1))),""))</f>
        <v/>
      </c>
      <c r="BB112" s="33">
        <f>IF(OR($E112="",$F112=""),"",IF(AND(BB$4&lt;=$F112,BB$4+6&gt;=$E112),IF($F112-$E112&lt;=2,"◆",IF($H112="Yes","X",LEFT($D112,1))),""))</f>
        <v/>
      </c>
      <c r="BC112" s="33">
        <f>IF(OR($E112="",$F112=""),"",IF(AND(BC$4&lt;=$F112,BC$4+6&gt;=$E112),IF($F112-$E112&lt;=2,"◆",IF($H112="Yes","X",LEFT($D112,1))),""))</f>
        <v/>
      </c>
      <c r="BD112" s="33">
        <f>IF(OR($E112="",$F112=""),"",IF(AND(BD$4&lt;=$F112,BD$4+6&gt;=$E112),IF($F112-$E112&lt;=2,"◆",IF($H112="Yes","X",LEFT($D112,1))),""))</f>
        <v/>
      </c>
      <c r="BE112" s="33">
        <f>IF(OR($E112="",$F112=""),"",IF(AND(BE$4&lt;=$F112,BE$4+6&gt;=$E112),IF($F112-$E112&lt;=2,"◆",IF($H112="Yes","X",LEFT($D112,1))),""))</f>
        <v/>
      </c>
      <c r="BF112" s="33">
        <f>IF(OR($E112="",$F112=""),"",IF(AND(BF$4&lt;=$F112,BF$4+6&gt;=$E112),IF($F112-$E112&lt;=2,"◆",IF($H112="Yes","X",LEFT($D112,1))),""))</f>
        <v/>
      </c>
      <c r="BG112" s="33">
        <f>IF(OR($E112="",$F112=""),"",IF(AND(BG$4&lt;=$F112,BG$4+6&gt;=$E112),IF($F112-$E112&lt;=2,"◆",IF($H112="Yes","X",LEFT($D112,1))),""))</f>
        <v/>
      </c>
      <c r="BH112" s="33">
        <f>IF(OR($E112="",$F112=""),"",IF(AND(BH$4&lt;=$F112,BH$4+6&gt;=$E112),IF($F112-$E112&lt;=2,"◆",IF($H112="Yes","X",LEFT($D112,1))),""))</f>
        <v/>
      </c>
      <c r="BI112" s="33">
        <f>IF(OR($E112="",$F112=""),"",IF(AND(BI$4&lt;=$F112,BI$4+6&gt;=$E112),IF($F112-$E112&lt;=2,"◆",IF($H112="Yes","X",LEFT($D112,1))),""))</f>
        <v/>
      </c>
    </row>
    <row r="113">
      <c r="A113" s="30" t="inlineStr">
        <is>
          <t>T-109</t>
        </is>
      </c>
      <c r="B113" s="30" t="inlineStr">
        <is>
          <t>Audit Findings remediation</t>
        </is>
      </c>
      <c r="C113" s="30" t="inlineStr">
        <is>
          <t>Kadarkarai</t>
        </is>
      </c>
      <c r="D113" s="30" t="inlineStr">
        <is>
          <t>At Risk</t>
        </is>
      </c>
      <c r="E113" s="31" t="n">
        <v>46232</v>
      </c>
      <c r="F113" s="31" t="n">
        <v>46236</v>
      </c>
      <c r="G113" s="32" t="n">
        <v>0.21</v>
      </c>
      <c r="H113" s="30" t="inlineStr">
        <is>
          <t>No</t>
        </is>
      </c>
      <c r="I113" s="33">
        <f>IF(OR($E113="",$F113=""),"",IF(AND(I$4&lt;=$F113,I$4+6&gt;=$E113),IF($F113-$E113&lt;=2,"◆",IF($H113="Yes","X",LEFT($D113,1))),""))</f>
        <v/>
      </c>
      <c r="J113" s="33">
        <f>IF(OR($E113="",$F113=""),"",IF(AND(J$4&lt;=$F113,J$4+6&gt;=$E113),IF($F113-$E113&lt;=2,"◆",IF($H113="Yes","X",LEFT($D113,1))),""))</f>
        <v/>
      </c>
      <c r="K113" s="33">
        <f>IF(OR($E113="",$F113=""),"",IF(AND(K$4&lt;=$F113,K$4+6&gt;=$E113),IF($F113-$E113&lt;=2,"◆",IF($H113="Yes","X",LEFT($D113,1))),""))</f>
        <v/>
      </c>
      <c r="L113" s="33">
        <f>IF(OR($E113="",$F113=""),"",IF(AND(L$4&lt;=$F113,L$4+6&gt;=$E113),IF($F113-$E113&lt;=2,"◆",IF($H113="Yes","X",LEFT($D113,1))),""))</f>
        <v/>
      </c>
      <c r="M113" s="33">
        <f>IF(OR($E113="",$F113=""),"",IF(AND(M$4&lt;=$F113,M$4+6&gt;=$E113),IF($F113-$E113&lt;=2,"◆",IF($H113="Yes","X",LEFT($D113,1))),""))</f>
        <v/>
      </c>
      <c r="N113" s="33">
        <f>IF(OR($E113="",$F113=""),"",IF(AND(N$4&lt;=$F113,N$4+6&gt;=$E113),IF($F113-$E113&lt;=2,"◆",IF($H113="Yes","X",LEFT($D113,1))),""))</f>
        <v/>
      </c>
      <c r="O113" s="33">
        <f>IF(OR($E113="",$F113=""),"",IF(AND(O$4&lt;=$F113,O$4+6&gt;=$E113),IF($F113-$E113&lt;=2,"◆",IF($H113="Yes","X",LEFT($D113,1))),""))</f>
        <v/>
      </c>
      <c r="P113" s="33">
        <f>IF(OR($E113="",$F113=""),"",IF(AND(P$4&lt;=$F113,P$4+6&gt;=$E113),IF($F113-$E113&lt;=2,"◆",IF($H113="Yes","X",LEFT($D113,1))),""))</f>
        <v/>
      </c>
      <c r="Q113" s="33">
        <f>IF(OR($E113="",$F113=""),"",IF(AND(Q$4&lt;=$F113,Q$4+6&gt;=$E113),IF($F113-$E113&lt;=2,"◆",IF($H113="Yes","X",LEFT($D113,1))),""))</f>
        <v/>
      </c>
      <c r="R113" s="33">
        <f>IF(OR($E113="",$F113=""),"",IF(AND(R$4&lt;=$F113,R$4+6&gt;=$E113),IF($F113-$E113&lt;=2,"◆",IF($H113="Yes","X",LEFT($D113,1))),""))</f>
        <v/>
      </c>
      <c r="S113" s="33">
        <f>IF(OR($E113="",$F113=""),"",IF(AND(S$4&lt;=$F113,S$4+6&gt;=$E113),IF($F113-$E113&lt;=2,"◆",IF($H113="Yes","X",LEFT($D113,1))),""))</f>
        <v/>
      </c>
      <c r="T113" s="33">
        <f>IF(OR($E113="",$F113=""),"",IF(AND(T$4&lt;=$F113,T$4+6&gt;=$E113),IF($F113-$E113&lt;=2,"◆",IF($H113="Yes","X",LEFT($D113,1))),""))</f>
        <v/>
      </c>
      <c r="U113" s="33">
        <f>IF(OR($E113="",$F113=""),"",IF(AND(U$4&lt;=$F113,U$4+6&gt;=$E113),IF($F113-$E113&lt;=2,"◆",IF($H113="Yes","X",LEFT($D113,1))),""))</f>
        <v/>
      </c>
      <c r="V113" s="33">
        <f>IF(OR($E113="",$F113=""),"",IF(AND(V$4&lt;=$F113,V$4+6&gt;=$E113),IF($F113-$E113&lt;=2,"◆",IF($H113="Yes","X",LEFT($D113,1))),""))</f>
        <v/>
      </c>
      <c r="W113" s="33">
        <f>IF(OR($E113="",$F113=""),"",IF(AND(W$4&lt;=$F113,W$4+6&gt;=$E113),IF($F113-$E113&lt;=2,"◆",IF($H113="Yes","X",LEFT($D113,1))),""))</f>
        <v/>
      </c>
      <c r="X113" s="33">
        <f>IF(OR($E113="",$F113=""),"",IF(AND(X$4&lt;=$F113,X$4+6&gt;=$E113),IF($F113-$E113&lt;=2,"◆",IF($H113="Yes","X",LEFT($D113,1))),""))</f>
        <v/>
      </c>
      <c r="Y113" s="33">
        <f>IF(OR($E113="",$F113=""),"",IF(AND(Y$4&lt;=$F113,Y$4+6&gt;=$E113),IF($F113-$E113&lt;=2,"◆",IF($H113="Yes","X",LEFT($D113,1))),""))</f>
        <v/>
      </c>
      <c r="Z113" s="33">
        <f>IF(OR($E113="",$F113=""),"",IF(AND(Z$4&lt;=$F113,Z$4+6&gt;=$E113),IF($F113-$E113&lt;=2,"◆",IF($H113="Yes","X",LEFT($D113,1))),""))</f>
        <v/>
      </c>
      <c r="AA113" s="33">
        <f>IF(OR($E113="",$F113=""),"",IF(AND(AA$4&lt;=$F113,AA$4+6&gt;=$E113),IF($F113-$E113&lt;=2,"◆",IF($H113="Yes","X",LEFT($D113,1))),""))</f>
        <v/>
      </c>
      <c r="AB113" s="33">
        <f>IF(OR($E113="",$F113=""),"",IF(AND(AB$4&lt;=$F113,AB$4+6&gt;=$E113),IF($F113-$E113&lt;=2,"◆",IF($H113="Yes","X",LEFT($D113,1))),""))</f>
        <v/>
      </c>
      <c r="AC113" s="33">
        <f>IF(OR($E113="",$F113=""),"",IF(AND(AC$4&lt;=$F113,AC$4+6&gt;=$E113),IF($F113-$E113&lt;=2,"◆",IF($H113="Yes","X",LEFT($D113,1))),""))</f>
        <v/>
      </c>
      <c r="AD113" s="33">
        <f>IF(OR($E113="",$F113=""),"",IF(AND(AD$4&lt;=$F113,AD$4+6&gt;=$E113),IF($F113-$E113&lt;=2,"◆",IF($H113="Yes","X",LEFT($D113,1))),""))</f>
        <v/>
      </c>
      <c r="AE113" s="33">
        <f>IF(OR($E113="",$F113=""),"",IF(AND(AE$4&lt;=$F113,AE$4+6&gt;=$E113),IF($F113-$E113&lt;=2,"◆",IF($H113="Yes","X",LEFT($D113,1))),""))</f>
        <v/>
      </c>
      <c r="AF113" s="33">
        <f>IF(OR($E113="",$F113=""),"",IF(AND(AF$4&lt;=$F113,AF$4+6&gt;=$E113),IF($F113-$E113&lt;=2,"◆",IF($H113="Yes","X",LEFT($D113,1))),""))</f>
        <v/>
      </c>
      <c r="AG113" s="33">
        <f>IF(OR($E113="",$F113=""),"",IF(AND(AG$4&lt;=$F113,AG$4+6&gt;=$E113),IF($F113-$E113&lt;=2,"◆",IF($H113="Yes","X",LEFT($D113,1))),""))</f>
        <v/>
      </c>
      <c r="AH113" s="33">
        <f>IF(OR($E113="",$F113=""),"",IF(AND(AH$4&lt;=$F113,AH$4+6&gt;=$E113),IF($F113-$E113&lt;=2,"◆",IF($H113="Yes","X",LEFT($D113,1))),""))</f>
        <v/>
      </c>
      <c r="AI113" s="33">
        <f>IF(OR($E113="",$F113=""),"",IF(AND(AI$4&lt;=$F113,AI$4+6&gt;=$E113),IF($F113-$E113&lt;=2,"◆",IF($H113="Yes","X",LEFT($D113,1))),""))</f>
        <v/>
      </c>
      <c r="AJ113" s="33">
        <f>IF(OR($E113="",$F113=""),"",IF(AND(AJ$4&lt;=$F113,AJ$4+6&gt;=$E113),IF($F113-$E113&lt;=2,"◆",IF($H113="Yes","X",LEFT($D113,1))),""))</f>
        <v/>
      </c>
      <c r="AK113" s="33">
        <f>IF(OR($E113="",$F113=""),"",IF(AND(AK$4&lt;=$F113,AK$4+6&gt;=$E113),IF($F113-$E113&lt;=2,"◆",IF($H113="Yes","X",LEFT($D113,1))),""))</f>
        <v/>
      </c>
      <c r="AL113" s="33">
        <f>IF(OR($E113="",$F113=""),"",IF(AND(AL$4&lt;=$F113,AL$4+6&gt;=$E113),IF($F113-$E113&lt;=2,"◆",IF($H113="Yes","X",LEFT($D113,1))),""))</f>
        <v/>
      </c>
      <c r="AM113" s="33">
        <f>IF(OR($E113="",$F113=""),"",IF(AND(AM$4&lt;=$F113,AM$4+6&gt;=$E113),IF($F113-$E113&lt;=2,"◆",IF($H113="Yes","X",LEFT($D113,1))),""))</f>
        <v/>
      </c>
      <c r="AN113" s="33">
        <f>IF(OR($E113="",$F113=""),"",IF(AND(AN$4&lt;=$F113,AN$4+6&gt;=$E113),IF($F113-$E113&lt;=2,"◆",IF($H113="Yes","X",LEFT($D113,1))),""))</f>
        <v/>
      </c>
      <c r="AO113" s="33">
        <f>IF(OR($E113="",$F113=""),"",IF(AND(AO$4&lt;=$F113,AO$4+6&gt;=$E113),IF($F113-$E113&lt;=2,"◆",IF($H113="Yes","X",LEFT($D113,1))),""))</f>
        <v/>
      </c>
      <c r="AP113" s="33">
        <f>IF(OR($E113="",$F113=""),"",IF(AND(AP$4&lt;=$F113,AP$4+6&gt;=$E113),IF($F113-$E113&lt;=2,"◆",IF($H113="Yes","X",LEFT($D113,1))),""))</f>
        <v/>
      </c>
      <c r="AQ113" s="33">
        <f>IF(OR($E113="",$F113=""),"",IF(AND(AQ$4&lt;=$F113,AQ$4+6&gt;=$E113),IF($F113-$E113&lt;=2,"◆",IF($H113="Yes","X",LEFT($D113,1))),""))</f>
        <v/>
      </c>
      <c r="AR113" s="33">
        <f>IF(OR($E113="",$F113=""),"",IF(AND(AR$4&lt;=$F113,AR$4+6&gt;=$E113),IF($F113-$E113&lt;=2,"◆",IF($H113="Yes","X",LEFT($D113,1))),""))</f>
        <v/>
      </c>
      <c r="AS113" s="33">
        <f>IF(OR($E113="",$F113=""),"",IF(AND(AS$4&lt;=$F113,AS$4+6&gt;=$E113),IF($F113-$E113&lt;=2,"◆",IF($H113="Yes","X",LEFT($D113,1))),""))</f>
        <v/>
      </c>
      <c r="AT113" s="33">
        <f>IF(OR($E113="",$F113=""),"",IF(AND(AT$4&lt;=$F113,AT$4+6&gt;=$E113),IF($F113-$E113&lt;=2,"◆",IF($H113="Yes","X",LEFT($D113,1))),""))</f>
        <v/>
      </c>
      <c r="AU113" s="33">
        <f>IF(OR($E113="",$F113=""),"",IF(AND(AU$4&lt;=$F113,AU$4+6&gt;=$E113),IF($F113-$E113&lt;=2,"◆",IF($H113="Yes","X",LEFT($D113,1))),""))</f>
        <v/>
      </c>
      <c r="AV113" s="33">
        <f>IF(OR($E113="",$F113=""),"",IF(AND(AV$4&lt;=$F113,AV$4+6&gt;=$E113),IF($F113-$E113&lt;=2,"◆",IF($H113="Yes","X",LEFT($D113,1))),""))</f>
        <v/>
      </c>
      <c r="AW113" s="33">
        <f>IF(OR($E113="",$F113=""),"",IF(AND(AW$4&lt;=$F113,AW$4+6&gt;=$E113),IF($F113-$E113&lt;=2,"◆",IF($H113="Yes","X",LEFT($D113,1))),""))</f>
        <v/>
      </c>
      <c r="AX113" s="33">
        <f>IF(OR($E113="",$F113=""),"",IF(AND(AX$4&lt;=$F113,AX$4+6&gt;=$E113),IF($F113-$E113&lt;=2,"◆",IF($H113="Yes","X",LEFT($D113,1))),""))</f>
        <v/>
      </c>
      <c r="AY113" s="33">
        <f>IF(OR($E113="",$F113=""),"",IF(AND(AY$4&lt;=$F113,AY$4+6&gt;=$E113),IF($F113-$E113&lt;=2,"◆",IF($H113="Yes","X",LEFT($D113,1))),""))</f>
        <v/>
      </c>
      <c r="AZ113" s="33">
        <f>IF(OR($E113="",$F113=""),"",IF(AND(AZ$4&lt;=$F113,AZ$4+6&gt;=$E113),IF($F113-$E113&lt;=2,"◆",IF($H113="Yes","X",LEFT($D113,1))),""))</f>
        <v/>
      </c>
      <c r="BA113" s="33">
        <f>IF(OR($E113="",$F113=""),"",IF(AND(BA$4&lt;=$F113,BA$4+6&gt;=$E113),IF($F113-$E113&lt;=2,"◆",IF($H113="Yes","X",LEFT($D113,1))),""))</f>
        <v/>
      </c>
      <c r="BB113" s="33">
        <f>IF(OR($E113="",$F113=""),"",IF(AND(BB$4&lt;=$F113,BB$4+6&gt;=$E113),IF($F113-$E113&lt;=2,"◆",IF($H113="Yes","X",LEFT($D113,1))),""))</f>
        <v/>
      </c>
      <c r="BC113" s="33">
        <f>IF(OR($E113="",$F113=""),"",IF(AND(BC$4&lt;=$F113,BC$4+6&gt;=$E113),IF($F113-$E113&lt;=2,"◆",IF($H113="Yes","X",LEFT($D113,1))),""))</f>
        <v/>
      </c>
      <c r="BD113" s="33">
        <f>IF(OR($E113="",$F113=""),"",IF(AND(BD$4&lt;=$F113,BD$4+6&gt;=$E113),IF($F113-$E113&lt;=2,"◆",IF($H113="Yes","X",LEFT($D113,1))),""))</f>
        <v/>
      </c>
      <c r="BE113" s="33">
        <f>IF(OR($E113="",$F113=""),"",IF(AND(BE$4&lt;=$F113,BE$4+6&gt;=$E113),IF($F113-$E113&lt;=2,"◆",IF($H113="Yes","X",LEFT($D113,1))),""))</f>
        <v/>
      </c>
      <c r="BF113" s="33">
        <f>IF(OR($E113="",$F113=""),"",IF(AND(BF$4&lt;=$F113,BF$4+6&gt;=$E113),IF($F113-$E113&lt;=2,"◆",IF($H113="Yes","X",LEFT($D113,1))),""))</f>
        <v/>
      </c>
      <c r="BG113" s="33">
        <f>IF(OR($E113="",$F113=""),"",IF(AND(BG$4&lt;=$F113,BG$4+6&gt;=$E113),IF($F113-$E113&lt;=2,"◆",IF($H113="Yes","X",LEFT($D113,1))),""))</f>
        <v/>
      </c>
      <c r="BH113" s="33">
        <f>IF(OR($E113="",$F113=""),"",IF(AND(BH$4&lt;=$F113,BH$4+6&gt;=$E113),IF($F113-$E113&lt;=2,"◆",IF($H113="Yes","X",LEFT($D113,1))),""))</f>
        <v/>
      </c>
      <c r="BI113" s="33">
        <f>IF(OR($E113="",$F113=""),"",IF(AND(BI$4&lt;=$F113,BI$4+6&gt;=$E113),IF($F113-$E113&lt;=2,"◆",IF($H113="Yes","X",LEFT($D113,1))),""))</f>
        <v/>
      </c>
    </row>
    <row r="116">
      <c r="A116" s="10" t="inlineStr">
        <is>
          <t>MONTHLY VIEW — Task count active per month (formula)</t>
        </is>
      </c>
    </row>
    <row r="117">
      <c r="A117" s="22" t="inlineStr">
        <is>
          <t>Month</t>
        </is>
      </c>
      <c r="B117" s="34" t="n">
        <v>46204</v>
      </c>
      <c r="C117" s="34" t="n">
        <v>46235</v>
      </c>
      <c r="D117" s="34" t="n">
        <v>46266</v>
      </c>
      <c r="E117" s="34" t="n">
        <v>46296</v>
      </c>
      <c r="F117" s="34" t="n">
        <v>46327</v>
      </c>
      <c r="G117" s="34" t="n">
        <v>46357</v>
      </c>
      <c r="H117" s="34" t="n">
        <v>46388</v>
      </c>
      <c r="I117" s="34" t="n">
        <v>46419</v>
      </c>
      <c r="J117" s="34" t="n">
        <v>46447</v>
      </c>
      <c r="K117" s="34" t="n">
        <v>46478</v>
      </c>
      <c r="L117" s="34" t="n">
        <v>46508</v>
      </c>
      <c r="M117" s="34" t="n">
        <v>46539</v>
      </c>
    </row>
    <row r="118">
      <c r="B118">
        <f>SUMPRODUCT(('Project Tracker'!$N$5:$N$113&lt;=EOMONTH(B$117,0))*('Project Tracker'!$O$5:$O$113&gt;=B$117)*1)</f>
        <v/>
      </c>
      <c r="C118">
        <f>SUMPRODUCT(('Project Tracker'!$N$5:$N$113&lt;=EOMONTH(C$117,0))*('Project Tracker'!$O$5:$O$113&gt;=C$117)*1)</f>
        <v/>
      </c>
      <c r="D118">
        <f>SUMPRODUCT(('Project Tracker'!$N$5:$N$113&lt;=EOMONTH(D$117,0))*('Project Tracker'!$O$5:$O$113&gt;=D$117)*1)</f>
        <v/>
      </c>
      <c r="E118">
        <f>SUMPRODUCT(('Project Tracker'!$N$5:$N$113&lt;=EOMONTH(E$117,0))*('Project Tracker'!$O$5:$O$113&gt;=E$117)*1)</f>
        <v/>
      </c>
      <c r="F118">
        <f>SUMPRODUCT(('Project Tracker'!$N$5:$N$113&lt;=EOMONTH(F$117,0))*('Project Tracker'!$O$5:$O$113&gt;=F$117)*1)</f>
        <v/>
      </c>
      <c r="G118">
        <f>SUMPRODUCT(('Project Tracker'!$N$5:$N$113&lt;=EOMONTH(G$117,0))*('Project Tracker'!$O$5:$O$113&gt;=G$117)*1)</f>
        <v/>
      </c>
      <c r="H118">
        <f>SUMPRODUCT(('Project Tracker'!$N$5:$N$113&lt;=EOMONTH(H$117,0))*('Project Tracker'!$O$5:$O$113&gt;=H$117)*1)</f>
        <v/>
      </c>
      <c r="I118">
        <f>SUMPRODUCT(('Project Tracker'!$N$5:$N$113&lt;=EOMONTH(I$117,0))*('Project Tracker'!$O$5:$O$113&gt;=I$117)*1)</f>
        <v/>
      </c>
      <c r="J118">
        <f>SUMPRODUCT(('Project Tracker'!$N$5:$N$113&lt;=EOMONTH(J$117,0))*('Project Tracker'!$O$5:$O$113&gt;=J$117)*1)</f>
        <v/>
      </c>
      <c r="K118">
        <f>SUMPRODUCT(('Project Tracker'!$N$5:$N$113&lt;=EOMONTH(K$117,0))*('Project Tracker'!$O$5:$O$113&gt;=K$117)*1)</f>
        <v/>
      </c>
      <c r="L118">
        <f>SUMPRODUCT(('Project Tracker'!$N$5:$N$113&lt;=EOMONTH(L$117,0))*('Project Tracker'!$O$5:$O$113&gt;=L$117)*1)</f>
        <v/>
      </c>
      <c r="M118">
        <f>SUMPRODUCT(('Project Tracker'!$N$5:$N$113&lt;=EOMONTH(M$117,0))*('Project Tracker'!$O$5:$O$113&gt;=M$117)*1)</f>
        <v/>
      </c>
    </row>
    <row r="121">
      <c r="A121" s="10" t="inlineStr">
        <is>
          <t>QUARTERLY VIEW — Active tasks by quarter</t>
        </is>
      </c>
    </row>
    <row r="122">
      <c r="B122" s="35" t="inlineStr">
        <is>
          <t>FY27-Q1</t>
        </is>
      </c>
      <c r="C122" s="35" t="inlineStr">
        <is>
          <t>FY27-Q2</t>
        </is>
      </c>
      <c r="D122" s="35" t="inlineStr">
        <is>
          <t>FY27-Q3</t>
        </is>
      </c>
      <c r="E122" s="35" t="inlineStr">
        <is>
          <t>FY27-Q4</t>
        </is>
      </c>
    </row>
    <row r="123">
      <c r="A123" t="inlineStr">
        <is>
          <t>Start</t>
        </is>
      </c>
      <c r="B123" s="36" t="n">
        <v>46204</v>
      </c>
      <c r="C123" s="36" t="n">
        <v>46296</v>
      </c>
      <c r="D123" s="36" t="n">
        <v>46388</v>
      </c>
      <c r="E123" s="36" t="n">
        <v>46478</v>
      </c>
    </row>
    <row r="124">
      <c r="A124" t="inlineStr">
        <is>
          <t>End</t>
        </is>
      </c>
      <c r="B124" s="36" t="n">
        <v>46295</v>
      </c>
      <c r="C124" s="36" t="n">
        <v>46387</v>
      </c>
      <c r="D124" s="36" t="n">
        <v>46477</v>
      </c>
      <c r="E124" s="36" t="n">
        <v>46568</v>
      </c>
    </row>
    <row r="125">
      <c r="A125" t="inlineStr">
        <is>
          <t>Active Tasks</t>
        </is>
      </c>
      <c r="B125">
        <f>SUMPRODUCT(('Project Tracker'!$N$5:$N$113&lt;=B124)*('Project Tracker'!$O$5:$O$113&gt;=B123)*1)</f>
        <v/>
      </c>
      <c r="C125">
        <f>SUMPRODUCT(('Project Tracker'!$N$5:$N$113&lt;=C124)*('Project Tracker'!$O$5:$O$113&gt;=C123)*1)</f>
        <v/>
      </c>
      <c r="D125">
        <f>SUMPRODUCT(('Project Tracker'!$N$5:$N$113&lt;=D124)*('Project Tracker'!$O$5:$O$113&gt;=D123)*1)</f>
        <v/>
      </c>
      <c r="E125">
        <f>SUMPRODUCT(('Project Tracker'!$N$5:$N$113&lt;=E124)*('Project Tracker'!$O$5:$O$113&gt;=E123)*1)</f>
        <v/>
      </c>
    </row>
  </sheetData>
  <mergeCells count="2">
    <mergeCell ref="A2:L2"/>
    <mergeCell ref="A1:L1"/>
  </mergeCells>
  <conditionalFormatting sqref="I4:BI4">
    <cfRule type="expression" priority="1" dxfId="5">
      <formula>AND(TODAY()&gt;=I4,TODAY()&lt;I4+7)</formula>
    </cfRule>
  </conditionalFormatting>
  <conditionalFormatting sqref="I5:BI113">
    <cfRule type="cellIs" priority="2" operator="equal" dxfId="6">
      <formula>"C"</formula>
    </cfRule>
    <cfRule type="cellIs" priority="3" operator="equal" dxfId="7">
      <formula>"I"</formula>
    </cfRule>
    <cfRule type="cellIs" priority="4" operator="equal" dxfId="8">
      <formula>"A"</formula>
    </cfRule>
    <cfRule type="cellIs" priority="5" operator="equal" dxfId="9">
      <formula>"B"</formula>
    </cfRule>
    <cfRule type="cellIs" priority="6" operator="equal" dxfId="10">
      <formula>"N"</formula>
    </cfRule>
    <cfRule type="cellIs" priority="7" operator="equal" dxfId="11">
      <formula>"X"</formula>
    </cfRule>
    <cfRule type="cellIs" priority="8" operator="equal" dxfId="12">
      <formula>"◆"</formula>
    </cfRule>
  </conditionalFormatting>
  <conditionalFormatting sqref="D5:D113">
    <cfRule type="cellIs" priority="9" operator="equal" dxfId="13">
      <formula>"Completed"</formula>
    </cfRule>
    <cfRule type="cellIs" priority="10" operator="equal" dxfId="14">
      <formula>"In Progress"</formula>
    </cfRule>
    <cfRule type="cellIs" priority="11" operator="equal" dxfId="15">
      <formula>"At Risk"</formula>
    </cfRule>
    <cfRule type="cellIs" priority="12" operator="equal" dxfId="16">
      <formula>"Blocked"</formula>
    </cfRule>
    <cfRule type="cellIs" priority="13" operator="equal" dxfId="17">
      <formula>"Not Started"</formula>
    </cfRule>
  </conditionalFormatting>
  <printOptions horizontalCentered="1"/>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27"/>
  <sheetViews>
    <sheetView workbookViewId="0">
      <pane ySplit="4" topLeftCell="A5" activePane="bottomLeft" state="frozen"/>
      <selection pane="bottomLeft" activeCell="A1" sqref="A1"/>
    </sheetView>
  </sheetViews>
  <sheetFormatPr baseColWidth="8" defaultRowHeight="15"/>
  <cols>
    <col width="18" customWidth="1" min="1" max="1"/>
    <col width="26" customWidth="1" min="2" max="2"/>
    <col width="12" customWidth="1" min="3" max="3"/>
    <col width="14" customWidth="1" min="4" max="4"/>
    <col width="14" customWidth="1" min="5" max="5"/>
    <col width="12" customWidth="1" min="6" max="6"/>
    <col width="12" customWidth="1" min="7" max="7"/>
    <col width="10" customWidth="1" min="8" max="8"/>
    <col width="14" customWidth="1" min="9" max="9"/>
  </cols>
  <sheetData>
    <row r="1">
      <c r="A1" s="20" t="inlineStr">
        <is>
          <t>RESOURCE PLANNING — CAPACITY &amp; UTILIZATION</t>
        </is>
      </c>
    </row>
    <row r="2">
      <c r="A2" s="37" t="inlineStr">
        <is>
          <t>Allocated Hours roll up from Project Tracker by Owner. Utilization &amp; Overallocation are formula-driven.</t>
        </is>
      </c>
    </row>
    <row r="4">
      <c r="A4" s="22" t="inlineStr">
        <is>
          <t>Resource</t>
        </is>
      </c>
      <c r="B4" s="22" t="inlineStr">
        <is>
          <t>Role</t>
        </is>
      </c>
      <c r="C4" s="22" t="inlineStr">
        <is>
          <t>Capacity (h)</t>
        </is>
      </c>
      <c r="D4" s="22" t="inlineStr">
        <is>
          <t>Allocated Hours</t>
        </is>
      </c>
      <c r="E4" s="22" t="inlineStr">
        <is>
          <t>Remaining Hours</t>
        </is>
      </c>
      <c r="F4" s="22" t="inlineStr">
        <is>
          <t>Utilization %</t>
        </is>
      </c>
      <c r="G4" s="22" t="inlineStr">
        <is>
          <t>Vacation (h)</t>
        </is>
      </c>
      <c r="H4" s="22" t="inlineStr">
        <is>
          <t>Leave (h)</t>
        </is>
      </c>
      <c r="I4" s="22" t="inlineStr">
        <is>
          <t>Overallocated?</t>
        </is>
      </c>
    </row>
    <row r="5">
      <c r="A5" s="38" t="inlineStr">
        <is>
          <t>Jawahar</t>
        </is>
      </c>
      <c r="B5" s="38" t="inlineStr">
        <is>
          <t>Tech Lead — Platform / Core</t>
        </is>
      </c>
      <c r="C5" s="38" t="n">
        <v>5900</v>
      </c>
      <c r="D5" s="38">
        <f>SUMIF('Project Tracker'!$J$5:$J$113,A5,'Project Tracker'!$R$5:$R$113)</f>
        <v/>
      </c>
      <c r="E5" s="38">
        <f>C5-G5-H5-D5</f>
        <v/>
      </c>
      <c r="F5" s="39">
        <f>IF((C5-G5-H5)=0,0,D5/(C5-G5-H5))</f>
        <v/>
      </c>
      <c r="G5" s="38" t="n">
        <v>80</v>
      </c>
      <c r="H5" s="38" t="n">
        <v>24</v>
      </c>
      <c r="I5" s="38">
        <f>IF(D5&gt;(C5-G5-H5),"YES","")</f>
        <v/>
      </c>
    </row>
    <row r="6">
      <c r="A6" s="38" t="inlineStr">
        <is>
          <t>Kadarkarai</t>
        </is>
      </c>
      <c r="B6" s="38" t="inlineStr">
        <is>
          <t>Engineer — Platform</t>
        </is>
      </c>
      <c r="C6" s="38" t="n">
        <v>1200</v>
      </c>
      <c r="D6" s="38">
        <f>SUMIF('Project Tracker'!$J$5:$J$113,A6,'Project Tracker'!$R$5:$R$113)</f>
        <v/>
      </c>
      <c r="E6" s="38">
        <f>C6-G6-H6-D6</f>
        <v/>
      </c>
      <c r="F6" s="39">
        <f>IF((C6-G6-H6)=0,0,D6/(C6-G6-H6))</f>
        <v/>
      </c>
      <c r="G6" s="38" t="n">
        <v>40</v>
      </c>
      <c r="H6" s="38" t="n">
        <v>24</v>
      </c>
      <c r="I6" s="38">
        <f>IF(D6&gt;(C6-G6-H6),"YES","")</f>
        <v/>
      </c>
    </row>
    <row r="7">
      <c r="A7" s="38" t="inlineStr">
        <is>
          <t>MJ</t>
        </is>
      </c>
      <c r="B7" s="38" t="inlineStr">
        <is>
          <t>EM / Tech Lead — CS</t>
        </is>
      </c>
      <c r="C7" s="38" t="n">
        <v>6850</v>
      </c>
      <c r="D7" s="38">
        <f>SUMIF('Project Tracker'!$J$5:$J$113,A7,'Project Tracker'!$R$5:$R$113)</f>
        <v/>
      </c>
      <c r="E7" s="38">
        <f>C7-G7-H7-D7</f>
        <v/>
      </c>
      <c r="F7" s="39">
        <f>IF((C7-G7-H7)=0,0,D7/(C7-G7-H7))</f>
        <v/>
      </c>
      <c r="G7" s="38" t="n">
        <v>80</v>
      </c>
      <c r="H7" s="38" t="n">
        <v>24</v>
      </c>
      <c r="I7" s="38">
        <f>IF(D7&gt;(C7-G7-H7),"YES","")</f>
        <v/>
      </c>
    </row>
    <row r="8">
      <c r="A8" s="38" t="inlineStr">
        <is>
          <t>Shriguru</t>
        </is>
      </c>
      <c r="B8" s="38" t="inlineStr">
        <is>
          <t>Engineer — Achievo / Rewards</t>
        </is>
      </c>
      <c r="C8" s="38" t="n">
        <v>1200</v>
      </c>
      <c r="D8" s="38">
        <f>SUMIF('Project Tracker'!$J$5:$J$113,A8,'Project Tracker'!$R$5:$R$113)</f>
        <v/>
      </c>
      <c r="E8" s="38">
        <f>C8-G8-H8-D8</f>
        <v/>
      </c>
      <c r="F8" s="39">
        <f>IF((C8-G8-H8)=0,0,D8/(C8-G8-H8))</f>
        <v/>
      </c>
      <c r="G8" s="38" t="n">
        <v>40</v>
      </c>
      <c r="H8" s="38" t="n">
        <v>24</v>
      </c>
      <c r="I8" s="38">
        <f>IF(D8&gt;(C8-G8-H8),"YES","")</f>
        <v/>
      </c>
    </row>
    <row r="9">
      <c r="A9" s="38" t="inlineStr">
        <is>
          <t>Siva</t>
        </is>
      </c>
      <c r="B9" s="38" t="inlineStr">
        <is>
          <t>Tech Lead — Data / PIS</t>
        </is>
      </c>
      <c r="C9" s="38" t="n">
        <v>3150</v>
      </c>
      <c r="D9" s="38">
        <f>SUMIF('Project Tracker'!$J$5:$J$113,A9,'Project Tracker'!$R$5:$R$113)</f>
        <v/>
      </c>
      <c r="E9" s="38">
        <f>C9-G9-H9-D9</f>
        <v/>
      </c>
      <c r="F9" s="39">
        <f>IF((C9-G9-H9)=0,0,D9/(C9-G9-H9))</f>
        <v/>
      </c>
      <c r="G9" s="38" t="n">
        <v>80</v>
      </c>
      <c r="H9" s="38" t="n">
        <v>24</v>
      </c>
      <c r="I9" s="38">
        <f>IF(D9&gt;(C9-G9-H9),"YES","")</f>
        <v/>
      </c>
    </row>
    <row r="12">
      <c r="A12" s="10" t="inlineStr">
        <is>
          <t>MONTHLY ALLOCATION (Planned Hours by Owner × Month)</t>
        </is>
      </c>
    </row>
    <row r="13">
      <c r="A13" s="40" t="inlineStr">
        <is>
          <t>Resource</t>
        </is>
      </c>
      <c r="B13" s="34" t="n">
        <v>46204</v>
      </c>
      <c r="C13" s="34" t="n">
        <v>46235</v>
      </c>
      <c r="D13" s="34" t="n">
        <v>46266</v>
      </c>
      <c r="E13" s="34" t="n">
        <v>46296</v>
      </c>
      <c r="F13" s="34" t="n">
        <v>46327</v>
      </c>
      <c r="G13" s="34" t="n">
        <v>46357</v>
      </c>
      <c r="H13" s="34" t="n">
        <v>46388</v>
      </c>
      <c r="I13" s="34" t="n">
        <v>46419</v>
      </c>
      <c r="J13" s="34" t="n">
        <v>46447</v>
      </c>
      <c r="K13" s="34" t="n">
        <v>46478</v>
      </c>
      <c r="L13" s="34" t="n">
        <v>46508</v>
      </c>
      <c r="M13" s="34" t="n">
        <v>46539</v>
      </c>
    </row>
    <row r="14">
      <c r="A14" t="inlineStr">
        <is>
          <t>Jawahar</t>
        </is>
      </c>
      <c r="B14" s="41">
        <f>SUMPRODUCT(('Project Tracker'!$J$5:$J$113=A14)*('Project Tracker'!$N$5:$N$113&lt;=EOMONTH(B$13,0))*('Project Tracker'!$O$5:$O$113&gt;=B$13)*('Project Tracker'!$R$5:$R$113))</f>
        <v/>
      </c>
      <c r="C14" s="41">
        <f>SUMPRODUCT(('Project Tracker'!$J$5:$J$113=A14)*('Project Tracker'!$N$5:$N$113&lt;=EOMONTH(C$13,0))*('Project Tracker'!$O$5:$O$113&gt;=C$13)*('Project Tracker'!$R$5:$R$113))</f>
        <v/>
      </c>
      <c r="D14" s="41">
        <f>SUMPRODUCT(('Project Tracker'!$J$5:$J$113=A14)*('Project Tracker'!$N$5:$N$113&lt;=EOMONTH(D$13,0))*('Project Tracker'!$O$5:$O$113&gt;=D$13)*('Project Tracker'!$R$5:$R$113))</f>
        <v/>
      </c>
      <c r="E14" s="41">
        <f>SUMPRODUCT(('Project Tracker'!$J$5:$J$113=A14)*('Project Tracker'!$N$5:$N$113&lt;=EOMONTH(E$13,0))*('Project Tracker'!$O$5:$O$113&gt;=E$13)*('Project Tracker'!$R$5:$R$113))</f>
        <v/>
      </c>
      <c r="F14" s="41">
        <f>SUMPRODUCT(('Project Tracker'!$J$5:$J$113=A14)*('Project Tracker'!$N$5:$N$113&lt;=EOMONTH(F$13,0))*('Project Tracker'!$O$5:$O$113&gt;=F$13)*('Project Tracker'!$R$5:$R$113))</f>
        <v/>
      </c>
      <c r="G14" s="41">
        <f>SUMPRODUCT(('Project Tracker'!$J$5:$J$113=A14)*('Project Tracker'!$N$5:$N$113&lt;=EOMONTH(G$13,0))*('Project Tracker'!$O$5:$O$113&gt;=G$13)*('Project Tracker'!$R$5:$R$113))</f>
        <v/>
      </c>
      <c r="H14" s="41">
        <f>SUMPRODUCT(('Project Tracker'!$J$5:$J$113=A14)*('Project Tracker'!$N$5:$N$113&lt;=EOMONTH(H$13,0))*('Project Tracker'!$O$5:$O$113&gt;=H$13)*('Project Tracker'!$R$5:$R$113))</f>
        <v/>
      </c>
      <c r="I14" s="41">
        <f>SUMPRODUCT(('Project Tracker'!$J$5:$J$113=A14)*('Project Tracker'!$N$5:$N$113&lt;=EOMONTH(I$13,0))*('Project Tracker'!$O$5:$O$113&gt;=I$13)*('Project Tracker'!$R$5:$R$113))</f>
        <v/>
      </c>
      <c r="J14" s="41">
        <f>SUMPRODUCT(('Project Tracker'!$J$5:$J$113=A14)*('Project Tracker'!$N$5:$N$113&lt;=EOMONTH(J$13,0))*('Project Tracker'!$O$5:$O$113&gt;=J$13)*('Project Tracker'!$R$5:$R$113))</f>
        <v/>
      </c>
      <c r="K14" s="41">
        <f>SUMPRODUCT(('Project Tracker'!$J$5:$J$113=A14)*('Project Tracker'!$N$5:$N$113&lt;=EOMONTH(K$13,0))*('Project Tracker'!$O$5:$O$113&gt;=K$13)*('Project Tracker'!$R$5:$R$113))</f>
        <v/>
      </c>
      <c r="L14" s="41">
        <f>SUMPRODUCT(('Project Tracker'!$J$5:$J$113=A14)*('Project Tracker'!$N$5:$N$113&lt;=EOMONTH(L$13,0))*('Project Tracker'!$O$5:$O$113&gt;=L$13)*('Project Tracker'!$R$5:$R$113))</f>
        <v/>
      </c>
      <c r="M14" s="41">
        <f>SUMPRODUCT(('Project Tracker'!$J$5:$J$113=A14)*('Project Tracker'!$N$5:$N$113&lt;=EOMONTH(M$13,0))*('Project Tracker'!$O$5:$O$113&gt;=M$13)*('Project Tracker'!$R$5:$R$113))</f>
        <v/>
      </c>
    </row>
    <row r="15">
      <c r="A15" t="inlineStr">
        <is>
          <t>Kadarkarai</t>
        </is>
      </c>
      <c r="B15" s="41">
        <f>SUMPRODUCT(('Project Tracker'!$J$5:$J$113=A15)*('Project Tracker'!$N$5:$N$113&lt;=EOMONTH(B$13,0))*('Project Tracker'!$O$5:$O$113&gt;=B$13)*('Project Tracker'!$R$5:$R$113))</f>
        <v/>
      </c>
      <c r="C15" s="41">
        <f>SUMPRODUCT(('Project Tracker'!$J$5:$J$113=A15)*('Project Tracker'!$N$5:$N$113&lt;=EOMONTH(C$13,0))*('Project Tracker'!$O$5:$O$113&gt;=C$13)*('Project Tracker'!$R$5:$R$113))</f>
        <v/>
      </c>
      <c r="D15" s="41">
        <f>SUMPRODUCT(('Project Tracker'!$J$5:$J$113=A15)*('Project Tracker'!$N$5:$N$113&lt;=EOMONTH(D$13,0))*('Project Tracker'!$O$5:$O$113&gt;=D$13)*('Project Tracker'!$R$5:$R$113))</f>
        <v/>
      </c>
      <c r="E15" s="41">
        <f>SUMPRODUCT(('Project Tracker'!$J$5:$J$113=A15)*('Project Tracker'!$N$5:$N$113&lt;=EOMONTH(E$13,0))*('Project Tracker'!$O$5:$O$113&gt;=E$13)*('Project Tracker'!$R$5:$R$113))</f>
        <v/>
      </c>
      <c r="F15" s="41">
        <f>SUMPRODUCT(('Project Tracker'!$J$5:$J$113=A15)*('Project Tracker'!$N$5:$N$113&lt;=EOMONTH(F$13,0))*('Project Tracker'!$O$5:$O$113&gt;=F$13)*('Project Tracker'!$R$5:$R$113))</f>
        <v/>
      </c>
      <c r="G15" s="41">
        <f>SUMPRODUCT(('Project Tracker'!$J$5:$J$113=A15)*('Project Tracker'!$N$5:$N$113&lt;=EOMONTH(G$13,0))*('Project Tracker'!$O$5:$O$113&gt;=G$13)*('Project Tracker'!$R$5:$R$113))</f>
        <v/>
      </c>
      <c r="H15" s="41">
        <f>SUMPRODUCT(('Project Tracker'!$J$5:$J$113=A15)*('Project Tracker'!$N$5:$N$113&lt;=EOMONTH(H$13,0))*('Project Tracker'!$O$5:$O$113&gt;=H$13)*('Project Tracker'!$R$5:$R$113))</f>
        <v/>
      </c>
      <c r="I15" s="41">
        <f>SUMPRODUCT(('Project Tracker'!$J$5:$J$113=A15)*('Project Tracker'!$N$5:$N$113&lt;=EOMONTH(I$13,0))*('Project Tracker'!$O$5:$O$113&gt;=I$13)*('Project Tracker'!$R$5:$R$113))</f>
        <v/>
      </c>
      <c r="J15" s="41">
        <f>SUMPRODUCT(('Project Tracker'!$J$5:$J$113=A15)*('Project Tracker'!$N$5:$N$113&lt;=EOMONTH(J$13,0))*('Project Tracker'!$O$5:$O$113&gt;=J$13)*('Project Tracker'!$R$5:$R$113))</f>
        <v/>
      </c>
      <c r="K15" s="41">
        <f>SUMPRODUCT(('Project Tracker'!$J$5:$J$113=A15)*('Project Tracker'!$N$5:$N$113&lt;=EOMONTH(K$13,0))*('Project Tracker'!$O$5:$O$113&gt;=K$13)*('Project Tracker'!$R$5:$R$113))</f>
        <v/>
      </c>
      <c r="L15" s="41">
        <f>SUMPRODUCT(('Project Tracker'!$J$5:$J$113=A15)*('Project Tracker'!$N$5:$N$113&lt;=EOMONTH(L$13,0))*('Project Tracker'!$O$5:$O$113&gt;=L$13)*('Project Tracker'!$R$5:$R$113))</f>
        <v/>
      </c>
      <c r="M15" s="41">
        <f>SUMPRODUCT(('Project Tracker'!$J$5:$J$113=A15)*('Project Tracker'!$N$5:$N$113&lt;=EOMONTH(M$13,0))*('Project Tracker'!$O$5:$O$113&gt;=M$13)*('Project Tracker'!$R$5:$R$113))</f>
        <v/>
      </c>
    </row>
    <row r="16">
      <c r="A16" t="inlineStr">
        <is>
          <t>MJ</t>
        </is>
      </c>
      <c r="B16" s="41">
        <f>SUMPRODUCT(('Project Tracker'!$J$5:$J$113=A16)*('Project Tracker'!$N$5:$N$113&lt;=EOMONTH(B$13,0))*('Project Tracker'!$O$5:$O$113&gt;=B$13)*('Project Tracker'!$R$5:$R$113))</f>
        <v/>
      </c>
      <c r="C16" s="41">
        <f>SUMPRODUCT(('Project Tracker'!$J$5:$J$113=A16)*('Project Tracker'!$N$5:$N$113&lt;=EOMONTH(C$13,0))*('Project Tracker'!$O$5:$O$113&gt;=C$13)*('Project Tracker'!$R$5:$R$113))</f>
        <v/>
      </c>
      <c r="D16" s="41">
        <f>SUMPRODUCT(('Project Tracker'!$J$5:$J$113=A16)*('Project Tracker'!$N$5:$N$113&lt;=EOMONTH(D$13,0))*('Project Tracker'!$O$5:$O$113&gt;=D$13)*('Project Tracker'!$R$5:$R$113))</f>
        <v/>
      </c>
      <c r="E16" s="41">
        <f>SUMPRODUCT(('Project Tracker'!$J$5:$J$113=A16)*('Project Tracker'!$N$5:$N$113&lt;=EOMONTH(E$13,0))*('Project Tracker'!$O$5:$O$113&gt;=E$13)*('Project Tracker'!$R$5:$R$113))</f>
        <v/>
      </c>
      <c r="F16" s="41">
        <f>SUMPRODUCT(('Project Tracker'!$J$5:$J$113=A16)*('Project Tracker'!$N$5:$N$113&lt;=EOMONTH(F$13,0))*('Project Tracker'!$O$5:$O$113&gt;=F$13)*('Project Tracker'!$R$5:$R$113))</f>
        <v/>
      </c>
      <c r="G16" s="41">
        <f>SUMPRODUCT(('Project Tracker'!$J$5:$J$113=A16)*('Project Tracker'!$N$5:$N$113&lt;=EOMONTH(G$13,0))*('Project Tracker'!$O$5:$O$113&gt;=G$13)*('Project Tracker'!$R$5:$R$113))</f>
        <v/>
      </c>
      <c r="H16" s="41">
        <f>SUMPRODUCT(('Project Tracker'!$J$5:$J$113=A16)*('Project Tracker'!$N$5:$N$113&lt;=EOMONTH(H$13,0))*('Project Tracker'!$O$5:$O$113&gt;=H$13)*('Project Tracker'!$R$5:$R$113))</f>
        <v/>
      </c>
      <c r="I16" s="41">
        <f>SUMPRODUCT(('Project Tracker'!$J$5:$J$113=A16)*('Project Tracker'!$N$5:$N$113&lt;=EOMONTH(I$13,0))*('Project Tracker'!$O$5:$O$113&gt;=I$13)*('Project Tracker'!$R$5:$R$113))</f>
        <v/>
      </c>
      <c r="J16" s="41">
        <f>SUMPRODUCT(('Project Tracker'!$J$5:$J$113=A16)*('Project Tracker'!$N$5:$N$113&lt;=EOMONTH(J$13,0))*('Project Tracker'!$O$5:$O$113&gt;=J$13)*('Project Tracker'!$R$5:$R$113))</f>
        <v/>
      </c>
      <c r="K16" s="41">
        <f>SUMPRODUCT(('Project Tracker'!$J$5:$J$113=A16)*('Project Tracker'!$N$5:$N$113&lt;=EOMONTH(K$13,0))*('Project Tracker'!$O$5:$O$113&gt;=K$13)*('Project Tracker'!$R$5:$R$113))</f>
        <v/>
      </c>
      <c r="L16" s="41">
        <f>SUMPRODUCT(('Project Tracker'!$J$5:$J$113=A16)*('Project Tracker'!$N$5:$N$113&lt;=EOMONTH(L$13,0))*('Project Tracker'!$O$5:$O$113&gt;=L$13)*('Project Tracker'!$R$5:$R$113))</f>
        <v/>
      </c>
      <c r="M16" s="41">
        <f>SUMPRODUCT(('Project Tracker'!$J$5:$J$113=A16)*('Project Tracker'!$N$5:$N$113&lt;=EOMONTH(M$13,0))*('Project Tracker'!$O$5:$O$113&gt;=M$13)*('Project Tracker'!$R$5:$R$113))</f>
        <v/>
      </c>
    </row>
    <row r="17">
      <c r="A17" t="inlineStr">
        <is>
          <t>Shriguru</t>
        </is>
      </c>
      <c r="B17" s="41">
        <f>SUMPRODUCT(('Project Tracker'!$J$5:$J$113=A17)*('Project Tracker'!$N$5:$N$113&lt;=EOMONTH(B$13,0))*('Project Tracker'!$O$5:$O$113&gt;=B$13)*('Project Tracker'!$R$5:$R$113))</f>
        <v/>
      </c>
      <c r="C17" s="41">
        <f>SUMPRODUCT(('Project Tracker'!$J$5:$J$113=A17)*('Project Tracker'!$N$5:$N$113&lt;=EOMONTH(C$13,0))*('Project Tracker'!$O$5:$O$113&gt;=C$13)*('Project Tracker'!$R$5:$R$113))</f>
        <v/>
      </c>
      <c r="D17" s="41">
        <f>SUMPRODUCT(('Project Tracker'!$J$5:$J$113=A17)*('Project Tracker'!$N$5:$N$113&lt;=EOMONTH(D$13,0))*('Project Tracker'!$O$5:$O$113&gt;=D$13)*('Project Tracker'!$R$5:$R$113))</f>
        <v/>
      </c>
      <c r="E17" s="41">
        <f>SUMPRODUCT(('Project Tracker'!$J$5:$J$113=A17)*('Project Tracker'!$N$5:$N$113&lt;=EOMONTH(E$13,0))*('Project Tracker'!$O$5:$O$113&gt;=E$13)*('Project Tracker'!$R$5:$R$113))</f>
        <v/>
      </c>
      <c r="F17" s="41">
        <f>SUMPRODUCT(('Project Tracker'!$J$5:$J$113=A17)*('Project Tracker'!$N$5:$N$113&lt;=EOMONTH(F$13,0))*('Project Tracker'!$O$5:$O$113&gt;=F$13)*('Project Tracker'!$R$5:$R$113))</f>
        <v/>
      </c>
      <c r="G17" s="41">
        <f>SUMPRODUCT(('Project Tracker'!$J$5:$J$113=A17)*('Project Tracker'!$N$5:$N$113&lt;=EOMONTH(G$13,0))*('Project Tracker'!$O$5:$O$113&gt;=G$13)*('Project Tracker'!$R$5:$R$113))</f>
        <v/>
      </c>
      <c r="H17" s="41">
        <f>SUMPRODUCT(('Project Tracker'!$J$5:$J$113=A17)*('Project Tracker'!$N$5:$N$113&lt;=EOMONTH(H$13,0))*('Project Tracker'!$O$5:$O$113&gt;=H$13)*('Project Tracker'!$R$5:$R$113))</f>
        <v/>
      </c>
      <c r="I17" s="41">
        <f>SUMPRODUCT(('Project Tracker'!$J$5:$J$113=A17)*('Project Tracker'!$N$5:$N$113&lt;=EOMONTH(I$13,0))*('Project Tracker'!$O$5:$O$113&gt;=I$13)*('Project Tracker'!$R$5:$R$113))</f>
        <v/>
      </c>
      <c r="J17" s="41">
        <f>SUMPRODUCT(('Project Tracker'!$J$5:$J$113=A17)*('Project Tracker'!$N$5:$N$113&lt;=EOMONTH(J$13,0))*('Project Tracker'!$O$5:$O$113&gt;=J$13)*('Project Tracker'!$R$5:$R$113))</f>
        <v/>
      </c>
      <c r="K17" s="41">
        <f>SUMPRODUCT(('Project Tracker'!$J$5:$J$113=A17)*('Project Tracker'!$N$5:$N$113&lt;=EOMONTH(K$13,0))*('Project Tracker'!$O$5:$O$113&gt;=K$13)*('Project Tracker'!$R$5:$R$113))</f>
        <v/>
      </c>
      <c r="L17" s="41">
        <f>SUMPRODUCT(('Project Tracker'!$J$5:$J$113=A17)*('Project Tracker'!$N$5:$N$113&lt;=EOMONTH(L$13,0))*('Project Tracker'!$O$5:$O$113&gt;=L$13)*('Project Tracker'!$R$5:$R$113))</f>
        <v/>
      </c>
      <c r="M17" s="41">
        <f>SUMPRODUCT(('Project Tracker'!$J$5:$J$113=A17)*('Project Tracker'!$N$5:$N$113&lt;=EOMONTH(M$13,0))*('Project Tracker'!$O$5:$O$113&gt;=M$13)*('Project Tracker'!$R$5:$R$113))</f>
        <v/>
      </c>
    </row>
    <row r="18">
      <c r="A18" t="inlineStr">
        <is>
          <t>Siva</t>
        </is>
      </c>
      <c r="B18" s="41">
        <f>SUMPRODUCT(('Project Tracker'!$J$5:$J$113=A18)*('Project Tracker'!$N$5:$N$113&lt;=EOMONTH(B$13,0))*('Project Tracker'!$O$5:$O$113&gt;=B$13)*('Project Tracker'!$R$5:$R$113))</f>
        <v/>
      </c>
      <c r="C18" s="41">
        <f>SUMPRODUCT(('Project Tracker'!$J$5:$J$113=A18)*('Project Tracker'!$N$5:$N$113&lt;=EOMONTH(C$13,0))*('Project Tracker'!$O$5:$O$113&gt;=C$13)*('Project Tracker'!$R$5:$R$113))</f>
        <v/>
      </c>
      <c r="D18" s="41">
        <f>SUMPRODUCT(('Project Tracker'!$J$5:$J$113=A18)*('Project Tracker'!$N$5:$N$113&lt;=EOMONTH(D$13,0))*('Project Tracker'!$O$5:$O$113&gt;=D$13)*('Project Tracker'!$R$5:$R$113))</f>
        <v/>
      </c>
      <c r="E18" s="41">
        <f>SUMPRODUCT(('Project Tracker'!$J$5:$J$113=A18)*('Project Tracker'!$N$5:$N$113&lt;=EOMONTH(E$13,0))*('Project Tracker'!$O$5:$O$113&gt;=E$13)*('Project Tracker'!$R$5:$R$113))</f>
        <v/>
      </c>
      <c r="F18" s="41">
        <f>SUMPRODUCT(('Project Tracker'!$J$5:$J$113=A18)*('Project Tracker'!$N$5:$N$113&lt;=EOMONTH(F$13,0))*('Project Tracker'!$O$5:$O$113&gt;=F$13)*('Project Tracker'!$R$5:$R$113))</f>
        <v/>
      </c>
      <c r="G18" s="41">
        <f>SUMPRODUCT(('Project Tracker'!$J$5:$J$113=A18)*('Project Tracker'!$N$5:$N$113&lt;=EOMONTH(G$13,0))*('Project Tracker'!$O$5:$O$113&gt;=G$13)*('Project Tracker'!$R$5:$R$113))</f>
        <v/>
      </c>
      <c r="H18" s="41">
        <f>SUMPRODUCT(('Project Tracker'!$J$5:$J$113=A18)*('Project Tracker'!$N$5:$N$113&lt;=EOMONTH(H$13,0))*('Project Tracker'!$O$5:$O$113&gt;=H$13)*('Project Tracker'!$R$5:$R$113))</f>
        <v/>
      </c>
      <c r="I18" s="41">
        <f>SUMPRODUCT(('Project Tracker'!$J$5:$J$113=A18)*('Project Tracker'!$N$5:$N$113&lt;=EOMONTH(I$13,0))*('Project Tracker'!$O$5:$O$113&gt;=I$13)*('Project Tracker'!$R$5:$R$113))</f>
        <v/>
      </c>
      <c r="J18" s="41">
        <f>SUMPRODUCT(('Project Tracker'!$J$5:$J$113=A18)*('Project Tracker'!$N$5:$N$113&lt;=EOMONTH(J$13,0))*('Project Tracker'!$O$5:$O$113&gt;=J$13)*('Project Tracker'!$R$5:$R$113))</f>
        <v/>
      </c>
      <c r="K18" s="41">
        <f>SUMPRODUCT(('Project Tracker'!$J$5:$J$113=A18)*('Project Tracker'!$N$5:$N$113&lt;=EOMONTH(K$13,0))*('Project Tracker'!$O$5:$O$113&gt;=K$13)*('Project Tracker'!$R$5:$R$113))</f>
        <v/>
      </c>
      <c r="L18" s="41">
        <f>SUMPRODUCT(('Project Tracker'!$J$5:$J$113=A18)*('Project Tracker'!$N$5:$N$113&lt;=EOMONTH(L$13,0))*('Project Tracker'!$O$5:$O$113&gt;=L$13)*('Project Tracker'!$R$5:$R$113))</f>
        <v/>
      </c>
      <c r="M18" s="41">
        <f>SUMPRODUCT(('Project Tracker'!$J$5:$J$113=A18)*('Project Tracker'!$N$5:$N$113&lt;=EOMONTH(M$13,0))*('Project Tracker'!$O$5:$O$113&gt;=M$13)*('Project Tracker'!$R$5:$R$113))</f>
        <v/>
      </c>
    </row>
    <row r="21">
      <c r="A21" s="10" t="inlineStr">
        <is>
          <t>QUARTER-WISE UTILIZATION %</t>
        </is>
      </c>
    </row>
    <row r="22">
      <c r="A22" s="40" t="inlineStr">
        <is>
          <t>Resource</t>
        </is>
      </c>
      <c r="B22" s="35" t="inlineStr">
        <is>
          <t>FY27-Q1</t>
        </is>
      </c>
      <c r="C22" s="35" t="inlineStr">
        <is>
          <t>FY27-Q2</t>
        </is>
      </c>
      <c r="D22" s="35" t="inlineStr">
        <is>
          <t>FY27-Q3</t>
        </is>
      </c>
      <c r="E22" s="35" t="inlineStr">
        <is>
          <t>FY27-Q4</t>
        </is>
      </c>
    </row>
    <row r="23">
      <c r="A23" t="inlineStr">
        <is>
          <t>Jawahar</t>
        </is>
      </c>
      <c r="B23" s="9">
        <f>IF(C5=0,0,SUM(B14:D14)/(C5/4))</f>
        <v/>
      </c>
      <c r="C23" s="9">
        <f>IF(C5=0,0,SUM(E14:G14)/(C5/4))</f>
        <v/>
      </c>
      <c r="D23" s="9">
        <f>IF(C5=0,0,SUM(H14:J14)/(C5/4))</f>
        <v/>
      </c>
      <c r="E23" s="9">
        <f>IF(C5=0,0,SUM(K14:M14)/(C5/4))</f>
        <v/>
      </c>
    </row>
    <row r="24">
      <c r="A24" t="inlineStr">
        <is>
          <t>Kadarkarai</t>
        </is>
      </c>
      <c r="B24" s="9">
        <f>IF(C6=0,0,SUM(B15:D15)/(C6/4))</f>
        <v/>
      </c>
      <c r="C24" s="9">
        <f>IF(C6=0,0,SUM(E15:G15)/(C6/4))</f>
        <v/>
      </c>
      <c r="D24" s="9">
        <f>IF(C6=0,0,SUM(H15:J15)/(C6/4))</f>
        <v/>
      </c>
      <c r="E24" s="9">
        <f>IF(C6=0,0,SUM(K15:M15)/(C6/4))</f>
        <v/>
      </c>
    </row>
    <row r="25">
      <c r="A25" t="inlineStr">
        <is>
          <t>MJ</t>
        </is>
      </c>
      <c r="B25" s="9">
        <f>IF(C7=0,0,SUM(B16:D16)/(C7/4))</f>
        <v/>
      </c>
      <c r="C25" s="9">
        <f>IF(C7=0,0,SUM(E16:G16)/(C7/4))</f>
        <v/>
      </c>
      <c r="D25" s="9">
        <f>IF(C7=0,0,SUM(H16:J16)/(C7/4))</f>
        <v/>
      </c>
      <c r="E25" s="9">
        <f>IF(C7=0,0,SUM(K16:M16)/(C7/4))</f>
        <v/>
      </c>
    </row>
    <row r="26">
      <c r="A26" t="inlineStr">
        <is>
          <t>Shriguru</t>
        </is>
      </c>
      <c r="B26" s="9">
        <f>IF(C8=0,0,SUM(B17:D17)/(C8/4))</f>
        <v/>
      </c>
      <c r="C26" s="9">
        <f>IF(C8=0,0,SUM(E17:G17)/(C8/4))</f>
        <v/>
      </c>
      <c r="D26" s="9">
        <f>IF(C8=0,0,SUM(H17:J17)/(C8/4))</f>
        <v/>
      </c>
      <c r="E26" s="9">
        <f>IF(C8=0,0,SUM(K17:M17)/(C8/4))</f>
        <v/>
      </c>
    </row>
    <row r="27">
      <c r="A27" t="inlineStr">
        <is>
          <t>Siva</t>
        </is>
      </c>
      <c r="B27" s="9">
        <f>IF(C9=0,0,SUM(B18:D18)/(C9/4))</f>
        <v/>
      </c>
      <c r="C27" s="9">
        <f>IF(C9=0,0,SUM(E18:G18)/(C9/4))</f>
        <v/>
      </c>
      <c r="D27" s="9">
        <f>IF(C9=0,0,SUM(H18:J18)/(C9/4))</f>
        <v/>
      </c>
      <c r="E27" s="9">
        <f>IF(C9=0,0,SUM(K18:M18)/(C9/4))</f>
        <v/>
      </c>
    </row>
  </sheetData>
  <conditionalFormatting sqref="F5:F9">
    <cfRule type="colorScale" priority="1">
      <colorScale>
        <cfvo type="num" val="0"/>
        <cfvo type="num" val="0.85"/>
        <cfvo type="num" val="1.2"/>
        <color rgb="0063BE7B"/>
        <color rgb="00FFEB84"/>
        <color rgb="00F8696B"/>
      </colorScale>
    </cfRule>
  </conditionalFormatting>
  <conditionalFormatting sqref="I5:I9">
    <cfRule type="cellIs" priority="2" operator="equal" dxfId="3">
      <formula>"YES"</formula>
    </cfRule>
  </conditionalFormatting>
  <conditionalFormatting sqref="B14:M18">
    <cfRule type="colorScale" priority="3">
      <colorScale>
        <cfvo type="min"/>
        <cfvo type="percentile" val="50"/>
        <cfvo type="max"/>
        <color rgb="00FFFFFF"/>
        <color rgb="009BC2E6"/>
        <color rgb="001F4E79"/>
      </colorScale>
    </cfRule>
  </conditionalFormatting>
  <conditionalFormatting sqref="B23:E27">
    <cfRule type="colorScale" priority="4">
      <colorScale>
        <cfvo type="num" val="0"/>
        <cfvo type="num" val="0.9"/>
        <cfvo type="num" val="1.3"/>
        <color rgb="0063BE7B"/>
        <color rgb="00FFEB84"/>
        <color rgb="00F8696B"/>
      </colorScale>
    </cfRule>
  </conditionalFormatting>
  <printOptions horizontalCentered="1"/>
  <pageMargins left="0.4" right="0.4" top="0.5" bottom="0.5" header="0.5" footer="0.5"/>
  <pageSetup orientation="landscape" fitToHeight="0" fitToWidth="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H27"/>
  <sheetViews>
    <sheetView workbookViewId="0">
      <pane ySplit="4" topLeftCell="A5" activePane="bottomLeft" state="frozen"/>
      <selection pane="bottomLeft" activeCell="A1" sqref="A1"/>
    </sheetView>
  </sheetViews>
  <sheetFormatPr baseColWidth="8" defaultRowHeight="15"/>
  <cols>
    <col width="12" customWidth="1" min="1" max="1"/>
    <col width="38" customWidth="1" min="2" max="2"/>
    <col width="18" customWidth="1" min="3" max="3"/>
    <col width="14" customWidth="1" min="4" max="4"/>
    <col width="14" customWidth="1" min="5" max="5"/>
    <col width="12" customWidth="1" min="6" max="6"/>
    <col width="12" customWidth="1" min="7" max="7"/>
    <col width="18" customWidth="1" min="8" max="8"/>
  </cols>
  <sheetData>
    <row r="1">
      <c r="A1" s="20" t="inlineStr">
        <is>
          <t>MILESTONES — FY27 GOVERNANCE</t>
        </is>
      </c>
    </row>
    <row r="2">
      <c r="A2" s="37" t="inlineStr">
        <is>
          <t>Delay and 'Upcoming within 14 days' are formula-driven.</t>
        </is>
      </c>
    </row>
    <row r="4">
      <c r="A4" s="22" t="inlineStr">
        <is>
          <t>Milestone ID</t>
        </is>
      </c>
      <c r="B4" s="22" t="inlineStr">
        <is>
          <t>Milestone</t>
        </is>
      </c>
      <c r="C4" s="22" t="inlineStr">
        <is>
          <t>Owner</t>
        </is>
      </c>
      <c r="D4" s="22" t="inlineStr">
        <is>
          <t>Planned Date</t>
        </is>
      </c>
      <c r="E4" s="22" t="inlineStr">
        <is>
          <t>Actual Date</t>
        </is>
      </c>
      <c r="F4" s="22" t="inlineStr">
        <is>
          <t>Status</t>
        </is>
      </c>
      <c r="G4" s="22" t="inlineStr">
        <is>
          <t>Delay (days)</t>
        </is>
      </c>
      <c r="H4" s="22" t="inlineStr">
        <is>
          <t>Upcoming within 14 days</t>
        </is>
      </c>
    </row>
    <row r="5">
      <c r="A5" s="38" t="inlineStr">
        <is>
          <t>M-01</t>
        </is>
      </c>
      <c r="B5" s="38" t="inlineStr">
        <is>
          <t>FY27 Planning Baseline Locked (FY27 V1)</t>
        </is>
      </c>
      <c r="C5" s="38" t="inlineStr">
        <is>
          <t>Jawahar</t>
        </is>
      </c>
      <c r="D5" s="42" t="n">
        <v>46213</v>
      </c>
      <c r="E5" s="42" t="n">
        <v>46211</v>
      </c>
      <c r="F5" s="38" t="inlineStr">
        <is>
          <t>Completed</t>
        </is>
      </c>
      <c r="G5" s="38">
        <f>IF(E5&lt;&gt;"",E5-D5,IF(AND(D5&lt;TODAY(),F5&lt;&gt;"Completed"),TODAY()-D5,0))</f>
        <v/>
      </c>
      <c r="H5" s="38">
        <f>IF(AND(D5&gt;=TODAY(),D5&lt;=TODAY()+14,F5&lt;&gt;"Completed"),"YES","")</f>
        <v/>
      </c>
    </row>
    <row r="6">
      <c r="A6" s="38" t="inlineStr">
        <is>
          <t>M-02</t>
        </is>
      </c>
      <c r="B6" s="38" t="inlineStr">
        <is>
          <t>Q1 Governance Checkpoint</t>
        </is>
      </c>
      <c r="C6" s="38" t="inlineStr">
        <is>
          <t>Kadarkarai</t>
        </is>
      </c>
      <c r="D6" s="42" t="n">
        <v>46290</v>
      </c>
      <c r="E6" s="42" t="n"/>
      <c r="F6" s="38" t="inlineStr">
        <is>
          <t>Not Started</t>
        </is>
      </c>
      <c r="G6" s="38">
        <f>IF(E6&lt;&gt;"",E6-D6,IF(AND(D6&lt;TODAY(),F6&lt;&gt;"Completed"),TODAY()-D6,0))</f>
        <v/>
      </c>
      <c r="H6" s="38">
        <f>IF(AND(D6&gt;=TODAY(),D6&lt;=TODAY()+14,F6&lt;&gt;"Completed"),"YES","")</f>
        <v/>
      </c>
    </row>
    <row r="7">
      <c r="A7" s="38" t="inlineStr">
        <is>
          <t>M-03</t>
        </is>
      </c>
      <c r="B7" s="38" t="inlineStr">
        <is>
          <t>Q2 Governance Checkpoint</t>
        </is>
      </c>
      <c r="C7" s="38" t="inlineStr">
        <is>
          <t>MJ</t>
        </is>
      </c>
      <c r="D7" s="42" t="n">
        <v>46374</v>
      </c>
      <c r="E7" s="42" t="n"/>
      <c r="F7" s="38" t="inlineStr">
        <is>
          <t>Not Started</t>
        </is>
      </c>
      <c r="G7" s="38">
        <f>IF(E7&lt;&gt;"",E7-D7,IF(AND(D7&lt;TODAY(),F7&lt;&gt;"Completed"),TODAY()-D7,0))</f>
        <v/>
      </c>
      <c r="H7" s="38">
        <f>IF(AND(D7&gt;=TODAY(),D7&lt;=TODAY()+14,F7&lt;&gt;"Completed"),"YES","")</f>
        <v/>
      </c>
    </row>
    <row r="8">
      <c r="A8" s="38" t="inlineStr">
        <is>
          <t>M-04</t>
        </is>
      </c>
      <c r="B8" s="38" t="inlineStr">
        <is>
          <t>Q3 Governance Checkpoint</t>
        </is>
      </c>
      <c r="C8" s="38" t="inlineStr">
        <is>
          <t>Shriguru</t>
        </is>
      </c>
      <c r="D8" s="42" t="n">
        <v>46466</v>
      </c>
      <c r="E8" s="42" t="n"/>
      <c r="F8" s="38" t="inlineStr">
        <is>
          <t>Not Started</t>
        </is>
      </c>
      <c r="G8" s="38">
        <f>IF(E8&lt;&gt;"",E8-D8,IF(AND(D8&lt;TODAY(),F8&lt;&gt;"Completed"),TODAY()-D8,0))</f>
        <v/>
      </c>
      <c r="H8" s="38">
        <f>IF(AND(D8&gt;=TODAY(),D8&lt;=TODAY()+14,F8&lt;&gt;"Completed"),"YES","")</f>
        <v/>
      </c>
    </row>
    <row r="9">
      <c r="A9" s="38" t="inlineStr">
        <is>
          <t>M-05</t>
        </is>
      </c>
      <c r="B9" s="38" t="inlineStr">
        <is>
          <t>Q4 / FY27 Closeout</t>
        </is>
      </c>
      <c r="C9" s="38" t="inlineStr">
        <is>
          <t>Siva</t>
        </is>
      </c>
      <c r="D9" s="42" t="n">
        <v>46568</v>
      </c>
      <c r="E9" s="42" t="n"/>
      <c r="F9" s="38" t="inlineStr">
        <is>
          <t>Not Started</t>
        </is>
      </c>
      <c r="G9" s="38">
        <f>IF(E9&lt;&gt;"",E9-D9,IF(AND(D9&lt;TODAY(),F9&lt;&gt;"Completed"),TODAY()-D9,0))</f>
        <v/>
      </c>
      <c r="H9" s="38">
        <f>IF(AND(D9&gt;=TODAY(),D9&lt;=TODAY()+14,F9&lt;&gt;"Completed"),"YES","")</f>
        <v/>
      </c>
    </row>
    <row r="10">
      <c r="A10" s="38" t="inlineStr">
        <is>
          <t>M-06</t>
        </is>
      </c>
      <c r="B10" s="38" t="inlineStr">
        <is>
          <t>CS 1.0 — Q1 exit gate</t>
        </is>
      </c>
      <c r="C10" s="38" t="inlineStr">
        <is>
          <t>Jawahar</t>
        </is>
      </c>
      <c r="D10" s="42" t="n">
        <v>46295</v>
      </c>
      <c r="E10" s="42" t="n"/>
      <c r="F10" s="38" t="inlineStr">
        <is>
          <t>In Progress</t>
        </is>
      </c>
      <c r="G10" s="38">
        <f>IF(E10&lt;&gt;"",E10-D10,IF(AND(D10&lt;TODAY(),F10&lt;&gt;"Completed"),TODAY()-D10,0))</f>
        <v/>
      </c>
      <c r="H10" s="38">
        <f>IF(AND(D10&gt;=TODAY(),D10&lt;=TODAY()+14,F10&lt;&gt;"Completed"),"YES","")</f>
        <v/>
      </c>
    </row>
    <row r="11">
      <c r="A11" s="38" t="inlineStr">
        <is>
          <t>M-07</t>
        </is>
      </c>
      <c r="B11" s="38" t="inlineStr">
        <is>
          <t>CS 1.0 — H1 checkpoint</t>
        </is>
      </c>
      <c r="C11" s="38" t="inlineStr">
        <is>
          <t>Kadarkarai</t>
        </is>
      </c>
      <c r="D11" s="42" t="n">
        <v>46387</v>
      </c>
      <c r="E11" s="42" t="n"/>
      <c r="F11" s="38" t="inlineStr">
        <is>
          <t>Not Started</t>
        </is>
      </c>
      <c r="G11" s="38">
        <f>IF(E11&lt;&gt;"",E11-D11,IF(AND(D11&lt;TODAY(),F11&lt;&gt;"Completed"),TODAY()-D11,0))</f>
        <v/>
      </c>
      <c r="H11" s="38">
        <f>IF(AND(D11&gt;=TODAY(),D11&lt;=TODAY()+14,F11&lt;&gt;"Completed"),"YES","")</f>
        <v/>
      </c>
    </row>
    <row r="12">
      <c r="A12" s="38" t="inlineStr">
        <is>
          <t>M-08</t>
        </is>
      </c>
      <c r="B12" s="38" t="inlineStr">
        <is>
          <t>CS 2.0 — Q1 exit gate</t>
        </is>
      </c>
      <c r="C12" s="38" t="inlineStr">
        <is>
          <t>MJ</t>
        </is>
      </c>
      <c r="D12" s="42" t="n">
        <v>46295</v>
      </c>
      <c r="E12" s="42" t="n"/>
      <c r="F12" s="38" t="inlineStr">
        <is>
          <t>In Progress</t>
        </is>
      </c>
      <c r="G12" s="38">
        <f>IF(E12&lt;&gt;"",E12-D12,IF(AND(D12&lt;TODAY(),F12&lt;&gt;"Completed"),TODAY()-D12,0))</f>
        <v/>
      </c>
      <c r="H12" s="38">
        <f>IF(AND(D12&gt;=TODAY(),D12&lt;=TODAY()+14,F12&lt;&gt;"Completed"),"YES","")</f>
        <v/>
      </c>
    </row>
    <row r="13">
      <c r="A13" s="38" t="inlineStr">
        <is>
          <t>M-09</t>
        </is>
      </c>
      <c r="B13" s="38" t="inlineStr">
        <is>
          <t>CS 2.0 — H1 checkpoint</t>
        </is>
      </c>
      <c r="C13" s="38" t="inlineStr">
        <is>
          <t>Shriguru</t>
        </is>
      </c>
      <c r="D13" s="42" t="n">
        <v>46387</v>
      </c>
      <c r="E13" s="42" t="n"/>
      <c r="F13" s="38" t="inlineStr">
        <is>
          <t>Not Started</t>
        </is>
      </c>
      <c r="G13" s="38">
        <f>IF(E13&lt;&gt;"",E13-D13,IF(AND(D13&lt;TODAY(),F13&lt;&gt;"Completed"),TODAY()-D13,0))</f>
        <v/>
      </c>
      <c r="H13" s="38">
        <f>IF(AND(D13&gt;=TODAY(),D13&lt;=TODAY()+14,F13&lt;&gt;"Completed"),"YES","")</f>
        <v/>
      </c>
    </row>
    <row r="14">
      <c r="A14" s="38" t="inlineStr">
        <is>
          <t>M-10</t>
        </is>
      </c>
      <c r="B14" s="38" t="inlineStr">
        <is>
          <t>CS 2.0 Achievo — Q1 exit gate</t>
        </is>
      </c>
      <c r="C14" s="38" t="inlineStr">
        <is>
          <t>Siva</t>
        </is>
      </c>
      <c r="D14" s="42" t="n">
        <v>46295</v>
      </c>
      <c r="E14" s="42" t="n"/>
      <c r="F14" s="38" t="inlineStr">
        <is>
          <t>In Progress</t>
        </is>
      </c>
      <c r="G14" s="38">
        <f>IF(E14&lt;&gt;"",E14-D14,IF(AND(D14&lt;TODAY(),F14&lt;&gt;"Completed"),TODAY()-D14,0))</f>
        <v/>
      </c>
      <c r="H14" s="38">
        <f>IF(AND(D14&gt;=TODAY(),D14&lt;=TODAY()+14,F14&lt;&gt;"Completed"),"YES","")</f>
        <v/>
      </c>
    </row>
    <row r="15">
      <c r="A15" s="38" t="inlineStr">
        <is>
          <t>M-11</t>
        </is>
      </c>
      <c r="B15" s="38" t="inlineStr">
        <is>
          <t>CS 2.0 Achievo — H1 checkpoint</t>
        </is>
      </c>
      <c r="C15" s="38" t="inlineStr">
        <is>
          <t>Jawahar</t>
        </is>
      </c>
      <c r="D15" s="42" t="n">
        <v>46387</v>
      </c>
      <c r="E15" s="42" t="n"/>
      <c r="F15" s="38" t="inlineStr">
        <is>
          <t>Not Started</t>
        </is>
      </c>
      <c r="G15" s="38">
        <f>IF(E15&lt;&gt;"",E15-D15,IF(AND(D15&lt;TODAY(),F15&lt;&gt;"Completed"),TODAY()-D15,0))</f>
        <v/>
      </c>
      <c r="H15" s="38">
        <f>IF(AND(D15&gt;=TODAY(),D15&lt;=TODAY()+14,F15&lt;&gt;"Completed"),"YES","")</f>
        <v/>
      </c>
    </row>
    <row r="16">
      <c r="A16" s="38" t="inlineStr">
        <is>
          <t>M-12</t>
        </is>
      </c>
      <c r="B16" s="38" t="inlineStr">
        <is>
          <t>CS 2.0 Core — Q1 exit gate</t>
        </is>
      </c>
      <c r="C16" s="38" t="inlineStr">
        <is>
          <t>Kadarkarai</t>
        </is>
      </c>
      <c r="D16" s="42" t="n">
        <v>46295</v>
      </c>
      <c r="E16" s="42" t="n"/>
      <c r="F16" s="38" t="inlineStr">
        <is>
          <t>In Progress</t>
        </is>
      </c>
      <c r="G16" s="38">
        <f>IF(E16&lt;&gt;"",E16-D16,IF(AND(D16&lt;TODAY(),F16&lt;&gt;"Completed"),TODAY()-D16,0))</f>
        <v/>
      </c>
      <c r="H16" s="38">
        <f>IF(AND(D16&gt;=TODAY(),D16&lt;=TODAY()+14,F16&lt;&gt;"Completed"),"YES","")</f>
        <v/>
      </c>
    </row>
    <row r="17">
      <c r="A17" s="38" t="inlineStr">
        <is>
          <t>M-13</t>
        </is>
      </c>
      <c r="B17" s="38" t="inlineStr">
        <is>
          <t>CS 2.0 Core — H1 checkpoint</t>
        </is>
      </c>
      <c r="C17" s="38" t="inlineStr">
        <is>
          <t>MJ</t>
        </is>
      </c>
      <c r="D17" s="42" t="n">
        <v>46387</v>
      </c>
      <c r="E17" s="42" t="n"/>
      <c r="F17" s="38" t="inlineStr">
        <is>
          <t>Not Started</t>
        </is>
      </c>
      <c r="G17" s="38">
        <f>IF(E17&lt;&gt;"",E17-D17,IF(AND(D17&lt;TODAY(),F17&lt;&gt;"Completed"),TODAY()-D17,0))</f>
        <v/>
      </c>
      <c r="H17" s="38">
        <f>IF(AND(D17&gt;=TODAY(),D17&lt;=TODAY()+14,F17&lt;&gt;"Completed"),"YES","")</f>
        <v/>
      </c>
    </row>
    <row r="18">
      <c r="A18" s="38" t="inlineStr">
        <is>
          <t>M-14</t>
        </is>
      </c>
      <c r="B18" s="38" t="inlineStr">
        <is>
          <t>CS 2.0 Data — Q1 exit gate</t>
        </is>
      </c>
      <c r="C18" s="38" t="inlineStr">
        <is>
          <t>Shriguru</t>
        </is>
      </c>
      <c r="D18" s="42" t="n">
        <v>46295</v>
      </c>
      <c r="E18" s="42" t="n"/>
      <c r="F18" s="38" t="inlineStr">
        <is>
          <t>In Progress</t>
        </is>
      </c>
      <c r="G18" s="38">
        <f>IF(E18&lt;&gt;"",E18-D18,IF(AND(D18&lt;TODAY(),F18&lt;&gt;"Completed"),TODAY()-D18,0))</f>
        <v/>
      </c>
      <c r="H18" s="38">
        <f>IF(AND(D18&gt;=TODAY(),D18&lt;=TODAY()+14,F18&lt;&gt;"Completed"),"YES","")</f>
        <v/>
      </c>
    </row>
    <row r="19">
      <c r="A19" s="38" t="inlineStr">
        <is>
          <t>M-15</t>
        </is>
      </c>
      <c r="B19" s="38" t="inlineStr">
        <is>
          <t>CS 2.0 Data — H1 checkpoint</t>
        </is>
      </c>
      <c r="C19" s="38" t="inlineStr">
        <is>
          <t>Siva</t>
        </is>
      </c>
      <c r="D19" s="42" t="n">
        <v>46387</v>
      </c>
      <c r="E19" s="42" t="n"/>
      <c r="F19" s="38" t="inlineStr">
        <is>
          <t>Not Started</t>
        </is>
      </c>
      <c r="G19" s="38">
        <f>IF(E19&lt;&gt;"",E19-D19,IF(AND(D19&lt;TODAY(),F19&lt;&gt;"Completed"),TODAY()-D19,0))</f>
        <v/>
      </c>
      <c r="H19" s="38">
        <f>IF(AND(D19&gt;=TODAY(),D19&lt;=TODAY()+14,F19&lt;&gt;"Completed"),"YES","")</f>
        <v/>
      </c>
    </row>
    <row r="20">
      <c r="A20" s="38" t="inlineStr">
        <is>
          <t>M-16</t>
        </is>
      </c>
      <c r="B20" s="38" t="inlineStr">
        <is>
          <t>Unassigned — Q1 exit gate</t>
        </is>
      </c>
      <c r="C20" s="38" t="inlineStr">
        <is>
          <t>Jawahar</t>
        </is>
      </c>
      <c r="D20" s="42" t="n">
        <v>46295</v>
      </c>
      <c r="E20" s="42" t="n"/>
      <c r="F20" s="38" t="inlineStr">
        <is>
          <t>Not Started</t>
        </is>
      </c>
      <c r="G20" s="38">
        <f>IF(E20&lt;&gt;"",E20-D20,IF(AND(D20&lt;TODAY(),F20&lt;&gt;"Completed"),TODAY()-D20,0))</f>
        <v/>
      </c>
      <c r="H20" s="38">
        <f>IF(AND(D20&gt;=TODAY(),D20&lt;=TODAY()+14,F20&lt;&gt;"Completed"),"YES","")</f>
        <v/>
      </c>
    </row>
    <row r="21">
      <c r="A21" s="38" t="inlineStr">
        <is>
          <t>M-17</t>
        </is>
      </c>
      <c r="B21" s="38" t="inlineStr">
        <is>
          <t>Unassigned — H1 checkpoint</t>
        </is>
      </c>
      <c r="C21" s="38" t="inlineStr">
        <is>
          <t>Kadarkarai</t>
        </is>
      </c>
      <c r="D21" s="42" t="n">
        <v>46387</v>
      </c>
      <c r="E21" s="42" t="n"/>
      <c r="F21" s="38" t="inlineStr">
        <is>
          <t>Not Started</t>
        </is>
      </c>
      <c r="G21" s="38">
        <f>IF(E21&lt;&gt;"",E21-D21,IF(AND(D21&lt;TODAY(),F21&lt;&gt;"Completed"),TODAY()-D21,0))</f>
        <v/>
      </c>
      <c r="H21" s="38">
        <f>IF(AND(D21&gt;=TODAY(),D21&lt;=TODAY()+14,F21&lt;&gt;"Completed"),"YES","")</f>
        <v/>
      </c>
    </row>
    <row r="22">
      <c r="A22" s="38" t="inlineStr">
        <is>
          <t>M-18</t>
        </is>
      </c>
      <c r="B22" s="38" t="inlineStr">
        <is>
          <t>Critical: Achievo - UI/UX Improvements</t>
        </is>
      </c>
      <c r="C22" s="38" t="inlineStr">
        <is>
          <t>MJ</t>
        </is>
      </c>
      <c r="D22" s="42" t="n">
        <v>46256</v>
      </c>
      <c r="E22" s="42" t="n"/>
      <c r="F22" s="38" t="inlineStr">
        <is>
          <t>Not Started</t>
        </is>
      </c>
      <c r="G22" s="38">
        <f>IF(E22&lt;&gt;"",E22-D22,IF(AND(D22&lt;TODAY(),F22&lt;&gt;"Completed"),TODAY()-D22,0))</f>
        <v/>
      </c>
      <c r="H22" s="38">
        <f>IF(AND(D22&gt;=TODAY(),D22&lt;=TODAY()+14,F22&lt;&gt;"Completed"),"YES","")</f>
        <v/>
      </c>
    </row>
    <row r="23">
      <c r="A23" s="38" t="inlineStr">
        <is>
          <t>M-19</t>
        </is>
      </c>
      <c r="B23" s="38" t="inlineStr">
        <is>
          <t>Critical: Achievo - Mobile Performance Improvement.(Analysis)</t>
        </is>
      </c>
      <c r="C23" s="38" t="inlineStr">
        <is>
          <t>Shriguru</t>
        </is>
      </c>
      <c r="D23" s="42" t="n">
        <v>46218</v>
      </c>
      <c r="E23" s="42" t="n"/>
      <c r="F23" s="38" t="inlineStr">
        <is>
          <t>In Progress</t>
        </is>
      </c>
      <c r="G23" s="38">
        <f>IF(E23&lt;&gt;"",E23-D23,IF(AND(D23&lt;TODAY(),F23&lt;&gt;"Completed"),TODAY()-D23,0))</f>
        <v/>
      </c>
      <c r="H23" s="38">
        <f>IF(AND(D23&gt;=TODAY(),D23&lt;=TODAY()+14,F23&lt;&gt;"Completed"),"YES","")</f>
        <v/>
      </c>
    </row>
    <row r="24">
      <c r="A24" s="38" t="inlineStr">
        <is>
          <t>M-20</t>
        </is>
      </c>
      <c r="B24" s="38" t="inlineStr">
        <is>
          <t>Critical: Achievo - Mobile Performance Improvement.(Implementation)</t>
        </is>
      </c>
      <c r="C24" s="38" t="inlineStr">
        <is>
          <t>Siva</t>
        </is>
      </c>
      <c r="D24" s="42" t="n">
        <v>46287</v>
      </c>
      <c r="E24" s="42" t="n"/>
      <c r="F24" s="38" t="inlineStr">
        <is>
          <t>In Progress</t>
        </is>
      </c>
      <c r="G24" s="38">
        <f>IF(E24&lt;&gt;"",E24-D24,IF(AND(D24&lt;TODAY(),F24&lt;&gt;"Completed"),TODAY()-D24,0))</f>
        <v/>
      </c>
      <c r="H24" s="38">
        <f>IF(AND(D24&gt;=TODAY(),D24&lt;=TODAY()+14,F24&lt;&gt;"Completed"),"YES","")</f>
        <v/>
      </c>
    </row>
    <row r="25">
      <c r="A25" s="38" t="inlineStr">
        <is>
          <t>M-21</t>
        </is>
      </c>
      <c r="B25" s="38" t="inlineStr">
        <is>
          <t>Critical: Architecture Proposal: Core + Extension Model for Participan</t>
        </is>
      </c>
      <c r="C25" s="38" t="inlineStr">
        <is>
          <t>Jawahar</t>
        </is>
      </c>
      <c r="D25" s="42" t="n">
        <v>46278</v>
      </c>
      <c r="E25" s="42" t="n"/>
      <c r="F25" s="38" t="inlineStr">
        <is>
          <t>Not Started</t>
        </is>
      </c>
      <c r="G25" s="38">
        <f>IF(E25&lt;&gt;"",E25-D25,IF(AND(D25&lt;TODAY(),F25&lt;&gt;"Completed"),TODAY()-D25,0))</f>
        <v/>
      </c>
      <c r="H25" s="38">
        <f>IF(AND(D25&gt;=TODAY(),D25&lt;=TODAY()+14,F25&lt;&gt;"Completed"),"YES","")</f>
        <v/>
      </c>
    </row>
    <row r="26">
      <c r="A26" s="38" t="inlineStr">
        <is>
          <t>M-22</t>
        </is>
      </c>
      <c r="B26" s="38" t="inlineStr">
        <is>
          <t>Critical: File Upload Module Stabilization and Validation Enhancements</t>
        </is>
      </c>
      <c r="C26" s="38" t="inlineStr">
        <is>
          <t>Kadarkarai</t>
        </is>
      </c>
      <c r="D26" s="42" t="n">
        <v>46284</v>
      </c>
      <c r="E26" s="42" t="n"/>
      <c r="F26" s="38" t="inlineStr">
        <is>
          <t>Not Started</t>
        </is>
      </c>
      <c r="G26" s="38">
        <f>IF(E26&lt;&gt;"",E26-D26,IF(AND(D26&lt;TODAY(),F26&lt;&gt;"Completed"),TODAY()-D26,0))</f>
        <v/>
      </c>
      <c r="H26" s="38">
        <f>IF(AND(D26&gt;=TODAY(),D26&lt;=TODAY()+14,F26&lt;&gt;"Completed"),"YES","")</f>
        <v/>
      </c>
    </row>
    <row r="27">
      <c r="A27" s="38" t="inlineStr">
        <is>
          <t>M-23</t>
        </is>
      </c>
      <c r="B27" s="38" t="inlineStr">
        <is>
          <t>Critical: Achievo Mobile App Upgrades and Store Policy Compliance Upda</t>
        </is>
      </c>
      <c r="C27" s="38" t="inlineStr">
        <is>
          <t>MJ</t>
        </is>
      </c>
      <c r="D27" s="42" t="n">
        <v>46277</v>
      </c>
      <c r="E27" s="42" t="n"/>
      <c r="F27" s="38" t="inlineStr">
        <is>
          <t>Not Started</t>
        </is>
      </c>
      <c r="G27" s="38">
        <f>IF(E27&lt;&gt;"",E27-D27,IF(AND(D27&lt;TODAY(),F27&lt;&gt;"Completed"),TODAY()-D27,0))</f>
        <v/>
      </c>
      <c r="H27" s="38">
        <f>IF(AND(D27&gt;=TODAY(),D27&lt;=TODAY()+14,F27&lt;&gt;"Completed"),"YES","")</f>
        <v/>
      </c>
    </row>
  </sheetData>
  <conditionalFormatting sqref="G5:G27">
    <cfRule type="cellIs" priority="1" operator="greaterThan" dxfId="3">
      <formula>0</formula>
    </cfRule>
  </conditionalFormatting>
  <conditionalFormatting sqref="H5:H27">
    <cfRule type="cellIs" priority="2" operator="equal" dxfId="18">
      <formula>"YES"</formula>
    </cfRule>
  </conditionalFormatting>
  <dataValidations count="2">
    <dataValidation sqref="F5:F27" showDropDown="0" showInputMessage="0" showErrorMessage="0" allowBlank="1" type="list">
      <formula1>=List_Status</formula1>
    </dataValidation>
    <dataValidation sqref="C5:C27" showDropDown="0" showInputMessage="0" showErrorMessage="0" allowBlank="1" type="list">
      <formula1>=List_Owners</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22"/>
  <sheetViews>
    <sheetView workbookViewId="0">
      <pane ySplit="4" topLeftCell="A5" activePane="bottomLeft" state="frozen"/>
      <selection pane="bottomLeft" activeCell="A1" sqref="A1"/>
    </sheetView>
  </sheetViews>
  <sheetFormatPr baseColWidth="8" defaultRowHeight="15"/>
  <cols>
    <col width="10" customWidth="1" min="1" max="1"/>
    <col width="55" customWidth="1" min="2" max="2"/>
    <col width="12" customWidth="1" min="3" max="3"/>
    <col width="12" customWidth="1" min="4" max="4"/>
    <col width="12" customWidth="1" min="5" max="5"/>
    <col width="18" customWidth="1" min="6" max="6"/>
    <col width="40" customWidth="1" min="7" max="7"/>
    <col width="12" customWidth="1" min="8" max="8"/>
    <col width="12" customWidth="1" min="9" max="9"/>
  </cols>
  <sheetData>
    <row r="1">
      <c r="A1" s="20" t="inlineStr">
        <is>
          <t>RISKS &amp; ISSUES REGISTER</t>
        </is>
      </c>
    </row>
    <row r="2">
      <c r="A2" s="37" t="inlineStr">
        <is>
          <t>Severity = Impact × Probability (formula). High severity auto-highlighted.</t>
        </is>
      </c>
    </row>
    <row r="4" ht="28" customHeight="1">
      <c r="A4" s="22" t="inlineStr">
        <is>
          <t>Risk ID</t>
        </is>
      </c>
      <c r="B4" s="22" t="inlineStr">
        <is>
          <t>Description</t>
        </is>
      </c>
      <c r="C4" s="22" t="inlineStr">
        <is>
          <t>Impact</t>
        </is>
      </c>
      <c r="D4" s="22" t="inlineStr">
        <is>
          <t>Probability</t>
        </is>
      </c>
      <c r="E4" s="22" t="inlineStr">
        <is>
          <t>Severity</t>
        </is>
      </c>
      <c r="F4" s="22" t="inlineStr">
        <is>
          <t>Owner</t>
        </is>
      </c>
      <c r="G4" s="22" t="inlineStr">
        <is>
          <t>Mitigation</t>
        </is>
      </c>
      <c r="H4" s="22" t="inlineStr">
        <is>
          <t>Status</t>
        </is>
      </c>
      <c r="I4" s="22" t="inlineStr">
        <is>
          <t>Review Date</t>
        </is>
      </c>
    </row>
    <row r="5">
      <c r="A5" s="23" t="inlineStr">
        <is>
          <t>R-01</t>
        </is>
      </c>
      <c r="B5" s="24" t="inlineStr">
        <is>
          <t>CS 1.0 decommission (BRIKS / Coupon / OTP) may disrupt CS 2.0 dual-run</t>
        </is>
      </c>
      <c r="C5" s="23" t="inlineStr">
        <is>
          <t>High</t>
        </is>
      </c>
      <c r="D5" s="23" t="inlineStr">
        <is>
          <t>High</t>
        </is>
      </c>
      <c r="E5" s="23">
        <f>IF(OR(C5="",D5=""),"",IF((IF(C5="High",3,IF(C5="Medium",2,1)))*(IF(D5="High",3,IF(D5="Medium",2,1)))&gt;=9,"Critical",IF((IF(C5="High",3,IF(C5="Medium",2,1)))*(IF(D5="High",3,IF(D5="Medium",2,1)))&gt;=6,"High",IF((IF(C5="High",3,IF(C5="Medium",2,1)))*(IF(D5="High",3,IF(D5="Medium",2,1)))&gt;=3,"Medium","Low"))))</f>
        <v/>
      </c>
      <c r="F5" s="23" t="inlineStr">
        <is>
          <t>MJ</t>
        </is>
      </c>
      <c r="G5" s="24" t="inlineStr">
        <is>
          <t>Owned by MJ; track in weekly governance; link to FY27 V1 source items.</t>
        </is>
      </c>
      <c r="H5" s="23" t="inlineStr">
        <is>
          <t>Open</t>
        </is>
      </c>
      <c r="I5" s="25" t="n">
        <v>46237</v>
      </c>
    </row>
    <row r="6">
      <c r="A6" s="23" t="inlineStr">
        <is>
          <t>R-02</t>
        </is>
      </c>
      <c r="B6" s="24" t="inlineStr">
        <is>
          <t>ERP / Salesforce connector scope (CS 2.0) under-estimated vs. planned hours</t>
        </is>
      </c>
      <c r="C6" s="23" t="inlineStr">
        <is>
          <t>High</t>
        </is>
      </c>
      <c r="D6" s="23" t="inlineStr">
        <is>
          <t>Medium</t>
        </is>
      </c>
      <c r="E6" s="23">
        <f>IF(OR(C6="",D6=""),"",IF((IF(C6="High",3,IF(C6="Medium",2,1)))*(IF(D6="High",3,IF(D6="Medium",2,1)))&gt;=9,"Critical",IF((IF(C6="High",3,IF(C6="Medium",2,1)))*(IF(D6="High",3,IF(D6="Medium",2,1)))&gt;=6,"High",IF((IF(C6="High",3,IF(C6="Medium",2,1)))*(IF(D6="High",3,IF(D6="Medium",2,1)))&gt;=3,"Medium","Low"))))</f>
        <v/>
      </c>
      <c r="F6" s="23" t="inlineStr">
        <is>
          <t>MJ</t>
        </is>
      </c>
      <c r="G6" s="24" t="inlineStr">
        <is>
          <t>Owned by MJ; track in weekly governance; link to FY27 V1 source items.</t>
        </is>
      </c>
      <c r="H6" s="23" t="inlineStr">
        <is>
          <t>Watching</t>
        </is>
      </c>
      <c r="I6" s="25" t="n">
        <v>46251</v>
      </c>
    </row>
    <row r="7">
      <c r="A7" s="23" t="inlineStr">
        <is>
          <t>R-03</t>
        </is>
      </c>
      <c r="B7" s="24" t="inlineStr">
        <is>
          <t>PIS Journey Builder prediction agents depend on unstable partner data quality</t>
        </is>
      </c>
      <c r="C7" s="23" t="inlineStr">
        <is>
          <t>High</t>
        </is>
      </c>
      <c r="D7" s="23" t="inlineStr">
        <is>
          <t>High</t>
        </is>
      </c>
      <c r="E7" s="23">
        <f>IF(OR(C7="",D7=""),"",IF((IF(C7="High",3,IF(C7="Medium",2,1)))*(IF(D7="High",3,IF(D7="Medium",2,1)))&gt;=9,"Critical",IF((IF(C7="High",3,IF(C7="Medium",2,1)))*(IF(D7="High",3,IF(D7="Medium",2,1)))&gt;=6,"High",IF((IF(C7="High",3,IF(C7="Medium",2,1)))*(IF(D7="High",3,IF(D7="Medium",2,1)))&gt;=3,"Medium","Low"))))</f>
        <v/>
      </c>
      <c r="F7" s="23" t="inlineStr">
        <is>
          <t>MJ</t>
        </is>
      </c>
      <c r="G7" s="24" t="inlineStr">
        <is>
          <t>Owned by MJ; track in weekly governance; link to FY27 V1 source items.</t>
        </is>
      </c>
      <c r="H7" s="23" t="inlineStr">
        <is>
          <t>Mitigating</t>
        </is>
      </c>
      <c r="I7" s="25" t="n">
        <v>46244</v>
      </c>
    </row>
    <row r="8">
      <c r="A8" s="23" t="inlineStr">
        <is>
          <t>R-04</t>
        </is>
      </c>
      <c r="B8" s="24" t="inlineStr">
        <is>
          <t>Internal VAPT + remediation capacity contention with feature delivery</t>
        </is>
      </c>
      <c r="C8" s="23" t="inlineStr">
        <is>
          <t>Medium</t>
        </is>
      </c>
      <c r="D8" s="23" t="inlineStr">
        <is>
          <t>High</t>
        </is>
      </c>
      <c r="E8" s="23">
        <f>IF(OR(C8="",D8=""),"",IF((IF(C8="High",3,IF(C8="Medium",2,1)))*(IF(D8="High",3,IF(D8="Medium",2,1)))&gt;=9,"Critical",IF((IF(C8="High",3,IF(C8="Medium",2,1)))*(IF(D8="High",3,IF(D8="Medium",2,1)))&gt;=6,"High",IF((IF(C8="High",3,IF(C8="Medium",2,1)))*(IF(D8="High",3,IF(D8="Medium",2,1)))&gt;=3,"Medium","Low"))))</f>
        <v/>
      </c>
      <c r="F8" s="23" t="inlineStr">
        <is>
          <t>Jawahar</t>
        </is>
      </c>
      <c r="G8" s="24" t="inlineStr">
        <is>
          <t>Owned by Jawahar; track in weekly governance; link to FY27 V1 source items.</t>
        </is>
      </c>
      <c r="H8" s="23" t="inlineStr">
        <is>
          <t>Open</t>
        </is>
      </c>
      <c r="I8" s="25" t="n">
        <v>46270</v>
      </c>
    </row>
    <row r="9">
      <c r="A9" s="23" t="inlineStr">
        <is>
          <t>R-05</t>
        </is>
      </c>
      <c r="B9" s="24" t="inlineStr">
        <is>
          <t>Include=Pending items without decision are inflating Q1 commitment risk</t>
        </is>
      </c>
      <c r="C9" s="23" t="inlineStr">
        <is>
          <t>High</t>
        </is>
      </c>
      <c r="D9" s="23" t="inlineStr">
        <is>
          <t>Medium</t>
        </is>
      </c>
      <c r="E9" s="23">
        <f>IF(OR(C9="",D9=""),"",IF((IF(C9="High",3,IF(C9="Medium",2,1)))*(IF(D9="High",3,IF(D9="Medium",2,1)))&gt;=9,"Critical",IF((IF(C9="High",3,IF(C9="Medium",2,1)))*(IF(D9="High",3,IF(D9="Medium",2,1)))&gt;=6,"High",IF((IF(C9="High",3,IF(C9="Medium",2,1)))*(IF(D9="High",3,IF(D9="Medium",2,1)))&gt;=3,"Medium","Low"))))</f>
        <v/>
      </c>
      <c r="F9" s="23" t="inlineStr">
        <is>
          <t>MJ</t>
        </is>
      </c>
      <c r="G9" s="24" t="inlineStr">
        <is>
          <t>Owned by MJ; track in weekly governance; link to FY27 V1 source items.</t>
        </is>
      </c>
      <c r="H9" s="23" t="inlineStr">
        <is>
          <t>Open</t>
        </is>
      </c>
      <c r="I9" s="25" t="n">
        <v>46273</v>
      </c>
    </row>
    <row r="10">
      <c r="A10" s="23" t="inlineStr">
        <is>
          <t>R-06</t>
        </is>
      </c>
      <c r="B10" s="24" t="inlineStr">
        <is>
          <t>TBD-hour items prevent reliable capacity &amp; burn forecasting</t>
        </is>
      </c>
      <c r="C10" s="23" t="inlineStr">
        <is>
          <t>Medium</t>
        </is>
      </c>
      <c r="D10" s="23" t="inlineStr">
        <is>
          <t>High</t>
        </is>
      </c>
      <c r="E10" s="23">
        <f>IF(OR(C10="",D10=""),"",IF((IF(C10="High",3,IF(C10="Medium",2,1)))*(IF(D10="High",3,IF(D10="Medium",2,1)))&gt;=9,"Critical",IF((IF(C10="High",3,IF(C10="Medium",2,1)))*(IF(D10="High",3,IF(D10="Medium",2,1)))&gt;=6,"High",IF((IF(C10="High",3,IF(C10="Medium",2,1)))*(IF(D10="High",3,IF(D10="Medium",2,1)))&gt;=3,"Medium","Low"))))</f>
        <v/>
      </c>
      <c r="F10" s="23" t="inlineStr">
        <is>
          <t>MJ</t>
        </is>
      </c>
      <c r="G10" s="24" t="inlineStr">
        <is>
          <t>Owned by MJ; track in weekly governance; link to FY27 V1 source items.</t>
        </is>
      </c>
      <c r="H10" s="23" t="inlineStr">
        <is>
          <t>Open</t>
        </is>
      </c>
      <c r="I10" s="25" t="n">
        <v>46238</v>
      </c>
    </row>
    <row r="11">
      <c r="A11" s="23" t="inlineStr">
        <is>
          <t>R-07</t>
        </is>
      </c>
      <c r="B11" s="24" t="inlineStr">
        <is>
          <t>CS 2.0 Core tech maintenance backlog crowding new-feature sprints</t>
        </is>
      </c>
      <c r="C11" s="23" t="inlineStr">
        <is>
          <t>High</t>
        </is>
      </c>
      <c r="D11" s="23" t="inlineStr">
        <is>
          <t>Medium</t>
        </is>
      </c>
      <c r="E11" s="23">
        <f>IF(OR(C11="",D11=""),"",IF((IF(C11="High",3,IF(C11="Medium",2,1)))*(IF(D11="High",3,IF(D11="Medium",2,1)))&gt;=9,"Critical",IF((IF(C11="High",3,IF(C11="Medium",2,1)))*(IF(D11="High",3,IF(D11="Medium",2,1)))&gt;=6,"High",IF((IF(C11="High",3,IF(C11="Medium",2,1)))*(IF(D11="High",3,IF(D11="Medium",2,1)))&gt;=3,"Medium","Low"))))</f>
        <v/>
      </c>
      <c r="F11" s="23" t="inlineStr">
        <is>
          <t>MJ</t>
        </is>
      </c>
      <c r="G11" s="24" t="inlineStr">
        <is>
          <t>Owned by MJ; track in weekly governance; link to FY27 V1 source items.</t>
        </is>
      </c>
      <c r="H11" s="23" t="inlineStr">
        <is>
          <t>Open</t>
        </is>
      </c>
      <c r="I11" s="25" t="n">
        <v>46241</v>
      </c>
    </row>
    <row r="12">
      <c r="A12" s="23" t="inlineStr">
        <is>
          <t>R-08</t>
        </is>
      </c>
      <c r="B12" s="24" t="inlineStr">
        <is>
          <t>Achievo / Rewards stream under-staffed relative to CS 2.0 Achievo scope</t>
        </is>
      </c>
      <c r="C12" s="23" t="inlineStr">
        <is>
          <t>Medium</t>
        </is>
      </c>
      <c r="D12" s="23" t="inlineStr">
        <is>
          <t>Medium</t>
        </is>
      </c>
      <c r="E12" s="23">
        <f>IF(OR(C12="",D12=""),"",IF((IF(C12="High",3,IF(C12="Medium",2,1)))*(IF(D12="High",3,IF(D12="Medium",2,1)))&gt;=9,"Critical",IF((IF(C12="High",3,IF(C12="Medium",2,1)))*(IF(D12="High",3,IF(D12="Medium",2,1)))&gt;=6,"High",IF((IF(C12="High",3,IF(C12="Medium",2,1)))*(IF(D12="High",3,IF(D12="Medium",2,1)))&gt;=3,"Medium","Low"))))</f>
        <v/>
      </c>
      <c r="F12" s="23" t="inlineStr">
        <is>
          <t>MJ</t>
        </is>
      </c>
      <c r="G12" s="24" t="inlineStr">
        <is>
          <t>Owned by MJ; track in weekly governance; link to FY27 V1 source items.</t>
        </is>
      </c>
      <c r="H12" s="23" t="inlineStr">
        <is>
          <t>Mitigating</t>
        </is>
      </c>
      <c r="I12" s="25" t="n">
        <v>46250</v>
      </c>
    </row>
    <row r="13">
      <c r="A13" s="23" t="inlineStr">
        <is>
          <t>R-09</t>
        </is>
      </c>
      <c r="B13" s="24" t="inlineStr">
        <is>
          <t>Q1 Critical mass may create spillover into Q2 without rebaseline</t>
        </is>
      </c>
      <c r="C13" s="23" t="inlineStr">
        <is>
          <t>High</t>
        </is>
      </c>
      <c r="D13" s="23" t="inlineStr">
        <is>
          <t>High</t>
        </is>
      </c>
      <c r="E13" s="23">
        <f>IF(OR(C13="",D13=""),"",IF((IF(C13="High",3,IF(C13="Medium",2,1)))*(IF(D13="High",3,IF(D13="Medium",2,1)))&gt;=9,"Critical",IF((IF(C13="High",3,IF(C13="Medium",2,1)))*(IF(D13="High",3,IF(D13="Medium",2,1)))&gt;=6,"High",IF((IF(C13="High",3,IF(C13="Medium",2,1)))*(IF(D13="High",3,IF(D13="Medium",2,1)))&gt;=3,"Medium","Low"))))</f>
        <v/>
      </c>
      <c r="F13" s="23" t="inlineStr">
        <is>
          <t>Jawahar</t>
        </is>
      </c>
      <c r="G13" s="24" t="inlineStr">
        <is>
          <t>Owned by Jawahar; track in weekly governance; link to FY27 V1 source items.</t>
        </is>
      </c>
      <c r="H13" s="23" t="inlineStr">
        <is>
          <t>Open</t>
        </is>
      </c>
      <c r="I13" s="25" t="n">
        <v>46271</v>
      </c>
    </row>
    <row r="14">
      <c r="A14" s="23" t="inlineStr">
        <is>
          <t>R-10</t>
        </is>
      </c>
      <c r="B14" s="24" t="inlineStr">
        <is>
          <t>Cross-project dependency chains (same-owner serial work) create idle wait</t>
        </is>
      </c>
      <c r="C14" s="23" t="inlineStr">
        <is>
          <t>Medium</t>
        </is>
      </c>
      <c r="D14" s="23" t="inlineStr">
        <is>
          <t>Medium</t>
        </is>
      </c>
      <c r="E14" s="23">
        <f>IF(OR(C14="",D14=""),"",IF((IF(C14="High",3,IF(C14="Medium",2,1)))*(IF(D14="High",3,IF(D14="Medium",2,1)))&gt;=9,"Critical",IF((IF(C14="High",3,IF(C14="Medium",2,1)))*(IF(D14="High",3,IF(D14="Medium",2,1)))&gt;=6,"High",IF((IF(C14="High",3,IF(C14="Medium",2,1)))*(IF(D14="High",3,IF(D14="Medium",2,1)))&gt;=3,"Medium","Low"))))</f>
        <v/>
      </c>
      <c r="F14" s="23" t="inlineStr">
        <is>
          <t>Jawahar</t>
        </is>
      </c>
      <c r="G14" s="24" t="inlineStr">
        <is>
          <t>Owned by Jawahar; track in weekly governance; link to FY27 V1 source items.</t>
        </is>
      </c>
      <c r="H14" s="23" t="inlineStr">
        <is>
          <t>Mitigating</t>
        </is>
      </c>
      <c r="I14" s="25" t="n">
        <v>46270</v>
      </c>
    </row>
    <row r="15">
      <c r="A15" s="23" t="inlineStr">
        <is>
          <t>R-11</t>
        </is>
      </c>
      <c r="B15" s="24" t="inlineStr">
        <is>
          <t>Description gaps on large-hour items reduce estimate confidence</t>
        </is>
      </c>
      <c r="C15" s="23" t="inlineStr">
        <is>
          <t>Low</t>
        </is>
      </c>
      <c r="D15" s="23" t="inlineStr">
        <is>
          <t>Medium</t>
        </is>
      </c>
      <c r="E15" s="23">
        <f>IF(OR(C15="",D15=""),"",IF((IF(C15="High",3,IF(C15="Medium",2,1)))*(IF(D15="High",3,IF(D15="Medium",2,1)))&gt;=9,"Critical",IF((IF(C15="High",3,IF(C15="Medium",2,1)))*(IF(D15="High",3,IF(D15="Medium",2,1)))&gt;=6,"High",IF((IF(C15="High",3,IF(C15="Medium",2,1)))*(IF(D15="High",3,IF(D15="Medium",2,1)))&gt;=3,"Medium","Low"))))</f>
        <v/>
      </c>
      <c r="F15" s="23" t="inlineStr">
        <is>
          <t>MJ</t>
        </is>
      </c>
      <c r="G15" s="24" t="inlineStr">
        <is>
          <t>Owned by MJ; track in weekly governance; link to FY27 V1 source items.</t>
        </is>
      </c>
      <c r="H15" s="23" t="inlineStr">
        <is>
          <t>Open</t>
        </is>
      </c>
      <c r="I15" s="25" t="n">
        <v>46250</v>
      </c>
    </row>
    <row r="16">
      <c r="A16" s="23" t="inlineStr">
        <is>
          <t>R-12</t>
        </is>
      </c>
      <c r="B16" s="24" t="inlineStr">
        <is>
          <t>Mobile / Core / Data flag sparsity weakens workstream reporting</t>
        </is>
      </c>
      <c r="C16" s="23" t="inlineStr">
        <is>
          <t>Low</t>
        </is>
      </c>
      <c r="D16" s="23" t="inlineStr">
        <is>
          <t>Low</t>
        </is>
      </c>
      <c r="E16" s="23">
        <f>IF(OR(C16="",D16=""),"",IF((IF(C16="High",3,IF(C16="Medium",2,1)))*(IF(D16="High",3,IF(D16="Medium",2,1)))&gt;=9,"Critical",IF((IF(C16="High",3,IF(C16="Medium",2,1)))*(IF(D16="High",3,IF(D16="Medium",2,1)))&gt;=6,"High",IF((IF(C16="High",3,IF(C16="Medium",2,1)))*(IF(D16="High",3,IF(D16="Medium",2,1)))&gt;=3,"Medium","Low"))))</f>
        <v/>
      </c>
      <c r="F16" s="23" t="inlineStr">
        <is>
          <t>Shriguru</t>
        </is>
      </c>
      <c r="G16" s="24" t="inlineStr">
        <is>
          <t>Owned by Shriguru; track in weekly governance; link to FY27 V1 source items.</t>
        </is>
      </c>
      <c r="H16" s="23" t="inlineStr">
        <is>
          <t>Open</t>
        </is>
      </c>
      <c r="I16" s="25" t="n">
        <v>46273</v>
      </c>
    </row>
    <row r="17">
      <c r="A17" s="23" t="inlineStr">
        <is>
          <t>R-13</t>
        </is>
      </c>
      <c r="B17" s="24" t="inlineStr">
        <is>
          <t>Production support interrupts may steal CS 2.0 Core capacity</t>
        </is>
      </c>
      <c r="C17" s="23" t="inlineStr">
        <is>
          <t>Medium</t>
        </is>
      </c>
      <c r="D17" s="23" t="inlineStr">
        <is>
          <t>High</t>
        </is>
      </c>
      <c r="E17" s="23">
        <f>IF(OR(C17="",D17=""),"",IF((IF(C17="High",3,IF(C17="Medium",2,1)))*(IF(D17="High",3,IF(D17="Medium",2,1)))&gt;=9,"Critical",IF((IF(C17="High",3,IF(C17="Medium",2,1)))*(IF(D17="High",3,IF(D17="Medium",2,1)))&gt;=6,"High",IF((IF(C17="High",3,IF(C17="Medium",2,1)))*(IF(D17="High",3,IF(D17="Medium",2,1)))&gt;=3,"Medium","Low"))))</f>
        <v/>
      </c>
      <c r="F17" s="23" t="inlineStr">
        <is>
          <t>MJ</t>
        </is>
      </c>
      <c r="G17" s="24" t="inlineStr">
        <is>
          <t>Owned by MJ; track in weekly governance; link to FY27 V1 source items.</t>
        </is>
      </c>
      <c r="H17" s="23" t="inlineStr">
        <is>
          <t>Watching</t>
        </is>
      </c>
      <c r="I17" s="25" t="n">
        <v>46236</v>
      </c>
    </row>
    <row r="18">
      <c r="A18" s="23" t="inlineStr">
        <is>
          <t>R-14</t>
        </is>
      </c>
      <c r="B18" s="24" t="inlineStr">
        <is>
          <t>Compliance / VAPT findings late in quarter threaten release gates</t>
        </is>
      </c>
      <c r="C18" s="23" t="inlineStr">
        <is>
          <t>High</t>
        </is>
      </c>
      <c r="D18" s="23" t="inlineStr">
        <is>
          <t>Medium</t>
        </is>
      </c>
      <c r="E18" s="23">
        <f>IF(OR(C18="",D18=""),"",IF((IF(C18="High",3,IF(C18="Medium",2,1)))*(IF(D18="High",3,IF(D18="Medium",2,1)))&gt;=9,"Critical",IF((IF(C18="High",3,IF(C18="Medium",2,1)))*(IF(D18="High",3,IF(D18="Medium",2,1)))&gt;=6,"High",IF((IF(C18="High",3,IF(C18="Medium",2,1)))*(IF(D18="High",3,IF(D18="Medium",2,1)))&gt;=3,"Medium","Low"))))</f>
        <v/>
      </c>
      <c r="F18" s="23" t="inlineStr">
        <is>
          <t>MJ</t>
        </is>
      </c>
      <c r="G18" s="24" t="inlineStr">
        <is>
          <t>Owned by MJ; track in weekly governance; link to FY27 V1 source items.</t>
        </is>
      </c>
      <c r="H18" s="23" t="inlineStr">
        <is>
          <t>Mitigating</t>
        </is>
      </c>
      <c r="I18" s="25" t="n">
        <v>46263</v>
      </c>
    </row>
    <row r="19">
      <c r="A19" s="23" t="inlineStr">
        <is>
          <t>R-15</t>
        </is>
      </c>
      <c r="B19" s="24" t="inlineStr">
        <is>
          <t>Unassigned project rows in source need owner clarification</t>
        </is>
      </c>
      <c r="C19" s="23" t="inlineStr">
        <is>
          <t>Medium</t>
        </is>
      </c>
      <c r="D19" s="23" t="inlineStr">
        <is>
          <t>Low</t>
        </is>
      </c>
      <c r="E19" s="23">
        <f>IF(OR(C19="",D19=""),"",IF((IF(C19="High",3,IF(C19="Medium",2,1)))*(IF(D19="High",3,IF(D19="Medium",2,1)))&gt;=9,"Critical",IF((IF(C19="High",3,IF(C19="Medium",2,1)))*(IF(D19="High",3,IF(D19="Medium",2,1)))&gt;=6,"High",IF((IF(C19="High",3,IF(C19="Medium",2,1)))*(IF(D19="High",3,IF(D19="Medium",2,1)))&gt;=3,"Medium","Low"))))</f>
        <v/>
      </c>
      <c r="F19" s="23" t="inlineStr">
        <is>
          <t>Kadarkarai</t>
        </is>
      </c>
      <c r="G19" s="24" t="inlineStr">
        <is>
          <t>Owned by Kadarkarai; track in weekly governance; link to FY27 V1 source items.</t>
        </is>
      </c>
      <c r="H19" s="23" t="inlineStr">
        <is>
          <t>Watching</t>
        </is>
      </c>
      <c r="I19" s="25" t="n">
        <v>46253</v>
      </c>
    </row>
    <row r="20">
      <c r="A20" s="23" t="inlineStr">
        <is>
          <t>R-18</t>
        </is>
      </c>
      <c r="B20" s="24" t="inlineStr">
        <is>
          <t>Delivery risk linked from tracker tasks (R-18)</t>
        </is>
      </c>
      <c r="C20" s="23" t="inlineStr">
        <is>
          <t>High</t>
        </is>
      </c>
      <c r="D20" s="23" t="inlineStr">
        <is>
          <t>Medium</t>
        </is>
      </c>
      <c r="E20" s="23">
        <f>IF(OR(C20="",D20=""),"",IF((IF(C20="High",3,IF(C20="Medium",2,1)))*(IF(D20="High",3,IF(D20="Medium",2,1)))&gt;=9,"Critical",IF((IF(C20="High",3,IF(C20="Medium",2,1)))*(IF(D20="High",3,IF(D20="Medium",2,1)))&gt;=6,"High",IF((IF(C20="High",3,IF(C20="Medium",2,1)))*(IF(D20="High",3,IF(D20="Medium",2,1)))&gt;=3,"Medium","Low"))))</f>
        <v/>
      </c>
      <c r="F20" s="23" t="inlineStr">
        <is>
          <t>Jawahar</t>
        </is>
      </c>
      <c r="G20" s="24" t="inlineStr">
        <is>
          <t>Review linked tasks; confirm Include and dates.</t>
        </is>
      </c>
      <c r="H20" s="23" t="inlineStr">
        <is>
          <t>Open</t>
        </is>
      </c>
      <c r="I20" s="25" t="n">
        <v>46243</v>
      </c>
    </row>
    <row r="21">
      <c r="A21" s="23" t="inlineStr">
        <is>
          <t>R-19</t>
        </is>
      </c>
      <c r="B21" s="24" t="inlineStr">
        <is>
          <t>Delivery risk linked from tracker tasks (R-19)</t>
        </is>
      </c>
      <c r="C21" s="23" t="inlineStr">
        <is>
          <t>High</t>
        </is>
      </c>
      <c r="D21" s="23" t="inlineStr">
        <is>
          <t>Medium</t>
        </is>
      </c>
      <c r="E21" s="23">
        <f>IF(OR(C21="",D21=""),"",IF((IF(C21="High",3,IF(C21="Medium",2,1)))*(IF(D21="High",3,IF(D21="Medium",2,1)))&gt;=9,"Critical",IF((IF(C21="High",3,IF(C21="Medium",2,1)))*(IF(D21="High",3,IF(D21="Medium",2,1)))&gt;=6,"High",IF((IF(C21="High",3,IF(C21="Medium",2,1)))*(IF(D21="High",3,IF(D21="Medium",2,1)))&gt;=3,"Medium","Low"))))</f>
        <v/>
      </c>
      <c r="F21" s="23" t="inlineStr">
        <is>
          <t>Jawahar</t>
        </is>
      </c>
      <c r="G21" s="24" t="inlineStr">
        <is>
          <t>Review linked tasks; confirm Include and dates.</t>
        </is>
      </c>
      <c r="H21" s="23" t="inlineStr">
        <is>
          <t>Open</t>
        </is>
      </c>
      <c r="I21" s="25" t="n">
        <v>46243</v>
      </c>
    </row>
    <row r="22">
      <c r="A22" s="23" t="inlineStr">
        <is>
          <t>R-20</t>
        </is>
      </c>
      <c r="B22" s="24" t="inlineStr">
        <is>
          <t>Delivery risk linked from tracker tasks (R-20)</t>
        </is>
      </c>
      <c r="C22" s="23" t="inlineStr">
        <is>
          <t>High</t>
        </is>
      </c>
      <c r="D22" s="23" t="inlineStr">
        <is>
          <t>Medium</t>
        </is>
      </c>
      <c r="E22" s="23">
        <f>IF(OR(C22="",D22=""),"",IF((IF(C22="High",3,IF(C22="Medium",2,1)))*(IF(D22="High",3,IF(D22="Medium",2,1)))&gt;=9,"Critical",IF((IF(C22="High",3,IF(C22="Medium",2,1)))*(IF(D22="High",3,IF(D22="Medium",2,1)))&gt;=6,"High",IF((IF(C22="High",3,IF(C22="Medium",2,1)))*(IF(D22="High",3,IF(D22="Medium",2,1)))&gt;=3,"Medium","Low"))))</f>
        <v/>
      </c>
      <c r="F22" s="23" t="inlineStr">
        <is>
          <t>Jawahar</t>
        </is>
      </c>
      <c r="G22" s="24" t="inlineStr">
        <is>
          <t>Review linked tasks; confirm Include and dates.</t>
        </is>
      </c>
      <c r="H22" s="23" t="inlineStr">
        <is>
          <t>Open</t>
        </is>
      </c>
      <c r="I22" s="25" t="n">
        <v>46243</v>
      </c>
    </row>
  </sheetData>
  <conditionalFormatting sqref="E5:E22">
    <cfRule type="expression" priority="1" dxfId="3">
      <formula>OR($E5="High",$E5="Critical")</formula>
    </cfRule>
  </conditionalFormatting>
  <dataValidations count="4">
    <dataValidation sqref="C5:C22" showDropDown="0" showInputMessage="0" showErrorMessage="0" allowBlank="1" type="list">
      <formula1>=List_Impact</formula1>
    </dataValidation>
    <dataValidation sqref="D5:D22" showDropDown="0" showInputMessage="0" showErrorMessage="0" allowBlank="1" type="list">
      <formula1>=List_Probability</formula1>
    </dataValidation>
    <dataValidation sqref="F5:F22" showDropDown="0" showInputMessage="0" showErrorMessage="0" allowBlank="1" type="list">
      <formula1>=List_Owners</formula1>
    </dataValidation>
    <dataValidation sqref="H5:H22" showDropDown="0" showInputMessage="0" showErrorMessage="0" allowBlank="1" type="list">
      <formula1>=List_RiskStatus</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103"/>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12" customWidth="1" min="3" max="3"/>
    <col width="18" customWidth="1" min="4" max="4"/>
    <col width="14" customWidth="1" min="5" max="5"/>
    <col width="14" customWidth="1" min="6" max="6"/>
    <col width="12" customWidth="1" min="7" max="7"/>
  </cols>
  <sheetData>
    <row r="1">
      <c r="A1" s="20" t="inlineStr">
        <is>
          <t>DEPENDENCIES REGISTER</t>
        </is>
      </c>
    </row>
    <row r="2">
      <c r="A2" s="37" t="inlineStr">
        <is>
          <t>Overdue dependencies (Expected Date &lt; TODAY and Status ≠ Satisfied) are highlighted.</t>
        </is>
      </c>
    </row>
    <row r="4">
      <c r="A4" s="22" t="inlineStr">
        <is>
          <t>Dependency ID</t>
        </is>
      </c>
      <c r="B4" s="22" t="inlineStr">
        <is>
          <t>Task</t>
        </is>
      </c>
      <c r="C4" s="22" t="inlineStr">
        <is>
          <t>Depends On</t>
        </is>
      </c>
      <c r="D4" s="22" t="inlineStr">
        <is>
          <t>Owner</t>
        </is>
      </c>
      <c r="E4" s="22" t="inlineStr">
        <is>
          <t>Expected Date</t>
        </is>
      </c>
      <c r="F4" s="22" t="inlineStr">
        <is>
          <t>Actual Date</t>
        </is>
      </c>
      <c r="G4" s="22" t="inlineStr">
        <is>
          <t>Status</t>
        </is>
      </c>
    </row>
    <row r="5">
      <c r="A5" s="38" t="inlineStr">
        <is>
          <t>D-001</t>
        </is>
      </c>
      <c r="B5" s="38" t="inlineStr">
        <is>
          <t>T-002</t>
        </is>
      </c>
      <c r="C5" s="38" t="inlineStr">
        <is>
          <t>T-001</t>
        </is>
      </c>
      <c r="D5" s="38" t="inlineStr">
        <is>
          <t>MJ</t>
        </is>
      </c>
      <c r="E5" s="42" t="n">
        <v>46293</v>
      </c>
      <c r="F5" s="42" t="n"/>
      <c r="G5" s="38">
        <f>IF(F5&lt;&gt;"","Satisfied",IF(E5&lt;TODAY(),"Overdue","Open"))</f>
        <v/>
      </c>
    </row>
    <row r="6">
      <c r="A6" s="38" t="inlineStr">
        <is>
          <t>D-002</t>
        </is>
      </c>
      <c r="B6" s="38" t="inlineStr">
        <is>
          <t>T-003</t>
        </is>
      </c>
      <c r="C6" s="38" t="inlineStr">
        <is>
          <t>T-002</t>
        </is>
      </c>
      <c r="D6" s="38" t="inlineStr">
        <is>
          <t>MJ</t>
        </is>
      </c>
      <c r="E6" s="42" t="n">
        <v>46226</v>
      </c>
      <c r="F6" s="42" t="n"/>
      <c r="G6" s="38">
        <f>IF(F6&lt;&gt;"","Satisfied",IF(E6&lt;TODAY(),"Overdue","Open"))</f>
        <v/>
      </c>
    </row>
    <row r="7">
      <c r="A7" s="38" t="inlineStr">
        <is>
          <t>D-003</t>
        </is>
      </c>
      <c r="B7" s="38" t="inlineStr">
        <is>
          <t>T-004</t>
        </is>
      </c>
      <c r="C7" s="38" t="inlineStr">
        <is>
          <t>T-003</t>
        </is>
      </c>
      <c r="D7" s="38" t="inlineStr">
        <is>
          <t>MJ</t>
        </is>
      </c>
      <c r="E7" s="42" t="n">
        <v>46242</v>
      </c>
      <c r="F7" s="42" t="n"/>
      <c r="G7" s="38">
        <f>IF(F7&lt;&gt;"","Satisfied",IF(E7&lt;TODAY(),"Overdue","Open"))</f>
        <v/>
      </c>
    </row>
    <row r="8">
      <c r="A8" s="38" t="inlineStr">
        <is>
          <t>D-004</t>
        </is>
      </c>
      <c r="B8" s="38" t="inlineStr">
        <is>
          <t>T-005</t>
        </is>
      </c>
      <c r="C8" s="38" t="inlineStr">
        <is>
          <t>T-004</t>
        </is>
      </c>
      <c r="D8" s="38" t="inlineStr">
        <is>
          <t>MJ</t>
        </is>
      </c>
      <c r="E8" s="42" t="n">
        <v>46244</v>
      </c>
      <c r="F8" s="42" t="n"/>
      <c r="G8" s="38">
        <f>IF(F8&lt;&gt;"","Satisfied",IF(E8&lt;TODAY(),"Overdue","Open"))</f>
        <v/>
      </c>
    </row>
    <row r="9">
      <c r="A9" s="38" t="inlineStr">
        <is>
          <t>D-005</t>
        </is>
      </c>
      <c r="B9" s="38" t="inlineStr">
        <is>
          <t>T-007</t>
        </is>
      </c>
      <c r="C9" s="38" t="inlineStr">
        <is>
          <t>T-006</t>
        </is>
      </c>
      <c r="D9" s="38" t="inlineStr">
        <is>
          <t>MJ</t>
        </is>
      </c>
      <c r="E9" s="42" t="n">
        <v>46291</v>
      </c>
      <c r="F9" s="42" t="n"/>
      <c r="G9" s="38">
        <f>IF(F9&lt;&gt;"","Satisfied",IF(E9&lt;TODAY(),"Overdue","Open"))</f>
        <v/>
      </c>
    </row>
    <row r="10">
      <c r="A10" s="38" t="inlineStr">
        <is>
          <t>D-006</t>
        </is>
      </c>
      <c r="B10" s="38" t="inlineStr">
        <is>
          <t>T-008</t>
        </is>
      </c>
      <c r="C10" s="38" t="inlineStr">
        <is>
          <t>T-007</t>
        </is>
      </c>
      <c r="D10" s="38" t="inlineStr">
        <is>
          <t>MJ</t>
        </is>
      </c>
      <c r="E10" s="42" t="n">
        <v>46263</v>
      </c>
      <c r="F10" s="42" t="n"/>
      <c r="G10" s="38">
        <f>IF(F10&lt;&gt;"","Satisfied",IF(E10&lt;TODAY(),"Overdue","Open"))</f>
        <v/>
      </c>
    </row>
    <row r="11">
      <c r="A11" s="38" t="inlineStr">
        <is>
          <t>D-007</t>
        </is>
      </c>
      <c r="B11" s="38" t="inlineStr">
        <is>
          <t>T-009</t>
        </is>
      </c>
      <c r="C11" s="38" t="inlineStr">
        <is>
          <t>T-008</t>
        </is>
      </c>
      <c r="D11" s="38" t="inlineStr">
        <is>
          <t>MJ</t>
        </is>
      </c>
      <c r="E11" s="42" t="n">
        <v>46269</v>
      </c>
      <c r="F11" s="42" t="n"/>
      <c r="G11" s="38">
        <f>IF(F11&lt;&gt;"","Satisfied",IF(E11&lt;TODAY(),"Overdue","Open"))</f>
        <v/>
      </c>
    </row>
    <row r="12">
      <c r="A12" s="38" t="inlineStr">
        <is>
          <t>D-008</t>
        </is>
      </c>
      <c r="B12" s="38" t="inlineStr">
        <is>
          <t>T-010</t>
        </is>
      </c>
      <c r="C12" s="38" t="inlineStr">
        <is>
          <t>T-009</t>
        </is>
      </c>
      <c r="D12" s="38" t="inlineStr">
        <is>
          <t>Jawahar</t>
        </is>
      </c>
      <c r="E12" s="42" t="n">
        <v>46261</v>
      </c>
      <c r="F12" s="42" t="n"/>
      <c r="G12" s="38">
        <f>IF(F12&lt;&gt;"","Satisfied",IF(E12&lt;TODAY(),"Overdue","Open"))</f>
        <v/>
      </c>
    </row>
    <row r="13">
      <c r="A13" s="38" t="inlineStr">
        <is>
          <t>D-009</t>
        </is>
      </c>
      <c r="B13" s="38" t="inlineStr">
        <is>
          <t>T-011</t>
        </is>
      </c>
      <c r="C13" s="38" t="inlineStr">
        <is>
          <t>T-010</t>
        </is>
      </c>
      <c r="D13" s="38" t="inlineStr">
        <is>
          <t>Jawahar</t>
        </is>
      </c>
      <c r="E13" s="42" t="n">
        <v>46277</v>
      </c>
      <c r="F13" s="42" t="n"/>
      <c r="G13" s="38">
        <f>IF(F13&lt;&gt;"","Satisfied",IF(E13&lt;TODAY(),"Overdue","Open"))</f>
        <v/>
      </c>
    </row>
    <row r="14">
      <c r="A14" s="38" t="inlineStr">
        <is>
          <t>D-010</t>
        </is>
      </c>
      <c r="B14" s="38" t="inlineStr">
        <is>
          <t>T-012</t>
        </is>
      </c>
      <c r="C14" s="38" t="inlineStr">
        <is>
          <t>T-011</t>
        </is>
      </c>
      <c r="D14" s="38" t="inlineStr">
        <is>
          <t>MJ</t>
        </is>
      </c>
      <c r="E14" s="42" t="n">
        <v>46284</v>
      </c>
      <c r="F14" s="42" t="n"/>
      <c r="G14" s="38">
        <f>IF(F14&lt;&gt;"","Satisfied",IF(E14&lt;TODAY(),"Overdue","Open"))</f>
        <v/>
      </c>
    </row>
    <row r="15">
      <c r="A15" s="38" t="inlineStr">
        <is>
          <t>D-011</t>
        </is>
      </c>
      <c r="B15" s="38" t="inlineStr">
        <is>
          <t>T-013</t>
        </is>
      </c>
      <c r="C15" s="38" t="inlineStr">
        <is>
          <t>T-012</t>
        </is>
      </c>
      <c r="D15" s="38" t="inlineStr">
        <is>
          <t>MJ</t>
        </is>
      </c>
      <c r="E15" s="42" t="n">
        <v>46217</v>
      </c>
      <c r="F15" s="42" t="n"/>
      <c r="G15" s="38">
        <f>IF(F15&lt;&gt;"","Satisfied",IF(E15&lt;TODAY(),"Overdue","Open"))</f>
        <v/>
      </c>
    </row>
    <row r="16">
      <c r="A16" s="38" t="inlineStr">
        <is>
          <t>D-012</t>
        </is>
      </c>
      <c r="B16" s="38" t="inlineStr">
        <is>
          <t>T-014</t>
        </is>
      </c>
      <c r="C16" s="38" t="inlineStr">
        <is>
          <t>T-013</t>
        </is>
      </c>
      <c r="D16" s="38" t="inlineStr">
        <is>
          <t>MJ</t>
        </is>
      </c>
      <c r="E16" s="42" t="n">
        <v>46286</v>
      </c>
      <c r="F16" s="42" t="n"/>
      <c r="G16" s="38">
        <f>IF(F16&lt;&gt;"","Satisfied",IF(E16&lt;TODAY(),"Overdue","Open"))</f>
        <v/>
      </c>
    </row>
    <row r="17">
      <c r="A17" s="38" t="inlineStr">
        <is>
          <t>D-013</t>
        </is>
      </c>
      <c r="B17" s="38" t="inlineStr">
        <is>
          <t>T-016</t>
        </is>
      </c>
      <c r="C17" s="38" t="inlineStr">
        <is>
          <t>T-015</t>
        </is>
      </c>
      <c r="D17" s="38" t="inlineStr">
        <is>
          <t>MJ</t>
        </is>
      </c>
      <c r="E17" s="42" t="n">
        <v>46419</v>
      </c>
      <c r="F17" s="42" t="n"/>
      <c r="G17" s="38">
        <f>IF(F17&lt;&gt;"","Satisfied",IF(E17&lt;TODAY(),"Overdue","Open"))</f>
        <v/>
      </c>
    </row>
    <row r="18">
      <c r="A18" s="38" t="inlineStr">
        <is>
          <t>D-014</t>
        </is>
      </c>
      <c r="B18" s="38" t="inlineStr">
        <is>
          <t>T-017</t>
        </is>
      </c>
      <c r="C18" s="38" t="inlineStr">
        <is>
          <t>T-016</t>
        </is>
      </c>
      <c r="D18" s="38" t="inlineStr">
        <is>
          <t>MJ</t>
        </is>
      </c>
      <c r="E18" s="42" t="n">
        <v>46544</v>
      </c>
      <c r="F18" s="42" t="n"/>
      <c r="G18" s="38">
        <f>IF(F18&lt;&gt;"","Satisfied",IF(E18&lt;TODAY(),"Overdue","Open"))</f>
        <v/>
      </c>
    </row>
    <row r="19">
      <c r="A19" s="38" t="inlineStr">
        <is>
          <t>D-015</t>
        </is>
      </c>
      <c r="B19" s="38" t="inlineStr">
        <is>
          <t>T-018</t>
        </is>
      </c>
      <c r="C19" s="38" t="inlineStr">
        <is>
          <t>T-017</t>
        </is>
      </c>
      <c r="D19" s="38" t="inlineStr">
        <is>
          <t>MJ</t>
        </is>
      </c>
      <c r="E19" s="42" t="n">
        <v>46509</v>
      </c>
      <c r="F19" s="42" t="n"/>
      <c r="G19" s="38">
        <f>IF(F19&lt;&gt;"","Satisfied",IF(E19&lt;TODAY(),"Overdue","Open"))</f>
        <v/>
      </c>
    </row>
    <row r="20">
      <c r="A20" s="38" t="inlineStr">
        <is>
          <t>D-016</t>
        </is>
      </c>
      <c r="B20" s="38" t="inlineStr">
        <is>
          <t>T-019</t>
        </is>
      </c>
      <c r="C20" s="38" t="inlineStr">
        <is>
          <t>T-018</t>
        </is>
      </c>
      <c r="D20" s="38" t="inlineStr">
        <is>
          <t>MJ</t>
        </is>
      </c>
      <c r="E20" s="42" t="n">
        <v>46527</v>
      </c>
      <c r="F20" s="42" t="n"/>
      <c r="G20" s="38">
        <f>IF(F20&lt;&gt;"","Satisfied",IF(E20&lt;TODAY(),"Overdue","Open"))</f>
        <v/>
      </c>
    </row>
    <row r="21">
      <c r="A21" s="38" t="inlineStr">
        <is>
          <t>D-017</t>
        </is>
      </c>
      <c r="B21" s="38" t="inlineStr">
        <is>
          <t>T-020</t>
        </is>
      </c>
      <c r="C21" s="38" t="inlineStr">
        <is>
          <t>T-019</t>
        </is>
      </c>
      <c r="D21" s="38" t="inlineStr">
        <is>
          <t>MJ</t>
        </is>
      </c>
      <c r="E21" s="42" t="n">
        <v>46520</v>
      </c>
      <c r="F21" s="42" t="n"/>
      <c r="G21" s="38">
        <f>IF(F21&lt;&gt;"","Satisfied",IF(E21&lt;TODAY(),"Overdue","Open"))</f>
        <v/>
      </c>
    </row>
    <row r="22">
      <c r="A22" s="38" t="inlineStr">
        <is>
          <t>D-018</t>
        </is>
      </c>
      <c r="B22" s="38" t="inlineStr">
        <is>
          <t>T-021</t>
        </is>
      </c>
      <c r="C22" s="38" t="inlineStr">
        <is>
          <t>T-020</t>
        </is>
      </c>
      <c r="D22" s="38" t="inlineStr">
        <is>
          <t>MJ</t>
        </is>
      </c>
      <c r="E22" s="42" t="n">
        <v>46553</v>
      </c>
      <c r="F22" s="42" t="n"/>
      <c r="G22" s="38">
        <f>IF(F22&lt;&gt;"","Satisfied",IF(E22&lt;TODAY(),"Overdue","Open"))</f>
        <v/>
      </c>
    </row>
    <row r="23">
      <c r="A23" s="38" t="inlineStr">
        <is>
          <t>D-019</t>
        </is>
      </c>
      <c r="B23" s="38" t="inlineStr">
        <is>
          <t>T-022</t>
        </is>
      </c>
      <c r="C23" s="38" t="inlineStr">
        <is>
          <t>T-021</t>
        </is>
      </c>
      <c r="D23" s="38" t="inlineStr">
        <is>
          <t>MJ</t>
        </is>
      </c>
      <c r="E23" s="42" t="n">
        <v>46540</v>
      </c>
      <c r="F23" s="42" t="n"/>
      <c r="G23" s="38">
        <f>IF(F23&lt;&gt;"","Satisfied",IF(E23&lt;TODAY(),"Overdue","Open"))</f>
        <v/>
      </c>
    </row>
    <row r="24">
      <c r="A24" s="38" t="inlineStr">
        <is>
          <t>D-020</t>
        </is>
      </c>
      <c r="B24" s="38" t="inlineStr">
        <is>
          <t>T-024</t>
        </is>
      </c>
      <c r="C24" s="38" t="inlineStr">
        <is>
          <t>T-023</t>
        </is>
      </c>
      <c r="D24" s="38" t="inlineStr">
        <is>
          <t>Shriguru</t>
        </is>
      </c>
      <c r="E24" s="42" t="n">
        <v>46256</v>
      </c>
      <c r="F24" s="42" t="n"/>
      <c r="G24" s="38">
        <f>IF(F24&lt;&gt;"","Satisfied",IF(E24&lt;TODAY(),"Overdue","Open"))</f>
        <v/>
      </c>
    </row>
    <row r="25">
      <c r="A25" s="38" t="inlineStr">
        <is>
          <t>D-021</t>
        </is>
      </c>
      <c r="B25" s="38" t="inlineStr">
        <is>
          <t>T-025</t>
        </is>
      </c>
      <c r="C25" s="38" t="inlineStr">
        <is>
          <t>T-024</t>
        </is>
      </c>
      <c r="D25" s="38" t="inlineStr">
        <is>
          <t>Shriguru</t>
        </is>
      </c>
      <c r="E25" s="42" t="n">
        <v>46218</v>
      </c>
      <c r="F25" s="42" t="n"/>
      <c r="G25" s="38">
        <f>IF(F25&lt;&gt;"","Satisfied",IF(E25&lt;TODAY(),"Overdue","Open"))</f>
        <v/>
      </c>
    </row>
    <row r="26">
      <c r="A26" s="38" t="inlineStr">
        <is>
          <t>D-022</t>
        </is>
      </c>
      <c r="B26" s="38" t="inlineStr">
        <is>
          <t>T-026</t>
        </is>
      </c>
      <c r="C26" s="38" t="inlineStr">
        <is>
          <t>T-025</t>
        </is>
      </c>
      <c r="D26" s="38" t="inlineStr">
        <is>
          <t>Shriguru</t>
        </is>
      </c>
      <c r="E26" s="42" t="n">
        <v>46287</v>
      </c>
      <c r="F26" s="42" t="n"/>
      <c r="G26" s="38">
        <f>IF(F26&lt;&gt;"","Satisfied",IF(E26&lt;TODAY(),"Overdue","Open"))</f>
        <v/>
      </c>
    </row>
    <row r="27">
      <c r="A27" s="38" t="inlineStr">
        <is>
          <t>D-023</t>
        </is>
      </c>
      <c r="B27" s="38" t="inlineStr">
        <is>
          <t>T-027</t>
        </is>
      </c>
      <c r="C27" s="38" t="inlineStr">
        <is>
          <t>T-026</t>
        </is>
      </c>
      <c r="D27" s="38" t="inlineStr">
        <is>
          <t>Shriguru</t>
        </is>
      </c>
      <c r="E27" s="42" t="n">
        <v>46271</v>
      </c>
      <c r="F27" s="42" t="n"/>
      <c r="G27" s="38">
        <f>IF(F27&lt;&gt;"","Satisfied",IF(E27&lt;TODAY(),"Overdue","Open"))</f>
        <v/>
      </c>
    </row>
    <row r="28">
      <c r="A28" s="38" t="inlineStr">
        <is>
          <t>D-024</t>
        </is>
      </c>
      <c r="B28" s="38" t="inlineStr">
        <is>
          <t>T-028</t>
        </is>
      </c>
      <c r="C28" s="38" t="inlineStr">
        <is>
          <t>T-027</t>
        </is>
      </c>
      <c r="D28" s="38" t="inlineStr">
        <is>
          <t>Shriguru</t>
        </is>
      </c>
      <c r="E28" s="42" t="n">
        <v>46225</v>
      </c>
      <c r="F28" s="42" t="n"/>
      <c r="G28" s="38">
        <f>IF(F28&lt;&gt;"","Satisfied",IF(E28&lt;TODAY(),"Overdue","Open"))</f>
        <v/>
      </c>
    </row>
    <row r="29">
      <c r="A29" s="38" t="inlineStr">
        <is>
          <t>D-025</t>
        </is>
      </c>
      <c r="B29" s="38" t="inlineStr">
        <is>
          <t>T-029</t>
        </is>
      </c>
      <c r="C29" s="38" t="inlineStr">
        <is>
          <t>T-022</t>
        </is>
      </c>
      <c r="D29" s="38" t="inlineStr">
        <is>
          <t>MJ</t>
        </is>
      </c>
      <c r="E29" s="42" t="n">
        <v>46537</v>
      </c>
      <c r="F29" s="42" t="n"/>
      <c r="G29" s="38">
        <f>IF(F29&lt;&gt;"","Satisfied",IF(E29&lt;TODAY(),"Overdue","Open"))</f>
        <v/>
      </c>
    </row>
    <row r="30">
      <c r="A30" s="38" t="inlineStr">
        <is>
          <t>D-026</t>
        </is>
      </c>
      <c r="B30" s="38" t="inlineStr">
        <is>
          <t>T-031</t>
        </is>
      </c>
      <c r="C30" s="38" t="inlineStr">
        <is>
          <t>T-030</t>
        </is>
      </c>
      <c r="D30" s="38" t="inlineStr">
        <is>
          <t>MJ</t>
        </is>
      </c>
      <c r="E30" s="42" t="n">
        <v>46288</v>
      </c>
      <c r="F30" s="42" t="n"/>
      <c r="G30" s="38">
        <f>IF(F30&lt;&gt;"","Satisfied",IF(E30&lt;TODAY(),"Overdue","Open"))</f>
        <v/>
      </c>
    </row>
    <row r="31">
      <c r="A31" s="38" t="inlineStr">
        <is>
          <t>D-027</t>
        </is>
      </c>
      <c r="B31" s="38" t="inlineStr">
        <is>
          <t>T-032</t>
        </is>
      </c>
      <c r="C31" s="38" t="inlineStr">
        <is>
          <t>T-031</t>
        </is>
      </c>
      <c r="D31" s="38" t="inlineStr">
        <is>
          <t>MJ</t>
        </is>
      </c>
      <c r="E31" s="42" t="n">
        <v>46278</v>
      </c>
      <c r="F31" s="42" t="n"/>
      <c r="G31" s="38">
        <f>IF(F31&lt;&gt;"","Satisfied",IF(E31&lt;TODAY(),"Overdue","Open"))</f>
        <v/>
      </c>
    </row>
    <row r="32">
      <c r="A32" s="38" t="inlineStr">
        <is>
          <t>D-028</t>
        </is>
      </c>
      <c r="B32" s="38" t="inlineStr">
        <is>
          <t>T-033</t>
        </is>
      </c>
      <c r="C32" s="38" t="inlineStr">
        <is>
          <t>T-032</t>
        </is>
      </c>
      <c r="D32" s="38" t="inlineStr">
        <is>
          <t>Jawahar</t>
        </is>
      </c>
      <c r="E32" s="42" t="n">
        <v>46284</v>
      </c>
      <c r="F32" s="42" t="n"/>
      <c r="G32" s="38">
        <f>IF(F32&lt;&gt;"","Satisfied",IF(E32&lt;TODAY(),"Overdue","Open"))</f>
        <v/>
      </c>
    </row>
    <row r="33">
      <c r="A33" s="38" t="inlineStr">
        <is>
          <t>D-029</t>
        </is>
      </c>
      <c r="B33" s="38" t="inlineStr">
        <is>
          <t>T-034</t>
        </is>
      </c>
      <c r="C33" s="38" t="inlineStr">
        <is>
          <t>T-033</t>
        </is>
      </c>
      <c r="D33" s="38" t="inlineStr">
        <is>
          <t>Jawahar</t>
        </is>
      </c>
      <c r="E33" s="42" t="n">
        <v>46279</v>
      </c>
      <c r="F33" s="42" t="n"/>
      <c r="G33" s="38">
        <f>IF(F33&lt;&gt;"","Satisfied",IF(E33&lt;TODAY(),"Overdue","Open"))</f>
        <v/>
      </c>
    </row>
    <row r="34">
      <c r="A34" s="38" t="inlineStr">
        <is>
          <t>D-030</t>
        </is>
      </c>
      <c r="B34" s="38" t="inlineStr">
        <is>
          <t>T-035</t>
        </is>
      </c>
      <c r="C34" s="38" t="inlineStr">
        <is>
          <t>T-034</t>
        </is>
      </c>
      <c r="D34" s="38" t="inlineStr">
        <is>
          <t>Jawahar</t>
        </is>
      </c>
      <c r="E34" s="42" t="n">
        <v>46277</v>
      </c>
      <c r="F34" s="42" t="n"/>
      <c r="G34" s="38">
        <f>IF(F34&lt;&gt;"","Satisfied",IF(E34&lt;TODAY(),"Overdue","Open"))</f>
        <v/>
      </c>
    </row>
    <row r="35">
      <c r="A35" s="38" t="inlineStr">
        <is>
          <t>D-031</t>
        </is>
      </c>
      <c r="B35" s="38" t="inlineStr">
        <is>
          <t>T-036</t>
        </is>
      </c>
      <c r="C35" s="38" t="inlineStr">
        <is>
          <t>T-035</t>
        </is>
      </c>
      <c r="D35" s="38" t="inlineStr">
        <is>
          <t>MJ</t>
        </is>
      </c>
      <c r="E35" s="42" t="n">
        <v>46292</v>
      </c>
      <c r="F35" s="42" t="n"/>
      <c r="G35" s="38">
        <f>IF(F35&lt;&gt;"","Satisfied",IF(E35&lt;TODAY(),"Overdue","Open"))</f>
        <v/>
      </c>
    </row>
    <row r="36">
      <c r="A36" s="38" t="inlineStr">
        <is>
          <t>D-032</t>
        </is>
      </c>
      <c r="B36" s="38" t="inlineStr">
        <is>
          <t>T-037</t>
        </is>
      </c>
      <c r="C36" s="38" t="inlineStr">
        <is>
          <t>T-036</t>
        </is>
      </c>
      <c r="D36" s="38" t="inlineStr">
        <is>
          <t>MJ</t>
        </is>
      </c>
      <c r="E36" s="42" t="n">
        <v>46255</v>
      </c>
      <c r="F36" s="42" t="n"/>
      <c r="G36" s="38">
        <f>IF(F36&lt;&gt;"","Satisfied",IF(E36&lt;TODAY(),"Overdue","Open"))</f>
        <v/>
      </c>
    </row>
    <row r="37">
      <c r="A37" s="38" t="inlineStr">
        <is>
          <t>D-033</t>
        </is>
      </c>
      <c r="B37" s="38" t="inlineStr">
        <is>
          <t>T-038</t>
        </is>
      </c>
      <c r="C37" s="38" t="inlineStr">
        <is>
          <t>T-037</t>
        </is>
      </c>
      <c r="D37" s="38" t="inlineStr">
        <is>
          <t>Jawahar</t>
        </is>
      </c>
      <c r="E37" s="42" t="n">
        <v>46235</v>
      </c>
      <c r="F37" s="42" t="n"/>
      <c r="G37" s="38">
        <f>IF(F37&lt;&gt;"","Satisfied",IF(E37&lt;TODAY(),"Overdue","Open"))</f>
        <v/>
      </c>
    </row>
    <row r="38">
      <c r="A38" s="38" t="inlineStr">
        <is>
          <t>D-034</t>
        </is>
      </c>
      <c r="B38" s="38" t="inlineStr">
        <is>
          <t>T-039</t>
        </is>
      </c>
      <c r="C38" s="38" t="inlineStr">
        <is>
          <t>T-038</t>
        </is>
      </c>
      <c r="D38" s="38" t="inlineStr">
        <is>
          <t>Jawahar</t>
        </is>
      </c>
      <c r="E38" s="42" t="n">
        <v>46252</v>
      </c>
      <c r="F38" s="42" t="n"/>
      <c r="G38" s="38">
        <f>IF(F38&lt;&gt;"","Satisfied",IF(E38&lt;TODAY(),"Overdue","Open"))</f>
        <v/>
      </c>
    </row>
    <row r="39">
      <c r="A39" s="38" t="inlineStr">
        <is>
          <t>D-035</t>
        </is>
      </c>
      <c r="B39" s="38" t="inlineStr">
        <is>
          <t>T-040</t>
        </is>
      </c>
      <c r="C39" s="38" t="inlineStr">
        <is>
          <t>T-039</t>
        </is>
      </c>
      <c r="D39" s="38" t="inlineStr">
        <is>
          <t>Jawahar</t>
        </is>
      </c>
      <c r="E39" s="42" t="n">
        <v>46284</v>
      </c>
      <c r="F39" s="42" t="n"/>
      <c r="G39" s="38">
        <f>IF(F39&lt;&gt;"","Satisfied",IF(E39&lt;TODAY(),"Overdue","Open"))</f>
        <v/>
      </c>
    </row>
    <row r="40">
      <c r="A40" s="38" t="inlineStr">
        <is>
          <t>D-036</t>
        </is>
      </c>
      <c r="B40" s="38" t="inlineStr">
        <is>
          <t>T-041</t>
        </is>
      </c>
      <c r="C40" s="38" t="inlineStr">
        <is>
          <t>T-040</t>
        </is>
      </c>
      <c r="D40" s="38" t="inlineStr">
        <is>
          <t>Jawahar</t>
        </is>
      </c>
      <c r="E40" s="42" t="n">
        <v>46254</v>
      </c>
      <c r="F40" s="42" t="n"/>
      <c r="G40" s="38">
        <f>IF(F40&lt;&gt;"","Satisfied",IF(E40&lt;TODAY(),"Overdue","Open"))</f>
        <v/>
      </c>
    </row>
    <row r="41">
      <c r="A41" s="38" t="inlineStr">
        <is>
          <t>D-037</t>
        </is>
      </c>
      <c r="B41" s="38" t="inlineStr">
        <is>
          <t>T-042</t>
        </is>
      </c>
      <c r="C41" s="38" t="inlineStr">
        <is>
          <t>T-041</t>
        </is>
      </c>
      <c r="D41" s="38" t="inlineStr">
        <is>
          <t>Jawahar</t>
        </is>
      </c>
      <c r="E41" s="42" t="n">
        <v>46290</v>
      </c>
      <c r="F41" s="42" t="n"/>
      <c r="G41" s="38">
        <f>IF(F41&lt;&gt;"","Satisfied",IF(E41&lt;TODAY(),"Overdue","Open"))</f>
        <v/>
      </c>
    </row>
    <row r="42">
      <c r="A42" s="38" t="inlineStr">
        <is>
          <t>D-038</t>
        </is>
      </c>
      <c r="B42" s="38" t="inlineStr">
        <is>
          <t>T-043</t>
        </is>
      </c>
      <c r="C42" s="38" t="inlineStr">
        <is>
          <t>T-042</t>
        </is>
      </c>
      <c r="D42" s="38" t="inlineStr">
        <is>
          <t>Kadarkarai</t>
        </is>
      </c>
      <c r="E42" s="42" t="n">
        <v>46248</v>
      </c>
      <c r="F42" s="42" t="n"/>
      <c r="G42" s="38">
        <f>IF(F42&lt;&gt;"","Satisfied",IF(E42&lt;TODAY(),"Overdue","Open"))</f>
        <v/>
      </c>
    </row>
    <row r="43">
      <c r="A43" s="38" t="inlineStr">
        <is>
          <t>D-039</t>
        </is>
      </c>
      <c r="B43" s="38" t="inlineStr">
        <is>
          <t>T-044</t>
        </is>
      </c>
      <c r="C43" s="38" t="inlineStr">
        <is>
          <t>T-043</t>
        </is>
      </c>
      <c r="D43" s="38" t="inlineStr">
        <is>
          <t>Kadarkarai</t>
        </is>
      </c>
      <c r="E43" s="42" t="n">
        <v>46293</v>
      </c>
      <c r="F43" s="42" t="n"/>
      <c r="G43" s="38">
        <f>IF(F43&lt;&gt;"","Satisfied",IF(E43&lt;TODAY(),"Overdue","Open"))</f>
        <v/>
      </c>
    </row>
    <row r="44">
      <c r="A44" s="38" t="inlineStr">
        <is>
          <t>D-040</t>
        </is>
      </c>
      <c r="B44" s="38" t="inlineStr">
        <is>
          <t>T-045</t>
        </is>
      </c>
      <c r="C44" s="38" t="inlineStr">
        <is>
          <t>T-044</t>
        </is>
      </c>
      <c r="D44" s="38" t="inlineStr">
        <is>
          <t>Jawahar</t>
        </is>
      </c>
      <c r="E44" s="42" t="n">
        <v>46247</v>
      </c>
      <c r="F44" s="42" t="n"/>
      <c r="G44" s="38">
        <f>IF(F44&lt;&gt;"","Satisfied",IF(E44&lt;TODAY(),"Overdue","Open"))</f>
        <v/>
      </c>
    </row>
    <row r="45">
      <c r="A45" s="38" t="inlineStr">
        <is>
          <t>D-041</t>
        </is>
      </c>
      <c r="B45" s="38" t="inlineStr">
        <is>
          <t>T-046</t>
        </is>
      </c>
      <c r="C45" s="38" t="inlineStr">
        <is>
          <t>T-045</t>
        </is>
      </c>
      <c r="D45" s="38" t="inlineStr">
        <is>
          <t>Jawahar</t>
        </is>
      </c>
      <c r="E45" s="42" t="n">
        <v>46251</v>
      </c>
      <c r="F45" s="42" t="n"/>
      <c r="G45" s="38">
        <f>IF(F45&lt;&gt;"","Satisfied",IF(E45&lt;TODAY(),"Overdue","Open"))</f>
        <v/>
      </c>
    </row>
    <row r="46">
      <c r="A46" s="38" t="inlineStr">
        <is>
          <t>D-042</t>
        </is>
      </c>
      <c r="B46" s="38" t="inlineStr">
        <is>
          <t>T-047</t>
        </is>
      </c>
      <c r="C46" s="38" t="inlineStr">
        <is>
          <t>T-046</t>
        </is>
      </c>
      <c r="D46" s="38" t="inlineStr">
        <is>
          <t>Jawahar</t>
        </is>
      </c>
      <c r="E46" s="42" t="n">
        <v>46216</v>
      </c>
      <c r="F46" s="42" t="n"/>
      <c r="G46" s="38">
        <f>IF(F46&lt;&gt;"","Satisfied",IF(E46&lt;TODAY(),"Overdue","Open"))</f>
        <v/>
      </c>
    </row>
    <row r="47">
      <c r="A47" s="38" t="inlineStr">
        <is>
          <t>D-043</t>
        </is>
      </c>
      <c r="B47" s="38" t="inlineStr">
        <is>
          <t>T-048</t>
        </is>
      </c>
      <c r="C47" s="38" t="inlineStr">
        <is>
          <t>T-047</t>
        </is>
      </c>
      <c r="D47" s="38" t="inlineStr">
        <is>
          <t>Jawahar</t>
        </is>
      </c>
      <c r="E47" s="42" t="n">
        <v>46223</v>
      </c>
      <c r="F47" s="42" t="n"/>
      <c r="G47" s="38">
        <f>IF(F47&lt;&gt;"","Satisfied",IF(E47&lt;TODAY(),"Overdue","Open"))</f>
        <v/>
      </c>
    </row>
    <row r="48">
      <c r="A48" s="38" t="inlineStr">
        <is>
          <t>D-044</t>
        </is>
      </c>
      <c r="B48" s="38" t="inlineStr">
        <is>
          <t>T-050</t>
        </is>
      </c>
      <c r="C48" s="38" t="inlineStr">
        <is>
          <t>T-049</t>
        </is>
      </c>
      <c r="D48" s="38" t="inlineStr">
        <is>
          <t>MJ</t>
        </is>
      </c>
      <c r="E48" s="42" t="n">
        <v>46328</v>
      </c>
      <c r="F48" s="42" t="n"/>
      <c r="G48" s="38">
        <f>IF(F48&lt;&gt;"","Satisfied",IF(E48&lt;TODAY(),"Overdue","Open"))</f>
        <v/>
      </c>
    </row>
    <row r="49">
      <c r="A49" s="38" t="inlineStr">
        <is>
          <t>D-045</t>
        </is>
      </c>
      <c r="B49" s="38" t="inlineStr">
        <is>
          <t>T-051</t>
        </is>
      </c>
      <c r="C49" s="38" t="inlineStr">
        <is>
          <t>T-050</t>
        </is>
      </c>
      <c r="D49" s="38" t="inlineStr">
        <is>
          <t>Jawahar</t>
        </is>
      </c>
      <c r="E49" s="42" t="n">
        <v>46341</v>
      </c>
      <c r="F49" s="42" t="n"/>
      <c r="G49" s="38">
        <f>IF(F49&lt;&gt;"","Satisfied",IF(E49&lt;TODAY(),"Overdue","Open"))</f>
        <v/>
      </c>
    </row>
    <row r="50">
      <c r="A50" s="38" t="inlineStr">
        <is>
          <t>D-046</t>
        </is>
      </c>
      <c r="B50" s="38" t="inlineStr">
        <is>
          <t>T-052</t>
        </is>
      </c>
      <c r="C50" s="38" t="inlineStr">
        <is>
          <t>T-051</t>
        </is>
      </c>
      <c r="D50" s="38" t="inlineStr">
        <is>
          <t>Jawahar</t>
        </is>
      </c>
      <c r="E50" s="42" t="n">
        <v>46377</v>
      </c>
      <c r="F50" s="42" t="n"/>
      <c r="G50" s="38">
        <f>IF(F50&lt;&gt;"","Satisfied",IF(E50&lt;TODAY(),"Overdue","Open"))</f>
        <v/>
      </c>
    </row>
    <row r="51">
      <c r="A51" s="38" t="inlineStr">
        <is>
          <t>D-047</t>
        </is>
      </c>
      <c r="B51" s="38" t="inlineStr">
        <is>
          <t>T-053</t>
        </is>
      </c>
      <c r="C51" s="38" t="inlineStr">
        <is>
          <t>T-052</t>
        </is>
      </c>
      <c r="D51" s="38" t="inlineStr">
        <is>
          <t>Jawahar</t>
        </is>
      </c>
      <c r="E51" s="42" t="n">
        <v>46313</v>
      </c>
      <c r="F51" s="42" t="n"/>
      <c r="G51" s="38">
        <f>IF(F51&lt;&gt;"","Satisfied",IF(E51&lt;TODAY(),"Overdue","Open"))</f>
        <v/>
      </c>
    </row>
    <row r="52">
      <c r="A52" s="38" t="inlineStr">
        <is>
          <t>D-048</t>
        </is>
      </c>
      <c r="B52" s="38" t="inlineStr">
        <is>
          <t>T-054</t>
        </is>
      </c>
      <c r="C52" s="38" t="inlineStr">
        <is>
          <t>T-053</t>
        </is>
      </c>
      <c r="D52" s="38" t="inlineStr">
        <is>
          <t>Jawahar</t>
        </is>
      </c>
      <c r="E52" s="42" t="n">
        <v>46367</v>
      </c>
      <c r="F52" s="42" t="n"/>
      <c r="G52" s="38">
        <f>IF(F52&lt;&gt;"","Satisfied",IF(E52&lt;TODAY(),"Overdue","Open"))</f>
        <v/>
      </c>
    </row>
    <row r="53">
      <c r="A53" s="38" t="inlineStr">
        <is>
          <t>D-049</t>
        </is>
      </c>
      <c r="B53" s="38" t="inlineStr">
        <is>
          <t>T-055</t>
        </is>
      </c>
      <c r="C53" s="38" t="inlineStr">
        <is>
          <t>T-054</t>
        </is>
      </c>
      <c r="D53" s="38" t="inlineStr">
        <is>
          <t>Jawahar</t>
        </is>
      </c>
      <c r="E53" s="42" t="n">
        <v>46346</v>
      </c>
      <c r="F53" s="42" t="n"/>
      <c r="G53" s="38">
        <f>IF(F53&lt;&gt;"","Satisfied",IF(E53&lt;TODAY(),"Overdue","Open"))</f>
        <v/>
      </c>
    </row>
    <row r="54">
      <c r="A54" s="38" t="inlineStr">
        <is>
          <t>D-050</t>
        </is>
      </c>
      <c r="B54" s="38" t="inlineStr">
        <is>
          <t>T-056</t>
        </is>
      </c>
      <c r="C54" s="38" t="inlineStr">
        <is>
          <t>T-055</t>
        </is>
      </c>
      <c r="D54" s="38" t="inlineStr">
        <is>
          <t>Jawahar</t>
        </is>
      </c>
      <c r="E54" s="42" t="n">
        <v>46322</v>
      </c>
      <c r="F54" s="42" t="n"/>
      <c r="G54" s="38">
        <f>IF(F54&lt;&gt;"","Satisfied",IF(E54&lt;TODAY(),"Overdue","Open"))</f>
        <v/>
      </c>
    </row>
    <row r="55">
      <c r="A55" s="38" t="inlineStr">
        <is>
          <t>D-051</t>
        </is>
      </c>
      <c r="B55" s="38" t="inlineStr">
        <is>
          <t>T-057</t>
        </is>
      </c>
      <c r="C55" s="38" t="inlineStr">
        <is>
          <t>T-056</t>
        </is>
      </c>
      <c r="D55" s="38" t="inlineStr">
        <is>
          <t>Jawahar</t>
        </is>
      </c>
      <c r="E55" s="42" t="n">
        <v>46370</v>
      </c>
      <c r="F55" s="42" t="n"/>
      <c r="G55" s="38">
        <f>IF(F55&lt;&gt;"","Satisfied",IF(E55&lt;TODAY(),"Overdue","Open"))</f>
        <v/>
      </c>
    </row>
    <row r="56">
      <c r="A56" s="38" t="inlineStr">
        <is>
          <t>D-052</t>
        </is>
      </c>
      <c r="B56" s="38" t="inlineStr">
        <is>
          <t>T-058</t>
        </is>
      </c>
      <c r="C56" s="38" t="inlineStr">
        <is>
          <t>T-057</t>
        </is>
      </c>
      <c r="D56" s="38" t="inlineStr">
        <is>
          <t>Jawahar</t>
        </is>
      </c>
      <c r="E56" s="42" t="n">
        <v>46302</v>
      </c>
      <c r="F56" s="42" t="n"/>
      <c r="G56" s="38">
        <f>IF(F56&lt;&gt;"","Satisfied",IF(E56&lt;TODAY(),"Overdue","Open"))</f>
        <v/>
      </c>
    </row>
    <row r="57">
      <c r="A57" s="38" t="inlineStr">
        <is>
          <t>D-053</t>
        </is>
      </c>
      <c r="B57" s="38" t="inlineStr">
        <is>
          <t>T-059</t>
        </is>
      </c>
      <c r="C57" s="38" t="inlineStr">
        <is>
          <t>T-058</t>
        </is>
      </c>
      <c r="D57" s="38" t="inlineStr">
        <is>
          <t>Jawahar</t>
        </is>
      </c>
      <c r="E57" s="42" t="n">
        <v>46323</v>
      </c>
      <c r="F57" s="42" t="n"/>
      <c r="G57" s="38">
        <f>IF(F57&lt;&gt;"","Satisfied",IF(E57&lt;TODAY(),"Overdue","Open"))</f>
        <v/>
      </c>
    </row>
    <row r="58">
      <c r="A58" s="38" t="inlineStr">
        <is>
          <t>D-054</t>
        </is>
      </c>
      <c r="B58" s="38" t="inlineStr">
        <is>
          <t>T-060</t>
        </is>
      </c>
      <c r="C58" s="38" t="inlineStr">
        <is>
          <t>T-059</t>
        </is>
      </c>
      <c r="D58" s="38" t="inlineStr">
        <is>
          <t>MJ</t>
        </is>
      </c>
      <c r="E58" s="42" t="n">
        <v>46363</v>
      </c>
      <c r="F58" s="42" t="n"/>
      <c r="G58" s="38">
        <f>IF(F58&lt;&gt;"","Satisfied",IF(E58&lt;TODAY(),"Overdue","Open"))</f>
        <v/>
      </c>
    </row>
    <row r="59">
      <c r="A59" s="38" t="inlineStr">
        <is>
          <t>D-055</t>
        </is>
      </c>
      <c r="B59" s="38" t="inlineStr">
        <is>
          <t>T-061</t>
        </is>
      </c>
      <c r="C59" s="38" t="inlineStr">
        <is>
          <t>T-060</t>
        </is>
      </c>
      <c r="D59" s="38" t="inlineStr">
        <is>
          <t>MJ</t>
        </is>
      </c>
      <c r="E59" s="42" t="n">
        <v>46383</v>
      </c>
      <c r="F59" s="42" t="n"/>
      <c r="G59" s="38">
        <f>IF(F59&lt;&gt;"","Satisfied",IF(E59&lt;TODAY(),"Overdue","Open"))</f>
        <v/>
      </c>
    </row>
    <row r="60">
      <c r="A60" s="38" t="inlineStr">
        <is>
          <t>D-056</t>
        </is>
      </c>
      <c r="B60" s="38" t="inlineStr">
        <is>
          <t>T-062</t>
        </is>
      </c>
      <c r="C60" s="38" t="inlineStr">
        <is>
          <t>T-061</t>
        </is>
      </c>
      <c r="D60" s="38" t="inlineStr">
        <is>
          <t>MJ</t>
        </is>
      </c>
      <c r="E60" s="42" t="n">
        <v>46328</v>
      </c>
      <c r="F60" s="42" t="n"/>
      <c r="G60" s="38">
        <f>IF(F60&lt;&gt;"","Satisfied",IF(E60&lt;TODAY(),"Overdue","Open"))</f>
        <v/>
      </c>
    </row>
    <row r="61">
      <c r="A61" s="38" t="inlineStr">
        <is>
          <t>D-057</t>
        </is>
      </c>
      <c r="B61" s="38" t="inlineStr">
        <is>
          <t>T-063</t>
        </is>
      </c>
      <c r="C61" s="38" t="inlineStr">
        <is>
          <t>T-062</t>
        </is>
      </c>
      <c r="D61" s="38" t="inlineStr">
        <is>
          <t>MJ</t>
        </is>
      </c>
      <c r="E61" s="42" t="n">
        <v>46378</v>
      </c>
      <c r="F61" s="42" t="n"/>
      <c r="G61" s="38">
        <f>IF(F61&lt;&gt;"","Satisfied",IF(E61&lt;TODAY(),"Overdue","Open"))</f>
        <v/>
      </c>
    </row>
    <row r="62">
      <c r="A62" s="38" t="inlineStr">
        <is>
          <t>D-058</t>
        </is>
      </c>
      <c r="B62" s="38" t="inlineStr">
        <is>
          <t>T-064</t>
        </is>
      </c>
      <c r="C62" s="38" t="inlineStr">
        <is>
          <t>T-063</t>
        </is>
      </c>
      <c r="D62" s="38" t="inlineStr">
        <is>
          <t>MJ</t>
        </is>
      </c>
      <c r="E62" s="42" t="n">
        <v>46373</v>
      </c>
      <c r="F62" s="42" t="n"/>
      <c r="G62" s="38">
        <f>IF(F62&lt;&gt;"","Satisfied",IF(E62&lt;TODAY(),"Overdue","Open"))</f>
        <v/>
      </c>
    </row>
    <row r="63">
      <c r="A63" s="38" t="inlineStr">
        <is>
          <t>D-059</t>
        </is>
      </c>
      <c r="B63" s="38" t="inlineStr">
        <is>
          <t>T-065</t>
        </is>
      </c>
      <c r="C63" s="38" t="inlineStr">
        <is>
          <t>T-064</t>
        </is>
      </c>
      <c r="D63" s="38" t="inlineStr">
        <is>
          <t>MJ</t>
        </is>
      </c>
      <c r="E63" s="42" t="n">
        <v>46335</v>
      </c>
      <c r="F63" s="42" t="n"/>
      <c r="G63" s="38">
        <f>IF(F63&lt;&gt;"","Satisfied",IF(E63&lt;TODAY(),"Overdue","Open"))</f>
        <v/>
      </c>
    </row>
    <row r="64">
      <c r="A64" s="38" t="inlineStr">
        <is>
          <t>D-060</t>
        </is>
      </c>
      <c r="B64" s="38" t="inlineStr">
        <is>
          <t>T-066</t>
        </is>
      </c>
      <c r="C64" s="38" t="inlineStr">
        <is>
          <t>T-065</t>
        </is>
      </c>
      <c r="D64" s="38" t="inlineStr">
        <is>
          <t>Jawahar</t>
        </is>
      </c>
      <c r="E64" s="42" t="n">
        <v>46350</v>
      </c>
      <c r="F64" s="42" t="n"/>
      <c r="G64" s="38">
        <f>IF(F64&lt;&gt;"","Satisfied",IF(E64&lt;TODAY(),"Overdue","Open"))</f>
        <v/>
      </c>
    </row>
    <row r="65">
      <c r="A65" s="38" t="inlineStr">
        <is>
          <t>D-061</t>
        </is>
      </c>
      <c r="B65" s="38" t="inlineStr">
        <is>
          <t>T-068</t>
        </is>
      </c>
      <c r="C65" s="38" t="inlineStr">
        <is>
          <t>T-067</t>
        </is>
      </c>
      <c r="D65" s="38" t="inlineStr">
        <is>
          <t>Jawahar</t>
        </is>
      </c>
      <c r="E65" s="42" t="n">
        <v>46474</v>
      </c>
      <c r="F65" s="42" t="n"/>
      <c r="G65" s="38">
        <f>IF(F65&lt;&gt;"","Satisfied",IF(E65&lt;TODAY(),"Overdue","Open"))</f>
        <v/>
      </c>
    </row>
    <row r="66">
      <c r="A66" s="38" t="inlineStr">
        <is>
          <t>D-062</t>
        </is>
      </c>
      <c r="B66" s="38" t="inlineStr">
        <is>
          <t>T-069</t>
        </is>
      </c>
      <c r="C66" s="38" t="inlineStr">
        <is>
          <t>T-068</t>
        </is>
      </c>
      <c r="D66" s="38" t="inlineStr">
        <is>
          <t>Jawahar</t>
        </is>
      </c>
      <c r="E66" s="42" t="n">
        <v>46419</v>
      </c>
      <c r="F66" s="42" t="n"/>
      <c r="G66" s="38">
        <f>IF(F66&lt;&gt;"","Satisfied",IF(E66&lt;TODAY(),"Overdue","Open"))</f>
        <v/>
      </c>
    </row>
    <row r="67">
      <c r="A67" s="38" t="inlineStr">
        <is>
          <t>D-063</t>
        </is>
      </c>
      <c r="B67" s="38" t="inlineStr">
        <is>
          <t>T-070</t>
        </is>
      </c>
      <c r="C67" s="38" t="inlineStr">
        <is>
          <t>T-069</t>
        </is>
      </c>
      <c r="D67" s="38" t="inlineStr">
        <is>
          <t>Jawahar</t>
        </is>
      </c>
      <c r="E67" s="42" t="n">
        <v>46424</v>
      </c>
      <c r="F67" s="42" t="n"/>
      <c r="G67" s="38">
        <f>IF(F67&lt;&gt;"","Satisfied",IF(E67&lt;TODAY(),"Overdue","Open"))</f>
        <v/>
      </c>
    </row>
    <row r="68">
      <c r="A68" s="38" t="inlineStr">
        <is>
          <t>D-064</t>
        </is>
      </c>
      <c r="B68" s="38" t="inlineStr">
        <is>
          <t>T-071</t>
        </is>
      </c>
      <c r="C68" s="38" t="inlineStr">
        <is>
          <t>T-070</t>
        </is>
      </c>
      <c r="D68" s="38" t="inlineStr">
        <is>
          <t>Jawahar</t>
        </is>
      </c>
      <c r="E68" s="42" t="n">
        <v>46468</v>
      </c>
      <c r="F68" s="42" t="n"/>
      <c r="G68" s="38">
        <f>IF(F68&lt;&gt;"","Satisfied",IF(E68&lt;TODAY(),"Overdue","Open"))</f>
        <v/>
      </c>
    </row>
    <row r="69">
      <c r="A69" s="38" t="inlineStr">
        <is>
          <t>D-065</t>
        </is>
      </c>
      <c r="B69" s="38" t="inlineStr">
        <is>
          <t>T-072</t>
        </is>
      </c>
      <c r="C69" s="38" t="inlineStr">
        <is>
          <t>T-071</t>
        </is>
      </c>
      <c r="D69" s="38" t="inlineStr">
        <is>
          <t>Jawahar</t>
        </is>
      </c>
      <c r="E69" s="42" t="n">
        <v>46439</v>
      </c>
      <c r="F69" s="42" t="n"/>
      <c r="G69" s="38">
        <f>IF(F69&lt;&gt;"","Satisfied",IF(E69&lt;TODAY(),"Overdue","Open"))</f>
        <v/>
      </c>
    </row>
    <row r="70">
      <c r="A70" s="38" t="inlineStr">
        <is>
          <t>D-066</t>
        </is>
      </c>
      <c r="B70" s="38" t="inlineStr">
        <is>
          <t>T-073</t>
        </is>
      </c>
      <c r="C70" s="38" t="inlineStr">
        <is>
          <t>T-072</t>
        </is>
      </c>
      <c r="D70" s="38" t="inlineStr">
        <is>
          <t>Jawahar</t>
        </is>
      </c>
      <c r="E70" s="42" t="n">
        <v>46435</v>
      </c>
      <c r="F70" s="42" t="n"/>
      <c r="G70" s="38">
        <f>IF(F70&lt;&gt;"","Satisfied",IF(E70&lt;TODAY(),"Overdue","Open"))</f>
        <v/>
      </c>
    </row>
    <row r="71">
      <c r="A71" s="38" t="inlineStr">
        <is>
          <t>D-067</t>
        </is>
      </c>
      <c r="B71" s="38" t="inlineStr">
        <is>
          <t>T-074</t>
        </is>
      </c>
      <c r="C71" s="38" t="inlineStr">
        <is>
          <t>T-073</t>
        </is>
      </c>
      <c r="D71" s="38" t="inlineStr">
        <is>
          <t>Jawahar</t>
        </is>
      </c>
      <c r="E71" s="42" t="n">
        <v>46473</v>
      </c>
      <c r="F71" s="42" t="n"/>
      <c r="G71" s="38">
        <f>IF(F71&lt;&gt;"","Satisfied",IF(E71&lt;TODAY(),"Overdue","Open"))</f>
        <v/>
      </c>
    </row>
    <row r="72">
      <c r="A72" s="38" t="inlineStr">
        <is>
          <t>D-068</t>
        </is>
      </c>
      <c r="B72" s="38" t="inlineStr">
        <is>
          <t>T-075</t>
        </is>
      </c>
      <c r="C72" s="38" t="inlineStr">
        <is>
          <t>T-074</t>
        </is>
      </c>
      <c r="D72" s="38" t="inlineStr">
        <is>
          <t>Jawahar</t>
        </is>
      </c>
      <c r="E72" s="42" t="n">
        <v>46456</v>
      </c>
      <c r="F72" s="42" t="n"/>
      <c r="G72" s="38">
        <f>IF(F72&lt;&gt;"","Satisfied",IF(E72&lt;TODAY(),"Overdue","Open"))</f>
        <v/>
      </c>
    </row>
    <row r="73">
      <c r="A73" s="38" t="inlineStr">
        <is>
          <t>D-069</t>
        </is>
      </c>
      <c r="B73" s="38" t="inlineStr">
        <is>
          <t>T-076</t>
        </is>
      </c>
      <c r="C73" s="38" t="inlineStr">
        <is>
          <t>T-075</t>
        </is>
      </c>
      <c r="D73" s="38" t="inlineStr">
        <is>
          <t>Jawahar</t>
        </is>
      </c>
      <c r="E73" s="42" t="n">
        <v>46437</v>
      </c>
      <c r="F73" s="42" t="n"/>
      <c r="G73" s="38">
        <f>IF(F73&lt;&gt;"","Satisfied",IF(E73&lt;TODAY(),"Overdue","Open"))</f>
        <v/>
      </c>
    </row>
    <row r="74">
      <c r="A74" s="38" t="inlineStr">
        <is>
          <t>D-070</t>
        </is>
      </c>
      <c r="B74" s="38" t="inlineStr">
        <is>
          <t>T-077</t>
        </is>
      </c>
      <c r="C74" s="38" t="inlineStr">
        <is>
          <t>T-076</t>
        </is>
      </c>
      <c r="D74" s="38" t="inlineStr">
        <is>
          <t>MJ</t>
        </is>
      </c>
      <c r="E74" s="42" t="n">
        <v>46454</v>
      </c>
      <c r="F74" s="42" t="n"/>
      <c r="G74" s="38">
        <f>IF(F74&lt;&gt;"","Satisfied",IF(E74&lt;TODAY(),"Overdue","Open"))</f>
        <v/>
      </c>
    </row>
    <row r="75">
      <c r="A75" s="38" t="inlineStr">
        <is>
          <t>D-071</t>
        </is>
      </c>
      <c r="B75" s="38" t="inlineStr">
        <is>
          <t>T-078</t>
        </is>
      </c>
      <c r="C75" s="38" t="inlineStr">
        <is>
          <t>T-077</t>
        </is>
      </c>
      <c r="D75" s="38" t="inlineStr">
        <is>
          <t>MJ</t>
        </is>
      </c>
      <c r="E75" s="42" t="n">
        <v>46434</v>
      </c>
      <c r="F75" s="42" t="n"/>
      <c r="G75" s="38">
        <f>IF(F75&lt;&gt;"","Satisfied",IF(E75&lt;TODAY(),"Overdue","Open"))</f>
        <v/>
      </c>
    </row>
    <row r="76">
      <c r="A76" s="38" t="inlineStr">
        <is>
          <t>D-072</t>
        </is>
      </c>
      <c r="B76" s="38" t="inlineStr">
        <is>
          <t>T-079</t>
        </is>
      </c>
      <c r="C76" s="38" t="inlineStr">
        <is>
          <t>T-078</t>
        </is>
      </c>
      <c r="D76" s="38" t="inlineStr">
        <is>
          <t>MJ</t>
        </is>
      </c>
      <c r="E76" s="42" t="n">
        <v>46444</v>
      </c>
      <c r="F76" s="42" t="n"/>
      <c r="G76" s="38">
        <f>IF(F76&lt;&gt;"","Satisfied",IF(E76&lt;TODAY(),"Overdue","Open"))</f>
        <v/>
      </c>
    </row>
    <row r="77">
      <c r="A77" s="38" t="inlineStr">
        <is>
          <t>D-073</t>
        </is>
      </c>
      <c r="B77" s="38" t="inlineStr">
        <is>
          <t>T-081</t>
        </is>
      </c>
      <c r="C77" s="38" t="inlineStr">
        <is>
          <t>T-080</t>
        </is>
      </c>
      <c r="D77" s="38" t="inlineStr">
        <is>
          <t>Jawahar</t>
        </is>
      </c>
      <c r="E77" s="42" t="n">
        <v>46558</v>
      </c>
      <c r="F77" s="42" t="n"/>
      <c r="G77" s="38">
        <f>IF(F77&lt;&gt;"","Satisfied",IF(E77&lt;TODAY(),"Overdue","Open"))</f>
        <v/>
      </c>
    </row>
    <row r="78">
      <c r="A78" s="38" t="inlineStr">
        <is>
          <t>D-074</t>
        </is>
      </c>
      <c r="B78" s="38" t="inlineStr">
        <is>
          <t>T-082</t>
        </is>
      </c>
      <c r="C78" s="38" t="inlineStr">
        <is>
          <t>T-081</t>
        </is>
      </c>
      <c r="D78" s="38" t="inlineStr">
        <is>
          <t>Jawahar</t>
        </is>
      </c>
      <c r="E78" s="42" t="n">
        <v>46514</v>
      </c>
      <c r="F78" s="42" t="n"/>
      <c r="G78" s="38">
        <f>IF(F78&lt;&gt;"","Satisfied",IF(E78&lt;TODAY(),"Overdue","Open"))</f>
        <v/>
      </c>
    </row>
    <row r="79">
      <c r="A79" s="38" t="inlineStr">
        <is>
          <t>D-075</t>
        </is>
      </c>
      <c r="B79" s="38" t="inlineStr">
        <is>
          <t>T-083</t>
        </is>
      </c>
      <c r="C79" s="38" t="inlineStr">
        <is>
          <t>T-082</t>
        </is>
      </c>
      <c r="D79" s="38" t="inlineStr">
        <is>
          <t>Jawahar</t>
        </is>
      </c>
      <c r="E79" s="42" t="n">
        <v>46527</v>
      </c>
      <c r="F79" s="42" t="n"/>
      <c r="G79" s="38">
        <f>IF(F79&lt;&gt;"","Satisfied",IF(E79&lt;TODAY(),"Overdue","Open"))</f>
        <v/>
      </c>
    </row>
    <row r="80">
      <c r="A80" s="38" t="inlineStr">
        <is>
          <t>D-076</t>
        </is>
      </c>
      <c r="B80" s="38" t="inlineStr">
        <is>
          <t>T-084</t>
        </is>
      </c>
      <c r="C80" s="38" t="inlineStr">
        <is>
          <t>T-083</t>
        </is>
      </c>
      <c r="D80" s="38" t="inlineStr">
        <is>
          <t>Jawahar</t>
        </is>
      </c>
      <c r="E80" s="42" t="n">
        <v>46543</v>
      </c>
      <c r="F80" s="42" t="n"/>
      <c r="G80" s="38">
        <f>IF(F80&lt;&gt;"","Satisfied",IF(E80&lt;TODAY(),"Overdue","Open"))</f>
        <v/>
      </c>
    </row>
    <row r="81">
      <c r="A81" s="38" t="inlineStr">
        <is>
          <t>D-077</t>
        </is>
      </c>
      <c r="B81" s="38" t="inlineStr">
        <is>
          <t>T-085</t>
        </is>
      </c>
      <c r="C81" s="38" t="inlineStr">
        <is>
          <t>T-084</t>
        </is>
      </c>
      <c r="D81" s="38" t="inlineStr">
        <is>
          <t>Jawahar</t>
        </is>
      </c>
      <c r="E81" s="42" t="n">
        <v>46531</v>
      </c>
      <c r="F81" s="42" t="n"/>
      <c r="G81" s="38">
        <f>IF(F81&lt;&gt;"","Satisfied",IF(E81&lt;TODAY(),"Overdue","Open"))</f>
        <v/>
      </c>
    </row>
    <row r="82">
      <c r="A82" s="38" t="inlineStr">
        <is>
          <t>D-078</t>
        </is>
      </c>
      <c r="B82" s="38" t="inlineStr">
        <is>
          <t>T-086</t>
        </is>
      </c>
      <c r="C82" s="38" t="inlineStr">
        <is>
          <t>T-085</t>
        </is>
      </c>
      <c r="D82" s="38" t="inlineStr">
        <is>
          <t>Jawahar</t>
        </is>
      </c>
      <c r="E82" s="42" t="n">
        <v>46543</v>
      </c>
      <c r="F82" s="42" t="n"/>
      <c r="G82" s="38">
        <f>IF(F82&lt;&gt;"","Satisfied",IF(E82&lt;TODAY(),"Overdue","Open"))</f>
        <v/>
      </c>
    </row>
    <row r="83">
      <c r="A83" s="38" t="inlineStr">
        <is>
          <t>D-079</t>
        </is>
      </c>
      <c r="B83" s="38" t="inlineStr">
        <is>
          <t>T-087</t>
        </is>
      </c>
      <c r="C83" s="38" t="inlineStr">
        <is>
          <t>T-086</t>
        </is>
      </c>
      <c r="D83" s="38" t="inlineStr">
        <is>
          <t>Jawahar</t>
        </is>
      </c>
      <c r="E83" s="42" t="n">
        <v>46525</v>
      </c>
      <c r="F83" s="42" t="n"/>
      <c r="G83" s="38">
        <f>IF(F83&lt;&gt;"","Satisfied",IF(E83&lt;TODAY(),"Overdue","Open"))</f>
        <v/>
      </c>
    </row>
    <row r="84">
      <c r="A84" s="38" t="inlineStr">
        <is>
          <t>D-080</t>
        </is>
      </c>
      <c r="B84" s="38" t="inlineStr">
        <is>
          <t>T-089</t>
        </is>
      </c>
      <c r="C84" s="38" t="inlineStr">
        <is>
          <t>T-088</t>
        </is>
      </c>
      <c r="D84" s="38" t="inlineStr">
        <is>
          <t>Siva</t>
        </is>
      </c>
      <c r="E84" s="42" t="n">
        <v>46251</v>
      </c>
      <c r="F84" s="42" t="n"/>
      <c r="G84" s="38">
        <f>IF(F84&lt;&gt;"","Satisfied",IF(E84&lt;TODAY(),"Overdue","Open"))</f>
        <v/>
      </c>
    </row>
    <row r="85">
      <c r="A85" s="38" t="inlineStr">
        <is>
          <t>D-081</t>
        </is>
      </c>
      <c r="B85" s="38" t="inlineStr">
        <is>
          <t>T-090</t>
        </is>
      </c>
      <c r="C85" s="38" t="inlineStr">
        <is>
          <t>T-089</t>
        </is>
      </c>
      <c r="D85" s="38" t="inlineStr">
        <is>
          <t>Siva</t>
        </is>
      </c>
      <c r="E85" s="42" t="n">
        <v>46273</v>
      </c>
      <c r="F85" s="42" t="n"/>
      <c r="G85" s="38">
        <f>IF(F85&lt;&gt;"","Satisfied",IF(E85&lt;TODAY(),"Overdue","Open"))</f>
        <v/>
      </c>
    </row>
    <row r="86">
      <c r="A86" s="38" t="inlineStr">
        <is>
          <t>D-082</t>
        </is>
      </c>
      <c r="B86" s="38" t="inlineStr">
        <is>
          <t>T-091</t>
        </is>
      </c>
      <c r="C86" s="38" t="inlineStr">
        <is>
          <t>T-090</t>
        </is>
      </c>
      <c r="D86" s="38" t="inlineStr">
        <is>
          <t>Siva</t>
        </is>
      </c>
      <c r="E86" s="42" t="n">
        <v>46291</v>
      </c>
      <c r="F86" s="42" t="n"/>
      <c r="G86" s="38">
        <f>IF(F86&lt;&gt;"","Satisfied",IF(E86&lt;TODAY(),"Overdue","Open"))</f>
        <v/>
      </c>
    </row>
    <row r="87">
      <c r="A87" s="38" t="inlineStr">
        <is>
          <t>D-083</t>
        </is>
      </c>
      <c r="B87" s="38" t="inlineStr">
        <is>
          <t>T-092</t>
        </is>
      </c>
      <c r="C87" s="38" t="inlineStr">
        <is>
          <t>T-091</t>
        </is>
      </c>
      <c r="D87" s="38" t="inlineStr">
        <is>
          <t>Siva</t>
        </is>
      </c>
      <c r="E87" s="42" t="n">
        <v>46239</v>
      </c>
      <c r="F87" s="42" t="n"/>
      <c r="G87" s="38">
        <f>IF(F87&lt;&gt;"","Satisfied",IF(E87&lt;TODAY(),"Overdue","Open"))</f>
        <v/>
      </c>
    </row>
    <row r="88">
      <c r="A88" s="38" t="inlineStr">
        <is>
          <t>D-084</t>
        </is>
      </c>
      <c r="B88" s="38" t="inlineStr">
        <is>
          <t>T-093</t>
        </is>
      </c>
      <c r="C88" s="38" t="inlineStr">
        <is>
          <t>T-092</t>
        </is>
      </c>
      <c r="D88" s="38" t="inlineStr">
        <is>
          <t>Siva</t>
        </is>
      </c>
      <c r="E88" s="42" t="n">
        <v>46359</v>
      </c>
      <c r="F88" s="42" t="n"/>
      <c r="G88" s="38">
        <f>IF(F88&lt;&gt;"","Satisfied",IF(E88&lt;TODAY(),"Overdue","Open"))</f>
        <v/>
      </c>
    </row>
    <row r="89">
      <c r="A89" s="38" t="inlineStr">
        <is>
          <t>D-085</t>
        </is>
      </c>
      <c r="B89" s="38" t="inlineStr">
        <is>
          <t>T-094</t>
        </is>
      </c>
      <c r="C89" s="38" t="inlineStr">
        <is>
          <t>T-093</t>
        </is>
      </c>
      <c r="D89" s="38" t="inlineStr">
        <is>
          <t>Siva</t>
        </is>
      </c>
      <c r="E89" s="42" t="n">
        <v>46362</v>
      </c>
      <c r="F89" s="42" t="n"/>
      <c r="G89" s="38">
        <f>IF(F89&lt;&gt;"","Satisfied",IF(E89&lt;TODAY(),"Overdue","Open"))</f>
        <v/>
      </c>
    </row>
    <row r="90">
      <c r="A90" s="38" t="inlineStr">
        <is>
          <t>D-086</t>
        </is>
      </c>
      <c r="B90" s="38" t="inlineStr">
        <is>
          <t>T-095</t>
        </is>
      </c>
      <c r="C90" s="38" t="inlineStr">
        <is>
          <t>T-094</t>
        </is>
      </c>
      <c r="D90" s="38" t="inlineStr">
        <is>
          <t>Siva</t>
        </is>
      </c>
      <c r="E90" s="42" t="n">
        <v>46333</v>
      </c>
      <c r="F90" s="42" t="n"/>
      <c r="G90" s="38">
        <f>IF(F90&lt;&gt;"","Satisfied",IF(E90&lt;TODAY(),"Overdue","Open"))</f>
        <v/>
      </c>
    </row>
    <row r="91">
      <c r="A91" s="38" t="inlineStr">
        <is>
          <t>D-087</t>
        </is>
      </c>
      <c r="B91" s="38" t="inlineStr">
        <is>
          <t>T-096</t>
        </is>
      </c>
      <c r="C91" s="38" t="inlineStr">
        <is>
          <t>T-095</t>
        </is>
      </c>
      <c r="D91" s="38" t="inlineStr">
        <is>
          <t>Siva</t>
        </is>
      </c>
      <c r="E91" s="42" t="n">
        <v>46369</v>
      </c>
      <c r="F91" s="42" t="n"/>
      <c r="G91" s="38">
        <f>IF(F91&lt;&gt;"","Satisfied",IF(E91&lt;TODAY(),"Overdue","Open"))</f>
        <v/>
      </c>
    </row>
    <row r="92">
      <c r="A92" s="38" t="inlineStr">
        <is>
          <t>D-088</t>
        </is>
      </c>
      <c r="B92" s="38" t="inlineStr">
        <is>
          <t>T-097</t>
        </is>
      </c>
      <c r="C92" s="38" t="inlineStr">
        <is>
          <t>T-096</t>
        </is>
      </c>
      <c r="D92" s="38" t="inlineStr">
        <is>
          <t>Siva</t>
        </is>
      </c>
      <c r="E92" s="42" t="n">
        <v>46334</v>
      </c>
      <c r="F92" s="42" t="n"/>
      <c r="G92" s="38">
        <f>IF(F92&lt;&gt;"","Satisfied",IF(E92&lt;TODAY(),"Overdue","Open"))</f>
        <v/>
      </c>
    </row>
    <row r="93">
      <c r="A93" s="38" t="inlineStr">
        <is>
          <t>D-089</t>
        </is>
      </c>
      <c r="B93" s="38" t="inlineStr">
        <is>
          <t>T-098</t>
        </is>
      </c>
      <c r="C93" s="38" t="inlineStr">
        <is>
          <t>T-097</t>
        </is>
      </c>
      <c r="D93" s="38" t="inlineStr">
        <is>
          <t>Siva</t>
        </is>
      </c>
      <c r="E93" s="42" t="n">
        <v>46370</v>
      </c>
      <c r="F93" s="42" t="n"/>
      <c r="G93" s="38">
        <f>IF(F93&lt;&gt;"","Satisfied",IF(E93&lt;TODAY(),"Overdue","Open"))</f>
        <v/>
      </c>
    </row>
    <row r="94">
      <c r="A94" s="38" t="inlineStr">
        <is>
          <t>D-090</t>
        </is>
      </c>
      <c r="B94" s="38" t="inlineStr">
        <is>
          <t>T-099</t>
        </is>
      </c>
      <c r="C94" s="38" t="inlineStr">
        <is>
          <t>T-098</t>
        </is>
      </c>
      <c r="D94" s="38" t="inlineStr">
        <is>
          <t>Siva</t>
        </is>
      </c>
      <c r="E94" s="42" t="n">
        <v>46375</v>
      </c>
      <c r="F94" s="42" t="n"/>
      <c r="G94" s="38">
        <f>IF(F94&lt;&gt;"","Satisfied",IF(E94&lt;TODAY(),"Overdue","Open"))</f>
        <v/>
      </c>
    </row>
    <row r="95">
      <c r="A95" s="38" t="inlineStr">
        <is>
          <t>D-091</t>
        </is>
      </c>
      <c r="B95" s="38" t="inlineStr">
        <is>
          <t>T-100</t>
        </is>
      </c>
      <c r="C95" s="38" t="inlineStr">
        <is>
          <t>T-099</t>
        </is>
      </c>
      <c r="D95" s="38" t="inlineStr">
        <is>
          <t>Siva</t>
        </is>
      </c>
      <c r="E95" s="42" t="n">
        <v>46428</v>
      </c>
      <c r="F95" s="42" t="n"/>
      <c r="G95" s="38">
        <f>IF(F95&lt;&gt;"","Satisfied",IF(E95&lt;TODAY(),"Overdue","Open"))</f>
        <v/>
      </c>
    </row>
    <row r="96">
      <c r="A96" s="38" t="inlineStr">
        <is>
          <t>D-092</t>
        </is>
      </c>
      <c r="B96" s="38" t="inlineStr">
        <is>
          <t>T-101</t>
        </is>
      </c>
      <c r="C96" s="38" t="inlineStr">
        <is>
          <t>T-100</t>
        </is>
      </c>
      <c r="D96" s="38" t="inlineStr">
        <is>
          <t>Siva</t>
        </is>
      </c>
      <c r="E96" s="42" t="n">
        <v>46439</v>
      </c>
      <c r="F96" s="42" t="n"/>
      <c r="G96" s="38">
        <f>IF(F96&lt;&gt;"","Satisfied",IF(E96&lt;TODAY(),"Overdue","Open"))</f>
        <v/>
      </c>
    </row>
    <row r="97">
      <c r="A97" s="38" t="inlineStr">
        <is>
          <t>D-093</t>
        </is>
      </c>
      <c r="B97" s="38" t="inlineStr">
        <is>
          <t>T-102</t>
        </is>
      </c>
      <c r="C97" s="38" t="inlineStr">
        <is>
          <t>T-101</t>
        </is>
      </c>
      <c r="D97" s="38" t="inlineStr">
        <is>
          <t>Siva</t>
        </is>
      </c>
      <c r="E97" s="42" t="n">
        <v>46462</v>
      </c>
      <c r="F97" s="42" t="n"/>
      <c r="G97" s="38">
        <f>IF(F97&lt;&gt;"","Satisfied",IF(E97&lt;TODAY(),"Overdue","Open"))</f>
        <v/>
      </c>
    </row>
    <row r="98">
      <c r="A98" s="38" t="inlineStr">
        <is>
          <t>D-094</t>
        </is>
      </c>
      <c r="B98" s="38" t="inlineStr">
        <is>
          <t>T-103</t>
        </is>
      </c>
      <c r="C98" s="38" t="inlineStr">
        <is>
          <t>T-102</t>
        </is>
      </c>
      <c r="D98" s="38" t="inlineStr">
        <is>
          <t>Siva</t>
        </is>
      </c>
      <c r="E98" s="42" t="n">
        <v>46564</v>
      </c>
      <c r="F98" s="42" t="n"/>
      <c r="G98" s="38">
        <f>IF(F98&lt;&gt;"","Satisfied",IF(E98&lt;TODAY(),"Overdue","Open"))</f>
        <v/>
      </c>
    </row>
    <row r="99">
      <c r="A99" s="38" t="inlineStr">
        <is>
          <t>D-095</t>
        </is>
      </c>
      <c r="B99" s="38" t="inlineStr">
        <is>
          <t>T-104</t>
        </is>
      </c>
      <c r="C99" s="38" t="inlineStr">
        <is>
          <t>T-103</t>
        </is>
      </c>
      <c r="D99" s="38" t="inlineStr">
        <is>
          <t>Siva</t>
        </is>
      </c>
      <c r="E99" s="42" t="n">
        <v>46565</v>
      </c>
      <c r="F99" s="42" t="n"/>
      <c r="G99" s="38">
        <f>IF(F99&lt;&gt;"","Satisfied",IF(E99&lt;TODAY(),"Overdue","Open"))</f>
        <v/>
      </c>
    </row>
    <row r="100">
      <c r="A100" s="38" t="inlineStr">
        <is>
          <t>D-096</t>
        </is>
      </c>
      <c r="B100" s="38" t="inlineStr">
        <is>
          <t>T-105</t>
        </is>
      </c>
      <c r="C100" s="38" t="inlineStr">
        <is>
          <t>T-104</t>
        </is>
      </c>
      <c r="D100" s="38" t="inlineStr">
        <is>
          <t>Siva</t>
        </is>
      </c>
      <c r="E100" s="42" t="n">
        <v>46558</v>
      </c>
      <c r="F100" s="42" t="n"/>
      <c r="G100" s="38">
        <f>IF(F100&lt;&gt;"","Satisfied",IF(E100&lt;TODAY(),"Overdue","Open"))</f>
        <v/>
      </c>
    </row>
    <row r="101">
      <c r="A101" s="38" t="inlineStr">
        <is>
          <t>D-097</t>
        </is>
      </c>
      <c r="B101" s="38" t="inlineStr">
        <is>
          <t>T-107</t>
        </is>
      </c>
      <c r="C101" s="38" t="inlineStr">
        <is>
          <t>T-106</t>
        </is>
      </c>
      <c r="D101" s="38" t="inlineStr">
        <is>
          <t>Kadarkarai</t>
        </is>
      </c>
      <c r="E101" s="42" t="n">
        <v>46271</v>
      </c>
      <c r="F101" s="42" t="n"/>
      <c r="G101" s="38">
        <f>IF(F101&lt;&gt;"","Satisfied",IF(E101&lt;TODAY(),"Overdue","Open"))</f>
        <v/>
      </c>
    </row>
    <row r="102">
      <c r="A102" s="38" t="inlineStr">
        <is>
          <t>D-098</t>
        </is>
      </c>
      <c r="B102" s="38" t="inlineStr">
        <is>
          <t>T-108</t>
        </is>
      </c>
      <c r="C102" s="38" t="inlineStr">
        <is>
          <t>T-107</t>
        </is>
      </c>
      <c r="D102" s="38" t="inlineStr">
        <is>
          <t>Kadarkarai</t>
        </is>
      </c>
      <c r="E102" s="42" t="n">
        <v>46271</v>
      </c>
      <c r="F102" s="42" t="n"/>
      <c r="G102" s="38">
        <f>IF(F102&lt;&gt;"","Satisfied",IF(E102&lt;TODAY(),"Overdue","Open"))</f>
        <v/>
      </c>
    </row>
    <row r="103">
      <c r="A103" s="38" t="inlineStr">
        <is>
          <t>D-099</t>
        </is>
      </c>
      <c r="B103" s="38" t="inlineStr">
        <is>
          <t>T-109</t>
        </is>
      </c>
      <c r="C103" s="38" t="inlineStr">
        <is>
          <t>T-108</t>
        </is>
      </c>
      <c r="D103" s="38" t="inlineStr">
        <is>
          <t>Kadarkarai</t>
        </is>
      </c>
      <c r="E103" s="42" t="n">
        <v>46254</v>
      </c>
      <c r="F103" s="42" t="n"/>
      <c r="G103" s="38">
        <f>IF(F103&lt;&gt;"","Satisfied",IF(E103&lt;TODAY(),"Overdue","Open"))</f>
        <v/>
      </c>
    </row>
  </sheetData>
  <conditionalFormatting sqref="A5:G103">
    <cfRule type="expression" priority="1" dxfId="19">
      <formula>$G5="Overdue"</formula>
    </cfRule>
  </conditionalFormatting>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20" t="inlineStr">
        <is>
          <t>LOOKUP LISTS — Dropdown Source Values</t>
        </is>
      </c>
    </row>
    <row r="2">
      <c r="A2" s="21" t="inlineStr">
        <is>
          <t>Maintain these lists to drive Project Tracker dropdowns and named ranges.</t>
        </is>
      </c>
    </row>
    <row r="4" ht="22" customHeight="1">
      <c r="A4" s="43" t="inlineStr">
        <is>
          <t>Owners</t>
        </is>
      </c>
      <c r="B4" s="43" t="inlineStr">
        <is>
          <t>Priority</t>
        </is>
      </c>
      <c r="C4" s="43" t="inlineStr">
        <is>
          <t>Status</t>
        </is>
      </c>
      <c r="D4" s="43" t="inlineStr">
        <is>
          <t>Teams</t>
        </is>
      </c>
      <c r="E4" s="43" t="inlineStr">
        <is>
          <t>Projects</t>
        </is>
      </c>
      <c r="F4" s="43" t="inlineStr">
        <is>
          <t>Releases</t>
        </is>
      </c>
      <c r="G4" s="43" t="inlineStr">
        <is>
          <t>Sprint</t>
        </is>
      </c>
      <c r="H4" s="43" t="inlineStr">
        <is>
          <t>Phase</t>
        </is>
      </c>
      <c r="I4" s="43" t="inlineStr">
        <is>
          <t>Workstream</t>
        </is>
      </c>
      <c r="J4" s="43" t="inlineStr">
        <is>
          <t>Impact</t>
        </is>
      </c>
      <c r="K4" s="43" t="inlineStr">
        <is>
          <t>Probability</t>
        </is>
      </c>
      <c r="L4" s="43" t="inlineStr">
        <is>
          <t>Risk Status</t>
        </is>
      </c>
      <c r="M4" s="43" t="inlineStr">
        <is>
          <t>Dep Status</t>
        </is>
      </c>
      <c r="N4" s="43" t="inlineStr">
        <is>
          <t>Category</t>
        </is>
      </c>
    </row>
    <row r="5">
      <c r="A5" s="44" t="inlineStr">
        <is>
          <t>Jawahar</t>
        </is>
      </c>
      <c r="B5" s="44" t="inlineStr">
        <is>
          <t>Critical</t>
        </is>
      </c>
      <c r="C5" s="44" t="inlineStr">
        <is>
          <t>Not Started</t>
        </is>
      </c>
      <c r="D5" s="44" t="inlineStr">
        <is>
          <t>Platform</t>
        </is>
      </c>
      <c r="E5" s="44" t="inlineStr">
        <is>
          <t>CS 1.0</t>
        </is>
      </c>
      <c r="F5" s="44" t="inlineStr">
        <is>
          <t>R26.Q1</t>
        </is>
      </c>
      <c r="G5" s="44" t="inlineStr">
        <is>
          <t>Sprint 01</t>
        </is>
      </c>
      <c r="H5" s="44" t="inlineStr">
        <is>
          <t>Discovery</t>
        </is>
      </c>
      <c r="I5" s="44" t="inlineStr">
        <is>
          <t>Product Delivery</t>
        </is>
      </c>
      <c r="J5" s="44" t="inlineStr">
        <is>
          <t>High</t>
        </is>
      </c>
      <c r="K5" s="44" t="inlineStr">
        <is>
          <t>High</t>
        </is>
      </c>
      <c r="L5" s="44" t="inlineStr">
        <is>
          <t>Open</t>
        </is>
      </c>
      <c r="M5" s="44" t="inlineStr">
        <is>
          <t>Open</t>
        </is>
      </c>
      <c r="N5" s="44" t="inlineStr">
        <is>
          <t>Funct Enhance</t>
        </is>
      </c>
    </row>
    <row r="6">
      <c r="A6" s="44" t="inlineStr">
        <is>
          <t>Kadarkarai</t>
        </is>
      </c>
      <c r="B6" s="44" t="inlineStr">
        <is>
          <t>High</t>
        </is>
      </c>
      <c r="C6" s="44" t="inlineStr">
        <is>
          <t>In Progress</t>
        </is>
      </c>
      <c r="D6" s="44" t="inlineStr">
        <is>
          <t>Core Product</t>
        </is>
      </c>
      <c r="E6" s="44" t="inlineStr">
        <is>
          <t>CS 2.0</t>
        </is>
      </c>
      <c r="F6" s="44" t="inlineStr">
        <is>
          <t>R26.Q2</t>
        </is>
      </c>
      <c r="G6" s="44" t="inlineStr">
        <is>
          <t>Sprint 02</t>
        </is>
      </c>
      <c r="H6" s="44" t="inlineStr">
        <is>
          <t>Design</t>
        </is>
      </c>
      <c r="I6" s="44" t="inlineStr">
        <is>
          <t>Platform</t>
        </is>
      </c>
      <c r="J6" s="44" t="inlineStr">
        <is>
          <t>Medium</t>
        </is>
      </c>
      <c r="K6" s="44" t="inlineStr">
        <is>
          <t>Medium</t>
        </is>
      </c>
      <c r="L6" s="44" t="inlineStr">
        <is>
          <t>Mitigating</t>
        </is>
      </c>
      <c r="M6" s="44" t="inlineStr">
        <is>
          <t>Satisfied</t>
        </is>
      </c>
      <c r="N6" s="44" t="inlineStr">
        <is>
          <t>Maintenance</t>
        </is>
      </c>
    </row>
    <row r="7">
      <c r="A7" s="44" t="inlineStr">
        <is>
          <t>MJ</t>
        </is>
      </c>
      <c r="B7" s="44" t="inlineStr">
        <is>
          <t>Medium</t>
        </is>
      </c>
      <c r="C7" s="44" t="inlineStr">
        <is>
          <t>Completed</t>
        </is>
      </c>
      <c r="D7" s="44" t="inlineStr">
        <is>
          <t>Rewards</t>
        </is>
      </c>
      <c r="E7" s="44" t="inlineStr">
        <is>
          <t>CS 2.0 Achievo</t>
        </is>
      </c>
      <c r="F7" s="44" t="inlineStr">
        <is>
          <t>R26.Q3</t>
        </is>
      </c>
      <c r="G7" s="44" t="inlineStr">
        <is>
          <t>Sprint 03</t>
        </is>
      </c>
      <c r="H7" s="44" t="inlineStr">
        <is>
          <t>Build</t>
        </is>
      </c>
      <c r="I7" s="44" t="inlineStr">
        <is>
          <t>Data</t>
        </is>
      </c>
      <c r="J7" s="44" t="inlineStr">
        <is>
          <t>Low</t>
        </is>
      </c>
      <c r="K7" s="44" t="inlineStr">
        <is>
          <t>Low</t>
        </is>
      </c>
      <c r="L7" s="44" t="inlineStr">
        <is>
          <t>Watching</t>
        </is>
      </c>
      <c r="M7" s="44" t="inlineStr">
        <is>
          <t>Overdue</t>
        </is>
      </c>
      <c r="N7" s="44" t="inlineStr">
        <is>
          <t>New Features</t>
        </is>
      </c>
    </row>
    <row r="8">
      <c r="A8" s="44" t="inlineStr">
        <is>
          <t>Shriguru</t>
        </is>
      </c>
      <c r="B8" s="44" t="inlineStr">
        <is>
          <t>Low</t>
        </is>
      </c>
      <c r="C8" s="44" t="inlineStr">
        <is>
          <t>At Risk</t>
        </is>
      </c>
      <c r="D8" s="44" t="inlineStr">
        <is>
          <t>Data &amp; AI</t>
        </is>
      </c>
      <c r="E8" s="44" t="inlineStr">
        <is>
          <t>CS 2.0 Core</t>
        </is>
      </c>
      <c r="F8" s="44" t="inlineStr">
        <is>
          <t>R26.Q4</t>
        </is>
      </c>
      <c r="G8" s="44" t="inlineStr">
        <is>
          <t>Sprint 04</t>
        </is>
      </c>
      <c r="H8" s="44" t="inlineStr">
        <is>
          <t>Test</t>
        </is>
      </c>
      <c r="I8" s="44" t="inlineStr">
        <is>
          <t>Integrations</t>
        </is>
      </c>
      <c r="L8" s="44" t="inlineStr">
        <is>
          <t>Closed</t>
        </is>
      </c>
      <c r="M8" s="44" t="inlineStr">
        <is>
          <t>Waived</t>
        </is>
      </c>
      <c r="N8" s="44" t="inlineStr">
        <is>
          <t>PIS New Feature</t>
        </is>
      </c>
    </row>
    <row r="9">
      <c r="A9" s="44" t="inlineStr">
        <is>
          <t>Siva</t>
        </is>
      </c>
      <c r="C9" s="44" t="inlineStr">
        <is>
          <t>Blocked</t>
        </is>
      </c>
      <c r="D9" s="44" t="inlineStr">
        <is>
          <t>Integrations</t>
        </is>
      </c>
      <c r="E9" s="44" t="inlineStr">
        <is>
          <t>CS 2.0 Data</t>
        </is>
      </c>
      <c r="F9" s="44" t="inlineStr">
        <is>
          <t>R27.Q1</t>
        </is>
      </c>
      <c r="G9" s="44" t="inlineStr">
        <is>
          <t>Sprint 05</t>
        </is>
      </c>
      <c r="H9" s="44" t="inlineStr">
        <is>
          <t>UAT</t>
        </is>
      </c>
      <c r="I9" s="44" t="inlineStr">
        <is>
          <t>Reliability</t>
        </is>
      </c>
      <c r="N9" s="44" t="inlineStr">
        <is>
          <t>Tech Enhance</t>
        </is>
      </c>
    </row>
    <row r="10">
      <c r="D10" s="44" t="inlineStr">
        <is>
          <t>SRE / Support</t>
        </is>
      </c>
      <c r="E10" s="44" t="inlineStr">
        <is>
          <t>Unassigned</t>
        </is>
      </c>
      <c r="F10" s="44" t="inlineStr">
        <is>
          <t>R27.Q2</t>
        </is>
      </c>
      <c r="G10" s="44" t="inlineStr">
        <is>
          <t>Sprint 06</t>
        </is>
      </c>
      <c r="H10" s="44" t="inlineStr">
        <is>
          <t>Release</t>
        </is>
      </c>
      <c r="I10" s="44" t="inlineStr">
        <is>
          <t>Governance</t>
        </is>
      </c>
      <c r="N10" s="44" t="inlineStr">
        <is>
          <t>Tech Maintenance</t>
        </is>
      </c>
    </row>
    <row r="11">
      <c r="D11" s="44" t="inlineStr">
        <is>
          <t>Architecture</t>
        </is>
      </c>
      <c r="F11" s="44" t="inlineStr">
        <is>
          <t>Hotfix</t>
        </is>
      </c>
      <c r="G11" s="44" t="inlineStr">
        <is>
          <t>Sprint 07</t>
        </is>
      </c>
      <c r="H11" s="44" t="inlineStr">
        <is>
          <t>Hypercare</t>
        </is>
      </c>
      <c r="I11" s="44" t="inlineStr">
        <is>
          <t>Tech Debt</t>
        </is>
      </c>
    </row>
    <row r="12">
      <c r="D12" s="44" t="inlineStr">
        <is>
          <t>Compliance Eng</t>
        </is>
      </c>
      <c r="F12" s="44" t="inlineStr">
        <is>
          <t>N/A</t>
        </is>
      </c>
      <c r="G12" s="44" t="inlineStr">
        <is>
          <t>Sprint 08</t>
        </is>
      </c>
    </row>
    <row r="13">
      <c r="G13" s="44" t="inlineStr">
        <is>
          <t>Sprint 09</t>
        </is>
      </c>
    </row>
    <row r="14">
      <c r="G14" s="44" t="inlineStr">
        <is>
          <t>Sprint 10</t>
        </is>
      </c>
    </row>
    <row r="15">
      <c r="G15" s="44" t="inlineStr">
        <is>
          <t>Sprint 11</t>
        </is>
      </c>
    </row>
    <row r="16">
      <c r="G16" s="44" t="inlineStr">
        <is>
          <t>Sprint 12</t>
        </is>
      </c>
    </row>
    <row r="17">
      <c r="G17" s="44" t="inlineStr">
        <is>
          <t>Sprint 13</t>
        </is>
      </c>
    </row>
    <row r="18">
      <c r="G18" s="44" t="inlineStr">
        <is>
          <t>Sprint 14</t>
        </is>
      </c>
    </row>
    <row r="19">
      <c r="G19" s="44" t="inlineStr">
        <is>
          <t>Sprint 15</t>
        </is>
      </c>
    </row>
    <row r="20">
      <c r="G20" s="44" t="inlineStr">
        <is>
          <t>Sprint 16</t>
        </is>
      </c>
    </row>
    <row r="21">
      <c r="G21" s="44" t="inlineStr">
        <is>
          <t>Sprint 17</t>
        </is>
      </c>
    </row>
    <row r="22">
      <c r="G22" s="44" t="inlineStr">
        <is>
          <t>Sprint 18</t>
        </is>
      </c>
    </row>
    <row r="23">
      <c r="G23" s="44" t="inlineStr">
        <is>
          <t>Sprint 19</t>
        </is>
      </c>
    </row>
    <row r="24">
      <c r="G24" s="44" t="inlineStr">
        <is>
          <t>Sprint 20</t>
        </is>
      </c>
    </row>
    <row r="25">
      <c r="G25" s="44" t="inlineStr">
        <is>
          <t>Sprint 21</t>
        </is>
      </c>
    </row>
    <row r="26">
      <c r="G26" s="44" t="inlineStr">
        <is>
          <t>Sprint 22</t>
        </is>
      </c>
    </row>
    <row r="27">
      <c r="G27" s="44" t="inlineStr">
        <is>
          <t>Sprint 23</t>
        </is>
      </c>
    </row>
    <row r="28">
      <c r="G28" s="44" t="inlineStr">
        <is>
          <t>Sprint 24</t>
        </is>
      </c>
    </row>
    <row r="29">
      <c r="G29" s="44" t="inlineStr">
        <is>
          <t>Sprint 25</t>
        </is>
      </c>
    </row>
    <row r="30">
      <c r="G30" s="44" t="inlineStr">
        <is>
          <t>Sprint 26</t>
        </is>
      </c>
    </row>
  </sheetData>
  <mergeCells count="1">
    <mergeCell ref="A1:H1"/>
  </mergeCells>
  <printOptions horizontalCentered="1"/>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EMOS PMO Generator</dc:creator>
  <dc:title xmlns:dc="http://purl.org/dc/elements/1.1/">FY27 Engineering Project Tracker</dc:title>
  <dc:description xmlns:dc="http://purl.org/dc/elements/1.1/">Generated from FY 27 Draft Planning.xlsx / FY27 V1. Formula-driven tracker for weekly governance and CTO reviews.</dc:description>
  <dcterms:created xmlns:dcterms="http://purl.org/dc/terms/" xmlns:xsi="http://www.w3.org/2001/XMLSchema-instance" xsi:type="dcterms:W3CDTF">2026-07-26T10:33:00Z</dcterms:created>
  <dcterms:modified xmlns:dcterms="http://purl.org/dc/terms/" xmlns:xsi="http://www.w3.org/2001/XMLSchema-instance" xsi:type="dcterms:W3CDTF">2026-07-26T10:33:00Z</dcterms:modified>
</cp:coreProperties>
</file>