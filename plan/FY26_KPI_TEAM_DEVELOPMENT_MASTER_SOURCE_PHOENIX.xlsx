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ocumenttasks/documenttask1.xml" ContentType="application/vnd.ms-excel.documenttasks+xml"/>
  <Override PartName="/xl/comments3.xml" ContentType="application/vnd.openxmlformats-officedocument.spreadsheetml.comments+xml"/>
  <Override PartName="/xl/comments4.xml" ContentType="application/vnd.openxmlformats-officedocument.spreadsheetml.comment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hidePivotFieldList="1"/>
  <mc:AlternateContent xmlns:mc="http://schemas.openxmlformats.org/markup-compatibility/2006">
    <mc:Choice Requires="x15">
      <x15ac:absPath xmlns:x15ac="http://schemas.microsoft.com/office/spreadsheetml/2010/11/ac" url="https://biworldwide-my.sharepoint.com/personal/muruganandham_jayapal_biworldwide_com/Documents/"/>
    </mc:Choice>
  </mc:AlternateContent>
  <xr:revisionPtr revIDLastSave="88" documentId="8_{B7ABCABA-9799-447D-9AC2-EFE658409049}" xr6:coauthVersionLast="47" xr6:coauthVersionMax="47" xr10:uidLastSave="{750D6353-4BA4-4507-8A88-9249F0DBE42D}"/>
  <bookViews>
    <workbookView xWindow="28680" yWindow="-120" windowWidth="29040" windowHeight="15720" tabRatio="929" firstSheet="7" activeTab="7" xr2:uid="{F2ED2ADA-AC09-4E24-AEB7-E48BC5E7C176}"/>
  </bookViews>
  <sheets>
    <sheet name="KPI Summary" sheetId="8" r:id="rId1"/>
    <sheet name="SR NOte" sheetId="11" state="hidden" r:id="rId2"/>
    <sheet name="Ocean-Old" sheetId="2" state="hidden" r:id="rId3"/>
    <sheet name="Ocean" sheetId="12" r:id="rId4"/>
    <sheet name="Cap-Old" sheetId="4" state="hidden" r:id="rId5"/>
    <sheet name="Cap" sheetId="13" r:id="rId6"/>
    <sheet name="Phoenix-Old" sheetId="5" state="hidden" r:id="rId7"/>
    <sheet name="Phoenix" sheetId="14" r:id="rId8"/>
    <sheet name="Custom" sheetId="10" r:id="rId9"/>
    <sheet name="Intelsuite" sheetId="1" r:id="rId10"/>
    <sheet name="Tsgeast" sheetId="9" r:id="rId11"/>
    <sheet name="Data" sheetId="3" r:id="rId12"/>
  </sheets>
  <definedNames>
    <definedName name="_xlnm._FilterDatabase" localSheetId="9" hidden="1">Intelsuite!$A$1:$U$2</definedName>
    <definedName name="_xlnm._FilterDatabase" localSheetId="10" hidden="1">Tsgeast!$A$1:$T$2</definedName>
    <definedName name="Slicer_Team">#N/A</definedName>
  </definedNames>
  <calcPr calcId="191028"/>
  <pivotCaches>
    <pivotCache cacheId="36" r:id="rId13"/>
  </pivotCaches>
  <extLs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8" i="14" l="1"/>
  <c r="I7" i="14"/>
  <c r="I6" i="14"/>
  <c r="I4" i="14"/>
  <c r="I16" i="14" l="1"/>
  <c r="I14" i="14"/>
  <c r="I13" i="14"/>
  <c r="I5" i="14"/>
  <c r="I3" i="14"/>
  <c r="I15" i="14"/>
  <c r="I17" i="14"/>
  <c r="I18" i="14"/>
  <c r="C13" i="8" l="1"/>
  <c r="C12" i="8"/>
  <c r="C11" i="8"/>
  <c r="C10" i="8"/>
  <c r="C9" i="8"/>
  <c r="C8" i="8"/>
  <c r="C7" i="8"/>
  <c r="C6" i="8"/>
  <c r="C5" i="8"/>
  <c r="C4" i="8"/>
  <c r="AS14" i="8"/>
  <c r="AS6" i="8"/>
  <c r="AS5" i="8"/>
  <c r="AS4" i="8"/>
  <c r="AL18" i="8"/>
  <c r="AK18" i="8"/>
  <c r="AJ18" i="8"/>
  <c r="AI18" i="8"/>
  <c r="AH18" i="8"/>
  <c r="AG18" i="8"/>
  <c r="AL17" i="8"/>
  <c r="AK17" i="8"/>
  <c r="AJ17" i="8"/>
  <c r="AI17" i="8"/>
  <c r="AH17" i="8"/>
  <c r="AG17" i="8"/>
  <c r="AL16" i="8"/>
  <c r="AK16" i="8"/>
  <c r="AJ16" i="8"/>
  <c r="AI16" i="8"/>
  <c r="AH16" i="8"/>
  <c r="AG16" i="8"/>
  <c r="AL15" i="8"/>
  <c r="AK15" i="8"/>
  <c r="AJ15" i="8"/>
  <c r="AI15" i="8"/>
  <c r="AH15" i="8"/>
  <c r="AG15" i="8"/>
  <c r="AL14" i="8"/>
  <c r="AK14" i="8"/>
  <c r="AJ14" i="8"/>
  <c r="AI14" i="8"/>
  <c r="AH14" i="8"/>
  <c r="AG14" i="8"/>
  <c r="AL13" i="8"/>
  <c r="AK13" i="8"/>
  <c r="AL8" i="8"/>
  <c r="AK8" i="8"/>
  <c r="AJ8" i="8"/>
  <c r="AI8" i="8"/>
  <c r="AH8" i="8"/>
  <c r="AG8" i="8"/>
  <c r="AL7" i="8"/>
  <c r="AK7" i="8"/>
  <c r="AJ7" i="8"/>
  <c r="AI7" i="8"/>
  <c r="AH7" i="8"/>
  <c r="AG7" i="8"/>
  <c r="AL6" i="8"/>
  <c r="AK6" i="8"/>
  <c r="AJ6" i="8"/>
  <c r="AI6" i="8"/>
  <c r="AH6" i="8"/>
  <c r="AG6" i="8"/>
  <c r="AL5" i="8"/>
  <c r="AK5" i="8"/>
  <c r="AJ5" i="8"/>
  <c r="AI5" i="8"/>
  <c r="AH5" i="8"/>
  <c r="AG5" i="8"/>
  <c r="AL4" i="8"/>
  <c r="AK4" i="8"/>
  <c r="AJ4" i="8"/>
  <c r="AI4" i="8"/>
  <c r="AH4" i="8"/>
  <c r="AG4" i="8"/>
  <c r="AD13" i="8"/>
  <c r="Z16" i="8"/>
  <c r="AA16" i="8"/>
  <c r="AB16" i="8"/>
  <c r="AC16" i="8"/>
  <c r="AD16" i="8"/>
  <c r="AE16" i="8"/>
  <c r="Z17" i="8"/>
  <c r="AA17" i="8"/>
  <c r="AB17" i="8"/>
  <c r="AC17" i="8"/>
  <c r="AD17" i="8"/>
  <c r="AE17" i="8"/>
  <c r="Z18" i="8"/>
  <c r="AA18" i="8"/>
  <c r="AB18" i="8"/>
  <c r="AC18" i="8"/>
  <c r="AD18" i="8"/>
  <c r="AE18" i="8"/>
  <c r="AE15" i="8"/>
  <c r="AD15" i="8"/>
  <c r="AC15" i="8"/>
  <c r="AB15" i="8"/>
  <c r="AA15" i="8"/>
  <c r="Z15" i="8"/>
  <c r="AE14" i="8"/>
  <c r="AD14" i="8"/>
  <c r="AC14" i="8"/>
  <c r="AB14" i="8"/>
  <c r="AA14" i="8"/>
  <c r="Z14" i="8"/>
  <c r="Z7" i="8"/>
  <c r="AA7" i="8"/>
  <c r="AB7" i="8"/>
  <c r="AC7" i="8"/>
  <c r="AD7" i="8"/>
  <c r="AE7" i="8"/>
  <c r="I7" i="8" s="1"/>
  <c r="Z8" i="8"/>
  <c r="AA8" i="8"/>
  <c r="AB8" i="8"/>
  <c r="AC8" i="8"/>
  <c r="AD8" i="8"/>
  <c r="AE8" i="8"/>
  <c r="I8" i="8" s="1"/>
  <c r="AE6" i="8"/>
  <c r="AD6" i="8"/>
  <c r="AC6" i="8"/>
  <c r="AB6" i="8"/>
  <c r="AA6" i="8"/>
  <c r="Z6" i="8"/>
  <c r="AE5" i="8"/>
  <c r="AD5" i="8"/>
  <c r="AC5" i="8"/>
  <c r="AB5" i="8"/>
  <c r="AA5" i="8"/>
  <c r="Z5" i="8"/>
  <c r="AE4" i="8"/>
  <c r="AD4" i="8"/>
  <c r="AC4" i="8"/>
  <c r="AB4" i="8"/>
  <c r="AA4" i="8"/>
  <c r="Z4" i="8"/>
  <c r="Q13" i="8"/>
  <c r="I13" i="8" s="1"/>
  <c r="P13" i="8"/>
  <c r="O13" i="8"/>
  <c r="N13" i="8"/>
  <c r="M13" i="8"/>
  <c r="L13" i="8"/>
  <c r="Q18" i="8"/>
  <c r="P18" i="8"/>
  <c r="O18" i="8"/>
  <c r="N18" i="8"/>
  <c r="M18" i="8"/>
  <c r="L18" i="8"/>
  <c r="Q17" i="8"/>
  <c r="P17" i="8"/>
  <c r="O17" i="8"/>
  <c r="N17" i="8"/>
  <c r="M17" i="8"/>
  <c r="L17" i="8"/>
  <c r="Q16" i="8"/>
  <c r="P16" i="8"/>
  <c r="O16" i="8"/>
  <c r="N16" i="8"/>
  <c r="M16" i="8"/>
  <c r="L16" i="8"/>
  <c r="I12" i="8"/>
  <c r="H12" i="8"/>
  <c r="G12" i="8"/>
  <c r="F12" i="8"/>
  <c r="E12" i="8"/>
  <c r="D12" i="8"/>
  <c r="I11" i="8"/>
  <c r="H11" i="8"/>
  <c r="G11" i="8"/>
  <c r="F11" i="8"/>
  <c r="E11" i="8"/>
  <c r="D11" i="8"/>
  <c r="I10" i="8"/>
  <c r="H10" i="8"/>
  <c r="G10" i="8"/>
  <c r="F10" i="8"/>
  <c r="E10" i="8"/>
  <c r="D10" i="8"/>
  <c r="I9" i="8"/>
  <c r="H9" i="8"/>
  <c r="G9" i="8"/>
  <c r="F9" i="8"/>
  <c r="E9" i="8"/>
  <c r="D9" i="8"/>
  <c r="Q15" i="8"/>
  <c r="I15" i="8" s="1"/>
  <c r="C15" i="8" s="1"/>
  <c r="P15" i="8"/>
  <c r="O15" i="8"/>
  <c r="N15" i="8"/>
  <c r="M15" i="8"/>
  <c r="L15" i="8"/>
  <c r="Q14" i="8"/>
  <c r="P14" i="8"/>
  <c r="O14" i="8"/>
  <c r="N14" i="8"/>
  <c r="M14" i="8"/>
  <c r="L14" i="8"/>
  <c r="Q6" i="8"/>
  <c r="Q5" i="8"/>
  <c r="Q4" i="8"/>
  <c r="P6" i="8"/>
  <c r="P5" i="8"/>
  <c r="P4" i="8"/>
  <c r="O6" i="8"/>
  <c r="O5" i="8"/>
  <c r="N6" i="8"/>
  <c r="N5" i="8"/>
  <c r="N4" i="8"/>
  <c r="O4" i="8"/>
  <c r="M6" i="8"/>
  <c r="M5" i="8"/>
  <c r="M4" i="8"/>
  <c r="L6" i="8"/>
  <c r="L5" i="8"/>
  <c r="L4" i="8"/>
  <c r="I18" i="13"/>
  <c r="I17" i="13"/>
  <c r="I16" i="13"/>
  <c r="I15" i="13"/>
  <c r="I14" i="13"/>
  <c r="I13" i="13"/>
  <c r="I10" i="13"/>
  <c r="I9" i="13"/>
  <c r="I8" i="13"/>
  <c r="I7" i="13"/>
  <c r="I6" i="13"/>
  <c r="I5" i="13"/>
  <c r="I4" i="13"/>
  <c r="I3" i="13"/>
  <c r="I18" i="8" l="1"/>
  <c r="C18" i="8" s="1"/>
  <c r="I17" i="8"/>
  <c r="C17" i="8" s="1"/>
  <c r="I14" i="8"/>
  <c r="I5" i="8"/>
  <c r="I4" i="8"/>
  <c r="I16" i="8"/>
  <c r="C16" i="8" s="1"/>
  <c r="I6" i="8"/>
  <c r="I13" i="1" l="1"/>
  <c r="I12" i="1"/>
  <c r="I11" i="1"/>
  <c r="I10" i="1"/>
  <c r="I9" i="1"/>
  <c r="I8" i="1"/>
  <c r="I7" i="1"/>
  <c r="I6" i="1"/>
  <c r="I5" i="1"/>
  <c r="I4" i="1"/>
  <c r="I3" i="1"/>
  <c r="H9" i="9"/>
  <c r="H8" i="9"/>
  <c r="H6" i="9"/>
  <c r="H5" i="9"/>
  <c r="H4" i="9"/>
  <c r="H3" i="9"/>
  <c r="H10" i="9"/>
  <c r="P12" i="12" l="1"/>
  <c r="N12" i="12"/>
  <c r="L12" i="12"/>
  <c r="H13" i="8"/>
  <c r="AR14" i="8"/>
  <c r="AR6" i="8"/>
  <c r="AR5" i="8"/>
  <c r="AR4" i="8"/>
  <c r="H17" i="8"/>
  <c r="H14" i="8"/>
  <c r="H7" i="9"/>
  <c r="J16" i="4"/>
  <c r="J15" i="4"/>
  <c r="J14" i="4"/>
  <c r="J13" i="4"/>
  <c r="J12" i="4"/>
  <c r="J11" i="4"/>
  <c r="J10" i="4"/>
  <c r="J9" i="4"/>
  <c r="J8" i="4"/>
  <c r="J7" i="4"/>
  <c r="J6" i="4"/>
  <c r="J5" i="4"/>
  <c r="J4" i="4"/>
  <c r="J3" i="4"/>
  <c r="H6" i="8" l="1"/>
  <c r="H15" i="8"/>
  <c r="H4" i="8"/>
  <c r="H8" i="8"/>
  <c r="H18" i="8"/>
  <c r="H7" i="8"/>
  <c r="H16" i="8"/>
  <c r="H5" i="8"/>
  <c r="I15" i="5"/>
  <c r="I14" i="5"/>
  <c r="I13" i="5"/>
  <c r="I12" i="5"/>
  <c r="I11" i="5"/>
  <c r="I10" i="5"/>
  <c r="I8" i="5"/>
  <c r="I7" i="5"/>
  <c r="I6" i="5"/>
  <c r="I5" i="5"/>
  <c r="I4" i="5"/>
  <c r="I3" i="5"/>
  <c r="G13" i="8" l="1"/>
  <c r="F13" i="8"/>
  <c r="E13" i="8"/>
  <c r="D13" i="8"/>
  <c r="AQ14" i="8"/>
  <c r="AP14" i="8"/>
  <c r="AO14" i="8"/>
  <c r="AN14" i="8"/>
  <c r="AQ6" i="8"/>
  <c r="AQ5" i="8"/>
  <c r="AQ4" i="8"/>
  <c r="AP6" i="8"/>
  <c r="AP5" i="8"/>
  <c r="AP4" i="8"/>
  <c r="AO6" i="8"/>
  <c r="AO5" i="8"/>
  <c r="AO4" i="8"/>
  <c r="AN6" i="8"/>
  <c r="AN5" i="8"/>
  <c r="AN4" i="8"/>
  <c r="V6" i="8"/>
  <c r="V5" i="8"/>
  <c r="V4" i="8"/>
  <c r="G8" i="8" l="1"/>
  <c r="G17" i="8"/>
  <c r="G14" i="8"/>
  <c r="G15" i="8"/>
  <c r="G7" i="8"/>
  <c r="G16" i="8"/>
  <c r="G6" i="8"/>
  <c r="G5" i="8"/>
  <c r="G4" i="8"/>
  <c r="I9" i="5"/>
  <c r="K13" i="2"/>
  <c r="I13" i="2"/>
  <c r="G13" i="2"/>
  <c r="F17" i="8"/>
  <c r="E17" i="8"/>
  <c r="D17" i="8"/>
  <c r="D16" i="8" l="1"/>
  <c r="E14" i="8"/>
  <c r="D15" i="8"/>
  <c r="F14" i="8"/>
  <c r="E15" i="8"/>
  <c r="F15" i="8"/>
  <c r="E16" i="8"/>
  <c r="D14" i="8"/>
  <c r="C14" i="8" s="1"/>
  <c r="F16" i="8"/>
  <c r="F8" i="8"/>
  <c r="E8" i="8"/>
  <c r="D8" i="8"/>
  <c r="F7" i="8"/>
  <c r="U6" i="8"/>
  <c r="T6" i="8"/>
  <c r="S6" i="8"/>
  <c r="U5" i="8"/>
  <c r="T5" i="8"/>
  <c r="S5" i="8"/>
  <c r="U4" i="8"/>
  <c r="T4" i="8"/>
  <c r="S4" i="8"/>
  <c r="F6" i="8" l="1"/>
  <c r="F4" i="8"/>
  <c r="D6" i="8"/>
  <c r="F5" i="8"/>
  <c r="E5" i="8"/>
  <c r="D4" i="8"/>
  <c r="D7" i="8"/>
  <c r="E6" i="8"/>
  <c r="E7" i="8"/>
  <c r="E4" i="8"/>
  <c r="D5"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tc={26ABAE71-7F47-412C-9D76-B919F30257D3}</author>
    <author>tc={58B53789-448A-45B7-87FB-CAD0DE11C8E1}</author>
    <author>tc={8E5CD040-F869-42A5-9763-28E64BD91239}</author>
  </authors>
  <commentList>
    <comment ref="K7" authorId="0" shapeId="0" xr:uid="{26ABAE71-7F47-412C-9D76-B919F30257D3}">
      <text>
        <t>[Threaded comment]
Your version of Excel allows you to read this threaded comment; however, any edits to it will get removed if the file is opened in a newer version of Excel. Learn more: https://go.microsoft.com/fwlink/?linkid=870924
Comment:
    The Code Review label was not included in the Git tasks for code reviews during this sprint. Starting in October, this label will be added to track code review metrics.</t>
      </text>
    </comment>
    <comment ref="L7" authorId="1" shapeId="0" xr:uid="{58B53789-448A-45B7-87FB-CAD0DE11C8E1}">
      <text>
        <t>[Threaded comment]
Your version of Excel allows you to read this threaded comment; however, any edits to it will get removed if the file is opened in a newer version of Excel. Learn more: https://go.microsoft.com/fwlink/?linkid=870924
Comment:
    The Code Review label was not included in the Git tasks for code reviews during this sprint. Starting in October, this label will be added to track code review metrics.</t>
      </text>
    </comment>
    <comment ref="M7" authorId="2" shapeId="0" xr:uid="{8E5CD040-F869-42A5-9763-28E64BD91239}">
      <text>
        <t>[Threaded comment]
Your version of Excel allows you to read this threaded comment; however, any edits to it will get removed if the file is opened in a newer version of Excel. Learn more: https://go.microsoft.com/fwlink/?linkid=870924
Comment:
    The Code Review label was not included in the Git tasks for code reviews during this sprint. Starting in October, this label will be added to track code review metrics.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tc={45309997-2B1F-4BD9-8055-10B5894A7A4B}</author>
    <author>tc={77DBE0C5-E944-46DF-A122-B47C27D5707B}</author>
    <author>tc={3E1C56E0-0754-4A1D-B923-1C5C739136B0}</author>
  </authors>
  <commentList>
    <comment ref="L4" authorId="0" shapeId="0" xr:uid="{45309997-2B1F-4BD9-8055-10B5894A7A4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@Muruganandham Jayapal , Need splits 
how this % is derived
Reply:
    Effort Adherence = (Actual Hours Tracked in IFS / Base Line Hours) * 100 
Baseline hours : 690
Reply:
    This is wrong formula. The correct formula is Effort Adherence = No of Epics / stories delivered within estimated effort / Total number of epics / stories delivered
Reply:
    @Muruganandham Jayapal  - Pls correct this ASAP</t>
      </text>
    </comment>
    <comment ref="M4" authorId="1" shapeId="0" xr:uid="{77DBE0C5-E944-46DF-A122-B47C27D5707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@Muruganandham Jayapal , Need splits 
how this % is derived
Reply:
    Effort Adherence = (Actual Hours Tracked in IFS / Base Line Hours) * 100 
Baseline hours : 690
Reply:
    This is wrong formula. The correct formula is Effort Adherence = No of Epics / stories delivered within estimated effort / Total number of epics / stories delivered
Reply:
    @Muruganandham Jayapal  - Pls correct this ASAP</t>
      </text>
    </comment>
    <comment ref="N4" authorId="2" shapeId="0" xr:uid="{3E1C56E0-0754-4A1D-B923-1C5C739136B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@Muruganandham Jayapal , Need splits 
how this % is derived
Reply:
    Effort Adherence = (Actual Hours Tracked in IFS / Base Line Hours) * 100 
Baseline hours : 690
Reply:
    This is wrong formula. The correct formula is Effort Adherence = No of Epics / stories delivered within estimated effort / Total number of epics / stories delivered
Reply:
    @Muruganandham Jayapal  - Pls correct this ASAP</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Sivakumar Moorthy</author>
  </authors>
  <commentList>
    <comment ref="J9" authorId="0" shapeId="0" xr:uid="{628C638A-23D0-44F0-A870-0671BBE53703}">
      <text>
        <r>
          <rPr>
            <b/>
            <sz val="9"/>
            <color indexed="81"/>
            <rFont val="Tahoma"/>
            <family val="2"/>
          </rPr>
          <t>Sivakumar Moorthy:</t>
        </r>
        <r>
          <rPr>
            <sz val="9"/>
            <color indexed="81"/>
            <rFont val="Tahoma"/>
            <family val="2"/>
          </rPr>
          <t xml:space="preserve">
Model Accuracy will be measured from Q2 (Oct 2025)</t>
        </r>
      </text>
    </comment>
    <comment ref="K9" authorId="0" shapeId="0" xr:uid="{5E24EA7C-3C02-481A-9AA6-9F1F54BD7586}">
      <text>
        <r>
          <rPr>
            <b/>
            <sz val="9"/>
            <color indexed="81"/>
            <rFont val="Tahoma"/>
            <family val="2"/>
          </rPr>
          <t>Sivakumar Moorthy:</t>
        </r>
        <r>
          <rPr>
            <sz val="9"/>
            <color indexed="81"/>
            <rFont val="Tahoma"/>
            <family val="2"/>
          </rPr>
          <t xml:space="preserve">
Model Accuracy will be measured from Q2 (Oct 2025)</t>
        </r>
      </text>
    </comment>
    <comment ref="L9" authorId="0" shapeId="0" xr:uid="{ADBB544C-254B-4BB9-9567-E2CE5C3293E8}">
      <text>
        <r>
          <rPr>
            <b/>
            <sz val="9"/>
            <color indexed="81"/>
            <rFont val="Tahoma"/>
            <family val="2"/>
          </rPr>
          <t>Sivakumar Moorthy:</t>
        </r>
        <r>
          <rPr>
            <sz val="9"/>
            <color indexed="81"/>
            <rFont val="Tahoma"/>
            <family val="2"/>
          </rPr>
          <t xml:space="preserve">
Model Accuracy will be measured from Q2 (Oct 2025)</t>
        </r>
      </text>
    </comment>
    <comment ref="J10" authorId="0" shapeId="0" xr:uid="{A16A6A77-59D7-4768-BB7A-5920F0AF8F1D}">
      <text>
        <r>
          <rPr>
            <b/>
            <sz val="9"/>
            <color indexed="81"/>
            <rFont val="Tahoma"/>
            <family val="2"/>
          </rPr>
          <t>Sivakumar Moorthy:</t>
        </r>
        <r>
          <rPr>
            <sz val="9"/>
            <color indexed="81"/>
            <rFont val="Tahoma"/>
            <family val="2"/>
          </rPr>
          <t xml:space="preserve">
Model Accuracy will be measured from Q2 (Oct 2025)</t>
        </r>
      </text>
    </comment>
    <comment ref="K10" authorId="0" shapeId="0" xr:uid="{4052BED7-3454-4DD7-A80F-B05D7BA47E76}">
      <text>
        <r>
          <rPr>
            <b/>
            <sz val="9"/>
            <color indexed="81"/>
            <rFont val="Tahoma"/>
            <family val="2"/>
          </rPr>
          <t>Sivakumar Moorthy:</t>
        </r>
        <r>
          <rPr>
            <sz val="9"/>
            <color indexed="81"/>
            <rFont val="Tahoma"/>
            <family val="2"/>
          </rPr>
          <t xml:space="preserve">
Model Accuracy will be measured from Q2 (Oct 2025)</t>
        </r>
      </text>
    </comment>
    <comment ref="L10" authorId="0" shapeId="0" xr:uid="{80E2C641-361F-4F81-8C6C-503E075EFDB2}">
      <text>
        <r>
          <rPr>
            <b/>
            <sz val="9"/>
            <color indexed="81"/>
            <rFont val="Tahoma"/>
            <family val="2"/>
          </rPr>
          <t>Sivakumar Moorthy:</t>
        </r>
        <r>
          <rPr>
            <sz val="9"/>
            <color indexed="81"/>
            <rFont val="Tahoma"/>
            <family val="2"/>
          </rPr>
          <t xml:space="preserve">
Model Accuracy will be measured from Q2 (Oct 2025)</t>
        </r>
      </text>
    </comment>
    <comment ref="J11" authorId="0" shapeId="0" xr:uid="{907F7A3D-DB23-4FA8-9EDD-EDF58E5F5E48}">
      <text>
        <r>
          <rPr>
            <b/>
            <sz val="9"/>
            <color indexed="81"/>
            <rFont val="Tahoma"/>
            <family val="2"/>
          </rPr>
          <t>Sivakumar Moorthy:</t>
        </r>
        <r>
          <rPr>
            <sz val="9"/>
            <color indexed="81"/>
            <rFont val="Tahoma"/>
            <family val="2"/>
          </rPr>
          <t xml:space="preserve">
Model Drift Detection KPI will be measured from Q2 (Oct 2025)</t>
        </r>
      </text>
    </comment>
    <comment ref="K11" authorId="0" shapeId="0" xr:uid="{D560A4F2-2BCF-470A-A019-B4DD870B1005}">
      <text>
        <r>
          <rPr>
            <b/>
            <sz val="9"/>
            <color indexed="81"/>
            <rFont val="Tahoma"/>
            <family val="2"/>
          </rPr>
          <t>Sivakumar Moorthy:</t>
        </r>
        <r>
          <rPr>
            <sz val="9"/>
            <color indexed="81"/>
            <rFont val="Tahoma"/>
            <family val="2"/>
          </rPr>
          <t xml:space="preserve">
Model Drift Detection KPI will be measured from Q2 (Oct 2025)</t>
        </r>
      </text>
    </comment>
    <comment ref="L11" authorId="0" shapeId="0" xr:uid="{CA2DE54C-662A-4E51-B2CE-F2F60E2BFA1F}">
      <text>
        <r>
          <rPr>
            <b/>
            <sz val="9"/>
            <color indexed="81"/>
            <rFont val="Tahoma"/>
            <family val="2"/>
          </rPr>
          <t>Sivakumar Moorthy:</t>
        </r>
        <r>
          <rPr>
            <sz val="9"/>
            <color indexed="81"/>
            <rFont val="Tahoma"/>
            <family val="2"/>
          </rPr>
          <t xml:space="preserve">
Model Drift Detection KPI will be measured from Q2 (Oct 2025)</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Sivakumar Moorthy</author>
  </authors>
  <commentList>
    <comment ref="I8" authorId="0" shapeId="0" xr:uid="{86B5CF3D-A01F-4E64-A5E1-76A16AC96211}">
      <text>
        <r>
          <rPr>
            <b/>
            <sz val="9"/>
            <color indexed="81"/>
            <rFont val="Tahoma"/>
            <family val="2"/>
          </rPr>
          <t>Sivakumar Moorthy:</t>
        </r>
        <r>
          <rPr>
            <sz val="9"/>
            <color indexed="81"/>
            <rFont val="Tahoma"/>
            <family val="2"/>
          </rPr>
          <t xml:space="preserve">
Identified gaps in existing Goodman process due to data inconsistency. Estimate provided to enhance and fill these gaps.
</t>
        </r>
      </text>
    </comment>
    <comment ref="I9" authorId="0" shapeId="0" xr:uid="{11575867-6072-46C1-87AA-CDA7E8556529}">
      <text>
        <r>
          <rPr>
            <b/>
            <sz val="9"/>
            <color indexed="81"/>
            <rFont val="Tahoma"/>
            <family val="2"/>
          </rPr>
          <t>Sivakumar Moorthy:</t>
        </r>
        <r>
          <rPr>
            <sz val="9"/>
            <color indexed="81"/>
            <rFont val="Tahoma"/>
            <family val="2"/>
          </rPr>
          <t xml:space="preserve">
Identified gaps in existing Goodman process due to data inconsistency. Estimate provided to enhance and fill these gaps.
</t>
        </r>
      </text>
    </comment>
    <comment ref="I10" authorId="0" shapeId="0" xr:uid="{3C29060B-D32C-46C0-B4EA-8FBC2DFF8084}">
      <text>
        <r>
          <rPr>
            <b/>
            <sz val="9"/>
            <color indexed="81"/>
            <rFont val="Tahoma"/>
            <family val="2"/>
          </rPr>
          <t>Sivakumar Moorthy:</t>
        </r>
        <r>
          <rPr>
            <sz val="9"/>
            <color indexed="81"/>
            <rFont val="Tahoma"/>
            <family val="2"/>
          </rPr>
          <t xml:space="preserve">
Identified gaps in existing Goodman process due to data inconsistency. Estimate provided to enhance and fill these gaps.
</t>
        </r>
      </text>
    </comment>
  </commentList>
</comments>
</file>

<file path=xl/sharedStrings.xml><?xml version="1.0" encoding="utf-8"?>
<sst xmlns="http://schemas.openxmlformats.org/spreadsheetml/2006/main" count="1060" uniqueCount="290">
  <si>
    <t>Ocean</t>
  </si>
  <si>
    <t>Data</t>
  </si>
  <si>
    <t>Cap</t>
  </si>
  <si>
    <t>Phoenix</t>
  </si>
  <si>
    <t>Custom</t>
  </si>
  <si>
    <t>Category of Metric</t>
  </si>
  <si>
    <t>KPI Metric</t>
  </si>
  <si>
    <t>YTD</t>
  </si>
  <si>
    <t>Jul_2025</t>
  </si>
  <si>
    <t>Aug_2025</t>
  </si>
  <si>
    <t>Sep_2025</t>
  </si>
  <si>
    <t>Oct_2025</t>
  </si>
  <si>
    <t>Nov_2025</t>
  </si>
  <si>
    <t>Dec_2025</t>
  </si>
  <si>
    <t>Remarks</t>
  </si>
  <si>
    <t>Project Delivery Commitment</t>
  </si>
  <si>
    <t>Schedule Adherence</t>
  </si>
  <si>
    <t>Effort Adherence</t>
  </si>
  <si>
    <t>First Time Right Metric</t>
  </si>
  <si>
    <t>Development Efficiency</t>
  </si>
  <si>
    <t>Sprint Velocity</t>
  </si>
  <si>
    <t>Code Review Coverage</t>
  </si>
  <si>
    <t>Effort Throughput 
(Estimated Effort of Stories Delivered to PQA)</t>
  </si>
  <si>
    <t>KPI available for Ocean Team alone</t>
  </si>
  <si>
    <t xml:space="preserve"> </t>
  </si>
  <si>
    <t>Code Review Compliance 
(Tracks the number of merge commits submitted by developers versus those reviewed and approved)</t>
  </si>
  <si>
    <t>Speed of Development</t>
  </si>
  <si>
    <t>Cycle time to Completion
(Measures time from development start to completion)</t>
  </si>
  <si>
    <t>Quality of Work</t>
  </si>
  <si>
    <t>Defects per Epic / Story
(Number of defects per epic or story)</t>
  </si>
  <si>
    <t>Customer Satisfaction Score</t>
  </si>
  <si>
    <t>Utilization Efficiency</t>
  </si>
  <si>
    <t>Resource Utilization</t>
  </si>
  <si>
    <t>Attrition in the team</t>
  </si>
  <si>
    <t>Innovation / Team Proactiveness</t>
  </si>
  <si>
    <t>New ideas generated to improve the Product</t>
  </si>
  <si>
    <t>This KPI available for Phoneix &amp; CAPTeam alone</t>
  </si>
  <si>
    <t>Acceptance rate of submitted ideas / proposals</t>
  </si>
  <si>
    <t>Stakeholder Feedback</t>
  </si>
  <si>
    <t>Qualitative Comments / Feedback received during the monthly Retrospective sessions with stakeholders</t>
  </si>
  <si>
    <t>Survey Not Initiated</t>
  </si>
  <si>
    <t>Ocean team doesnot have Attriition details</t>
  </si>
  <si>
    <t>Category</t>
  </si>
  <si>
    <t>Key Performance Indicator</t>
  </si>
  <si>
    <t>unit</t>
  </si>
  <si>
    <t>KPI</t>
  </si>
  <si>
    <t>Epic Level Details</t>
  </si>
  <si>
    <t>Performance Result</t>
  </si>
  <si>
    <t>Project Delivery</t>
  </si>
  <si>
    <r>
      <rPr>
        <b/>
        <sz val="11"/>
        <color rgb="FF000000"/>
        <rFont val="Aptos Narrow"/>
        <family val="2"/>
      </rPr>
      <t xml:space="preserve">Schedule Adherence
</t>
    </r>
    <r>
      <rPr>
        <sz val="11"/>
        <color rgb="FF000000"/>
        <rFont val="Aptos Narrow"/>
        <family val="2"/>
      </rPr>
      <t>(% of Stories delivered within the committed timeline)</t>
    </r>
  </si>
  <si>
    <t>percentage</t>
  </si>
  <si>
    <t>19
(Stories delivered to PQA)</t>
  </si>
  <si>
    <t>15
(Stories delivered to PQA)</t>
  </si>
  <si>
    <t>16
(Stories delivered to PQA)</t>
  </si>
  <si>
    <t>10
(Stories delivered to PQA)</t>
  </si>
  <si>
    <t>8
(Stories delivered to PQA)</t>
  </si>
  <si>
    <r>
      <rPr>
        <b/>
        <sz val="11"/>
        <color rgb="FF000000"/>
        <rFont val="Aptos Narrow"/>
        <family val="2"/>
      </rPr>
      <t xml:space="preserve">Effort Adherence
</t>
    </r>
    <r>
      <rPr>
        <sz val="11"/>
        <color rgb="FF000000"/>
        <rFont val="Aptos Narrow"/>
        <family val="2"/>
      </rPr>
      <t>(% of Stories delivered within the originally estimated efforts)</t>
    </r>
  </si>
  <si>
    <r>
      <rPr>
        <b/>
        <sz val="11"/>
        <color theme="1"/>
        <rFont val="Aptos Narrow"/>
        <family val="2"/>
      </rPr>
      <t>First Time Right</t>
    </r>
    <r>
      <rPr>
        <sz val="11"/>
        <color theme="1"/>
        <rFont val="Aptos Narrow"/>
        <family val="2"/>
      </rPr>
      <t xml:space="preserve">
(% of work delivered with minimal rework)</t>
    </r>
  </si>
  <si>
    <t>6
(Stories deployed to production)</t>
  </si>
  <si>
    <t>8
(Stories deployed to production)</t>
  </si>
  <si>
    <t>24
(Stories deployed to production)</t>
  </si>
  <si>
    <t>13
(Stories deployed to production)</t>
  </si>
  <si>
    <t>15
(Stories deployed to production)</t>
  </si>
  <si>
    <r>
      <rPr>
        <b/>
        <sz val="11"/>
        <color theme="1"/>
        <rFont val="Aptos Narrow"/>
        <family val="2"/>
      </rPr>
      <t>Effort Throughput</t>
    </r>
    <r>
      <rPr>
        <sz val="11"/>
        <color theme="1"/>
        <rFont val="Aptos Narrow"/>
        <family val="2"/>
      </rPr>
      <t xml:space="preserve">
(Estimated Effort of Stories Delivered to PQA)</t>
    </r>
  </si>
  <si>
    <t>Hours</t>
  </si>
  <si>
    <t>19
 (Stories delivered to PQA)</t>
  </si>
  <si>
    <t>15
 (Stories delivered to PQA)</t>
  </si>
  <si>
    <t>16
 (Stories delivered to PQA)</t>
  </si>
  <si>
    <t>10
 (Stories delivered to PQA)</t>
  </si>
  <si>
    <t>8
 (Stories delivered to PQA)</t>
  </si>
  <si>
    <r>
      <rPr>
        <b/>
        <sz val="11"/>
        <color theme="1"/>
        <rFont val="Aptos Narrow"/>
        <family val="2"/>
      </rPr>
      <t>Code Review Compliance</t>
    </r>
    <r>
      <rPr>
        <sz val="11"/>
        <color theme="1"/>
        <rFont val="Aptos Narrow"/>
        <family val="2"/>
      </rPr>
      <t xml:space="preserve">
(Tracks the number of merge commits submitted by developers versus those reviewed and approved)</t>
    </r>
  </si>
  <si>
    <t>Speed of development</t>
  </si>
  <si>
    <r>
      <rPr>
        <b/>
        <sz val="11"/>
        <color theme="1"/>
        <rFont val="Aptos Narrow"/>
        <family val="2"/>
      </rPr>
      <t>Cycle time to Completion</t>
    </r>
    <r>
      <rPr>
        <sz val="11"/>
        <color theme="1"/>
        <rFont val="Aptos Narrow"/>
        <family val="2"/>
      </rPr>
      <t xml:space="preserve">
(Measures time from development start to completion)</t>
    </r>
  </si>
  <si>
    <t>days</t>
  </si>
  <si>
    <t>6
(Stories deployed to prod)</t>
  </si>
  <si>
    <t>8
(Stories deployed to prod)</t>
  </si>
  <si>
    <t>13
(Stories deployed to prod)</t>
  </si>
  <si>
    <t>15
(Stories deployed to prod)</t>
  </si>
  <si>
    <t>9 stories belonged to Image Changes were worked from April 10th. The requirement ment for these came in bits and pieces</t>
  </si>
  <si>
    <r>
      <rPr>
        <b/>
        <sz val="11"/>
        <color theme="1"/>
        <rFont val="Aptos Narrow"/>
        <family val="2"/>
      </rPr>
      <t>Cycle time to PQA</t>
    </r>
    <r>
      <rPr>
        <sz val="11"/>
        <color theme="1"/>
        <rFont val="Aptos Narrow"/>
        <family val="2"/>
      </rPr>
      <t xml:space="preserve">
(Measures time from development start to PQA readiness)</t>
    </r>
  </si>
  <si>
    <t xml:space="preserve"> 19
(Stories delivered to PQA)</t>
  </si>
  <si>
    <t xml:space="preserve"> 15
(Stories delivered to PQA)</t>
  </si>
  <si>
    <t xml:space="preserve"> 10
(Stories delivered to PQA)</t>
  </si>
  <si>
    <t xml:space="preserve"> 8
(Stories delivered to PQA)</t>
  </si>
  <si>
    <t>Quality of work</t>
  </si>
  <si>
    <r>
      <rPr>
        <b/>
        <sz val="11"/>
        <color rgb="FF000000"/>
        <rFont val="Aptos Narrow"/>
        <family val="2"/>
      </rPr>
      <t xml:space="preserve">Defects per Epic / Story
</t>
    </r>
    <r>
      <rPr>
        <sz val="11"/>
        <color rgb="FF000000"/>
        <rFont val="Aptos Narrow"/>
        <family val="2"/>
      </rPr>
      <t>(Number of defects per epic or story)</t>
    </r>
  </si>
  <si>
    <t>bug per Epic</t>
  </si>
  <si>
    <t>9
(Stories deployed to prod)</t>
  </si>
  <si>
    <t xml:space="preserve">
(Stories deployed to prod)</t>
  </si>
  <si>
    <t>6 bugs were found.</t>
  </si>
  <si>
    <t>Utilization</t>
  </si>
  <si>
    <t>Ocean's Utilization</t>
  </si>
  <si>
    <t>New Solutions</t>
  </si>
  <si>
    <t>Number of new solutions suggested by Ocean</t>
  </si>
  <si>
    <t>1. Suggested Stability AI for implementing Image generation in eCards
2. Sugested and Demostrated Test Rigor.
3. Different Toold for Wcag</t>
  </si>
  <si>
    <t>🟢Possitive Feedback</t>
  </si>
  <si>
    <t>Applicable</t>
  </si>
  <si>
    <t>Measure</t>
  </si>
  <si>
    <t>Unit</t>
  </si>
  <si>
    <t>Benchmark</t>
  </si>
  <si>
    <t>Target Score</t>
  </si>
  <si>
    <t>Score</t>
  </si>
  <si>
    <t>Yes</t>
  </si>
  <si>
    <t>(% of Stories delivered within the committed timeline)</t>
  </si>
  <si>
    <t>N/A</t>
  </si>
  <si>
    <t>19 (Stories delivered to PQA)</t>
  </si>
  <si>
    <t>15 (Stories delivered to PQA)</t>
  </si>
  <si>
    <t>16 (Stories delivered to PQA)</t>
  </si>
  <si>
    <t>10 (Stories delivered to PQA)</t>
  </si>
  <si>
    <t>8 (Stories delivered to PQA)</t>
  </si>
  <si>
    <t>3 (Stories delivered to PQA)</t>
  </si>
  <si>
    <t>(% of Stories delivered within the originally estimated efforts)</t>
  </si>
  <si>
    <t>First Time Right</t>
  </si>
  <si>
    <t>(% of work delivered with minimal rework)</t>
  </si>
  <si>
    <t>6 (Stories deployed to production)</t>
  </si>
  <si>
    <t>8 (Stories deployed to production)</t>
  </si>
  <si>
    <t>24 (Stories deployed to production)</t>
  </si>
  <si>
    <t>13 (Stories deployed to production)</t>
  </si>
  <si>
    <t>15 (Stories deployed to production)</t>
  </si>
  <si>
    <t>4 (Stories deployed to production)</t>
  </si>
  <si>
    <t>Effort Throughput</t>
  </si>
  <si>
    <t>(Estimated Effort of Stories Delivered to PQA)</t>
  </si>
  <si>
    <t>19  (Stories delivered to PQA)</t>
  </si>
  <si>
    <t>15  (Stories delivered to PQA)</t>
  </si>
  <si>
    <t>16  (Stories delivered to PQA)</t>
  </si>
  <si>
    <t>10  (Stories delivered to PQA)</t>
  </si>
  <si>
    <t>8  (Stories delivered to PQA)</t>
  </si>
  <si>
    <t>3  (Stories delivered to PQA)</t>
  </si>
  <si>
    <t>Code Review Compliance</t>
  </si>
  <si>
    <t>(Tracks the number of merge commits submitted by developers versus those reviewed and approved)</t>
  </si>
  <si>
    <t>Time to Market</t>
  </si>
  <si>
    <t>No</t>
  </si>
  <si>
    <t>Cycle time to Completion</t>
  </si>
  <si>
    <t>(Measures time from development start to completion)</t>
  </si>
  <si>
    <t>6 (Stories deployed to prod)</t>
  </si>
  <si>
    <t>8 (Stories deployed to prod)</t>
  </si>
  <si>
    <t>13 (Stories deployed to prod)</t>
  </si>
  <si>
    <t>15 (Stories deployed to prod)</t>
  </si>
  <si>
    <t>4 (Stories deployed to prod)</t>
  </si>
  <si>
    <t>Cycle time to PQA</t>
  </si>
  <si>
    <t>(Measures time from development start to PQA readiness)</t>
  </si>
  <si>
    <t xml:space="preserve"> 15 (Stories delivered to PQA)</t>
  </si>
  <si>
    <t xml:space="preserve"> 8 (Stories delivered to PQA)</t>
  </si>
  <si>
    <t xml:space="preserve"> 3 (Stories delivered to PQA)</t>
  </si>
  <si>
    <t>Non-Functional Cycle Time of completion</t>
  </si>
  <si>
    <t>Defects per Epic / Story</t>
  </si>
  <si>
    <t>(Number of defects per epic or story)</t>
  </si>
  <si>
    <t>9 (Stories deployed to prod)</t>
  </si>
  <si>
    <t>(Stories deployed to prod)</t>
  </si>
  <si>
    <t>Attrition</t>
  </si>
  <si>
    <t>Number of new solutions/ideas suggested</t>
  </si>
  <si>
    <t>Possitive Feedback</t>
  </si>
  <si>
    <t>Calculation Measure</t>
  </si>
  <si>
    <t>Inputs</t>
  </si>
  <si>
    <t>Benchmark*</t>
  </si>
  <si>
    <t>Red / Amber / Green Status</t>
  </si>
  <si>
    <t>Achieved Score</t>
  </si>
  <si>
    <t>FY26 YTD</t>
  </si>
  <si>
    <t>July, 2025</t>
  </si>
  <si>
    <t>Aug, 2025</t>
  </si>
  <si>
    <t>Sep, 2025</t>
  </si>
  <si>
    <t>Oct, 2025</t>
  </si>
  <si>
    <t>Nov, 2025</t>
  </si>
  <si>
    <t>Dec, 2025</t>
  </si>
  <si>
    <t>Jan, 2026</t>
  </si>
  <si>
    <t>Feb, 2026</t>
  </si>
  <si>
    <t>Mar, 2026</t>
  </si>
  <si>
    <t>Apr, 2026</t>
  </si>
  <si>
    <t>May, 2026</t>
  </si>
  <si>
    <t>June, 2026</t>
  </si>
  <si>
    <t>Tasks delivered as per committed schedule /  Tasks delivered</t>
  </si>
  <si>
    <t>1. Actual Date = Date when the acceptance ticket is closed
2. Committed Date = Due Date for the Acceptance Ticket</t>
  </si>
  <si>
    <t>Projects are driven from US, estimate and timelines are prposed by GTS (Alignment betwee US and GTS on Project timelines)</t>
  </si>
  <si>
    <r>
      <t xml:space="preserve">Tasks delivered as per committed schedule / </t>
    </r>
    <r>
      <rPr>
        <sz val="11"/>
        <color theme="1"/>
        <rFont val="Aptos Narrow"/>
        <family val="2"/>
        <scheme val="minor"/>
      </rPr>
      <t>T</t>
    </r>
    <r>
      <rPr>
        <sz val="11"/>
        <rFont val="Aptos Narrow"/>
        <family val="2"/>
        <scheme val="minor"/>
      </rPr>
      <t>asks delivered</t>
    </r>
  </si>
  <si>
    <t>1. Actual Effort = Actual Effort of each issue ticket corresponding to the Epic that was delivered for PQA
2. Committed Effort = Planned Effort for each issue tickets corresponding to the Epic that was delivered for PQA</t>
  </si>
  <si>
    <t>% of all Prod movements where there were no Severity 1 and Severity 2 defects found in 4 weeks post delivery in Production Environment</t>
  </si>
  <si>
    <t>1. CR beyond 40 hours 
2. CR Label to have "Reopen"
3. No Critical/High bugs post Product Release</t>
  </si>
  <si>
    <t>Total Effort (or) Points of Delivered Stories / Total Effort (or) Points of planned Stories</t>
  </si>
  <si>
    <t>1. You need a list of all issues closed during the calendar month.
2.Total efforts from the issues closed/ Total planned effort from all the issues closed</t>
  </si>
  <si>
    <t>Team-specific; consistency over time is key
New Scrum Team	5-10 story points per person
Typical Scrum Team	30-50 story points (total team)</t>
  </si>
  <si>
    <t>Total Code Reviewed by Specialist (preferred) or lead developer / Total Code committed</t>
  </si>
  <si>
    <t>70%–90% code coverage is generally considered good. 80% is general standard adopted by organizations</t>
  </si>
  <si>
    <t xml:space="preserve">Time to market </t>
  </si>
  <si>
    <t>Average Days from Requirements identification to market deployment</t>
  </si>
  <si>
    <t>1. From Date - Project approved
2. Date of Product release
3. Average of all of them</t>
  </si>
  <si>
    <t>Varies widely; for software, TTM can range from 6 months to several years depending on complexity'</t>
  </si>
  <si>
    <t>Template to capture (Project/CRs Identified, approved timestamp, planning started, development initiated, closure)</t>
  </si>
  <si>
    <t>Cycle Time to completion</t>
  </si>
  <si>
    <t>Average Days from Development initiation to deployment for feature development / enhancements to PQA</t>
  </si>
  <si>
    <t>1. For each, Closed date - Created date
2. Average of all of them</t>
  </si>
  <si>
    <t>45-60 days. Important to keep the feature size such that in 2 months turnaround, features are developed and delivered</t>
  </si>
  <si>
    <t>Average days from non-functional requirement identification to deployment to production</t>
  </si>
  <si>
    <t>Specific to product ugprades, patches, etc.,
1. For each, closed date - created date
2. Average of all of them</t>
  </si>
  <si>
    <t>75-90 days</t>
  </si>
  <si>
    <t>Average Score from Customer Satisfaction Surveys</t>
  </si>
  <si>
    <t>Average Customer satisfaction score</t>
  </si>
  <si>
    <t>74% - 78% depending on the survey questions and rating scale adopted</t>
  </si>
  <si>
    <t>Total number of project hours / Total number of inventory hours</t>
  </si>
  <si>
    <t>1. Total Inventory Hours
2. Individual business productivity hours</t>
  </si>
  <si>
    <t>Number of project associates with lesser than 12 months of experience in the project / Total number of associates in the project</t>
  </si>
  <si>
    <t>Associates left the organization with the fiscal year</t>
  </si>
  <si>
    <t>&lt; 15%</t>
  </si>
  <si>
    <t>Number of Proposals presented to Product Management team on improvement in Development Process / Features / technology stack</t>
  </si>
  <si>
    <t>1. New ideas to improve workflow/feature/process
2. Should be approved by India Business stakeholders</t>
  </si>
  <si>
    <t>Total number of accepted proposals / total number of proposals submitted</t>
  </si>
  <si>
    <t>Total submitted and Total Approved</t>
  </si>
  <si>
    <t>Typical Areas of retrospective
1. Communication effectiveness
2. Quality of Deliverables
3. Quality of clarifications raised during understanding of requirement phase etc..</t>
  </si>
  <si>
    <t>Quarterly Feedback during stakeholder connect
1. Feedback consolidated for a year</t>
  </si>
  <si>
    <t>Tasks delivered as per committed schedule/Tasks delivered</t>
  </si>
  <si>
    <t>Total Epics (or) Stories delivered as per committed schedule / Total Epics (or) stories delivered</t>
  </si>
  <si>
    <t>1. You need a list of all stories updated during the calendar month
2. 'type = acceptance' to derive the epics that is delivered for PQA
3. Distrinct (epic_iids) with type=acceptance and the epic_iid is not yet closed indicates the total number of epics delivered for PQA
4. Actual Date = Date when the acceptance ticket is closed
5. Committed Date = Due Date for the Acceptance Ticket</t>
  </si>
  <si>
    <t>95% +</t>
  </si>
  <si>
    <t>GREEN</t>
  </si>
  <si>
    <t>Total Epics (or) Stories delivered as per committed Effort / Total Epics (or) stories delivered</t>
  </si>
  <si>
    <t>1. You need a list of all stories updated during the calendar month
2. 'type = acceptance' to derive the epics that is delivered for PQA
3. Distrinct (epic_iids) with type=acceptance and the epic_iid is not yet closed indicates the total number of epics delivered for PQA
4. Actual Effort = Actual Effort of each issue ticket corresponding to the Epic that was delivered for PQA
5. Committed Effort = Planned Effort for each issue tickets corresponding to the Epic that was delivered for PQA</t>
  </si>
  <si>
    <t>90% - 95%</t>
  </si>
  <si>
    <t>AMBER</t>
  </si>
  <si>
    <t>% of all PPRD / Prod movements where there were no Severity 1 and Severity 2 defects found in 4 weeks post delivery in PPRD or Prod</t>
  </si>
  <si>
    <t>1. EL = Story that is also completed alone is considered
2. Epic_iid = (1) and then type = Bug, find the actual effort spent
3. Epic_iid = (1) and then Type != Bug, find the total effort spent
4. FTR = 1 - {(2)/(3)}</t>
  </si>
  <si>
    <t>Code Review and Merge is calculated  git lab MR review process</t>
  </si>
  <si>
    <t>1. You need a list of all stories closed during the calendar month
2. 'type = acceptance' to derive the epics that is delivered for PQA
3. For each, Epic's Closed date -  Created date
4. Average of all of them</t>
  </si>
  <si>
    <t>TBD</t>
  </si>
  <si>
    <t>Current GIT Tickets have age greated than 1 year and are being prioritized based on business needs. Need to discuss with Roshni on it</t>
  </si>
  <si>
    <t>Defect Leakage</t>
  </si>
  <si>
    <t>Total Defects post-release to PQA/PROD  / Total number of Epics / Stories delivered</t>
  </si>
  <si>
    <t>1. List of all the issues with type ="bug" closed in given month where author =Andy
2.  List of all the issues with type ="bug" closed in given month where author =Andy + List of all the issues with type ="bug" closed in given month where author =Suganya
3. Calculate {1}/{2}</t>
  </si>
  <si>
    <t>5% - 10% are considered good benchmarks</t>
  </si>
  <si>
    <t>NA</t>
  </si>
  <si>
    <t>65% -75%</t>
  </si>
  <si>
    <t>No Attrition</t>
  </si>
  <si>
    <t>1 per quarter</t>
  </si>
  <si>
    <t>A total of 8 innovative ideas have been identified, focusing on automation, AI-driven intelligence, and system reliability.(Refer Ideas Sheet)</t>
  </si>
  <si>
    <t>Atleast 1 accepted in the year</t>
  </si>
  <si>
    <t>To be fillded based on Product Retrospective based on live Phoenix Onboarding from Delivery Team</t>
  </si>
  <si>
    <t>&lt;15%</t>
  </si>
  <si>
    <t>&lt;10%</t>
  </si>
  <si>
    <t>Issue Ticket Details</t>
  </si>
  <si>
    <t>Product Delivery (US Delivery / India International Delivery)</t>
  </si>
  <si>
    <r>
      <t xml:space="preserve">Schedule Adherence
</t>
    </r>
    <r>
      <rPr>
        <sz val="11"/>
        <color rgb="FF000000"/>
        <rFont val="Aptos Narrow"/>
        <family val="2"/>
      </rPr>
      <t>( Tickets Delivered on the planned scheduled date and time )</t>
    </r>
  </si>
  <si>
    <r>
      <rPr>
        <b/>
        <sz val="11"/>
        <color rgb="FF000000"/>
        <rFont val="Aptos Narrow"/>
        <family val="2"/>
      </rPr>
      <t xml:space="preserve">Effort Adherence
</t>
    </r>
    <r>
      <rPr>
        <sz val="11"/>
        <color rgb="FF000000"/>
        <rFont val="Aptos Narrow"/>
        <family val="2"/>
      </rPr>
      <t>( Tickets Delivered on the planned estimated time )</t>
    </r>
  </si>
  <si>
    <r>
      <rPr>
        <b/>
        <sz val="11"/>
        <color theme="1"/>
        <rFont val="Aptos Narrow"/>
        <family val="2"/>
      </rPr>
      <t>First Time Right</t>
    </r>
    <r>
      <rPr>
        <sz val="11"/>
        <color theme="1"/>
        <rFont val="Aptos Narrow"/>
        <family val="2"/>
      </rPr>
      <t xml:space="preserve">
( Tickets Deliverered with the High Quality with first time delivery right )</t>
    </r>
  </si>
  <si>
    <t>Custom Delivery Utilization</t>
  </si>
  <si>
    <t>Number of new solutions suggested by Shared Service</t>
  </si>
  <si>
    <t>Feature Completion Rate</t>
  </si>
  <si>
    <t>Total Features delivered in the quarter / Total Features committed in the quarter × 100</t>
  </si>
  <si>
    <t>%</t>
  </si>
  <si>
    <t>90%+</t>
  </si>
  <si>
    <t>Pipeline Success Rate</t>
  </si>
  <si>
    <t>Successful runs / Total scheduled pipeline runs</t>
  </si>
  <si>
    <t>≥95%</t>
  </si>
  <si>
    <t>95%+</t>
  </si>
  <si>
    <t>Platform Data Availability Rate</t>
  </si>
  <si>
    <t xml:space="preserve">(Total Uptime of Gold Layer Data / Total Scheduled Uptime Window) × 100	</t>
  </si>
  <si>
    <t>≥ 99.5%</t>
  </si>
  <si>
    <t>99.5% – 99.9%</t>
  </si>
  <si>
    <t>Data Quality Score</t>
  </si>
  <si>
    <t>% of records passing validation rules for Data Completeness and Data Accuracy</t>
  </si>
  <si>
    <t>Ensures confidence in insights</t>
  </si>
  <si>
    <t xml:space="preserve">Model Accuracy	</t>
  </si>
  <si>
    <t xml:space="preserve">Accuracy metric (e.g., F1, AUC, RMSE) based on business context	</t>
  </si>
  <si>
    <t>&gt;85%</t>
  </si>
  <si>
    <t>&gt;90%</t>
  </si>
  <si>
    <t xml:space="preserve">Model Drift Detection	</t>
  </si>
  <si>
    <t>% of models monitored for drift monthly</t>
  </si>
  <si>
    <t>New ideas generated to improve the platform</t>
  </si>
  <si>
    <t>Number of Proposals presented to the Product  team on improvement in Development Process / Features / Technology stack</t>
  </si>
  <si>
    <t>Count</t>
  </si>
  <si>
    <t>≥ 4 proposals/year</t>
  </si>
  <si>
    <t>Aligned with business value</t>
  </si>
  <si>
    <t xml:space="preserve">&gt;= 20% </t>
  </si>
  <si>
    <t>20–40% optimal</t>
  </si>
  <si>
    <t xml:space="preserve">≥ 4.0	</t>
  </si>
  <si>
    <t xml:space="preserve">Avg. score (1–5) on communication, deliverables, clarity	</t>
  </si>
  <si>
    <t>Total Code Reviewed by Specialist or lead developer / Total Code committed</t>
  </si>
  <si>
    <t>Project</t>
  </si>
  <si>
    <t>Total Issues/Features</t>
  </si>
  <si>
    <t>Schedule Adherence %</t>
  </si>
  <si>
    <t>Effort Adherence %</t>
  </si>
  <si>
    <t>Quality Score</t>
  </si>
  <si>
    <t>Jul</t>
  </si>
  <si>
    <t>Aug</t>
  </si>
  <si>
    <t>Sep</t>
  </si>
  <si>
    <t>Grand Total</t>
  </si>
  <si>
    <t>Oct 2025</t>
  </si>
  <si>
    <t>Issue/Feature Handled</t>
  </si>
  <si>
    <t>carrier-bryant</t>
  </si>
  <si>
    <t>Coke - Distributor Leads</t>
  </si>
  <si>
    <t>cost-system</t>
  </si>
  <si>
    <t>Goodman</t>
  </si>
  <si>
    <t>Marketing Database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</si>
</sst>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mmm\-yyyy"/>
  </numFmts>
  <fonts count="20">
    <font>
      <sz val="11"/>
      <color theme="1"/>
      <name val="Aptos Narrow"/>
      <family val="2"/>
      <scheme val="minor"/>
    </font>
    <font>
      <sz val="11"/>
      <color theme="1"/>
      <name val="Aptos Narrow"/>
      <family val="2"/>
      <scheme val="minor"/>
    </font>
    <font>
      <b/>
      <sz val="11"/>
      <name val="Aptos Narrow"/>
      <family val="2"/>
      <scheme val="minor"/>
    </font>
    <font>
      <sz val="11"/>
      <name val="Aptos Narrow"/>
      <family val="2"/>
      <scheme val="minor"/>
    </font>
    <font>
      <b/>
      <sz val="9"/>
      <color indexed="81"/>
      <name val="Tahoma"/>
      <family val="2"/>
    </font>
    <font>
      <sz val="9"/>
      <color indexed="81"/>
      <name val="Tahoma"/>
      <family val="2"/>
    </font>
    <font>
      <b/>
      <sz val="12"/>
      <name val="Aptos Narrow"/>
      <family val="2"/>
    </font>
    <font>
      <sz val="11"/>
      <color theme="1"/>
      <name val="Aptos Narrow"/>
      <family val="2"/>
    </font>
    <font>
      <sz val="11"/>
      <color rgb="FF000000"/>
      <name val="Aptos Narrow"/>
      <family val="2"/>
    </font>
    <font>
      <b/>
      <sz val="11"/>
      <color rgb="FF000000"/>
      <name val="Aptos Narrow"/>
      <family val="2"/>
    </font>
    <font>
      <b/>
      <sz val="11"/>
      <color theme="1"/>
      <name val="Aptos Narrow"/>
      <family val="2"/>
    </font>
    <font>
      <sz val="12"/>
      <color theme="1"/>
      <name val="Aptos Narrow"/>
      <family val="2"/>
      <scheme val="minor"/>
    </font>
    <font>
      <u/>
      <sz val="12"/>
      <color theme="10"/>
      <name val="Aptos Narrow"/>
      <family val="2"/>
      <scheme val="minor"/>
    </font>
    <font>
      <b/>
      <sz val="11"/>
      <color theme="1"/>
      <name val="Aptos Narrow"/>
      <family val="2"/>
      <scheme val="minor"/>
    </font>
    <font>
      <sz val="11"/>
      <color rgb="FF000000"/>
      <name val="Aptos Narrow"/>
      <family val="2"/>
      <scheme val="minor"/>
    </font>
    <font>
      <sz val="11"/>
      <color rgb="FF000000"/>
      <name val="Calibri"/>
      <family val="2"/>
    </font>
    <font>
      <sz val="10"/>
      <color theme="1"/>
      <name val="Segoe UI"/>
      <family val="2"/>
    </font>
    <font>
      <b/>
      <sz val="10"/>
      <color rgb="FFEAEAEA"/>
      <name val="Segoe UI"/>
      <family val="2"/>
    </font>
    <font>
      <sz val="10"/>
      <color rgb="FF000000"/>
      <name val="Segoe UI"/>
      <family val="2"/>
    </font>
    <font>
      <b/>
      <sz val="10"/>
      <color theme="0"/>
      <name val="Segoe UI"/>
      <family val="2"/>
    </font>
  </fonts>
  <fills count="26">
    <fill>
      <patternFill patternType="none"/>
    </fill>
    <fill>
      <patternFill patternType="gray125"/>
    </fill>
    <fill>
      <patternFill patternType="solid">
        <fgColor theme="2"/>
        <bgColor indexed="64"/>
      </patternFill>
    </fill>
    <fill>
      <patternFill patternType="solid">
        <fgColor theme="9" tint="0.79998168889431442"/>
        <bgColor indexed="64"/>
      </patternFill>
    </fill>
    <fill>
      <patternFill patternType="solid">
        <fgColor theme="3" tint="0.89999084444715716"/>
        <bgColor indexed="64"/>
      </patternFill>
    </fill>
    <fill>
      <patternFill patternType="solid">
        <fgColor theme="8" tint="0.79998168889431442"/>
        <bgColor indexed="64"/>
      </patternFill>
    </fill>
    <fill>
      <patternFill patternType="solid">
        <fgColor rgb="FFFFFF00"/>
        <bgColor indexed="64"/>
      </patternFill>
    </fill>
    <fill>
      <patternFill patternType="solid">
        <fgColor theme="5" tint="0.39997558519241921"/>
        <bgColor theme="4"/>
      </patternFill>
    </fill>
    <fill>
      <patternFill patternType="solid">
        <fgColor theme="5" tint="0.79998168889431442"/>
        <bgColor indexed="64"/>
      </patternFill>
    </fill>
    <fill>
      <patternFill patternType="solid">
        <fgColor theme="0"/>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4" tint="0.79998168889431442"/>
        <bgColor theme="4" tint="0.79998168889431442"/>
      </patternFill>
    </fill>
    <fill>
      <patternFill patternType="solid">
        <fgColor rgb="FFFFC000"/>
        <bgColor indexed="64"/>
      </patternFill>
    </fill>
    <fill>
      <patternFill patternType="solid">
        <fgColor rgb="FF92D050"/>
        <bgColor indexed="64"/>
      </patternFill>
    </fill>
    <fill>
      <patternFill patternType="solid">
        <fgColor rgb="FFFCE4D6"/>
        <bgColor rgb="FF000000"/>
      </patternFill>
    </fill>
    <fill>
      <patternFill patternType="solid">
        <fgColor rgb="FFFFFFFF"/>
        <bgColor rgb="FF000000"/>
      </patternFill>
    </fill>
    <fill>
      <patternFill patternType="solid">
        <fgColor rgb="FF1A202C"/>
        <bgColor indexed="64"/>
      </patternFill>
    </fill>
    <fill>
      <patternFill patternType="solid">
        <fgColor rgb="FF2B6CB0"/>
        <bgColor indexed="64"/>
      </patternFill>
    </fill>
    <fill>
      <patternFill patternType="solid">
        <fgColor rgb="FF2F855A"/>
        <bgColor indexed="64"/>
      </patternFill>
    </fill>
    <fill>
      <patternFill patternType="solid">
        <fgColor rgb="FF6B46C1"/>
        <bgColor indexed="64"/>
      </patternFill>
    </fill>
    <fill>
      <patternFill patternType="solid">
        <fgColor rgb="FF2C7A7B"/>
        <bgColor indexed="64"/>
      </patternFill>
    </fill>
    <fill>
      <patternFill patternType="solid">
        <fgColor rgb="FFC05621"/>
        <bgColor indexed="64"/>
      </patternFill>
    </fill>
    <fill>
      <patternFill patternType="solid">
        <fgColor rgb="FFB7791F"/>
        <bgColor indexed="64"/>
      </patternFill>
    </fill>
    <fill>
      <patternFill patternType="solid">
        <fgColor rgb="FF4A5568"/>
        <bgColor indexed="64"/>
      </patternFill>
    </fill>
  </fills>
  <borders count="51">
    <border>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theme="4" tint="0.39997558519241921"/>
      </bottom>
      <diagonal/>
    </border>
    <border>
      <left/>
      <right/>
      <top style="thin">
        <color theme="4" tint="0.39997558519241921"/>
      </top>
      <bottom/>
      <diagonal/>
    </border>
    <border>
      <left/>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top style="thin">
        <color indexed="64"/>
      </top>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theme="0"/>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0"/>
      </left>
      <right style="thin">
        <color theme="0"/>
      </right>
      <top/>
      <bottom/>
      <diagonal/>
    </border>
    <border>
      <left style="thin">
        <color theme="0"/>
      </left>
      <right style="thin">
        <color theme="0"/>
      </right>
      <top/>
      <bottom style="thin">
        <color theme="0"/>
      </bottom>
      <diagonal/>
    </border>
    <border>
      <left style="thin">
        <color rgb="FF808080"/>
      </left>
      <right style="thin">
        <color rgb="FF808080"/>
      </right>
      <top style="thin">
        <color rgb="FF808080"/>
      </top>
      <bottom style="thin">
        <color rgb="FF808080"/>
      </bottom>
      <diagonal/>
    </border>
    <border>
      <left style="medium">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s>
  <cellStyleXfs count="6">
    <xf numFmtId="0" fontId="0" fillId="0" borderId="0"/>
    <xf numFmtId="43" fontId="1" fillId="0" borderId="0" applyFont="0" applyFill="0" applyBorder="0" applyAlignment="0" applyProtection="0"/>
    <xf numFmtId="9" fontId="1" fillId="0" borderId="0" applyFont="0" applyFill="0" applyBorder="0" applyAlignment="0" applyProtection="0"/>
    <xf numFmtId="0" fontId="11" fillId="0" borderId="0"/>
    <xf numFmtId="9" fontId="11" fillId="0" borderId="0" applyFont="0" applyFill="0" applyBorder="0" applyAlignment="0" applyProtection="0"/>
    <xf numFmtId="0" fontId="12" fillId="0" borderId="0" applyNumberFormat="0" applyFill="0" applyBorder="0" applyAlignment="0" applyProtection="0"/>
  </cellStyleXfs>
  <cellXfs count="380">
    <xf numFmtId="0" fontId="0" fillId="0" borderId="0" xfId="0"/>
    <xf numFmtId="0" fontId="0" fillId="0" borderId="0" xfId="0" applyAlignment="1">
      <alignment wrapText="1"/>
    </xf>
    <xf numFmtId="0" fontId="2" fillId="2" borderId="10" xfId="0" applyFont="1" applyFill="1" applyBorder="1" applyAlignment="1">
      <alignment vertical="center" wrapText="1"/>
    </xf>
    <xf numFmtId="16" fontId="2" fillId="2" borderId="10" xfId="0" applyNumberFormat="1" applyFont="1" applyFill="1" applyBorder="1" applyAlignment="1">
      <alignment vertical="center" wrapText="1"/>
    </xf>
    <xf numFmtId="0" fontId="2" fillId="2" borderId="11" xfId="0" applyFont="1" applyFill="1" applyBorder="1" applyAlignment="1">
      <alignment vertical="center" wrapText="1"/>
    </xf>
    <xf numFmtId="0" fontId="3" fillId="3" borderId="4" xfId="0" applyFont="1" applyFill="1" applyBorder="1" applyAlignment="1">
      <alignment horizontal="center" vertical="center" wrapText="1"/>
    </xf>
    <xf numFmtId="9" fontId="3" fillId="3" borderId="4" xfId="0" applyNumberFormat="1" applyFont="1" applyFill="1" applyBorder="1" applyAlignment="1">
      <alignment horizontal="center" vertical="center" wrapText="1"/>
    </xf>
    <xf numFmtId="0" fontId="0" fillId="0" borderId="13" xfId="0" applyBorder="1" applyAlignment="1">
      <alignment horizontal="center" vertical="center" wrapText="1"/>
    </xf>
    <xf numFmtId="0" fontId="0" fillId="0" borderId="13" xfId="0" applyBorder="1" applyAlignment="1">
      <alignment vertical="center" wrapText="1"/>
    </xf>
    <xf numFmtId="0" fontId="0" fillId="0" borderId="14" xfId="0" applyBorder="1" applyAlignment="1">
      <alignment horizontal="center" vertical="center" wrapText="1"/>
    </xf>
    <xf numFmtId="0" fontId="3" fillId="3" borderId="13" xfId="0" applyFont="1" applyFill="1" applyBorder="1" applyAlignment="1">
      <alignment horizontal="center" vertical="center" wrapText="1"/>
    </xf>
    <xf numFmtId="9" fontId="3" fillId="3" borderId="13" xfId="0" applyNumberFormat="1" applyFont="1" applyFill="1" applyBorder="1" applyAlignment="1">
      <alignment horizontal="center" vertical="center" wrapText="1"/>
    </xf>
    <xf numFmtId="0" fontId="3" fillId="4" borderId="15" xfId="0" applyFont="1" applyFill="1" applyBorder="1" applyAlignment="1">
      <alignment horizontal="center" vertical="center" wrapText="1"/>
    </xf>
    <xf numFmtId="0" fontId="0" fillId="0" borderId="15" xfId="0" applyBorder="1" applyAlignment="1">
      <alignment horizontal="center" vertical="center" wrapText="1"/>
    </xf>
    <xf numFmtId="0" fontId="0" fillId="0" borderId="15" xfId="0" applyBorder="1" applyAlignment="1">
      <alignment vertical="center" wrapText="1"/>
    </xf>
    <xf numFmtId="0" fontId="3" fillId="4" borderId="16" xfId="0" applyFont="1" applyFill="1" applyBorder="1" applyAlignment="1">
      <alignment horizontal="center" vertical="center" wrapText="1"/>
    </xf>
    <xf numFmtId="0" fontId="3" fillId="5" borderId="15" xfId="0" applyFont="1" applyFill="1" applyBorder="1" applyAlignment="1">
      <alignment horizontal="center" vertical="center" wrapText="1"/>
    </xf>
    <xf numFmtId="9" fontId="3" fillId="5" borderId="15" xfId="0" applyNumberFormat="1" applyFont="1" applyFill="1" applyBorder="1" applyAlignment="1">
      <alignment horizontal="center" vertical="center" wrapText="1"/>
    </xf>
    <xf numFmtId="0" fontId="3" fillId="3" borderId="15" xfId="0" applyFont="1" applyFill="1" applyBorder="1" applyAlignment="1">
      <alignment horizontal="center" vertical="center" wrapText="1"/>
    </xf>
    <xf numFmtId="9" fontId="3" fillId="3" borderId="15" xfId="0" applyNumberFormat="1" applyFont="1" applyFill="1" applyBorder="1" applyAlignment="1">
      <alignment horizontal="center" vertical="center" wrapText="1"/>
    </xf>
    <xf numFmtId="0" fontId="3" fillId="6" borderId="15" xfId="0" applyFont="1" applyFill="1" applyBorder="1" applyAlignment="1">
      <alignment horizontal="center" vertical="center" wrapText="1"/>
    </xf>
    <xf numFmtId="0" fontId="0" fillId="0" borderId="0" xfId="0" applyAlignment="1">
      <alignment horizontal="center" wrapText="1"/>
    </xf>
    <xf numFmtId="0" fontId="6" fillId="7" borderId="15" xfId="0" applyFont="1" applyFill="1" applyBorder="1" applyAlignment="1">
      <alignment horizontal="center" vertical="center" wrapText="1"/>
    </xf>
    <xf numFmtId="0" fontId="8" fillId="8" borderId="15" xfId="0" applyFont="1" applyFill="1" applyBorder="1" applyAlignment="1">
      <alignment horizontal="center" vertical="center" wrapText="1"/>
    </xf>
    <xf numFmtId="0" fontId="7" fillId="8" borderId="15" xfId="0" applyFont="1" applyFill="1" applyBorder="1" applyAlignment="1">
      <alignment horizontal="center" vertical="center" wrapText="1"/>
    </xf>
    <xf numFmtId="0" fontId="7" fillId="0" borderId="15" xfId="0" applyFont="1" applyBorder="1" applyAlignment="1">
      <alignment horizontal="center" vertical="center" wrapText="1"/>
    </xf>
    <xf numFmtId="0" fontId="7" fillId="9" borderId="15" xfId="0" applyFont="1" applyFill="1" applyBorder="1" applyAlignment="1">
      <alignment horizontal="center" vertical="center" wrapText="1"/>
    </xf>
    <xf numFmtId="0" fontId="0" fillId="0" borderId="0" xfId="0" applyAlignment="1">
      <alignment horizontal="center" vertical="center"/>
    </xf>
    <xf numFmtId="0" fontId="0" fillId="0" borderId="15" xfId="0" applyBorder="1" applyAlignment="1">
      <alignment horizontal="center" vertical="center"/>
    </xf>
    <xf numFmtId="0" fontId="8" fillId="9" borderId="15" xfId="0" applyFont="1" applyFill="1" applyBorder="1" applyAlignment="1">
      <alignment horizontal="center" vertical="center" wrapText="1"/>
    </xf>
    <xf numFmtId="2" fontId="7" fillId="9" borderId="15"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left" vertical="center"/>
    </xf>
    <xf numFmtId="9" fontId="0" fillId="0" borderId="0" xfId="0" applyNumberFormat="1" applyAlignment="1">
      <alignment horizontal="center" vertical="center"/>
    </xf>
    <xf numFmtId="0" fontId="0" fillId="0" borderId="15" xfId="0" applyBorder="1" applyAlignment="1">
      <alignment wrapText="1"/>
    </xf>
    <xf numFmtId="0" fontId="3" fillId="8" borderId="15" xfId="3" applyFont="1" applyFill="1" applyBorder="1" applyAlignment="1">
      <alignment vertical="center" wrapText="1"/>
    </xf>
    <xf numFmtId="0" fontId="3" fillId="11" borderId="15" xfId="3" applyFont="1" applyFill="1" applyBorder="1" applyAlignment="1">
      <alignment vertical="center" wrapText="1"/>
    </xf>
    <xf numFmtId="0" fontId="3" fillId="5" borderId="15" xfId="3" applyFont="1" applyFill="1" applyBorder="1" applyAlignment="1">
      <alignment vertical="center" wrapText="1"/>
    </xf>
    <xf numFmtId="0" fontId="3" fillId="4" borderId="15" xfId="3" applyFont="1" applyFill="1" applyBorder="1" applyAlignment="1">
      <alignment vertical="center"/>
    </xf>
    <xf numFmtId="0" fontId="3" fillId="4" borderId="10" xfId="3" applyFont="1" applyFill="1" applyBorder="1" applyAlignment="1">
      <alignment vertical="center"/>
    </xf>
    <xf numFmtId="0" fontId="3" fillId="8" borderId="13" xfId="3" applyFont="1" applyFill="1" applyBorder="1" applyAlignment="1">
      <alignment vertical="center"/>
    </xf>
    <xf numFmtId="0" fontId="3" fillId="8" borderId="15" xfId="3" applyFont="1" applyFill="1" applyBorder="1" applyAlignment="1">
      <alignment vertical="center"/>
    </xf>
    <xf numFmtId="0" fontId="3" fillId="11" borderId="12" xfId="3" applyFont="1" applyFill="1" applyBorder="1" applyAlignment="1">
      <alignment vertical="center"/>
    </xf>
    <xf numFmtId="0" fontId="3" fillId="11" borderId="15" xfId="3" applyFont="1" applyFill="1" applyBorder="1" applyAlignment="1">
      <alignment vertical="center"/>
    </xf>
    <xf numFmtId="0" fontId="3" fillId="5" borderId="15" xfId="3" applyFont="1" applyFill="1" applyBorder="1" applyAlignment="1">
      <alignment vertical="center"/>
    </xf>
    <xf numFmtId="0" fontId="3" fillId="12" borderId="15" xfId="3" applyFont="1" applyFill="1" applyBorder="1" applyAlignment="1">
      <alignment vertical="center"/>
    </xf>
    <xf numFmtId="0" fontId="3" fillId="3" borderId="15" xfId="3" applyFont="1" applyFill="1" applyBorder="1" applyAlignment="1">
      <alignment vertical="center"/>
    </xf>
    <xf numFmtId="0" fontId="3" fillId="6" borderId="15" xfId="3" applyFont="1" applyFill="1" applyBorder="1" applyAlignment="1">
      <alignment horizontal="center" vertical="center"/>
    </xf>
    <xf numFmtId="0" fontId="3" fillId="6" borderId="15" xfId="3" applyFont="1" applyFill="1" applyBorder="1" applyAlignment="1">
      <alignment vertical="center"/>
    </xf>
    <xf numFmtId="0" fontId="0" fillId="4" borderId="15" xfId="0" applyFill="1" applyBorder="1"/>
    <xf numFmtId="0" fontId="11" fillId="0" borderId="0" xfId="3"/>
    <xf numFmtId="0" fontId="2" fillId="2" borderId="10" xfId="3" applyFont="1" applyFill="1" applyBorder="1"/>
    <xf numFmtId="16" fontId="2" fillId="2" borderId="10" xfId="3" applyNumberFormat="1" applyFont="1" applyFill="1" applyBorder="1"/>
    <xf numFmtId="0" fontId="2" fillId="2" borderId="11" xfId="3" applyFont="1" applyFill="1" applyBorder="1"/>
    <xf numFmtId="9" fontId="3" fillId="4" borderId="15" xfId="3" applyNumberFormat="1" applyFont="1" applyFill="1" applyBorder="1" applyAlignment="1">
      <alignment vertical="center"/>
    </xf>
    <xf numFmtId="0" fontId="11" fillId="0" borderId="10" xfId="3" applyBorder="1" applyAlignment="1">
      <alignment vertical="center"/>
    </xf>
    <xf numFmtId="0" fontId="11" fillId="0" borderId="13" xfId="3" applyBorder="1" applyAlignment="1">
      <alignment vertical="center"/>
    </xf>
    <xf numFmtId="0" fontId="11" fillId="0" borderId="14" xfId="3" applyBorder="1" applyAlignment="1">
      <alignment vertical="center"/>
    </xf>
    <xf numFmtId="0" fontId="11" fillId="0" borderId="0" xfId="3" applyAlignment="1">
      <alignment vertical="center"/>
    </xf>
    <xf numFmtId="0" fontId="11" fillId="0" borderId="15" xfId="3" applyBorder="1" applyAlignment="1">
      <alignment vertical="center"/>
    </xf>
    <xf numFmtId="0" fontId="11" fillId="0" borderId="26" xfId="3" applyBorder="1" applyAlignment="1">
      <alignment vertical="center"/>
    </xf>
    <xf numFmtId="9" fontId="3" fillId="4" borderId="10" xfId="3" applyNumberFormat="1" applyFont="1" applyFill="1" applyBorder="1" applyAlignment="1">
      <alignment vertical="center"/>
    </xf>
    <xf numFmtId="0" fontId="11" fillId="0" borderId="11" xfId="3" applyBorder="1" applyAlignment="1">
      <alignment vertical="center"/>
    </xf>
    <xf numFmtId="9" fontId="3" fillId="8" borderId="15" xfId="3" applyNumberFormat="1" applyFont="1" applyFill="1" applyBorder="1" applyAlignment="1">
      <alignment vertical="center"/>
    </xf>
    <xf numFmtId="9" fontId="3" fillId="5" borderId="15" xfId="3" applyNumberFormat="1" applyFont="1" applyFill="1" applyBorder="1" applyAlignment="1">
      <alignment vertical="center"/>
    </xf>
    <xf numFmtId="9" fontId="3" fillId="12" borderId="15" xfId="3" applyNumberFormat="1" applyFont="1" applyFill="1" applyBorder="1" applyAlignment="1">
      <alignment vertical="center"/>
    </xf>
    <xf numFmtId="0" fontId="12" fillId="0" borderId="0" xfId="5" applyAlignment="1">
      <alignment horizontal="left"/>
    </xf>
    <xf numFmtId="0" fontId="12" fillId="0" borderId="0" xfId="5" applyAlignment="1"/>
    <xf numFmtId="0" fontId="2" fillId="2" borderId="10" xfId="0" applyFont="1" applyFill="1" applyBorder="1"/>
    <xf numFmtId="0" fontId="2" fillId="2" borderId="11" xfId="0" applyFont="1" applyFill="1" applyBorder="1"/>
    <xf numFmtId="0" fontId="0" fillId="0" borderId="13" xfId="0" applyBorder="1"/>
    <xf numFmtId="0" fontId="0" fillId="0" borderId="14" xfId="0" applyBorder="1"/>
    <xf numFmtId="0" fontId="0" fillId="0" borderId="15" xfId="0" applyBorder="1"/>
    <xf numFmtId="0" fontId="0" fillId="0" borderId="26" xfId="0" applyBorder="1"/>
    <xf numFmtId="0" fontId="0" fillId="0" borderId="10" xfId="0" applyBorder="1"/>
    <xf numFmtId="0" fontId="0" fillId="0" borderId="11" xfId="0" applyBorder="1"/>
    <xf numFmtId="0" fontId="0" fillId="0" borderId="0" xfId="0" applyAlignment="1">
      <alignment horizontal="center" vertical="center" wrapText="1"/>
    </xf>
    <xf numFmtId="0" fontId="7" fillId="8" borderId="15" xfId="0" applyFont="1" applyFill="1" applyBorder="1" applyAlignment="1">
      <alignment vertical="center" wrapText="1"/>
    </xf>
    <xf numFmtId="0" fontId="13" fillId="13" borderId="28" xfId="0" applyFont="1" applyFill="1" applyBorder="1" applyAlignment="1">
      <alignment vertical="center"/>
    </xf>
    <xf numFmtId="0" fontId="13" fillId="13" borderId="28" xfId="0" applyFont="1" applyFill="1" applyBorder="1" applyAlignment="1">
      <alignment horizontal="center" vertical="center"/>
    </xf>
    <xf numFmtId="0" fontId="13" fillId="0" borderId="28" xfId="0" applyFont="1" applyBorder="1" applyAlignment="1">
      <alignment horizontal="left" vertical="center"/>
    </xf>
    <xf numFmtId="0" fontId="13" fillId="0" borderId="28" xfId="0" applyFont="1" applyBorder="1" applyAlignment="1">
      <alignment horizontal="center" vertical="center"/>
    </xf>
    <xf numFmtId="0" fontId="13" fillId="13" borderId="29" xfId="0" applyFont="1" applyFill="1" applyBorder="1" applyAlignment="1">
      <alignment horizontal="left" vertical="center"/>
    </xf>
    <xf numFmtId="0" fontId="13" fillId="13" borderId="29" xfId="0" applyFont="1" applyFill="1" applyBorder="1" applyAlignment="1">
      <alignment horizontal="center" vertical="center"/>
    </xf>
    <xf numFmtId="2" fontId="13" fillId="0" borderId="28" xfId="0" applyNumberFormat="1" applyFont="1" applyBorder="1" applyAlignment="1">
      <alignment horizontal="center" vertical="center"/>
    </xf>
    <xf numFmtId="2" fontId="13" fillId="13" borderId="29" xfId="0" applyNumberFormat="1" applyFont="1" applyFill="1" applyBorder="1" applyAlignment="1">
      <alignment horizontal="center" vertical="center"/>
    </xf>
    <xf numFmtId="2" fontId="0" fillId="0" borderId="15" xfId="4" applyNumberFormat="1" applyFont="1" applyBorder="1" applyAlignment="1">
      <alignment vertical="center"/>
    </xf>
    <xf numFmtId="2" fontId="11" fillId="0" borderId="15" xfId="3" applyNumberFormat="1" applyBorder="1" applyAlignment="1">
      <alignment vertical="center"/>
    </xf>
    <xf numFmtId="0" fontId="2" fillId="2" borderId="1" xfId="3" applyFont="1" applyFill="1" applyBorder="1"/>
    <xf numFmtId="0" fontId="2" fillId="2" borderId="2" xfId="3" applyFont="1" applyFill="1" applyBorder="1"/>
    <xf numFmtId="0" fontId="13" fillId="14" borderId="15" xfId="0" applyFont="1" applyFill="1" applyBorder="1"/>
    <xf numFmtId="2" fontId="0" fillId="0" borderId="15" xfId="0" applyNumberFormat="1" applyBorder="1"/>
    <xf numFmtId="0" fontId="13" fillId="14" borderId="18" xfId="0" applyFont="1" applyFill="1" applyBorder="1"/>
    <xf numFmtId="2" fontId="0" fillId="0" borderId="15" xfId="1" applyNumberFormat="1" applyFont="1" applyBorder="1"/>
    <xf numFmtId="2" fontId="0" fillId="0" borderId="15" xfId="0" applyNumberFormat="1" applyBorder="1" applyAlignment="1">
      <alignment wrapText="1"/>
    </xf>
    <xf numFmtId="0" fontId="7" fillId="8" borderId="12" xfId="0" applyFont="1" applyFill="1" applyBorder="1" applyAlignment="1">
      <alignment horizontal="center" vertical="center" wrapText="1"/>
    </xf>
    <xf numFmtId="0" fontId="7" fillId="8" borderId="16" xfId="0" applyFont="1" applyFill="1" applyBorder="1" applyAlignment="1">
      <alignment horizontal="center" vertical="center" wrapText="1"/>
    </xf>
    <xf numFmtId="0" fontId="6" fillId="7" borderId="15" xfId="0" applyFont="1" applyFill="1" applyBorder="1" applyAlignment="1">
      <alignment vertical="center"/>
    </xf>
    <xf numFmtId="17" fontId="6" fillId="7" borderId="15" xfId="0" applyNumberFormat="1" applyFont="1" applyFill="1" applyBorder="1" applyAlignment="1">
      <alignment vertical="center"/>
    </xf>
    <xf numFmtId="17" fontId="6" fillId="7" borderId="17" xfId="0" applyNumberFormat="1" applyFont="1" applyFill="1" applyBorder="1" applyAlignment="1">
      <alignment vertical="center"/>
    </xf>
    <xf numFmtId="17" fontId="6" fillId="7" borderId="18" xfId="0" applyNumberFormat="1" applyFont="1" applyFill="1" applyBorder="1" applyAlignment="1">
      <alignment vertical="center"/>
    </xf>
    <xf numFmtId="0" fontId="0" fillId="9" borderId="0" xfId="0" applyFill="1"/>
    <xf numFmtId="0" fontId="0" fillId="10" borderId="19" xfId="0" applyFill="1" applyBorder="1"/>
    <xf numFmtId="0" fontId="0" fillId="10" borderId="15" xfId="0" applyFill="1" applyBorder="1"/>
    <xf numFmtId="0" fontId="8" fillId="8" borderId="15" xfId="0" applyFont="1" applyFill="1" applyBorder="1" applyAlignment="1">
      <alignment vertical="center" wrapText="1"/>
    </xf>
    <xf numFmtId="0" fontId="7" fillId="9" borderId="15" xfId="0" applyFont="1" applyFill="1" applyBorder="1" applyAlignment="1">
      <alignment horizontal="center" vertical="center"/>
    </xf>
    <xf numFmtId="0" fontId="7" fillId="8" borderId="15" xfId="0" applyFont="1" applyFill="1" applyBorder="1" applyAlignment="1">
      <alignment horizontal="center" vertical="center"/>
    </xf>
    <xf numFmtId="0" fontId="7" fillId="9" borderId="13" xfId="0" applyFont="1" applyFill="1" applyBorder="1" applyAlignment="1">
      <alignment horizontal="center" vertical="center"/>
    </xf>
    <xf numFmtId="9" fontId="0" fillId="0" borderId="0" xfId="0" applyNumberFormat="1"/>
    <xf numFmtId="0" fontId="7" fillId="8" borderId="12" xfId="0" applyFont="1" applyFill="1" applyBorder="1" applyAlignment="1">
      <alignment vertical="center" wrapText="1"/>
    </xf>
    <xf numFmtId="0" fontId="7" fillId="8" borderId="16" xfId="0" applyFont="1" applyFill="1" applyBorder="1" applyAlignment="1">
      <alignment vertical="center" wrapText="1"/>
    </xf>
    <xf numFmtId="0" fontId="7" fillId="8" borderId="13" xfId="0" applyFont="1" applyFill="1" applyBorder="1" applyAlignment="1">
      <alignment vertical="center" wrapText="1"/>
    </xf>
    <xf numFmtId="2" fontId="0" fillId="0" borderId="13" xfId="2" applyNumberFormat="1" applyFont="1" applyBorder="1" applyAlignment="1">
      <alignment horizontal="center" vertical="center" wrapText="1"/>
    </xf>
    <xf numFmtId="2" fontId="0" fillId="0" borderId="15" xfId="0" applyNumberFormat="1" applyBorder="1" applyAlignment="1">
      <alignment horizontal="center" vertical="center" wrapText="1"/>
    </xf>
    <xf numFmtId="2" fontId="0" fillId="0" borderId="13" xfId="0" applyNumberFormat="1" applyBorder="1" applyAlignment="1">
      <alignment horizontal="center" vertical="center" wrapText="1"/>
    </xf>
    <xf numFmtId="0" fontId="0" fillId="0" borderId="0" xfId="0" applyAlignment="1">
      <alignment vertical="center" wrapText="1"/>
    </xf>
    <xf numFmtId="0" fontId="3" fillId="4" borderId="4" xfId="0" applyFont="1" applyFill="1" applyBorder="1" applyAlignment="1">
      <alignment horizontal="center" vertical="center" wrapText="1"/>
    </xf>
    <xf numFmtId="0" fontId="3" fillId="4" borderId="4" xfId="0" applyFont="1" applyFill="1" applyBorder="1" applyAlignment="1">
      <alignment vertical="center" wrapText="1"/>
    </xf>
    <xf numFmtId="0" fontId="0" fillId="0" borderId="13" xfId="0" applyBorder="1" applyAlignment="1">
      <alignment wrapText="1"/>
    </xf>
    <xf numFmtId="0" fontId="0" fillId="0" borderId="14" xfId="0" applyBorder="1" applyAlignment="1">
      <alignment wrapText="1"/>
    </xf>
    <xf numFmtId="0" fontId="3" fillId="4" borderId="15" xfId="0" applyFont="1" applyFill="1" applyBorder="1" applyAlignment="1">
      <alignment vertical="center" wrapText="1"/>
    </xf>
    <xf numFmtId="0" fontId="0" fillId="0" borderId="26" xfId="0" applyBorder="1" applyAlignment="1">
      <alignment wrapText="1"/>
    </xf>
    <xf numFmtId="0" fontId="3" fillId="4" borderId="10" xfId="0" applyFont="1" applyFill="1" applyBorder="1" applyAlignment="1">
      <alignment horizontal="center" vertical="center" wrapText="1"/>
    </xf>
    <xf numFmtId="0" fontId="3" fillId="4" borderId="10" xfId="0" applyFont="1" applyFill="1" applyBorder="1" applyAlignment="1">
      <alignment vertical="center" wrapText="1"/>
    </xf>
    <xf numFmtId="0" fontId="0" fillId="0" borderId="10" xfId="0" applyBorder="1" applyAlignment="1">
      <alignment wrapText="1"/>
    </xf>
    <xf numFmtId="0" fontId="0" fillId="0" borderId="11" xfId="0" applyBorder="1" applyAlignment="1">
      <alignment wrapText="1"/>
    </xf>
    <xf numFmtId="0" fontId="3" fillId="8" borderId="13"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8" borderId="15" xfId="0" applyFont="1" applyFill="1" applyBorder="1" applyAlignment="1">
      <alignment vertical="center" wrapText="1"/>
    </xf>
    <xf numFmtId="0" fontId="3" fillId="5" borderId="15" xfId="0" applyFont="1" applyFill="1" applyBorder="1" applyAlignment="1">
      <alignment vertical="center" wrapText="1"/>
    </xf>
    <xf numFmtId="0" fontId="3" fillId="3" borderId="15" xfId="0" applyFont="1" applyFill="1" applyBorder="1" applyAlignment="1">
      <alignment vertical="center" wrapText="1"/>
    </xf>
    <xf numFmtId="0" fontId="3" fillId="6" borderId="15" xfId="0" applyFont="1" applyFill="1" applyBorder="1" applyAlignment="1">
      <alignment vertical="center" wrapText="1"/>
    </xf>
    <xf numFmtId="2" fontId="0" fillId="0" borderId="15" xfId="2" applyNumberFormat="1" applyFont="1" applyBorder="1" applyAlignment="1">
      <alignment horizontal="center" vertical="center" wrapText="1"/>
    </xf>
    <xf numFmtId="2" fontId="0" fillId="0" borderId="10" xfId="2" applyNumberFormat="1" applyFont="1" applyBorder="1" applyAlignment="1">
      <alignment horizontal="center" vertical="center" wrapText="1"/>
    </xf>
    <xf numFmtId="0" fontId="13" fillId="13" borderId="28" xfId="0" applyFont="1" applyFill="1" applyBorder="1"/>
    <xf numFmtId="0" fontId="0" fillId="0" borderId="0" xfId="0" applyAlignment="1">
      <alignment horizontal="left"/>
    </xf>
    <xf numFmtId="0" fontId="13" fillId="13" borderId="29" xfId="0" applyFont="1" applyFill="1" applyBorder="1" applyAlignment="1">
      <alignment horizontal="left"/>
    </xf>
    <xf numFmtId="0" fontId="13" fillId="13" borderId="29" xfId="0" applyFont="1" applyFill="1" applyBorder="1"/>
    <xf numFmtId="2" fontId="13" fillId="13" borderId="29" xfId="0" applyNumberFormat="1" applyFont="1" applyFill="1" applyBorder="1"/>
    <xf numFmtId="0" fontId="6" fillId="7" borderId="15" xfId="0" applyFont="1" applyFill="1" applyBorder="1" applyAlignment="1">
      <alignment horizontal="center" vertical="center"/>
    </xf>
    <xf numFmtId="0" fontId="8" fillId="8" borderId="15" xfId="0" applyFont="1" applyFill="1" applyBorder="1" applyAlignment="1">
      <alignment horizontal="center" vertical="center"/>
    </xf>
    <xf numFmtId="0" fontId="7" fillId="0" borderId="15" xfId="0" applyFont="1" applyBorder="1" applyAlignment="1">
      <alignment horizontal="center" vertical="center"/>
    </xf>
    <xf numFmtId="0" fontId="0" fillId="0" borderId="22" xfId="0" applyBorder="1" applyAlignment="1">
      <alignment horizontal="center" vertical="center" wrapText="1"/>
    </xf>
    <xf numFmtId="0" fontId="2" fillId="14" borderId="10" xfId="3" applyFont="1" applyFill="1" applyBorder="1"/>
    <xf numFmtId="0" fontId="2" fillId="14" borderId="10" xfId="0" applyFont="1" applyFill="1" applyBorder="1" applyAlignment="1">
      <alignment vertical="center" wrapText="1"/>
    </xf>
    <xf numFmtId="0" fontId="13" fillId="15" borderId="15" xfId="0" applyFont="1" applyFill="1" applyBorder="1"/>
    <xf numFmtId="0" fontId="15" fillId="17" borderId="0" xfId="0" applyFont="1" applyFill="1"/>
    <xf numFmtId="0" fontId="0" fillId="0" borderId="17" xfId="0" applyBorder="1" applyAlignment="1">
      <alignment vertical="center" wrapText="1"/>
    </xf>
    <xf numFmtId="0" fontId="0" fillId="0" borderId="31" xfId="0" applyBorder="1" applyAlignment="1">
      <alignment vertical="center" wrapText="1"/>
    </xf>
    <xf numFmtId="2" fontId="0" fillId="0" borderId="13" xfId="0" applyNumberFormat="1" applyBorder="1" applyAlignment="1">
      <alignment wrapText="1"/>
    </xf>
    <xf numFmtId="0" fontId="0" fillId="0" borderId="20" xfId="0" applyBorder="1" applyAlignment="1">
      <alignment vertical="center" wrapText="1"/>
    </xf>
    <xf numFmtId="0" fontId="0" fillId="0" borderId="21" xfId="0" applyBorder="1" applyAlignment="1">
      <alignment vertical="center" wrapText="1"/>
    </xf>
    <xf numFmtId="0" fontId="0" fillId="0" borderId="22" xfId="0" applyBorder="1" applyAlignment="1">
      <alignment vertical="center" wrapText="1"/>
    </xf>
    <xf numFmtId="0" fontId="0" fillId="0" borderId="23" xfId="0" applyBorder="1" applyAlignment="1">
      <alignment vertical="center" wrapText="1"/>
    </xf>
    <xf numFmtId="0" fontId="0" fillId="0" borderId="17" xfId="0" applyBorder="1"/>
    <xf numFmtId="0" fontId="0" fillId="0" borderId="19" xfId="0" applyBorder="1"/>
    <xf numFmtId="0" fontId="0" fillId="4" borderId="25" xfId="0" applyFill="1" applyBorder="1"/>
    <xf numFmtId="0" fontId="0" fillId="4" borderId="26" xfId="0" applyFill="1" applyBorder="1"/>
    <xf numFmtId="0" fontId="0" fillId="0" borderId="25" xfId="0" applyBorder="1"/>
    <xf numFmtId="0" fontId="0" fillId="0" borderId="27" xfId="0" applyBorder="1"/>
    <xf numFmtId="2" fontId="0" fillId="0" borderId="25" xfId="2" applyNumberFormat="1" applyFont="1" applyBorder="1"/>
    <xf numFmtId="2" fontId="0" fillId="0" borderId="26" xfId="1" applyNumberFormat="1" applyFont="1" applyBorder="1"/>
    <xf numFmtId="2" fontId="0" fillId="0" borderId="25" xfId="1" applyNumberFormat="1" applyFont="1" applyBorder="1"/>
    <xf numFmtId="2" fontId="0" fillId="0" borderId="25" xfId="0" applyNumberFormat="1" applyBorder="1"/>
    <xf numFmtId="2" fontId="0" fillId="0" borderId="26" xfId="0" applyNumberFormat="1" applyBorder="1"/>
    <xf numFmtId="0" fontId="0" fillId="0" borderId="34" xfId="0" applyBorder="1"/>
    <xf numFmtId="0" fontId="0" fillId="0" borderId="35" xfId="0" applyBorder="1"/>
    <xf numFmtId="0" fontId="0" fillId="0" borderId="36" xfId="0" applyBorder="1"/>
    <xf numFmtId="0" fontId="0" fillId="0" borderId="37" xfId="0" applyBorder="1"/>
    <xf numFmtId="0" fontId="0" fillId="0" borderId="38" xfId="0" applyBorder="1"/>
    <xf numFmtId="0" fontId="0" fillId="0" borderId="12" xfId="0" applyBorder="1" applyAlignment="1">
      <alignment horizontal="center" vertical="center" wrapText="1"/>
    </xf>
    <xf numFmtId="0" fontId="3" fillId="5" borderId="13" xfId="0" applyFont="1" applyFill="1" applyBorder="1" applyAlignment="1">
      <alignment horizontal="center" vertical="center" wrapText="1"/>
    </xf>
    <xf numFmtId="0" fontId="16" fillId="0" borderId="0" xfId="0" applyFont="1" applyAlignment="1">
      <alignment horizontal="left" vertical="center" indent="1"/>
    </xf>
    <xf numFmtId="0" fontId="16" fillId="9" borderId="0" xfId="0" applyFont="1" applyFill="1" applyAlignment="1">
      <alignment horizontal="left" vertical="center" indent="1"/>
    </xf>
    <xf numFmtId="0" fontId="2" fillId="2" borderId="2" xfId="0" applyFont="1" applyFill="1" applyBorder="1" applyAlignment="1">
      <alignment horizontal="center" wrapText="1"/>
    </xf>
    <xf numFmtId="0" fontId="2" fillId="2" borderId="7" xfId="0" applyFont="1" applyFill="1" applyBorder="1" applyAlignment="1">
      <alignment horizontal="center" wrapText="1"/>
    </xf>
    <xf numFmtId="0" fontId="2" fillId="2" borderId="10" xfId="0" applyFont="1" applyFill="1" applyBorder="1" applyAlignment="1">
      <alignment wrapText="1"/>
    </xf>
    <xf numFmtId="16" fontId="2" fillId="2" borderId="10" xfId="0" applyNumberFormat="1" applyFont="1" applyFill="1" applyBorder="1" applyAlignment="1">
      <alignment wrapText="1"/>
    </xf>
    <xf numFmtId="0" fontId="2" fillId="14" borderId="10" xfId="0" applyFont="1" applyFill="1" applyBorder="1" applyAlignment="1">
      <alignment wrapText="1"/>
    </xf>
    <xf numFmtId="0" fontId="3" fillId="4" borderId="4" xfId="0" applyFont="1" applyFill="1" applyBorder="1" applyAlignment="1">
      <alignment wrapText="1"/>
    </xf>
    <xf numFmtId="9" fontId="3" fillId="4" borderId="4" xfId="0" applyNumberFormat="1" applyFont="1" applyFill="1" applyBorder="1" applyAlignment="1">
      <alignment horizontal="center" vertical="center" wrapText="1"/>
    </xf>
    <xf numFmtId="2" fontId="0" fillId="0" borderId="13" xfId="1" applyNumberFormat="1" applyFont="1" applyBorder="1" applyAlignment="1">
      <alignment wrapText="1"/>
    </xf>
    <xf numFmtId="2" fontId="0" fillId="0" borderId="13" xfId="2" applyNumberFormat="1" applyFont="1" applyBorder="1" applyAlignment="1">
      <alignment vertical="center" wrapText="1"/>
    </xf>
    <xf numFmtId="0" fontId="3" fillId="4" borderId="15" xfId="0" applyFont="1" applyFill="1" applyBorder="1" applyAlignment="1">
      <alignment wrapText="1"/>
    </xf>
    <xf numFmtId="9" fontId="3" fillId="4" borderId="15" xfId="0" applyNumberFormat="1" applyFont="1" applyFill="1" applyBorder="1" applyAlignment="1">
      <alignment horizontal="center" vertical="center" wrapText="1"/>
    </xf>
    <xf numFmtId="0" fontId="3" fillId="4" borderId="10" xfId="0" applyFont="1" applyFill="1" applyBorder="1" applyAlignment="1">
      <alignment wrapText="1"/>
    </xf>
    <xf numFmtId="9" fontId="3" fillId="4" borderId="10" xfId="0" applyNumberFormat="1" applyFont="1" applyFill="1" applyBorder="1" applyAlignment="1">
      <alignment horizontal="center" vertical="center" wrapText="1"/>
    </xf>
    <xf numFmtId="0" fontId="0" fillId="8" borderId="15" xfId="0" applyFill="1" applyBorder="1" applyAlignment="1">
      <alignment vertical="center" wrapText="1"/>
    </xf>
    <xf numFmtId="0" fontId="3" fillId="8" borderId="13" xfId="0" applyFont="1" applyFill="1" applyBorder="1" applyAlignment="1">
      <alignment horizontal="left" vertical="center" wrapText="1"/>
    </xf>
    <xf numFmtId="0" fontId="3" fillId="8" borderId="13" xfId="0" applyFont="1" applyFill="1" applyBorder="1" applyAlignment="1">
      <alignment wrapText="1"/>
    </xf>
    <xf numFmtId="2" fontId="0" fillId="0" borderId="13" xfId="0" applyNumberFormat="1" applyBorder="1" applyAlignment="1">
      <alignment vertical="center" wrapText="1"/>
    </xf>
    <xf numFmtId="0" fontId="3" fillId="8" borderId="15" xfId="0" applyFont="1" applyFill="1" applyBorder="1" applyAlignment="1">
      <alignment horizontal="left" vertical="center" wrapText="1"/>
    </xf>
    <xf numFmtId="0" fontId="3" fillId="8" borderId="15" xfId="0" applyFont="1" applyFill="1" applyBorder="1" applyAlignment="1">
      <alignment wrapText="1"/>
    </xf>
    <xf numFmtId="2" fontId="0" fillId="0" borderId="15" xfId="2" applyNumberFormat="1" applyFont="1" applyBorder="1" applyAlignment="1">
      <alignment vertical="center" wrapText="1"/>
    </xf>
    <xf numFmtId="0" fontId="3" fillId="11" borderId="15" xfId="0" applyFont="1" applyFill="1" applyBorder="1" applyAlignment="1">
      <alignment vertical="center" wrapText="1"/>
    </xf>
    <xf numFmtId="0" fontId="3" fillId="11" borderId="15" xfId="0" applyFont="1" applyFill="1" applyBorder="1" applyAlignment="1">
      <alignment horizontal="left" vertical="center" wrapText="1"/>
    </xf>
    <xf numFmtId="0" fontId="3" fillId="11" borderId="15" xfId="0" applyFont="1" applyFill="1" applyBorder="1" applyAlignment="1">
      <alignment wrapText="1"/>
    </xf>
    <xf numFmtId="0" fontId="3" fillId="5" borderId="15" xfId="0" applyFont="1" applyFill="1" applyBorder="1" applyAlignment="1">
      <alignment horizontal="left" vertical="center" wrapText="1"/>
    </xf>
    <xf numFmtId="0" fontId="3" fillId="5" borderId="15" xfId="0" applyFont="1" applyFill="1" applyBorder="1" applyAlignment="1">
      <alignment wrapText="1"/>
    </xf>
    <xf numFmtId="0" fontId="3" fillId="12" borderId="15" xfId="0" applyFont="1" applyFill="1" applyBorder="1" applyAlignment="1">
      <alignment vertical="center" wrapText="1"/>
    </xf>
    <xf numFmtId="0" fontId="3" fillId="12" borderId="15" xfId="0" applyFont="1" applyFill="1" applyBorder="1" applyAlignment="1">
      <alignment horizontal="left" vertical="center" wrapText="1"/>
    </xf>
    <xf numFmtId="0" fontId="3" fillId="12" borderId="15" xfId="0" applyFont="1" applyFill="1" applyBorder="1" applyAlignment="1">
      <alignment wrapText="1"/>
    </xf>
    <xf numFmtId="10" fontId="3" fillId="12" borderId="15" xfId="0" applyNumberFormat="1" applyFont="1" applyFill="1" applyBorder="1" applyAlignment="1">
      <alignment wrapText="1"/>
    </xf>
    <xf numFmtId="2" fontId="0" fillId="0" borderId="15" xfId="0" applyNumberFormat="1" applyBorder="1" applyAlignment="1">
      <alignment vertical="center" wrapText="1"/>
    </xf>
    <xf numFmtId="0" fontId="3" fillId="3" borderId="15" xfId="0" applyFont="1" applyFill="1" applyBorder="1" applyAlignment="1">
      <alignment horizontal="left" vertical="center" wrapText="1"/>
    </xf>
    <xf numFmtId="0" fontId="3" fillId="3" borderId="15" xfId="0" applyFont="1" applyFill="1" applyBorder="1" applyAlignment="1">
      <alignment wrapText="1"/>
    </xf>
    <xf numFmtId="0" fontId="3" fillId="6" borderId="15" xfId="0" applyFont="1" applyFill="1" applyBorder="1" applyAlignment="1">
      <alignment horizontal="left" vertical="center" wrapText="1"/>
    </xf>
    <xf numFmtId="0" fontId="3" fillId="6" borderId="15" xfId="0" applyFont="1" applyFill="1" applyBorder="1" applyAlignment="1">
      <alignment wrapText="1"/>
    </xf>
    <xf numFmtId="0" fontId="19" fillId="25" borderId="40" xfId="0" applyFont="1" applyFill="1" applyBorder="1" applyAlignment="1">
      <alignment horizontal="center" vertical="center"/>
    </xf>
    <xf numFmtId="0" fontId="19" fillId="25" borderId="39" xfId="0" applyFont="1" applyFill="1" applyBorder="1" applyAlignment="1">
      <alignment horizontal="center" vertical="center"/>
    </xf>
    <xf numFmtId="0" fontId="17" fillId="18" borderId="40" xfId="0" applyFont="1" applyFill="1" applyBorder="1" applyAlignment="1">
      <alignment horizontal="center" vertical="center"/>
    </xf>
    <xf numFmtId="0" fontId="17" fillId="18" borderId="41" xfId="0" applyFont="1" applyFill="1" applyBorder="1" applyAlignment="1">
      <alignment horizontal="center" vertical="center"/>
    </xf>
    <xf numFmtId="0" fontId="17" fillId="18" borderId="41" xfId="0" applyFont="1" applyFill="1" applyBorder="1" applyAlignment="1">
      <alignment horizontal="left" vertical="center"/>
    </xf>
    <xf numFmtId="0" fontId="19" fillId="19" borderId="40" xfId="0" applyFont="1" applyFill="1" applyBorder="1" applyAlignment="1">
      <alignment horizontal="left" vertical="center"/>
    </xf>
    <xf numFmtId="0" fontId="19" fillId="19" borderId="39" xfId="0" applyFont="1" applyFill="1" applyBorder="1" applyAlignment="1">
      <alignment horizontal="center" vertical="center"/>
    </xf>
    <xf numFmtId="0" fontId="18" fillId="0" borderId="46" xfId="0" applyFont="1" applyBorder="1" applyAlignment="1">
      <alignment horizontal="left" vertical="top"/>
    </xf>
    <xf numFmtId="0" fontId="16" fillId="0" borderId="46" xfId="0" applyFont="1" applyBorder="1" applyAlignment="1">
      <alignment horizontal="left" vertical="top"/>
    </xf>
    <xf numFmtId="9" fontId="16" fillId="0" borderId="46" xfId="0" applyNumberFormat="1" applyFont="1" applyBorder="1" applyAlignment="1">
      <alignment horizontal="center" vertical="top"/>
    </xf>
    <xf numFmtId="0" fontId="16" fillId="0" borderId="46" xfId="0" applyFont="1" applyBorder="1" applyAlignment="1">
      <alignment horizontal="right" vertical="top"/>
    </xf>
    <xf numFmtId="2" fontId="16" fillId="0" borderId="46" xfId="0" applyNumberFormat="1" applyFont="1" applyBorder="1" applyAlignment="1">
      <alignment horizontal="right" vertical="top"/>
    </xf>
    <xf numFmtId="2" fontId="18" fillId="0" borderId="46" xfId="0" applyNumberFormat="1" applyFont="1" applyBorder="1" applyAlignment="1">
      <alignment horizontal="right" vertical="top"/>
    </xf>
    <xf numFmtId="0" fontId="19" fillId="20" borderId="40" xfId="0" applyFont="1" applyFill="1" applyBorder="1" applyAlignment="1">
      <alignment horizontal="left" vertical="center"/>
    </xf>
    <xf numFmtId="0" fontId="19" fillId="20" borderId="39" xfId="0" applyFont="1" applyFill="1" applyBorder="1" applyAlignment="1">
      <alignment horizontal="center" vertical="center"/>
    </xf>
    <xf numFmtId="0" fontId="19" fillId="21" borderId="40" xfId="0" applyFont="1" applyFill="1" applyBorder="1" applyAlignment="1">
      <alignment horizontal="left" vertical="center"/>
    </xf>
    <xf numFmtId="0" fontId="19" fillId="21" borderId="39" xfId="0" applyFont="1" applyFill="1" applyBorder="1" applyAlignment="1">
      <alignment horizontal="center" vertical="center"/>
    </xf>
    <xf numFmtId="0" fontId="19" fillId="22" borderId="40" xfId="0" applyFont="1" applyFill="1" applyBorder="1" applyAlignment="1">
      <alignment horizontal="left" vertical="center"/>
    </xf>
    <xf numFmtId="0" fontId="19" fillId="22" borderId="39" xfId="0" applyFont="1" applyFill="1" applyBorder="1" applyAlignment="1">
      <alignment horizontal="center" vertical="center"/>
    </xf>
    <xf numFmtId="0" fontId="19" fillId="23" borderId="40" xfId="0" applyFont="1" applyFill="1" applyBorder="1" applyAlignment="1">
      <alignment horizontal="left" vertical="center"/>
    </xf>
    <xf numFmtId="0" fontId="19" fillId="23" borderId="39" xfId="0" applyFont="1" applyFill="1" applyBorder="1" applyAlignment="1">
      <alignment horizontal="center" vertical="center"/>
    </xf>
    <xf numFmtId="10" fontId="16" fillId="0" borderId="46" xfId="0" applyNumberFormat="1" applyFont="1" applyBorder="1" applyAlignment="1">
      <alignment horizontal="center" vertical="top"/>
    </xf>
    <xf numFmtId="0" fontId="16" fillId="0" borderId="46" xfId="0" applyFont="1" applyBorder="1" applyAlignment="1">
      <alignment horizontal="center" vertical="top"/>
    </xf>
    <xf numFmtId="0" fontId="19" fillId="24" borderId="40" xfId="0" applyFont="1" applyFill="1" applyBorder="1" applyAlignment="1">
      <alignment horizontal="left" vertical="center"/>
    </xf>
    <xf numFmtId="0" fontId="19" fillId="24" borderId="39" xfId="0" applyFont="1" applyFill="1" applyBorder="1" applyAlignment="1">
      <alignment horizontal="center" vertical="center"/>
    </xf>
    <xf numFmtId="0" fontId="19" fillId="25" borderId="40" xfId="0" applyFont="1" applyFill="1" applyBorder="1" applyAlignment="1">
      <alignment horizontal="left" vertical="center"/>
    </xf>
    <xf numFmtId="2" fontId="18" fillId="0" borderId="46" xfId="0" applyNumberFormat="1" applyFont="1" applyBorder="1" applyAlignment="1">
      <alignment horizontal="left" vertical="top"/>
    </xf>
    <xf numFmtId="0" fontId="16" fillId="0" borderId="42" xfId="0" applyFont="1" applyBorder="1" applyAlignment="1">
      <alignment horizontal="left" vertical="top"/>
    </xf>
    <xf numFmtId="2" fontId="16" fillId="14" borderId="46" xfId="0" applyNumberFormat="1" applyFont="1" applyFill="1" applyBorder="1" applyAlignment="1">
      <alignment horizontal="right" vertical="top"/>
    </xf>
    <xf numFmtId="0" fontId="16" fillId="14" borderId="46" xfId="0" applyFont="1" applyFill="1" applyBorder="1" applyAlignment="1">
      <alignment horizontal="left" vertical="top"/>
    </xf>
    <xf numFmtId="2" fontId="16" fillId="0" borderId="0" xfId="0" applyNumberFormat="1" applyFont="1" applyAlignment="1">
      <alignment horizontal="left" vertical="top"/>
    </xf>
    <xf numFmtId="0" fontId="19" fillId="19" borderId="40" xfId="0" applyFont="1" applyFill="1" applyBorder="1" applyAlignment="1">
      <alignment horizontal="center" vertical="center"/>
    </xf>
    <xf numFmtId="0" fontId="18" fillId="0" borderId="43" xfId="0" applyFont="1" applyBorder="1" applyAlignment="1">
      <alignment horizontal="left" vertical="top"/>
    </xf>
    <xf numFmtId="2" fontId="16" fillId="0" borderId="42" xfId="0" applyNumberFormat="1" applyFont="1" applyBorder="1" applyAlignment="1">
      <alignment horizontal="right" vertical="top"/>
    </xf>
    <xf numFmtId="2" fontId="18" fillId="0" borderId="42" xfId="0" applyNumberFormat="1" applyFont="1" applyBorder="1" applyAlignment="1">
      <alignment horizontal="right" vertical="top"/>
    </xf>
    <xf numFmtId="0" fontId="16" fillId="0" borderId="43" xfId="0" applyFont="1" applyBorder="1" applyAlignment="1">
      <alignment horizontal="left" vertical="top"/>
    </xf>
    <xf numFmtId="0" fontId="19" fillId="20" borderId="40" xfId="0" applyFont="1" applyFill="1" applyBorder="1" applyAlignment="1">
      <alignment horizontal="center" vertical="center"/>
    </xf>
    <xf numFmtId="0" fontId="19" fillId="21" borderId="40" xfId="0" applyFont="1" applyFill="1" applyBorder="1" applyAlignment="1">
      <alignment horizontal="center" vertical="center"/>
    </xf>
    <xf numFmtId="0" fontId="18" fillId="0" borderId="43" xfId="0" applyFont="1" applyBorder="1" applyAlignment="1">
      <alignment horizontal="right" vertical="top"/>
    </xf>
    <xf numFmtId="0" fontId="19" fillId="22" borderId="40" xfId="0" applyFont="1" applyFill="1" applyBorder="1" applyAlignment="1">
      <alignment horizontal="center" vertical="center"/>
    </xf>
    <xf numFmtId="0" fontId="19" fillId="23" borderId="40" xfId="0" applyFont="1" applyFill="1" applyBorder="1" applyAlignment="1">
      <alignment horizontal="center" vertical="center"/>
    </xf>
    <xf numFmtId="0" fontId="16" fillId="0" borderId="0" xfId="0" applyFont="1" applyAlignment="1">
      <alignment horizontal="left" vertical="top"/>
    </xf>
    <xf numFmtId="0" fontId="19" fillId="24" borderId="40" xfId="0" applyFont="1" applyFill="1" applyBorder="1" applyAlignment="1">
      <alignment horizontal="center" vertical="center"/>
    </xf>
    <xf numFmtId="0" fontId="16" fillId="0" borderId="42" xfId="0" applyFont="1" applyBorder="1" applyAlignment="1">
      <alignment horizontal="right" vertical="top"/>
    </xf>
    <xf numFmtId="0" fontId="0" fillId="0" borderId="18" xfId="0" applyBorder="1"/>
    <xf numFmtId="2" fontId="0" fillId="0" borderId="19" xfId="1" applyNumberFormat="1" applyFont="1" applyBorder="1"/>
    <xf numFmtId="0" fontId="0" fillId="4" borderId="0" xfId="0" applyFill="1"/>
    <xf numFmtId="2" fontId="0" fillId="0" borderId="0" xfId="1" applyNumberFormat="1" applyFont="1" applyBorder="1"/>
    <xf numFmtId="2" fontId="0" fillId="0" borderId="0" xfId="0" applyNumberFormat="1"/>
    <xf numFmtId="2" fontId="0" fillId="0" borderId="34" xfId="1" applyNumberFormat="1" applyFont="1" applyBorder="1"/>
    <xf numFmtId="2" fontId="0" fillId="0" borderId="35" xfId="1" applyNumberFormat="1" applyFont="1" applyBorder="1"/>
    <xf numFmtId="0" fontId="13" fillId="4" borderId="0" xfId="0" applyFont="1" applyFill="1" applyAlignment="1">
      <alignment horizontal="center"/>
    </xf>
    <xf numFmtId="2" fontId="0" fillId="0" borderId="47" xfId="1" applyNumberFormat="1" applyFont="1" applyBorder="1"/>
    <xf numFmtId="2" fontId="0" fillId="0" borderId="36" xfId="1" applyNumberFormat="1" applyFont="1" applyBorder="1"/>
    <xf numFmtId="2" fontId="0" fillId="0" borderId="37" xfId="1" applyNumberFormat="1" applyFont="1" applyBorder="1"/>
    <xf numFmtId="2" fontId="0" fillId="0" borderId="38" xfId="1" applyNumberFormat="1" applyFont="1" applyBorder="1"/>
    <xf numFmtId="0" fontId="19" fillId="23" borderId="41" xfId="0" applyFont="1" applyFill="1" applyBorder="1" applyAlignment="1">
      <alignment horizontal="left" vertical="center"/>
    </xf>
    <xf numFmtId="0" fontId="19" fillId="23" borderId="45" xfId="0" applyFont="1" applyFill="1" applyBorder="1" applyAlignment="1">
      <alignment horizontal="left" vertical="center"/>
    </xf>
    <xf numFmtId="0" fontId="19" fillId="24" borderId="41" xfId="0" applyFont="1" applyFill="1" applyBorder="1" applyAlignment="1">
      <alignment horizontal="left" vertical="center"/>
    </xf>
    <xf numFmtId="0" fontId="19" fillId="24" borderId="45" xfId="0" applyFont="1" applyFill="1" applyBorder="1" applyAlignment="1">
      <alignment horizontal="left" vertical="center"/>
    </xf>
    <xf numFmtId="164" fontId="17" fillId="18" borderId="40" xfId="0" applyNumberFormat="1" applyFont="1" applyFill="1" applyBorder="1" applyAlignment="1">
      <alignment horizontal="center" vertical="center"/>
    </xf>
    <xf numFmtId="0" fontId="19" fillId="19" borderId="41" xfId="0" applyFont="1" applyFill="1" applyBorder="1" applyAlignment="1">
      <alignment horizontal="left" vertical="center"/>
    </xf>
    <xf numFmtId="0" fontId="19" fillId="19" borderId="44" xfId="0" applyFont="1" applyFill="1" applyBorder="1" applyAlignment="1">
      <alignment horizontal="left" vertical="center"/>
    </xf>
    <xf numFmtId="0" fontId="19" fillId="19" borderId="45" xfId="0" applyFont="1" applyFill="1" applyBorder="1" applyAlignment="1">
      <alignment horizontal="left" vertical="center"/>
    </xf>
    <xf numFmtId="0" fontId="19" fillId="20" borderId="41" xfId="0" applyFont="1" applyFill="1" applyBorder="1" applyAlignment="1">
      <alignment horizontal="left" vertical="center"/>
    </xf>
    <xf numFmtId="0" fontId="19" fillId="20" borderId="45" xfId="0" applyFont="1" applyFill="1" applyBorder="1" applyAlignment="1">
      <alignment horizontal="left" vertical="center"/>
    </xf>
    <xf numFmtId="0" fontId="19" fillId="21" borderId="41" xfId="0" applyFont="1" applyFill="1" applyBorder="1" applyAlignment="1">
      <alignment horizontal="left" vertical="center"/>
    </xf>
    <xf numFmtId="0" fontId="19" fillId="21" borderId="44" xfId="0" applyFont="1" applyFill="1" applyBorder="1" applyAlignment="1">
      <alignment horizontal="left" vertical="center"/>
    </xf>
    <xf numFmtId="0" fontId="19" fillId="21" borderId="45" xfId="0" applyFont="1" applyFill="1" applyBorder="1" applyAlignment="1">
      <alignment horizontal="left" vertical="center"/>
    </xf>
    <xf numFmtId="0" fontId="19" fillId="22" borderId="41" xfId="0" applyFont="1" applyFill="1" applyBorder="1" applyAlignment="1">
      <alignment horizontal="left" vertical="center"/>
    </xf>
    <xf numFmtId="0" fontId="19" fillId="22" borderId="45" xfId="0" applyFont="1" applyFill="1" applyBorder="1" applyAlignment="1">
      <alignment horizontal="left" vertical="center"/>
    </xf>
    <xf numFmtId="0" fontId="17" fillId="18" borderId="40" xfId="0" applyFont="1" applyFill="1" applyBorder="1" applyAlignment="1">
      <alignment horizontal="center" vertical="center"/>
    </xf>
    <xf numFmtId="0" fontId="17" fillId="18" borderId="41" xfId="0" applyFont="1" applyFill="1" applyBorder="1" applyAlignment="1">
      <alignment horizontal="center" vertical="center"/>
    </xf>
    <xf numFmtId="0" fontId="17" fillId="18" borderId="44" xfId="0" applyFont="1" applyFill="1" applyBorder="1" applyAlignment="1">
      <alignment horizontal="center" vertical="center"/>
    </xf>
    <xf numFmtId="0" fontId="13" fillId="4" borderId="24" xfId="0" applyFont="1" applyFill="1" applyBorder="1" applyAlignment="1">
      <alignment horizontal="center"/>
    </xf>
    <xf numFmtId="0" fontId="13" fillId="4" borderId="4" xfId="0" applyFont="1" applyFill="1" applyBorder="1" applyAlignment="1">
      <alignment horizontal="center"/>
    </xf>
    <xf numFmtId="0" fontId="13" fillId="4" borderId="5" xfId="0" applyFont="1" applyFill="1" applyBorder="1" applyAlignment="1">
      <alignment horizontal="center"/>
    </xf>
    <xf numFmtId="0" fontId="13" fillId="4" borderId="48" xfId="0" applyFont="1" applyFill="1" applyBorder="1" applyAlignment="1">
      <alignment horizontal="center"/>
    </xf>
    <xf numFmtId="0" fontId="13" fillId="4" borderId="49" xfId="0" applyFont="1" applyFill="1" applyBorder="1" applyAlignment="1">
      <alignment horizontal="center"/>
    </xf>
    <xf numFmtId="0" fontId="13" fillId="4" borderId="50" xfId="0" applyFont="1" applyFill="1" applyBorder="1" applyAlignment="1">
      <alignment horizontal="center"/>
    </xf>
    <xf numFmtId="0" fontId="13" fillId="4" borderId="32" xfId="0" applyFont="1" applyFill="1" applyBorder="1" applyAlignment="1">
      <alignment horizontal="center"/>
    </xf>
    <xf numFmtId="0" fontId="3" fillId="12" borderId="15" xfId="3" applyFont="1" applyFill="1" applyBorder="1" applyAlignment="1">
      <alignment horizontal="center" vertical="center"/>
    </xf>
    <xf numFmtId="0" fontId="3" fillId="3" borderId="15" xfId="3" applyFont="1" applyFill="1" applyBorder="1" applyAlignment="1">
      <alignment horizontal="center" vertical="center"/>
    </xf>
    <xf numFmtId="0" fontId="3" fillId="8" borderId="12" xfId="3" applyFont="1" applyFill="1" applyBorder="1" applyAlignment="1">
      <alignment horizontal="center" vertical="center"/>
    </xf>
    <xf numFmtId="0" fontId="3" fillId="8" borderId="16" xfId="3" applyFont="1" applyFill="1" applyBorder="1" applyAlignment="1">
      <alignment horizontal="center" vertical="center"/>
    </xf>
    <xf numFmtId="0" fontId="3" fillId="4" borderId="24" xfId="3" applyFont="1" applyFill="1" applyBorder="1" applyAlignment="1">
      <alignment horizontal="center" vertical="center"/>
    </xf>
    <xf numFmtId="0" fontId="3" fillId="5" borderId="15" xfId="3" applyFont="1" applyFill="1" applyBorder="1" applyAlignment="1">
      <alignment horizontal="center" vertical="center"/>
    </xf>
    <xf numFmtId="0" fontId="0" fillId="0" borderId="20" xfId="0"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14" fillId="16" borderId="12" xfId="0" applyFont="1" applyFill="1" applyBorder="1" applyAlignment="1">
      <alignment horizontal="center" vertical="center" wrapText="1"/>
    </xf>
    <xf numFmtId="0" fontId="14" fillId="16" borderId="13" xfId="0" applyFont="1" applyFill="1" applyBorder="1" applyAlignment="1">
      <alignment horizontal="center" vertical="center" wrapText="1"/>
    </xf>
    <xf numFmtId="0" fontId="7" fillId="8" borderId="15" xfId="0" applyFont="1" applyFill="1" applyBorder="1" applyAlignment="1">
      <alignment horizontal="center" vertical="center" wrapText="1"/>
    </xf>
    <xf numFmtId="9" fontId="7" fillId="8" borderId="15" xfId="0" applyNumberFormat="1" applyFont="1" applyFill="1" applyBorder="1" applyAlignment="1">
      <alignment horizontal="center" vertical="center" wrapText="1"/>
    </xf>
    <xf numFmtId="0" fontId="7" fillId="0" borderId="15" xfId="0" applyFont="1" applyBorder="1" applyAlignment="1">
      <alignment horizontal="center" vertical="center" wrapText="1"/>
    </xf>
    <xf numFmtId="0" fontId="7" fillId="8" borderId="12" xfId="0" applyFont="1" applyFill="1" applyBorder="1" applyAlignment="1">
      <alignment horizontal="center" vertical="center"/>
    </xf>
    <xf numFmtId="0" fontId="7" fillId="8" borderId="13" xfId="0" applyFont="1" applyFill="1" applyBorder="1" applyAlignment="1">
      <alignment horizontal="center" vertical="center"/>
    </xf>
    <xf numFmtId="0" fontId="7" fillId="8" borderId="16" xfId="0" applyFont="1" applyFill="1" applyBorder="1" applyAlignment="1">
      <alignment horizontal="center" vertical="center"/>
    </xf>
    <xf numFmtId="0" fontId="8" fillId="8" borderId="15" xfId="0" applyFont="1" applyFill="1" applyBorder="1" applyAlignment="1">
      <alignment horizontal="center" vertical="center" wrapText="1"/>
    </xf>
    <xf numFmtId="0" fontId="7" fillId="8" borderId="12" xfId="0" applyFont="1" applyFill="1" applyBorder="1" applyAlignment="1">
      <alignment horizontal="center" vertical="center" wrapText="1"/>
    </xf>
    <xf numFmtId="0" fontId="7" fillId="8" borderId="16" xfId="0" applyFont="1" applyFill="1" applyBorder="1" applyAlignment="1">
      <alignment horizontal="center" vertical="center" wrapText="1"/>
    </xf>
    <xf numFmtId="0" fontId="7" fillId="8" borderId="13" xfId="0" applyFont="1" applyFill="1" applyBorder="1" applyAlignment="1">
      <alignment horizontal="center" vertical="center" wrapText="1"/>
    </xf>
    <xf numFmtId="9" fontId="7" fillId="8" borderId="12" xfId="0" applyNumberFormat="1" applyFont="1" applyFill="1" applyBorder="1" applyAlignment="1">
      <alignment horizontal="center" vertical="center" wrapText="1"/>
    </xf>
    <xf numFmtId="9" fontId="7" fillId="8" borderId="16" xfId="0" applyNumberFormat="1" applyFont="1" applyFill="1" applyBorder="1" applyAlignment="1">
      <alignment horizontal="center" vertical="center" wrapText="1"/>
    </xf>
    <xf numFmtId="0" fontId="6" fillId="7" borderId="22" xfId="0" applyFont="1" applyFill="1" applyBorder="1" applyAlignment="1">
      <alignment horizontal="center" vertical="center"/>
    </xf>
    <xf numFmtId="0" fontId="6" fillId="7" borderId="30" xfId="0" applyFont="1" applyFill="1" applyBorder="1" applyAlignment="1">
      <alignment horizontal="center" vertical="center"/>
    </xf>
    <xf numFmtId="0" fontId="0" fillId="0" borderId="15" xfId="0" applyBorder="1" applyAlignment="1">
      <alignment horizontal="center"/>
    </xf>
    <xf numFmtId="0" fontId="7" fillId="8" borderId="15" xfId="0" applyFont="1" applyFill="1" applyBorder="1" applyAlignment="1">
      <alignment horizontal="center" vertical="center"/>
    </xf>
    <xf numFmtId="0" fontId="0" fillId="0" borderId="15" xfId="0" applyBorder="1" applyAlignment="1">
      <alignment horizontal="center" wrapText="1"/>
    </xf>
    <xf numFmtId="0" fontId="0" fillId="0" borderId="15" xfId="0" applyBorder="1" applyAlignment="1">
      <alignment horizontal="left" vertical="center" wrapText="1"/>
    </xf>
    <xf numFmtId="0" fontId="0" fillId="0" borderId="15" xfId="0" applyBorder="1" applyAlignment="1">
      <alignment horizontal="left" vertical="center"/>
    </xf>
    <xf numFmtId="0" fontId="7" fillId="0" borderId="12" xfId="0" applyFont="1"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20" xfId="0" applyBorder="1" applyAlignment="1">
      <alignment horizontal="center" vertical="center" wrapText="1"/>
    </xf>
    <xf numFmtId="0" fontId="0" fillId="0" borderId="21" xfId="0" applyBorder="1" applyAlignment="1">
      <alignment horizontal="center" vertical="center" wrapText="1"/>
    </xf>
    <xf numFmtId="0" fontId="0" fillId="0" borderId="22" xfId="0" applyBorder="1" applyAlignment="1">
      <alignment horizontal="center" vertical="center" wrapText="1"/>
    </xf>
    <xf numFmtId="0" fontId="0" fillId="0" borderId="23" xfId="0" applyBorder="1" applyAlignment="1">
      <alignment horizontal="center" vertical="center" wrapText="1"/>
    </xf>
    <xf numFmtId="0" fontId="3" fillId="12" borderId="15" xfId="0" applyFont="1" applyFill="1" applyBorder="1" applyAlignment="1">
      <alignment horizontal="center" vertical="center" wrapText="1"/>
    </xf>
    <xf numFmtId="0" fontId="3" fillId="3" borderId="15" xfId="0" applyFont="1" applyFill="1" applyBorder="1" applyAlignment="1">
      <alignment horizontal="center" vertical="center" wrapText="1"/>
    </xf>
    <xf numFmtId="0" fontId="2" fillId="2" borderId="1" xfId="0" applyFont="1" applyFill="1" applyBorder="1" applyAlignment="1">
      <alignment horizontal="center" wrapText="1"/>
    </xf>
    <xf numFmtId="0" fontId="2" fillId="2" borderId="9" xfId="0" applyFont="1" applyFill="1" applyBorder="1" applyAlignment="1">
      <alignment horizontal="center" wrapText="1"/>
    </xf>
    <xf numFmtId="0" fontId="2" fillId="2" borderId="2" xfId="0" applyFont="1" applyFill="1" applyBorder="1" applyAlignment="1">
      <alignment horizontal="center" wrapText="1"/>
    </xf>
    <xf numFmtId="0" fontId="2" fillId="2" borderId="7" xfId="0" applyFont="1" applyFill="1" applyBorder="1" applyAlignment="1">
      <alignment horizontal="center" wrapText="1"/>
    </xf>
    <xf numFmtId="0" fontId="2" fillId="2" borderId="4" xfId="0" applyFont="1" applyFill="1" applyBorder="1" applyAlignment="1">
      <alignment horizontal="left" vertical="top"/>
    </xf>
    <xf numFmtId="0" fontId="2" fillId="2" borderId="5" xfId="0" applyFont="1" applyFill="1" applyBorder="1" applyAlignment="1">
      <alignment horizontal="left" vertical="top"/>
    </xf>
    <xf numFmtId="0" fontId="3" fillId="4" borderId="24" xfId="0" applyFont="1" applyFill="1" applyBorder="1" applyAlignment="1">
      <alignment horizontal="center" vertical="center" wrapText="1"/>
    </xf>
    <xf numFmtId="0" fontId="3" fillId="4" borderId="25" xfId="0" applyFont="1" applyFill="1" applyBorder="1" applyAlignment="1">
      <alignment horizontal="center" vertical="center" wrapText="1"/>
    </xf>
    <xf numFmtId="0" fontId="3" fillId="4" borderId="27"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1" borderId="16" xfId="0" applyFont="1" applyFill="1" applyBorder="1" applyAlignment="1">
      <alignment horizontal="center" vertical="center" wrapText="1"/>
    </xf>
    <xf numFmtId="0" fontId="3" fillId="11" borderId="13" xfId="0" applyFont="1" applyFill="1" applyBorder="1" applyAlignment="1">
      <alignment horizontal="center" vertical="center" wrapText="1"/>
    </xf>
    <xf numFmtId="0" fontId="2" fillId="2" borderId="3" xfId="0" applyFont="1" applyFill="1" applyBorder="1" applyAlignment="1">
      <alignment horizontal="center" wrapText="1"/>
    </xf>
    <xf numFmtId="0" fontId="2" fillId="2" borderId="8" xfId="0" applyFont="1" applyFill="1" applyBorder="1" applyAlignment="1">
      <alignment horizontal="center" wrapText="1"/>
    </xf>
    <xf numFmtId="0" fontId="2" fillId="2" borderId="4" xfId="3" applyFont="1" applyFill="1" applyBorder="1" applyAlignment="1">
      <alignment horizontal="left" vertical="top"/>
    </xf>
    <xf numFmtId="0" fontId="3" fillId="8" borderId="13" xfId="3" applyFont="1" applyFill="1" applyBorder="1" applyAlignment="1">
      <alignment horizontal="center" vertical="center"/>
    </xf>
    <xf numFmtId="0" fontId="2" fillId="2" borderId="1" xfId="3" applyFont="1" applyFill="1" applyBorder="1" applyAlignment="1">
      <alignment horizontal="center"/>
    </xf>
    <xf numFmtId="0" fontId="2" fillId="2" borderId="2" xfId="3" applyFont="1" applyFill="1" applyBorder="1" applyAlignment="1">
      <alignment horizontal="center"/>
    </xf>
    <xf numFmtId="0" fontId="2" fillId="2" borderId="3" xfId="3" applyFont="1" applyFill="1" applyBorder="1" applyAlignment="1">
      <alignment horizontal="center"/>
    </xf>
    <xf numFmtId="0" fontId="12" fillId="0" borderId="0" xfId="5" applyAlignment="1">
      <alignment horizontal="left"/>
    </xf>
    <xf numFmtId="0" fontId="0" fillId="0" borderId="20" xfId="0" applyBorder="1" applyAlignment="1">
      <alignment horizontal="left" vertical="center"/>
    </xf>
    <xf numFmtId="0" fontId="0" fillId="0" borderId="33" xfId="0" applyBorder="1" applyAlignment="1">
      <alignment horizontal="left" vertical="center"/>
    </xf>
    <xf numFmtId="0" fontId="0" fillId="0" borderId="21" xfId="0" applyBorder="1" applyAlignment="1">
      <alignment horizontal="left" vertical="center"/>
    </xf>
    <xf numFmtId="0" fontId="0" fillId="0" borderId="22" xfId="0" applyBorder="1" applyAlignment="1">
      <alignment horizontal="left" vertical="center"/>
    </xf>
    <xf numFmtId="0" fontId="0" fillId="0" borderId="30" xfId="0" applyBorder="1" applyAlignment="1">
      <alignment horizontal="left" vertical="center"/>
    </xf>
    <xf numFmtId="0" fontId="0" fillId="0" borderId="23" xfId="0" applyBorder="1" applyAlignment="1">
      <alignment horizontal="left" vertical="center"/>
    </xf>
    <xf numFmtId="0" fontId="6" fillId="7" borderId="17" xfId="0" applyFont="1" applyFill="1" applyBorder="1" applyAlignment="1">
      <alignment horizontal="center" vertical="center"/>
    </xf>
    <xf numFmtId="0" fontId="6" fillId="7" borderId="18" xfId="0" applyFont="1" applyFill="1" applyBorder="1" applyAlignment="1">
      <alignment horizontal="center" vertical="center"/>
    </xf>
    <xf numFmtId="0" fontId="6" fillId="7" borderId="19" xfId="0" applyFont="1" applyFill="1" applyBorder="1" applyAlignment="1">
      <alignment horizontal="center" vertical="center"/>
    </xf>
    <xf numFmtId="0" fontId="9" fillId="8" borderId="15" xfId="0" applyFont="1" applyFill="1" applyBorder="1" applyAlignment="1">
      <alignment horizontal="center" vertical="center"/>
    </xf>
    <xf numFmtId="0" fontId="2" fillId="2" borderId="1"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2"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9"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3" fillId="5" borderId="12" xfId="0" applyFont="1" applyFill="1" applyBorder="1" applyAlignment="1">
      <alignment horizontal="center" vertical="center" wrapText="1"/>
    </xf>
    <xf numFmtId="0" fontId="3" fillId="5" borderId="16" xfId="0" applyFont="1" applyFill="1" applyBorder="1" applyAlignment="1">
      <alignment horizontal="center" vertical="center" wrapText="1"/>
    </xf>
    <xf numFmtId="0" fontId="3" fillId="5" borderId="13"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3" fillId="3" borderId="12" xfId="0" applyFont="1" applyFill="1" applyBorder="1" applyAlignment="1">
      <alignment horizontal="center" vertical="center" wrapText="1"/>
    </xf>
    <xf numFmtId="0" fontId="3" fillId="3" borderId="16" xfId="0" applyFont="1" applyFill="1" applyBorder="1" applyAlignment="1">
      <alignment horizontal="center" vertical="center" wrapText="1"/>
    </xf>
    <xf numFmtId="0" fontId="3" fillId="3" borderId="13" xfId="0" applyFont="1" applyFill="1" applyBorder="1" applyAlignment="1">
      <alignment horizontal="center" vertical="center" wrapText="1"/>
    </xf>
    <xf numFmtId="0" fontId="2" fillId="2" borderId="4" xfId="0" applyFont="1" applyFill="1" applyBorder="1" applyAlignment="1">
      <alignment horizontal="left" vertical="center" wrapText="1"/>
    </xf>
    <xf numFmtId="0" fontId="2" fillId="2" borderId="5" xfId="0" applyFont="1" applyFill="1" applyBorder="1" applyAlignment="1">
      <alignment horizontal="left" vertical="center" wrapText="1"/>
    </xf>
  </cellXfs>
  <cellStyles count="6">
    <cellStyle name="Comma" xfId="1" builtinId="3"/>
    <cellStyle name="Hyperlink" xfId="5" builtinId="8"/>
    <cellStyle name="Normal" xfId="0" builtinId="0"/>
    <cellStyle name="Normal 2" xfId="3" xr:uid="{315D2730-9382-4AFC-8E39-817E86761304}"/>
    <cellStyle name="Percent" xfId="2" builtinId="5"/>
    <cellStyle name="Percent 2" xfId="4" xr:uid="{DA644F04-F3DC-4BC0-ABB2-4302D29307DD}"/>
  </cellStyles>
  <dxfs count="15">
    <dxf>
      <font>
        <color theme="0"/>
      </font>
      <fill>
        <patternFill patternType="darkDown">
          <fgColor theme="2" tint="-0.24994659260841701"/>
          <bgColor rgb="FF777777"/>
        </patternFill>
      </fill>
    </dxf>
    <dxf>
      <font>
        <color theme="0"/>
      </font>
      <fill>
        <patternFill patternType="lightDown">
          <fgColor theme="2" tint="-0.24994659260841701"/>
          <bgColor rgb="FF777777"/>
        </patternFill>
      </fill>
    </dxf>
    <dxf>
      <font>
        <color theme="0"/>
      </font>
      <fill>
        <patternFill patternType="lightDown">
          <fgColor theme="2" tint="-0.24994659260841701"/>
          <bgColor rgb="FF777777"/>
        </patternFill>
      </fill>
    </dxf>
    <dxf>
      <font>
        <color theme="0"/>
      </font>
      <fill>
        <patternFill patternType="lightDown">
          <fgColor theme="2" tint="-0.24994659260841701"/>
          <bgColor rgb="FF777777"/>
        </patternFill>
      </fill>
    </dxf>
    <dxf>
      <font>
        <color theme="0"/>
      </font>
      <fill>
        <patternFill patternType="darkDown">
          <fgColor theme="2" tint="-0.24994659260841701"/>
          <bgColor rgb="FF777777"/>
        </patternFill>
      </fill>
    </dxf>
    <dxf>
      <font>
        <color theme="0"/>
      </font>
      <fill>
        <patternFill patternType="lightDown">
          <fgColor theme="2" tint="-0.24994659260841701"/>
          <bgColor rgb="FF777777"/>
        </patternFill>
      </fill>
    </dxf>
    <dxf>
      <numFmt numFmtId="13" formatCode="0%"/>
    </dxf>
    <dxf>
      <numFmt numFmtId="0" formatCode="General"/>
    </dxf>
    <dxf>
      <alignment horizontal="center"/>
    </dxf>
    <dxf>
      <alignment horizontal="center"/>
    </dxf>
    <dxf>
      <alignment vertical="center"/>
    </dxf>
    <dxf>
      <alignment vertical="center"/>
    </dxf>
    <dxf>
      <alignment vertical="center"/>
    </dxf>
    <dxf>
      <alignment vertical="center"/>
    </dxf>
    <dxf>
      <alignment vertical="center"/>
    </dxf>
  </dxfs>
  <tableStyles count="0" defaultTableStyle="TableStyleMedium2" defaultPivotStyle="PivotStyleLight16"/>
  <colors>
    <mruColors>
      <color rgb="FF808080"/>
      <color rgb="FFCBD5E0"/>
      <color rgb="FF777777"/>
      <color rgb="FFC05621"/>
      <color rgb="FF6B46C1"/>
      <color rgb="FF4A5568"/>
      <color rgb="FFB7791F"/>
      <color rgb="FF2C7A7B"/>
      <color rgb="FF2F855A"/>
      <color rgb="FF2B6CB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ustomXml" Target="../customXml/item3.xml"/></Relationships>
</file>

<file path=xl/documenttasks/documenttask1.xml><?xml version="1.0" encoding="utf-8"?>
<Tasks xmlns="http://schemas.microsoft.com/office/tasks/2019/documenttasks">
  <Task id="{ABD7C192-969F-4493-9CC3-E668DFA5D6C6}">
    <Anchor>
      <Comment id="{77DBE0C5-E944-46DF-A122-B47C27D5707B}"/>
    </Anchor>
    <History>
      <Event time="2025-10-24T13:04:40.43" id="{1EB78C91-7FF6-49DB-A986-C02F6F37EB79}">
        <Attribution userId="S::Prasad.Poosarla@biworldwide.com::f2c3dffb-8fe6-43b0-87d6-23382bcf6f6c" userName="Prasad Poosarla" userProvider="AD"/>
        <Anchor>
          <Comment id="{D49248AD-4205-4EAE-8B47-AAF37A47684D}"/>
        </Anchor>
        <Create/>
      </Event>
      <Event time="2025-10-24T13:04:40.43" id="{CE61D891-5B5C-45ED-9A55-D2028B3D4530}">
        <Attribution userId="S::Prasad.Poosarla@biworldwide.com::f2c3dffb-8fe6-43b0-87d6-23382bcf6f6c" userName="Prasad Poosarla" userProvider="AD"/>
        <Anchor>
          <Comment id="{D49248AD-4205-4EAE-8B47-AAF37A47684D}"/>
        </Anchor>
        <Assign userId="S::Muruganandham.Jayapal@biworldwide.com::efddbbdc-2c3b-406a-815e-d6e86d762771" userName="Muruganandham Jayapal" userProvider="AD"/>
      </Event>
      <Event time="2025-10-24T13:04:40.43" id="{95FAD2E1-C9C8-47E5-ADF5-6644EEEED220}">
        <Attribution userId="S::Prasad.Poosarla@biworldwide.com::f2c3dffb-8fe6-43b0-87d6-23382bcf6f6c" userName="Prasad Poosarla" userProvider="AD"/>
        <Anchor>
          <Comment id="{D49248AD-4205-4EAE-8B47-AAF37A47684D}"/>
        </Anchor>
        <SetTitle title="@Muruganandham Jayapal - Pls correct this ASAP"/>
      </Event>
    </History>
  </Task>
  <Task id="{5EDB829A-9CEF-4361-83B5-37D90B79210E}">
    <Anchor>
      <Comment id="{45309997-2B1F-4BD9-8055-10B5894A7A4B}"/>
    </Anchor>
    <History>
      <Event time="2025-10-24T13:04:40.43" id="{1EB78C91-7FF6-49DB-A986-C02F6F37EB79}">
        <Attribution userId="S::Prasad.Poosarla@biworldwide.com::f2c3dffb-8fe6-43b0-87d6-23382bcf6f6c" userName="Prasad Poosarla" userProvider="AD"/>
        <Anchor>
          <Comment id="{A71CDA3B-3471-4ED4-9E44-2D9F8F409DDB}"/>
        </Anchor>
        <Create/>
      </Event>
      <Event time="2025-10-24T13:04:40.43" id="{CE61D891-5B5C-45ED-9A55-D2028B3D4530}">
        <Attribution userId="S::Prasad.Poosarla@biworldwide.com::f2c3dffb-8fe6-43b0-87d6-23382bcf6f6c" userName="Prasad Poosarla" userProvider="AD"/>
        <Anchor>
          <Comment id="{A71CDA3B-3471-4ED4-9E44-2D9F8F409DDB}"/>
        </Anchor>
        <Assign userId="S::Muruganandham.Jayapal@biworldwide.com::efddbbdc-2c3b-406a-815e-d6e86d762771" userName="Muruganandham Jayapal" userProvider="AD"/>
      </Event>
      <Event time="2025-10-24T13:04:40.43" id="{95FAD2E1-C9C8-47E5-ADF5-6644EEEED220}">
        <Attribution userId="S::Prasad.Poosarla@biworldwide.com::f2c3dffb-8fe6-43b0-87d6-23382bcf6f6c" userName="Prasad Poosarla" userProvider="AD"/>
        <Anchor>
          <Comment id="{A71CDA3B-3471-4ED4-9E44-2D9F8F409DDB}"/>
        </Anchor>
        <SetTitle title="@Muruganandham Jayapal - Pls correct this ASAP"/>
      </Event>
    </History>
  </Task>
  <Task id="{ACAFAACA-7E59-4369-A4B2-CC29790C5395}">
    <Anchor>
      <Comment id="{3E1C56E0-0754-4A1D-B923-1C5C739136B0}"/>
    </Anchor>
    <History>
      <Event time="2025-10-24T13:04:40.43" id="{1EB78C91-7FF6-49DB-A986-C02F6F37EB79}">
        <Attribution userId="S::Prasad.Poosarla@biworldwide.com::f2c3dffb-8fe6-43b0-87d6-23382bcf6f6c" userName="Prasad Poosarla" userProvider="AD"/>
        <Anchor>
          <Comment id="{007BB04A-D09F-4122-BC30-EE1CCD131D9D}"/>
        </Anchor>
        <Create/>
      </Event>
      <Event time="2025-10-24T13:04:40.43" id="{CE61D891-5B5C-45ED-9A55-D2028B3D4530}">
        <Attribution userId="S::Prasad.Poosarla@biworldwide.com::f2c3dffb-8fe6-43b0-87d6-23382bcf6f6c" userName="Prasad Poosarla" userProvider="AD"/>
        <Anchor>
          <Comment id="{007BB04A-D09F-4122-BC30-EE1CCD131D9D}"/>
        </Anchor>
        <Assign userId="S::Muruganandham.Jayapal@biworldwide.com::efddbbdc-2c3b-406a-815e-d6e86d762771" userName="Muruganandham Jayapal" userProvider="AD"/>
      </Event>
      <Event time="2025-10-24T13:04:40.43" id="{95FAD2E1-C9C8-47E5-ADF5-6644EEEED220}">
        <Attribution userId="S::Prasad.Poosarla@biworldwide.com::f2c3dffb-8fe6-43b0-87d6-23382bcf6f6c" userName="Prasad Poosarla" userProvider="AD"/>
        <Anchor>
          <Comment id="{007BB04A-D09F-4122-BC30-EE1CCD131D9D}"/>
        </Anchor>
        <SetTitle title="@Muruganandham Jayapal - Pls correct this ASAP"/>
      </Event>
    </History>
  </Task>
</Tasks>
</file>

<file path=xl/drawings/drawing1.xml><?xml version="1.0" encoding="utf-8"?>
<xdr:wsDr xmlns:xdr="http://schemas.openxmlformats.org/drawingml/2006/spreadsheetDrawing" xmlns:a="http://schemas.openxmlformats.org/drawingml/2006/main">
  <xdr:twoCellAnchor editAs="oneCell">
    <xdr:from>
      <xdr:col>8</xdr:col>
      <xdr:colOff>95250</xdr:colOff>
      <xdr:row>0</xdr:row>
      <xdr:rowOff>101600</xdr:rowOff>
    </xdr:from>
    <xdr:to>
      <xdr:col>11</xdr:col>
      <xdr:colOff>95250</xdr:colOff>
      <xdr:row>13</xdr:row>
      <xdr:rowOff>22222</xdr:rowOff>
    </xdr:to>
    <mc:AlternateContent xmlns:mc="http://schemas.openxmlformats.org/markup-compatibility/2006" xmlns:a14="http://schemas.microsoft.com/office/drawing/2010/main">
      <mc:Choice Requires="a14">
        <xdr:graphicFrame macro="">
          <xdr:nvGraphicFramePr>
            <xdr:cNvPr id="2" name="Team">
              <a:extLst>
                <a:ext uri="{FF2B5EF4-FFF2-40B4-BE49-F238E27FC236}">
                  <a16:creationId xmlns:a16="http://schemas.microsoft.com/office/drawing/2014/main" id="{0F5CC3E9-D1A0-4F00-971D-2322DF2CEBE8}"/>
                </a:ext>
              </a:extLst>
            </xdr:cNvPr>
            <xdr:cNvGraphicFramePr/>
          </xdr:nvGraphicFramePr>
          <xdr:xfrm>
            <a:off x="0" y="0"/>
            <a:ext cx="0" cy="0"/>
          </xdr:xfrm>
          <a:graphic>
            <a:graphicData uri="http://schemas.microsoft.com/office/drawing/2010/slicer">
              <sle:slicer xmlns:sle="http://schemas.microsoft.com/office/drawing/2010/slicer" name="Team"/>
            </a:graphicData>
          </a:graphic>
        </xdr:graphicFrame>
      </mc:Choice>
      <mc:Fallback xmlns="">
        <xdr:sp macro="" textlink="">
          <xdr:nvSpPr>
            <xdr:cNvPr id="0" name=""/>
            <xdr:cNvSpPr>
              <a:spLocks noTextEdit="1"/>
            </xdr:cNvSpPr>
          </xdr:nvSpPr>
          <xdr:spPr>
            <a:xfrm>
              <a:off x="7629525" y="101600"/>
              <a:ext cx="1828800" cy="26257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person displayName="Muruganandham Jayapal" id="{3C40CBA5-5E72-4EEC-A8E1-B3C8CC8E59BA}" userId="Muruganandham.Jayapal@biworldwide.com" providerId="PeoplePicker"/>
  <person displayName="Hemanth Kannan" id="{7BC007F9-44EC-4268-A357-ABFB2B025DDE}" userId="S::Hemanth.Kannan@biworldwide.com::b2365473-fc9c-40f1-935e-0b2074ab6cff" providerId="AD"/>
  <person displayName="Usman Mohammed" id="{CCA43D2D-A603-4843-9D98-C4FCA6E506BA}" userId="S::Usman.Mohammed@biworldwide.com::f68e93ff-fb24-461f-9f29-49e47813c967" providerId="AD"/>
  <person displayName="Prasad Poosarla" id="{2B033031-8A1D-46C4-A114-D72CDD6F08A3}" userId="S::Prasad.Poosarla@biworldwide.com::f2c3dffb-8fe6-43b0-87d6-23382bcf6f6c" providerId="AD"/>
  <person displayName="Muruganandham Jayapal" id="{181DB2AE-0167-4407-A014-A196696B4DAB}" userId="S::Muruganandham.Jayapal@biworldwide.com::efddbbdc-2c3b-406a-815e-d6e86d762771" providerId="AD"/>
</personList>
</file>

<file path=xl/pivotCache/_rels/pivotCacheDefinition1.xml.rels><?xml version="1.0" encoding="UTF-8" standalone="yes"?>
<Relationships xmlns="http://schemas.openxmlformats.org/package/2006/relationships"><Relationship Id="rId2" Type="http://schemas.openxmlformats.org/officeDocument/2006/relationships/externalLinkPath" Target="/personal/prasad_poosarla_biworldwide_com/Documents/Prasad%20Backup/Prasad%20Docs/Financials/2026%20Budget/KPI%20Tracking/November/FY26%20-%20Project%20Metrics%20-TSG%20East%20(%20Big%20Bang%20).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vakumar Moorthy" refreshedDate="45939.789298148149" createdVersion="8" refreshedVersion="8" minRefreshableVersion="3" recordCount="144" xr:uid="{43BDE202-9525-473D-87C0-90A6431C3DA0}">
  <cacheSource type="worksheet">
    <worksheetSource ref="A1:M145" sheet="Data" r:id="rId2"/>
  </cacheSource>
  <cacheFields count="15">
    <cacheField name="Team" numFmtId="0">
      <sharedItems count="2">
        <s v="Data"/>
        <s v="TSG-East &amp; Custom"/>
      </sharedItems>
    </cacheField>
    <cacheField name="Project" numFmtId="0">
      <sharedItems count="7">
        <s v="Intel Suite"/>
        <s v="Marketplace"/>
        <s v="travel-on-the-fly"/>
        <s v="travel-on-the-fly-2.0"/>
        <s v="goodman-dealerfirst"/>
        <s v="carrier-bryant-presidents-club-laravel"/>
        <s v="coke-distributor-leads"/>
      </sharedItems>
    </cacheField>
    <cacheField name="Title" numFmtId="0">
      <sharedItems/>
    </cacheField>
    <cacheField name="Issue ID" numFmtId="0">
      <sharedItems containsSemiMixedTypes="0" containsString="0" containsNumber="1" containsInteger="1" minValue="34" maxValue="2082"/>
    </cacheField>
    <cacheField name="Assignee" numFmtId="0">
      <sharedItems containsBlank="1"/>
    </cacheField>
    <cacheField name="Due Date" numFmtId="0">
      <sharedItems containsSemiMixedTypes="0" containsNonDate="0" containsDate="1" containsString="0" minDate="2025-07-04T00:00:00" maxDate="2025-10-01T00:00:00" count="48">
        <d v="2025-07-05T00:00:00"/>
        <d v="2025-07-19T00:00:00"/>
        <d v="2025-07-26T00:00:00"/>
        <d v="2025-08-29T00:00:00"/>
        <d v="2025-07-31T00:00:00"/>
        <d v="2025-08-01T00:00:00"/>
        <d v="2025-09-20T00:00:00"/>
        <d v="2025-08-09T00:00:00"/>
        <d v="2025-09-13T00:00:00"/>
        <d v="2025-08-04T00:00:00"/>
        <d v="2025-08-31T00:00:00"/>
        <d v="2025-08-16T00:00:00"/>
        <d v="2025-09-06T00:00:00"/>
        <d v="2025-09-16T00:00:00"/>
        <d v="2025-09-27T00:00:00"/>
        <d v="2025-09-25T00:00:00"/>
        <d v="2025-09-29T00:00:00"/>
        <d v="2025-07-12T00:00:00"/>
        <d v="2025-08-15T00:00:00"/>
        <d v="2025-09-15T00:00:00"/>
        <d v="2025-09-30T00:00:00"/>
        <d v="2025-09-10T00:00:00"/>
        <d v="2025-09-12T00:00:00"/>
        <d v="2025-08-30T00:00:00"/>
        <d v="2025-09-17T00:00:00"/>
        <d v="2025-08-02T00:00:00"/>
        <d v="2025-07-21T00:00:00"/>
        <d v="2025-07-04T00:00:00"/>
        <d v="2025-07-08T00:00:00"/>
        <d v="2025-07-10T00:00:00"/>
        <d v="2025-07-23T00:00:00"/>
        <d v="2025-07-28T00:00:00"/>
        <d v="2025-08-13T00:00:00"/>
        <d v="2025-08-18T00:00:00"/>
        <d v="2025-09-01T00:00:00"/>
        <d v="2025-09-02T00:00:00"/>
        <d v="2025-09-22T00:00:00"/>
        <d v="2025-09-26T00:00:00"/>
        <d v="2025-09-08T00:00:00"/>
        <d v="2025-08-27T00:00:00"/>
        <d v="2025-08-22T00:00:00"/>
        <d v="2025-08-23T00:00:00"/>
        <d v="2025-08-12T00:00:00"/>
        <d v="2025-08-11T00:00:00"/>
        <d v="2025-08-06T00:00:00"/>
        <d v="2025-07-25T00:00:00"/>
        <d v="2025-07-18T00:00:00"/>
        <d v="2025-07-14T00:00:00"/>
      </sharedItems>
      <fieldGroup par="14"/>
    </cacheField>
    <cacheField name="Closed" numFmtId="0">
      <sharedItems containsNonDate="0" containsDate="1" containsString="0" containsBlank="1" minDate="2025-06-23T00:00:00" maxDate="2025-09-30T00:00:00"/>
    </cacheField>
    <cacheField name="Labels" numFmtId="0">
      <sharedItems/>
    </cacheField>
    <cacheField name="Time Estimate" numFmtId="0">
      <sharedItems containsSemiMixedTypes="0" containsString="0" containsNumber="1" containsInteger="1" minValue="0" maxValue="288000"/>
    </cacheField>
    <cacheField name="Time Spent" numFmtId="0">
      <sharedItems containsSemiMixedTypes="0" containsString="0" containsNumber="1" containsInteger="1" minValue="0" maxValue="478800"/>
    </cacheField>
    <cacheField name="Schedule Adherence" numFmtId="0">
      <sharedItems containsSemiMixedTypes="0" containsString="0" containsNumber="1" containsInteger="1" minValue="0" maxValue="1"/>
    </cacheField>
    <cacheField name="Effort Adherence" numFmtId="0">
      <sharedItems containsSemiMixedTypes="0" containsString="0" containsNumber="1" containsInteger="1" minValue="0" maxValue="1"/>
    </cacheField>
    <cacheField name="Quality" numFmtId="0">
      <sharedItems containsSemiMixedTypes="0" containsString="0" containsNumber="1" containsInteger="1" minValue="1" maxValue="1"/>
    </cacheField>
    <cacheField name="Days (Due Date)" numFmtId="0" databaseField="0">
      <fieldGroup base="5">
        <rangePr groupBy="days" startDate="2025-07-04T00:00:00" endDate="2025-10-01T00:00:00"/>
        <groupItems count="368">
          <s v="&lt;7/4/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0/1/2025"/>
        </groupItems>
      </fieldGroup>
    </cacheField>
    <cacheField name="Months (Due Date)" numFmtId="0" databaseField="0">
      <fieldGroup base="5">
        <rangePr groupBy="months" startDate="2025-07-04T00:00:00" endDate="2025-10-01T00:00:00"/>
        <groupItems count="14">
          <s v="&lt;7/4/2025"/>
          <s v="Jan"/>
          <s v="Feb"/>
          <s v="Mar"/>
          <s v="Apr"/>
          <s v="May"/>
          <s v="Jun"/>
          <s v="Jul"/>
          <s v="Aug"/>
          <s v="Sep"/>
          <s v="Oct"/>
          <s v="Nov"/>
          <s v="Dec"/>
          <s v="&gt;10/1/2025"/>
        </groupItems>
      </fieldGroup>
    </cacheField>
  </cacheFields>
  <extLst>
    <ext xmlns:x14="http://schemas.microsoft.com/office/spreadsheetml/2009/9/main" uri="{725AE2AE-9491-48be-B2B4-4EB974FC3084}">
      <x14:pivotCacheDefinition pivotCacheId="10414053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4">
  <r>
    <x v="0"/>
    <x v="0"/>
    <s v="Bug: Prod - Tata Tiscon - User count Mismatch between Source to Silver and Gold"/>
    <n v="416"/>
    <s v="Surendar Velu"/>
    <x v="0"/>
    <d v="2025-07-04T00:00:00"/>
    <s v="Activity ID :: 01196176 | Type_Bug_Fixes,Data Analytics,Project :: PDP,Project ID :: 0065243,Type :: Maintenance"/>
    <n v="28800"/>
    <n v="28800"/>
    <n v="1"/>
    <n v="1"/>
    <n v="1"/>
  </r>
  <r>
    <x v="0"/>
    <x v="0"/>
    <s v="Task: Extract Briks Data from MongoDB and Load through Bronze &amp; Silver Layers"/>
    <n v="423"/>
    <s v="Gokul Rajanbabu"/>
    <x v="1"/>
    <d v="2025-07-14T00:00:00"/>
    <s v="Activity ID :: 01196174 | Feature_Briks_Reporting,Data Analytics,Project :: PDP,Project ID :: 0065243"/>
    <n v="144000"/>
    <n v="144000"/>
    <n v="1"/>
    <n v="1"/>
    <n v="1"/>
  </r>
  <r>
    <x v="0"/>
    <x v="0"/>
    <s v="Maintenance - Prod - Issue in Gold layer - 20062025"/>
    <n v="429"/>
    <s v="Surendar Velu, MohamadIshaq Khan"/>
    <x v="0"/>
    <d v="2025-07-02T00:00:00"/>
    <s v="Activity ID :: 01196177 | Type_Maintenance,Project :: PDP,Project ID :: 0065243,Type :: Maintenance"/>
    <n v="144000"/>
    <n v="144000"/>
    <n v="1"/>
    <n v="1"/>
    <n v="1"/>
  </r>
  <r>
    <x v="0"/>
    <x v="0"/>
    <s v="Maintenance - Prod - PSAT Gold error"/>
    <n v="430"/>
    <s v="Surendar Velu"/>
    <x v="0"/>
    <d v="2025-07-04T00:00:00"/>
    <s v="Activity ID :: 01196177 | Type_Maintenance,Project :: PDP,Project ID :: 0065243,Type :: Maintenance"/>
    <n v="43200"/>
    <n v="43200"/>
    <n v="1"/>
    <n v="1"/>
    <n v="1"/>
  </r>
  <r>
    <x v="0"/>
    <x v="0"/>
    <s v="Maintenance - Prod - Phoenix pipeline failed."/>
    <n v="431"/>
    <s v="Surendar Velu"/>
    <x v="0"/>
    <d v="2025-06-23T00:00:00"/>
    <s v="Activity ID :: 01196177 | Type_Maintenance,Project :: PDP,Project ID :: 0065243,Type :: Maintenance"/>
    <n v="10800"/>
    <n v="10800"/>
    <n v="1"/>
    <n v="1"/>
    <n v="1"/>
  </r>
  <r>
    <x v="0"/>
    <x v="0"/>
    <s v="Task: Design and Develop Gold Layer for BRIKS Data"/>
    <n v="432"/>
    <s v="Gokul Rajanbabu"/>
    <x v="1"/>
    <d v="2025-07-14T00:00:00"/>
    <s v="Activity ID :: 01196174 | Feature_Briks_Reporting,Data Analytics,Project :: PDP,Project ID :: 0065243"/>
    <n v="144000"/>
    <n v="230400"/>
    <n v="1"/>
    <n v="0"/>
    <n v="1"/>
  </r>
  <r>
    <x v="0"/>
    <x v="0"/>
    <s v="Infra: Manage Databricks and ADSL pipeline support activities"/>
    <n v="433"/>
    <s v="Nagarajan Rengaswamy"/>
    <x v="1"/>
    <d v="2025-07-14T00:00:00"/>
    <s v="Activity ID :: 01196178 | Type_Infrastructure,Data Analytics,Project :: PDP,Project ID :: 0065243"/>
    <n v="28800"/>
    <n v="28800"/>
    <n v="1"/>
    <n v="1"/>
    <n v="1"/>
  </r>
  <r>
    <x v="0"/>
    <x v="0"/>
    <s v="Bug: Reconciliation for table count and data check is failing."/>
    <n v="434"/>
    <s v="Surendar Velu"/>
    <x v="0"/>
    <d v="2025-07-04T00:00:00"/>
    <s v="Activity ID :: 01196177 | Type_Maintenance,Project :: PDP,Project ID :: 0065243,Type :: Maintenance"/>
    <n v="28800"/>
    <n v="28800"/>
    <n v="1"/>
    <n v="1"/>
    <n v="1"/>
  </r>
  <r>
    <x v="0"/>
    <x v="0"/>
    <s v="Infra: Investigate Fivetran Costing Issue for ADSL"/>
    <n v="435"/>
    <s v="Nagarajan Rengaswamy"/>
    <x v="1"/>
    <d v="2025-07-14T00:00:00"/>
    <s v="Activity ID :: 01196178 | Type_Infrastructure,Project :: PDP,Project ID :: 0065243,Type :: Infrastructure"/>
    <n v="14400"/>
    <n v="14400"/>
    <n v="1"/>
    <n v="1"/>
    <n v="1"/>
  </r>
  <r>
    <x v="0"/>
    <x v="0"/>
    <s v="Infra: Pipeline Enhancements - dim_hierarchy, Retry Logic, and ADSL Table Verification"/>
    <n v="436"/>
    <s v="Nagarajan Rengaswamy"/>
    <x v="1"/>
    <d v="2025-07-14T00:00:00"/>
    <s v="Activity ID :: 01196178 | Type_Infrastructure,Project :: PDP,Project ID :: 0065243,Type :: Infrastructure"/>
    <n v="14400"/>
    <n v="14400"/>
    <n v="1"/>
    <n v="1"/>
    <n v="1"/>
  </r>
  <r>
    <x v="0"/>
    <x v="0"/>
    <s v="Task: Power BI Dashboard: Formatting, Visual Quality Check, and Stakeholder Feedback Updates"/>
    <n v="437"/>
    <s v="Rajprabhu Ravi"/>
    <x v="2"/>
    <d v="2025-07-21T00:00:00"/>
    <s v="Activity ID :: 01196171 | Feature_Dashboards,Project :: PDP,Project ID :: 0065243,Type :: Development"/>
    <n v="216000"/>
    <n v="180000"/>
    <n v="1"/>
    <n v="1"/>
    <n v="1"/>
  </r>
  <r>
    <x v="0"/>
    <x v="0"/>
    <s v="Feature: Improve Nudge Functionality with Dynamic Content and Configurability"/>
    <n v="438"/>
    <m/>
    <x v="3"/>
    <m/>
    <s v="Activity ID :: 01196172 | Feature_Nudge_Engine,Feature :: Nudge Engine Enhancements,Project :: PDP"/>
    <n v="0"/>
    <n v="0"/>
    <n v="1"/>
    <n v="1"/>
    <n v="1"/>
  </r>
  <r>
    <x v="0"/>
    <x v="0"/>
    <s v="Task: Dynamic Placeholders in Nudge Texts"/>
    <n v="439"/>
    <s v="Surendar Velu"/>
    <x v="2"/>
    <d v="2025-07-21T00:00:00"/>
    <s v="Activity ID :: 01196172 | Feature_Nudge_Engine,Feature :: Nudge Engine Enhancements,Project :: PDP,Project ID :: 0065243"/>
    <n v="144000"/>
    <n v="136800"/>
    <n v="1"/>
    <n v="1"/>
    <n v="1"/>
  </r>
  <r>
    <x v="0"/>
    <x v="0"/>
    <s v="Task: Enable Table-Based Configuration for Client Onboarding"/>
    <n v="440"/>
    <s v="Surendar Velu"/>
    <x v="4"/>
    <d v="2025-07-28T00:00:00"/>
    <s v="Activity ID :: 01196172 | Feature_Nudge_Engine,Feature :: Nudge Engine Enhancements,Project :: PDP,Project ID :: 0065243"/>
    <n v="144000"/>
    <n v="122400"/>
    <n v="1"/>
    <n v="1"/>
    <n v="1"/>
  </r>
  <r>
    <x v="0"/>
    <x v="0"/>
    <s v="Task: Add Start and End Date Support for Nudges"/>
    <n v="441"/>
    <s v="Surendar Velu"/>
    <x v="5"/>
    <d v="2025-07-28T00:00:00"/>
    <s v="Activity ID :: 01196172 | Feature_Nudge_Engine,Feature :: Nudge Engine Enhancements,Project :: PDP,Project ID :: 0065243"/>
    <n v="72000"/>
    <n v="50400"/>
    <n v="1"/>
    <n v="1"/>
    <n v="1"/>
  </r>
  <r>
    <x v="0"/>
    <x v="0"/>
    <s v="Task: Create Unified Gold Layer View for Partner and No Activity Clusters"/>
    <n v="443"/>
    <s v="Surendar Velu"/>
    <x v="4"/>
    <d v="2025-07-25T00:00:00"/>
    <s v="Activity ID :: 01196177 | Type_Maintenance,Project :: PDP,Type :: Maintenance"/>
    <n v="28800"/>
    <n v="28800"/>
    <n v="1"/>
    <n v="1"/>
    <n v="1"/>
  </r>
  <r>
    <x v="0"/>
    <x v="0"/>
    <s v="Infra: Investigate AWS Tag-Level Mapping Issue in Billing Data"/>
    <n v="444"/>
    <s v="Nagarajan Rengaswamy"/>
    <x v="2"/>
    <d v="2025-07-21T00:00:00"/>
    <s v="Activity ID :: 01196178 | Type_Infrastructure,Project :: PDP,Project ID :: 0065243,Type :: Infrastructure"/>
    <n v="21600"/>
    <n v="21600"/>
    <n v="1"/>
    <n v="1"/>
    <n v="1"/>
  </r>
  <r>
    <x v="0"/>
    <x v="0"/>
    <s v="QA: Validate BRIKS Data Pipelines Across Layers and Report Issues"/>
    <n v="445"/>
    <s v="Muthurampandian Ramkumar"/>
    <x v="2"/>
    <d v="2025-07-21T00:00:00"/>
    <s v="Activity ID :: 01196174 | Feature_Briks_Reporting,Feature :: BRIKS Report Development,Project :: PDP,Project ID :: 0065243"/>
    <n v="43200"/>
    <n v="43200"/>
    <n v="1"/>
    <n v="1"/>
    <n v="1"/>
  </r>
  <r>
    <x v="0"/>
    <x v="0"/>
    <s v="Task: Define API Architecture for Gold Layer Access in Databricks"/>
    <n v="447"/>
    <s v="Rajprabhu Ravi"/>
    <x v="6"/>
    <d v="2025-09-15T00:00:00"/>
    <s v="Activity ID :: 01196170 | Feature_API_Layer,Feature :: API Layer Architecture,Project :: PDP,Project ID :: 0065243"/>
    <n v="288000"/>
    <n v="288000"/>
    <n v="1"/>
    <n v="1"/>
    <n v="1"/>
  </r>
  <r>
    <x v="0"/>
    <x v="0"/>
    <s v="Design: Define Use Cases and Role-Based Questions for Genie Agent"/>
    <n v="450"/>
    <s v="Gokul Rajanbabu"/>
    <x v="7"/>
    <d v="2025-08-04T00:00:00"/>
    <s v="Activity ID :: 01196175 | Feature_Genie_Usecases,Feature :: Genie Use Case,Project :: PDP,Project ID :: 0065243"/>
    <n v="115200"/>
    <n v="100800"/>
    <n v="1"/>
    <n v="1"/>
    <n v="1"/>
  </r>
  <r>
    <x v="0"/>
    <x v="0"/>
    <s v="POC: Prototype Role-Based Response with Hierarchy and RLS Logic"/>
    <n v="451"/>
    <s v="Gokul Rajanbabu"/>
    <x v="7"/>
    <d v="2025-08-04T00:00:00"/>
    <s v="Activity ID :: 01196175 | Feature_Genie_Usecases,Feature :: Genie Use Case,Project :: PDP,Project ID :: 0065243"/>
    <n v="115200"/>
    <n v="100800"/>
    <n v="1"/>
    <n v="1"/>
    <n v="1"/>
  </r>
  <r>
    <x v="0"/>
    <x v="0"/>
    <s v="Task: Train and Integrate Databricks Genie Agent into Channel Smart"/>
    <n v="452"/>
    <s v="Gokul Rajanbabu, Surendar Velu"/>
    <x v="8"/>
    <d v="2025-09-08T00:00:00"/>
    <s v="Activity ID :: 01196175 | Feature_Genie_Usecases,Feature :: Genie Use Case,Project :: PDP,Project ID :: 0065243"/>
    <n v="288000"/>
    <n v="288000"/>
    <n v="1"/>
    <n v="1"/>
    <n v="1"/>
  </r>
  <r>
    <x v="0"/>
    <x v="0"/>
    <s v="Task: Enhance Power BI Dashboards for Mobile App Compatibility (Intel Suite)"/>
    <n v="453"/>
    <s v="Muthurampandian Ramkumar"/>
    <x v="7"/>
    <d v="2025-08-04T00:00:00"/>
    <s v="Activity ID :: 01196171 | Feature_Dashboards,Feature :: Dashboard Development,Project :: PDP,Project ID :: 0065243"/>
    <n v="57600"/>
    <n v="54000"/>
    <n v="1"/>
    <n v="1"/>
    <n v="1"/>
  </r>
  <r>
    <x v="0"/>
    <x v="0"/>
    <s v="Task - OMT : Create New Stored Procedure and Attach to Existing SQL Job"/>
    <n v="454"/>
    <s v="Nagarajan Rengaswamy"/>
    <x v="7"/>
    <d v="2025-08-04T00:00:00"/>
    <s v="Activity ID :: 01196177 | Type_Maintenance,Project :: PDP,Project ID :: 0065243,Type :: Maintenance"/>
    <n v="7200"/>
    <n v="7200"/>
    <n v="1"/>
    <n v="1"/>
    <n v="1"/>
  </r>
  <r>
    <x v="0"/>
    <x v="0"/>
    <s v="Task - Mahle Data Pipeline Decommission â€“ Bronze, Silver, and Hard Delete"/>
    <n v="455"/>
    <s v="Nagarajan Rengaswamy"/>
    <x v="7"/>
    <d v="2025-08-04T00:00:00"/>
    <s v="Activity ID :: 01196177 | Type_Maintenance,Project :: PDP,Project ID :: 0065243,Type :: Maintenance"/>
    <n v="3600"/>
    <n v="3600"/>
    <n v="1"/>
    <n v="1"/>
    <n v="1"/>
  </r>
  <r>
    <x v="0"/>
    <x v="0"/>
    <s v="Task: Implement Service Account Setup for Git Access (Replace Personal Access Token)"/>
    <n v="456"/>
    <s v="Nagarajan Rengaswamy"/>
    <x v="7"/>
    <d v="2025-08-04T00:00:00"/>
    <s v="Activity ID :: 01196177 | Type_Maintenance,Project :: PDP,Project ID :: 0065243,Type :: Maintenance"/>
    <n v="14400"/>
    <n v="14400"/>
    <n v="1"/>
    <n v="1"/>
    <n v="1"/>
  </r>
  <r>
    <x v="0"/>
    <x v="0"/>
    <s v="Bug: Nudge - Error while running in client_onboarding_into_nudge_engine"/>
    <n v="457"/>
    <s v="Surendar Velu"/>
    <x v="9"/>
    <d v="2025-08-04T00:00:00"/>
    <s v="Activity ID :: 01196176 | Type_Bug_Fixes,Project :: PDP,Project ID :: 0065243,Type :: Bug"/>
    <n v="7200"/>
    <n v="7200"/>
    <n v="1"/>
    <n v="1"/>
    <n v="1"/>
  </r>
  <r>
    <x v="0"/>
    <x v="0"/>
    <s v="QA: Validation for Enhanced Nudge Engine â€“ Dynamic Content, Configurable Onboarding &amp; Date Control"/>
    <n v="458"/>
    <s v="Nagarajan Rengaswamy"/>
    <x v="10"/>
    <d v="2025-08-26T00:00:00"/>
    <s v="Activity ID :: 01196172 | Feature_Nudge_Engine,Project :: PDP,Project ID :: 0065243"/>
    <n v="72000"/>
    <n v="72000"/>
    <n v="1"/>
    <n v="1"/>
    <n v="1"/>
  </r>
  <r>
    <x v="0"/>
    <x v="0"/>
    <s v="Task: Add Materialized Views for Partner Activity, Sales, Promotions, and Redemption Insights"/>
    <n v="459"/>
    <s v="Surendar Velu"/>
    <x v="11"/>
    <d v="2025-08-11T00:00:00"/>
    <s v="Activity ID :: 01196171 | Feature_Dashboards,Feature :: Dashboard Development,Project :: PDP,Project ID :: 0065243"/>
    <n v="57600"/>
    <n v="57600"/>
    <n v="1"/>
    <n v="1"/>
    <n v="1"/>
  </r>
  <r>
    <x v="0"/>
    <x v="0"/>
    <s v="Task: Enhance Nudge Logic for Dynamic Sentence Generation"/>
    <n v="460"/>
    <s v="Surendar Velu"/>
    <x v="11"/>
    <d v="2025-08-11T00:00:00"/>
    <s v="Activity ID :: 01196172 | Feature_Nudge_Engine,Feature :: Nudge Engine Enhancements,Project :: PDP,Project ID :: 0065243"/>
    <n v="86400"/>
    <n v="86400"/>
    <n v="1"/>
    <n v="1"/>
    <n v="1"/>
  </r>
  <r>
    <x v="0"/>
    <x v="0"/>
    <s v="Task: Isuzu Client â€“ Final Mock Development, Estimation &amp; Approval"/>
    <n v="462"/>
    <s v="Rajprabhu Ravi"/>
    <x v="10"/>
    <m/>
    <s v="Activity ID :: 01197429 | Client_Isuzu_Dashboards,Feature :: Dashboard Development,Project :: PDP,Project ID :: 0065243"/>
    <n v="86400"/>
    <n v="86400"/>
    <n v="1"/>
    <n v="1"/>
    <n v="1"/>
  </r>
  <r>
    <x v="0"/>
    <x v="0"/>
    <s v="Task: Validate Aggregated Views and Measures in Intel Suite Dashboard"/>
    <n v="463"/>
    <s v="Muthurampandian Ramkumar"/>
    <x v="10"/>
    <d v="2025-08-26T00:00:00"/>
    <s v="Activity ID :: 01196171 | Feature_Dashboards,Feature :: Dashboard Development,Project :: PDP,Project ID :: 0065243"/>
    <n v="43200"/>
    <n v="43200"/>
    <n v="1"/>
    <n v="1"/>
    <n v="1"/>
  </r>
  <r>
    <x v="0"/>
    <x v="0"/>
    <s v="Bug: Error displayed when we are on boarding New Phoenix client Astral."/>
    <n v="464"/>
    <s v="Surendar Velu"/>
    <x v="11"/>
    <d v="2025-08-11T00:00:00"/>
    <s v="Activity ID :: 01196177 | Type_Maintenance,Project :: PDP,Project ID :: 0065243,Type :: Maintenance"/>
    <n v="7200"/>
    <n v="7200"/>
    <n v="1"/>
    <n v="1"/>
    <n v="1"/>
  </r>
  <r>
    <x v="0"/>
    <x v="0"/>
    <s v="Task: Enhance Gold Layer to Support Power BI Integration for Intel Suite Dashboards"/>
    <n v="465"/>
    <s v="Surendar Velu"/>
    <x v="10"/>
    <d v="2025-08-26T00:00:00"/>
    <s v="Activity ID :: 01196171 | Feature_Dashboards,Project :: PDP,Project ID :: 0065243"/>
    <n v="86400"/>
    <n v="57600"/>
    <n v="1"/>
    <n v="1"/>
    <n v="1"/>
  </r>
  <r>
    <x v="0"/>
    <x v="0"/>
    <s v="Task: Ingest Demo Tenant Data and Configure Databricks Pipelines"/>
    <n v="467"/>
    <s v="Nagarajan Rengaswamy"/>
    <x v="10"/>
    <d v="2025-08-26T00:00:00"/>
    <s v="Activity ID :: 01196178 | Type_Infrastructure,Project :: PDP,Project ID :: 0065243,Type :: Infrastructure"/>
    <n v="14400"/>
    <n v="14400"/>
    <n v="1"/>
    <n v="1"/>
    <n v="1"/>
  </r>
  <r>
    <x v="0"/>
    <x v="0"/>
    <s v="Task: Connect Demo Tenant Data Source to Intel Suite Dashboards"/>
    <n v="468"/>
    <s v="Muthurampandian Ramkumar"/>
    <x v="10"/>
    <d v="2025-08-26T00:00:00"/>
    <s v="Activity ID :: 01196171 | Feature_Dashboards,Feature :: Dashboard Development,Project :: PDP,Project ID :: 0065243"/>
    <n v="28800"/>
    <n v="28800"/>
    <n v="1"/>
    <n v="1"/>
    <n v="1"/>
  </r>
  <r>
    <x v="0"/>
    <x v="0"/>
    <s v="Load Missing Test Data and Validate Dashboard Visuals"/>
    <n v="469"/>
    <s v="Rajprabhu Ravi"/>
    <x v="10"/>
    <d v="2025-08-26T00:00:00"/>
    <s v="Activity ID :: 01196171 | Feature_Dashboards,Feature :: Dashboard Development,Project :: PDP,Project ID :: 0065243"/>
    <n v="57600"/>
    <n v="57600"/>
    <n v="1"/>
    <n v="1"/>
    <n v="1"/>
  </r>
  <r>
    <x v="0"/>
    <x v="0"/>
    <s v="Task: Connect Aggregated Data Source for Intel Suite Dashboard Development"/>
    <n v="470"/>
    <s v="Muthurampandian Ramkumar"/>
    <x v="10"/>
    <d v="2025-08-26T00:00:00"/>
    <s v="Activity ID :: 01196171 | Feature_Dashboards,Feature :: Dashboard Development,Project :: PDP,Project ID :: 0065243"/>
    <n v="86400"/>
    <n v="86400"/>
    <n v="1"/>
    <n v="1"/>
    <n v="1"/>
  </r>
  <r>
    <x v="0"/>
    <x v="0"/>
    <s v="Bug: Manager Dashboard Data Mismatches"/>
    <n v="471"/>
    <s v="Muthurampandian Ramkumar"/>
    <x v="12"/>
    <d v="2025-09-02T00:00:00"/>
    <s v="Activity ID :: 01196171 | Feature_Dashboards,Feature :: Dashboard Development,Project :: PDP,Project ID :: 0065243"/>
    <n v="28800"/>
    <n v="28800"/>
    <n v="1"/>
    <n v="1"/>
    <n v="1"/>
  </r>
  <r>
    <x v="0"/>
    <x v="0"/>
    <s v="Task: Update Relaxo Database Connection and Validate Pipelines"/>
    <n v="472"/>
    <s v="Nagarajan Rengaswamy"/>
    <x v="6"/>
    <d v="2025-09-15T00:00:00"/>
    <s v="Activity ID :: 01196178 | Type_Infrastructure,Project :: PDP,Project ID :: 0065243,Type :: Infrastructure"/>
    <n v="7200"/>
    <n v="7200"/>
    <n v="1"/>
    <n v="1"/>
    <n v="1"/>
  </r>
  <r>
    <x v="0"/>
    <x v="0"/>
    <s v="Task: Databricks Workspace Setup for Singapore Region"/>
    <n v="473"/>
    <s v="Nagarajan Rengaswamy"/>
    <x v="10"/>
    <d v="2025-09-15T00:00:00"/>
    <s v="Activity ID :: 01196178 | Type_Infrastructure,Project :: PDP,Project ID :: 0065243,Type :: Infrastructure"/>
    <n v="28800"/>
    <n v="64800"/>
    <n v="0"/>
    <n v="0"/>
    <n v="1"/>
  </r>
  <r>
    <x v="0"/>
    <x v="0"/>
    <s v="Task: Onboard Isuzu Client and Configure Pipelines"/>
    <n v="474"/>
    <s v="Nagarajan Rengaswamy"/>
    <x v="6"/>
    <d v="2025-09-15T00:00:00"/>
    <s v="Activity ID :: 01196178 | Type_Infrastructure,Project :: PDP,Project ID :: 0065243,Type :: Infrastructure"/>
    <n v="57600"/>
    <n v="57600"/>
    <n v="1"/>
    <n v="1"/>
    <n v="1"/>
  </r>
  <r>
    <x v="0"/>
    <x v="0"/>
    <s v="Task: Automate Workflow Tasks for New Databricks Setup"/>
    <n v="475"/>
    <s v="Surendar Velu"/>
    <x v="6"/>
    <d v="2025-09-08T00:00:00"/>
    <s v="Activity ID :: 01196178 | Type_Infrastructure,Project :: PDP,Project ID :: 0065243,Type :: Infrastructure"/>
    <n v="72000"/>
    <n v="64800"/>
    <n v="1"/>
    <n v="1"/>
    <n v="1"/>
  </r>
  <r>
    <x v="0"/>
    <x v="0"/>
    <s v="Bug: Isuzu Onboarding Issues"/>
    <n v="476"/>
    <s v="Surendar Velu"/>
    <x v="8"/>
    <d v="2025-09-08T00:00:00"/>
    <s v="Activity ID :: 01197429 | Client_Isuzu_Dashboards,Project :: PDP,Project ID :: 0065243,Type :: Maintenance"/>
    <n v="57600"/>
    <n v="57600"/>
    <n v="1"/>
    <n v="1"/>
    <n v="1"/>
  </r>
  <r>
    <x v="0"/>
    <x v="0"/>
    <s v="Task: Change the adsl source from fivertran schema to airbyte schema"/>
    <n v="477"/>
    <s v="Surendar Velu"/>
    <x v="8"/>
    <d v="2025-09-08T00:00:00"/>
    <s v="Activity ID :: 01197429 | Client_Isuzu_Dashboards,Project :: PDP,Project ID :: 0065243,Type :: Maintenance"/>
    <n v="57600"/>
    <n v="57600"/>
    <n v="1"/>
    <n v="1"/>
    <n v="1"/>
  </r>
  <r>
    <x v="0"/>
    <x v="0"/>
    <s v="Bug: partners without activity is missing in gold layer 'fct_partner_cluster_level'"/>
    <n v="479"/>
    <s v="Surendar Velu"/>
    <x v="13"/>
    <d v="2025-09-22T00:00:00"/>
    <s v="Activity ID :: 01196177 | Type_Maintenance,Project :: PDP,Project ID :: 0065243,Type :: Bug"/>
    <n v="57600"/>
    <n v="57600"/>
    <n v="0"/>
    <n v="1"/>
    <n v="1"/>
  </r>
  <r>
    <x v="0"/>
    <x v="0"/>
    <s v="Task: Create Phoenix base schema for new workspace setup"/>
    <n v="480"/>
    <s v="Surendar Velu"/>
    <x v="14"/>
    <d v="2025-09-24T00:00:00"/>
    <s v="Activity ID :: 01196177 | Type_Maintenance,Project :: PDP,Project ID :: 0065243,Type :: Maintenance"/>
    <n v="57600"/>
    <n v="57600"/>
    <n v="1"/>
    <n v="1"/>
    <n v="1"/>
  </r>
  <r>
    <x v="0"/>
    <x v="0"/>
    <s v="Task: Databricks Workspace Setup for US Region"/>
    <n v="481"/>
    <s v="Nagarajan Rengaswamy"/>
    <x v="6"/>
    <m/>
    <s v="Activity ID :: 01196178 | Type_Infrastructure,Project :: PDP,Project ID :: 0065243,Type :: Infrastructure"/>
    <n v="57600"/>
    <n v="36000"/>
    <n v="1"/>
    <n v="1"/>
    <n v="1"/>
  </r>
  <r>
    <x v="0"/>
    <x v="0"/>
    <s v="Task: Onboard Channel Smart Client â€“ Loreal client in US Account"/>
    <n v="482"/>
    <s v="Nagarajan Rengaswamy"/>
    <x v="6"/>
    <m/>
    <s v="Activity ID :: 01196178 | Type_Infrastructure,Project :: PDP,Project ID :: 0065243,Type :: Infrastructure"/>
    <n v="57600"/>
    <n v="39600"/>
    <n v="1"/>
    <n v="1"/>
    <n v="1"/>
  </r>
  <r>
    <x v="0"/>
    <x v="0"/>
    <s v="Task: Implement Visual Updates Based on Matt's Latest Design"/>
    <n v="483"/>
    <s v="Rajprabhu Ravi"/>
    <x v="15"/>
    <m/>
    <s v="Activity ID :: 01196171 | Feature_Dashboards,Feature :: Dashboard Development,Project :: PDP,Project ID :: 0065243"/>
    <n v="144000"/>
    <n v="122400"/>
    <n v="1"/>
    <n v="1"/>
    <n v="1"/>
  </r>
  <r>
    <x v="0"/>
    <x v="0"/>
    <s v="Bug: Cluster Segmentation and Power BI Dashboard Updates"/>
    <n v="484"/>
    <s v="Rajprabhu Ravi"/>
    <x v="6"/>
    <m/>
    <s v="Activity ID :: 01196171 | Feature_Dashboards,Project :: PDP,Project ID :: 0065243,Type :: Development"/>
    <n v="144000"/>
    <n v="108000"/>
    <n v="1"/>
    <n v="1"/>
    <n v="1"/>
  </r>
  <r>
    <x v="0"/>
    <x v="0"/>
    <s v="Task: Skill Advisor - Define Recommendation Methodology for LXP Platform"/>
    <n v="486"/>
    <s v="Rajprabhu Ravi"/>
    <x v="14"/>
    <m/>
    <s v="Activity ID :: 01204029 | Feature_LXP_Skill_Advisor,Feature :: LXP Platform - Skill Advisor,Project :: PDP,Project ID :: 0065243"/>
    <n v="144000"/>
    <n v="93600"/>
    <n v="1"/>
    <n v="1"/>
    <n v="1"/>
  </r>
  <r>
    <x v="0"/>
    <x v="0"/>
    <s v="Bug: Nudges recommendation seems to be out of sync"/>
    <n v="493"/>
    <s v="Surendar Velu"/>
    <x v="14"/>
    <d v="2025-09-24T00:00:00"/>
    <s v="Activity ID :: 01196177 | Type_Maintenance,Project :: PDP,Project ID :: 0065243,Type :: Maintenance"/>
    <n v="14400"/>
    <n v="14400"/>
    <n v="1"/>
    <n v="1"/>
    <n v="1"/>
  </r>
  <r>
    <x v="0"/>
    <x v="0"/>
    <s v="Task: Create new dimension table in Gold layer for Product with custom attributes"/>
    <n v="495"/>
    <s v="Surendar Velu"/>
    <x v="16"/>
    <m/>
    <s v="Activity ID :: 01196177 | Type_Maintenance,Project :: PDP,Project ID :: 0065243,Type :: Maintenance"/>
    <n v="28800"/>
    <n v="28800"/>
    <n v="1"/>
    <n v="1"/>
    <n v="1"/>
  </r>
  <r>
    <x v="0"/>
    <x v="1"/>
    <s v="PR5 - UK Bank - Identification of Tables and Data Entities (more specific details about experiences)"/>
    <n v="34"/>
    <s v="Gokul Rajanbabu"/>
    <x v="17"/>
    <m/>
    <s v="Data Analytics,Project :: MKPL,Project ID :: 0066147 | GMDW"/>
    <n v="144000"/>
    <n v="216000"/>
    <n v="1"/>
    <n v="0"/>
    <n v="1"/>
  </r>
  <r>
    <x v="0"/>
    <x v="1"/>
    <s v="Task: AWS DMS Evaluation for On-Prem to AWS Data Pipeline Setup"/>
    <n v="37"/>
    <s v="Nagarajan Rengaswamy"/>
    <x v="7"/>
    <m/>
    <s v="Project :: MKPL,Project ID :: 0066147 | GMDW"/>
    <n v="180000"/>
    <n v="165600"/>
    <n v="1"/>
    <n v="1"/>
    <n v="1"/>
  </r>
  <r>
    <x v="0"/>
    <x v="1"/>
    <s v="Task: Evaluate and Performance Test Databricks Genie for Multiple Use Cases"/>
    <n v="38"/>
    <s v="Gokul Rajanbabu"/>
    <x v="18"/>
    <m/>
    <s v="Activity ID :: 01137130 | Development,Project :: MKPL,Project ID :: 0066147 | GMDW"/>
    <n v="144000"/>
    <n v="478800"/>
    <n v="1"/>
    <n v="0"/>
    <n v="1"/>
  </r>
  <r>
    <x v="0"/>
    <x v="1"/>
    <s v="Task: Build Mock Dashboards in Databricks (Marketplace, Order, Product Summary)"/>
    <n v="39"/>
    <s v="Gokul Rajanbabu"/>
    <x v="11"/>
    <m/>
    <s v="Activity :: Reports Development,Project :: MKPL,Project ID :: 0066147 | GMDW"/>
    <n v="180000"/>
    <n v="151200"/>
    <n v="1"/>
    <n v="1"/>
    <n v="1"/>
  </r>
  <r>
    <x v="0"/>
    <x v="1"/>
    <s v="Task: Configure source-to-Bronze data pipeline for PeopleSoft, ONTRA, and Broadleaf integration"/>
    <n v="40"/>
    <s v="Gokul Rajanbabu"/>
    <x v="15"/>
    <m/>
    <s v="Activity ID :: 01137130 | Development,Project :: MKPL,Project ID :: 0066147 | GMDW"/>
    <n v="288000"/>
    <n v="252000"/>
    <n v="1"/>
    <n v="1"/>
    <n v="1"/>
  </r>
  <r>
    <x v="1"/>
    <x v="2"/>
    <s v="GTS Change in last name of user - Jennifer Harold"/>
    <n v="151"/>
    <m/>
    <x v="16"/>
    <d v="2025-09-29T00:00:00"/>
    <s v="Activity ID :: TVLTCH21, GTS - Sub Task, Project ID :: 0057197, Type :: Change Request"/>
    <n v="5400"/>
    <n v="5400"/>
    <n v="1"/>
    <n v="1"/>
    <n v="1"/>
  </r>
  <r>
    <x v="1"/>
    <x v="2"/>
    <s v="GTS Login credentials are not working - kentdennis2@gmail.com"/>
    <n v="150"/>
    <m/>
    <x v="16"/>
    <d v="2025-09-29T00:00:00"/>
    <s v="Activity ID :: TVLTCH21, GTS - Sub Task, Project ID :: 0057197, Type :: Change Request"/>
    <n v="1800"/>
    <n v="1800"/>
    <n v="1"/>
    <n v="1"/>
    <n v="1"/>
  </r>
  <r>
    <x v="1"/>
    <x v="2"/>
    <s v="GTS Expand the preview of the email communication - Award Recognition"/>
    <n v="149"/>
    <m/>
    <x v="19"/>
    <d v="2025-09-12T00:00:00"/>
    <s v="Activity ID :: TVLTCH21, GTS - Sub Task, Project ID :: 0057197, Type :: Change Request"/>
    <n v="14400"/>
    <n v="14400"/>
    <n v="1"/>
    <n v="1"/>
    <n v="1"/>
  </r>
  <r>
    <x v="1"/>
    <x v="2"/>
    <s v="GTS Extend the time limit for admin sign out."/>
    <n v="148"/>
    <m/>
    <x v="20"/>
    <d v="2025-09-29T00:00:00"/>
    <s v="Activity ID :: TVLTCH21, GTS - Sub Task, Project ID :: 0057197, Type :: Bug"/>
    <n v="7200"/>
    <n v="7200"/>
    <n v="1"/>
    <n v="1"/>
    <n v="1"/>
  </r>
  <r>
    <x v="1"/>
    <x v="2"/>
    <s v="GTS Two users are not displayed in the program history page"/>
    <n v="147"/>
    <m/>
    <x v="21"/>
    <d v="2025-09-10T00:00:00"/>
    <s v="Activity ID :: TVLTCH21, GTS - Sub Task, Project ID :: 0057197, Type :: Bug"/>
    <n v="7200"/>
    <n v="7200"/>
    <n v="1"/>
    <n v="1"/>
    <n v="1"/>
  </r>
  <r>
    <x v="1"/>
    <x v="2"/>
    <s v="GTS Counter is incorrect in program dashboard"/>
    <n v="146"/>
    <m/>
    <x v="22"/>
    <d v="2025-09-12T00:00:00"/>
    <s v="Activity ID :: TVLTCH21, GTS - Sub Task, Project ID :: 0057197, Type :: Bug"/>
    <n v="7200"/>
    <n v="7200"/>
    <n v="1"/>
    <n v="1"/>
    <n v="1"/>
  </r>
  <r>
    <x v="1"/>
    <x v="2"/>
    <s v="GTS Improper control of filename for include/require statement in PHP program ('PHP Remote File Inclusion')"/>
    <n v="144"/>
    <m/>
    <x v="20"/>
    <d v="2025-09-05T00:00:00"/>
    <s v="Activity ID :: TVLTCH21, GTS - Sub Task, Project ID :: 0057197, Type :: Bug"/>
    <n v="14400"/>
    <n v="14400"/>
    <n v="1"/>
    <n v="1"/>
    <n v="1"/>
  </r>
  <r>
    <x v="1"/>
    <x v="2"/>
    <s v="GTS Error in sending out Awards Recognition - ($recipient) must be of type biw\\bii\\message\\RecipientInterface stdClass given"/>
    <n v="142"/>
    <m/>
    <x v="23"/>
    <d v="2025-08-29T00:00:00"/>
    <s v="Activity ID :: TVLTCH21, GTS - Sub Task, Project ID :: 0057197, Type :: Bug"/>
    <n v="43200"/>
    <n v="43200"/>
    <n v="1"/>
    <n v="1"/>
    <n v="1"/>
  </r>
  <r>
    <x v="1"/>
    <x v="2"/>
    <s v="GTS Change user email from greg.rasmussen@astellas.com to grasmussen@pumabiotechnology.com"/>
    <n v="141"/>
    <m/>
    <x v="23"/>
    <d v="2025-08-29T00:00:00"/>
    <s v="Activity ID :: TVLTCH21, GTS - Sub Task, Project ID :: 0057197, Type :: Change Request"/>
    <n v="1800"/>
    <n v="1800"/>
    <n v="1"/>
    <n v="1"/>
    <n v="1"/>
  </r>
  <r>
    <x v="1"/>
    <x v="3"/>
    <s v="GTS Program page changes"/>
    <n v="102"/>
    <m/>
    <x v="24"/>
    <d v="2025-09-17T00:00:00"/>
    <s v="Activity ID :: TVLTCH22, GTS - Sub Task, Project ID :: 0057197, Type :: Change Request"/>
    <n v="28800"/>
    <n v="28800"/>
    <n v="1"/>
    <n v="1"/>
    <n v="1"/>
  </r>
  <r>
    <x v="1"/>
    <x v="3"/>
    <s v="GTS Enhancement: Implement IP restriction for admin panel"/>
    <n v="99"/>
    <m/>
    <x v="25"/>
    <d v="2025-08-01T00:00:00"/>
    <s v="Activity ID :: TVLTCH22, GTS - Sub Task, Project ID :: 0057197, Type :: New Development"/>
    <n v="14400"/>
    <n v="14400"/>
    <n v="1"/>
    <n v="1"/>
    <n v="1"/>
  </r>
  <r>
    <x v="1"/>
    <x v="3"/>
    <s v="GTS User: Reset password page error"/>
    <n v="98"/>
    <m/>
    <x v="26"/>
    <d v="2025-07-21T00:00:00"/>
    <s v="Activity ID :: TVLTCH22, GTS - Sub Task, Project ID :: 0057197, Type :: Bug"/>
    <n v="7200"/>
    <n v="7200"/>
    <n v="1"/>
    <n v="1"/>
    <n v="1"/>
  </r>
  <r>
    <x v="1"/>
    <x v="3"/>
    <s v="GTS We are going to be sending e-certs to brand new people who've never seen the OTF website."/>
    <n v="90"/>
    <m/>
    <x v="2"/>
    <d v="2025-07-22T00:00:00"/>
    <s v="Activity ID :: TVLTCH22, GTS - Sub Task, Project ID :: 0057197, Type :: Change Request"/>
    <n v="201600"/>
    <n v="201600"/>
    <n v="1"/>
    <n v="1"/>
    <n v="1"/>
  </r>
  <r>
    <x v="1"/>
    <x v="3"/>
    <s v="GTS Enhancement: Implement IP restriction for admin panel"/>
    <n v="78"/>
    <m/>
    <x v="25"/>
    <d v="2025-08-01T00:00:00"/>
    <s v="Activity ID :: TVLTCH22, GTS - Sub Task, Project ID :: 0057197, Type :: New Development"/>
    <n v="14400"/>
    <n v="14400"/>
    <n v="1"/>
    <n v="1"/>
    <n v="1"/>
  </r>
  <r>
    <x v="1"/>
    <x v="4"/>
    <s v="GTS-PHP: CMS landing page"/>
    <n v="2023"/>
    <m/>
    <x v="27"/>
    <d v="2025-07-04T00:00:00"/>
    <s v="Activity ID :: E_PHPBACK, GTS - Sub Task, Project ID :: 0060175"/>
    <n v="7200"/>
    <n v="7200"/>
    <n v="1"/>
    <n v="1"/>
    <n v="1"/>
  </r>
  <r>
    <x v="1"/>
    <x v="4"/>
    <s v="GTS PRE - Landing Page"/>
    <n v="2027"/>
    <m/>
    <x v="28"/>
    <d v="2025-07-08T00:00:00"/>
    <s v="Activity ID :: E_PHPBACK, GTS - Sub Task, Project ID :: 0060175, Type :: Bug"/>
    <n v="14400"/>
    <n v="7200"/>
    <n v="1"/>
    <n v="1"/>
    <n v="1"/>
  </r>
  <r>
    <x v="1"/>
    <x v="4"/>
    <s v="GTS PRE - Homepage - Monthly Points Earned Section - Empty White Space"/>
    <n v="2028"/>
    <m/>
    <x v="28"/>
    <d v="2025-07-08T00:00:00"/>
    <s v="Activity ID :: E_PHPBACK, GTS - Sub Task, Project ID :: 0060175, Type :: Bug"/>
    <n v="14400"/>
    <n v="10800"/>
    <n v="1"/>
    <n v="1"/>
    <n v="1"/>
  </r>
  <r>
    <x v="1"/>
    <x v="4"/>
    <s v="GTS PRE - Mobile - Logo Images Stretched"/>
    <n v="2029"/>
    <m/>
    <x v="28"/>
    <d v="2025-07-08T00:00:00"/>
    <s v="Activity ID :: E_PHPBACK, GTS - Sub Task, Project ID :: 0060175, Type :: Bug"/>
    <n v="14400"/>
    <n v="7200"/>
    <n v="1"/>
    <n v="1"/>
    <n v="1"/>
  </r>
  <r>
    <x v="1"/>
    <x v="4"/>
    <s v="GTS PRE - Admin - Manage Participants"/>
    <n v="2031"/>
    <m/>
    <x v="29"/>
    <d v="2025-07-10T00:00:00"/>
    <s v="Activity ID :: E_PHPBACK, GTS - Sub Task, Project ID :: 0060175, Type :: Bug"/>
    <n v="14400"/>
    <n v="10800"/>
    <n v="1"/>
    <n v="1"/>
    <n v="1"/>
  </r>
  <r>
    <x v="1"/>
    <x v="4"/>
    <s v="GTS-PHP:PROD - User with 0 first/last name or bank account"/>
    <n v="2033"/>
    <m/>
    <x v="26"/>
    <d v="2025-07-21T00:00:00"/>
    <s v="Activity ID :: E_PHPBACK, GTS - Sub Task, Project ID :: 0060175, Type :: Bug"/>
    <n v="14400"/>
    <n v="14400"/>
    <n v="1"/>
    <n v="1"/>
    <n v="1"/>
  </r>
  <r>
    <x v="1"/>
    <x v="4"/>
    <s v="GTS-PHP: PROD - Survey Updated to 0 Points and Still Rewarding"/>
    <n v="2035"/>
    <m/>
    <x v="30"/>
    <d v="2025-07-23T00:00:00"/>
    <s v="Activity ID :: E_PHPBACK, GTS - Sub Task, Project ID :: 0060175, Type :: Bug"/>
    <n v="14400"/>
    <n v="14400"/>
    <n v="1"/>
    <n v="1"/>
    <n v="1"/>
  </r>
  <r>
    <x v="1"/>
    <x v="4"/>
    <s v="GTS-PHP:Analysis - Process to pay gap invoice line items"/>
    <n v="2037"/>
    <m/>
    <x v="31"/>
    <d v="2025-07-28T00:00:00"/>
    <s v="Activity ID :: E_PHPBACK, GTS - Sub Task, Project ID :: 0060175, Type :: Change Request"/>
    <n v="43200"/>
    <n v="43200"/>
    <n v="1"/>
    <n v="1"/>
    <n v="1"/>
  </r>
  <r>
    <x v="1"/>
    <x v="4"/>
    <s v="GTS PRE - Landing Page - Image in Text Box"/>
    <n v="2040"/>
    <m/>
    <x v="4"/>
    <d v="2025-07-31T00:00:00"/>
    <s v="Activity ID :: E_PHPBACK, GTS - Sub Task, Project ID :: 0060175, Type :: Change Request"/>
    <n v="7200"/>
    <n v="7200"/>
    <n v="1"/>
    <n v="1"/>
    <n v="1"/>
  </r>
  <r>
    <x v="1"/>
    <x v="4"/>
    <s v="GTS PRE - Landing Page - Login Text"/>
    <n v="2041"/>
    <m/>
    <x v="4"/>
    <d v="2025-07-31T00:00:00"/>
    <s v="Activity ID :: E_PHPBACK, GTS - Sub Task, Project ID :: 0060175, Type :: Change Request"/>
    <n v="7200"/>
    <n v="7200"/>
    <n v="1"/>
    <n v="1"/>
    <n v="1"/>
  </r>
  <r>
    <x v="1"/>
    <x v="4"/>
    <s v="GTS Dependency: Investigate vulnerability: on-headers is vulnerable to http response header manipulation"/>
    <n v="2050"/>
    <m/>
    <x v="32"/>
    <d v="2025-08-12T00:00:00"/>
    <s v="Activity ID :: E_PHPBACK, GTS - Sub Task, Project ID :: 0060175, Type :: Bug"/>
    <n v="7200"/>
    <n v="3600"/>
    <n v="1"/>
    <n v="1"/>
    <n v="1"/>
  </r>
  <r>
    <x v="1"/>
    <x v="4"/>
    <s v="GTS Dependency: Investigate vulnerability: on-headers is vulnerable to http response header manipulation"/>
    <n v="2051"/>
    <m/>
    <x v="32"/>
    <d v="2025-08-12T00:00:00"/>
    <s v="Activity ID :: E_PHPBACK, GTS - Sub Task, Project ID :: 0060175, Type :: Bug"/>
    <n v="7200"/>
    <n v="3600"/>
    <n v="1"/>
    <n v="1"/>
    <n v="1"/>
  </r>
  <r>
    <x v="1"/>
    <x v="4"/>
    <s v="GTS Dependency: Investigate vulnerability: brace-expansion Regular Expression Denial of Service vulnerability"/>
    <n v="2052"/>
    <m/>
    <x v="32"/>
    <d v="2025-08-12T00:00:00"/>
    <s v="Activity ID :: E_PHPBACK, GTS - Sub Task, Project ID :: 0060175, Type :: Bug"/>
    <n v="7200"/>
    <n v="3600"/>
    <n v="1"/>
    <n v="1"/>
    <n v="1"/>
  </r>
  <r>
    <x v="1"/>
    <x v="4"/>
    <s v="GTS Dependency: Investigate vulnerability: brace-expansion Regular Expression Denial of Service vulnerability"/>
    <n v="2053"/>
    <m/>
    <x v="32"/>
    <d v="2025-08-12T00:00:00"/>
    <s v="Activity ID :: E_PHPBACK, GTS - Sub Task, Project ID :: 0060175, Type :: Bug"/>
    <n v="7200"/>
    <n v="3600"/>
    <n v="1"/>
    <n v="1"/>
    <n v="1"/>
  </r>
  <r>
    <x v="1"/>
    <x v="4"/>
    <s v="GTS Dependency: Investigate vulnerability: pbkdf2 returns predictable uninitialized/zero-filled memory for 0n-0rmalized or unimplemented algos"/>
    <n v="2054"/>
    <m/>
    <x v="32"/>
    <d v="2025-08-12T00:00:00"/>
    <s v="Activity ID :: E_PHPBACK, GTS - Sub Task, Project ID :: 0060175, Type :: Bug"/>
    <n v="7200"/>
    <n v="3600"/>
    <n v="1"/>
    <n v="1"/>
    <n v="1"/>
  </r>
  <r>
    <x v="1"/>
    <x v="4"/>
    <s v="GTS Dependency: Investigate vulnerability: form-data uses unsafe random function in form-data for choosing boundary"/>
    <n v="2055"/>
    <m/>
    <x v="32"/>
    <d v="2025-08-12T00:00:00"/>
    <s v="Activity ID :: E_PHPBACK, GTS - Sub Task, Project ID :: 0060175, Type :: Bug"/>
    <n v="7200"/>
    <n v="3600"/>
    <n v="1"/>
    <n v="1"/>
    <n v="1"/>
  </r>
  <r>
    <x v="1"/>
    <x v="4"/>
    <s v="GTS Dependency: Investigate vulnerability: form-data uses unsafe random function in form-data for choosing boundary"/>
    <n v="2056"/>
    <m/>
    <x v="32"/>
    <d v="2025-08-12T00:00:00"/>
    <s v="Activity ID :: E_PHPBACK, GTS - Sub Task, Project ID :: 0060175, Type :: Bug"/>
    <n v="7200"/>
    <n v="3600"/>
    <n v="1"/>
    <n v="1"/>
    <n v="1"/>
  </r>
  <r>
    <x v="1"/>
    <x v="4"/>
    <s v="GTS PRE - Update Email Templates to New Branding"/>
    <n v="2059"/>
    <m/>
    <x v="11"/>
    <d v="2025-08-14T00:00:00"/>
    <s v="Activity ID :: E_PHPBACK, GTS - Sub Task, Project ID :: 0060175, Type :: Change Request"/>
    <n v="28800"/>
    <n v="28800"/>
    <n v="1"/>
    <n v="1"/>
    <n v="1"/>
  </r>
  <r>
    <x v="1"/>
    <x v="4"/>
    <s v="GTS PRE - Program Summary Page - Increase Body Copy Font Size"/>
    <n v="2060"/>
    <m/>
    <x v="11"/>
    <d v="2025-08-14T00:00:00"/>
    <s v="Activity ID :: E_PHPBACK, GTS - Sub Task, Project ID :: 0060175, Type :: Change Request"/>
    <n v="3600"/>
    <n v="3600"/>
    <n v="1"/>
    <n v="1"/>
    <n v="1"/>
  </r>
  <r>
    <x v="1"/>
    <x v="4"/>
    <s v="GTS PRE - Update Favicon"/>
    <n v="2062"/>
    <m/>
    <x v="11"/>
    <d v="2025-08-14T00:00:00"/>
    <s v="Activity ID :: E_PHPBACK, GTS - Sub Task, Project ID :: 0060175, Type :: Change Request"/>
    <n v="7200"/>
    <n v="7200"/>
    <n v="1"/>
    <n v="1"/>
    <n v="1"/>
  </r>
  <r>
    <x v="1"/>
    <x v="4"/>
    <s v="GTS-PHP: CMS support"/>
    <n v="2063"/>
    <m/>
    <x v="33"/>
    <d v="2025-08-18T00:00:00"/>
    <s v="Activity ID :: E_PHPBACK, GTS - Sub Task, Project ID :: 0060175, Type :: Bug"/>
    <n v="7200"/>
    <n v="14400"/>
    <n v="1"/>
    <n v="0"/>
    <n v="1"/>
  </r>
  <r>
    <x v="1"/>
    <x v="4"/>
    <s v="GTS-PHP:Producation-support"/>
    <n v="2066"/>
    <m/>
    <x v="34"/>
    <d v="2025-09-01T00:00:00"/>
    <s v="Activity ID :: E_PHPBACK, GTS - Sub Task, Project ID :: 0060175, Type :: Bug"/>
    <n v="7200"/>
    <n v="0"/>
    <n v="1"/>
    <n v="1"/>
    <n v="1"/>
  </r>
  <r>
    <x v="1"/>
    <x v="4"/>
    <s v="GTS Daikin Prod Support"/>
    <n v="2067"/>
    <m/>
    <x v="35"/>
    <d v="2025-09-02T00:00:00"/>
    <s v="Activity ID :: E_PHPBACK, GTS - Sub Task, Project ID :: 0060175, Type :: Change Request"/>
    <n v="14400"/>
    <n v="14400"/>
    <n v="1"/>
    <n v="1"/>
    <n v="1"/>
  </r>
  <r>
    <x v="1"/>
    <x v="4"/>
    <s v="GTS_PHP: Update to use Rewards Hub"/>
    <n v="2070"/>
    <m/>
    <x v="21"/>
    <d v="2025-09-10T00:00:00"/>
    <s v="Activity ID :: E_PHPBACK, GTS - Sub Task, Project ID :: 0060175, Type :: Bug"/>
    <n v="43200"/>
    <n v="43200"/>
    <n v="1"/>
    <n v="1"/>
    <n v="1"/>
  </r>
  <r>
    <x v="1"/>
    <x v="4"/>
    <s v="GTS_PHP: PROD - Negative Payout Process - Parent Invoice Number Null"/>
    <n v="2071"/>
    <m/>
    <x v="21"/>
    <d v="2025-09-10T00:00:00"/>
    <s v="Activity ID :: E_PHPBACK, GTS - Sub Task, Project ID :: 0060175, Type :: Bug"/>
    <n v="43200"/>
    <n v="43200"/>
    <n v="1"/>
    <n v="1"/>
    <n v="1"/>
  </r>
  <r>
    <x v="1"/>
    <x v="4"/>
    <s v="GTS-PHP:Update to use Rewards Hub"/>
    <n v="2073"/>
    <m/>
    <x v="19"/>
    <d v="2025-09-15T00:00:00"/>
    <s v="Activity ID :: E_PHPBACK, GTS - Sub Task, Project ID :: 0060175, Type :: Change Request"/>
    <n v="28800"/>
    <n v="28800"/>
    <n v="1"/>
    <n v="1"/>
    <n v="1"/>
  </r>
  <r>
    <x v="1"/>
    <x v="4"/>
    <s v="GTS Dependency: Investigate vulnerability: sha.js is missing type checks leading to hash rewind and passing on crafted data"/>
    <n v="2079"/>
    <m/>
    <x v="20"/>
    <d v="2025-09-25T00:00:00"/>
    <s v="Activity ID :: E_PHPBACK, GTS - Sub Task, Project ID :: 0060175, Type :: Bug"/>
    <n v="7200"/>
    <n v="7200"/>
    <n v="1"/>
    <n v="1"/>
    <n v="1"/>
  </r>
  <r>
    <x v="1"/>
    <x v="4"/>
    <s v="GTS SAST: Investigate vulnerability: Server-side request forgery (SSRF) - 4009815"/>
    <n v="2080"/>
    <m/>
    <x v="20"/>
    <d v="2025-09-25T00:00:00"/>
    <s v="Activity ID :: E_PHPBACK, GTS - Sub Task, Project ID :: 0060175, Type :: Bug"/>
    <n v="7200"/>
    <n v="7200"/>
    <n v="1"/>
    <n v="1"/>
    <n v="1"/>
  </r>
  <r>
    <x v="1"/>
    <x v="4"/>
    <s v="GTS Investigate vulnerability: Axios is vulnerable to DoS attack through lack of data size check"/>
    <n v="2081"/>
    <m/>
    <x v="20"/>
    <d v="2025-09-25T00:00:00"/>
    <s v="Activity ID :: E_PHPBACK, GTS - Sub Task, Project ID :: 0060175, Type :: Bug"/>
    <n v="7200"/>
    <n v="7200"/>
    <n v="1"/>
    <n v="1"/>
    <n v="1"/>
  </r>
  <r>
    <x v="1"/>
    <x v="4"/>
    <s v="GTS Dependency: Investigate vulnerability: Axios is vulnerable to DoS attack through lack of data size check"/>
    <n v="2082"/>
    <m/>
    <x v="20"/>
    <d v="2025-09-25T00:00:00"/>
    <s v="Activity ID :: E_PHPBACK, GTS - Sub Task, Project ID :: 0060175, Type :: Bug"/>
    <n v="7200"/>
    <n v="7200"/>
    <n v="1"/>
    <n v="1"/>
    <n v="1"/>
  </r>
  <r>
    <x v="1"/>
    <x v="5"/>
    <s v="GTS-PHP- IP restriction pipeline fix"/>
    <n v="206"/>
    <m/>
    <x v="16"/>
    <d v="2025-09-29T00:00:00"/>
    <s v="Activity ID :: 01150670, GTS - Sub Task, Project ID :: 0065560, Type :: Change Request"/>
    <n v="14400"/>
    <n v="14400"/>
    <n v="1"/>
    <n v="1"/>
    <n v="1"/>
  </r>
  <r>
    <x v="1"/>
    <x v="5"/>
    <s v="GTS_PHP: Ip restriction and security fix"/>
    <n v="205"/>
    <m/>
    <x v="36"/>
    <d v="2025-09-22T00:00:00"/>
    <s v="Activity ID :: 01150670, GTS - Sub Task, Project ID :: 0065560, Type :: Bug"/>
    <n v="28800"/>
    <n v="28800"/>
    <n v="1"/>
    <n v="1"/>
    <n v="1"/>
  </r>
  <r>
    <x v="1"/>
    <x v="5"/>
    <s v="GTS Investigate vulnerability: sweetalert2 v11.4.9 and above contains hidden functionality"/>
    <n v="204"/>
    <m/>
    <x v="37"/>
    <d v="2025-09-19T00:00:00"/>
    <s v="Activity ID :: 01150670, GTS - Sub Task, Project ID :: 0065560, Type :: Bug"/>
    <n v="7200"/>
    <n v="7200"/>
    <n v="1"/>
    <n v="1"/>
    <n v="1"/>
  </r>
  <r>
    <x v="1"/>
    <x v="5"/>
    <s v="GTS Investigate vulnerability: Vite middleware may serve files starting with the same name with the public directory"/>
    <n v="203"/>
    <m/>
    <x v="37"/>
    <d v="2025-09-19T00:00:00"/>
    <s v="Activity ID :: 01150670, GTS - Sub Task, Project ID :: 0065560, Type :: Bug"/>
    <n v="7200"/>
    <n v="7200"/>
    <n v="1"/>
    <n v="1"/>
    <n v="1"/>
  </r>
  <r>
    <x v="1"/>
    <x v="5"/>
    <s v="GTS Dependency: Investigate vulnerability: Axios is vulnerable to DoS attack through lack of data size check"/>
    <n v="202"/>
    <m/>
    <x v="37"/>
    <d v="2025-09-19T00:00:00"/>
    <s v="Activity ID :: 01150670, GTS - Sub Task, Project ID :: 0065560, Type :: Bug"/>
    <n v="7200"/>
    <n v="7200"/>
    <n v="1"/>
    <n v="1"/>
    <n v="1"/>
  </r>
  <r>
    <x v="1"/>
    <x v="5"/>
    <s v="GTS Investigate vulnerability: Axios is vulnerable to DoS attack through lack of data size check"/>
    <n v="201"/>
    <m/>
    <x v="37"/>
    <d v="2025-09-19T00:00:00"/>
    <s v="Activity ID :: 01150670, GTS - Sub Task, Project ID :: 0065560, Type :: Bug"/>
    <n v="7200"/>
    <n v="7200"/>
    <n v="1"/>
    <n v="1"/>
    <n v="1"/>
  </r>
  <r>
    <x v="1"/>
    <x v="5"/>
    <s v="GTS Dependency: Investigate vulnerability: sha.js is missing type checks leading to hash rewind and passing on crafted data"/>
    <n v="200"/>
    <m/>
    <x v="37"/>
    <d v="2025-09-19T00:00:00"/>
    <s v="Activity ID :: 01150670, GTS - Sub Task, Project ID :: 0065560, Type :: Bug"/>
    <n v="7200"/>
    <n v="7200"/>
    <n v="1"/>
    <n v="1"/>
    <n v="1"/>
  </r>
  <r>
    <x v="1"/>
    <x v="5"/>
    <s v="GTS-PHP:TASK: (PHP) Separate Client Admin and BIW Admin with IP Restrict"/>
    <n v="194"/>
    <m/>
    <x v="19"/>
    <d v="2025-09-16T00:00:00"/>
    <s v="Activity ID :: 01150670, GTS - Sub Task, Project ID :: 0065560, Type :: Change Request"/>
    <n v="14400"/>
    <n v="14400"/>
    <n v="0"/>
    <n v="1"/>
    <n v="1"/>
  </r>
  <r>
    <x v="1"/>
    <x v="5"/>
    <s v="GTS TASK: (PHP) Separate Client Admin and BIW Admin with IP Restrict"/>
    <n v="193"/>
    <m/>
    <x v="6"/>
    <d v="2025-09-19T00:00:00"/>
    <s v="Activity ID :: 01150670, GTS - Sub Task, Project ID :: 0065560, Type :: Change Request"/>
    <n v="28800"/>
    <n v="28800"/>
    <n v="1"/>
    <n v="1"/>
    <n v="1"/>
  </r>
  <r>
    <x v="1"/>
    <x v="5"/>
    <s v="GTS BUG: Admin &gt; User &gt; Edit Participants &gt; Missing Data"/>
    <n v="192"/>
    <m/>
    <x v="8"/>
    <d v="2025-09-11T00:00:00"/>
    <s v="Activity ID :: 01150670, GTS - Sub Task, Project ID :: 0065560, Type :: Bug"/>
    <n v="14400"/>
    <n v="14400"/>
    <n v="1"/>
    <n v="1"/>
    <n v="1"/>
  </r>
  <r>
    <x v="1"/>
    <x v="5"/>
    <s v="GTS-PHP: ip restriction"/>
    <n v="189"/>
    <m/>
    <x v="38"/>
    <d v="2025-09-09T00:00:00"/>
    <s v="Activity ID :: 01150670, GTS - Sub Task, Project ID :: 0065560, Type :: Bug"/>
    <n v="14400"/>
    <n v="14400"/>
    <n v="0"/>
    <n v="1"/>
    <n v="1"/>
  </r>
  <r>
    <x v="1"/>
    <x v="5"/>
    <s v="GTS-PHP: Production deployment support and bug fix"/>
    <n v="187"/>
    <m/>
    <x v="34"/>
    <d v="2025-09-01T00:00:00"/>
    <s v="Activity ID :: 01150670, GTS - Sub Task, Project ID :: 0065560, Type :: Bug"/>
    <n v="57600"/>
    <n v="57600"/>
    <n v="1"/>
    <n v="1"/>
    <n v="1"/>
  </r>
  <r>
    <x v="1"/>
    <x v="5"/>
    <s v="GTS-PHP -Task - Auto enroll URLs data and process"/>
    <n v="186"/>
    <m/>
    <x v="34"/>
    <d v="2025-09-01T00:00:00"/>
    <s v="Activity ID :: 01150670, GTS - Sub Task, Project ID :: 0065560, Type :: Change Request"/>
    <n v="57600"/>
    <n v="57600"/>
    <n v="1"/>
    <n v="1"/>
    <n v="1"/>
  </r>
  <r>
    <x v="1"/>
    <x v="5"/>
    <s v="GTS-PHP: UAT bug fix and production deployment"/>
    <n v="181"/>
    <m/>
    <x v="39"/>
    <d v="2025-08-28T00:00:00"/>
    <s v="Activity ID :: 01150670, GTS - Sub Task, Project ID :: 0065560, Type :: Bug"/>
    <n v="144000"/>
    <n v="93600"/>
    <n v="0"/>
    <n v="1"/>
    <n v="1"/>
  </r>
  <r>
    <x v="1"/>
    <x v="5"/>
    <s v="GTS Admin production site slow"/>
    <n v="180"/>
    <m/>
    <x v="40"/>
    <d v="2025-08-22T00:00:00"/>
    <s v="Activity ID :: 01150670, GTS - Sub Task, Project ID :: 0065560, Type :: Change Request"/>
    <n v="28800"/>
    <n v="28800"/>
    <n v="1"/>
    <n v="1"/>
    <n v="1"/>
  </r>
  <r>
    <x v="1"/>
    <x v="5"/>
    <s v="GTS Bug - IP restrict on and unable to view participants as a login as feature"/>
    <n v="177"/>
    <m/>
    <x v="41"/>
    <d v="2025-08-21T00:00:00"/>
    <s v="Activity ID :: 01150670, GTS - Sub Task, Project ID :: 0065560, Type :: Bug"/>
    <n v="28800"/>
    <n v="14400"/>
    <n v="1"/>
    <n v="1"/>
    <n v="1"/>
  </r>
  <r>
    <x v="1"/>
    <x v="5"/>
    <s v="GTS-PHP: UAT Bug fixes"/>
    <n v="174"/>
    <m/>
    <x v="33"/>
    <d v="2025-08-18T00:00:00"/>
    <s v="Activity ID :: 01150670, GTS - Sub Task, Project ID :: 0065560, Type :: Bug"/>
    <n v="86400"/>
    <n v="86400"/>
    <n v="1"/>
    <n v="1"/>
    <n v="1"/>
  </r>
  <r>
    <x v="1"/>
    <x v="5"/>
    <s v="GTS BUG: Admin &gt; Settings &gt; cb_config_web.recruitmentSales.entrollment"/>
    <n v="170"/>
    <m/>
    <x v="42"/>
    <d v="2025-08-11T00:00:00"/>
    <s v="Activity ID :: 01150670, GTS - Sub Task, Project ID :: 0065560, Type :: Bug"/>
    <n v="14400"/>
    <n v="14400"/>
    <n v="1"/>
    <n v="1"/>
    <n v="1"/>
  </r>
  <r>
    <x v="1"/>
    <x v="5"/>
    <s v="GTS-PHP: UAT Bug fix"/>
    <n v="169"/>
    <m/>
    <x v="43"/>
    <d v="2025-08-11T00:00:00"/>
    <s v="Activity ID :: 01150670, GTS - Sub Task, Project ID :: 0065560, Type :: Bug"/>
    <n v="115200"/>
    <n v="100800"/>
    <n v="1"/>
    <n v="1"/>
    <n v="1"/>
  </r>
  <r>
    <x v="1"/>
    <x v="5"/>
    <s v="GTS BUG: Admin &gt; Role Issue"/>
    <n v="166"/>
    <m/>
    <x v="7"/>
    <d v="2025-08-08T00:00:00"/>
    <s v="Activity ID :: 01150670, GTS - Sub Task, Project ID :: 0065560, Type :: Bug"/>
    <n v="21600"/>
    <n v="14400"/>
    <n v="1"/>
    <n v="1"/>
    <n v="1"/>
  </r>
  <r>
    <x v="1"/>
    <x v="5"/>
    <s v="GTS BUG: Admin &gt; Approve Recruit Issue"/>
    <n v="165"/>
    <m/>
    <x v="7"/>
    <d v="2025-08-08T00:00:00"/>
    <s v="Activity ID :: 01150670, GTS - Sub Task, Project ID :: 0065560, Type :: Bug"/>
    <n v="7200"/>
    <n v="7200"/>
    <n v="1"/>
    <n v="1"/>
    <n v="1"/>
  </r>
  <r>
    <x v="1"/>
    <x v="5"/>
    <s v="GTS BUG: Add New Recruit issue"/>
    <n v="164"/>
    <m/>
    <x v="7"/>
    <d v="2025-08-08T00:00:00"/>
    <s v="Activity ID :: 01150670, GTS - Sub Task, Project ID :: 0065560, Type :: Bug"/>
    <n v="21600"/>
    <n v="14400"/>
    <n v="1"/>
    <n v="1"/>
    <n v="1"/>
  </r>
  <r>
    <x v="1"/>
    <x v="5"/>
    <s v="GTS BUG: (PHP) - Admin &gt; Impersonate &gt; Logout &gt; Logs out of Admin"/>
    <n v="159"/>
    <m/>
    <x v="7"/>
    <d v="2025-08-07T00:00:00"/>
    <s v="Activity ID :: 01150670, GTS - Sub Task, Project ID :: 0065560, Type :: Bug"/>
    <n v="14400"/>
    <n v="14400"/>
    <n v="1"/>
    <n v="1"/>
    <n v="1"/>
  </r>
  <r>
    <x v="1"/>
    <x v="5"/>
    <s v="GTS BUG - Light Commercial Challenge page view misalignment"/>
    <n v="155"/>
    <m/>
    <x v="7"/>
    <d v="2025-08-06T00:00:00"/>
    <s v="Activity ID :: 01150670, GTS - Sub Task, Project ID :: 0065560, Type :: Bug"/>
    <n v="14400"/>
    <n v="14400"/>
    <n v="1"/>
    <n v="1"/>
    <n v="1"/>
  </r>
  <r>
    <x v="1"/>
    <x v="5"/>
    <s v="GTS BUG - Sales Challenge Dealers is opening to a new browser page and it should 0t"/>
    <n v="154"/>
    <m/>
    <x v="44"/>
    <d v="2025-08-05T00:00:00"/>
    <s v="Activity ID :: 01150670, GTS - Sub Task, Project ID :: 0065560, Type :: Bug"/>
    <n v="7200"/>
    <n v="7200"/>
    <n v="1"/>
    <n v="1"/>
    <n v="1"/>
  </r>
  <r>
    <x v="1"/>
    <x v="5"/>
    <s v="GTS BUG: Admin &gt; ADC Fileload - Default Sort Order"/>
    <n v="151"/>
    <m/>
    <x v="44"/>
    <d v="2025-08-05T00:00:00"/>
    <s v="Activity ID :: 01150670, GTS - Sub Task, Project ID :: 0065560, Type :: Change Request"/>
    <n v="7200"/>
    <n v="7200"/>
    <n v="1"/>
    <n v="1"/>
    <n v="1"/>
  </r>
  <r>
    <x v="1"/>
    <x v="5"/>
    <s v="GTS-PHP:UAT - CMS - Homepage Image Update"/>
    <n v="145"/>
    <m/>
    <x v="31"/>
    <d v="2025-07-28T00:00:00"/>
    <s v="Activity ID :: 01150670, GTS - Sub Task, Project ID :: 0065560, Type :: Bug"/>
    <n v="43200"/>
    <n v="43200"/>
    <n v="1"/>
    <n v="1"/>
    <n v="1"/>
  </r>
  <r>
    <x v="1"/>
    <x v="5"/>
    <s v="GTS DAST: Investigate vulnerability: Content-Security-Policy analysis"/>
    <n v="144"/>
    <m/>
    <x v="2"/>
    <d v="2025-07-24T00:00:00"/>
    <s v="Activity ID :: 01150670, GTS - Sub Task, Project ID :: 0065560, Type :: Bug"/>
    <n v="14400"/>
    <n v="7200"/>
    <n v="1"/>
    <n v="1"/>
    <n v="1"/>
  </r>
  <r>
    <x v="1"/>
    <x v="5"/>
    <s v="GTS Dependency: Investigate vulnerability: form-data uses unsafe random function in form-data for choosing boundary"/>
    <n v="143"/>
    <m/>
    <x v="2"/>
    <d v="2025-07-24T00:00:00"/>
    <s v="Activity ID :: 01150670, GTS - Sub Task, Project ID :: 0065560, Type :: Bug"/>
    <n v="7200"/>
    <n v="7200"/>
    <n v="1"/>
    <n v="1"/>
    <n v="1"/>
  </r>
  <r>
    <x v="1"/>
    <x v="5"/>
    <s v="GTS Dependency: Investigate vulnerability: brace-expansion Regular Expression Denial of Service vulnerability"/>
    <n v="140"/>
    <m/>
    <x v="2"/>
    <d v="2025-07-22T00:00:00"/>
    <s v="Activity ID :: 01150670, GTS - Sub Task, Project ID :: 0065560, Type :: Bug"/>
    <n v="7200"/>
    <n v="7200"/>
    <n v="1"/>
    <n v="1"/>
    <n v="1"/>
  </r>
  <r>
    <x v="1"/>
    <x v="5"/>
    <s v="GTS Dependency: Investigate vulnerability: on-headers is vulnerable to http response header manipulation"/>
    <n v="139"/>
    <m/>
    <x v="2"/>
    <d v="2025-07-22T00:00:00"/>
    <s v="Activity ID :: 01150670, GTS - Sub Task, Project ID :: 0065560, Type :: Bug"/>
    <n v="7200"/>
    <n v="7200"/>
    <n v="1"/>
    <n v="1"/>
    <n v="1"/>
  </r>
  <r>
    <x v="1"/>
    <x v="5"/>
    <s v="GTS Dependency: Investigate vulnerability: pbkdf2 returns predictable uninitialized/zero-filled memory for 0n-0rmalized or unimplemented algos"/>
    <n v="138"/>
    <m/>
    <x v="2"/>
    <d v="2025-07-22T00:00:00"/>
    <s v="Activity ID :: 01150670, GTS - Sub Task, Project ID :: 0065560, Type :: Bug"/>
    <n v="7200"/>
    <n v="7200"/>
    <n v="1"/>
    <n v="1"/>
    <n v="1"/>
  </r>
  <r>
    <x v="1"/>
    <x v="5"/>
    <s v="GTS_PHP: UAT - CMS - Updates Inconsistently Showing"/>
    <n v="134"/>
    <m/>
    <x v="45"/>
    <d v="2025-07-25T00:00:00"/>
    <s v="Activity ID :: 01150670, GTS - Sub Task, Project ID :: 0065560, Type :: Bug"/>
    <n v="57600"/>
    <n v="72000"/>
    <n v="1"/>
    <n v="0"/>
    <n v="1"/>
  </r>
  <r>
    <x v="1"/>
    <x v="5"/>
    <s v="GTS UAT - Google Analytics"/>
    <n v="132"/>
    <m/>
    <x v="46"/>
    <d v="2025-07-17T00:00:00"/>
    <s v="Activity ID :: 01150670, GTS - Sub Task, Project ID :: 0065560, Type :: Bug"/>
    <n v="3600"/>
    <n v="3600"/>
    <n v="1"/>
    <n v="1"/>
    <n v="1"/>
  </r>
  <r>
    <x v="1"/>
    <x v="5"/>
    <s v="GTS-PHP: PROD Deployment preparation"/>
    <n v="128"/>
    <m/>
    <x v="47"/>
    <d v="2025-07-14T00:00:00"/>
    <s v="Activity ID :: 01150670, GTS - Sub Task, Project ID :: 0065560"/>
    <n v="7200"/>
    <n v="7200"/>
    <n v="1"/>
    <n v="1"/>
    <n v="1"/>
  </r>
  <r>
    <x v="1"/>
    <x v="6"/>
    <s v="GTS SAST: Investigate vulnerability: Server-side request forgery (SSRF) - 4009825"/>
    <n v="498"/>
    <s v="Ganesh Venugopal"/>
    <x v="37"/>
    <d v="2025-09-22T00:00:00"/>
    <s v="Activity ID :: E_PHPBACK, GTS - Sub Task, Project ID :: 0062848, Type :: Bug"/>
    <n v="7200"/>
    <n v="7200"/>
    <n v="1"/>
    <n v="1"/>
    <n v="1"/>
  </r>
  <r>
    <x v="1"/>
    <x v="6"/>
    <s v="GTS Dependency: Investigate vulnerability: Axios is vulnerable to DoS attack through lack of data size check"/>
    <n v="497"/>
    <s v="Ganesh Venugopal"/>
    <x v="37"/>
    <d v="2025-09-22T00:00:00"/>
    <s v="Activity ID :: E_PHPBACK, GTS - Sub Task, Project ID :: 0062848, Type :: Bug"/>
    <n v="7200"/>
    <n v="7200"/>
    <n v="1"/>
    <n v="1"/>
    <n v="1"/>
  </r>
  <r>
    <x v="1"/>
    <x v="6"/>
    <s v="GTS-PHP:PROD - Earnings Fileload Issue"/>
    <n v="489"/>
    <s v="Petchiappan Murugan"/>
    <x v="34"/>
    <d v="2025-09-01T00:00:00"/>
    <s v="Activity ID :: E_PHPBACK, GTS - Sub Task, Project ID :: 0062848, Type :: Bug"/>
    <n v="14400"/>
    <n v="14400"/>
    <n v="1"/>
    <n v="1"/>
    <n v="1"/>
  </r>
  <r>
    <x v="1"/>
    <x v="6"/>
    <s v="GTS Dependency: Investigate vulnerability: pbkdf2 returns predictable uninitialized/zero-filled memory for 0n-0rmalized or unimplemented algos"/>
    <n v="487"/>
    <s v="Ganesh Venugopal"/>
    <x v="33"/>
    <d v="2025-07-24T00:00:00"/>
    <s v="Activity ID :: E_PHPBACK, GTS - Sub Task, Project ID :: 0062848, Type :: Bug"/>
    <n v="7200"/>
    <n v="7200"/>
    <n v="1"/>
    <n v="1"/>
    <n v="1"/>
  </r>
  <r>
    <x v="1"/>
    <x v="6"/>
    <s v="GTS Dependency: Investigate vulnerability: form-data uses unsafe random function in form-data for choosing boundary"/>
    <n v="486"/>
    <s v="Ganesh Venugopal"/>
    <x v="33"/>
    <d v="2025-07-24T00:00:00"/>
    <s v="Activity ID :: E_PHPBACK, GTS - Sub Task, Project ID :: 0062848, Type :: Bug"/>
    <n v="7200"/>
    <n v="7200"/>
    <n v="1"/>
    <n v="1"/>
    <n v="1"/>
  </r>
  <r>
    <x v="1"/>
    <x v="6"/>
    <s v="GTS-PHP:Bug: Forgot Password - If email address is invalid, do 0t show error message of invalid email."/>
    <n v="479"/>
    <s v="Petchiappan Murugan"/>
    <x v="28"/>
    <d v="2025-07-08T00:00:00"/>
    <s v="Activity ID :: E_PHPBACK, GTS - Sub Task, Project ID :: 0062848"/>
    <n v="14400"/>
    <n v="14400"/>
    <n v="1"/>
    <n v="1"/>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21C1AB-767C-4AF6-A5BF-8B4842023766}" name="PivotTable1"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ject">
  <location ref="B3:F7" firstHeaderRow="0" firstDataRow="1" firstDataCol="1"/>
  <pivotFields count="15">
    <pivotField showAll="0">
      <items count="3">
        <item x="0"/>
        <item h="1" x="1"/>
        <item t="default"/>
      </items>
    </pivotField>
    <pivotField showAll="0">
      <items count="8">
        <item x="0"/>
        <item x="1"/>
        <item x="2"/>
        <item x="3"/>
        <item x="4"/>
        <item x="5"/>
        <item x="6"/>
        <item t="default"/>
      </items>
    </pivotField>
    <pivotField showAll="0"/>
    <pivotField dataField="1" showAll="0"/>
    <pivotField showAll="0"/>
    <pivotField axis="axisRow" numFmtId="14" showAll="0">
      <items count="49">
        <item x="27"/>
        <item x="0"/>
        <item x="28"/>
        <item x="29"/>
        <item x="17"/>
        <item x="47"/>
        <item x="46"/>
        <item x="1"/>
        <item x="26"/>
        <item x="30"/>
        <item x="45"/>
        <item x="2"/>
        <item x="31"/>
        <item x="4"/>
        <item x="5"/>
        <item x="25"/>
        <item x="9"/>
        <item x="44"/>
        <item x="7"/>
        <item x="43"/>
        <item x="42"/>
        <item x="32"/>
        <item x="18"/>
        <item x="11"/>
        <item x="33"/>
        <item x="40"/>
        <item x="41"/>
        <item x="39"/>
        <item x="3"/>
        <item x="23"/>
        <item x="10"/>
        <item x="34"/>
        <item x="35"/>
        <item x="12"/>
        <item x="38"/>
        <item x="21"/>
        <item x="22"/>
        <item x="8"/>
        <item x="19"/>
        <item x="13"/>
        <item x="24"/>
        <item x="6"/>
        <item x="36"/>
        <item x="15"/>
        <item x="37"/>
        <item x="14"/>
        <item x="16"/>
        <item x="20"/>
        <item t="default"/>
      </items>
    </pivotField>
    <pivotField showAll="0"/>
    <pivotField showAll="0"/>
    <pivotField showAll="0"/>
    <pivotField showAll="0"/>
    <pivotField dataField="1" showAll="0"/>
    <pivotField dataField="1"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4"/>
    <field x="5"/>
  </rowFields>
  <rowItems count="4">
    <i>
      <x v="7"/>
    </i>
    <i>
      <x v="8"/>
    </i>
    <i>
      <x v="9"/>
    </i>
    <i t="grand">
      <x/>
    </i>
  </rowItems>
  <colFields count="1">
    <field x="-2"/>
  </colFields>
  <colItems count="4">
    <i>
      <x/>
    </i>
    <i i="1">
      <x v="1"/>
    </i>
    <i i="2">
      <x v="2"/>
    </i>
    <i i="3">
      <x v="3"/>
    </i>
  </colItems>
  <dataFields count="4">
    <dataField name="Total Issues/Features" fld="3" subtotal="count" baseField="0" baseItem="0"/>
    <dataField name="Schedule Adherence %" fld="10" subtotal="average" baseField="0" baseItem="0"/>
    <dataField name="Effort Adherence %" fld="11" subtotal="average" baseField="0" baseItem="0"/>
    <dataField name="Quality Score" fld="12" subtotal="average" baseField="0" baseItem="0"/>
  </dataFields>
  <formats count="9">
    <format dxfId="6">
      <pivotArea outline="0" collapsedLevelsAreSubtotals="1" fieldPosition="0"/>
    </format>
    <format dxfId="7">
      <pivotArea outline="0" collapsedLevelsAreSubtotals="1" fieldPosition="0">
        <references count="1">
          <reference field="4294967294" count="1" selected="0">
            <x v="0"/>
          </reference>
        </references>
      </pivotArea>
    </format>
    <format dxfId="8">
      <pivotArea outline="0" collapsedLevelsAreSubtotals="1" fieldPosition="0"/>
    </format>
    <format dxfId="9">
      <pivotArea dataOnly="0" labelOnly="1" outline="0" fieldPosition="0">
        <references count="1">
          <reference field="4294967294" count="4">
            <x v="0"/>
            <x v="1"/>
            <x v="2"/>
            <x v="3"/>
          </reference>
        </references>
      </pivotArea>
    </format>
    <format dxfId="10">
      <pivotArea type="all" dataOnly="0" outline="0" fieldPosition="0"/>
    </format>
    <format dxfId="11">
      <pivotArea outline="0" collapsedLevelsAreSubtotals="1" fieldPosition="0"/>
    </format>
    <format dxfId="12">
      <pivotArea field="1" type="button" dataOnly="0" labelOnly="1" outline="0"/>
    </format>
    <format dxfId="13">
      <pivotArea dataOnly="0" labelOnly="1" grandRow="1" outline="0" fieldPosition="0"/>
    </format>
    <format dxfId="14">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 xr10:uid="{CC34BE2E-8706-4F3F-BBE4-857292B16746}" sourceName="Team">
  <pivotTables>
    <pivotTable tabId="3" name="PivotTable1"/>
  </pivotTables>
  <data>
    <tabular pivotCacheId="1041405342">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 xr10:uid="{7B5DADF4-C2B2-4D83-911B-55EAFAA20E53}" cache="Slicer_Team" caption="Team"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K7" dT="2025-10-09T11:15:25.35" personId="{CCA43D2D-A603-4843-9D98-C4FCA6E506BA}" id="{26ABAE71-7F47-412C-9D76-B919F30257D3}">
    <text>The Code Review label was not included in the Git tasks for code reviews during this sprint. Starting in October, this label will be added to track code review metrics.</text>
  </threadedComment>
  <threadedComment ref="L7" dT="2025-10-09T11:15:25.35" personId="{CCA43D2D-A603-4843-9D98-C4FCA6E506BA}" id="{58B53789-448A-45B7-87FB-CAD0DE11C8E1}">
    <text>The Code Review label was not included in the Git tasks for code reviews during this sprint. Starting in October, this label will be added to track code review metrics.</text>
  </threadedComment>
  <threadedComment ref="M7" dT="2025-10-09T11:15:25.35" personId="{CCA43D2D-A603-4843-9D98-C4FCA6E506BA}" id="{8E5CD040-F869-42A5-9763-28E64BD91239}">
    <text>The Code Review label was not included in the Git tasks for code reviews during this sprint. Starting in October, this label will be added to track code review metrics.</text>
  </threadedComment>
</ThreadedComments>
</file>

<file path=xl/threadedComments/threadedComment2.xml><?xml version="1.0" encoding="utf-8"?>
<ThreadedComments xmlns="http://schemas.microsoft.com/office/spreadsheetml/2018/threadedcomments" xmlns:x="http://schemas.openxmlformats.org/spreadsheetml/2006/main">
  <threadedComment ref="L4" dT="2025-10-24T11:46:38.19" personId="{7BC007F9-44EC-4268-A357-ABFB2B025DDE}" id="{45309997-2B1F-4BD9-8055-10B5894A7A4B}">
    <text>@Muruganandham Jayapal , Need splits 
how this % is derived</text>
    <mentions>
      <mention mentionpersonId="{3C40CBA5-5E72-4EEC-A8E1-B3C8CC8E59BA}" mentionId="{57B1CE74-6582-4558-8E82-E7DE28850413}" startIndex="0" length="22"/>
    </mentions>
  </threadedComment>
  <threadedComment ref="L4" dT="2025-10-24T12:06:58.59" personId="{181DB2AE-0167-4407-A014-A196696B4DAB}" id="{9CAE45DE-3BC1-4BD6-9BDB-B0A7031327ED}" parentId="{45309997-2B1F-4BD9-8055-10B5894A7A4B}">
    <text>Effort Adherence = (Actual Hours Tracked in IFS / Base Line Hours) * 100 
Baseline hours : 690</text>
  </threadedComment>
  <threadedComment ref="L4" dT="2025-10-24T13:04:23.24" personId="{2B033031-8A1D-46C4-A114-D72CDD6F08A3}" id="{D768E7F4-611D-4145-9BD2-D534AEFD1D41}" parentId="{45309997-2B1F-4BD9-8055-10B5894A7A4B}">
    <text>This is wrong formula. The correct formula is Effort Adherence = No of Epics / stories delivered within estimated effort / Total number of epics / stories delivered</text>
  </threadedComment>
  <threadedComment ref="L4" dT="2025-10-24T13:04:40.43" personId="{2B033031-8A1D-46C4-A114-D72CDD6F08A3}" id="{A71CDA3B-3471-4ED4-9E44-2D9F8F409DDB}" parentId="{45309997-2B1F-4BD9-8055-10B5894A7A4B}">
    <text>@Muruganandham Jayapal  - Pls correct this ASAP</text>
    <mentions>
      <mention mentionpersonId="{3C40CBA5-5E72-4EEC-A8E1-B3C8CC8E59BA}" mentionId="{F71B2993-2FA6-42B5-893A-054645C73E62}" startIndex="0" length="22"/>
    </mentions>
  </threadedComment>
  <threadedComment ref="M4" dT="2025-10-24T11:46:38.19" personId="{7BC007F9-44EC-4268-A357-ABFB2B025DDE}" id="{77DBE0C5-E944-46DF-A122-B47C27D5707B}">
    <text>@Muruganandham Jayapal , Need splits 
how this % is derived</text>
    <mentions>
      <mention mentionpersonId="{3C40CBA5-5E72-4EEC-A8E1-B3C8CC8E59BA}" mentionId="{4F28563B-75E6-4E78-9B62-2EB22CD0BFF2}" startIndex="0" length="22"/>
    </mentions>
  </threadedComment>
  <threadedComment ref="M4" dT="2025-10-24T12:06:58.59" personId="{181DB2AE-0167-4407-A014-A196696B4DAB}" id="{5764846E-8CA0-4CD7-AF77-DFC602163E37}" parentId="{77DBE0C5-E944-46DF-A122-B47C27D5707B}">
    <text>Effort Adherence = (Actual Hours Tracked in IFS / Base Line Hours) * 100 
Baseline hours : 690</text>
  </threadedComment>
  <threadedComment ref="M4" dT="2025-10-24T13:04:23.24" personId="{2B033031-8A1D-46C4-A114-D72CDD6F08A3}" id="{29315F26-E74B-4731-B7B6-6CEBF2B26825}" parentId="{77DBE0C5-E944-46DF-A122-B47C27D5707B}">
    <text>This is wrong formula. The correct formula is Effort Adherence = No of Epics / stories delivered within estimated effort / Total number of epics / stories delivered</text>
  </threadedComment>
  <threadedComment ref="M4" dT="2025-10-24T13:04:40.43" personId="{2B033031-8A1D-46C4-A114-D72CDD6F08A3}" id="{D49248AD-4205-4EAE-8B47-AAF37A47684D}" parentId="{77DBE0C5-E944-46DF-A122-B47C27D5707B}">
    <text>@Muruganandham Jayapal  - Pls correct this ASAP</text>
    <mentions>
      <mention mentionpersonId="{3C40CBA5-5E72-4EEC-A8E1-B3C8CC8E59BA}" mentionId="{4B891C8A-1DEA-4EF3-8014-37867E1430B6}" startIndex="0" length="22"/>
    </mentions>
  </threadedComment>
  <threadedComment ref="N4" dT="2025-10-24T11:46:38.19" personId="{7BC007F9-44EC-4268-A357-ABFB2B025DDE}" id="{3E1C56E0-0754-4A1D-B923-1C5C739136B0}">
    <text>@Muruganandham Jayapal , Need splits 
how this % is derived</text>
    <mentions>
      <mention mentionpersonId="{3C40CBA5-5E72-4EEC-A8E1-B3C8CC8E59BA}" mentionId="{1664C4D2-684A-4020-8BE6-42451EBDD604}" startIndex="0" length="22"/>
    </mentions>
  </threadedComment>
  <threadedComment ref="N4" dT="2025-10-24T12:06:58.59" personId="{181DB2AE-0167-4407-A014-A196696B4DAB}" id="{B01F1669-75EE-4362-8BCB-03C9E253D2D5}" parentId="{3E1C56E0-0754-4A1D-B923-1C5C739136B0}">
    <text>Effort Adherence = (Actual Hours Tracked in IFS / Base Line Hours) * 100 
Baseline hours : 690</text>
  </threadedComment>
  <threadedComment ref="N4" dT="2025-10-24T13:04:23.24" personId="{2B033031-8A1D-46C4-A114-D72CDD6F08A3}" id="{6B7504A7-94AC-4F65-AC7D-C2DD8CE4EB99}" parentId="{3E1C56E0-0754-4A1D-B923-1C5C739136B0}">
    <text>This is wrong formula. The correct formula is Effort Adherence = No of Epics / stories delivered within estimated effort / Total number of epics / stories delivered</text>
  </threadedComment>
  <threadedComment ref="N4" dT="2025-10-24T13:04:40.43" personId="{2B033031-8A1D-46C4-A114-D72CDD6F08A3}" id="{007BB04A-D09F-4122-BC30-EE1CCD131D9D}" parentId="{3E1C56E0-0754-4A1D-B923-1C5C739136B0}">
    <text>@Muruganandham Jayapal  - Pls correct this ASAP</text>
    <mentions>
      <mention mentionpersonId="{3C40CBA5-5E72-4EEC-A8E1-B3C8CC8E59BA}" mentionId="{1DF7D9A4-62C6-45F1-AE59-02527F427A26}" startIndex="0" length="22"/>
    </mentions>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 Id="rId5" Type="http://schemas.microsoft.com/office/2019/04/relationships/documenttask" Target="../documenttasks/documenttask1.xml"/><Relationship Id="rId4" Type="http://schemas.microsoft.com/office/2017/10/relationships/threadedComment" Target="../threadedComments/threadedComment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2.bin"/><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6E713-59DA-45B8-84DE-FF2112124466}">
  <dimension ref="A1:AS18"/>
  <sheetViews>
    <sheetView workbookViewId="0">
      <pane xSplit="2" ySplit="3" topLeftCell="C4" activePane="bottomRight" state="frozen"/>
      <selection pane="bottomRight" activeCell="A3" sqref="A3"/>
      <selection pane="bottomLeft" activeCell="A4" sqref="A4"/>
      <selection pane="topRight" activeCell="D1" sqref="D1"/>
    </sheetView>
  </sheetViews>
  <sheetFormatPr defaultRowHeight="14.45"/>
  <cols>
    <col min="1" max="1" width="31.42578125" customWidth="1"/>
    <col min="2" max="2" width="35.42578125" customWidth="1"/>
    <col min="10" max="10" width="15.5703125" customWidth="1"/>
    <col min="11" max="11" width="4.140625" customWidth="1"/>
  </cols>
  <sheetData>
    <row r="1" spans="1:45" ht="15" thickBot="1"/>
    <row r="2" spans="1:45" ht="15" thickBot="1">
      <c r="L2" s="282" t="s">
        <v>0</v>
      </c>
      <c r="M2" s="283"/>
      <c r="N2" s="283"/>
      <c r="O2" s="283"/>
      <c r="P2" s="283"/>
      <c r="Q2" s="284"/>
      <c r="R2" s="259"/>
      <c r="S2" s="282" t="s">
        <v>1</v>
      </c>
      <c r="T2" s="283"/>
      <c r="U2" s="283"/>
      <c r="V2" s="283"/>
      <c r="W2" s="283"/>
      <c r="X2" s="284"/>
      <c r="Y2" s="259"/>
      <c r="Z2" s="288" t="s">
        <v>2</v>
      </c>
      <c r="AA2" s="288"/>
      <c r="AB2" s="288"/>
      <c r="AC2" s="288"/>
      <c r="AD2" s="288"/>
      <c r="AE2" s="288"/>
      <c r="AF2" s="259"/>
      <c r="AG2" s="285" t="s">
        <v>3</v>
      </c>
      <c r="AH2" s="286"/>
      <c r="AI2" s="286"/>
      <c r="AJ2" s="286"/>
      <c r="AK2" s="286"/>
      <c r="AL2" s="287"/>
      <c r="AM2" s="259"/>
      <c r="AN2" s="285" t="s">
        <v>4</v>
      </c>
      <c r="AO2" s="286"/>
      <c r="AP2" s="286"/>
      <c r="AQ2" s="286"/>
      <c r="AR2" s="286"/>
      <c r="AS2" s="287"/>
    </row>
    <row r="3" spans="1:45" ht="15" thickBot="1">
      <c r="A3" s="88" t="s">
        <v>5</v>
      </c>
      <c r="B3" s="89" t="s">
        <v>6</v>
      </c>
      <c r="C3" s="90" t="s">
        <v>7</v>
      </c>
      <c r="D3" s="90" t="s">
        <v>8</v>
      </c>
      <c r="E3" s="90" t="s">
        <v>9</v>
      </c>
      <c r="F3" s="90" t="s">
        <v>10</v>
      </c>
      <c r="G3" s="90" t="s">
        <v>11</v>
      </c>
      <c r="H3" s="145" t="s">
        <v>12</v>
      </c>
      <c r="I3" s="145" t="s">
        <v>13</v>
      </c>
      <c r="J3" s="90" t="s">
        <v>14</v>
      </c>
      <c r="K3" s="92"/>
      <c r="L3" s="156" t="s">
        <v>8</v>
      </c>
      <c r="M3" s="49" t="s">
        <v>9</v>
      </c>
      <c r="N3" s="49" t="s">
        <v>10</v>
      </c>
      <c r="O3" s="49" t="s">
        <v>11</v>
      </c>
      <c r="P3" s="49" t="s">
        <v>12</v>
      </c>
      <c r="Q3" s="157" t="s">
        <v>13</v>
      </c>
      <c r="R3" s="254"/>
      <c r="S3" s="156" t="s">
        <v>8</v>
      </c>
      <c r="T3" s="49" t="s">
        <v>9</v>
      </c>
      <c r="U3" s="49" t="s">
        <v>10</v>
      </c>
      <c r="V3" s="49" t="s">
        <v>11</v>
      </c>
      <c r="W3" s="49" t="s">
        <v>12</v>
      </c>
      <c r="X3" s="157" t="s">
        <v>13</v>
      </c>
      <c r="Y3" s="254"/>
      <c r="Z3" s="156" t="s">
        <v>8</v>
      </c>
      <c r="AA3" s="49" t="s">
        <v>9</v>
      </c>
      <c r="AB3" s="49" t="s">
        <v>10</v>
      </c>
      <c r="AC3" s="49" t="s">
        <v>11</v>
      </c>
      <c r="AD3" s="49" t="s">
        <v>12</v>
      </c>
      <c r="AE3" s="157" t="s">
        <v>13</v>
      </c>
      <c r="AF3" s="254"/>
      <c r="AG3" s="156" t="s">
        <v>8</v>
      </c>
      <c r="AH3" s="49" t="s">
        <v>9</v>
      </c>
      <c r="AI3" s="49" t="s">
        <v>10</v>
      </c>
      <c r="AJ3" s="49" t="s">
        <v>11</v>
      </c>
      <c r="AK3" s="49" t="s">
        <v>12</v>
      </c>
      <c r="AL3" s="157" t="s">
        <v>13</v>
      </c>
      <c r="AM3" s="254"/>
      <c r="AN3" s="156" t="s">
        <v>8</v>
      </c>
      <c r="AO3" s="49" t="s">
        <v>9</v>
      </c>
      <c r="AP3" s="49" t="s">
        <v>10</v>
      </c>
      <c r="AQ3" s="49" t="s">
        <v>11</v>
      </c>
      <c r="AR3" s="49" t="s">
        <v>12</v>
      </c>
      <c r="AS3" s="157" t="s">
        <v>13</v>
      </c>
    </row>
    <row r="4" spans="1:45" ht="15" thickBot="1">
      <c r="A4" s="293" t="s">
        <v>15</v>
      </c>
      <c r="B4" s="38" t="s">
        <v>16</v>
      </c>
      <c r="C4" s="91">
        <f t="shared" ref="C4:C12" si="0">AVERAGE(D4:I4)</f>
        <v>98.116592592592568</v>
      </c>
      <c r="D4" s="91">
        <f t="shared" ref="D4:I5" si="1">AVERAGE(L4,S4,Z4,AG4,AN4)</f>
        <v>96.494</v>
      </c>
      <c r="E4" s="91">
        <f t="shared" si="1"/>
        <v>99.166666666666657</v>
      </c>
      <c r="F4" s="91">
        <f t="shared" si="1"/>
        <v>96.838888888888874</v>
      </c>
      <c r="G4" s="91">
        <f t="shared" si="1"/>
        <v>98.2</v>
      </c>
      <c r="H4" s="91">
        <f t="shared" si="1"/>
        <v>98.25</v>
      </c>
      <c r="I4" s="91">
        <f t="shared" si="1"/>
        <v>99.75</v>
      </c>
      <c r="J4" s="72"/>
      <c r="L4" s="163">
        <f>Ocean!J3</f>
        <v>89.47</v>
      </c>
      <c r="M4" s="91">
        <f>Ocean!L3</f>
        <v>100</v>
      </c>
      <c r="N4" s="91">
        <f>Ocean!N3</f>
        <v>93.75</v>
      </c>
      <c r="O4" s="91">
        <f>Ocean!P3</f>
        <v>100</v>
      </c>
      <c r="P4" s="91">
        <f>Ocean!R3</f>
        <v>100</v>
      </c>
      <c r="Q4" s="164">
        <f>Ocean!T3</f>
        <v>100</v>
      </c>
      <c r="R4" s="256"/>
      <c r="S4" s="160">
        <f>Data!D10</f>
        <v>100</v>
      </c>
      <c r="T4" s="93">
        <f>Data!D11</f>
        <v>95.8333333333333</v>
      </c>
      <c r="U4" s="93">
        <f>Data!D12</f>
        <v>94.4444444444444</v>
      </c>
      <c r="V4" s="93">
        <f>Data!D21</f>
        <v>92</v>
      </c>
      <c r="W4" s="93"/>
      <c r="X4" s="161"/>
      <c r="Y4" s="255"/>
      <c r="Z4" s="253">
        <f>Cap!K3</f>
        <v>98</v>
      </c>
      <c r="AA4" s="162">
        <f>Cap!M3</f>
        <v>100</v>
      </c>
      <c r="AB4" s="162">
        <f>Cap!O3</f>
        <v>99</v>
      </c>
      <c r="AC4" s="162">
        <f>Cap!Q3</f>
        <v>99</v>
      </c>
      <c r="AD4" s="162">
        <f>Cap!S3</f>
        <v>96</v>
      </c>
      <c r="AE4" s="260">
        <f>Cap!U3</f>
        <v>99</v>
      </c>
      <c r="AF4" s="255"/>
      <c r="AG4" s="258">
        <f>Phoenix!K3</f>
        <v>100</v>
      </c>
      <c r="AH4" s="255">
        <f>Phoenix!M3</f>
        <v>100</v>
      </c>
      <c r="AI4" s="255">
        <f>Phoenix!O3</f>
        <v>100</v>
      </c>
      <c r="AJ4" s="255">
        <f>Phoenix!Q3</f>
        <v>100</v>
      </c>
      <c r="AK4" s="255">
        <f>Phoenix!S3</f>
        <v>100</v>
      </c>
      <c r="AL4" s="257">
        <f>Phoenix!U3</f>
        <v>100</v>
      </c>
      <c r="AM4" s="255"/>
      <c r="AN4" s="166">
        <f>Custom!E4</f>
        <v>95</v>
      </c>
      <c r="AO4">
        <f>Custom!G4</f>
        <v>100</v>
      </c>
      <c r="AP4">
        <f>Custom!I4</f>
        <v>97</v>
      </c>
      <c r="AQ4">
        <f>Custom!K4</f>
        <v>100</v>
      </c>
      <c r="AR4">
        <f>Custom!M4</f>
        <v>97</v>
      </c>
      <c r="AS4" s="165">
        <f>Custom!O4</f>
        <v>100</v>
      </c>
    </row>
    <row r="5" spans="1:45" ht="15" thickBot="1">
      <c r="A5" s="293"/>
      <c r="B5" s="38" t="s">
        <v>17</v>
      </c>
      <c r="C5" s="91">
        <f t="shared" si="0"/>
        <v>96.11773202614377</v>
      </c>
      <c r="D5" s="91">
        <f t="shared" si="1"/>
        <v>93.441058823529417</v>
      </c>
      <c r="E5" s="91">
        <f t="shared" si="1"/>
        <v>96.733333333333334</v>
      </c>
      <c r="F5" s="91">
        <f t="shared" si="1"/>
        <v>93.25</v>
      </c>
      <c r="G5" s="91">
        <f t="shared" si="1"/>
        <v>97.531999999999996</v>
      </c>
      <c r="H5" s="91">
        <f t="shared" si="1"/>
        <v>97.5</v>
      </c>
      <c r="I5" s="91">
        <f t="shared" si="1"/>
        <v>98.25</v>
      </c>
      <c r="J5" s="72"/>
      <c r="L5" s="163">
        <f>Ocean!J4</f>
        <v>89.47</v>
      </c>
      <c r="M5" s="91">
        <f>Ocean!L4</f>
        <v>100</v>
      </c>
      <c r="N5" s="91">
        <f>Ocean!N4</f>
        <v>81.25</v>
      </c>
      <c r="O5" s="91">
        <f>Ocean!P4</f>
        <v>100</v>
      </c>
      <c r="P5" s="91">
        <f>Ocean!R4</f>
        <v>100</v>
      </c>
      <c r="Q5" s="164">
        <f>Ocean!T4</f>
        <v>100</v>
      </c>
      <c r="R5" s="256"/>
      <c r="S5" s="160">
        <f>Data!E10</f>
        <v>88.235294117647101</v>
      </c>
      <c r="T5" s="93">
        <f>Data!E11</f>
        <v>91.6666666666667</v>
      </c>
      <c r="U5" s="93">
        <f>Data!E12</f>
        <v>100</v>
      </c>
      <c r="V5" s="93">
        <f>Data!E21</f>
        <v>91.66</v>
      </c>
      <c r="W5" s="93"/>
      <c r="X5" s="161"/>
      <c r="Y5" s="255"/>
      <c r="Z5" s="253">
        <f>Cap!K4</f>
        <v>99</v>
      </c>
      <c r="AA5" s="162">
        <f>Cap!M4</f>
        <v>98</v>
      </c>
      <c r="AB5" s="162">
        <f>Cap!O4</f>
        <v>99</v>
      </c>
      <c r="AC5" s="162">
        <f>Cap!Q4</f>
        <v>100</v>
      </c>
      <c r="AD5" s="162">
        <f>Cap!S4</f>
        <v>100</v>
      </c>
      <c r="AE5" s="260">
        <f>Cap!U4</f>
        <v>97</v>
      </c>
      <c r="AF5" s="255"/>
      <c r="AG5" s="258">
        <f>Phoenix!K4</f>
        <v>93</v>
      </c>
      <c r="AH5" s="255">
        <f>Phoenix!M4</f>
        <v>94</v>
      </c>
      <c r="AI5" s="255">
        <f>Phoenix!O4</f>
        <v>89</v>
      </c>
      <c r="AJ5" s="255">
        <f>Phoenix!Q4</f>
        <v>96</v>
      </c>
      <c r="AK5" s="255">
        <f>Phoenix!S4</f>
        <v>93</v>
      </c>
      <c r="AL5" s="257">
        <f>Phoenix!U4</f>
        <v>96</v>
      </c>
      <c r="AM5" s="255"/>
      <c r="AN5" s="166">
        <f>Custom!E7</f>
        <v>97.5</v>
      </c>
      <c r="AO5">
        <f>Custom!G7</f>
        <v>100</v>
      </c>
      <c r="AP5">
        <f>Custom!I7</f>
        <v>97</v>
      </c>
      <c r="AQ5">
        <f>Custom!K7</f>
        <v>100</v>
      </c>
      <c r="AR5">
        <f>Custom!M7</f>
        <v>97</v>
      </c>
      <c r="AS5" s="165">
        <f>Custom!O7</f>
        <v>100</v>
      </c>
    </row>
    <row r="6" spans="1:45" ht="15" thickBot="1">
      <c r="A6" s="293"/>
      <c r="B6" s="39" t="s">
        <v>18</v>
      </c>
      <c r="C6" s="91">
        <f t="shared" si="0"/>
        <v>98.772499999999994</v>
      </c>
      <c r="D6" s="91">
        <f>AVERAGE(L6,S6,Z6,AG6,AN6)</f>
        <v>98.3</v>
      </c>
      <c r="E6" s="91">
        <f t="shared" ref="E6" si="2">AVERAGE(M6,T6,AA6,AH6,AO6)</f>
        <v>99.66</v>
      </c>
      <c r="F6" s="91">
        <f t="shared" ref="F6" si="3">AVERAGE(N6,U6,AB6,AI6,AP6)</f>
        <v>97.525000000000006</v>
      </c>
      <c r="G6" s="91">
        <f t="shared" ref="G6:I8" si="4">AVERAGE(O6,V6,AC6,AJ6,AQ6)</f>
        <v>99.4</v>
      </c>
      <c r="H6" s="91">
        <f t="shared" si="4"/>
        <v>98.5</v>
      </c>
      <c r="I6" s="91">
        <f t="shared" si="4"/>
        <v>99.25</v>
      </c>
      <c r="J6" s="72"/>
      <c r="L6" s="163">
        <f>Ocean!J5</f>
        <v>100</v>
      </c>
      <c r="M6" s="91">
        <f>Ocean!L5</f>
        <v>100</v>
      </c>
      <c r="N6" s="91">
        <f>Ocean!N5</f>
        <v>90.625</v>
      </c>
      <c r="O6" s="91">
        <f>Ocean!P5</f>
        <v>97</v>
      </c>
      <c r="P6" s="91">
        <f>Ocean!R5</f>
        <v>100</v>
      </c>
      <c r="Q6" s="164">
        <f>Ocean!T5</f>
        <v>100</v>
      </c>
      <c r="R6" s="256"/>
      <c r="S6" s="162">
        <f>Data!F10</f>
        <v>100</v>
      </c>
      <c r="T6" s="93">
        <f>Data!F11</f>
        <v>100</v>
      </c>
      <c r="U6" s="93">
        <f>Data!F12</f>
        <v>100</v>
      </c>
      <c r="V6" s="93">
        <f>Data!F21</f>
        <v>100</v>
      </c>
      <c r="W6" s="93"/>
      <c r="X6" s="161"/>
      <c r="Y6" s="255"/>
      <c r="Z6" s="253">
        <f>Cap!K5</f>
        <v>99</v>
      </c>
      <c r="AA6" s="162">
        <f>Cap!M5</f>
        <v>100</v>
      </c>
      <c r="AB6" s="162">
        <f>Cap!O5</f>
        <v>100</v>
      </c>
      <c r="AC6" s="162">
        <f>Cap!Q5</f>
        <v>100</v>
      </c>
      <c r="AD6" s="162">
        <f>Cap!S5</f>
        <v>100</v>
      </c>
      <c r="AE6" s="260">
        <f>Cap!U5</f>
        <v>100</v>
      </c>
      <c r="AF6" s="255"/>
      <c r="AG6" s="258">
        <f>Phoenix!K5</f>
        <v>100</v>
      </c>
      <c r="AH6" s="255">
        <f>Phoenix!M5</f>
        <v>100</v>
      </c>
      <c r="AI6" s="255">
        <f>Phoenix!O5</f>
        <v>100</v>
      </c>
      <c r="AJ6" s="255">
        <f>Phoenix!Q5</f>
        <v>100</v>
      </c>
      <c r="AK6" s="255">
        <f>Phoenix!S5</f>
        <v>100</v>
      </c>
      <c r="AL6" s="257">
        <f>Phoenix!U5</f>
        <v>100</v>
      </c>
      <c r="AM6" s="255"/>
      <c r="AN6" s="166">
        <f>Custom!E8</f>
        <v>92.5</v>
      </c>
      <c r="AO6">
        <f>Custom!G8</f>
        <v>98.3</v>
      </c>
      <c r="AP6">
        <f>Custom!I8</f>
        <v>97</v>
      </c>
      <c r="AQ6">
        <f>Custom!K8</f>
        <v>100</v>
      </c>
      <c r="AR6">
        <f>Custom!M8</f>
        <v>94</v>
      </c>
      <c r="AS6" s="165">
        <f>Custom!O8</f>
        <v>97</v>
      </c>
    </row>
    <row r="7" spans="1:45">
      <c r="A7" s="291" t="s">
        <v>19</v>
      </c>
      <c r="B7" s="40" t="s">
        <v>20</v>
      </c>
      <c r="C7" s="91">
        <f t="shared" si="0"/>
        <v>98.166666666666671</v>
      </c>
      <c r="D7" s="91">
        <f t="shared" ref="D7:D8" si="5">AVERAGE(L7,S7,Z7,AG7,AN7)</f>
        <v>92</v>
      </c>
      <c r="E7" s="91">
        <f t="shared" ref="E7:E8" si="6">AVERAGE(M7,T7,AA7,AH7,AO7)</f>
        <v>104</v>
      </c>
      <c r="F7" s="91">
        <f t="shared" ref="F7:F8" si="7">AVERAGE(N7,U7,AB7,AI7,AP7)</f>
        <v>101.5</v>
      </c>
      <c r="G7" s="91">
        <f t="shared" si="4"/>
        <v>96.5</v>
      </c>
      <c r="H7" s="91">
        <f t="shared" si="4"/>
        <v>100.5</v>
      </c>
      <c r="I7" s="91">
        <f t="shared" si="4"/>
        <v>94.5</v>
      </c>
      <c r="J7" s="72"/>
      <c r="L7" s="158"/>
      <c r="M7" s="72"/>
      <c r="N7" s="72"/>
      <c r="O7" s="72"/>
      <c r="P7" s="72"/>
      <c r="Q7" s="73"/>
      <c r="S7" s="158"/>
      <c r="T7" s="72"/>
      <c r="U7" s="72"/>
      <c r="V7" s="72"/>
      <c r="W7" s="72"/>
      <c r="X7" s="73"/>
      <c r="Z7" s="253">
        <f>Cap!K6</f>
        <v>89</v>
      </c>
      <c r="AA7" s="162">
        <f>Cap!M6</f>
        <v>75</v>
      </c>
      <c r="AB7" s="162">
        <f>Cap!O6</f>
        <v>88</v>
      </c>
      <c r="AC7" s="162">
        <f>Cap!Q6</f>
        <v>88</v>
      </c>
      <c r="AD7" s="162">
        <f>Cap!S6</f>
        <v>89</v>
      </c>
      <c r="AE7" s="260">
        <f>Cap!U6</f>
        <v>76</v>
      </c>
      <c r="AF7" s="255"/>
      <c r="AG7" s="258">
        <f>Phoenix!K6</f>
        <v>95</v>
      </c>
      <c r="AH7" s="255">
        <f>Phoenix!M6</f>
        <v>133</v>
      </c>
      <c r="AI7" s="255">
        <f>Phoenix!O6</f>
        <v>115</v>
      </c>
      <c r="AJ7" s="255">
        <f>Phoenix!Q6</f>
        <v>105</v>
      </c>
      <c r="AK7" s="255">
        <f>Phoenix!S6</f>
        <v>112</v>
      </c>
      <c r="AL7" s="257">
        <f>Phoenix!U6</f>
        <v>113</v>
      </c>
      <c r="AM7" s="255"/>
      <c r="AN7" s="166"/>
      <c r="AS7" s="165"/>
    </row>
    <row r="8" spans="1:45">
      <c r="A8" s="292"/>
      <c r="B8" s="41" t="s">
        <v>21</v>
      </c>
      <c r="C8" s="91">
        <f t="shared" si="0"/>
        <v>98.833333333333329</v>
      </c>
      <c r="D8" s="91">
        <f t="shared" si="5"/>
        <v>100</v>
      </c>
      <c r="E8" s="91">
        <f t="shared" si="6"/>
        <v>96</v>
      </c>
      <c r="F8" s="91">
        <f t="shared" si="7"/>
        <v>100</v>
      </c>
      <c r="G8" s="91">
        <f t="shared" si="4"/>
        <v>98.5</v>
      </c>
      <c r="H8" s="91">
        <f t="shared" si="4"/>
        <v>98.5</v>
      </c>
      <c r="I8" s="91">
        <f t="shared" si="4"/>
        <v>100</v>
      </c>
      <c r="J8" s="72"/>
      <c r="L8" s="158"/>
      <c r="M8" s="72"/>
      <c r="N8" s="72"/>
      <c r="O8" s="72"/>
      <c r="P8" s="72"/>
      <c r="Q8" s="73"/>
      <c r="S8" s="158"/>
      <c r="T8" s="72"/>
      <c r="U8" s="72"/>
      <c r="V8" s="72"/>
      <c r="W8" s="72"/>
      <c r="X8" s="73"/>
      <c r="Z8" s="253">
        <f>Cap!K7</f>
        <v>100</v>
      </c>
      <c r="AA8" s="162">
        <f>Cap!M7</f>
        <v>92</v>
      </c>
      <c r="AB8" s="162">
        <f>Cap!O7</f>
        <v>100</v>
      </c>
      <c r="AC8" s="162">
        <f>Cap!Q7</f>
        <v>97</v>
      </c>
      <c r="AD8" s="162">
        <f>Cap!S7</f>
        <v>97</v>
      </c>
      <c r="AE8" s="260">
        <f>Cap!U7</f>
        <v>100</v>
      </c>
      <c r="AF8" s="255"/>
      <c r="AG8" s="258">
        <f>Phoenix!K7</f>
        <v>100</v>
      </c>
      <c r="AH8" s="255">
        <f>Phoenix!M7</f>
        <v>100</v>
      </c>
      <c r="AI8" s="255">
        <f>Phoenix!O7</f>
        <v>100</v>
      </c>
      <c r="AJ8" s="255">
        <f>Phoenix!Q7</f>
        <v>100</v>
      </c>
      <c r="AK8" s="255">
        <f>Phoenix!S7</f>
        <v>100</v>
      </c>
      <c r="AL8" s="257">
        <f>Phoenix!U7</f>
        <v>100</v>
      </c>
      <c r="AM8" s="255"/>
      <c r="AN8" s="166"/>
      <c r="AS8" s="165"/>
    </row>
    <row r="9" spans="1:45" ht="43.5">
      <c r="A9" s="292"/>
      <c r="B9" s="35" t="s">
        <v>22</v>
      </c>
      <c r="C9" s="91">
        <f t="shared" si="0"/>
        <v>411.83333333333331</v>
      </c>
      <c r="D9" s="91">
        <f>Ocean!J6</f>
        <v>740</v>
      </c>
      <c r="E9" s="91">
        <f>Ocean!L6</f>
        <v>421</v>
      </c>
      <c r="F9" s="91">
        <f>Ocean!N6</f>
        <v>533</v>
      </c>
      <c r="G9" s="91">
        <f>Ocean!P6</f>
        <v>110</v>
      </c>
      <c r="H9" s="91">
        <f>Ocean!R6</f>
        <v>554</v>
      </c>
      <c r="I9" s="91">
        <f>Ocean!T6</f>
        <v>113</v>
      </c>
      <c r="J9" s="72" t="s">
        <v>23</v>
      </c>
      <c r="L9" s="158" t="s">
        <v>24</v>
      </c>
      <c r="M9" s="72"/>
      <c r="N9" s="72"/>
      <c r="O9" s="72"/>
      <c r="P9" s="72"/>
      <c r="Q9" s="73"/>
      <c r="S9" s="158"/>
      <c r="T9" s="72"/>
      <c r="U9" s="72"/>
      <c r="V9" s="72"/>
      <c r="W9" s="72"/>
      <c r="X9" s="73"/>
      <c r="Z9" s="155"/>
      <c r="AA9" s="72"/>
      <c r="AB9" s="72"/>
      <c r="AC9" s="72"/>
      <c r="AD9" s="73"/>
      <c r="AE9" s="252"/>
      <c r="AG9" s="166"/>
      <c r="AL9" s="165"/>
      <c r="AN9" s="166"/>
      <c r="AS9" s="165"/>
    </row>
    <row r="10" spans="1:45" ht="57.95">
      <c r="A10" s="292"/>
      <c r="B10" s="35" t="s">
        <v>25</v>
      </c>
      <c r="C10" s="91">
        <f t="shared" si="0"/>
        <v>100</v>
      </c>
      <c r="D10" s="91">
        <f>Ocean!J7</f>
        <v>100</v>
      </c>
      <c r="E10" s="91">
        <f>Ocean!L7</f>
        <v>100</v>
      </c>
      <c r="F10" s="91">
        <f>Ocean!N7</f>
        <v>100</v>
      </c>
      <c r="G10" s="91">
        <f>Ocean!P7</f>
        <v>100</v>
      </c>
      <c r="H10" s="91">
        <f>Ocean!R7</f>
        <v>100</v>
      </c>
      <c r="I10" s="91">
        <f>Ocean!T7</f>
        <v>100</v>
      </c>
      <c r="J10" s="72" t="s">
        <v>23</v>
      </c>
      <c r="L10" s="158" t="s">
        <v>24</v>
      </c>
      <c r="M10" s="72"/>
      <c r="N10" s="72"/>
      <c r="O10" s="72"/>
      <c r="P10" s="72"/>
      <c r="Q10" s="73"/>
      <c r="S10" s="158"/>
      <c r="T10" s="72"/>
      <c r="U10" s="72"/>
      <c r="V10" s="72"/>
      <c r="W10" s="72"/>
      <c r="X10" s="73"/>
      <c r="Z10" s="155"/>
      <c r="AA10" s="72"/>
      <c r="AB10" s="72"/>
      <c r="AC10" s="72"/>
      <c r="AD10" s="73"/>
      <c r="AE10" s="252"/>
      <c r="AG10" s="166"/>
      <c r="AL10" s="165"/>
      <c r="AN10" s="166"/>
      <c r="AS10" s="165"/>
    </row>
    <row r="11" spans="1:45" ht="43.5">
      <c r="A11" s="42" t="s">
        <v>26</v>
      </c>
      <c r="B11" s="36" t="s">
        <v>27</v>
      </c>
      <c r="C11" s="91">
        <f t="shared" si="0"/>
        <v>81.899999999999991</v>
      </c>
      <c r="D11" s="91">
        <f>Ocean!J9</f>
        <v>53.8</v>
      </c>
      <c r="E11" s="91">
        <f>Ocean!L9</f>
        <v>51.5</v>
      </c>
      <c r="F11" s="91">
        <f>Ocean!N9</f>
        <v>104.3</v>
      </c>
      <c r="G11" s="91">
        <f>Ocean!P9</f>
        <v>104.3</v>
      </c>
      <c r="H11" s="91">
        <f>Ocean!R9</f>
        <v>138</v>
      </c>
      <c r="I11" s="91">
        <f>Ocean!T9</f>
        <v>39.5</v>
      </c>
      <c r="J11" s="72" t="s">
        <v>23</v>
      </c>
      <c r="L11" s="158" t="s">
        <v>24</v>
      </c>
      <c r="M11" s="72"/>
      <c r="N11" s="72"/>
      <c r="O11" s="72"/>
      <c r="P11" s="72"/>
      <c r="Q11" s="73"/>
      <c r="S11" s="158"/>
      <c r="T11" s="72"/>
      <c r="U11" s="72"/>
      <c r="V11" s="72"/>
      <c r="W11" s="72"/>
      <c r="X11" s="73"/>
      <c r="Z11" s="155"/>
      <c r="AA11" s="72"/>
      <c r="AB11" s="72"/>
      <c r="AC11" s="72"/>
      <c r="AD11" s="73"/>
      <c r="AE11" s="252"/>
      <c r="AG11" s="166"/>
      <c r="AL11" s="165"/>
      <c r="AN11" s="166"/>
      <c r="AS11" s="165"/>
    </row>
    <row r="12" spans="1:45" ht="29.1">
      <c r="A12" s="294" t="s">
        <v>28</v>
      </c>
      <c r="B12" s="37" t="s">
        <v>29</v>
      </c>
      <c r="C12" s="91">
        <f t="shared" si="0"/>
        <v>0.16527777777777777</v>
      </c>
      <c r="D12" s="91">
        <f>Ocean!J12</f>
        <v>0</v>
      </c>
      <c r="E12" s="91">
        <f>Ocean!L12</f>
        <v>0.125</v>
      </c>
      <c r="F12" s="91">
        <f>Ocean!N12</f>
        <v>0.16666666666666666</v>
      </c>
      <c r="G12" s="91">
        <f>Ocean!P12</f>
        <v>0.3</v>
      </c>
      <c r="H12" s="91">
        <f>Ocean!R12</f>
        <v>0.4</v>
      </c>
      <c r="I12" s="91">
        <f>Ocean!T12</f>
        <v>0</v>
      </c>
      <c r="J12" s="72" t="s">
        <v>23</v>
      </c>
      <c r="L12" s="158" t="s">
        <v>24</v>
      </c>
      <c r="M12" s="72"/>
      <c r="N12" s="72"/>
      <c r="O12" s="72"/>
      <c r="P12" s="72"/>
      <c r="Q12" s="73"/>
      <c r="S12" s="158"/>
      <c r="T12" s="72"/>
      <c r="U12" s="72"/>
      <c r="V12" s="72"/>
      <c r="W12" s="72"/>
      <c r="X12" s="73"/>
      <c r="Z12" s="155"/>
      <c r="AA12" s="72"/>
      <c r="AB12" s="72"/>
      <c r="AC12" s="72"/>
      <c r="AD12" s="73"/>
      <c r="AE12" s="252"/>
      <c r="AG12" s="166"/>
      <c r="AL12" s="165"/>
      <c r="AN12" s="166"/>
      <c r="AS12" s="165"/>
    </row>
    <row r="13" spans="1:45">
      <c r="A13" s="294"/>
      <c r="B13" s="44" t="s">
        <v>30</v>
      </c>
      <c r="C13" s="91">
        <f>SUM(D13:I13)</f>
        <v>4.126666666666666</v>
      </c>
      <c r="D13" s="91">
        <f t="shared" ref="D13:I14" si="8">IFERROR(AVERAGE(L13,S13,Z13,AG13,AN13),0)</f>
        <v>0</v>
      </c>
      <c r="E13" s="91">
        <f t="shared" si="8"/>
        <v>0</v>
      </c>
      <c r="F13" s="91">
        <f t="shared" si="8"/>
        <v>0</v>
      </c>
      <c r="G13" s="91">
        <f t="shared" si="8"/>
        <v>0</v>
      </c>
      <c r="H13" s="91">
        <f t="shared" si="8"/>
        <v>4.126666666666666</v>
      </c>
      <c r="I13" s="91">
        <f t="shared" si="8"/>
        <v>0</v>
      </c>
      <c r="J13" s="72"/>
      <c r="L13" s="163" t="str">
        <f>Ocean!J13</f>
        <v>N/A</v>
      </c>
      <c r="M13" s="91" t="str">
        <f>Ocean!L13</f>
        <v>N/A</v>
      </c>
      <c r="N13" s="91" t="str">
        <f>Ocean!N13</f>
        <v>N/A</v>
      </c>
      <c r="O13" s="91" t="str">
        <f>Ocean!P13</f>
        <v>N/A</v>
      </c>
      <c r="P13" s="91">
        <f>Ocean!R13</f>
        <v>3.75</v>
      </c>
      <c r="Q13" s="164" t="str">
        <f>Ocean!T13</f>
        <v>N/A</v>
      </c>
      <c r="R13" s="256"/>
      <c r="S13" s="158"/>
      <c r="T13" s="72"/>
      <c r="U13" s="72"/>
      <c r="V13" s="72"/>
      <c r="W13" s="91"/>
      <c r="X13" s="164"/>
      <c r="Y13" s="256"/>
      <c r="Z13" s="155"/>
      <c r="AA13" s="72"/>
      <c r="AB13" s="72"/>
      <c r="AC13" s="72"/>
      <c r="AD13" s="164">
        <f>Cap!S13</f>
        <v>4.63</v>
      </c>
      <c r="AE13" s="252"/>
      <c r="AG13" s="166"/>
      <c r="AK13">
        <f>Phoenix!S13</f>
        <v>4</v>
      </c>
      <c r="AL13" s="165">
        <f>Phoenix!T13</f>
        <v>0</v>
      </c>
      <c r="AN13" s="166"/>
      <c r="AS13" s="165"/>
    </row>
    <row r="14" spans="1:45">
      <c r="A14" s="289" t="s">
        <v>31</v>
      </c>
      <c r="B14" s="45" t="s">
        <v>32</v>
      </c>
      <c r="C14" s="91">
        <f>AVERAGE(D14:I14)</f>
        <v>69.683750000000003</v>
      </c>
      <c r="D14" s="91">
        <f t="shared" si="8"/>
        <v>76.497500000000002</v>
      </c>
      <c r="E14" s="91">
        <f t="shared" si="8"/>
        <v>65.022499999999994</v>
      </c>
      <c r="F14" s="91">
        <f t="shared" si="8"/>
        <v>69.555000000000007</v>
      </c>
      <c r="G14" s="91">
        <f t="shared" si="8"/>
        <v>61.5</v>
      </c>
      <c r="H14" s="91">
        <f t="shared" si="8"/>
        <v>74.295000000000002</v>
      </c>
      <c r="I14" s="91">
        <f t="shared" si="8"/>
        <v>71.232500000000002</v>
      </c>
      <c r="J14" s="72"/>
      <c r="L14" s="163">
        <f>Ocean!J14</f>
        <v>68.7</v>
      </c>
      <c r="M14" s="91">
        <f>Ocean!L14</f>
        <v>69.790000000000006</v>
      </c>
      <c r="N14" s="91">
        <f>Ocean!N14</f>
        <v>82.85</v>
      </c>
      <c r="O14" s="91">
        <f>Ocean!P14</f>
        <v>74.77</v>
      </c>
      <c r="P14" s="91">
        <f>Ocean!R14</f>
        <v>90.11</v>
      </c>
      <c r="Q14" s="164">
        <f>Ocean!T14</f>
        <v>82.52</v>
      </c>
      <c r="R14" s="256"/>
      <c r="S14" s="158"/>
      <c r="T14" s="72"/>
      <c r="U14" s="72"/>
      <c r="V14" s="72"/>
      <c r="W14" s="72"/>
      <c r="X14" s="73"/>
      <c r="Z14" s="253">
        <f>Cap!K14</f>
        <v>90.85</v>
      </c>
      <c r="AA14" s="162">
        <f>Cap!M14</f>
        <v>83.09</v>
      </c>
      <c r="AB14" s="162">
        <f>Cap!O14</f>
        <v>85.87</v>
      </c>
      <c r="AC14" s="162">
        <f>Cap!Q14</f>
        <v>73.27</v>
      </c>
      <c r="AD14" s="162">
        <f>Cap!S14</f>
        <v>83.32</v>
      </c>
      <c r="AE14" s="260">
        <f>Cap!U14</f>
        <v>73.47</v>
      </c>
      <c r="AF14" s="255"/>
      <c r="AG14" s="258">
        <f>Phoenix!K14</f>
        <v>87</v>
      </c>
      <c r="AH14" s="255">
        <f>Phoenix!M14</f>
        <v>77</v>
      </c>
      <c r="AI14" s="255">
        <f>Phoenix!O14</f>
        <v>72</v>
      </c>
      <c r="AJ14" s="255">
        <f>Phoenix!Q14</f>
        <v>61</v>
      </c>
      <c r="AK14" s="255">
        <f>Phoenix!S14</f>
        <v>80</v>
      </c>
      <c r="AL14" s="257">
        <f>Phoenix!U14</f>
        <v>72</v>
      </c>
      <c r="AM14" s="255"/>
      <c r="AN14" s="166">
        <f>Custom!E9</f>
        <v>59.44</v>
      </c>
      <c r="AO14">
        <f>Custom!G9</f>
        <v>30.21</v>
      </c>
      <c r="AP14">
        <f>Custom!I9</f>
        <v>37.5</v>
      </c>
      <c r="AQ14">
        <f>Custom!K9</f>
        <v>36.96</v>
      </c>
      <c r="AR14">
        <f>Custom!M9</f>
        <v>43.75</v>
      </c>
      <c r="AS14" s="165">
        <f>Custom!O9</f>
        <v>56.94</v>
      </c>
    </row>
    <row r="15" spans="1:45">
      <c r="A15" s="289"/>
      <c r="B15" s="45" t="s">
        <v>33</v>
      </c>
      <c r="C15" s="91">
        <f>SUM(D15:I15)</f>
        <v>7</v>
      </c>
      <c r="D15" s="91">
        <f t="shared" ref="D15:I15" si="9">SUM(L15,S15,Z15,AG15,AN15,)</f>
        <v>0</v>
      </c>
      <c r="E15" s="91">
        <f t="shared" si="9"/>
        <v>1</v>
      </c>
      <c r="F15" s="91">
        <f t="shared" si="9"/>
        <v>5</v>
      </c>
      <c r="G15" s="91">
        <f t="shared" si="9"/>
        <v>1</v>
      </c>
      <c r="H15" s="91">
        <f t="shared" si="9"/>
        <v>0</v>
      </c>
      <c r="I15" s="91">
        <f t="shared" si="9"/>
        <v>0</v>
      </c>
      <c r="J15" s="72"/>
      <c r="L15" s="158">
        <f>Ocean!J15</f>
        <v>0</v>
      </c>
      <c r="M15" s="72">
        <f>Ocean!L15</f>
        <v>1</v>
      </c>
      <c r="N15" s="72">
        <f>Ocean!N15</f>
        <v>1</v>
      </c>
      <c r="O15" s="72">
        <f>Ocean!P15</f>
        <v>0</v>
      </c>
      <c r="P15" s="72">
        <f>Ocean!R15</f>
        <v>0</v>
      </c>
      <c r="Q15" s="73">
        <f>Ocean!T15</f>
        <v>0</v>
      </c>
      <c r="S15" s="158"/>
      <c r="T15" s="72"/>
      <c r="U15" s="72"/>
      <c r="V15" s="72">
        <v>1</v>
      </c>
      <c r="W15" s="72"/>
      <c r="X15" s="73"/>
      <c r="Z15" s="253">
        <f>Cap!K15</f>
        <v>0</v>
      </c>
      <c r="AA15" s="162">
        <f>Cap!M15</f>
        <v>0</v>
      </c>
      <c r="AB15" s="162">
        <f>Cap!O15</f>
        <v>4</v>
      </c>
      <c r="AC15" s="162">
        <f>Cap!Q15</f>
        <v>0</v>
      </c>
      <c r="AD15" s="162">
        <f>Cap!S15</f>
        <v>0</v>
      </c>
      <c r="AE15" s="260">
        <f>Cap!U15</f>
        <v>0</v>
      </c>
      <c r="AF15" s="255"/>
      <c r="AG15" s="258">
        <f>Phoenix!K15</f>
        <v>0</v>
      </c>
      <c r="AH15" s="255">
        <f>Phoenix!M15</f>
        <v>0</v>
      </c>
      <c r="AI15" s="255">
        <f>Phoenix!O15</f>
        <v>0</v>
      </c>
      <c r="AJ15" s="255">
        <f>Phoenix!Q15</f>
        <v>0</v>
      </c>
      <c r="AK15" s="255">
        <f>Phoenix!S15</f>
        <v>0</v>
      </c>
      <c r="AL15" s="257">
        <f>Phoenix!U15</f>
        <v>0</v>
      </c>
      <c r="AM15" s="255"/>
      <c r="AN15" s="166"/>
      <c r="AS15" s="165"/>
    </row>
    <row r="16" spans="1:45">
      <c r="A16" s="290" t="s">
        <v>34</v>
      </c>
      <c r="B16" s="46" t="s">
        <v>35</v>
      </c>
      <c r="C16" s="91">
        <f>SUM(D16:I16)</f>
        <v>11</v>
      </c>
      <c r="D16" s="91">
        <f t="shared" ref="D16:I17" si="10">SUM(L16,S16,Z16,AG16,AN16)</f>
        <v>6</v>
      </c>
      <c r="E16" s="91">
        <f t="shared" si="10"/>
        <v>3</v>
      </c>
      <c r="F16" s="91">
        <f t="shared" si="10"/>
        <v>2</v>
      </c>
      <c r="G16" s="91">
        <f t="shared" si="10"/>
        <v>0</v>
      </c>
      <c r="H16" s="91">
        <f t="shared" si="10"/>
        <v>0</v>
      </c>
      <c r="I16" s="91">
        <f t="shared" si="10"/>
        <v>0</v>
      </c>
      <c r="J16" s="72" t="s">
        <v>36</v>
      </c>
      <c r="L16" s="158">
        <f>Ocean!J16</f>
        <v>3</v>
      </c>
      <c r="M16" s="72">
        <f>Ocean!L16</f>
        <v>0</v>
      </c>
      <c r="N16" s="72">
        <f>Ocean!N16</f>
        <v>0</v>
      </c>
      <c r="O16" s="72">
        <f>Ocean!P16</f>
        <v>0</v>
      </c>
      <c r="P16" s="72">
        <f>Ocean!R16</f>
        <v>0</v>
      </c>
      <c r="Q16" s="73">
        <f>Ocean!T16</f>
        <v>0</v>
      </c>
      <c r="S16" s="158"/>
      <c r="T16" s="72"/>
      <c r="U16" s="72"/>
      <c r="V16" s="72"/>
      <c r="W16" s="72"/>
      <c r="X16" s="73"/>
      <c r="Z16" s="253">
        <f>Cap!K16</f>
        <v>0</v>
      </c>
      <c r="AA16" s="162">
        <f>Cap!M16</f>
        <v>0</v>
      </c>
      <c r="AB16" s="162">
        <f>Cap!O16</f>
        <v>0</v>
      </c>
      <c r="AC16" s="162">
        <f>Cap!Q16</f>
        <v>0</v>
      </c>
      <c r="AD16" s="162">
        <f>Cap!S16</f>
        <v>0</v>
      </c>
      <c r="AE16" s="260">
        <f>Cap!U16</f>
        <v>0</v>
      </c>
      <c r="AF16" s="255"/>
      <c r="AG16" s="258">
        <f>Phoenix!K16</f>
        <v>3</v>
      </c>
      <c r="AH16" s="255">
        <f>Phoenix!M16</f>
        <v>3</v>
      </c>
      <c r="AI16" s="255">
        <f>Phoenix!O16</f>
        <v>2</v>
      </c>
      <c r="AJ16" s="255">
        <f>Phoenix!Q16</f>
        <v>0</v>
      </c>
      <c r="AK16" s="255">
        <f>Phoenix!S16</f>
        <v>0</v>
      </c>
      <c r="AL16" s="257">
        <f>Phoenix!U16</f>
        <v>0</v>
      </c>
      <c r="AM16" s="255"/>
      <c r="AN16" s="166"/>
      <c r="AS16" s="165"/>
    </row>
    <row r="17" spans="1:45">
      <c r="A17" s="290"/>
      <c r="B17" s="46" t="s">
        <v>37</v>
      </c>
      <c r="C17" s="91">
        <f>SUM(D17:I17)</f>
        <v>0</v>
      </c>
      <c r="D17" s="91">
        <f t="shared" si="10"/>
        <v>0</v>
      </c>
      <c r="E17" s="91">
        <f t="shared" si="10"/>
        <v>0</v>
      </c>
      <c r="F17" s="91">
        <f t="shared" si="10"/>
        <v>0</v>
      </c>
      <c r="G17" s="91">
        <f t="shared" si="10"/>
        <v>0</v>
      </c>
      <c r="H17" s="91">
        <f t="shared" si="10"/>
        <v>0</v>
      </c>
      <c r="I17" s="91">
        <f t="shared" si="10"/>
        <v>0</v>
      </c>
      <c r="J17" s="72"/>
      <c r="L17" s="158" t="str">
        <f>Ocean!J17</f>
        <v>N/A</v>
      </c>
      <c r="M17" s="72" t="str">
        <f>Ocean!L17</f>
        <v>N/A</v>
      </c>
      <c r="N17" s="72" t="str">
        <f>Ocean!N17</f>
        <v>N/A</v>
      </c>
      <c r="O17" s="72" t="str">
        <f>Ocean!P17</f>
        <v>N/A</v>
      </c>
      <c r="P17" s="72" t="str">
        <f>Ocean!R17</f>
        <v>N/A</v>
      </c>
      <c r="Q17" s="73" t="str">
        <f>Ocean!T17</f>
        <v>N/A</v>
      </c>
      <c r="S17" s="158"/>
      <c r="T17" s="72"/>
      <c r="U17" s="72"/>
      <c r="V17" s="72"/>
      <c r="W17" s="72"/>
      <c r="X17" s="73"/>
      <c r="Z17" s="253">
        <f>Cap!K17</f>
        <v>0</v>
      </c>
      <c r="AA17" s="162">
        <f>Cap!M17</f>
        <v>0</v>
      </c>
      <c r="AB17" s="162">
        <f>Cap!O17</f>
        <v>0</v>
      </c>
      <c r="AC17" s="162">
        <f>Cap!Q17</f>
        <v>0</v>
      </c>
      <c r="AD17" s="162">
        <f>Cap!S17</f>
        <v>0</v>
      </c>
      <c r="AE17" s="260">
        <f>Cap!U17</f>
        <v>0</v>
      </c>
      <c r="AF17" s="255"/>
      <c r="AG17" s="258">
        <f>Phoenix!K17</f>
        <v>0</v>
      </c>
      <c r="AH17" s="255">
        <f>Phoenix!M17</f>
        <v>0</v>
      </c>
      <c r="AI17" s="255">
        <f>Phoenix!O17</f>
        <v>0</v>
      </c>
      <c r="AJ17" s="255">
        <f>Phoenix!Q17</f>
        <v>0</v>
      </c>
      <c r="AK17" s="255">
        <f>Phoenix!S17</f>
        <v>0</v>
      </c>
      <c r="AL17" s="257">
        <f>Phoenix!U17</f>
        <v>0</v>
      </c>
      <c r="AM17" s="255"/>
      <c r="AN17" s="166"/>
      <c r="AS17" s="165"/>
    </row>
    <row r="18" spans="1:45" ht="44.1" thickBot="1">
      <c r="A18" s="47" t="s">
        <v>38</v>
      </c>
      <c r="B18" s="48" t="s">
        <v>39</v>
      </c>
      <c r="C18" s="91">
        <f>AVERAGE(D18:I18)</f>
        <v>0</v>
      </c>
      <c r="D18" s="94" t="s">
        <v>40</v>
      </c>
      <c r="E18" s="94" t="s">
        <v>40</v>
      </c>
      <c r="F18" s="94" t="s">
        <v>40</v>
      </c>
      <c r="G18" s="94" t="s">
        <v>40</v>
      </c>
      <c r="H18" s="91">
        <f>IFERROR(AVERAGE(P18,W18,AD18,AK18,AR18),0)</f>
        <v>0</v>
      </c>
      <c r="I18" s="91">
        <f>IFERROR(AVERAGE(Q18,X18,AE18,AL18,AS18),0)</f>
        <v>0</v>
      </c>
      <c r="J18" s="72"/>
      <c r="L18" s="159">
        <f>Ocean!J18</f>
        <v>0</v>
      </c>
      <c r="M18" s="74">
        <f>Ocean!L18</f>
        <v>0</v>
      </c>
      <c r="N18" s="74">
        <f>Ocean!N18</f>
        <v>0</v>
      </c>
      <c r="O18" s="74">
        <f>Ocean!P18</f>
        <v>0</v>
      </c>
      <c r="P18" s="74">
        <f>Ocean!R18</f>
        <v>0</v>
      </c>
      <c r="Q18" s="75">
        <f>Ocean!T18</f>
        <v>0</v>
      </c>
      <c r="S18" s="159"/>
      <c r="T18" s="74"/>
      <c r="U18" s="74"/>
      <c r="V18" s="74"/>
      <c r="W18" s="74"/>
      <c r="X18" s="75"/>
      <c r="Z18" s="253">
        <f>Cap!K18</f>
        <v>0</v>
      </c>
      <c r="AA18" s="162">
        <f>Cap!M18</f>
        <v>0</v>
      </c>
      <c r="AB18" s="162">
        <f>Cap!O18</f>
        <v>0</v>
      </c>
      <c r="AC18" s="162">
        <f>Cap!Q18</f>
        <v>0</v>
      </c>
      <c r="AD18" s="162">
        <f>Cap!S18</f>
        <v>0</v>
      </c>
      <c r="AE18" s="260">
        <f>Cap!U18</f>
        <v>0</v>
      </c>
      <c r="AF18" s="255"/>
      <c r="AG18" s="261">
        <f>Phoenix!K18</f>
        <v>0</v>
      </c>
      <c r="AH18" s="262">
        <f>Phoenix!M18</f>
        <v>0</v>
      </c>
      <c r="AI18" s="262">
        <f>Phoenix!O18</f>
        <v>0</v>
      </c>
      <c r="AJ18" s="262">
        <f>Phoenix!Q18</f>
        <v>0</v>
      </c>
      <c r="AK18" s="262">
        <f>Phoenix!S18</f>
        <v>0</v>
      </c>
      <c r="AL18" s="263">
        <f>Phoenix!U18</f>
        <v>0</v>
      </c>
      <c r="AM18" s="255"/>
      <c r="AN18" s="167"/>
      <c r="AO18" s="168"/>
      <c r="AP18" s="168"/>
      <c r="AQ18" s="168"/>
      <c r="AR18" s="168"/>
      <c r="AS18" s="169"/>
    </row>
  </sheetData>
  <mergeCells count="10">
    <mergeCell ref="A14:A15"/>
    <mergeCell ref="A16:A17"/>
    <mergeCell ref="A7:A10"/>
    <mergeCell ref="A4:A6"/>
    <mergeCell ref="A12:A13"/>
    <mergeCell ref="L2:Q2"/>
    <mergeCell ref="S2:X2"/>
    <mergeCell ref="AG2:AL2"/>
    <mergeCell ref="AN2:AS2"/>
    <mergeCell ref="Z2:AE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7A012-BCFF-4135-A1BF-2DE1C87AFC4B}">
  <dimension ref="D2"/>
  <sheetViews>
    <sheetView workbookViewId="0">
      <selection activeCell="D2" sqref="D2"/>
    </sheetView>
  </sheetViews>
  <sheetFormatPr defaultRowHeight="14.45"/>
  <sheetData>
    <row r="2" spans="4:4">
      <c r="D2" t="s">
        <v>41</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5F909-C844-4A05-99C9-A5D3F38978DD}">
  <dimension ref="A1:XES18"/>
  <sheetViews>
    <sheetView topLeftCell="A10" workbookViewId="0">
      <selection activeCell="N13" sqref="N13"/>
    </sheetView>
  </sheetViews>
  <sheetFormatPr defaultRowHeight="14.45"/>
  <cols>
    <col min="1" max="1" width="27.85546875" bestFit="1" customWidth="1"/>
    <col min="2" max="2" width="37.85546875" customWidth="1"/>
    <col min="3" max="3" width="12.85546875" customWidth="1"/>
    <col min="4" max="4" width="18.42578125" customWidth="1"/>
    <col min="5" max="5" width="12.42578125" customWidth="1"/>
    <col min="6" max="6" width="17.140625" customWidth="1"/>
    <col min="7" max="7" width="12.85546875" customWidth="1"/>
    <col min="8" max="8" width="14" customWidth="1"/>
    <col min="9" max="9" width="13.5703125" customWidth="1"/>
    <col min="10" max="10" width="15.42578125" customWidth="1"/>
    <col min="11" max="11" width="18.140625" customWidth="1"/>
    <col min="12" max="12" width="23.42578125" bestFit="1" customWidth="1"/>
    <col min="14" max="14" width="17.42578125" bestFit="1" customWidth="1"/>
  </cols>
  <sheetData>
    <row r="1" spans="1:16373" ht="15.95">
      <c r="A1" s="97" t="s">
        <v>42</v>
      </c>
      <c r="B1" s="97" t="s">
        <v>43</v>
      </c>
      <c r="C1" s="97" t="s">
        <v>44</v>
      </c>
      <c r="D1" s="313" t="s">
        <v>45</v>
      </c>
      <c r="E1" s="314"/>
      <c r="F1" s="314"/>
      <c r="G1" s="314"/>
      <c r="H1" s="314"/>
      <c r="I1" s="314"/>
      <c r="J1" s="314"/>
      <c r="K1" s="314"/>
    </row>
    <row r="2" spans="1:16373" ht="15.95">
      <c r="A2" s="97"/>
      <c r="B2" s="97"/>
      <c r="C2" s="97"/>
      <c r="D2" s="98">
        <v>45839</v>
      </c>
      <c r="E2" s="98"/>
      <c r="F2" s="99">
        <v>45870</v>
      </c>
      <c r="G2" s="100"/>
      <c r="H2" s="99">
        <v>45901</v>
      </c>
      <c r="I2" s="100"/>
      <c r="J2" s="99">
        <v>45931</v>
      </c>
      <c r="K2" s="100"/>
      <c r="L2" s="99">
        <v>45962</v>
      </c>
      <c r="M2" s="100"/>
    </row>
    <row r="3" spans="1:16373" ht="48">
      <c r="A3" s="97"/>
      <c r="B3" s="97"/>
      <c r="C3" s="97"/>
      <c r="D3" s="22" t="s">
        <v>46</v>
      </c>
      <c r="E3" s="22" t="s">
        <v>47</v>
      </c>
      <c r="F3" s="22" t="s">
        <v>46</v>
      </c>
      <c r="G3" s="22" t="s">
        <v>47</v>
      </c>
      <c r="H3" s="22" t="s">
        <v>46</v>
      </c>
      <c r="I3" s="22" t="s">
        <v>47</v>
      </c>
      <c r="J3" s="22" t="s">
        <v>46</v>
      </c>
      <c r="K3" s="22" t="s">
        <v>47</v>
      </c>
      <c r="L3" s="22" t="s">
        <v>46</v>
      </c>
      <c r="M3" s="22" t="s">
        <v>47</v>
      </c>
    </row>
    <row r="4" spans="1:16373" s="103" customFormat="1">
      <c r="A4" s="304" t="s">
        <v>48</v>
      </c>
      <c r="B4" s="307" t="s">
        <v>49</v>
      </c>
      <c r="C4" s="308" t="s">
        <v>50</v>
      </c>
      <c r="D4" s="301" t="s">
        <v>51</v>
      </c>
      <c r="E4" s="77">
        <v>89.47</v>
      </c>
      <c r="F4" s="301" t="s">
        <v>52</v>
      </c>
      <c r="G4" s="109">
        <v>100</v>
      </c>
      <c r="H4" s="301" t="s">
        <v>53</v>
      </c>
      <c r="I4" s="109">
        <v>93.75</v>
      </c>
      <c r="J4" s="301" t="s">
        <v>54</v>
      </c>
      <c r="K4" s="109">
        <v>100</v>
      </c>
      <c r="L4" s="308" t="s">
        <v>55</v>
      </c>
      <c r="M4" s="109">
        <v>100</v>
      </c>
      <c r="N4" s="101"/>
      <c r="O4" s="101"/>
      <c r="P4" s="101"/>
      <c r="Q4" s="101"/>
      <c r="R4" s="101"/>
      <c r="S4" s="101"/>
      <c r="T4" s="101"/>
      <c r="U4" s="101"/>
      <c r="V4" s="101"/>
      <c r="W4" s="101"/>
      <c r="X4" s="101"/>
      <c r="Y4" s="101"/>
      <c r="Z4" s="101"/>
      <c r="AA4" s="101"/>
      <c r="AB4" s="101"/>
      <c r="AC4" s="101"/>
      <c r="AD4" s="101"/>
      <c r="AE4" s="101"/>
      <c r="AF4" s="101"/>
      <c r="AG4" s="101"/>
      <c r="AH4" s="101"/>
      <c r="AI4" s="101"/>
      <c r="AJ4" s="101"/>
      <c r="AK4" s="101"/>
      <c r="AL4" s="101"/>
      <c r="AM4" s="101"/>
      <c r="AN4" s="101"/>
      <c r="AO4" s="101"/>
      <c r="AP4" s="101"/>
      <c r="AQ4" s="101"/>
      <c r="AR4" s="101"/>
      <c r="AS4" s="102"/>
    </row>
    <row r="5" spans="1:16373" s="103" customFormat="1">
      <c r="A5" s="306"/>
      <c r="B5" s="301"/>
      <c r="C5" s="309"/>
      <c r="D5" s="301"/>
      <c r="E5" s="77"/>
      <c r="F5" s="301"/>
      <c r="G5" s="110"/>
      <c r="H5" s="301"/>
      <c r="I5" s="110"/>
      <c r="J5" s="301"/>
      <c r="K5" s="110"/>
      <c r="L5" s="309"/>
      <c r="M5" s="110"/>
      <c r="N5" s="101"/>
      <c r="O5" s="101"/>
      <c r="P5" s="101"/>
      <c r="Q5" s="101"/>
      <c r="R5" s="101"/>
      <c r="S5" s="101"/>
      <c r="T5" s="101"/>
      <c r="U5" s="101"/>
      <c r="V5" s="101"/>
      <c r="W5" s="101"/>
      <c r="X5" s="101"/>
      <c r="Y5" s="101"/>
      <c r="Z5" s="101"/>
      <c r="AA5" s="101"/>
      <c r="AB5" s="101"/>
      <c r="AC5" s="101"/>
      <c r="AD5" s="101"/>
      <c r="AE5" s="101"/>
      <c r="AF5" s="101"/>
      <c r="AG5" s="101"/>
      <c r="AH5" s="101"/>
      <c r="AI5" s="101"/>
      <c r="AJ5" s="101"/>
      <c r="AK5" s="101"/>
      <c r="AL5" s="101"/>
      <c r="AM5" s="101"/>
      <c r="AN5" s="101"/>
      <c r="AO5" s="101"/>
      <c r="AP5" s="101"/>
      <c r="AQ5" s="101"/>
      <c r="AR5" s="101"/>
      <c r="AS5" s="102"/>
    </row>
    <row r="6" spans="1:16373" s="103" customFormat="1" ht="45" customHeight="1">
      <c r="A6" s="306"/>
      <c r="B6" s="301"/>
      <c r="C6" s="310"/>
      <c r="D6" s="301"/>
      <c r="E6" s="77"/>
      <c r="F6" s="301"/>
      <c r="G6" s="110"/>
      <c r="H6" s="301"/>
      <c r="I6" s="110"/>
      <c r="J6" s="301"/>
      <c r="K6" s="111"/>
      <c r="L6" s="310"/>
      <c r="M6" s="111"/>
      <c r="N6" s="101"/>
      <c r="O6" s="101"/>
      <c r="P6" s="101"/>
      <c r="Q6" s="101"/>
      <c r="R6" s="101"/>
      <c r="S6" s="101"/>
      <c r="T6" s="101"/>
      <c r="U6" s="101"/>
      <c r="V6" s="101"/>
      <c r="W6" s="101"/>
      <c r="X6" s="101"/>
      <c r="Y6" s="101"/>
      <c r="Z6" s="101"/>
      <c r="AA6" s="101"/>
      <c r="AB6" s="101"/>
      <c r="AC6" s="101"/>
      <c r="AD6" s="101"/>
      <c r="AE6" s="101"/>
      <c r="AF6" s="101"/>
      <c r="AG6" s="101"/>
      <c r="AH6" s="101"/>
      <c r="AI6" s="101"/>
      <c r="AJ6" s="101"/>
      <c r="AK6" s="101"/>
      <c r="AL6" s="101"/>
      <c r="AM6" s="101"/>
      <c r="AN6" s="101"/>
      <c r="AO6" s="101"/>
      <c r="AP6" s="101"/>
      <c r="AQ6" s="101"/>
      <c r="AR6" s="101"/>
      <c r="AS6" s="102"/>
    </row>
    <row r="7" spans="1:16373" ht="57.95">
      <c r="A7" s="306"/>
      <c r="B7" s="23" t="s">
        <v>56</v>
      </c>
      <c r="C7" s="24" t="s">
        <v>50</v>
      </c>
      <c r="D7" s="24" t="s">
        <v>51</v>
      </c>
      <c r="E7" s="23">
        <v>89.47</v>
      </c>
      <c r="F7" s="24" t="s">
        <v>52</v>
      </c>
      <c r="G7" s="24">
        <v>100</v>
      </c>
      <c r="H7" s="24" t="s">
        <v>53</v>
      </c>
      <c r="I7" s="24">
        <v>81.25</v>
      </c>
      <c r="J7" s="24" t="s">
        <v>54</v>
      </c>
      <c r="K7" s="24">
        <v>100</v>
      </c>
      <c r="L7" s="24" t="s">
        <v>55</v>
      </c>
      <c r="M7" s="24">
        <v>100</v>
      </c>
    </row>
    <row r="8" spans="1:16373" ht="57.95">
      <c r="A8" s="305"/>
      <c r="B8" s="24" t="s">
        <v>57</v>
      </c>
      <c r="C8" s="24" t="s">
        <v>50</v>
      </c>
      <c r="D8" s="24" t="s">
        <v>58</v>
      </c>
      <c r="E8" s="24">
        <v>100</v>
      </c>
      <c r="F8" s="24" t="s">
        <v>59</v>
      </c>
      <c r="G8" s="24">
        <v>100</v>
      </c>
      <c r="H8" s="24" t="s">
        <v>60</v>
      </c>
      <c r="I8" s="24">
        <v>90.625</v>
      </c>
      <c r="J8" s="24" t="s">
        <v>61</v>
      </c>
      <c r="K8" s="24">
        <v>97</v>
      </c>
      <c r="L8" s="24" t="s">
        <v>62</v>
      </c>
      <c r="M8" s="24">
        <v>100</v>
      </c>
    </row>
    <row r="9" spans="1:16373" ht="57.95">
      <c r="A9" s="303" t="s">
        <v>19</v>
      </c>
      <c r="B9" s="25" t="s">
        <v>63</v>
      </c>
      <c r="C9" s="25" t="s">
        <v>64</v>
      </c>
      <c r="D9" s="26" t="s">
        <v>65</v>
      </c>
      <c r="E9" s="25">
        <v>740</v>
      </c>
      <c r="F9" s="26" t="s">
        <v>66</v>
      </c>
      <c r="G9" s="13">
        <v>421</v>
      </c>
      <c r="H9" s="26" t="s">
        <v>67</v>
      </c>
      <c r="I9" s="13">
        <v>533</v>
      </c>
      <c r="J9" s="26" t="s">
        <v>68</v>
      </c>
      <c r="K9" s="13">
        <v>110</v>
      </c>
      <c r="L9" s="26" t="s">
        <v>69</v>
      </c>
      <c r="M9" s="13">
        <v>554</v>
      </c>
    </row>
    <row r="10" spans="1:16373" ht="57.95">
      <c r="A10" s="303"/>
      <c r="B10" s="25" t="s">
        <v>70</v>
      </c>
      <c r="C10" s="25" t="s">
        <v>50</v>
      </c>
      <c r="D10" s="26" t="s">
        <v>65</v>
      </c>
      <c r="E10" s="27">
        <v>100</v>
      </c>
      <c r="F10" s="26" t="s">
        <v>66</v>
      </c>
      <c r="G10" s="28">
        <v>100</v>
      </c>
      <c r="H10" s="26" t="s">
        <v>67</v>
      </c>
      <c r="I10" s="28">
        <v>100</v>
      </c>
      <c r="J10" s="26" t="s">
        <v>68</v>
      </c>
      <c r="K10" s="28">
        <v>100</v>
      </c>
      <c r="L10" s="26" t="s">
        <v>69</v>
      </c>
      <c r="M10" s="28">
        <v>100</v>
      </c>
    </row>
    <row r="11" spans="1:16373" ht="111.75" customHeight="1">
      <c r="A11" s="304" t="s">
        <v>71</v>
      </c>
      <c r="B11" s="104" t="s">
        <v>72</v>
      </c>
      <c r="C11" s="95" t="s">
        <v>73</v>
      </c>
      <c r="D11" s="24" t="s">
        <v>74</v>
      </c>
      <c r="E11" s="24">
        <v>53.8</v>
      </c>
      <c r="F11" s="24" t="s">
        <v>75</v>
      </c>
      <c r="G11" s="24">
        <v>51.5</v>
      </c>
      <c r="H11" s="24" t="s">
        <v>76</v>
      </c>
      <c r="I11" s="24">
        <v>104.3</v>
      </c>
      <c r="J11" s="24" t="s">
        <v>76</v>
      </c>
      <c r="K11" s="24">
        <v>104.3</v>
      </c>
      <c r="L11" s="24" t="s">
        <v>77</v>
      </c>
      <c r="M11" s="24">
        <v>138</v>
      </c>
      <c r="N11" s="299" t="s">
        <v>78</v>
      </c>
      <c r="O11" s="301"/>
      <c r="P11" s="301"/>
      <c r="Q11" s="302"/>
      <c r="R11" s="301"/>
      <c r="S11" s="301"/>
      <c r="T11" s="311"/>
      <c r="U11" s="301"/>
      <c r="V11" s="308"/>
      <c r="W11" s="301"/>
      <c r="X11" s="304"/>
      <c r="Y11" s="307"/>
      <c r="Z11" s="308"/>
      <c r="AA11" s="301"/>
      <c r="AB11" s="308"/>
      <c r="AC11" s="301"/>
      <c r="AD11" s="301"/>
      <c r="AE11" s="302"/>
      <c r="AF11" s="301"/>
      <c r="AG11" s="301"/>
      <c r="AH11" s="302"/>
      <c r="AI11" s="301"/>
      <c r="AJ11" s="301"/>
      <c r="AK11" s="311"/>
      <c r="AL11" s="301"/>
      <c r="AM11" s="308"/>
      <c r="AN11" s="301"/>
      <c r="AO11" s="304"/>
      <c r="AP11" s="307"/>
      <c r="AQ11" s="308"/>
      <c r="AR11" s="301"/>
      <c r="AS11" s="308"/>
      <c r="AT11" s="301"/>
      <c r="AU11" s="301"/>
      <c r="AV11" s="302"/>
      <c r="AW11" s="301"/>
      <c r="AX11" s="301"/>
      <c r="AY11" s="302"/>
      <c r="AZ11" s="301"/>
      <c r="BA11" s="301"/>
      <c r="BB11" s="311"/>
      <c r="BC11" s="301"/>
      <c r="BD11" s="308"/>
      <c r="BE11" s="301"/>
      <c r="BF11" s="304"/>
      <c r="BG11" s="307"/>
      <c r="BH11" s="308"/>
      <c r="BI11" s="301"/>
      <c r="BJ11" s="308"/>
      <c r="BK11" s="301"/>
      <c r="BL11" s="301"/>
      <c r="BM11" s="302"/>
      <c r="BN11" s="301"/>
      <c r="BO11" s="301"/>
      <c r="BP11" s="302"/>
      <c r="BQ11" s="301"/>
      <c r="BR11" s="301"/>
      <c r="BS11" s="311"/>
      <c r="BT11" s="301"/>
      <c r="BU11" s="308"/>
      <c r="BV11" s="301"/>
      <c r="BW11" s="304"/>
      <c r="BX11" s="307"/>
      <c r="BY11" s="308"/>
      <c r="BZ11" s="301"/>
      <c r="CA11" s="308"/>
      <c r="CB11" s="301"/>
      <c r="CC11" s="301"/>
      <c r="CD11" s="302"/>
      <c r="CE11" s="301"/>
      <c r="CF11" s="301"/>
      <c r="CG11" s="302"/>
      <c r="CH11" s="301"/>
      <c r="CI11" s="301"/>
      <c r="CJ11" s="311"/>
      <c r="CK11" s="301"/>
      <c r="CL11" s="308"/>
      <c r="CM11" s="301"/>
      <c r="CN11" s="304"/>
      <c r="CO11" s="307"/>
      <c r="CP11" s="308"/>
      <c r="CQ11" s="301"/>
      <c r="CR11" s="308"/>
      <c r="CS11" s="301"/>
      <c r="CT11" s="301"/>
      <c r="CU11" s="302"/>
      <c r="CV11" s="301"/>
      <c r="CW11" s="301"/>
      <c r="CX11" s="302"/>
      <c r="CY11" s="301"/>
      <c r="CZ11" s="301"/>
      <c r="DA11" s="311"/>
      <c r="DB11" s="301"/>
      <c r="DC11" s="308"/>
      <c r="DD11" s="301"/>
      <c r="DE11" s="304"/>
      <c r="DF11" s="307"/>
      <c r="DG11" s="308"/>
      <c r="DH11" s="301"/>
      <c r="DI11" s="308"/>
      <c r="DJ11" s="301"/>
      <c r="DK11" s="301"/>
      <c r="DL11" s="302"/>
      <c r="DM11" s="301"/>
      <c r="DN11" s="301"/>
      <c r="DO11" s="302"/>
      <c r="DP11" s="301"/>
      <c r="DQ11" s="301"/>
      <c r="DR11" s="311"/>
      <c r="DS11" s="301"/>
      <c r="DT11" s="308"/>
      <c r="DU11" s="301"/>
      <c r="DV11" s="304"/>
      <c r="DW11" s="307"/>
      <c r="DX11" s="308"/>
      <c r="DY11" s="301"/>
      <c r="DZ11" s="308"/>
      <c r="EA11" s="301"/>
      <c r="EB11" s="301"/>
      <c r="EC11" s="302"/>
      <c r="ED11" s="301"/>
      <c r="EE11" s="301"/>
      <c r="EF11" s="302"/>
      <c r="EG11" s="301"/>
      <c r="EH11" s="301"/>
      <c r="EI11" s="311"/>
      <c r="EJ11" s="301"/>
      <c r="EK11" s="308"/>
      <c r="EL11" s="301"/>
      <c r="EM11" s="304"/>
      <c r="EN11" s="307"/>
      <c r="EO11" s="308"/>
      <c r="EP11" s="301"/>
      <c r="EQ11" s="308"/>
      <c r="ER11" s="301"/>
      <c r="ES11" s="301"/>
      <c r="ET11" s="302"/>
      <c r="EU11" s="301"/>
      <c r="EV11" s="301"/>
      <c r="EW11" s="302"/>
      <c r="EX11" s="301"/>
      <c r="EY11" s="301"/>
      <c r="EZ11" s="311"/>
      <c r="FA11" s="301"/>
      <c r="FB11" s="308"/>
      <c r="FC11" s="301"/>
      <c r="FD11" s="304"/>
      <c r="FE11" s="307"/>
      <c r="FF11" s="308"/>
      <c r="FG11" s="301"/>
      <c r="FH11" s="308"/>
      <c r="FI11" s="301"/>
      <c r="FJ11" s="301"/>
      <c r="FK11" s="302"/>
      <c r="FL11" s="301"/>
      <c r="FM11" s="301"/>
      <c r="FN11" s="302"/>
      <c r="FO11" s="301"/>
      <c r="FP11" s="301"/>
      <c r="FQ11" s="311"/>
      <c r="FR11" s="301"/>
      <c r="FS11" s="308"/>
      <c r="FT11" s="301"/>
      <c r="FU11" s="304"/>
      <c r="FV11" s="307"/>
      <c r="FW11" s="308"/>
      <c r="FX11" s="301"/>
      <c r="FY11" s="308"/>
      <c r="FZ11" s="301"/>
      <c r="GA11" s="301"/>
      <c r="GB11" s="302"/>
      <c r="GC11" s="301"/>
      <c r="GD11" s="301"/>
      <c r="GE11" s="302"/>
      <c r="GF11" s="301"/>
      <c r="GG11" s="301"/>
      <c r="GH11" s="311"/>
      <c r="GI11" s="301"/>
      <c r="GJ11" s="308"/>
      <c r="GK11" s="301"/>
      <c r="GL11" s="304"/>
      <c r="GM11" s="307"/>
      <c r="GN11" s="308"/>
      <c r="GO11" s="301"/>
      <c r="GP11" s="308"/>
      <c r="GQ11" s="301"/>
      <c r="GR11" s="301"/>
      <c r="GS11" s="302"/>
      <c r="GT11" s="301"/>
      <c r="GU11" s="301"/>
      <c r="GV11" s="302"/>
      <c r="GW11" s="301"/>
      <c r="GX11" s="301"/>
      <c r="GY11" s="311"/>
      <c r="GZ11" s="301"/>
      <c r="HA11" s="308"/>
      <c r="HB11" s="301"/>
      <c r="HC11" s="304"/>
      <c r="HD11" s="307"/>
      <c r="HE11" s="308"/>
      <c r="HF11" s="301"/>
      <c r="HG11" s="308"/>
      <c r="HH11" s="301"/>
      <c r="HI11" s="301"/>
      <c r="HJ11" s="302"/>
      <c r="HK11" s="301"/>
      <c r="HL11" s="301"/>
      <c r="HM11" s="302"/>
      <c r="HN11" s="301"/>
      <c r="HO11" s="301"/>
      <c r="HP11" s="311"/>
      <c r="HQ11" s="301"/>
      <c r="HR11" s="308"/>
      <c r="HS11" s="301"/>
      <c r="HT11" s="304"/>
      <c r="HU11" s="307"/>
      <c r="HV11" s="308"/>
      <c r="HW11" s="301"/>
      <c r="HX11" s="308"/>
      <c r="HY11" s="301"/>
      <c r="HZ11" s="301"/>
      <c r="IA11" s="302"/>
      <c r="IB11" s="301"/>
      <c r="IC11" s="301"/>
      <c r="ID11" s="302"/>
      <c r="IE11" s="301"/>
      <c r="IF11" s="301"/>
      <c r="IG11" s="311"/>
      <c r="IH11" s="301"/>
      <c r="II11" s="308"/>
      <c r="IJ11" s="301"/>
      <c r="IK11" s="304"/>
      <c r="IL11" s="307"/>
      <c r="IM11" s="308"/>
      <c r="IN11" s="301"/>
      <c r="IO11" s="308"/>
      <c r="IP11" s="301"/>
      <c r="IQ11" s="301"/>
      <c r="IR11" s="302"/>
      <c r="IS11" s="301"/>
      <c r="IT11" s="301"/>
      <c r="IU11" s="302"/>
      <c r="IV11" s="301"/>
      <c r="IW11" s="301"/>
      <c r="IX11" s="311"/>
      <c r="IY11" s="301"/>
      <c r="IZ11" s="308"/>
      <c r="JA11" s="301"/>
      <c r="JB11" s="304"/>
      <c r="JC11" s="307"/>
      <c r="JD11" s="308"/>
      <c r="JE11" s="301"/>
      <c r="JF11" s="308"/>
      <c r="JG11" s="301"/>
      <c r="JH11" s="301"/>
      <c r="JI11" s="302"/>
      <c r="JJ11" s="301"/>
      <c r="JK11" s="301"/>
      <c r="JL11" s="302"/>
      <c r="JM11" s="301"/>
      <c r="JN11" s="301"/>
      <c r="JO11" s="311"/>
      <c r="JP11" s="301"/>
      <c r="JQ11" s="308"/>
      <c r="JR11" s="301"/>
      <c r="JS11" s="304"/>
      <c r="JT11" s="307"/>
      <c r="JU11" s="308"/>
      <c r="JV11" s="301"/>
      <c r="JW11" s="308"/>
      <c r="JX11" s="301"/>
      <c r="JY11" s="301"/>
      <c r="JZ11" s="302"/>
      <c r="KA11" s="301"/>
      <c r="KB11" s="301"/>
      <c r="KC11" s="302"/>
      <c r="KD11" s="301"/>
      <c r="KE11" s="301"/>
      <c r="KF11" s="311"/>
      <c r="KG11" s="301"/>
      <c r="KH11" s="308"/>
      <c r="KI11" s="301"/>
      <c r="KJ11" s="304"/>
      <c r="KK11" s="307"/>
      <c r="KL11" s="308"/>
      <c r="KM11" s="301"/>
      <c r="KN11" s="308"/>
      <c r="KO11" s="301"/>
      <c r="KP11" s="301"/>
      <c r="KQ11" s="302"/>
      <c r="KR11" s="301"/>
      <c r="KS11" s="301"/>
      <c r="KT11" s="302"/>
      <c r="KU11" s="301"/>
      <c r="KV11" s="301"/>
      <c r="KW11" s="311"/>
      <c r="KX11" s="301"/>
      <c r="KY11" s="308"/>
      <c r="KZ11" s="301"/>
      <c r="LA11" s="304"/>
      <c r="LB11" s="307"/>
      <c r="LC11" s="308"/>
      <c r="LD11" s="301"/>
      <c r="LE11" s="308"/>
      <c r="LF11" s="301"/>
      <c r="LG11" s="301"/>
      <c r="LH11" s="302"/>
      <c r="LI11" s="301"/>
      <c r="LJ11" s="301"/>
      <c r="LK11" s="302"/>
      <c r="LL11" s="301"/>
      <c r="LM11" s="301"/>
      <c r="LN11" s="311"/>
      <c r="LO11" s="301"/>
      <c r="LP11" s="308"/>
      <c r="LQ11" s="301"/>
      <c r="LR11" s="304"/>
      <c r="LS11" s="307"/>
      <c r="LT11" s="308"/>
      <c r="LU11" s="301"/>
      <c r="LV11" s="308"/>
      <c r="LW11" s="301"/>
      <c r="LX11" s="301"/>
      <c r="LY11" s="302"/>
      <c r="LZ11" s="301"/>
      <c r="MA11" s="301"/>
      <c r="MB11" s="302"/>
      <c r="MC11" s="301"/>
      <c r="MD11" s="301"/>
      <c r="ME11" s="311"/>
      <c r="MF11" s="301"/>
      <c r="MG11" s="308"/>
      <c r="MH11" s="301"/>
      <c r="MI11" s="304"/>
      <c r="MJ11" s="307"/>
      <c r="MK11" s="308"/>
      <c r="ML11" s="301"/>
      <c r="MM11" s="308"/>
      <c r="MN11" s="301"/>
      <c r="MO11" s="301"/>
      <c r="MP11" s="302"/>
      <c r="MQ11" s="301"/>
      <c r="MR11" s="301"/>
      <c r="MS11" s="302"/>
      <c r="MT11" s="301"/>
      <c r="MU11" s="301"/>
      <c r="MV11" s="311"/>
      <c r="MW11" s="301"/>
      <c r="MX11" s="308"/>
      <c r="MY11" s="301"/>
      <c r="MZ11" s="304"/>
      <c r="NA11" s="307"/>
      <c r="NB11" s="308"/>
      <c r="NC11" s="301"/>
      <c r="ND11" s="308"/>
      <c r="NE11" s="301"/>
      <c r="NF11" s="301"/>
      <c r="NG11" s="302"/>
      <c r="NH11" s="301"/>
      <c r="NI11" s="301"/>
      <c r="NJ11" s="302"/>
      <c r="NK11" s="301"/>
      <c r="NL11" s="301"/>
      <c r="NM11" s="311"/>
      <c r="NN11" s="301"/>
      <c r="NO11" s="308"/>
      <c r="NP11" s="301"/>
      <c r="NQ11" s="304"/>
      <c r="NR11" s="307"/>
      <c r="NS11" s="308"/>
      <c r="NT11" s="301"/>
      <c r="NU11" s="308"/>
      <c r="NV11" s="301"/>
      <c r="NW11" s="301"/>
      <c r="NX11" s="302"/>
      <c r="NY11" s="301"/>
      <c r="NZ11" s="301"/>
      <c r="OA11" s="302"/>
      <c r="OB11" s="301"/>
      <c r="OC11" s="301"/>
      <c r="OD11" s="311"/>
      <c r="OE11" s="301"/>
      <c r="OF11" s="308"/>
      <c r="OG11" s="301"/>
      <c r="OH11" s="304"/>
      <c r="OI11" s="307"/>
      <c r="OJ11" s="308"/>
      <c r="OK11" s="301"/>
      <c r="OL11" s="308"/>
      <c r="OM11" s="301"/>
      <c r="ON11" s="301"/>
      <c r="OO11" s="302"/>
      <c r="OP11" s="301"/>
      <c r="OQ11" s="301"/>
      <c r="OR11" s="302"/>
      <c r="OS11" s="301"/>
      <c r="OT11" s="301"/>
      <c r="OU11" s="311"/>
      <c r="OV11" s="301"/>
      <c r="OW11" s="308"/>
      <c r="OX11" s="301"/>
      <c r="OY11" s="304"/>
      <c r="OZ11" s="307"/>
      <c r="PA11" s="308"/>
      <c r="PB11" s="301"/>
      <c r="PC11" s="308"/>
      <c r="PD11" s="301"/>
      <c r="PE11" s="301"/>
      <c r="PF11" s="302"/>
      <c r="PG11" s="301"/>
      <c r="PH11" s="301"/>
      <c r="PI11" s="302"/>
      <c r="PJ11" s="301"/>
      <c r="PK11" s="301"/>
      <c r="PL11" s="311"/>
      <c r="PM11" s="301"/>
      <c r="PN11" s="308"/>
      <c r="PO11" s="301"/>
      <c r="PP11" s="304"/>
      <c r="PQ11" s="307"/>
      <c r="PR11" s="308"/>
      <c r="PS11" s="301"/>
      <c r="PT11" s="308"/>
      <c r="PU11" s="301"/>
      <c r="PV11" s="301"/>
      <c r="PW11" s="302"/>
      <c r="PX11" s="301"/>
      <c r="PY11" s="301"/>
      <c r="PZ11" s="302"/>
      <c r="QA11" s="301"/>
      <c r="QB11" s="301"/>
      <c r="QC11" s="311"/>
      <c r="QD11" s="301"/>
      <c r="QE11" s="308"/>
      <c r="QF11" s="301"/>
      <c r="QG11" s="304"/>
      <c r="QH11" s="307"/>
      <c r="QI11" s="308"/>
      <c r="QJ11" s="301"/>
      <c r="QK11" s="308"/>
      <c r="QL11" s="301"/>
      <c r="QM11" s="301"/>
      <c r="QN11" s="302"/>
      <c r="QO11" s="301"/>
      <c r="QP11" s="301"/>
      <c r="QQ11" s="302"/>
      <c r="QR11" s="301"/>
      <c r="QS11" s="301"/>
      <c r="QT11" s="311"/>
      <c r="QU11" s="301"/>
      <c r="QV11" s="308"/>
      <c r="QW11" s="301"/>
      <c r="QX11" s="304"/>
      <c r="QY11" s="307"/>
      <c r="QZ11" s="308"/>
      <c r="RA11" s="301"/>
      <c r="RB11" s="308"/>
      <c r="RC11" s="301"/>
      <c r="RD11" s="301"/>
      <c r="RE11" s="302"/>
      <c r="RF11" s="301"/>
      <c r="RG11" s="301"/>
      <c r="RH11" s="302"/>
      <c r="RI11" s="301"/>
      <c r="RJ11" s="301"/>
      <c r="RK11" s="311"/>
      <c r="RL11" s="301"/>
      <c r="RM11" s="308"/>
      <c r="RN11" s="301"/>
      <c r="RO11" s="304"/>
      <c r="RP11" s="307"/>
      <c r="RQ11" s="308"/>
      <c r="RR11" s="301"/>
      <c r="RS11" s="308"/>
      <c r="RT11" s="301"/>
      <c r="RU11" s="301"/>
      <c r="RV11" s="302"/>
      <c r="RW11" s="301"/>
      <c r="RX11" s="301"/>
      <c r="RY11" s="302"/>
      <c r="RZ11" s="301"/>
      <c r="SA11" s="301"/>
      <c r="SB11" s="311"/>
      <c r="SC11" s="301"/>
      <c r="SD11" s="308"/>
      <c r="SE11" s="301"/>
      <c r="SF11" s="304"/>
      <c r="SG11" s="307"/>
      <c r="SH11" s="308"/>
      <c r="SI11" s="301"/>
      <c r="SJ11" s="308"/>
      <c r="SK11" s="301"/>
      <c r="SL11" s="301"/>
      <c r="SM11" s="302"/>
      <c r="SN11" s="301"/>
      <c r="SO11" s="301"/>
      <c r="SP11" s="302"/>
      <c r="SQ11" s="301"/>
      <c r="SR11" s="301"/>
      <c r="SS11" s="311"/>
      <c r="ST11" s="301"/>
      <c r="SU11" s="308"/>
      <c r="SV11" s="301"/>
      <c r="SW11" s="304"/>
      <c r="SX11" s="307"/>
      <c r="SY11" s="308"/>
      <c r="SZ11" s="301"/>
      <c r="TA11" s="308"/>
      <c r="TB11" s="301"/>
      <c r="TC11" s="301"/>
      <c r="TD11" s="302"/>
      <c r="TE11" s="301"/>
      <c r="TF11" s="301"/>
      <c r="TG11" s="302"/>
      <c r="TH11" s="301"/>
      <c r="TI11" s="301"/>
      <c r="TJ11" s="311"/>
      <c r="TK11" s="301"/>
      <c r="TL11" s="308"/>
      <c r="TM11" s="301"/>
      <c r="TN11" s="304"/>
      <c r="TO11" s="307"/>
      <c r="TP11" s="308"/>
      <c r="TQ11" s="301"/>
      <c r="TR11" s="308"/>
      <c r="TS11" s="301"/>
      <c r="TT11" s="301"/>
      <c r="TU11" s="302"/>
      <c r="TV11" s="301"/>
      <c r="TW11" s="301"/>
      <c r="TX11" s="302"/>
      <c r="TY11" s="301"/>
      <c r="TZ11" s="301"/>
      <c r="UA11" s="311"/>
      <c r="UB11" s="301"/>
      <c r="UC11" s="308"/>
      <c r="UD11" s="301"/>
      <c r="UE11" s="304"/>
      <c r="UF11" s="307"/>
      <c r="UG11" s="308"/>
      <c r="UH11" s="301"/>
      <c r="UI11" s="308"/>
      <c r="UJ11" s="301"/>
      <c r="UK11" s="301"/>
      <c r="UL11" s="302"/>
      <c r="UM11" s="301"/>
      <c r="UN11" s="301"/>
      <c r="UO11" s="302"/>
      <c r="UP11" s="301"/>
      <c r="UQ11" s="301"/>
      <c r="UR11" s="311"/>
      <c r="US11" s="301"/>
      <c r="UT11" s="308"/>
      <c r="UU11" s="301"/>
      <c r="UV11" s="304"/>
      <c r="UW11" s="307"/>
      <c r="UX11" s="308"/>
      <c r="UY11" s="301"/>
      <c r="UZ11" s="308"/>
      <c r="VA11" s="301"/>
      <c r="VB11" s="301"/>
      <c r="VC11" s="302"/>
      <c r="VD11" s="301"/>
      <c r="VE11" s="301"/>
      <c r="VF11" s="302"/>
      <c r="VG11" s="301"/>
      <c r="VH11" s="301"/>
      <c r="VI11" s="311"/>
      <c r="VJ11" s="301"/>
      <c r="VK11" s="308"/>
      <c r="VL11" s="301"/>
      <c r="VM11" s="304"/>
      <c r="VN11" s="307"/>
      <c r="VO11" s="308"/>
      <c r="VP11" s="301"/>
      <c r="VQ11" s="308"/>
      <c r="VR11" s="301"/>
      <c r="VS11" s="301"/>
      <c r="VT11" s="302"/>
      <c r="VU11" s="301"/>
      <c r="VV11" s="301"/>
      <c r="VW11" s="302"/>
      <c r="VX11" s="301"/>
      <c r="VY11" s="301"/>
      <c r="VZ11" s="311"/>
      <c r="WA11" s="301"/>
      <c r="WB11" s="308"/>
      <c r="WC11" s="301"/>
      <c r="WD11" s="304"/>
      <c r="WE11" s="307"/>
      <c r="WF11" s="308"/>
      <c r="WG11" s="301"/>
      <c r="WH11" s="308"/>
      <c r="WI11" s="301"/>
      <c r="WJ11" s="301"/>
      <c r="WK11" s="302"/>
      <c r="WL11" s="301"/>
      <c r="WM11" s="301"/>
      <c r="WN11" s="302"/>
      <c r="WO11" s="301"/>
      <c r="WP11" s="301"/>
      <c r="WQ11" s="311"/>
      <c r="WR11" s="301"/>
      <c r="WS11" s="308"/>
      <c r="WT11" s="301"/>
      <c r="WU11" s="304"/>
      <c r="WV11" s="307"/>
      <c r="WW11" s="308"/>
      <c r="WX11" s="301"/>
      <c r="WY11" s="308"/>
      <c r="WZ11" s="301"/>
      <c r="XA11" s="301"/>
      <c r="XB11" s="302"/>
      <c r="XC11" s="301"/>
      <c r="XD11" s="301"/>
      <c r="XE11" s="302"/>
      <c r="XF11" s="301"/>
      <c r="XG11" s="301"/>
      <c r="XH11" s="311"/>
      <c r="XI11" s="301"/>
      <c r="XJ11" s="308"/>
      <c r="XK11" s="301"/>
      <c r="XL11" s="304"/>
      <c r="XM11" s="307"/>
      <c r="XN11" s="308"/>
      <c r="XO11" s="301"/>
      <c r="XP11" s="308"/>
      <c r="XQ11" s="301"/>
      <c r="XR11" s="301"/>
      <c r="XS11" s="302"/>
      <c r="XT11" s="301"/>
      <c r="XU11" s="301"/>
      <c r="XV11" s="302"/>
      <c r="XW11" s="301"/>
      <c r="XX11" s="301"/>
      <c r="XY11" s="311"/>
      <c r="XZ11" s="301"/>
      <c r="YA11" s="308"/>
      <c r="YB11" s="301"/>
      <c r="YC11" s="304"/>
      <c r="YD11" s="307"/>
      <c r="YE11" s="308"/>
      <c r="YF11" s="301"/>
      <c r="YG11" s="308"/>
      <c r="YH11" s="301"/>
      <c r="YI11" s="301"/>
      <c r="YJ11" s="302"/>
      <c r="YK11" s="301"/>
      <c r="YL11" s="301"/>
      <c r="YM11" s="302"/>
      <c r="YN11" s="301"/>
      <c r="YO11" s="301"/>
      <c r="YP11" s="311"/>
      <c r="YQ11" s="301"/>
      <c r="YR11" s="308"/>
      <c r="YS11" s="301"/>
      <c r="YT11" s="304"/>
      <c r="YU11" s="307"/>
      <c r="YV11" s="308"/>
      <c r="YW11" s="301"/>
      <c r="YX11" s="308"/>
      <c r="YY11" s="301"/>
      <c r="YZ11" s="301"/>
      <c r="ZA11" s="302"/>
      <c r="ZB11" s="301"/>
      <c r="ZC11" s="301"/>
      <c r="ZD11" s="302"/>
      <c r="ZE11" s="301"/>
      <c r="ZF11" s="301"/>
      <c r="ZG11" s="311"/>
      <c r="ZH11" s="301"/>
      <c r="ZI11" s="308"/>
      <c r="ZJ11" s="301"/>
      <c r="ZK11" s="304"/>
      <c r="ZL11" s="307"/>
      <c r="ZM11" s="308"/>
      <c r="ZN11" s="301"/>
      <c r="ZO11" s="308"/>
      <c r="ZP11" s="301"/>
      <c r="ZQ11" s="301"/>
      <c r="ZR11" s="302"/>
      <c r="ZS11" s="301"/>
      <c r="ZT11" s="301"/>
      <c r="ZU11" s="302"/>
      <c r="ZV11" s="301"/>
      <c r="ZW11" s="301"/>
      <c r="ZX11" s="311"/>
      <c r="ZY11" s="301"/>
      <c r="ZZ11" s="308"/>
      <c r="AAA11" s="301"/>
      <c r="AAB11" s="304"/>
      <c r="AAC11" s="307"/>
      <c r="AAD11" s="308"/>
      <c r="AAE11" s="301"/>
      <c r="AAF11" s="308"/>
      <c r="AAG11" s="301"/>
      <c r="AAH11" s="301"/>
      <c r="AAI11" s="302"/>
      <c r="AAJ11" s="301"/>
      <c r="AAK11" s="301"/>
      <c r="AAL11" s="302"/>
      <c r="AAM11" s="301"/>
      <c r="AAN11" s="301"/>
      <c r="AAO11" s="311"/>
      <c r="AAP11" s="301"/>
      <c r="AAQ11" s="308"/>
      <c r="AAR11" s="301"/>
      <c r="AAS11" s="304"/>
      <c r="AAT11" s="307"/>
      <c r="AAU11" s="308"/>
      <c r="AAV11" s="301"/>
      <c r="AAW11" s="308"/>
      <c r="AAX11" s="301"/>
      <c r="AAY11" s="301"/>
      <c r="AAZ11" s="302"/>
      <c r="ABA11" s="301"/>
      <c r="ABB11" s="301"/>
      <c r="ABC11" s="302"/>
      <c r="ABD11" s="301"/>
      <c r="ABE11" s="301"/>
      <c r="ABF11" s="311"/>
      <c r="ABG11" s="301"/>
      <c r="ABH11" s="308"/>
      <c r="ABI11" s="301"/>
      <c r="ABJ11" s="304"/>
      <c r="ABK11" s="307"/>
      <c r="ABL11" s="308"/>
      <c r="ABM11" s="301"/>
      <c r="ABN11" s="308"/>
      <c r="ABO11" s="301"/>
      <c r="ABP11" s="301"/>
      <c r="ABQ11" s="302"/>
      <c r="ABR11" s="301"/>
      <c r="ABS11" s="301"/>
      <c r="ABT11" s="302"/>
      <c r="ABU11" s="301"/>
      <c r="ABV11" s="301"/>
      <c r="ABW11" s="311"/>
      <c r="ABX11" s="301"/>
      <c r="ABY11" s="308"/>
      <c r="ABZ11" s="301"/>
      <c r="ACA11" s="304"/>
      <c r="ACB11" s="307"/>
      <c r="ACC11" s="308"/>
      <c r="ACD11" s="301"/>
      <c r="ACE11" s="308"/>
      <c r="ACF11" s="301"/>
      <c r="ACG11" s="301"/>
      <c r="ACH11" s="302"/>
      <c r="ACI11" s="301"/>
      <c r="ACJ11" s="301"/>
      <c r="ACK11" s="302"/>
      <c r="ACL11" s="301"/>
      <c r="ACM11" s="301"/>
      <c r="ACN11" s="311"/>
      <c r="ACO11" s="301"/>
      <c r="ACP11" s="308"/>
      <c r="ACQ11" s="301"/>
      <c r="ACR11" s="304"/>
      <c r="ACS11" s="307"/>
      <c r="ACT11" s="308"/>
      <c r="ACU11" s="301"/>
      <c r="ACV11" s="308"/>
      <c r="ACW11" s="301"/>
      <c r="ACX11" s="301"/>
      <c r="ACY11" s="302"/>
      <c r="ACZ11" s="301"/>
      <c r="ADA11" s="301"/>
      <c r="ADB11" s="302"/>
      <c r="ADC11" s="301"/>
      <c r="ADD11" s="301"/>
      <c r="ADE11" s="311"/>
      <c r="ADF11" s="301"/>
      <c r="ADG11" s="308"/>
      <c r="ADH11" s="301"/>
      <c r="ADI11" s="304"/>
      <c r="ADJ11" s="307"/>
      <c r="ADK11" s="308"/>
      <c r="ADL11" s="301"/>
      <c r="ADM11" s="308"/>
      <c r="ADN11" s="301"/>
      <c r="ADO11" s="301"/>
      <c r="ADP11" s="302"/>
      <c r="ADQ11" s="301"/>
      <c r="ADR11" s="301"/>
      <c r="ADS11" s="302"/>
      <c r="ADT11" s="301"/>
      <c r="ADU11" s="301"/>
      <c r="ADV11" s="311"/>
      <c r="ADW11" s="301"/>
      <c r="ADX11" s="308"/>
      <c r="ADY11" s="301"/>
      <c r="ADZ11" s="304"/>
      <c r="AEA11" s="307"/>
      <c r="AEB11" s="308"/>
      <c r="AEC11" s="301"/>
      <c r="AED11" s="308"/>
      <c r="AEE11" s="301"/>
      <c r="AEF11" s="301"/>
      <c r="AEG11" s="302"/>
      <c r="AEH11" s="301"/>
      <c r="AEI11" s="301"/>
      <c r="AEJ11" s="302"/>
      <c r="AEK11" s="301"/>
      <c r="AEL11" s="301"/>
      <c r="AEM11" s="311"/>
      <c r="AEN11" s="301"/>
      <c r="AEO11" s="308"/>
      <c r="AEP11" s="301"/>
      <c r="AEQ11" s="304"/>
      <c r="AER11" s="307"/>
      <c r="AES11" s="308"/>
      <c r="AET11" s="301"/>
      <c r="AEU11" s="308"/>
      <c r="AEV11" s="301"/>
      <c r="AEW11" s="301"/>
      <c r="AEX11" s="302"/>
      <c r="AEY11" s="301"/>
      <c r="AEZ11" s="301"/>
      <c r="AFA11" s="302"/>
      <c r="AFB11" s="301"/>
      <c r="AFC11" s="301"/>
      <c r="AFD11" s="311"/>
      <c r="AFE11" s="301"/>
      <c r="AFF11" s="308"/>
      <c r="AFG11" s="301"/>
      <c r="AFH11" s="304"/>
      <c r="AFI11" s="307"/>
      <c r="AFJ11" s="308"/>
      <c r="AFK11" s="301"/>
      <c r="AFL11" s="308"/>
      <c r="AFM11" s="301"/>
      <c r="AFN11" s="301"/>
      <c r="AFO11" s="302"/>
      <c r="AFP11" s="301"/>
      <c r="AFQ11" s="301"/>
      <c r="AFR11" s="302"/>
      <c r="AFS11" s="301"/>
      <c r="AFT11" s="301"/>
      <c r="AFU11" s="311"/>
      <c r="AFV11" s="301"/>
      <c r="AFW11" s="308"/>
      <c r="AFX11" s="301"/>
      <c r="AFY11" s="304"/>
      <c r="AFZ11" s="307"/>
      <c r="AGA11" s="308"/>
      <c r="AGB11" s="301"/>
      <c r="AGC11" s="308"/>
      <c r="AGD11" s="301"/>
      <c r="AGE11" s="301"/>
      <c r="AGF11" s="302"/>
      <c r="AGG11" s="301"/>
      <c r="AGH11" s="301"/>
      <c r="AGI11" s="302"/>
      <c r="AGJ11" s="301"/>
      <c r="AGK11" s="301"/>
      <c r="AGL11" s="311"/>
      <c r="AGM11" s="301"/>
      <c r="AGN11" s="308"/>
      <c r="AGO11" s="301"/>
      <c r="AGP11" s="304"/>
      <c r="AGQ11" s="307"/>
      <c r="AGR11" s="308"/>
      <c r="AGS11" s="301"/>
      <c r="AGT11" s="308"/>
      <c r="AGU11" s="301"/>
      <c r="AGV11" s="301"/>
      <c r="AGW11" s="302"/>
      <c r="AGX11" s="301"/>
      <c r="AGY11" s="301"/>
      <c r="AGZ11" s="302"/>
      <c r="AHA11" s="301"/>
      <c r="AHB11" s="301"/>
      <c r="AHC11" s="311"/>
      <c r="AHD11" s="301"/>
      <c r="AHE11" s="308"/>
      <c r="AHF11" s="301"/>
      <c r="AHG11" s="304"/>
      <c r="AHH11" s="307"/>
      <c r="AHI11" s="308"/>
      <c r="AHJ11" s="301"/>
      <c r="AHK11" s="308"/>
      <c r="AHL11" s="301"/>
      <c r="AHM11" s="301"/>
      <c r="AHN11" s="302"/>
      <c r="AHO11" s="301"/>
      <c r="AHP11" s="301"/>
      <c r="AHQ11" s="302"/>
      <c r="AHR11" s="301"/>
      <c r="AHS11" s="301"/>
      <c r="AHT11" s="311"/>
      <c r="AHU11" s="301"/>
      <c r="AHV11" s="308"/>
      <c r="AHW11" s="301"/>
      <c r="AHX11" s="304"/>
      <c r="AHY11" s="307"/>
      <c r="AHZ11" s="308"/>
      <c r="AIA11" s="301"/>
      <c r="AIB11" s="308"/>
      <c r="AIC11" s="301"/>
      <c r="AID11" s="301"/>
      <c r="AIE11" s="302"/>
      <c r="AIF11" s="301"/>
      <c r="AIG11" s="301"/>
      <c r="AIH11" s="302"/>
      <c r="AII11" s="301"/>
      <c r="AIJ11" s="301"/>
      <c r="AIK11" s="311"/>
      <c r="AIL11" s="301"/>
      <c r="AIM11" s="308"/>
      <c r="AIN11" s="301"/>
      <c r="AIO11" s="304"/>
      <c r="AIP11" s="307"/>
      <c r="AIQ11" s="308"/>
      <c r="AIR11" s="301"/>
      <c r="AIS11" s="308"/>
      <c r="AIT11" s="301"/>
      <c r="AIU11" s="301"/>
      <c r="AIV11" s="302"/>
      <c r="AIW11" s="301"/>
      <c r="AIX11" s="301"/>
      <c r="AIY11" s="302"/>
      <c r="AIZ11" s="301"/>
      <c r="AJA11" s="301"/>
      <c r="AJB11" s="311"/>
      <c r="AJC11" s="301"/>
      <c r="AJD11" s="308"/>
      <c r="AJE11" s="301"/>
      <c r="AJF11" s="304"/>
      <c r="AJG11" s="307"/>
      <c r="AJH11" s="308"/>
      <c r="AJI11" s="301"/>
      <c r="AJJ11" s="308"/>
      <c r="AJK11" s="301"/>
      <c r="AJL11" s="301"/>
      <c r="AJM11" s="302"/>
      <c r="AJN11" s="301"/>
      <c r="AJO11" s="301"/>
      <c r="AJP11" s="302"/>
      <c r="AJQ11" s="301"/>
      <c r="AJR11" s="301"/>
      <c r="AJS11" s="311"/>
      <c r="AJT11" s="301"/>
      <c r="AJU11" s="308"/>
      <c r="AJV11" s="301"/>
      <c r="AJW11" s="304"/>
      <c r="AJX11" s="307"/>
      <c r="AJY11" s="308"/>
      <c r="AJZ11" s="301"/>
      <c r="AKA11" s="308"/>
      <c r="AKB11" s="301"/>
      <c r="AKC11" s="301"/>
      <c r="AKD11" s="302"/>
      <c r="AKE11" s="301"/>
      <c r="AKF11" s="301"/>
      <c r="AKG11" s="302"/>
      <c r="AKH11" s="301"/>
      <c r="AKI11" s="301"/>
      <c r="AKJ11" s="311"/>
      <c r="AKK11" s="301"/>
      <c r="AKL11" s="308"/>
      <c r="AKM11" s="301"/>
      <c r="AKN11" s="304"/>
      <c r="AKO11" s="307"/>
      <c r="AKP11" s="308"/>
      <c r="AKQ11" s="301"/>
      <c r="AKR11" s="308"/>
      <c r="AKS11" s="301"/>
      <c r="AKT11" s="301"/>
      <c r="AKU11" s="302"/>
      <c r="AKV11" s="301"/>
      <c r="AKW11" s="301"/>
      <c r="AKX11" s="302"/>
      <c r="AKY11" s="301"/>
      <c r="AKZ11" s="301"/>
      <c r="ALA11" s="311"/>
      <c r="ALB11" s="301"/>
      <c r="ALC11" s="308"/>
      <c r="ALD11" s="301"/>
      <c r="ALE11" s="304"/>
      <c r="ALF11" s="307"/>
      <c r="ALG11" s="308"/>
      <c r="ALH11" s="301"/>
      <c r="ALI11" s="308"/>
      <c r="ALJ11" s="301"/>
      <c r="ALK11" s="301"/>
      <c r="ALL11" s="302"/>
      <c r="ALM11" s="301"/>
      <c r="ALN11" s="301"/>
      <c r="ALO11" s="302"/>
      <c r="ALP11" s="301"/>
      <c r="ALQ11" s="301"/>
      <c r="ALR11" s="311"/>
      <c r="ALS11" s="301"/>
      <c r="ALT11" s="308"/>
      <c r="ALU11" s="301"/>
      <c r="ALV11" s="304"/>
      <c r="ALW11" s="307"/>
      <c r="ALX11" s="308"/>
      <c r="ALY11" s="301"/>
      <c r="ALZ11" s="308"/>
      <c r="AMA11" s="301"/>
      <c r="AMB11" s="301"/>
      <c r="AMC11" s="302"/>
      <c r="AMD11" s="301"/>
      <c r="AME11" s="301"/>
      <c r="AMF11" s="302"/>
      <c r="AMG11" s="301"/>
      <c r="AMH11" s="301"/>
      <c r="AMI11" s="311"/>
      <c r="AMJ11" s="301"/>
      <c r="AMK11" s="308"/>
      <c r="AML11" s="301"/>
      <c r="AMM11" s="304"/>
      <c r="AMN11" s="307"/>
      <c r="AMO11" s="308"/>
      <c r="AMP11" s="301"/>
      <c r="AMQ11" s="308"/>
      <c r="AMR11" s="301"/>
      <c r="AMS11" s="301"/>
      <c r="AMT11" s="302"/>
      <c r="AMU11" s="301"/>
      <c r="AMV11" s="301"/>
      <c r="AMW11" s="302"/>
      <c r="AMX11" s="301"/>
      <c r="AMY11" s="301"/>
      <c r="AMZ11" s="311"/>
      <c r="ANA11" s="301"/>
      <c r="ANB11" s="308"/>
      <c r="ANC11" s="301"/>
      <c r="AND11" s="304"/>
      <c r="ANE11" s="307"/>
      <c r="ANF11" s="308"/>
      <c r="ANG11" s="301"/>
      <c r="ANH11" s="308"/>
      <c r="ANI11" s="301"/>
      <c r="ANJ11" s="301"/>
      <c r="ANK11" s="302"/>
      <c r="ANL11" s="301"/>
      <c r="ANM11" s="301"/>
      <c r="ANN11" s="302"/>
      <c r="ANO11" s="301"/>
      <c r="ANP11" s="301"/>
      <c r="ANQ11" s="311"/>
      <c r="ANR11" s="301"/>
      <c r="ANS11" s="308"/>
      <c r="ANT11" s="301"/>
      <c r="ANU11" s="304"/>
      <c r="ANV11" s="307"/>
      <c r="ANW11" s="308"/>
      <c r="ANX11" s="301"/>
      <c r="ANY11" s="308"/>
      <c r="ANZ11" s="301"/>
      <c r="AOA11" s="301"/>
      <c r="AOB11" s="302"/>
      <c r="AOC11" s="301"/>
      <c r="AOD11" s="301"/>
      <c r="AOE11" s="302"/>
      <c r="AOF11" s="301"/>
      <c r="AOG11" s="301"/>
      <c r="AOH11" s="311"/>
      <c r="AOI11" s="301"/>
      <c r="AOJ11" s="308"/>
      <c r="AOK11" s="301"/>
      <c r="AOL11" s="304"/>
      <c r="AOM11" s="307"/>
      <c r="AON11" s="308"/>
      <c r="AOO11" s="301"/>
      <c r="AOP11" s="308"/>
      <c r="AOQ11" s="301"/>
      <c r="AOR11" s="301"/>
      <c r="AOS11" s="302"/>
      <c r="AOT11" s="301"/>
      <c r="AOU11" s="301"/>
      <c r="AOV11" s="302"/>
      <c r="AOW11" s="301"/>
      <c r="AOX11" s="301"/>
      <c r="AOY11" s="311"/>
      <c r="AOZ11" s="301"/>
      <c r="APA11" s="308"/>
      <c r="APB11" s="301"/>
      <c r="APC11" s="304"/>
      <c r="APD11" s="307"/>
      <c r="APE11" s="308"/>
      <c r="APF11" s="301"/>
      <c r="APG11" s="308"/>
      <c r="APH11" s="301"/>
      <c r="API11" s="301"/>
      <c r="APJ11" s="302"/>
      <c r="APK11" s="301"/>
      <c r="APL11" s="301"/>
      <c r="APM11" s="302"/>
      <c r="APN11" s="301"/>
      <c r="APO11" s="301"/>
      <c r="APP11" s="311"/>
      <c r="APQ11" s="301"/>
      <c r="APR11" s="308"/>
      <c r="APS11" s="301"/>
      <c r="APT11" s="304"/>
      <c r="APU11" s="307"/>
      <c r="APV11" s="308"/>
      <c r="APW11" s="301"/>
      <c r="APX11" s="308"/>
      <c r="APY11" s="301"/>
      <c r="APZ11" s="301"/>
      <c r="AQA11" s="302"/>
      <c r="AQB11" s="301"/>
      <c r="AQC11" s="301"/>
      <c r="AQD11" s="302"/>
      <c r="AQE11" s="301"/>
      <c r="AQF11" s="301"/>
      <c r="AQG11" s="311"/>
      <c r="AQH11" s="301"/>
      <c r="AQI11" s="308"/>
      <c r="AQJ11" s="301"/>
      <c r="AQK11" s="304"/>
      <c r="AQL11" s="307"/>
      <c r="AQM11" s="308"/>
      <c r="AQN11" s="301"/>
      <c r="AQO11" s="308"/>
      <c r="AQP11" s="301"/>
      <c r="AQQ11" s="301"/>
      <c r="AQR11" s="302"/>
      <c r="AQS11" s="301"/>
      <c r="AQT11" s="301"/>
      <c r="AQU11" s="302"/>
      <c r="AQV11" s="301"/>
      <c r="AQW11" s="301"/>
      <c r="AQX11" s="311"/>
      <c r="AQY11" s="301"/>
      <c r="AQZ11" s="308"/>
      <c r="ARA11" s="301"/>
      <c r="ARB11" s="304"/>
      <c r="ARC11" s="307"/>
      <c r="ARD11" s="308"/>
      <c r="ARE11" s="301"/>
      <c r="ARF11" s="308"/>
      <c r="ARG11" s="301"/>
      <c r="ARH11" s="301"/>
      <c r="ARI11" s="302"/>
      <c r="ARJ11" s="301"/>
      <c r="ARK11" s="301"/>
      <c r="ARL11" s="302"/>
      <c r="ARM11" s="301"/>
      <c r="ARN11" s="301"/>
      <c r="ARO11" s="311"/>
      <c r="ARP11" s="301"/>
      <c r="ARQ11" s="308"/>
      <c r="ARR11" s="301"/>
      <c r="ARS11" s="304"/>
      <c r="ART11" s="307"/>
      <c r="ARU11" s="308"/>
      <c r="ARV11" s="301"/>
      <c r="ARW11" s="308"/>
      <c r="ARX11" s="301"/>
      <c r="ARY11" s="301"/>
      <c r="ARZ11" s="302"/>
      <c r="ASA11" s="301"/>
      <c r="ASB11" s="301"/>
      <c r="ASC11" s="302"/>
      <c r="ASD11" s="301"/>
      <c r="ASE11" s="301"/>
      <c r="ASF11" s="311"/>
      <c r="ASG11" s="301"/>
      <c r="ASH11" s="308"/>
      <c r="ASI11" s="301"/>
      <c r="ASJ11" s="304"/>
      <c r="ASK11" s="307"/>
      <c r="ASL11" s="308"/>
      <c r="ASM11" s="301"/>
      <c r="ASN11" s="308"/>
      <c r="ASO11" s="301"/>
      <c r="ASP11" s="301"/>
      <c r="ASQ11" s="302"/>
      <c r="ASR11" s="301"/>
      <c r="ASS11" s="301"/>
      <c r="AST11" s="302"/>
      <c r="ASU11" s="301"/>
      <c r="ASV11" s="301"/>
      <c r="ASW11" s="311"/>
      <c r="ASX11" s="301"/>
      <c r="ASY11" s="308"/>
      <c r="ASZ11" s="301"/>
      <c r="ATA11" s="304"/>
      <c r="ATB11" s="307"/>
      <c r="ATC11" s="308"/>
      <c r="ATD11" s="301"/>
      <c r="ATE11" s="308"/>
      <c r="ATF11" s="301"/>
      <c r="ATG11" s="301"/>
      <c r="ATH11" s="302"/>
      <c r="ATI11" s="301"/>
      <c r="ATJ11" s="301"/>
      <c r="ATK11" s="302"/>
      <c r="ATL11" s="301"/>
      <c r="ATM11" s="301"/>
      <c r="ATN11" s="311"/>
      <c r="ATO11" s="301"/>
      <c r="ATP11" s="308"/>
      <c r="ATQ11" s="301"/>
      <c r="ATR11" s="304"/>
      <c r="ATS11" s="307"/>
      <c r="ATT11" s="308"/>
      <c r="ATU11" s="301"/>
      <c r="ATV11" s="308"/>
      <c r="ATW11" s="301"/>
      <c r="ATX11" s="301"/>
      <c r="ATY11" s="302"/>
      <c r="ATZ11" s="301"/>
      <c r="AUA11" s="301"/>
      <c r="AUB11" s="302"/>
      <c r="AUC11" s="301"/>
      <c r="AUD11" s="301"/>
      <c r="AUE11" s="311"/>
      <c r="AUF11" s="301"/>
      <c r="AUG11" s="308"/>
      <c r="AUH11" s="301"/>
      <c r="AUI11" s="304"/>
      <c r="AUJ11" s="307"/>
      <c r="AUK11" s="308"/>
      <c r="AUL11" s="301"/>
      <c r="AUM11" s="308"/>
      <c r="AUN11" s="301"/>
      <c r="AUO11" s="301"/>
      <c r="AUP11" s="302"/>
      <c r="AUQ11" s="301"/>
      <c r="AUR11" s="301"/>
      <c r="AUS11" s="302"/>
      <c r="AUT11" s="301"/>
      <c r="AUU11" s="301"/>
      <c r="AUV11" s="311"/>
      <c r="AUW11" s="301"/>
      <c r="AUX11" s="308"/>
      <c r="AUY11" s="301"/>
      <c r="AUZ11" s="304"/>
      <c r="AVA11" s="307"/>
      <c r="AVB11" s="308"/>
      <c r="AVC11" s="301"/>
      <c r="AVD11" s="308"/>
      <c r="AVE11" s="301"/>
      <c r="AVF11" s="301"/>
      <c r="AVG11" s="302"/>
      <c r="AVH11" s="301"/>
      <c r="AVI11" s="301"/>
      <c r="AVJ11" s="302"/>
      <c r="AVK11" s="301"/>
      <c r="AVL11" s="301"/>
      <c r="AVM11" s="311"/>
      <c r="AVN11" s="301"/>
      <c r="AVO11" s="308"/>
      <c r="AVP11" s="301"/>
      <c r="AVQ11" s="304"/>
      <c r="AVR11" s="307"/>
      <c r="AVS11" s="308"/>
      <c r="AVT11" s="301"/>
      <c r="AVU11" s="308"/>
      <c r="AVV11" s="301"/>
      <c r="AVW11" s="301"/>
      <c r="AVX11" s="302"/>
      <c r="AVY11" s="301"/>
      <c r="AVZ11" s="301"/>
      <c r="AWA11" s="302"/>
      <c r="AWB11" s="301"/>
      <c r="AWC11" s="301"/>
      <c r="AWD11" s="311"/>
      <c r="AWE11" s="301"/>
      <c r="AWF11" s="308"/>
      <c r="AWG11" s="301"/>
      <c r="AWH11" s="304"/>
      <c r="AWI11" s="307"/>
      <c r="AWJ11" s="308"/>
      <c r="AWK11" s="301"/>
      <c r="AWL11" s="308"/>
      <c r="AWM11" s="301"/>
      <c r="AWN11" s="301"/>
      <c r="AWO11" s="302"/>
      <c r="AWP11" s="301"/>
      <c r="AWQ11" s="301"/>
      <c r="AWR11" s="302"/>
      <c r="AWS11" s="301"/>
      <c r="AWT11" s="301"/>
      <c r="AWU11" s="311"/>
      <c r="AWV11" s="301"/>
      <c r="AWW11" s="308"/>
      <c r="AWX11" s="301"/>
      <c r="AWY11" s="304"/>
      <c r="AWZ11" s="307"/>
      <c r="AXA11" s="308"/>
      <c r="AXB11" s="301"/>
      <c r="AXC11" s="308"/>
      <c r="AXD11" s="301"/>
      <c r="AXE11" s="301"/>
      <c r="AXF11" s="302"/>
      <c r="AXG11" s="301"/>
      <c r="AXH11" s="301"/>
      <c r="AXI11" s="302"/>
      <c r="AXJ11" s="301"/>
      <c r="AXK11" s="301"/>
      <c r="AXL11" s="311"/>
      <c r="AXM11" s="301"/>
      <c r="AXN11" s="308"/>
      <c r="AXO11" s="301"/>
      <c r="AXP11" s="304"/>
      <c r="AXQ11" s="307"/>
      <c r="AXR11" s="308"/>
      <c r="AXS11" s="301"/>
      <c r="AXT11" s="308"/>
      <c r="AXU11" s="301"/>
      <c r="AXV11" s="301"/>
      <c r="AXW11" s="302"/>
      <c r="AXX11" s="301"/>
      <c r="AXY11" s="301"/>
      <c r="AXZ11" s="302"/>
      <c r="AYA11" s="301"/>
      <c r="AYB11" s="301"/>
      <c r="AYC11" s="311"/>
      <c r="AYD11" s="301"/>
      <c r="AYE11" s="308"/>
      <c r="AYF11" s="301"/>
      <c r="AYG11" s="304"/>
      <c r="AYH11" s="307"/>
      <c r="AYI11" s="308"/>
      <c r="AYJ11" s="301"/>
      <c r="AYK11" s="308"/>
      <c r="AYL11" s="301"/>
      <c r="AYM11" s="301"/>
      <c r="AYN11" s="302"/>
      <c r="AYO11" s="301"/>
      <c r="AYP11" s="301"/>
      <c r="AYQ11" s="302"/>
      <c r="AYR11" s="301"/>
      <c r="AYS11" s="301"/>
      <c r="AYT11" s="311"/>
      <c r="AYU11" s="301"/>
      <c r="AYV11" s="308"/>
      <c r="AYW11" s="301"/>
      <c r="AYX11" s="304"/>
      <c r="AYY11" s="307"/>
      <c r="AYZ11" s="308"/>
      <c r="AZA11" s="301"/>
      <c r="AZB11" s="308"/>
      <c r="AZC11" s="301"/>
      <c r="AZD11" s="301"/>
      <c r="AZE11" s="302"/>
      <c r="AZF11" s="301"/>
      <c r="AZG11" s="301"/>
      <c r="AZH11" s="302"/>
      <c r="AZI11" s="301"/>
      <c r="AZJ11" s="301"/>
      <c r="AZK11" s="311"/>
      <c r="AZL11" s="301"/>
      <c r="AZM11" s="308"/>
      <c r="AZN11" s="301"/>
      <c r="AZO11" s="304"/>
      <c r="AZP11" s="307"/>
      <c r="AZQ11" s="308"/>
      <c r="AZR11" s="301"/>
      <c r="AZS11" s="308"/>
      <c r="AZT11" s="301"/>
      <c r="AZU11" s="301"/>
      <c r="AZV11" s="302"/>
      <c r="AZW11" s="301"/>
      <c r="AZX11" s="301"/>
      <c r="AZY11" s="302"/>
      <c r="AZZ11" s="301"/>
      <c r="BAA11" s="301"/>
      <c r="BAB11" s="311"/>
      <c r="BAC11" s="301"/>
      <c r="BAD11" s="308"/>
      <c r="BAE11" s="301"/>
      <c r="BAF11" s="304"/>
      <c r="BAG11" s="307"/>
      <c r="BAH11" s="308"/>
      <c r="BAI11" s="301"/>
      <c r="BAJ11" s="308"/>
      <c r="BAK11" s="301"/>
      <c r="BAL11" s="301"/>
      <c r="BAM11" s="302"/>
      <c r="BAN11" s="301"/>
      <c r="BAO11" s="301"/>
      <c r="BAP11" s="302"/>
      <c r="BAQ11" s="301"/>
      <c r="BAR11" s="301"/>
      <c r="BAS11" s="311"/>
      <c r="BAT11" s="301"/>
      <c r="BAU11" s="308"/>
      <c r="BAV11" s="301"/>
      <c r="BAW11" s="304"/>
      <c r="BAX11" s="307"/>
      <c r="BAY11" s="308"/>
      <c r="BAZ11" s="301"/>
      <c r="BBA11" s="308"/>
      <c r="BBB11" s="301"/>
      <c r="BBC11" s="301"/>
      <c r="BBD11" s="302"/>
      <c r="BBE11" s="301"/>
      <c r="BBF11" s="301"/>
      <c r="BBG11" s="302"/>
      <c r="BBH11" s="301"/>
      <c r="BBI11" s="301"/>
      <c r="BBJ11" s="311"/>
      <c r="BBK11" s="301"/>
      <c r="BBL11" s="308"/>
      <c r="BBM11" s="301"/>
      <c r="BBN11" s="304"/>
      <c r="BBO11" s="307"/>
      <c r="BBP11" s="308"/>
      <c r="BBQ11" s="301"/>
      <c r="BBR11" s="308"/>
      <c r="BBS11" s="301"/>
      <c r="BBT11" s="301"/>
      <c r="BBU11" s="302"/>
      <c r="BBV11" s="301"/>
      <c r="BBW11" s="301"/>
      <c r="BBX11" s="302"/>
      <c r="BBY11" s="301"/>
      <c r="BBZ11" s="301"/>
      <c r="BCA11" s="311"/>
      <c r="BCB11" s="301"/>
      <c r="BCC11" s="308"/>
      <c r="BCD11" s="301"/>
      <c r="BCE11" s="304"/>
      <c r="BCF11" s="307"/>
      <c r="BCG11" s="308"/>
      <c r="BCH11" s="301"/>
      <c r="BCI11" s="308"/>
      <c r="BCJ11" s="301"/>
      <c r="BCK11" s="301"/>
      <c r="BCL11" s="302"/>
      <c r="BCM11" s="301"/>
      <c r="BCN11" s="301"/>
      <c r="BCO11" s="302"/>
      <c r="BCP11" s="301"/>
      <c r="BCQ11" s="301"/>
      <c r="BCR11" s="311"/>
      <c r="BCS11" s="301"/>
      <c r="BCT11" s="308"/>
      <c r="BCU11" s="301"/>
      <c r="BCV11" s="304"/>
      <c r="BCW11" s="307"/>
      <c r="BCX11" s="308"/>
      <c r="BCY11" s="301"/>
      <c r="BCZ11" s="308"/>
      <c r="BDA11" s="301"/>
      <c r="BDB11" s="301"/>
      <c r="BDC11" s="302"/>
      <c r="BDD11" s="301"/>
      <c r="BDE11" s="301"/>
      <c r="BDF11" s="302"/>
      <c r="BDG11" s="301"/>
      <c r="BDH11" s="301"/>
      <c r="BDI11" s="311"/>
      <c r="BDJ11" s="301"/>
      <c r="BDK11" s="308"/>
      <c r="BDL11" s="301"/>
      <c r="BDM11" s="304"/>
      <c r="BDN11" s="307"/>
      <c r="BDO11" s="308"/>
      <c r="BDP11" s="301"/>
      <c r="BDQ11" s="308"/>
      <c r="BDR11" s="301"/>
      <c r="BDS11" s="301"/>
      <c r="BDT11" s="302"/>
      <c r="BDU11" s="301"/>
      <c r="BDV11" s="301"/>
      <c r="BDW11" s="302"/>
      <c r="BDX11" s="301"/>
      <c r="BDY11" s="301"/>
      <c r="BDZ11" s="311"/>
      <c r="BEA11" s="301"/>
      <c r="BEB11" s="308"/>
      <c r="BEC11" s="301"/>
      <c r="BED11" s="304"/>
      <c r="BEE11" s="307"/>
      <c r="BEF11" s="308"/>
      <c r="BEG11" s="301"/>
      <c r="BEH11" s="308"/>
      <c r="BEI11" s="301"/>
      <c r="BEJ11" s="301"/>
      <c r="BEK11" s="302"/>
      <c r="BEL11" s="301"/>
      <c r="BEM11" s="301"/>
      <c r="BEN11" s="302"/>
      <c r="BEO11" s="301"/>
      <c r="BEP11" s="301"/>
      <c r="BEQ11" s="311"/>
      <c r="BER11" s="301"/>
      <c r="BES11" s="308"/>
      <c r="BET11" s="301"/>
      <c r="BEU11" s="304"/>
      <c r="BEV11" s="307"/>
      <c r="BEW11" s="308"/>
      <c r="BEX11" s="301"/>
      <c r="BEY11" s="308"/>
      <c r="BEZ11" s="301"/>
      <c r="BFA11" s="301"/>
      <c r="BFB11" s="302"/>
      <c r="BFC11" s="301"/>
      <c r="BFD11" s="301"/>
      <c r="BFE11" s="302"/>
      <c r="BFF11" s="301"/>
      <c r="BFG11" s="301"/>
      <c r="BFH11" s="311"/>
      <c r="BFI11" s="301"/>
      <c r="BFJ11" s="308"/>
      <c r="BFK11" s="301"/>
      <c r="BFL11" s="304"/>
      <c r="BFM11" s="307"/>
      <c r="BFN11" s="308"/>
      <c r="BFO11" s="301"/>
      <c r="BFP11" s="308"/>
      <c r="BFQ11" s="301"/>
      <c r="BFR11" s="301"/>
      <c r="BFS11" s="302"/>
      <c r="BFT11" s="301"/>
      <c r="BFU11" s="301"/>
      <c r="BFV11" s="302"/>
      <c r="BFW11" s="301"/>
      <c r="BFX11" s="301"/>
      <c r="BFY11" s="311"/>
      <c r="BFZ11" s="301"/>
      <c r="BGA11" s="308"/>
      <c r="BGB11" s="301"/>
      <c r="BGC11" s="304"/>
      <c r="BGD11" s="307"/>
      <c r="BGE11" s="308"/>
      <c r="BGF11" s="301"/>
      <c r="BGG11" s="308"/>
      <c r="BGH11" s="301"/>
      <c r="BGI11" s="301"/>
      <c r="BGJ11" s="302"/>
      <c r="BGK11" s="301"/>
      <c r="BGL11" s="301"/>
      <c r="BGM11" s="302"/>
      <c r="BGN11" s="301"/>
      <c r="BGO11" s="301"/>
      <c r="BGP11" s="311"/>
      <c r="BGQ11" s="301"/>
      <c r="BGR11" s="308"/>
      <c r="BGS11" s="301"/>
      <c r="BGT11" s="304"/>
      <c r="BGU11" s="307"/>
      <c r="BGV11" s="308"/>
      <c r="BGW11" s="301"/>
      <c r="BGX11" s="308"/>
      <c r="BGY11" s="301"/>
      <c r="BGZ11" s="301"/>
      <c r="BHA11" s="302"/>
      <c r="BHB11" s="301"/>
      <c r="BHC11" s="301"/>
      <c r="BHD11" s="302"/>
      <c r="BHE11" s="301"/>
      <c r="BHF11" s="301"/>
      <c r="BHG11" s="311"/>
      <c r="BHH11" s="301"/>
      <c r="BHI11" s="308"/>
      <c r="BHJ11" s="301"/>
      <c r="BHK11" s="304"/>
      <c r="BHL11" s="307"/>
      <c r="BHM11" s="308"/>
      <c r="BHN11" s="301"/>
      <c r="BHO11" s="308"/>
      <c r="BHP11" s="301"/>
      <c r="BHQ11" s="301"/>
      <c r="BHR11" s="302"/>
      <c r="BHS11" s="301"/>
      <c r="BHT11" s="301"/>
      <c r="BHU11" s="302"/>
      <c r="BHV11" s="301"/>
      <c r="BHW11" s="301"/>
      <c r="BHX11" s="311"/>
      <c r="BHY11" s="301"/>
      <c r="BHZ11" s="308"/>
      <c r="BIA11" s="301"/>
      <c r="BIB11" s="304"/>
      <c r="BIC11" s="307"/>
      <c r="BID11" s="308"/>
      <c r="BIE11" s="301"/>
      <c r="BIF11" s="308"/>
      <c r="BIG11" s="301"/>
      <c r="BIH11" s="301"/>
      <c r="BII11" s="302"/>
      <c r="BIJ11" s="301"/>
      <c r="BIK11" s="301"/>
      <c r="BIL11" s="302"/>
      <c r="BIM11" s="301"/>
      <c r="BIN11" s="301"/>
      <c r="BIO11" s="311"/>
      <c r="BIP11" s="301"/>
      <c r="BIQ11" s="308"/>
      <c r="BIR11" s="301"/>
      <c r="BIS11" s="304"/>
      <c r="BIT11" s="307"/>
      <c r="BIU11" s="308"/>
      <c r="BIV11" s="301"/>
      <c r="BIW11" s="308"/>
      <c r="BIX11" s="301"/>
      <c r="BIY11" s="301"/>
      <c r="BIZ11" s="302"/>
      <c r="BJA11" s="301"/>
      <c r="BJB11" s="301"/>
      <c r="BJC11" s="302"/>
      <c r="BJD11" s="301"/>
      <c r="BJE11" s="301"/>
      <c r="BJF11" s="311"/>
      <c r="BJG11" s="301"/>
      <c r="BJH11" s="308"/>
      <c r="BJI11" s="301"/>
      <c r="BJJ11" s="304"/>
      <c r="BJK11" s="307"/>
      <c r="BJL11" s="308"/>
      <c r="BJM11" s="301"/>
      <c r="BJN11" s="308"/>
      <c r="BJO11" s="301"/>
      <c r="BJP11" s="301"/>
      <c r="BJQ11" s="302"/>
      <c r="BJR11" s="301"/>
      <c r="BJS11" s="301"/>
      <c r="BJT11" s="302"/>
      <c r="BJU11" s="301"/>
      <c r="BJV11" s="301"/>
      <c r="BJW11" s="311"/>
      <c r="BJX11" s="301"/>
      <c r="BJY11" s="308"/>
      <c r="BJZ11" s="301"/>
      <c r="BKA11" s="304"/>
      <c r="BKB11" s="307"/>
      <c r="BKC11" s="308"/>
      <c r="BKD11" s="301"/>
      <c r="BKE11" s="308"/>
      <c r="BKF11" s="301"/>
      <c r="BKG11" s="301"/>
      <c r="BKH11" s="302"/>
      <c r="BKI11" s="301"/>
      <c r="BKJ11" s="301"/>
      <c r="BKK11" s="302"/>
      <c r="BKL11" s="301"/>
      <c r="BKM11" s="301"/>
      <c r="BKN11" s="311"/>
      <c r="BKO11" s="301"/>
      <c r="BKP11" s="308"/>
      <c r="BKQ11" s="301"/>
      <c r="BKR11" s="304"/>
      <c r="BKS11" s="307"/>
      <c r="BKT11" s="308"/>
      <c r="BKU11" s="301"/>
      <c r="BKV11" s="308"/>
      <c r="BKW11" s="301"/>
      <c r="BKX11" s="301"/>
      <c r="BKY11" s="302"/>
      <c r="BKZ11" s="301"/>
      <c r="BLA11" s="301"/>
      <c r="BLB11" s="302"/>
      <c r="BLC11" s="301"/>
      <c r="BLD11" s="301"/>
      <c r="BLE11" s="311"/>
      <c r="BLF11" s="301"/>
      <c r="BLG11" s="308"/>
      <c r="BLH11" s="301"/>
      <c r="BLI11" s="304"/>
      <c r="BLJ11" s="307"/>
      <c r="BLK11" s="308"/>
      <c r="BLL11" s="301"/>
      <c r="BLM11" s="308"/>
      <c r="BLN11" s="301"/>
      <c r="BLO11" s="301"/>
      <c r="BLP11" s="302"/>
      <c r="BLQ11" s="301"/>
      <c r="BLR11" s="301"/>
      <c r="BLS11" s="302"/>
      <c r="BLT11" s="301"/>
      <c r="BLU11" s="301"/>
      <c r="BLV11" s="311"/>
      <c r="BLW11" s="301"/>
      <c r="BLX11" s="308"/>
      <c r="BLY11" s="301"/>
      <c r="BLZ11" s="304"/>
      <c r="BMA11" s="307"/>
      <c r="BMB11" s="308"/>
      <c r="BMC11" s="301"/>
      <c r="BMD11" s="308"/>
      <c r="BME11" s="301"/>
      <c r="BMF11" s="301"/>
      <c r="BMG11" s="302"/>
      <c r="BMH11" s="301"/>
      <c r="BMI11" s="301"/>
      <c r="BMJ11" s="302"/>
      <c r="BMK11" s="301"/>
      <c r="BML11" s="301"/>
      <c r="BMM11" s="311"/>
      <c r="BMN11" s="301"/>
      <c r="BMO11" s="308"/>
      <c r="BMP11" s="301"/>
      <c r="BMQ11" s="304"/>
      <c r="BMR11" s="307"/>
      <c r="BMS11" s="308"/>
      <c r="BMT11" s="301"/>
      <c r="BMU11" s="308"/>
      <c r="BMV11" s="301"/>
      <c r="BMW11" s="301"/>
      <c r="BMX11" s="302"/>
      <c r="BMY11" s="301"/>
      <c r="BMZ11" s="301"/>
      <c r="BNA11" s="302"/>
      <c r="BNB11" s="301"/>
      <c r="BNC11" s="301"/>
      <c r="BND11" s="311"/>
      <c r="BNE11" s="301"/>
      <c r="BNF11" s="308"/>
      <c r="BNG11" s="301"/>
      <c r="BNH11" s="304"/>
      <c r="BNI11" s="307"/>
      <c r="BNJ11" s="308"/>
      <c r="BNK11" s="301"/>
      <c r="BNL11" s="308"/>
      <c r="BNM11" s="301"/>
      <c r="BNN11" s="301"/>
      <c r="BNO11" s="302"/>
      <c r="BNP11" s="301"/>
      <c r="BNQ11" s="301"/>
      <c r="BNR11" s="302"/>
      <c r="BNS11" s="301"/>
      <c r="BNT11" s="301"/>
      <c r="BNU11" s="311"/>
      <c r="BNV11" s="301"/>
      <c r="BNW11" s="308"/>
      <c r="BNX11" s="301"/>
      <c r="BNY11" s="304"/>
      <c r="BNZ11" s="307"/>
      <c r="BOA11" s="308"/>
      <c r="BOB11" s="301"/>
      <c r="BOC11" s="308"/>
      <c r="BOD11" s="301"/>
      <c r="BOE11" s="301"/>
      <c r="BOF11" s="302"/>
      <c r="BOG11" s="301"/>
      <c r="BOH11" s="301"/>
      <c r="BOI11" s="302"/>
      <c r="BOJ11" s="301"/>
      <c r="BOK11" s="301"/>
      <c r="BOL11" s="311"/>
      <c r="BOM11" s="301"/>
      <c r="BON11" s="308"/>
      <c r="BOO11" s="301"/>
      <c r="BOP11" s="304"/>
      <c r="BOQ11" s="307"/>
      <c r="BOR11" s="308"/>
      <c r="BOS11" s="301"/>
      <c r="BOT11" s="308"/>
      <c r="BOU11" s="301"/>
      <c r="BOV11" s="301"/>
      <c r="BOW11" s="302"/>
      <c r="BOX11" s="301"/>
      <c r="BOY11" s="301"/>
      <c r="BOZ11" s="302"/>
      <c r="BPA11" s="301"/>
      <c r="BPB11" s="301"/>
      <c r="BPC11" s="311"/>
      <c r="BPD11" s="301"/>
      <c r="BPE11" s="308"/>
      <c r="BPF11" s="301"/>
      <c r="BPG11" s="304"/>
      <c r="BPH11" s="307"/>
      <c r="BPI11" s="308"/>
      <c r="BPJ11" s="301"/>
      <c r="BPK11" s="308"/>
      <c r="BPL11" s="301"/>
      <c r="BPM11" s="301"/>
      <c r="BPN11" s="302"/>
      <c r="BPO11" s="301"/>
      <c r="BPP11" s="301"/>
      <c r="BPQ11" s="302"/>
      <c r="BPR11" s="301"/>
      <c r="BPS11" s="301"/>
      <c r="BPT11" s="311"/>
      <c r="BPU11" s="301"/>
      <c r="BPV11" s="308"/>
      <c r="BPW11" s="301"/>
      <c r="BPX11" s="304"/>
      <c r="BPY11" s="307"/>
      <c r="BPZ11" s="308"/>
      <c r="BQA11" s="301"/>
      <c r="BQB11" s="308"/>
      <c r="BQC11" s="301"/>
      <c r="BQD11" s="301"/>
      <c r="BQE11" s="302"/>
      <c r="BQF11" s="301"/>
      <c r="BQG11" s="301"/>
      <c r="BQH11" s="302"/>
      <c r="BQI11" s="301"/>
      <c r="BQJ11" s="301"/>
      <c r="BQK11" s="311"/>
      <c r="BQL11" s="301"/>
      <c r="BQM11" s="308"/>
      <c r="BQN11" s="301"/>
      <c r="BQO11" s="304"/>
      <c r="BQP11" s="307"/>
      <c r="BQQ11" s="308"/>
      <c r="BQR11" s="301"/>
      <c r="BQS11" s="308"/>
      <c r="BQT11" s="301"/>
      <c r="BQU11" s="301"/>
      <c r="BQV11" s="302"/>
      <c r="BQW11" s="301"/>
      <c r="BQX11" s="301"/>
      <c r="BQY11" s="302"/>
      <c r="BQZ11" s="301"/>
      <c r="BRA11" s="301"/>
      <c r="BRB11" s="311"/>
      <c r="BRC11" s="301"/>
      <c r="BRD11" s="308"/>
      <c r="BRE11" s="301"/>
      <c r="BRF11" s="304"/>
      <c r="BRG11" s="307"/>
      <c r="BRH11" s="308"/>
      <c r="BRI11" s="301"/>
      <c r="BRJ11" s="308"/>
      <c r="BRK11" s="301"/>
      <c r="BRL11" s="301"/>
      <c r="BRM11" s="302"/>
      <c r="BRN11" s="301"/>
      <c r="BRO11" s="301"/>
      <c r="BRP11" s="302"/>
      <c r="BRQ11" s="301"/>
      <c r="BRR11" s="301"/>
      <c r="BRS11" s="311"/>
      <c r="BRT11" s="301"/>
      <c r="BRU11" s="308"/>
      <c r="BRV11" s="301"/>
      <c r="BRW11" s="304"/>
      <c r="BRX11" s="307"/>
      <c r="BRY11" s="308"/>
      <c r="BRZ11" s="301"/>
      <c r="BSA11" s="308"/>
      <c r="BSB11" s="301"/>
      <c r="BSC11" s="301"/>
      <c r="BSD11" s="302"/>
      <c r="BSE11" s="301"/>
      <c r="BSF11" s="301"/>
      <c r="BSG11" s="302"/>
      <c r="BSH11" s="301"/>
      <c r="BSI11" s="301"/>
      <c r="BSJ11" s="311"/>
      <c r="BSK11" s="301"/>
      <c r="BSL11" s="308"/>
      <c r="BSM11" s="301"/>
      <c r="BSN11" s="304"/>
      <c r="BSO11" s="307"/>
      <c r="BSP11" s="308"/>
      <c r="BSQ11" s="301"/>
      <c r="BSR11" s="308"/>
      <c r="BSS11" s="301"/>
      <c r="BST11" s="301"/>
      <c r="BSU11" s="302"/>
      <c r="BSV11" s="301"/>
      <c r="BSW11" s="301"/>
      <c r="BSX11" s="302"/>
      <c r="BSY11" s="301"/>
      <c r="BSZ11" s="301"/>
      <c r="BTA11" s="311"/>
      <c r="BTB11" s="301"/>
      <c r="BTC11" s="308"/>
      <c r="BTD11" s="301"/>
      <c r="BTE11" s="304"/>
      <c r="BTF11" s="307"/>
      <c r="BTG11" s="308"/>
      <c r="BTH11" s="301"/>
      <c r="BTI11" s="308"/>
      <c r="BTJ11" s="301"/>
      <c r="BTK11" s="301"/>
      <c r="BTL11" s="302"/>
      <c r="BTM11" s="301"/>
      <c r="BTN11" s="301"/>
      <c r="BTO11" s="302"/>
      <c r="BTP11" s="301"/>
      <c r="BTQ11" s="301"/>
      <c r="BTR11" s="311"/>
      <c r="BTS11" s="301"/>
      <c r="BTT11" s="308"/>
      <c r="BTU11" s="301"/>
      <c r="BTV11" s="304"/>
      <c r="BTW11" s="307"/>
      <c r="BTX11" s="308"/>
      <c r="BTY11" s="301"/>
      <c r="BTZ11" s="308"/>
      <c r="BUA11" s="301"/>
      <c r="BUB11" s="301"/>
      <c r="BUC11" s="302"/>
      <c r="BUD11" s="301"/>
      <c r="BUE11" s="301"/>
      <c r="BUF11" s="302"/>
      <c r="BUG11" s="301"/>
      <c r="BUH11" s="301"/>
      <c r="BUI11" s="311"/>
      <c r="BUJ11" s="301"/>
      <c r="BUK11" s="308"/>
      <c r="BUL11" s="301"/>
      <c r="BUM11" s="304"/>
      <c r="BUN11" s="307"/>
      <c r="BUO11" s="308"/>
      <c r="BUP11" s="301"/>
      <c r="BUQ11" s="308"/>
      <c r="BUR11" s="301"/>
      <c r="BUS11" s="301"/>
      <c r="BUT11" s="302"/>
      <c r="BUU11" s="301"/>
      <c r="BUV11" s="301"/>
      <c r="BUW11" s="302"/>
      <c r="BUX11" s="301"/>
      <c r="BUY11" s="301"/>
      <c r="BUZ11" s="311"/>
      <c r="BVA11" s="301"/>
      <c r="BVB11" s="308"/>
      <c r="BVC11" s="301"/>
      <c r="BVD11" s="304"/>
      <c r="BVE11" s="307"/>
      <c r="BVF11" s="308"/>
      <c r="BVG11" s="301"/>
      <c r="BVH11" s="308"/>
      <c r="BVI11" s="301"/>
      <c r="BVJ11" s="301"/>
      <c r="BVK11" s="302"/>
      <c r="BVL11" s="301"/>
      <c r="BVM11" s="301"/>
      <c r="BVN11" s="302"/>
      <c r="BVO11" s="301"/>
      <c r="BVP11" s="301"/>
      <c r="BVQ11" s="311"/>
      <c r="BVR11" s="301"/>
      <c r="BVS11" s="308"/>
      <c r="BVT11" s="301"/>
      <c r="BVU11" s="304"/>
      <c r="BVV11" s="307"/>
      <c r="BVW11" s="308"/>
      <c r="BVX11" s="301"/>
      <c r="BVY11" s="308"/>
      <c r="BVZ11" s="301"/>
      <c r="BWA11" s="301"/>
      <c r="BWB11" s="302"/>
      <c r="BWC11" s="301"/>
      <c r="BWD11" s="301"/>
      <c r="BWE11" s="302"/>
      <c r="BWF11" s="301"/>
      <c r="BWG11" s="301"/>
      <c r="BWH11" s="311"/>
      <c r="BWI11" s="301"/>
      <c r="BWJ11" s="308"/>
      <c r="BWK11" s="301"/>
      <c r="BWL11" s="304"/>
      <c r="BWM11" s="307"/>
      <c r="BWN11" s="308"/>
      <c r="BWO11" s="301"/>
      <c r="BWP11" s="308"/>
      <c r="BWQ11" s="301"/>
      <c r="BWR11" s="301"/>
      <c r="BWS11" s="302"/>
      <c r="BWT11" s="301"/>
      <c r="BWU11" s="301"/>
      <c r="BWV11" s="302"/>
      <c r="BWW11" s="301"/>
      <c r="BWX11" s="301"/>
      <c r="BWY11" s="311"/>
      <c r="BWZ11" s="301"/>
      <c r="BXA11" s="308"/>
      <c r="BXB11" s="301"/>
      <c r="BXC11" s="304"/>
      <c r="BXD11" s="307"/>
      <c r="BXE11" s="308"/>
      <c r="BXF11" s="301"/>
      <c r="BXG11" s="308"/>
      <c r="BXH11" s="301"/>
      <c r="BXI11" s="301"/>
      <c r="BXJ11" s="302"/>
      <c r="BXK11" s="301"/>
      <c r="BXL11" s="301"/>
      <c r="BXM11" s="302"/>
      <c r="BXN11" s="301"/>
      <c r="BXO11" s="301"/>
      <c r="BXP11" s="311"/>
      <c r="BXQ11" s="301"/>
      <c r="BXR11" s="308"/>
      <c r="BXS11" s="301"/>
      <c r="BXT11" s="304"/>
      <c r="BXU11" s="307"/>
      <c r="BXV11" s="308"/>
      <c r="BXW11" s="301"/>
      <c r="BXX11" s="308"/>
      <c r="BXY11" s="301"/>
      <c r="BXZ11" s="301"/>
      <c r="BYA11" s="302"/>
      <c r="BYB11" s="301"/>
      <c r="BYC11" s="301"/>
      <c r="BYD11" s="302"/>
      <c r="BYE11" s="301"/>
      <c r="BYF11" s="301"/>
      <c r="BYG11" s="311"/>
      <c r="BYH11" s="301"/>
      <c r="BYI11" s="308"/>
      <c r="BYJ11" s="301"/>
      <c r="BYK11" s="304"/>
      <c r="BYL11" s="307"/>
      <c r="BYM11" s="308"/>
      <c r="BYN11" s="301"/>
      <c r="BYO11" s="308"/>
      <c r="BYP11" s="301"/>
      <c r="BYQ11" s="301"/>
      <c r="BYR11" s="302"/>
      <c r="BYS11" s="301"/>
      <c r="BYT11" s="301"/>
      <c r="BYU11" s="302"/>
      <c r="BYV11" s="301"/>
      <c r="BYW11" s="301"/>
      <c r="BYX11" s="311"/>
      <c r="BYY11" s="301"/>
      <c r="BYZ11" s="308"/>
      <c r="BZA11" s="301"/>
      <c r="BZB11" s="304"/>
      <c r="BZC11" s="307"/>
      <c r="BZD11" s="308"/>
      <c r="BZE11" s="301"/>
      <c r="BZF11" s="308"/>
      <c r="BZG11" s="301"/>
      <c r="BZH11" s="301"/>
      <c r="BZI11" s="302"/>
      <c r="BZJ11" s="301"/>
      <c r="BZK11" s="301"/>
      <c r="BZL11" s="302"/>
      <c r="BZM11" s="301"/>
      <c r="BZN11" s="301"/>
      <c r="BZO11" s="311"/>
      <c r="BZP11" s="301"/>
      <c r="BZQ11" s="308"/>
      <c r="BZR11" s="301"/>
      <c r="BZS11" s="304"/>
      <c r="BZT11" s="307"/>
      <c r="BZU11" s="308"/>
      <c r="BZV11" s="301"/>
      <c r="BZW11" s="308"/>
      <c r="BZX11" s="301"/>
      <c r="BZY11" s="301"/>
      <c r="BZZ11" s="302"/>
      <c r="CAA11" s="301"/>
      <c r="CAB11" s="301"/>
      <c r="CAC11" s="302"/>
      <c r="CAD11" s="301"/>
      <c r="CAE11" s="301"/>
      <c r="CAF11" s="311"/>
      <c r="CAG11" s="301"/>
      <c r="CAH11" s="308"/>
      <c r="CAI11" s="301"/>
      <c r="CAJ11" s="304"/>
      <c r="CAK11" s="307"/>
      <c r="CAL11" s="308"/>
      <c r="CAM11" s="301"/>
      <c r="CAN11" s="308"/>
      <c r="CAO11" s="301"/>
      <c r="CAP11" s="301"/>
      <c r="CAQ11" s="302"/>
      <c r="CAR11" s="301"/>
      <c r="CAS11" s="301"/>
      <c r="CAT11" s="302"/>
      <c r="CAU11" s="301"/>
      <c r="CAV11" s="301"/>
      <c r="CAW11" s="311"/>
      <c r="CAX11" s="301"/>
      <c r="CAY11" s="308"/>
      <c r="CAZ11" s="301"/>
      <c r="CBA11" s="304"/>
      <c r="CBB11" s="307"/>
      <c r="CBC11" s="308"/>
      <c r="CBD11" s="301"/>
      <c r="CBE11" s="308"/>
      <c r="CBF11" s="301"/>
      <c r="CBG11" s="301"/>
      <c r="CBH11" s="302"/>
      <c r="CBI11" s="301"/>
      <c r="CBJ11" s="301"/>
      <c r="CBK11" s="302"/>
      <c r="CBL11" s="301"/>
      <c r="CBM11" s="301"/>
      <c r="CBN11" s="311"/>
      <c r="CBO11" s="301"/>
      <c r="CBP11" s="308"/>
      <c r="CBQ11" s="301"/>
      <c r="CBR11" s="304"/>
      <c r="CBS11" s="307"/>
      <c r="CBT11" s="308"/>
      <c r="CBU11" s="301"/>
      <c r="CBV11" s="308"/>
      <c r="CBW11" s="301"/>
      <c r="CBX11" s="301"/>
      <c r="CBY11" s="302"/>
      <c r="CBZ11" s="301"/>
      <c r="CCA11" s="301"/>
      <c r="CCB11" s="302"/>
      <c r="CCC11" s="301"/>
      <c r="CCD11" s="301"/>
      <c r="CCE11" s="311"/>
      <c r="CCF11" s="301"/>
      <c r="CCG11" s="308"/>
      <c r="CCH11" s="301"/>
      <c r="CCI11" s="304"/>
      <c r="CCJ11" s="307"/>
      <c r="CCK11" s="308"/>
      <c r="CCL11" s="301"/>
      <c r="CCM11" s="308"/>
      <c r="CCN11" s="301"/>
      <c r="CCO11" s="301"/>
      <c r="CCP11" s="302"/>
      <c r="CCQ11" s="301"/>
      <c r="CCR11" s="301"/>
      <c r="CCS11" s="302"/>
      <c r="CCT11" s="301"/>
      <c r="CCU11" s="301"/>
      <c r="CCV11" s="311"/>
      <c r="CCW11" s="301"/>
      <c r="CCX11" s="308"/>
      <c r="CCY11" s="301"/>
      <c r="CCZ11" s="304"/>
      <c r="CDA11" s="307"/>
      <c r="CDB11" s="308"/>
      <c r="CDC11" s="301"/>
      <c r="CDD11" s="308"/>
      <c r="CDE11" s="301"/>
      <c r="CDF11" s="301"/>
      <c r="CDG11" s="302"/>
      <c r="CDH11" s="301"/>
      <c r="CDI11" s="301"/>
      <c r="CDJ11" s="302"/>
      <c r="CDK11" s="301"/>
      <c r="CDL11" s="301"/>
      <c r="CDM11" s="311"/>
      <c r="CDN11" s="301"/>
      <c r="CDO11" s="308"/>
      <c r="CDP11" s="301"/>
      <c r="CDQ11" s="304"/>
      <c r="CDR11" s="307"/>
      <c r="CDS11" s="308"/>
      <c r="CDT11" s="301"/>
      <c r="CDU11" s="308"/>
      <c r="CDV11" s="301"/>
      <c r="CDW11" s="301"/>
      <c r="CDX11" s="302"/>
      <c r="CDY11" s="301"/>
      <c r="CDZ11" s="301"/>
      <c r="CEA11" s="302"/>
      <c r="CEB11" s="301"/>
      <c r="CEC11" s="301"/>
      <c r="CED11" s="311"/>
      <c r="CEE11" s="301"/>
      <c r="CEF11" s="308"/>
      <c r="CEG11" s="301"/>
      <c r="CEH11" s="304"/>
      <c r="CEI11" s="307"/>
      <c r="CEJ11" s="308"/>
      <c r="CEK11" s="301"/>
      <c r="CEL11" s="308"/>
      <c r="CEM11" s="301"/>
      <c r="CEN11" s="301"/>
      <c r="CEO11" s="302"/>
      <c r="CEP11" s="301"/>
      <c r="CEQ11" s="301"/>
      <c r="CER11" s="302"/>
      <c r="CES11" s="301"/>
      <c r="CET11" s="301"/>
      <c r="CEU11" s="311"/>
      <c r="CEV11" s="301"/>
      <c r="CEW11" s="308"/>
      <c r="CEX11" s="301"/>
      <c r="CEY11" s="304"/>
      <c r="CEZ11" s="307"/>
      <c r="CFA11" s="308"/>
      <c r="CFB11" s="301"/>
      <c r="CFC11" s="308"/>
      <c r="CFD11" s="301"/>
      <c r="CFE11" s="301"/>
      <c r="CFF11" s="302"/>
      <c r="CFG11" s="301"/>
      <c r="CFH11" s="301"/>
      <c r="CFI11" s="302"/>
      <c r="CFJ11" s="301"/>
      <c r="CFK11" s="301"/>
      <c r="CFL11" s="311"/>
      <c r="CFM11" s="301"/>
      <c r="CFN11" s="308"/>
      <c r="CFO11" s="301"/>
      <c r="CFP11" s="304"/>
      <c r="CFQ11" s="307"/>
      <c r="CFR11" s="308"/>
      <c r="CFS11" s="301"/>
      <c r="CFT11" s="308"/>
      <c r="CFU11" s="301"/>
      <c r="CFV11" s="301"/>
      <c r="CFW11" s="302"/>
      <c r="CFX11" s="301"/>
      <c r="CFY11" s="301"/>
      <c r="CFZ11" s="302"/>
      <c r="CGA11" s="301"/>
      <c r="CGB11" s="301"/>
      <c r="CGC11" s="311"/>
      <c r="CGD11" s="301"/>
      <c r="CGE11" s="308"/>
      <c r="CGF11" s="301"/>
      <c r="CGG11" s="304"/>
      <c r="CGH11" s="307"/>
      <c r="CGI11" s="308"/>
      <c r="CGJ11" s="301"/>
      <c r="CGK11" s="308"/>
      <c r="CGL11" s="301"/>
      <c r="CGM11" s="301"/>
      <c r="CGN11" s="302"/>
      <c r="CGO11" s="301"/>
      <c r="CGP11" s="301"/>
      <c r="CGQ11" s="302"/>
      <c r="CGR11" s="301"/>
      <c r="CGS11" s="301"/>
      <c r="CGT11" s="311"/>
      <c r="CGU11" s="301"/>
      <c r="CGV11" s="308"/>
      <c r="CGW11" s="301"/>
      <c r="CGX11" s="304"/>
      <c r="CGY11" s="307"/>
      <c r="CGZ11" s="308"/>
      <c r="CHA11" s="301"/>
      <c r="CHB11" s="308"/>
      <c r="CHC11" s="301"/>
      <c r="CHD11" s="301"/>
      <c r="CHE11" s="302"/>
      <c r="CHF11" s="301"/>
      <c r="CHG11" s="301"/>
      <c r="CHH11" s="302"/>
      <c r="CHI11" s="301"/>
      <c r="CHJ11" s="301"/>
      <c r="CHK11" s="311"/>
      <c r="CHL11" s="301"/>
      <c r="CHM11" s="308"/>
      <c r="CHN11" s="301"/>
      <c r="CHO11" s="304"/>
      <c r="CHP11" s="307"/>
      <c r="CHQ11" s="308"/>
      <c r="CHR11" s="301"/>
      <c r="CHS11" s="308"/>
      <c r="CHT11" s="301"/>
      <c r="CHU11" s="301"/>
      <c r="CHV11" s="302"/>
      <c r="CHW11" s="301"/>
      <c r="CHX11" s="301"/>
      <c r="CHY11" s="302"/>
      <c r="CHZ11" s="301"/>
      <c r="CIA11" s="301"/>
      <c r="CIB11" s="311"/>
      <c r="CIC11" s="301"/>
      <c r="CID11" s="308"/>
      <c r="CIE11" s="301"/>
      <c r="CIF11" s="304"/>
      <c r="CIG11" s="307"/>
      <c r="CIH11" s="308"/>
      <c r="CII11" s="301"/>
      <c r="CIJ11" s="308"/>
      <c r="CIK11" s="301"/>
      <c r="CIL11" s="301"/>
      <c r="CIM11" s="302"/>
      <c r="CIN11" s="301"/>
      <c r="CIO11" s="301"/>
      <c r="CIP11" s="302"/>
      <c r="CIQ11" s="301"/>
      <c r="CIR11" s="301"/>
      <c r="CIS11" s="311"/>
      <c r="CIT11" s="301"/>
      <c r="CIU11" s="308"/>
      <c r="CIV11" s="301"/>
      <c r="CIW11" s="304"/>
      <c r="CIX11" s="307"/>
      <c r="CIY11" s="308"/>
      <c r="CIZ11" s="301"/>
      <c r="CJA11" s="308"/>
      <c r="CJB11" s="301"/>
      <c r="CJC11" s="301"/>
      <c r="CJD11" s="302"/>
      <c r="CJE11" s="301"/>
      <c r="CJF11" s="301"/>
      <c r="CJG11" s="302"/>
      <c r="CJH11" s="301"/>
      <c r="CJI11" s="301"/>
      <c r="CJJ11" s="311"/>
      <c r="CJK11" s="301"/>
      <c r="CJL11" s="308"/>
      <c r="CJM11" s="301"/>
      <c r="CJN11" s="304"/>
      <c r="CJO11" s="307"/>
      <c r="CJP11" s="308"/>
      <c r="CJQ11" s="301"/>
      <c r="CJR11" s="308"/>
      <c r="CJS11" s="301"/>
      <c r="CJT11" s="301"/>
      <c r="CJU11" s="302"/>
      <c r="CJV11" s="301"/>
      <c r="CJW11" s="301"/>
      <c r="CJX11" s="302"/>
      <c r="CJY11" s="301"/>
      <c r="CJZ11" s="301"/>
      <c r="CKA11" s="311"/>
      <c r="CKB11" s="301"/>
      <c r="CKC11" s="308"/>
      <c r="CKD11" s="301"/>
      <c r="CKE11" s="304"/>
      <c r="CKF11" s="307"/>
      <c r="CKG11" s="308"/>
      <c r="CKH11" s="301"/>
      <c r="CKI11" s="308"/>
      <c r="CKJ11" s="301"/>
      <c r="CKK11" s="301"/>
      <c r="CKL11" s="302"/>
      <c r="CKM11" s="301"/>
      <c r="CKN11" s="301"/>
      <c r="CKO11" s="302"/>
      <c r="CKP11" s="301"/>
      <c r="CKQ11" s="301"/>
      <c r="CKR11" s="311"/>
      <c r="CKS11" s="301"/>
      <c r="CKT11" s="308"/>
      <c r="CKU11" s="301"/>
      <c r="CKV11" s="304"/>
      <c r="CKW11" s="307"/>
      <c r="CKX11" s="308"/>
      <c r="CKY11" s="301"/>
      <c r="CKZ11" s="308"/>
      <c r="CLA11" s="301"/>
      <c r="CLB11" s="301"/>
      <c r="CLC11" s="302"/>
      <c r="CLD11" s="301"/>
      <c r="CLE11" s="301"/>
      <c r="CLF11" s="302"/>
      <c r="CLG11" s="301"/>
      <c r="CLH11" s="301"/>
      <c r="CLI11" s="311"/>
      <c r="CLJ11" s="301"/>
      <c r="CLK11" s="308"/>
      <c r="CLL11" s="301"/>
      <c r="CLM11" s="304"/>
      <c r="CLN11" s="307"/>
      <c r="CLO11" s="308"/>
      <c r="CLP11" s="301"/>
      <c r="CLQ11" s="308"/>
      <c r="CLR11" s="301"/>
      <c r="CLS11" s="301"/>
      <c r="CLT11" s="302"/>
      <c r="CLU11" s="301"/>
      <c r="CLV11" s="301"/>
      <c r="CLW11" s="302"/>
      <c r="CLX11" s="301"/>
      <c r="CLY11" s="301"/>
      <c r="CLZ11" s="311"/>
      <c r="CMA11" s="301"/>
      <c r="CMB11" s="308"/>
      <c r="CMC11" s="301"/>
      <c r="CMD11" s="304"/>
      <c r="CME11" s="307"/>
      <c r="CMF11" s="308"/>
      <c r="CMG11" s="301"/>
      <c r="CMH11" s="308"/>
      <c r="CMI11" s="301"/>
      <c r="CMJ11" s="301"/>
      <c r="CMK11" s="302"/>
      <c r="CML11" s="301"/>
      <c r="CMM11" s="301"/>
      <c r="CMN11" s="302"/>
      <c r="CMO11" s="301"/>
      <c r="CMP11" s="301"/>
      <c r="CMQ11" s="311"/>
      <c r="CMR11" s="301"/>
      <c r="CMS11" s="308"/>
      <c r="CMT11" s="301"/>
      <c r="CMU11" s="304"/>
      <c r="CMV11" s="307"/>
      <c r="CMW11" s="308"/>
      <c r="CMX11" s="301"/>
      <c r="CMY11" s="308"/>
      <c r="CMZ11" s="301"/>
      <c r="CNA11" s="301"/>
      <c r="CNB11" s="302"/>
      <c r="CNC11" s="301"/>
      <c r="CND11" s="301"/>
      <c r="CNE11" s="302"/>
      <c r="CNF11" s="301"/>
      <c r="CNG11" s="301"/>
      <c r="CNH11" s="311"/>
      <c r="CNI11" s="301"/>
      <c r="CNJ11" s="308"/>
      <c r="CNK11" s="301"/>
      <c r="CNL11" s="304"/>
      <c r="CNM11" s="307"/>
      <c r="CNN11" s="308"/>
      <c r="CNO11" s="301"/>
      <c r="CNP11" s="308"/>
      <c r="CNQ11" s="301"/>
      <c r="CNR11" s="301"/>
      <c r="CNS11" s="302"/>
      <c r="CNT11" s="301"/>
      <c r="CNU11" s="301"/>
      <c r="CNV11" s="302"/>
      <c r="CNW11" s="301"/>
      <c r="CNX11" s="301"/>
      <c r="CNY11" s="311"/>
      <c r="CNZ11" s="301"/>
      <c r="COA11" s="308"/>
      <c r="COB11" s="301"/>
      <c r="COC11" s="304"/>
      <c r="COD11" s="307"/>
      <c r="COE11" s="308"/>
      <c r="COF11" s="301"/>
      <c r="COG11" s="308"/>
      <c r="COH11" s="301"/>
      <c r="COI11" s="301"/>
      <c r="COJ11" s="302"/>
      <c r="COK11" s="301"/>
      <c r="COL11" s="301"/>
      <c r="COM11" s="302"/>
      <c r="CON11" s="301"/>
      <c r="COO11" s="301"/>
      <c r="COP11" s="311"/>
      <c r="COQ11" s="301"/>
      <c r="COR11" s="308"/>
      <c r="COS11" s="301"/>
      <c r="COT11" s="304"/>
      <c r="COU11" s="307"/>
      <c r="COV11" s="308"/>
      <c r="COW11" s="301"/>
      <c r="COX11" s="308"/>
      <c r="COY11" s="301"/>
      <c r="COZ11" s="301"/>
      <c r="CPA11" s="302"/>
      <c r="CPB11" s="301"/>
      <c r="CPC11" s="301"/>
      <c r="CPD11" s="302"/>
      <c r="CPE11" s="301"/>
      <c r="CPF11" s="301"/>
      <c r="CPG11" s="311"/>
      <c r="CPH11" s="301"/>
      <c r="CPI11" s="308"/>
      <c r="CPJ11" s="301"/>
      <c r="CPK11" s="304"/>
      <c r="CPL11" s="307"/>
      <c r="CPM11" s="308"/>
      <c r="CPN11" s="301"/>
      <c r="CPO11" s="308"/>
      <c r="CPP11" s="301"/>
      <c r="CPQ11" s="301"/>
      <c r="CPR11" s="302"/>
      <c r="CPS11" s="301"/>
      <c r="CPT11" s="301"/>
      <c r="CPU11" s="302"/>
      <c r="CPV11" s="301"/>
      <c r="CPW11" s="301"/>
      <c r="CPX11" s="311"/>
      <c r="CPY11" s="301"/>
      <c r="CPZ11" s="308"/>
      <c r="CQA11" s="301"/>
      <c r="CQB11" s="304"/>
      <c r="CQC11" s="307"/>
      <c r="CQD11" s="308"/>
      <c r="CQE11" s="301"/>
      <c r="CQF11" s="308"/>
      <c r="CQG11" s="301"/>
      <c r="CQH11" s="301"/>
      <c r="CQI11" s="302"/>
      <c r="CQJ11" s="301"/>
      <c r="CQK11" s="301"/>
      <c r="CQL11" s="302"/>
      <c r="CQM11" s="301"/>
      <c r="CQN11" s="301"/>
      <c r="CQO11" s="311"/>
      <c r="CQP11" s="301"/>
      <c r="CQQ11" s="308"/>
      <c r="CQR11" s="301"/>
      <c r="CQS11" s="304"/>
      <c r="CQT11" s="307"/>
      <c r="CQU11" s="308"/>
      <c r="CQV11" s="301"/>
      <c r="CQW11" s="308"/>
      <c r="CQX11" s="301"/>
      <c r="CQY11" s="301"/>
      <c r="CQZ11" s="302"/>
      <c r="CRA11" s="301"/>
      <c r="CRB11" s="301"/>
      <c r="CRC11" s="302"/>
      <c r="CRD11" s="301"/>
      <c r="CRE11" s="301"/>
      <c r="CRF11" s="311"/>
      <c r="CRG11" s="301"/>
      <c r="CRH11" s="308"/>
      <c r="CRI11" s="301"/>
      <c r="CRJ11" s="304"/>
      <c r="CRK11" s="307"/>
      <c r="CRL11" s="308"/>
      <c r="CRM11" s="301"/>
      <c r="CRN11" s="308"/>
      <c r="CRO11" s="301"/>
      <c r="CRP11" s="301"/>
      <c r="CRQ11" s="302"/>
      <c r="CRR11" s="301"/>
      <c r="CRS11" s="301"/>
      <c r="CRT11" s="302"/>
      <c r="CRU11" s="301"/>
      <c r="CRV11" s="301"/>
      <c r="CRW11" s="311"/>
      <c r="CRX11" s="301"/>
      <c r="CRY11" s="308"/>
      <c r="CRZ11" s="301"/>
      <c r="CSA11" s="304"/>
      <c r="CSB11" s="307"/>
      <c r="CSC11" s="308"/>
      <c r="CSD11" s="301"/>
      <c r="CSE11" s="308"/>
      <c r="CSF11" s="301"/>
      <c r="CSG11" s="301"/>
      <c r="CSH11" s="302"/>
      <c r="CSI11" s="301"/>
      <c r="CSJ11" s="301"/>
      <c r="CSK11" s="302"/>
      <c r="CSL11" s="301"/>
      <c r="CSM11" s="301"/>
      <c r="CSN11" s="311"/>
      <c r="CSO11" s="301"/>
      <c r="CSP11" s="308"/>
      <c r="CSQ11" s="301"/>
      <c r="CSR11" s="304"/>
      <c r="CSS11" s="307"/>
      <c r="CST11" s="308"/>
      <c r="CSU11" s="301"/>
      <c r="CSV11" s="308"/>
      <c r="CSW11" s="301"/>
      <c r="CSX11" s="301"/>
      <c r="CSY11" s="302"/>
      <c r="CSZ11" s="301"/>
      <c r="CTA11" s="301"/>
      <c r="CTB11" s="302"/>
      <c r="CTC11" s="301"/>
      <c r="CTD11" s="301"/>
      <c r="CTE11" s="311"/>
      <c r="CTF11" s="301"/>
      <c r="CTG11" s="308"/>
      <c r="CTH11" s="301"/>
      <c r="CTI11" s="304"/>
      <c r="CTJ11" s="307"/>
      <c r="CTK11" s="308"/>
      <c r="CTL11" s="301"/>
      <c r="CTM11" s="308"/>
      <c r="CTN11" s="301"/>
      <c r="CTO11" s="301"/>
      <c r="CTP11" s="302"/>
      <c r="CTQ11" s="301"/>
      <c r="CTR11" s="301"/>
      <c r="CTS11" s="302"/>
      <c r="CTT11" s="301"/>
      <c r="CTU11" s="301"/>
      <c r="CTV11" s="311"/>
      <c r="CTW11" s="301"/>
      <c r="CTX11" s="308"/>
      <c r="CTY11" s="301"/>
      <c r="CTZ11" s="304"/>
      <c r="CUA11" s="307"/>
      <c r="CUB11" s="308"/>
      <c r="CUC11" s="301"/>
      <c r="CUD11" s="308"/>
      <c r="CUE11" s="301"/>
      <c r="CUF11" s="301"/>
      <c r="CUG11" s="302"/>
      <c r="CUH11" s="301"/>
      <c r="CUI11" s="301"/>
      <c r="CUJ11" s="302"/>
      <c r="CUK11" s="301"/>
      <c r="CUL11" s="301"/>
      <c r="CUM11" s="311"/>
      <c r="CUN11" s="301"/>
      <c r="CUO11" s="308"/>
      <c r="CUP11" s="301"/>
      <c r="CUQ11" s="304"/>
      <c r="CUR11" s="307"/>
      <c r="CUS11" s="308"/>
      <c r="CUT11" s="301"/>
      <c r="CUU11" s="308"/>
      <c r="CUV11" s="301"/>
      <c r="CUW11" s="301"/>
      <c r="CUX11" s="302"/>
      <c r="CUY11" s="301"/>
      <c r="CUZ11" s="301"/>
      <c r="CVA11" s="302"/>
      <c r="CVB11" s="301"/>
      <c r="CVC11" s="301"/>
      <c r="CVD11" s="311"/>
      <c r="CVE11" s="301"/>
      <c r="CVF11" s="308"/>
      <c r="CVG11" s="301"/>
      <c r="CVH11" s="304"/>
      <c r="CVI11" s="307"/>
      <c r="CVJ11" s="308"/>
      <c r="CVK11" s="301"/>
      <c r="CVL11" s="308"/>
      <c r="CVM11" s="301"/>
      <c r="CVN11" s="301"/>
      <c r="CVO11" s="302"/>
      <c r="CVP11" s="301"/>
      <c r="CVQ11" s="301"/>
      <c r="CVR11" s="302"/>
      <c r="CVS11" s="301"/>
      <c r="CVT11" s="301"/>
      <c r="CVU11" s="311"/>
      <c r="CVV11" s="301"/>
      <c r="CVW11" s="308"/>
      <c r="CVX11" s="301"/>
      <c r="CVY11" s="304"/>
      <c r="CVZ11" s="307"/>
      <c r="CWA11" s="308"/>
      <c r="CWB11" s="301"/>
      <c r="CWC11" s="308"/>
      <c r="CWD11" s="301"/>
      <c r="CWE11" s="301"/>
      <c r="CWF11" s="302"/>
      <c r="CWG11" s="301"/>
      <c r="CWH11" s="301"/>
      <c r="CWI11" s="302"/>
      <c r="CWJ11" s="301"/>
      <c r="CWK11" s="301"/>
      <c r="CWL11" s="311"/>
      <c r="CWM11" s="301"/>
      <c r="CWN11" s="308"/>
      <c r="CWO11" s="301"/>
      <c r="CWP11" s="304"/>
      <c r="CWQ11" s="307"/>
      <c r="CWR11" s="308"/>
      <c r="CWS11" s="301"/>
      <c r="CWT11" s="308"/>
      <c r="CWU11" s="301"/>
      <c r="CWV11" s="301"/>
      <c r="CWW11" s="302"/>
      <c r="CWX11" s="301"/>
      <c r="CWY11" s="301"/>
      <c r="CWZ11" s="302"/>
      <c r="CXA11" s="301"/>
      <c r="CXB11" s="301"/>
      <c r="CXC11" s="311"/>
      <c r="CXD11" s="301"/>
      <c r="CXE11" s="308"/>
      <c r="CXF11" s="301"/>
      <c r="CXG11" s="304"/>
      <c r="CXH11" s="307"/>
      <c r="CXI11" s="308"/>
      <c r="CXJ11" s="301"/>
      <c r="CXK11" s="308"/>
      <c r="CXL11" s="301"/>
      <c r="CXM11" s="301"/>
      <c r="CXN11" s="302"/>
      <c r="CXO11" s="301"/>
      <c r="CXP11" s="301"/>
      <c r="CXQ11" s="302"/>
      <c r="CXR11" s="301"/>
      <c r="CXS11" s="301"/>
      <c r="CXT11" s="311"/>
      <c r="CXU11" s="301"/>
      <c r="CXV11" s="308"/>
      <c r="CXW11" s="301"/>
      <c r="CXX11" s="304"/>
      <c r="CXY11" s="307"/>
      <c r="CXZ11" s="308"/>
      <c r="CYA11" s="301"/>
      <c r="CYB11" s="308"/>
      <c r="CYC11" s="301"/>
      <c r="CYD11" s="301"/>
      <c r="CYE11" s="302"/>
      <c r="CYF11" s="301"/>
      <c r="CYG11" s="301"/>
      <c r="CYH11" s="302"/>
      <c r="CYI11" s="301"/>
      <c r="CYJ11" s="301"/>
      <c r="CYK11" s="311"/>
      <c r="CYL11" s="301"/>
      <c r="CYM11" s="308"/>
      <c r="CYN11" s="301"/>
      <c r="CYO11" s="304"/>
      <c r="CYP11" s="307"/>
      <c r="CYQ11" s="308"/>
      <c r="CYR11" s="301"/>
      <c r="CYS11" s="308"/>
      <c r="CYT11" s="301"/>
      <c r="CYU11" s="301"/>
      <c r="CYV11" s="302"/>
      <c r="CYW11" s="301"/>
      <c r="CYX11" s="301"/>
      <c r="CYY11" s="302"/>
      <c r="CYZ11" s="301"/>
      <c r="CZA11" s="301"/>
      <c r="CZB11" s="311"/>
      <c r="CZC11" s="301"/>
      <c r="CZD11" s="308"/>
      <c r="CZE11" s="301"/>
      <c r="CZF11" s="304"/>
      <c r="CZG11" s="307"/>
      <c r="CZH11" s="308"/>
      <c r="CZI11" s="301"/>
      <c r="CZJ11" s="308"/>
      <c r="CZK11" s="301"/>
      <c r="CZL11" s="301"/>
      <c r="CZM11" s="302"/>
      <c r="CZN11" s="301"/>
      <c r="CZO11" s="301"/>
      <c r="CZP11" s="302"/>
      <c r="CZQ11" s="301"/>
      <c r="CZR11" s="301"/>
      <c r="CZS11" s="311"/>
      <c r="CZT11" s="301"/>
      <c r="CZU11" s="308"/>
      <c r="CZV11" s="301"/>
      <c r="CZW11" s="304"/>
      <c r="CZX11" s="307"/>
      <c r="CZY11" s="308"/>
      <c r="CZZ11" s="301"/>
      <c r="DAA11" s="308"/>
      <c r="DAB11" s="301"/>
      <c r="DAC11" s="301"/>
      <c r="DAD11" s="302"/>
      <c r="DAE11" s="301"/>
      <c r="DAF11" s="301"/>
      <c r="DAG11" s="302"/>
      <c r="DAH11" s="301"/>
      <c r="DAI11" s="301"/>
      <c r="DAJ11" s="311"/>
      <c r="DAK11" s="301"/>
      <c r="DAL11" s="308"/>
      <c r="DAM11" s="301"/>
      <c r="DAN11" s="304"/>
      <c r="DAO11" s="307"/>
      <c r="DAP11" s="308"/>
      <c r="DAQ11" s="301"/>
      <c r="DAR11" s="308"/>
      <c r="DAS11" s="301"/>
      <c r="DAT11" s="301"/>
      <c r="DAU11" s="302"/>
      <c r="DAV11" s="301"/>
      <c r="DAW11" s="301"/>
      <c r="DAX11" s="302"/>
      <c r="DAY11" s="301"/>
      <c r="DAZ11" s="301"/>
      <c r="DBA11" s="311"/>
      <c r="DBB11" s="301"/>
      <c r="DBC11" s="308"/>
      <c r="DBD11" s="301"/>
      <c r="DBE11" s="304"/>
      <c r="DBF11" s="307"/>
      <c r="DBG11" s="308"/>
      <c r="DBH11" s="301"/>
      <c r="DBI11" s="308"/>
      <c r="DBJ11" s="301"/>
      <c r="DBK11" s="301"/>
      <c r="DBL11" s="302"/>
      <c r="DBM11" s="301"/>
      <c r="DBN11" s="301"/>
      <c r="DBO11" s="302"/>
      <c r="DBP11" s="301"/>
      <c r="DBQ11" s="301"/>
      <c r="DBR11" s="311"/>
      <c r="DBS11" s="301"/>
      <c r="DBT11" s="308"/>
      <c r="DBU11" s="301"/>
      <c r="DBV11" s="304"/>
      <c r="DBW11" s="307"/>
      <c r="DBX11" s="308"/>
      <c r="DBY11" s="301"/>
      <c r="DBZ11" s="308"/>
      <c r="DCA11" s="301"/>
      <c r="DCB11" s="301"/>
      <c r="DCC11" s="302"/>
      <c r="DCD11" s="301"/>
      <c r="DCE11" s="301"/>
      <c r="DCF11" s="302"/>
      <c r="DCG11" s="301"/>
      <c r="DCH11" s="301"/>
      <c r="DCI11" s="311"/>
      <c r="DCJ11" s="301"/>
      <c r="DCK11" s="308"/>
      <c r="DCL11" s="301"/>
      <c r="DCM11" s="304"/>
      <c r="DCN11" s="307"/>
      <c r="DCO11" s="308"/>
      <c r="DCP11" s="301"/>
      <c r="DCQ11" s="308"/>
      <c r="DCR11" s="301"/>
      <c r="DCS11" s="301"/>
      <c r="DCT11" s="302"/>
      <c r="DCU11" s="301"/>
      <c r="DCV11" s="301"/>
      <c r="DCW11" s="302"/>
      <c r="DCX11" s="301"/>
      <c r="DCY11" s="301"/>
      <c r="DCZ11" s="311"/>
      <c r="DDA11" s="301"/>
      <c r="DDB11" s="308"/>
      <c r="DDC11" s="301"/>
      <c r="DDD11" s="304"/>
      <c r="DDE11" s="307"/>
      <c r="DDF11" s="308"/>
      <c r="DDG11" s="301"/>
      <c r="DDH11" s="308"/>
      <c r="DDI11" s="301"/>
      <c r="DDJ11" s="301"/>
      <c r="DDK11" s="302"/>
      <c r="DDL11" s="301"/>
      <c r="DDM11" s="301"/>
      <c r="DDN11" s="302"/>
      <c r="DDO11" s="301"/>
      <c r="DDP11" s="301"/>
      <c r="DDQ11" s="311"/>
      <c r="DDR11" s="301"/>
      <c r="DDS11" s="308"/>
      <c r="DDT11" s="301"/>
      <c r="DDU11" s="304"/>
      <c r="DDV11" s="307"/>
      <c r="DDW11" s="308"/>
      <c r="DDX11" s="301"/>
      <c r="DDY11" s="308"/>
      <c r="DDZ11" s="301"/>
      <c r="DEA11" s="301"/>
      <c r="DEB11" s="302"/>
      <c r="DEC11" s="301"/>
      <c r="DED11" s="301"/>
      <c r="DEE11" s="302"/>
      <c r="DEF11" s="301"/>
      <c r="DEG11" s="301"/>
      <c r="DEH11" s="311"/>
      <c r="DEI11" s="301"/>
      <c r="DEJ11" s="308"/>
      <c r="DEK11" s="301"/>
      <c r="DEL11" s="304"/>
      <c r="DEM11" s="307"/>
      <c r="DEN11" s="308"/>
      <c r="DEO11" s="301"/>
      <c r="DEP11" s="308"/>
      <c r="DEQ11" s="301"/>
      <c r="DER11" s="301"/>
      <c r="DES11" s="302"/>
      <c r="DET11" s="301"/>
      <c r="DEU11" s="301"/>
      <c r="DEV11" s="302"/>
      <c r="DEW11" s="301"/>
      <c r="DEX11" s="301"/>
      <c r="DEY11" s="311"/>
      <c r="DEZ11" s="301"/>
      <c r="DFA11" s="308"/>
      <c r="DFB11" s="301"/>
      <c r="DFC11" s="304"/>
      <c r="DFD11" s="307"/>
      <c r="DFE11" s="308"/>
      <c r="DFF11" s="301"/>
      <c r="DFG11" s="308"/>
      <c r="DFH11" s="301"/>
      <c r="DFI11" s="301"/>
      <c r="DFJ11" s="302"/>
      <c r="DFK11" s="301"/>
      <c r="DFL11" s="301"/>
      <c r="DFM11" s="302"/>
      <c r="DFN11" s="301"/>
      <c r="DFO11" s="301"/>
      <c r="DFP11" s="311"/>
      <c r="DFQ11" s="301"/>
      <c r="DFR11" s="308"/>
      <c r="DFS11" s="301"/>
      <c r="DFT11" s="304"/>
      <c r="DFU11" s="307"/>
      <c r="DFV11" s="308"/>
      <c r="DFW11" s="301"/>
      <c r="DFX11" s="308"/>
      <c r="DFY11" s="301"/>
      <c r="DFZ11" s="301"/>
      <c r="DGA11" s="302"/>
      <c r="DGB11" s="301"/>
      <c r="DGC11" s="301"/>
      <c r="DGD11" s="302"/>
      <c r="DGE11" s="301"/>
      <c r="DGF11" s="301"/>
      <c r="DGG11" s="311"/>
      <c r="DGH11" s="301"/>
      <c r="DGI11" s="308"/>
      <c r="DGJ11" s="301"/>
      <c r="DGK11" s="304"/>
      <c r="DGL11" s="307"/>
      <c r="DGM11" s="308"/>
      <c r="DGN11" s="301"/>
      <c r="DGO11" s="308"/>
      <c r="DGP11" s="301"/>
      <c r="DGQ11" s="301"/>
      <c r="DGR11" s="302"/>
      <c r="DGS11" s="301"/>
      <c r="DGT11" s="301"/>
      <c r="DGU11" s="302"/>
      <c r="DGV11" s="301"/>
      <c r="DGW11" s="301"/>
      <c r="DGX11" s="311"/>
      <c r="DGY11" s="301"/>
      <c r="DGZ11" s="308"/>
      <c r="DHA11" s="301"/>
      <c r="DHB11" s="304"/>
      <c r="DHC11" s="307"/>
      <c r="DHD11" s="308"/>
      <c r="DHE11" s="301"/>
      <c r="DHF11" s="308"/>
      <c r="DHG11" s="301"/>
      <c r="DHH11" s="301"/>
      <c r="DHI11" s="302"/>
      <c r="DHJ11" s="301"/>
      <c r="DHK11" s="301"/>
      <c r="DHL11" s="302"/>
      <c r="DHM11" s="301"/>
      <c r="DHN11" s="301"/>
      <c r="DHO11" s="311"/>
      <c r="DHP11" s="301"/>
      <c r="DHQ11" s="308"/>
      <c r="DHR11" s="301"/>
      <c r="DHS11" s="304"/>
      <c r="DHT11" s="307"/>
      <c r="DHU11" s="308"/>
      <c r="DHV11" s="301"/>
      <c r="DHW11" s="308"/>
      <c r="DHX11" s="301"/>
      <c r="DHY11" s="301"/>
      <c r="DHZ11" s="302"/>
      <c r="DIA11" s="301"/>
      <c r="DIB11" s="301"/>
      <c r="DIC11" s="302"/>
      <c r="DID11" s="301"/>
      <c r="DIE11" s="301"/>
      <c r="DIF11" s="311"/>
      <c r="DIG11" s="301"/>
      <c r="DIH11" s="308"/>
      <c r="DII11" s="301"/>
      <c r="DIJ11" s="304"/>
      <c r="DIK11" s="307"/>
      <c r="DIL11" s="308"/>
      <c r="DIM11" s="301"/>
      <c r="DIN11" s="308"/>
      <c r="DIO11" s="301"/>
      <c r="DIP11" s="301"/>
      <c r="DIQ11" s="302"/>
      <c r="DIR11" s="301"/>
      <c r="DIS11" s="301"/>
      <c r="DIT11" s="302"/>
      <c r="DIU11" s="301"/>
      <c r="DIV11" s="301"/>
      <c r="DIW11" s="311"/>
      <c r="DIX11" s="301"/>
      <c r="DIY11" s="308"/>
      <c r="DIZ11" s="301"/>
      <c r="DJA11" s="304"/>
      <c r="DJB11" s="307"/>
      <c r="DJC11" s="308"/>
      <c r="DJD11" s="301"/>
      <c r="DJE11" s="308"/>
      <c r="DJF11" s="301"/>
      <c r="DJG11" s="301"/>
      <c r="DJH11" s="302"/>
      <c r="DJI11" s="301"/>
      <c r="DJJ11" s="301"/>
      <c r="DJK11" s="302"/>
      <c r="DJL11" s="301"/>
      <c r="DJM11" s="301"/>
      <c r="DJN11" s="311"/>
      <c r="DJO11" s="301"/>
      <c r="DJP11" s="308"/>
      <c r="DJQ11" s="301"/>
      <c r="DJR11" s="304"/>
      <c r="DJS11" s="307"/>
      <c r="DJT11" s="308"/>
      <c r="DJU11" s="301"/>
      <c r="DJV11" s="308"/>
      <c r="DJW11" s="301"/>
      <c r="DJX11" s="301"/>
      <c r="DJY11" s="302"/>
      <c r="DJZ11" s="301"/>
      <c r="DKA11" s="301"/>
      <c r="DKB11" s="302"/>
      <c r="DKC11" s="301"/>
      <c r="DKD11" s="301"/>
      <c r="DKE11" s="311"/>
      <c r="DKF11" s="301"/>
      <c r="DKG11" s="308"/>
      <c r="DKH11" s="301"/>
      <c r="DKI11" s="304"/>
      <c r="DKJ11" s="307"/>
      <c r="DKK11" s="308"/>
      <c r="DKL11" s="301"/>
      <c r="DKM11" s="308"/>
      <c r="DKN11" s="301"/>
      <c r="DKO11" s="301"/>
      <c r="DKP11" s="302"/>
      <c r="DKQ11" s="301"/>
      <c r="DKR11" s="301"/>
      <c r="DKS11" s="302"/>
      <c r="DKT11" s="301"/>
      <c r="DKU11" s="301"/>
      <c r="DKV11" s="311"/>
      <c r="DKW11" s="301"/>
      <c r="DKX11" s="308"/>
      <c r="DKY11" s="301"/>
      <c r="DKZ11" s="304"/>
      <c r="DLA11" s="307"/>
      <c r="DLB11" s="308"/>
      <c r="DLC11" s="301"/>
      <c r="DLD11" s="308"/>
      <c r="DLE11" s="301"/>
      <c r="DLF11" s="301"/>
      <c r="DLG11" s="302"/>
      <c r="DLH11" s="301"/>
      <c r="DLI11" s="301"/>
      <c r="DLJ11" s="302"/>
      <c r="DLK11" s="301"/>
      <c r="DLL11" s="301"/>
      <c r="DLM11" s="311"/>
      <c r="DLN11" s="301"/>
      <c r="DLO11" s="308"/>
      <c r="DLP11" s="301"/>
      <c r="DLQ11" s="304"/>
      <c r="DLR11" s="307"/>
      <c r="DLS11" s="308"/>
      <c r="DLT11" s="301"/>
      <c r="DLU11" s="308"/>
      <c r="DLV11" s="301"/>
      <c r="DLW11" s="301"/>
      <c r="DLX11" s="302"/>
      <c r="DLY11" s="301"/>
      <c r="DLZ11" s="301"/>
      <c r="DMA11" s="302"/>
      <c r="DMB11" s="301"/>
      <c r="DMC11" s="301"/>
      <c r="DMD11" s="311"/>
      <c r="DME11" s="301"/>
      <c r="DMF11" s="308"/>
      <c r="DMG11" s="301"/>
      <c r="DMH11" s="304"/>
      <c r="DMI11" s="307"/>
      <c r="DMJ11" s="308"/>
      <c r="DMK11" s="301"/>
      <c r="DML11" s="308"/>
      <c r="DMM11" s="301"/>
      <c r="DMN11" s="301"/>
      <c r="DMO11" s="302"/>
      <c r="DMP11" s="301"/>
      <c r="DMQ11" s="301"/>
      <c r="DMR11" s="302"/>
      <c r="DMS11" s="301"/>
      <c r="DMT11" s="301"/>
      <c r="DMU11" s="311"/>
      <c r="DMV11" s="301"/>
      <c r="DMW11" s="308"/>
      <c r="DMX11" s="301"/>
      <c r="DMY11" s="304"/>
      <c r="DMZ11" s="307"/>
      <c r="DNA11" s="308"/>
      <c r="DNB11" s="301"/>
      <c r="DNC11" s="308"/>
      <c r="DND11" s="301"/>
      <c r="DNE11" s="301"/>
      <c r="DNF11" s="302"/>
      <c r="DNG11" s="301"/>
      <c r="DNH11" s="301"/>
      <c r="DNI11" s="302"/>
      <c r="DNJ11" s="301"/>
      <c r="DNK11" s="301"/>
      <c r="DNL11" s="311"/>
      <c r="DNM11" s="301"/>
      <c r="DNN11" s="308"/>
      <c r="DNO11" s="301"/>
      <c r="DNP11" s="304"/>
      <c r="DNQ11" s="307"/>
      <c r="DNR11" s="308"/>
      <c r="DNS11" s="301"/>
      <c r="DNT11" s="308"/>
      <c r="DNU11" s="301"/>
      <c r="DNV11" s="301"/>
      <c r="DNW11" s="302"/>
      <c r="DNX11" s="301"/>
      <c r="DNY11" s="301"/>
      <c r="DNZ11" s="302"/>
      <c r="DOA11" s="301"/>
      <c r="DOB11" s="301"/>
      <c r="DOC11" s="311"/>
      <c r="DOD11" s="301"/>
      <c r="DOE11" s="308"/>
      <c r="DOF11" s="301"/>
      <c r="DOG11" s="304"/>
      <c r="DOH11" s="307"/>
      <c r="DOI11" s="308"/>
      <c r="DOJ11" s="301"/>
      <c r="DOK11" s="308"/>
      <c r="DOL11" s="301"/>
      <c r="DOM11" s="301"/>
      <c r="DON11" s="302"/>
      <c r="DOO11" s="301"/>
      <c r="DOP11" s="301"/>
      <c r="DOQ11" s="302"/>
      <c r="DOR11" s="301"/>
      <c r="DOS11" s="301"/>
      <c r="DOT11" s="311"/>
      <c r="DOU11" s="301"/>
      <c r="DOV11" s="308"/>
      <c r="DOW11" s="301"/>
      <c r="DOX11" s="304"/>
      <c r="DOY11" s="307"/>
      <c r="DOZ11" s="308"/>
      <c r="DPA11" s="301"/>
      <c r="DPB11" s="308"/>
      <c r="DPC11" s="301"/>
      <c r="DPD11" s="301"/>
      <c r="DPE11" s="302"/>
      <c r="DPF11" s="301"/>
      <c r="DPG11" s="301"/>
      <c r="DPH11" s="302"/>
      <c r="DPI11" s="301"/>
      <c r="DPJ11" s="301"/>
      <c r="DPK11" s="311"/>
      <c r="DPL11" s="301"/>
      <c r="DPM11" s="308"/>
      <c r="DPN11" s="301"/>
      <c r="DPO11" s="304"/>
      <c r="DPP11" s="307"/>
      <c r="DPQ11" s="308"/>
      <c r="DPR11" s="301"/>
      <c r="DPS11" s="308"/>
      <c r="DPT11" s="301"/>
      <c r="DPU11" s="301"/>
      <c r="DPV11" s="302"/>
      <c r="DPW11" s="301"/>
      <c r="DPX11" s="301"/>
      <c r="DPY11" s="302"/>
      <c r="DPZ11" s="301"/>
      <c r="DQA11" s="301"/>
      <c r="DQB11" s="311"/>
      <c r="DQC11" s="301"/>
      <c r="DQD11" s="308"/>
      <c r="DQE11" s="301"/>
      <c r="DQF11" s="304"/>
      <c r="DQG11" s="307"/>
      <c r="DQH11" s="308"/>
      <c r="DQI11" s="301"/>
      <c r="DQJ11" s="308"/>
      <c r="DQK11" s="301"/>
      <c r="DQL11" s="301"/>
      <c r="DQM11" s="302"/>
      <c r="DQN11" s="301"/>
      <c r="DQO11" s="301"/>
      <c r="DQP11" s="302"/>
      <c r="DQQ11" s="301"/>
      <c r="DQR11" s="301"/>
      <c r="DQS11" s="311"/>
      <c r="DQT11" s="301"/>
      <c r="DQU11" s="308"/>
      <c r="DQV11" s="301"/>
      <c r="DQW11" s="304"/>
      <c r="DQX11" s="307"/>
      <c r="DQY11" s="308"/>
      <c r="DQZ11" s="301"/>
      <c r="DRA11" s="308"/>
      <c r="DRB11" s="301"/>
      <c r="DRC11" s="301"/>
      <c r="DRD11" s="302"/>
      <c r="DRE11" s="301"/>
      <c r="DRF11" s="301"/>
      <c r="DRG11" s="302"/>
      <c r="DRH11" s="301"/>
      <c r="DRI11" s="301"/>
      <c r="DRJ11" s="311"/>
      <c r="DRK11" s="301"/>
      <c r="DRL11" s="308"/>
      <c r="DRM11" s="301"/>
      <c r="DRN11" s="304"/>
      <c r="DRO11" s="307"/>
      <c r="DRP11" s="308"/>
      <c r="DRQ11" s="301"/>
      <c r="DRR11" s="308"/>
      <c r="DRS11" s="301"/>
      <c r="DRT11" s="301"/>
      <c r="DRU11" s="302"/>
      <c r="DRV11" s="301"/>
      <c r="DRW11" s="301"/>
      <c r="DRX11" s="302"/>
      <c r="DRY11" s="301"/>
      <c r="DRZ11" s="301"/>
      <c r="DSA11" s="311"/>
      <c r="DSB11" s="301"/>
      <c r="DSC11" s="308"/>
      <c r="DSD11" s="301"/>
      <c r="DSE11" s="304"/>
      <c r="DSF11" s="307"/>
      <c r="DSG11" s="308"/>
      <c r="DSH11" s="301"/>
      <c r="DSI11" s="308"/>
      <c r="DSJ11" s="301"/>
      <c r="DSK11" s="301"/>
      <c r="DSL11" s="302"/>
      <c r="DSM11" s="301"/>
      <c r="DSN11" s="301"/>
      <c r="DSO11" s="302"/>
      <c r="DSP11" s="301"/>
      <c r="DSQ11" s="301"/>
      <c r="DSR11" s="311"/>
      <c r="DSS11" s="301"/>
      <c r="DST11" s="308"/>
      <c r="DSU11" s="301"/>
      <c r="DSV11" s="304"/>
      <c r="DSW11" s="307"/>
      <c r="DSX11" s="308"/>
      <c r="DSY11" s="301"/>
      <c r="DSZ11" s="308"/>
      <c r="DTA11" s="301"/>
      <c r="DTB11" s="301"/>
      <c r="DTC11" s="302"/>
      <c r="DTD11" s="301"/>
      <c r="DTE11" s="301"/>
      <c r="DTF11" s="302"/>
      <c r="DTG11" s="301"/>
      <c r="DTH11" s="301"/>
      <c r="DTI11" s="311"/>
      <c r="DTJ11" s="301"/>
      <c r="DTK11" s="308"/>
      <c r="DTL11" s="301"/>
      <c r="DTM11" s="304"/>
      <c r="DTN11" s="307"/>
      <c r="DTO11" s="308"/>
      <c r="DTP11" s="301"/>
      <c r="DTQ11" s="308"/>
      <c r="DTR11" s="301"/>
      <c r="DTS11" s="301"/>
      <c r="DTT11" s="302"/>
      <c r="DTU11" s="301"/>
      <c r="DTV11" s="301"/>
      <c r="DTW11" s="302"/>
      <c r="DTX11" s="301"/>
      <c r="DTY11" s="301"/>
      <c r="DTZ11" s="311"/>
      <c r="DUA11" s="301"/>
      <c r="DUB11" s="308"/>
      <c r="DUC11" s="301"/>
      <c r="DUD11" s="304"/>
      <c r="DUE11" s="307"/>
      <c r="DUF11" s="308"/>
      <c r="DUG11" s="301"/>
      <c r="DUH11" s="308"/>
      <c r="DUI11" s="301"/>
      <c r="DUJ11" s="301"/>
      <c r="DUK11" s="302"/>
      <c r="DUL11" s="301"/>
      <c r="DUM11" s="301"/>
      <c r="DUN11" s="302"/>
      <c r="DUO11" s="301"/>
      <c r="DUP11" s="301"/>
      <c r="DUQ11" s="311"/>
      <c r="DUR11" s="301"/>
      <c r="DUS11" s="308"/>
      <c r="DUT11" s="301"/>
      <c r="DUU11" s="304"/>
      <c r="DUV11" s="307"/>
      <c r="DUW11" s="308"/>
      <c r="DUX11" s="301"/>
      <c r="DUY11" s="308"/>
      <c r="DUZ11" s="301"/>
      <c r="DVA11" s="301"/>
      <c r="DVB11" s="302"/>
      <c r="DVC11" s="301"/>
      <c r="DVD11" s="301"/>
      <c r="DVE11" s="302"/>
      <c r="DVF11" s="301"/>
      <c r="DVG11" s="301"/>
      <c r="DVH11" s="311"/>
      <c r="DVI11" s="301"/>
      <c r="DVJ11" s="308"/>
      <c r="DVK11" s="301"/>
      <c r="DVL11" s="304"/>
      <c r="DVM11" s="307"/>
      <c r="DVN11" s="308"/>
      <c r="DVO11" s="301"/>
      <c r="DVP11" s="308"/>
      <c r="DVQ11" s="301"/>
      <c r="DVR11" s="301"/>
      <c r="DVS11" s="302"/>
      <c r="DVT11" s="301"/>
      <c r="DVU11" s="301"/>
      <c r="DVV11" s="302"/>
      <c r="DVW11" s="301"/>
      <c r="DVX11" s="301"/>
      <c r="DVY11" s="311"/>
      <c r="DVZ11" s="301"/>
      <c r="DWA11" s="308"/>
      <c r="DWB11" s="301"/>
      <c r="DWC11" s="304"/>
      <c r="DWD11" s="307"/>
      <c r="DWE11" s="308"/>
      <c r="DWF11" s="301"/>
      <c r="DWG11" s="308"/>
      <c r="DWH11" s="301"/>
      <c r="DWI11" s="301"/>
      <c r="DWJ11" s="302"/>
      <c r="DWK11" s="301"/>
      <c r="DWL11" s="301"/>
      <c r="DWM11" s="302"/>
      <c r="DWN11" s="301"/>
      <c r="DWO11" s="301"/>
      <c r="DWP11" s="311"/>
      <c r="DWQ11" s="301"/>
      <c r="DWR11" s="308"/>
      <c r="DWS11" s="301"/>
      <c r="DWT11" s="304"/>
      <c r="DWU11" s="307"/>
      <c r="DWV11" s="308"/>
      <c r="DWW11" s="301"/>
      <c r="DWX11" s="308"/>
      <c r="DWY11" s="301"/>
      <c r="DWZ11" s="301"/>
      <c r="DXA11" s="302"/>
      <c r="DXB11" s="301"/>
      <c r="DXC11" s="301"/>
      <c r="DXD11" s="302"/>
      <c r="DXE11" s="301"/>
      <c r="DXF11" s="301"/>
      <c r="DXG11" s="311"/>
      <c r="DXH11" s="301"/>
      <c r="DXI11" s="308"/>
      <c r="DXJ11" s="301"/>
      <c r="DXK11" s="304"/>
      <c r="DXL11" s="307"/>
      <c r="DXM11" s="308"/>
      <c r="DXN11" s="301"/>
      <c r="DXO11" s="308"/>
      <c r="DXP11" s="301"/>
      <c r="DXQ11" s="301"/>
      <c r="DXR11" s="302"/>
      <c r="DXS11" s="301"/>
      <c r="DXT11" s="301"/>
      <c r="DXU11" s="302"/>
      <c r="DXV11" s="301"/>
      <c r="DXW11" s="301"/>
      <c r="DXX11" s="311"/>
      <c r="DXY11" s="301"/>
      <c r="DXZ11" s="308"/>
      <c r="DYA11" s="301"/>
      <c r="DYB11" s="304"/>
      <c r="DYC11" s="307"/>
      <c r="DYD11" s="308"/>
      <c r="DYE11" s="301"/>
      <c r="DYF11" s="308"/>
      <c r="DYG11" s="301"/>
      <c r="DYH11" s="301"/>
      <c r="DYI11" s="302"/>
      <c r="DYJ11" s="301"/>
      <c r="DYK11" s="301"/>
      <c r="DYL11" s="302"/>
      <c r="DYM11" s="301"/>
      <c r="DYN11" s="301"/>
      <c r="DYO11" s="311"/>
      <c r="DYP11" s="301"/>
      <c r="DYQ11" s="308"/>
      <c r="DYR11" s="301"/>
      <c r="DYS11" s="304"/>
      <c r="DYT11" s="307"/>
      <c r="DYU11" s="308"/>
      <c r="DYV11" s="301"/>
      <c r="DYW11" s="308"/>
      <c r="DYX11" s="301"/>
      <c r="DYY11" s="301"/>
      <c r="DYZ11" s="302"/>
      <c r="DZA11" s="301"/>
      <c r="DZB11" s="301"/>
      <c r="DZC11" s="302"/>
      <c r="DZD11" s="301"/>
      <c r="DZE11" s="301"/>
      <c r="DZF11" s="311"/>
      <c r="DZG11" s="301"/>
      <c r="DZH11" s="308"/>
      <c r="DZI11" s="301"/>
      <c r="DZJ11" s="304"/>
      <c r="DZK11" s="307"/>
      <c r="DZL11" s="308"/>
      <c r="DZM11" s="301"/>
      <c r="DZN11" s="308"/>
      <c r="DZO11" s="301"/>
      <c r="DZP11" s="301"/>
      <c r="DZQ11" s="302"/>
      <c r="DZR11" s="301"/>
      <c r="DZS11" s="301"/>
      <c r="DZT11" s="302"/>
      <c r="DZU11" s="301"/>
      <c r="DZV11" s="301"/>
      <c r="DZW11" s="311"/>
      <c r="DZX11" s="301"/>
      <c r="DZY11" s="308"/>
      <c r="DZZ11" s="301"/>
      <c r="EAA11" s="304"/>
      <c r="EAB11" s="307"/>
      <c r="EAC11" s="308"/>
      <c r="EAD11" s="301"/>
      <c r="EAE11" s="308"/>
      <c r="EAF11" s="301"/>
      <c r="EAG11" s="301"/>
      <c r="EAH11" s="302"/>
      <c r="EAI11" s="301"/>
      <c r="EAJ11" s="301"/>
      <c r="EAK11" s="302"/>
      <c r="EAL11" s="301"/>
      <c r="EAM11" s="301"/>
      <c r="EAN11" s="311"/>
      <c r="EAO11" s="301"/>
      <c r="EAP11" s="308"/>
      <c r="EAQ11" s="301"/>
      <c r="EAR11" s="304"/>
      <c r="EAS11" s="307"/>
      <c r="EAT11" s="308"/>
      <c r="EAU11" s="301"/>
      <c r="EAV11" s="308"/>
      <c r="EAW11" s="301"/>
      <c r="EAX11" s="301"/>
      <c r="EAY11" s="302"/>
      <c r="EAZ11" s="301"/>
      <c r="EBA11" s="301"/>
      <c r="EBB11" s="302"/>
      <c r="EBC11" s="301"/>
      <c r="EBD11" s="301"/>
      <c r="EBE11" s="311"/>
      <c r="EBF11" s="301"/>
      <c r="EBG11" s="308"/>
      <c r="EBH11" s="301"/>
      <c r="EBI11" s="304"/>
      <c r="EBJ11" s="307"/>
      <c r="EBK11" s="308"/>
      <c r="EBL11" s="301"/>
      <c r="EBM11" s="308"/>
      <c r="EBN11" s="301"/>
      <c r="EBO11" s="301"/>
      <c r="EBP11" s="302"/>
      <c r="EBQ11" s="301"/>
      <c r="EBR11" s="301"/>
      <c r="EBS11" s="302"/>
      <c r="EBT11" s="301"/>
      <c r="EBU11" s="301"/>
      <c r="EBV11" s="311"/>
      <c r="EBW11" s="301"/>
      <c r="EBX11" s="308"/>
      <c r="EBY11" s="301"/>
      <c r="EBZ11" s="304"/>
      <c r="ECA11" s="307"/>
      <c r="ECB11" s="308"/>
      <c r="ECC11" s="301"/>
      <c r="ECD11" s="308"/>
      <c r="ECE11" s="301"/>
      <c r="ECF11" s="301"/>
      <c r="ECG11" s="302"/>
      <c r="ECH11" s="301"/>
      <c r="ECI11" s="301"/>
      <c r="ECJ11" s="302"/>
      <c r="ECK11" s="301"/>
      <c r="ECL11" s="301"/>
      <c r="ECM11" s="311"/>
      <c r="ECN11" s="301"/>
      <c r="ECO11" s="308"/>
      <c r="ECP11" s="301"/>
      <c r="ECQ11" s="304"/>
      <c r="ECR11" s="307"/>
      <c r="ECS11" s="308"/>
      <c r="ECT11" s="301"/>
      <c r="ECU11" s="308"/>
      <c r="ECV11" s="301"/>
      <c r="ECW11" s="301"/>
      <c r="ECX11" s="302"/>
      <c r="ECY11" s="301"/>
      <c r="ECZ11" s="301"/>
      <c r="EDA11" s="302"/>
      <c r="EDB11" s="301"/>
      <c r="EDC11" s="301"/>
      <c r="EDD11" s="311"/>
      <c r="EDE11" s="301"/>
      <c r="EDF11" s="308"/>
      <c r="EDG11" s="301"/>
      <c r="EDH11" s="304"/>
      <c r="EDI11" s="307"/>
      <c r="EDJ11" s="308"/>
      <c r="EDK11" s="301"/>
      <c r="EDL11" s="308"/>
      <c r="EDM11" s="301"/>
      <c r="EDN11" s="301"/>
      <c r="EDO11" s="302"/>
      <c r="EDP11" s="301"/>
      <c r="EDQ11" s="301"/>
      <c r="EDR11" s="302"/>
      <c r="EDS11" s="301"/>
      <c r="EDT11" s="301"/>
      <c r="EDU11" s="311"/>
      <c r="EDV11" s="301"/>
      <c r="EDW11" s="308"/>
      <c r="EDX11" s="301"/>
      <c r="EDY11" s="304"/>
      <c r="EDZ11" s="307"/>
      <c r="EEA11" s="308"/>
      <c r="EEB11" s="301"/>
      <c r="EEC11" s="308"/>
      <c r="EED11" s="301"/>
      <c r="EEE11" s="301"/>
      <c r="EEF11" s="302"/>
      <c r="EEG11" s="301"/>
      <c r="EEH11" s="301"/>
      <c r="EEI11" s="302"/>
      <c r="EEJ11" s="301"/>
      <c r="EEK11" s="301"/>
      <c r="EEL11" s="311"/>
      <c r="EEM11" s="301"/>
      <c r="EEN11" s="308"/>
      <c r="EEO11" s="301"/>
      <c r="EEP11" s="304"/>
      <c r="EEQ11" s="307"/>
      <c r="EER11" s="308"/>
      <c r="EES11" s="301"/>
      <c r="EET11" s="308"/>
      <c r="EEU11" s="301"/>
      <c r="EEV11" s="301"/>
      <c r="EEW11" s="302"/>
      <c r="EEX11" s="301"/>
      <c r="EEY11" s="301"/>
      <c r="EEZ11" s="302"/>
      <c r="EFA11" s="301"/>
      <c r="EFB11" s="301"/>
      <c r="EFC11" s="311"/>
      <c r="EFD11" s="301"/>
      <c r="EFE11" s="308"/>
      <c r="EFF11" s="301"/>
      <c r="EFG11" s="304"/>
      <c r="EFH11" s="307"/>
      <c r="EFI11" s="308"/>
      <c r="EFJ11" s="301"/>
      <c r="EFK11" s="308"/>
      <c r="EFL11" s="301"/>
      <c r="EFM11" s="301"/>
      <c r="EFN11" s="302"/>
      <c r="EFO11" s="301"/>
      <c r="EFP11" s="301"/>
      <c r="EFQ11" s="302"/>
      <c r="EFR11" s="301"/>
      <c r="EFS11" s="301"/>
      <c r="EFT11" s="311"/>
      <c r="EFU11" s="301"/>
      <c r="EFV11" s="308"/>
      <c r="EFW11" s="301"/>
      <c r="EFX11" s="304"/>
      <c r="EFY11" s="307"/>
      <c r="EFZ11" s="308"/>
      <c r="EGA11" s="301"/>
      <c r="EGB11" s="308"/>
      <c r="EGC11" s="301"/>
      <c r="EGD11" s="301"/>
      <c r="EGE11" s="302"/>
      <c r="EGF11" s="301"/>
      <c r="EGG11" s="301"/>
      <c r="EGH11" s="302"/>
      <c r="EGI11" s="301"/>
      <c r="EGJ11" s="301"/>
      <c r="EGK11" s="311"/>
      <c r="EGL11" s="301"/>
      <c r="EGM11" s="308"/>
      <c r="EGN11" s="301"/>
      <c r="EGO11" s="304"/>
      <c r="EGP11" s="307"/>
      <c r="EGQ11" s="308"/>
      <c r="EGR11" s="301"/>
      <c r="EGS11" s="308"/>
      <c r="EGT11" s="301"/>
      <c r="EGU11" s="301"/>
      <c r="EGV11" s="302"/>
      <c r="EGW11" s="301"/>
      <c r="EGX11" s="301"/>
      <c r="EGY11" s="302"/>
      <c r="EGZ11" s="301"/>
      <c r="EHA11" s="301"/>
      <c r="EHB11" s="311"/>
      <c r="EHC11" s="301"/>
      <c r="EHD11" s="308"/>
      <c r="EHE11" s="301"/>
      <c r="EHF11" s="304"/>
      <c r="EHG11" s="307"/>
      <c r="EHH11" s="308"/>
      <c r="EHI11" s="301"/>
      <c r="EHJ11" s="308"/>
      <c r="EHK11" s="301"/>
      <c r="EHL11" s="301"/>
      <c r="EHM11" s="302"/>
      <c r="EHN11" s="301"/>
      <c r="EHO11" s="301"/>
      <c r="EHP11" s="302"/>
      <c r="EHQ11" s="301"/>
      <c r="EHR11" s="301"/>
      <c r="EHS11" s="311"/>
      <c r="EHT11" s="301"/>
      <c r="EHU11" s="308"/>
      <c r="EHV11" s="301"/>
      <c r="EHW11" s="304"/>
      <c r="EHX11" s="307"/>
      <c r="EHY11" s="308"/>
      <c r="EHZ11" s="301"/>
      <c r="EIA11" s="308"/>
      <c r="EIB11" s="301"/>
      <c r="EIC11" s="301"/>
      <c r="EID11" s="302"/>
      <c r="EIE11" s="301"/>
      <c r="EIF11" s="301"/>
      <c r="EIG11" s="302"/>
      <c r="EIH11" s="301"/>
      <c r="EII11" s="301"/>
      <c r="EIJ11" s="311"/>
      <c r="EIK11" s="301"/>
      <c r="EIL11" s="308"/>
      <c r="EIM11" s="301"/>
      <c r="EIN11" s="304"/>
      <c r="EIO11" s="307"/>
      <c r="EIP11" s="308"/>
      <c r="EIQ11" s="301"/>
      <c r="EIR11" s="308"/>
      <c r="EIS11" s="301"/>
      <c r="EIT11" s="301"/>
      <c r="EIU11" s="302"/>
      <c r="EIV11" s="301"/>
      <c r="EIW11" s="301"/>
      <c r="EIX11" s="302"/>
      <c r="EIY11" s="301"/>
      <c r="EIZ11" s="301"/>
      <c r="EJA11" s="311"/>
      <c r="EJB11" s="301"/>
      <c r="EJC11" s="308"/>
      <c r="EJD11" s="301"/>
      <c r="EJE11" s="304"/>
      <c r="EJF11" s="307"/>
      <c r="EJG11" s="308"/>
      <c r="EJH11" s="301"/>
      <c r="EJI11" s="308"/>
      <c r="EJJ11" s="301"/>
      <c r="EJK11" s="301"/>
      <c r="EJL11" s="302"/>
      <c r="EJM11" s="301"/>
      <c r="EJN11" s="301"/>
      <c r="EJO11" s="302"/>
      <c r="EJP11" s="301"/>
      <c r="EJQ11" s="301"/>
      <c r="EJR11" s="311"/>
      <c r="EJS11" s="301"/>
      <c r="EJT11" s="308"/>
      <c r="EJU11" s="301"/>
      <c r="EJV11" s="304"/>
      <c r="EJW11" s="307"/>
      <c r="EJX11" s="308"/>
      <c r="EJY11" s="301"/>
      <c r="EJZ11" s="308"/>
      <c r="EKA11" s="301"/>
      <c r="EKB11" s="301"/>
      <c r="EKC11" s="302"/>
      <c r="EKD11" s="301"/>
      <c r="EKE11" s="301"/>
      <c r="EKF11" s="302"/>
      <c r="EKG11" s="301"/>
      <c r="EKH11" s="301"/>
      <c r="EKI11" s="311"/>
      <c r="EKJ11" s="301"/>
      <c r="EKK11" s="308"/>
      <c r="EKL11" s="301"/>
      <c r="EKM11" s="304"/>
      <c r="EKN11" s="307"/>
      <c r="EKO11" s="308"/>
      <c r="EKP11" s="301"/>
      <c r="EKQ11" s="308"/>
      <c r="EKR11" s="301"/>
      <c r="EKS11" s="301"/>
      <c r="EKT11" s="302"/>
      <c r="EKU11" s="301"/>
      <c r="EKV11" s="301"/>
      <c r="EKW11" s="302"/>
      <c r="EKX11" s="301"/>
      <c r="EKY11" s="301"/>
      <c r="EKZ11" s="311"/>
      <c r="ELA11" s="301"/>
      <c r="ELB11" s="308"/>
      <c r="ELC11" s="301"/>
      <c r="ELD11" s="304"/>
      <c r="ELE11" s="307"/>
      <c r="ELF11" s="308"/>
      <c r="ELG11" s="301"/>
      <c r="ELH11" s="308"/>
      <c r="ELI11" s="301"/>
      <c r="ELJ11" s="301"/>
      <c r="ELK11" s="302"/>
      <c r="ELL11" s="301"/>
      <c r="ELM11" s="301"/>
      <c r="ELN11" s="302"/>
      <c r="ELO11" s="301"/>
      <c r="ELP11" s="301"/>
      <c r="ELQ11" s="311"/>
      <c r="ELR11" s="301"/>
      <c r="ELS11" s="308"/>
      <c r="ELT11" s="301"/>
      <c r="ELU11" s="304"/>
      <c r="ELV11" s="307"/>
      <c r="ELW11" s="308"/>
      <c r="ELX11" s="301"/>
      <c r="ELY11" s="308"/>
      <c r="ELZ11" s="301"/>
      <c r="EMA11" s="301"/>
      <c r="EMB11" s="302"/>
      <c r="EMC11" s="301"/>
      <c r="EMD11" s="301"/>
      <c r="EME11" s="302"/>
      <c r="EMF11" s="301"/>
      <c r="EMG11" s="301"/>
      <c r="EMH11" s="311"/>
      <c r="EMI11" s="301"/>
      <c r="EMJ11" s="308"/>
      <c r="EMK11" s="301"/>
      <c r="EML11" s="304"/>
      <c r="EMM11" s="307"/>
      <c r="EMN11" s="308"/>
      <c r="EMO11" s="301"/>
      <c r="EMP11" s="308"/>
      <c r="EMQ11" s="301"/>
      <c r="EMR11" s="301"/>
      <c r="EMS11" s="302"/>
      <c r="EMT11" s="301"/>
      <c r="EMU11" s="301"/>
      <c r="EMV11" s="302"/>
      <c r="EMW11" s="301"/>
      <c r="EMX11" s="301"/>
      <c r="EMY11" s="311"/>
      <c r="EMZ11" s="301"/>
      <c r="ENA11" s="308"/>
      <c r="ENB11" s="301"/>
      <c r="ENC11" s="304"/>
      <c r="END11" s="307"/>
      <c r="ENE11" s="308"/>
      <c r="ENF11" s="301"/>
      <c r="ENG11" s="308"/>
      <c r="ENH11" s="301"/>
      <c r="ENI11" s="301"/>
      <c r="ENJ11" s="302"/>
      <c r="ENK11" s="301"/>
      <c r="ENL11" s="301"/>
      <c r="ENM11" s="302"/>
      <c r="ENN11" s="301"/>
      <c r="ENO11" s="301"/>
      <c r="ENP11" s="311"/>
      <c r="ENQ11" s="301"/>
      <c r="ENR11" s="308"/>
      <c r="ENS11" s="301"/>
      <c r="ENT11" s="304"/>
      <c r="ENU11" s="307"/>
      <c r="ENV11" s="308"/>
      <c r="ENW11" s="301"/>
      <c r="ENX11" s="308"/>
      <c r="ENY11" s="301"/>
      <c r="ENZ11" s="301"/>
      <c r="EOA11" s="302"/>
      <c r="EOB11" s="301"/>
      <c r="EOC11" s="301"/>
      <c r="EOD11" s="302"/>
      <c r="EOE11" s="301"/>
      <c r="EOF11" s="301"/>
      <c r="EOG11" s="311"/>
      <c r="EOH11" s="301"/>
      <c r="EOI11" s="308"/>
      <c r="EOJ11" s="301"/>
      <c r="EOK11" s="304"/>
      <c r="EOL11" s="307"/>
      <c r="EOM11" s="308"/>
      <c r="EON11" s="301"/>
      <c r="EOO11" s="308"/>
      <c r="EOP11" s="301"/>
      <c r="EOQ11" s="301"/>
      <c r="EOR11" s="302"/>
      <c r="EOS11" s="301"/>
      <c r="EOT11" s="301"/>
      <c r="EOU11" s="302"/>
      <c r="EOV11" s="301"/>
      <c r="EOW11" s="301"/>
      <c r="EOX11" s="311"/>
      <c r="EOY11" s="301"/>
      <c r="EOZ11" s="308"/>
      <c r="EPA11" s="301"/>
      <c r="EPB11" s="304"/>
      <c r="EPC11" s="307"/>
      <c r="EPD11" s="308"/>
      <c r="EPE11" s="301"/>
      <c r="EPF11" s="308"/>
      <c r="EPG11" s="301"/>
      <c r="EPH11" s="301"/>
      <c r="EPI11" s="302"/>
      <c r="EPJ11" s="301"/>
      <c r="EPK11" s="301"/>
      <c r="EPL11" s="302"/>
      <c r="EPM11" s="301"/>
      <c r="EPN11" s="301"/>
      <c r="EPO11" s="311"/>
      <c r="EPP11" s="301"/>
      <c r="EPQ11" s="308"/>
      <c r="EPR11" s="301"/>
      <c r="EPS11" s="304"/>
      <c r="EPT11" s="307"/>
      <c r="EPU11" s="308"/>
      <c r="EPV11" s="301"/>
      <c r="EPW11" s="308"/>
      <c r="EPX11" s="301"/>
      <c r="EPY11" s="301"/>
      <c r="EPZ11" s="302"/>
      <c r="EQA11" s="301"/>
      <c r="EQB11" s="301"/>
      <c r="EQC11" s="302"/>
      <c r="EQD11" s="301"/>
      <c r="EQE11" s="301"/>
      <c r="EQF11" s="311"/>
      <c r="EQG11" s="301"/>
      <c r="EQH11" s="308"/>
      <c r="EQI11" s="301"/>
      <c r="EQJ11" s="304"/>
      <c r="EQK11" s="307"/>
      <c r="EQL11" s="308"/>
      <c r="EQM11" s="301"/>
      <c r="EQN11" s="308"/>
      <c r="EQO11" s="301"/>
      <c r="EQP11" s="301"/>
      <c r="EQQ11" s="302"/>
      <c r="EQR11" s="301"/>
      <c r="EQS11" s="301"/>
      <c r="EQT11" s="302"/>
      <c r="EQU11" s="301"/>
      <c r="EQV11" s="301"/>
      <c r="EQW11" s="311"/>
      <c r="EQX11" s="301"/>
      <c r="EQY11" s="308"/>
      <c r="EQZ11" s="301"/>
      <c r="ERA11" s="304"/>
      <c r="ERB11" s="307"/>
      <c r="ERC11" s="308"/>
      <c r="ERD11" s="301"/>
      <c r="ERE11" s="308"/>
      <c r="ERF11" s="301"/>
      <c r="ERG11" s="301"/>
      <c r="ERH11" s="302"/>
      <c r="ERI11" s="301"/>
      <c r="ERJ11" s="301"/>
      <c r="ERK11" s="302"/>
      <c r="ERL11" s="301"/>
      <c r="ERM11" s="301"/>
      <c r="ERN11" s="311"/>
      <c r="ERO11" s="301"/>
      <c r="ERP11" s="308"/>
      <c r="ERQ11" s="301"/>
      <c r="ERR11" s="304"/>
      <c r="ERS11" s="307"/>
      <c r="ERT11" s="308"/>
      <c r="ERU11" s="301"/>
      <c r="ERV11" s="308"/>
      <c r="ERW11" s="301"/>
      <c r="ERX11" s="301"/>
      <c r="ERY11" s="302"/>
      <c r="ERZ11" s="301"/>
      <c r="ESA11" s="301"/>
      <c r="ESB11" s="302"/>
      <c r="ESC11" s="301"/>
      <c r="ESD11" s="301"/>
      <c r="ESE11" s="311"/>
      <c r="ESF11" s="301"/>
      <c r="ESG11" s="308"/>
      <c r="ESH11" s="301"/>
      <c r="ESI11" s="304"/>
      <c r="ESJ11" s="307"/>
      <c r="ESK11" s="308"/>
      <c r="ESL11" s="301"/>
      <c r="ESM11" s="308"/>
      <c r="ESN11" s="301"/>
      <c r="ESO11" s="301"/>
      <c r="ESP11" s="302"/>
      <c r="ESQ11" s="301"/>
      <c r="ESR11" s="301"/>
      <c r="ESS11" s="302"/>
      <c r="EST11" s="301"/>
      <c r="ESU11" s="301"/>
      <c r="ESV11" s="311"/>
      <c r="ESW11" s="301"/>
      <c r="ESX11" s="308"/>
      <c r="ESY11" s="301"/>
      <c r="ESZ11" s="304"/>
      <c r="ETA11" s="307"/>
      <c r="ETB11" s="308"/>
      <c r="ETC11" s="301"/>
      <c r="ETD11" s="308"/>
      <c r="ETE11" s="301"/>
      <c r="ETF11" s="301"/>
      <c r="ETG11" s="302"/>
      <c r="ETH11" s="301"/>
      <c r="ETI11" s="301"/>
      <c r="ETJ11" s="302"/>
      <c r="ETK11" s="301"/>
      <c r="ETL11" s="301"/>
      <c r="ETM11" s="311"/>
      <c r="ETN11" s="301"/>
      <c r="ETO11" s="308"/>
      <c r="ETP11" s="301"/>
      <c r="ETQ11" s="304"/>
      <c r="ETR11" s="307"/>
      <c r="ETS11" s="308"/>
      <c r="ETT11" s="301"/>
      <c r="ETU11" s="308"/>
      <c r="ETV11" s="301"/>
      <c r="ETW11" s="301"/>
      <c r="ETX11" s="302"/>
      <c r="ETY11" s="301"/>
      <c r="ETZ11" s="301"/>
      <c r="EUA11" s="302"/>
      <c r="EUB11" s="301"/>
      <c r="EUC11" s="301"/>
      <c r="EUD11" s="311"/>
      <c r="EUE11" s="301"/>
      <c r="EUF11" s="308"/>
      <c r="EUG11" s="301"/>
      <c r="EUH11" s="304"/>
      <c r="EUI11" s="307"/>
      <c r="EUJ11" s="308"/>
      <c r="EUK11" s="301"/>
      <c r="EUL11" s="308"/>
      <c r="EUM11" s="301"/>
      <c r="EUN11" s="301"/>
      <c r="EUO11" s="302"/>
      <c r="EUP11" s="301"/>
      <c r="EUQ11" s="301"/>
      <c r="EUR11" s="302"/>
      <c r="EUS11" s="301"/>
      <c r="EUT11" s="301"/>
      <c r="EUU11" s="311"/>
      <c r="EUV11" s="301"/>
      <c r="EUW11" s="308"/>
      <c r="EUX11" s="301"/>
      <c r="EUY11" s="304"/>
      <c r="EUZ11" s="307"/>
      <c r="EVA11" s="308"/>
      <c r="EVB11" s="301"/>
      <c r="EVC11" s="308"/>
      <c r="EVD11" s="301"/>
      <c r="EVE11" s="301"/>
      <c r="EVF11" s="302"/>
      <c r="EVG11" s="301"/>
      <c r="EVH11" s="301"/>
      <c r="EVI11" s="302"/>
      <c r="EVJ11" s="301"/>
      <c r="EVK11" s="301"/>
      <c r="EVL11" s="311"/>
      <c r="EVM11" s="301"/>
      <c r="EVN11" s="308"/>
      <c r="EVO11" s="301"/>
      <c r="EVP11" s="304"/>
      <c r="EVQ11" s="307"/>
      <c r="EVR11" s="308"/>
      <c r="EVS11" s="301"/>
      <c r="EVT11" s="308"/>
      <c r="EVU11" s="301"/>
      <c r="EVV11" s="301"/>
      <c r="EVW11" s="302"/>
      <c r="EVX11" s="301"/>
      <c r="EVY11" s="301"/>
      <c r="EVZ11" s="302"/>
      <c r="EWA11" s="301"/>
      <c r="EWB11" s="301"/>
      <c r="EWC11" s="311"/>
      <c r="EWD11" s="301"/>
      <c r="EWE11" s="308"/>
      <c r="EWF11" s="301"/>
      <c r="EWG11" s="304"/>
      <c r="EWH11" s="307"/>
      <c r="EWI11" s="308"/>
      <c r="EWJ11" s="301"/>
      <c r="EWK11" s="308"/>
      <c r="EWL11" s="301"/>
      <c r="EWM11" s="301"/>
      <c r="EWN11" s="302"/>
      <c r="EWO11" s="301"/>
      <c r="EWP11" s="301"/>
      <c r="EWQ11" s="302"/>
      <c r="EWR11" s="301"/>
      <c r="EWS11" s="301"/>
      <c r="EWT11" s="311"/>
      <c r="EWU11" s="301"/>
      <c r="EWV11" s="308"/>
      <c r="EWW11" s="301"/>
      <c r="EWX11" s="304"/>
      <c r="EWY11" s="307"/>
      <c r="EWZ11" s="308"/>
      <c r="EXA11" s="301"/>
      <c r="EXB11" s="308"/>
      <c r="EXC11" s="301"/>
      <c r="EXD11" s="301"/>
      <c r="EXE11" s="302"/>
      <c r="EXF11" s="301"/>
      <c r="EXG11" s="301"/>
      <c r="EXH11" s="302"/>
      <c r="EXI11" s="301"/>
      <c r="EXJ11" s="301"/>
      <c r="EXK11" s="311"/>
      <c r="EXL11" s="301"/>
      <c r="EXM11" s="308"/>
      <c r="EXN11" s="301"/>
      <c r="EXO11" s="304"/>
      <c r="EXP11" s="307"/>
      <c r="EXQ11" s="308"/>
      <c r="EXR11" s="301"/>
      <c r="EXS11" s="308"/>
      <c r="EXT11" s="301"/>
      <c r="EXU11" s="301"/>
      <c r="EXV11" s="302"/>
      <c r="EXW11" s="301"/>
      <c r="EXX11" s="301"/>
      <c r="EXY11" s="302"/>
      <c r="EXZ11" s="301"/>
      <c r="EYA11" s="301"/>
      <c r="EYB11" s="311"/>
      <c r="EYC11" s="301"/>
      <c r="EYD11" s="308"/>
      <c r="EYE11" s="301"/>
      <c r="EYF11" s="304"/>
      <c r="EYG11" s="307"/>
      <c r="EYH11" s="308"/>
      <c r="EYI11" s="301"/>
      <c r="EYJ11" s="308"/>
      <c r="EYK11" s="301"/>
      <c r="EYL11" s="301"/>
      <c r="EYM11" s="302"/>
      <c r="EYN11" s="301"/>
      <c r="EYO11" s="301"/>
      <c r="EYP11" s="302"/>
      <c r="EYQ11" s="301"/>
      <c r="EYR11" s="301"/>
      <c r="EYS11" s="311"/>
      <c r="EYT11" s="301"/>
      <c r="EYU11" s="308"/>
      <c r="EYV11" s="301"/>
      <c r="EYW11" s="304"/>
      <c r="EYX11" s="307"/>
      <c r="EYY11" s="308"/>
      <c r="EYZ11" s="301"/>
      <c r="EZA11" s="308"/>
      <c r="EZB11" s="301"/>
      <c r="EZC11" s="301"/>
      <c r="EZD11" s="302"/>
      <c r="EZE11" s="301"/>
      <c r="EZF11" s="301"/>
      <c r="EZG11" s="302"/>
      <c r="EZH11" s="301"/>
      <c r="EZI11" s="301"/>
      <c r="EZJ11" s="311"/>
      <c r="EZK11" s="301"/>
      <c r="EZL11" s="308"/>
      <c r="EZM11" s="301"/>
      <c r="EZN11" s="304"/>
      <c r="EZO11" s="307"/>
      <c r="EZP11" s="308"/>
      <c r="EZQ11" s="301"/>
      <c r="EZR11" s="308"/>
      <c r="EZS11" s="301"/>
      <c r="EZT11" s="301"/>
      <c r="EZU11" s="302"/>
      <c r="EZV11" s="301"/>
      <c r="EZW11" s="301"/>
      <c r="EZX11" s="302"/>
      <c r="EZY11" s="301"/>
      <c r="EZZ11" s="301"/>
      <c r="FAA11" s="311"/>
      <c r="FAB11" s="301"/>
      <c r="FAC11" s="308"/>
      <c r="FAD11" s="301"/>
      <c r="FAE11" s="304"/>
      <c r="FAF11" s="307"/>
      <c r="FAG11" s="308"/>
      <c r="FAH11" s="301"/>
      <c r="FAI11" s="308"/>
      <c r="FAJ11" s="301"/>
      <c r="FAK11" s="301"/>
      <c r="FAL11" s="302"/>
      <c r="FAM11" s="301"/>
      <c r="FAN11" s="301"/>
      <c r="FAO11" s="302"/>
      <c r="FAP11" s="301"/>
      <c r="FAQ11" s="301"/>
      <c r="FAR11" s="311"/>
      <c r="FAS11" s="301"/>
      <c r="FAT11" s="308"/>
      <c r="FAU11" s="301"/>
      <c r="FAV11" s="304"/>
      <c r="FAW11" s="307"/>
      <c r="FAX11" s="308"/>
      <c r="FAY11" s="301"/>
      <c r="FAZ11" s="308"/>
      <c r="FBA11" s="301"/>
      <c r="FBB11" s="301"/>
      <c r="FBC11" s="302"/>
      <c r="FBD11" s="301"/>
      <c r="FBE11" s="301"/>
      <c r="FBF11" s="302"/>
      <c r="FBG11" s="301"/>
      <c r="FBH11" s="301"/>
      <c r="FBI11" s="311"/>
      <c r="FBJ11" s="301"/>
      <c r="FBK11" s="308"/>
      <c r="FBL11" s="301"/>
      <c r="FBM11" s="304"/>
      <c r="FBN11" s="307"/>
      <c r="FBO11" s="308"/>
      <c r="FBP11" s="301"/>
      <c r="FBQ11" s="308"/>
      <c r="FBR11" s="301"/>
      <c r="FBS11" s="301"/>
      <c r="FBT11" s="302"/>
      <c r="FBU11" s="301"/>
      <c r="FBV11" s="301"/>
      <c r="FBW11" s="302"/>
      <c r="FBX11" s="301"/>
      <c r="FBY11" s="301"/>
      <c r="FBZ11" s="311"/>
      <c r="FCA11" s="301"/>
      <c r="FCB11" s="308"/>
      <c r="FCC11" s="301"/>
      <c r="FCD11" s="304"/>
      <c r="FCE11" s="307"/>
      <c r="FCF11" s="308"/>
      <c r="FCG11" s="301"/>
      <c r="FCH11" s="308"/>
      <c r="FCI11" s="301"/>
      <c r="FCJ11" s="301"/>
      <c r="FCK11" s="302"/>
      <c r="FCL11" s="301"/>
      <c r="FCM11" s="301"/>
      <c r="FCN11" s="302"/>
      <c r="FCO11" s="301"/>
      <c r="FCP11" s="301"/>
      <c r="FCQ11" s="311"/>
      <c r="FCR11" s="301"/>
      <c r="FCS11" s="308"/>
      <c r="FCT11" s="301"/>
      <c r="FCU11" s="304"/>
      <c r="FCV11" s="307"/>
      <c r="FCW11" s="308"/>
      <c r="FCX11" s="301"/>
      <c r="FCY11" s="308"/>
      <c r="FCZ11" s="301"/>
      <c r="FDA11" s="301"/>
      <c r="FDB11" s="302"/>
      <c r="FDC11" s="301"/>
      <c r="FDD11" s="301"/>
      <c r="FDE11" s="302"/>
      <c r="FDF11" s="301"/>
      <c r="FDG11" s="301"/>
      <c r="FDH11" s="311"/>
      <c r="FDI11" s="301"/>
      <c r="FDJ11" s="308"/>
      <c r="FDK11" s="301"/>
      <c r="FDL11" s="304"/>
      <c r="FDM11" s="307"/>
      <c r="FDN11" s="308"/>
      <c r="FDO11" s="301"/>
      <c r="FDP11" s="308"/>
      <c r="FDQ11" s="301"/>
      <c r="FDR11" s="301"/>
      <c r="FDS11" s="302"/>
      <c r="FDT11" s="301"/>
      <c r="FDU11" s="301"/>
      <c r="FDV11" s="302"/>
      <c r="FDW11" s="301"/>
      <c r="FDX11" s="301"/>
      <c r="FDY11" s="311"/>
      <c r="FDZ11" s="301"/>
      <c r="FEA11" s="308"/>
      <c r="FEB11" s="301"/>
      <c r="FEC11" s="304"/>
      <c r="FED11" s="307"/>
      <c r="FEE11" s="308"/>
      <c r="FEF11" s="301"/>
      <c r="FEG11" s="308"/>
      <c r="FEH11" s="301"/>
      <c r="FEI11" s="301"/>
      <c r="FEJ11" s="302"/>
      <c r="FEK11" s="301"/>
      <c r="FEL11" s="301"/>
      <c r="FEM11" s="302"/>
      <c r="FEN11" s="301"/>
      <c r="FEO11" s="301"/>
      <c r="FEP11" s="311"/>
      <c r="FEQ11" s="301"/>
      <c r="FER11" s="308"/>
      <c r="FES11" s="301"/>
      <c r="FET11" s="304"/>
      <c r="FEU11" s="307"/>
      <c r="FEV11" s="308"/>
      <c r="FEW11" s="301"/>
      <c r="FEX11" s="308"/>
      <c r="FEY11" s="301"/>
      <c r="FEZ11" s="301"/>
      <c r="FFA11" s="302"/>
      <c r="FFB11" s="301"/>
      <c r="FFC11" s="301"/>
      <c r="FFD11" s="302"/>
      <c r="FFE11" s="301"/>
      <c r="FFF11" s="301"/>
      <c r="FFG11" s="311"/>
      <c r="FFH11" s="301"/>
      <c r="FFI11" s="308"/>
      <c r="FFJ11" s="301"/>
      <c r="FFK11" s="304"/>
      <c r="FFL11" s="307"/>
      <c r="FFM11" s="308"/>
      <c r="FFN11" s="301"/>
      <c r="FFO11" s="308"/>
      <c r="FFP11" s="301"/>
      <c r="FFQ11" s="301"/>
      <c r="FFR11" s="302"/>
      <c r="FFS11" s="301"/>
      <c r="FFT11" s="301"/>
      <c r="FFU11" s="302"/>
      <c r="FFV11" s="301"/>
      <c r="FFW11" s="301"/>
      <c r="FFX11" s="311"/>
      <c r="FFY11" s="301"/>
      <c r="FFZ11" s="308"/>
      <c r="FGA11" s="301"/>
      <c r="FGB11" s="304"/>
      <c r="FGC11" s="307"/>
      <c r="FGD11" s="308"/>
      <c r="FGE11" s="301"/>
      <c r="FGF11" s="308"/>
      <c r="FGG11" s="301"/>
      <c r="FGH11" s="301"/>
      <c r="FGI11" s="302"/>
      <c r="FGJ11" s="301"/>
      <c r="FGK11" s="301"/>
      <c r="FGL11" s="302"/>
      <c r="FGM11" s="301"/>
      <c r="FGN11" s="301"/>
      <c r="FGO11" s="311"/>
      <c r="FGP11" s="301"/>
      <c r="FGQ11" s="308"/>
      <c r="FGR11" s="301"/>
      <c r="FGS11" s="304"/>
      <c r="FGT11" s="307"/>
      <c r="FGU11" s="308"/>
      <c r="FGV11" s="301"/>
      <c r="FGW11" s="308"/>
      <c r="FGX11" s="301"/>
      <c r="FGY11" s="301"/>
      <c r="FGZ11" s="302"/>
      <c r="FHA11" s="301"/>
      <c r="FHB11" s="301"/>
      <c r="FHC11" s="302"/>
      <c r="FHD11" s="301"/>
      <c r="FHE11" s="301"/>
      <c r="FHF11" s="311"/>
      <c r="FHG11" s="301"/>
      <c r="FHH11" s="308"/>
      <c r="FHI11" s="301"/>
      <c r="FHJ11" s="304"/>
      <c r="FHK11" s="307"/>
      <c r="FHL11" s="308"/>
      <c r="FHM11" s="301"/>
      <c r="FHN11" s="308"/>
      <c r="FHO11" s="301"/>
      <c r="FHP11" s="301"/>
      <c r="FHQ11" s="302"/>
      <c r="FHR11" s="301"/>
      <c r="FHS11" s="301"/>
      <c r="FHT11" s="302"/>
      <c r="FHU11" s="301"/>
      <c r="FHV11" s="301"/>
      <c r="FHW11" s="311"/>
      <c r="FHX11" s="301"/>
      <c r="FHY11" s="308"/>
      <c r="FHZ11" s="301"/>
      <c r="FIA11" s="304"/>
      <c r="FIB11" s="307"/>
      <c r="FIC11" s="308"/>
      <c r="FID11" s="301"/>
      <c r="FIE11" s="308"/>
      <c r="FIF11" s="301"/>
      <c r="FIG11" s="301"/>
      <c r="FIH11" s="302"/>
      <c r="FII11" s="301"/>
      <c r="FIJ11" s="301"/>
      <c r="FIK11" s="302"/>
      <c r="FIL11" s="301"/>
      <c r="FIM11" s="301"/>
      <c r="FIN11" s="311"/>
      <c r="FIO11" s="301"/>
      <c r="FIP11" s="308"/>
      <c r="FIQ11" s="301"/>
      <c r="FIR11" s="304"/>
      <c r="FIS11" s="307"/>
      <c r="FIT11" s="308"/>
      <c r="FIU11" s="301"/>
      <c r="FIV11" s="308"/>
      <c r="FIW11" s="301"/>
      <c r="FIX11" s="301"/>
      <c r="FIY11" s="302"/>
      <c r="FIZ11" s="301"/>
      <c r="FJA11" s="301"/>
      <c r="FJB11" s="302"/>
      <c r="FJC11" s="301"/>
      <c r="FJD11" s="301"/>
      <c r="FJE11" s="311"/>
      <c r="FJF11" s="301"/>
      <c r="FJG11" s="308"/>
      <c r="FJH11" s="301"/>
      <c r="FJI11" s="304"/>
      <c r="FJJ11" s="307"/>
      <c r="FJK11" s="308"/>
      <c r="FJL11" s="301"/>
      <c r="FJM11" s="308"/>
      <c r="FJN11" s="301"/>
      <c r="FJO11" s="301"/>
      <c r="FJP11" s="302"/>
      <c r="FJQ11" s="301"/>
      <c r="FJR11" s="301"/>
      <c r="FJS11" s="302"/>
      <c r="FJT11" s="301"/>
      <c r="FJU11" s="301"/>
      <c r="FJV11" s="311"/>
      <c r="FJW11" s="301"/>
      <c r="FJX11" s="308"/>
      <c r="FJY11" s="301"/>
      <c r="FJZ11" s="304"/>
      <c r="FKA11" s="307"/>
      <c r="FKB11" s="308"/>
      <c r="FKC11" s="301"/>
      <c r="FKD11" s="308"/>
      <c r="FKE11" s="301"/>
      <c r="FKF11" s="301"/>
      <c r="FKG11" s="302"/>
      <c r="FKH11" s="301"/>
      <c r="FKI11" s="301"/>
      <c r="FKJ11" s="302"/>
      <c r="FKK11" s="301"/>
      <c r="FKL11" s="301"/>
      <c r="FKM11" s="311"/>
      <c r="FKN11" s="301"/>
      <c r="FKO11" s="308"/>
      <c r="FKP11" s="301"/>
      <c r="FKQ11" s="304"/>
      <c r="FKR11" s="307"/>
      <c r="FKS11" s="308"/>
      <c r="FKT11" s="301"/>
      <c r="FKU11" s="308"/>
      <c r="FKV11" s="301"/>
      <c r="FKW11" s="301"/>
      <c r="FKX11" s="302"/>
      <c r="FKY11" s="301"/>
      <c r="FKZ11" s="301"/>
      <c r="FLA11" s="302"/>
      <c r="FLB11" s="301"/>
      <c r="FLC11" s="301"/>
      <c r="FLD11" s="311"/>
      <c r="FLE11" s="301"/>
      <c r="FLF11" s="308"/>
      <c r="FLG11" s="301"/>
      <c r="FLH11" s="304"/>
      <c r="FLI11" s="307"/>
      <c r="FLJ11" s="308"/>
      <c r="FLK11" s="301"/>
      <c r="FLL11" s="308"/>
      <c r="FLM11" s="301"/>
      <c r="FLN11" s="301"/>
      <c r="FLO11" s="302"/>
      <c r="FLP11" s="301"/>
      <c r="FLQ11" s="301"/>
      <c r="FLR11" s="302"/>
      <c r="FLS11" s="301"/>
      <c r="FLT11" s="301"/>
      <c r="FLU11" s="311"/>
      <c r="FLV11" s="301"/>
      <c r="FLW11" s="308"/>
      <c r="FLX11" s="301"/>
      <c r="FLY11" s="304"/>
      <c r="FLZ11" s="307"/>
      <c r="FMA11" s="308"/>
      <c r="FMB11" s="301"/>
      <c r="FMC11" s="308"/>
      <c r="FMD11" s="301"/>
      <c r="FME11" s="301"/>
      <c r="FMF11" s="302"/>
      <c r="FMG11" s="301"/>
      <c r="FMH11" s="301"/>
      <c r="FMI11" s="302"/>
      <c r="FMJ11" s="301"/>
      <c r="FMK11" s="301"/>
      <c r="FML11" s="311"/>
      <c r="FMM11" s="301"/>
      <c r="FMN11" s="308"/>
      <c r="FMO11" s="301"/>
      <c r="FMP11" s="304"/>
      <c r="FMQ11" s="307"/>
      <c r="FMR11" s="308"/>
      <c r="FMS11" s="301"/>
      <c r="FMT11" s="308"/>
      <c r="FMU11" s="301"/>
      <c r="FMV11" s="301"/>
      <c r="FMW11" s="302"/>
      <c r="FMX11" s="301"/>
      <c r="FMY11" s="301"/>
      <c r="FMZ11" s="302"/>
      <c r="FNA11" s="301"/>
      <c r="FNB11" s="301"/>
      <c r="FNC11" s="311"/>
      <c r="FND11" s="301"/>
      <c r="FNE11" s="308"/>
      <c r="FNF11" s="301"/>
      <c r="FNG11" s="304"/>
      <c r="FNH11" s="307"/>
      <c r="FNI11" s="308"/>
      <c r="FNJ11" s="301"/>
      <c r="FNK11" s="308"/>
      <c r="FNL11" s="301"/>
      <c r="FNM11" s="301"/>
      <c r="FNN11" s="302"/>
      <c r="FNO11" s="301"/>
      <c r="FNP11" s="301"/>
      <c r="FNQ11" s="302"/>
      <c r="FNR11" s="301"/>
      <c r="FNS11" s="301"/>
      <c r="FNT11" s="311"/>
      <c r="FNU11" s="301"/>
      <c r="FNV11" s="308"/>
      <c r="FNW11" s="301"/>
      <c r="FNX11" s="304"/>
      <c r="FNY11" s="307"/>
      <c r="FNZ11" s="308"/>
      <c r="FOA11" s="301"/>
      <c r="FOB11" s="308"/>
      <c r="FOC11" s="301"/>
      <c r="FOD11" s="301"/>
      <c r="FOE11" s="302"/>
      <c r="FOF11" s="301"/>
      <c r="FOG11" s="301"/>
      <c r="FOH11" s="302"/>
      <c r="FOI11" s="301"/>
      <c r="FOJ11" s="301"/>
      <c r="FOK11" s="311"/>
      <c r="FOL11" s="301"/>
      <c r="FOM11" s="308"/>
      <c r="FON11" s="301"/>
      <c r="FOO11" s="304"/>
      <c r="FOP11" s="307"/>
      <c r="FOQ11" s="308"/>
      <c r="FOR11" s="301"/>
      <c r="FOS11" s="308"/>
      <c r="FOT11" s="301"/>
      <c r="FOU11" s="301"/>
      <c r="FOV11" s="302"/>
      <c r="FOW11" s="301"/>
      <c r="FOX11" s="301"/>
      <c r="FOY11" s="302"/>
      <c r="FOZ11" s="301"/>
      <c r="FPA11" s="301"/>
      <c r="FPB11" s="311"/>
      <c r="FPC11" s="301"/>
      <c r="FPD11" s="308"/>
      <c r="FPE11" s="301"/>
      <c r="FPF11" s="304"/>
      <c r="FPG11" s="307"/>
      <c r="FPH11" s="308"/>
      <c r="FPI11" s="301"/>
      <c r="FPJ11" s="308"/>
      <c r="FPK11" s="301"/>
      <c r="FPL11" s="301"/>
      <c r="FPM11" s="302"/>
      <c r="FPN11" s="301"/>
      <c r="FPO11" s="301"/>
      <c r="FPP11" s="302"/>
      <c r="FPQ11" s="301"/>
      <c r="FPR11" s="301"/>
      <c r="FPS11" s="311"/>
      <c r="FPT11" s="301"/>
      <c r="FPU11" s="308"/>
      <c r="FPV11" s="301"/>
      <c r="FPW11" s="304"/>
      <c r="FPX11" s="307"/>
      <c r="FPY11" s="308"/>
      <c r="FPZ11" s="301"/>
      <c r="FQA11" s="308"/>
      <c r="FQB11" s="301"/>
      <c r="FQC11" s="301"/>
      <c r="FQD11" s="302"/>
      <c r="FQE11" s="301"/>
      <c r="FQF11" s="301"/>
      <c r="FQG11" s="302"/>
      <c r="FQH11" s="301"/>
      <c r="FQI11" s="301"/>
      <c r="FQJ11" s="311"/>
      <c r="FQK11" s="301"/>
      <c r="FQL11" s="308"/>
      <c r="FQM11" s="301"/>
      <c r="FQN11" s="304"/>
      <c r="FQO11" s="307"/>
      <c r="FQP11" s="308"/>
      <c r="FQQ11" s="301"/>
      <c r="FQR11" s="308"/>
      <c r="FQS11" s="301"/>
      <c r="FQT11" s="301"/>
      <c r="FQU11" s="302"/>
      <c r="FQV11" s="301"/>
      <c r="FQW11" s="301"/>
      <c r="FQX11" s="302"/>
      <c r="FQY11" s="301"/>
      <c r="FQZ11" s="301"/>
      <c r="FRA11" s="311"/>
      <c r="FRB11" s="301"/>
      <c r="FRC11" s="308"/>
      <c r="FRD11" s="301"/>
      <c r="FRE11" s="304"/>
      <c r="FRF11" s="307"/>
      <c r="FRG11" s="308"/>
      <c r="FRH11" s="301"/>
      <c r="FRI11" s="308"/>
      <c r="FRJ11" s="301"/>
      <c r="FRK11" s="301"/>
      <c r="FRL11" s="302"/>
      <c r="FRM11" s="301"/>
      <c r="FRN11" s="301"/>
      <c r="FRO11" s="302"/>
      <c r="FRP11" s="301"/>
      <c r="FRQ11" s="301"/>
      <c r="FRR11" s="311"/>
      <c r="FRS11" s="301"/>
      <c r="FRT11" s="308"/>
      <c r="FRU11" s="301"/>
      <c r="FRV11" s="304"/>
      <c r="FRW11" s="307"/>
      <c r="FRX11" s="308"/>
      <c r="FRY11" s="301"/>
      <c r="FRZ11" s="308"/>
      <c r="FSA11" s="301"/>
      <c r="FSB11" s="301"/>
      <c r="FSC11" s="302"/>
      <c r="FSD11" s="301"/>
      <c r="FSE11" s="301"/>
      <c r="FSF11" s="302"/>
      <c r="FSG11" s="301"/>
      <c r="FSH11" s="301"/>
      <c r="FSI11" s="311"/>
      <c r="FSJ11" s="301"/>
      <c r="FSK11" s="308"/>
      <c r="FSL11" s="301"/>
      <c r="FSM11" s="304"/>
      <c r="FSN11" s="307"/>
      <c r="FSO11" s="308"/>
      <c r="FSP11" s="301"/>
      <c r="FSQ11" s="308"/>
      <c r="FSR11" s="301"/>
      <c r="FSS11" s="301"/>
      <c r="FST11" s="302"/>
      <c r="FSU11" s="301"/>
      <c r="FSV11" s="301"/>
      <c r="FSW11" s="302"/>
      <c r="FSX11" s="301"/>
      <c r="FSY11" s="301"/>
      <c r="FSZ11" s="311"/>
      <c r="FTA11" s="301"/>
      <c r="FTB11" s="308"/>
      <c r="FTC11" s="301"/>
      <c r="FTD11" s="304"/>
      <c r="FTE11" s="307"/>
      <c r="FTF11" s="308"/>
      <c r="FTG11" s="301"/>
      <c r="FTH11" s="308"/>
      <c r="FTI11" s="301"/>
      <c r="FTJ11" s="301"/>
      <c r="FTK11" s="302"/>
      <c r="FTL11" s="301"/>
      <c r="FTM11" s="301"/>
      <c r="FTN11" s="302"/>
      <c r="FTO11" s="301"/>
      <c r="FTP11" s="301"/>
      <c r="FTQ11" s="311"/>
      <c r="FTR11" s="301"/>
      <c r="FTS11" s="308"/>
      <c r="FTT11" s="301"/>
      <c r="FTU11" s="304"/>
      <c r="FTV11" s="307"/>
      <c r="FTW11" s="308"/>
      <c r="FTX11" s="301"/>
      <c r="FTY11" s="308"/>
      <c r="FTZ11" s="301"/>
      <c r="FUA11" s="301"/>
      <c r="FUB11" s="302"/>
      <c r="FUC11" s="301"/>
      <c r="FUD11" s="301"/>
      <c r="FUE11" s="302"/>
      <c r="FUF11" s="301"/>
      <c r="FUG11" s="301"/>
      <c r="FUH11" s="311"/>
      <c r="FUI11" s="301"/>
      <c r="FUJ11" s="308"/>
      <c r="FUK11" s="301"/>
      <c r="FUL11" s="304"/>
      <c r="FUM11" s="307"/>
      <c r="FUN11" s="308"/>
      <c r="FUO11" s="301"/>
      <c r="FUP11" s="308"/>
      <c r="FUQ11" s="301"/>
      <c r="FUR11" s="301"/>
      <c r="FUS11" s="302"/>
      <c r="FUT11" s="301"/>
      <c r="FUU11" s="301"/>
      <c r="FUV11" s="302"/>
      <c r="FUW11" s="301"/>
      <c r="FUX11" s="301"/>
      <c r="FUY11" s="311"/>
      <c r="FUZ11" s="301"/>
      <c r="FVA11" s="308"/>
      <c r="FVB11" s="301"/>
      <c r="FVC11" s="304"/>
      <c r="FVD11" s="307"/>
      <c r="FVE11" s="308"/>
      <c r="FVF11" s="301"/>
      <c r="FVG11" s="308"/>
      <c r="FVH11" s="301"/>
      <c r="FVI11" s="301"/>
      <c r="FVJ11" s="302"/>
      <c r="FVK11" s="301"/>
      <c r="FVL11" s="301"/>
      <c r="FVM11" s="302"/>
      <c r="FVN11" s="301"/>
      <c r="FVO11" s="301"/>
      <c r="FVP11" s="311"/>
      <c r="FVQ11" s="301"/>
      <c r="FVR11" s="308"/>
      <c r="FVS11" s="301"/>
      <c r="FVT11" s="304"/>
      <c r="FVU11" s="307"/>
      <c r="FVV11" s="308"/>
      <c r="FVW11" s="301"/>
      <c r="FVX11" s="308"/>
      <c r="FVY11" s="301"/>
      <c r="FVZ11" s="301"/>
      <c r="FWA11" s="302"/>
      <c r="FWB11" s="301"/>
      <c r="FWC11" s="301"/>
      <c r="FWD11" s="302"/>
      <c r="FWE11" s="301"/>
      <c r="FWF11" s="301"/>
      <c r="FWG11" s="311"/>
      <c r="FWH11" s="301"/>
      <c r="FWI11" s="308"/>
      <c r="FWJ11" s="301"/>
      <c r="FWK11" s="304"/>
      <c r="FWL11" s="307"/>
      <c r="FWM11" s="308"/>
      <c r="FWN11" s="301"/>
      <c r="FWO11" s="308"/>
      <c r="FWP11" s="301"/>
      <c r="FWQ11" s="301"/>
      <c r="FWR11" s="302"/>
      <c r="FWS11" s="301"/>
      <c r="FWT11" s="301"/>
      <c r="FWU11" s="302"/>
      <c r="FWV11" s="301"/>
      <c r="FWW11" s="301"/>
      <c r="FWX11" s="311"/>
      <c r="FWY11" s="301"/>
      <c r="FWZ11" s="308"/>
      <c r="FXA11" s="301"/>
      <c r="FXB11" s="304"/>
      <c r="FXC11" s="307"/>
      <c r="FXD11" s="308"/>
      <c r="FXE11" s="301"/>
      <c r="FXF11" s="308"/>
      <c r="FXG11" s="301"/>
      <c r="FXH11" s="301"/>
      <c r="FXI11" s="302"/>
      <c r="FXJ11" s="301"/>
      <c r="FXK11" s="301"/>
      <c r="FXL11" s="302"/>
      <c r="FXM11" s="301"/>
      <c r="FXN11" s="301"/>
      <c r="FXO11" s="311"/>
      <c r="FXP11" s="301"/>
      <c r="FXQ11" s="308"/>
      <c r="FXR11" s="301"/>
      <c r="FXS11" s="304"/>
      <c r="FXT11" s="307"/>
      <c r="FXU11" s="308"/>
      <c r="FXV11" s="301"/>
      <c r="FXW11" s="308"/>
      <c r="FXX11" s="301"/>
      <c r="FXY11" s="301"/>
      <c r="FXZ11" s="302"/>
      <c r="FYA11" s="301"/>
      <c r="FYB11" s="301"/>
      <c r="FYC11" s="302"/>
      <c r="FYD11" s="301"/>
      <c r="FYE11" s="301"/>
      <c r="FYF11" s="311"/>
      <c r="FYG11" s="301"/>
      <c r="FYH11" s="308"/>
      <c r="FYI11" s="301"/>
      <c r="FYJ11" s="304"/>
      <c r="FYK11" s="307"/>
      <c r="FYL11" s="308"/>
      <c r="FYM11" s="301"/>
      <c r="FYN11" s="308"/>
      <c r="FYO11" s="301"/>
      <c r="FYP11" s="301"/>
      <c r="FYQ11" s="302"/>
      <c r="FYR11" s="301"/>
      <c r="FYS11" s="301"/>
      <c r="FYT11" s="302"/>
      <c r="FYU11" s="301"/>
      <c r="FYV11" s="301"/>
      <c r="FYW11" s="311"/>
      <c r="FYX11" s="301"/>
      <c r="FYY11" s="308"/>
      <c r="FYZ11" s="301"/>
      <c r="FZA11" s="304"/>
      <c r="FZB11" s="307"/>
      <c r="FZC11" s="308"/>
      <c r="FZD11" s="301"/>
      <c r="FZE11" s="308"/>
      <c r="FZF11" s="301"/>
      <c r="FZG11" s="301"/>
      <c r="FZH11" s="302"/>
      <c r="FZI11" s="301"/>
      <c r="FZJ11" s="301"/>
      <c r="FZK11" s="302"/>
      <c r="FZL11" s="301"/>
      <c r="FZM11" s="301"/>
      <c r="FZN11" s="311"/>
      <c r="FZO11" s="301"/>
      <c r="FZP11" s="308"/>
      <c r="FZQ11" s="301"/>
      <c r="FZR11" s="304"/>
      <c r="FZS11" s="307"/>
      <c r="FZT11" s="308"/>
      <c r="FZU11" s="301"/>
      <c r="FZV11" s="308"/>
      <c r="FZW11" s="301"/>
      <c r="FZX11" s="301"/>
      <c r="FZY11" s="302"/>
      <c r="FZZ11" s="301"/>
      <c r="GAA11" s="301"/>
      <c r="GAB11" s="302"/>
      <c r="GAC11" s="301"/>
      <c r="GAD11" s="301"/>
      <c r="GAE11" s="311"/>
      <c r="GAF11" s="301"/>
      <c r="GAG11" s="308"/>
      <c r="GAH11" s="301"/>
      <c r="GAI11" s="304"/>
      <c r="GAJ11" s="307"/>
      <c r="GAK11" s="308"/>
      <c r="GAL11" s="301"/>
      <c r="GAM11" s="308"/>
      <c r="GAN11" s="301"/>
      <c r="GAO11" s="301"/>
      <c r="GAP11" s="302"/>
      <c r="GAQ11" s="301"/>
      <c r="GAR11" s="301"/>
      <c r="GAS11" s="302"/>
      <c r="GAT11" s="301"/>
      <c r="GAU11" s="301"/>
      <c r="GAV11" s="311"/>
      <c r="GAW11" s="301"/>
      <c r="GAX11" s="308"/>
      <c r="GAY11" s="301"/>
      <c r="GAZ11" s="304"/>
      <c r="GBA11" s="307"/>
      <c r="GBB11" s="308"/>
      <c r="GBC11" s="301"/>
      <c r="GBD11" s="308"/>
      <c r="GBE11" s="301"/>
      <c r="GBF11" s="301"/>
      <c r="GBG11" s="302"/>
      <c r="GBH11" s="301"/>
      <c r="GBI11" s="301"/>
      <c r="GBJ11" s="302"/>
      <c r="GBK11" s="301"/>
      <c r="GBL11" s="301"/>
      <c r="GBM11" s="311"/>
      <c r="GBN11" s="301"/>
      <c r="GBO11" s="308"/>
      <c r="GBP11" s="301"/>
      <c r="GBQ11" s="304"/>
      <c r="GBR11" s="307"/>
      <c r="GBS11" s="308"/>
      <c r="GBT11" s="301"/>
      <c r="GBU11" s="308"/>
      <c r="GBV11" s="301"/>
      <c r="GBW11" s="301"/>
      <c r="GBX11" s="302"/>
      <c r="GBY11" s="301"/>
      <c r="GBZ11" s="301"/>
      <c r="GCA11" s="302"/>
      <c r="GCB11" s="301"/>
      <c r="GCC11" s="301"/>
      <c r="GCD11" s="311"/>
      <c r="GCE11" s="301"/>
      <c r="GCF11" s="308"/>
      <c r="GCG11" s="301"/>
      <c r="GCH11" s="304"/>
      <c r="GCI11" s="307"/>
      <c r="GCJ11" s="308"/>
      <c r="GCK11" s="301"/>
      <c r="GCL11" s="308"/>
      <c r="GCM11" s="301"/>
      <c r="GCN11" s="301"/>
      <c r="GCO11" s="302"/>
      <c r="GCP11" s="301"/>
      <c r="GCQ11" s="301"/>
      <c r="GCR11" s="302"/>
      <c r="GCS11" s="301"/>
      <c r="GCT11" s="301"/>
      <c r="GCU11" s="311"/>
      <c r="GCV11" s="301"/>
      <c r="GCW11" s="308"/>
      <c r="GCX11" s="301"/>
      <c r="GCY11" s="304"/>
      <c r="GCZ11" s="307"/>
      <c r="GDA11" s="308"/>
      <c r="GDB11" s="301"/>
      <c r="GDC11" s="308"/>
      <c r="GDD11" s="301"/>
      <c r="GDE11" s="301"/>
      <c r="GDF11" s="302"/>
      <c r="GDG11" s="301"/>
      <c r="GDH11" s="301"/>
      <c r="GDI11" s="302"/>
      <c r="GDJ11" s="301"/>
      <c r="GDK11" s="301"/>
      <c r="GDL11" s="311"/>
      <c r="GDM11" s="301"/>
      <c r="GDN11" s="308"/>
      <c r="GDO11" s="301"/>
      <c r="GDP11" s="304"/>
      <c r="GDQ11" s="307"/>
      <c r="GDR11" s="308"/>
      <c r="GDS11" s="301"/>
      <c r="GDT11" s="308"/>
      <c r="GDU11" s="301"/>
      <c r="GDV11" s="301"/>
      <c r="GDW11" s="302"/>
      <c r="GDX11" s="301"/>
      <c r="GDY11" s="301"/>
      <c r="GDZ11" s="302"/>
      <c r="GEA11" s="301"/>
      <c r="GEB11" s="301"/>
      <c r="GEC11" s="311"/>
      <c r="GED11" s="301"/>
      <c r="GEE11" s="308"/>
      <c r="GEF11" s="301"/>
      <c r="GEG11" s="304"/>
      <c r="GEH11" s="307"/>
      <c r="GEI11" s="308"/>
      <c r="GEJ11" s="301"/>
      <c r="GEK11" s="308"/>
      <c r="GEL11" s="301"/>
      <c r="GEM11" s="301"/>
      <c r="GEN11" s="302"/>
      <c r="GEO11" s="301"/>
      <c r="GEP11" s="301"/>
      <c r="GEQ11" s="302"/>
      <c r="GER11" s="301"/>
      <c r="GES11" s="301"/>
      <c r="GET11" s="311"/>
      <c r="GEU11" s="301"/>
      <c r="GEV11" s="308"/>
      <c r="GEW11" s="301"/>
      <c r="GEX11" s="304"/>
      <c r="GEY11" s="307"/>
      <c r="GEZ11" s="308"/>
      <c r="GFA11" s="301"/>
      <c r="GFB11" s="308"/>
      <c r="GFC11" s="301"/>
      <c r="GFD11" s="301"/>
      <c r="GFE11" s="302"/>
      <c r="GFF11" s="301"/>
      <c r="GFG11" s="301"/>
      <c r="GFH11" s="302"/>
      <c r="GFI11" s="301"/>
      <c r="GFJ11" s="301"/>
      <c r="GFK11" s="311"/>
      <c r="GFL11" s="301"/>
      <c r="GFM11" s="308"/>
      <c r="GFN11" s="301"/>
      <c r="GFO11" s="304"/>
      <c r="GFP11" s="307"/>
      <c r="GFQ11" s="308"/>
      <c r="GFR11" s="301"/>
      <c r="GFS11" s="308"/>
      <c r="GFT11" s="301"/>
      <c r="GFU11" s="301"/>
      <c r="GFV11" s="302"/>
      <c r="GFW11" s="301"/>
      <c r="GFX11" s="301"/>
      <c r="GFY11" s="302"/>
      <c r="GFZ11" s="301"/>
      <c r="GGA11" s="301"/>
      <c r="GGB11" s="311"/>
      <c r="GGC11" s="301"/>
      <c r="GGD11" s="308"/>
      <c r="GGE11" s="301"/>
      <c r="GGF11" s="304"/>
      <c r="GGG11" s="307"/>
      <c r="GGH11" s="308"/>
      <c r="GGI11" s="301"/>
      <c r="GGJ11" s="308"/>
      <c r="GGK11" s="301"/>
      <c r="GGL11" s="301"/>
      <c r="GGM11" s="302"/>
      <c r="GGN11" s="301"/>
      <c r="GGO11" s="301"/>
      <c r="GGP11" s="302"/>
      <c r="GGQ11" s="301"/>
      <c r="GGR11" s="301"/>
      <c r="GGS11" s="311"/>
      <c r="GGT11" s="301"/>
      <c r="GGU11" s="308"/>
      <c r="GGV11" s="301"/>
      <c r="GGW11" s="304"/>
      <c r="GGX11" s="307"/>
      <c r="GGY11" s="308"/>
      <c r="GGZ11" s="301"/>
      <c r="GHA11" s="308"/>
      <c r="GHB11" s="301"/>
      <c r="GHC11" s="301"/>
      <c r="GHD11" s="302"/>
      <c r="GHE11" s="301"/>
      <c r="GHF11" s="301"/>
      <c r="GHG11" s="302"/>
      <c r="GHH11" s="301"/>
      <c r="GHI11" s="301"/>
      <c r="GHJ11" s="311"/>
      <c r="GHK11" s="301"/>
      <c r="GHL11" s="308"/>
      <c r="GHM11" s="301"/>
      <c r="GHN11" s="304"/>
      <c r="GHO11" s="307"/>
      <c r="GHP11" s="308"/>
      <c r="GHQ11" s="301"/>
      <c r="GHR11" s="308"/>
      <c r="GHS11" s="301"/>
      <c r="GHT11" s="301"/>
      <c r="GHU11" s="302"/>
      <c r="GHV11" s="301"/>
      <c r="GHW11" s="301"/>
      <c r="GHX11" s="302"/>
      <c r="GHY11" s="301"/>
      <c r="GHZ11" s="301"/>
      <c r="GIA11" s="311"/>
      <c r="GIB11" s="301"/>
      <c r="GIC11" s="308"/>
      <c r="GID11" s="301"/>
      <c r="GIE11" s="304"/>
      <c r="GIF11" s="307"/>
      <c r="GIG11" s="308"/>
      <c r="GIH11" s="301"/>
      <c r="GII11" s="308"/>
      <c r="GIJ11" s="301"/>
      <c r="GIK11" s="301"/>
      <c r="GIL11" s="302"/>
      <c r="GIM11" s="301"/>
      <c r="GIN11" s="301"/>
      <c r="GIO11" s="302"/>
      <c r="GIP11" s="301"/>
      <c r="GIQ11" s="301"/>
      <c r="GIR11" s="311"/>
      <c r="GIS11" s="301"/>
      <c r="GIT11" s="308"/>
      <c r="GIU11" s="301"/>
      <c r="GIV11" s="304"/>
      <c r="GIW11" s="307"/>
      <c r="GIX11" s="308"/>
      <c r="GIY11" s="301"/>
      <c r="GIZ11" s="308"/>
      <c r="GJA11" s="301"/>
      <c r="GJB11" s="301"/>
      <c r="GJC11" s="302"/>
      <c r="GJD11" s="301"/>
      <c r="GJE11" s="301"/>
      <c r="GJF11" s="302"/>
      <c r="GJG11" s="301"/>
      <c r="GJH11" s="301"/>
      <c r="GJI11" s="311"/>
      <c r="GJJ11" s="301"/>
      <c r="GJK11" s="308"/>
      <c r="GJL11" s="301"/>
      <c r="GJM11" s="304"/>
      <c r="GJN11" s="307"/>
      <c r="GJO11" s="308"/>
      <c r="GJP11" s="301"/>
      <c r="GJQ11" s="308"/>
      <c r="GJR11" s="301"/>
      <c r="GJS11" s="301"/>
      <c r="GJT11" s="302"/>
      <c r="GJU11" s="301"/>
      <c r="GJV11" s="301"/>
      <c r="GJW11" s="302"/>
      <c r="GJX11" s="301"/>
      <c r="GJY11" s="301"/>
      <c r="GJZ11" s="311"/>
      <c r="GKA11" s="301"/>
      <c r="GKB11" s="308"/>
      <c r="GKC11" s="301"/>
      <c r="GKD11" s="304"/>
      <c r="GKE11" s="307"/>
      <c r="GKF11" s="308"/>
      <c r="GKG11" s="301"/>
      <c r="GKH11" s="308"/>
      <c r="GKI11" s="301"/>
      <c r="GKJ11" s="301"/>
      <c r="GKK11" s="302"/>
      <c r="GKL11" s="301"/>
      <c r="GKM11" s="301"/>
      <c r="GKN11" s="302"/>
      <c r="GKO11" s="301"/>
      <c r="GKP11" s="301"/>
      <c r="GKQ11" s="311"/>
      <c r="GKR11" s="301"/>
      <c r="GKS11" s="308"/>
      <c r="GKT11" s="301"/>
      <c r="GKU11" s="304"/>
      <c r="GKV11" s="307"/>
      <c r="GKW11" s="308"/>
      <c r="GKX11" s="301"/>
      <c r="GKY11" s="308"/>
      <c r="GKZ11" s="301"/>
      <c r="GLA11" s="301"/>
      <c r="GLB11" s="302"/>
      <c r="GLC11" s="301"/>
      <c r="GLD11" s="301"/>
      <c r="GLE11" s="302"/>
      <c r="GLF11" s="301"/>
      <c r="GLG11" s="301"/>
      <c r="GLH11" s="311"/>
      <c r="GLI11" s="301"/>
      <c r="GLJ11" s="308"/>
      <c r="GLK11" s="301"/>
      <c r="GLL11" s="304"/>
      <c r="GLM11" s="307"/>
      <c r="GLN11" s="308"/>
      <c r="GLO11" s="301"/>
      <c r="GLP11" s="308"/>
      <c r="GLQ11" s="301"/>
      <c r="GLR11" s="301"/>
      <c r="GLS11" s="302"/>
      <c r="GLT11" s="301"/>
      <c r="GLU11" s="301"/>
      <c r="GLV11" s="302"/>
      <c r="GLW11" s="301"/>
      <c r="GLX11" s="301"/>
      <c r="GLY11" s="311"/>
      <c r="GLZ11" s="301"/>
      <c r="GMA11" s="308"/>
      <c r="GMB11" s="301"/>
      <c r="GMC11" s="304"/>
      <c r="GMD11" s="307"/>
      <c r="GME11" s="308"/>
      <c r="GMF11" s="301"/>
      <c r="GMG11" s="308"/>
      <c r="GMH11" s="301"/>
      <c r="GMI11" s="301"/>
      <c r="GMJ11" s="302"/>
      <c r="GMK11" s="301"/>
      <c r="GML11" s="301"/>
      <c r="GMM11" s="302"/>
      <c r="GMN11" s="301"/>
      <c r="GMO11" s="301"/>
      <c r="GMP11" s="311"/>
      <c r="GMQ11" s="301"/>
      <c r="GMR11" s="308"/>
      <c r="GMS11" s="301"/>
      <c r="GMT11" s="304"/>
      <c r="GMU11" s="307"/>
      <c r="GMV11" s="308"/>
      <c r="GMW11" s="301"/>
      <c r="GMX11" s="308"/>
      <c r="GMY11" s="301"/>
      <c r="GMZ11" s="301"/>
      <c r="GNA11" s="302"/>
      <c r="GNB11" s="301"/>
      <c r="GNC11" s="301"/>
      <c r="GND11" s="302"/>
      <c r="GNE11" s="301"/>
      <c r="GNF11" s="301"/>
      <c r="GNG11" s="311"/>
      <c r="GNH11" s="301"/>
      <c r="GNI11" s="308"/>
      <c r="GNJ11" s="301"/>
      <c r="GNK11" s="304"/>
      <c r="GNL11" s="307"/>
      <c r="GNM11" s="308"/>
      <c r="GNN11" s="301"/>
      <c r="GNO11" s="308"/>
      <c r="GNP11" s="301"/>
      <c r="GNQ11" s="301"/>
      <c r="GNR11" s="302"/>
      <c r="GNS11" s="301"/>
      <c r="GNT11" s="301"/>
      <c r="GNU11" s="302"/>
      <c r="GNV11" s="301"/>
      <c r="GNW11" s="301"/>
      <c r="GNX11" s="311"/>
      <c r="GNY11" s="301"/>
      <c r="GNZ11" s="308"/>
      <c r="GOA11" s="301"/>
      <c r="GOB11" s="304"/>
      <c r="GOC11" s="307"/>
      <c r="GOD11" s="308"/>
      <c r="GOE11" s="301"/>
      <c r="GOF11" s="308"/>
      <c r="GOG11" s="301"/>
      <c r="GOH11" s="301"/>
      <c r="GOI11" s="302"/>
      <c r="GOJ11" s="301"/>
      <c r="GOK11" s="301"/>
      <c r="GOL11" s="302"/>
      <c r="GOM11" s="301"/>
      <c r="GON11" s="301"/>
      <c r="GOO11" s="311"/>
      <c r="GOP11" s="301"/>
      <c r="GOQ11" s="308"/>
      <c r="GOR11" s="301"/>
      <c r="GOS11" s="304"/>
      <c r="GOT11" s="307"/>
      <c r="GOU11" s="308"/>
      <c r="GOV11" s="301"/>
      <c r="GOW11" s="308"/>
      <c r="GOX11" s="301"/>
      <c r="GOY11" s="301"/>
      <c r="GOZ11" s="302"/>
      <c r="GPA11" s="301"/>
      <c r="GPB11" s="301"/>
      <c r="GPC11" s="302"/>
      <c r="GPD11" s="301"/>
      <c r="GPE11" s="301"/>
      <c r="GPF11" s="311"/>
      <c r="GPG11" s="301"/>
      <c r="GPH11" s="308"/>
      <c r="GPI11" s="301"/>
      <c r="GPJ11" s="304"/>
      <c r="GPK11" s="307"/>
      <c r="GPL11" s="308"/>
      <c r="GPM11" s="301"/>
      <c r="GPN11" s="308"/>
      <c r="GPO11" s="301"/>
      <c r="GPP11" s="301"/>
      <c r="GPQ11" s="302"/>
      <c r="GPR11" s="301"/>
      <c r="GPS11" s="301"/>
      <c r="GPT11" s="302"/>
      <c r="GPU11" s="301"/>
      <c r="GPV11" s="301"/>
      <c r="GPW11" s="311"/>
      <c r="GPX11" s="301"/>
      <c r="GPY11" s="308"/>
      <c r="GPZ11" s="301"/>
      <c r="GQA11" s="304"/>
      <c r="GQB11" s="307"/>
      <c r="GQC11" s="308"/>
      <c r="GQD11" s="301"/>
      <c r="GQE11" s="308"/>
      <c r="GQF11" s="301"/>
      <c r="GQG11" s="301"/>
      <c r="GQH11" s="302"/>
      <c r="GQI11" s="301"/>
      <c r="GQJ11" s="301"/>
      <c r="GQK11" s="302"/>
      <c r="GQL11" s="301"/>
      <c r="GQM11" s="301"/>
      <c r="GQN11" s="311"/>
      <c r="GQO11" s="301"/>
      <c r="GQP11" s="308"/>
      <c r="GQQ11" s="301"/>
      <c r="GQR11" s="304"/>
      <c r="GQS11" s="307"/>
      <c r="GQT11" s="308"/>
      <c r="GQU11" s="301"/>
      <c r="GQV11" s="308"/>
      <c r="GQW11" s="301"/>
      <c r="GQX11" s="301"/>
      <c r="GQY11" s="302"/>
      <c r="GQZ11" s="301"/>
      <c r="GRA11" s="301"/>
      <c r="GRB11" s="302"/>
      <c r="GRC11" s="301"/>
      <c r="GRD11" s="301"/>
      <c r="GRE11" s="311"/>
      <c r="GRF11" s="301"/>
      <c r="GRG11" s="308"/>
      <c r="GRH11" s="301"/>
      <c r="GRI11" s="304"/>
      <c r="GRJ11" s="307"/>
      <c r="GRK11" s="308"/>
      <c r="GRL11" s="301"/>
      <c r="GRM11" s="308"/>
      <c r="GRN11" s="301"/>
      <c r="GRO11" s="301"/>
      <c r="GRP11" s="302"/>
      <c r="GRQ11" s="301"/>
      <c r="GRR11" s="301"/>
      <c r="GRS11" s="302"/>
      <c r="GRT11" s="301"/>
      <c r="GRU11" s="301"/>
      <c r="GRV11" s="311"/>
      <c r="GRW11" s="301"/>
      <c r="GRX11" s="308"/>
      <c r="GRY11" s="301"/>
      <c r="GRZ11" s="304"/>
      <c r="GSA11" s="307"/>
      <c r="GSB11" s="308"/>
      <c r="GSC11" s="301"/>
      <c r="GSD11" s="308"/>
      <c r="GSE11" s="301"/>
      <c r="GSF11" s="301"/>
      <c r="GSG11" s="302"/>
      <c r="GSH11" s="301"/>
      <c r="GSI11" s="301"/>
      <c r="GSJ11" s="302"/>
      <c r="GSK11" s="301"/>
      <c r="GSL11" s="301"/>
      <c r="GSM11" s="311"/>
      <c r="GSN11" s="301"/>
      <c r="GSO11" s="308"/>
      <c r="GSP11" s="301"/>
      <c r="GSQ11" s="304"/>
      <c r="GSR11" s="307"/>
      <c r="GSS11" s="308"/>
      <c r="GST11" s="301"/>
      <c r="GSU11" s="308"/>
      <c r="GSV11" s="301"/>
      <c r="GSW11" s="301"/>
      <c r="GSX11" s="302"/>
      <c r="GSY11" s="301"/>
      <c r="GSZ11" s="301"/>
      <c r="GTA11" s="302"/>
      <c r="GTB11" s="301"/>
      <c r="GTC11" s="301"/>
      <c r="GTD11" s="311"/>
      <c r="GTE11" s="301"/>
      <c r="GTF11" s="308"/>
      <c r="GTG11" s="301"/>
      <c r="GTH11" s="304"/>
      <c r="GTI11" s="307"/>
      <c r="GTJ11" s="308"/>
      <c r="GTK11" s="301"/>
      <c r="GTL11" s="308"/>
      <c r="GTM11" s="301"/>
      <c r="GTN11" s="301"/>
      <c r="GTO11" s="302"/>
      <c r="GTP11" s="301"/>
      <c r="GTQ11" s="301"/>
      <c r="GTR11" s="302"/>
      <c r="GTS11" s="301"/>
      <c r="GTT11" s="301"/>
      <c r="GTU11" s="311"/>
      <c r="GTV11" s="301"/>
      <c r="GTW11" s="308"/>
      <c r="GTX11" s="301"/>
      <c r="GTY11" s="304"/>
      <c r="GTZ11" s="307"/>
      <c r="GUA11" s="308"/>
      <c r="GUB11" s="301"/>
      <c r="GUC11" s="308"/>
      <c r="GUD11" s="301"/>
      <c r="GUE11" s="301"/>
      <c r="GUF11" s="302"/>
      <c r="GUG11" s="301"/>
      <c r="GUH11" s="301"/>
      <c r="GUI11" s="302"/>
      <c r="GUJ11" s="301"/>
      <c r="GUK11" s="301"/>
      <c r="GUL11" s="311"/>
      <c r="GUM11" s="301"/>
      <c r="GUN11" s="308"/>
      <c r="GUO11" s="301"/>
      <c r="GUP11" s="304"/>
      <c r="GUQ11" s="307"/>
      <c r="GUR11" s="308"/>
      <c r="GUS11" s="301"/>
      <c r="GUT11" s="308"/>
      <c r="GUU11" s="301"/>
      <c r="GUV11" s="301"/>
      <c r="GUW11" s="302"/>
      <c r="GUX11" s="301"/>
      <c r="GUY11" s="301"/>
      <c r="GUZ11" s="302"/>
      <c r="GVA11" s="301"/>
      <c r="GVB11" s="301"/>
      <c r="GVC11" s="311"/>
      <c r="GVD11" s="301"/>
      <c r="GVE11" s="308"/>
      <c r="GVF11" s="301"/>
      <c r="GVG11" s="304"/>
      <c r="GVH11" s="307"/>
      <c r="GVI11" s="308"/>
      <c r="GVJ11" s="301"/>
      <c r="GVK11" s="308"/>
      <c r="GVL11" s="301"/>
      <c r="GVM11" s="301"/>
      <c r="GVN11" s="302"/>
      <c r="GVO11" s="301"/>
      <c r="GVP11" s="301"/>
      <c r="GVQ11" s="302"/>
      <c r="GVR11" s="301"/>
      <c r="GVS11" s="301"/>
      <c r="GVT11" s="311"/>
      <c r="GVU11" s="301"/>
      <c r="GVV11" s="308"/>
      <c r="GVW11" s="301"/>
      <c r="GVX11" s="304"/>
      <c r="GVY11" s="307"/>
      <c r="GVZ11" s="308"/>
      <c r="GWA11" s="301"/>
      <c r="GWB11" s="308"/>
      <c r="GWC11" s="301"/>
      <c r="GWD11" s="301"/>
      <c r="GWE11" s="302"/>
      <c r="GWF11" s="301"/>
      <c r="GWG11" s="301"/>
      <c r="GWH11" s="302"/>
      <c r="GWI11" s="301"/>
      <c r="GWJ11" s="301"/>
      <c r="GWK11" s="311"/>
      <c r="GWL11" s="301"/>
      <c r="GWM11" s="308"/>
      <c r="GWN11" s="301"/>
      <c r="GWO11" s="304"/>
      <c r="GWP11" s="307"/>
      <c r="GWQ11" s="308"/>
      <c r="GWR11" s="301"/>
      <c r="GWS11" s="308"/>
      <c r="GWT11" s="301"/>
      <c r="GWU11" s="301"/>
      <c r="GWV11" s="302"/>
      <c r="GWW11" s="301"/>
      <c r="GWX11" s="301"/>
      <c r="GWY11" s="302"/>
      <c r="GWZ11" s="301"/>
      <c r="GXA11" s="301"/>
      <c r="GXB11" s="311"/>
      <c r="GXC11" s="301"/>
      <c r="GXD11" s="308"/>
      <c r="GXE11" s="301"/>
      <c r="GXF11" s="304"/>
      <c r="GXG11" s="307"/>
      <c r="GXH11" s="308"/>
      <c r="GXI11" s="301"/>
      <c r="GXJ11" s="308"/>
      <c r="GXK11" s="301"/>
      <c r="GXL11" s="301"/>
      <c r="GXM11" s="302"/>
      <c r="GXN11" s="301"/>
      <c r="GXO11" s="301"/>
      <c r="GXP11" s="302"/>
      <c r="GXQ11" s="301"/>
      <c r="GXR11" s="301"/>
      <c r="GXS11" s="311"/>
      <c r="GXT11" s="301"/>
      <c r="GXU11" s="308"/>
      <c r="GXV11" s="301"/>
      <c r="GXW11" s="304"/>
      <c r="GXX11" s="307"/>
      <c r="GXY11" s="308"/>
      <c r="GXZ11" s="301"/>
      <c r="GYA11" s="308"/>
      <c r="GYB11" s="301"/>
      <c r="GYC11" s="301"/>
      <c r="GYD11" s="302"/>
      <c r="GYE11" s="301"/>
      <c r="GYF11" s="301"/>
      <c r="GYG11" s="302"/>
      <c r="GYH11" s="301"/>
      <c r="GYI11" s="301"/>
      <c r="GYJ11" s="311"/>
      <c r="GYK11" s="301"/>
      <c r="GYL11" s="308"/>
      <c r="GYM11" s="301"/>
      <c r="GYN11" s="304"/>
      <c r="GYO11" s="307"/>
      <c r="GYP11" s="308"/>
      <c r="GYQ11" s="301"/>
      <c r="GYR11" s="308"/>
      <c r="GYS11" s="301"/>
      <c r="GYT11" s="301"/>
      <c r="GYU11" s="302"/>
      <c r="GYV11" s="301"/>
      <c r="GYW11" s="301"/>
      <c r="GYX11" s="302"/>
      <c r="GYY11" s="301"/>
      <c r="GYZ11" s="301"/>
      <c r="GZA11" s="311"/>
      <c r="GZB11" s="301"/>
      <c r="GZC11" s="308"/>
      <c r="GZD11" s="301"/>
      <c r="GZE11" s="304"/>
      <c r="GZF11" s="307"/>
      <c r="GZG11" s="308"/>
      <c r="GZH11" s="301"/>
      <c r="GZI11" s="308"/>
      <c r="GZJ11" s="301"/>
      <c r="GZK11" s="301"/>
      <c r="GZL11" s="302"/>
      <c r="GZM11" s="301"/>
      <c r="GZN11" s="301"/>
      <c r="GZO11" s="302"/>
      <c r="GZP11" s="301"/>
      <c r="GZQ11" s="301"/>
      <c r="GZR11" s="311"/>
      <c r="GZS11" s="301"/>
      <c r="GZT11" s="308"/>
      <c r="GZU11" s="301"/>
      <c r="GZV11" s="304"/>
      <c r="GZW11" s="307"/>
      <c r="GZX11" s="308"/>
      <c r="GZY11" s="301"/>
      <c r="GZZ11" s="308"/>
      <c r="HAA11" s="301"/>
      <c r="HAB11" s="301"/>
      <c r="HAC11" s="302"/>
      <c r="HAD11" s="301"/>
      <c r="HAE11" s="301"/>
      <c r="HAF11" s="302"/>
      <c r="HAG11" s="301"/>
      <c r="HAH11" s="301"/>
      <c r="HAI11" s="311"/>
      <c r="HAJ11" s="301"/>
      <c r="HAK11" s="308"/>
      <c r="HAL11" s="301"/>
      <c r="HAM11" s="304"/>
      <c r="HAN11" s="307"/>
      <c r="HAO11" s="308"/>
      <c r="HAP11" s="301"/>
      <c r="HAQ11" s="308"/>
      <c r="HAR11" s="301"/>
      <c r="HAS11" s="301"/>
      <c r="HAT11" s="302"/>
      <c r="HAU11" s="301"/>
      <c r="HAV11" s="301"/>
      <c r="HAW11" s="302"/>
      <c r="HAX11" s="301"/>
      <c r="HAY11" s="301"/>
      <c r="HAZ11" s="311"/>
      <c r="HBA11" s="301"/>
      <c r="HBB11" s="308"/>
      <c r="HBC11" s="301"/>
      <c r="HBD11" s="304"/>
      <c r="HBE11" s="307"/>
      <c r="HBF11" s="308"/>
      <c r="HBG11" s="301"/>
      <c r="HBH11" s="308"/>
      <c r="HBI11" s="301"/>
      <c r="HBJ11" s="301"/>
      <c r="HBK11" s="302"/>
      <c r="HBL11" s="301"/>
      <c r="HBM11" s="301"/>
      <c r="HBN11" s="302"/>
      <c r="HBO11" s="301"/>
      <c r="HBP11" s="301"/>
      <c r="HBQ11" s="311"/>
      <c r="HBR11" s="301"/>
      <c r="HBS11" s="308"/>
      <c r="HBT11" s="301"/>
      <c r="HBU11" s="304"/>
      <c r="HBV11" s="307"/>
      <c r="HBW11" s="308"/>
      <c r="HBX11" s="301"/>
      <c r="HBY11" s="308"/>
      <c r="HBZ11" s="301"/>
      <c r="HCA11" s="301"/>
      <c r="HCB11" s="302"/>
      <c r="HCC11" s="301"/>
      <c r="HCD11" s="301"/>
      <c r="HCE11" s="302"/>
      <c r="HCF11" s="301"/>
      <c r="HCG11" s="301"/>
      <c r="HCH11" s="311"/>
      <c r="HCI11" s="301"/>
      <c r="HCJ11" s="308"/>
      <c r="HCK11" s="301"/>
      <c r="HCL11" s="304"/>
      <c r="HCM11" s="307"/>
      <c r="HCN11" s="308"/>
      <c r="HCO11" s="301"/>
      <c r="HCP11" s="308"/>
      <c r="HCQ11" s="301"/>
      <c r="HCR11" s="301"/>
      <c r="HCS11" s="302"/>
      <c r="HCT11" s="301"/>
      <c r="HCU11" s="301"/>
      <c r="HCV11" s="302"/>
      <c r="HCW11" s="301"/>
      <c r="HCX11" s="301"/>
      <c r="HCY11" s="311"/>
      <c r="HCZ11" s="301"/>
      <c r="HDA11" s="308"/>
      <c r="HDB11" s="301"/>
      <c r="HDC11" s="304"/>
      <c r="HDD11" s="307"/>
      <c r="HDE11" s="308"/>
      <c r="HDF11" s="301"/>
      <c r="HDG11" s="308"/>
      <c r="HDH11" s="301"/>
      <c r="HDI11" s="301"/>
      <c r="HDJ11" s="302"/>
      <c r="HDK11" s="301"/>
      <c r="HDL11" s="301"/>
      <c r="HDM11" s="302"/>
      <c r="HDN11" s="301"/>
      <c r="HDO11" s="301"/>
      <c r="HDP11" s="311"/>
      <c r="HDQ11" s="301"/>
      <c r="HDR11" s="308"/>
      <c r="HDS11" s="301"/>
      <c r="HDT11" s="304"/>
      <c r="HDU11" s="307"/>
      <c r="HDV11" s="308"/>
      <c r="HDW11" s="301"/>
      <c r="HDX11" s="308"/>
      <c r="HDY11" s="301"/>
      <c r="HDZ11" s="301"/>
      <c r="HEA11" s="302"/>
      <c r="HEB11" s="301"/>
      <c r="HEC11" s="301"/>
      <c r="HED11" s="302"/>
      <c r="HEE11" s="301"/>
      <c r="HEF11" s="301"/>
      <c r="HEG11" s="311"/>
      <c r="HEH11" s="301"/>
      <c r="HEI11" s="308"/>
      <c r="HEJ11" s="301"/>
      <c r="HEK11" s="304"/>
      <c r="HEL11" s="307"/>
      <c r="HEM11" s="308"/>
      <c r="HEN11" s="301"/>
      <c r="HEO11" s="308"/>
      <c r="HEP11" s="301"/>
      <c r="HEQ11" s="301"/>
      <c r="HER11" s="302"/>
      <c r="HES11" s="301"/>
      <c r="HET11" s="301"/>
      <c r="HEU11" s="302"/>
      <c r="HEV11" s="301"/>
      <c r="HEW11" s="301"/>
      <c r="HEX11" s="311"/>
      <c r="HEY11" s="301"/>
      <c r="HEZ11" s="308"/>
      <c r="HFA11" s="301"/>
      <c r="HFB11" s="304"/>
      <c r="HFC11" s="307"/>
      <c r="HFD11" s="308"/>
      <c r="HFE11" s="301"/>
      <c r="HFF11" s="308"/>
      <c r="HFG11" s="301"/>
      <c r="HFH11" s="301"/>
      <c r="HFI11" s="302"/>
      <c r="HFJ11" s="301"/>
      <c r="HFK11" s="301"/>
      <c r="HFL11" s="302"/>
      <c r="HFM11" s="301"/>
      <c r="HFN11" s="301"/>
      <c r="HFO11" s="311"/>
      <c r="HFP11" s="301"/>
      <c r="HFQ11" s="308"/>
      <c r="HFR11" s="301"/>
      <c r="HFS11" s="304"/>
      <c r="HFT11" s="307"/>
      <c r="HFU11" s="308"/>
      <c r="HFV11" s="301"/>
      <c r="HFW11" s="308"/>
      <c r="HFX11" s="301"/>
      <c r="HFY11" s="301"/>
      <c r="HFZ11" s="302"/>
      <c r="HGA11" s="301"/>
      <c r="HGB11" s="301"/>
      <c r="HGC11" s="302"/>
      <c r="HGD11" s="301"/>
      <c r="HGE11" s="301"/>
      <c r="HGF11" s="311"/>
      <c r="HGG11" s="301"/>
      <c r="HGH11" s="308"/>
      <c r="HGI11" s="301"/>
      <c r="HGJ11" s="304"/>
      <c r="HGK11" s="307"/>
      <c r="HGL11" s="308"/>
      <c r="HGM11" s="301"/>
      <c r="HGN11" s="308"/>
      <c r="HGO11" s="301"/>
      <c r="HGP11" s="301"/>
      <c r="HGQ11" s="302"/>
      <c r="HGR11" s="301"/>
      <c r="HGS11" s="301"/>
      <c r="HGT11" s="302"/>
      <c r="HGU11" s="301"/>
      <c r="HGV11" s="301"/>
      <c r="HGW11" s="311"/>
      <c r="HGX11" s="301"/>
      <c r="HGY11" s="308"/>
      <c r="HGZ11" s="301"/>
      <c r="HHA11" s="304"/>
      <c r="HHB11" s="307"/>
      <c r="HHC11" s="308"/>
      <c r="HHD11" s="301"/>
      <c r="HHE11" s="308"/>
      <c r="HHF11" s="301"/>
      <c r="HHG11" s="301"/>
      <c r="HHH11" s="302"/>
      <c r="HHI11" s="301"/>
      <c r="HHJ11" s="301"/>
      <c r="HHK11" s="302"/>
      <c r="HHL11" s="301"/>
      <c r="HHM11" s="301"/>
      <c r="HHN11" s="311"/>
      <c r="HHO11" s="301"/>
      <c r="HHP11" s="308"/>
      <c r="HHQ11" s="301"/>
      <c r="HHR11" s="304"/>
      <c r="HHS11" s="307"/>
      <c r="HHT11" s="308"/>
      <c r="HHU11" s="301"/>
      <c r="HHV11" s="308"/>
      <c r="HHW11" s="301"/>
      <c r="HHX11" s="301"/>
      <c r="HHY11" s="302"/>
      <c r="HHZ11" s="301"/>
      <c r="HIA11" s="301"/>
      <c r="HIB11" s="302"/>
      <c r="HIC11" s="301"/>
      <c r="HID11" s="301"/>
      <c r="HIE11" s="311"/>
      <c r="HIF11" s="301"/>
      <c r="HIG11" s="308"/>
      <c r="HIH11" s="301"/>
      <c r="HII11" s="304"/>
      <c r="HIJ11" s="307"/>
      <c r="HIK11" s="308"/>
      <c r="HIL11" s="301"/>
      <c r="HIM11" s="308"/>
      <c r="HIN11" s="301"/>
      <c r="HIO11" s="301"/>
      <c r="HIP11" s="302"/>
      <c r="HIQ11" s="301"/>
      <c r="HIR11" s="301"/>
      <c r="HIS11" s="302"/>
      <c r="HIT11" s="301"/>
      <c r="HIU11" s="301"/>
      <c r="HIV11" s="311"/>
      <c r="HIW11" s="301"/>
      <c r="HIX11" s="308"/>
      <c r="HIY11" s="301"/>
      <c r="HIZ11" s="304"/>
      <c r="HJA11" s="307"/>
      <c r="HJB11" s="308"/>
      <c r="HJC11" s="301"/>
      <c r="HJD11" s="308"/>
      <c r="HJE11" s="301"/>
      <c r="HJF11" s="301"/>
      <c r="HJG11" s="302"/>
      <c r="HJH11" s="301"/>
      <c r="HJI11" s="301"/>
      <c r="HJJ11" s="302"/>
      <c r="HJK11" s="301"/>
      <c r="HJL11" s="301"/>
      <c r="HJM11" s="311"/>
      <c r="HJN11" s="301"/>
      <c r="HJO11" s="308"/>
      <c r="HJP11" s="301"/>
      <c r="HJQ11" s="304"/>
      <c r="HJR11" s="307"/>
      <c r="HJS11" s="308"/>
      <c r="HJT11" s="301"/>
      <c r="HJU11" s="308"/>
      <c r="HJV11" s="301"/>
      <c r="HJW11" s="301"/>
      <c r="HJX11" s="302"/>
      <c r="HJY11" s="301"/>
      <c r="HJZ11" s="301"/>
      <c r="HKA11" s="302"/>
      <c r="HKB11" s="301"/>
      <c r="HKC11" s="301"/>
      <c r="HKD11" s="311"/>
      <c r="HKE11" s="301"/>
      <c r="HKF11" s="308"/>
      <c r="HKG11" s="301"/>
      <c r="HKH11" s="304"/>
      <c r="HKI11" s="307"/>
      <c r="HKJ11" s="308"/>
      <c r="HKK11" s="301"/>
      <c r="HKL11" s="308"/>
      <c r="HKM11" s="301"/>
      <c r="HKN11" s="301"/>
      <c r="HKO11" s="302"/>
      <c r="HKP11" s="301"/>
      <c r="HKQ11" s="301"/>
      <c r="HKR11" s="302"/>
      <c r="HKS11" s="301"/>
      <c r="HKT11" s="301"/>
      <c r="HKU11" s="311"/>
      <c r="HKV11" s="301"/>
      <c r="HKW11" s="308"/>
      <c r="HKX11" s="301"/>
      <c r="HKY11" s="304"/>
      <c r="HKZ11" s="307"/>
      <c r="HLA11" s="308"/>
      <c r="HLB11" s="301"/>
      <c r="HLC11" s="308"/>
      <c r="HLD11" s="301"/>
      <c r="HLE11" s="301"/>
      <c r="HLF11" s="302"/>
      <c r="HLG11" s="301"/>
      <c r="HLH11" s="301"/>
      <c r="HLI11" s="302"/>
      <c r="HLJ11" s="301"/>
      <c r="HLK11" s="301"/>
      <c r="HLL11" s="311"/>
      <c r="HLM11" s="301"/>
      <c r="HLN11" s="308"/>
      <c r="HLO11" s="301"/>
      <c r="HLP11" s="304"/>
      <c r="HLQ11" s="307"/>
      <c r="HLR11" s="308"/>
      <c r="HLS11" s="301"/>
      <c r="HLT11" s="308"/>
      <c r="HLU11" s="301"/>
      <c r="HLV11" s="301"/>
      <c r="HLW11" s="302"/>
      <c r="HLX11" s="301"/>
      <c r="HLY11" s="301"/>
      <c r="HLZ11" s="302"/>
      <c r="HMA11" s="301"/>
      <c r="HMB11" s="301"/>
      <c r="HMC11" s="311"/>
      <c r="HMD11" s="301"/>
      <c r="HME11" s="308"/>
      <c r="HMF11" s="301"/>
      <c r="HMG11" s="304"/>
      <c r="HMH11" s="307"/>
      <c r="HMI11" s="308"/>
      <c r="HMJ11" s="301"/>
      <c r="HMK11" s="308"/>
      <c r="HML11" s="301"/>
      <c r="HMM11" s="301"/>
      <c r="HMN11" s="302"/>
      <c r="HMO11" s="301"/>
      <c r="HMP11" s="301"/>
      <c r="HMQ11" s="302"/>
      <c r="HMR11" s="301"/>
      <c r="HMS11" s="301"/>
      <c r="HMT11" s="311"/>
      <c r="HMU11" s="301"/>
      <c r="HMV11" s="308"/>
      <c r="HMW11" s="301"/>
      <c r="HMX11" s="304"/>
      <c r="HMY11" s="307"/>
      <c r="HMZ11" s="308"/>
      <c r="HNA11" s="301"/>
      <c r="HNB11" s="308"/>
      <c r="HNC11" s="301"/>
      <c r="HND11" s="301"/>
      <c r="HNE11" s="302"/>
      <c r="HNF11" s="301"/>
      <c r="HNG11" s="301"/>
      <c r="HNH11" s="302"/>
      <c r="HNI11" s="301"/>
      <c r="HNJ11" s="301"/>
      <c r="HNK11" s="311"/>
      <c r="HNL11" s="301"/>
      <c r="HNM11" s="308"/>
      <c r="HNN11" s="301"/>
      <c r="HNO11" s="304"/>
      <c r="HNP11" s="307"/>
      <c r="HNQ11" s="308"/>
      <c r="HNR11" s="301"/>
      <c r="HNS11" s="308"/>
      <c r="HNT11" s="301"/>
      <c r="HNU11" s="301"/>
      <c r="HNV11" s="302"/>
      <c r="HNW11" s="301"/>
      <c r="HNX11" s="301"/>
      <c r="HNY11" s="302"/>
      <c r="HNZ11" s="301"/>
      <c r="HOA11" s="301"/>
      <c r="HOB11" s="311"/>
      <c r="HOC11" s="301"/>
      <c r="HOD11" s="308"/>
      <c r="HOE11" s="301"/>
      <c r="HOF11" s="304"/>
      <c r="HOG11" s="307"/>
      <c r="HOH11" s="308"/>
      <c r="HOI11" s="301"/>
      <c r="HOJ11" s="308"/>
      <c r="HOK11" s="301"/>
      <c r="HOL11" s="301"/>
      <c r="HOM11" s="302"/>
      <c r="HON11" s="301"/>
      <c r="HOO11" s="301"/>
      <c r="HOP11" s="302"/>
      <c r="HOQ11" s="301"/>
      <c r="HOR11" s="301"/>
      <c r="HOS11" s="311"/>
      <c r="HOT11" s="301"/>
      <c r="HOU11" s="308"/>
      <c r="HOV11" s="301"/>
      <c r="HOW11" s="304"/>
      <c r="HOX11" s="307"/>
      <c r="HOY11" s="308"/>
      <c r="HOZ11" s="301"/>
      <c r="HPA11" s="308"/>
      <c r="HPB11" s="301"/>
      <c r="HPC11" s="301"/>
      <c r="HPD11" s="302"/>
      <c r="HPE11" s="301"/>
      <c r="HPF11" s="301"/>
      <c r="HPG11" s="302"/>
      <c r="HPH11" s="301"/>
      <c r="HPI11" s="301"/>
      <c r="HPJ11" s="311"/>
      <c r="HPK11" s="301"/>
      <c r="HPL11" s="308"/>
      <c r="HPM11" s="301"/>
      <c r="HPN11" s="304"/>
      <c r="HPO11" s="307"/>
      <c r="HPP11" s="308"/>
      <c r="HPQ11" s="301"/>
      <c r="HPR11" s="308"/>
      <c r="HPS11" s="301"/>
      <c r="HPT11" s="301"/>
      <c r="HPU11" s="302"/>
      <c r="HPV11" s="301"/>
      <c r="HPW11" s="301"/>
      <c r="HPX11" s="302"/>
      <c r="HPY11" s="301"/>
      <c r="HPZ11" s="301"/>
      <c r="HQA11" s="311"/>
      <c r="HQB11" s="301"/>
      <c r="HQC11" s="308"/>
      <c r="HQD11" s="301"/>
      <c r="HQE11" s="304"/>
      <c r="HQF11" s="307"/>
      <c r="HQG11" s="308"/>
      <c r="HQH11" s="301"/>
      <c r="HQI11" s="308"/>
      <c r="HQJ11" s="301"/>
      <c r="HQK11" s="301"/>
      <c r="HQL11" s="302"/>
      <c r="HQM11" s="301"/>
      <c r="HQN11" s="301"/>
      <c r="HQO11" s="302"/>
      <c r="HQP11" s="301"/>
      <c r="HQQ11" s="301"/>
      <c r="HQR11" s="311"/>
      <c r="HQS11" s="301"/>
      <c r="HQT11" s="308"/>
      <c r="HQU11" s="301"/>
      <c r="HQV11" s="304"/>
      <c r="HQW11" s="307"/>
      <c r="HQX11" s="308"/>
      <c r="HQY11" s="301"/>
      <c r="HQZ11" s="308"/>
      <c r="HRA11" s="301"/>
      <c r="HRB11" s="301"/>
      <c r="HRC11" s="302"/>
      <c r="HRD11" s="301"/>
      <c r="HRE11" s="301"/>
      <c r="HRF11" s="302"/>
      <c r="HRG11" s="301"/>
      <c r="HRH11" s="301"/>
      <c r="HRI11" s="311"/>
      <c r="HRJ11" s="301"/>
      <c r="HRK11" s="308"/>
      <c r="HRL11" s="301"/>
      <c r="HRM11" s="304"/>
      <c r="HRN11" s="307"/>
      <c r="HRO11" s="308"/>
      <c r="HRP11" s="301"/>
      <c r="HRQ11" s="308"/>
      <c r="HRR11" s="301"/>
      <c r="HRS11" s="301"/>
      <c r="HRT11" s="302"/>
      <c r="HRU11" s="301"/>
      <c r="HRV11" s="301"/>
      <c r="HRW11" s="302"/>
      <c r="HRX11" s="301"/>
      <c r="HRY11" s="301"/>
      <c r="HRZ11" s="311"/>
      <c r="HSA11" s="301"/>
      <c r="HSB11" s="308"/>
      <c r="HSC11" s="301"/>
      <c r="HSD11" s="304"/>
      <c r="HSE11" s="307"/>
      <c r="HSF11" s="308"/>
      <c r="HSG11" s="301"/>
      <c r="HSH11" s="308"/>
      <c r="HSI11" s="301"/>
      <c r="HSJ11" s="301"/>
      <c r="HSK11" s="302"/>
      <c r="HSL11" s="301"/>
      <c r="HSM11" s="301"/>
      <c r="HSN11" s="302"/>
      <c r="HSO11" s="301"/>
      <c r="HSP11" s="301"/>
      <c r="HSQ11" s="311"/>
      <c r="HSR11" s="301"/>
      <c r="HSS11" s="308"/>
      <c r="HST11" s="301"/>
      <c r="HSU11" s="304"/>
      <c r="HSV11" s="307"/>
      <c r="HSW11" s="308"/>
      <c r="HSX11" s="301"/>
      <c r="HSY11" s="308"/>
      <c r="HSZ11" s="301"/>
      <c r="HTA11" s="301"/>
      <c r="HTB11" s="302"/>
      <c r="HTC11" s="301"/>
      <c r="HTD11" s="301"/>
      <c r="HTE11" s="302"/>
      <c r="HTF11" s="301"/>
      <c r="HTG11" s="301"/>
      <c r="HTH11" s="311"/>
      <c r="HTI11" s="301"/>
      <c r="HTJ11" s="308"/>
      <c r="HTK11" s="301"/>
      <c r="HTL11" s="304"/>
      <c r="HTM11" s="307"/>
      <c r="HTN11" s="308"/>
      <c r="HTO11" s="301"/>
      <c r="HTP11" s="308"/>
      <c r="HTQ11" s="301"/>
      <c r="HTR11" s="301"/>
      <c r="HTS11" s="302"/>
      <c r="HTT11" s="301"/>
      <c r="HTU11" s="301"/>
      <c r="HTV11" s="302"/>
      <c r="HTW11" s="301"/>
      <c r="HTX11" s="301"/>
      <c r="HTY11" s="311"/>
      <c r="HTZ11" s="301"/>
      <c r="HUA11" s="308"/>
      <c r="HUB11" s="301"/>
      <c r="HUC11" s="304"/>
      <c r="HUD11" s="307"/>
      <c r="HUE11" s="308"/>
      <c r="HUF11" s="301"/>
      <c r="HUG11" s="308"/>
      <c r="HUH11" s="301"/>
      <c r="HUI11" s="301"/>
      <c r="HUJ11" s="302"/>
      <c r="HUK11" s="301"/>
      <c r="HUL11" s="301"/>
      <c r="HUM11" s="302"/>
      <c r="HUN11" s="301"/>
      <c r="HUO11" s="301"/>
      <c r="HUP11" s="311"/>
      <c r="HUQ11" s="301"/>
      <c r="HUR11" s="308"/>
      <c r="HUS11" s="301"/>
      <c r="HUT11" s="304"/>
      <c r="HUU11" s="307"/>
      <c r="HUV11" s="308"/>
      <c r="HUW11" s="301"/>
      <c r="HUX11" s="308"/>
      <c r="HUY11" s="301"/>
      <c r="HUZ11" s="301"/>
      <c r="HVA11" s="302"/>
      <c r="HVB11" s="301"/>
      <c r="HVC11" s="301"/>
      <c r="HVD11" s="302"/>
      <c r="HVE11" s="301"/>
      <c r="HVF11" s="301"/>
      <c r="HVG11" s="311"/>
      <c r="HVH11" s="301"/>
      <c r="HVI11" s="308"/>
      <c r="HVJ11" s="301"/>
      <c r="HVK11" s="304"/>
      <c r="HVL11" s="307"/>
      <c r="HVM11" s="308"/>
      <c r="HVN11" s="301"/>
      <c r="HVO11" s="308"/>
      <c r="HVP11" s="301"/>
      <c r="HVQ11" s="301"/>
      <c r="HVR11" s="302"/>
      <c r="HVS11" s="301"/>
      <c r="HVT11" s="301"/>
      <c r="HVU11" s="302"/>
      <c r="HVV11" s="301"/>
      <c r="HVW11" s="301"/>
      <c r="HVX11" s="311"/>
      <c r="HVY11" s="301"/>
      <c r="HVZ11" s="308"/>
      <c r="HWA11" s="301"/>
      <c r="HWB11" s="304"/>
      <c r="HWC11" s="307"/>
      <c r="HWD11" s="308"/>
      <c r="HWE11" s="301"/>
      <c r="HWF11" s="308"/>
      <c r="HWG11" s="301"/>
      <c r="HWH11" s="301"/>
      <c r="HWI11" s="302"/>
      <c r="HWJ11" s="301"/>
      <c r="HWK11" s="301"/>
      <c r="HWL11" s="302"/>
      <c r="HWM11" s="301"/>
      <c r="HWN11" s="301"/>
      <c r="HWO11" s="311"/>
      <c r="HWP11" s="301"/>
      <c r="HWQ11" s="308"/>
      <c r="HWR11" s="301"/>
      <c r="HWS11" s="304"/>
      <c r="HWT11" s="307"/>
      <c r="HWU11" s="308"/>
      <c r="HWV11" s="301"/>
      <c r="HWW11" s="308"/>
      <c r="HWX11" s="301"/>
      <c r="HWY11" s="301"/>
      <c r="HWZ11" s="302"/>
      <c r="HXA11" s="301"/>
      <c r="HXB11" s="301"/>
      <c r="HXC11" s="302"/>
      <c r="HXD11" s="301"/>
      <c r="HXE11" s="301"/>
      <c r="HXF11" s="311"/>
      <c r="HXG11" s="301"/>
      <c r="HXH11" s="308"/>
      <c r="HXI11" s="301"/>
      <c r="HXJ11" s="304"/>
      <c r="HXK11" s="307"/>
      <c r="HXL11" s="308"/>
      <c r="HXM11" s="301"/>
      <c r="HXN11" s="308"/>
      <c r="HXO11" s="301"/>
      <c r="HXP11" s="301"/>
      <c r="HXQ11" s="302"/>
      <c r="HXR11" s="301"/>
      <c r="HXS11" s="301"/>
      <c r="HXT11" s="302"/>
      <c r="HXU11" s="301"/>
      <c r="HXV11" s="301"/>
      <c r="HXW11" s="311"/>
      <c r="HXX11" s="301"/>
      <c r="HXY11" s="308"/>
      <c r="HXZ11" s="301"/>
      <c r="HYA11" s="304"/>
      <c r="HYB11" s="307"/>
      <c r="HYC11" s="308"/>
      <c r="HYD11" s="301"/>
      <c r="HYE11" s="308"/>
      <c r="HYF11" s="301"/>
      <c r="HYG11" s="301"/>
      <c r="HYH11" s="302"/>
      <c r="HYI11" s="301"/>
      <c r="HYJ11" s="301"/>
      <c r="HYK11" s="302"/>
      <c r="HYL11" s="301"/>
      <c r="HYM11" s="301"/>
      <c r="HYN11" s="311"/>
      <c r="HYO11" s="301"/>
      <c r="HYP11" s="308"/>
      <c r="HYQ11" s="301"/>
      <c r="HYR11" s="304"/>
      <c r="HYS11" s="307"/>
      <c r="HYT11" s="308"/>
      <c r="HYU11" s="301"/>
      <c r="HYV11" s="308"/>
      <c r="HYW11" s="301"/>
      <c r="HYX11" s="301"/>
      <c r="HYY11" s="302"/>
      <c r="HYZ11" s="301"/>
      <c r="HZA11" s="301"/>
      <c r="HZB11" s="302"/>
      <c r="HZC11" s="301"/>
      <c r="HZD11" s="301"/>
      <c r="HZE11" s="311"/>
      <c r="HZF11" s="301"/>
      <c r="HZG11" s="308"/>
      <c r="HZH11" s="301"/>
      <c r="HZI11" s="304"/>
      <c r="HZJ11" s="307"/>
      <c r="HZK11" s="308"/>
      <c r="HZL11" s="301"/>
      <c r="HZM11" s="308"/>
      <c r="HZN11" s="301"/>
      <c r="HZO11" s="301"/>
      <c r="HZP11" s="302"/>
      <c r="HZQ11" s="301"/>
      <c r="HZR11" s="301"/>
      <c r="HZS11" s="302"/>
      <c r="HZT11" s="301"/>
      <c r="HZU11" s="301"/>
      <c r="HZV11" s="311"/>
      <c r="HZW11" s="301"/>
      <c r="HZX11" s="308"/>
      <c r="HZY11" s="301"/>
      <c r="HZZ11" s="304"/>
      <c r="IAA11" s="307"/>
      <c r="IAB11" s="308"/>
      <c r="IAC11" s="301"/>
      <c r="IAD11" s="308"/>
      <c r="IAE11" s="301"/>
      <c r="IAF11" s="301"/>
      <c r="IAG11" s="302"/>
      <c r="IAH11" s="301"/>
      <c r="IAI11" s="301"/>
      <c r="IAJ11" s="302"/>
      <c r="IAK11" s="301"/>
      <c r="IAL11" s="301"/>
      <c r="IAM11" s="311"/>
      <c r="IAN11" s="301"/>
      <c r="IAO11" s="308"/>
      <c r="IAP11" s="301"/>
      <c r="IAQ11" s="304"/>
      <c r="IAR11" s="307"/>
      <c r="IAS11" s="308"/>
      <c r="IAT11" s="301"/>
      <c r="IAU11" s="308"/>
      <c r="IAV11" s="301"/>
      <c r="IAW11" s="301"/>
      <c r="IAX11" s="302"/>
      <c r="IAY11" s="301"/>
      <c r="IAZ11" s="301"/>
      <c r="IBA11" s="302"/>
      <c r="IBB11" s="301"/>
      <c r="IBC11" s="301"/>
      <c r="IBD11" s="311"/>
      <c r="IBE11" s="301"/>
      <c r="IBF11" s="308"/>
      <c r="IBG11" s="301"/>
      <c r="IBH11" s="304"/>
      <c r="IBI11" s="307"/>
      <c r="IBJ11" s="308"/>
      <c r="IBK11" s="301"/>
      <c r="IBL11" s="308"/>
      <c r="IBM11" s="301"/>
      <c r="IBN11" s="301"/>
      <c r="IBO11" s="302"/>
      <c r="IBP11" s="301"/>
      <c r="IBQ11" s="301"/>
      <c r="IBR11" s="302"/>
      <c r="IBS11" s="301"/>
      <c r="IBT11" s="301"/>
      <c r="IBU11" s="311"/>
      <c r="IBV11" s="301"/>
      <c r="IBW11" s="308"/>
      <c r="IBX11" s="301"/>
      <c r="IBY11" s="304"/>
      <c r="IBZ11" s="307"/>
      <c r="ICA11" s="308"/>
      <c r="ICB11" s="301"/>
      <c r="ICC11" s="308"/>
      <c r="ICD11" s="301"/>
      <c r="ICE11" s="301"/>
      <c r="ICF11" s="302"/>
      <c r="ICG11" s="301"/>
      <c r="ICH11" s="301"/>
      <c r="ICI11" s="302"/>
      <c r="ICJ11" s="301"/>
      <c r="ICK11" s="301"/>
      <c r="ICL11" s="311"/>
      <c r="ICM11" s="301"/>
      <c r="ICN11" s="308"/>
      <c r="ICO11" s="301"/>
      <c r="ICP11" s="304"/>
      <c r="ICQ11" s="307"/>
      <c r="ICR11" s="308"/>
      <c r="ICS11" s="301"/>
      <c r="ICT11" s="308"/>
      <c r="ICU11" s="301"/>
      <c r="ICV11" s="301"/>
      <c r="ICW11" s="302"/>
      <c r="ICX11" s="301"/>
      <c r="ICY11" s="301"/>
      <c r="ICZ11" s="302"/>
      <c r="IDA11" s="301"/>
      <c r="IDB11" s="301"/>
      <c r="IDC11" s="311"/>
      <c r="IDD11" s="301"/>
      <c r="IDE11" s="308"/>
      <c r="IDF11" s="301"/>
      <c r="IDG11" s="304"/>
      <c r="IDH11" s="307"/>
      <c r="IDI11" s="308"/>
      <c r="IDJ11" s="301"/>
      <c r="IDK11" s="308"/>
      <c r="IDL11" s="301"/>
      <c r="IDM11" s="301"/>
      <c r="IDN11" s="302"/>
      <c r="IDO11" s="301"/>
      <c r="IDP11" s="301"/>
      <c r="IDQ11" s="302"/>
      <c r="IDR11" s="301"/>
      <c r="IDS11" s="301"/>
      <c r="IDT11" s="311"/>
      <c r="IDU11" s="301"/>
      <c r="IDV11" s="308"/>
      <c r="IDW11" s="301"/>
      <c r="IDX11" s="304"/>
      <c r="IDY11" s="307"/>
      <c r="IDZ11" s="308"/>
      <c r="IEA11" s="301"/>
      <c r="IEB11" s="308"/>
      <c r="IEC11" s="301"/>
      <c r="IED11" s="301"/>
      <c r="IEE11" s="302"/>
      <c r="IEF11" s="301"/>
      <c r="IEG11" s="301"/>
      <c r="IEH11" s="302"/>
      <c r="IEI11" s="301"/>
      <c r="IEJ11" s="301"/>
      <c r="IEK11" s="311"/>
      <c r="IEL11" s="301"/>
      <c r="IEM11" s="308"/>
      <c r="IEN11" s="301"/>
      <c r="IEO11" s="304"/>
      <c r="IEP11" s="307"/>
      <c r="IEQ11" s="308"/>
      <c r="IER11" s="301"/>
      <c r="IES11" s="308"/>
      <c r="IET11" s="301"/>
      <c r="IEU11" s="301"/>
      <c r="IEV11" s="302"/>
      <c r="IEW11" s="301"/>
      <c r="IEX11" s="301"/>
      <c r="IEY11" s="302"/>
      <c r="IEZ11" s="301"/>
      <c r="IFA11" s="301"/>
      <c r="IFB11" s="311"/>
      <c r="IFC11" s="301"/>
      <c r="IFD11" s="308"/>
      <c r="IFE11" s="301"/>
      <c r="IFF11" s="304"/>
      <c r="IFG11" s="307"/>
      <c r="IFH11" s="308"/>
      <c r="IFI11" s="301"/>
      <c r="IFJ11" s="308"/>
      <c r="IFK11" s="301"/>
      <c r="IFL11" s="301"/>
      <c r="IFM11" s="302"/>
      <c r="IFN11" s="301"/>
      <c r="IFO11" s="301"/>
      <c r="IFP11" s="302"/>
      <c r="IFQ11" s="301"/>
      <c r="IFR11" s="301"/>
      <c r="IFS11" s="311"/>
      <c r="IFT11" s="301"/>
      <c r="IFU11" s="308"/>
      <c r="IFV11" s="301"/>
      <c r="IFW11" s="304"/>
      <c r="IFX11" s="307"/>
      <c r="IFY11" s="308"/>
      <c r="IFZ11" s="301"/>
      <c r="IGA11" s="308"/>
      <c r="IGB11" s="301"/>
      <c r="IGC11" s="301"/>
      <c r="IGD11" s="302"/>
      <c r="IGE11" s="301"/>
      <c r="IGF11" s="301"/>
      <c r="IGG11" s="302"/>
      <c r="IGH11" s="301"/>
      <c r="IGI11" s="301"/>
      <c r="IGJ11" s="311"/>
      <c r="IGK11" s="301"/>
      <c r="IGL11" s="308"/>
      <c r="IGM11" s="301"/>
      <c r="IGN11" s="304"/>
      <c r="IGO11" s="307"/>
      <c r="IGP11" s="308"/>
      <c r="IGQ11" s="301"/>
      <c r="IGR11" s="308"/>
      <c r="IGS11" s="301"/>
      <c r="IGT11" s="301"/>
      <c r="IGU11" s="302"/>
      <c r="IGV11" s="301"/>
      <c r="IGW11" s="301"/>
      <c r="IGX11" s="302"/>
      <c r="IGY11" s="301"/>
      <c r="IGZ11" s="301"/>
      <c r="IHA11" s="311"/>
      <c r="IHB11" s="301"/>
      <c r="IHC11" s="308"/>
      <c r="IHD11" s="301"/>
      <c r="IHE11" s="304"/>
      <c r="IHF11" s="307"/>
      <c r="IHG11" s="308"/>
      <c r="IHH11" s="301"/>
      <c r="IHI11" s="308"/>
      <c r="IHJ11" s="301"/>
      <c r="IHK11" s="301"/>
      <c r="IHL11" s="302"/>
      <c r="IHM11" s="301"/>
      <c r="IHN11" s="301"/>
      <c r="IHO11" s="302"/>
      <c r="IHP11" s="301"/>
      <c r="IHQ11" s="301"/>
      <c r="IHR11" s="311"/>
      <c r="IHS11" s="301"/>
      <c r="IHT11" s="308"/>
      <c r="IHU11" s="301"/>
      <c r="IHV11" s="304"/>
      <c r="IHW11" s="307"/>
      <c r="IHX11" s="308"/>
      <c r="IHY11" s="301"/>
      <c r="IHZ11" s="308"/>
      <c r="IIA11" s="301"/>
      <c r="IIB11" s="301"/>
      <c r="IIC11" s="302"/>
      <c r="IID11" s="301"/>
      <c r="IIE11" s="301"/>
      <c r="IIF11" s="302"/>
      <c r="IIG11" s="301"/>
      <c r="IIH11" s="301"/>
      <c r="III11" s="311"/>
      <c r="IIJ11" s="301"/>
      <c r="IIK11" s="308"/>
      <c r="IIL11" s="301"/>
      <c r="IIM11" s="304"/>
      <c r="IIN11" s="307"/>
      <c r="IIO11" s="308"/>
      <c r="IIP11" s="301"/>
      <c r="IIQ11" s="308"/>
      <c r="IIR11" s="301"/>
      <c r="IIS11" s="301"/>
      <c r="IIT11" s="302"/>
      <c r="IIU11" s="301"/>
      <c r="IIV11" s="301"/>
      <c r="IIW11" s="302"/>
      <c r="IIX11" s="301"/>
      <c r="IIY11" s="301"/>
      <c r="IIZ11" s="311"/>
      <c r="IJA11" s="301"/>
      <c r="IJB11" s="308"/>
      <c r="IJC11" s="301"/>
      <c r="IJD11" s="304"/>
      <c r="IJE11" s="307"/>
      <c r="IJF11" s="308"/>
      <c r="IJG11" s="301"/>
      <c r="IJH11" s="308"/>
      <c r="IJI11" s="301"/>
      <c r="IJJ11" s="301"/>
      <c r="IJK11" s="302"/>
      <c r="IJL11" s="301"/>
      <c r="IJM11" s="301"/>
      <c r="IJN11" s="302"/>
      <c r="IJO11" s="301"/>
      <c r="IJP11" s="301"/>
      <c r="IJQ11" s="311"/>
      <c r="IJR11" s="301"/>
      <c r="IJS11" s="308"/>
      <c r="IJT11" s="301"/>
      <c r="IJU11" s="304"/>
      <c r="IJV11" s="307"/>
      <c r="IJW11" s="308"/>
      <c r="IJX11" s="301"/>
      <c r="IJY11" s="308"/>
      <c r="IJZ11" s="301"/>
      <c r="IKA11" s="301"/>
      <c r="IKB11" s="302"/>
      <c r="IKC11" s="301"/>
      <c r="IKD11" s="301"/>
      <c r="IKE11" s="302"/>
      <c r="IKF11" s="301"/>
      <c r="IKG11" s="301"/>
      <c r="IKH11" s="311"/>
      <c r="IKI11" s="301"/>
      <c r="IKJ11" s="308"/>
      <c r="IKK11" s="301"/>
      <c r="IKL11" s="304"/>
      <c r="IKM11" s="307"/>
      <c r="IKN11" s="308"/>
      <c r="IKO11" s="301"/>
      <c r="IKP11" s="308"/>
      <c r="IKQ11" s="301"/>
      <c r="IKR11" s="301"/>
      <c r="IKS11" s="302"/>
      <c r="IKT11" s="301"/>
      <c r="IKU11" s="301"/>
      <c r="IKV11" s="302"/>
      <c r="IKW11" s="301"/>
      <c r="IKX11" s="301"/>
      <c r="IKY11" s="311"/>
      <c r="IKZ11" s="301"/>
      <c r="ILA11" s="308"/>
      <c r="ILB11" s="301"/>
      <c r="ILC11" s="304"/>
      <c r="ILD11" s="307"/>
      <c r="ILE11" s="308"/>
      <c r="ILF11" s="301"/>
      <c r="ILG11" s="308"/>
      <c r="ILH11" s="301"/>
      <c r="ILI11" s="301"/>
      <c r="ILJ11" s="302"/>
      <c r="ILK11" s="301"/>
      <c r="ILL11" s="301"/>
      <c r="ILM11" s="302"/>
      <c r="ILN11" s="301"/>
      <c r="ILO11" s="301"/>
      <c r="ILP11" s="311"/>
      <c r="ILQ11" s="301"/>
      <c r="ILR11" s="308"/>
      <c r="ILS11" s="301"/>
      <c r="ILT11" s="304"/>
      <c r="ILU11" s="307"/>
      <c r="ILV11" s="308"/>
      <c r="ILW11" s="301"/>
      <c r="ILX11" s="308"/>
      <c r="ILY11" s="301"/>
      <c r="ILZ11" s="301"/>
      <c r="IMA11" s="302"/>
      <c r="IMB11" s="301"/>
      <c r="IMC11" s="301"/>
      <c r="IMD11" s="302"/>
      <c r="IME11" s="301"/>
      <c r="IMF11" s="301"/>
      <c r="IMG11" s="311"/>
      <c r="IMH11" s="301"/>
      <c r="IMI11" s="308"/>
      <c r="IMJ11" s="301"/>
      <c r="IMK11" s="304"/>
      <c r="IML11" s="307"/>
      <c r="IMM11" s="308"/>
      <c r="IMN11" s="301"/>
      <c r="IMO11" s="308"/>
      <c r="IMP11" s="301"/>
      <c r="IMQ11" s="301"/>
      <c r="IMR11" s="302"/>
      <c r="IMS11" s="301"/>
      <c r="IMT11" s="301"/>
      <c r="IMU11" s="302"/>
      <c r="IMV11" s="301"/>
      <c r="IMW11" s="301"/>
      <c r="IMX11" s="311"/>
      <c r="IMY11" s="301"/>
      <c r="IMZ11" s="308"/>
      <c r="INA11" s="301"/>
      <c r="INB11" s="304"/>
      <c r="INC11" s="307"/>
      <c r="IND11" s="308"/>
      <c r="INE11" s="301"/>
      <c r="INF11" s="308"/>
      <c r="ING11" s="301"/>
      <c r="INH11" s="301"/>
      <c r="INI11" s="302"/>
      <c r="INJ11" s="301"/>
      <c r="INK11" s="301"/>
      <c r="INL11" s="302"/>
      <c r="INM11" s="301"/>
      <c r="INN11" s="301"/>
      <c r="INO11" s="311"/>
      <c r="INP11" s="301"/>
      <c r="INQ11" s="308"/>
      <c r="INR11" s="301"/>
      <c r="INS11" s="304"/>
      <c r="INT11" s="307"/>
      <c r="INU11" s="308"/>
      <c r="INV11" s="301"/>
      <c r="INW11" s="308"/>
      <c r="INX11" s="301"/>
      <c r="INY11" s="301"/>
      <c r="INZ11" s="302"/>
      <c r="IOA11" s="301"/>
      <c r="IOB11" s="301"/>
      <c r="IOC11" s="302"/>
      <c r="IOD11" s="301"/>
      <c r="IOE11" s="301"/>
      <c r="IOF11" s="311"/>
      <c r="IOG11" s="301"/>
      <c r="IOH11" s="308"/>
      <c r="IOI11" s="301"/>
      <c r="IOJ11" s="304"/>
      <c r="IOK11" s="307"/>
      <c r="IOL11" s="308"/>
      <c r="IOM11" s="301"/>
      <c r="ION11" s="308"/>
      <c r="IOO11" s="301"/>
      <c r="IOP11" s="301"/>
      <c r="IOQ11" s="302"/>
      <c r="IOR11" s="301"/>
      <c r="IOS11" s="301"/>
      <c r="IOT11" s="302"/>
      <c r="IOU11" s="301"/>
      <c r="IOV11" s="301"/>
      <c r="IOW11" s="311"/>
      <c r="IOX11" s="301"/>
      <c r="IOY11" s="308"/>
      <c r="IOZ11" s="301"/>
      <c r="IPA11" s="304"/>
      <c r="IPB11" s="307"/>
      <c r="IPC11" s="308"/>
      <c r="IPD11" s="301"/>
      <c r="IPE11" s="308"/>
      <c r="IPF11" s="301"/>
      <c r="IPG11" s="301"/>
      <c r="IPH11" s="302"/>
      <c r="IPI11" s="301"/>
      <c r="IPJ11" s="301"/>
      <c r="IPK11" s="302"/>
      <c r="IPL11" s="301"/>
      <c r="IPM11" s="301"/>
      <c r="IPN11" s="311"/>
      <c r="IPO11" s="301"/>
      <c r="IPP11" s="308"/>
      <c r="IPQ11" s="301"/>
      <c r="IPR11" s="304"/>
      <c r="IPS11" s="307"/>
      <c r="IPT11" s="308"/>
      <c r="IPU11" s="301"/>
      <c r="IPV11" s="308"/>
      <c r="IPW11" s="301"/>
      <c r="IPX11" s="301"/>
      <c r="IPY11" s="302"/>
      <c r="IPZ11" s="301"/>
      <c r="IQA11" s="301"/>
      <c r="IQB11" s="302"/>
      <c r="IQC11" s="301"/>
      <c r="IQD11" s="301"/>
      <c r="IQE11" s="311"/>
      <c r="IQF11" s="301"/>
      <c r="IQG11" s="308"/>
      <c r="IQH11" s="301"/>
      <c r="IQI11" s="304"/>
      <c r="IQJ11" s="307"/>
      <c r="IQK11" s="308"/>
      <c r="IQL11" s="301"/>
      <c r="IQM11" s="308"/>
      <c r="IQN11" s="301"/>
      <c r="IQO11" s="301"/>
      <c r="IQP11" s="302"/>
      <c r="IQQ11" s="301"/>
      <c r="IQR11" s="301"/>
      <c r="IQS11" s="302"/>
      <c r="IQT11" s="301"/>
      <c r="IQU11" s="301"/>
      <c r="IQV11" s="311"/>
      <c r="IQW11" s="301"/>
      <c r="IQX11" s="308"/>
      <c r="IQY11" s="301"/>
      <c r="IQZ11" s="304"/>
      <c r="IRA11" s="307"/>
      <c r="IRB11" s="308"/>
      <c r="IRC11" s="301"/>
      <c r="IRD11" s="308"/>
      <c r="IRE11" s="301"/>
      <c r="IRF11" s="301"/>
      <c r="IRG11" s="302"/>
      <c r="IRH11" s="301"/>
      <c r="IRI11" s="301"/>
      <c r="IRJ11" s="302"/>
      <c r="IRK11" s="301"/>
      <c r="IRL11" s="301"/>
      <c r="IRM11" s="311"/>
      <c r="IRN11" s="301"/>
      <c r="IRO11" s="308"/>
      <c r="IRP11" s="301"/>
      <c r="IRQ11" s="304"/>
      <c r="IRR11" s="307"/>
      <c r="IRS11" s="308"/>
      <c r="IRT11" s="301"/>
      <c r="IRU11" s="308"/>
      <c r="IRV11" s="301"/>
      <c r="IRW11" s="301"/>
      <c r="IRX11" s="302"/>
      <c r="IRY11" s="301"/>
      <c r="IRZ11" s="301"/>
      <c r="ISA11" s="302"/>
      <c r="ISB11" s="301"/>
      <c r="ISC11" s="301"/>
      <c r="ISD11" s="311"/>
      <c r="ISE11" s="301"/>
      <c r="ISF11" s="308"/>
      <c r="ISG11" s="301"/>
      <c r="ISH11" s="304"/>
      <c r="ISI11" s="307"/>
      <c r="ISJ11" s="308"/>
      <c r="ISK11" s="301"/>
      <c r="ISL11" s="308"/>
      <c r="ISM11" s="301"/>
      <c r="ISN11" s="301"/>
      <c r="ISO11" s="302"/>
      <c r="ISP11" s="301"/>
      <c r="ISQ11" s="301"/>
      <c r="ISR11" s="302"/>
      <c r="ISS11" s="301"/>
      <c r="IST11" s="301"/>
      <c r="ISU11" s="311"/>
      <c r="ISV11" s="301"/>
      <c r="ISW11" s="308"/>
      <c r="ISX11" s="301"/>
      <c r="ISY11" s="304"/>
      <c r="ISZ11" s="307"/>
      <c r="ITA11" s="308"/>
      <c r="ITB11" s="301"/>
      <c r="ITC11" s="308"/>
      <c r="ITD11" s="301"/>
      <c r="ITE11" s="301"/>
      <c r="ITF11" s="302"/>
      <c r="ITG11" s="301"/>
      <c r="ITH11" s="301"/>
      <c r="ITI11" s="302"/>
      <c r="ITJ11" s="301"/>
      <c r="ITK11" s="301"/>
      <c r="ITL11" s="311"/>
      <c r="ITM11" s="301"/>
      <c r="ITN11" s="308"/>
      <c r="ITO11" s="301"/>
      <c r="ITP11" s="304"/>
      <c r="ITQ11" s="307"/>
      <c r="ITR11" s="308"/>
      <c r="ITS11" s="301"/>
      <c r="ITT11" s="308"/>
      <c r="ITU11" s="301"/>
      <c r="ITV11" s="301"/>
      <c r="ITW11" s="302"/>
      <c r="ITX11" s="301"/>
      <c r="ITY11" s="301"/>
      <c r="ITZ11" s="302"/>
      <c r="IUA11" s="301"/>
      <c r="IUB11" s="301"/>
      <c r="IUC11" s="311"/>
      <c r="IUD11" s="301"/>
      <c r="IUE11" s="308"/>
      <c r="IUF11" s="301"/>
      <c r="IUG11" s="304"/>
      <c r="IUH11" s="307"/>
      <c r="IUI11" s="308"/>
      <c r="IUJ11" s="301"/>
      <c r="IUK11" s="308"/>
      <c r="IUL11" s="301"/>
      <c r="IUM11" s="301"/>
      <c r="IUN11" s="302"/>
      <c r="IUO11" s="301"/>
      <c r="IUP11" s="301"/>
      <c r="IUQ11" s="302"/>
      <c r="IUR11" s="301"/>
      <c r="IUS11" s="301"/>
      <c r="IUT11" s="311"/>
      <c r="IUU11" s="301"/>
      <c r="IUV11" s="308"/>
      <c r="IUW11" s="301"/>
      <c r="IUX11" s="304"/>
      <c r="IUY11" s="307"/>
      <c r="IUZ11" s="308"/>
      <c r="IVA11" s="301"/>
      <c r="IVB11" s="308"/>
      <c r="IVC11" s="301"/>
      <c r="IVD11" s="301"/>
      <c r="IVE11" s="302"/>
      <c r="IVF11" s="301"/>
      <c r="IVG11" s="301"/>
      <c r="IVH11" s="302"/>
      <c r="IVI11" s="301"/>
      <c r="IVJ11" s="301"/>
      <c r="IVK11" s="311"/>
      <c r="IVL11" s="301"/>
      <c r="IVM11" s="308"/>
      <c r="IVN11" s="301"/>
      <c r="IVO11" s="304"/>
      <c r="IVP11" s="307"/>
      <c r="IVQ11" s="308"/>
      <c r="IVR11" s="301"/>
      <c r="IVS11" s="308"/>
      <c r="IVT11" s="301"/>
      <c r="IVU11" s="301"/>
      <c r="IVV11" s="302"/>
      <c r="IVW11" s="301"/>
      <c r="IVX11" s="301"/>
      <c r="IVY11" s="302"/>
      <c r="IVZ11" s="301"/>
      <c r="IWA11" s="301"/>
      <c r="IWB11" s="311"/>
      <c r="IWC11" s="301"/>
      <c r="IWD11" s="308"/>
      <c r="IWE11" s="301"/>
      <c r="IWF11" s="304"/>
      <c r="IWG11" s="307"/>
      <c r="IWH11" s="308"/>
      <c r="IWI11" s="301"/>
      <c r="IWJ11" s="308"/>
      <c r="IWK11" s="301"/>
      <c r="IWL11" s="301"/>
      <c r="IWM11" s="302"/>
      <c r="IWN11" s="301"/>
      <c r="IWO11" s="301"/>
      <c r="IWP11" s="302"/>
      <c r="IWQ11" s="301"/>
      <c r="IWR11" s="301"/>
      <c r="IWS11" s="311"/>
      <c r="IWT11" s="301"/>
      <c r="IWU11" s="308"/>
      <c r="IWV11" s="301"/>
      <c r="IWW11" s="304"/>
      <c r="IWX11" s="307"/>
      <c r="IWY11" s="308"/>
      <c r="IWZ11" s="301"/>
      <c r="IXA11" s="308"/>
      <c r="IXB11" s="301"/>
      <c r="IXC11" s="301"/>
      <c r="IXD11" s="302"/>
      <c r="IXE11" s="301"/>
      <c r="IXF11" s="301"/>
      <c r="IXG11" s="302"/>
      <c r="IXH11" s="301"/>
      <c r="IXI11" s="301"/>
      <c r="IXJ11" s="311"/>
      <c r="IXK11" s="301"/>
      <c r="IXL11" s="308"/>
      <c r="IXM11" s="301"/>
      <c r="IXN11" s="304"/>
      <c r="IXO11" s="307"/>
      <c r="IXP11" s="308"/>
      <c r="IXQ11" s="301"/>
      <c r="IXR11" s="308"/>
      <c r="IXS11" s="301"/>
      <c r="IXT11" s="301"/>
      <c r="IXU11" s="302"/>
      <c r="IXV11" s="301"/>
      <c r="IXW11" s="301"/>
      <c r="IXX11" s="302"/>
      <c r="IXY11" s="301"/>
      <c r="IXZ11" s="301"/>
      <c r="IYA11" s="311"/>
      <c r="IYB11" s="301"/>
      <c r="IYC11" s="308"/>
      <c r="IYD11" s="301"/>
      <c r="IYE11" s="304"/>
      <c r="IYF11" s="307"/>
      <c r="IYG11" s="308"/>
      <c r="IYH11" s="301"/>
      <c r="IYI11" s="308"/>
      <c r="IYJ11" s="301"/>
      <c r="IYK11" s="301"/>
      <c r="IYL11" s="302"/>
      <c r="IYM11" s="301"/>
      <c r="IYN11" s="301"/>
      <c r="IYO11" s="302"/>
      <c r="IYP11" s="301"/>
      <c r="IYQ11" s="301"/>
      <c r="IYR11" s="311"/>
      <c r="IYS11" s="301"/>
      <c r="IYT11" s="308"/>
      <c r="IYU11" s="301"/>
      <c r="IYV11" s="304"/>
      <c r="IYW11" s="307"/>
      <c r="IYX11" s="308"/>
      <c r="IYY11" s="301"/>
      <c r="IYZ11" s="308"/>
      <c r="IZA11" s="301"/>
      <c r="IZB11" s="301"/>
      <c r="IZC11" s="302"/>
      <c r="IZD11" s="301"/>
      <c r="IZE11" s="301"/>
      <c r="IZF11" s="302"/>
      <c r="IZG11" s="301"/>
      <c r="IZH11" s="301"/>
      <c r="IZI11" s="311"/>
      <c r="IZJ11" s="301"/>
      <c r="IZK11" s="308"/>
      <c r="IZL11" s="301"/>
      <c r="IZM11" s="304"/>
      <c r="IZN11" s="307"/>
      <c r="IZO11" s="308"/>
      <c r="IZP11" s="301"/>
      <c r="IZQ11" s="308"/>
      <c r="IZR11" s="301"/>
      <c r="IZS11" s="301"/>
      <c r="IZT11" s="302"/>
      <c r="IZU11" s="301"/>
      <c r="IZV11" s="301"/>
      <c r="IZW11" s="302"/>
      <c r="IZX11" s="301"/>
      <c r="IZY11" s="301"/>
      <c r="IZZ11" s="311"/>
      <c r="JAA11" s="301"/>
      <c r="JAB11" s="308"/>
      <c r="JAC11" s="301"/>
      <c r="JAD11" s="304"/>
      <c r="JAE11" s="307"/>
      <c r="JAF11" s="308"/>
      <c r="JAG11" s="301"/>
      <c r="JAH11" s="308"/>
      <c r="JAI11" s="301"/>
      <c r="JAJ11" s="301"/>
      <c r="JAK11" s="302"/>
      <c r="JAL11" s="301"/>
      <c r="JAM11" s="301"/>
      <c r="JAN11" s="302"/>
      <c r="JAO11" s="301"/>
      <c r="JAP11" s="301"/>
      <c r="JAQ11" s="311"/>
      <c r="JAR11" s="301"/>
      <c r="JAS11" s="308"/>
      <c r="JAT11" s="301"/>
      <c r="JAU11" s="304"/>
      <c r="JAV11" s="307"/>
      <c r="JAW11" s="308"/>
      <c r="JAX11" s="301"/>
      <c r="JAY11" s="308"/>
      <c r="JAZ11" s="301"/>
      <c r="JBA11" s="301"/>
      <c r="JBB11" s="302"/>
      <c r="JBC11" s="301"/>
      <c r="JBD11" s="301"/>
      <c r="JBE11" s="302"/>
      <c r="JBF11" s="301"/>
      <c r="JBG11" s="301"/>
      <c r="JBH11" s="311"/>
      <c r="JBI11" s="301"/>
      <c r="JBJ11" s="308"/>
      <c r="JBK11" s="301"/>
      <c r="JBL11" s="304"/>
      <c r="JBM11" s="307"/>
      <c r="JBN11" s="308"/>
      <c r="JBO11" s="301"/>
      <c r="JBP11" s="308"/>
      <c r="JBQ11" s="301"/>
      <c r="JBR11" s="301"/>
      <c r="JBS11" s="302"/>
      <c r="JBT11" s="301"/>
      <c r="JBU11" s="301"/>
      <c r="JBV11" s="302"/>
      <c r="JBW11" s="301"/>
      <c r="JBX11" s="301"/>
      <c r="JBY11" s="311"/>
      <c r="JBZ11" s="301"/>
      <c r="JCA11" s="308"/>
      <c r="JCB11" s="301"/>
      <c r="JCC11" s="304"/>
      <c r="JCD11" s="307"/>
      <c r="JCE11" s="308"/>
      <c r="JCF11" s="301"/>
      <c r="JCG11" s="308"/>
      <c r="JCH11" s="301"/>
      <c r="JCI11" s="301"/>
      <c r="JCJ11" s="302"/>
      <c r="JCK11" s="301"/>
      <c r="JCL11" s="301"/>
      <c r="JCM11" s="302"/>
      <c r="JCN11" s="301"/>
      <c r="JCO11" s="301"/>
      <c r="JCP11" s="311"/>
      <c r="JCQ11" s="301"/>
      <c r="JCR11" s="308"/>
      <c r="JCS11" s="301"/>
      <c r="JCT11" s="304"/>
      <c r="JCU11" s="307"/>
      <c r="JCV11" s="308"/>
      <c r="JCW11" s="301"/>
      <c r="JCX11" s="308"/>
      <c r="JCY11" s="301"/>
      <c r="JCZ11" s="301"/>
      <c r="JDA11" s="302"/>
      <c r="JDB11" s="301"/>
      <c r="JDC11" s="301"/>
      <c r="JDD11" s="302"/>
      <c r="JDE11" s="301"/>
      <c r="JDF11" s="301"/>
      <c r="JDG11" s="311"/>
      <c r="JDH11" s="301"/>
      <c r="JDI11" s="308"/>
      <c r="JDJ11" s="301"/>
      <c r="JDK11" s="304"/>
      <c r="JDL11" s="307"/>
      <c r="JDM11" s="308"/>
      <c r="JDN11" s="301"/>
      <c r="JDO11" s="308"/>
      <c r="JDP11" s="301"/>
      <c r="JDQ11" s="301"/>
      <c r="JDR11" s="302"/>
      <c r="JDS11" s="301"/>
      <c r="JDT11" s="301"/>
      <c r="JDU11" s="302"/>
      <c r="JDV11" s="301"/>
      <c r="JDW11" s="301"/>
      <c r="JDX11" s="311"/>
      <c r="JDY11" s="301"/>
      <c r="JDZ11" s="308"/>
      <c r="JEA11" s="301"/>
      <c r="JEB11" s="304"/>
      <c r="JEC11" s="307"/>
      <c r="JED11" s="308"/>
      <c r="JEE11" s="301"/>
      <c r="JEF11" s="308"/>
      <c r="JEG11" s="301"/>
      <c r="JEH11" s="301"/>
      <c r="JEI11" s="302"/>
      <c r="JEJ11" s="301"/>
      <c r="JEK11" s="301"/>
      <c r="JEL11" s="302"/>
      <c r="JEM11" s="301"/>
      <c r="JEN11" s="301"/>
      <c r="JEO11" s="311"/>
      <c r="JEP11" s="301"/>
      <c r="JEQ11" s="308"/>
      <c r="JER11" s="301"/>
      <c r="JES11" s="304"/>
      <c r="JET11" s="307"/>
      <c r="JEU11" s="308"/>
      <c r="JEV11" s="301"/>
      <c r="JEW11" s="308"/>
      <c r="JEX11" s="301"/>
      <c r="JEY11" s="301"/>
      <c r="JEZ11" s="302"/>
      <c r="JFA11" s="301"/>
      <c r="JFB11" s="301"/>
      <c r="JFC11" s="302"/>
      <c r="JFD11" s="301"/>
      <c r="JFE11" s="301"/>
      <c r="JFF11" s="311"/>
      <c r="JFG11" s="301"/>
      <c r="JFH11" s="308"/>
      <c r="JFI11" s="301"/>
      <c r="JFJ11" s="304"/>
      <c r="JFK11" s="307"/>
      <c r="JFL11" s="308"/>
      <c r="JFM11" s="301"/>
      <c r="JFN11" s="308"/>
      <c r="JFO11" s="301"/>
      <c r="JFP11" s="301"/>
      <c r="JFQ11" s="302"/>
      <c r="JFR11" s="301"/>
      <c r="JFS11" s="301"/>
      <c r="JFT11" s="302"/>
      <c r="JFU11" s="301"/>
      <c r="JFV11" s="301"/>
      <c r="JFW11" s="311"/>
      <c r="JFX11" s="301"/>
      <c r="JFY11" s="308"/>
      <c r="JFZ11" s="301"/>
      <c r="JGA11" s="304"/>
      <c r="JGB11" s="307"/>
      <c r="JGC11" s="308"/>
      <c r="JGD11" s="301"/>
      <c r="JGE11" s="308"/>
      <c r="JGF11" s="301"/>
      <c r="JGG11" s="301"/>
      <c r="JGH11" s="302"/>
      <c r="JGI11" s="301"/>
      <c r="JGJ11" s="301"/>
      <c r="JGK11" s="302"/>
      <c r="JGL11" s="301"/>
      <c r="JGM11" s="301"/>
      <c r="JGN11" s="311"/>
      <c r="JGO11" s="301"/>
      <c r="JGP11" s="308"/>
      <c r="JGQ11" s="301"/>
      <c r="JGR11" s="304"/>
      <c r="JGS11" s="307"/>
      <c r="JGT11" s="308"/>
      <c r="JGU11" s="301"/>
      <c r="JGV11" s="308"/>
      <c r="JGW11" s="301"/>
      <c r="JGX11" s="301"/>
      <c r="JGY11" s="302"/>
      <c r="JGZ11" s="301"/>
      <c r="JHA11" s="301"/>
      <c r="JHB11" s="302"/>
      <c r="JHC11" s="301"/>
      <c r="JHD11" s="301"/>
      <c r="JHE11" s="311"/>
      <c r="JHF11" s="301"/>
      <c r="JHG11" s="308"/>
      <c r="JHH11" s="301"/>
      <c r="JHI11" s="304"/>
      <c r="JHJ11" s="307"/>
      <c r="JHK11" s="308"/>
      <c r="JHL11" s="301"/>
      <c r="JHM11" s="308"/>
      <c r="JHN11" s="301"/>
      <c r="JHO11" s="301"/>
      <c r="JHP11" s="302"/>
      <c r="JHQ11" s="301"/>
      <c r="JHR11" s="301"/>
      <c r="JHS11" s="302"/>
      <c r="JHT11" s="301"/>
      <c r="JHU11" s="301"/>
      <c r="JHV11" s="311"/>
      <c r="JHW11" s="301"/>
      <c r="JHX11" s="308"/>
      <c r="JHY11" s="301"/>
      <c r="JHZ11" s="304"/>
      <c r="JIA11" s="307"/>
      <c r="JIB11" s="308"/>
      <c r="JIC11" s="301"/>
      <c r="JID11" s="308"/>
      <c r="JIE11" s="301"/>
      <c r="JIF11" s="301"/>
      <c r="JIG11" s="302"/>
      <c r="JIH11" s="301"/>
      <c r="JII11" s="301"/>
      <c r="JIJ11" s="302"/>
      <c r="JIK11" s="301"/>
      <c r="JIL11" s="301"/>
      <c r="JIM11" s="311"/>
      <c r="JIN11" s="301"/>
      <c r="JIO11" s="308"/>
      <c r="JIP11" s="301"/>
      <c r="JIQ11" s="304"/>
      <c r="JIR11" s="307"/>
      <c r="JIS11" s="308"/>
      <c r="JIT11" s="301"/>
      <c r="JIU11" s="308"/>
      <c r="JIV11" s="301"/>
      <c r="JIW11" s="301"/>
      <c r="JIX11" s="302"/>
      <c r="JIY11" s="301"/>
      <c r="JIZ11" s="301"/>
      <c r="JJA11" s="302"/>
      <c r="JJB11" s="301"/>
      <c r="JJC11" s="301"/>
      <c r="JJD11" s="311"/>
      <c r="JJE11" s="301"/>
      <c r="JJF11" s="308"/>
      <c r="JJG11" s="301"/>
      <c r="JJH11" s="304"/>
      <c r="JJI11" s="307"/>
      <c r="JJJ11" s="308"/>
      <c r="JJK11" s="301"/>
      <c r="JJL11" s="308"/>
      <c r="JJM11" s="301"/>
      <c r="JJN11" s="301"/>
      <c r="JJO11" s="302"/>
      <c r="JJP11" s="301"/>
      <c r="JJQ11" s="301"/>
      <c r="JJR11" s="302"/>
      <c r="JJS11" s="301"/>
      <c r="JJT11" s="301"/>
      <c r="JJU11" s="311"/>
      <c r="JJV11" s="301"/>
      <c r="JJW11" s="308"/>
      <c r="JJX11" s="301"/>
      <c r="JJY11" s="304"/>
      <c r="JJZ11" s="307"/>
      <c r="JKA11" s="308"/>
      <c r="JKB11" s="301"/>
      <c r="JKC11" s="308"/>
      <c r="JKD11" s="301"/>
      <c r="JKE11" s="301"/>
      <c r="JKF11" s="302"/>
      <c r="JKG11" s="301"/>
      <c r="JKH11" s="301"/>
      <c r="JKI11" s="302"/>
      <c r="JKJ11" s="301"/>
      <c r="JKK11" s="301"/>
      <c r="JKL11" s="311"/>
      <c r="JKM11" s="301"/>
      <c r="JKN11" s="308"/>
      <c r="JKO11" s="301"/>
      <c r="JKP11" s="304"/>
      <c r="JKQ11" s="307"/>
      <c r="JKR11" s="308"/>
      <c r="JKS11" s="301"/>
      <c r="JKT11" s="308"/>
      <c r="JKU11" s="301"/>
      <c r="JKV11" s="301"/>
      <c r="JKW11" s="302"/>
      <c r="JKX11" s="301"/>
      <c r="JKY11" s="301"/>
      <c r="JKZ11" s="302"/>
      <c r="JLA11" s="301"/>
      <c r="JLB11" s="301"/>
      <c r="JLC11" s="311"/>
      <c r="JLD11" s="301"/>
      <c r="JLE11" s="308"/>
      <c r="JLF11" s="301"/>
      <c r="JLG11" s="304"/>
      <c r="JLH11" s="307"/>
      <c r="JLI11" s="308"/>
      <c r="JLJ11" s="301"/>
      <c r="JLK11" s="308"/>
      <c r="JLL11" s="301"/>
      <c r="JLM11" s="301"/>
      <c r="JLN11" s="302"/>
      <c r="JLO11" s="301"/>
      <c r="JLP11" s="301"/>
      <c r="JLQ11" s="302"/>
      <c r="JLR11" s="301"/>
      <c r="JLS11" s="301"/>
      <c r="JLT11" s="311"/>
      <c r="JLU11" s="301"/>
      <c r="JLV11" s="308"/>
      <c r="JLW11" s="301"/>
      <c r="JLX11" s="304"/>
      <c r="JLY11" s="307"/>
      <c r="JLZ11" s="308"/>
      <c r="JMA11" s="301"/>
      <c r="JMB11" s="308"/>
      <c r="JMC11" s="301"/>
      <c r="JMD11" s="301"/>
      <c r="JME11" s="302"/>
      <c r="JMF11" s="301"/>
      <c r="JMG11" s="301"/>
      <c r="JMH11" s="302"/>
      <c r="JMI11" s="301"/>
      <c r="JMJ11" s="301"/>
      <c r="JMK11" s="311"/>
      <c r="JML11" s="301"/>
      <c r="JMM11" s="308"/>
      <c r="JMN11" s="301"/>
      <c r="JMO11" s="304"/>
      <c r="JMP11" s="307"/>
      <c r="JMQ11" s="308"/>
      <c r="JMR11" s="301"/>
      <c r="JMS11" s="308"/>
      <c r="JMT11" s="301"/>
      <c r="JMU11" s="301"/>
      <c r="JMV11" s="302"/>
      <c r="JMW11" s="301"/>
      <c r="JMX11" s="301"/>
      <c r="JMY11" s="302"/>
      <c r="JMZ11" s="301"/>
      <c r="JNA11" s="301"/>
      <c r="JNB11" s="311"/>
      <c r="JNC11" s="301"/>
      <c r="JND11" s="308"/>
      <c r="JNE11" s="301"/>
      <c r="JNF11" s="304"/>
      <c r="JNG11" s="307"/>
      <c r="JNH11" s="308"/>
      <c r="JNI11" s="301"/>
      <c r="JNJ11" s="308"/>
      <c r="JNK11" s="301"/>
      <c r="JNL11" s="301"/>
      <c r="JNM11" s="302"/>
      <c r="JNN11" s="301"/>
      <c r="JNO11" s="301"/>
      <c r="JNP11" s="302"/>
      <c r="JNQ11" s="301"/>
      <c r="JNR11" s="301"/>
      <c r="JNS11" s="311"/>
      <c r="JNT11" s="301"/>
      <c r="JNU11" s="308"/>
      <c r="JNV11" s="301"/>
      <c r="JNW11" s="304"/>
      <c r="JNX11" s="307"/>
      <c r="JNY11" s="308"/>
      <c r="JNZ11" s="301"/>
      <c r="JOA11" s="308"/>
      <c r="JOB11" s="301"/>
      <c r="JOC11" s="301"/>
      <c r="JOD11" s="302"/>
      <c r="JOE11" s="301"/>
      <c r="JOF11" s="301"/>
      <c r="JOG11" s="302"/>
      <c r="JOH11" s="301"/>
      <c r="JOI11" s="301"/>
      <c r="JOJ11" s="311"/>
      <c r="JOK11" s="301"/>
      <c r="JOL11" s="308"/>
      <c r="JOM11" s="301"/>
      <c r="JON11" s="304"/>
      <c r="JOO11" s="307"/>
      <c r="JOP11" s="308"/>
      <c r="JOQ11" s="301"/>
      <c r="JOR11" s="308"/>
      <c r="JOS11" s="301"/>
      <c r="JOT11" s="301"/>
      <c r="JOU11" s="302"/>
      <c r="JOV11" s="301"/>
      <c r="JOW11" s="301"/>
      <c r="JOX11" s="302"/>
      <c r="JOY11" s="301"/>
      <c r="JOZ11" s="301"/>
      <c r="JPA11" s="311"/>
      <c r="JPB11" s="301"/>
      <c r="JPC11" s="308"/>
      <c r="JPD11" s="301"/>
      <c r="JPE11" s="304"/>
      <c r="JPF11" s="307"/>
      <c r="JPG11" s="308"/>
      <c r="JPH11" s="301"/>
      <c r="JPI11" s="308"/>
      <c r="JPJ11" s="301"/>
      <c r="JPK11" s="301"/>
      <c r="JPL11" s="302"/>
      <c r="JPM11" s="301"/>
      <c r="JPN11" s="301"/>
      <c r="JPO11" s="302"/>
      <c r="JPP11" s="301"/>
      <c r="JPQ11" s="301"/>
      <c r="JPR11" s="311"/>
      <c r="JPS11" s="301"/>
      <c r="JPT11" s="308"/>
      <c r="JPU11" s="301"/>
      <c r="JPV11" s="304"/>
      <c r="JPW11" s="307"/>
      <c r="JPX11" s="308"/>
      <c r="JPY11" s="301"/>
      <c r="JPZ11" s="308"/>
      <c r="JQA11" s="301"/>
      <c r="JQB11" s="301"/>
      <c r="JQC11" s="302"/>
      <c r="JQD11" s="301"/>
      <c r="JQE11" s="301"/>
      <c r="JQF11" s="302"/>
      <c r="JQG11" s="301"/>
      <c r="JQH11" s="301"/>
      <c r="JQI11" s="311"/>
      <c r="JQJ11" s="301"/>
      <c r="JQK11" s="308"/>
      <c r="JQL11" s="301"/>
      <c r="JQM11" s="304"/>
      <c r="JQN11" s="307"/>
      <c r="JQO11" s="308"/>
      <c r="JQP11" s="301"/>
      <c r="JQQ11" s="308"/>
      <c r="JQR11" s="301"/>
      <c r="JQS11" s="301"/>
      <c r="JQT11" s="302"/>
      <c r="JQU11" s="301"/>
      <c r="JQV11" s="301"/>
      <c r="JQW11" s="302"/>
      <c r="JQX11" s="301"/>
      <c r="JQY11" s="301"/>
      <c r="JQZ11" s="311"/>
      <c r="JRA11" s="301"/>
      <c r="JRB11" s="308"/>
      <c r="JRC11" s="301"/>
      <c r="JRD11" s="304"/>
      <c r="JRE11" s="307"/>
      <c r="JRF11" s="308"/>
      <c r="JRG11" s="301"/>
      <c r="JRH11" s="308"/>
      <c r="JRI11" s="301"/>
      <c r="JRJ11" s="301"/>
      <c r="JRK11" s="302"/>
      <c r="JRL11" s="301"/>
      <c r="JRM11" s="301"/>
      <c r="JRN11" s="302"/>
      <c r="JRO11" s="301"/>
      <c r="JRP11" s="301"/>
      <c r="JRQ11" s="311"/>
      <c r="JRR11" s="301"/>
      <c r="JRS11" s="308"/>
      <c r="JRT11" s="301"/>
      <c r="JRU11" s="304"/>
      <c r="JRV11" s="307"/>
      <c r="JRW11" s="308"/>
      <c r="JRX11" s="301"/>
      <c r="JRY11" s="308"/>
      <c r="JRZ11" s="301"/>
      <c r="JSA11" s="301"/>
      <c r="JSB11" s="302"/>
      <c r="JSC11" s="301"/>
      <c r="JSD11" s="301"/>
      <c r="JSE11" s="302"/>
      <c r="JSF11" s="301"/>
      <c r="JSG11" s="301"/>
      <c r="JSH11" s="311"/>
      <c r="JSI11" s="301"/>
      <c r="JSJ11" s="308"/>
      <c r="JSK11" s="301"/>
      <c r="JSL11" s="304"/>
      <c r="JSM11" s="307"/>
      <c r="JSN11" s="308"/>
      <c r="JSO11" s="301"/>
      <c r="JSP11" s="308"/>
      <c r="JSQ11" s="301"/>
      <c r="JSR11" s="301"/>
      <c r="JSS11" s="302"/>
      <c r="JST11" s="301"/>
      <c r="JSU11" s="301"/>
      <c r="JSV11" s="302"/>
      <c r="JSW11" s="301"/>
      <c r="JSX11" s="301"/>
      <c r="JSY11" s="311"/>
      <c r="JSZ11" s="301"/>
      <c r="JTA11" s="308"/>
      <c r="JTB11" s="301"/>
      <c r="JTC11" s="304"/>
      <c r="JTD11" s="307"/>
      <c r="JTE11" s="308"/>
      <c r="JTF11" s="301"/>
      <c r="JTG11" s="308"/>
      <c r="JTH11" s="301"/>
      <c r="JTI11" s="301"/>
      <c r="JTJ11" s="302"/>
      <c r="JTK11" s="301"/>
      <c r="JTL11" s="301"/>
      <c r="JTM11" s="302"/>
      <c r="JTN11" s="301"/>
      <c r="JTO11" s="301"/>
      <c r="JTP11" s="311"/>
      <c r="JTQ11" s="301"/>
      <c r="JTR11" s="308"/>
      <c r="JTS11" s="301"/>
      <c r="JTT11" s="304"/>
      <c r="JTU11" s="307"/>
      <c r="JTV11" s="308"/>
      <c r="JTW11" s="301"/>
      <c r="JTX11" s="308"/>
      <c r="JTY11" s="301"/>
      <c r="JTZ11" s="301"/>
      <c r="JUA11" s="302"/>
      <c r="JUB11" s="301"/>
      <c r="JUC11" s="301"/>
      <c r="JUD11" s="302"/>
      <c r="JUE11" s="301"/>
      <c r="JUF11" s="301"/>
      <c r="JUG11" s="311"/>
      <c r="JUH11" s="301"/>
      <c r="JUI11" s="308"/>
      <c r="JUJ11" s="301"/>
      <c r="JUK11" s="304"/>
      <c r="JUL11" s="307"/>
      <c r="JUM11" s="308"/>
      <c r="JUN11" s="301"/>
      <c r="JUO11" s="308"/>
      <c r="JUP11" s="301"/>
      <c r="JUQ11" s="301"/>
      <c r="JUR11" s="302"/>
      <c r="JUS11" s="301"/>
      <c r="JUT11" s="301"/>
      <c r="JUU11" s="302"/>
      <c r="JUV11" s="301"/>
      <c r="JUW11" s="301"/>
      <c r="JUX11" s="311"/>
      <c r="JUY11" s="301"/>
      <c r="JUZ11" s="308"/>
      <c r="JVA11" s="301"/>
      <c r="JVB11" s="304"/>
      <c r="JVC11" s="307"/>
      <c r="JVD11" s="308"/>
      <c r="JVE11" s="301"/>
      <c r="JVF11" s="308"/>
      <c r="JVG11" s="301"/>
      <c r="JVH11" s="301"/>
      <c r="JVI11" s="302"/>
      <c r="JVJ11" s="301"/>
      <c r="JVK11" s="301"/>
      <c r="JVL11" s="302"/>
      <c r="JVM11" s="301"/>
      <c r="JVN11" s="301"/>
      <c r="JVO11" s="311"/>
      <c r="JVP11" s="301"/>
      <c r="JVQ11" s="308"/>
      <c r="JVR11" s="301"/>
      <c r="JVS11" s="304"/>
      <c r="JVT11" s="307"/>
      <c r="JVU11" s="308"/>
      <c r="JVV11" s="301"/>
      <c r="JVW11" s="308"/>
      <c r="JVX11" s="301"/>
      <c r="JVY11" s="301"/>
      <c r="JVZ11" s="302"/>
      <c r="JWA11" s="301"/>
      <c r="JWB11" s="301"/>
      <c r="JWC11" s="302"/>
      <c r="JWD11" s="301"/>
      <c r="JWE11" s="301"/>
      <c r="JWF11" s="311"/>
      <c r="JWG11" s="301"/>
      <c r="JWH11" s="308"/>
      <c r="JWI11" s="301"/>
      <c r="JWJ11" s="304"/>
      <c r="JWK11" s="307"/>
      <c r="JWL11" s="308"/>
      <c r="JWM11" s="301"/>
      <c r="JWN11" s="308"/>
      <c r="JWO11" s="301"/>
      <c r="JWP11" s="301"/>
      <c r="JWQ11" s="302"/>
      <c r="JWR11" s="301"/>
      <c r="JWS11" s="301"/>
      <c r="JWT11" s="302"/>
      <c r="JWU11" s="301"/>
      <c r="JWV11" s="301"/>
      <c r="JWW11" s="311"/>
      <c r="JWX11" s="301"/>
      <c r="JWY11" s="308"/>
      <c r="JWZ11" s="301"/>
      <c r="JXA11" s="304"/>
      <c r="JXB11" s="307"/>
      <c r="JXC11" s="308"/>
      <c r="JXD11" s="301"/>
      <c r="JXE11" s="308"/>
      <c r="JXF11" s="301"/>
      <c r="JXG11" s="301"/>
      <c r="JXH11" s="302"/>
      <c r="JXI11" s="301"/>
      <c r="JXJ11" s="301"/>
      <c r="JXK11" s="302"/>
      <c r="JXL11" s="301"/>
      <c r="JXM11" s="301"/>
      <c r="JXN11" s="311"/>
      <c r="JXO11" s="301"/>
      <c r="JXP11" s="308"/>
      <c r="JXQ11" s="301"/>
      <c r="JXR11" s="304"/>
      <c r="JXS11" s="307"/>
      <c r="JXT11" s="308"/>
      <c r="JXU11" s="301"/>
      <c r="JXV11" s="308"/>
      <c r="JXW11" s="301"/>
      <c r="JXX11" s="301"/>
      <c r="JXY11" s="302"/>
      <c r="JXZ11" s="301"/>
      <c r="JYA11" s="301"/>
      <c r="JYB11" s="302"/>
      <c r="JYC11" s="301"/>
      <c r="JYD11" s="301"/>
      <c r="JYE11" s="311"/>
      <c r="JYF11" s="301"/>
      <c r="JYG11" s="308"/>
      <c r="JYH11" s="301"/>
      <c r="JYI11" s="304"/>
      <c r="JYJ11" s="307"/>
      <c r="JYK11" s="308"/>
      <c r="JYL11" s="301"/>
      <c r="JYM11" s="308"/>
      <c r="JYN11" s="301"/>
      <c r="JYO11" s="301"/>
      <c r="JYP11" s="302"/>
      <c r="JYQ11" s="301"/>
      <c r="JYR11" s="301"/>
      <c r="JYS11" s="302"/>
      <c r="JYT11" s="301"/>
      <c r="JYU11" s="301"/>
      <c r="JYV11" s="311"/>
      <c r="JYW11" s="301"/>
      <c r="JYX11" s="308"/>
      <c r="JYY11" s="301"/>
      <c r="JYZ11" s="304"/>
      <c r="JZA11" s="307"/>
      <c r="JZB11" s="308"/>
      <c r="JZC11" s="301"/>
      <c r="JZD11" s="308"/>
      <c r="JZE11" s="301"/>
      <c r="JZF11" s="301"/>
      <c r="JZG11" s="302"/>
      <c r="JZH11" s="301"/>
      <c r="JZI11" s="301"/>
      <c r="JZJ11" s="302"/>
      <c r="JZK11" s="301"/>
      <c r="JZL11" s="301"/>
      <c r="JZM11" s="311"/>
      <c r="JZN11" s="301"/>
      <c r="JZO11" s="308"/>
      <c r="JZP11" s="301"/>
      <c r="JZQ11" s="304"/>
      <c r="JZR11" s="307"/>
      <c r="JZS11" s="308"/>
      <c r="JZT11" s="301"/>
      <c r="JZU11" s="308"/>
      <c r="JZV11" s="301"/>
      <c r="JZW11" s="301"/>
      <c r="JZX11" s="302"/>
      <c r="JZY11" s="301"/>
      <c r="JZZ11" s="301"/>
      <c r="KAA11" s="302"/>
      <c r="KAB11" s="301"/>
      <c r="KAC11" s="301"/>
      <c r="KAD11" s="311"/>
      <c r="KAE11" s="301"/>
      <c r="KAF11" s="308"/>
      <c r="KAG11" s="301"/>
      <c r="KAH11" s="304"/>
      <c r="KAI11" s="307"/>
      <c r="KAJ11" s="308"/>
      <c r="KAK11" s="301"/>
      <c r="KAL11" s="308"/>
      <c r="KAM11" s="301"/>
      <c r="KAN11" s="301"/>
      <c r="KAO11" s="302"/>
      <c r="KAP11" s="301"/>
      <c r="KAQ11" s="301"/>
      <c r="KAR11" s="302"/>
      <c r="KAS11" s="301"/>
      <c r="KAT11" s="301"/>
      <c r="KAU11" s="311"/>
      <c r="KAV11" s="301"/>
      <c r="KAW11" s="308"/>
      <c r="KAX11" s="301"/>
      <c r="KAY11" s="304"/>
      <c r="KAZ11" s="307"/>
      <c r="KBA11" s="308"/>
      <c r="KBB11" s="301"/>
      <c r="KBC11" s="308"/>
      <c r="KBD11" s="301"/>
      <c r="KBE11" s="301"/>
      <c r="KBF11" s="302"/>
      <c r="KBG11" s="301"/>
      <c r="KBH11" s="301"/>
      <c r="KBI11" s="302"/>
      <c r="KBJ11" s="301"/>
      <c r="KBK11" s="301"/>
      <c r="KBL11" s="311"/>
      <c r="KBM11" s="301"/>
      <c r="KBN11" s="308"/>
      <c r="KBO11" s="301"/>
      <c r="KBP11" s="304"/>
      <c r="KBQ11" s="307"/>
      <c r="KBR11" s="308"/>
      <c r="KBS11" s="301"/>
      <c r="KBT11" s="308"/>
      <c r="KBU11" s="301"/>
      <c r="KBV11" s="301"/>
      <c r="KBW11" s="302"/>
      <c r="KBX11" s="301"/>
      <c r="KBY11" s="301"/>
      <c r="KBZ11" s="302"/>
      <c r="KCA11" s="301"/>
      <c r="KCB11" s="301"/>
      <c r="KCC11" s="311"/>
      <c r="KCD11" s="301"/>
      <c r="KCE11" s="308"/>
      <c r="KCF11" s="301"/>
      <c r="KCG11" s="304"/>
      <c r="KCH11" s="307"/>
      <c r="KCI11" s="308"/>
      <c r="KCJ11" s="301"/>
      <c r="KCK11" s="308"/>
      <c r="KCL11" s="301"/>
      <c r="KCM11" s="301"/>
      <c r="KCN11" s="302"/>
      <c r="KCO11" s="301"/>
      <c r="KCP11" s="301"/>
      <c r="KCQ11" s="302"/>
      <c r="KCR11" s="301"/>
      <c r="KCS11" s="301"/>
      <c r="KCT11" s="311"/>
      <c r="KCU11" s="301"/>
      <c r="KCV11" s="308"/>
      <c r="KCW11" s="301"/>
      <c r="KCX11" s="304"/>
      <c r="KCY11" s="307"/>
      <c r="KCZ11" s="308"/>
      <c r="KDA11" s="301"/>
      <c r="KDB11" s="308"/>
      <c r="KDC11" s="301"/>
      <c r="KDD11" s="301"/>
      <c r="KDE11" s="302"/>
      <c r="KDF11" s="301"/>
      <c r="KDG11" s="301"/>
      <c r="KDH11" s="302"/>
      <c r="KDI11" s="301"/>
      <c r="KDJ11" s="301"/>
      <c r="KDK11" s="311"/>
      <c r="KDL11" s="301"/>
      <c r="KDM11" s="308"/>
      <c r="KDN11" s="301"/>
      <c r="KDO11" s="304"/>
      <c r="KDP11" s="307"/>
      <c r="KDQ11" s="308"/>
      <c r="KDR11" s="301"/>
      <c r="KDS11" s="308"/>
      <c r="KDT11" s="301"/>
      <c r="KDU11" s="301"/>
      <c r="KDV11" s="302"/>
      <c r="KDW11" s="301"/>
      <c r="KDX11" s="301"/>
      <c r="KDY11" s="302"/>
      <c r="KDZ11" s="301"/>
      <c r="KEA11" s="301"/>
      <c r="KEB11" s="311"/>
      <c r="KEC11" s="301"/>
      <c r="KED11" s="308"/>
      <c r="KEE11" s="301"/>
      <c r="KEF11" s="304"/>
      <c r="KEG11" s="307"/>
      <c r="KEH11" s="308"/>
      <c r="KEI11" s="301"/>
      <c r="KEJ11" s="308"/>
      <c r="KEK11" s="301"/>
      <c r="KEL11" s="301"/>
      <c r="KEM11" s="302"/>
      <c r="KEN11" s="301"/>
      <c r="KEO11" s="301"/>
      <c r="KEP11" s="302"/>
      <c r="KEQ11" s="301"/>
      <c r="KER11" s="301"/>
      <c r="KES11" s="311"/>
      <c r="KET11" s="301"/>
      <c r="KEU11" s="308"/>
      <c r="KEV11" s="301"/>
      <c r="KEW11" s="304"/>
      <c r="KEX11" s="307"/>
      <c r="KEY11" s="308"/>
      <c r="KEZ11" s="301"/>
      <c r="KFA11" s="308"/>
      <c r="KFB11" s="301"/>
      <c r="KFC11" s="301"/>
      <c r="KFD11" s="302"/>
      <c r="KFE11" s="301"/>
      <c r="KFF11" s="301"/>
      <c r="KFG11" s="302"/>
      <c r="KFH11" s="301"/>
      <c r="KFI11" s="301"/>
      <c r="KFJ11" s="311"/>
      <c r="KFK11" s="301"/>
      <c r="KFL11" s="308"/>
      <c r="KFM11" s="301"/>
      <c r="KFN11" s="304"/>
      <c r="KFO11" s="307"/>
      <c r="KFP11" s="308"/>
      <c r="KFQ11" s="301"/>
      <c r="KFR11" s="308"/>
      <c r="KFS11" s="301"/>
      <c r="KFT11" s="301"/>
      <c r="KFU11" s="302"/>
      <c r="KFV11" s="301"/>
      <c r="KFW11" s="301"/>
      <c r="KFX11" s="302"/>
      <c r="KFY11" s="301"/>
      <c r="KFZ11" s="301"/>
      <c r="KGA11" s="311"/>
      <c r="KGB11" s="301"/>
      <c r="KGC11" s="308"/>
      <c r="KGD11" s="301"/>
      <c r="KGE11" s="304"/>
      <c r="KGF11" s="307"/>
      <c r="KGG11" s="308"/>
      <c r="KGH11" s="301"/>
      <c r="KGI11" s="308"/>
      <c r="KGJ11" s="301"/>
      <c r="KGK11" s="301"/>
      <c r="KGL11" s="302"/>
      <c r="KGM11" s="301"/>
      <c r="KGN11" s="301"/>
      <c r="KGO11" s="302"/>
      <c r="KGP11" s="301"/>
      <c r="KGQ11" s="301"/>
      <c r="KGR11" s="311"/>
      <c r="KGS11" s="301"/>
      <c r="KGT11" s="308"/>
      <c r="KGU11" s="301"/>
      <c r="KGV11" s="304"/>
      <c r="KGW11" s="307"/>
      <c r="KGX11" s="308"/>
      <c r="KGY11" s="301"/>
      <c r="KGZ11" s="308"/>
      <c r="KHA11" s="301"/>
      <c r="KHB11" s="301"/>
      <c r="KHC11" s="302"/>
      <c r="KHD11" s="301"/>
      <c r="KHE11" s="301"/>
      <c r="KHF11" s="302"/>
      <c r="KHG11" s="301"/>
      <c r="KHH11" s="301"/>
      <c r="KHI11" s="311"/>
      <c r="KHJ11" s="301"/>
      <c r="KHK11" s="308"/>
      <c r="KHL11" s="301"/>
      <c r="KHM11" s="304"/>
      <c r="KHN11" s="307"/>
      <c r="KHO11" s="308"/>
      <c r="KHP11" s="301"/>
      <c r="KHQ11" s="308"/>
      <c r="KHR11" s="301"/>
      <c r="KHS11" s="301"/>
      <c r="KHT11" s="302"/>
      <c r="KHU11" s="301"/>
      <c r="KHV11" s="301"/>
      <c r="KHW11" s="302"/>
      <c r="KHX11" s="301"/>
      <c r="KHY11" s="301"/>
      <c r="KHZ11" s="311"/>
      <c r="KIA11" s="301"/>
      <c r="KIB11" s="308"/>
      <c r="KIC11" s="301"/>
      <c r="KID11" s="304"/>
      <c r="KIE11" s="307"/>
      <c r="KIF11" s="308"/>
      <c r="KIG11" s="301"/>
      <c r="KIH11" s="308"/>
      <c r="KII11" s="301"/>
      <c r="KIJ11" s="301"/>
      <c r="KIK11" s="302"/>
      <c r="KIL11" s="301"/>
      <c r="KIM11" s="301"/>
      <c r="KIN11" s="302"/>
      <c r="KIO11" s="301"/>
      <c r="KIP11" s="301"/>
      <c r="KIQ11" s="311"/>
      <c r="KIR11" s="301"/>
      <c r="KIS11" s="308"/>
      <c r="KIT11" s="301"/>
      <c r="KIU11" s="304"/>
      <c r="KIV11" s="307"/>
      <c r="KIW11" s="308"/>
      <c r="KIX11" s="301"/>
      <c r="KIY11" s="308"/>
      <c r="KIZ11" s="301"/>
      <c r="KJA11" s="301"/>
      <c r="KJB11" s="302"/>
      <c r="KJC11" s="301"/>
      <c r="KJD11" s="301"/>
      <c r="KJE11" s="302"/>
      <c r="KJF11" s="301"/>
      <c r="KJG11" s="301"/>
      <c r="KJH11" s="311"/>
      <c r="KJI11" s="301"/>
      <c r="KJJ11" s="308"/>
      <c r="KJK11" s="301"/>
      <c r="KJL11" s="304"/>
      <c r="KJM11" s="307"/>
      <c r="KJN11" s="308"/>
      <c r="KJO11" s="301"/>
      <c r="KJP11" s="308"/>
      <c r="KJQ11" s="301"/>
      <c r="KJR11" s="301"/>
      <c r="KJS11" s="302"/>
      <c r="KJT11" s="301"/>
      <c r="KJU11" s="301"/>
      <c r="KJV11" s="302"/>
      <c r="KJW11" s="301"/>
      <c r="KJX11" s="301"/>
      <c r="KJY11" s="311"/>
      <c r="KJZ11" s="301"/>
      <c r="KKA11" s="308"/>
      <c r="KKB11" s="301"/>
      <c r="KKC11" s="304"/>
      <c r="KKD11" s="307"/>
      <c r="KKE11" s="308"/>
      <c r="KKF11" s="301"/>
      <c r="KKG11" s="308"/>
      <c r="KKH11" s="301"/>
      <c r="KKI11" s="301"/>
      <c r="KKJ11" s="302"/>
      <c r="KKK11" s="301"/>
      <c r="KKL11" s="301"/>
      <c r="KKM11" s="302"/>
      <c r="KKN11" s="301"/>
      <c r="KKO11" s="301"/>
      <c r="KKP11" s="311"/>
      <c r="KKQ11" s="301"/>
      <c r="KKR11" s="308"/>
      <c r="KKS11" s="301"/>
      <c r="KKT11" s="304"/>
      <c r="KKU11" s="307"/>
      <c r="KKV11" s="308"/>
      <c r="KKW11" s="301"/>
      <c r="KKX11" s="308"/>
      <c r="KKY11" s="301"/>
      <c r="KKZ11" s="301"/>
      <c r="KLA11" s="302"/>
      <c r="KLB11" s="301"/>
      <c r="KLC11" s="301"/>
      <c r="KLD11" s="302"/>
      <c r="KLE11" s="301"/>
      <c r="KLF11" s="301"/>
      <c r="KLG11" s="311"/>
      <c r="KLH11" s="301"/>
      <c r="KLI11" s="308"/>
      <c r="KLJ11" s="301"/>
      <c r="KLK11" s="304"/>
      <c r="KLL11" s="307"/>
      <c r="KLM11" s="308"/>
      <c r="KLN11" s="301"/>
      <c r="KLO11" s="308"/>
      <c r="KLP11" s="301"/>
      <c r="KLQ11" s="301"/>
      <c r="KLR11" s="302"/>
      <c r="KLS11" s="301"/>
      <c r="KLT11" s="301"/>
      <c r="KLU11" s="302"/>
      <c r="KLV11" s="301"/>
      <c r="KLW11" s="301"/>
      <c r="KLX11" s="311"/>
      <c r="KLY11" s="301"/>
      <c r="KLZ11" s="308"/>
      <c r="KMA11" s="301"/>
      <c r="KMB11" s="304"/>
      <c r="KMC11" s="307"/>
      <c r="KMD11" s="308"/>
      <c r="KME11" s="301"/>
      <c r="KMF11" s="308"/>
      <c r="KMG11" s="301"/>
      <c r="KMH11" s="301"/>
      <c r="KMI11" s="302"/>
      <c r="KMJ11" s="301"/>
      <c r="KMK11" s="301"/>
      <c r="KML11" s="302"/>
      <c r="KMM11" s="301"/>
      <c r="KMN11" s="301"/>
      <c r="KMO11" s="311"/>
      <c r="KMP11" s="301"/>
      <c r="KMQ11" s="308"/>
      <c r="KMR11" s="301"/>
      <c r="KMS11" s="304"/>
      <c r="KMT11" s="307"/>
      <c r="KMU11" s="308"/>
      <c r="KMV11" s="301"/>
      <c r="KMW11" s="308"/>
      <c r="KMX11" s="301"/>
      <c r="KMY11" s="301"/>
      <c r="KMZ11" s="302"/>
      <c r="KNA11" s="301"/>
      <c r="KNB11" s="301"/>
      <c r="KNC11" s="302"/>
      <c r="KND11" s="301"/>
      <c r="KNE11" s="301"/>
      <c r="KNF11" s="311"/>
      <c r="KNG11" s="301"/>
      <c r="KNH11" s="308"/>
      <c r="KNI11" s="301"/>
      <c r="KNJ11" s="304"/>
      <c r="KNK11" s="307"/>
      <c r="KNL11" s="308"/>
      <c r="KNM11" s="301"/>
      <c r="KNN11" s="308"/>
      <c r="KNO11" s="301"/>
      <c r="KNP11" s="301"/>
      <c r="KNQ11" s="302"/>
      <c r="KNR11" s="301"/>
      <c r="KNS11" s="301"/>
      <c r="KNT11" s="302"/>
      <c r="KNU11" s="301"/>
      <c r="KNV11" s="301"/>
      <c r="KNW11" s="311"/>
      <c r="KNX11" s="301"/>
      <c r="KNY11" s="308"/>
      <c r="KNZ11" s="301"/>
      <c r="KOA11" s="304"/>
      <c r="KOB11" s="307"/>
      <c r="KOC11" s="308"/>
      <c r="KOD11" s="301"/>
      <c r="KOE11" s="308"/>
      <c r="KOF11" s="301"/>
      <c r="KOG11" s="301"/>
      <c r="KOH11" s="302"/>
      <c r="KOI11" s="301"/>
      <c r="KOJ11" s="301"/>
      <c r="KOK11" s="302"/>
      <c r="KOL11" s="301"/>
      <c r="KOM11" s="301"/>
      <c r="KON11" s="311"/>
      <c r="KOO11" s="301"/>
      <c r="KOP11" s="308"/>
      <c r="KOQ11" s="301"/>
      <c r="KOR11" s="304"/>
      <c r="KOS11" s="307"/>
      <c r="KOT11" s="308"/>
      <c r="KOU11" s="301"/>
      <c r="KOV11" s="308"/>
      <c r="KOW11" s="301"/>
      <c r="KOX11" s="301"/>
      <c r="KOY11" s="302"/>
      <c r="KOZ11" s="301"/>
      <c r="KPA11" s="301"/>
      <c r="KPB11" s="302"/>
      <c r="KPC11" s="301"/>
      <c r="KPD11" s="301"/>
      <c r="KPE11" s="311"/>
      <c r="KPF11" s="301"/>
      <c r="KPG11" s="308"/>
      <c r="KPH11" s="301"/>
      <c r="KPI11" s="304"/>
      <c r="KPJ11" s="307"/>
      <c r="KPK11" s="308"/>
      <c r="KPL11" s="301"/>
      <c r="KPM11" s="308"/>
      <c r="KPN11" s="301"/>
      <c r="KPO11" s="301"/>
      <c r="KPP11" s="302"/>
      <c r="KPQ11" s="301"/>
      <c r="KPR11" s="301"/>
      <c r="KPS11" s="302"/>
      <c r="KPT11" s="301"/>
      <c r="KPU11" s="301"/>
      <c r="KPV11" s="311"/>
      <c r="KPW11" s="301"/>
      <c r="KPX11" s="308"/>
      <c r="KPY11" s="301"/>
      <c r="KPZ11" s="304"/>
      <c r="KQA11" s="307"/>
      <c r="KQB11" s="308"/>
      <c r="KQC11" s="301"/>
      <c r="KQD11" s="308"/>
      <c r="KQE11" s="301"/>
      <c r="KQF11" s="301"/>
      <c r="KQG11" s="302"/>
      <c r="KQH11" s="301"/>
      <c r="KQI11" s="301"/>
      <c r="KQJ11" s="302"/>
      <c r="KQK11" s="301"/>
      <c r="KQL11" s="301"/>
      <c r="KQM11" s="311"/>
      <c r="KQN11" s="301"/>
      <c r="KQO11" s="308"/>
      <c r="KQP11" s="301"/>
      <c r="KQQ11" s="304"/>
      <c r="KQR11" s="307"/>
      <c r="KQS11" s="308"/>
      <c r="KQT11" s="301"/>
      <c r="KQU11" s="308"/>
      <c r="KQV11" s="301"/>
      <c r="KQW11" s="301"/>
      <c r="KQX11" s="302"/>
      <c r="KQY11" s="301"/>
      <c r="KQZ11" s="301"/>
      <c r="KRA11" s="302"/>
      <c r="KRB11" s="301"/>
      <c r="KRC11" s="301"/>
      <c r="KRD11" s="311"/>
      <c r="KRE11" s="301"/>
      <c r="KRF11" s="308"/>
      <c r="KRG11" s="301"/>
      <c r="KRH11" s="304"/>
      <c r="KRI11" s="307"/>
      <c r="KRJ11" s="308"/>
      <c r="KRK11" s="301"/>
      <c r="KRL11" s="308"/>
      <c r="KRM11" s="301"/>
      <c r="KRN11" s="301"/>
      <c r="KRO11" s="302"/>
      <c r="KRP11" s="301"/>
      <c r="KRQ11" s="301"/>
      <c r="KRR11" s="302"/>
      <c r="KRS11" s="301"/>
      <c r="KRT11" s="301"/>
      <c r="KRU11" s="311"/>
      <c r="KRV11" s="301"/>
      <c r="KRW11" s="308"/>
      <c r="KRX11" s="301"/>
      <c r="KRY11" s="304"/>
      <c r="KRZ11" s="307"/>
      <c r="KSA11" s="308"/>
      <c r="KSB11" s="301"/>
      <c r="KSC11" s="308"/>
      <c r="KSD11" s="301"/>
      <c r="KSE11" s="301"/>
      <c r="KSF11" s="302"/>
      <c r="KSG11" s="301"/>
      <c r="KSH11" s="301"/>
      <c r="KSI11" s="302"/>
      <c r="KSJ11" s="301"/>
      <c r="KSK11" s="301"/>
      <c r="KSL11" s="311"/>
      <c r="KSM11" s="301"/>
      <c r="KSN11" s="308"/>
      <c r="KSO11" s="301"/>
      <c r="KSP11" s="304"/>
      <c r="KSQ11" s="307"/>
      <c r="KSR11" s="308"/>
      <c r="KSS11" s="301"/>
      <c r="KST11" s="308"/>
      <c r="KSU11" s="301"/>
      <c r="KSV11" s="301"/>
      <c r="KSW11" s="302"/>
      <c r="KSX11" s="301"/>
      <c r="KSY11" s="301"/>
      <c r="KSZ11" s="302"/>
      <c r="KTA11" s="301"/>
      <c r="KTB11" s="301"/>
      <c r="KTC11" s="311"/>
      <c r="KTD11" s="301"/>
      <c r="KTE11" s="308"/>
      <c r="KTF11" s="301"/>
      <c r="KTG11" s="304"/>
      <c r="KTH11" s="307"/>
      <c r="KTI11" s="308"/>
      <c r="KTJ11" s="301"/>
      <c r="KTK11" s="308"/>
      <c r="KTL11" s="301"/>
      <c r="KTM11" s="301"/>
      <c r="KTN11" s="302"/>
      <c r="KTO11" s="301"/>
      <c r="KTP11" s="301"/>
      <c r="KTQ11" s="302"/>
      <c r="KTR11" s="301"/>
      <c r="KTS11" s="301"/>
      <c r="KTT11" s="311"/>
      <c r="KTU11" s="301"/>
      <c r="KTV11" s="308"/>
      <c r="KTW11" s="301"/>
      <c r="KTX11" s="304"/>
      <c r="KTY11" s="307"/>
      <c r="KTZ11" s="308"/>
      <c r="KUA11" s="301"/>
      <c r="KUB11" s="308"/>
      <c r="KUC11" s="301"/>
      <c r="KUD11" s="301"/>
      <c r="KUE11" s="302"/>
      <c r="KUF11" s="301"/>
      <c r="KUG11" s="301"/>
      <c r="KUH11" s="302"/>
      <c r="KUI11" s="301"/>
      <c r="KUJ11" s="301"/>
      <c r="KUK11" s="311"/>
      <c r="KUL11" s="301"/>
      <c r="KUM11" s="308"/>
      <c r="KUN11" s="301"/>
      <c r="KUO11" s="304"/>
      <c r="KUP11" s="307"/>
      <c r="KUQ11" s="308"/>
      <c r="KUR11" s="301"/>
      <c r="KUS11" s="308"/>
      <c r="KUT11" s="301"/>
      <c r="KUU11" s="301"/>
      <c r="KUV11" s="302"/>
      <c r="KUW11" s="301"/>
      <c r="KUX11" s="301"/>
      <c r="KUY11" s="302"/>
      <c r="KUZ11" s="301"/>
      <c r="KVA11" s="301"/>
      <c r="KVB11" s="311"/>
      <c r="KVC11" s="301"/>
      <c r="KVD11" s="308"/>
      <c r="KVE11" s="301"/>
      <c r="KVF11" s="304"/>
      <c r="KVG11" s="307"/>
      <c r="KVH11" s="308"/>
      <c r="KVI11" s="301"/>
      <c r="KVJ11" s="308"/>
      <c r="KVK11" s="301"/>
      <c r="KVL11" s="301"/>
      <c r="KVM11" s="302"/>
      <c r="KVN11" s="301"/>
      <c r="KVO11" s="301"/>
      <c r="KVP11" s="302"/>
      <c r="KVQ11" s="301"/>
      <c r="KVR11" s="301"/>
      <c r="KVS11" s="311"/>
      <c r="KVT11" s="301"/>
      <c r="KVU11" s="308"/>
      <c r="KVV11" s="301"/>
      <c r="KVW11" s="304"/>
      <c r="KVX11" s="307"/>
      <c r="KVY11" s="308"/>
      <c r="KVZ11" s="301"/>
      <c r="KWA11" s="308"/>
      <c r="KWB11" s="301"/>
      <c r="KWC11" s="301"/>
      <c r="KWD11" s="302"/>
      <c r="KWE11" s="301"/>
      <c r="KWF11" s="301"/>
      <c r="KWG11" s="302"/>
      <c r="KWH11" s="301"/>
      <c r="KWI11" s="301"/>
      <c r="KWJ11" s="311"/>
      <c r="KWK11" s="301"/>
      <c r="KWL11" s="308"/>
      <c r="KWM11" s="301"/>
      <c r="KWN11" s="304"/>
      <c r="KWO11" s="307"/>
      <c r="KWP11" s="308"/>
      <c r="KWQ11" s="301"/>
      <c r="KWR11" s="308"/>
      <c r="KWS11" s="301"/>
      <c r="KWT11" s="301"/>
      <c r="KWU11" s="302"/>
      <c r="KWV11" s="301"/>
      <c r="KWW11" s="301"/>
      <c r="KWX11" s="302"/>
      <c r="KWY11" s="301"/>
      <c r="KWZ11" s="301"/>
      <c r="KXA11" s="311"/>
      <c r="KXB11" s="301"/>
      <c r="KXC11" s="308"/>
      <c r="KXD11" s="301"/>
      <c r="KXE11" s="304"/>
      <c r="KXF11" s="307"/>
      <c r="KXG11" s="308"/>
      <c r="KXH11" s="301"/>
      <c r="KXI11" s="308"/>
      <c r="KXJ11" s="301"/>
      <c r="KXK11" s="301"/>
      <c r="KXL11" s="302"/>
      <c r="KXM11" s="301"/>
      <c r="KXN11" s="301"/>
      <c r="KXO11" s="302"/>
      <c r="KXP11" s="301"/>
      <c r="KXQ11" s="301"/>
      <c r="KXR11" s="311"/>
      <c r="KXS11" s="301"/>
      <c r="KXT11" s="308"/>
      <c r="KXU11" s="301"/>
      <c r="KXV11" s="304"/>
      <c r="KXW11" s="307"/>
      <c r="KXX11" s="308"/>
      <c r="KXY11" s="301"/>
      <c r="KXZ11" s="308"/>
      <c r="KYA11" s="301"/>
      <c r="KYB11" s="301"/>
      <c r="KYC11" s="302"/>
      <c r="KYD11" s="301"/>
      <c r="KYE11" s="301"/>
      <c r="KYF11" s="302"/>
      <c r="KYG11" s="301"/>
      <c r="KYH11" s="301"/>
      <c r="KYI11" s="311"/>
      <c r="KYJ11" s="301"/>
      <c r="KYK11" s="308"/>
      <c r="KYL11" s="301"/>
      <c r="KYM11" s="304"/>
      <c r="KYN11" s="307"/>
      <c r="KYO11" s="308"/>
      <c r="KYP11" s="301"/>
      <c r="KYQ11" s="308"/>
      <c r="KYR11" s="301"/>
      <c r="KYS11" s="301"/>
      <c r="KYT11" s="302"/>
      <c r="KYU11" s="301"/>
      <c r="KYV11" s="301"/>
      <c r="KYW11" s="302"/>
      <c r="KYX11" s="301"/>
      <c r="KYY11" s="301"/>
      <c r="KYZ11" s="311"/>
      <c r="KZA11" s="301"/>
      <c r="KZB11" s="308"/>
      <c r="KZC11" s="301"/>
      <c r="KZD11" s="304"/>
      <c r="KZE11" s="307"/>
      <c r="KZF11" s="308"/>
      <c r="KZG11" s="301"/>
      <c r="KZH11" s="308"/>
      <c r="KZI11" s="301"/>
      <c r="KZJ11" s="301"/>
      <c r="KZK11" s="302"/>
      <c r="KZL11" s="301"/>
      <c r="KZM11" s="301"/>
      <c r="KZN11" s="302"/>
      <c r="KZO11" s="301"/>
      <c r="KZP11" s="301"/>
      <c r="KZQ11" s="311"/>
      <c r="KZR11" s="301"/>
      <c r="KZS11" s="308"/>
      <c r="KZT11" s="301"/>
      <c r="KZU11" s="304"/>
      <c r="KZV11" s="307"/>
      <c r="KZW11" s="308"/>
      <c r="KZX11" s="301"/>
      <c r="KZY11" s="308"/>
      <c r="KZZ11" s="301"/>
      <c r="LAA11" s="301"/>
      <c r="LAB11" s="302"/>
      <c r="LAC11" s="301"/>
      <c r="LAD11" s="301"/>
      <c r="LAE11" s="302"/>
      <c r="LAF11" s="301"/>
      <c r="LAG11" s="301"/>
      <c r="LAH11" s="311"/>
      <c r="LAI11" s="301"/>
      <c r="LAJ11" s="308"/>
      <c r="LAK11" s="301"/>
      <c r="LAL11" s="304"/>
      <c r="LAM11" s="307"/>
      <c r="LAN11" s="308"/>
      <c r="LAO11" s="301"/>
      <c r="LAP11" s="308"/>
      <c r="LAQ11" s="301"/>
      <c r="LAR11" s="301"/>
      <c r="LAS11" s="302"/>
      <c r="LAT11" s="301"/>
      <c r="LAU11" s="301"/>
      <c r="LAV11" s="302"/>
      <c r="LAW11" s="301"/>
      <c r="LAX11" s="301"/>
      <c r="LAY11" s="311"/>
      <c r="LAZ11" s="301"/>
      <c r="LBA11" s="308"/>
      <c r="LBB11" s="301"/>
      <c r="LBC11" s="304"/>
      <c r="LBD11" s="307"/>
      <c r="LBE11" s="308"/>
      <c r="LBF11" s="301"/>
      <c r="LBG11" s="308"/>
      <c r="LBH11" s="301"/>
      <c r="LBI11" s="301"/>
      <c r="LBJ11" s="302"/>
      <c r="LBK11" s="301"/>
      <c r="LBL11" s="301"/>
      <c r="LBM11" s="302"/>
      <c r="LBN11" s="301"/>
      <c r="LBO11" s="301"/>
      <c r="LBP11" s="311"/>
      <c r="LBQ11" s="301"/>
      <c r="LBR11" s="308"/>
      <c r="LBS11" s="301"/>
      <c r="LBT11" s="304"/>
      <c r="LBU11" s="307"/>
      <c r="LBV11" s="308"/>
      <c r="LBW11" s="301"/>
      <c r="LBX11" s="308"/>
      <c r="LBY11" s="301"/>
      <c r="LBZ11" s="301"/>
      <c r="LCA11" s="302"/>
      <c r="LCB11" s="301"/>
      <c r="LCC11" s="301"/>
      <c r="LCD11" s="302"/>
      <c r="LCE11" s="301"/>
      <c r="LCF11" s="301"/>
      <c r="LCG11" s="311"/>
      <c r="LCH11" s="301"/>
      <c r="LCI11" s="308"/>
      <c r="LCJ11" s="301"/>
      <c r="LCK11" s="304"/>
      <c r="LCL11" s="307"/>
      <c r="LCM11" s="308"/>
      <c r="LCN11" s="301"/>
      <c r="LCO11" s="308"/>
      <c r="LCP11" s="301"/>
      <c r="LCQ11" s="301"/>
      <c r="LCR11" s="302"/>
      <c r="LCS11" s="301"/>
      <c r="LCT11" s="301"/>
      <c r="LCU11" s="302"/>
      <c r="LCV11" s="301"/>
      <c r="LCW11" s="301"/>
      <c r="LCX11" s="311"/>
      <c r="LCY11" s="301"/>
      <c r="LCZ11" s="308"/>
      <c r="LDA11" s="301"/>
      <c r="LDB11" s="304"/>
      <c r="LDC11" s="307"/>
      <c r="LDD11" s="308"/>
      <c r="LDE11" s="301"/>
      <c r="LDF11" s="308"/>
      <c r="LDG11" s="301"/>
      <c r="LDH11" s="301"/>
      <c r="LDI11" s="302"/>
      <c r="LDJ11" s="301"/>
      <c r="LDK11" s="301"/>
      <c r="LDL11" s="302"/>
      <c r="LDM11" s="301"/>
      <c r="LDN11" s="301"/>
      <c r="LDO11" s="311"/>
      <c r="LDP11" s="301"/>
      <c r="LDQ11" s="308"/>
      <c r="LDR11" s="301"/>
      <c r="LDS11" s="304"/>
      <c r="LDT11" s="307"/>
      <c r="LDU11" s="308"/>
      <c r="LDV11" s="301"/>
      <c r="LDW11" s="308"/>
      <c r="LDX11" s="301"/>
      <c r="LDY11" s="301"/>
      <c r="LDZ11" s="302"/>
      <c r="LEA11" s="301"/>
      <c r="LEB11" s="301"/>
      <c r="LEC11" s="302"/>
      <c r="LED11" s="301"/>
      <c r="LEE11" s="301"/>
      <c r="LEF11" s="311"/>
      <c r="LEG11" s="301"/>
      <c r="LEH11" s="308"/>
      <c r="LEI11" s="301"/>
      <c r="LEJ11" s="304"/>
      <c r="LEK11" s="307"/>
      <c r="LEL11" s="308"/>
      <c r="LEM11" s="301"/>
      <c r="LEN11" s="308"/>
      <c r="LEO11" s="301"/>
      <c r="LEP11" s="301"/>
      <c r="LEQ11" s="302"/>
      <c r="LER11" s="301"/>
      <c r="LES11" s="301"/>
      <c r="LET11" s="302"/>
      <c r="LEU11" s="301"/>
      <c r="LEV11" s="301"/>
      <c r="LEW11" s="311"/>
      <c r="LEX11" s="301"/>
      <c r="LEY11" s="308"/>
      <c r="LEZ11" s="301"/>
      <c r="LFA11" s="304"/>
      <c r="LFB11" s="307"/>
      <c r="LFC11" s="308"/>
      <c r="LFD11" s="301"/>
      <c r="LFE11" s="308"/>
      <c r="LFF11" s="301"/>
      <c r="LFG11" s="301"/>
      <c r="LFH11" s="302"/>
      <c r="LFI11" s="301"/>
      <c r="LFJ11" s="301"/>
      <c r="LFK11" s="302"/>
      <c r="LFL11" s="301"/>
      <c r="LFM11" s="301"/>
      <c r="LFN11" s="311"/>
      <c r="LFO11" s="301"/>
      <c r="LFP11" s="308"/>
      <c r="LFQ11" s="301"/>
      <c r="LFR11" s="304"/>
      <c r="LFS11" s="307"/>
      <c r="LFT11" s="308"/>
      <c r="LFU11" s="301"/>
      <c r="LFV11" s="308"/>
      <c r="LFW11" s="301"/>
      <c r="LFX11" s="301"/>
      <c r="LFY11" s="302"/>
      <c r="LFZ11" s="301"/>
      <c r="LGA11" s="301"/>
      <c r="LGB11" s="302"/>
      <c r="LGC11" s="301"/>
      <c r="LGD11" s="301"/>
      <c r="LGE11" s="311"/>
      <c r="LGF11" s="301"/>
      <c r="LGG11" s="308"/>
      <c r="LGH11" s="301"/>
      <c r="LGI11" s="304"/>
      <c r="LGJ11" s="307"/>
      <c r="LGK11" s="308"/>
      <c r="LGL11" s="301"/>
      <c r="LGM11" s="308"/>
      <c r="LGN11" s="301"/>
      <c r="LGO11" s="301"/>
      <c r="LGP11" s="302"/>
      <c r="LGQ11" s="301"/>
      <c r="LGR11" s="301"/>
      <c r="LGS11" s="302"/>
      <c r="LGT11" s="301"/>
      <c r="LGU11" s="301"/>
      <c r="LGV11" s="311"/>
      <c r="LGW11" s="301"/>
      <c r="LGX11" s="308"/>
      <c r="LGY11" s="301"/>
      <c r="LGZ11" s="304"/>
      <c r="LHA11" s="307"/>
      <c r="LHB11" s="308"/>
      <c r="LHC11" s="301"/>
      <c r="LHD11" s="308"/>
      <c r="LHE11" s="301"/>
      <c r="LHF11" s="301"/>
      <c r="LHG11" s="302"/>
      <c r="LHH11" s="301"/>
      <c r="LHI11" s="301"/>
      <c r="LHJ11" s="302"/>
      <c r="LHK11" s="301"/>
      <c r="LHL11" s="301"/>
      <c r="LHM11" s="311"/>
      <c r="LHN11" s="301"/>
      <c r="LHO11" s="308"/>
      <c r="LHP11" s="301"/>
      <c r="LHQ11" s="304"/>
      <c r="LHR11" s="307"/>
      <c r="LHS11" s="308"/>
      <c r="LHT11" s="301"/>
      <c r="LHU11" s="308"/>
      <c r="LHV11" s="301"/>
      <c r="LHW11" s="301"/>
      <c r="LHX11" s="302"/>
      <c r="LHY11" s="301"/>
      <c r="LHZ11" s="301"/>
      <c r="LIA11" s="302"/>
      <c r="LIB11" s="301"/>
      <c r="LIC11" s="301"/>
      <c r="LID11" s="311"/>
      <c r="LIE11" s="301"/>
      <c r="LIF11" s="308"/>
      <c r="LIG11" s="301"/>
      <c r="LIH11" s="304"/>
      <c r="LII11" s="307"/>
      <c r="LIJ11" s="308"/>
      <c r="LIK11" s="301"/>
      <c r="LIL11" s="308"/>
      <c r="LIM11" s="301"/>
      <c r="LIN11" s="301"/>
      <c r="LIO11" s="302"/>
      <c r="LIP11" s="301"/>
      <c r="LIQ11" s="301"/>
      <c r="LIR11" s="302"/>
      <c r="LIS11" s="301"/>
      <c r="LIT11" s="301"/>
      <c r="LIU11" s="311"/>
      <c r="LIV11" s="301"/>
      <c r="LIW11" s="308"/>
      <c r="LIX11" s="301"/>
      <c r="LIY11" s="304"/>
      <c r="LIZ11" s="307"/>
      <c r="LJA11" s="308"/>
      <c r="LJB11" s="301"/>
      <c r="LJC11" s="308"/>
      <c r="LJD11" s="301"/>
      <c r="LJE11" s="301"/>
      <c r="LJF11" s="302"/>
      <c r="LJG11" s="301"/>
      <c r="LJH11" s="301"/>
      <c r="LJI11" s="302"/>
      <c r="LJJ11" s="301"/>
      <c r="LJK11" s="301"/>
      <c r="LJL11" s="311"/>
      <c r="LJM11" s="301"/>
      <c r="LJN11" s="308"/>
      <c r="LJO11" s="301"/>
      <c r="LJP11" s="304"/>
      <c r="LJQ11" s="307"/>
      <c r="LJR11" s="308"/>
      <c r="LJS11" s="301"/>
      <c r="LJT11" s="308"/>
      <c r="LJU11" s="301"/>
      <c r="LJV11" s="301"/>
      <c r="LJW11" s="302"/>
      <c r="LJX11" s="301"/>
      <c r="LJY11" s="301"/>
      <c r="LJZ11" s="302"/>
      <c r="LKA11" s="301"/>
      <c r="LKB11" s="301"/>
      <c r="LKC11" s="311"/>
      <c r="LKD11" s="301"/>
      <c r="LKE11" s="308"/>
      <c r="LKF11" s="301"/>
      <c r="LKG11" s="304"/>
      <c r="LKH11" s="307"/>
      <c r="LKI11" s="308"/>
      <c r="LKJ11" s="301"/>
      <c r="LKK11" s="308"/>
      <c r="LKL11" s="301"/>
      <c r="LKM11" s="301"/>
      <c r="LKN11" s="302"/>
      <c r="LKO11" s="301"/>
      <c r="LKP11" s="301"/>
      <c r="LKQ11" s="302"/>
      <c r="LKR11" s="301"/>
      <c r="LKS11" s="301"/>
      <c r="LKT11" s="311"/>
      <c r="LKU11" s="301"/>
      <c r="LKV11" s="308"/>
      <c r="LKW11" s="301"/>
      <c r="LKX11" s="304"/>
      <c r="LKY11" s="307"/>
      <c r="LKZ11" s="308"/>
      <c r="LLA11" s="301"/>
      <c r="LLB11" s="308"/>
      <c r="LLC11" s="301"/>
      <c r="LLD11" s="301"/>
      <c r="LLE11" s="302"/>
      <c r="LLF11" s="301"/>
      <c r="LLG11" s="301"/>
      <c r="LLH11" s="302"/>
      <c r="LLI11" s="301"/>
      <c r="LLJ11" s="301"/>
      <c r="LLK11" s="311"/>
      <c r="LLL11" s="301"/>
      <c r="LLM11" s="308"/>
      <c r="LLN11" s="301"/>
      <c r="LLO11" s="304"/>
      <c r="LLP11" s="307"/>
      <c r="LLQ11" s="308"/>
      <c r="LLR11" s="301"/>
      <c r="LLS11" s="308"/>
      <c r="LLT11" s="301"/>
      <c r="LLU11" s="301"/>
      <c r="LLV11" s="302"/>
      <c r="LLW11" s="301"/>
      <c r="LLX11" s="301"/>
      <c r="LLY11" s="302"/>
      <c r="LLZ11" s="301"/>
      <c r="LMA11" s="301"/>
      <c r="LMB11" s="311"/>
      <c r="LMC11" s="301"/>
      <c r="LMD11" s="308"/>
      <c r="LME11" s="301"/>
      <c r="LMF11" s="304"/>
      <c r="LMG11" s="307"/>
      <c r="LMH11" s="308"/>
      <c r="LMI11" s="301"/>
      <c r="LMJ11" s="308"/>
      <c r="LMK11" s="301"/>
      <c r="LML11" s="301"/>
      <c r="LMM11" s="302"/>
      <c r="LMN11" s="301"/>
      <c r="LMO11" s="301"/>
      <c r="LMP11" s="302"/>
      <c r="LMQ11" s="301"/>
      <c r="LMR11" s="301"/>
      <c r="LMS11" s="311"/>
      <c r="LMT11" s="301"/>
      <c r="LMU11" s="308"/>
      <c r="LMV11" s="301"/>
      <c r="LMW11" s="304"/>
      <c r="LMX11" s="307"/>
      <c r="LMY11" s="308"/>
      <c r="LMZ11" s="301"/>
      <c r="LNA11" s="308"/>
      <c r="LNB11" s="301"/>
      <c r="LNC11" s="301"/>
      <c r="LND11" s="302"/>
      <c r="LNE11" s="301"/>
      <c r="LNF11" s="301"/>
      <c r="LNG11" s="302"/>
      <c r="LNH11" s="301"/>
      <c r="LNI11" s="301"/>
      <c r="LNJ11" s="311"/>
      <c r="LNK11" s="301"/>
      <c r="LNL11" s="308"/>
      <c r="LNM11" s="301"/>
      <c r="LNN11" s="304"/>
      <c r="LNO11" s="307"/>
      <c r="LNP11" s="308"/>
      <c r="LNQ11" s="301"/>
      <c r="LNR11" s="308"/>
      <c r="LNS11" s="301"/>
      <c r="LNT11" s="301"/>
      <c r="LNU11" s="302"/>
      <c r="LNV11" s="301"/>
      <c r="LNW11" s="301"/>
      <c r="LNX11" s="302"/>
      <c r="LNY11" s="301"/>
      <c r="LNZ11" s="301"/>
      <c r="LOA11" s="311"/>
      <c r="LOB11" s="301"/>
      <c r="LOC11" s="308"/>
      <c r="LOD11" s="301"/>
      <c r="LOE11" s="304"/>
      <c r="LOF11" s="307"/>
      <c r="LOG11" s="308"/>
      <c r="LOH11" s="301"/>
      <c r="LOI11" s="308"/>
      <c r="LOJ11" s="301"/>
      <c r="LOK11" s="301"/>
      <c r="LOL11" s="302"/>
      <c r="LOM11" s="301"/>
      <c r="LON11" s="301"/>
      <c r="LOO11" s="302"/>
      <c r="LOP11" s="301"/>
      <c r="LOQ11" s="301"/>
      <c r="LOR11" s="311"/>
      <c r="LOS11" s="301"/>
      <c r="LOT11" s="308"/>
      <c r="LOU11" s="301"/>
      <c r="LOV11" s="304"/>
      <c r="LOW11" s="307"/>
      <c r="LOX11" s="308"/>
      <c r="LOY11" s="301"/>
      <c r="LOZ11" s="308"/>
      <c r="LPA11" s="301"/>
      <c r="LPB11" s="301"/>
      <c r="LPC11" s="302"/>
      <c r="LPD11" s="301"/>
      <c r="LPE11" s="301"/>
      <c r="LPF11" s="302"/>
      <c r="LPG11" s="301"/>
      <c r="LPH11" s="301"/>
      <c r="LPI11" s="311"/>
      <c r="LPJ11" s="301"/>
      <c r="LPK11" s="308"/>
      <c r="LPL11" s="301"/>
      <c r="LPM11" s="304"/>
      <c r="LPN11" s="307"/>
      <c r="LPO11" s="308"/>
      <c r="LPP11" s="301"/>
      <c r="LPQ11" s="308"/>
      <c r="LPR11" s="301"/>
      <c r="LPS11" s="301"/>
      <c r="LPT11" s="302"/>
      <c r="LPU11" s="301"/>
      <c r="LPV11" s="301"/>
      <c r="LPW11" s="302"/>
      <c r="LPX11" s="301"/>
      <c r="LPY11" s="301"/>
      <c r="LPZ11" s="311"/>
      <c r="LQA11" s="301"/>
      <c r="LQB11" s="308"/>
      <c r="LQC11" s="301"/>
      <c r="LQD11" s="304"/>
      <c r="LQE11" s="307"/>
      <c r="LQF11" s="308"/>
      <c r="LQG11" s="301"/>
      <c r="LQH11" s="308"/>
      <c r="LQI11" s="301"/>
      <c r="LQJ11" s="301"/>
      <c r="LQK11" s="302"/>
      <c r="LQL11" s="301"/>
      <c r="LQM11" s="301"/>
      <c r="LQN11" s="302"/>
      <c r="LQO11" s="301"/>
      <c r="LQP11" s="301"/>
      <c r="LQQ11" s="311"/>
      <c r="LQR11" s="301"/>
      <c r="LQS11" s="308"/>
      <c r="LQT11" s="301"/>
      <c r="LQU11" s="304"/>
      <c r="LQV11" s="307"/>
      <c r="LQW11" s="308"/>
      <c r="LQX11" s="301"/>
      <c r="LQY11" s="308"/>
      <c r="LQZ11" s="301"/>
      <c r="LRA11" s="301"/>
      <c r="LRB11" s="302"/>
      <c r="LRC11" s="301"/>
      <c r="LRD11" s="301"/>
      <c r="LRE11" s="302"/>
      <c r="LRF11" s="301"/>
      <c r="LRG11" s="301"/>
      <c r="LRH11" s="311"/>
      <c r="LRI11" s="301"/>
      <c r="LRJ11" s="308"/>
      <c r="LRK11" s="301"/>
      <c r="LRL11" s="304"/>
      <c r="LRM11" s="307"/>
      <c r="LRN11" s="308"/>
      <c r="LRO11" s="301"/>
      <c r="LRP11" s="308"/>
      <c r="LRQ11" s="301"/>
      <c r="LRR11" s="301"/>
      <c r="LRS11" s="302"/>
      <c r="LRT11" s="301"/>
      <c r="LRU11" s="301"/>
      <c r="LRV11" s="302"/>
      <c r="LRW11" s="301"/>
      <c r="LRX11" s="301"/>
      <c r="LRY11" s="311"/>
      <c r="LRZ11" s="301"/>
      <c r="LSA11" s="308"/>
      <c r="LSB11" s="301"/>
      <c r="LSC11" s="304"/>
      <c r="LSD11" s="307"/>
      <c r="LSE11" s="308"/>
      <c r="LSF11" s="301"/>
      <c r="LSG11" s="308"/>
      <c r="LSH11" s="301"/>
      <c r="LSI11" s="301"/>
      <c r="LSJ11" s="302"/>
      <c r="LSK11" s="301"/>
      <c r="LSL11" s="301"/>
      <c r="LSM11" s="302"/>
      <c r="LSN11" s="301"/>
      <c r="LSO11" s="301"/>
      <c r="LSP11" s="311"/>
      <c r="LSQ11" s="301"/>
      <c r="LSR11" s="308"/>
      <c r="LSS11" s="301"/>
      <c r="LST11" s="304"/>
      <c r="LSU11" s="307"/>
      <c r="LSV11" s="308"/>
      <c r="LSW11" s="301"/>
      <c r="LSX11" s="308"/>
      <c r="LSY11" s="301"/>
      <c r="LSZ11" s="301"/>
      <c r="LTA11" s="302"/>
      <c r="LTB11" s="301"/>
      <c r="LTC11" s="301"/>
      <c r="LTD11" s="302"/>
      <c r="LTE11" s="301"/>
      <c r="LTF11" s="301"/>
      <c r="LTG11" s="311"/>
      <c r="LTH11" s="301"/>
      <c r="LTI11" s="308"/>
      <c r="LTJ11" s="301"/>
      <c r="LTK11" s="304"/>
      <c r="LTL11" s="307"/>
      <c r="LTM11" s="308"/>
      <c r="LTN11" s="301"/>
      <c r="LTO11" s="308"/>
      <c r="LTP11" s="301"/>
      <c r="LTQ11" s="301"/>
      <c r="LTR11" s="302"/>
      <c r="LTS11" s="301"/>
      <c r="LTT11" s="301"/>
      <c r="LTU11" s="302"/>
      <c r="LTV11" s="301"/>
      <c r="LTW11" s="301"/>
      <c r="LTX11" s="311"/>
      <c r="LTY11" s="301"/>
      <c r="LTZ11" s="308"/>
      <c r="LUA11" s="301"/>
      <c r="LUB11" s="304"/>
      <c r="LUC11" s="307"/>
      <c r="LUD11" s="308"/>
      <c r="LUE11" s="301"/>
      <c r="LUF11" s="308"/>
      <c r="LUG11" s="301"/>
      <c r="LUH11" s="301"/>
      <c r="LUI11" s="302"/>
      <c r="LUJ11" s="301"/>
      <c r="LUK11" s="301"/>
      <c r="LUL11" s="302"/>
      <c r="LUM11" s="301"/>
      <c r="LUN11" s="301"/>
      <c r="LUO11" s="311"/>
      <c r="LUP11" s="301"/>
      <c r="LUQ11" s="308"/>
      <c r="LUR11" s="301"/>
      <c r="LUS11" s="304"/>
      <c r="LUT11" s="307"/>
      <c r="LUU11" s="308"/>
      <c r="LUV11" s="301"/>
      <c r="LUW11" s="308"/>
      <c r="LUX11" s="301"/>
      <c r="LUY11" s="301"/>
      <c r="LUZ11" s="302"/>
      <c r="LVA11" s="301"/>
      <c r="LVB11" s="301"/>
      <c r="LVC11" s="302"/>
      <c r="LVD11" s="301"/>
      <c r="LVE11" s="301"/>
      <c r="LVF11" s="311"/>
      <c r="LVG11" s="301"/>
      <c r="LVH11" s="308"/>
      <c r="LVI11" s="301"/>
      <c r="LVJ11" s="304"/>
      <c r="LVK11" s="307"/>
      <c r="LVL11" s="308"/>
      <c r="LVM11" s="301"/>
      <c r="LVN11" s="308"/>
      <c r="LVO11" s="301"/>
      <c r="LVP11" s="301"/>
      <c r="LVQ11" s="302"/>
      <c r="LVR11" s="301"/>
      <c r="LVS11" s="301"/>
      <c r="LVT11" s="302"/>
      <c r="LVU11" s="301"/>
      <c r="LVV11" s="301"/>
      <c r="LVW11" s="311"/>
      <c r="LVX11" s="301"/>
      <c r="LVY11" s="308"/>
      <c r="LVZ11" s="301"/>
      <c r="LWA11" s="304"/>
      <c r="LWB11" s="307"/>
      <c r="LWC11" s="308"/>
      <c r="LWD11" s="301"/>
      <c r="LWE11" s="308"/>
      <c r="LWF11" s="301"/>
      <c r="LWG11" s="301"/>
      <c r="LWH11" s="302"/>
      <c r="LWI11" s="301"/>
      <c r="LWJ11" s="301"/>
      <c r="LWK11" s="302"/>
      <c r="LWL11" s="301"/>
      <c r="LWM11" s="301"/>
      <c r="LWN11" s="311"/>
      <c r="LWO11" s="301"/>
      <c r="LWP11" s="308"/>
      <c r="LWQ11" s="301"/>
      <c r="LWR11" s="304"/>
      <c r="LWS11" s="307"/>
      <c r="LWT11" s="308"/>
      <c r="LWU11" s="301"/>
      <c r="LWV11" s="308"/>
      <c r="LWW11" s="301"/>
      <c r="LWX11" s="301"/>
      <c r="LWY11" s="302"/>
      <c r="LWZ11" s="301"/>
      <c r="LXA11" s="301"/>
      <c r="LXB11" s="302"/>
      <c r="LXC11" s="301"/>
      <c r="LXD11" s="301"/>
      <c r="LXE11" s="311"/>
      <c r="LXF11" s="301"/>
      <c r="LXG11" s="308"/>
      <c r="LXH11" s="301"/>
      <c r="LXI11" s="304"/>
      <c r="LXJ11" s="307"/>
      <c r="LXK11" s="308"/>
      <c r="LXL11" s="301"/>
      <c r="LXM11" s="308"/>
      <c r="LXN11" s="301"/>
      <c r="LXO11" s="301"/>
      <c r="LXP11" s="302"/>
      <c r="LXQ11" s="301"/>
      <c r="LXR11" s="301"/>
      <c r="LXS11" s="302"/>
      <c r="LXT11" s="301"/>
      <c r="LXU11" s="301"/>
      <c r="LXV11" s="311"/>
      <c r="LXW11" s="301"/>
      <c r="LXX11" s="308"/>
      <c r="LXY11" s="301"/>
      <c r="LXZ11" s="304"/>
      <c r="LYA11" s="307"/>
      <c r="LYB11" s="308"/>
      <c r="LYC11" s="301"/>
      <c r="LYD11" s="308"/>
      <c r="LYE11" s="301"/>
      <c r="LYF11" s="301"/>
      <c r="LYG11" s="302"/>
      <c r="LYH11" s="301"/>
      <c r="LYI11" s="301"/>
      <c r="LYJ11" s="302"/>
      <c r="LYK11" s="301"/>
      <c r="LYL11" s="301"/>
      <c r="LYM11" s="311"/>
      <c r="LYN11" s="301"/>
      <c r="LYO11" s="308"/>
      <c r="LYP11" s="301"/>
      <c r="LYQ11" s="304"/>
      <c r="LYR11" s="307"/>
      <c r="LYS11" s="308"/>
      <c r="LYT11" s="301"/>
      <c r="LYU11" s="308"/>
      <c r="LYV11" s="301"/>
      <c r="LYW11" s="301"/>
      <c r="LYX11" s="302"/>
      <c r="LYY11" s="301"/>
      <c r="LYZ11" s="301"/>
      <c r="LZA11" s="302"/>
      <c r="LZB11" s="301"/>
      <c r="LZC11" s="301"/>
      <c r="LZD11" s="311"/>
      <c r="LZE11" s="301"/>
      <c r="LZF11" s="308"/>
      <c r="LZG11" s="301"/>
      <c r="LZH11" s="304"/>
      <c r="LZI11" s="307"/>
      <c r="LZJ11" s="308"/>
      <c r="LZK11" s="301"/>
      <c r="LZL11" s="308"/>
      <c r="LZM11" s="301"/>
      <c r="LZN11" s="301"/>
      <c r="LZO11" s="302"/>
      <c r="LZP11" s="301"/>
      <c r="LZQ11" s="301"/>
      <c r="LZR11" s="302"/>
      <c r="LZS11" s="301"/>
      <c r="LZT11" s="301"/>
      <c r="LZU11" s="311"/>
      <c r="LZV11" s="301"/>
      <c r="LZW11" s="308"/>
      <c r="LZX11" s="301"/>
      <c r="LZY11" s="304"/>
      <c r="LZZ11" s="307"/>
      <c r="MAA11" s="308"/>
      <c r="MAB11" s="301"/>
      <c r="MAC11" s="308"/>
      <c r="MAD11" s="301"/>
      <c r="MAE11" s="301"/>
      <c r="MAF11" s="302"/>
      <c r="MAG11" s="301"/>
      <c r="MAH11" s="301"/>
      <c r="MAI11" s="302"/>
      <c r="MAJ11" s="301"/>
      <c r="MAK11" s="301"/>
      <c r="MAL11" s="311"/>
      <c r="MAM11" s="301"/>
      <c r="MAN11" s="308"/>
      <c r="MAO11" s="301"/>
      <c r="MAP11" s="304"/>
      <c r="MAQ11" s="307"/>
      <c r="MAR11" s="308"/>
      <c r="MAS11" s="301"/>
      <c r="MAT11" s="308"/>
      <c r="MAU11" s="301"/>
      <c r="MAV11" s="301"/>
      <c r="MAW11" s="302"/>
      <c r="MAX11" s="301"/>
      <c r="MAY11" s="301"/>
      <c r="MAZ11" s="302"/>
      <c r="MBA11" s="301"/>
      <c r="MBB11" s="301"/>
      <c r="MBC11" s="311"/>
      <c r="MBD11" s="301"/>
      <c r="MBE11" s="308"/>
      <c r="MBF11" s="301"/>
      <c r="MBG11" s="304"/>
      <c r="MBH11" s="307"/>
      <c r="MBI11" s="308"/>
      <c r="MBJ11" s="301"/>
      <c r="MBK11" s="308"/>
      <c r="MBL11" s="301"/>
      <c r="MBM11" s="301"/>
      <c r="MBN11" s="302"/>
      <c r="MBO11" s="301"/>
      <c r="MBP11" s="301"/>
      <c r="MBQ11" s="302"/>
      <c r="MBR11" s="301"/>
      <c r="MBS11" s="301"/>
      <c r="MBT11" s="311"/>
      <c r="MBU11" s="301"/>
      <c r="MBV11" s="308"/>
      <c r="MBW11" s="301"/>
      <c r="MBX11" s="304"/>
      <c r="MBY11" s="307"/>
      <c r="MBZ11" s="308"/>
      <c r="MCA11" s="301"/>
      <c r="MCB11" s="308"/>
      <c r="MCC11" s="301"/>
      <c r="MCD11" s="301"/>
      <c r="MCE11" s="302"/>
      <c r="MCF11" s="301"/>
      <c r="MCG11" s="301"/>
      <c r="MCH11" s="302"/>
      <c r="MCI11" s="301"/>
      <c r="MCJ11" s="301"/>
      <c r="MCK11" s="311"/>
      <c r="MCL11" s="301"/>
      <c r="MCM11" s="308"/>
      <c r="MCN11" s="301"/>
      <c r="MCO11" s="304"/>
      <c r="MCP11" s="307"/>
      <c r="MCQ11" s="308"/>
      <c r="MCR11" s="301"/>
      <c r="MCS11" s="308"/>
      <c r="MCT11" s="301"/>
      <c r="MCU11" s="301"/>
      <c r="MCV11" s="302"/>
      <c r="MCW11" s="301"/>
      <c r="MCX11" s="301"/>
      <c r="MCY11" s="302"/>
      <c r="MCZ11" s="301"/>
      <c r="MDA11" s="301"/>
      <c r="MDB11" s="311"/>
      <c r="MDC11" s="301"/>
      <c r="MDD11" s="308"/>
      <c r="MDE11" s="301"/>
      <c r="MDF11" s="304"/>
      <c r="MDG11" s="307"/>
      <c r="MDH11" s="308"/>
      <c r="MDI11" s="301"/>
      <c r="MDJ11" s="308"/>
      <c r="MDK11" s="301"/>
      <c r="MDL11" s="301"/>
      <c r="MDM11" s="302"/>
      <c r="MDN11" s="301"/>
      <c r="MDO11" s="301"/>
      <c r="MDP11" s="302"/>
      <c r="MDQ11" s="301"/>
      <c r="MDR11" s="301"/>
      <c r="MDS11" s="311"/>
      <c r="MDT11" s="301"/>
      <c r="MDU11" s="308"/>
      <c r="MDV11" s="301"/>
      <c r="MDW11" s="304"/>
      <c r="MDX11" s="307"/>
      <c r="MDY11" s="308"/>
      <c r="MDZ11" s="301"/>
      <c r="MEA11" s="308"/>
      <c r="MEB11" s="301"/>
      <c r="MEC11" s="301"/>
      <c r="MED11" s="302"/>
      <c r="MEE11" s="301"/>
      <c r="MEF11" s="301"/>
      <c r="MEG11" s="302"/>
      <c r="MEH11" s="301"/>
      <c r="MEI11" s="301"/>
      <c r="MEJ11" s="311"/>
      <c r="MEK11" s="301"/>
      <c r="MEL11" s="308"/>
      <c r="MEM11" s="301"/>
      <c r="MEN11" s="304"/>
      <c r="MEO11" s="307"/>
      <c r="MEP11" s="308"/>
      <c r="MEQ11" s="301"/>
      <c r="MER11" s="308"/>
      <c r="MES11" s="301"/>
      <c r="MET11" s="301"/>
      <c r="MEU11" s="302"/>
      <c r="MEV11" s="301"/>
      <c r="MEW11" s="301"/>
      <c r="MEX11" s="302"/>
      <c r="MEY11" s="301"/>
      <c r="MEZ11" s="301"/>
      <c r="MFA11" s="311"/>
      <c r="MFB11" s="301"/>
      <c r="MFC11" s="308"/>
      <c r="MFD11" s="301"/>
      <c r="MFE11" s="304"/>
      <c r="MFF11" s="307"/>
      <c r="MFG11" s="308"/>
      <c r="MFH11" s="301"/>
      <c r="MFI11" s="308"/>
      <c r="MFJ11" s="301"/>
      <c r="MFK11" s="301"/>
      <c r="MFL11" s="302"/>
      <c r="MFM11" s="301"/>
      <c r="MFN11" s="301"/>
      <c r="MFO11" s="302"/>
      <c r="MFP11" s="301"/>
      <c r="MFQ11" s="301"/>
      <c r="MFR11" s="311"/>
      <c r="MFS11" s="301"/>
      <c r="MFT11" s="308"/>
      <c r="MFU11" s="301"/>
      <c r="MFV11" s="304"/>
      <c r="MFW11" s="307"/>
      <c r="MFX11" s="308"/>
      <c r="MFY11" s="301"/>
      <c r="MFZ11" s="308"/>
      <c r="MGA11" s="301"/>
      <c r="MGB11" s="301"/>
      <c r="MGC11" s="302"/>
      <c r="MGD11" s="301"/>
      <c r="MGE11" s="301"/>
      <c r="MGF11" s="302"/>
      <c r="MGG11" s="301"/>
      <c r="MGH11" s="301"/>
      <c r="MGI11" s="311"/>
      <c r="MGJ11" s="301"/>
      <c r="MGK11" s="308"/>
      <c r="MGL11" s="301"/>
      <c r="MGM11" s="304"/>
      <c r="MGN11" s="307"/>
      <c r="MGO11" s="308"/>
      <c r="MGP11" s="301"/>
      <c r="MGQ11" s="308"/>
      <c r="MGR11" s="301"/>
      <c r="MGS11" s="301"/>
      <c r="MGT11" s="302"/>
      <c r="MGU11" s="301"/>
      <c r="MGV11" s="301"/>
      <c r="MGW11" s="302"/>
      <c r="MGX11" s="301"/>
      <c r="MGY11" s="301"/>
      <c r="MGZ11" s="311"/>
      <c r="MHA11" s="301"/>
      <c r="MHB11" s="308"/>
      <c r="MHC11" s="301"/>
      <c r="MHD11" s="304"/>
      <c r="MHE11" s="307"/>
      <c r="MHF11" s="308"/>
      <c r="MHG11" s="301"/>
      <c r="MHH11" s="308"/>
      <c r="MHI11" s="301"/>
      <c r="MHJ11" s="301"/>
      <c r="MHK11" s="302"/>
      <c r="MHL11" s="301"/>
      <c r="MHM11" s="301"/>
      <c r="MHN11" s="302"/>
      <c r="MHO11" s="301"/>
      <c r="MHP11" s="301"/>
      <c r="MHQ11" s="311"/>
      <c r="MHR11" s="301"/>
      <c r="MHS11" s="308"/>
      <c r="MHT11" s="301"/>
      <c r="MHU11" s="304"/>
      <c r="MHV11" s="307"/>
      <c r="MHW11" s="308"/>
      <c r="MHX11" s="301"/>
      <c r="MHY11" s="308"/>
      <c r="MHZ11" s="301"/>
      <c r="MIA11" s="301"/>
      <c r="MIB11" s="302"/>
      <c r="MIC11" s="301"/>
      <c r="MID11" s="301"/>
      <c r="MIE11" s="302"/>
      <c r="MIF11" s="301"/>
      <c r="MIG11" s="301"/>
      <c r="MIH11" s="311"/>
      <c r="MII11" s="301"/>
      <c r="MIJ11" s="308"/>
      <c r="MIK11" s="301"/>
      <c r="MIL11" s="304"/>
      <c r="MIM11" s="307"/>
      <c r="MIN11" s="308"/>
      <c r="MIO11" s="301"/>
      <c r="MIP11" s="308"/>
      <c r="MIQ11" s="301"/>
      <c r="MIR11" s="301"/>
      <c r="MIS11" s="302"/>
      <c r="MIT11" s="301"/>
      <c r="MIU11" s="301"/>
      <c r="MIV11" s="302"/>
      <c r="MIW11" s="301"/>
      <c r="MIX11" s="301"/>
      <c r="MIY11" s="311"/>
      <c r="MIZ11" s="301"/>
      <c r="MJA11" s="308"/>
      <c r="MJB11" s="301"/>
      <c r="MJC11" s="304"/>
      <c r="MJD11" s="307"/>
      <c r="MJE11" s="308"/>
      <c r="MJF11" s="301"/>
      <c r="MJG11" s="308"/>
      <c r="MJH11" s="301"/>
      <c r="MJI11" s="301"/>
      <c r="MJJ11" s="302"/>
      <c r="MJK11" s="301"/>
      <c r="MJL11" s="301"/>
      <c r="MJM11" s="302"/>
      <c r="MJN11" s="301"/>
      <c r="MJO11" s="301"/>
      <c r="MJP11" s="311"/>
      <c r="MJQ11" s="301"/>
      <c r="MJR11" s="308"/>
      <c r="MJS11" s="301"/>
      <c r="MJT11" s="304"/>
      <c r="MJU11" s="307"/>
      <c r="MJV11" s="308"/>
      <c r="MJW11" s="301"/>
      <c r="MJX11" s="308"/>
      <c r="MJY11" s="301"/>
      <c r="MJZ11" s="301"/>
      <c r="MKA11" s="302"/>
      <c r="MKB11" s="301"/>
      <c r="MKC11" s="301"/>
      <c r="MKD11" s="302"/>
      <c r="MKE11" s="301"/>
      <c r="MKF11" s="301"/>
      <c r="MKG11" s="311"/>
      <c r="MKH11" s="301"/>
      <c r="MKI11" s="308"/>
      <c r="MKJ11" s="301"/>
      <c r="MKK11" s="304"/>
      <c r="MKL11" s="307"/>
      <c r="MKM11" s="308"/>
      <c r="MKN11" s="301"/>
      <c r="MKO11" s="308"/>
      <c r="MKP11" s="301"/>
      <c r="MKQ11" s="301"/>
      <c r="MKR11" s="302"/>
      <c r="MKS11" s="301"/>
      <c r="MKT11" s="301"/>
      <c r="MKU11" s="302"/>
      <c r="MKV11" s="301"/>
      <c r="MKW11" s="301"/>
      <c r="MKX11" s="311"/>
      <c r="MKY11" s="301"/>
      <c r="MKZ11" s="308"/>
      <c r="MLA11" s="301"/>
      <c r="MLB11" s="304"/>
      <c r="MLC11" s="307"/>
      <c r="MLD11" s="308"/>
      <c r="MLE11" s="301"/>
      <c r="MLF11" s="308"/>
      <c r="MLG11" s="301"/>
      <c r="MLH11" s="301"/>
      <c r="MLI11" s="302"/>
      <c r="MLJ11" s="301"/>
      <c r="MLK11" s="301"/>
      <c r="MLL11" s="302"/>
      <c r="MLM11" s="301"/>
      <c r="MLN11" s="301"/>
      <c r="MLO11" s="311"/>
      <c r="MLP11" s="301"/>
      <c r="MLQ11" s="308"/>
      <c r="MLR11" s="301"/>
      <c r="MLS11" s="304"/>
      <c r="MLT11" s="307"/>
      <c r="MLU11" s="308"/>
      <c r="MLV11" s="301"/>
      <c r="MLW11" s="308"/>
      <c r="MLX11" s="301"/>
      <c r="MLY11" s="301"/>
      <c r="MLZ11" s="302"/>
      <c r="MMA11" s="301"/>
      <c r="MMB11" s="301"/>
      <c r="MMC11" s="302"/>
      <c r="MMD11" s="301"/>
      <c r="MME11" s="301"/>
      <c r="MMF11" s="311"/>
      <c r="MMG11" s="301"/>
      <c r="MMH11" s="308"/>
      <c r="MMI11" s="301"/>
      <c r="MMJ11" s="304"/>
      <c r="MMK11" s="307"/>
      <c r="MML11" s="308"/>
      <c r="MMM11" s="301"/>
      <c r="MMN11" s="308"/>
      <c r="MMO11" s="301"/>
      <c r="MMP11" s="301"/>
      <c r="MMQ11" s="302"/>
      <c r="MMR11" s="301"/>
      <c r="MMS11" s="301"/>
      <c r="MMT11" s="302"/>
      <c r="MMU11" s="301"/>
      <c r="MMV11" s="301"/>
      <c r="MMW11" s="311"/>
      <c r="MMX11" s="301"/>
      <c r="MMY11" s="308"/>
      <c r="MMZ11" s="301"/>
      <c r="MNA11" s="304"/>
      <c r="MNB11" s="307"/>
      <c r="MNC11" s="308"/>
      <c r="MND11" s="301"/>
      <c r="MNE11" s="308"/>
      <c r="MNF11" s="301"/>
      <c r="MNG11" s="301"/>
      <c r="MNH11" s="302"/>
      <c r="MNI11" s="301"/>
      <c r="MNJ11" s="301"/>
      <c r="MNK11" s="302"/>
      <c r="MNL11" s="301"/>
      <c r="MNM11" s="301"/>
      <c r="MNN11" s="311"/>
      <c r="MNO11" s="301"/>
      <c r="MNP11" s="308"/>
      <c r="MNQ11" s="301"/>
      <c r="MNR11" s="304"/>
      <c r="MNS11" s="307"/>
      <c r="MNT11" s="308"/>
      <c r="MNU11" s="301"/>
      <c r="MNV11" s="308"/>
      <c r="MNW11" s="301"/>
      <c r="MNX11" s="301"/>
      <c r="MNY11" s="302"/>
      <c r="MNZ11" s="301"/>
      <c r="MOA11" s="301"/>
      <c r="MOB11" s="302"/>
      <c r="MOC11" s="301"/>
      <c r="MOD11" s="301"/>
      <c r="MOE11" s="311"/>
      <c r="MOF11" s="301"/>
      <c r="MOG11" s="308"/>
      <c r="MOH11" s="301"/>
      <c r="MOI11" s="304"/>
      <c r="MOJ11" s="307"/>
      <c r="MOK11" s="308"/>
      <c r="MOL11" s="301"/>
      <c r="MOM11" s="308"/>
      <c r="MON11" s="301"/>
      <c r="MOO11" s="301"/>
      <c r="MOP11" s="302"/>
      <c r="MOQ11" s="301"/>
      <c r="MOR11" s="301"/>
      <c r="MOS11" s="302"/>
      <c r="MOT11" s="301"/>
      <c r="MOU11" s="301"/>
      <c r="MOV11" s="311"/>
      <c r="MOW11" s="301"/>
      <c r="MOX11" s="308"/>
      <c r="MOY11" s="301"/>
      <c r="MOZ11" s="304"/>
      <c r="MPA11" s="307"/>
      <c r="MPB11" s="308"/>
      <c r="MPC11" s="301"/>
      <c r="MPD11" s="308"/>
      <c r="MPE11" s="301"/>
      <c r="MPF11" s="301"/>
      <c r="MPG11" s="302"/>
      <c r="MPH11" s="301"/>
      <c r="MPI11" s="301"/>
      <c r="MPJ11" s="302"/>
      <c r="MPK11" s="301"/>
      <c r="MPL11" s="301"/>
      <c r="MPM11" s="311"/>
      <c r="MPN11" s="301"/>
      <c r="MPO11" s="308"/>
      <c r="MPP11" s="301"/>
      <c r="MPQ11" s="304"/>
      <c r="MPR11" s="307"/>
      <c r="MPS11" s="308"/>
      <c r="MPT11" s="301"/>
      <c r="MPU11" s="308"/>
      <c r="MPV11" s="301"/>
      <c r="MPW11" s="301"/>
      <c r="MPX11" s="302"/>
      <c r="MPY11" s="301"/>
      <c r="MPZ11" s="301"/>
      <c r="MQA11" s="302"/>
      <c r="MQB11" s="301"/>
      <c r="MQC11" s="301"/>
      <c r="MQD11" s="311"/>
      <c r="MQE11" s="301"/>
      <c r="MQF11" s="308"/>
      <c r="MQG11" s="301"/>
      <c r="MQH11" s="304"/>
      <c r="MQI11" s="307"/>
      <c r="MQJ11" s="308"/>
      <c r="MQK11" s="301"/>
      <c r="MQL11" s="308"/>
      <c r="MQM11" s="301"/>
      <c r="MQN11" s="301"/>
      <c r="MQO11" s="302"/>
      <c r="MQP11" s="301"/>
      <c r="MQQ11" s="301"/>
      <c r="MQR11" s="302"/>
      <c r="MQS11" s="301"/>
      <c r="MQT11" s="301"/>
      <c r="MQU11" s="311"/>
      <c r="MQV11" s="301"/>
      <c r="MQW11" s="308"/>
      <c r="MQX11" s="301"/>
      <c r="MQY11" s="304"/>
      <c r="MQZ11" s="307"/>
      <c r="MRA11" s="308"/>
      <c r="MRB11" s="301"/>
      <c r="MRC11" s="308"/>
      <c r="MRD11" s="301"/>
      <c r="MRE11" s="301"/>
      <c r="MRF11" s="302"/>
      <c r="MRG11" s="301"/>
      <c r="MRH11" s="301"/>
      <c r="MRI11" s="302"/>
      <c r="MRJ11" s="301"/>
      <c r="MRK11" s="301"/>
      <c r="MRL11" s="311"/>
      <c r="MRM11" s="301"/>
      <c r="MRN11" s="308"/>
      <c r="MRO11" s="301"/>
      <c r="MRP11" s="304"/>
      <c r="MRQ11" s="307"/>
      <c r="MRR11" s="308"/>
      <c r="MRS11" s="301"/>
      <c r="MRT11" s="308"/>
      <c r="MRU11" s="301"/>
      <c r="MRV11" s="301"/>
      <c r="MRW11" s="302"/>
      <c r="MRX11" s="301"/>
      <c r="MRY11" s="301"/>
      <c r="MRZ11" s="302"/>
      <c r="MSA11" s="301"/>
      <c r="MSB11" s="301"/>
      <c r="MSC11" s="311"/>
      <c r="MSD11" s="301"/>
      <c r="MSE11" s="308"/>
      <c r="MSF11" s="301"/>
      <c r="MSG11" s="304"/>
      <c r="MSH11" s="307"/>
      <c r="MSI11" s="308"/>
      <c r="MSJ11" s="301"/>
      <c r="MSK11" s="308"/>
      <c r="MSL11" s="301"/>
      <c r="MSM11" s="301"/>
      <c r="MSN11" s="302"/>
      <c r="MSO11" s="301"/>
      <c r="MSP11" s="301"/>
      <c r="MSQ11" s="302"/>
      <c r="MSR11" s="301"/>
      <c r="MSS11" s="301"/>
      <c r="MST11" s="311"/>
      <c r="MSU11" s="301"/>
      <c r="MSV11" s="308"/>
      <c r="MSW11" s="301"/>
      <c r="MSX11" s="304"/>
      <c r="MSY11" s="307"/>
      <c r="MSZ11" s="308"/>
      <c r="MTA11" s="301"/>
      <c r="MTB11" s="308"/>
      <c r="MTC11" s="301"/>
      <c r="MTD11" s="301"/>
      <c r="MTE11" s="302"/>
      <c r="MTF11" s="301"/>
      <c r="MTG11" s="301"/>
      <c r="MTH11" s="302"/>
      <c r="MTI11" s="301"/>
      <c r="MTJ11" s="301"/>
      <c r="MTK11" s="311"/>
      <c r="MTL11" s="301"/>
      <c r="MTM11" s="308"/>
      <c r="MTN11" s="301"/>
      <c r="MTO11" s="304"/>
      <c r="MTP11" s="307"/>
      <c r="MTQ11" s="308"/>
      <c r="MTR11" s="301"/>
      <c r="MTS11" s="308"/>
      <c r="MTT11" s="301"/>
      <c r="MTU11" s="301"/>
      <c r="MTV11" s="302"/>
      <c r="MTW11" s="301"/>
      <c r="MTX11" s="301"/>
      <c r="MTY11" s="302"/>
      <c r="MTZ11" s="301"/>
      <c r="MUA11" s="301"/>
      <c r="MUB11" s="311"/>
      <c r="MUC11" s="301"/>
      <c r="MUD11" s="308"/>
      <c r="MUE11" s="301"/>
      <c r="MUF11" s="304"/>
      <c r="MUG11" s="307"/>
      <c r="MUH11" s="308"/>
      <c r="MUI11" s="301"/>
      <c r="MUJ11" s="308"/>
      <c r="MUK11" s="301"/>
      <c r="MUL11" s="301"/>
      <c r="MUM11" s="302"/>
      <c r="MUN11" s="301"/>
      <c r="MUO11" s="301"/>
      <c r="MUP11" s="302"/>
      <c r="MUQ11" s="301"/>
      <c r="MUR11" s="301"/>
      <c r="MUS11" s="311"/>
      <c r="MUT11" s="301"/>
      <c r="MUU11" s="308"/>
      <c r="MUV11" s="301"/>
      <c r="MUW11" s="304"/>
      <c r="MUX11" s="307"/>
      <c r="MUY11" s="308"/>
      <c r="MUZ11" s="301"/>
      <c r="MVA11" s="308"/>
      <c r="MVB11" s="301"/>
      <c r="MVC11" s="301"/>
      <c r="MVD11" s="302"/>
      <c r="MVE11" s="301"/>
      <c r="MVF11" s="301"/>
      <c r="MVG11" s="302"/>
      <c r="MVH11" s="301"/>
      <c r="MVI11" s="301"/>
      <c r="MVJ11" s="311"/>
      <c r="MVK11" s="301"/>
      <c r="MVL11" s="308"/>
      <c r="MVM11" s="301"/>
      <c r="MVN11" s="304"/>
      <c r="MVO11" s="307"/>
      <c r="MVP11" s="308"/>
      <c r="MVQ11" s="301"/>
      <c r="MVR11" s="308"/>
      <c r="MVS11" s="301"/>
      <c r="MVT11" s="301"/>
      <c r="MVU11" s="302"/>
      <c r="MVV11" s="301"/>
      <c r="MVW11" s="301"/>
      <c r="MVX11" s="302"/>
      <c r="MVY11" s="301"/>
      <c r="MVZ11" s="301"/>
      <c r="MWA11" s="311"/>
      <c r="MWB11" s="301"/>
      <c r="MWC11" s="308"/>
      <c r="MWD11" s="301"/>
      <c r="MWE11" s="304"/>
      <c r="MWF11" s="307"/>
      <c r="MWG11" s="308"/>
      <c r="MWH11" s="301"/>
      <c r="MWI11" s="308"/>
      <c r="MWJ11" s="301"/>
      <c r="MWK11" s="301"/>
      <c r="MWL11" s="302"/>
      <c r="MWM11" s="301"/>
      <c r="MWN11" s="301"/>
      <c r="MWO11" s="302"/>
      <c r="MWP11" s="301"/>
      <c r="MWQ11" s="301"/>
      <c r="MWR11" s="311"/>
      <c r="MWS11" s="301"/>
      <c r="MWT11" s="308"/>
      <c r="MWU11" s="301"/>
      <c r="MWV11" s="304"/>
      <c r="MWW11" s="307"/>
      <c r="MWX11" s="308"/>
      <c r="MWY11" s="301"/>
      <c r="MWZ11" s="308"/>
      <c r="MXA11" s="301"/>
      <c r="MXB11" s="301"/>
      <c r="MXC11" s="302"/>
      <c r="MXD11" s="301"/>
      <c r="MXE11" s="301"/>
      <c r="MXF11" s="302"/>
      <c r="MXG11" s="301"/>
      <c r="MXH11" s="301"/>
      <c r="MXI11" s="311"/>
      <c r="MXJ11" s="301"/>
      <c r="MXK11" s="308"/>
      <c r="MXL11" s="301"/>
      <c r="MXM11" s="304"/>
      <c r="MXN11" s="307"/>
      <c r="MXO11" s="308"/>
      <c r="MXP11" s="301"/>
      <c r="MXQ11" s="308"/>
      <c r="MXR11" s="301"/>
      <c r="MXS11" s="301"/>
      <c r="MXT11" s="302"/>
      <c r="MXU11" s="301"/>
      <c r="MXV11" s="301"/>
      <c r="MXW11" s="302"/>
      <c r="MXX11" s="301"/>
      <c r="MXY11" s="301"/>
      <c r="MXZ11" s="311"/>
      <c r="MYA11" s="301"/>
      <c r="MYB11" s="308"/>
      <c r="MYC11" s="301"/>
      <c r="MYD11" s="304"/>
      <c r="MYE11" s="307"/>
      <c r="MYF11" s="308"/>
      <c r="MYG11" s="301"/>
      <c r="MYH11" s="308"/>
      <c r="MYI11" s="301"/>
      <c r="MYJ11" s="301"/>
      <c r="MYK11" s="302"/>
      <c r="MYL11" s="301"/>
      <c r="MYM11" s="301"/>
      <c r="MYN11" s="302"/>
      <c r="MYO11" s="301"/>
      <c r="MYP11" s="301"/>
      <c r="MYQ11" s="311"/>
      <c r="MYR11" s="301"/>
      <c r="MYS11" s="308"/>
      <c r="MYT11" s="301"/>
      <c r="MYU11" s="304"/>
      <c r="MYV11" s="307"/>
      <c r="MYW11" s="308"/>
      <c r="MYX11" s="301"/>
      <c r="MYY11" s="308"/>
      <c r="MYZ11" s="301"/>
      <c r="MZA11" s="301"/>
      <c r="MZB11" s="302"/>
      <c r="MZC11" s="301"/>
      <c r="MZD11" s="301"/>
      <c r="MZE11" s="302"/>
      <c r="MZF11" s="301"/>
      <c r="MZG11" s="301"/>
      <c r="MZH11" s="311"/>
      <c r="MZI11" s="301"/>
      <c r="MZJ11" s="308"/>
      <c r="MZK11" s="301"/>
      <c r="MZL11" s="304"/>
      <c r="MZM11" s="307"/>
      <c r="MZN11" s="308"/>
      <c r="MZO11" s="301"/>
      <c r="MZP11" s="308"/>
      <c r="MZQ11" s="301"/>
      <c r="MZR11" s="301"/>
      <c r="MZS11" s="302"/>
      <c r="MZT11" s="301"/>
      <c r="MZU11" s="301"/>
      <c r="MZV11" s="302"/>
      <c r="MZW11" s="301"/>
      <c r="MZX11" s="301"/>
      <c r="MZY11" s="311"/>
      <c r="MZZ11" s="301"/>
      <c r="NAA11" s="308"/>
      <c r="NAB11" s="301"/>
      <c r="NAC11" s="304"/>
      <c r="NAD11" s="307"/>
      <c r="NAE11" s="308"/>
      <c r="NAF11" s="301"/>
      <c r="NAG11" s="308"/>
      <c r="NAH11" s="301"/>
      <c r="NAI11" s="301"/>
      <c r="NAJ11" s="302"/>
      <c r="NAK11" s="301"/>
      <c r="NAL11" s="301"/>
      <c r="NAM11" s="302"/>
      <c r="NAN11" s="301"/>
      <c r="NAO11" s="301"/>
      <c r="NAP11" s="311"/>
      <c r="NAQ11" s="301"/>
      <c r="NAR11" s="308"/>
      <c r="NAS11" s="301"/>
      <c r="NAT11" s="304"/>
      <c r="NAU11" s="307"/>
      <c r="NAV11" s="308"/>
      <c r="NAW11" s="301"/>
      <c r="NAX11" s="308"/>
      <c r="NAY11" s="301"/>
      <c r="NAZ11" s="301"/>
      <c r="NBA11" s="302"/>
      <c r="NBB11" s="301"/>
      <c r="NBC11" s="301"/>
      <c r="NBD11" s="302"/>
      <c r="NBE11" s="301"/>
      <c r="NBF11" s="301"/>
      <c r="NBG11" s="311"/>
      <c r="NBH11" s="301"/>
      <c r="NBI11" s="308"/>
      <c r="NBJ11" s="301"/>
      <c r="NBK11" s="304"/>
      <c r="NBL11" s="307"/>
      <c r="NBM11" s="308"/>
      <c r="NBN11" s="301"/>
      <c r="NBO11" s="308"/>
      <c r="NBP11" s="301"/>
      <c r="NBQ11" s="301"/>
      <c r="NBR11" s="302"/>
      <c r="NBS11" s="301"/>
      <c r="NBT11" s="301"/>
      <c r="NBU11" s="302"/>
      <c r="NBV11" s="301"/>
      <c r="NBW11" s="301"/>
      <c r="NBX11" s="311"/>
      <c r="NBY11" s="301"/>
      <c r="NBZ11" s="308"/>
      <c r="NCA11" s="301"/>
      <c r="NCB11" s="304"/>
      <c r="NCC11" s="307"/>
      <c r="NCD11" s="308"/>
      <c r="NCE11" s="301"/>
      <c r="NCF11" s="308"/>
      <c r="NCG11" s="301"/>
      <c r="NCH11" s="301"/>
      <c r="NCI11" s="302"/>
      <c r="NCJ11" s="301"/>
      <c r="NCK11" s="301"/>
      <c r="NCL11" s="302"/>
      <c r="NCM11" s="301"/>
      <c r="NCN11" s="301"/>
      <c r="NCO11" s="311"/>
      <c r="NCP11" s="301"/>
      <c r="NCQ11" s="308"/>
      <c r="NCR11" s="301"/>
      <c r="NCS11" s="304"/>
      <c r="NCT11" s="307"/>
      <c r="NCU11" s="308"/>
      <c r="NCV11" s="301"/>
      <c r="NCW11" s="308"/>
      <c r="NCX11" s="301"/>
      <c r="NCY11" s="301"/>
      <c r="NCZ11" s="302"/>
      <c r="NDA11" s="301"/>
      <c r="NDB11" s="301"/>
      <c r="NDC11" s="302"/>
      <c r="NDD11" s="301"/>
      <c r="NDE11" s="301"/>
      <c r="NDF11" s="311"/>
      <c r="NDG11" s="301"/>
      <c r="NDH11" s="308"/>
      <c r="NDI11" s="301"/>
      <c r="NDJ11" s="304"/>
      <c r="NDK11" s="307"/>
      <c r="NDL11" s="308"/>
      <c r="NDM11" s="301"/>
      <c r="NDN11" s="308"/>
      <c r="NDO11" s="301"/>
      <c r="NDP11" s="301"/>
      <c r="NDQ11" s="302"/>
      <c r="NDR11" s="301"/>
      <c r="NDS11" s="301"/>
      <c r="NDT11" s="302"/>
      <c r="NDU11" s="301"/>
      <c r="NDV11" s="301"/>
      <c r="NDW11" s="311"/>
      <c r="NDX11" s="301"/>
      <c r="NDY11" s="308"/>
      <c r="NDZ11" s="301"/>
      <c r="NEA11" s="304"/>
      <c r="NEB11" s="307"/>
      <c r="NEC11" s="308"/>
      <c r="NED11" s="301"/>
      <c r="NEE11" s="308"/>
      <c r="NEF11" s="301"/>
      <c r="NEG11" s="301"/>
      <c r="NEH11" s="302"/>
      <c r="NEI11" s="301"/>
      <c r="NEJ11" s="301"/>
      <c r="NEK11" s="302"/>
      <c r="NEL11" s="301"/>
      <c r="NEM11" s="301"/>
      <c r="NEN11" s="311"/>
      <c r="NEO11" s="301"/>
      <c r="NEP11" s="308"/>
      <c r="NEQ11" s="301"/>
      <c r="NER11" s="304"/>
      <c r="NES11" s="307"/>
      <c r="NET11" s="308"/>
      <c r="NEU11" s="301"/>
      <c r="NEV11" s="308"/>
      <c r="NEW11" s="301"/>
      <c r="NEX11" s="301"/>
      <c r="NEY11" s="302"/>
      <c r="NEZ11" s="301"/>
      <c r="NFA11" s="301"/>
      <c r="NFB11" s="302"/>
      <c r="NFC11" s="301"/>
      <c r="NFD11" s="301"/>
      <c r="NFE11" s="311"/>
      <c r="NFF11" s="301"/>
      <c r="NFG11" s="308"/>
      <c r="NFH11" s="301"/>
      <c r="NFI11" s="304"/>
      <c r="NFJ11" s="307"/>
      <c r="NFK11" s="308"/>
      <c r="NFL11" s="301"/>
      <c r="NFM11" s="308"/>
      <c r="NFN11" s="301"/>
      <c r="NFO11" s="301"/>
      <c r="NFP11" s="302"/>
      <c r="NFQ11" s="301"/>
      <c r="NFR11" s="301"/>
      <c r="NFS11" s="302"/>
      <c r="NFT11" s="301"/>
      <c r="NFU11" s="301"/>
      <c r="NFV11" s="311"/>
      <c r="NFW11" s="301"/>
      <c r="NFX11" s="308"/>
      <c r="NFY11" s="301"/>
      <c r="NFZ11" s="304"/>
      <c r="NGA11" s="307"/>
      <c r="NGB11" s="308"/>
      <c r="NGC11" s="301"/>
      <c r="NGD11" s="308"/>
      <c r="NGE11" s="301"/>
      <c r="NGF11" s="301"/>
      <c r="NGG11" s="302"/>
      <c r="NGH11" s="301"/>
      <c r="NGI11" s="301"/>
      <c r="NGJ11" s="302"/>
      <c r="NGK11" s="301"/>
      <c r="NGL11" s="301"/>
      <c r="NGM11" s="311"/>
      <c r="NGN11" s="301"/>
      <c r="NGO11" s="308"/>
      <c r="NGP11" s="301"/>
      <c r="NGQ11" s="304"/>
      <c r="NGR11" s="307"/>
      <c r="NGS11" s="308"/>
      <c r="NGT11" s="301"/>
      <c r="NGU11" s="308"/>
      <c r="NGV11" s="301"/>
      <c r="NGW11" s="301"/>
      <c r="NGX11" s="302"/>
      <c r="NGY11" s="301"/>
      <c r="NGZ11" s="301"/>
      <c r="NHA11" s="302"/>
      <c r="NHB11" s="301"/>
      <c r="NHC11" s="301"/>
      <c r="NHD11" s="311"/>
      <c r="NHE11" s="301"/>
      <c r="NHF11" s="308"/>
      <c r="NHG11" s="301"/>
      <c r="NHH11" s="304"/>
      <c r="NHI11" s="307"/>
      <c r="NHJ11" s="308"/>
      <c r="NHK11" s="301"/>
      <c r="NHL11" s="308"/>
      <c r="NHM11" s="301"/>
      <c r="NHN11" s="301"/>
      <c r="NHO11" s="302"/>
      <c r="NHP11" s="301"/>
      <c r="NHQ11" s="301"/>
      <c r="NHR11" s="302"/>
      <c r="NHS11" s="301"/>
      <c r="NHT11" s="301"/>
      <c r="NHU11" s="311"/>
      <c r="NHV11" s="301"/>
      <c r="NHW11" s="308"/>
      <c r="NHX11" s="301"/>
      <c r="NHY11" s="304"/>
      <c r="NHZ11" s="307"/>
      <c r="NIA11" s="308"/>
      <c r="NIB11" s="301"/>
      <c r="NIC11" s="308"/>
      <c r="NID11" s="301"/>
      <c r="NIE11" s="301"/>
      <c r="NIF11" s="302"/>
      <c r="NIG11" s="301"/>
      <c r="NIH11" s="301"/>
      <c r="NII11" s="302"/>
      <c r="NIJ11" s="301"/>
      <c r="NIK11" s="301"/>
      <c r="NIL11" s="311"/>
      <c r="NIM11" s="301"/>
      <c r="NIN11" s="308"/>
      <c r="NIO11" s="301"/>
      <c r="NIP11" s="304"/>
      <c r="NIQ11" s="307"/>
      <c r="NIR11" s="308"/>
      <c r="NIS11" s="301"/>
      <c r="NIT11" s="308"/>
      <c r="NIU11" s="301"/>
      <c r="NIV11" s="301"/>
      <c r="NIW11" s="302"/>
      <c r="NIX11" s="301"/>
      <c r="NIY11" s="301"/>
      <c r="NIZ11" s="302"/>
      <c r="NJA11" s="301"/>
      <c r="NJB11" s="301"/>
      <c r="NJC11" s="311"/>
      <c r="NJD11" s="301"/>
      <c r="NJE11" s="308"/>
      <c r="NJF11" s="301"/>
      <c r="NJG11" s="304"/>
      <c r="NJH11" s="307"/>
      <c r="NJI11" s="308"/>
      <c r="NJJ11" s="301"/>
      <c r="NJK11" s="308"/>
      <c r="NJL11" s="301"/>
      <c r="NJM11" s="301"/>
      <c r="NJN11" s="302"/>
      <c r="NJO11" s="301"/>
      <c r="NJP11" s="301"/>
      <c r="NJQ11" s="302"/>
      <c r="NJR11" s="301"/>
      <c r="NJS11" s="301"/>
      <c r="NJT11" s="311"/>
      <c r="NJU11" s="301"/>
      <c r="NJV11" s="308"/>
      <c r="NJW11" s="301"/>
      <c r="NJX11" s="304"/>
      <c r="NJY11" s="307"/>
      <c r="NJZ11" s="308"/>
      <c r="NKA11" s="301"/>
      <c r="NKB11" s="308"/>
      <c r="NKC11" s="301"/>
      <c r="NKD11" s="301"/>
      <c r="NKE11" s="302"/>
      <c r="NKF11" s="301"/>
      <c r="NKG11" s="301"/>
      <c r="NKH11" s="302"/>
      <c r="NKI11" s="301"/>
      <c r="NKJ11" s="301"/>
      <c r="NKK11" s="311"/>
      <c r="NKL11" s="301"/>
      <c r="NKM11" s="308"/>
      <c r="NKN11" s="301"/>
      <c r="NKO11" s="304"/>
      <c r="NKP11" s="307"/>
      <c r="NKQ11" s="308"/>
      <c r="NKR11" s="301"/>
      <c r="NKS11" s="308"/>
      <c r="NKT11" s="301"/>
      <c r="NKU11" s="301"/>
      <c r="NKV11" s="302"/>
      <c r="NKW11" s="301"/>
      <c r="NKX11" s="301"/>
      <c r="NKY11" s="302"/>
      <c r="NKZ11" s="301"/>
      <c r="NLA11" s="301"/>
      <c r="NLB11" s="311"/>
      <c r="NLC11" s="301"/>
      <c r="NLD11" s="308"/>
      <c r="NLE11" s="301"/>
      <c r="NLF11" s="304"/>
      <c r="NLG11" s="307"/>
      <c r="NLH11" s="308"/>
      <c r="NLI11" s="301"/>
      <c r="NLJ11" s="308"/>
      <c r="NLK11" s="301"/>
      <c r="NLL11" s="301"/>
      <c r="NLM11" s="302"/>
      <c r="NLN11" s="301"/>
      <c r="NLO11" s="301"/>
      <c r="NLP11" s="302"/>
      <c r="NLQ11" s="301"/>
      <c r="NLR11" s="301"/>
      <c r="NLS11" s="311"/>
      <c r="NLT11" s="301"/>
      <c r="NLU11" s="308"/>
      <c r="NLV11" s="301"/>
      <c r="NLW11" s="304"/>
      <c r="NLX11" s="307"/>
      <c r="NLY11" s="308"/>
      <c r="NLZ11" s="301"/>
      <c r="NMA11" s="308"/>
      <c r="NMB11" s="301"/>
      <c r="NMC11" s="301"/>
      <c r="NMD11" s="302"/>
      <c r="NME11" s="301"/>
      <c r="NMF11" s="301"/>
      <c r="NMG11" s="302"/>
      <c r="NMH11" s="301"/>
      <c r="NMI11" s="301"/>
      <c r="NMJ11" s="311"/>
      <c r="NMK11" s="301"/>
      <c r="NML11" s="308"/>
      <c r="NMM11" s="301"/>
      <c r="NMN11" s="304"/>
      <c r="NMO11" s="307"/>
      <c r="NMP11" s="308"/>
      <c r="NMQ11" s="301"/>
      <c r="NMR11" s="308"/>
      <c r="NMS11" s="301"/>
      <c r="NMT11" s="301"/>
      <c r="NMU11" s="302"/>
      <c r="NMV11" s="301"/>
      <c r="NMW11" s="301"/>
      <c r="NMX11" s="302"/>
      <c r="NMY11" s="301"/>
      <c r="NMZ11" s="301"/>
      <c r="NNA11" s="311"/>
      <c r="NNB11" s="301"/>
      <c r="NNC11" s="308"/>
      <c r="NND11" s="301"/>
      <c r="NNE11" s="304"/>
      <c r="NNF11" s="307"/>
      <c r="NNG11" s="308"/>
      <c r="NNH11" s="301"/>
      <c r="NNI11" s="308"/>
      <c r="NNJ11" s="301"/>
      <c r="NNK11" s="301"/>
      <c r="NNL11" s="302"/>
      <c r="NNM11" s="301"/>
      <c r="NNN11" s="301"/>
      <c r="NNO11" s="302"/>
      <c r="NNP11" s="301"/>
      <c r="NNQ11" s="301"/>
      <c r="NNR11" s="311"/>
      <c r="NNS11" s="301"/>
      <c r="NNT11" s="308"/>
      <c r="NNU11" s="301"/>
      <c r="NNV11" s="304"/>
      <c r="NNW11" s="307"/>
      <c r="NNX11" s="308"/>
      <c r="NNY11" s="301"/>
      <c r="NNZ11" s="308"/>
      <c r="NOA11" s="301"/>
      <c r="NOB11" s="301"/>
      <c r="NOC11" s="302"/>
      <c r="NOD11" s="301"/>
      <c r="NOE11" s="301"/>
      <c r="NOF11" s="302"/>
      <c r="NOG11" s="301"/>
      <c r="NOH11" s="301"/>
      <c r="NOI11" s="311"/>
      <c r="NOJ11" s="301"/>
      <c r="NOK11" s="308"/>
      <c r="NOL11" s="301"/>
      <c r="NOM11" s="304"/>
      <c r="NON11" s="307"/>
      <c r="NOO11" s="308"/>
      <c r="NOP11" s="301"/>
      <c r="NOQ11" s="308"/>
      <c r="NOR11" s="301"/>
      <c r="NOS11" s="301"/>
      <c r="NOT11" s="302"/>
      <c r="NOU11" s="301"/>
      <c r="NOV11" s="301"/>
      <c r="NOW11" s="302"/>
      <c r="NOX11" s="301"/>
      <c r="NOY11" s="301"/>
      <c r="NOZ11" s="311"/>
      <c r="NPA11" s="301"/>
      <c r="NPB11" s="308"/>
      <c r="NPC11" s="301"/>
      <c r="NPD11" s="304"/>
      <c r="NPE11" s="307"/>
      <c r="NPF11" s="308"/>
      <c r="NPG11" s="301"/>
      <c r="NPH11" s="308"/>
      <c r="NPI11" s="301"/>
      <c r="NPJ11" s="301"/>
      <c r="NPK11" s="302"/>
      <c r="NPL11" s="301"/>
      <c r="NPM11" s="301"/>
      <c r="NPN11" s="302"/>
      <c r="NPO11" s="301"/>
      <c r="NPP11" s="301"/>
      <c r="NPQ11" s="311"/>
      <c r="NPR11" s="301"/>
      <c r="NPS11" s="308"/>
      <c r="NPT11" s="301"/>
      <c r="NPU11" s="304"/>
      <c r="NPV11" s="307"/>
      <c r="NPW11" s="308"/>
      <c r="NPX11" s="301"/>
      <c r="NPY11" s="308"/>
      <c r="NPZ11" s="301"/>
      <c r="NQA11" s="301"/>
      <c r="NQB11" s="302"/>
      <c r="NQC11" s="301"/>
      <c r="NQD11" s="301"/>
      <c r="NQE11" s="302"/>
      <c r="NQF11" s="301"/>
      <c r="NQG11" s="301"/>
      <c r="NQH11" s="311"/>
      <c r="NQI11" s="301"/>
      <c r="NQJ11" s="308"/>
      <c r="NQK11" s="301"/>
      <c r="NQL11" s="304"/>
      <c r="NQM11" s="307"/>
      <c r="NQN11" s="308"/>
      <c r="NQO11" s="301"/>
      <c r="NQP11" s="308"/>
      <c r="NQQ11" s="301"/>
      <c r="NQR11" s="301"/>
      <c r="NQS11" s="302"/>
      <c r="NQT11" s="301"/>
      <c r="NQU11" s="301"/>
      <c r="NQV11" s="302"/>
      <c r="NQW11" s="301"/>
      <c r="NQX11" s="301"/>
      <c r="NQY11" s="311"/>
      <c r="NQZ11" s="301"/>
      <c r="NRA11" s="308"/>
      <c r="NRB11" s="301"/>
      <c r="NRC11" s="304"/>
      <c r="NRD11" s="307"/>
      <c r="NRE11" s="308"/>
      <c r="NRF11" s="301"/>
      <c r="NRG11" s="308"/>
      <c r="NRH11" s="301"/>
      <c r="NRI11" s="301"/>
      <c r="NRJ11" s="302"/>
      <c r="NRK11" s="301"/>
      <c r="NRL11" s="301"/>
      <c r="NRM11" s="302"/>
      <c r="NRN11" s="301"/>
      <c r="NRO11" s="301"/>
      <c r="NRP11" s="311"/>
      <c r="NRQ11" s="301"/>
      <c r="NRR11" s="308"/>
      <c r="NRS11" s="301"/>
      <c r="NRT11" s="304"/>
      <c r="NRU11" s="307"/>
      <c r="NRV11" s="308"/>
      <c r="NRW11" s="301"/>
      <c r="NRX11" s="308"/>
      <c r="NRY11" s="301"/>
      <c r="NRZ11" s="301"/>
      <c r="NSA11" s="302"/>
      <c r="NSB11" s="301"/>
      <c r="NSC11" s="301"/>
      <c r="NSD11" s="302"/>
      <c r="NSE11" s="301"/>
      <c r="NSF11" s="301"/>
      <c r="NSG11" s="311"/>
      <c r="NSH11" s="301"/>
      <c r="NSI11" s="308"/>
      <c r="NSJ11" s="301"/>
      <c r="NSK11" s="304"/>
      <c r="NSL11" s="307"/>
      <c r="NSM11" s="308"/>
      <c r="NSN11" s="301"/>
      <c r="NSO11" s="308"/>
      <c r="NSP11" s="301"/>
      <c r="NSQ11" s="301"/>
      <c r="NSR11" s="302"/>
      <c r="NSS11" s="301"/>
      <c r="NST11" s="301"/>
      <c r="NSU11" s="302"/>
      <c r="NSV11" s="301"/>
      <c r="NSW11" s="301"/>
      <c r="NSX11" s="311"/>
      <c r="NSY11" s="301"/>
      <c r="NSZ11" s="308"/>
      <c r="NTA11" s="301"/>
      <c r="NTB11" s="304"/>
      <c r="NTC11" s="307"/>
      <c r="NTD11" s="308"/>
      <c r="NTE11" s="301"/>
      <c r="NTF11" s="308"/>
      <c r="NTG11" s="301"/>
      <c r="NTH11" s="301"/>
      <c r="NTI11" s="302"/>
      <c r="NTJ11" s="301"/>
      <c r="NTK11" s="301"/>
      <c r="NTL11" s="302"/>
      <c r="NTM11" s="301"/>
      <c r="NTN11" s="301"/>
      <c r="NTO11" s="311"/>
      <c r="NTP11" s="301"/>
      <c r="NTQ11" s="308"/>
      <c r="NTR11" s="301"/>
      <c r="NTS11" s="304"/>
      <c r="NTT11" s="307"/>
      <c r="NTU11" s="308"/>
      <c r="NTV11" s="301"/>
      <c r="NTW11" s="308"/>
      <c r="NTX11" s="301"/>
      <c r="NTY11" s="301"/>
      <c r="NTZ11" s="302"/>
      <c r="NUA11" s="301"/>
      <c r="NUB11" s="301"/>
      <c r="NUC11" s="302"/>
      <c r="NUD11" s="301"/>
      <c r="NUE11" s="301"/>
      <c r="NUF11" s="311"/>
      <c r="NUG11" s="301"/>
      <c r="NUH11" s="308"/>
      <c r="NUI11" s="301"/>
      <c r="NUJ11" s="304"/>
      <c r="NUK11" s="307"/>
      <c r="NUL11" s="308"/>
      <c r="NUM11" s="301"/>
      <c r="NUN11" s="308"/>
      <c r="NUO11" s="301"/>
      <c r="NUP11" s="301"/>
      <c r="NUQ11" s="302"/>
      <c r="NUR11" s="301"/>
      <c r="NUS11" s="301"/>
      <c r="NUT11" s="302"/>
      <c r="NUU11" s="301"/>
      <c r="NUV11" s="301"/>
      <c r="NUW11" s="311"/>
      <c r="NUX11" s="301"/>
      <c r="NUY11" s="308"/>
      <c r="NUZ11" s="301"/>
      <c r="NVA11" s="304"/>
      <c r="NVB11" s="307"/>
      <c r="NVC11" s="308"/>
      <c r="NVD11" s="301"/>
      <c r="NVE11" s="308"/>
      <c r="NVF11" s="301"/>
      <c r="NVG11" s="301"/>
      <c r="NVH11" s="302"/>
      <c r="NVI11" s="301"/>
      <c r="NVJ11" s="301"/>
      <c r="NVK11" s="302"/>
      <c r="NVL11" s="301"/>
      <c r="NVM11" s="301"/>
      <c r="NVN11" s="311"/>
      <c r="NVO11" s="301"/>
      <c r="NVP11" s="308"/>
      <c r="NVQ11" s="301"/>
      <c r="NVR11" s="304"/>
      <c r="NVS11" s="307"/>
      <c r="NVT11" s="308"/>
      <c r="NVU11" s="301"/>
      <c r="NVV11" s="308"/>
      <c r="NVW11" s="301"/>
      <c r="NVX11" s="301"/>
      <c r="NVY11" s="302"/>
      <c r="NVZ11" s="301"/>
      <c r="NWA11" s="301"/>
      <c r="NWB11" s="302"/>
      <c r="NWC11" s="301"/>
      <c r="NWD11" s="301"/>
      <c r="NWE11" s="311"/>
      <c r="NWF11" s="301"/>
      <c r="NWG11" s="308"/>
      <c r="NWH11" s="301"/>
      <c r="NWI11" s="304"/>
      <c r="NWJ11" s="307"/>
      <c r="NWK11" s="308"/>
      <c r="NWL11" s="301"/>
      <c r="NWM11" s="308"/>
      <c r="NWN11" s="301"/>
      <c r="NWO11" s="301"/>
      <c r="NWP11" s="302"/>
      <c r="NWQ11" s="301"/>
      <c r="NWR11" s="301"/>
      <c r="NWS11" s="302"/>
      <c r="NWT11" s="301"/>
      <c r="NWU11" s="301"/>
      <c r="NWV11" s="311"/>
      <c r="NWW11" s="301"/>
      <c r="NWX11" s="308"/>
      <c r="NWY11" s="301"/>
      <c r="NWZ11" s="304"/>
      <c r="NXA11" s="307"/>
      <c r="NXB11" s="308"/>
      <c r="NXC11" s="301"/>
      <c r="NXD11" s="308"/>
      <c r="NXE11" s="301"/>
      <c r="NXF11" s="301"/>
      <c r="NXG11" s="302"/>
      <c r="NXH11" s="301"/>
      <c r="NXI11" s="301"/>
      <c r="NXJ11" s="302"/>
      <c r="NXK11" s="301"/>
      <c r="NXL11" s="301"/>
      <c r="NXM11" s="311"/>
      <c r="NXN11" s="301"/>
      <c r="NXO11" s="308"/>
      <c r="NXP11" s="301"/>
      <c r="NXQ11" s="304"/>
      <c r="NXR11" s="307"/>
      <c r="NXS11" s="308"/>
      <c r="NXT11" s="301"/>
      <c r="NXU11" s="308"/>
      <c r="NXV11" s="301"/>
      <c r="NXW11" s="301"/>
      <c r="NXX11" s="302"/>
      <c r="NXY11" s="301"/>
      <c r="NXZ11" s="301"/>
      <c r="NYA11" s="302"/>
      <c r="NYB11" s="301"/>
      <c r="NYC11" s="301"/>
      <c r="NYD11" s="311"/>
      <c r="NYE11" s="301"/>
      <c r="NYF11" s="308"/>
      <c r="NYG11" s="301"/>
      <c r="NYH11" s="304"/>
      <c r="NYI11" s="307"/>
      <c r="NYJ11" s="308"/>
      <c r="NYK11" s="301"/>
      <c r="NYL11" s="308"/>
      <c r="NYM11" s="301"/>
      <c r="NYN11" s="301"/>
      <c r="NYO11" s="302"/>
      <c r="NYP11" s="301"/>
      <c r="NYQ11" s="301"/>
      <c r="NYR11" s="302"/>
      <c r="NYS11" s="301"/>
      <c r="NYT11" s="301"/>
      <c r="NYU11" s="311"/>
      <c r="NYV11" s="301"/>
      <c r="NYW11" s="308"/>
      <c r="NYX11" s="301"/>
      <c r="NYY11" s="304"/>
      <c r="NYZ11" s="307"/>
      <c r="NZA11" s="308"/>
      <c r="NZB11" s="301"/>
      <c r="NZC11" s="308"/>
      <c r="NZD11" s="301"/>
      <c r="NZE11" s="301"/>
      <c r="NZF11" s="302"/>
      <c r="NZG11" s="301"/>
      <c r="NZH11" s="301"/>
      <c r="NZI11" s="302"/>
      <c r="NZJ11" s="301"/>
      <c r="NZK11" s="301"/>
      <c r="NZL11" s="311"/>
      <c r="NZM11" s="301"/>
      <c r="NZN11" s="308"/>
      <c r="NZO11" s="301"/>
      <c r="NZP11" s="304"/>
      <c r="NZQ11" s="307"/>
      <c r="NZR11" s="308"/>
      <c r="NZS11" s="301"/>
      <c r="NZT11" s="308"/>
      <c r="NZU11" s="301"/>
      <c r="NZV11" s="301"/>
      <c r="NZW11" s="302"/>
      <c r="NZX11" s="301"/>
      <c r="NZY11" s="301"/>
      <c r="NZZ11" s="302"/>
      <c r="OAA11" s="301"/>
      <c r="OAB11" s="301"/>
      <c r="OAC11" s="311"/>
      <c r="OAD11" s="301"/>
      <c r="OAE11" s="308"/>
      <c r="OAF11" s="301"/>
      <c r="OAG11" s="304"/>
      <c r="OAH11" s="307"/>
      <c r="OAI11" s="308"/>
      <c r="OAJ11" s="301"/>
      <c r="OAK11" s="308"/>
      <c r="OAL11" s="301"/>
      <c r="OAM11" s="301"/>
      <c r="OAN11" s="302"/>
      <c r="OAO11" s="301"/>
      <c r="OAP11" s="301"/>
      <c r="OAQ11" s="302"/>
      <c r="OAR11" s="301"/>
      <c r="OAS11" s="301"/>
      <c r="OAT11" s="311"/>
      <c r="OAU11" s="301"/>
      <c r="OAV11" s="308"/>
      <c r="OAW11" s="301"/>
      <c r="OAX11" s="304"/>
      <c r="OAY11" s="307"/>
      <c r="OAZ11" s="308"/>
      <c r="OBA11" s="301"/>
      <c r="OBB11" s="308"/>
      <c r="OBC11" s="301"/>
      <c r="OBD11" s="301"/>
      <c r="OBE11" s="302"/>
      <c r="OBF11" s="301"/>
      <c r="OBG11" s="301"/>
      <c r="OBH11" s="302"/>
      <c r="OBI11" s="301"/>
      <c r="OBJ11" s="301"/>
      <c r="OBK11" s="311"/>
      <c r="OBL11" s="301"/>
      <c r="OBM11" s="308"/>
      <c r="OBN11" s="301"/>
      <c r="OBO11" s="304"/>
      <c r="OBP11" s="307"/>
      <c r="OBQ11" s="308"/>
      <c r="OBR11" s="301"/>
      <c r="OBS11" s="308"/>
      <c r="OBT11" s="301"/>
      <c r="OBU11" s="301"/>
      <c r="OBV11" s="302"/>
      <c r="OBW11" s="301"/>
      <c r="OBX11" s="301"/>
      <c r="OBY11" s="302"/>
      <c r="OBZ11" s="301"/>
      <c r="OCA11" s="301"/>
      <c r="OCB11" s="311"/>
      <c r="OCC11" s="301"/>
      <c r="OCD11" s="308"/>
      <c r="OCE11" s="301"/>
      <c r="OCF11" s="304"/>
      <c r="OCG11" s="307"/>
      <c r="OCH11" s="308"/>
      <c r="OCI11" s="301"/>
      <c r="OCJ11" s="308"/>
      <c r="OCK11" s="301"/>
      <c r="OCL11" s="301"/>
      <c r="OCM11" s="302"/>
      <c r="OCN11" s="301"/>
      <c r="OCO11" s="301"/>
      <c r="OCP11" s="302"/>
      <c r="OCQ11" s="301"/>
      <c r="OCR11" s="301"/>
      <c r="OCS11" s="311"/>
      <c r="OCT11" s="301"/>
      <c r="OCU11" s="308"/>
      <c r="OCV11" s="301"/>
      <c r="OCW11" s="304"/>
      <c r="OCX11" s="307"/>
      <c r="OCY11" s="308"/>
      <c r="OCZ11" s="301"/>
      <c r="ODA11" s="308"/>
      <c r="ODB11" s="301"/>
      <c r="ODC11" s="301"/>
      <c r="ODD11" s="302"/>
      <c r="ODE11" s="301"/>
      <c r="ODF11" s="301"/>
      <c r="ODG11" s="302"/>
      <c r="ODH11" s="301"/>
      <c r="ODI11" s="301"/>
      <c r="ODJ11" s="311"/>
      <c r="ODK11" s="301"/>
      <c r="ODL11" s="308"/>
      <c r="ODM11" s="301"/>
      <c r="ODN11" s="304"/>
      <c r="ODO11" s="307"/>
      <c r="ODP11" s="308"/>
      <c r="ODQ11" s="301"/>
      <c r="ODR11" s="308"/>
      <c r="ODS11" s="301"/>
      <c r="ODT11" s="301"/>
      <c r="ODU11" s="302"/>
      <c r="ODV11" s="301"/>
      <c r="ODW11" s="301"/>
      <c r="ODX11" s="302"/>
      <c r="ODY11" s="301"/>
      <c r="ODZ11" s="301"/>
      <c r="OEA11" s="311"/>
      <c r="OEB11" s="301"/>
      <c r="OEC11" s="308"/>
      <c r="OED11" s="301"/>
      <c r="OEE11" s="304"/>
      <c r="OEF11" s="307"/>
      <c r="OEG11" s="308"/>
      <c r="OEH11" s="301"/>
      <c r="OEI11" s="308"/>
      <c r="OEJ11" s="301"/>
      <c r="OEK11" s="301"/>
      <c r="OEL11" s="302"/>
      <c r="OEM11" s="301"/>
      <c r="OEN11" s="301"/>
      <c r="OEO11" s="302"/>
      <c r="OEP11" s="301"/>
      <c r="OEQ11" s="301"/>
      <c r="OER11" s="311"/>
      <c r="OES11" s="301"/>
      <c r="OET11" s="308"/>
      <c r="OEU11" s="301"/>
      <c r="OEV11" s="304"/>
      <c r="OEW11" s="307"/>
      <c r="OEX11" s="308"/>
      <c r="OEY11" s="301"/>
      <c r="OEZ11" s="308"/>
      <c r="OFA11" s="301"/>
      <c r="OFB11" s="301"/>
      <c r="OFC11" s="302"/>
      <c r="OFD11" s="301"/>
      <c r="OFE11" s="301"/>
      <c r="OFF11" s="302"/>
      <c r="OFG11" s="301"/>
      <c r="OFH11" s="301"/>
      <c r="OFI11" s="311"/>
      <c r="OFJ11" s="301"/>
      <c r="OFK11" s="308"/>
      <c r="OFL11" s="301"/>
      <c r="OFM11" s="304"/>
      <c r="OFN11" s="307"/>
      <c r="OFO11" s="308"/>
      <c r="OFP11" s="301"/>
      <c r="OFQ11" s="308"/>
      <c r="OFR11" s="301"/>
      <c r="OFS11" s="301"/>
      <c r="OFT11" s="302"/>
      <c r="OFU11" s="301"/>
      <c r="OFV11" s="301"/>
      <c r="OFW11" s="302"/>
      <c r="OFX11" s="301"/>
      <c r="OFY11" s="301"/>
      <c r="OFZ11" s="311"/>
      <c r="OGA11" s="301"/>
      <c r="OGB11" s="308"/>
      <c r="OGC11" s="301"/>
      <c r="OGD11" s="304"/>
      <c r="OGE11" s="307"/>
      <c r="OGF11" s="308"/>
      <c r="OGG11" s="301"/>
      <c r="OGH11" s="308"/>
      <c r="OGI11" s="301"/>
      <c r="OGJ11" s="301"/>
      <c r="OGK11" s="302"/>
      <c r="OGL11" s="301"/>
      <c r="OGM11" s="301"/>
      <c r="OGN11" s="302"/>
      <c r="OGO11" s="301"/>
      <c r="OGP11" s="301"/>
      <c r="OGQ11" s="311"/>
      <c r="OGR11" s="301"/>
      <c r="OGS11" s="308"/>
      <c r="OGT11" s="301"/>
      <c r="OGU11" s="304"/>
      <c r="OGV11" s="307"/>
      <c r="OGW11" s="308"/>
      <c r="OGX11" s="301"/>
      <c r="OGY11" s="308"/>
      <c r="OGZ11" s="301"/>
      <c r="OHA11" s="301"/>
      <c r="OHB11" s="302"/>
      <c r="OHC11" s="301"/>
      <c r="OHD11" s="301"/>
      <c r="OHE11" s="302"/>
      <c r="OHF11" s="301"/>
      <c r="OHG11" s="301"/>
      <c r="OHH11" s="311"/>
      <c r="OHI11" s="301"/>
      <c r="OHJ11" s="308"/>
      <c r="OHK11" s="301"/>
      <c r="OHL11" s="304"/>
      <c r="OHM11" s="307"/>
      <c r="OHN11" s="308"/>
      <c r="OHO11" s="301"/>
      <c r="OHP11" s="308"/>
      <c r="OHQ11" s="301"/>
      <c r="OHR11" s="301"/>
      <c r="OHS11" s="302"/>
      <c r="OHT11" s="301"/>
      <c r="OHU11" s="301"/>
      <c r="OHV11" s="302"/>
      <c r="OHW11" s="301"/>
      <c r="OHX11" s="301"/>
      <c r="OHY11" s="311"/>
      <c r="OHZ11" s="301"/>
      <c r="OIA11" s="308"/>
      <c r="OIB11" s="301"/>
      <c r="OIC11" s="304"/>
      <c r="OID11" s="307"/>
      <c r="OIE11" s="308"/>
      <c r="OIF11" s="301"/>
      <c r="OIG11" s="308"/>
      <c r="OIH11" s="301"/>
      <c r="OII11" s="301"/>
      <c r="OIJ11" s="302"/>
      <c r="OIK11" s="301"/>
      <c r="OIL11" s="301"/>
      <c r="OIM11" s="302"/>
      <c r="OIN11" s="301"/>
      <c r="OIO11" s="301"/>
      <c r="OIP11" s="311"/>
      <c r="OIQ11" s="301"/>
      <c r="OIR11" s="308"/>
      <c r="OIS11" s="301"/>
      <c r="OIT11" s="304"/>
      <c r="OIU11" s="307"/>
      <c r="OIV11" s="308"/>
      <c r="OIW11" s="301"/>
      <c r="OIX11" s="308"/>
      <c r="OIY11" s="301"/>
      <c r="OIZ11" s="301"/>
      <c r="OJA11" s="302"/>
      <c r="OJB11" s="301"/>
      <c r="OJC11" s="301"/>
      <c r="OJD11" s="302"/>
      <c r="OJE11" s="301"/>
      <c r="OJF11" s="301"/>
      <c r="OJG11" s="311"/>
      <c r="OJH11" s="301"/>
      <c r="OJI11" s="308"/>
      <c r="OJJ11" s="301"/>
      <c r="OJK11" s="304"/>
      <c r="OJL11" s="307"/>
      <c r="OJM11" s="308"/>
      <c r="OJN11" s="301"/>
      <c r="OJO11" s="308"/>
      <c r="OJP11" s="301"/>
      <c r="OJQ11" s="301"/>
      <c r="OJR11" s="302"/>
      <c r="OJS11" s="301"/>
      <c r="OJT11" s="301"/>
      <c r="OJU11" s="302"/>
      <c r="OJV11" s="301"/>
      <c r="OJW11" s="301"/>
      <c r="OJX11" s="311"/>
      <c r="OJY11" s="301"/>
      <c r="OJZ11" s="308"/>
      <c r="OKA11" s="301"/>
      <c r="OKB11" s="304"/>
      <c r="OKC11" s="307"/>
      <c r="OKD11" s="308"/>
      <c r="OKE11" s="301"/>
      <c r="OKF11" s="308"/>
      <c r="OKG11" s="301"/>
      <c r="OKH11" s="301"/>
      <c r="OKI11" s="302"/>
      <c r="OKJ11" s="301"/>
      <c r="OKK11" s="301"/>
      <c r="OKL11" s="302"/>
      <c r="OKM11" s="301"/>
      <c r="OKN11" s="301"/>
      <c r="OKO11" s="311"/>
      <c r="OKP11" s="301"/>
      <c r="OKQ11" s="308"/>
      <c r="OKR11" s="301"/>
      <c r="OKS11" s="304"/>
      <c r="OKT11" s="307"/>
      <c r="OKU11" s="308"/>
      <c r="OKV11" s="301"/>
      <c r="OKW11" s="308"/>
      <c r="OKX11" s="301"/>
      <c r="OKY11" s="301"/>
      <c r="OKZ11" s="302"/>
      <c r="OLA11" s="301"/>
      <c r="OLB11" s="301"/>
      <c r="OLC11" s="302"/>
      <c r="OLD11" s="301"/>
      <c r="OLE11" s="301"/>
      <c r="OLF11" s="311"/>
      <c r="OLG11" s="301"/>
      <c r="OLH11" s="308"/>
      <c r="OLI11" s="301"/>
      <c r="OLJ11" s="304"/>
      <c r="OLK11" s="307"/>
      <c r="OLL11" s="308"/>
      <c r="OLM11" s="301"/>
      <c r="OLN11" s="308"/>
      <c r="OLO11" s="301"/>
      <c r="OLP11" s="301"/>
      <c r="OLQ11" s="302"/>
      <c r="OLR11" s="301"/>
      <c r="OLS11" s="301"/>
      <c r="OLT11" s="302"/>
      <c r="OLU11" s="301"/>
      <c r="OLV11" s="301"/>
      <c r="OLW11" s="311"/>
      <c r="OLX11" s="301"/>
      <c r="OLY11" s="308"/>
      <c r="OLZ11" s="301"/>
      <c r="OMA11" s="304"/>
      <c r="OMB11" s="307"/>
      <c r="OMC11" s="308"/>
      <c r="OMD11" s="301"/>
      <c r="OME11" s="308"/>
      <c r="OMF11" s="301"/>
      <c r="OMG11" s="301"/>
      <c r="OMH11" s="302"/>
      <c r="OMI11" s="301"/>
      <c r="OMJ11" s="301"/>
      <c r="OMK11" s="302"/>
      <c r="OML11" s="301"/>
      <c r="OMM11" s="301"/>
      <c r="OMN11" s="311"/>
      <c r="OMO11" s="301"/>
      <c r="OMP11" s="308"/>
      <c r="OMQ11" s="301"/>
      <c r="OMR11" s="304"/>
      <c r="OMS11" s="307"/>
      <c r="OMT11" s="308"/>
      <c r="OMU11" s="301"/>
      <c r="OMV11" s="308"/>
      <c r="OMW11" s="301"/>
      <c r="OMX11" s="301"/>
      <c r="OMY11" s="302"/>
      <c r="OMZ11" s="301"/>
      <c r="ONA11" s="301"/>
      <c r="ONB11" s="302"/>
      <c r="ONC11" s="301"/>
      <c r="OND11" s="301"/>
      <c r="ONE11" s="311"/>
      <c r="ONF11" s="301"/>
      <c r="ONG11" s="308"/>
      <c r="ONH11" s="301"/>
      <c r="ONI11" s="304"/>
      <c r="ONJ11" s="307"/>
      <c r="ONK11" s="308"/>
      <c r="ONL11" s="301"/>
      <c r="ONM11" s="308"/>
      <c r="ONN11" s="301"/>
      <c r="ONO11" s="301"/>
      <c r="ONP11" s="302"/>
      <c r="ONQ11" s="301"/>
      <c r="ONR11" s="301"/>
      <c r="ONS11" s="302"/>
      <c r="ONT11" s="301"/>
      <c r="ONU11" s="301"/>
      <c r="ONV11" s="311"/>
      <c r="ONW11" s="301"/>
      <c r="ONX11" s="308"/>
      <c r="ONY11" s="301"/>
      <c r="ONZ11" s="304"/>
      <c r="OOA11" s="307"/>
      <c r="OOB11" s="308"/>
      <c r="OOC11" s="301"/>
      <c r="OOD11" s="308"/>
      <c r="OOE11" s="301"/>
      <c r="OOF11" s="301"/>
      <c r="OOG11" s="302"/>
      <c r="OOH11" s="301"/>
      <c r="OOI11" s="301"/>
      <c r="OOJ11" s="302"/>
      <c r="OOK11" s="301"/>
      <c r="OOL11" s="301"/>
      <c r="OOM11" s="311"/>
      <c r="OON11" s="301"/>
      <c r="OOO11" s="308"/>
      <c r="OOP11" s="301"/>
      <c r="OOQ11" s="304"/>
      <c r="OOR11" s="307"/>
      <c r="OOS11" s="308"/>
      <c r="OOT11" s="301"/>
      <c r="OOU11" s="308"/>
      <c r="OOV11" s="301"/>
      <c r="OOW11" s="301"/>
      <c r="OOX11" s="302"/>
      <c r="OOY11" s="301"/>
      <c r="OOZ11" s="301"/>
      <c r="OPA11" s="302"/>
      <c r="OPB11" s="301"/>
      <c r="OPC11" s="301"/>
      <c r="OPD11" s="311"/>
      <c r="OPE11" s="301"/>
      <c r="OPF11" s="308"/>
      <c r="OPG11" s="301"/>
      <c r="OPH11" s="304"/>
      <c r="OPI11" s="307"/>
      <c r="OPJ11" s="308"/>
      <c r="OPK11" s="301"/>
      <c r="OPL11" s="308"/>
      <c r="OPM11" s="301"/>
      <c r="OPN11" s="301"/>
      <c r="OPO11" s="302"/>
      <c r="OPP11" s="301"/>
      <c r="OPQ11" s="301"/>
      <c r="OPR11" s="302"/>
      <c r="OPS11" s="301"/>
      <c r="OPT11" s="301"/>
      <c r="OPU11" s="311"/>
      <c r="OPV11" s="301"/>
      <c r="OPW11" s="308"/>
      <c r="OPX11" s="301"/>
      <c r="OPY11" s="304"/>
      <c r="OPZ11" s="307"/>
      <c r="OQA11" s="308"/>
      <c r="OQB11" s="301"/>
      <c r="OQC11" s="308"/>
      <c r="OQD11" s="301"/>
      <c r="OQE11" s="301"/>
      <c r="OQF11" s="302"/>
      <c r="OQG11" s="301"/>
      <c r="OQH11" s="301"/>
      <c r="OQI11" s="302"/>
      <c r="OQJ11" s="301"/>
      <c r="OQK11" s="301"/>
      <c r="OQL11" s="311"/>
      <c r="OQM11" s="301"/>
      <c r="OQN11" s="308"/>
      <c r="OQO11" s="301"/>
      <c r="OQP11" s="304"/>
      <c r="OQQ11" s="307"/>
      <c r="OQR11" s="308"/>
      <c r="OQS11" s="301"/>
      <c r="OQT11" s="308"/>
      <c r="OQU11" s="301"/>
      <c r="OQV11" s="301"/>
      <c r="OQW11" s="302"/>
      <c r="OQX11" s="301"/>
      <c r="OQY11" s="301"/>
      <c r="OQZ11" s="302"/>
      <c r="ORA11" s="301"/>
      <c r="ORB11" s="301"/>
      <c r="ORC11" s="311"/>
      <c r="ORD11" s="301"/>
      <c r="ORE11" s="308"/>
      <c r="ORF11" s="301"/>
      <c r="ORG11" s="304"/>
      <c r="ORH11" s="307"/>
      <c r="ORI11" s="308"/>
      <c r="ORJ11" s="301"/>
      <c r="ORK11" s="308"/>
      <c r="ORL11" s="301"/>
      <c r="ORM11" s="301"/>
      <c r="ORN11" s="302"/>
      <c r="ORO11" s="301"/>
      <c r="ORP11" s="301"/>
      <c r="ORQ11" s="302"/>
      <c r="ORR11" s="301"/>
      <c r="ORS11" s="301"/>
      <c r="ORT11" s="311"/>
      <c r="ORU11" s="301"/>
      <c r="ORV11" s="308"/>
      <c r="ORW11" s="301"/>
      <c r="ORX11" s="304"/>
      <c r="ORY11" s="307"/>
      <c r="ORZ11" s="308"/>
      <c r="OSA11" s="301"/>
      <c r="OSB11" s="308"/>
      <c r="OSC11" s="301"/>
      <c r="OSD11" s="301"/>
      <c r="OSE11" s="302"/>
      <c r="OSF11" s="301"/>
      <c r="OSG11" s="301"/>
      <c r="OSH11" s="302"/>
      <c r="OSI11" s="301"/>
      <c r="OSJ11" s="301"/>
      <c r="OSK11" s="311"/>
      <c r="OSL11" s="301"/>
      <c r="OSM11" s="308"/>
      <c r="OSN11" s="301"/>
      <c r="OSO11" s="304"/>
      <c r="OSP11" s="307"/>
      <c r="OSQ11" s="308"/>
      <c r="OSR11" s="301"/>
      <c r="OSS11" s="308"/>
      <c r="OST11" s="301"/>
      <c r="OSU11" s="301"/>
      <c r="OSV11" s="302"/>
      <c r="OSW11" s="301"/>
      <c r="OSX11" s="301"/>
      <c r="OSY11" s="302"/>
      <c r="OSZ11" s="301"/>
      <c r="OTA11" s="301"/>
      <c r="OTB11" s="311"/>
      <c r="OTC11" s="301"/>
      <c r="OTD11" s="308"/>
      <c r="OTE11" s="301"/>
      <c r="OTF11" s="304"/>
      <c r="OTG11" s="307"/>
      <c r="OTH11" s="308"/>
      <c r="OTI11" s="301"/>
      <c r="OTJ11" s="308"/>
      <c r="OTK11" s="301"/>
      <c r="OTL11" s="301"/>
      <c r="OTM11" s="302"/>
      <c r="OTN11" s="301"/>
      <c r="OTO11" s="301"/>
      <c r="OTP11" s="302"/>
      <c r="OTQ11" s="301"/>
      <c r="OTR11" s="301"/>
      <c r="OTS11" s="311"/>
      <c r="OTT11" s="301"/>
      <c r="OTU11" s="308"/>
      <c r="OTV11" s="301"/>
      <c r="OTW11" s="304"/>
      <c r="OTX11" s="307"/>
      <c r="OTY11" s="308"/>
      <c r="OTZ11" s="301"/>
      <c r="OUA11" s="308"/>
      <c r="OUB11" s="301"/>
      <c r="OUC11" s="301"/>
      <c r="OUD11" s="302"/>
      <c r="OUE11" s="301"/>
      <c r="OUF11" s="301"/>
      <c r="OUG11" s="302"/>
      <c r="OUH11" s="301"/>
      <c r="OUI11" s="301"/>
      <c r="OUJ11" s="311"/>
      <c r="OUK11" s="301"/>
      <c r="OUL11" s="308"/>
      <c r="OUM11" s="301"/>
      <c r="OUN11" s="304"/>
      <c r="OUO11" s="307"/>
      <c r="OUP11" s="308"/>
      <c r="OUQ11" s="301"/>
      <c r="OUR11" s="308"/>
      <c r="OUS11" s="301"/>
      <c r="OUT11" s="301"/>
      <c r="OUU11" s="302"/>
      <c r="OUV11" s="301"/>
      <c r="OUW11" s="301"/>
      <c r="OUX11" s="302"/>
      <c r="OUY11" s="301"/>
      <c r="OUZ11" s="301"/>
      <c r="OVA11" s="311"/>
      <c r="OVB11" s="301"/>
      <c r="OVC11" s="308"/>
      <c r="OVD11" s="301"/>
      <c r="OVE11" s="304"/>
      <c r="OVF11" s="307"/>
      <c r="OVG11" s="308"/>
      <c r="OVH11" s="301"/>
      <c r="OVI11" s="308"/>
      <c r="OVJ11" s="301"/>
      <c r="OVK11" s="301"/>
      <c r="OVL11" s="302"/>
      <c r="OVM11" s="301"/>
      <c r="OVN11" s="301"/>
      <c r="OVO11" s="302"/>
      <c r="OVP11" s="301"/>
      <c r="OVQ11" s="301"/>
      <c r="OVR11" s="311"/>
      <c r="OVS11" s="301"/>
      <c r="OVT11" s="308"/>
      <c r="OVU11" s="301"/>
      <c r="OVV11" s="304"/>
      <c r="OVW11" s="307"/>
      <c r="OVX11" s="308"/>
      <c r="OVY11" s="301"/>
      <c r="OVZ11" s="308"/>
      <c r="OWA11" s="301"/>
      <c r="OWB11" s="301"/>
      <c r="OWC11" s="302"/>
      <c r="OWD11" s="301"/>
      <c r="OWE11" s="301"/>
      <c r="OWF11" s="302"/>
      <c r="OWG11" s="301"/>
      <c r="OWH11" s="301"/>
      <c r="OWI11" s="311"/>
      <c r="OWJ11" s="301"/>
      <c r="OWK11" s="308"/>
      <c r="OWL11" s="301"/>
      <c r="OWM11" s="304"/>
      <c r="OWN11" s="307"/>
      <c r="OWO11" s="308"/>
      <c r="OWP11" s="301"/>
      <c r="OWQ11" s="308"/>
      <c r="OWR11" s="301"/>
      <c r="OWS11" s="301"/>
      <c r="OWT11" s="302"/>
      <c r="OWU11" s="301"/>
      <c r="OWV11" s="301"/>
      <c r="OWW11" s="302"/>
      <c r="OWX11" s="301"/>
      <c r="OWY11" s="301"/>
      <c r="OWZ11" s="311"/>
      <c r="OXA11" s="301"/>
      <c r="OXB11" s="308"/>
      <c r="OXC11" s="301"/>
      <c r="OXD11" s="304"/>
      <c r="OXE11" s="307"/>
      <c r="OXF11" s="308"/>
      <c r="OXG11" s="301"/>
      <c r="OXH11" s="308"/>
      <c r="OXI11" s="301"/>
      <c r="OXJ11" s="301"/>
      <c r="OXK11" s="302"/>
      <c r="OXL11" s="301"/>
      <c r="OXM11" s="301"/>
      <c r="OXN11" s="302"/>
      <c r="OXO11" s="301"/>
      <c r="OXP11" s="301"/>
      <c r="OXQ11" s="311"/>
      <c r="OXR11" s="301"/>
      <c r="OXS11" s="308"/>
      <c r="OXT11" s="301"/>
      <c r="OXU11" s="304"/>
      <c r="OXV11" s="307"/>
      <c r="OXW11" s="308"/>
      <c r="OXX11" s="301"/>
      <c r="OXY11" s="308"/>
      <c r="OXZ11" s="301"/>
      <c r="OYA11" s="301"/>
      <c r="OYB11" s="302"/>
      <c r="OYC11" s="301"/>
      <c r="OYD11" s="301"/>
      <c r="OYE11" s="302"/>
      <c r="OYF11" s="301"/>
      <c r="OYG11" s="301"/>
      <c r="OYH11" s="311"/>
      <c r="OYI11" s="301"/>
      <c r="OYJ11" s="308"/>
      <c r="OYK11" s="301"/>
      <c r="OYL11" s="304"/>
      <c r="OYM11" s="307"/>
      <c r="OYN11" s="308"/>
      <c r="OYO11" s="301"/>
      <c r="OYP11" s="308"/>
      <c r="OYQ11" s="301"/>
      <c r="OYR11" s="301"/>
      <c r="OYS11" s="302"/>
      <c r="OYT11" s="301"/>
      <c r="OYU11" s="301"/>
      <c r="OYV11" s="302"/>
      <c r="OYW11" s="301"/>
      <c r="OYX11" s="301"/>
      <c r="OYY11" s="311"/>
      <c r="OYZ11" s="301"/>
      <c r="OZA11" s="308"/>
      <c r="OZB11" s="301"/>
      <c r="OZC11" s="304"/>
      <c r="OZD11" s="307"/>
      <c r="OZE11" s="308"/>
      <c r="OZF11" s="301"/>
      <c r="OZG11" s="308"/>
      <c r="OZH11" s="301"/>
      <c r="OZI11" s="301"/>
      <c r="OZJ11" s="302"/>
      <c r="OZK11" s="301"/>
      <c r="OZL11" s="301"/>
      <c r="OZM11" s="302"/>
      <c r="OZN11" s="301"/>
      <c r="OZO11" s="301"/>
      <c r="OZP11" s="311"/>
      <c r="OZQ11" s="301"/>
      <c r="OZR11" s="308"/>
      <c r="OZS11" s="301"/>
      <c r="OZT11" s="304"/>
      <c r="OZU11" s="307"/>
      <c r="OZV11" s="308"/>
      <c r="OZW11" s="301"/>
      <c r="OZX11" s="308"/>
      <c r="OZY11" s="301"/>
      <c r="OZZ11" s="301"/>
      <c r="PAA11" s="302"/>
      <c r="PAB11" s="301"/>
      <c r="PAC11" s="301"/>
      <c r="PAD11" s="302"/>
      <c r="PAE11" s="301"/>
      <c r="PAF11" s="301"/>
      <c r="PAG11" s="311"/>
      <c r="PAH11" s="301"/>
      <c r="PAI11" s="308"/>
      <c r="PAJ11" s="301"/>
      <c r="PAK11" s="304"/>
      <c r="PAL11" s="307"/>
      <c r="PAM11" s="308"/>
      <c r="PAN11" s="301"/>
      <c r="PAO11" s="308"/>
      <c r="PAP11" s="301"/>
      <c r="PAQ11" s="301"/>
      <c r="PAR11" s="302"/>
      <c r="PAS11" s="301"/>
      <c r="PAT11" s="301"/>
      <c r="PAU11" s="302"/>
      <c r="PAV11" s="301"/>
      <c r="PAW11" s="301"/>
      <c r="PAX11" s="311"/>
      <c r="PAY11" s="301"/>
      <c r="PAZ11" s="308"/>
      <c r="PBA11" s="301"/>
      <c r="PBB11" s="304"/>
      <c r="PBC11" s="307"/>
      <c r="PBD11" s="308"/>
      <c r="PBE11" s="301"/>
      <c r="PBF11" s="308"/>
      <c r="PBG11" s="301"/>
      <c r="PBH11" s="301"/>
      <c r="PBI11" s="302"/>
      <c r="PBJ11" s="301"/>
      <c r="PBK11" s="301"/>
      <c r="PBL11" s="302"/>
      <c r="PBM11" s="301"/>
      <c r="PBN11" s="301"/>
      <c r="PBO11" s="311"/>
      <c r="PBP11" s="301"/>
      <c r="PBQ11" s="308"/>
      <c r="PBR11" s="301"/>
      <c r="PBS11" s="304"/>
      <c r="PBT11" s="307"/>
      <c r="PBU11" s="308"/>
      <c r="PBV11" s="301"/>
      <c r="PBW11" s="308"/>
      <c r="PBX11" s="301"/>
      <c r="PBY11" s="301"/>
      <c r="PBZ11" s="302"/>
      <c r="PCA11" s="301"/>
      <c r="PCB11" s="301"/>
      <c r="PCC11" s="302"/>
      <c r="PCD11" s="301"/>
      <c r="PCE11" s="301"/>
      <c r="PCF11" s="311"/>
      <c r="PCG11" s="301"/>
      <c r="PCH11" s="308"/>
      <c r="PCI11" s="301"/>
      <c r="PCJ11" s="304"/>
      <c r="PCK11" s="307"/>
      <c r="PCL11" s="308"/>
      <c r="PCM11" s="301"/>
      <c r="PCN11" s="308"/>
      <c r="PCO11" s="301"/>
      <c r="PCP11" s="301"/>
      <c r="PCQ11" s="302"/>
      <c r="PCR11" s="301"/>
      <c r="PCS11" s="301"/>
      <c r="PCT11" s="302"/>
      <c r="PCU11" s="301"/>
      <c r="PCV11" s="301"/>
      <c r="PCW11" s="311"/>
      <c r="PCX11" s="301"/>
      <c r="PCY11" s="308"/>
      <c r="PCZ11" s="301"/>
      <c r="PDA11" s="304"/>
      <c r="PDB11" s="307"/>
      <c r="PDC11" s="308"/>
      <c r="PDD11" s="301"/>
      <c r="PDE11" s="308"/>
      <c r="PDF11" s="301"/>
      <c r="PDG11" s="301"/>
      <c r="PDH11" s="302"/>
      <c r="PDI11" s="301"/>
      <c r="PDJ11" s="301"/>
      <c r="PDK11" s="302"/>
      <c r="PDL11" s="301"/>
      <c r="PDM11" s="301"/>
      <c r="PDN11" s="311"/>
      <c r="PDO11" s="301"/>
      <c r="PDP11" s="308"/>
      <c r="PDQ11" s="301"/>
      <c r="PDR11" s="304"/>
      <c r="PDS11" s="307"/>
      <c r="PDT11" s="308"/>
      <c r="PDU11" s="301"/>
      <c r="PDV11" s="308"/>
      <c r="PDW11" s="301"/>
      <c r="PDX11" s="301"/>
      <c r="PDY11" s="302"/>
      <c r="PDZ11" s="301"/>
      <c r="PEA11" s="301"/>
      <c r="PEB11" s="302"/>
      <c r="PEC11" s="301"/>
      <c r="PED11" s="301"/>
      <c r="PEE11" s="311"/>
      <c r="PEF11" s="301"/>
      <c r="PEG11" s="308"/>
      <c r="PEH11" s="301"/>
      <c r="PEI11" s="304"/>
      <c r="PEJ11" s="307"/>
      <c r="PEK11" s="308"/>
      <c r="PEL11" s="301"/>
      <c r="PEM11" s="308"/>
      <c r="PEN11" s="301"/>
      <c r="PEO11" s="301"/>
      <c r="PEP11" s="302"/>
      <c r="PEQ11" s="301"/>
      <c r="PER11" s="301"/>
      <c r="PES11" s="302"/>
      <c r="PET11" s="301"/>
      <c r="PEU11" s="301"/>
      <c r="PEV11" s="311"/>
      <c r="PEW11" s="301"/>
      <c r="PEX11" s="308"/>
      <c r="PEY11" s="301"/>
      <c r="PEZ11" s="304"/>
      <c r="PFA11" s="307"/>
      <c r="PFB11" s="308"/>
      <c r="PFC11" s="301"/>
      <c r="PFD11" s="308"/>
      <c r="PFE11" s="301"/>
      <c r="PFF11" s="301"/>
      <c r="PFG11" s="302"/>
      <c r="PFH11" s="301"/>
      <c r="PFI11" s="301"/>
      <c r="PFJ11" s="302"/>
      <c r="PFK11" s="301"/>
      <c r="PFL11" s="301"/>
      <c r="PFM11" s="311"/>
      <c r="PFN11" s="301"/>
      <c r="PFO11" s="308"/>
      <c r="PFP11" s="301"/>
      <c r="PFQ11" s="304"/>
      <c r="PFR11" s="307"/>
      <c r="PFS11" s="308"/>
      <c r="PFT11" s="301"/>
      <c r="PFU11" s="308"/>
      <c r="PFV11" s="301"/>
      <c r="PFW11" s="301"/>
      <c r="PFX11" s="302"/>
      <c r="PFY11" s="301"/>
      <c r="PFZ11" s="301"/>
      <c r="PGA11" s="302"/>
      <c r="PGB11" s="301"/>
      <c r="PGC11" s="301"/>
      <c r="PGD11" s="311"/>
      <c r="PGE11" s="301"/>
      <c r="PGF11" s="308"/>
      <c r="PGG11" s="301"/>
      <c r="PGH11" s="304"/>
      <c r="PGI11" s="307"/>
      <c r="PGJ11" s="308"/>
      <c r="PGK11" s="301"/>
      <c r="PGL11" s="308"/>
      <c r="PGM11" s="301"/>
      <c r="PGN11" s="301"/>
      <c r="PGO11" s="302"/>
      <c r="PGP11" s="301"/>
      <c r="PGQ11" s="301"/>
      <c r="PGR11" s="302"/>
      <c r="PGS11" s="301"/>
      <c r="PGT11" s="301"/>
      <c r="PGU11" s="311"/>
      <c r="PGV11" s="301"/>
      <c r="PGW11" s="308"/>
      <c r="PGX11" s="301"/>
      <c r="PGY11" s="304"/>
      <c r="PGZ11" s="307"/>
      <c r="PHA11" s="308"/>
      <c r="PHB11" s="301"/>
      <c r="PHC11" s="308"/>
      <c r="PHD11" s="301"/>
      <c r="PHE11" s="301"/>
      <c r="PHF11" s="302"/>
      <c r="PHG11" s="301"/>
      <c r="PHH11" s="301"/>
      <c r="PHI11" s="302"/>
      <c r="PHJ11" s="301"/>
      <c r="PHK11" s="301"/>
      <c r="PHL11" s="311"/>
      <c r="PHM11" s="301"/>
      <c r="PHN11" s="308"/>
      <c r="PHO11" s="301"/>
      <c r="PHP11" s="304"/>
      <c r="PHQ11" s="307"/>
      <c r="PHR11" s="308"/>
      <c r="PHS11" s="301"/>
      <c r="PHT11" s="308"/>
      <c r="PHU11" s="301"/>
      <c r="PHV11" s="301"/>
      <c r="PHW11" s="302"/>
      <c r="PHX11" s="301"/>
      <c r="PHY11" s="301"/>
      <c r="PHZ11" s="302"/>
      <c r="PIA11" s="301"/>
      <c r="PIB11" s="301"/>
      <c r="PIC11" s="311"/>
      <c r="PID11" s="301"/>
      <c r="PIE11" s="308"/>
      <c r="PIF11" s="301"/>
      <c r="PIG11" s="304"/>
      <c r="PIH11" s="307"/>
      <c r="PII11" s="308"/>
      <c r="PIJ11" s="301"/>
      <c r="PIK11" s="308"/>
      <c r="PIL11" s="301"/>
      <c r="PIM11" s="301"/>
      <c r="PIN11" s="302"/>
      <c r="PIO11" s="301"/>
      <c r="PIP11" s="301"/>
      <c r="PIQ11" s="302"/>
      <c r="PIR11" s="301"/>
      <c r="PIS11" s="301"/>
      <c r="PIT11" s="311"/>
      <c r="PIU11" s="301"/>
      <c r="PIV11" s="308"/>
      <c r="PIW11" s="301"/>
      <c r="PIX11" s="304"/>
      <c r="PIY11" s="307"/>
      <c r="PIZ11" s="308"/>
      <c r="PJA11" s="301"/>
      <c r="PJB11" s="308"/>
      <c r="PJC11" s="301"/>
      <c r="PJD11" s="301"/>
      <c r="PJE11" s="302"/>
      <c r="PJF11" s="301"/>
      <c r="PJG11" s="301"/>
      <c r="PJH11" s="302"/>
      <c r="PJI11" s="301"/>
      <c r="PJJ11" s="301"/>
      <c r="PJK11" s="311"/>
      <c r="PJL11" s="301"/>
      <c r="PJM11" s="308"/>
      <c r="PJN11" s="301"/>
      <c r="PJO11" s="304"/>
      <c r="PJP11" s="307"/>
      <c r="PJQ11" s="308"/>
      <c r="PJR11" s="301"/>
      <c r="PJS11" s="308"/>
      <c r="PJT11" s="301"/>
      <c r="PJU11" s="301"/>
      <c r="PJV11" s="302"/>
      <c r="PJW11" s="301"/>
      <c r="PJX11" s="301"/>
      <c r="PJY11" s="302"/>
      <c r="PJZ11" s="301"/>
      <c r="PKA11" s="301"/>
      <c r="PKB11" s="311"/>
      <c r="PKC11" s="301"/>
      <c r="PKD11" s="308"/>
      <c r="PKE11" s="301"/>
      <c r="PKF11" s="304"/>
      <c r="PKG11" s="307"/>
      <c r="PKH11" s="308"/>
      <c r="PKI11" s="301"/>
      <c r="PKJ11" s="308"/>
      <c r="PKK11" s="301"/>
      <c r="PKL11" s="301"/>
      <c r="PKM11" s="302"/>
      <c r="PKN11" s="301"/>
      <c r="PKO11" s="301"/>
      <c r="PKP11" s="302"/>
      <c r="PKQ11" s="301"/>
      <c r="PKR11" s="301"/>
      <c r="PKS11" s="311"/>
      <c r="PKT11" s="301"/>
      <c r="PKU11" s="308"/>
      <c r="PKV11" s="301"/>
      <c r="PKW11" s="304"/>
      <c r="PKX11" s="307"/>
      <c r="PKY11" s="308"/>
      <c r="PKZ11" s="301"/>
      <c r="PLA11" s="308"/>
      <c r="PLB11" s="301"/>
      <c r="PLC11" s="301"/>
      <c r="PLD11" s="302"/>
      <c r="PLE11" s="301"/>
      <c r="PLF11" s="301"/>
      <c r="PLG11" s="302"/>
      <c r="PLH11" s="301"/>
      <c r="PLI11" s="301"/>
      <c r="PLJ11" s="311"/>
      <c r="PLK11" s="301"/>
      <c r="PLL11" s="308"/>
      <c r="PLM11" s="301"/>
      <c r="PLN11" s="304"/>
      <c r="PLO11" s="307"/>
      <c r="PLP11" s="308"/>
      <c r="PLQ11" s="301"/>
      <c r="PLR11" s="308"/>
      <c r="PLS11" s="301"/>
      <c r="PLT11" s="301"/>
      <c r="PLU11" s="302"/>
      <c r="PLV11" s="301"/>
      <c r="PLW11" s="301"/>
      <c r="PLX11" s="302"/>
      <c r="PLY11" s="301"/>
      <c r="PLZ11" s="301"/>
      <c r="PMA11" s="311"/>
      <c r="PMB11" s="301"/>
      <c r="PMC11" s="308"/>
      <c r="PMD11" s="301"/>
      <c r="PME11" s="304"/>
      <c r="PMF11" s="307"/>
      <c r="PMG11" s="308"/>
      <c r="PMH11" s="301"/>
      <c r="PMI11" s="308"/>
      <c r="PMJ11" s="301"/>
      <c r="PMK11" s="301"/>
      <c r="PML11" s="302"/>
      <c r="PMM11" s="301"/>
      <c r="PMN11" s="301"/>
      <c r="PMO11" s="302"/>
      <c r="PMP11" s="301"/>
      <c r="PMQ11" s="301"/>
      <c r="PMR11" s="311"/>
      <c r="PMS11" s="301"/>
      <c r="PMT11" s="308"/>
      <c r="PMU11" s="301"/>
      <c r="PMV11" s="304"/>
      <c r="PMW11" s="307"/>
      <c r="PMX11" s="308"/>
      <c r="PMY11" s="301"/>
      <c r="PMZ11" s="308"/>
      <c r="PNA11" s="301"/>
      <c r="PNB11" s="301"/>
      <c r="PNC11" s="302"/>
      <c r="PND11" s="301"/>
      <c r="PNE11" s="301"/>
      <c r="PNF11" s="302"/>
      <c r="PNG11" s="301"/>
      <c r="PNH11" s="301"/>
      <c r="PNI11" s="311"/>
      <c r="PNJ11" s="301"/>
      <c r="PNK11" s="308"/>
      <c r="PNL11" s="301"/>
      <c r="PNM11" s="304"/>
      <c r="PNN11" s="307"/>
      <c r="PNO11" s="308"/>
      <c r="PNP11" s="301"/>
      <c r="PNQ11" s="308"/>
      <c r="PNR11" s="301"/>
      <c r="PNS11" s="301"/>
      <c r="PNT11" s="302"/>
      <c r="PNU11" s="301"/>
      <c r="PNV11" s="301"/>
      <c r="PNW11" s="302"/>
      <c r="PNX11" s="301"/>
      <c r="PNY11" s="301"/>
      <c r="PNZ11" s="311"/>
      <c r="POA11" s="301"/>
      <c r="POB11" s="308"/>
      <c r="POC11" s="301"/>
      <c r="POD11" s="304"/>
      <c r="POE11" s="307"/>
      <c r="POF11" s="308"/>
      <c r="POG11" s="301"/>
      <c r="POH11" s="308"/>
      <c r="POI11" s="301"/>
      <c r="POJ11" s="301"/>
      <c r="POK11" s="302"/>
      <c r="POL11" s="301"/>
      <c r="POM11" s="301"/>
      <c r="PON11" s="302"/>
      <c r="POO11" s="301"/>
      <c r="POP11" s="301"/>
      <c r="POQ11" s="311"/>
      <c r="POR11" s="301"/>
      <c r="POS11" s="308"/>
      <c r="POT11" s="301"/>
      <c r="POU11" s="304"/>
      <c r="POV11" s="307"/>
      <c r="POW11" s="308"/>
      <c r="POX11" s="301"/>
      <c r="POY11" s="308"/>
      <c r="POZ11" s="301"/>
      <c r="PPA11" s="301"/>
      <c r="PPB11" s="302"/>
      <c r="PPC11" s="301"/>
      <c r="PPD11" s="301"/>
      <c r="PPE11" s="302"/>
      <c r="PPF11" s="301"/>
      <c r="PPG11" s="301"/>
      <c r="PPH11" s="311"/>
      <c r="PPI11" s="301"/>
      <c r="PPJ11" s="308"/>
      <c r="PPK11" s="301"/>
      <c r="PPL11" s="304"/>
      <c r="PPM11" s="307"/>
      <c r="PPN11" s="308"/>
      <c r="PPO11" s="301"/>
      <c r="PPP11" s="308"/>
      <c r="PPQ11" s="301"/>
      <c r="PPR11" s="301"/>
      <c r="PPS11" s="302"/>
      <c r="PPT11" s="301"/>
      <c r="PPU11" s="301"/>
      <c r="PPV11" s="302"/>
      <c r="PPW11" s="301"/>
      <c r="PPX11" s="301"/>
      <c r="PPY11" s="311"/>
      <c r="PPZ11" s="301"/>
      <c r="PQA11" s="308"/>
      <c r="PQB11" s="301"/>
      <c r="PQC11" s="304"/>
      <c r="PQD11" s="307"/>
      <c r="PQE11" s="308"/>
      <c r="PQF11" s="301"/>
      <c r="PQG11" s="308"/>
      <c r="PQH11" s="301"/>
      <c r="PQI11" s="301"/>
      <c r="PQJ11" s="302"/>
      <c r="PQK11" s="301"/>
      <c r="PQL11" s="301"/>
      <c r="PQM11" s="302"/>
      <c r="PQN11" s="301"/>
      <c r="PQO11" s="301"/>
      <c r="PQP11" s="311"/>
      <c r="PQQ11" s="301"/>
      <c r="PQR11" s="308"/>
      <c r="PQS11" s="301"/>
      <c r="PQT11" s="304"/>
      <c r="PQU11" s="307"/>
      <c r="PQV11" s="308"/>
      <c r="PQW11" s="301"/>
      <c r="PQX11" s="308"/>
      <c r="PQY11" s="301"/>
      <c r="PQZ11" s="301"/>
      <c r="PRA11" s="302"/>
      <c r="PRB11" s="301"/>
      <c r="PRC11" s="301"/>
      <c r="PRD11" s="302"/>
      <c r="PRE11" s="301"/>
      <c r="PRF11" s="301"/>
      <c r="PRG11" s="311"/>
      <c r="PRH11" s="301"/>
      <c r="PRI11" s="308"/>
      <c r="PRJ11" s="301"/>
      <c r="PRK11" s="304"/>
      <c r="PRL11" s="307"/>
      <c r="PRM11" s="308"/>
      <c r="PRN11" s="301"/>
      <c r="PRO11" s="308"/>
      <c r="PRP11" s="301"/>
      <c r="PRQ11" s="301"/>
      <c r="PRR11" s="302"/>
      <c r="PRS11" s="301"/>
      <c r="PRT11" s="301"/>
      <c r="PRU11" s="302"/>
      <c r="PRV11" s="301"/>
      <c r="PRW11" s="301"/>
      <c r="PRX11" s="311"/>
      <c r="PRY11" s="301"/>
      <c r="PRZ11" s="308"/>
      <c r="PSA11" s="301"/>
      <c r="PSB11" s="304"/>
      <c r="PSC11" s="307"/>
      <c r="PSD11" s="308"/>
      <c r="PSE11" s="301"/>
      <c r="PSF11" s="308"/>
      <c r="PSG11" s="301"/>
      <c r="PSH11" s="301"/>
      <c r="PSI11" s="302"/>
      <c r="PSJ11" s="301"/>
      <c r="PSK11" s="301"/>
      <c r="PSL11" s="302"/>
      <c r="PSM11" s="301"/>
      <c r="PSN11" s="301"/>
      <c r="PSO11" s="311"/>
      <c r="PSP11" s="301"/>
      <c r="PSQ11" s="308"/>
      <c r="PSR11" s="301"/>
      <c r="PSS11" s="304"/>
      <c r="PST11" s="307"/>
      <c r="PSU11" s="308"/>
      <c r="PSV11" s="301"/>
      <c r="PSW11" s="308"/>
      <c r="PSX11" s="301"/>
      <c r="PSY11" s="301"/>
      <c r="PSZ11" s="302"/>
      <c r="PTA11" s="301"/>
      <c r="PTB11" s="301"/>
      <c r="PTC11" s="302"/>
      <c r="PTD11" s="301"/>
      <c r="PTE11" s="301"/>
      <c r="PTF11" s="311"/>
      <c r="PTG11" s="301"/>
      <c r="PTH11" s="308"/>
      <c r="PTI11" s="301"/>
      <c r="PTJ11" s="304"/>
      <c r="PTK11" s="307"/>
      <c r="PTL11" s="308"/>
      <c r="PTM11" s="301"/>
      <c r="PTN11" s="308"/>
      <c r="PTO11" s="301"/>
      <c r="PTP11" s="301"/>
      <c r="PTQ11" s="302"/>
      <c r="PTR11" s="301"/>
      <c r="PTS11" s="301"/>
      <c r="PTT11" s="302"/>
      <c r="PTU11" s="301"/>
      <c r="PTV11" s="301"/>
      <c r="PTW11" s="311"/>
      <c r="PTX11" s="301"/>
      <c r="PTY11" s="308"/>
      <c r="PTZ11" s="301"/>
      <c r="PUA11" s="304"/>
      <c r="PUB11" s="307"/>
      <c r="PUC11" s="308"/>
      <c r="PUD11" s="301"/>
      <c r="PUE11" s="308"/>
      <c r="PUF11" s="301"/>
      <c r="PUG11" s="301"/>
      <c r="PUH11" s="302"/>
      <c r="PUI11" s="301"/>
      <c r="PUJ11" s="301"/>
      <c r="PUK11" s="302"/>
      <c r="PUL11" s="301"/>
      <c r="PUM11" s="301"/>
      <c r="PUN11" s="311"/>
      <c r="PUO11" s="301"/>
      <c r="PUP11" s="308"/>
      <c r="PUQ11" s="301"/>
      <c r="PUR11" s="304"/>
      <c r="PUS11" s="307"/>
      <c r="PUT11" s="308"/>
      <c r="PUU11" s="301"/>
      <c r="PUV11" s="308"/>
      <c r="PUW11" s="301"/>
      <c r="PUX11" s="301"/>
      <c r="PUY11" s="302"/>
      <c r="PUZ11" s="301"/>
      <c r="PVA11" s="301"/>
      <c r="PVB11" s="302"/>
      <c r="PVC11" s="301"/>
      <c r="PVD11" s="301"/>
      <c r="PVE11" s="311"/>
      <c r="PVF11" s="301"/>
      <c r="PVG11" s="308"/>
      <c r="PVH11" s="301"/>
      <c r="PVI11" s="304"/>
      <c r="PVJ11" s="307"/>
      <c r="PVK11" s="308"/>
      <c r="PVL11" s="301"/>
      <c r="PVM11" s="308"/>
      <c r="PVN11" s="301"/>
      <c r="PVO11" s="301"/>
      <c r="PVP11" s="302"/>
      <c r="PVQ11" s="301"/>
      <c r="PVR11" s="301"/>
      <c r="PVS11" s="302"/>
      <c r="PVT11" s="301"/>
      <c r="PVU11" s="301"/>
      <c r="PVV11" s="311"/>
      <c r="PVW11" s="301"/>
      <c r="PVX11" s="308"/>
      <c r="PVY11" s="301"/>
      <c r="PVZ11" s="304"/>
      <c r="PWA11" s="307"/>
      <c r="PWB11" s="308"/>
      <c r="PWC11" s="301"/>
      <c r="PWD11" s="308"/>
      <c r="PWE11" s="301"/>
      <c r="PWF11" s="301"/>
      <c r="PWG11" s="302"/>
      <c r="PWH11" s="301"/>
      <c r="PWI11" s="301"/>
      <c r="PWJ11" s="302"/>
      <c r="PWK11" s="301"/>
      <c r="PWL11" s="301"/>
      <c r="PWM11" s="311"/>
      <c r="PWN11" s="301"/>
      <c r="PWO11" s="308"/>
      <c r="PWP11" s="301"/>
      <c r="PWQ11" s="304"/>
      <c r="PWR11" s="307"/>
      <c r="PWS11" s="308"/>
      <c r="PWT11" s="301"/>
      <c r="PWU11" s="308"/>
      <c r="PWV11" s="301"/>
      <c r="PWW11" s="301"/>
      <c r="PWX11" s="302"/>
      <c r="PWY11" s="301"/>
      <c r="PWZ11" s="301"/>
      <c r="PXA11" s="302"/>
      <c r="PXB11" s="301"/>
      <c r="PXC11" s="301"/>
      <c r="PXD11" s="311"/>
      <c r="PXE11" s="301"/>
      <c r="PXF11" s="308"/>
      <c r="PXG11" s="301"/>
      <c r="PXH11" s="304"/>
      <c r="PXI11" s="307"/>
      <c r="PXJ11" s="308"/>
      <c r="PXK11" s="301"/>
      <c r="PXL11" s="308"/>
      <c r="PXM11" s="301"/>
      <c r="PXN11" s="301"/>
      <c r="PXO11" s="302"/>
      <c r="PXP11" s="301"/>
      <c r="PXQ11" s="301"/>
      <c r="PXR11" s="302"/>
      <c r="PXS11" s="301"/>
      <c r="PXT11" s="301"/>
      <c r="PXU11" s="311"/>
      <c r="PXV11" s="301"/>
      <c r="PXW11" s="308"/>
      <c r="PXX11" s="301"/>
      <c r="PXY11" s="304"/>
      <c r="PXZ11" s="307"/>
      <c r="PYA11" s="308"/>
      <c r="PYB11" s="301"/>
      <c r="PYC11" s="308"/>
      <c r="PYD11" s="301"/>
      <c r="PYE11" s="301"/>
      <c r="PYF11" s="302"/>
      <c r="PYG11" s="301"/>
      <c r="PYH11" s="301"/>
      <c r="PYI11" s="302"/>
      <c r="PYJ11" s="301"/>
      <c r="PYK11" s="301"/>
      <c r="PYL11" s="311"/>
      <c r="PYM11" s="301"/>
      <c r="PYN11" s="308"/>
      <c r="PYO11" s="301"/>
      <c r="PYP11" s="304"/>
      <c r="PYQ11" s="307"/>
      <c r="PYR11" s="308"/>
      <c r="PYS11" s="301"/>
      <c r="PYT11" s="308"/>
      <c r="PYU11" s="301"/>
      <c r="PYV11" s="301"/>
      <c r="PYW11" s="302"/>
      <c r="PYX11" s="301"/>
      <c r="PYY11" s="301"/>
      <c r="PYZ11" s="302"/>
      <c r="PZA11" s="301"/>
      <c r="PZB11" s="301"/>
      <c r="PZC11" s="311"/>
      <c r="PZD11" s="301"/>
      <c r="PZE11" s="308"/>
      <c r="PZF11" s="301"/>
      <c r="PZG11" s="304"/>
      <c r="PZH11" s="307"/>
      <c r="PZI11" s="308"/>
      <c r="PZJ11" s="301"/>
      <c r="PZK11" s="308"/>
      <c r="PZL11" s="301"/>
      <c r="PZM11" s="301"/>
      <c r="PZN11" s="302"/>
      <c r="PZO11" s="301"/>
      <c r="PZP11" s="301"/>
      <c r="PZQ11" s="302"/>
      <c r="PZR11" s="301"/>
      <c r="PZS11" s="301"/>
      <c r="PZT11" s="311"/>
      <c r="PZU11" s="301"/>
      <c r="PZV11" s="308"/>
      <c r="PZW11" s="301"/>
      <c r="PZX11" s="304"/>
      <c r="PZY11" s="307"/>
      <c r="PZZ11" s="308"/>
      <c r="QAA11" s="301"/>
      <c r="QAB11" s="308"/>
      <c r="QAC11" s="301"/>
      <c r="QAD11" s="301"/>
      <c r="QAE11" s="302"/>
      <c r="QAF11" s="301"/>
      <c r="QAG11" s="301"/>
      <c r="QAH11" s="302"/>
      <c r="QAI11" s="301"/>
      <c r="QAJ11" s="301"/>
      <c r="QAK11" s="311"/>
      <c r="QAL11" s="301"/>
      <c r="QAM11" s="308"/>
      <c r="QAN11" s="301"/>
      <c r="QAO11" s="304"/>
      <c r="QAP11" s="307"/>
      <c r="QAQ11" s="308"/>
      <c r="QAR11" s="301"/>
      <c r="QAS11" s="308"/>
      <c r="QAT11" s="301"/>
      <c r="QAU11" s="301"/>
      <c r="QAV11" s="302"/>
      <c r="QAW11" s="301"/>
      <c r="QAX11" s="301"/>
      <c r="QAY11" s="302"/>
      <c r="QAZ11" s="301"/>
      <c r="QBA11" s="301"/>
      <c r="QBB11" s="311"/>
      <c r="QBC11" s="301"/>
      <c r="QBD11" s="308"/>
      <c r="QBE11" s="301"/>
      <c r="QBF11" s="304"/>
      <c r="QBG11" s="307"/>
      <c r="QBH11" s="308"/>
      <c r="QBI11" s="301"/>
      <c r="QBJ11" s="308"/>
      <c r="QBK11" s="301"/>
      <c r="QBL11" s="301"/>
      <c r="QBM11" s="302"/>
      <c r="QBN11" s="301"/>
      <c r="QBO11" s="301"/>
      <c r="QBP11" s="302"/>
      <c r="QBQ11" s="301"/>
      <c r="QBR11" s="301"/>
      <c r="QBS11" s="311"/>
      <c r="QBT11" s="301"/>
      <c r="QBU11" s="308"/>
      <c r="QBV11" s="301"/>
      <c r="QBW11" s="304"/>
      <c r="QBX11" s="307"/>
      <c r="QBY11" s="308"/>
      <c r="QBZ11" s="301"/>
      <c r="QCA11" s="308"/>
      <c r="QCB11" s="301"/>
      <c r="QCC11" s="301"/>
      <c r="QCD11" s="302"/>
      <c r="QCE11" s="301"/>
      <c r="QCF11" s="301"/>
      <c r="QCG11" s="302"/>
      <c r="QCH11" s="301"/>
      <c r="QCI11" s="301"/>
      <c r="QCJ11" s="311"/>
      <c r="QCK11" s="301"/>
      <c r="QCL11" s="308"/>
      <c r="QCM11" s="301"/>
      <c r="QCN11" s="304"/>
      <c r="QCO11" s="307"/>
      <c r="QCP11" s="308"/>
      <c r="QCQ11" s="301"/>
      <c r="QCR11" s="308"/>
      <c r="QCS11" s="301"/>
      <c r="QCT11" s="301"/>
      <c r="QCU11" s="302"/>
      <c r="QCV11" s="301"/>
      <c r="QCW11" s="301"/>
      <c r="QCX11" s="302"/>
      <c r="QCY11" s="301"/>
      <c r="QCZ11" s="301"/>
      <c r="QDA11" s="311"/>
      <c r="QDB11" s="301"/>
      <c r="QDC11" s="308"/>
      <c r="QDD11" s="301"/>
      <c r="QDE11" s="304"/>
      <c r="QDF11" s="307"/>
      <c r="QDG11" s="308"/>
      <c r="QDH11" s="301"/>
      <c r="QDI11" s="308"/>
      <c r="QDJ11" s="301"/>
      <c r="QDK11" s="301"/>
      <c r="QDL11" s="302"/>
      <c r="QDM11" s="301"/>
      <c r="QDN11" s="301"/>
      <c r="QDO11" s="302"/>
      <c r="QDP11" s="301"/>
      <c r="QDQ11" s="301"/>
      <c r="QDR11" s="311"/>
      <c r="QDS11" s="301"/>
      <c r="QDT11" s="308"/>
      <c r="QDU11" s="301"/>
      <c r="QDV11" s="304"/>
      <c r="QDW11" s="307"/>
      <c r="QDX11" s="308"/>
      <c r="QDY11" s="301"/>
      <c r="QDZ11" s="308"/>
      <c r="QEA11" s="301"/>
      <c r="QEB11" s="301"/>
      <c r="QEC11" s="302"/>
      <c r="QED11" s="301"/>
      <c r="QEE11" s="301"/>
      <c r="QEF11" s="302"/>
      <c r="QEG11" s="301"/>
      <c r="QEH11" s="301"/>
      <c r="QEI11" s="311"/>
      <c r="QEJ11" s="301"/>
      <c r="QEK11" s="308"/>
      <c r="QEL11" s="301"/>
      <c r="QEM11" s="304"/>
      <c r="QEN11" s="307"/>
      <c r="QEO11" s="308"/>
      <c r="QEP11" s="301"/>
      <c r="QEQ11" s="308"/>
      <c r="QER11" s="301"/>
      <c r="QES11" s="301"/>
      <c r="QET11" s="302"/>
      <c r="QEU11" s="301"/>
      <c r="QEV11" s="301"/>
      <c r="QEW11" s="302"/>
      <c r="QEX11" s="301"/>
      <c r="QEY11" s="301"/>
      <c r="QEZ11" s="311"/>
      <c r="QFA11" s="301"/>
      <c r="QFB11" s="308"/>
      <c r="QFC11" s="301"/>
      <c r="QFD11" s="304"/>
      <c r="QFE11" s="307"/>
      <c r="QFF11" s="308"/>
      <c r="QFG11" s="301"/>
      <c r="QFH11" s="308"/>
      <c r="QFI11" s="301"/>
      <c r="QFJ11" s="301"/>
      <c r="QFK11" s="302"/>
      <c r="QFL11" s="301"/>
      <c r="QFM11" s="301"/>
      <c r="QFN11" s="302"/>
      <c r="QFO11" s="301"/>
      <c r="QFP11" s="301"/>
      <c r="QFQ11" s="311"/>
      <c r="QFR11" s="301"/>
      <c r="QFS11" s="308"/>
      <c r="QFT11" s="301"/>
      <c r="QFU11" s="304"/>
      <c r="QFV11" s="307"/>
      <c r="QFW11" s="308"/>
      <c r="QFX11" s="301"/>
      <c r="QFY11" s="308"/>
      <c r="QFZ11" s="301"/>
      <c r="QGA11" s="301"/>
      <c r="QGB11" s="302"/>
      <c r="QGC11" s="301"/>
      <c r="QGD11" s="301"/>
      <c r="QGE11" s="302"/>
      <c r="QGF11" s="301"/>
      <c r="QGG11" s="301"/>
      <c r="QGH11" s="311"/>
      <c r="QGI11" s="301"/>
      <c r="QGJ11" s="308"/>
      <c r="QGK11" s="301"/>
      <c r="QGL11" s="304"/>
      <c r="QGM11" s="307"/>
      <c r="QGN11" s="308"/>
      <c r="QGO11" s="301"/>
      <c r="QGP11" s="308"/>
      <c r="QGQ11" s="301"/>
      <c r="QGR11" s="301"/>
      <c r="QGS11" s="302"/>
      <c r="QGT11" s="301"/>
      <c r="QGU11" s="301"/>
      <c r="QGV11" s="302"/>
      <c r="QGW11" s="301"/>
      <c r="QGX11" s="301"/>
      <c r="QGY11" s="311"/>
      <c r="QGZ11" s="301"/>
      <c r="QHA11" s="308"/>
      <c r="QHB11" s="301"/>
      <c r="QHC11" s="304"/>
      <c r="QHD11" s="307"/>
      <c r="QHE11" s="308"/>
      <c r="QHF11" s="301"/>
      <c r="QHG11" s="308"/>
      <c r="QHH11" s="301"/>
      <c r="QHI11" s="301"/>
      <c r="QHJ11" s="302"/>
      <c r="QHK11" s="301"/>
      <c r="QHL11" s="301"/>
      <c r="QHM11" s="302"/>
      <c r="QHN11" s="301"/>
      <c r="QHO11" s="301"/>
      <c r="QHP11" s="311"/>
      <c r="QHQ11" s="301"/>
      <c r="QHR11" s="308"/>
      <c r="QHS11" s="301"/>
      <c r="QHT11" s="304"/>
      <c r="QHU11" s="307"/>
      <c r="QHV11" s="308"/>
      <c r="QHW11" s="301"/>
      <c r="QHX11" s="308"/>
      <c r="QHY11" s="301"/>
      <c r="QHZ11" s="301"/>
      <c r="QIA11" s="302"/>
      <c r="QIB11" s="301"/>
      <c r="QIC11" s="301"/>
      <c r="QID11" s="302"/>
      <c r="QIE11" s="301"/>
      <c r="QIF11" s="301"/>
      <c r="QIG11" s="311"/>
      <c r="QIH11" s="301"/>
      <c r="QII11" s="308"/>
      <c r="QIJ11" s="301"/>
      <c r="QIK11" s="304"/>
      <c r="QIL11" s="307"/>
      <c r="QIM11" s="308"/>
      <c r="QIN11" s="301"/>
      <c r="QIO11" s="308"/>
      <c r="QIP11" s="301"/>
      <c r="QIQ11" s="301"/>
      <c r="QIR11" s="302"/>
      <c r="QIS11" s="301"/>
      <c r="QIT11" s="301"/>
      <c r="QIU11" s="302"/>
      <c r="QIV11" s="301"/>
      <c r="QIW11" s="301"/>
      <c r="QIX11" s="311"/>
      <c r="QIY11" s="301"/>
      <c r="QIZ11" s="308"/>
      <c r="QJA11" s="301"/>
      <c r="QJB11" s="304"/>
      <c r="QJC11" s="307"/>
      <c r="QJD11" s="308"/>
      <c r="QJE11" s="301"/>
      <c r="QJF11" s="308"/>
      <c r="QJG11" s="301"/>
      <c r="QJH11" s="301"/>
      <c r="QJI11" s="302"/>
      <c r="QJJ11" s="301"/>
      <c r="QJK11" s="301"/>
      <c r="QJL11" s="302"/>
      <c r="QJM11" s="301"/>
      <c r="QJN11" s="301"/>
      <c r="QJO11" s="311"/>
      <c r="QJP11" s="301"/>
      <c r="QJQ11" s="308"/>
      <c r="QJR11" s="301"/>
      <c r="QJS11" s="304"/>
      <c r="QJT11" s="307"/>
      <c r="QJU11" s="308"/>
      <c r="QJV11" s="301"/>
      <c r="QJW11" s="308"/>
      <c r="QJX11" s="301"/>
      <c r="QJY11" s="301"/>
      <c r="QJZ11" s="302"/>
      <c r="QKA11" s="301"/>
      <c r="QKB11" s="301"/>
      <c r="QKC11" s="302"/>
      <c r="QKD11" s="301"/>
      <c r="QKE11" s="301"/>
      <c r="QKF11" s="311"/>
      <c r="QKG11" s="301"/>
      <c r="QKH11" s="308"/>
      <c r="QKI11" s="301"/>
      <c r="QKJ11" s="304"/>
      <c r="QKK11" s="307"/>
      <c r="QKL11" s="308"/>
      <c r="QKM11" s="301"/>
      <c r="QKN11" s="308"/>
      <c r="QKO11" s="301"/>
      <c r="QKP11" s="301"/>
      <c r="QKQ11" s="302"/>
      <c r="QKR11" s="301"/>
      <c r="QKS11" s="301"/>
      <c r="QKT11" s="302"/>
      <c r="QKU11" s="301"/>
      <c r="QKV11" s="301"/>
      <c r="QKW11" s="311"/>
      <c r="QKX11" s="301"/>
      <c r="QKY11" s="308"/>
      <c r="QKZ11" s="301"/>
      <c r="QLA11" s="304"/>
      <c r="QLB11" s="307"/>
      <c r="QLC11" s="308"/>
      <c r="QLD11" s="301"/>
      <c r="QLE11" s="308"/>
      <c r="QLF11" s="301"/>
      <c r="QLG11" s="301"/>
      <c r="QLH11" s="302"/>
      <c r="QLI11" s="301"/>
      <c r="QLJ11" s="301"/>
      <c r="QLK11" s="302"/>
      <c r="QLL11" s="301"/>
      <c r="QLM11" s="301"/>
      <c r="QLN11" s="311"/>
      <c r="QLO11" s="301"/>
      <c r="QLP11" s="308"/>
      <c r="QLQ11" s="301"/>
      <c r="QLR11" s="304"/>
      <c r="QLS11" s="307"/>
      <c r="QLT11" s="308"/>
      <c r="QLU11" s="301"/>
      <c r="QLV11" s="308"/>
      <c r="QLW11" s="301"/>
      <c r="QLX11" s="301"/>
      <c r="QLY11" s="302"/>
      <c r="QLZ11" s="301"/>
      <c r="QMA11" s="301"/>
      <c r="QMB11" s="302"/>
      <c r="QMC11" s="301"/>
      <c r="QMD11" s="301"/>
      <c r="QME11" s="311"/>
      <c r="QMF11" s="301"/>
      <c r="QMG11" s="308"/>
      <c r="QMH11" s="301"/>
      <c r="QMI11" s="304"/>
      <c r="QMJ11" s="307"/>
      <c r="QMK11" s="308"/>
      <c r="QML11" s="301"/>
      <c r="QMM11" s="308"/>
      <c r="QMN11" s="301"/>
      <c r="QMO11" s="301"/>
      <c r="QMP11" s="302"/>
      <c r="QMQ11" s="301"/>
      <c r="QMR11" s="301"/>
      <c r="QMS11" s="302"/>
      <c r="QMT11" s="301"/>
      <c r="QMU11" s="301"/>
      <c r="QMV11" s="311"/>
      <c r="QMW11" s="301"/>
      <c r="QMX11" s="308"/>
      <c r="QMY11" s="301"/>
      <c r="QMZ11" s="304"/>
      <c r="QNA11" s="307"/>
      <c r="QNB11" s="308"/>
      <c r="QNC11" s="301"/>
      <c r="QND11" s="308"/>
      <c r="QNE11" s="301"/>
      <c r="QNF11" s="301"/>
      <c r="QNG11" s="302"/>
      <c r="QNH11" s="301"/>
      <c r="QNI11" s="301"/>
      <c r="QNJ11" s="302"/>
      <c r="QNK11" s="301"/>
      <c r="QNL11" s="301"/>
      <c r="QNM11" s="311"/>
      <c r="QNN11" s="301"/>
      <c r="QNO11" s="308"/>
      <c r="QNP11" s="301"/>
      <c r="QNQ11" s="304"/>
      <c r="QNR11" s="307"/>
      <c r="QNS11" s="308"/>
      <c r="QNT11" s="301"/>
      <c r="QNU11" s="308"/>
      <c r="QNV11" s="301"/>
      <c r="QNW11" s="301"/>
      <c r="QNX11" s="302"/>
      <c r="QNY11" s="301"/>
      <c r="QNZ11" s="301"/>
      <c r="QOA11" s="302"/>
      <c r="QOB11" s="301"/>
      <c r="QOC11" s="301"/>
      <c r="QOD11" s="311"/>
      <c r="QOE11" s="301"/>
      <c r="QOF11" s="308"/>
      <c r="QOG11" s="301"/>
      <c r="QOH11" s="304"/>
      <c r="QOI11" s="307"/>
      <c r="QOJ11" s="308"/>
      <c r="QOK11" s="301"/>
      <c r="QOL11" s="308"/>
      <c r="QOM11" s="301"/>
      <c r="QON11" s="301"/>
      <c r="QOO11" s="302"/>
      <c r="QOP11" s="301"/>
      <c r="QOQ11" s="301"/>
      <c r="QOR11" s="302"/>
      <c r="QOS11" s="301"/>
      <c r="QOT11" s="301"/>
      <c r="QOU11" s="311"/>
      <c r="QOV11" s="301"/>
      <c r="QOW11" s="308"/>
      <c r="QOX11" s="301"/>
      <c r="QOY11" s="304"/>
      <c r="QOZ11" s="307"/>
      <c r="QPA11" s="308"/>
      <c r="QPB11" s="301"/>
      <c r="QPC11" s="308"/>
      <c r="QPD11" s="301"/>
      <c r="QPE11" s="301"/>
      <c r="QPF11" s="302"/>
      <c r="QPG11" s="301"/>
      <c r="QPH11" s="301"/>
      <c r="QPI11" s="302"/>
      <c r="QPJ11" s="301"/>
      <c r="QPK11" s="301"/>
      <c r="QPL11" s="311"/>
      <c r="QPM11" s="301"/>
      <c r="QPN11" s="308"/>
      <c r="QPO11" s="301"/>
      <c r="QPP11" s="304"/>
      <c r="QPQ11" s="307"/>
      <c r="QPR11" s="308"/>
      <c r="QPS11" s="301"/>
      <c r="QPT11" s="308"/>
      <c r="QPU11" s="301"/>
      <c r="QPV11" s="301"/>
      <c r="QPW11" s="302"/>
      <c r="QPX11" s="301"/>
      <c r="QPY11" s="301"/>
      <c r="QPZ11" s="302"/>
      <c r="QQA11" s="301"/>
      <c r="QQB11" s="301"/>
      <c r="QQC11" s="311"/>
      <c r="QQD11" s="301"/>
      <c r="QQE11" s="308"/>
      <c r="QQF11" s="301"/>
      <c r="QQG11" s="304"/>
      <c r="QQH11" s="307"/>
      <c r="QQI11" s="308"/>
      <c r="QQJ11" s="301"/>
      <c r="QQK11" s="308"/>
      <c r="QQL11" s="301"/>
      <c r="QQM11" s="301"/>
      <c r="QQN11" s="302"/>
      <c r="QQO11" s="301"/>
      <c r="QQP11" s="301"/>
      <c r="QQQ11" s="302"/>
      <c r="QQR11" s="301"/>
      <c r="QQS11" s="301"/>
      <c r="QQT11" s="311"/>
      <c r="QQU11" s="301"/>
      <c r="QQV11" s="308"/>
      <c r="QQW11" s="301"/>
      <c r="QQX11" s="304"/>
      <c r="QQY11" s="307"/>
      <c r="QQZ11" s="308"/>
      <c r="QRA11" s="301"/>
      <c r="QRB11" s="308"/>
      <c r="QRC11" s="301"/>
      <c r="QRD11" s="301"/>
      <c r="QRE11" s="302"/>
      <c r="QRF11" s="301"/>
      <c r="QRG11" s="301"/>
      <c r="QRH11" s="302"/>
      <c r="QRI11" s="301"/>
      <c r="QRJ11" s="301"/>
      <c r="QRK11" s="311"/>
      <c r="QRL11" s="301"/>
      <c r="QRM11" s="308"/>
      <c r="QRN11" s="301"/>
      <c r="QRO11" s="304"/>
      <c r="QRP11" s="307"/>
      <c r="QRQ11" s="308"/>
      <c r="QRR11" s="301"/>
      <c r="QRS11" s="308"/>
      <c r="QRT11" s="301"/>
      <c r="QRU11" s="301"/>
      <c r="QRV11" s="302"/>
      <c r="QRW11" s="301"/>
      <c r="QRX11" s="301"/>
      <c r="QRY11" s="302"/>
      <c r="QRZ11" s="301"/>
      <c r="QSA11" s="301"/>
      <c r="QSB11" s="311"/>
      <c r="QSC11" s="301"/>
      <c r="QSD11" s="308"/>
      <c r="QSE11" s="301"/>
      <c r="QSF11" s="304"/>
      <c r="QSG11" s="307"/>
      <c r="QSH11" s="308"/>
      <c r="QSI11" s="301"/>
      <c r="QSJ11" s="308"/>
      <c r="QSK11" s="301"/>
      <c r="QSL11" s="301"/>
      <c r="QSM11" s="302"/>
      <c r="QSN11" s="301"/>
      <c r="QSO11" s="301"/>
      <c r="QSP11" s="302"/>
      <c r="QSQ11" s="301"/>
      <c r="QSR11" s="301"/>
      <c r="QSS11" s="311"/>
      <c r="QST11" s="301"/>
      <c r="QSU11" s="308"/>
      <c r="QSV11" s="301"/>
      <c r="QSW11" s="304"/>
      <c r="QSX11" s="307"/>
      <c r="QSY11" s="308"/>
      <c r="QSZ11" s="301"/>
      <c r="QTA11" s="308"/>
      <c r="QTB11" s="301"/>
      <c r="QTC11" s="301"/>
      <c r="QTD11" s="302"/>
      <c r="QTE11" s="301"/>
      <c r="QTF11" s="301"/>
      <c r="QTG11" s="302"/>
      <c r="QTH11" s="301"/>
      <c r="QTI11" s="301"/>
      <c r="QTJ11" s="311"/>
      <c r="QTK11" s="301"/>
      <c r="QTL11" s="308"/>
      <c r="QTM11" s="301"/>
      <c r="QTN11" s="304"/>
      <c r="QTO11" s="307"/>
      <c r="QTP11" s="308"/>
      <c r="QTQ11" s="301"/>
      <c r="QTR11" s="308"/>
      <c r="QTS11" s="301"/>
      <c r="QTT11" s="301"/>
      <c r="QTU11" s="302"/>
      <c r="QTV11" s="301"/>
      <c r="QTW11" s="301"/>
      <c r="QTX11" s="302"/>
      <c r="QTY11" s="301"/>
      <c r="QTZ11" s="301"/>
      <c r="QUA11" s="311"/>
      <c r="QUB11" s="301"/>
      <c r="QUC11" s="308"/>
      <c r="QUD11" s="301"/>
      <c r="QUE11" s="304"/>
      <c r="QUF11" s="307"/>
      <c r="QUG11" s="308"/>
      <c r="QUH11" s="301"/>
      <c r="QUI11" s="308"/>
      <c r="QUJ11" s="301"/>
      <c r="QUK11" s="301"/>
      <c r="QUL11" s="302"/>
      <c r="QUM11" s="301"/>
      <c r="QUN11" s="301"/>
      <c r="QUO11" s="302"/>
      <c r="QUP11" s="301"/>
      <c r="QUQ11" s="301"/>
      <c r="QUR11" s="311"/>
      <c r="QUS11" s="301"/>
      <c r="QUT11" s="308"/>
      <c r="QUU11" s="301"/>
      <c r="QUV11" s="304"/>
      <c r="QUW11" s="307"/>
      <c r="QUX11" s="308"/>
      <c r="QUY11" s="301"/>
      <c r="QUZ11" s="308"/>
      <c r="QVA11" s="301"/>
      <c r="QVB11" s="301"/>
      <c r="QVC11" s="302"/>
      <c r="QVD11" s="301"/>
      <c r="QVE11" s="301"/>
      <c r="QVF11" s="302"/>
      <c r="QVG11" s="301"/>
      <c r="QVH11" s="301"/>
      <c r="QVI11" s="311"/>
      <c r="QVJ11" s="301"/>
      <c r="QVK11" s="308"/>
      <c r="QVL11" s="301"/>
      <c r="QVM11" s="304"/>
      <c r="QVN11" s="307"/>
      <c r="QVO11" s="308"/>
      <c r="QVP11" s="301"/>
      <c r="QVQ11" s="308"/>
      <c r="QVR11" s="301"/>
      <c r="QVS11" s="301"/>
      <c r="QVT11" s="302"/>
      <c r="QVU11" s="301"/>
      <c r="QVV11" s="301"/>
      <c r="QVW11" s="302"/>
      <c r="QVX11" s="301"/>
      <c r="QVY11" s="301"/>
      <c r="QVZ11" s="311"/>
      <c r="QWA11" s="301"/>
      <c r="QWB11" s="308"/>
      <c r="QWC11" s="301"/>
      <c r="QWD11" s="304"/>
      <c r="QWE11" s="307"/>
      <c r="QWF11" s="308"/>
      <c r="QWG11" s="301"/>
      <c r="QWH11" s="308"/>
      <c r="QWI11" s="301"/>
      <c r="QWJ11" s="301"/>
      <c r="QWK11" s="302"/>
      <c r="QWL11" s="301"/>
      <c r="QWM11" s="301"/>
      <c r="QWN11" s="302"/>
      <c r="QWO11" s="301"/>
      <c r="QWP11" s="301"/>
      <c r="QWQ11" s="311"/>
      <c r="QWR11" s="301"/>
      <c r="QWS11" s="308"/>
      <c r="QWT11" s="301"/>
      <c r="QWU11" s="304"/>
      <c r="QWV11" s="307"/>
      <c r="QWW11" s="308"/>
      <c r="QWX11" s="301"/>
      <c r="QWY11" s="308"/>
      <c r="QWZ11" s="301"/>
      <c r="QXA11" s="301"/>
      <c r="QXB11" s="302"/>
      <c r="QXC11" s="301"/>
      <c r="QXD11" s="301"/>
      <c r="QXE11" s="302"/>
      <c r="QXF11" s="301"/>
      <c r="QXG11" s="301"/>
      <c r="QXH11" s="311"/>
      <c r="QXI11" s="301"/>
      <c r="QXJ11" s="308"/>
      <c r="QXK11" s="301"/>
      <c r="QXL11" s="304"/>
      <c r="QXM11" s="307"/>
      <c r="QXN11" s="308"/>
      <c r="QXO11" s="301"/>
      <c r="QXP11" s="308"/>
      <c r="QXQ11" s="301"/>
      <c r="QXR11" s="301"/>
      <c r="QXS11" s="302"/>
      <c r="QXT11" s="301"/>
      <c r="QXU11" s="301"/>
      <c r="QXV11" s="302"/>
      <c r="QXW11" s="301"/>
      <c r="QXX11" s="301"/>
      <c r="QXY11" s="311"/>
      <c r="QXZ11" s="301"/>
      <c r="QYA11" s="308"/>
      <c r="QYB11" s="301"/>
      <c r="QYC11" s="304"/>
      <c r="QYD11" s="307"/>
      <c r="QYE11" s="308"/>
      <c r="QYF11" s="301"/>
      <c r="QYG11" s="308"/>
      <c r="QYH11" s="301"/>
      <c r="QYI11" s="301"/>
      <c r="QYJ11" s="302"/>
      <c r="QYK11" s="301"/>
      <c r="QYL11" s="301"/>
      <c r="QYM11" s="302"/>
      <c r="QYN11" s="301"/>
      <c r="QYO11" s="301"/>
      <c r="QYP11" s="311"/>
      <c r="QYQ11" s="301"/>
      <c r="QYR11" s="308"/>
      <c r="QYS11" s="301"/>
      <c r="QYT11" s="304"/>
      <c r="QYU11" s="307"/>
      <c r="QYV11" s="308"/>
      <c r="QYW11" s="301"/>
      <c r="QYX11" s="308"/>
      <c r="QYY11" s="301"/>
      <c r="QYZ11" s="301"/>
      <c r="QZA11" s="302"/>
      <c r="QZB11" s="301"/>
      <c r="QZC11" s="301"/>
      <c r="QZD11" s="302"/>
      <c r="QZE11" s="301"/>
      <c r="QZF11" s="301"/>
      <c r="QZG11" s="311"/>
      <c r="QZH11" s="301"/>
      <c r="QZI11" s="308"/>
      <c r="QZJ11" s="301"/>
      <c r="QZK11" s="304"/>
      <c r="QZL11" s="307"/>
      <c r="QZM11" s="308"/>
      <c r="QZN11" s="301"/>
      <c r="QZO11" s="308"/>
      <c r="QZP11" s="301"/>
      <c r="QZQ11" s="301"/>
      <c r="QZR11" s="302"/>
      <c r="QZS11" s="301"/>
      <c r="QZT11" s="301"/>
      <c r="QZU11" s="302"/>
      <c r="QZV11" s="301"/>
      <c r="QZW11" s="301"/>
      <c r="QZX11" s="311"/>
      <c r="QZY11" s="301"/>
      <c r="QZZ11" s="308"/>
      <c r="RAA11" s="301"/>
      <c r="RAB11" s="304"/>
      <c r="RAC11" s="307"/>
      <c r="RAD11" s="308"/>
      <c r="RAE11" s="301"/>
      <c r="RAF11" s="308"/>
      <c r="RAG11" s="301"/>
      <c r="RAH11" s="301"/>
      <c r="RAI11" s="302"/>
      <c r="RAJ11" s="301"/>
      <c r="RAK11" s="301"/>
      <c r="RAL11" s="302"/>
      <c r="RAM11" s="301"/>
      <c r="RAN11" s="301"/>
      <c r="RAO11" s="311"/>
      <c r="RAP11" s="301"/>
      <c r="RAQ11" s="308"/>
      <c r="RAR11" s="301"/>
      <c r="RAS11" s="304"/>
      <c r="RAT11" s="307"/>
      <c r="RAU11" s="308"/>
      <c r="RAV11" s="301"/>
      <c r="RAW11" s="308"/>
      <c r="RAX11" s="301"/>
      <c r="RAY11" s="301"/>
      <c r="RAZ11" s="302"/>
      <c r="RBA11" s="301"/>
      <c r="RBB11" s="301"/>
      <c r="RBC11" s="302"/>
      <c r="RBD11" s="301"/>
      <c r="RBE11" s="301"/>
      <c r="RBF11" s="311"/>
      <c r="RBG11" s="301"/>
      <c r="RBH11" s="308"/>
      <c r="RBI11" s="301"/>
      <c r="RBJ11" s="304"/>
      <c r="RBK11" s="307"/>
      <c r="RBL11" s="308"/>
      <c r="RBM11" s="301"/>
      <c r="RBN11" s="308"/>
      <c r="RBO11" s="301"/>
      <c r="RBP11" s="301"/>
      <c r="RBQ11" s="302"/>
      <c r="RBR11" s="301"/>
      <c r="RBS11" s="301"/>
      <c r="RBT11" s="302"/>
      <c r="RBU11" s="301"/>
      <c r="RBV11" s="301"/>
      <c r="RBW11" s="311"/>
      <c r="RBX11" s="301"/>
      <c r="RBY11" s="308"/>
      <c r="RBZ11" s="301"/>
      <c r="RCA11" s="304"/>
      <c r="RCB11" s="307"/>
      <c r="RCC11" s="308"/>
      <c r="RCD11" s="301"/>
      <c r="RCE11" s="308"/>
      <c r="RCF11" s="301"/>
      <c r="RCG11" s="301"/>
      <c r="RCH11" s="302"/>
      <c r="RCI11" s="301"/>
      <c r="RCJ11" s="301"/>
      <c r="RCK11" s="302"/>
      <c r="RCL11" s="301"/>
      <c r="RCM11" s="301"/>
      <c r="RCN11" s="311"/>
      <c r="RCO11" s="301"/>
      <c r="RCP11" s="308"/>
      <c r="RCQ11" s="301"/>
      <c r="RCR11" s="304"/>
      <c r="RCS11" s="307"/>
      <c r="RCT11" s="308"/>
      <c r="RCU11" s="301"/>
      <c r="RCV11" s="308"/>
      <c r="RCW11" s="301"/>
      <c r="RCX11" s="301"/>
      <c r="RCY11" s="302"/>
      <c r="RCZ11" s="301"/>
      <c r="RDA11" s="301"/>
      <c r="RDB11" s="302"/>
      <c r="RDC11" s="301"/>
      <c r="RDD11" s="301"/>
      <c r="RDE11" s="311"/>
      <c r="RDF11" s="301"/>
      <c r="RDG11" s="308"/>
      <c r="RDH11" s="301"/>
      <c r="RDI11" s="304"/>
      <c r="RDJ11" s="307"/>
      <c r="RDK11" s="308"/>
      <c r="RDL11" s="301"/>
      <c r="RDM11" s="308"/>
      <c r="RDN11" s="301"/>
      <c r="RDO11" s="301"/>
      <c r="RDP11" s="302"/>
      <c r="RDQ11" s="301"/>
      <c r="RDR11" s="301"/>
      <c r="RDS11" s="302"/>
      <c r="RDT11" s="301"/>
      <c r="RDU11" s="301"/>
      <c r="RDV11" s="311"/>
      <c r="RDW11" s="301"/>
      <c r="RDX11" s="308"/>
      <c r="RDY11" s="301"/>
      <c r="RDZ11" s="304"/>
      <c r="REA11" s="307"/>
      <c r="REB11" s="308"/>
      <c r="REC11" s="301"/>
      <c r="RED11" s="308"/>
      <c r="REE11" s="301"/>
      <c r="REF11" s="301"/>
      <c r="REG11" s="302"/>
      <c r="REH11" s="301"/>
      <c r="REI11" s="301"/>
      <c r="REJ11" s="302"/>
      <c r="REK11" s="301"/>
      <c r="REL11" s="301"/>
      <c r="REM11" s="311"/>
      <c r="REN11" s="301"/>
      <c r="REO11" s="308"/>
      <c r="REP11" s="301"/>
      <c r="REQ11" s="304"/>
      <c r="RER11" s="307"/>
      <c r="RES11" s="308"/>
      <c r="RET11" s="301"/>
      <c r="REU11" s="308"/>
      <c r="REV11" s="301"/>
      <c r="REW11" s="301"/>
      <c r="REX11" s="302"/>
      <c r="REY11" s="301"/>
      <c r="REZ11" s="301"/>
      <c r="RFA11" s="302"/>
      <c r="RFB11" s="301"/>
      <c r="RFC11" s="301"/>
      <c r="RFD11" s="311"/>
      <c r="RFE11" s="301"/>
      <c r="RFF11" s="308"/>
      <c r="RFG11" s="301"/>
      <c r="RFH11" s="304"/>
      <c r="RFI11" s="307"/>
      <c r="RFJ11" s="308"/>
      <c r="RFK11" s="301"/>
      <c r="RFL11" s="308"/>
      <c r="RFM11" s="301"/>
      <c r="RFN11" s="301"/>
      <c r="RFO11" s="302"/>
      <c r="RFP11" s="301"/>
      <c r="RFQ11" s="301"/>
      <c r="RFR11" s="302"/>
      <c r="RFS11" s="301"/>
      <c r="RFT11" s="301"/>
      <c r="RFU11" s="311"/>
      <c r="RFV11" s="301"/>
      <c r="RFW11" s="308"/>
      <c r="RFX11" s="301"/>
      <c r="RFY11" s="304"/>
      <c r="RFZ11" s="307"/>
      <c r="RGA11" s="308"/>
      <c r="RGB11" s="301"/>
      <c r="RGC11" s="308"/>
      <c r="RGD11" s="301"/>
      <c r="RGE11" s="301"/>
      <c r="RGF11" s="302"/>
      <c r="RGG11" s="301"/>
      <c r="RGH11" s="301"/>
      <c r="RGI11" s="302"/>
      <c r="RGJ11" s="301"/>
      <c r="RGK11" s="301"/>
      <c r="RGL11" s="311"/>
      <c r="RGM11" s="301"/>
      <c r="RGN11" s="308"/>
      <c r="RGO11" s="301"/>
      <c r="RGP11" s="304"/>
      <c r="RGQ11" s="307"/>
      <c r="RGR11" s="308"/>
      <c r="RGS11" s="301"/>
      <c r="RGT11" s="308"/>
      <c r="RGU11" s="301"/>
      <c r="RGV11" s="301"/>
      <c r="RGW11" s="302"/>
      <c r="RGX11" s="301"/>
      <c r="RGY11" s="301"/>
      <c r="RGZ11" s="302"/>
      <c r="RHA11" s="301"/>
      <c r="RHB11" s="301"/>
      <c r="RHC11" s="311"/>
      <c r="RHD11" s="301"/>
      <c r="RHE11" s="308"/>
      <c r="RHF11" s="301"/>
      <c r="RHG11" s="304"/>
      <c r="RHH11" s="307"/>
      <c r="RHI11" s="308"/>
      <c r="RHJ11" s="301"/>
      <c r="RHK11" s="308"/>
      <c r="RHL11" s="301"/>
      <c r="RHM11" s="301"/>
      <c r="RHN11" s="302"/>
      <c r="RHO11" s="301"/>
      <c r="RHP11" s="301"/>
      <c r="RHQ11" s="302"/>
      <c r="RHR11" s="301"/>
      <c r="RHS11" s="301"/>
      <c r="RHT11" s="311"/>
      <c r="RHU11" s="301"/>
      <c r="RHV11" s="308"/>
      <c r="RHW11" s="301"/>
      <c r="RHX11" s="304"/>
      <c r="RHY11" s="307"/>
      <c r="RHZ11" s="308"/>
      <c r="RIA11" s="301"/>
      <c r="RIB11" s="308"/>
      <c r="RIC11" s="301"/>
      <c r="RID11" s="301"/>
      <c r="RIE11" s="302"/>
      <c r="RIF11" s="301"/>
      <c r="RIG11" s="301"/>
      <c r="RIH11" s="302"/>
      <c r="RII11" s="301"/>
      <c r="RIJ11" s="301"/>
      <c r="RIK11" s="311"/>
      <c r="RIL11" s="301"/>
      <c r="RIM11" s="308"/>
      <c r="RIN11" s="301"/>
      <c r="RIO11" s="304"/>
      <c r="RIP11" s="307"/>
      <c r="RIQ11" s="308"/>
      <c r="RIR11" s="301"/>
      <c r="RIS11" s="308"/>
      <c r="RIT11" s="301"/>
      <c r="RIU11" s="301"/>
      <c r="RIV11" s="302"/>
      <c r="RIW11" s="301"/>
      <c r="RIX11" s="301"/>
      <c r="RIY11" s="302"/>
      <c r="RIZ11" s="301"/>
      <c r="RJA11" s="301"/>
      <c r="RJB11" s="311"/>
      <c r="RJC11" s="301"/>
      <c r="RJD11" s="308"/>
      <c r="RJE11" s="301"/>
      <c r="RJF11" s="304"/>
      <c r="RJG11" s="307"/>
      <c r="RJH11" s="308"/>
      <c r="RJI11" s="301"/>
      <c r="RJJ11" s="308"/>
      <c r="RJK11" s="301"/>
      <c r="RJL11" s="301"/>
      <c r="RJM11" s="302"/>
      <c r="RJN11" s="301"/>
      <c r="RJO11" s="301"/>
      <c r="RJP11" s="302"/>
      <c r="RJQ11" s="301"/>
      <c r="RJR11" s="301"/>
      <c r="RJS11" s="311"/>
      <c r="RJT11" s="301"/>
      <c r="RJU11" s="308"/>
      <c r="RJV11" s="301"/>
      <c r="RJW11" s="304"/>
      <c r="RJX11" s="307"/>
      <c r="RJY11" s="308"/>
      <c r="RJZ11" s="301"/>
      <c r="RKA11" s="308"/>
      <c r="RKB11" s="301"/>
      <c r="RKC11" s="301"/>
      <c r="RKD11" s="302"/>
      <c r="RKE11" s="301"/>
      <c r="RKF11" s="301"/>
      <c r="RKG11" s="302"/>
      <c r="RKH11" s="301"/>
      <c r="RKI11" s="301"/>
      <c r="RKJ11" s="311"/>
      <c r="RKK11" s="301"/>
      <c r="RKL11" s="308"/>
      <c r="RKM11" s="301"/>
      <c r="RKN11" s="304"/>
      <c r="RKO11" s="307"/>
      <c r="RKP11" s="308"/>
      <c r="RKQ11" s="301"/>
      <c r="RKR11" s="308"/>
      <c r="RKS11" s="301"/>
      <c r="RKT11" s="301"/>
      <c r="RKU11" s="302"/>
      <c r="RKV11" s="301"/>
      <c r="RKW11" s="301"/>
      <c r="RKX11" s="302"/>
      <c r="RKY11" s="301"/>
      <c r="RKZ11" s="301"/>
      <c r="RLA11" s="311"/>
      <c r="RLB11" s="301"/>
      <c r="RLC11" s="308"/>
      <c r="RLD11" s="301"/>
      <c r="RLE11" s="304"/>
      <c r="RLF11" s="307"/>
      <c r="RLG11" s="308"/>
      <c r="RLH11" s="301"/>
      <c r="RLI11" s="308"/>
      <c r="RLJ11" s="301"/>
      <c r="RLK11" s="301"/>
      <c r="RLL11" s="302"/>
      <c r="RLM11" s="301"/>
      <c r="RLN11" s="301"/>
      <c r="RLO11" s="302"/>
      <c r="RLP11" s="301"/>
      <c r="RLQ11" s="301"/>
      <c r="RLR11" s="311"/>
      <c r="RLS11" s="301"/>
      <c r="RLT11" s="308"/>
      <c r="RLU11" s="301"/>
      <c r="RLV11" s="304"/>
      <c r="RLW11" s="307"/>
      <c r="RLX11" s="308"/>
      <c r="RLY11" s="301"/>
      <c r="RLZ11" s="308"/>
      <c r="RMA11" s="301"/>
      <c r="RMB11" s="301"/>
      <c r="RMC11" s="302"/>
      <c r="RMD11" s="301"/>
      <c r="RME11" s="301"/>
      <c r="RMF11" s="302"/>
      <c r="RMG11" s="301"/>
      <c r="RMH11" s="301"/>
      <c r="RMI11" s="311"/>
      <c r="RMJ11" s="301"/>
      <c r="RMK11" s="308"/>
      <c r="RML11" s="301"/>
      <c r="RMM11" s="304"/>
      <c r="RMN11" s="307"/>
      <c r="RMO11" s="308"/>
      <c r="RMP11" s="301"/>
      <c r="RMQ11" s="308"/>
      <c r="RMR11" s="301"/>
      <c r="RMS11" s="301"/>
      <c r="RMT11" s="302"/>
      <c r="RMU11" s="301"/>
      <c r="RMV11" s="301"/>
      <c r="RMW11" s="302"/>
      <c r="RMX11" s="301"/>
      <c r="RMY11" s="301"/>
      <c r="RMZ11" s="311"/>
      <c r="RNA11" s="301"/>
      <c r="RNB11" s="308"/>
      <c r="RNC11" s="301"/>
      <c r="RND11" s="304"/>
      <c r="RNE11" s="307"/>
      <c r="RNF11" s="308"/>
      <c r="RNG11" s="301"/>
      <c r="RNH11" s="308"/>
      <c r="RNI11" s="301"/>
      <c r="RNJ11" s="301"/>
      <c r="RNK11" s="302"/>
      <c r="RNL11" s="301"/>
      <c r="RNM11" s="301"/>
      <c r="RNN11" s="302"/>
      <c r="RNO11" s="301"/>
      <c r="RNP11" s="301"/>
      <c r="RNQ11" s="311"/>
      <c r="RNR11" s="301"/>
      <c r="RNS11" s="308"/>
      <c r="RNT11" s="301"/>
      <c r="RNU11" s="304"/>
      <c r="RNV11" s="307"/>
      <c r="RNW11" s="308"/>
      <c r="RNX11" s="301"/>
      <c r="RNY11" s="308"/>
      <c r="RNZ11" s="301"/>
      <c r="ROA11" s="301"/>
      <c r="ROB11" s="302"/>
      <c r="ROC11" s="301"/>
      <c r="ROD11" s="301"/>
      <c r="ROE11" s="302"/>
      <c r="ROF11" s="301"/>
      <c r="ROG11" s="301"/>
      <c r="ROH11" s="311"/>
      <c r="ROI11" s="301"/>
      <c r="ROJ11" s="308"/>
      <c r="ROK11" s="301"/>
      <c r="ROL11" s="304"/>
      <c r="ROM11" s="307"/>
      <c r="RON11" s="308"/>
      <c r="ROO11" s="301"/>
      <c r="ROP11" s="308"/>
      <c r="ROQ11" s="301"/>
      <c r="ROR11" s="301"/>
      <c r="ROS11" s="302"/>
      <c r="ROT11" s="301"/>
      <c r="ROU11" s="301"/>
      <c r="ROV11" s="302"/>
      <c r="ROW11" s="301"/>
      <c r="ROX11" s="301"/>
      <c r="ROY11" s="311"/>
      <c r="ROZ11" s="301"/>
      <c r="RPA11" s="308"/>
      <c r="RPB11" s="301"/>
      <c r="RPC11" s="304"/>
      <c r="RPD11" s="307"/>
      <c r="RPE11" s="308"/>
      <c r="RPF11" s="301"/>
      <c r="RPG11" s="308"/>
      <c r="RPH11" s="301"/>
      <c r="RPI11" s="301"/>
      <c r="RPJ11" s="302"/>
      <c r="RPK11" s="301"/>
      <c r="RPL11" s="301"/>
      <c r="RPM11" s="302"/>
      <c r="RPN11" s="301"/>
      <c r="RPO11" s="301"/>
      <c r="RPP11" s="311"/>
      <c r="RPQ11" s="301"/>
      <c r="RPR11" s="308"/>
      <c r="RPS11" s="301"/>
      <c r="RPT11" s="304"/>
      <c r="RPU11" s="307"/>
      <c r="RPV11" s="308"/>
      <c r="RPW11" s="301"/>
      <c r="RPX11" s="308"/>
      <c r="RPY11" s="301"/>
      <c r="RPZ11" s="301"/>
      <c r="RQA11" s="302"/>
      <c r="RQB11" s="301"/>
      <c r="RQC11" s="301"/>
      <c r="RQD11" s="302"/>
      <c r="RQE11" s="301"/>
      <c r="RQF11" s="301"/>
      <c r="RQG11" s="311"/>
      <c r="RQH11" s="301"/>
      <c r="RQI11" s="308"/>
      <c r="RQJ11" s="301"/>
      <c r="RQK11" s="304"/>
      <c r="RQL11" s="307"/>
      <c r="RQM11" s="308"/>
      <c r="RQN11" s="301"/>
      <c r="RQO11" s="308"/>
      <c r="RQP11" s="301"/>
      <c r="RQQ11" s="301"/>
      <c r="RQR11" s="302"/>
      <c r="RQS11" s="301"/>
      <c r="RQT11" s="301"/>
      <c r="RQU11" s="302"/>
      <c r="RQV11" s="301"/>
      <c r="RQW11" s="301"/>
      <c r="RQX11" s="311"/>
      <c r="RQY11" s="301"/>
      <c r="RQZ11" s="308"/>
      <c r="RRA11" s="301"/>
      <c r="RRB11" s="304"/>
      <c r="RRC11" s="307"/>
      <c r="RRD11" s="308"/>
      <c r="RRE11" s="301"/>
      <c r="RRF11" s="308"/>
      <c r="RRG11" s="301"/>
      <c r="RRH11" s="301"/>
      <c r="RRI11" s="302"/>
      <c r="RRJ11" s="301"/>
      <c r="RRK11" s="301"/>
      <c r="RRL11" s="302"/>
      <c r="RRM11" s="301"/>
      <c r="RRN11" s="301"/>
      <c r="RRO11" s="311"/>
      <c r="RRP11" s="301"/>
      <c r="RRQ11" s="308"/>
      <c r="RRR11" s="301"/>
      <c r="RRS11" s="304"/>
      <c r="RRT11" s="307"/>
      <c r="RRU11" s="308"/>
      <c r="RRV11" s="301"/>
      <c r="RRW11" s="308"/>
      <c r="RRX11" s="301"/>
      <c r="RRY11" s="301"/>
      <c r="RRZ11" s="302"/>
      <c r="RSA11" s="301"/>
      <c r="RSB11" s="301"/>
      <c r="RSC11" s="302"/>
      <c r="RSD11" s="301"/>
      <c r="RSE11" s="301"/>
      <c r="RSF11" s="311"/>
      <c r="RSG11" s="301"/>
      <c r="RSH11" s="308"/>
      <c r="RSI11" s="301"/>
      <c r="RSJ11" s="304"/>
      <c r="RSK11" s="307"/>
      <c r="RSL11" s="308"/>
      <c r="RSM11" s="301"/>
      <c r="RSN11" s="308"/>
      <c r="RSO11" s="301"/>
      <c r="RSP11" s="301"/>
      <c r="RSQ11" s="302"/>
      <c r="RSR11" s="301"/>
      <c r="RSS11" s="301"/>
      <c r="RST11" s="302"/>
      <c r="RSU11" s="301"/>
      <c r="RSV11" s="301"/>
      <c r="RSW11" s="311"/>
      <c r="RSX11" s="301"/>
      <c r="RSY11" s="308"/>
      <c r="RSZ11" s="301"/>
      <c r="RTA11" s="304"/>
      <c r="RTB11" s="307"/>
      <c r="RTC11" s="308"/>
      <c r="RTD11" s="301"/>
      <c r="RTE11" s="308"/>
      <c r="RTF11" s="301"/>
      <c r="RTG11" s="301"/>
      <c r="RTH11" s="302"/>
      <c r="RTI11" s="301"/>
      <c r="RTJ11" s="301"/>
      <c r="RTK11" s="302"/>
      <c r="RTL11" s="301"/>
      <c r="RTM11" s="301"/>
      <c r="RTN11" s="311"/>
      <c r="RTO11" s="301"/>
      <c r="RTP11" s="308"/>
      <c r="RTQ11" s="301"/>
      <c r="RTR11" s="304"/>
      <c r="RTS11" s="307"/>
      <c r="RTT11" s="308"/>
      <c r="RTU11" s="301"/>
      <c r="RTV11" s="308"/>
      <c r="RTW11" s="301"/>
      <c r="RTX11" s="301"/>
      <c r="RTY11" s="302"/>
      <c r="RTZ11" s="301"/>
      <c r="RUA11" s="301"/>
      <c r="RUB11" s="302"/>
      <c r="RUC11" s="301"/>
      <c r="RUD11" s="301"/>
      <c r="RUE11" s="311"/>
      <c r="RUF11" s="301"/>
      <c r="RUG11" s="308"/>
      <c r="RUH11" s="301"/>
      <c r="RUI11" s="304"/>
      <c r="RUJ11" s="307"/>
      <c r="RUK11" s="308"/>
      <c r="RUL11" s="301"/>
      <c r="RUM11" s="308"/>
      <c r="RUN11" s="301"/>
      <c r="RUO11" s="301"/>
      <c r="RUP11" s="302"/>
      <c r="RUQ11" s="301"/>
      <c r="RUR11" s="301"/>
      <c r="RUS11" s="302"/>
      <c r="RUT11" s="301"/>
      <c r="RUU11" s="301"/>
      <c r="RUV11" s="311"/>
      <c r="RUW11" s="301"/>
      <c r="RUX11" s="308"/>
      <c r="RUY11" s="301"/>
      <c r="RUZ11" s="304"/>
      <c r="RVA11" s="307"/>
      <c r="RVB11" s="308"/>
      <c r="RVC11" s="301"/>
      <c r="RVD11" s="308"/>
      <c r="RVE11" s="301"/>
      <c r="RVF11" s="301"/>
      <c r="RVG11" s="302"/>
      <c r="RVH11" s="301"/>
      <c r="RVI11" s="301"/>
      <c r="RVJ11" s="302"/>
      <c r="RVK11" s="301"/>
      <c r="RVL11" s="301"/>
      <c r="RVM11" s="311"/>
      <c r="RVN11" s="301"/>
      <c r="RVO11" s="308"/>
      <c r="RVP11" s="301"/>
      <c r="RVQ11" s="304"/>
      <c r="RVR11" s="307"/>
      <c r="RVS11" s="308"/>
      <c r="RVT11" s="301"/>
      <c r="RVU11" s="308"/>
      <c r="RVV11" s="301"/>
      <c r="RVW11" s="301"/>
      <c r="RVX11" s="302"/>
      <c r="RVY11" s="301"/>
      <c r="RVZ11" s="301"/>
      <c r="RWA11" s="302"/>
      <c r="RWB11" s="301"/>
      <c r="RWC11" s="301"/>
      <c r="RWD11" s="311"/>
      <c r="RWE11" s="301"/>
      <c r="RWF11" s="308"/>
      <c r="RWG11" s="301"/>
      <c r="RWH11" s="304"/>
      <c r="RWI11" s="307"/>
      <c r="RWJ11" s="308"/>
      <c r="RWK11" s="301"/>
      <c r="RWL11" s="308"/>
      <c r="RWM11" s="301"/>
      <c r="RWN11" s="301"/>
      <c r="RWO11" s="302"/>
      <c r="RWP11" s="301"/>
      <c r="RWQ11" s="301"/>
      <c r="RWR11" s="302"/>
      <c r="RWS11" s="301"/>
      <c r="RWT11" s="301"/>
      <c r="RWU11" s="311"/>
      <c r="RWV11" s="301"/>
      <c r="RWW11" s="308"/>
      <c r="RWX11" s="301"/>
      <c r="RWY11" s="304"/>
      <c r="RWZ11" s="307"/>
      <c r="RXA11" s="308"/>
      <c r="RXB11" s="301"/>
      <c r="RXC11" s="308"/>
      <c r="RXD11" s="301"/>
      <c r="RXE11" s="301"/>
      <c r="RXF11" s="302"/>
      <c r="RXG11" s="301"/>
      <c r="RXH11" s="301"/>
      <c r="RXI11" s="302"/>
      <c r="RXJ11" s="301"/>
      <c r="RXK11" s="301"/>
      <c r="RXL11" s="311"/>
      <c r="RXM11" s="301"/>
      <c r="RXN11" s="308"/>
      <c r="RXO11" s="301"/>
      <c r="RXP11" s="304"/>
      <c r="RXQ11" s="307"/>
      <c r="RXR11" s="308"/>
      <c r="RXS11" s="301"/>
      <c r="RXT11" s="308"/>
      <c r="RXU11" s="301"/>
      <c r="RXV11" s="301"/>
      <c r="RXW11" s="302"/>
      <c r="RXX11" s="301"/>
      <c r="RXY11" s="301"/>
      <c r="RXZ11" s="302"/>
      <c r="RYA11" s="301"/>
      <c r="RYB11" s="301"/>
      <c r="RYC11" s="311"/>
      <c r="RYD11" s="301"/>
      <c r="RYE11" s="308"/>
      <c r="RYF11" s="301"/>
      <c r="RYG11" s="304"/>
      <c r="RYH11" s="307"/>
      <c r="RYI11" s="308"/>
      <c r="RYJ11" s="301"/>
      <c r="RYK11" s="308"/>
      <c r="RYL11" s="301"/>
      <c r="RYM11" s="301"/>
      <c r="RYN11" s="302"/>
      <c r="RYO11" s="301"/>
      <c r="RYP11" s="301"/>
      <c r="RYQ11" s="302"/>
      <c r="RYR11" s="301"/>
      <c r="RYS11" s="301"/>
      <c r="RYT11" s="311"/>
      <c r="RYU11" s="301"/>
      <c r="RYV11" s="308"/>
      <c r="RYW11" s="301"/>
      <c r="RYX11" s="304"/>
      <c r="RYY11" s="307"/>
      <c r="RYZ11" s="308"/>
      <c r="RZA11" s="301"/>
      <c r="RZB11" s="308"/>
      <c r="RZC11" s="301"/>
      <c r="RZD11" s="301"/>
      <c r="RZE11" s="302"/>
      <c r="RZF11" s="301"/>
      <c r="RZG11" s="301"/>
      <c r="RZH11" s="302"/>
      <c r="RZI11" s="301"/>
      <c r="RZJ11" s="301"/>
      <c r="RZK11" s="311"/>
      <c r="RZL11" s="301"/>
      <c r="RZM11" s="308"/>
      <c r="RZN11" s="301"/>
      <c r="RZO11" s="304"/>
      <c r="RZP11" s="307"/>
      <c r="RZQ11" s="308"/>
      <c r="RZR11" s="301"/>
      <c r="RZS11" s="308"/>
      <c r="RZT11" s="301"/>
      <c r="RZU11" s="301"/>
      <c r="RZV11" s="302"/>
      <c r="RZW11" s="301"/>
      <c r="RZX11" s="301"/>
      <c r="RZY11" s="302"/>
      <c r="RZZ11" s="301"/>
      <c r="SAA11" s="301"/>
      <c r="SAB11" s="311"/>
      <c r="SAC11" s="301"/>
      <c r="SAD11" s="308"/>
      <c r="SAE11" s="301"/>
      <c r="SAF11" s="304"/>
      <c r="SAG11" s="307"/>
      <c r="SAH11" s="308"/>
      <c r="SAI11" s="301"/>
      <c r="SAJ11" s="308"/>
      <c r="SAK11" s="301"/>
      <c r="SAL11" s="301"/>
      <c r="SAM11" s="302"/>
      <c r="SAN11" s="301"/>
      <c r="SAO11" s="301"/>
      <c r="SAP11" s="302"/>
      <c r="SAQ11" s="301"/>
      <c r="SAR11" s="301"/>
      <c r="SAS11" s="311"/>
      <c r="SAT11" s="301"/>
      <c r="SAU11" s="308"/>
      <c r="SAV11" s="301"/>
      <c r="SAW11" s="304"/>
      <c r="SAX11" s="307"/>
      <c r="SAY11" s="308"/>
      <c r="SAZ11" s="301"/>
      <c r="SBA11" s="308"/>
      <c r="SBB11" s="301"/>
      <c r="SBC11" s="301"/>
      <c r="SBD11" s="302"/>
      <c r="SBE11" s="301"/>
      <c r="SBF11" s="301"/>
      <c r="SBG11" s="302"/>
      <c r="SBH11" s="301"/>
      <c r="SBI11" s="301"/>
      <c r="SBJ11" s="311"/>
      <c r="SBK11" s="301"/>
      <c r="SBL11" s="308"/>
      <c r="SBM11" s="301"/>
      <c r="SBN11" s="304"/>
      <c r="SBO11" s="307"/>
      <c r="SBP11" s="308"/>
      <c r="SBQ11" s="301"/>
      <c r="SBR11" s="308"/>
      <c r="SBS11" s="301"/>
      <c r="SBT11" s="301"/>
      <c r="SBU11" s="302"/>
      <c r="SBV11" s="301"/>
      <c r="SBW11" s="301"/>
      <c r="SBX11" s="302"/>
      <c r="SBY11" s="301"/>
      <c r="SBZ11" s="301"/>
      <c r="SCA11" s="311"/>
      <c r="SCB11" s="301"/>
      <c r="SCC11" s="308"/>
      <c r="SCD11" s="301"/>
      <c r="SCE11" s="304"/>
      <c r="SCF11" s="307"/>
      <c r="SCG11" s="308"/>
      <c r="SCH11" s="301"/>
      <c r="SCI11" s="308"/>
      <c r="SCJ11" s="301"/>
      <c r="SCK11" s="301"/>
      <c r="SCL11" s="302"/>
      <c r="SCM11" s="301"/>
      <c r="SCN11" s="301"/>
      <c r="SCO11" s="302"/>
      <c r="SCP11" s="301"/>
      <c r="SCQ11" s="301"/>
      <c r="SCR11" s="311"/>
      <c r="SCS11" s="301"/>
      <c r="SCT11" s="308"/>
      <c r="SCU11" s="301"/>
      <c r="SCV11" s="304"/>
      <c r="SCW11" s="307"/>
      <c r="SCX11" s="308"/>
      <c r="SCY11" s="301"/>
      <c r="SCZ11" s="308"/>
      <c r="SDA11" s="301"/>
      <c r="SDB11" s="301"/>
      <c r="SDC11" s="302"/>
      <c r="SDD11" s="301"/>
      <c r="SDE11" s="301"/>
      <c r="SDF11" s="302"/>
      <c r="SDG11" s="301"/>
      <c r="SDH11" s="301"/>
      <c r="SDI11" s="311"/>
      <c r="SDJ11" s="301"/>
      <c r="SDK11" s="308"/>
      <c r="SDL11" s="301"/>
      <c r="SDM11" s="304"/>
      <c r="SDN11" s="307"/>
      <c r="SDO11" s="308"/>
      <c r="SDP11" s="301"/>
      <c r="SDQ11" s="308"/>
      <c r="SDR11" s="301"/>
      <c r="SDS11" s="301"/>
      <c r="SDT11" s="302"/>
      <c r="SDU11" s="301"/>
      <c r="SDV11" s="301"/>
      <c r="SDW11" s="302"/>
      <c r="SDX11" s="301"/>
      <c r="SDY11" s="301"/>
      <c r="SDZ11" s="311"/>
      <c r="SEA11" s="301"/>
      <c r="SEB11" s="308"/>
      <c r="SEC11" s="301"/>
      <c r="SED11" s="304"/>
      <c r="SEE11" s="307"/>
      <c r="SEF11" s="308"/>
      <c r="SEG11" s="301"/>
      <c r="SEH11" s="308"/>
      <c r="SEI11" s="301"/>
      <c r="SEJ11" s="301"/>
      <c r="SEK11" s="302"/>
      <c r="SEL11" s="301"/>
      <c r="SEM11" s="301"/>
      <c r="SEN11" s="302"/>
      <c r="SEO11" s="301"/>
      <c r="SEP11" s="301"/>
      <c r="SEQ11" s="311"/>
      <c r="SER11" s="301"/>
      <c r="SES11" s="308"/>
      <c r="SET11" s="301"/>
      <c r="SEU11" s="304"/>
      <c r="SEV11" s="307"/>
      <c r="SEW11" s="308"/>
      <c r="SEX11" s="301"/>
      <c r="SEY11" s="308"/>
      <c r="SEZ11" s="301"/>
      <c r="SFA11" s="301"/>
      <c r="SFB11" s="302"/>
      <c r="SFC11" s="301"/>
      <c r="SFD11" s="301"/>
      <c r="SFE11" s="302"/>
      <c r="SFF11" s="301"/>
      <c r="SFG11" s="301"/>
      <c r="SFH11" s="311"/>
      <c r="SFI11" s="301"/>
      <c r="SFJ11" s="308"/>
      <c r="SFK11" s="301"/>
      <c r="SFL11" s="304"/>
      <c r="SFM11" s="307"/>
      <c r="SFN11" s="308"/>
      <c r="SFO11" s="301"/>
      <c r="SFP11" s="308"/>
      <c r="SFQ11" s="301"/>
      <c r="SFR11" s="301"/>
      <c r="SFS11" s="302"/>
      <c r="SFT11" s="301"/>
      <c r="SFU11" s="301"/>
      <c r="SFV11" s="302"/>
      <c r="SFW11" s="301"/>
      <c r="SFX11" s="301"/>
      <c r="SFY11" s="311"/>
      <c r="SFZ11" s="301"/>
      <c r="SGA11" s="308"/>
      <c r="SGB11" s="301"/>
      <c r="SGC11" s="304"/>
      <c r="SGD11" s="307"/>
      <c r="SGE11" s="308"/>
      <c r="SGF11" s="301"/>
      <c r="SGG11" s="308"/>
      <c r="SGH11" s="301"/>
      <c r="SGI11" s="301"/>
      <c r="SGJ11" s="302"/>
      <c r="SGK11" s="301"/>
      <c r="SGL11" s="301"/>
      <c r="SGM11" s="302"/>
      <c r="SGN11" s="301"/>
      <c r="SGO11" s="301"/>
      <c r="SGP11" s="311"/>
      <c r="SGQ11" s="301"/>
      <c r="SGR11" s="308"/>
      <c r="SGS11" s="301"/>
      <c r="SGT11" s="304"/>
      <c r="SGU11" s="307"/>
      <c r="SGV11" s="308"/>
      <c r="SGW11" s="301"/>
      <c r="SGX11" s="308"/>
      <c r="SGY11" s="301"/>
      <c r="SGZ11" s="301"/>
      <c r="SHA11" s="302"/>
      <c r="SHB11" s="301"/>
      <c r="SHC11" s="301"/>
      <c r="SHD11" s="302"/>
      <c r="SHE11" s="301"/>
      <c r="SHF11" s="301"/>
      <c r="SHG11" s="311"/>
      <c r="SHH11" s="301"/>
      <c r="SHI11" s="308"/>
      <c r="SHJ11" s="301"/>
      <c r="SHK11" s="304"/>
      <c r="SHL11" s="307"/>
      <c r="SHM11" s="308"/>
      <c r="SHN11" s="301"/>
      <c r="SHO11" s="308"/>
      <c r="SHP11" s="301"/>
      <c r="SHQ11" s="301"/>
      <c r="SHR11" s="302"/>
      <c r="SHS11" s="301"/>
      <c r="SHT11" s="301"/>
      <c r="SHU11" s="302"/>
      <c r="SHV11" s="301"/>
      <c r="SHW11" s="301"/>
      <c r="SHX11" s="311"/>
      <c r="SHY11" s="301"/>
      <c r="SHZ11" s="308"/>
      <c r="SIA11" s="301"/>
      <c r="SIB11" s="304"/>
      <c r="SIC11" s="307"/>
      <c r="SID11" s="308"/>
      <c r="SIE11" s="301"/>
      <c r="SIF11" s="308"/>
      <c r="SIG11" s="301"/>
      <c r="SIH11" s="301"/>
      <c r="SII11" s="302"/>
      <c r="SIJ11" s="301"/>
      <c r="SIK11" s="301"/>
      <c r="SIL11" s="302"/>
      <c r="SIM11" s="301"/>
      <c r="SIN11" s="301"/>
      <c r="SIO11" s="311"/>
      <c r="SIP11" s="301"/>
      <c r="SIQ11" s="308"/>
      <c r="SIR11" s="301"/>
      <c r="SIS11" s="304"/>
      <c r="SIT11" s="307"/>
      <c r="SIU11" s="308"/>
      <c r="SIV11" s="301"/>
      <c r="SIW11" s="308"/>
      <c r="SIX11" s="301"/>
      <c r="SIY11" s="301"/>
      <c r="SIZ11" s="302"/>
      <c r="SJA11" s="301"/>
      <c r="SJB11" s="301"/>
      <c r="SJC11" s="302"/>
      <c r="SJD11" s="301"/>
      <c r="SJE11" s="301"/>
      <c r="SJF11" s="311"/>
      <c r="SJG11" s="301"/>
      <c r="SJH11" s="308"/>
      <c r="SJI11" s="301"/>
      <c r="SJJ11" s="304"/>
      <c r="SJK11" s="307"/>
      <c r="SJL11" s="308"/>
      <c r="SJM11" s="301"/>
      <c r="SJN11" s="308"/>
      <c r="SJO11" s="301"/>
      <c r="SJP11" s="301"/>
      <c r="SJQ11" s="302"/>
      <c r="SJR11" s="301"/>
      <c r="SJS11" s="301"/>
      <c r="SJT11" s="302"/>
      <c r="SJU11" s="301"/>
      <c r="SJV11" s="301"/>
      <c r="SJW11" s="311"/>
      <c r="SJX11" s="301"/>
      <c r="SJY11" s="308"/>
      <c r="SJZ11" s="301"/>
      <c r="SKA11" s="304"/>
      <c r="SKB11" s="307"/>
      <c r="SKC11" s="308"/>
      <c r="SKD11" s="301"/>
      <c r="SKE11" s="308"/>
      <c r="SKF11" s="301"/>
      <c r="SKG11" s="301"/>
      <c r="SKH11" s="302"/>
      <c r="SKI11" s="301"/>
      <c r="SKJ11" s="301"/>
      <c r="SKK11" s="302"/>
      <c r="SKL11" s="301"/>
      <c r="SKM11" s="301"/>
      <c r="SKN11" s="311"/>
      <c r="SKO11" s="301"/>
      <c r="SKP11" s="308"/>
      <c r="SKQ11" s="301"/>
      <c r="SKR11" s="304"/>
      <c r="SKS11" s="307"/>
      <c r="SKT11" s="308"/>
      <c r="SKU11" s="301"/>
      <c r="SKV11" s="308"/>
      <c r="SKW11" s="301"/>
      <c r="SKX11" s="301"/>
      <c r="SKY11" s="302"/>
      <c r="SKZ11" s="301"/>
      <c r="SLA11" s="301"/>
      <c r="SLB11" s="302"/>
      <c r="SLC11" s="301"/>
      <c r="SLD11" s="301"/>
      <c r="SLE11" s="311"/>
      <c r="SLF11" s="301"/>
      <c r="SLG11" s="308"/>
      <c r="SLH11" s="301"/>
      <c r="SLI11" s="304"/>
      <c r="SLJ11" s="307"/>
      <c r="SLK11" s="308"/>
      <c r="SLL11" s="301"/>
      <c r="SLM11" s="308"/>
      <c r="SLN11" s="301"/>
      <c r="SLO11" s="301"/>
      <c r="SLP11" s="302"/>
      <c r="SLQ11" s="301"/>
      <c r="SLR11" s="301"/>
      <c r="SLS11" s="302"/>
      <c r="SLT11" s="301"/>
      <c r="SLU11" s="301"/>
      <c r="SLV11" s="311"/>
      <c r="SLW11" s="301"/>
      <c r="SLX11" s="308"/>
      <c r="SLY11" s="301"/>
      <c r="SLZ11" s="304"/>
      <c r="SMA11" s="307"/>
      <c r="SMB11" s="308"/>
      <c r="SMC11" s="301"/>
      <c r="SMD11" s="308"/>
      <c r="SME11" s="301"/>
      <c r="SMF11" s="301"/>
      <c r="SMG11" s="302"/>
      <c r="SMH11" s="301"/>
      <c r="SMI11" s="301"/>
      <c r="SMJ11" s="302"/>
      <c r="SMK11" s="301"/>
      <c r="SML11" s="301"/>
      <c r="SMM11" s="311"/>
      <c r="SMN11" s="301"/>
      <c r="SMO11" s="308"/>
      <c r="SMP11" s="301"/>
      <c r="SMQ11" s="304"/>
      <c r="SMR11" s="307"/>
      <c r="SMS11" s="308"/>
      <c r="SMT11" s="301"/>
      <c r="SMU11" s="308"/>
      <c r="SMV11" s="301"/>
      <c r="SMW11" s="301"/>
      <c r="SMX11" s="302"/>
      <c r="SMY11" s="301"/>
      <c r="SMZ11" s="301"/>
      <c r="SNA11" s="302"/>
      <c r="SNB11" s="301"/>
      <c r="SNC11" s="301"/>
      <c r="SND11" s="311"/>
      <c r="SNE11" s="301"/>
      <c r="SNF11" s="308"/>
      <c r="SNG11" s="301"/>
      <c r="SNH11" s="304"/>
      <c r="SNI11" s="307"/>
      <c r="SNJ11" s="308"/>
      <c r="SNK11" s="301"/>
      <c r="SNL11" s="308"/>
      <c r="SNM11" s="301"/>
      <c r="SNN11" s="301"/>
      <c r="SNO11" s="302"/>
      <c r="SNP11" s="301"/>
      <c r="SNQ11" s="301"/>
      <c r="SNR11" s="302"/>
      <c r="SNS11" s="301"/>
      <c r="SNT11" s="301"/>
      <c r="SNU11" s="311"/>
      <c r="SNV11" s="301"/>
      <c r="SNW11" s="308"/>
      <c r="SNX11" s="301"/>
      <c r="SNY11" s="304"/>
      <c r="SNZ11" s="307"/>
      <c r="SOA11" s="308"/>
      <c r="SOB11" s="301"/>
      <c r="SOC11" s="308"/>
      <c r="SOD11" s="301"/>
      <c r="SOE11" s="301"/>
      <c r="SOF11" s="302"/>
      <c r="SOG11" s="301"/>
      <c r="SOH11" s="301"/>
      <c r="SOI11" s="302"/>
      <c r="SOJ11" s="301"/>
      <c r="SOK11" s="301"/>
      <c r="SOL11" s="311"/>
      <c r="SOM11" s="301"/>
      <c r="SON11" s="308"/>
      <c r="SOO11" s="301"/>
      <c r="SOP11" s="304"/>
      <c r="SOQ11" s="307"/>
      <c r="SOR11" s="308"/>
      <c r="SOS11" s="301"/>
      <c r="SOT11" s="308"/>
      <c r="SOU11" s="301"/>
      <c r="SOV11" s="301"/>
      <c r="SOW11" s="302"/>
      <c r="SOX11" s="301"/>
      <c r="SOY11" s="301"/>
      <c r="SOZ11" s="302"/>
      <c r="SPA11" s="301"/>
      <c r="SPB11" s="301"/>
      <c r="SPC11" s="311"/>
      <c r="SPD11" s="301"/>
      <c r="SPE11" s="308"/>
      <c r="SPF11" s="301"/>
      <c r="SPG11" s="304"/>
      <c r="SPH11" s="307"/>
      <c r="SPI11" s="308"/>
      <c r="SPJ11" s="301"/>
      <c r="SPK11" s="308"/>
      <c r="SPL11" s="301"/>
      <c r="SPM11" s="301"/>
      <c r="SPN11" s="302"/>
      <c r="SPO11" s="301"/>
      <c r="SPP11" s="301"/>
      <c r="SPQ11" s="302"/>
      <c r="SPR11" s="301"/>
      <c r="SPS11" s="301"/>
      <c r="SPT11" s="311"/>
      <c r="SPU11" s="301"/>
      <c r="SPV11" s="308"/>
      <c r="SPW11" s="301"/>
      <c r="SPX11" s="304"/>
      <c r="SPY11" s="307"/>
      <c r="SPZ11" s="308"/>
      <c r="SQA11" s="301"/>
      <c r="SQB11" s="308"/>
      <c r="SQC11" s="301"/>
      <c r="SQD11" s="301"/>
      <c r="SQE11" s="302"/>
      <c r="SQF11" s="301"/>
      <c r="SQG11" s="301"/>
      <c r="SQH11" s="302"/>
      <c r="SQI11" s="301"/>
      <c r="SQJ11" s="301"/>
      <c r="SQK11" s="311"/>
      <c r="SQL11" s="301"/>
      <c r="SQM11" s="308"/>
      <c r="SQN11" s="301"/>
      <c r="SQO11" s="304"/>
      <c r="SQP11" s="307"/>
      <c r="SQQ11" s="308"/>
      <c r="SQR11" s="301"/>
      <c r="SQS11" s="308"/>
      <c r="SQT11" s="301"/>
      <c r="SQU11" s="301"/>
      <c r="SQV11" s="302"/>
      <c r="SQW11" s="301"/>
      <c r="SQX11" s="301"/>
      <c r="SQY11" s="302"/>
      <c r="SQZ11" s="301"/>
      <c r="SRA11" s="301"/>
      <c r="SRB11" s="311"/>
      <c r="SRC11" s="301"/>
      <c r="SRD11" s="308"/>
      <c r="SRE11" s="301"/>
      <c r="SRF11" s="304"/>
      <c r="SRG11" s="307"/>
      <c r="SRH11" s="308"/>
      <c r="SRI11" s="301"/>
      <c r="SRJ11" s="308"/>
      <c r="SRK11" s="301"/>
      <c r="SRL11" s="301"/>
      <c r="SRM11" s="302"/>
      <c r="SRN11" s="301"/>
      <c r="SRO11" s="301"/>
      <c r="SRP11" s="302"/>
      <c r="SRQ11" s="301"/>
      <c r="SRR11" s="301"/>
      <c r="SRS11" s="311"/>
      <c r="SRT11" s="301"/>
      <c r="SRU11" s="308"/>
      <c r="SRV11" s="301"/>
      <c r="SRW11" s="304"/>
      <c r="SRX11" s="307"/>
      <c r="SRY11" s="308"/>
      <c r="SRZ11" s="301"/>
      <c r="SSA11" s="308"/>
      <c r="SSB11" s="301"/>
      <c r="SSC11" s="301"/>
      <c r="SSD11" s="302"/>
      <c r="SSE11" s="301"/>
      <c r="SSF11" s="301"/>
      <c r="SSG11" s="302"/>
      <c r="SSH11" s="301"/>
      <c r="SSI11" s="301"/>
      <c r="SSJ11" s="311"/>
      <c r="SSK11" s="301"/>
      <c r="SSL11" s="308"/>
      <c r="SSM11" s="301"/>
      <c r="SSN11" s="304"/>
      <c r="SSO11" s="307"/>
      <c r="SSP11" s="308"/>
      <c r="SSQ11" s="301"/>
      <c r="SSR11" s="308"/>
      <c r="SSS11" s="301"/>
      <c r="SST11" s="301"/>
      <c r="SSU11" s="302"/>
      <c r="SSV11" s="301"/>
      <c r="SSW11" s="301"/>
      <c r="SSX11" s="302"/>
      <c r="SSY11" s="301"/>
      <c r="SSZ11" s="301"/>
      <c r="STA11" s="311"/>
      <c r="STB11" s="301"/>
      <c r="STC11" s="308"/>
      <c r="STD11" s="301"/>
      <c r="STE11" s="304"/>
      <c r="STF11" s="307"/>
      <c r="STG11" s="308"/>
      <c r="STH11" s="301"/>
      <c r="STI11" s="308"/>
      <c r="STJ11" s="301"/>
      <c r="STK11" s="301"/>
      <c r="STL11" s="302"/>
      <c r="STM11" s="301"/>
      <c r="STN11" s="301"/>
      <c r="STO11" s="302"/>
      <c r="STP11" s="301"/>
      <c r="STQ11" s="301"/>
      <c r="STR11" s="311"/>
      <c r="STS11" s="301"/>
      <c r="STT11" s="308"/>
      <c r="STU11" s="301"/>
      <c r="STV11" s="304"/>
      <c r="STW11" s="307"/>
      <c r="STX11" s="308"/>
      <c r="STY11" s="301"/>
      <c r="STZ11" s="308"/>
      <c r="SUA11" s="301"/>
      <c r="SUB11" s="301"/>
      <c r="SUC11" s="302"/>
      <c r="SUD11" s="301"/>
      <c r="SUE11" s="301"/>
      <c r="SUF11" s="302"/>
      <c r="SUG11" s="301"/>
      <c r="SUH11" s="301"/>
      <c r="SUI11" s="311"/>
      <c r="SUJ11" s="301"/>
      <c r="SUK11" s="308"/>
      <c r="SUL11" s="301"/>
      <c r="SUM11" s="304"/>
      <c r="SUN11" s="307"/>
      <c r="SUO11" s="308"/>
      <c r="SUP11" s="301"/>
      <c r="SUQ11" s="308"/>
      <c r="SUR11" s="301"/>
      <c r="SUS11" s="301"/>
      <c r="SUT11" s="302"/>
      <c r="SUU11" s="301"/>
      <c r="SUV11" s="301"/>
      <c r="SUW11" s="302"/>
      <c r="SUX11" s="301"/>
      <c r="SUY11" s="301"/>
      <c r="SUZ11" s="311"/>
      <c r="SVA11" s="301"/>
      <c r="SVB11" s="308"/>
      <c r="SVC11" s="301"/>
      <c r="SVD11" s="304"/>
      <c r="SVE11" s="307"/>
      <c r="SVF11" s="308"/>
      <c r="SVG11" s="301"/>
      <c r="SVH11" s="308"/>
      <c r="SVI11" s="301"/>
      <c r="SVJ11" s="301"/>
      <c r="SVK11" s="302"/>
      <c r="SVL11" s="301"/>
      <c r="SVM11" s="301"/>
      <c r="SVN11" s="302"/>
      <c r="SVO11" s="301"/>
      <c r="SVP11" s="301"/>
      <c r="SVQ11" s="311"/>
      <c r="SVR11" s="301"/>
      <c r="SVS11" s="308"/>
      <c r="SVT11" s="301"/>
      <c r="SVU11" s="304"/>
      <c r="SVV11" s="307"/>
      <c r="SVW11" s="308"/>
      <c r="SVX11" s="301"/>
      <c r="SVY11" s="308"/>
      <c r="SVZ11" s="301"/>
      <c r="SWA11" s="301"/>
      <c r="SWB11" s="302"/>
      <c r="SWC11" s="301"/>
      <c r="SWD11" s="301"/>
      <c r="SWE11" s="302"/>
      <c r="SWF11" s="301"/>
      <c r="SWG11" s="301"/>
      <c r="SWH11" s="311"/>
      <c r="SWI11" s="301"/>
      <c r="SWJ11" s="308"/>
      <c r="SWK11" s="301"/>
      <c r="SWL11" s="304"/>
      <c r="SWM11" s="307"/>
      <c r="SWN11" s="308"/>
      <c r="SWO11" s="301"/>
      <c r="SWP11" s="308"/>
      <c r="SWQ11" s="301"/>
      <c r="SWR11" s="301"/>
      <c r="SWS11" s="302"/>
      <c r="SWT11" s="301"/>
      <c r="SWU11" s="301"/>
      <c r="SWV11" s="302"/>
      <c r="SWW11" s="301"/>
      <c r="SWX11" s="301"/>
      <c r="SWY11" s="311"/>
      <c r="SWZ11" s="301"/>
      <c r="SXA11" s="308"/>
      <c r="SXB11" s="301"/>
      <c r="SXC11" s="304"/>
      <c r="SXD11" s="307"/>
      <c r="SXE11" s="308"/>
      <c r="SXF11" s="301"/>
      <c r="SXG11" s="308"/>
      <c r="SXH11" s="301"/>
      <c r="SXI11" s="301"/>
      <c r="SXJ11" s="302"/>
      <c r="SXK11" s="301"/>
      <c r="SXL11" s="301"/>
      <c r="SXM11" s="302"/>
      <c r="SXN11" s="301"/>
      <c r="SXO11" s="301"/>
      <c r="SXP11" s="311"/>
      <c r="SXQ11" s="301"/>
      <c r="SXR11" s="308"/>
      <c r="SXS11" s="301"/>
      <c r="SXT11" s="304"/>
      <c r="SXU11" s="307"/>
      <c r="SXV11" s="308"/>
      <c r="SXW11" s="301"/>
      <c r="SXX11" s="308"/>
      <c r="SXY11" s="301"/>
      <c r="SXZ11" s="301"/>
      <c r="SYA11" s="302"/>
      <c r="SYB11" s="301"/>
      <c r="SYC11" s="301"/>
      <c r="SYD11" s="302"/>
      <c r="SYE11" s="301"/>
      <c r="SYF11" s="301"/>
      <c r="SYG11" s="311"/>
      <c r="SYH11" s="301"/>
      <c r="SYI11" s="308"/>
      <c r="SYJ11" s="301"/>
      <c r="SYK11" s="304"/>
      <c r="SYL11" s="307"/>
      <c r="SYM11" s="308"/>
      <c r="SYN11" s="301"/>
      <c r="SYO11" s="308"/>
      <c r="SYP11" s="301"/>
      <c r="SYQ11" s="301"/>
      <c r="SYR11" s="302"/>
      <c r="SYS11" s="301"/>
      <c r="SYT11" s="301"/>
      <c r="SYU11" s="302"/>
      <c r="SYV11" s="301"/>
      <c r="SYW11" s="301"/>
      <c r="SYX11" s="311"/>
      <c r="SYY11" s="301"/>
      <c r="SYZ11" s="308"/>
      <c r="SZA11" s="301"/>
      <c r="SZB11" s="304"/>
      <c r="SZC11" s="307"/>
      <c r="SZD11" s="308"/>
      <c r="SZE11" s="301"/>
      <c r="SZF11" s="308"/>
      <c r="SZG11" s="301"/>
      <c r="SZH11" s="301"/>
      <c r="SZI11" s="302"/>
      <c r="SZJ11" s="301"/>
      <c r="SZK11" s="301"/>
      <c r="SZL11" s="302"/>
      <c r="SZM11" s="301"/>
      <c r="SZN11" s="301"/>
      <c r="SZO11" s="311"/>
      <c r="SZP11" s="301"/>
      <c r="SZQ11" s="308"/>
      <c r="SZR11" s="301"/>
      <c r="SZS11" s="304"/>
      <c r="SZT11" s="307"/>
      <c r="SZU11" s="308"/>
      <c r="SZV11" s="301"/>
      <c r="SZW11" s="308"/>
      <c r="SZX11" s="301"/>
      <c r="SZY11" s="301"/>
      <c r="SZZ11" s="302"/>
      <c r="TAA11" s="301"/>
      <c r="TAB11" s="301"/>
      <c r="TAC11" s="302"/>
      <c r="TAD11" s="301"/>
      <c r="TAE11" s="301"/>
      <c r="TAF11" s="311"/>
      <c r="TAG11" s="301"/>
      <c r="TAH11" s="308"/>
      <c r="TAI11" s="301"/>
      <c r="TAJ11" s="304"/>
      <c r="TAK11" s="307"/>
      <c r="TAL11" s="308"/>
      <c r="TAM11" s="301"/>
      <c r="TAN11" s="308"/>
      <c r="TAO11" s="301"/>
      <c r="TAP11" s="301"/>
      <c r="TAQ11" s="302"/>
      <c r="TAR11" s="301"/>
      <c r="TAS11" s="301"/>
      <c r="TAT11" s="302"/>
      <c r="TAU11" s="301"/>
      <c r="TAV11" s="301"/>
      <c r="TAW11" s="311"/>
      <c r="TAX11" s="301"/>
      <c r="TAY11" s="308"/>
      <c r="TAZ11" s="301"/>
      <c r="TBA11" s="304"/>
      <c r="TBB11" s="307"/>
      <c r="TBC11" s="308"/>
      <c r="TBD11" s="301"/>
      <c r="TBE11" s="308"/>
      <c r="TBF11" s="301"/>
      <c r="TBG11" s="301"/>
      <c r="TBH11" s="302"/>
      <c r="TBI11" s="301"/>
      <c r="TBJ11" s="301"/>
      <c r="TBK11" s="302"/>
      <c r="TBL11" s="301"/>
      <c r="TBM11" s="301"/>
      <c r="TBN11" s="311"/>
      <c r="TBO11" s="301"/>
      <c r="TBP11" s="308"/>
      <c r="TBQ11" s="301"/>
      <c r="TBR11" s="304"/>
      <c r="TBS11" s="307"/>
      <c r="TBT11" s="308"/>
      <c r="TBU11" s="301"/>
      <c r="TBV11" s="308"/>
      <c r="TBW11" s="301"/>
      <c r="TBX11" s="301"/>
      <c r="TBY11" s="302"/>
      <c r="TBZ11" s="301"/>
      <c r="TCA11" s="301"/>
      <c r="TCB11" s="302"/>
      <c r="TCC11" s="301"/>
      <c r="TCD11" s="301"/>
      <c r="TCE11" s="311"/>
      <c r="TCF11" s="301"/>
      <c r="TCG11" s="308"/>
      <c r="TCH11" s="301"/>
      <c r="TCI11" s="304"/>
      <c r="TCJ11" s="307"/>
      <c r="TCK11" s="308"/>
      <c r="TCL11" s="301"/>
      <c r="TCM11" s="308"/>
      <c r="TCN11" s="301"/>
      <c r="TCO11" s="301"/>
      <c r="TCP11" s="302"/>
      <c r="TCQ11" s="301"/>
      <c r="TCR11" s="301"/>
      <c r="TCS11" s="302"/>
      <c r="TCT11" s="301"/>
      <c r="TCU11" s="301"/>
      <c r="TCV11" s="311"/>
      <c r="TCW11" s="301"/>
      <c r="TCX11" s="308"/>
      <c r="TCY11" s="301"/>
      <c r="TCZ11" s="304"/>
      <c r="TDA11" s="307"/>
      <c r="TDB11" s="308"/>
      <c r="TDC11" s="301"/>
      <c r="TDD11" s="308"/>
      <c r="TDE11" s="301"/>
      <c r="TDF11" s="301"/>
      <c r="TDG11" s="302"/>
      <c r="TDH11" s="301"/>
      <c r="TDI11" s="301"/>
      <c r="TDJ11" s="302"/>
      <c r="TDK11" s="301"/>
      <c r="TDL11" s="301"/>
      <c r="TDM11" s="311"/>
      <c r="TDN11" s="301"/>
      <c r="TDO11" s="308"/>
      <c r="TDP11" s="301"/>
      <c r="TDQ11" s="304"/>
      <c r="TDR11" s="307"/>
      <c r="TDS11" s="308"/>
      <c r="TDT11" s="301"/>
      <c r="TDU11" s="308"/>
      <c r="TDV11" s="301"/>
      <c r="TDW11" s="301"/>
      <c r="TDX11" s="302"/>
      <c r="TDY11" s="301"/>
      <c r="TDZ11" s="301"/>
      <c r="TEA11" s="302"/>
      <c r="TEB11" s="301"/>
      <c r="TEC11" s="301"/>
      <c r="TED11" s="311"/>
      <c r="TEE11" s="301"/>
      <c r="TEF11" s="308"/>
      <c r="TEG11" s="301"/>
      <c r="TEH11" s="304"/>
      <c r="TEI11" s="307"/>
      <c r="TEJ11" s="308"/>
      <c r="TEK11" s="301"/>
      <c r="TEL11" s="308"/>
      <c r="TEM11" s="301"/>
      <c r="TEN11" s="301"/>
      <c r="TEO11" s="302"/>
      <c r="TEP11" s="301"/>
      <c r="TEQ11" s="301"/>
      <c r="TER11" s="302"/>
      <c r="TES11" s="301"/>
      <c r="TET11" s="301"/>
      <c r="TEU11" s="311"/>
      <c r="TEV11" s="301"/>
      <c r="TEW11" s="308"/>
      <c r="TEX11" s="301"/>
      <c r="TEY11" s="304"/>
      <c r="TEZ11" s="307"/>
      <c r="TFA11" s="308"/>
      <c r="TFB11" s="301"/>
      <c r="TFC11" s="308"/>
      <c r="TFD11" s="301"/>
      <c r="TFE11" s="301"/>
      <c r="TFF11" s="302"/>
      <c r="TFG11" s="301"/>
      <c r="TFH11" s="301"/>
      <c r="TFI11" s="302"/>
      <c r="TFJ11" s="301"/>
      <c r="TFK11" s="301"/>
      <c r="TFL11" s="311"/>
      <c r="TFM11" s="301"/>
      <c r="TFN11" s="308"/>
      <c r="TFO11" s="301"/>
      <c r="TFP11" s="304"/>
      <c r="TFQ11" s="307"/>
      <c r="TFR11" s="308"/>
      <c r="TFS11" s="301"/>
      <c r="TFT11" s="308"/>
      <c r="TFU11" s="301"/>
      <c r="TFV11" s="301"/>
      <c r="TFW11" s="302"/>
      <c r="TFX11" s="301"/>
      <c r="TFY11" s="301"/>
      <c r="TFZ11" s="302"/>
      <c r="TGA11" s="301"/>
      <c r="TGB11" s="301"/>
      <c r="TGC11" s="311"/>
      <c r="TGD11" s="301"/>
      <c r="TGE11" s="308"/>
      <c r="TGF11" s="301"/>
      <c r="TGG11" s="304"/>
      <c r="TGH11" s="307"/>
      <c r="TGI11" s="308"/>
      <c r="TGJ11" s="301"/>
      <c r="TGK11" s="308"/>
      <c r="TGL11" s="301"/>
      <c r="TGM11" s="301"/>
      <c r="TGN11" s="302"/>
      <c r="TGO11" s="301"/>
      <c r="TGP11" s="301"/>
      <c r="TGQ11" s="302"/>
      <c r="TGR11" s="301"/>
      <c r="TGS11" s="301"/>
      <c r="TGT11" s="311"/>
      <c r="TGU11" s="301"/>
      <c r="TGV11" s="308"/>
      <c r="TGW11" s="301"/>
      <c r="TGX11" s="304"/>
      <c r="TGY11" s="307"/>
      <c r="TGZ11" s="308"/>
      <c r="THA11" s="301"/>
      <c r="THB11" s="308"/>
      <c r="THC11" s="301"/>
      <c r="THD11" s="301"/>
      <c r="THE11" s="302"/>
      <c r="THF11" s="301"/>
      <c r="THG11" s="301"/>
      <c r="THH11" s="302"/>
      <c r="THI11" s="301"/>
      <c r="THJ11" s="301"/>
      <c r="THK11" s="311"/>
      <c r="THL11" s="301"/>
      <c r="THM11" s="308"/>
      <c r="THN11" s="301"/>
      <c r="THO11" s="304"/>
      <c r="THP11" s="307"/>
      <c r="THQ11" s="308"/>
      <c r="THR11" s="301"/>
      <c r="THS11" s="308"/>
      <c r="THT11" s="301"/>
      <c r="THU11" s="301"/>
      <c r="THV11" s="302"/>
      <c r="THW11" s="301"/>
      <c r="THX11" s="301"/>
      <c r="THY11" s="302"/>
      <c r="THZ11" s="301"/>
      <c r="TIA11" s="301"/>
      <c r="TIB11" s="311"/>
      <c r="TIC11" s="301"/>
      <c r="TID11" s="308"/>
      <c r="TIE11" s="301"/>
      <c r="TIF11" s="304"/>
      <c r="TIG11" s="307"/>
      <c r="TIH11" s="308"/>
      <c r="TII11" s="301"/>
      <c r="TIJ11" s="308"/>
      <c r="TIK11" s="301"/>
      <c r="TIL11" s="301"/>
      <c r="TIM11" s="302"/>
      <c r="TIN11" s="301"/>
      <c r="TIO11" s="301"/>
      <c r="TIP11" s="302"/>
      <c r="TIQ11" s="301"/>
      <c r="TIR11" s="301"/>
      <c r="TIS11" s="311"/>
      <c r="TIT11" s="301"/>
      <c r="TIU11" s="308"/>
      <c r="TIV11" s="301"/>
      <c r="TIW11" s="304"/>
      <c r="TIX11" s="307"/>
      <c r="TIY11" s="308"/>
      <c r="TIZ11" s="301"/>
      <c r="TJA11" s="308"/>
      <c r="TJB11" s="301"/>
      <c r="TJC11" s="301"/>
      <c r="TJD11" s="302"/>
      <c r="TJE11" s="301"/>
      <c r="TJF11" s="301"/>
      <c r="TJG11" s="302"/>
      <c r="TJH11" s="301"/>
      <c r="TJI11" s="301"/>
      <c r="TJJ11" s="311"/>
      <c r="TJK11" s="301"/>
      <c r="TJL11" s="308"/>
      <c r="TJM11" s="301"/>
      <c r="TJN11" s="304"/>
      <c r="TJO11" s="307"/>
      <c r="TJP11" s="308"/>
      <c r="TJQ11" s="301"/>
      <c r="TJR11" s="308"/>
      <c r="TJS11" s="301"/>
      <c r="TJT11" s="301"/>
      <c r="TJU11" s="302"/>
      <c r="TJV11" s="301"/>
      <c r="TJW11" s="301"/>
      <c r="TJX11" s="302"/>
      <c r="TJY11" s="301"/>
      <c r="TJZ11" s="301"/>
      <c r="TKA11" s="311"/>
      <c r="TKB11" s="301"/>
      <c r="TKC11" s="308"/>
      <c r="TKD11" s="301"/>
      <c r="TKE11" s="304"/>
      <c r="TKF11" s="307"/>
      <c r="TKG11" s="308"/>
      <c r="TKH11" s="301"/>
      <c r="TKI11" s="308"/>
      <c r="TKJ11" s="301"/>
      <c r="TKK11" s="301"/>
      <c r="TKL11" s="302"/>
      <c r="TKM11" s="301"/>
      <c r="TKN11" s="301"/>
      <c r="TKO11" s="302"/>
      <c r="TKP11" s="301"/>
      <c r="TKQ11" s="301"/>
      <c r="TKR11" s="311"/>
      <c r="TKS11" s="301"/>
      <c r="TKT11" s="308"/>
      <c r="TKU11" s="301"/>
      <c r="TKV11" s="304"/>
      <c r="TKW11" s="307"/>
      <c r="TKX11" s="308"/>
      <c r="TKY11" s="301"/>
      <c r="TKZ11" s="308"/>
      <c r="TLA11" s="301"/>
      <c r="TLB11" s="301"/>
      <c r="TLC11" s="302"/>
      <c r="TLD11" s="301"/>
      <c r="TLE11" s="301"/>
      <c r="TLF11" s="302"/>
      <c r="TLG11" s="301"/>
      <c r="TLH11" s="301"/>
      <c r="TLI11" s="311"/>
      <c r="TLJ11" s="301"/>
      <c r="TLK11" s="308"/>
      <c r="TLL11" s="301"/>
      <c r="TLM11" s="304"/>
      <c r="TLN11" s="307"/>
      <c r="TLO11" s="308"/>
      <c r="TLP11" s="301"/>
      <c r="TLQ11" s="308"/>
      <c r="TLR11" s="301"/>
      <c r="TLS11" s="301"/>
      <c r="TLT11" s="302"/>
      <c r="TLU11" s="301"/>
      <c r="TLV11" s="301"/>
      <c r="TLW11" s="302"/>
      <c r="TLX11" s="301"/>
      <c r="TLY11" s="301"/>
      <c r="TLZ11" s="311"/>
      <c r="TMA11" s="301"/>
      <c r="TMB11" s="308"/>
      <c r="TMC11" s="301"/>
      <c r="TMD11" s="304"/>
      <c r="TME11" s="307"/>
      <c r="TMF11" s="308"/>
      <c r="TMG11" s="301"/>
      <c r="TMH11" s="308"/>
      <c r="TMI11" s="301"/>
      <c r="TMJ11" s="301"/>
      <c r="TMK11" s="302"/>
      <c r="TML11" s="301"/>
      <c r="TMM11" s="301"/>
      <c r="TMN11" s="302"/>
      <c r="TMO11" s="301"/>
      <c r="TMP11" s="301"/>
      <c r="TMQ11" s="311"/>
      <c r="TMR11" s="301"/>
      <c r="TMS11" s="308"/>
      <c r="TMT11" s="301"/>
      <c r="TMU11" s="304"/>
      <c r="TMV11" s="307"/>
      <c r="TMW11" s="308"/>
      <c r="TMX11" s="301"/>
      <c r="TMY11" s="308"/>
      <c r="TMZ11" s="301"/>
      <c r="TNA11" s="301"/>
      <c r="TNB11" s="302"/>
      <c r="TNC11" s="301"/>
      <c r="TND11" s="301"/>
      <c r="TNE11" s="302"/>
      <c r="TNF11" s="301"/>
      <c r="TNG11" s="301"/>
      <c r="TNH11" s="311"/>
      <c r="TNI11" s="301"/>
      <c r="TNJ11" s="308"/>
      <c r="TNK11" s="301"/>
      <c r="TNL11" s="304"/>
      <c r="TNM11" s="307"/>
      <c r="TNN11" s="308"/>
      <c r="TNO11" s="301"/>
      <c r="TNP11" s="308"/>
      <c r="TNQ11" s="301"/>
      <c r="TNR11" s="301"/>
      <c r="TNS11" s="302"/>
      <c r="TNT11" s="301"/>
      <c r="TNU11" s="301"/>
      <c r="TNV11" s="302"/>
      <c r="TNW11" s="301"/>
      <c r="TNX11" s="301"/>
      <c r="TNY11" s="311"/>
      <c r="TNZ11" s="301"/>
      <c r="TOA11" s="308"/>
      <c r="TOB11" s="301"/>
      <c r="TOC11" s="304"/>
      <c r="TOD11" s="307"/>
      <c r="TOE11" s="308"/>
      <c r="TOF11" s="301"/>
      <c r="TOG11" s="308"/>
      <c r="TOH11" s="301"/>
      <c r="TOI11" s="301"/>
      <c r="TOJ11" s="302"/>
      <c r="TOK11" s="301"/>
      <c r="TOL11" s="301"/>
      <c r="TOM11" s="302"/>
      <c r="TON11" s="301"/>
      <c r="TOO11" s="301"/>
      <c r="TOP11" s="311"/>
      <c r="TOQ11" s="301"/>
      <c r="TOR11" s="308"/>
      <c r="TOS11" s="301"/>
      <c r="TOT11" s="304"/>
      <c r="TOU11" s="307"/>
      <c r="TOV11" s="308"/>
      <c r="TOW11" s="301"/>
      <c r="TOX11" s="308"/>
      <c r="TOY11" s="301"/>
      <c r="TOZ11" s="301"/>
      <c r="TPA11" s="302"/>
      <c r="TPB11" s="301"/>
      <c r="TPC11" s="301"/>
      <c r="TPD11" s="302"/>
      <c r="TPE11" s="301"/>
      <c r="TPF11" s="301"/>
      <c r="TPG11" s="311"/>
      <c r="TPH11" s="301"/>
      <c r="TPI11" s="308"/>
      <c r="TPJ11" s="301"/>
      <c r="TPK11" s="304"/>
      <c r="TPL11" s="307"/>
      <c r="TPM11" s="308"/>
      <c r="TPN11" s="301"/>
      <c r="TPO11" s="308"/>
      <c r="TPP11" s="301"/>
      <c r="TPQ11" s="301"/>
      <c r="TPR11" s="302"/>
      <c r="TPS11" s="301"/>
      <c r="TPT11" s="301"/>
      <c r="TPU11" s="302"/>
      <c r="TPV11" s="301"/>
      <c r="TPW11" s="301"/>
      <c r="TPX11" s="311"/>
      <c r="TPY11" s="301"/>
      <c r="TPZ11" s="308"/>
      <c r="TQA11" s="301"/>
      <c r="TQB11" s="304"/>
      <c r="TQC11" s="307"/>
      <c r="TQD11" s="308"/>
      <c r="TQE11" s="301"/>
      <c r="TQF11" s="308"/>
      <c r="TQG11" s="301"/>
      <c r="TQH11" s="301"/>
      <c r="TQI11" s="302"/>
      <c r="TQJ11" s="301"/>
      <c r="TQK11" s="301"/>
      <c r="TQL11" s="302"/>
      <c r="TQM11" s="301"/>
      <c r="TQN11" s="301"/>
      <c r="TQO11" s="311"/>
      <c r="TQP11" s="301"/>
      <c r="TQQ11" s="308"/>
      <c r="TQR11" s="301"/>
      <c r="TQS11" s="304"/>
      <c r="TQT11" s="307"/>
      <c r="TQU11" s="308"/>
      <c r="TQV11" s="301"/>
      <c r="TQW11" s="308"/>
      <c r="TQX11" s="301"/>
      <c r="TQY11" s="301"/>
      <c r="TQZ11" s="302"/>
      <c r="TRA11" s="301"/>
      <c r="TRB11" s="301"/>
      <c r="TRC11" s="302"/>
      <c r="TRD11" s="301"/>
      <c r="TRE11" s="301"/>
      <c r="TRF11" s="311"/>
      <c r="TRG11" s="301"/>
      <c r="TRH11" s="308"/>
      <c r="TRI11" s="301"/>
      <c r="TRJ11" s="304"/>
      <c r="TRK11" s="307"/>
      <c r="TRL11" s="308"/>
      <c r="TRM11" s="301"/>
      <c r="TRN11" s="308"/>
      <c r="TRO11" s="301"/>
      <c r="TRP11" s="301"/>
      <c r="TRQ11" s="302"/>
      <c r="TRR11" s="301"/>
      <c r="TRS11" s="301"/>
      <c r="TRT11" s="302"/>
      <c r="TRU11" s="301"/>
      <c r="TRV11" s="301"/>
      <c r="TRW11" s="311"/>
      <c r="TRX11" s="301"/>
      <c r="TRY11" s="308"/>
      <c r="TRZ11" s="301"/>
      <c r="TSA11" s="304"/>
      <c r="TSB11" s="307"/>
      <c r="TSC11" s="308"/>
      <c r="TSD11" s="301"/>
      <c r="TSE11" s="308"/>
      <c r="TSF11" s="301"/>
      <c r="TSG11" s="301"/>
      <c r="TSH11" s="302"/>
      <c r="TSI11" s="301"/>
      <c r="TSJ11" s="301"/>
      <c r="TSK11" s="302"/>
      <c r="TSL11" s="301"/>
      <c r="TSM11" s="301"/>
      <c r="TSN11" s="311"/>
      <c r="TSO11" s="301"/>
      <c r="TSP11" s="308"/>
      <c r="TSQ11" s="301"/>
      <c r="TSR11" s="304"/>
      <c r="TSS11" s="307"/>
      <c r="TST11" s="308"/>
      <c r="TSU11" s="301"/>
      <c r="TSV11" s="308"/>
      <c r="TSW11" s="301"/>
      <c r="TSX11" s="301"/>
      <c r="TSY11" s="302"/>
      <c r="TSZ11" s="301"/>
      <c r="TTA11" s="301"/>
      <c r="TTB11" s="302"/>
      <c r="TTC11" s="301"/>
      <c r="TTD11" s="301"/>
      <c r="TTE11" s="311"/>
      <c r="TTF11" s="301"/>
      <c r="TTG11" s="308"/>
      <c r="TTH11" s="301"/>
      <c r="TTI11" s="304"/>
      <c r="TTJ11" s="307"/>
      <c r="TTK11" s="308"/>
      <c r="TTL11" s="301"/>
      <c r="TTM11" s="308"/>
      <c r="TTN11" s="301"/>
      <c r="TTO11" s="301"/>
      <c r="TTP11" s="302"/>
      <c r="TTQ11" s="301"/>
      <c r="TTR11" s="301"/>
      <c r="TTS11" s="302"/>
      <c r="TTT11" s="301"/>
      <c r="TTU11" s="301"/>
      <c r="TTV11" s="311"/>
      <c r="TTW11" s="301"/>
      <c r="TTX11" s="308"/>
      <c r="TTY11" s="301"/>
      <c r="TTZ11" s="304"/>
      <c r="TUA11" s="307"/>
      <c r="TUB11" s="308"/>
      <c r="TUC11" s="301"/>
      <c r="TUD11" s="308"/>
      <c r="TUE11" s="301"/>
      <c r="TUF11" s="301"/>
      <c r="TUG11" s="302"/>
      <c r="TUH11" s="301"/>
      <c r="TUI11" s="301"/>
      <c r="TUJ11" s="302"/>
      <c r="TUK11" s="301"/>
      <c r="TUL11" s="301"/>
      <c r="TUM11" s="311"/>
      <c r="TUN11" s="301"/>
      <c r="TUO11" s="308"/>
      <c r="TUP11" s="301"/>
      <c r="TUQ11" s="304"/>
      <c r="TUR11" s="307"/>
      <c r="TUS11" s="308"/>
      <c r="TUT11" s="301"/>
      <c r="TUU11" s="308"/>
      <c r="TUV11" s="301"/>
      <c r="TUW11" s="301"/>
      <c r="TUX11" s="302"/>
      <c r="TUY11" s="301"/>
      <c r="TUZ11" s="301"/>
      <c r="TVA11" s="302"/>
      <c r="TVB11" s="301"/>
      <c r="TVC11" s="301"/>
      <c r="TVD11" s="311"/>
      <c r="TVE11" s="301"/>
      <c r="TVF11" s="308"/>
      <c r="TVG11" s="301"/>
      <c r="TVH11" s="304"/>
      <c r="TVI11" s="307"/>
      <c r="TVJ11" s="308"/>
      <c r="TVK11" s="301"/>
      <c r="TVL11" s="308"/>
      <c r="TVM11" s="301"/>
      <c r="TVN11" s="301"/>
      <c r="TVO11" s="302"/>
      <c r="TVP11" s="301"/>
      <c r="TVQ11" s="301"/>
      <c r="TVR11" s="302"/>
      <c r="TVS11" s="301"/>
      <c r="TVT11" s="301"/>
      <c r="TVU11" s="311"/>
      <c r="TVV11" s="301"/>
      <c r="TVW11" s="308"/>
      <c r="TVX11" s="301"/>
      <c r="TVY11" s="304"/>
      <c r="TVZ11" s="307"/>
      <c r="TWA11" s="308"/>
      <c r="TWB11" s="301"/>
      <c r="TWC11" s="308"/>
      <c r="TWD11" s="301"/>
      <c r="TWE11" s="301"/>
      <c r="TWF11" s="302"/>
      <c r="TWG11" s="301"/>
      <c r="TWH11" s="301"/>
      <c r="TWI11" s="302"/>
      <c r="TWJ11" s="301"/>
      <c r="TWK11" s="301"/>
      <c r="TWL11" s="311"/>
      <c r="TWM11" s="301"/>
      <c r="TWN11" s="308"/>
      <c r="TWO11" s="301"/>
      <c r="TWP11" s="304"/>
      <c r="TWQ11" s="307"/>
      <c r="TWR11" s="308"/>
      <c r="TWS11" s="301"/>
      <c r="TWT11" s="308"/>
      <c r="TWU11" s="301"/>
      <c r="TWV11" s="301"/>
      <c r="TWW11" s="302"/>
      <c r="TWX11" s="301"/>
      <c r="TWY11" s="301"/>
      <c r="TWZ11" s="302"/>
      <c r="TXA11" s="301"/>
      <c r="TXB11" s="301"/>
      <c r="TXC11" s="311"/>
      <c r="TXD11" s="301"/>
      <c r="TXE11" s="308"/>
      <c r="TXF11" s="301"/>
      <c r="TXG11" s="304"/>
      <c r="TXH11" s="307"/>
      <c r="TXI11" s="308"/>
      <c r="TXJ11" s="301"/>
      <c r="TXK11" s="308"/>
      <c r="TXL11" s="301"/>
      <c r="TXM11" s="301"/>
      <c r="TXN11" s="302"/>
      <c r="TXO11" s="301"/>
      <c r="TXP11" s="301"/>
      <c r="TXQ11" s="302"/>
      <c r="TXR11" s="301"/>
      <c r="TXS11" s="301"/>
      <c r="TXT11" s="311"/>
      <c r="TXU11" s="301"/>
      <c r="TXV11" s="308"/>
      <c r="TXW11" s="301"/>
      <c r="TXX11" s="304"/>
      <c r="TXY11" s="307"/>
      <c r="TXZ11" s="308"/>
      <c r="TYA11" s="301"/>
      <c r="TYB11" s="308"/>
      <c r="TYC11" s="301"/>
      <c r="TYD11" s="301"/>
      <c r="TYE11" s="302"/>
      <c r="TYF11" s="301"/>
      <c r="TYG11" s="301"/>
      <c r="TYH11" s="302"/>
      <c r="TYI11" s="301"/>
      <c r="TYJ11" s="301"/>
      <c r="TYK11" s="311"/>
      <c r="TYL11" s="301"/>
      <c r="TYM11" s="308"/>
      <c r="TYN11" s="301"/>
      <c r="TYO11" s="304"/>
      <c r="TYP11" s="307"/>
      <c r="TYQ11" s="308"/>
      <c r="TYR11" s="301"/>
      <c r="TYS11" s="308"/>
      <c r="TYT11" s="301"/>
      <c r="TYU11" s="301"/>
      <c r="TYV11" s="302"/>
      <c r="TYW11" s="301"/>
      <c r="TYX11" s="301"/>
      <c r="TYY11" s="302"/>
      <c r="TYZ11" s="301"/>
      <c r="TZA11" s="301"/>
      <c r="TZB11" s="311"/>
      <c r="TZC11" s="301"/>
      <c r="TZD11" s="308"/>
      <c r="TZE11" s="301"/>
      <c r="TZF11" s="304"/>
      <c r="TZG11" s="307"/>
      <c r="TZH11" s="308"/>
      <c r="TZI11" s="301"/>
      <c r="TZJ11" s="308"/>
      <c r="TZK11" s="301"/>
      <c r="TZL11" s="301"/>
      <c r="TZM11" s="302"/>
      <c r="TZN11" s="301"/>
      <c r="TZO11" s="301"/>
      <c r="TZP11" s="302"/>
      <c r="TZQ11" s="301"/>
      <c r="TZR11" s="301"/>
      <c r="TZS11" s="311"/>
      <c r="TZT11" s="301"/>
      <c r="TZU11" s="308"/>
      <c r="TZV11" s="301"/>
      <c r="TZW11" s="304"/>
      <c r="TZX11" s="307"/>
      <c r="TZY11" s="308"/>
      <c r="TZZ11" s="301"/>
      <c r="UAA11" s="308"/>
      <c r="UAB11" s="301"/>
      <c r="UAC11" s="301"/>
      <c r="UAD11" s="302"/>
      <c r="UAE11" s="301"/>
      <c r="UAF11" s="301"/>
      <c r="UAG11" s="302"/>
      <c r="UAH11" s="301"/>
      <c r="UAI11" s="301"/>
      <c r="UAJ11" s="311"/>
      <c r="UAK11" s="301"/>
      <c r="UAL11" s="308"/>
      <c r="UAM11" s="301"/>
      <c r="UAN11" s="304"/>
      <c r="UAO11" s="307"/>
      <c r="UAP11" s="308"/>
      <c r="UAQ11" s="301"/>
      <c r="UAR11" s="308"/>
      <c r="UAS11" s="301"/>
      <c r="UAT11" s="301"/>
      <c r="UAU11" s="302"/>
      <c r="UAV11" s="301"/>
      <c r="UAW11" s="301"/>
      <c r="UAX11" s="302"/>
      <c r="UAY11" s="301"/>
      <c r="UAZ11" s="301"/>
      <c r="UBA11" s="311"/>
      <c r="UBB11" s="301"/>
      <c r="UBC11" s="308"/>
      <c r="UBD11" s="301"/>
      <c r="UBE11" s="304"/>
      <c r="UBF11" s="307"/>
      <c r="UBG11" s="308"/>
      <c r="UBH11" s="301"/>
      <c r="UBI11" s="308"/>
      <c r="UBJ11" s="301"/>
      <c r="UBK11" s="301"/>
      <c r="UBL11" s="302"/>
      <c r="UBM11" s="301"/>
      <c r="UBN11" s="301"/>
      <c r="UBO11" s="302"/>
      <c r="UBP11" s="301"/>
      <c r="UBQ11" s="301"/>
      <c r="UBR11" s="311"/>
      <c r="UBS11" s="301"/>
      <c r="UBT11" s="308"/>
      <c r="UBU11" s="301"/>
      <c r="UBV11" s="304"/>
      <c r="UBW11" s="307"/>
      <c r="UBX11" s="308"/>
      <c r="UBY11" s="301"/>
      <c r="UBZ11" s="308"/>
      <c r="UCA11" s="301"/>
      <c r="UCB11" s="301"/>
      <c r="UCC11" s="302"/>
      <c r="UCD11" s="301"/>
      <c r="UCE11" s="301"/>
      <c r="UCF11" s="302"/>
      <c r="UCG11" s="301"/>
      <c r="UCH11" s="301"/>
      <c r="UCI11" s="311"/>
      <c r="UCJ11" s="301"/>
      <c r="UCK11" s="308"/>
      <c r="UCL11" s="301"/>
      <c r="UCM11" s="304"/>
      <c r="UCN11" s="307"/>
      <c r="UCO11" s="308"/>
      <c r="UCP11" s="301"/>
      <c r="UCQ11" s="308"/>
      <c r="UCR11" s="301"/>
      <c r="UCS11" s="301"/>
      <c r="UCT11" s="302"/>
      <c r="UCU11" s="301"/>
      <c r="UCV11" s="301"/>
      <c r="UCW11" s="302"/>
      <c r="UCX11" s="301"/>
      <c r="UCY11" s="301"/>
      <c r="UCZ11" s="311"/>
      <c r="UDA11" s="301"/>
      <c r="UDB11" s="308"/>
      <c r="UDC11" s="301"/>
      <c r="UDD11" s="304"/>
      <c r="UDE11" s="307"/>
      <c r="UDF11" s="308"/>
      <c r="UDG11" s="301"/>
      <c r="UDH11" s="308"/>
      <c r="UDI11" s="301"/>
      <c r="UDJ11" s="301"/>
      <c r="UDK11" s="302"/>
      <c r="UDL11" s="301"/>
      <c r="UDM11" s="301"/>
      <c r="UDN11" s="302"/>
      <c r="UDO11" s="301"/>
      <c r="UDP11" s="301"/>
      <c r="UDQ11" s="311"/>
      <c r="UDR11" s="301"/>
      <c r="UDS11" s="308"/>
      <c r="UDT11" s="301"/>
      <c r="UDU11" s="304"/>
      <c r="UDV11" s="307"/>
      <c r="UDW11" s="308"/>
      <c r="UDX11" s="301"/>
      <c r="UDY11" s="308"/>
      <c r="UDZ11" s="301"/>
      <c r="UEA11" s="301"/>
      <c r="UEB11" s="302"/>
      <c r="UEC11" s="301"/>
      <c r="UED11" s="301"/>
      <c r="UEE11" s="302"/>
      <c r="UEF11" s="301"/>
      <c r="UEG11" s="301"/>
      <c r="UEH11" s="311"/>
      <c r="UEI11" s="301"/>
      <c r="UEJ11" s="308"/>
      <c r="UEK11" s="301"/>
      <c r="UEL11" s="304"/>
      <c r="UEM11" s="307"/>
      <c r="UEN11" s="308"/>
      <c r="UEO11" s="301"/>
      <c r="UEP11" s="308"/>
      <c r="UEQ11" s="301"/>
      <c r="UER11" s="301"/>
      <c r="UES11" s="302"/>
      <c r="UET11" s="301"/>
      <c r="UEU11" s="301"/>
      <c r="UEV11" s="302"/>
      <c r="UEW11" s="301"/>
      <c r="UEX11" s="301"/>
      <c r="UEY11" s="311"/>
      <c r="UEZ11" s="301"/>
      <c r="UFA11" s="308"/>
      <c r="UFB11" s="301"/>
      <c r="UFC11" s="304"/>
      <c r="UFD11" s="307"/>
      <c r="UFE11" s="308"/>
      <c r="UFF11" s="301"/>
      <c r="UFG11" s="308"/>
      <c r="UFH11" s="301"/>
      <c r="UFI11" s="301"/>
      <c r="UFJ11" s="302"/>
      <c r="UFK11" s="301"/>
      <c r="UFL11" s="301"/>
      <c r="UFM11" s="302"/>
      <c r="UFN11" s="301"/>
      <c r="UFO11" s="301"/>
      <c r="UFP11" s="311"/>
      <c r="UFQ11" s="301"/>
      <c r="UFR11" s="308"/>
      <c r="UFS11" s="301"/>
      <c r="UFT11" s="304"/>
      <c r="UFU11" s="307"/>
      <c r="UFV11" s="308"/>
      <c r="UFW11" s="301"/>
      <c r="UFX11" s="308"/>
      <c r="UFY11" s="301"/>
      <c r="UFZ11" s="301"/>
      <c r="UGA11" s="302"/>
      <c r="UGB11" s="301"/>
      <c r="UGC11" s="301"/>
      <c r="UGD11" s="302"/>
      <c r="UGE11" s="301"/>
      <c r="UGF11" s="301"/>
      <c r="UGG11" s="311"/>
      <c r="UGH11" s="301"/>
      <c r="UGI11" s="308"/>
      <c r="UGJ11" s="301"/>
      <c r="UGK11" s="304"/>
      <c r="UGL11" s="307"/>
      <c r="UGM11" s="308"/>
      <c r="UGN11" s="301"/>
      <c r="UGO11" s="308"/>
      <c r="UGP11" s="301"/>
      <c r="UGQ11" s="301"/>
      <c r="UGR11" s="302"/>
      <c r="UGS11" s="301"/>
      <c r="UGT11" s="301"/>
      <c r="UGU11" s="302"/>
      <c r="UGV11" s="301"/>
      <c r="UGW11" s="301"/>
      <c r="UGX11" s="311"/>
      <c r="UGY11" s="301"/>
      <c r="UGZ11" s="308"/>
      <c r="UHA11" s="301"/>
      <c r="UHB11" s="304"/>
      <c r="UHC11" s="307"/>
      <c r="UHD11" s="308"/>
      <c r="UHE11" s="301"/>
      <c r="UHF11" s="308"/>
      <c r="UHG11" s="301"/>
      <c r="UHH11" s="301"/>
      <c r="UHI11" s="302"/>
      <c r="UHJ11" s="301"/>
      <c r="UHK11" s="301"/>
      <c r="UHL11" s="302"/>
      <c r="UHM11" s="301"/>
      <c r="UHN11" s="301"/>
      <c r="UHO11" s="311"/>
      <c r="UHP11" s="301"/>
      <c r="UHQ11" s="308"/>
      <c r="UHR11" s="301"/>
      <c r="UHS11" s="304"/>
      <c r="UHT11" s="307"/>
      <c r="UHU11" s="308"/>
      <c r="UHV11" s="301"/>
      <c r="UHW11" s="308"/>
      <c r="UHX11" s="301"/>
      <c r="UHY11" s="301"/>
      <c r="UHZ11" s="302"/>
      <c r="UIA11" s="301"/>
      <c r="UIB11" s="301"/>
      <c r="UIC11" s="302"/>
      <c r="UID11" s="301"/>
      <c r="UIE11" s="301"/>
      <c r="UIF11" s="311"/>
      <c r="UIG11" s="301"/>
      <c r="UIH11" s="308"/>
      <c r="UII11" s="301"/>
      <c r="UIJ11" s="304"/>
      <c r="UIK11" s="307"/>
      <c r="UIL11" s="308"/>
      <c r="UIM11" s="301"/>
      <c r="UIN11" s="308"/>
      <c r="UIO11" s="301"/>
      <c r="UIP11" s="301"/>
      <c r="UIQ11" s="302"/>
      <c r="UIR11" s="301"/>
      <c r="UIS11" s="301"/>
      <c r="UIT11" s="302"/>
      <c r="UIU11" s="301"/>
      <c r="UIV11" s="301"/>
      <c r="UIW11" s="311"/>
      <c r="UIX11" s="301"/>
      <c r="UIY11" s="308"/>
      <c r="UIZ11" s="301"/>
      <c r="UJA11" s="304"/>
      <c r="UJB11" s="307"/>
      <c r="UJC11" s="308"/>
      <c r="UJD11" s="301"/>
      <c r="UJE11" s="308"/>
      <c r="UJF11" s="301"/>
      <c r="UJG11" s="301"/>
      <c r="UJH11" s="302"/>
      <c r="UJI11" s="301"/>
      <c r="UJJ11" s="301"/>
      <c r="UJK11" s="302"/>
      <c r="UJL11" s="301"/>
      <c r="UJM11" s="301"/>
      <c r="UJN11" s="311"/>
      <c r="UJO11" s="301"/>
      <c r="UJP11" s="308"/>
      <c r="UJQ11" s="301"/>
      <c r="UJR11" s="304"/>
      <c r="UJS11" s="307"/>
      <c r="UJT11" s="308"/>
      <c r="UJU11" s="301"/>
      <c r="UJV11" s="308"/>
      <c r="UJW11" s="301"/>
      <c r="UJX11" s="301"/>
      <c r="UJY11" s="302"/>
      <c r="UJZ11" s="301"/>
      <c r="UKA11" s="301"/>
      <c r="UKB11" s="302"/>
      <c r="UKC11" s="301"/>
      <c r="UKD11" s="301"/>
      <c r="UKE11" s="311"/>
      <c r="UKF11" s="301"/>
      <c r="UKG11" s="308"/>
      <c r="UKH11" s="301"/>
      <c r="UKI11" s="304"/>
      <c r="UKJ11" s="307"/>
      <c r="UKK11" s="308"/>
      <c r="UKL11" s="301"/>
      <c r="UKM11" s="308"/>
      <c r="UKN11" s="301"/>
      <c r="UKO11" s="301"/>
      <c r="UKP11" s="302"/>
      <c r="UKQ11" s="301"/>
      <c r="UKR11" s="301"/>
      <c r="UKS11" s="302"/>
      <c r="UKT11" s="301"/>
      <c r="UKU11" s="301"/>
      <c r="UKV11" s="311"/>
      <c r="UKW11" s="301"/>
      <c r="UKX11" s="308"/>
      <c r="UKY11" s="301"/>
      <c r="UKZ11" s="304"/>
      <c r="ULA11" s="307"/>
      <c r="ULB11" s="308"/>
      <c r="ULC11" s="301"/>
      <c r="ULD11" s="308"/>
      <c r="ULE11" s="301"/>
      <c r="ULF11" s="301"/>
      <c r="ULG11" s="302"/>
      <c r="ULH11" s="301"/>
      <c r="ULI11" s="301"/>
      <c r="ULJ11" s="302"/>
      <c r="ULK11" s="301"/>
      <c r="ULL11" s="301"/>
      <c r="ULM11" s="311"/>
      <c r="ULN11" s="301"/>
      <c r="ULO11" s="308"/>
      <c r="ULP11" s="301"/>
      <c r="ULQ11" s="304"/>
      <c r="ULR11" s="307"/>
      <c r="ULS11" s="308"/>
      <c r="ULT11" s="301"/>
      <c r="ULU11" s="308"/>
      <c r="ULV11" s="301"/>
      <c r="ULW11" s="301"/>
      <c r="ULX11" s="302"/>
      <c r="ULY11" s="301"/>
      <c r="ULZ11" s="301"/>
      <c r="UMA11" s="302"/>
      <c r="UMB11" s="301"/>
      <c r="UMC11" s="301"/>
      <c r="UMD11" s="311"/>
      <c r="UME11" s="301"/>
      <c r="UMF11" s="308"/>
      <c r="UMG11" s="301"/>
      <c r="UMH11" s="304"/>
      <c r="UMI11" s="307"/>
      <c r="UMJ11" s="308"/>
      <c r="UMK11" s="301"/>
      <c r="UML11" s="308"/>
      <c r="UMM11" s="301"/>
      <c r="UMN11" s="301"/>
      <c r="UMO11" s="302"/>
      <c r="UMP11" s="301"/>
      <c r="UMQ11" s="301"/>
      <c r="UMR11" s="302"/>
      <c r="UMS11" s="301"/>
      <c r="UMT11" s="301"/>
      <c r="UMU11" s="311"/>
      <c r="UMV11" s="301"/>
      <c r="UMW11" s="308"/>
      <c r="UMX11" s="301"/>
      <c r="UMY11" s="304"/>
      <c r="UMZ11" s="307"/>
      <c r="UNA11" s="308"/>
      <c r="UNB11" s="301"/>
      <c r="UNC11" s="308"/>
      <c r="UND11" s="301"/>
      <c r="UNE11" s="301"/>
      <c r="UNF11" s="302"/>
      <c r="UNG11" s="301"/>
      <c r="UNH11" s="301"/>
      <c r="UNI11" s="302"/>
      <c r="UNJ11" s="301"/>
      <c r="UNK11" s="301"/>
      <c r="UNL11" s="311"/>
      <c r="UNM11" s="301"/>
      <c r="UNN11" s="308"/>
      <c r="UNO11" s="301"/>
      <c r="UNP11" s="304"/>
      <c r="UNQ11" s="307"/>
      <c r="UNR11" s="308"/>
      <c r="UNS11" s="301"/>
      <c r="UNT11" s="308"/>
      <c r="UNU11" s="301"/>
      <c r="UNV11" s="301"/>
      <c r="UNW11" s="302"/>
      <c r="UNX11" s="301"/>
      <c r="UNY11" s="301"/>
      <c r="UNZ11" s="302"/>
      <c r="UOA11" s="301"/>
      <c r="UOB11" s="301"/>
      <c r="UOC11" s="311"/>
      <c r="UOD11" s="301"/>
      <c r="UOE11" s="308"/>
      <c r="UOF11" s="301"/>
      <c r="UOG11" s="304"/>
      <c r="UOH11" s="307"/>
      <c r="UOI11" s="308"/>
      <c r="UOJ11" s="301"/>
      <c r="UOK11" s="308"/>
      <c r="UOL11" s="301"/>
      <c r="UOM11" s="301"/>
      <c r="UON11" s="302"/>
      <c r="UOO11" s="301"/>
      <c r="UOP11" s="301"/>
      <c r="UOQ11" s="302"/>
      <c r="UOR11" s="301"/>
      <c r="UOS11" s="301"/>
      <c r="UOT11" s="311"/>
      <c r="UOU11" s="301"/>
      <c r="UOV11" s="308"/>
      <c r="UOW11" s="301"/>
      <c r="UOX11" s="304"/>
      <c r="UOY11" s="307"/>
      <c r="UOZ11" s="308"/>
      <c r="UPA11" s="301"/>
      <c r="UPB11" s="308"/>
      <c r="UPC11" s="301"/>
      <c r="UPD11" s="301"/>
      <c r="UPE11" s="302"/>
      <c r="UPF11" s="301"/>
      <c r="UPG11" s="301"/>
      <c r="UPH11" s="302"/>
      <c r="UPI11" s="301"/>
      <c r="UPJ11" s="301"/>
      <c r="UPK11" s="311"/>
      <c r="UPL11" s="301"/>
      <c r="UPM11" s="308"/>
      <c r="UPN11" s="301"/>
      <c r="UPO11" s="304"/>
      <c r="UPP11" s="307"/>
      <c r="UPQ11" s="308"/>
      <c r="UPR11" s="301"/>
      <c r="UPS11" s="308"/>
      <c r="UPT11" s="301"/>
      <c r="UPU11" s="301"/>
      <c r="UPV11" s="302"/>
      <c r="UPW11" s="301"/>
      <c r="UPX11" s="301"/>
      <c r="UPY11" s="302"/>
      <c r="UPZ11" s="301"/>
      <c r="UQA11" s="301"/>
      <c r="UQB11" s="311"/>
      <c r="UQC11" s="301"/>
      <c r="UQD11" s="308"/>
      <c r="UQE11" s="301"/>
      <c r="UQF11" s="304"/>
      <c r="UQG11" s="307"/>
      <c r="UQH11" s="308"/>
      <c r="UQI11" s="301"/>
      <c r="UQJ11" s="308"/>
      <c r="UQK11" s="301"/>
      <c r="UQL11" s="301"/>
      <c r="UQM11" s="302"/>
      <c r="UQN11" s="301"/>
      <c r="UQO11" s="301"/>
      <c r="UQP11" s="302"/>
      <c r="UQQ11" s="301"/>
      <c r="UQR11" s="301"/>
      <c r="UQS11" s="311"/>
      <c r="UQT11" s="301"/>
      <c r="UQU11" s="308"/>
      <c r="UQV11" s="301"/>
      <c r="UQW11" s="304"/>
      <c r="UQX11" s="307"/>
      <c r="UQY11" s="308"/>
      <c r="UQZ11" s="301"/>
      <c r="URA11" s="308"/>
      <c r="URB11" s="301"/>
      <c r="URC11" s="301"/>
      <c r="URD11" s="302"/>
      <c r="URE11" s="301"/>
      <c r="URF11" s="301"/>
      <c r="URG11" s="302"/>
      <c r="URH11" s="301"/>
      <c r="URI11" s="301"/>
      <c r="URJ11" s="311"/>
      <c r="URK11" s="301"/>
      <c r="URL11" s="308"/>
      <c r="URM11" s="301"/>
      <c r="URN11" s="304"/>
      <c r="URO11" s="307"/>
      <c r="URP11" s="308"/>
      <c r="URQ11" s="301"/>
      <c r="URR11" s="308"/>
      <c r="URS11" s="301"/>
      <c r="URT11" s="301"/>
      <c r="URU11" s="302"/>
      <c r="URV11" s="301"/>
      <c r="URW11" s="301"/>
      <c r="URX11" s="302"/>
      <c r="URY11" s="301"/>
      <c r="URZ11" s="301"/>
      <c r="USA11" s="311"/>
      <c r="USB11" s="301"/>
      <c r="USC11" s="308"/>
      <c r="USD11" s="301"/>
      <c r="USE11" s="304"/>
      <c r="USF11" s="307"/>
      <c r="USG11" s="308"/>
      <c r="USH11" s="301"/>
      <c r="USI11" s="308"/>
      <c r="USJ11" s="301"/>
      <c r="USK11" s="301"/>
      <c r="USL11" s="302"/>
      <c r="USM11" s="301"/>
      <c r="USN11" s="301"/>
      <c r="USO11" s="302"/>
      <c r="USP11" s="301"/>
      <c r="USQ11" s="301"/>
      <c r="USR11" s="311"/>
      <c r="USS11" s="301"/>
      <c r="UST11" s="308"/>
      <c r="USU11" s="301"/>
      <c r="USV11" s="304"/>
      <c r="USW11" s="307"/>
      <c r="USX11" s="308"/>
      <c r="USY11" s="301"/>
      <c r="USZ11" s="308"/>
      <c r="UTA11" s="301"/>
      <c r="UTB11" s="301"/>
      <c r="UTC11" s="302"/>
      <c r="UTD11" s="301"/>
      <c r="UTE11" s="301"/>
      <c r="UTF11" s="302"/>
      <c r="UTG11" s="301"/>
      <c r="UTH11" s="301"/>
      <c r="UTI11" s="311"/>
      <c r="UTJ11" s="301"/>
      <c r="UTK11" s="308"/>
      <c r="UTL11" s="301"/>
      <c r="UTM11" s="304"/>
      <c r="UTN11" s="307"/>
      <c r="UTO11" s="308"/>
      <c r="UTP11" s="301"/>
      <c r="UTQ11" s="308"/>
      <c r="UTR11" s="301"/>
      <c r="UTS11" s="301"/>
      <c r="UTT11" s="302"/>
      <c r="UTU11" s="301"/>
      <c r="UTV11" s="301"/>
      <c r="UTW11" s="302"/>
      <c r="UTX11" s="301"/>
      <c r="UTY11" s="301"/>
      <c r="UTZ11" s="311"/>
      <c r="UUA11" s="301"/>
      <c r="UUB11" s="308"/>
      <c r="UUC11" s="301"/>
      <c r="UUD11" s="304"/>
      <c r="UUE11" s="307"/>
      <c r="UUF11" s="308"/>
      <c r="UUG11" s="301"/>
      <c r="UUH11" s="308"/>
      <c r="UUI11" s="301"/>
      <c r="UUJ11" s="301"/>
      <c r="UUK11" s="302"/>
      <c r="UUL11" s="301"/>
      <c r="UUM11" s="301"/>
      <c r="UUN11" s="302"/>
      <c r="UUO11" s="301"/>
      <c r="UUP11" s="301"/>
      <c r="UUQ11" s="311"/>
      <c r="UUR11" s="301"/>
      <c r="UUS11" s="308"/>
      <c r="UUT11" s="301"/>
      <c r="UUU11" s="304"/>
      <c r="UUV11" s="307"/>
      <c r="UUW11" s="308"/>
      <c r="UUX11" s="301"/>
      <c r="UUY11" s="308"/>
      <c r="UUZ11" s="301"/>
      <c r="UVA11" s="301"/>
      <c r="UVB11" s="302"/>
      <c r="UVC11" s="301"/>
      <c r="UVD11" s="301"/>
      <c r="UVE11" s="302"/>
      <c r="UVF11" s="301"/>
      <c r="UVG11" s="301"/>
      <c r="UVH11" s="311"/>
      <c r="UVI11" s="301"/>
      <c r="UVJ11" s="308"/>
      <c r="UVK11" s="301"/>
      <c r="UVL11" s="304"/>
      <c r="UVM11" s="307"/>
      <c r="UVN11" s="308"/>
      <c r="UVO11" s="301"/>
      <c r="UVP11" s="308"/>
      <c r="UVQ11" s="301"/>
      <c r="UVR11" s="301"/>
      <c r="UVS11" s="302"/>
      <c r="UVT11" s="301"/>
      <c r="UVU11" s="301"/>
      <c r="UVV11" s="302"/>
      <c r="UVW11" s="301"/>
      <c r="UVX11" s="301"/>
      <c r="UVY11" s="311"/>
      <c r="UVZ11" s="301"/>
      <c r="UWA11" s="308"/>
      <c r="UWB11" s="301"/>
      <c r="UWC11" s="304"/>
      <c r="UWD11" s="307"/>
      <c r="UWE11" s="308"/>
      <c r="UWF11" s="301"/>
      <c r="UWG11" s="308"/>
      <c r="UWH11" s="301"/>
      <c r="UWI11" s="301"/>
      <c r="UWJ11" s="302"/>
      <c r="UWK11" s="301"/>
      <c r="UWL11" s="301"/>
      <c r="UWM11" s="302"/>
      <c r="UWN11" s="301"/>
      <c r="UWO11" s="301"/>
      <c r="UWP11" s="311"/>
      <c r="UWQ11" s="301"/>
      <c r="UWR11" s="308"/>
      <c r="UWS11" s="301"/>
      <c r="UWT11" s="304"/>
      <c r="UWU11" s="307"/>
      <c r="UWV11" s="308"/>
      <c r="UWW11" s="301"/>
      <c r="UWX11" s="308"/>
      <c r="UWY11" s="301"/>
      <c r="UWZ11" s="301"/>
      <c r="UXA11" s="302"/>
      <c r="UXB11" s="301"/>
      <c r="UXC11" s="301"/>
      <c r="UXD11" s="302"/>
      <c r="UXE11" s="301"/>
      <c r="UXF11" s="301"/>
      <c r="UXG11" s="311"/>
      <c r="UXH11" s="301"/>
      <c r="UXI11" s="308"/>
      <c r="UXJ11" s="301"/>
      <c r="UXK11" s="304"/>
      <c r="UXL11" s="307"/>
      <c r="UXM11" s="308"/>
      <c r="UXN11" s="301"/>
      <c r="UXO11" s="308"/>
      <c r="UXP11" s="301"/>
      <c r="UXQ11" s="301"/>
      <c r="UXR11" s="302"/>
      <c r="UXS11" s="301"/>
      <c r="UXT11" s="301"/>
      <c r="UXU11" s="302"/>
      <c r="UXV11" s="301"/>
      <c r="UXW11" s="301"/>
      <c r="UXX11" s="311"/>
      <c r="UXY11" s="301"/>
      <c r="UXZ11" s="308"/>
      <c r="UYA11" s="301"/>
      <c r="UYB11" s="304"/>
      <c r="UYC11" s="307"/>
      <c r="UYD11" s="308"/>
      <c r="UYE11" s="301"/>
      <c r="UYF11" s="308"/>
      <c r="UYG11" s="301"/>
      <c r="UYH11" s="301"/>
      <c r="UYI11" s="302"/>
      <c r="UYJ11" s="301"/>
      <c r="UYK11" s="301"/>
      <c r="UYL11" s="302"/>
      <c r="UYM11" s="301"/>
      <c r="UYN11" s="301"/>
      <c r="UYO11" s="311"/>
      <c r="UYP11" s="301"/>
      <c r="UYQ11" s="308"/>
      <c r="UYR11" s="301"/>
      <c r="UYS11" s="304"/>
      <c r="UYT11" s="307"/>
      <c r="UYU11" s="308"/>
      <c r="UYV11" s="301"/>
      <c r="UYW11" s="308"/>
      <c r="UYX11" s="301"/>
      <c r="UYY11" s="301"/>
      <c r="UYZ11" s="302"/>
      <c r="UZA11" s="301"/>
      <c r="UZB11" s="301"/>
      <c r="UZC11" s="302"/>
      <c r="UZD11" s="301"/>
      <c r="UZE11" s="301"/>
      <c r="UZF11" s="311"/>
      <c r="UZG11" s="301"/>
      <c r="UZH11" s="308"/>
      <c r="UZI11" s="301"/>
      <c r="UZJ11" s="304"/>
      <c r="UZK11" s="307"/>
      <c r="UZL11" s="308"/>
      <c r="UZM11" s="301"/>
      <c r="UZN11" s="308"/>
      <c r="UZO11" s="301"/>
      <c r="UZP11" s="301"/>
      <c r="UZQ11" s="302"/>
      <c r="UZR11" s="301"/>
      <c r="UZS11" s="301"/>
      <c r="UZT11" s="302"/>
      <c r="UZU11" s="301"/>
      <c r="UZV11" s="301"/>
      <c r="UZW11" s="311"/>
      <c r="UZX11" s="301"/>
      <c r="UZY11" s="308"/>
      <c r="UZZ11" s="301"/>
      <c r="VAA11" s="304"/>
      <c r="VAB11" s="307"/>
      <c r="VAC11" s="308"/>
      <c r="VAD11" s="301"/>
      <c r="VAE11" s="308"/>
      <c r="VAF11" s="301"/>
      <c r="VAG11" s="301"/>
      <c r="VAH11" s="302"/>
      <c r="VAI11" s="301"/>
      <c r="VAJ11" s="301"/>
      <c r="VAK11" s="302"/>
      <c r="VAL11" s="301"/>
      <c r="VAM11" s="301"/>
      <c r="VAN11" s="311"/>
      <c r="VAO11" s="301"/>
      <c r="VAP11" s="308"/>
      <c r="VAQ11" s="301"/>
      <c r="VAR11" s="304"/>
      <c r="VAS11" s="307"/>
      <c r="VAT11" s="308"/>
      <c r="VAU11" s="301"/>
      <c r="VAV11" s="308"/>
      <c r="VAW11" s="301"/>
      <c r="VAX11" s="301"/>
      <c r="VAY11" s="302"/>
      <c r="VAZ11" s="301"/>
      <c r="VBA11" s="301"/>
      <c r="VBB11" s="302"/>
      <c r="VBC11" s="301"/>
      <c r="VBD11" s="301"/>
      <c r="VBE11" s="311"/>
      <c r="VBF11" s="301"/>
      <c r="VBG11" s="308"/>
      <c r="VBH11" s="301"/>
      <c r="VBI11" s="304"/>
      <c r="VBJ11" s="307"/>
      <c r="VBK11" s="308"/>
      <c r="VBL11" s="301"/>
      <c r="VBM11" s="308"/>
      <c r="VBN11" s="301"/>
      <c r="VBO11" s="301"/>
      <c r="VBP11" s="302"/>
      <c r="VBQ11" s="301"/>
      <c r="VBR11" s="301"/>
      <c r="VBS11" s="302"/>
      <c r="VBT11" s="301"/>
      <c r="VBU11" s="301"/>
      <c r="VBV11" s="311"/>
      <c r="VBW11" s="301"/>
      <c r="VBX11" s="308"/>
      <c r="VBY11" s="301"/>
      <c r="VBZ11" s="304"/>
      <c r="VCA11" s="307"/>
      <c r="VCB11" s="308"/>
      <c r="VCC11" s="301"/>
      <c r="VCD11" s="308"/>
      <c r="VCE11" s="301"/>
      <c r="VCF11" s="301"/>
      <c r="VCG11" s="302"/>
      <c r="VCH11" s="301"/>
      <c r="VCI11" s="301"/>
      <c r="VCJ11" s="302"/>
      <c r="VCK11" s="301"/>
      <c r="VCL11" s="301"/>
      <c r="VCM11" s="311"/>
      <c r="VCN11" s="301"/>
      <c r="VCO11" s="308"/>
      <c r="VCP11" s="301"/>
      <c r="VCQ11" s="304"/>
      <c r="VCR11" s="307"/>
      <c r="VCS11" s="308"/>
      <c r="VCT11" s="301"/>
      <c r="VCU11" s="308"/>
      <c r="VCV11" s="301"/>
      <c r="VCW11" s="301"/>
      <c r="VCX11" s="302"/>
      <c r="VCY11" s="301"/>
      <c r="VCZ11" s="301"/>
      <c r="VDA11" s="302"/>
      <c r="VDB11" s="301"/>
      <c r="VDC11" s="301"/>
      <c r="VDD11" s="311"/>
      <c r="VDE11" s="301"/>
      <c r="VDF11" s="308"/>
      <c r="VDG11" s="301"/>
      <c r="VDH11" s="304"/>
      <c r="VDI11" s="307"/>
      <c r="VDJ11" s="308"/>
      <c r="VDK11" s="301"/>
      <c r="VDL11" s="308"/>
      <c r="VDM11" s="301"/>
      <c r="VDN11" s="301"/>
      <c r="VDO11" s="302"/>
      <c r="VDP11" s="301"/>
      <c r="VDQ11" s="301"/>
      <c r="VDR11" s="302"/>
      <c r="VDS11" s="301"/>
      <c r="VDT11" s="301"/>
      <c r="VDU11" s="311"/>
      <c r="VDV11" s="301"/>
      <c r="VDW11" s="308"/>
      <c r="VDX11" s="301"/>
      <c r="VDY11" s="304"/>
      <c r="VDZ11" s="307"/>
      <c r="VEA11" s="308"/>
      <c r="VEB11" s="301"/>
      <c r="VEC11" s="308"/>
      <c r="VED11" s="301"/>
      <c r="VEE11" s="301"/>
      <c r="VEF11" s="302"/>
      <c r="VEG11" s="301"/>
      <c r="VEH11" s="301"/>
      <c r="VEI11" s="302"/>
      <c r="VEJ11" s="301"/>
      <c r="VEK11" s="301"/>
      <c r="VEL11" s="311"/>
      <c r="VEM11" s="301"/>
      <c r="VEN11" s="308"/>
      <c r="VEO11" s="301"/>
      <c r="VEP11" s="304"/>
      <c r="VEQ11" s="307"/>
      <c r="VER11" s="308"/>
      <c r="VES11" s="301"/>
      <c r="VET11" s="308"/>
      <c r="VEU11" s="301"/>
      <c r="VEV11" s="301"/>
      <c r="VEW11" s="302"/>
      <c r="VEX11" s="301"/>
      <c r="VEY11" s="301"/>
      <c r="VEZ11" s="302"/>
      <c r="VFA11" s="301"/>
      <c r="VFB11" s="301"/>
      <c r="VFC11" s="311"/>
      <c r="VFD11" s="301"/>
      <c r="VFE11" s="308"/>
      <c r="VFF11" s="301"/>
      <c r="VFG11" s="304"/>
      <c r="VFH11" s="307"/>
      <c r="VFI11" s="308"/>
      <c r="VFJ11" s="301"/>
      <c r="VFK11" s="308"/>
      <c r="VFL11" s="301"/>
      <c r="VFM11" s="301"/>
      <c r="VFN11" s="302"/>
      <c r="VFO11" s="301"/>
      <c r="VFP11" s="301"/>
      <c r="VFQ11" s="302"/>
      <c r="VFR11" s="301"/>
      <c r="VFS11" s="301"/>
      <c r="VFT11" s="311"/>
      <c r="VFU11" s="301"/>
      <c r="VFV11" s="308"/>
      <c r="VFW11" s="301"/>
      <c r="VFX11" s="304"/>
      <c r="VFY11" s="307"/>
      <c r="VFZ11" s="308"/>
      <c r="VGA11" s="301"/>
      <c r="VGB11" s="308"/>
      <c r="VGC11" s="301"/>
      <c r="VGD11" s="301"/>
      <c r="VGE11" s="302"/>
      <c r="VGF11" s="301"/>
      <c r="VGG11" s="301"/>
      <c r="VGH11" s="302"/>
      <c r="VGI11" s="301"/>
      <c r="VGJ11" s="301"/>
      <c r="VGK11" s="311"/>
      <c r="VGL11" s="301"/>
      <c r="VGM11" s="308"/>
      <c r="VGN11" s="301"/>
      <c r="VGO11" s="304"/>
      <c r="VGP11" s="307"/>
      <c r="VGQ11" s="308"/>
      <c r="VGR11" s="301"/>
      <c r="VGS11" s="308"/>
      <c r="VGT11" s="301"/>
      <c r="VGU11" s="301"/>
      <c r="VGV11" s="302"/>
      <c r="VGW11" s="301"/>
      <c r="VGX11" s="301"/>
      <c r="VGY11" s="302"/>
      <c r="VGZ11" s="301"/>
      <c r="VHA11" s="301"/>
      <c r="VHB11" s="311"/>
      <c r="VHC11" s="301"/>
      <c r="VHD11" s="308"/>
      <c r="VHE11" s="301"/>
      <c r="VHF11" s="304"/>
      <c r="VHG11" s="307"/>
      <c r="VHH11" s="308"/>
      <c r="VHI11" s="301"/>
      <c r="VHJ11" s="308"/>
      <c r="VHK11" s="301"/>
      <c r="VHL11" s="301"/>
      <c r="VHM11" s="302"/>
      <c r="VHN11" s="301"/>
      <c r="VHO11" s="301"/>
      <c r="VHP11" s="302"/>
      <c r="VHQ11" s="301"/>
      <c r="VHR11" s="301"/>
      <c r="VHS11" s="311"/>
      <c r="VHT11" s="301"/>
      <c r="VHU11" s="308"/>
      <c r="VHV11" s="301"/>
      <c r="VHW11" s="304"/>
      <c r="VHX11" s="307"/>
      <c r="VHY11" s="308"/>
      <c r="VHZ11" s="301"/>
      <c r="VIA11" s="308"/>
      <c r="VIB11" s="301"/>
      <c r="VIC11" s="301"/>
      <c r="VID11" s="302"/>
      <c r="VIE11" s="301"/>
      <c r="VIF11" s="301"/>
      <c r="VIG11" s="302"/>
      <c r="VIH11" s="301"/>
      <c r="VII11" s="301"/>
      <c r="VIJ11" s="311"/>
      <c r="VIK11" s="301"/>
      <c r="VIL11" s="308"/>
      <c r="VIM11" s="301"/>
      <c r="VIN11" s="304"/>
      <c r="VIO11" s="307"/>
      <c r="VIP11" s="308"/>
      <c r="VIQ11" s="301"/>
      <c r="VIR11" s="308"/>
      <c r="VIS11" s="301"/>
      <c r="VIT11" s="301"/>
      <c r="VIU11" s="302"/>
      <c r="VIV11" s="301"/>
      <c r="VIW11" s="301"/>
      <c r="VIX11" s="302"/>
      <c r="VIY11" s="301"/>
      <c r="VIZ11" s="301"/>
      <c r="VJA11" s="311"/>
      <c r="VJB11" s="301"/>
      <c r="VJC11" s="308"/>
      <c r="VJD11" s="301"/>
      <c r="VJE11" s="304"/>
      <c r="VJF11" s="307"/>
      <c r="VJG11" s="308"/>
      <c r="VJH11" s="301"/>
      <c r="VJI11" s="308"/>
      <c r="VJJ11" s="301"/>
      <c r="VJK11" s="301"/>
      <c r="VJL11" s="302"/>
      <c r="VJM11" s="301"/>
      <c r="VJN11" s="301"/>
      <c r="VJO11" s="302"/>
      <c r="VJP11" s="301"/>
      <c r="VJQ11" s="301"/>
      <c r="VJR11" s="311"/>
      <c r="VJS11" s="301"/>
      <c r="VJT11" s="308"/>
      <c r="VJU11" s="301"/>
      <c r="VJV11" s="304"/>
      <c r="VJW11" s="307"/>
      <c r="VJX11" s="308"/>
      <c r="VJY11" s="301"/>
      <c r="VJZ11" s="308"/>
      <c r="VKA11" s="301"/>
      <c r="VKB11" s="301"/>
      <c r="VKC11" s="302"/>
      <c r="VKD11" s="301"/>
      <c r="VKE11" s="301"/>
      <c r="VKF11" s="302"/>
      <c r="VKG11" s="301"/>
      <c r="VKH11" s="301"/>
      <c r="VKI11" s="311"/>
      <c r="VKJ11" s="301"/>
      <c r="VKK11" s="308"/>
      <c r="VKL11" s="301"/>
      <c r="VKM11" s="304"/>
      <c r="VKN11" s="307"/>
      <c r="VKO11" s="308"/>
      <c r="VKP11" s="301"/>
      <c r="VKQ11" s="308"/>
      <c r="VKR11" s="301"/>
      <c r="VKS11" s="301"/>
      <c r="VKT11" s="302"/>
      <c r="VKU11" s="301"/>
      <c r="VKV11" s="301"/>
      <c r="VKW11" s="302"/>
      <c r="VKX11" s="301"/>
      <c r="VKY11" s="301"/>
      <c r="VKZ11" s="311"/>
      <c r="VLA11" s="301"/>
      <c r="VLB11" s="308"/>
      <c r="VLC11" s="301"/>
      <c r="VLD11" s="304"/>
      <c r="VLE11" s="307"/>
      <c r="VLF11" s="308"/>
      <c r="VLG11" s="301"/>
      <c r="VLH11" s="308"/>
      <c r="VLI11" s="301"/>
      <c r="VLJ11" s="301"/>
      <c r="VLK11" s="302"/>
      <c r="VLL11" s="301"/>
      <c r="VLM11" s="301"/>
      <c r="VLN11" s="302"/>
      <c r="VLO11" s="301"/>
      <c r="VLP11" s="301"/>
      <c r="VLQ11" s="311"/>
      <c r="VLR11" s="301"/>
      <c r="VLS11" s="308"/>
      <c r="VLT11" s="301"/>
      <c r="VLU11" s="304"/>
      <c r="VLV11" s="307"/>
      <c r="VLW11" s="308"/>
      <c r="VLX11" s="301"/>
      <c r="VLY11" s="308"/>
      <c r="VLZ11" s="301"/>
      <c r="VMA11" s="301"/>
      <c r="VMB11" s="302"/>
      <c r="VMC11" s="301"/>
      <c r="VMD11" s="301"/>
      <c r="VME11" s="302"/>
      <c r="VMF11" s="301"/>
      <c r="VMG11" s="301"/>
      <c r="VMH11" s="311"/>
      <c r="VMI11" s="301"/>
      <c r="VMJ11" s="308"/>
      <c r="VMK11" s="301"/>
      <c r="VML11" s="304"/>
      <c r="VMM11" s="307"/>
      <c r="VMN11" s="308"/>
      <c r="VMO11" s="301"/>
      <c r="VMP11" s="308"/>
      <c r="VMQ11" s="301"/>
      <c r="VMR11" s="301"/>
      <c r="VMS11" s="302"/>
      <c r="VMT11" s="301"/>
      <c r="VMU11" s="301"/>
      <c r="VMV11" s="302"/>
      <c r="VMW11" s="301"/>
      <c r="VMX11" s="301"/>
      <c r="VMY11" s="311"/>
      <c r="VMZ11" s="301"/>
      <c r="VNA11" s="308"/>
      <c r="VNB11" s="301"/>
      <c r="VNC11" s="304"/>
      <c r="VND11" s="307"/>
      <c r="VNE11" s="308"/>
      <c r="VNF11" s="301"/>
      <c r="VNG11" s="308"/>
      <c r="VNH11" s="301"/>
      <c r="VNI11" s="301"/>
      <c r="VNJ11" s="302"/>
      <c r="VNK11" s="301"/>
      <c r="VNL11" s="301"/>
      <c r="VNM11" s="302"/>
      <c r="VNN11" s="301"/>
      <c r="VNO11" s="301"/>
      <c r="VNP11" s="311"/>
      <c r="VNQ11" s="301"/>
      <c r="VNR11" s="308"/>
      <c r="VNS11" s="301"/>
      <c r="VNT11" s="304"/>
      <c r="VNU11" s="307"/>
      <c r="VNV11" s="308"/>
      <c r="VNW11" s="301"/>
      <c r="VNX11" s="308"/>
      <c r="VNY11" s="301"/>
      <c r="VNZ11" s="301"/>
      <c r="VOA11" s="302"/>
      <c r="VOB11" s="301"/>
      <c r="VOC11" s="301"/>
      <c r="VOD11" s="302"/>
      <c r="VOE11" s="301"/>
      <c r="VOF11" s="301"/>
      <c r="VOG11" s="311"/>
      <c r="VOH11" s="301"/>
      <c r="VOI11" s="308"/>
      <c r="VOJ11" s="301"/>
      <c r="VOK11" s="304"/>
      <c r="VOL11" s="307"/>
      <c r="VOM11" s="308"/>
      <c r="VON11" s="301"/>
      <c r="VOO11" s="308"/>
      <c r="VOP11" s="301"/>
      <c r="VOQ11" s="301"/>
      <c r="VOR11" s="302"/>
      <c r="VOS11" s="301"/>
      <c r="VOT11" s="301"/>
      <c r="VOU11" s="302"/>
      <c r="VOV11" s="301"/>
      <c r="VOW11" s="301"/>
      <c r="VOX11" s="311"/>
      <c r="VOY11" s="301"/>
      <c r="VOZ11" s="308"/>
      <c r="VPA11" s="301"/>
      <c r="VPB11" s="304"/>
      <c r="VPC11" s="307"/>
      <c r="VPD11" s="308"/>
      <c r="VPE11" s="301"/>
      <c r="VPF11" s="308"/>
      <c r="VPG11" s="301"/>
      <c r="VPH11" s="301"/>
      <c r="VPI11" s="302"/>
      <c r="VPJ11" s="301"/>
      <c r="VPK11" s="301"/>
      <c r="VPL11" s="302"/>
      <c r="VPM11" s="301"/>
      <c r="VPN11" s="301"/>
      <c r="VPO11" s="311"/>
      <c r="VPP11" s="301"/>
      <c r="VPQ11" s="308"/>
      <c r="VPR11" s="301"/>
      <c r="VPS11" s="304"/>
      <c r="VPT11" s="307"/>
      <c r="VPU11" s="308"/>
      <c r="VPV11" s="301"/>
      <c r="VPW11" s="308"/>
      <c r="VPX11" s="301"/>
      <c r="VPY11" s="301"/>
      <c r="VPZ11" s="302"/>
      <c r="VQA11" s="301"/>
      <c r="VQB11" s="301"/>
      <c r="VQC11" s="302"/>
      <c r="VQD11" s="301"/>
      <c r="VQE11" s="301"/>
      <c r="VQF11" s="311"/>
      <c r="VQG11" s="301"/>
      <c r="VQH11" s="308"/>
      <c r="VQI11" s="301"/>
      <c r="VQJ11" s="304"/>
      <c r="VQK11" s="307"/>
      <c r="VQL11" s="308"/>
      <c r="VQM11" s="301"/>
      <c r="VQN11" s="308"/>
      <c r="VQO11" s="301"/>
      <c r="VQP11" s="301"/>
      <c r="VQQ11" s="302"/>
      <c r="VQR11" s="301"/>
      <c r="VQS11" s="301"/>
      <c r="VQT11" s="302"/>
      <c r="VQU11" s="301"/>
      <c r="VQV11" s="301"/>
      <c r="VQW11" s="311"/>
      <c r="VQX11" s="301"/>
      <c r="VQY11" s="308"/>
      <c r="VQZ11" s="301"/>
      <c r="VRA11" s="304"/>
      <c r="VRB11" s="307"/>
      <c r="VRC11" s="308"/>
      <c r="VRD11" s="301"/>
      <c r="VRE11" s="308"/>
      <c r="VRF11" s="301"/>
      <c r="VRG11" s="301"/>
      <c r="VRH11" s="302"/>
      <c r="VRI11" s="301"/>
      <c r="VRJ11" s="301"/>
      <c r="VRK11" s="302"/>
      <c r="VRL11" s="301"/>
      <c r="VRM11" s="301"/>
      <c r="VRN11" s="311"/>
      <c r="VRO11" s="301"/>
      <c r="VRP11" s="308"/>
      <c r="VRQ11" s="301"/>
      <c r="VRR11" s="304"/>
      <c r="VRS11" s="307"/>
      <c r="VRT11" s="308"/>
      <c r="VRU11" s="301"/>
      <c r="VRV11" s="308"/>
      <c r="VRW11" s="301"/>
      <c r="VRX11" s="301"/>
      <c r="VRY11" s="302"/>
      <c r="VRZ11" s="301"/>
      <c r="VSA11" s="301"/>
      <c r="VSB11" s="302"/>
      <c r="VSC11" s="301"/>
      <c r="VSD11" s="301"/>
      <c r="VSE11" s="311"/>
      <c r="VSF11" s="301"/>
      <c r="VSG11" s="308"/>
      <c r="VSH11" s="301"/>
      <c r="VSI11" s="304"/>
      <c r="VSJ11" s="307"/>
      <c r="VSK11" s="308"/>
      <c r="VSL11" s="301"/>
      <c r="VSM11" s="308"/>
      <c r="VSN11" s="301"/>
      <c r="VSO11" s="301"/>
      <c r="VSP11" s="302"/>
      <c r="VSQ11" s="301"/>
      <c r="VSR11" s="301"/>
      <c r="VSS11" s="302"/>
      <c r="VST11" s="301"/>
      <c r="VSU11" s="301"/>
      <c r="VSV11" s="311"/>
      <c r="VSW11" s="301"/>
      <c r="VSX11" s="308"/>
      <c r="VSY11" s="301"/>
      <c r="VSZ11" s="304"/>
      <c r="VTA11" s="307"/>
      <c r="VTB11" s="308"/>
      <c r="VTC11" s="301"/>
      <c r="VTD11" s="308"/>
      <c r="VTE11" s="301"/>
      <c r="VTF11" s="301"/>
      <c r="VTG11" s="302"/>
      <c r="VTH11" s="301"/>
      <c r="VTI11" s="301"/>
      <c r="VTJ11" s="302"/>
      <c r="VTK11" s="301"/>
      <c r="VTL11" s="301"/>
      <c r="VTM11" s="311"/>
      <c r="VTN11" s="301"/>
      <c r="VTO11" s="308"/>
      <c r="VTP11" s="301"/>
      <c r="VTQ11" s="304"/>
      <c r="VTR11" s="307"/>
      <c r="VTS11" s="308"/>
      <c r="VTT11" s="301"/>
      <c r="VTU11" s="308"/>
      <c r="VTV11" s="301"/>
      <c r="VTW11" s="301"/>
      <c r="VTX11" s="302"/>
      <c r="VTY11" s="301"/>
      <c r="VTZ11" s="301"/>
      <c r="VUA11" s="302"/>
      <c r="VUB11" s="301"/>
      <c r="VUC11" s="301"/>
      <c r="VUD11" s="311"/>
      <c r="VUE11" s="301"/>
      <c r="VUF11" s="308"/>
      <c r="VUG11" s="301"/>
      <c r="VUH11" s="304"/>
      <c r="VUI11" s="307"/>
      <c r="VUJ11" s="308"/>
      <c r="VUK11" s="301"/>
      <c r="VUL11" s="308"/>
      <c r="VUM11" s="301"/>
      <c r="VUN11" s="301"/>
      <c r="VUO11" s="302"/>
      <c r="VUP11" s="301"/>
      <c r="VUQ11" s="301"/>
      <c r="VUR11" s="302"/>
      <c r="VUS11" s="301"/>
      <c r="VUT11" s="301"/>
      <c r="VUU11" s="311"/>
      <c r="VUV11" s="301"/>
      <c r="VUW11" s="308"/>
      <c r="VUX11" s="301"/>
      <c r="VUY11" s="304"/>
      <c r="VUZ11" s="307"/>
      <c r="VVA11" s="308"/>
      <c r="VVB11" s="301"/>
      <c r="VVC11" s="308"/>
      <c r="VVD11" s="301"/>
      <c r="VVE11" s="301"/>
      <c r="VVF11" s="302"/>
      <c r="VVG11" s="301"/>
      <c r="VVH11" s="301"/>
      <c r="VVI11" s="302"/>
      <c r="VVJ11" s="301"/>
      <c r="VVK11" s="301"/>
      <c r="VVL11" s="311"/>
      <c r="VVM11" s="301"/>
      <c r="VVN11" s="308"/>
      <c r="VVO11" s="301"/>
      <c r="VVP11" s="304"/>
      <c r="VVQ11" s="307"/>
      <c r="VVR11" s="308"/>
      <c r="VVS11" s="301"/>
      <c r="VVT11" s="308"/>
      <c r="VVU11" s="301"/>
      <c r="VVV11" s="301"/>
      <c r="VVW11" s="302"/>
      <c r="VVX11" s="301"/>
      <c r="VVY11" s="301"/>
      <c r="VVZ11" s="302"/>
      <c r="VWA11" s="301"/>
      <c r="VWB11" s="301"/>
      <c r="VWC11" s="311"/>
      <c r="VWD11" s="301"/>
      <c r="VWE11" s="308"/>
      <c r="VWF11" s="301"/>
      <c r="VWG11" s="304"/>
      <c r="VWH11" s="307"/>
      <c r="VWI11" s="308"/>
      <c r="VWJ11" s="301"/>
      <c r="VWK11" s="308"/>
      <c r="VWL11" s="301"/>
      <c r="VWM11" s="301"/>
      <c r="VWN11" s="302"/>
      <c r="VWO11" s="301"/>
      <c r="VWP11" s="301"/>
      <c r="VWQ11" s="302"/>
      <c r="VWR11" s="301"/>
      <c r="VWS11" s="301"/>
      <c r="VWT11" s="311"/>
      <c r="VWU11" s="301"/>
      <c r="VWV11" s="308"/>
      <c r="VWW11" s="301"/>
      <c r="VWX11" s="304"/>
      <c r="VWY11" s="307"/>
      <c r="VWZ11" s="308"/>
      <c r="VXA11" s="301"/>
      <c r="VXB11" s="308"/>
      <c r="VXC11" s="301"/>
      <c r="VXD11" s="301"/>
      <c r="VXE11" s="302"/>
      <c r="VXF11" s="301"/>
      <c r="VXG11" s="301"/>
      <c r="VXH11" s="302"/>
      <c r="VXI11" s="301"/>
      <c r="VXJ11" s="301"/>
      <c r="VXK11" s="311"/>
      <c r="VXL11" s="301"/>
      <c r="VXM11" s="308"/>
      <c r="VXN11" s="301"/>
      <c r="VXO11" s="304"/>
      <c r="VXP11" s="307"/>
      <c r="VXQ11" s="308"/>
      <c r="VXR11" s="301"/>
      <c r="VXS11" s="308"/>
      <c r="VXT11" s="301"/>
      <c r="VXU11" s="301"/>
      <c r="VXV11" s="302"/>
      <c r="VXW11" s="301"/>
      <c r="VXX11" s="301"/>
      <c r="VXY11" s="302"/>
      <c r="VXZ11" s="301"/>
      <c r="VYA11" s="301"/>
      <c r="VYB11" s="311"/>
      <c r="VYC11" s="301"/>
      <c r="VYD11" s="308"/>
      <c r="VYE11" s="301"/>
      <c r="VYF11" s="304"/>
      <c r="VYG11" s="307"/>
      <c r="VYH11" s="308"/>
      <c r="VYI11" s="301"/>
      <c r="VYJ11" s="308"/>
      <c r="VYK11" s="301"/>
      <c r="VYL11" s="301"/>
      <c r="VYM11" s="302"/>
      <c r="VYN11" s="301"/>
      <c r="VYO11" s="301"/>
      <c r="VYP11" s="302"/>
      <c r="VYQ11" s="301"/>
      <c r="VYR11" s="301"/>
      <c r="VYS11" s="311"/>
      <c r="VYT11" s="301"/>
      <c r="VYU11" s="308"/>
      <c r="VYV11" s="301"/>
      <c r="VYW11" s="304"/>
      <c r="VYX11" s="307"/>
      <c r="VYY11" s="308"/>
      <c r="VYZ11" s="301"/>
      <c r="VZA11" s="308"/>
      <c r="VZB11" s="301"/>
      <c r="VZC11" s="301"/>
      <c r="VZD11" s="302"/>
      <c r="VZE11" s="301"/>
      <c r="VZF11" s="301"/>
      <c r="VZG11" s="302"/>
      <c r="VZH11" s="301"/>
      <c r="VZI11" s="301"/>
      <c r="VZJ11" s="311"/>
      <c r="VZK11" s="301"/>
      <c r="VZL11" s="308"/>
      <c r="VZM11" s="301"/>
      <c r="VZN11" s="304"/>
      <c r="VZO11" s="307"/>
      <c r="VZP11" s="308"/>
      <c r="VZQ11" s="301"/>
      <c r="VZR11" s="308"/>
      <c r="VZS11" s="301"/>
      <c r="VZT11" s="301"/>
      <c r="VZU11" s="302"/>
      <c r="VZV11" s="301"/>
      <c r="VZW11" s="301"/>
      <c r="VZX11" s="302"/>
      <c r="VZY11" s="301"/>
      <c r="VZZ11" s="301"/>
      <c r="WAA11" s="311"/>
      <c r="WAB11" s="301"/>
      <c r="WAC11" s="308"/>
      <c r="WAD11" s="301"/>
      <c r="WAE11" s="304"/>
      <c r="WAF11" s="307"/>
      <c r="WAG11" s="308"/>
      <c r="WAH11" s="301"/>
      <c r="WAI11" s="308"/>
      <c r="WAJ11" s="301"/>
      <c r="WAK11" s="301"/>
      <c r="WAL11" s="302"/>
      <c r="WAM11" s="301"/>
      <c r="WAN11" s="301"/>
      <c r="WAO11" s="302"/>
      <c r="WAP11" s="301"/>
      <c r="WAQ11" s="301"/>
      <c r="WAR11" s="311"/>
      <c r="WAS11" s="301"/>
      <c r="WAT11" s="308"/>
      <c r="WAU11" s="301"/>
      <c r="WAV11" s="304"/>
      <c r="WAW11" s="307"/>
      <c r="WAX11" s="308"/>
      <c r="WAY11" s="301"/>
      <c r="WAZ11" s="308"/>
      <c r="WBA11" s="301"/>
      <c r="WBB11" s="301"/>
      <c r="WBC11" s="302"/>
      <c r="WBD11" s="301"/>
      <c r="WBE11" s="301"/>
      <c r="WBF11" s="302"/>
      <c r="WBG11" s="301"/>
      <c r="WBH11" s="301"/>
      <c r="WBI11" s="311"/>
      <c r="WBJ11" s="301"/>
      <c r="WBK11" s="308"/>
      <c r="WBL11" s="301"/>
      <c r="WBM11" s="304"/>
      <c r="WBN11" s="307"/>
      <c r="WBO11" s="308"/>
      <c r="WBP11" s="301"/>
      <c r="WBQ11" s="308"/>
      <c r="WBR11" s="301"/>
      <c r="WBS11" s="301"/>
      <c r="WBT11" s="302"/>
      <c r="WBU11" s="301"/>
      <c r="WBV11" s="301"/>
      <c r="WBW11" s="302"/>
      <c r="WBX11" s="301"/>
      <c r="WBY11" s="301"/>
      <c r="WBZ11" s="311"/>
      <c r="WCA11" s="301"/>
      <c r="WCB11" s="308"/>
      <c r="WCC11" s="301"/>
      <c r="WCD11" s="304"/>
      <c r="WCE11" s="307"/>
      <c r="WCF11" s="308"/>
      <c r="WCG11" s="301"/>
      <c r="WCH11" s="308"/>
      <c r="WCI11" s="301"/>
      <c r="WCJ11" s="301"/>
      <c r="WCK11" s="302"/>
      <c r="WCL11" s="301"/>
      <c r="WCM11" s="301"/>
      <c r="WCN11" s="302"/>
      <c r="WCO11" s="301"/>
      <c r="WCP11" s="301"/>
      <c r="WCQ11" s="311"/>
      <c r="WCR11" s="301"/>
      <c r="WCS11" s="308"/>
      <c r="WCT11" s="301"/>
      <c r="WCU11" s="304"/>
      <c r="WCV11" s="307"/>
      <c r="WCW11" s="308"/>
      <c r="WCX11" s="301"/>
      <c r="WCY11" s="308"/>
      <c r="WCZ11" s="301"/>
      <c r="WDA11" s="301"/>
      <c r="WDB11" s="302"/>
      <c r="WDC11" s="301"/>
      <c r="WDD11" s="301"/>
      <c r="WDE11" s="302"/>
      <c r="WDF11" s="301"/>
      <c r="WDG11" s="301"/>
      <c r="WDH11" s="311"/>
      <c r="WDI11" s="301"/>
      <c r="WDJ11" s="308"/>
      <c r="WDK11" s="301"/>
      <c r="WDL11" s="304"/>
      <c r="WDM11" s="307"/>
      <c r="WDN11" s="308"/>
      <c r="WDO11" s="301"/>
      <c r="WDP11" s="308"/>
      <c r="WDQ11" s="301"/>
      <c r="WDR11" s="301"/>
      <c r="WDS11" s="302"/>
      <c r="WDT11" s="301"/>
      <c r="WDU11" s="301"/>
      <c r="WDV11" s="302"/>
      <c r="WDW11" s="301"/>
      <c r="WDX11" s="301"/>
      <c r="WDY11" s="311"/>
      <c r="WDZ11" s="301"/>
      <c r="WEA11" s="308"/>
      <c r="WEB11" s="301"/>
      <c r="WEC11" s="304"/>
      <c r="WED11" s="307"/>
      <c r="WEE11" s="308"/>
      <c r="WEF11" s="301"/>
      <c r="WEG11" s="308"/>
      <c r="WEH11" s="301"/>
      <c r="WEI11" s="301"/>
      <c r="WEJ11" s="302"/>
      <c r="WEK11" s="301"/>
      <c r="WEL11" s="301"/>
      <c r="WEM11" s="302"/>
      <c r="WEN11" s="301"/>
      <c r="WEO11" s="301"/>
      <c r="WEP11" s="311"/>
      <c r="WEQ11" s="301"/>
      <c r="WER11" s="308"/>
      <c r="WES11" s="301"/>
      <c r="WET11" s="304"/>
      <c r="WEU11" s="307"/>
      <c r="WEV11" s="308"/>
      <c r="WEW11" s="301"/>
      <c r="WEX11" s="308"/>
      <c r="WEY11" s="301"/>
      <c r="WEZ11" s="301"/>
      <c r="WFA11" s="302"/>
      <c r="WFB11" s="301"/>
      <c r="WFC11" s="301"/>
      <c r="WFD11" s="302"/>
      <c r="WFE11" s="301"/>
      <c r="WFF11" s="301"/>
      <c r="WFG11" s="311"/>
      <c r="WFH11" s="301"/>
      <c r="WFI11" s="308"/>
      <c r="WFJ11" s="301"/>
      <c r="WFK11" s="304"/>
      <c r="WFL11" s="307"/>
      <c r="WFM11" s="308"/>
      <c r="WFN11" s="301"/>
      <c r="WFO11" s="308"/>
      <c r="WFP11" s="301"/>
      <c r="WFQ11" s="301"/>
      <c r="WFR11" s="302"/>
      <c r="WFS11" s="301"/>
      <c r="WFT11" s="301"/>
      <c r="WFU11" s="302"/>
      <c r="WFV11" s="301"/>
      <c r="WFW11" s="301"/>
      <c r="WFX11" s="311"/>
      <c r="WFY11" s="301"/>
      <c r="WFZ11" s="308"/>
      <c r="WGA11" s="301"/>
      <c r="WGB11" s="304"/>
      <c r="WGC11" s="307"/>
      <c r="WGD11" s="308"/>
      <c r="WGE11" s="301"/>
      <c r="WGF11" s="308"/>
      <c r="WGG11" s="301"/>
      <c r="WGH11" s="301"/>
      <c r="WGI11" s="302"/>
      <c r="WGJ11" s="301"/>
      <c r="WGK11" s="301"/>
      <c r="WGL11" s="302"/>
      <c r="WGM11" s="301"/>
      <c r="WGN11" s="301"/>
      <c r="WGO11" s="311"/>
      <c r="WGP11" s="301"/>
      <c r="WGQ11" s="308"/>
      <c r="WGR11" s="301"/>
      <c r="WGS11" s="304"/>
      <c r="WGT11" s="307"/>
      <c r="WGU11" s="308"/>
      <c r="WGV11" s="301"/>
      <c r="WGW11" s="308"/>
      <c r="WGX11" s="301"/>
      <c r="WGY11" s="301"/>
      <c r="WGZ11" s="302"/>
      <c r="WHA11" s="301"/>
      <c r="WHB11" s="301"/>
      <c r="WHC11" s="302"/>
      <c r="WHD11" s="301"/>
      <c r="WHE11" s="301"/>
      <c r="WHF11" s="311"/>
      <c r="WHG11" s="301"/>
      <c r="WHH11" s="308"/>
      <c r="WHI11" s="301"/>
      <c r="WHJ11" s="304"/>
      <c r="WHK11" s="307"/>
      <c r="WHL11" s="308"/>
      <c r="WHM11" s="301"/>
      <c r="WHN11" s="308"/>
      <c r="WHO11" s="301"/>
      <c r="WHP11" s="301"/>
      <c r="WHQ11" s="302"/>
      <c r="WHR11" s="301"/>
      <c r="WHS11" s="301"/>
      <c r="WHT11" s="302"/>
      <c r="WHU11" s="301"/>
      <c r="WHV11" s="301"/>
      <c r="WHW11" s="311"/>
      <c r="WHX11" s="301"/>
      <c r="WHY11" s="308"/>
      <c r="WHZ11" s="301"/>
      <c r="WIA11" s="304"/>
      <c r="WIB11" s="307"/>
      <c r="WIC11" s="308"/>
      <c r="WID11" s="301"/>
      <c r="WIE11" s="308"/>
      <c r="WIF11" s="301"/>
      <c r="WIG11" s="301"/>
      <c r="WIH11" s="302"/>
      <c r="WII11" s="301"/>
      <c r="WIJ11" s="301"/>
      <c r="WIK11" s="302"/>
      <c r="WIL11" s="301"/>
      <c r="WIM11" s="301"/>
      <c r="WIN11" s="311"/>
      <c r="WIO11" s="301"/>
      <c r="WIP11" s="308"/>
      <c r="WIQ11" s="301"/>
      <c r="WIR11" s="304"/>
      <c r="WIS11" s="307"/>
      <c r="WIT11" s="308"/>
      <c r="WIU11" s="301"/>
      <c r="WIV11" s="308"/>
      <c r="WIW11" s="301"/>
      <c r="WIX11" s="301"/>
      <c r="WIY11" s="302"/>
      <c r="WIZ11" s="301"/>
      <c r="WJA11" s="301"/>
      <c r="WJB11" s="302"/>
      <c r="WJC11" s="301"/>
      <c r="WJD11" s="301"/>
      <c r="WJE11" s="311"/>
      <c r="WJF11" s="301"/>
      <c r="WJG11" s="308"/>
      <c r="WJH11" s="301"/>
      <c r="WJI11" s="304"/>
      <c r="WJJ11" s="307"/>
      <c r="WJK11" s="308"/>
      <c r="WJL11" s="301"/>
      <c r="WJM11" s="308"/>
      <c r="WJN11" s="301"/>
      <c r="WJO11" s="301"/>
      <c r="WJP11" s="302"/>
      <c r="WJQ11" s="301"/>
      <c r="WJR11" s="301"/>
      <c r="WJS11" s="302"/>
      <c r="WJT11" s="301"/>
      <c r="WJU11" s="301"/>
      <c r="WJV11" s="311"/>
      <c r="WJW11" s="301"/>
      <c r="WJX11" s="308"/>
      <c r="WJY11" s="301"/>
      <c r="WJZ11" s="304"/>
      <c r="WKA11" s="307"/>
      <c r="WKB11" s="308"/>
      <c r="WKC11" s="301"/>
      <c r="WKD11" s="308"/>
      <c r="WKE11" s="301"/>
      <c r="WKF11" s="301"/>
      <c r="WKG11" s="302"/>
      <c r="WKH11" s="301"/>
      <c r="WKI11" s="301"/>
      <c r="WKJ11" s="302"/>
      <c r="WKK11" s="301"/>
      <c r="WKL11" s="301"/>
      <c r="WKM11" s="311"/>
      <c r="WKN11" s="301"/>
      <c r="WKO11" s="308"/>
      <c r="WKP11" s="301"/>
      <c r="WKQ11" s="304"/>
      <c r="WKR11" s="307"/>
      <c r="WKS11" s="308"/>
      <c r="WKT11" s="301"/>
      <c r="WKU11" s="308"/>
      <c r="WKV11" s="301"/>
      <c r="WKW11" s="301"/>
      <c r="WKX11" s="302"/>
      <c r="WKY11" s="301"/>
      <c r="WKZ11" s="301"/>
      <c r="WLA11" s="302"/>
      <c r="WLB11" s="301"/>
      <c r="WLC11" s="301"/>
      <c r="WLD11" s="311"/>
      <c r="WLE11" s="301"/>
      <c r="WLF11" s="308"/>
      <c r="WLG11" s="301"/>
      <c r="WLH11" s="304"/>
      <c r="WLI11" s="307"/>
      <c r="WLJ11" s="308"/>
      <c r="WLK11" s="301"/>
      <c r="WLL11" s="308"/>
      <c r="WLM11" s="301"/>
      <c r="WLN11" s="301"/>
      <c r="WLO11" s="302"/>
      <c r="WLP11" s="301"/>
      <c r="WLQ11" s="301"/>
      <c r="WLR11" s="302"/>
      <c r="WLS11" s="301"/>
      <c r="WLT11" s="301"/>
      <c r="WLU11" s="311"/>
      <c r="WLV11" s="301"/>
      <c r="WLW11" s="308"/>
      <c r="WLX11" s="301"/>
      <c r="WLY11" s="304"/>
      <c r="WLZ11" s="307"/>
      <c r="WMA11" s="308"/>
      <c r="WMB11" s="301"/>
      <c r="WMC11" s="308"/>
      <c r="WMD11" s="301"/>
      <c r="WME11" s="301"/>
      <c r="WMF11" s="302"/>
      <c r="WMG11" s="301"/>
      <c r="WMH11" s="301"/>
      <c r="WMI11" s="302"/>
      <c r="WMJ11" s="301"/>
      <c r="WMK11" s="301"/>
      <c r="WML11" s="311"/>
      <c r="WMM11" s="301"/>
      <c r="WMN11" s="308"/>
      <c r="WMO11" s="301"/>
      <c r="WMP11" s="304"/>
      <c r="WMQ11" s="307"/>
      <c r="WMR11" s="308"/>
      <c r="WMS11" s="301"/>
      <c r="WMT11" s="308"/>
      <c r="WMU11" s="301"/>
      <c r="WMV11" s="301"/>
      <c r="WMW11" s="302"/>
      <c r="WMX11" s="301"/>
      <c r="WMY11" s="301"/>
      <c r="WMZ11" s="302"/>
      <c r="WNA11" s="301"/>
      <c r="WNB11" s="301"/>
      <c r="WNC11" s="311"/>
      <c r="WND11" s="301"/>
      <c r="WNE11" s="308"/>
      <c r="WNF11" s="301"/>
      <c r="WNG11" s="304"/>
      <c r="WNH11" s="307"/>
      <c r="WNI11" s="308"/>
      <c r="WNJ11" s="301"/>
      <c r="WNK11" s="308"/>
      <c r="WNL11" s="301"/>
      <c r="WNM11" s="301"/>
      <c r="WNN11" s="302"/>
      <c r="WNO11" s="301"/>
      <c r="WNP11" s="301"/>
      <c r="WNQ11" s="302"/>
      <c r="WNR11" s="301"/>
      <c r="WNS11" s="301"/>
      <c r="WNT11" s="311"/>
      <c r="WNU11" s="301"/>
      <c r="WNV11" s="308"/>
      <c r="WNW11" s="301"/>
      <c r="WNX11" s="304"/>
      <c r="WNY11" s="307"/>
      <c r="WNZ11" s="308"/>
      <c r="WOA11" s="301"/>
      <c r="WOB11" s="308"/>
      <c r="WOC11" s="301"/>
      <c r="WOD11" s="301"/>
      <c r="WOE11" s="302"/>
      <c r="WOF11" s="301"/>
      <c r="WOG11" s="301"/>
      <c r="WOH11" s="302"/>
      <c r="WOI11" s="301"/>
      <c r="WOJ11" s="301"/>
      <c r="WOK11" s="311"/>
      <c r="WOL11" s="301"/>
      <c r="WOM11" s="308"/>
      <c r="WON11" s="301"/>
      <c r="WOO11" s="304"/>
      <c r="WOP11" s="307"/>
      <c r="WOQ11" s="308"/>
      <c r="WOR11" s="301"/>
      <c r="WOS11" s="308"/>
      <c r="WOT11" s="301"/>
      <c r="WOU11" s="301"/>
      <c r="WOV11" s="302"/>
      <c r="WOW11" s="301"/>
      <c r="WOX11" s="301"/>
      <c r="WOY11" s="302"/>
      <c r="WOZ11" s="301"/>
      <c r="WPA11" s="301"/>
      <c r="WPB11" s="311"/>
      <c r="WPC11" s="301"/>
      <c r="WPD11" s="308"/>
      <c r="WPE11" s="301"/>
      <c r="WPF11" s="304"/>
      <c r="WPG11" s="307"/>
      <c r="WPH11" s="308"/>
      <c r="WPI11" s="301"/>
      <c r="WPJ11" s="308"/>
      <c r="WPK11" s="301"/>
      <c r="WPL11" s="301"/>
      <c r="WPM11" s="302"/>
      <c r="WPN11" s="301"/>
      <c r="WPO11" s="301"/>
      <c r="WPP11" s="302"/>
      <c r="WPQ11" s="301"/>
      <c r="WPR11" s="301"/>
      <c r="WPS11" s="311"/>
      <c r="WPT11" s="301"/>
      <c r="WPU11" s="308"/>
      <c r="WPV11" s="301"/>
      <c r="WPW11" s="304"/>
      <c r="WPX11" s="307"/>
      <c r="WPY11" s="308"/>
      <c r="WPZ11" s="301"/>
      <c r="WQA11" s="308"/>
      <c r="WQB11" s="301"/>
      <c r="WQC11" s="301"/>
      <c r="WQD11" s="302"/>
      <c r="WQE11" s="301"/>
      <c r="WQF11" s="301"/>
      <c r="WQG11" s="302"/>
      <c r="WQH11" s="301"/>
      <c r="WQI11" s="301"/>
      <c r="WQJ11" s="311"/>
      <c r="WQK11" s="301"/>
      <c r="WQL11" s="308"/>
      <c r="WQM11" s="301"/>
      <c r="WQN11" s="304"/>
      <c r="WQO11" s="307"/>
      <c r="WQP11" s="308"/>
      <c r="WQQ11" s="301"/>
      <c r="WQR11" s="308"/>
      <c r="WQS11" s="301"/>
      <c r="WQT11" s="301"/>
      <c r="WQU11" s="302"/>
      <c r="WQV11" s="301"/>
      <c r="WQW11" s="301"/>
      <c r="WQX11" s="302"/>
      <c r="WQY11" s="301"/>
      <c r="WQZ11" s="301"/>
      <c r="WRA11" s="311"/>
      <c r="WRB11" s="301"/>
      <c r="WRC11" s="308"/>
      <c r="WRD11" s="301"/>
      <c r="WRE11" s="304"/>
      <c r="WRF11" s="307"/>
      <c r="WRG11" s="308"/>
      <c r="WRH11" s="301"/>
      <c r="WRI11" s="308"/>
      <c r="WRJ11" s="301"/>
      <c r="WRK11" s="301"/>
      <c r="WRL11" s="302"/>
      <c r="WRM11" s="301"/>
      <c r="WRN11" s="301"/>
      <c r="WRO11" s="302"/>
      <c r="WRP11" s="301"/>
      <c r="WRQ11" s="301"/>
      <c r="WRR11" s="311"/>
      <c r="WRS11" s="301"/>
      <c r="WRT11" s="308"/>
      <c r="WRU11" s="301"/>
      <c r="WRV11" s="304"/>
      <c r="WRW11" s="307"/>
      <c r="WRX11" s="308"/>
      <c r="WRY11" s="301"/>
      <c r="WRZ11" s="308"/>
      <c r="WSA11" s="301"/>
      <c r="WSB11" s="301"/>
      <c r="WSC11" s="302"/>
      <c r="WSD11" s="301"/>
      <c r="WSE11" s="301"/>
      <c r="WSF11" s="302"/>
      <c r="WSG11" s="301"/>
      <c r="WSH11" s="301"/>
      <c r="WSI11" s="311"/>
      <c r="WSJ11" s="301"/>
      <c r="WSK11" s="308"/>
      <c r="WSL11" s="301"/>
      <c r="WSM11" s="304"/>
      <c r="WSN11" s="307"/>
      <c r="WSO11" s="308"/>
      <c r="WSP11" s="301"/>
      <c r="WSQ11" s="308"/>
      <c r="WSR11" s="301"/>
      <c r="WSS11" s="301"/>
      <c r="WST11" s="302"/>
      <c r="WSU11" s="301"/>
      <c r="WSV11" s="301"/>
      <c r="WSW11" s="302"/>
      <c r="WSX11" s="301"/>
      <c r="WSY11" s="301"/>
      <c r="WSZ11" s="311"/>
      <c r="WTA11" s="301"/>
      <c r="WTB11" s="308"/>
      <c r="WTC11" s="301"/>
      <c r="WTD11" s="304"/>
      <c r="WTE11" s="307"/>
      <c r="WTF11" s="308"/>
      <c r="WTG11" s="301"/>
      <c r="WTH11" s="308"/>
      <c r="WTI11" s="301"/>
      <c r="WTJ11" s="301"/>
      <c r="WTK11" s="302"/>
      <c r="WTL11" s="301"/>
      <c r="WTM11" s="301"/>
      <c r="WTN11" s="302"/>
      <c r="WTO11" s="301"/>
      <c r="WTP11" s="301"/>
      <c r="WTQ11" s="311"/>
      <c r="WTR11" s="301"/>
      <c r="WTS11" s="308"/>
      <c r="WTT11" s="301"/>
      <c r="WTU11" s="304"/>
      <c r="WTV11" s="307"/>
      <c r="WTW11" s="308"/>
      <c r="WTX11" s="301"/>
      <c r="WTY11" s="308"/>
      <c r="WTZ11" s="301"/>
      <c r="WUA11" s="301"/>
      <c r="WUB11" s="302"/>
      <c r="WUC11" s="301"/>
      <c r="WUD11" s="301"/>
      <c r="WUE11" s="302"/>
      <c r="WUF11" s="301"/>
      <c r="WUG11" s="301"/>
      <c r="WUH11" s="311"/>
      <c r="WUI11" s="301"/>
      <c r="WUJ11" s="308"/>
      <c r="WUK11" s="301"/>
      <c r="WUL11" s="304"/>
      <c r="WUM11" s="307"/>
      <c r="WUN11" s="308"/>
      <c r="WUO11" s="301"/>
      <c r="WUP11" s="308"/>
      <c r="WUQ11" s="301"/>
      <c r="WUR11" s="301"/>
      <c r="WUS11" s="302"/>
      <c r="WUT11" s="301"/>
      <c r="WUU11" s="301"/>
      <c r="WUV11" s="302"/>
      <c r="WUW11" s="301"/>
      <c r="WUX11" s="301"/>
      <c r="WUY11" s="311"/>
      <c r="WUZ11" s="301"/>
      <c r="WVA11" s="308"/>
      <c r="WVB11" s="301"/>
      <c r="WVC11" s="304"/>
      <c r="WVD11" s="307"/>
      <c r="WVE11" s="308"/>
      <c r="WVF11" s="301"/>
      <c r="WVG11" s="308"/>
      <c r="WVH11" s="301"/>
      <c r="WVI11" s="301"/>
      <c r="WVJ11" s="302"/>
      <c r="WVK11" s="301"/>
      <c r="WVL11" s="301"/>
      <c r="WVM11" s="302"/>
      <c r="WVN11" s="301"/>
      <c r="WVO11" s="301"/>
      <c r="WVP11" s="311"/>
      <c r="WVQ11" s="301"/>
      <c r="WVR11" s="308"/>
      <c r="WVS11" s="301"/>
      <c r="WVT11" s="304"/>
      <c r="WVU11" s="307"/>
      <c r="WVV11" s="308"/>
      <c r="WVW11" s="301"/>
      <c r="WVX11" s="308"/>
      <c r="WVY11" s="301"/>
      <c r="WVZ11" s="301"/>
      <c r="WWA11" s="302"/>
      <c r="WWB11" s="301"/>
      <c r="WWC11" s="301"/>
      <c r="WWD11" s="302"/>
      <c r="WWE11" s="301"/>
      <c r="WWF11" s="301"/>
      <c r="WWG11" s="311"/>
      <c r="WWH11" s="301"/>
      <c r="WWI11" s="308"/>
      <c r="WWJ11" s="301"/>
      <c r="WWK11" s="304"/>
      <c r="WWL11" s="307"/>
      <c r="WWM11" s="308"/>
      <c r="WWN11" s="301"/>
      <c r="WWO11" s="308"/>
      <c r="WWP11" s="301"/>
      <c r="WWQ11" s="301"/>
      <c r="WWR11" s="302"/>
      <c r="WWS11" s="301"/>
      <c r="WWT11" s="301"/>
      <c r="WWU11" s="302"/>
      <c r="WWV11" s="301"/>
      <c r="WWW11" s="301"/>
      <c r="WWX11" s="311"/>
      <c r="WWY11" s="301"/>
      <c r="WWZ11" s="308"/>
      <c r="WXA11" s="301"/>
      <c r="WXB11" s="304"/>
      <c r="WXC11" s="307"/>
      <c r="WXD11" s="308"/>
      <c r="WXE11" s="301"/>
      <c r="WXF11" s="308"/>
      <c r="WXG11" s="301"/>
      <c r="WXH11" s="301"/>
      <c r="WXI11" s="302"/>
      <c r="WXJ11" s="301"/>
      <c r="WXK11" s="301"/>
      <c r="WXL11" s="302"/>
      <c r="WXM11" s="301"/>
      <c r="WXN11" s="301"/>
      <c r="WXO11" s="311"/>
      <c r="WXP11" s="301"/>
      <c r="WXQ11" s="308"/>
      <c r="WXR11" s="301"/>
      <c r="WXS11" s="304"/>
      <c r="WXT11" s="307"/>
      <c r="WXU11" s="308"/>
      <c r="WXV11" s="301"/>
      <c r="WXW11" s="308"/>
      <c r="WXX11" s="301"/>
      <c r="WXY11" s="301"/>
      <c r="WXZ11" s="302"/>
      <c r="WYA11" s="301"/>
      <c r="WYB11" s="301"/>
      <c r="WYC11" s="302"/>
      <c r="WYD11" s="301"/>
      <c r="WYE11" s="301"/>
      <c r="WYF11" s="311"/>
      <c r="WYG11" s="301"/>
      <c r="WYH11" s="308"/>
      <c r="WYI11" s="301"/>
      <c r="WYJ11" s="304"/>
      <c r="WYK11" s="307"/>
      <c r="WYL11" s="308"/>
      <c r="WYM11" s="301"/>
      <c r="WYN11" s="308"/>
      <c r="WYO11" s="301"/>
      <c r="WYP11" s="301"/>
      <c r="WYQ11" s="302"/>
      <c r="WYR11" s="301"/>
      <c r="WYS11" s="301"/>
      <c r="WYT11" s="302"/>
      <c r="WYU11" s="301"/>
      <c r="WYV11" s="301"/>
      <c r="WYW11" s="311"/>
      <c r="WYX11" s="301"/>
      <c r="WYY11" s="308"/>
      <c r="WYZ11" s="301"/>
      <c r="WZA11" s="304"/>
      <c r="WZB11" s="307"/>
      <c r="WZC11" s="308"/>
      <c r="WZD11" s="301"/>
      <c r="WZE11" s="308"/>
      <c r="WZF11" s="301"/>
      <c r="WZG11" s="301"/>
      <c r="WZH11" s="302"/>
      <c r="WZI11" s="301"/>
      <c r="WZJ11" s="301"/>
      <c r="WZK11" s="302"/>
      <c r="WZL11" s="301"/>
      <c r="WZM11" s="301"/>
      <c r="WZN11" s="311"/>
      <c r="WZO11" s="301"/>
      <c r="WZP11" s="308"/>
      <c r="WZQ11" s="301"/>
      <c r="WZR11" s="304"/>
      <c r="WZS11" s="307"/>
      <c r="WZT11" s="308"/>
      <c r="WZU11" s="301"/>
      <c r="WZV11" s="308"/>
      <c r="WZW11" s="301"/>
      <c r="WZX11" s="301"/>
      <c r="WZY11" s="302"/>
      <c r="WZZ11" s="301"/>
      <c r="XAA11" s="301"/>
      <c r="XAB11" s="302"/>
      <c r="XAC11" s="301"/>
      <c r="XAD11" s="301"/>
      <c r="XAE11" s="311"/>
      <c r="XAF11" s="301"/>
      <c r="XAG11" s="308"/>
      <c r="XAH11" s="301"/>
      <c r="XAI11" s="304"/>
      <c r="XAJ11" s="307"/>
      <c r="XAK11" s="308"/>
      <c r="XAL11" s="301"/>
      <c r="XAM11" s="308"/>
      <c r="XAN11" s="301"/>
      <c r="XAO11" s="301"/>
      <c r="XAP11" s="302"/>
      <c r="XAQ11" s="301"/>
      <c r="XAR11" s="301"/>
      <c r="XAS11" s="302"/>
      <c r="XAT11" s="301"/>
      <c r="XAU11" s="301"/>
      <c r="XAV11" s="311"/>
      <c r="XAW11" s="301"/>
      <c r="XAX11" s="308"/>
      <c r="XAY11" s="301"/>
      <c r="XAZ11" s="304"/>
      <c r="XBA11" s="307"/>
      <c r="XBB11" s="308"/>
      <c r="XBC11" s="301"/>
      <c r="XBD11" s="308"/>
      <c r="XBE11" s="301"/>
      <c r="XBF11" s="301"/>
      <c r="XBG11" s="302"/>
      <c r="XBH11" s="301"/>
      <c r="XBI11" s="301"/>
      <c r="XBJ11" s="302"/>
      <c r="XBK11" s="301"/>
      <c r="XBL11" s="301"/>
      <c r="XBM11" s="311"/>
      <c r="XBN11" s="301"/>
      <c r="XBO11" s="308"/>
      <c r="XBP11" s="301"/>
      <c r="XBQ11" s="304"/>
      <c r="XBR11" s="307"/>
      <c r="XBS11" s="308"/>
      <c r="XBT11" s="301"/>
      <c r="XBU11" s="308"/>
      <c r="XBV11" s="301"/>
      <c r="XBW11" s="301"/>
      <c r="XBX11" s="302"/>
      <c r="XBY11" s="301"/>
      <c r="XBZ11" s="301"/>
      <c r="XCA11" s="302"/>
      <c r="XCB11" s="301"/>
      <c r="XCC11" s="301"/>
      <c r="XCD11" s="311"/>
      <c r="XCE11" s="301"/>
      <c r="XCF11" s="308"/>
      <c r="XCG11" s="301"/>
      <c r="XCH11" s="304"/>
      <c r="XCI11" s="307"/>
      <c r="XCJ11" s="308"/>
      <c r="XCK11" s="301"/>
      <c r="XCL11" s="308"/>
      <c r="XCM11" s="301"/>
      <c r="XCN11" s="301"/>
      <c r="XCO11" s="302"/>
      <c r="XCP11" s="301"/>
      <c r="XCQ11" s="301"/>
      <c r="XCR11" s="302"/>
      <c r="XCS11" s="301"/>
      <c r="XCT11" s="301"/>
      <c r="XCU11" s="311"/>
      <c r="XCV11" s="301"/>
      <c r="XCW11" s="308"/>
      <c r="XCX11" s="301"/>
      <c r="XCY11" s="304"/>
      <c r="XCZ11" s="307"/>
      <c r="XDA11" s="308"/>
      <c r="XDB11" s="301"/>
      <c r="XDC11" s="308"/>
      <c r="XDD11" s="301"/>
      <c r="XDE11" s="301"/>
      <c r="XDF11" s="302"/>
      <c r="XDG11" s="301"/>
      <c r="XDH11" s="301"/>
      <c r="XDI11" s="302"/>
      <c r="XDJ11" s="301"/>
      <c r="XDK11" s="301"/>
      <c r="XDL11" s="311"/>
      <c r="XDM11" s="301"/>
      <c r="XDN11" s="308"/>
      <c r="XDO11" s="301"/>
      <c r="XDP11" s="304"/>
      <c r="XDQ11" s="307"/>
      <c r="XDR11" s="308"/>
      <c r="XDS11" s="301"/>
      <c r="XDT11" s="308"/>
      <c r="XDU11" s="301"/>
      <c r="XDV11" s="301"/>
      <c r="XDW11" s="302"/>
      <c r="XDX11" s="301"/>
      <c r="XDY11" s="301"/>
      <c r="XDZ11" s="302"/>
      <c r="XEA11" s="301"/>
      <c r="XEB11" s="301"/>
      <c r="XEC11" s="311"/>
      <c r="XED11" s="301"/>
      <c r="XEE11" s="308"/>
      <c r="XEF11" s="301"/>
      <c r="XEG11" s="304"/>
      <c r="XEH11" s="307"/>
      <c r="XEI11" s="308"/>
      <c r="XEJ11" s="301"/>
      <c r="XEK11" s="308"/>
      <c r="XEL11" s="301"/>
      <c r="XEM11" s="301"/>
      <c r="XEN11" s="302"/>
      <c r="XEO11" s="301"/>
      <c r="XEP11" s="301"/>
      <c r="XEQ11" s="302"/>
      <c r="XER11" s="301"/>
      <c r="XES11" s="301"/>
    </row>
    <row r="12" spans="1:16373" ht="62.25" customHeight="1">
      <c r="A12" s="305"/>
      <c r="B12" s="77" t="s">
        <v>79</v>
      </c>
      <c r="C12" s="96" t="s">
        <v>73</v>
      </c>
      <c r="D12" s="24" t="s">
        <v>80</v>
      </c>
      <c r="E12" s="24">
        <v>46.47</v>
      </c>
      <c r="F12" s="24" t="s">
        <v>81</v>
      </c>
      <c r="G12" s="24">
        <v>10.87</v>
      </c>
      <c r="H12" s="24" t="s">
        <v>81</v>
      </c>
      <c r="I12" s="24">
        <v>9.1999999999999993</v>
      </c>
      <c r="J12" s="24" t="s">
        <v>82</v>
      </c>
      <c r="K12" s="24">
        <v>9.1999999999999993</v>
      </c>
      <c r="L12" s="24" t="s">
        <v>83</v>
      </c>
      <c r="M12" s="24">
        <v>22.67</v>
      </c>
      <c r="N12" s="300"/>
      <c r="O12" s="301"/>
      <c r="P12" s="301"/>
      <c r="Q12" s="301"/>
      <c r="R12" s="301"/>
      <c r="S12" s="301"/>
      <c r="T12" s="312"/>
      <c r="U12" s="301"/>
      <c r="V12" s="309"/>
      <c r="W12" s="301"/>
      <c r="X12" s="306"/>
      <c r="Y12" s="301"/>
      <c r="Z12" s="309"/>
      <c r="AA12" s="301"/>
      <c r="AB12" s="309"/>
      <c r="AC12" s="301"/>
      <c r="AD12" s="301"/>
      <c r="AE12" s="301"/>
      <c r="AF12" s="301"/>
      <c r="AG12" s="301"/>
      <c r="AH12" s="301"/>
      <c r="AI12" s="301"/>
      <c r="AJ12" s="301"/>
      <c r="AK12" s="312"/>
      <c r="AL12" s="301"/>
      <c r="AM12" s="309"/>
      <c r="AN12" s="301"/>
      <c r="AO12" s="306"/>
      <c r="AP12" s="301"/>
      <c r="AQ12" s="309"/>
      <c r="AR12" s="301"/>
      <c r="AS12" s="309"/>
      <c r="AT12" s="301"/>
      <c r="AU12" s="301"/>
      <c r="AV12" s="301"/>
      <c r="AW12" s="301"/>
      <c r="AX12" s="301"/>
      <c r="AY12" s="301"/>
      <c r="AZ12" s="301"/>
      <c r="BA12" s="301"/>
      <c r="BB12" s="312"/>
      <c r="BC12" s="301"/>
      <c r="BD12" s="309"/>
      <c r="BE12" s="301"/>
      <c r="BF12" s="306"/>
      <c r="BG12" s="301"/>
      <c r="BH12" s="309"/>
      <c r="BI12" s="301"/>
      <c r="BJ12" s="309"/>
      <c r="BK12" s="301"/>
      <c r="BL12" s="301"/>
      <c r="BM12" s="301"/>
      <c r="BN12" s="301"/>
      <c r="BO12" s="301"/>
      <c r="BP12" s="301"/>
      <c r="BQ12" s="301"/>
      <c r="BR12" s="301"/>
      <c r="BS12" s="312"/>
      <c r="BT12" s="301"/>
      <c r="BU12" s="309"/>
      <c r="BV12" s="301"/>
      <c r="BW12" s="306"/>
      <c r="BX12" s="301"/>
      <c r="BY12" s="309"/>
      <c r="BZ12" s="301"/>
      <c r="CA12" s="309"/>
      <c r="CB12" s="301"/>
      <c r="CC12" s="301"/>
      <c r="CD12" s="301"/>
      <c r="CE12" s="301"/>
      <c r="CF12" s="301"/>
      <c r="CG12" s="301"/>
      <c r="CH12" s="301"/>
      <c r="CI12" s="301"/>
      <c r="CJ12" s="312"/>
      <c r="CK12" s="301"/>
      <c r="CL12" s="309"/>
      <c r="CM12" s="301"/>
      <c r="CN12" s="306"/>
      <c r="CO12" s="301"/>
      <c r="CP12" s="309"/>
      <c r="CQ12" s="301"/>
      <c r="CR12" s="309"/>
      <c r="CS12" s="301"/>
      <c r="CT12" s="301"/>
      <c r="CU12" s="301"/>
      <c r="CV12" s="301"/>
      <c r="CW12" s="301"/>
      <c r="CX12" s="301"/>
      <c r="CY12" s="301"/>
      <c r="CZ12" s="301"/>
      <c r="DA12" s="312"/>
      <c r="DB12" s="301"/>
      <c r="DC12" s="309"/>
      <c r="DD12" s="301"/>
      <c r="DE12" s="306"/>
      <c r="DF12" s="301"/>
      <c r="DG12" s="309"/>
      <c r="DH12" s="301"/>
      <c r="DI12" s="309"/>
      <c r="DJ12" s="301"/>
      <c r="DK12" s="301"/>
      <c r="DL12" s="301"/>
      <c r="DM12" s="301"/>
      <c r="DN12" s="301"/>
      <c r="DO12" s="301"/>
      <c r="DP12" s="301"/>
      <c r="DQ12" s="301"/>
      <c r="DR12" s="312"/>
      <c r="DS12" s="301"/>
      <c r="DT12" s="309"/>
      <c r="DU12" s="301"/>
      <c r="DV12" s="306"/>
      <c r="DW12" s="301"/>
      <c r="DX12" s="309"/>
      <c r="DY12" s="301"/>
      <c r="DZ12" s="309"/>
      <c r="EA12" s="301"/>
      <c r="EB12" s="301"/>
      <c r="EC12" s="301"/>
      <c r="ED12" s="301"/>
      <c r="EE12" s="301"/>
      <c r="EF12" s="301"/>
      <c r="EG12" s="301"/>
      <c r="EH12" s="301"/>
      <c r="EI12" s="312"/>
      <c r="EJ12" s="301"/>
      <c r="EK12" s="309"/>
      <c r="EL12" s="301"/>
      <c r="EM12" s="306"/>
      <c r="EN12" s="301"/>
      <c r="EO12" s="309"/>
      <c r="EP12" s="301"/>
      <c r="EQ12" s="309"/>
      <c r="ER12" s="301"/>
      <c r="ES12" s="301"/>
      <c r="ET12" s="301"/>
      <c r="EU12" s="301"/>
      <c r="EV12" s="301"/>
      <c r="EW12" s="301"/>
      <c r="EX12" s="301"/>
      <c r="EY12" s="301"/>
      <c r="EZ12" s="312"/>
      <c r="FA12" s="301"/>
      <c r="FB12" s="309"/>
      <c r="FC12" s="301"/>
      <c r="FD12" s="306"/>
      <c r="FE12" s="301"/>
      <c r="FF12" s="309"/>
      <c r="FG12" s="301"/>
      <c r="FH12" s="309"/>
      <c r="FI12" s="301"/>
      <c r="FJ12" s="301"/>
      <c r="FK12" s="301"/>
      <c r="FL12" s="301"/>
      <c r="FM12" s="301"/>
      <c r="FN12" s="301"/>
      <c r="FO12" s="301"/>
      <c r="FP12" s="301"/>
      <c r="FQ12" s="312"/>
      <c r="FR12" s="301"/>
      <c r="FS12" s="309"/>
      <c r="FT12" s="301"/>
      <c r="FU12" s="306"/>
      <c r="FV12" s="301"/>
      <c r="FW12" s="309"/>
      <c r="FX12" s="301"/>
      <c r="FY12" s="309"/>
      <c r="FZ12" s="301"/>
      <c r="GA12" s="301"/>
      <c r="GB12" s="301"/>
      <c r="GC12" s="301"/>
      <c r="GD12" s="301"/>
      <c r="GE12" s="301"/>
      <c r="GF12" s="301"/>
      <c r="GG12" s="301"/>
      <c r="GH12" s="312"/>
      <c r="GI12" s="301"/>
      <c r="GJ12" s="309"/>
      <c r="GK12" s="301"/>
      <c r="GL12" s="306"/>
      <c r="GM12" s="301"/>
      <c r="GN12" s="309"/>
      <c r="GO12" s="301"/>
      <c r="GP12" s="309"/>
      <c r="GQ12" s="301"/>
      <c r="GR12" s="301"/>
      <c r="GS12" s="301"/>
      <c r="GT12" s="301"/>
      <c r="GU12" s="301"/>
      <c r="GV12" s="301"/>
      <c r="GW12" s="301"/>
      <c r="GX12" s="301"/>
      <c r="GY12" s="312"/>
      <c r="GZ12" s="301"/>
      <c r="HA12" s="309"/>
      <c r="HB12" s="301"/>
      <c r="HC12" s="306"/>
      <c r="HD12" s="301"/>
      <c r="HE12" s="309"/>
      <c r="HF12" s="301"/>
      <c r="HG12" s="309"/>
      <c r="HH12" s="301"/>
      <c r="HI12" s="301"/>
      <c r="HJ12" s="301"/>
      <c r="HK12" s="301"/>
      <c r="HL12" s="301"/>
      <c r="HM12" s="301"/>
      <c r="HN12" s="301"/>
      <c r="HO12" s="301"/>
      <c r="HP12" s="312"/>
      <c r="HQ12" s="301"/>
      <c r="HR12" s="309"/>
      <c r="HS12" s="301"/>
      <c r="HT12" s="306"/>
      <c r="HU12" s="301"/>
      <c r="HV12" s="309"/>
      <c r="HW12" s="301"/>
      <c r="HX12" s="309"/>
      <c r="HY12" s="301"/>
      <c r="HZ12" s="301"/>
      <c r="IA12" s="301"/>
      <c r="IB12" s="301"/>
      <c r="IC12" s="301"/>
      <c r="ID12" s="301"/>
      <c r="IE12" s="301"/>
      <c r="IF12" s="301"/>
      <c r="IG12" s="312"/>
      <c r="IH12" s="301"/>
      <c r="II12" s="309"/>
      <c r="IJ12" s="301"/>
      <c r="IK12" s="306"/>
      <c r="IL12" s="301"/>
      <c r="IM12" s="309"/>
      <c r="IN12" s="301"/>
      <c r="IO12" s="309"/>
      <c r="IP12" s="301"/>
      <c r="IQ12" s="301"/>
      <c r="IR12" s="301"/>
      <c r="IS12" s="301"/>
      <c r="IT12" s="301"/>
      <c r="IU12" s="301"/>
      <c r="IV12" s="301"/>
      <c r="IW12" s="301"/>
      <c r="IX12" s="312"/>
      <c r="IY12" s="301"/>
      <c r="IZ12" s="309"/>
      <c r="JA12" s="301"/>
      <c r="JB12" s="306"/>
      <c r="JC12" s="301"/>
      <c r="JD12" s="309"/>
      <c r="JE12" s="301"/>
      <c r="JF12" s="309"/>
      <c r="JG12" s="301"/>
      <c r="JH12" s="301"/>
      <c r="JI12" s="301"/>
      <c r="JJ12" s="301"/>
      <c r="JK12" s="301"/>
      <c r="JL12" s="301"/>
      <c r="JM12" s="301"/>
      <c r="JN12" s="301"/>
      <c r="JO12" s="312"/>
      <c r="JP12" s="301"/>
      <c r="JQ12" s="309"/>
      <c r="JR12" s="301"/>
      <c r="JS12" s="306"/>
      <c r="JT12" s="301"/>
      <c r="JU12" s="309"/>
      <c r="JV12" s="301"/>
      <c r="JW12" s="309"/>
      <c r="JX12" s="301"/>
      <c r="JY12" s="301"/>
      <c r="JZ12" s="301"/>
      <c r="KA12" s="301"/>
      <c r="KB12" s="301"/>
      <c r="KC12" s="301"/>
      <c r="KD12" s="301"/>
      <c r="KE12" s="301"/>
      <c r="KF12" s="312"/>
      <c r="KG12" s="301"/>
      <c r="KH12" s="309"/>
      <c r="KI12" s="301"/>
      <c r="KJ12" s="306"/>
      <c r="KK12" s="301"/>
      <c r="KL12" s="309"/>
      <c r="KM12" s="301"/>
      <c r="KN12" s="309"/>
      <c r="KO12" s="301"/>
      <c r="KP12" s="301"/>
      <c r="KQ12" s="301"/>
      <c r="KR12" s="301"/>
      <c r="KS12" s="301"/>
      <c r="KT12" s="301"/>
      <c r="KU12" s="301"/>
      <c r="KV12" s="301"/>
      <c r="KW12" s="312"/>
      <c r="KX12" s="301"/>
      <c r="KY12" s="309"/>
      <c r="KZ12" s="301"/>
      <c r="LA12" s="306"/>
      <c r="LB12" s="301"/>
      <c r="LC12" s="309"/>
      <c r="LD12" s="301"/>
      <c r="LE12" s="309"/>
      <c r="LF12" s="301"/>
      <c r="LG12" s="301"/>
      <c r="LH12" s="301"/>
      <c r="LI12" s="301"/>
      <c r="LJ12" s="301"/>
      <c r="LK12" s="301"/>
      <c r="LL12" s="301"/>
      <c r="LM12" s="301"/>
      <c r="LN12" s="312"/>
      <c r="LO12" s="301"/>
      <c r="LP12" s="309"/>
      <c r="LQ12" s="301"/>
      <c r="LR12" s="306"/>
      <c r="LS12" s="301"/>
      <c r="LT12" s="309"/>
      <c r="LU12" s="301"/>
      <c r="LV12" s="309"/>
      <c r="LW12" s="301"/>
      <c r="LX12" s="301"/>
      <c r="LY12" s="301"/>
      <c r="LZ12" s="301"/>
      <c r="MA12" s="301"/>
      <c r="MB12" s="301"/>
      <c r="MC12" s="301"/>
      <c r="MD12" s="301"/>
      <c r="ME12" s="312"/>
      <c r="MF12" s="301"/>
      <c r="MG12" s="309"/>
      <c r="MH12" s="301"/>
      <c r="MI12" s="306"/>
      <c r="MJ12" s="301"/>
      <c r="MK12" s="309"/>
      <c r="ML12" s="301"/>
      <c r="MM12" s="309"/>
      <c r="MN12" s="301"/>
      <c r="MO12" s="301"/>
      <c r="MP12" s="301"/>
      <c r="MQ12" s="301"/>
      <c r="MR12" s="301"/>
      <c r="MS12" s="301"/>
      <c r="MT12" s="301"/>
      <c r="MU12" s="301"/>
      <c r="MV12" s="312"/>
      <c r="MW12" s="301"/>
      <c r="MX12" s="309"/>
      <c r="MY12" s="301"/>
      <c r="MZ12" s="306"/>
      <c r="NA12" s="301"/>
      <c r="NB12" s="309"/>
      <c r="NC12" s="301"/>
      <c r="ND12" s="309"/>
      <c r="NE12" s="301"/>
      <c r="NF12" s="301"/>
      <c r="NG12" s="301"/>
      <c r="NH12" s="301"/>
      <c r="NI12" s="301"/>
      <c r="NJ12" s="301"/>
      <c r="NK12" s="301"/>
      <c r="NL12" s="301"/>
      <c r="NM12" s="312"/>
      <c r="NN12" s="301"/>
      <c r="NO12" s="309"/>
      <c r="NP12" s="301"/>
      <c r="NQ12" s="306"/>
      <c r="NR12" s="301"/>
      <c r="NS12" s="309"/>
      <c r="NT12" s="301"/>
      <c r="NU12" s="309"/>
      <c r="NV12" s="301"/>
      <c r="NW12" s="301"/>
      <c r="NX12" s="301"/>
      <c r="NY12" s="301"/>
      <c r="NZ12" s="301"/>
      <c r="OA12" s="301"/>
      <c r="OB12" s="301"/>
      <c r="OC12" s="301"/>
      <c r="OD12" s="312"/>
      <c r="OE12" s="301"/>
      <c r="OF12" s="309"/>
      <c r="OG12" s="301"/>
      <c r="OH12" s="306"/>
      <c r="OI12" s="301"/>
      <c r="OJ12" s="309"/>
      <c r="OK12" s="301"/>
      <c r="OL12" s="309"/>
      <c r="OM12" s="301"/>
      <c r="ON12" s="301"/>
      <c r="OO12" s="301"/>
      <c r="OP12" s="301"/>
      <c r="OQ12" s="301"/>
      <c r="OR12" s="301"/>
      <c r="OS12" s="301"/>
      <c r="OT12" s="301"/>
      <c r="OU12" s="312"/>
      <c r="OV12" s="301"/>
      <c r="OW12" s="309"/>
      <c r="OX12" s="301"/>
      <c r="OY12" s="306"/>
      <c r="OZ12" s="301"/>
      <c r="PA12" s="309"/>
      <c r="PB12" s="301"/>
      <c r="PC12" s="309"/>
      <c r="PD12" s="301"/>
      <c r="PE12" s="301"/>
      <c r="PF12" s="301"/>
      <c r="PG12" s="301"/>
      <c r="PH12" s="301"/>
      <c r="PI12" s="301"/>
      <c r="PJ12" s="301"/>
      <c r="PK12" s="301"/>
      <c r="PL12" s="312"/>
      <c r="PM12" s="301"/>
      <c r="PN12" s="309"/>
      <c r="PO12" s="301"/>
      <c r="PP12" s="306"/>
      <c r="PQ12" s="301"/>
      <c r="PR12" s="309"/>
      <c r="PS12" s="301"/>
      <c r="PT12" s="309"/>
      <c r="PU12" s="301"/>
      <c r="PV12" s="301"/>
      <c r="PW12" s="301"/>
      <c r="PX12" s="301"/>
      <c r="PY12" s="301"/>
      <c r="PZ12" s="301"/>
      <c r="QA12" s="301"/>
      <c r="QB12" s="301"/>
      <c r="QC12" s="312"/>
      <c r="QD12" s="301"/>
      <c r="QE12" s="309"/>
      <c r="QF12" s="301"/>
      <c r="QG12" s="306"/>
      <c r="QH12" s="301"/>
      <c r="QI12" s="309"/>
      <c r="QJ12" s="301"/>
      <c r="QK12" s="309"/>
      <c r="QL12" s="301"/>
      <c r="QM12" s="301"/>
      <c r="QN12" s="301"/>
      <c r="QO12" s="301"/>
      <c r="QP12" s="301"/>
      <c r="QQ12" s="301"/>
      <c r="QR12" s="301"/>
      <c r="QS12" s="301"/>
      <c r="QT12" s="312"/>
      <c r="QU12" s="301"/>
      <c r="QV12" s="309"/>
      <c r="QW12" s="301"/>
      <c r="QX12" s="306"/>
      <c r="QY12" s="301"/>
      <c r="QZ12" s="309"/>
      <c r="RA12" s="301"/>
      <c r="RB12" s="309"/>
      <c r="RC12" s="301"/>
      <c r="RD12" s="301"/>
      <c r="RE12" s="301"/>
      <c r="RF12" s="301"/>
      <c r="RG12" s="301"/>
      <c r="RH12" s="301"/>
      <c r="RI12" s="301"/>
      <c r="RJ12" s="301"/>
      <c r="RK12" s="312"/>
      <c r="RL12" s="301"/>
      <c r="RM12" s="309"/>
      <c r="RN12" s="301"/>
      <c r="RO12" s="306"/>
      <c r="RP12" s="301"/>
      <c r="RQ12" s="309"/>
      <c r="RR12" s="301"/>
      <c r="RS12" s="309"/>
      <c r="RT12" s="301"/>
      <c r="RU12" s="301"/>
      <c r="RV12" s="301"/>
      <c r="RW12" s="301"/>
      <c r="RX12" s="301"/>
      <c r="RY12" s="301"/>
      <c r="RZ12" s="301"/>
      <c r="SA12" s="301"/>
      <c r="SB12" s="312"/>
      <c r="SC12" s="301"/>
      <c r="SD12" s="309"/>
      <c r="SE12" s="301"/>
      <c r="SF12" s="306"/>
      <c r="SG12" s="301"/>
      <c r="SH12" s="309"/>
      <c r="SI12" s="301"/>
      <c r="SJ12" s="309"/>
      <c r="SK12" s="301"/>
      <c r="SL12" s="301"/>
      <c r="SM12" s="301"/>
      <c r="SN12" s="301"/>
      <c r="SO12" s="301"/>
      <c r="SP12" s="301"/>
      <c r="SQ12" s="301"/>
      <c r="SR12" s="301"/>
      <c r="SS12" s="312"/>
      <c r="ST12" s="301"/>
      <c r="SU12" s="309"/>
      <c r="SV12" s="301"/>
      <c r="SW12" s="306"/>
      <c r="SX12" s="301"/>
      <c r="SY12" s="309"/>
      <c r="SZ12" s="301"/>
      <c r="TA12" s="309"/>
      <c r="TB12" s="301"/>
      <c r="TC12" s="301"/>
      <c r="TD12" s="301"/>
      <c r="TE12" s="301"/>
      <c r="TF12" s="301"/>
      <c r="TG12" s="301"/>
      <c r="TH12" s="301"/>
      <c r="TI12" s="301"/>
      <c r="TJ12" s="312"/>
      <c r="TK12" s="301"/>
      <c r="TL12" s="309"/>
      <c r="TM12" s="301"/>
      <c r="TN12" s="306"/>
      <c r="TO12" s="301"/>
      <c r="TP12" s="309"/>
      <c r="TQ12" s="301"/>
      <c r="TR12" s="309"/>
      <c r="TS12" s="301"/>
      <c r="TT12" s="301"/>
      <c r="TU12" s="301"/>
      <c r="TV12" s="301"/>
      <c r="TW12" s="301"/>
      <c r="TX12" s="301"/>
      <c r="TY12" s="301"/>
      <c r="TZ12" s="301"/>
      <c r="UA12" s="312"/>
      <c r="UB12" s="301"/>
      <c r="UC12" s="309"/>
      <c r="UD12" s="301"/>
      <c r="UE12" s="306"/>
      <c r="UF12" s="301"/>
      <c r="UG12" s="309"/>
      <c r="UH12" s="301"/>
      <c r="UI12" s="309"/>
      <c r="UJ12" s="301"/>
      <c r="UK12" s="301"/>
      <c r="UL12" s="301"/>
      <c r="UM12" s="301"/>
      <c r="UN12" s="301"/>
      <c r="UO12" s="301"/>
      <c r="UP12" s="301"/>
      <c r="UQ12" s="301"/>
      <c r="UR12" s="312"/>
      <c r="US12" s="301"/>
      <c r="UT12" s="309"/>
      <c r="UU12" s="301"/>
      <c r="UV12" s="306"/>
      <c r="UW12" s="301"/>
      <c r="UX12" s="309"/>
      <c r="UY12" s="301"/>
      <c r="UZ12" s="309"/>
      <c r="VA12" s="301"/>
      <c r="VB12" s="301"/>
      <c r="VC12" s="301"/>
      <c r="VD12" s="301"/>
      <c r="VE12" s="301"/>
      <c r="VF12" s="301"/>
      <c r="VG12" s="301"/>
      <c r="VH12" s="301"/>
      <c r="VI12" s="312"/>
      <c r="VJ12" s="301"/>
      <c r="VK12" s="309"/>
      <c r="VL12" s="301"/>
      <c r="VM12" s="306"/>
      <c r="VN12" s="301"/>
      <c r="VO12" s="309"/>
      <c r="VP12" s="301"/>
      <c r="VQ12" s="309"/>
      <c r="VR12" s="301"/>
      <c r="VS12" s="301"/>
      <c r="VT12" s="301"/>
      <c r="VU12" s="301"/>
      <c r="VV12" s="301"/>
      <c r="VW12" s="301"/>
      <c r="VX12" s="301"/>
      <c r="VY12" s="301"/>
      <c r="VZ12" s="312"/>
      <c r="WA12" s="301"/>
      <c r="WB12" s="309"/>
      <c r="WC12" s="301"/>
      <c r="WD12" s="306"/>
      <c r="WE12" s="301"/>
      <c r="WF12" s="309"/>
      <c r="WG12" s="301"/>
      <c r="WH12" s="309"/>
      <c r="WI12" s="301"/>
      <c r="WJ12" s="301"/>
      <c r="WK12" s="301"/>
      <c r="WL12" s="301"/>
      <c r="WM12" s="301"/>
      <c r="WN12" s="301"/>
      <c r="WO12" s="301"/>
      <c r="WP12" s="301"/>
      <c r="WQ12" s="312"/>
      <c r="WR12" s="301"/>
      <c r="WS12" s="309"/>
      <c r="WT12" s="301"/>
      <c r="WU12" s="306"/>
      <c r="WV12" s="301"/>
      <c r="WW12" s="309"/>
      <c r="WX12" s="301"/>
      <c r="WY12" s="309"/>
      <c r="WZ12" s="301"/>
      <c r="XA12" s="301"/>
      <c r="XB12" s="301"/>
      <c r="XC12" s="301"/>
      <c r="XD12" s="301"/>
      <c r="XE12" s="301"/>
      <c r="XF12" s="301"/>
      <c r="XG12" s="301"/>
      <c r="XH12" s="312"/>
      <c r="XI12" s="301"/>
      <c r="XJ12" s="309"/>
      <c r="XK12" s="301"/>
      <c r="XL12" s="306"/>
      <c r="XM12" s="301"/>
      <c r="XN12" s="309"/>
      <c r="XO12" s="301"/>
      <c r="XP12" s="309"/>
      <c r="XQ12" s="301"/>
      <c r="XR12" s="301"/>
      <c r="XS12" s="301"/>
      <c r="XT12" s="301"/>
      <c r="XU12" s="301"/>
      <c r="XV12" s="301"/>
      <c r="XW12" s="301"/>
      <c r="XX12" s="301"/>
      <c r="XY12" s="312"/>
      <c r="XZ12" s="301"/>
      <c r="YA12" s="309"/>
      <c r="YB12" s="301"/>
      <c r="YC12" s="306"/>
      <c r="YD12" s="301"/>
      <c r="YE12" s="309"/>
      <c r="YF12" s="301"/>
      <c r="YG12" s="309"/>
      <c r="YH12" s="301"/>
      <c r="YI12" s="301"/>
      <c r="YJ12" s="301"/>
      <c r="YK12" s="301"/>
      <c r="YL12" s="301"/>
      <c r="YM12" s="301"/>
      <c r="YN12" s="301"/>
      <c r="YO12" s="301"/>
      <c r="YP12" s="312"/>
      <c r="YQ12" s="301"/>
      <c r="YR12" s="309"/>
      <c r="YS12" s="301"/>
      <c r="YT12" s="306"/>
      <c r="YU12" s="301"/>
      <c r="YV12" s="309"/>
      <c r="YW12" s="301"/>
      <c r="YX12" s="309"/>
      <c r="YY12" s="301"/>
      <c r="YZ12" s="301"/>
      <c r="ZA12" s="301"/>
      <c r="ZB12" s="301"/>
      <c r="ZC12" s="301"/>
      <c r="ZD12" s="301"/>
      <c r="ZE12" s="301"/>
      <c r="ZF12" s="301"/>
      <c r="ZG12" s="312"/>
      <c r="ZH12" s="301"/>
      <c r="ZI12" s="309"/>
      <c r="ZJ12" s="301"/>
      <c r="ZK12" s="306"/>
      <c r="ZL12" s="301"/>
      <c r="ZM12" s="309"/>
      <c r="ZN12" s="301"/>
      <c r="ZO12" s="309"/>
      <c r="ZP12" s="301"/>
      <c r="ZQ12" s="301"/>
      <c r="ZR12" s="301"/>
      <c r="ZS12" s="301"/>
      <c r="ZT12" s="301"/>
      <c r="ZU12" s="301"/>
      <c r="ZV12" s="301"/>
      <c r="ZW12" s="301"/>
      <c r="ZX12" s="312"/>
      <c r="ZY12" s="301"/>
      <c r="ZZ12" s="309"/>
      <c r="AAA12" s="301"/>
      <c r="AAB12" s="306"/>
      <c r="AAC12" s="301"/>
      <c r="AAD12" s="309"/>
      <c r="AAE12" s="301"/>
      <c r="AAF12" s="309"/>
      <c r="AAG12" s="301"/>
      <c r="AAH12" s="301"/>
      <c r="AAI12" s="301"/>
      <c r="AAJ12" s="301"/>
      <c r="AAK12" s="301"/>
      <c r="AAL12" s="301"/>
      <c r="AAM12" s="301"/>
      <c r="AAN12" s="301"/>
      <c r="AAO12" s="312"/>
      <c r="AAP12" s="301"/>
      <c r="AAQ12" s="309"/>
      <c r="AAR12" s="301"/>
      <c r="AAS12" s="306"/>
      <c r="AAT12" s="301"/>
      <c r="AAU12" s="309"/>
      <c r="AAV12" s="301"/>
      <c r="AAW12" s="309"/>
      <c r="AAX12" s="301"/>
      <c r="AAY12" s="301"/>
      <c r="AAZ12" s="301"/>
      <c r="ABA12" s="301"/>
      <c r="ABB12" s="301"/>
      <c r="ABC12" s="301"/>
      <c r="ABD12" s="301"/>
      <c r="ABE12" s="301"/>
      <c r="ABF12" s="312"/>
      <c r="ABG12" s="301"/>
      <c r="ABH12" s="309"/>
      <c r="ABI12" s="301"/>
      <c r="ABJ12" s="306"/>
      <c r="ABK12" s="301"/>
      <c r="ABL12" s="309"/>
      <c r="ABM12" s="301"/>
      <c r="ABN12" s="309"/>
      <c r="ABO12" s="301"/>
      <c r="ABP12" s="301"/>
      <c r="ABQ12" s="301"/>
      <c r="ABR12" s="301"/>
      <c r="ABS12" s="301"/>
      <c r="ABT12" s="301"/>
      <c r="ABU12" s="301"/>
      <c r="ABV12" s="301"/>
      <c r="ABW12" s="312"/>
      <c r="ABX12" s="301"/>
      <c r="ABY12" s="309"/>
      <c r="ABZ12" s="301"/>
      <c r="ACA12" s="306"/>
      <c r="ACB12" s="301"/>
      <c r="ACC12" s="309"/>
      <c r="ACD12" s="301"/>
      <c r="ACE12" s="309"/>
      <c r="ACF12" s="301"/>
      <c r="ACG12" s="301"/>
      <c r="ACH12" s="301"/>
      <c r="ACI12" s="301"/>
      <c r="ACJ12" s="301"/>
      <c r="ACK12" s="301"/>
      <c r="ACL12" s="301"/>
      <c r="ACM12" s="301"/>
      <c r="ACN12" s="312"/>
      <c r="ACO12" s="301"/>
      <c r="ACP12" s="309"/>
      <c r="ACQ12" s="301"/>
      <c r="ACR12" s="306"/>
      <c r="ACS12" s="301"/>
      <c r="ACT12" s="309"/>
      <c r="ACU12" s="301"/>
      <c r="ACV12" s="309"/>
      <c r="ACW12" s="301"/>
      <c r="ACX12" s="301"/>
      <c r="ACY12" s="301"/>
      <c r="ACZ12" s="301"/>
      <c r="ADA12" s="301"/>
      <c r="ADB12" s="301"/>
      <c r="ADC12" s="301"/>
      <c r="ADD12" s="301"/>
      <c r="ADE12" s="312"/>
      <c r="ADF12" s="301"/>
      <c r="ADG12" s="309"/>
      <c r="ADH12" s="301"/>
      <c r="ADI12" s="306"/>
      <c r="ADJ12" s="301"/>
      <c r="ADK12" s="309"/>
      <c r="ADL12" s="301"/>
      <c r="ADM12" s="309"/>
      <c r="ADN12" s="301"/>
      <c r="ADO12" s="301"/>
      <c r="ADP12" s="301"/>
      <c r="ADQ12" s="301"/>
      <c r="ADR12" s="301"/>
      <c r="ADS12" s="301"/>
      <c r="ADT12" s="301"/>
      <c r="ADU12" s="301"/>
      <c r="ADV12" s="312"/>
      <c r="ADW12" s="301"/>
      <c r="ADX12" s="309"/>
      <c r="ADY12" s="301"/>
      <c r="ADZ12" s="306"/>
      <c r="AEA12" s="301"/>
      <c r="AEB12" s="309"/>
      <c r="AEC12" s="301"/>
      <c r="AED12" s="309"/>
      <c r="AEE12" s="301"/>
      <c r="AEF12" s="301"/>
      <c r="AEG12" s="301"/>
      <c r="AEH12" s="301"/>
      <c r="AEI12" s="301"/>
      <c r="AEJ12" s="301"/>
      <c r="AEK12" s="301"/>
      <c r="AEL12" s="301"/>
      <c r="AEM12" s="312"/>
      <c r="AEN12" s="301"/>
      <c r="AEO12" s="309"/>
      <c r="AEP12" s="301"/>
      <c r="AEQ12" s="306"/>
      <c r="AER12" s="301"/>
      <c r="AES12" s="309"/>
      <c r="AET12" s="301"/>
      <c r="AEU12" s="309"/>
      <c r="AEV12" s="301"/>
      <c r="AEW12" s="301"/>
      <c r="AEX12" s="301"/>
      <c r="AEY12" s="301"/>
      <c r="AEZ12" s="301"/>
      <c r="AFA12" s="301"/>
      <c r="AFB12" s="301"/>
      <c r="AFC12" s="301"/>
      <c r="AFD12" s="312"/>
      <c r="AFE12" s="301"/>
      <c r="AFF12" s="309"/>
      <c r="AFG12" s="301"/>
      <c r="AFH12" s="306"/>
      <c r="AFI12" s="301"/>
      <c r="AFJ12" s="309"/>
      <c r="AFK12" s="301"/>
      <c r="AFL12" s="309"/>
      <c r="AFM12" s="301"/>
      <c r="AFN12" s="301"/>
      <c r="AFO12" s="301"/>
      <c r="AFP12" s="301"/>
      <c r="AFQ12" s="301"/>
      <c r="AFR12" s="301"/>
      <c r="AFS12" s="301"/>
      <c r="AFT12" s="301"/>
      <c r="AFU12" s="312"/>
      <c r="AFV12" s="301"/>
      <c r="AFW12" s="309"/>
      <c r="AFX12" s="301"/>
      <c r="AFY12" s="306"/>
      <c r="AFZ12" s="301"/>
      <c r="AGA12" s="309"/>
      <c r="AGB12" s="301"/>
      <c r="AGC12" s="309"/>
      <c r="AGD12" s="301"/>
      <c r="AGE12" s="301"/>
      <c r="AGF12" s="301"/>
      <c r="AGG12" s="301"/>
      <c r="AGH12" s="301"/>
      <c r="AGI12" s="301"/>
      <c r="AGJ12" s="301"/>
      <c r="AGK12" s="301"/>
      <c r="AGL12" s="312"/>
      <c r="AGM12" s="301"/>
      <c r="AGN12" s="309"/>
      <c r="AGO12" s="301"/>
      <c r="AGP12" s="306"/>
      <c r="AGQ12" s="301"/>
      <c r="AGR12" s="309"/>
      <c r="AGS12" s="301"/>
      <c r="AGT12" s="309"/>
      <c r="AGU12" s="301"/>
      <c r="AGV12" s="301"/>
      <c r="AGW12" s="301"/>
      <c r="AGX12" s="301"/>
      <c r="AGY12" s="301"/>
      <c r="AGZ12" s="301"/>
      <c r="AHA12" s="301"/>
      <c r="AHB12" s="301"/>
      <c r="AHC12" s="312"/>
      <c r="AHD12" s="301"/>
      <c r="AHE12" s="309"/>
      <c r="AHF12" s="301"/>
      <c r="AHG12" s="306"/>
      <c r="AHH12" s="301"/>
      <c r="AHI12" s="309"/>
      <c r="AHJ12" s="301"/>
      <c r="AHK12" s="309"/>
      <c r="AHL12" s="301"/>
      <c r="AHM12" s="301"/>
      <c r="AHN12" s="301"/>
      <c r="AHO12" s="301"/>
      <c r="AHP12" s="301"/>
      <c r="AHQ12" s="301"/>
      <c r="AHR12" s="301"/>
      <c r="AHS12" s="301"/>
      <c r="AHT12" s="312"/>
      <c r="AHU12" s="301"/>
      <c r="AHV12" s="309"/>
      <c r="AHW12" s="301"/>
      <c r="AHX12" s="306"/>
      <c r="AHY12" s="301"/>
      <c r="AHZ12" s="309"/>
      <c r="AIA12" s="301"/>
      <c r="AIB12" s="309"/>
      <c r="AIC12" s="301"/>
      <c r="AID12" s="301"/>
      <c r="AIE12" s="301"/>
      <c r="AIF12" s="301"/>
      <c r="AIG12" s="301"/>
      <c r="AIH12" s="301"/>
      <c r="AII12" s="301"/>
      <c r="AIJ12" s="301"/>
      <c r="AIK12" s="312"/>
      <c r="AIL12" s="301"/>
      <c r="AIM12" s="309"/>
      <c r="AIN12" s="301"/>
      <c r="AIO12" s="306"/>
      <c r="AIP12" s="301"/>
      <c r="AIQ12" s="309"/>
      <c r="AIR12" s="301"/>
      <c r="AIS12" s="309"/>
      <c r="AIT12" s="301"/>
      <c r="AIU12" s="301"/>
      <c r="AIV12" s="301"/>
      <c r="AIW12" s="301"/>
      <c r="AIX12" s="301"/>
      <c r="AIY12" s="301"/>
      <c r="AIZ12" s="301"/>
      <c r="AJA12" s="301"/>
      <c r="AJB12" s="312"/>
      <c r="AJC12" s="301"/>
      <c r="AJD12" s="309"/>
      <c r="AJE12" s="301"/>
      <c r="AJF12" s="306"/>
      <c r="AJG12" s="301"/>
      <c r="AJH12" s="309"/>
      <c r="AJI12" s="301"/>
      <c r="AJJ12" s="309"/>
      <c r="AJK12" s="301"/>
      <c r="AJL12" s="301"/>
      <c r="AJM12" s="301"/>
      <c r="AJN12" s="301"/>
      <c r="AJO12" s="301"/>
      <c r="AJP12" s="301"/>
      <c r="AJQ12" s="301"/>
      <c r="AJR12" s="301"/>
      <c r="AJS12" s="312"/>
      <c r="AJT12" s="301"/>
      <c r="AJU12" s="309"/>
      <c r="AJV12" s="301"/>
      <c r="AJW12" s="306"/>
      <c r="AJX12" s="301"/>
      <c r="AJY12" s="309"/>
      <c r="AJZ12" s="301"/>
      <c r="AKA12" s="309"/>
      <c r="AKB12" s="301"/>
      <c r="AKC12" s="301"/>
      <c r="AKD12" s="301"/>
      <c r="AKE12" s="301"/>
      <c r="AKF12" s="301"/>
      <c r="AKG12" s="301"/>
      <c r="AKH12" s="301"/>
      <c r="AKI12" s="301"/>
      <c r="AKJ12" s="312"/>
      <c r="AKK12" s="301"/>
      <c r="AKL12" s="309"/>
      <c r="AKM12" s="301"/>
      <c r="AKN12" s="306"/>
      <c r="AKO12" s="301"/>
      <c r="AKP12" s="309"/>
      <c r="AKQ12" s="301"/>
      <c r="AKR12" s="309"/>
      <c r="AKS12" s="301"/>
      <c r="AKT12" s="301"/>
      <c r="AKU12" s="301"/>
      <c r="AKV12" s="301"/>
      <c r="AKW12" s="301"/>
      <c r="AKX12" s="301"/>
      <c r="AKY12" s="301"/>
      <c r="AKZ12" s="301"/>
      <c r="ALA12" s="312"/>
      <c r="ALB12" s="301"/>
      <c r="ALC12" s="309"/>
      <c r="ALD12" s="301"/>
      <c r="ALE12" s="306"/>
      <c r="ALF12" s="301"/>
      <c r="ALG12" s="309"/>
      <c r="ALH12" s="301"/>
      <c r="ALI12" s="309"/>
      <c r="ALJ12" s="301"/>
      <c r="ALK12" s="301"/>
      <c r="ALL12" s="301"/>
      <c r="ALM12" s="301"/>
      <c r="ALN12" s="301"/>
      <c r="ALO12" s="301"/>
      <c r="ALP12" s="301"/>
      <c r="ALQ12" s="301"/>
      <c r="ALR12" s="312"/>
      <c r="ALS12" s="301"/>
      <c r="ALT12" s="309"/>
      <c r="ALU12" s="301"/>
      <c r="ALV12" s="306"/>
      <c r="ALW12" s="301"/>
      <c r="ALX12" s="309"/>
      <c r="ALY12" s="301"/>
      <c r="ALZ12" s="309"/>
      <c r="AMA12" s="301"/>
      <c r="AMB12" s="301"/>
      <c r="AMC12" s="301"/>
      <c r="AMD12" s="301"/>
      <c r="AME12" s="301"/>
      <c r="AMF12" s="301"/>
      <c r="AMG12" s="301"/>
      <c r="AMH12" s="301"/>
      <c r="AMI12" s="312"/>
      <c r="AMJ12" s="301"/>
      <c r="AMK12" s="309"/>
      <c r="AML12" s="301"/>
      <c r="AMM12" s="306"/>
      <c r="AMN12" s="301"/>
      <c r="AMO12" s="309"/>
      <c r="AMP12" s="301"/>
      <c r="AMQ12" s="309"/>
      <c r="AMR12" s="301"/>
      <c r="AMS12" s="301"/>
      <c r="AMT12" s="301"/>
      <c r="AMU12" s="301"/>
      <c r="AMV12" s="301"/>
      <c r="AMW12" s="301"/>
      <c r="AMX12" s="301"/>
      <c r="AMY12" s="301"/>
      <c r="AMZ12" s="312"/>
      <c r="ANA12" s="301"/>
      <c r="ANB12" s="309"/>
      <c r="ANC12" s="301"/>
      <c r="AND12" s="306"/>
      <c r="ANE12" s="301"/>
      <c r="ANF12" s="309"/>
      <c r="ANG12" s="301"/>
      <c r="ANH12" s="309"/>
      <c r="ANI12" s="301"/>
      <c r="ANJ12" s="301"/>
      <c r="ANK12" s="301"/>
      <c r="ANL12" s="301"/>
      <c r="ANM12" s="301"/>
      <c r="ANN12" s="301"/>
      <c r="ANO12" s="301"/>
      <c r="ANP12" s="301"/>
      <c r="ANQ12" s="312"/>
      <c r="ANR12" s="301"/>
      <c r="ANS12" s="309"/>
      <c r="ANT12" s="301"/>
      <c r="ANU12" s="306"/>
      <c r="ANV12" s="301"/>
      <c r="ANW12" s="309"/>
      <c r="ANX12" s="301"/>
      <c r="ANY12" s="309"/>
      <c r="ANZ12" s="301"/>
      <c r="AOA12" s="301"/>
      <c r="AOB12" s="301"/>
      <c r="AOC12" s="301"/>
      <c r="AOD12" s="301"/>
      <c r="AOE12" s="301"/>
      <c r="AOF12" s="301"/>
      <c r="AOG12" s="301"/>
      <c r="AOH12" s="312"/>
      <c r="AOI12" s="301"/>
      <c r="AOJ12" s="309"/>
      <c r="AOK12" s="301"/>
      <c r="AOL12" s="306"/>
      <c r="AOM12" s="301"/>
      <c r="AON12" s="309"/>
      <c r="AOO12" s="301"/>
      <c r="AOP12" s="309"/>
      <c r="AOQ12" s="301"/>
      <c r="AOR12" s="301"/>
      <c r="AOS12" s="301"/>
      <c r="AOT12" s="301"/>
      <c r="AOU12" s="301"/>
      <c r="AOV12" s="301"/>
      <c r="AOW12" s="301"/>
      <c r="AOX12" s="301"/>
      <c r="AOY12" s="312"/>
      <c r="AOZ12" s="301"/>
      <c r="APA12" s="309"/>
      <c r="APB12" s="301"/>
      <c r="APC12" s="306"/>
      <c r="APD12" s="301"/>
      <c r="APE12" s="309"/>
      <c r="APF12" s="301"/>
      <c r="APG12" s="309"/>
      <c r="APH12" s="301"/>
      <c r="API12" s="301"/>
      <c r="APJ12" s="301"/>
      <c r="APK12" s="301"/>
      <c r="APL12" s="301"/>
      <c r="APM12" s="301"/>
      <c r="APN12" s="301"/>
      <c r="APO12" s="301"/>
      <c r="APP12" s="312"/>
      <c r="APQ12" s="301"/>
      <c r="APR12" s="309"/>
      <c r="APS12" s="301"/>
      <c r="APT12" s="306"/>
      <c r="APU12" s="301"/>
      <c r="APV12" s="309"/>
      <c r="APW12" s="301"/>
      <c r="APX12" s="309"/>
      <c r="APY12" s="301"/>
      <c r="APZ12" s="301"/>
      <c r="AQA12" s="301"/>
      <c r="AQB12" s="301"/>
      <c r="AQC12" s="301"/>
      <c r="AQD12" s="301"/>
      <c r="AQE12" s="301"/>
      <c r="AQF12" s="301"/>
      <c r="AQG12" s="312"/>
      <c r="AQH12" s="301"/>
      <c r="AQI12" s="309"/>
      <c r="AQJ12" s="301"/>
      <c r="AQK12" s="306"/>
      <c r="AQL12" s="301"/>
      <c r="AQM12" s="309"/>
      <c r="AQN12" s="301"/>
      <c r="AQO12" s="309"/>
      <c r="AQP12" s="301"/>
      <c r="AQQ12" s="301"/>
      <c r="AQR12" s="301"/>
      <c r="AQS12" s="301"/>
      <c r="AQT12" s="301"/>
      <c r="AQU12" s="301"/>
      <c r="AQV12" s="301"/>
      <c r="AQW12" s="301"/>
      <c r="AQX12" s="312"/>
      <c r="AQY12" s="301"/>
      <c r="AQZ12" s="309"/>
      <c r="ARA12" s="301"/>
      <c r="ARB12" s="306"/>
      <c r="ARC12" s="301"/>
      <c r="ARD12" s="309"/>
      <c r="ARE12" s="301"/>
      <c r="ARF12" s="309"/>
      <c r="ARG12" s="301"/>
      <c r="ARH12" s="301"/>
      <c r="ARI12" s="301"/>
      <c r="ARJ12" s="301"/>
      <c r="ARK12" s="301"/>
      <c r="ARL12" s="301"/>
      <c r="ARM12" s="301"/>
      <c r="ARN12" s="301"/>
      <c r="ARO12" s="312"/>
      <c r="ARP12" s="301"/>
      <c r="ARQ12" s="309"/>
      <c r="ARR12" s="301"/>
      <c r="ARS12" s="306"/>
      <c r="ART12" s="301"/>
      <c r="ARU12" s="309"/>
      <c r="ARV12" s="301"/>
      <c r="ARW12" s="309"/>
      <c r="ARX12" s="301"/>
      <c r="ARY12" s="301"/>
      <c r="ARZ12" s="301"/>
      <c r="ASA12" s="301"/>
      <c r="ASB12" s="301"/>
      <c r="ASC12" s="301"/>
      <c r="ASD12" s="301"/>
      <c r="ASE12" s="301"/>
      <c r="ASF12" s="312"/>
      <c r="ASG12" s="301"/>
      <c r="ASH12" s="309"/>
      <c r="ASI12" s="301"/>
      <c r="ASJ12" s="306"/>
      <c r="ASK12" s="301"/>
      <c r="ASL12" s="309"/>
      <c r="ASM12" s="301"/>
      <c r="ASN12" s="309"/>
      <c r="ASO12" s="301"/>
      <c r="ASP12" s="301"/>
      <c r="ASQ12" s="301"/>
      <c r="ASR12" s="301"/>
      <c r="ASS12" s="301"/>
      <c r="AST12" s="301"/>
      <c r="ASU12" s="301"/>
      <c r="ASV12" s="301"/>
      <c r="ASW12" s="312"/>
      <c r="ASX12" s="301"/>
      <c r="ASY12" s="309"/>
      <c r="ASZ12" s="301"/>
      <c r="ATA12" s="306"/>
      <c r="ATB12" s="301"/>
      <c r="ATC12" s="309"/>
      <c r="ATD12" s="301"/>
      <c r="ATE12" s="309"/>
      <c r="ATF12" s="301"/>
      <c r="ATG12" s="301"/>
      <c r="ATH12" s="301"/>
      <c r="ATI12" s="301"/>
      <c r="ATJ12" s="301"/>
      <c r="ATK12" s="301"/>
      <c r="ATL12" s="301"/>
      <c r="ATM12" s="301"/>
      <c r="ATN12" s="312"/>
      <c r="ATO12" s="301"/>
      <c r="ATP12" s="309"/>
      <c r="ATQ12" s="301"/>
      <c r="ATR12" s="306"/>
      <c r="ATS12" s="301"/>
      <c r="ATT12" s="309"/>
      <c r="ATU12" s="301"/>
      <c r="ATV12" s="309"/>
      <c r="ATW12" s="301"/>
      <c r="ATX12" s="301"/>
      <c r="ATY12" s="301"/>
      <c r="ATZ12" s="301"/>
      <c r="AUA12" s="301"/>
      <c r="AUB12" s="301"/>
      <c r="AUC12" s="301"/>
      <c r="AUD12" s="301"/>
      <c r="AUE12" s="312"/>
      <c r="AUF12" s="301"/>
      <c r="AUG12" s="309"/>
      <c r="AUH12" s="301"/>
      <c r="AUI12" s="306"/>
      <c r="AUJ12" s="301"/>
      <c r="AUK12" s="309"/>
      <c r="AUL12" s="301"/>
      <c r="AUM12" s="309"/>
      <c r="AUN12" s="301"/>
      <c r="AUO12" s="301"/>
      <c r="AUP12" s="301"/>
      <c r="AUQ12" s="301"/>
      <c r="AUR12" s="301"/>
      <c r="AUS12" s="301"/>
      <c r="AUT12" s="301"/>
      <c r="AUU12" s="301"/>
      <c r="AUV12" s="312"/>
      <c r="AUW12" s="301"/>
      <c r="AUX12" s="309"/>
      <c r="AUY12" s="301"/>
      <c r="AUZ12" s="306"/>
      <c r="AVA12" s="301"/>
      <c r="AVB12" s="309"/>
      <c r="AVC12" s="301"/>
      <c r="AVD12" s="309"/>
      <c r="AVE12" s="301"/>
      <c r="AVF12" s="301"/>
      <c r="AVG12" s="301"/>
      <c r="AVH12" s="301"/>
      <c r="AVI12" s="301"/>
      <c r="AVJ12" s="301"/>
      <c r="AVK12" s="301"/>
      <c r="AVL12" s="301"/>
      <c r="AVM12" s="312"/>
      <c r="AVN12" s="301"/>
      <c r="AVO12" s="309"/>
      <c r="AVP12" s="301"/>
      <c r="AVQ12" s="306"/>
      <c r="AVR12" s="301"/>
      <c r="AVS12" s="309"/>
      <c r="AVT12" s="301"/>
      <c r="AVU12" s="309"/>
      <c r="AVV12" s="301"/>
      <c r="AVW12" s="301"/>
      <c r="AVX12" s="301"/>
      <c r="AVY12" s="301"/>
      <c r="AVZ12" s="301"/>
      <c r="AWA12" s="301"/>
      <c r="AWB12" s="301"/>
      <c r="AWC12" s="301"/>
      <c r="AWD12" s="312"/>
      <c r="AWE12" s="301"/>
      <c r="AWF12" s="309"/>
      <c r="AWG12" s="301"/>
      <c r="AWH12" s="306"/>
      <c r="AWI12" s="301"/>
      <c r="AWJ12" s="309"/>
      <c r="AWK12" s="301"/>
      <c r="AWL12" s="309"/>
      <c r="AWM12" s="301"/>
      <c r="AWN12" s="301"/>
      <c r="AWO12" s="301"/>
      <c r="AWP12" s="301"/>
      <c r="AWQ12" s="301"/>
      <c r="AWR12" s="301"/>
      <c r="AWS12" s="301"/>
      <c r="AWT12" s="301"/>
      <c r="AWU12" s="312"/>
      <c r="AWV12" s="301"/>
      <c r="AWW12" s="309"/>
      <c r="AWX12" s="301"/>
      <c r="AWY12" s="306"/>
      <c r="AWZ12" s="301"/>
      <c r="AXA12" s="309"/>
      <c r="AXB12" s="301"/>
      <c r="AXC12" s="309"/>
      <c r="AXD12" s="301"/>
      <c r="AXE12" s="301"/>
      <c r="AXF12" s="301"/>
      <c r="AXG12" s="301"/>
      <c r="AXH12" s="301"/>
      <c r="AXI12" s="301"/>
      <c r="AXJ12" s="301"/>
      <c r="AXK12" s="301"/>
      <c r="AXL12" s="312"/>
      <c r="AXM12" s="301"/>
      <c r="AXN12" s="309"/>
      <c r="AXO12" s="301"/>
      <c r="AXP12" s="306"/>
      <c r="AXQ12" s="301"/>
      <c r="AXR12" s="309"/>
      <c r="AXS12" s="301"/>
      <c r="AXT12" s="309"/>
      <c r="AXU12" s="301"/>
      <c r="AXV12" s="301"/>
      <c r="AXW12" s="301"/>
      <c r="AXX12" s="301"/>
      <c r="AXY12" s="301"/>
      <c r="AXZ12" s="301"/>
      <c r="AYA12" s="301"/>
      <c r="AYB12" s="301"/>
      <c r="AYC12" s="312"/>
      <c r="AYD12" s="301"/>
      <c r="AYE12" s="309"/>
      <c r="AYF12" s="301"/>
      <c r="AYG12" s="306"/>
      <c r="AYH12" s="301"/>
      <c r="AYI12" s="309"/>
      <c r="AYJ12" s="301"/>
      <c r="AYK12" s="309"/>
      <c r="AYL12" s="301"/>
      <c r="AYM12" s="301"/>
      <c r="AYN12" s="301"/>
      <c r="AYO12" s="301"/>
      <c r="AYP12" s="301"/>
      <c r="AYQ12" s="301"/>
      <c r="AYR12" s="301"/>
      <c r="AYS12" s="301"/>
      <c r="AYT12" s="312"/>
      <c r="AYU12" s="301"/>
      <c r="AYV12" s="309"/>
      <c r="AYW12" s="301"/>
      <c r="AYX12" s="306"/>
      <c r="AYY12" s="301"/>
      <c r="AYZ12" s="309"/>
      <c r="AZA12" s="301"/>
      <c r="AZB12" s="309"/>
      <c r="AZC12" s="301"/>
      <c r="AZD12" s="301"/>
      <c r="AZE12" s="301"/>
      <c r="AZF12" s="301"/>
      <c r="AZG12" s="301"/>
      <c r="AZH12" s="301"/>
      <c r="AZI12" s="301"/>
      <c r="AZJ12" s="301"/>
      <c r="AZK12" s="312"/>
      <c r="AZL12" s="301"/>
      <c r="AZM12" s="309"/>
      <c r="AZN12" s="301"/>
      <c r="AZO12" s="306"/>
      <c r="AZP12" s="301"/>
      <c r="AZQ12" s="309"/>
      <c r="AZR12" s="301"/>
      <c r="AZS12" s="309"/>
      <c r="AZT12" s="301"/>
      <c r="AZU12" s="301"/>
      <c r="AZV12" s="301"/>
      <c r="AZW12" s="301"/>
      <c r="AZX12" s="301"/>
      <c r="AZY12" s="301"/>
      <c r="AZZ12" s="301"/>
      <c r="BAA12" s="301"/>
      <c r="BAB12" s="312"/>
      <c r="BAC12" s="301"/>
      <c r="BAD12" s="309"/>
      <c r="BAE12" s="301"/>
      <c r="BAF12" s="306"/>
      <c r="BAG12" s="301"/>
      <c r="BAH12" s="309"/>
      <c r="BAI12" s="301"/>
      <c r="BAJ12" s="309"/>
      <c r="BAK12" s="301"/>
      <c r="BAL12" s="301"/>
      <c r="BAM12" s="301"/>
      <c r="BAN12" s="301"/>
      <c r="BAO12" s="301"/>
      <c r="BAP12" s="301"/>
      <c r="BAQ12" s="301"/>
      <c r="BAR12" s="301"/>
      <c r="BAS12" s="312"/>
      <c r="BAT12" s="301"/>
      <c r="BAU12" s="309"/>
      <c r="BAV12" s="301"/>
      <c r="BAW12" s="306"/>
      <c r="BAX12" s="301"/>
      <c r="BAY12" s="309"/>
      <c r="BAZ12" s="301"/>
      <c r="BBA12" s="309"/>
      <c r="BBB12" s="301"/>
      <c r="BBC12" s="301"/>
      <c r="BBD12" s="301"/>
      <c r="BBE12" s="301"/>
      <c r="BBF12" s="301"/>
      <c r="BBG12" s="301"/>
      <c r="BBH12" s="301"/>
      <c r="BBI12" s="301"/>
      <c r="BBJ12" s="312"/>
      <c r="BBK12" s="301"/>
      <c r="BBL12" s="309"/>
      <c r="BBM12" s="301"/>
      <c r="BBN12" s="306"/>
      <c r="BBO12" s="301"/>
      <c r="BBP12" s="309"/>
      <c r="BBQ12" s="301"/>
      <c r="BBR12" s="309"/>
      <c r="BBS12" s="301"/>
      <c r="BBT12" s="301"/>
      <c r="BBU12" s="301"/>
      <c r="BBV12" s="301"/>
      <c r="BBW12" s="301"/>
      <c r="BBX12" s="301"/>
      <c r="BBY12" s="301"/>
      <c r="BBZ12" s="301"/>
      <c r="BCA12" s="312"/>
      <c r="BCB12" s="301"/>
      <c r="BCC12" s="309"/>
      <c r="BCD12" s="301"/>
      <c r="BCE12" s="306"/>
      <c r="BCF12" s="301"/>
      <c r="BCG12" s="309"/>
      <c r="BCH12" s="301"/>
      <c r="BCI12" s="309"/>
      <c r="BCJ12" s="301"/>
      <c r="BCK12" s="301"/>
      <c r="BCL12" s="301"/>
      <c r="BCM12" s="301"/>
      <c r="BCN12" s="301"/>
      <c r="BCO12" s="301"/>
      <c r="BCP12" s="301"/>
      <c r="BCQ12" s="301"/>
      <c r="BCR12" s="312"/>
      <c r="BCS12" s="301"/>
      <c r="BCT12" s="309"/>
      <c r="BCU12" s="301"/>
      <c r="BCV12" s="306"/>
      <c r="BCW12" s="301"/>
      <c r="BCX12" s="309"/>
      <c r="BCY12" s="301"/>
      <c r="BCZ12" s="309"/>
      <c r="BDA12" s="301"/>
      <c r="BDB12" s="301"/>
      <c r="BDC12" s="301"/>
      <c r="BDD12" s="301"/>
      <c r="BDE12" s="301"/>
      <c r="BDF12" s="301"/>
      <c r="BDG12" s="301"/>
      <c r="BDH12" s="301"/>
      <c r="BDI12" s="312"/>
      <c r="BDJ12" s="301"/>
      <c r="BDK12" s="309"/>
      <c r="BDL12" s="301"/>
      <c r="BDM12" s="306"/>
      <c r="BDN12" s="301"/>
      <c r="BDO12" s="309"/>
      <c r="BDP12" s="301"/>
      <c r="BDQ12" s="309"/>
      <c r="BDR12" s="301"/>
      <c r="BDS12" s="301"/>
      <c r="BDT12" s="301"/>
      <c r="BDU12" s="301"/>
      <c r="BDV12" s="301"/>
      <c r="BDW12" s="301"/>
      <c r="BDX12" s="301"/>
      <c r="BDY12" s="301"/>
      <c r="BDZ12" s="312"/>
      <c r="BEA12" s="301"/>
      <c r="BEB12" s="309"/>
      <c r="BEC12" s="301"/>
      <c r="BED12" s="306"/>
      <c r="BEE12" s="301"/>
      <c r="BEF12" s="309"/>
      <c r="BEG12" s="301"/>
      <c r="BEH12" s="309"/>
      <c r="BEI12" s="301"/>
      <c r="BEJ12" s="301"/>
      <c r="BEK12" s="301"/>
      <c r="BEL12" s="301"/>
      <c r="BEM12" s="301"/>
      <c r="BEN12" s="301"/>
      <c r="BEO12" s="301"/>
      <c r="BEP12" s="301"/>
      <c r="BEQ12" s="312"/>
      <c r="BER12" s="301"/>
      <c r="BES12" s="309"/>
      <c r="BET12" s="301"/>
      <c r="BEU12" s="306"/>
      <c r="BEV12" s="301"/>
      <c r="BEW12" s="309"/>
      <c r="BEX12" s="301"/>
      <c r="BEY12" s="309"/>
      <c r="BEZ12" s="301"/>
      <c r="BFA12" s="301"/>
      <c r="BFB12" s="301"/>
      <c r="BFC12" s="301"/>
      <c r="BFD12" s="301"/>
      <c r="BFE12" s="301"/>
      <c r="BFF12" s="301"/>
      <c r="BFG12" s="301"/>
      <c r="BFH12" s="312"/>
      <c r="BFI12" s="301"/>
      <c r="BFJ12" s="309"/>
      <c r="BFK12" s="301"/>
      <c r="BFL12" s="306"/>
      <c r="BFM12" s="301"/>
      <c r="BFN12" s="309"/>
      <c r="BFO12" s="301"/>
      <c r="BFP12" s="309"/>
      <c r="BFQ12" s="301"/>
      <c r="BFR12" s="301"/>
      <c r="BFS12" s="301"/>
      <c r="BFT12" s="301"/>
      <c r="BFU12" s="301"/>
      <c r="BFV12" s="301"/>
      <c r="BFW12" s="301"/>
      <c r="BFX12" s="301"/>
      <c r="BFY12" s="312"/>
      <c r="BFZ12" s="301"/>
      <c r="BGA12" s="309"/>
      <c r="BGB12" s="301"/>
      <c r="BGC12" s="306"/>
      <c r="BGD12" s="301"/>
      <c r="BGE12" s="309"/>
      <c r="BGF12" s="301"/>
      <c r="BGG12" s="309"/>
      <c r="BGH12" s="301"/>
      <c r="BGI12" s="301"/>
      <c r="BGJ12" s="301"/>
      <c r="BGK12" s="301"/>
      <c r="BGL12" s="301"/>
      <c r="BGM12" s="301"/>
      <c r="BGN12" s="301"/>
      <c r="BGO12" s="301"/>
      <c r="BGP12" s="312"/>
      <c r="BGQ12" s="301"/>
      <c r="BGR12" s="309"/>
      <c r="BGS12" s="301"/>
      <c r="BGT12" s="306"/>
      <c r="BGU12" s="301"/>
      <c r="BGV12" s="309"/>
      <c r="BGW12" s="301"/>
      <c r="BGX12" s="309"/>
      <c r="BGY12" s="301"/>
      <c r="BGZ12" s="301"/>
      <c r="BHA12" s="301"/>
      <c r="BHB12" s="301"/>
      <c r="BHC12" s="301"/>
      <c r="BHD12" s="301"/>
      <c r="BHE12" s="301"/>
      <c r="BHF12" s="301"/>
      <c r="BHG12" s="312"/>
      <c r="BHH12" s="301"/>
      <c r="BHI12" s="309"/>
      <c r="BHJ12" s="301"/>
      <c r="BHK12" s="306"/>
      <c r="BHL12" s="301"/>
      <c r="BHM12" s="309"/>
      <c r="BHN12" s="301"/>
      <c r="BHO12" s="309"/>
      <c r="BHP12" s="301"/>
      <c r="BHQ12" s="301"/>
      <c r="BHR12" s="301"/>
      <c r="BHS12" s="301"/>
      <c r="BHT12" s="301"/>
      <c r="BHU12" s="301"/>
      <c r="BHV12" s="301"/>
      <c r="BHW12" s="301"/>
      <c r="BHX12" s="312"/>
      <c r="BHY12" s="301"/>
      <c r="BHZ12" s="309"/>
      <c r="BIA12" s="301"/>
      <c r="BIB12" s="306"/>
      <c r="BIC12" s="301"/>
      <c r="BID12" s="309"/>
      <c r="BIE12" s="301"/>
      <c r="BIF12" s="309"/>
      <c r="BIG12" s="301"/>
      <c r="BIH12" s="301"/>
      <c r="BII12" s="301"/>
      <c r="BIJ12" s="301"/>
      <c r="BIK12" s="301"/>
      <c r="BIL12" s="301"/>
      <c r="BIM12" s="301"/>
      <c r="BIN12" s="301"/>
      <c r="BIO12" s="312"/>
      <c r="BIP12" s="301"/>
      <c r="BIQ12" s="309"/>
      <c r="BIR12" s="301"/>
      <c r="BIS12" s="306"/>
      <c r="BIT12" s="301"/>
      <c r="BIU12" s="309"/>
      <c r="BIV12" s="301"/>
      <c r="BIW12" s="309"/>
      <c r="BIX12" s="301"/>
      <c r="BIY12" s="301"/>
      <c r="BIZ12" s="301"/>
      <c r="BJA12" s="301"/>
      <c r="BJB12" s="301"/>
      <c r="BJC12" s="301"/>
      <c r="BJD12" s="301"/>
      <c r="BJE12" s="301"/>
      <c r="BJF12" s="312"/>
      <c r="BJG12" s="301"/>
      <c r="BJH12" s="309"/>
      <c r="BJI12" s="301"/>
      <c r="BJJ12" s="306"/>
      <c r="BJK12" s="301"/>
      <c r="BJL12" s="309"/>
      <c r="BJM12" s="301"/>
      <c r="BJN12" s="309"/>
      <c r="BJO12" s="301"/>
      <c r="BJP12" s="301"/>
      <c r="BJQ12" s="301"/>
      <c r="BJR12" s="301"/>
      <c r="BJS12" s="301"/>
      <c r="BJT12" s="301"/>
      <c r="BJU12" s="301"/>
      <c r="BJV12" s="301"/>
      <c r="BJW12" s="312"/>
      <c r="BJX12" s="301"/>
      <c r="BJY12" s="309"/>
      <c r="BJZ12" s="301"/>
      <c r="BKA12" s="306"/>
      <c r="BKB12" s="301"/>
      <c r="BKC12" s="309"/>
      <c r="BKD12" s="301"/>
      <c r="BKE12" s="309"/>
      <c r="BKF12" s="301"/>
      <c r="BKG12" s="301"/>
      <c r="BKH12" s="301"/>
      <c r="BKI12" s="301"/>
      <c r="BKJ12" s="301"/>
      <c r="BKK12" s="301"/>
      <c r="BKL12" s="301"/>
      <c r="BKM12" s="301"/>
      <c r="BKN12" s="312"/>
      <c r="BKO12" s="301"/>
      <c r="BKP12" s="309"/>
      <c r="BKQ12" s="301"/>
      <c r="BKR12" s="306"/>
      <c r="BKS12" s="301"/>
      <c r="BKT12" s="309"/>
      <c r="BKU12" s="301"/>
      <c r="BKV12" s="309"/>
      <c r="BKW12" s="301"/>
      <c r="BKX12" s="301"/>
      <c r="BKY12" s="301"/>
      <c r="BKZ12" s="301"/>
      <c r="BLA12" s="301"/>
      <c r="BLB12" s="301"/>
      <c r="BLC12" s="301"/>
      <c r="BLD12" s="301"/>
      <c r="BLE12" s="312"/>
      <c r="BLF12" s="301"/>
      <c r="BLG12" s="309"/>
      <c r="BLH12" s="301"/>
      <c r="BLI12" s="306"/>
      <c r="BLJ12" s="301"/>
      <c r="BLK12" s="309"/>
      <c r="BLL12" s="301"/>
      <c r="BLM12" s="309"/>
      <c r="BLN12" s="301"/>
      <c r="BLO12" s="301"/>
      <c r="BLP12" s="301"/>
      <c r="BLQ12" s="301"/>
      <c r="BLR12" s="301"/>
      <c r="BLS12" s="301"/>
      <c r="BLT12" s="301"/>
      <c r="BLU12" s="301"/>
      <c r="BLV12" s="312"/>
      <c r="BLW12" s="301"/>
      <c r="BLX12" s="309"/>
      <c r="BLY12" s="301"/>
      <c r="BLZ12" s="306"/>
      <c r="BMA12" s="301"/>
      <c r="BMB12" s="309"/>
      <c r="BMC12" s="301"/>
      <c r="BMD12" s="309"/>
      <c r="BME12" s="301"/>
      <c r="BMF12" s="301"/>
      <c r="BMG12" s="301"/>
      <c r="BMH12" s="301"/>
      <c r="BMI12" s="301"/>
      <c r="BMJ12" s="301"/>
      <c r="BMK12" s="301"/>
      <c r="BML12" s="301"/>
      <c r="BMM12" s="312"/>
      <c r="BMN12" s="301"/>
      <c r="BMO12" s="309"/>
      <c r="BMP12" s="301"/>
      <c r="BMQ12" s="306"/>
      <c r="BMR12" s="301"/>
      <c r="BMS12" s="309"/>
      <c r="BMT12" s="301"/>
      <c r="BMU12" s="309"/>
      <c r="BMV12" s="301"/>
      <c r="BMW12" s="301"/>
      <c r="BMX12" s="301"/>
      <c r="BMY12" s="301"/>
      <c r="BMZ12" s="301"/>
      <c r="BNA12" s="301"/>
      <c r="BNB12" s="301"/>
      <c r="BNC12" s="301"/>
      <c r="BND12" s="312"/>
      <c r="BNE12" s="301"/>
      <c r="BNF12" s="309"/>
      <c r="BNG12" s="301"/>
      <c r="BNH12" s="306"/>
      <c r="BNI12" s="301"/>
      <c r="BNJ12" s="309"/>
      <c r="BNK12" s="301"/>
      <c r="BNL12" s="309"/>
      <c r="BNM12" s="301"/>
      <c r="BNN12" s="301"/>
      <c r="BNO12" s="301"/>
      <c r="BNP12" s="301"/>
      <c r="BNQ12" s="301"/>
      <c r="BNR12" s="301"/>
      <c r="BNS12" s="301"/>
      <c r="BNT12" s="301"/>
      <c r="BNU12" s="312"/>
      <c r="BNV12" s="301"/>
      <c r="BNW12" s="309"/>
      <c r="BNX12" s="301"/>
      <c r="BNY12" s="306"/>
      <c r="BNZ12" s="301"/>
      <c r="BOA12" s="309"/>
      <c r="BOB12" s="301"/>
      <c r="BOC12" s="309"/>
      <c r="BOD12" s="301"/>
      <c r="BOE12" s="301"/>
      <c r="BOF12" s="301"/>
      <c r="BOG12" s="301"/>
      <c r="BOH12" s="301"/>
      <c r="BOI12" s="301"/>
      <c r="BOJ12" s="301"/>
      <c r="BOK12" s="301"/>
      <c r="BOL12" s="312"/>
      <c r="BOM12" s="301"/>
      <c r="BON12" s="309"/>
      <c r="BOO12" s="301"/>
      <c r="BOP12" s="306"/>
      <c r="BOQ12" s="301"/>
      <c r="BOR12" s="309"/>
      <c r="BOS12" s="301"/>
      <c r="BOT12" s="309"/>
      <c r="BOU12" s="301"/>
      <c r="BOV12" s="301"/>
      <c r="BOW12" s="301"/>
      <c r="BOX12" s="301"/>
      <c r="BOY12" s="301"/>
      <c r="BOZ12" s="301"/>
      <c r="BPA12" s="301"/>
      <c r="BPB12" s="301"/>
      <c r="BPC12" s="312"/>
      <c r="BPD12" s="301"/>
      <c r="BPE12" s="309"/>
      <c r="BPF12" s="301"/>
      <c r="BPG12" s="306"/>
      <c r="BPH12" s="301"/>
      <c r="BPI12" s="309"/>
      <c r="BPJ12" s="301"/>
      <c r="BPK12" s="309"/>
      <c r="BPL12" s="301"/>
      <c r="BPM12" s="301"/>
      <c r="BPN12" s="301"/>
      <c r="BPO12" s="301"/>
      <c r="BPP12" s="301"/>
      <c r="BPQ12" s="301"/>
      <c r="BPR12" s="301"/>
      <c r="BPS12" s="301"/>
      <c r="BPT12" s="312"/>
      <c r="BPU12" s="301"/>
      <c r="BPV12" s="309"/>
      <c r="BPW12" s="301"/>
      <c r="BPX12" s="306"/>
      <c r="BPY12" s="301"/>
      <c r="BPZ12" s="309"/>
      <c r="BQA12" s="301"/>
      <c r="BQB12" s="309"/>
      <c r="BQC12" s="301"/>
      <c r="BQD12" s="301"/>
      <c r="BQE12" s="301"/>
      <c r="BQF12" s="301"/>
      <c r="BQG12" s="301"/>
      <c r="BQH12" s="301"/>
      <c r="BQI12" s="301"/>
      <c r="BQJ12" s="301"/>
      <c r="BQK12" s="312"/>
      <c r="BQL12" s="301"/>
      <c r="BQM12" s="309"/>
      <c r="BQN12" s="301"/>
      <c r="BQO12" s="306"/>
      <c r="BQP12" s="301"/>
      <c r="BQQ12" s="309"/>
      <c r="BQR12" s="301"/>
      <c r="BQS12" s="309"/>
      <c r="BQT12" s="301"/>
      <c r="BQU12" s="301"/>
      <c r="BQV12" s="301"/>
      <c r="BQW12" s="301"/>
      <c r="BQX12" s="301"/>
      <c r="BQY12" s="301"/>
      <c r="BQZ12" s="301"/>
      <c r="BRA12" s="301"/>
      <c r="BRB12" s="312"/>
      <c r="BRC12" s="301"/>
      <c r="BRD12" s="309"/>
      <c r="BRE12" s="301"/>
      <c r="BRF12" s="306"/>
      <c r="BRG12" s="301"/>
      <c r="BRH12" s="309"/>
      <c r="BRI12" s="301"/>
      <c r="BRJ12" s="309"/>
      <c r="BRK12" s="301"/>
      <c r="BRL12" s="301"/>
      <c r="BRM12" s="301"/>
      <c r="BRN12" s="301"/>
      <c r="BRO12" s="301"/>
      <c r="BRP12" s="301"/>
      <c r="BRQ12" s="301"/>
      <c r="BRR12" s="301"/>
      <c r="BRS12" s="312"/>
      <c r="BRT12" s="301"/>
      <c r="BRU12" s="309"/>
      <c r="BRV12" s="301"/>
      <c r="BRW12" s="306"/>
      <c r="BRX12" s="301"/>
      <c r="BRY12" s="309"/>
      <c r="BRZ12" s="301"/>
      <c r="BSA12" s="309"/>
      <c r="BSB12" s="301"/>
      <c r="BSC12" s="301"/>
      <c r="BSD12" s="301"/>
      <c r="BSE12" s="301"/>
      <c r="BSF12" s="301"/>
      <c r="BSG12" s="301"/>
      <c r="BSH12" s="301"/>
      <c r="BSI12" s="301"/>
      <c r="BSJ12" s="312"/>
      <c r="BSK12" s="301"/>
      <c r="BSL12" s="309"/>
      <c r="BSM12" s="301"/>
      <c r="BSN12" s="306"/>
      <c r="BSO12" s="301"/>
      <c r="BSP12" s="309"/>
      <c r="BSQ12" s="301"/>
      <c r="BSR12" s="309"/>
      <c r="BSS12" s="301"/>
      <c r="BST12" s="301"/>
      <c r="BSU12" s="301"/>
      <c r="BSV12" s="301"/>
      <c r="BSW12" s="301"/>
      <c r="BSX12" s="301"/>
      <c r="BSY12" s="301"/>
      <c r="BSZ12" s="301"/>
      <c r="BTA12" s="312"/>
      <c r="BTB12" s="301"/>
      <c r="BTC12" s="309"/>
      <c r="BTD12" s="301"/>
      <c r="BTE12" s="306"/>
      <c r="BTF12" s="301"/>
      <c r="BTG12" s="309"/>
      <c r="BTH12" s="301"/>
      <c r="BTI12" s="309"/>
      <c r="BTJ12" s="301"/>
      <c r="BTK12" s="301"/>
      <c r="BTL12" s="301"/>
      <c r="BTM12" s="301"/>
      <c r="BTN12" s="301"/>
      <c r="BTO12" s="301"/>
      <c r="BTP12" s="301"/>
      <c r="BTQ12" s="301"/>
      <c r="BTR12" s="312"/>
      <c r="BTS12" s="301"/>
      <c r="BTT12" s="309"/>
      <c r="BTU12" s="301"/>
      <c r="BTV12" s="306"/>
      <c r="BTW12" s="301"/>
      <c r="BTX12" s="309"/>
      <c r="BTY12" s="301"/>
      <c r="BTZ12" s="309"/>
      <c r="BUA12" s="301"/>
      <c r="BUB12" s="301"/>
      <c r="BUC12" s="301"/>
      <c r="BUD12" s="301"/>
      <c r="BUE12" s="301"/>
      <c r="BUF12" s="301"/>
      <c r="BUG12" s="301"/>
      <c r="BUH12" s="301"/>
      <c r="BUI12" s="312"/>
      <c r="BUJ12" s="301"/>
      <c r="BUK12" s="309"/>
      <c r="BUL12" s="301"/>
      <c r="BUM12" s="306"/>
      <c r="BUN12" s="301"/>
      <c r="BUO12" s="309"/>
      <c r="BUP12" s="301"/>
      <c r="BUQ12" s="309"/>
      <c r="BUR12" s="301"/>
      <c r="BUS12" s="301"/>
      <c r="BUT12" s="301"/>
      <c r="BUU12" s="301"/>
      <c r="BUV12" s="301"/>
      <c r="BUW12" s="301"/>
      <c r="BUX12" s="301"/>
      <c r="BUY12" s="301"/>
      <c r="BUZ12" s="312"/>
      <c r="BVA12" s="301"/>
      <c r="BVB12" s="309"/>
      <c r="BVC12" s="301"/>
      <c r="BVD12" s="306"/>
      <c r="BVE12" s="301"/>
      <c r="BVF12" s="309"/>
      <c r="BVG12" s="301"/>
      <c r="BVH12" s="309"/>
      <c r="BVI12" s="301"/>
      <c r="BVJ12" s="301"/>
      <c r="BVK12" s="301"/>
      <c r="BVL12" s="301"/>
      <c r="BVM12" s="301"/>
      <c r="BVN12" s="301"/>
      <c r="BVO12" s="301"/>
      <c r="BVP12" s="301"/>
      <c r="BVQ12" s="312"/>
      <c r="BVR12" s="301"/>
      <c r="BVS12" s="309"/>
      <c r="BVT12" s="301"/>
      <c r="BVU12" s="306"/>
      <c r="BVV12" s="301"/>
      <c r="BVW12" s="309"/>
      <c r="BVX12" s="301"/>
      <c r="BVY12" s="309"/>
      <c r="BVZ12" s="301"/>
      <c r="BWA12" s="301"/>
      <c r="BWB12" s="301"/>
      <c r="BWC12" s="301"/>
      <c r="BWD12" s="301"/>
      <c r="BWE12" s="301"/>
      <c r="BWF12" s="301"/>
      <c r="BWG12" s="301"/>
      <c r="BWH12" s="312"/>
      <c r="BWI12" s="301"/>
      <c r="BWJ12" s="309"/>
      <c r="BWK12" s="301"/>
      <c r="BWL12" s="306"/>
      <c r="BWM12" s="301"/>
      <c r="BWN12" s="309"/>
      <c r="BWO12" s="301"/>
      <c r="BWP12" s="309"/>
      <c r="BWQ12" s="301"/>
      <c r="BWR12" s="301"/>
      <c r="BWS12" s="301"/>
      <c r="BWT12" s="301"/>
      <c r="BWU12" s="301"/>
      <c r="BWV12" s="301"/>
      <c r="BWW12" s="301"/>
      <c r="BWX12" s="301"/>
      <c r="BWY12" s="312"/>
      <c r="BWZ12" s="301"/>
      <c r="BXA12" s="309"/>
      <c r="BXB12" s="301"/>
      <c r="BXC12" s="306"/>
      <c r="BXD12" s="301"/>
      <c r="BXE12" s="309"/>
      <c r="BXF12" s="301"/>
      <c r="BXG12" s="309"/>
      <c r="BXH12" s="301"/>
      <c r="BXI12" s="301"/>
      <c r="BXJ12" s="301"/>
      <c r="BXK12" s="301"/>
      <c r="BXL12" s="301"/>
      <c r="BXM12" s="301"/>
      <c r="BXN12" s="301"/>
      <c r="BXO12" s="301"/>
      <c r="BXP12" s="312"/>
      <c r="BXQ12" s="301"/>
      <c r="BXR12" s="309"/>
      <c r="BXS12" s="301"/>
      <c r="BXT12" s="306"/>
      <c r="BXU12" s="301"/>
      <c r="BXV12" s="309"/>
      <c r="BXW12" s="301"/>
      <c r="BXX12" s="309"/>
      <c r="BXY12" s="301"/>
      <c r="BXZ12" s="301"/>
      <c r="BYA12" s="301"/>
      <c r="BYB12" s="301"/>
      <c r="BYC12" s="301"/>
      <c r="BYD12" s="301"/>
      <c r="BYE12" s="301"/>
      <c r="BYF12" s="301"/>
      <c r="BYG12" s="312"/>
      <c r="BYH12" s="301"/>
      <c r="BYI12" s="309"/>
      <c r="BYJ12" s="301"/>
      <c r="BYK12" s="306"/>
      <c r="BYL12" s="301"/>
      <c r="BYM12" s="309"/>
      <c r="BYN12" s="301"/>
      <c r="BYO12" s="309"/>
      <c r="BYP12" s="301"/>
      <c r="BYQ12" s="301"/>
      <c r="BYR12" s="301"/>
      <c r="BYS12" s="301"/>
      <c r="BYT12" s="301"/>
      <c r="BYU12" s="301"/>
      <c r="BYV12" s="301"/>
      <c r="BYW12" s="301"/>
      <c r="BYX12" s="312"/>
      <c r="BYY12" s="301"/>
      <c r="BYZ12" s="309"/>
      <c r="BZA12" s="301"/>
      <c r="BZB12" s="306"/>
      <c r="BZC12" s="301"/>
      <c r="BZD12" s="309"/>
      <c r="BZE12" s="301"/>
      <c r="BZF12" s="309"/>
      <c r="BZG12" s="301"/>
      <c r="BZH12" s="301"/>
      <c r="BZI12" s="301"/>
      <c r="BZJ12" s="301"/>
      <c r="BZK12" s="301"/>
      <c r="BZL12" s="301"/>
      <c r="BZM12" s="301"/>
      <c r="BZN12" s="301"/>
      <c r="BZO12" s="312"/>
      <c r="BZP12" s="301"/>
      <c r="BZQ12" s="309"/>
      <c r="BZR12" s="301"/>
      <c r="BZS12" s="306"/>
      <c r="BZT12" s="301"/>
      <c r="BZU12" s="309"/>
      <c r="BZV12" s="301"/>
      <c r="BZW12" s="309"/>
      <c r="BZX12" s="301"/>
      <c r="BZY12" s="301"/>
      <c r="BZZ12" s="301"/>
      <c r="CAA12" s="301"/>
      <c r="CAB12" s="301"/>
      <c r="CAC12" s="301"/>
      <c r="CAD12" s="301"/>
      <c r="CAE12" s="301"/>
      <c r="CAF12" s="312"/>
      <c r="CAG12" s="301"/>
      <c r="CAH12" s="309"/>
      <c r="CAI12" s="301"/>
      <c r="CAJ12" s="306"/>
      <c r="CAK12" s="301"/>
      <c r="CAL12" s="309"/>
      <c r="CAM12" s="301"/>
      <c r="CAN12" s="309"/>
      <c r="CAO12" s="301"/>
      <c r="CAP12" s="301"/>
      <c r="CAQ12" s="301"/>
      <c r="CAR12" s="301"/>
      <c r="CAS12" s="301"/>
      <c r="CAT12" s="301"/>
      <c r="CAU12" s="301"/>
      <c r="CAV12" s="301"/>
      <c r="CAW12" s="312"/>
      <c r="CAX12" s="301"/>
      <c r="CAY12" s="309"/>
      <c r="CAZ12" s="301"/>
      <c r="CBA12" s="306"/>
      <c r="CBB12" s="301"/>
      <c r="CBC12" s="309"/>
      <c r="CBD12" s="301"/>
      <c r="CBE12" s="309"/>
      <c r="CBF12" s="301"/>
      <c r="CBG12" s="301"/>
      <c r="CBH12" s="301"/>
      <c r="CBI12" s="301"/>
      <c r="CBJ12" s="301"/>
      <c r="CBK12" s="301"/>
      <c r="CBL12" s="301"/>
      <c r="CBM12" s="301"/>
      <c r="CBN12" s="312"/>
      <c r="CBO12" s="301"/>
      <c r="CBP12" s="309"/>
      <c r="CBQ12" s="301"/>
      <c r="CBR12" s="306"/>
      <c r="CBS12" s="301"/>
      <c r="CBT12" s="309"/>
      <c r="CBU12" s="301"/>
      <c r="CBV12" s="309"/>
      <c r="CBW12" s="301"/>
      <c r="CBX12" s="301"/>
      <c r="CBY12" s="301"/>
      <c r="CBZ12" s="301"/>
      <c r="CCA12" s="301"/>
      <c r="CCB12" s="301"/>
      <c r="CCC12" s="301"/>
      <c r="CCD12" s="301"/>
      <c r="CCE12" s="312"/>
      <c r="CCF12" s="301"/>
      <c r="CCG12" s="309"/>
      <c r="CCH12" s="301"/>
      <c r="CCI12" s="306"/>
      <c r="CCJ12" s="301"/>
      <c r="CCK12" s="309"/>
      <c r="CCL12" s="301"/>
      <c r="CCM12" s="309"/>
      <c r="CCN12" s="301"/>
      <c r="CCO12" s="301"/>
      <c r="CCP12" s="301"/>
      <c r="CCQ12" s="301"/>
      <c r="CCR12" s="301"/>
      <c r="CCS12" s="301"/>
      <c r="CCT12" s="301"/>
      <c r="CCU12" s="301"/>
      <c r="CCV12" s="312"/>
      <c r="CCW12" s="301"/>
      <c r="CCX12" s="309"/>
      <c r="CCY12" s="301"/>
      <c r="CCZ12" s="306"/>
      <c r="CDA12" s="301"/>
      <c r="CDB12" s="309"/>
      <c r="CDC12" s="301"/>
      <c r="CDD12" s="309"/>
      <c r="CDE12" s="301"/>
      <c r="CDF12" s="301"/>
      <c r="CDG12" s="301"/>
      <c r="CDH12" s="301"/>
      <c r="CDI12" s="301"/>
      <c r="CDJ12" s="301"/>
      <c r="CDK12" s="301"/>
      <c r="CDL12" s="301"/>
      <c r="CDM12" s="312"/>
      <c r="CDN12" s="301"/>
      <c r="CDO12" s="309"/>
      <c r="CDP12" s="301"/>
      <c r="CDQ12" s="306"/>
      <c r="CDR12" s="301"/>
      <c r="CDS12" s="309"/>
      <c r="CDT12" s="301"/>
      <c r="CDU12" s="309"/>
      <c r="CDV12" s="301"/>
      <c r="CDW12" s="301"/>
      <c r="CDX12" s="301"/>
      <c r="CDY12" s="301"/>
      <c r="CDZ12" s="301"/>
      <c r="CEA12" s="301"/>
      <c r="CEB12" s="301"/>
      <c r="CEC12" s="301"/>
      <c r="CED12" s="312"/>
      <c r="CEE12" s="301"/>
      <c r="CEF12" s="309"/>
      <c r="CEG12" s="301"/>
      <c r="CEH12" s="306"/>
      <c r="CEI12" s="301"/>
      <c r="CEJ12" s="309"/>
      <c r="CEK12" s="301"/>
      <c r="CEL12" s="309"/>
      <c r="CEM12" s="301"/>
      <c r="CEN12" s="301"/>
      <c r="CEO12" s="301"/>
      <c r="CEP12" s="301"/>
      <c r="CEQ12" s="301"/>
      <c r="CER12" s="301"/>
      <c r="CES12" s="301"/>
      <c r="CET12" s="301"/>
      <c r="CEU12" s="312"/>
      <c r="CEV12" s="301"/>
      <c r="CEW12" s="309"/>
      <c r="CEX12" s="301"/>
      <c r="CEY12" s="306"/>
      <c r="CEZ12" s="301"/>
      <c r="CFA12" s="309"/>
      <c r="CFB12" s="301"/>
      <c r="CFC12" s="309"/>
      <c r="CFD12" s="301"/>
      <c r="CFE12" s="301"/>
      <c r="CFF12" s="301"/>
      <c r="CFG12" s="301"/>
      <c r="CFH12" s="301"/>
      <c r="CFI12" s="301"/>
      <c r="CFJ12" s="301"/>
      <c r="CFK12" s="301"/>
      <c r="CFL12" s="312"/>
      <c r="CFM12" s="301"/>
      <c r="CFN12" s="309"/>
      <c r="CFO12" s="301"/>
      <c r="CFP12" s="306"/>
      <c r="CFQ12" s="301"/>
      <c r="CFR12" s="309"/>
      <c r="CFS12" s="301"/>
      <c r="CFT12" s="309"/>
      <c r="CFU12" s="301"/>
      <c r="CFV12" s="301"/>
      <c r="CFW12" s="301"/>
      <c r="CFX12" s="301"/>
      <c r="CFY12" s="301"/>
      <c r="CFZ12" s="301"/>
      <c r="CGA12" s="301"/>
      <c r="CGB12" s="301"/>
      <c r="CGC12" s="312"/>
      <c r="CGD12" s="301"/>
      <c r="CGE12" s="309"/>
      <c r="CGF12" s="301"/>
      <c r="CGG12" s="306"/>
      <c r="CGH12" s="301"/>
      <c r="CGI12" s="309"/>
      <c r="CGJ12" s="301"/>
      <c r="CGK12" s="309"/>
      <c r="CGL12" s="301"/>
      <c r="CGM12" s="301"/>
      <c r="CGN12" s="301"/>
      <c r="CGO12" s="301"/>
      <c r="CGP12" s="301"/>
      <c r="CGQ12" s="301"/>
      <c r="CGR12" s="301"/>
      <c r="CGS12" s="301"/>
      <c r="CGT12" s="312"/>
      <c r="CGU12" s="301"/>
      <c r="CGV12" s="309"/>
      <c r="CGW12" s="301"/>
      <c r="CGX12" s="306"/>
      <c r="CGY12" s="301"/>
      <c r="CGZ12" s="309"/>
      <c r="CHA12" s="301"/>
      <c r="CHB12" s="309"/>
      <c r="CHC12" s="301"/>
      <c r="CHD12" s="301"/>
      <c r="CHE12" s="301"/>
      <c r="CHF12" s="301"/>
      <c r="CHG12" s="301"/>
      <c r="CHH12" s="301"/>
      <c r="CHI12" s="301"/>
      <c r="CHJ12" s="301"/>
      <c r="CHK12" s="312"/>
      <c r="CHL12" s="301"/>
      <c r="CHM12" s="309"/>
      <c r="CHN12" s="301"/>
      <c r="CHO12" s="306"/>
      <c r="CHP12" s="301"/>
      <c r="CHQ12" s="309"/>
      <c r="CHR12" s="301"/>
      <c r="CHS12" s="309"/>
      <c r="CHT12" s="301"/>
      <c r="CHU12" s="301"/>
      <c r="CHV12" s="301"/>
      <c r="CHW12" s="301"/>
      <c r="CHX12" s="301"/>
      <c r="CHY12" s="301"/>
      <c r="CHZ12" s="301"/>
      <c r="CIA12" s="301"/>
      <c r="CIB12" s="312"/>
      <c r="CIC12" s="301"/>
      <c r="CID12" s="309"/>
      <c r="CIE12" s="301"/>
      <c r="CIF12" s="306"/>
      <c r="CIG12" s="301"/>
      <c r="CIH12" s="309"/>
      <c r="CII12" s="301"/>
      <c r="CIJ12" s="309"/>
      <c r="CIK12" s="301"/>
      <c r="CIL12" s="301"/>
      <c r="CIM12" s="301"/>
      <c r="CIN12" s="301"/>
      <c r="CIO12" s="301"/>
      <c r="CIP12" s="301"/>
      <c r="CIQ12" s="301"/>
      <c r="CIR12" s="301"/>
      <c r="CIS12" s="312"/>
      <c r="CIT12" s="301"/>
      <c r="CIU12" s="309"/>
      <c r="CIV12" s="301"/>
      <c r="CIW12" s="306"/>
      <c r="CIX12" s="301"/>
      <c r="CIY12" s="309"/>
      <c r="CIZ12" s="301"/>
      <c r="CJA12" s="309"/>
      <c r="CJB12" s="301"/>
      <c r="CJC12" s="301"/>
      <c r="CJD12" s="301"/>
      <c r="CJE12" s="301"/>
      <c r="CJF12" s="301"/>
      <c r="CJG12" s="301"/>
      <c r="CJH12" s="301"/>
      <c r="CJI12" s="301"/>
      <c r="CJJ12" s="312"/>
      <c r="CJK12" s="301"/>
      <c r="CJL12" s="309"/>
      <c r="CJM12" s="301"/>
      <c r="CJN12" s="306"/>
      <c r="CJO12" s="301"/>
      <c r="CJP12" s="309"/>
      <c r="CJQ12" s="301"/>
      <c r="CJR12" s="309"/>
      <c r="CJS12" s="301"/>
      <c r="CJT12" s="301"/>
      <c r="CJU12" s="301"/>
      <c r="CJV12" s="301"/>
      <c r="CJW12" s="301"/>
      <c r="CJX12" s="301"/>
      <c r="CJY12" s="301"/>
      <c r="CJZ12" s="301"/>
      <c r="CKA12" s="312"/>
      <c r="CKB12" s="301"/>
      <c r="CKC12" s="309"/>
      <c r="CKD12" s="301"/>
      <c r="CKE12" s="306"/>
      <c r="CKF12" s="301"/>
      <c r="CKG12" s="309"/>
      <c r="CKH12" s="301"/>
      <c r="CKI12" s="309"/>
      <c r="CKJ12" s="301"/>
      <c r="CKK12" s="301"/>
      <c r="CKL12" s="301"/>
      <c r="CKM12" s="301"/>
      <c r="CKN12" s="301"/>
      <c r="CKO12" s="301"/>
      <c r="CKP12" s="301"/>
      <c r="CKQ12" s="301"/>
      <c r="CKR12" s="312"/>
      <c r="CKS12" s="301"/>
      <c r="CKT12" s="309"/>
      <c r="CKU12" s="301"/>
      <c r="CKV12" s="306"/>
      <c r="CKW12" s="301"/>
      <c r="CKX12" s="309"/>
      <c r="CKY12" s="301"/>
      <c r="CKZ12" s="309"/>
      <c r="CLA12" s="301"/>
      <c r="CLB12" s="301"/>
      <c r="CLC12" s="301"/>
      <c r="CLD12" s="301"/>
      <c r="CLE12" s="301"/>
      <c r="CLF12" s="301"/>
      <c r="CLG12" s="301"/>
      <c r="CLH12" s="301"/>
      <c r="CLI12" s="312"/>
      <c r="CLJ12" s="301"/>
      <c r="CLK12" s="309"/>
      <c r="CLL12" s="301"/>
      <c r="CLM12" s="306"/>
      <c r="CLN12" s="301"/>
      <c r="CLO12" s="309"/>
      <c r="CLP12" s="301"/>
      <c r="CLQ12" s="309"/>
      <c r="CLR12" s="301"/>
      <c r="CLS12" s="301"/>
      <c r="CLT12" s="301"/>
      <c r="CLU12" s="301"/>
      <c r="CLV12" s="301"/>
      <c r="CLW12" s="301"/>
      <c r="CLX12" s="301"/>
      <c r="CLY12" s="301"/>
      <c r="CLZ12" s="312"/>
      <c r="CMA12" s="301"/>
      <c r="CMB12" s="309"/>
      <c r="CMC12" s="301"/>
      <c r="CMD12" s="306"/>
      <c r="CME12" s="301"/>
      <c r="CMF12" s="309"/>
      <c r="CMG12" s="301"/>
      <c r="CMH12" s="309"/>
      <c r="CMI12" s="301"/>
      <c r="CMJ12" s="301"/>
      <c r="CMK12" s="301"/>
      <c r="CML12" s="301"/>
      <c r="CMM12" s="301"/>
      <c r="CMN12" s="301"/>
      <c r="CMO12" s="301"/>
      <c r="CMP12" s="301"/>
      <c r="CMQ12" s="312"/>
      <c r="CMR12" s="301"/>
      <c r="CMS12" s="309"/>
      <c r="CMT12" s="301"/>
      <c r="CMU12" s="306"/>
      <c r="CMV12" s="301"/>
      <c r="CMW12" s="309"/>
      <c r="CMX12" s="301"/>
      <c r="CMY12" s="309"/>
      <c r="CMZ12" s="301"/>
      <c r="CNA12" s="301"/>
      <c r="CNB12" s="301"/>
      <c r="CNC12" s="301"/>
      <c r="CND12" s="301"/>
      <c r="CNE12" s="301"/>
      <c r="CNF12" s="301"/>
      <c r="CNG12" s="301"/>
      <c r="CNH12" s="312"/>
      <c r="CNI12" s="301"/>
      <c r="CNJ12" s="309"/>
      <c r="CNK12" s="301"/>
      <c r="CNL12" s="306"/>
      <c r="CNM12" s="301"/>
      <c r="CNN12" s="309"/>
      <c r="CNO12" s="301"/>
      <c r="CNP12" s="309"/>
      <c r="CNQ12" s="301"/>
      <c r="CNR12" s="301"/>
      <c r="CNS12" s="301"/>
      <c r="CNT12" s="301"/>
      <c r="CNU12" s="301"/>
      <c r="CNV12" s="301"/>
      <c r="CNW12" s="301"/>
      <c r="CNX12" s="301"/>
      <c r="CNY12" s="312"/>
      <c r="CNZ12" s="301"/>
      <c r="COA12" s="309"/>
      <c r="COB12" s="301"/>
      <c r="COC12" s="306"/>
      <c r="COD12" s="301"/>
      <c r="COE12" s="309"/>
      <c r="COF12" s="301"/>
      <c r="COG12" s="309"/>
      <c r="COH12" s="301"/>
      <c r="COI12" s="301"/>
      <c r="COJ12" s="301"/>
      <c r="COK12" s="301"/>
      <c r="COL12" s="301"/>
      <c r="COM12" s="301"/>
      <c r="CON12" s="301"/>
      <c r="COO12" s="301"/>
      <c r="COP12" s="312"/>
      <c r="COQ12" s="301"/>
      <c r="COR12" s="309"/>
      <c r="COS12" s="301"/>
      <c r="COT12" s="306"/>
      <c r="COU12" s="301"/>
      <c r="COV12" s="309"/>
      <c r="COW12" s="301"/>
      <c r="COX12" s="309"/>
      <c r="COY12" s="301"/>
      <c r="COZ12" s="301"/>
      <c r="CPA12" s="301"/>
      <c r="CPB12" s="301"/>
      <c r="CPC12" s="301"/>
      <c r="CPD12" s="301"/>
      <c r="CPE12" s="301"/>
      <c r="CPF12" s="301"/>
      <c r="CPG12" s="312"/>
      <c r="CPH12" s="301"/>
      <c r="CPI12" s="309"/>
      <c r="CPJ12" s="301"/>
      <c r="CPK12" s="306"/>
      <c r="CPL12" s="301"/>
      <c r="CPM12" s="309"/>
      <c r="CPN12" s="301"/>
      <c r="CPO12" s="309"/>
      <c r="CPP12" s="301"/>
      <c r="CPQ12" s="301"/>
      <c r="CPR12" s="301"/>
      <c r="CPS12" s="301"/>
      <c r="CPT12" s="301"/>
      <c r="CPU12" s="301"/>
      <c r="CPV12" s="301"/>
      <c r="CPW12" s="301"/>
      <c r="CPX12" s="312"/>
      <c r="CPY12" s="301"/>
      <c r="CPZ12" s="309"/>
      <c r="CQA12" s="301"/>
      <c r="CQB12" s="306"/>
      <c r="CQC12" s="301"/>
      <c r="CQD12" s="309"/>
      <c r="CQE12" s="301"/>
      <c r="CQF12" s="309"/>
      <c r="CQG12" s="301"/>
      <c r="CQH12" s="301"/>
      <c r="CQI12" s="301"/>
      <c r="CQJ12" s="301"/>
      <c r="CQK12" s="301"/>
      <c r="CQL12" s="301"/>
      <c r="CQM12" s="301"/>
      <c r="CQN12" s="301"/>
      <c r="CQO12" s="312"/>
      <c r="CQP12" s="301"/>
      <c r="CQQ12" s="309"/>
      <c r="CQR12" s="301"/>
      <c r="CQS12" s="306"/>
      <c r="CQT12" s="301"/>
      <c r="CQU12" s="309"/>
      <c r="CQV12" s="301"/>
      <c r="CQW12" s="309"/>
      <c r="CQX12" s="301"/>
      <c r="CQY12" s="301"/>
      <c r="CQZ12" s="301"/>
      <c r="CRA12" s="301"/>
      <c r="CRB12" s="301"/>
      <c r="CRC12" s="301"/>
      <c r="CRD12" s="301"/>
      <c r="CRE12" s="301"/>
      <c r="CRF12" s="312"/>
      <c r="CRG12" s="301"/>
      <c r="CRH12" s="309"/>
      <c r="CRI12" s="301"/>
      <c r="CRJ12" s="306"/>
      <c r="CRK12" s="301"/>
      <c r="CRL12" s="309"/>
      <c r="CRM12" s="301"/>
      <c r="CRN12" s="309"/>
      <c r="CRO12" s="301"/>
      <c r="CRP12" s="301"/>
      <c r="CRQ12" s="301"/>
      <c r="CRR12" s="301"/>
      <c r="CRS12" s="301"/>
      <c r="CRT12" s="301"/>
      <c r="CRU12" s="301"/>
      <c r="CRV12" s="301"/>
      <c r="CRW12" s="312"/>
      <c r="CRX12" s="301"/>
      <c r="CRY12" s="309"/>
      <c r="CRZ12" s="301"/>
      <c r="CSA12" s="306"/>
      <c r="CSB12" s="301"/>
      <c r="CSC12" s="309"/>
      <c r="CSD12" s="301"/>
      <c r="CSE12" s="309"/>
      <c r="CSF12" s="301"/>
      <c r="CSG12" s="301"/>
      <c r="CSH12" s="301"/>
      <c r="CSI12" s="301"/>
      <c r="CSJ12" s="301"/>
      <c r="CSK12" s="301"/>
      <c r="CSL12" s="301"/>
      <c r="CSM12" s="301"/>
      <c r="CSN12" s="312"/>
      <c r="CSO12" s="301"/>
      <c r="CSP12" s="309"/>
      <c r="CSQ12" s="301"/>
      <c r="CSR12" s="306"/>
      <c r="CSS12" s="301"/>
      <c r="CST12" s="309"/>
      <c r="CSU12" s="301"/>
      <c r="CSV12" s="309"/>
      <c r="CSW12" s="301"/>
      <c r="CSX12" s="301"/>
      <c r="CSY12" s="301"/>
      <c r="CSZ12" s="301"/>
      <c r="CTA12" s="301"/>
      <c r="CTB12" s="301"/>
      <c r="CTC12" s="301"/>
      <c r="CTD12" s="301"/>
      <c r="CTE12" s="312"/>
      <c r="CTF12" s="301"/>
      <c r="CTG12" s="309"/>
      <c r="CTH12" s="301"/>
      <c r="CTI12" s="306"/>
      <c r="CTJ12" s="301"/>
      <c r="CTK12" s="309"/>
      <c r="CTL12" s="301"/>
      <c r="CTM12" s="309"/>
      <c r="CTN12" s="301"/>
      <c r="CTO12" s="301"/>
      <c r="CTP12" s="301"/>
      <c r="CTQ12" s="301"/>
      <c r="CTR12" s="301"/>
      <c r="CTS12" s="301"/>
      <c r="CTT12" s="301"/>
      <c r="CTU12" s="301"/>
      <c r="CTV12" s="312"/>
      <c r="CTW12" s="301"/>
      <c r="CTX12" s="309"/>
      <c r="CTY12" s="301"/>
      <c r="CTZ12" s="306"/>
      <c r="CUA12" s="301"/>
      <c r="CUB12" s="309"/>
      <c r="CUC12" s="301"/>
      <c r="CUD12" s="309"/>
      <c r="CUE12" s="301"/>
      <c r="CUF12" s="301"/>
      <c r="CUG12" s="301"/>
      <c r="CUH12" s="301"/>
      <c r="CUI12" s="301"/>
      <c r="CUJ12" s="301"/>
      <c r="CUK12" s="301"/>
      <c r="CUL12" s="301"/>
      <c r="CUM12" s="312"/>
      <c r="CUN12" s="301"/>
      <c r="CUO12" s="309"/>
      <c r="CUP12" s="301"/>
      <c r="CUQ12" s="306"/>
      <c r="CUR12" s="301"/>
      <c r="CUS12" s="309"/>
      <c r="CUT12" s="301"/>
      <c r="CUU12" s="309"/>
      <c r="CUV12" s="301"/>
      <c r="CUW12" s="301"/>
      <c r="CUX12" s="301"/>
      <c r="CUY12" s="301"/>
      <c r="CUZ12" s="301"/>
      <c r="CVA12" s="301"/>
      <c r="CVB12" s="301"/>
      <c r="CVC12" s="301"/>
      <c r="CVD12" s="312"/>
      <c r="CVE12" s="301"/>
      <c r="CVF12" s="309"/>
      <c r="CVG12" s="301"/>
      <c r="CVH12" s="306"/>
      <c r="CVI12" s="301"/>
      <c r="CVJ12" s="309"/>
      <c r="CVK12" s="301"/>
      <c r="CVL12" s="309"/>
      <c r="CVM12" s="301"/>
      <c r="CVN12" s="301"/>
      <c r="CVO12" s="301"/>
      <c r="CVP12" s="301"/>
      <c r="CVQ12" s="301"/>
      <c r="CVR12" s="301"/>
      <c r="CVS12" s="301"/>
      <c r="CVT12" s="301"/>
      <c r="CVU12" s="312"/>
      <c r="CVV12" s="301"/>
      <c r="CVW12" s="309"/>
      <c r="CVX12" s="301"/>
      <c r="CVY12" s="306"/>
      <c r="CVZ12" s="301"/>
      <c r="CWA12" s="309"/>
      <c r="CWB12" s="301"/>
      <c r="CWC12" s="309"/>
      <c r="CWD12" s="301"/>
      <c r="CWE12" s="301"/>
      <c r="CWF12" s="301"/>
      <c r="CWG12" s="301"/>
      <c r="CWH12" s="301"/>
      <c r="CWI12" s="301"/>
      <c r="CWJ12" s="301"/>
      <c r="CWK12" s="301"/>
      <c r="CWL12" s="312"/>
      <c r="CWM12" s="301"/>
      <c r="CWN12" s="309"/>
      <c r="CWO12" s="301"/>
      <c r="CWP12" s="306"/>
      <c r="CWQ12" s="301"/>
      <c r="CWR12" s="309"/>
      <c r="CWS12" s="301"/>
      <c r="CWT12" s="309"/>
      <c r="CWU12" s="301"/>
      <c r="CWV12" s="301"/>
      <c r="CWW12" s="301"/>
      <c r="CWX12" s="301"/>
      <c r="CWY12" s="301"/>
      <c r="CWZ12" s="301"/>
      <c r="CXA12" s="301"/>
      <c r="CXB12" s="301"/>
      <c r="CXC12" s="312"/>
      <c r="CXD12" s="301"/>
      <c r="CXE12" s="309"/>
      <c r="CXF12" s="301"/>
      <c r="CXG12" s="306"/>
      <c r="CXH12" s="301"/>
      <c r="CXI12" s="309"/>
      <c r="CXJ12" s="301"/>
      <c r="CXK12" s="309"/>
      <c r="CXL12" s="301"/>
      <c r="CXM12" s="301"/>
      <c r="CXN12" s="301"/>
      <c r="CXO12" s="301"/>
      <c r="CXP12" s="301"/>
      <c r="CXQ12" s="301"/>
      <c r="CXR12" s="301"/>
      <c r="CXS12" s="301"/>
      <c r="CXT12" s="312"/>
      <c r="CXU12" s="301"/>
      <c r="CXV12" s="309"/>
      <c r="CXW12" s="301"/>
      <c r="CXX12" s="306"/>
      <c r="CXY12" s="301"/>
      <c r="CXZ12" s="309"/>
      <c r="CYA12" s="301"/>
      <c r="CYB12" s="309"/>
      <c r="CYC12" s="301"/>
      <c r="CYD12" s="301"/>
      <c r="CYE12" s="301"/>
      <c r="CYF12" s="301"/>
      <c r="CYG12" s="301"/>
      <c r="CYH12" s="301"/>
      <c r="CYI12" s="301"/>
      <c r="CYJ12" s="301"/>
      <c r="CYK12" s="312"/>
      <c r="CYL12" s="301"/>
      <c r="CYM12" s="309"/>
      <c r="CYN12" s="301"/>
      <c r="CYO12" s="306"/>
      <c r="CYP12" s="301"/>
      <c r="CYQ12" s="309"/>
      <c r="CYR12" s="301"/>
      <c r="CYS12" s="309"/>
      <c r="CYT12" s="301"/>
      <c r="CYU12" s="301"/>
      <c r="CYV12" s="301"/>
      <c r="CYW12" s="301"/>
      <c r="CYX12" s="301"/>
      <c r="CYY12" s="301"/>
      <c r="CYZ12" s="301"/>
      <c r="CZA12" s="301"/>
      <c r="CZB12" s="312"/>
      <c r="CZC12" s="301"/>
      <c r="CZD12" s="309"/>
      <c r="CZE12" s="301"/>
      <c r="CZF12" s="306"/>
      <c r="CZG12" s="301"/>
      <c r="CZH12" s="309"/>
      <c r="CZI12" s="301"/>
      <c r="CZJ12" s="309"/>
      <c r="CZK12" s="301"/>
      <c r="CZL12" s="301"/>
      <c r="CZM12" s="301"/>
      <c r="CZN12" s="301"/>
      <c r="CZO12" s="301"/>
      <c r="CZP12" s="301"/>
      <c r="CZQ12" s="301"/>
      <c r="CZR12" s="301"/>
      <c r="CZS12" s="312"/>
      <c r="CZT12" s="301"/>
      <c r="CZU12" s="309"/>
      <c r="CZV12" s="301"/>
      <c r="CZW12" s="306"/>
      <c r="CZX12" s="301"/>
      <c r="CZY12" s="309"/>
      <c r="CZZ12" s="301"/>
      <c r="DAA12" s="309"/>
      <c r="DAB12" s="301"/>
      <c r="DAC12" s="301"/>
      <c r="DAD12" s="301"/>
      <c r="DAE12" s="301"/>
      <c r="DAF12" s="301"/>
      <c r="DAG12" s="301"/>
      <c r="DAH12" s="301"/>
      <c r="DAI12" s="301"/>
      <c r="DAJ12" s="312"/>
      <c r="DAK12" s="301"/>
      <c r="DAL12" s="309"/>
      <c r="DAM12" s="301"/>
      <c r="DAN12" s="306"/>
      <c r="DAO12" s="301"/>
      <c r="DAP12" s="309"/>
      <c r="DAQ12" s="301"/>
      <c r="DAR12" s="309"/>
      <c r="DAS12" s="301"/>
      <c r="DAT12" s="301"/>
      <c r="DAU12" s="301"/>
      <c r="DAV12" s="301"/>
      <c r="DAW12" s="301"/>
      <c r="DAX12" s="301"/>
      <c r="DAY12" s="301"/>
      <c r="DAZ12" s="301"/>
      <c r="DBA12" s="312"/>
      <c r="DBB12" s="301"/>
      <c r="DBC12" s="309"/>
      <c r="DBD12" s="301"/>
      <c r="DBE12" s="306"/>
      <c r="DBF12" s="301"/>
      <c r="DBG12" s="309"/>
      <c r="DBH12" s="301"/>
      <c r="DBI12" s="309"/>
      <c r="DBJ12" s="301"/>
      <c r="DBK12" s="301"/>
      <c r="DBL12" s="301"/>
      <c r="DBM12" s="301"/>
      <c r="DBN12" s="301"/>
      <c r="DBO12" s="301"/>
      <c r="DBP12" s="301"/>
      <c r="DBQ12" s="301"/>
      <c r="DBR12" s="312"/>
      <c r="DBS12" s="301"/>
      <c r="DBT12" s="309"/>
      <c r="DBU12" s="301"/>
      <c r="DBV12" s="306"/>
      <c r="DBW12" s="301"/>
      <c r="DBX12" s="309"/>
      <c r="DBY12" s="301"/>
      <c r="DBZ12" s="309"/>
      <c r="DCA12" s="301"/>
      <c r="DCB12" s="301"/>
      <c r="DCC12" s="301"/>
      <c r="DCD12" s="301"/>
      <c r="DCE12" s="301"/>
      <c r="DCF12" s="301"/>
      <c r="DCG12" s="301"/>
      <c r="DCH12" s="301"/>
      <c r="DCI12" s="312"/>
      <c r="DCJ12" s="301"/>
      <c r="DCK12" s="309"/>
      <c r="DCL12" s="301"/>
      <c r="DCM12" s="306"/>
      <c r="DCN12" s="301"/>
      <c r="DCO12" s="309"/>
      <c r="DCP12" s="301"/>
      <c r="DCQ12" s="309"/>
      <c r="DCR12" s="301"/>
      <c r="DCS12" s="301"/>
      <c r="DCT12" s="301"/>
      <c r="DCU12" s="301"/>
      <c r="DCV12" s="301"/>
      <c r="DCW12" s="301"/>
      <c r="DCX12" s="301"/>
      <c r="DCY12" s="301"/>
      <c r="DCZ12" s="312"/>
      <c r="DDA12" s="301"/>
      <c r="DDB12" s="309"/>
      <c r="DDC12" s="301"/>
      <c r="DDD12" s="306"/>
      <c r="DDE12" s="301"/>
      <c r="DDF12" s="309"/>
      <c r="DDG12" s="301"/>
      <c r="DDH12" s="309"/>
      <c r="DDI12" s="301"/>
      <c r="DDJ12" s="301"/>
      <c r="DDK12" s="301"/>
      <c r="DDL12" s="301"/>
      <c r="DDM12" s="301"/>
      <c r="DDN12" s="301"/>
      <c r="DDO12" s="301"/>
      <c r="DDP12" s="301"/>
      <c r="DDQ12" s="312"/>
      <c r="DDR12" s="301"/>
      <c r="DDS12" s="309"/>
      <c r="DDT12" s="301"/>
      <c r="DDU12" s="306"/>
      <c r="DDV12" s="301"/>
      <c r="DDW12" s="309"/>
      <c r="DDX12" s="301"/>
      <c r="DDY12" s="309"/>
      <c r="DDZ12" s="301"/>
      <c r="DEA12" s="301"/>
      <c r="DEB12" s="301"/>
      <c r="DEC12" s="301"/>
      <c r="DED12" s="301"/>
      <c r="DEE12" s="301"/>
      <c r="DEF12" s="301"/>
      <c r="DEG12" s="301"/>
      <c r="DEH12" s="312"/>
      <c r="DEI12" s="301"/>
      <c r="DEJ12" s="309"/>
      <c r="DEK12" s="301"/>
      <c r="DEL12" s="306"/>
      <c r="DEM12" s="301"/>
      <c r="DEN12" s="309"/>
      <c r="DEO12" s="301"/>
      <c r="DEP12" s="309"/>
      <c r="DEQ12" s="301"/>
      <c r="DER12" s="301"/>
      <c r="DES12" s="301"/>
      <c r="DET12" s="301"/>
      <c r="DEU12" s="301"/>
      <c r="DEV12" s="301"/>
      <c r="DEW12" s="301"/>
      <c r="DEX12" s="301"/>
      <c r="DEY12" s="312"/>
      <c r="DEZ12" s="301"/>
      <c r="DFA12" s="309"/>
      <c r="DFB12" s="301"/>
      <c r="DFC12" s="306"/>
      <c r="DFD12" s="301"/>
      <c r="DFE12" s="309"/>
      <c r="DFF12" s="301"/>
      <c r="DFG12" s="309"/>
      <c r="DFH12" s="301"/>
      <c r="DFI12" s="301"/>
      <c r="DFJ12" s="301"/>
      <c r="DFK12" s="301"/>
      <c r="DFL12" s="301"/>
      <c r="DFM12" s="301"/>
      <c r="DFN12" s="301"/>
      <c r="DFO12" s="301"/>
      <c r="DFP12" s="312"/>
      <c r="DFQ12" s="301"/>
      <c r="DFR12" s="309"/>
      <c r="DFS12" s="301"/>
      <c r="DFT12" s="306"/>
      <c r="DFU12" s="301"/>
      <c r="DFV12" s="309"/>
      <c r="DFW12" s="301"/>
      <c r="DFX12" s="309"/>
      <c r="DFY12" s="301"/>
      <c r="DFZ12" s="301"/>
      <c r="DGA12" s="301"/>
      <c r="DGB12" s="301"/>
      <c r="DGC12" s="301"/>
      <c r="DGD12" s="301"/>
      <c r="DGE12" s="301"/>
      <c r="DGF12" s="301"/>
      <c r="DGG12" s="312"/>
      <c r="DGH12" s="301"/>
      <c r="DGI12" s="309"/>
      <c r="DGJ12" s="301"/>
      <c r="DGK12" s="306"/>
      <c r="DGL12" s="301"/>
      <c r="DGM12" s="309"/>
      <c r="DGN12" s="301"/>
      <c r="DGO12" s="309"/>
      <c r="DGP12" s="301"/>
      <c r="DGQ12" s="301"/>
      <c r="DGR12" s="301"/>
      <c r="DGS12" s="301"/>
      <c r="DGT12" s="301"/>
      <c r="DGU12" s="301"/>
      <c r="DGV12" s="301"/>
      <c r="DGW12" s="301"/>
      <c r="DGX12" s="312"/>
      <c r="DGY12" s="301"/>
      <c r="DGZ12" s="309"/>
      <c r="DHA12" s="301"/>
      <c r="DHB12" s="306"/>
      <c r="DHC12" s="301"/>
      <c r="DHD12" s="309"/>
      <c r="DHE12" s="301"/>
      <c r="DHF12" s="309"/>
      <c r="DHG12" s="301"/>
      <c r="DHH12" s="301"/>
      <c r="DHI12" s="301"/>
      <c r="DHJ12" s="301"/>
      <c r="DHK12" s="301"/>
      <c r="DHL12" s="301"/>
      <c r="DHM12" s="301"/>
      <c r="DHN12" s="301"/>
      <c r="DHO12" s="312"/>
      <c r="DHP12" s="301"/>
      <c r="DHQ12" s="309"/>
      <c r="DHR12" s="301"/>
      <c r="DHS12" s="306"/>
      <c r="DHT12" s="301"/>
      <c r="DHU12" s="309"/>
      <c r="DHV12" s="301"/>
      <c r="DHW12" s="309"/>
      <c r="DHX12" s="301"/>
      <c r="DHY12" s="301"/>
      <c r="DHZ12" s="301"/>
      <c r="DIA12" s="301"/>
      <c r="DIB12" s="301"/>
      <c r="DIC12" s="301"/>
      <c r="DID12" s="301"/>
      <c r="DIE12" s="301"/>
      <c r="DIF12" s="312"/>
      <c r="DIG12" s="301"/>
      <c r="DIH12" s="309"/>
      <c r="DII12" s="301"/>
      <c r="DIJ12" s="306"/>
      <c r="DIK12" s="301"/>
      <c r="DIL12" s="309"/>
      <c r="DIM12" s="301"/>
      <c r="DIN12" s="309"/>
      <c r="DIO12" s="301"/>
      <c r="DIP12" s="301"/>
      <c r="DIQ12" s="301"/>
      <c r="DIR12" s="301"/>
      <c r="DIS12" s="301"/>
      <c r="DIT12" s="301"/>
      <c r="DIU12" s="301"/>
      <c r="DIV12" s="301"/>
      <c r="DIW12" s="312"/>
      <c r="DIX12" s="301"/>
      <c r="DIY12" s="309"/>
      <c r="DIZ12" s="301"/>
      <c r="DJA12" s="306"/>
      <c r="DJB12" s="301"/>
      <c r="DJC12" s="309"/>
      <c r="DJD12" s="301"/>
      <c r="DJE12" s="309"/>
      <c r="DJF12" s="301"/>
      <c r="DJG12" s="301"/>
      <c r="DJH12" s="301"/>
      <c r="DJI12" s="301"/>
      <c r="DJJ12" s="301"/>
      <c r="DJK12" s="301"/>
      <c r="DJL12" s="301"/>
      <c r="DJM12" s="301"/>
      <c r="DJN12" s="312"/>
      <c r="DJO12" s="301"/>
      <c r="DJP12" s="309"/>
      <c r="DJQ12" s="301"/>
      <c r="DJR12" s="306"/>
      <c r="DJS12" s="301"/>
      <c r="DJT12" s="309"/>
      <c r="DJU12" s="301"/>
      <c r="DJV12" s="309"/>
      <c r="DJW12" s="301"/>
      <c r="DJX12" s="301"/>
      <c r="DJY12" s="301"/>
      <c r="DJZ12" s="301"/>
      <c r="DKA12" s="301"/>
      <c r="DKB12" s="301"/>
      <c r="DKC12" s="301"/>
      <c r="DKD12" s="301"/>
      <c r="DKE12" s="312"/>
      <c r="DKF12" s="301"/>
      <c r="DKG12" s="309"/>
      <c r="DKH12" s="301"/>
      <c r="DKI12" s="306"/>
      <c r="DKJ12" s="301"/>
      <c r="DKK12" s="309"/>
      <c r="DKL12" s="301"/>
      <c r="DKM12" s="309"/>
      <c r="DKN12" s="301"/>
      <c r="DKO12" s="301"/>
      <c r="DKP12" s="301"/>
      <c r="DKQ12" s="301"/>
      <c r="DKR12" s="301"/>
      <c r="DKS12" s="301"/>
      <c r="DKT12" s="301"/>
      <c r="DKU12" s="301"/>
      <c r="DKV12" s="312"/>
      <c r="DKW12" s="301"/>
      <c r="DKX12" s="309"/>
      <c r="DKY12" s="301"/>
      <c r="DKZ12" s="306"/>
      <c r="DLA12" s="301"/>
      <c r="DLB12" s="309"/>
      <c r="DLC12" s="301"/>
      <c r="DLD12" s="309"/>
      <c r="DLE12" s="301"/>
      <c r="DLF12" s="301"/>
      <c r="DLG12" s="301"/>
      <c r="DLH12" s="301"/>
      <c r="DLI12" s="301"/>
      <c r="DLJ12" s="301"/>
      <c r="DLK12" s="301"/>
      <c r="DLL12" s="301"/>
      <c r="DLM12" s="312"/>
      <c r="DLN12" s="301"/>
      <c r="DLO12" s="309"/>
      <c r="DLP12" s="301"/>
      <c r="DLQ12" s="306"/>
      <c r="DLR12" s="301"/>
      <c r="DLS12" s="309"/>
      <c r="DLT12" s="301"/>
      <c r="DLU12" s="309"/>
      <c r="DLV12" s="301"/>
      <c r="DLW12" s="301"/>
      <c r="DLX12" s="301"/>
      <c r="DLY12" s="301"/>
      <c r="DLZ12" s="301"/>
      <c r="DMA12" s="301"/>
      <c r="DMB12" s="301"/>
      <c r="DMC12" s="301"/>
      <c r="DMD12" s="312"/>
      <c r="DME12" s="301"/>
      <c r="DMF12" s="309"/>
      <c r="DMG12" s="301"/>
      <c r="DMH12" s="306"/>
      <c r="DMI12" s="301"/>
      <c r="DMJ12" s="309"/>
      <c r="DMK12" s="301"/>
      <c r="DML12" s="309"/>
      <c r="DMM12" s="301"/>
      <c r="DMN12" s="301"/>
      <c r="DMO12" s="301"/>
      <c r="DMP12" s="301"/>
      <c r="DMQ12" s="301"/>
      <c r="DMR12" s="301"/>
      <c r="DMS12" s="301"/>
      <c r="DMT12" s="301"/>
      <c r="DMU12" s="312"/>
      <c r="DMV12" s="301"/>
      <c r="DMW12" s="309"/>
      <c r="DMX12" s="301"/>
      <c r="DMY12" s="306"/>
      <c r="DMZ12" s="301"/>
      <c r="DNA12" s="309"/>
      <c r="DNB12" s="301"/>
      <c r="DNC12" s="309"/>
      <c r="DND12" s="301"/>
      <c r="DNE12" s="301"/>
      <c r="DNF12" s="301"/>
      <c r="DNG12" s="301"/>
      <c r="DNH12" s="301"/>
      <c r="DNI12" s="301"/>
      <c r="DNJ12" s="301"/>
      <c r="DNK12" s="301"/>
      <c r="DNL12" s="312"/>
      <c r="DNM12" s="301"/>
      <c r="DNN12" s="309"/>
      <c r="DNO12" s="301"/>
      <c r="DNP12" s="306"/>
      <c r="DNQ12" s="301"/>
      <c r="DNR12" s="309"/>
      <c r="DNS12" s="301"/>
      <c r="DNT12" s="309"/>
      <c r="DNU12" s="301"/>
      <c r="DNV12" s="301"/>
      <c r="DNW12" s="301"/>
      <c r="DNX12" s="301"/>
      <c r="DNY12" s="301"/>
      <c r="DNZ12" s="301"/>
      <c r="DOA12" s="301"/>
      <c r="DOB12" s="301"/>
      <c r="DOC12" s="312"/>
      <c r="DOD12" s="301"/>
      <c r="DOE12" s="309"/>
      <c r="DOF12" s="301"/>
      <c r="DOG12" s="306"/>
      <c r="DOH12" s="301"/>
      <c r="DOI12" s="309"/>
      <c r="DOJ12" s="301"/>
      <c r="DOK12" s="309"/>
      <c r="DOL12" s="301"/>
      <c r="DOM12" s="301"/>
      <c r="DON12" s="301"/>
      <c r="DOO12" s="301"/>
      <c r="DOP12" s="301"/>
      <c r="DOQ12" s="301"/>
      <c r="DOR12" s="301"/>
      <c r="DOS12" s="301"/>
      <c r="DOT12" s="312"/>
      <c r="DOU12" s="301"/>
      <c r="DOV12" s="309"/>
      <c r="DOW12" s="301"/>
      <c r="DOX12" s="306"/>
      <c r="DOY12" s="301"/>
      <c r="DOZ12" s="309"/>
      <c r="DPA12" s="301"/>
      <c r="DPB12" s="309"/>
      <c r="DPC12" s="301"/>
      <c r="DPD12" s="301"/>
      <c r="DPE12" s="301"/>
      <c r="DPF12" s="301"/>
      <c r="DPG12" s="301"/>
      <c r="DPH12" s="301"/>
      <c r="DPI12" s="301"/>
      <c r="DPJ12" s="301"/>
      <c r="DPK12" s="312"/>
      <c r="DPL12" s="301"/>
      <c r="DPM12" s="309"/>
      <c r="DPN12" s="301"/>
      <c r="DPO12" s="306"/>
      <c r="DPP12" s="301"/>
      <c r="DPQ12" s="309"/>
      <c r="DPR12" s="301"/>
      <c r="DPS12" s="309"/>
      <c r="DPT12" s="301"/>
      <c r="DPU12" s="301"/>
      <c r="DPV12" s="301"/>
      <c r="DPW12" s="301"/>
      <c r="DPX12" s="301"/>
      <c r="DPY12" s="301"/>
      <c r="DPZ12" s="301"/>
      <c r="DQA12" s="301"/>
      <c r="DQB12" s="312"/>
      <c r="DQC12" s="301"/>
      <c r="DQD12" s="309"/>
      <c r="DQE12" s="301"/>
      <c r="DQF12" s="306"/>
      <c r="DQG12" s="301"/>
      <c r="DQH12" s="309"/>
      <c r="DQI12" s="301"/>
      <c r="DQJ12" s="309"/>
      <c r="DQK12" s="301"/>
      <c r="DQL12" s="301"/>
      <c r="DQM12" s="301"/>
      <c r="DQN12" s="301"/>
      <c r="DQO12" s="301"/>
      <c r="DQP12" s="301"/>
      <c r="DQQ12" s="301"/>
      <c r="DQR12" s="301"/>
      <c r="DQS12" s="312"/>
      <c r="DQT12" s="301"/>
      <c r="DQU12" s="309"/>
      <c r="DQV12" s="301"/>
      <c r="DQW12" s="306"/>
      <c r="DQX12" s="301"/>
      <c r="DQY12" s="309"/>
      <c r="DQZ12" s="301"/>
      <c r="DRA12" s="309"/>
      <c r="DRB12" s="301"/>
      <c r="DRC12" s="301"/>
      <c r="DRD12" s="301"/>
      <c r="DRE12" s="301"/>
      <c r="DRF12" s="301"/>
      <c r="DRG12" s="301"/>
      <c r="DRH12" s="301"/>
      <c r="DRI12" s="301"/>
      <c r="DRJ12" s="312"/>
      <c r="DRK12" s="301"/>
      <c r="DRL12" s="309"/>
      <c r="DRM12" s="301"/>
      <c r="DRN12" s="306"/>
      <c r="DRO12" s="301"/>
      <c r="DRP12" s="309"/>
      <c r="DRQ12" s="301"/>
      <c r="DRR12" s="309"/>
      <c r="DRS12" s="301"/>
      <c r="DRT12" s="301"/>
      <c r="DRU12" s="301"/>
      <c r="DRV12" s="301"/>
      <c r="DRW12" s="301"/>
      <c r="DRX12" s="301"/>
      <c r="DRY12" s="301"/>
      <c r="DRZ12" s="301"/>
      <c r="DSA12" s="312"/>
      <c r="DSB12" s="301"/>
      <c r="DSC12" s="309"/>
      <c r="DSD12" s="301"/>
      <c r="DSE12" s="306"/>
      <c r="DSF12" s="301"/>
      <c r="DSG12" s="309"/>
      <c r="DSH12" s="301"/>
      <c r="DSI12" s="309"/>
      <c r="DSJ12" s="301"/>
      <c r="DSK12" s="301"/>
      <c r="DSL12" s="301"/>
      <c r="DSM12" s="301"/>
      <c r="DSN12" s="301"/>
      <c r="DSO12" s="301"/>
      <c r="DSP12" s="301"/>
      <c r="DSQ12" s="301"/>
      <c r="DSR12" s="312"/>
      <c r="DSS12" s="301"/>
      <c r="DST12" s="309"/>
      <c r="DSU12" s="301"/>
      <c r="DSV12" s="306"/>
      <c r="DSW12" s="301"/>
      <c r="DSX12" s="309"/>
      <c r="DSY12" s="301"/>
      <c r="DSZ12" s="309"/>
      <c r="DTA12" s="301"/>
      <c r="DTB12" s="301"/>
      <c r="DTC12" s="301"/>
      <c r="DTD12" s="301"/>
      <c r="DTE12" s="301"/>
      <c r="DTF12" s="301"/>
      <c r="DTG12" s="301"/>
      <c r="DTH12" s="301"/>
      <c r="DTI12" s="312"/>
      <c r="DTJ12" s="301"/>
      <c r="DTK12" s="309"/>
      <c r="DTL12" s="301"/>
      <c r="DTM12" s="306"/>
      <c r="DTN12" s="301"/>
      <c r="DTO12" s="309"/>
      <c r="DTP12" s="301"/>
      <c r="DTQ12" s="309"/>
      <c r="DTR12" s="301"/>
      <c r="DTS12" s="301"/>
      <c r="DTT12" s="301"/>
      <c r="DTU12" s="301"/>
      <c r="DTV12" s="301"/>
      <c r="DTW12" s="301"/>
      <c r="DTX12" s="301"/>
      <c r="DTY12" s="301"/>
      <c r="DTZ12" s="312"/>
      <c r="DUA12" s="301"/>
      <c r="DUB12" s="309"/>
      <c r="DUC12" s="301"/>
      <c r="DUD12" s="306"/>
      <c r="DUE12" s="301"/>
      <c r="DUF12" s="309"/>
      <c r="DUG12" s="301"/>
      <c r="DUH12" s="309"/>
      <c r="DUI12" s="301"/>
      <c r="DUJ12" s="301"/>
      <c r="DUK12" s="301"/>
      <c r="DUL12" s="301"/>
      <c r="DUM12" s="301"/>
      <c r="DUN12" s="301"/>
      <c r="DUO12" s="301"/>
      <c r="DUP12" s="301"/>
      <c r="DUQ12" s="312"/>
      <c r="DUR12" s="301"/>
      <c r="DUS12" s="309"/>
      <c r="DUT12" s="301"/>
      <c r="DUU12" s="306"/>
      <c r="DUV12" s="301"/>
      <c r="DUW12" s="309"/>
      <c r="DUX12" s="301"/>
      <c r="DUY12" s="309"/>
      <c r="DUZ12" s="301"/>
      <c r="DVA12" s="301"/>
      <c r="DVB12" s="301"/>
      <c r="DVC12" s="301"/>
      <c r="DVD12" s="301"/>
      <c r="DVE12" s="301"/>
      <c r="DVF12" s="301"/>
      <c r="DVG12" s="301"/>
      <c r="DVH12" s="312"/>
      <c r="DVI12" s="301"/>
      <c r="DVJ12" s="309"/>
      <c r="DVK12" s="301"/>
      <c r="DVL12" s="306"/>
      <c r="DVM12" s="301"/>
      <c r="DVN12" s="309"/>
      <c r="DVO12" s="301"/>
      <c r="DVP12" s="309"/>
      <c r="DVQ12" s="301"/>
      <c r="DVR12" s="301"/>
      <c r="DVS12" s="301"/>
      <c r="DVT12" s="301"/>
      <c r="DVU12" s="301"/>
      <c r="DVV12" s="301"/>
      <c r="DVW12" s="301"/>
      <c r="DVX12" s="301"/>
      <c r="DVY12" s="312"/>
      <c r="DVZ12" s="301"/>
      <c r="DWA12" s="309"/>
      <c r="DWB12" s="301"/>
      <c r="DWC12" s="306"/>
      <c r="DWD12" s="301"/>
      <c r="DWE12" s="309"/>
      <c r="DWF12" s="301"/>
      <c r="DWG12" s="309"/>
      <c r="DWH12" s="301"/>
      <c r="DWI12" s="301"/>
      <c r="DWJ12" s="301"/>
      <c r="DWK12" s="301"/>
      <c r="DWL12" s="301"/>
      <c r="DWM12" s="301"/>
      <c r="DWN12" s="301"/>
      <c r="DWO12" s="301"/>
      <c r="DWP12" s="312"/>
      <c r="DWQ12" s="301"/>
      <c r="DWR12" s="309"/>
      <c r="DWS12" s="301"/>
      <c r="DWT12" s="306"/>
      <c r="DWU12" s="301"/>
      <c r="DWV12" s="309"/>
      <c r="DWW12" s="301"/>
      <c r="DWX12" s="309"/>
      <c r="DWY12" s="301"/>
      <c r="DWZ12" s="301"/>
      <c r="DXA12" s="301"/>
      <c r="DXB12" s="301"/>
      <c r="DXC12" s="301"/>
      <c r="DXD12" s="301"/>
      <c r="DXE12" s="301"/>
      <c r="DXF12" s="301"/>
      <c r="DXG12" s="312"/>
      <c r="DXH12" s="301"/>
      <c r="DXI12" s="309"/>
      <c r="DXJ12" s="301"/>
      <c r="DXK12" s="306"/>
      <c r="DXL12" s="301"/>
      <c r="DXM12" s="309"/>
      <c r="DXN12" s="301"/>
      <c r="DXO12" s="309"/>
      <c r="DXP12" s="301"/>
      <c r="DXQ12" s="301"/>
      <c r="DXR12" s="301"/>
      <c r="DXS12" s="301"/>
      <c r="DXT12" s="301"/>
      <c r="DXU12" s="301"/>
      <c r="DXV12" s="301"/>
      <c r="DXW12" s="301"/>
      <c r="DXX12" s="312"/>
      <c r="DXY12" s="301"/>
      <c r="DXZ12" s="309"/>
      <c r="DYA12" s="301"/>
      <c r="DYB12" s="306"/>
      <c r="DYC12" s="301"/>
      <c r="DYD12" s="309"/>
      <c r="DYE12" s="301"/>
      <c r="DYF12" s="309"/>
      <c r="DYG12" s="301"/>
      <c r="DYH12" s="301"/>
      <c r="DYI12" s="301"/>
      <c r="DYJ12" s="301"/>
      <c r="DYK12" s="301"/>
      <c r="DYL12" s="301"/>
      <c r="DYM12" s="301"/>
      <c r="DYN12" s="301"/>
      <c r="DYO12" s="312"/>
      <c r="DYP12" s="301"/>
      <c r="DYQ12" s="309"/>
      <c r="DYR12" s="301"/>
      <c r="DYS12" s="306"/>
      <c r="DYT12" s="301"/>
      <c r="DYU12" s="309"/>
      <c r="DYV12" s="301"/>
      <c r="DYW12" s="309"/>
      <c r="DYX12" s="301"/>
      <c r="DYY12" s="301"/>
      <c r="DYZ12" s="301"/>
      <c r="DZA12" s="301"/>
      <c r="DZB12" s="301"/>
      <c r="DZC12" s="301"/>
      <c r="DZD12" s="301"/>
      <c r="DZE12" s="301"/>
      <c r="DZF12" s="312"/>
      <c r="DZG12" s="301"/>
      <c r="DZH12" s="309"/>
      <c r="DZI12" s="301"/>
      <c r="DZJ12" s="306"/>
      <c r="DZK12" s="301"/>
      <c r="DZL12" s="309"/>
      <c r="DZM12" s="301"/>
      <c r="DZN12" s="309"/>
      <c r="DZO12" s="301"/>
      <c r="DZP12" s="301"/>
      <c r="DZQ12" s="301"/>
      <c r="DZR12" s="301"/>
      <c r="DZS12" s="301"/>
      <c r="DZT12" s="301"/>
      <c r="DZU12" s="301"/>
      <c r="DZV12" s="301"/>
      <c r="DZW12" s="312"/>
      <c r="DZX12" s="301"/>
      <c r="DZY12" s="309"/>
      <c r="DZZ12" s="301"/>
      <c r="EAA12" s="306"/>
      <c r="EAB12" s="301"/>
      <c r="EAC12" s="309"/>
      <c r="EAD12" s="301"/>
      <c r="EAE12" s="309"/>
      <c r="EAF12" s="301"/>
      <c r="EAG12" s="301"/>
      <c r="EAH12" s="301"/>
      <c r="EAI12" s="301"/>
      <c r="EAJ12" s="301"/>
      <c r="EAK12" s="301"/>
      <c r="EAL12" s="301"/>
      <c r="EAM12" s="301"/>
      <c r="EAN12" s="312"/>
      <c r="EAO12" s="301"/>
      <c r="EAP12" s="309"/>
      <c r="EAQ12" s="301"/>
      <c r="EAR12" s="306"/>
      <c r="EAS12" s="301"/>
      <c r="EAT12" s="309"/>
      <c r="EAU12" s="301"/>
      <c r="EAV12" s="309"/>
      <c r="EAW12" s="301"/>
      <c r="EAX12" s="301"/>
      <c r="EAY12" s="301"/>
      <c r="EAZ12" s="301"/>
      <c r="EBA12" s="301"/>
      <c r="EBB12" s="301"/>
      <c r="EBC12" s="301"/>
      <c r="EBD12" s="301"/>
      <c r="EBE12" s="312"/>
      <c r="EBF12" s="301"/>
      <c r="EBG12" s="309"/>
      <c r="EBH12" s="301"/>
      <c r="EBI12" s="306"/>
      <c r="EBJ12" s="301"/>
      <c r="EBK12" s="309"/>
      <c r="EBL12" s="301"/>
      <c r="EBM12" s="309"/>
      <c r="EBN12" s="301"/>
      <c r="EBO12" s="301"/>
      <c r="EBP12" s="301"/>
      <c r="EBQ12" s="301"/>
      <c r="EBR12" s="301"/>
      <c r="EBS12" s="301"/>
      <c r="EBT12" s="301"/>
      <c r="EBU12" s="301"/>
      <c r="EBV12" s="312"/>
      <c r="EBW12" s="301"/>
      <c r="EBX12" s="309"/>
      <c r="EBY12" s="301"/>
      <c r="EBZ12" s="306"/>
      <c r="ECA12" s="301"/>
      <c r="ECB12" s="309"/>
      <c r="ECC12" s="301"/>
      <c r="ECD12" s="309"/>
      <c r="ECE12" s="301"/>
      <c r="ECF12" s="301"/>
      <c r="ECG12" s="301"/>
      <c r="ECH12" s="301"/>
      <c r="ECI12" s="301"/>
      <c r="ECJ12" s="301"/>
      <c r="ECK12" s="301"/>
      <c r="ECL12" s="301"/>
      <c r="ECM12" s="312"/>
      <c r="ECN12" s="301"/>
      <c r="ECO12" s="309"/>
      <c r="ECP12" s="301"/>
      <c r="ECQ12" s="306"/>
      <c r="ECR12" s="301"/>
      <c r="ECS12" s="309"/>
      <c r="ECT12" s="301"/>
      <c r="ECU12" s="309"/>
      <c r="ECV12" s="301"/>
      <c r="ECW12" s="301"/>
      <c r="ECX12" s="301"/>
      <c r="ECY12" s="301"/>
      <c r="ECZ12" s="301"/>
      <c r="EDA12" s="301"/>
      <c r="EDB12" s="301"/>
      <c r="EDC12" s="301"/>
      <c r="EDD12" s="312"/>
      <c r="EDE12" s="301"/>
      <c r="EDF12" s="309"/>
      <c r="EDG12" s="301"/>
      <c r="EDH12" s="306"/>
      <c r="EDI12" s="301"/>
      <c r="EDJ12" s="309"/>
      <c r="EDK12" s="301"/>
      <c r="EDL12" s="309"/>
      <c r="EDM12" s="301"/>
      <c r="EDN12" s="301"/>
      <c r="EDO12" s="301"/>
      <c r="EDP12" s="301"/>
      <c r="EDQ12" s="301"/>
      <c r="EDR12" s="301"/>
      <c r="EDS12" s="301"/>
      <c r="EDT12" s="301"/>
      <c r="EDU12" s="312"/>
      <c r="EDV12" s="301"/>
      <c r="EDW12" s="309"/>
      <c r="EDX12" s="301"/>
      <c r="EDY12" s="306"/>
      <c r="EDZ12" s="301"/>
      <c r="EEA12" s="309"/>
      <c r="EEB12" s="301"/>
      <c r="EEC12" s="309"/>
      <c r="EED12" s="301"/>
      <c r="EEE12" s="301"/>
      <c r="EEF12" s="301"/>
      <c r="EEG12" s="301"/>
      <c r="EEH12" s="301"/>
      <c r="EEI12" s="301"/>
      <c r="EEJ12" s="301"/>
      <c r="EEK12" s="301"/>
      <c r="EEL12" s="312"/>
      <c r="EEM12" s="301"/>
      <c r="EEN12" s="309"/>
      <c r="EEO12" s="301"/>
      <c r="EEP12" s="306"/>
      <c r="EEQ12" s="301"/>
      <c r="EER12" s="309"/>
      <c r="EES12" s="301"/>
      <c r="EET12" s="309"/>
      <c r="EEU12" s="301"/>
      <c r="EEV12" s="301"/>
      <c r="EEW12" s="301"/>
      <c r="EEX12" s="301"/>
      <c r="EEY12" s="301"/>
      <c r="EEZ12" s="301"/>
      <c r="EFA12" s="301"/>
      <c r="EFB12" s="301"/>
      <c r="EFC12" s="312"/>
      <c r="EFD12" s="301"/>
      <c r="EFE12" s="309"/>
      <c r="EFF12" s="301"/>
      <c r="EFG12" s="306"/>
      <c r="EFH12" s="301"/>
      <c r="EFI12" s="309"/>
      <c r="EFJ12" s="301"/>
      <c r="EFK12" s="309"/>
      <c r="EFL12" s="301"/>
      <c r="EFM12" s="301"/>
      <c r="EFN12" s="301"/>
      <c r="EFO12" s="301"/>
      <c r="EFP12" s="301"/>
      <c r="EFQ12" s="301"/>
      <c r="EFR12" s="301"/>
      <c r="EFS12" s="301"/>
      <c r="EFT12" s="312"/>
      <c r="EFU12" s="301"/>
      <c r="EFV12" s="309"/>
      <c r="EFW12" s="301"/>
      <c r="EFX12" s="306"/>
      <c r="EFY12" s="301"/>
      <c r="EFZ12" s="309"/>
      <c r="EGA12" s="301"/>
      <c r="EGB12" s="309"/>
      <c r="EGC12" s="301"/>
      <c r="EGD12" s="301"/>
      <c r="EGE12" s="301"/>
      <c r="EGF12" s="301"/>
      <c r="EGG12" s="301"/>
      <c r="EGH12" s="301"/>
      <c r="EGI12" s="301"/>
      <c r="EGJ12" s="301"/>
      <c r="EGK12" s="312"/>
      <c r="EGL12" s="301"/>
      <c r="EGM12" s="309"/>
      <c r="EGN12" s="301"/>
      <c r="EGO12" s="306"/>
      <c r="EGP12" s="301"/>
      <c r="EGQ12" s="309"/>
      <c r="EGR12" s="301"/>
      <c r="EGS12" s="309"/>
      <c r="EGT12" s="301"/>
      <c r="EGU12" s="301"/>
      <c r="EGV12" s="301"/>
      <c r="EGW12" s="301"/>
      <c r="EGX12" s="301"/>
      <c r="EGY12" s="301"/>
      <c r="EGZ12" s="301"/>
      <c r="EHA12" s="301"/>
      <c r="EHB12" s="312"/>
      <c r="EHC12" s="301"/>
      <c r="EHD12" s="309"/>
      <c r="EHE12" s="301"/>
      <c r="EHF12" s="306"/>
      <c r="EHG12" s="301"/>
      <c r="EHH12" s="309"/>
      <c r="EHI12" s="301"/>
      <c r="EHJ12" s="309"/>
      <c r="EHK12" s="301"/>
      <c r="EHL12" s="301"/>
      <c r="EHM12" s="301"/>
      <c r="EHN12" s="301"/>
      <c r="EHO12" s="301"/>
      <c r="EHP12" s="301"/>
      <c r="EHQ12" s="301"/>
      <c r="EHR12" s="301"/>
      <c r="EHS12" s="312"/>
      <c r="EHT12" s="301"/>
      <c r="EHU12" s="309"/>
      <c r="EHV12" s="301"/>
      <c r="EHW12" s="306"/>
      <c r="EHX12" s="301"/>
      <c r="EHY12" s="309"/>
      <c r="EHZ12" s="301"/>
      <c r="EIA12" s="309"/>
      <c r="EIB12" s="301"/>
      <c r="EIC12" s="301"/>
      <c r="EID12" s="301"/>
      <c r="EIE12" s="301"/>
      <c r="EIF12" s="301"/>
      <c r="EIG12" s="301"/>
      <c r="EIH12" s="301"/>
      <c r="EII12" s="301"/>
      <c r="EIJ12" s="312"/>
      <c r="EIK12" s="301"/>
      <c r="EIL12" s="309"/>
      <c r="EIM12" s="301"/>
      <c r="EIN12" s="306"/>
      <c r="EIO12" s="301"/>
      <c r="EIP12" s="309"/>
      <c r="EIQ12" s="301"/>
      <c r="EIR12" s="309"/>
      <c r="EIS12" s="301"/>
      <c r="EIT12" s="301"/>
      <c r="EIU12" s="301"/>
      <c r="EIV12" s="301"/>
      <c r="EIW12" s="301"/>
      <c r="EIX12" s="301"/>
      <c r="EIY12" s="301"/>
      <c r="EIZ12" s="301"/>
      <c r="EJA12" s="312"/>
      <c r="EJB12" s="301"/>
      <c r="EJC12" s="309"/>
      <c r="EJD12" s="301"/>
      <c r="EJE12" s="306"/>
      <c r="EJF12" s="301"/>
      <c r="EJG12" s="309"/>
      <c r="EJH12" s="301"/>
      <c r="EJI12" s="309"/>
      <c r="EJJ12" s="301"/>
      <c r="EJK12" s="301"/>
      <c r="EJL12" s="301"/>
      <c r="EJM12" s="301"/>
      <c r="EJN12" s="301"/>
      <c r="EJO12" s="301"/>
      <c r="EJP12" s="301"/>
      <c r="EJQ12" s="301"/>
      <c r="EJR12" s="312"/>
      <c r="EJS12" s="301"/>
      <c r="EJT12" s="309"/>
      <c r="EJU12" s="301"/>
      <c r="EJV12" s="306"/>
      <c r="EJW12" s="301"/>
      <c r="EJX12" s="309"/>
      <c r="EJY12" s="301"/>
      <c r="EJZ12" s="309"/>
      <c r="EKA12" s="301"/>
      <c r="EKB12" s="301"/>
      <c r="EKC12" s="301"/>
      <c r="EKD12" s="301"/>
      <c r="EKE12" s="301"/>
      <c r="EKF12" s="301"/>
      <c r="EKG12" s="301"/>
      <c r="EKH12" s="301"/>
      <c r="EKI12" s="312"/>
      <c r="EKJ12" s="301"/>
      <c r="EKK12" s="309"/>
      <c r="EKL12" s="301"/>
      <c r="EKM12" s="306"/>
      <c r="EKN12" s="301"/>
      <c r="EKO12" s="309"/>
      <c r="EKP12" s="301"/>
      <c r="EKQ12" s="309"/>
      <c r="EKR12" s="301"/>
      <c r="EKS12" s="301"/>
      <c r="EKT12" s="301"/>
      <c r="EKU12" s="301"/>
      <c r="EKV12" s="301"/>
      <c r="EKW12" s="301"/>
      <c r="EKX12" s="301"/>
      <c r="EKY12" s="301"/>
      <c r="EKZ12" s="312"/>
      <c r="ELA12" s="301"/>
      <c r="ELB12" s="309"/>
      <c r="ELC12" s="301"/>
      <c r="ELD12" s="306"/>
      <c r="ELE12" s="301"/>
      <c r="ELF12" s="309"/>
      <c r="ELG12" s="301"/>
      <c r="ELH12" s="309"/>
      <c r="ELI12" s="301"/>
      <c r="ELJ12" s="301"/>
      <c r="ELK12" s="301"/>
      <c r="ELL12" s="301"/>
      <c r="ELM12" s="301"/>
      <c r="ELN12" s="301"/>
      <c r="ELO12" s="301"/>
      <c r="ELP12" s="301"/>
      <c r="ELQ12" s="312"/>
      <c r="ELR12" s="301"/>
      <c r="ELS12" s="309"/>
      <c r="ELT12" s="301"/>
      <c r="ELU12" s="306"/>
      <c r="ELV12" s="301"/>
      <c r="ELW12" s="309"/>
      <c r="ELX12" s="301"/>
      <c r="ELY12" s="309"/>
      <c r="ELZ12" s="301"/>
      <c r="EMA12" s="301"/>
      <c r="EMB12" s="301"/>
      <c r="EMC12" s="301"/>
      <c r="EMD12" s="301"/>
      <c r="EME12" s="301"/>
      <c r="EMF12" s="301"/>
      <c r="EMG12" s="301"/>
      <c r="EMH12" s="312"/>
      <c r="EMI12" s="301"/>
      <c r="EMJ12" s="309"/>
      <c r="EMK12" s="301"/>
      <c r="EML12" s="306"/>
      <c r="EMM12" s="301"/>
      <c r="EMN12" s="309"/>
      <c r="EMO12" s="301"/>
      <c r="EMP12" s="309"/>
      <c r="EMQ12" s="301"/>
      <c r="EMR12" s="301"/>
      <c r="EMS12" s="301"/>
      <c r="EMT12" s="301"/>
      <c r="EMU12" s="301"/>
      <c r="EMV12" s="301"/>
      <c r="EMW12" s="301"/>
      <c r="EMX12" s="301"/>
      <c r="EMY12" s="312"/>
      <c r="EMZ12" s="301"/>
      <c r="ENA12" s="309"/>
      <c r="ENB12" s="301"/>
      <c r="ENC12" s="306"/>
      <c r="END12" s="301"/>
      <c r="ENE12" s="309"/>
      <c r="ENF12" s="301"/>
      <c r="ENG12" s="309"/>
      <c r="ENH12" s="301"/>
      <c r="ENI12" s="301"/>
      <c r="ENJ12" s="301"/>
      <c r="ENK12" s="301"/>
      <c r="ENL12" s="301"/>
      <c r="ENM12" s="301"/>
      <c r="ENN12" s="301"/>
      <c r="ENO12" s="301"/>
      <c r="ENP12" s="312"/>
      <c r="ENQ12" s="301"/>
      <c r="ENR12" s="309"/>
      <c r="ENS12" s="301"/>
      <c r="ENT12" s="306"/>
      <c r="ENU12" s="301"/>
      <c r="ENV12" s="309"/>
      <c r="ENW12" s="301"/>
      <c r="ENX12" s="309"/>
      <c r="ENY12" s="301"/>
      <c r="ENZ12" s="301"/>
      <c r="EOA12" s="301"/>
      <c r="EOB12" s="301"/>
      <c r="EOC12" s="301"/>
      <c r="EOD12" s="301"/>
      <c r="EOE12" s="301"/>
      <c r="EOF12" s="301"/>
      <c r="EOG12" s="312"/>
      <c r="EOH12" s="301"/>
      <c r="EOI12" s="309"/>
      <c r="EOJ12" s="301"/>
      <c r="EOK12" s="306"/>
      <c r="EOL12" s="301"/>
      <c r="EOM12" s="309"/>
      <c r="EON12" s="301"/>
      <c r="EOO12" s="309"/>
      <c r="EOP12" s="301"/>
      <c r="EOQ12" s="301"/>
      <c r="EOR12" s="301"/>
      <c r="EOS12" s="301"/>
      <c r="EOT12" s="301"/>
      <c r="EOU12" s="301"/>
      <c r="EOV12" s="301"/>
      <c r="EOW12" s="301"/>
      <c r="EOX12" s="312"/>
      <c r="EOY12" s="301"/>
      <c r="EOZ12" s="309"/>
      <c r="EPA12" s="301"/>
      <c r="EPB12" s="306"/>
      <c r="EPC12" s="301"/>
      <c r="EPD12" s="309"/>
      <c r="EPE12" s="301"/>
      <c r="EPF12" s="309"/>
      <c r="EPG12" s="301"/>
      <c r="EPH12" s="301"/>
      <c r="EPI12" s="301"/>
      <c r="EPJ12" s="301"/>
      <c r="EPK12" s="301"/>
      <c r="EPL12" s="301"/>
      <c r="EPM12" s="301"/>
      <c r="EPN12" s="301"/>
      <c r="EPO12" s="312"/>
      <c r="EPP12" s="301"/>
      <c r="EPQ12" s="309"/>
      <c r="EPR12" s="301"/>
      <c r="EPS12" s="306"/>
      <c r="EPT12" s="301"/>
      <c r="EPU12" s="309"/>
      <c r="EPV12" s="301"/>
      <c r="EPW12" s="309"/>
      <c r="EPX12" s="301"/>
      <c r="EPY12" s="301"/>
      <c r="EPZ12" s="301"/>
      <c r="EQA12" s="301"/>
      <c r="EQB12" s="301"/>
      <c r="EQC12" s="301"/>
      <c r="EQD12" s="301"/>
      <c r="EQE12" s="301"/>
      <c r="EQF12" s="312"/>
      <c r="EQG12" s="301"/>
      <c r="EQH12" s="309"/>
      <c r="EQI12" s="301"/>
      <c r="EQJ12" s="306"/>
      <c r="EQK12" s="301"/>
      <c r="EQL12" s="309"/>
      <c r="EQM12" s="301"/>
      <c r="EQN12" s="309"/>
      <c r="EQO12" s="301"/>
      <c r="EQP12" s="301"/>
      <c r="EQQ12" s="301"/>
      <c r="EQR12" s="301"/>
      <c r="EQS12" s="301"/>
      <c r="EQT12" s="301"/>
      <c r="EQU12" s="301"/>
      <c r="EQV12" s="301"/>
      <c r="EQW12" s="312"/>
      <c r="EQX12" s="301"/>
      <c r="EQY12" s="309"/>
      <c r="EQZ12" s="301"/>
      <c r="ERA12" s="306"/>
      <c r="ERB12" s="301"/>
      <c r="ERC12" s="309"/>
      <c r="ERD12" s="301"/>
      <c r="ERE12" s="309"/>
      <c r="ERF12" s="301"/>
      <c r="ERG12" s="301"/>
      <c r="ERH12" s="301"/>
      <c r="ERI12" s="301"/>
      <c r="ERJ12" s="301"/>
      <c r="ERK12" s="301"/>
      <c r="ERL12" s="301"/>
      <c r="ERM12" s="301"/>
      <c r="ERN12" s="312"/>
      <c r="ERO12" s="301"/>
      <c r="ERP12" s="309"/>
      <c r="ERQ12" s="301"/>
      <c r="ERR12" s="306"/>
      <c r="ERS12" s="301"/>
      <c r="ERT12" s="309"/>
      <c r="ERU12" s="301"/>
      <c r="ERV12" s="309"/>
      <c r="ERW12" s="301"/>
      <c r="ERX12" s="301"/>
      <c r="ERY12" s="301"/>
      <c r="ERZ12" s="301"/>
      <c r="ESA12" s="301"/>
      <c r="ESB12" s="301"/>
      <c r="ESC12" s="301"/>
      <c r="ESD12" s="301"/>
      <c r="ESE12" s="312"/>
      <c r="ESF12" s="301"/>
      <c r="ESG12" s="309"/>
      <c r="ESH12" s="301"/>
      <c r="ESI12" s="306"/>
      <c r="ESJ12" s="301"/>
      <c r="ESK12" s="309"/>
      <c r="ESL12" s="301"/>
      <c r="ESM12" s="309"/>
      <c r="ESN12" s="301"/>
      <c r="ESO12" s="301"/>
      <c r="ESP12" s="301"/>
      <c r="ESQ12" s="301"/>
      <c r="ESR12" s="301"/>
      <c r="ESS12" s="301"/>
      <c r="EST12" s="301"/>
      <c r="ESU12" s="301"/>
      <c r="ESV12" s="312"/>
      <c r="ESW12" s="301"/>
      <c r="ESX12" s="309"/>
      <c r="ESY12" s="301"/>
      <c r="ESZ12" s="306"/>
      <c r="ETA12" s="301"/>
      <c r="ETB12" s="309"/>
      <c r="ETC12" s="301"/>
      <c r="ETD12" s="309"/>
      <c r="ETE12" s="301"/>
      <c r="ETF12" s="301"/>
      <c r="ETG12" s="301"/>
      <c r="ETH12" s="301"/>
      <c r="ETI12" s="301"/>
      <c r="ETJ12" s="301"/>
      <c r="ETK12" s="301"/>
      <c r="ETL12" s="301"/>
      <c r="ETM12" s="312"/>
      <c r="ETN12" s="301"/>
      <c r="ETO12" s="309"/>
      <c r="ETP12" s="301"/>
      <c r="ETQ12" s="306"/>
      <c r="ETR12" s="301"/>
      <c r="ETS12" s="309"/>
      <c r="ETT12" s="301"/>
      <c r="ETU12" s="309"/>
      <c r="ETV12" s="301"/>
      <c r="ETW12" s="301"/>
      <c r="ETX12" s="301"/>
      <c r="ETY12" s="301"/>
      <c r="ETZ12" s="301"/>
      <c r="EUA12" s="301"/>
      <c r="EUB12" s="301"/>
      <c r="EUC12" s="301"/>
      <c r="EUD12" s="312"/>
      <c r="EUE12" s="301"/>
      <c r="EUF12" s="309"/>
      <c r="EUG12" s="301"/>
      <c r="EUH12" s="306"/>
      <c r="EUI12" s="301"/>
      <c r="EUJ12" s="309"/>
      <c r="EUK12" s="301"/>
      <c r="EUL12" s="309"/>
      <c r="EUM12" s="301"/>
      <c r="EUN12" s="301"/>
      <c r="EUO12" s="301"/>
      <c r="EUP12" s="301"/>
      <c r="EUQ12" s="301"/>
      <c r="EUR12" s="301"/>
      <c r="EUS12" s="301"/>
      <c r="EUT12" s="301"/>
      <c r="EUU12" s="312"/>
      <c r="EUV12" s="301"/>
      <c r="EUW12" s="309"/>
      <c r="EUX12" s="301"/>
      <c r="EUY12" s="306"/>
      <c r="EUZ12" s="301"/>
      <c r="EVA12" s="309"/>
      <c r="EVB12" s="301"/>
      <c r="EVC12" s="309"/>
      <c r="EVD12" s="301"/>
      <c r="EVE12" s="301"/>
      <c r="EVF12" s="301"/>
      <c r="EVG12" s="301"/>
      <c r="EVH12" s="301"/>
      <c r="EVI12" s="301"/>
      <c r="EVJ12" s="301"/>
      <c r="EVK12" s="301"/>
      <c r="EVL12" s="312"/>
      <c r="EVM12" s="301"/>
      <c r="EVN12" s="309"/>
      <c r="EVO12" s="301"/>
      <c r="EVP12" s="306"/>
      <c r="EVQ12" s="301"/>
      <c r="EVR12" s="309"/>
      <c r="EVS12" s="301"/>
      <c r="EVT12" s="309"/>
      <c r="EVU12" s="301"/>
      <c r="EVV12" s="301"/>
      <c r="EVW12" s="301"/>
      <c r="EVX12" s="301"/>
      <c r="EVY12" s="301"/>
      <c r="EVZ12" s="301"/>
      <c r="EWA12" s="301"/>
      <c r="EWB12" s="301"/>
      <c r="EWC12" s="312"/>
      <c r="EWD12" s="301"/>
      <c r="EWE12" s="309"/>
      <c r="EWF12" s="301"/>
      <c r="EWG12" s="306"/>
      <c r="EWH12" s="301"/>
      <c r="EWI12" s="309"/>
      <c r="EWJ12" s="301"/>
      <c r="EWK12" s="309"/>
      <c r="EWL12" s="301"/>
      <c r="EWM12" s="301"/>
      <c r="EWN12" s="301"/>
      <c r="EWO12" s="301"/>
      <c r="EWP12" s="301"/>
      <c r="EWQ12" s="301"/>
      <c r="EWR12" s="301"/>
      <c r="EWS12" s="301"/>
      <c r="EWT12" s="312"/>
      <c r="EWU12" s="301"/>
      <c r="EWV12" s="309"/>
      <c r="EWW12" s="301"/>
      <c r="EWX12" s="306"/>
      <c r="EWY12" s="301"/>
      <c r="EWZ12" s="309"/>
      <c r="EXA12" s="301"/>
      <c r="EXB12" s="309"/>
      <c r="EXC12" s="301"/>
      <c r="EXD12" s="301"/>
      <c r="EXE12" s="301"/>
      <c r="EXF12" s="301"/>
      <c r="EXG12" s="301"/>
      <c r="EXH12" s="301"/>
      <c r="EXI12" s="301"/>
      <c r="EXJ12" s="301"/>
      <c r="EXK12" s="312"/>
      <c r="EXL12" s="301"/>
      <c r="EXM12" s="309"/>
      <c r="EXN12" s="301"/>
      <c r="EXO12" s="306"/>
      <c r="EXP12" s="301"/>
      <c r="EXQ12" s="309"/>
      <c r="EXR12" s="301"/>
      <c r="EXS12" s="309"/>
      <c r="EXT12" s="301"/>
      <c r="EXU12" s="301"/>
      <c r="EXV12" s="301"/>
      <c r="EXW12" s="301"/>
      <c r="EXX12" s="301"/>
      <c r="EXY12" s="301"/>
      <c r="EXZ12" s="301"/>
      <c r="EYA12" s="301"/>
      <c r="EYB12" s="312"/>
      <c r="EYC12" s="301"/>
      <c r="EYD12" s="309"/>
      <c r="EYE12" s="301"/>
      <c r="EYF12" s="306"/>
      <c r="EYG12" s="301"/>
      <c r="EYH12" s="309"/>
      <c r="EYI12" s="301"/>
      <c r="EYJ12" s="309"/>
      <c r="EYK12" s="301"/>
      <c r="EYL12" s="301"/>
      <c r="EYM12" s="301"/>
      <c r="EYN12" s="301"/>
      <c r="EYO12" s="301"/>
      <c r="EYP12" s="301"/>
      <c r="EYQ12" s="301"/>
      <c r="EYR12" s="301"/>
      <c r="EYS12" s="312"/>
      <c r="EYT12" s="301"/>
      <c r="EYU12" s="309"/>
      <c r="EYV12" s="301"/>
      <c r="EYW12" s="306"/>
      <c r="EYX12" s="301"/>
      <c r="EYY12" s="309"/>
      <c r="EYZ12" s="301"/>
      <c r="EZA12" s="309"/>
      <c r="EZB12" s="301"/>
      <c r="EZC12" s="301"/>
      <c r="EZD12" s="301"/>
      <c r="EZE12" s="301"/>
      <c r="EZF12" s="301"/>
      <c r="EZG12" s="301"/>
      <c r="EZH12" s="301"/>
      <c r="EZI12" s="301"/>
      <c r="EZJ12" s="312"/>
      <c r="EZK12" s="301"/>
      <c r="EZL12" s="309"/>
      <c r="EZM12" s="301"/>
      <c r="EZN12" s="306"/>
      <c r="EZO12" s="301"/>
      <c r="EZP12" s="309"/>
      <c r="EZQ12" s="301"/>
      <c r="EZR12" s="309"/>
      <c r="EZS12" s="301"/>
      <c r="EZT12" s="301"/>
      <c r="EZU12" s="301"/>
      <c r="EZV12" s="301"/>
      <c r="EZW12" s="301"/>
      <c r="EZX12" s="301"/>
      <c r="EZY12" s="301"/>
      <c r="EZZ12" s="301"/>
      <c r="FAA12" s="312"/>
      <c r="FAB12" s="301"/>
      <c r="FAC12" s="309"/>
      <c r="FAD12" s="301"/>
      <c r="FAE12" s="306"/>
      <c r="FAF12" s="301"/>
      <c r="FAG12" s="309"/>
      <c r="FAH12" s="301"/>
      <c r="FAI12" s="309"/>
      <c r="FAJ12" s="301"/>
      <c r="FAK12" s="301"/>
      <c r="FAL12" s="301"/>
      <c r="FAM12" s="301"/>
      <c r="FAN12" s="301"/>
      <c r="FAO12" s="301"/>
      <c r="FAP12" s="301"/>
      <c r="FAQ12" s="301"/>
      <c r="FAR12" s="312"/>
      <c r="FAS12" s="301"/>
      <c r="FAT12" s="309"/>
      <c r="FAU12" s="301"/>
      <c r="FAV12" s="306"/>
      <c r="FAW12" s="301"/>
      <c r="FAX12" s="309"/>
      <c r="FAY12" s="301"/>
      <c r="FAZ12" s="309"/>
      <c r="FBA12" s="301"/>
      <c r="FBB12" s="301"/>
      <c r="FBC12" s="301"/>
      <c r="FBD12" s="301"/>
      <c r="FBE12" s="301"/>
      <c r="FBF12" s="301"/>
      <c r="FBG12" s="301"/>
      <c r="FBH12" s="301"/>
      <c r="FBI12" s="312"/>
      <c r="FBJ12" s="301"/>
      <c r="FBK12" s="309"/>
      <c r="FBL12" s="301"/>
      <c r="FBM12" s="306"/>
      <c r="FBN12" s="301"/>
      <c r="FBO12" s="309"/>
      <c r="FBP12" s="301"/>
      <c r="FBQ12" s="309"/>
      <c r="FBR12" s="301"/>
      <c r="FBS12" s="301"/>
      <c r="FBT12" s="301"/>
      <c r="FBU12" s="301"/>
      <c r="FBV12" s="301"/>
      <c r="FBW12" s="301"/>
      <c r="FBX12" s="301"/>
      <c r="FBY12" s="301"/>
      <c r="FBZ12" s="312"/>
      <c r="FCA12" s="301"/>
      <c r="FCB12" s="309"/>
      <c r="FCC12" s="301"/>
      <c r="FCD12" s="306"/>
      <c r="FCE12" s="301"/>
      <c r="FCF12" s="309"/>
      <c r="FCG12" s="301"/>
      <c r="FCH12" s="309"/>
      <c r="FCI12" s="301"/>
      <c r="FCJ12" s="301"/>
      <c r="FCK12" s="301"/>
      <c r="FCL12" s="301"/>
      <c r="FCM12" s="301"/>
      <c r="FCN12" s="301"/>
      <c r="FCO12" s="301"/>
      <c r="FCP12" s="301"/>
      <c r="FCQ12" s="312"/>
      <c r="FCR12" s="301"/>
      <c r="FCS12" s="309"/>
      <c r="FCT12" s="301"/>
      <c r="FCU12" s="306"/>
      <c r="FCV12" s="301"/>
      <c r="FCW12" s="309"/>
      <c r="FCX12" s="301"/>
      <c r="FCY12" s="309"/>
      <c r="FCZ12" s="301"/>
      <c r="FDA12" s="301"/>
      <c r="FDB12" s="301"/>
      <c r="FDC12" s="301"/>
      <c r="FDD12" s="301"/>
      <c r="FDE12" s="301"/>
      <c r="FDF12" s="301"/>
      <c r="FDG12" s="301"/>
      <c r="FDH12" s="312"/>
      <c r="FDI12" s="301"/>
      <c r="FDJ12" s="309"/>
      <c r="FDK12" s="301"/>
      <c r="FDL12" s="306"/>
      <c r="FDM12" s="301"/>
      <c r="FDN12" s="309"/>
      <c r="FDO12" s="301"/>
      <c r="FDP12" s="309"/>
      <c r="FDQ12" s="301"/>
      <c r="FDR12" s="301"/>
      <c r="FDS12" s="301"/>
      <c r="FDT12" s="301"/>
      <c r="FDU12" s="301"/>
      <c r="FDV12" s="301"/>
      <c r="FDW12" s="301"/>
      <c r="FDX12" s="301"/>
      <c r="FDY12" s="312"/>
      <c r="FDZ12" s="301"/>
      <c r="FEA12" s="309"/>
      <c r="FEB12" s="301"/>
      <c r="FEC12" s="306"/>
      <c r="FED12" s="301"/>
      <c r="FEE12" s="309"/>
      <c r="FEF12" s="301"/>
      <c r="FEG12" s="309"/>
      <c r="FEH12" s="301"/>
      <c r="FEI12" s="301"/>
      <c r="FEJ12" s="301"/>
      <c r="FEK12" s="301"/>
      <c r="FEL12" s="301"/>
      <c r="FEM12" s="301"/>
      <c r="FEN12" s="301"/>
      <c r="FEO12" s="301"/>
      <c r="FEP12" s="312"/>
      <c r="FEQ12" s="301"/>
      <c r="FER12" s="309"/>
      <c r="FES12" s="301"/>
      <c r="FET12" s="306"/>
      <c r="FEU12" s="301"/>
      <c r="FEV12" s="309"/>
      <c r="FEW12" s="301"/>
      <c r="FEX12" s="309"/>
      <c r="FEY12" s="301"/>
      <c r="FEZ12" s="301"/>
      <c r="FFA12" s="301"/>
      <c r="FFB12" s="301"/>
      <c r="FFC12" s="301"/>
      <c r="FFD12" s="301"/>
      <c r="FFE12" s="301"/>
      <c r="FFF12" s="301"/>
      <c r="FFG12" s="312"/>
      <c r="FFH12" s="301"/>
      <c r="FFI12" s="309"/>
      <c r="FFJ12" s="301"/>
      <c r="FFK12" s="306"/>
      <c r="FFL12" s="301"/>
      <c r="FFM12" s="309"/>
      <c r="FFN12" s="301"/>
      <c r="FFO12" s="309"/>
      <c r="FFP12" s="301"/>
      <c r="FFQ12" s="301"/>
      <c r="FFR12" s="301"/>
      <c r="FFS12" s="301"/>
      <c r="FFT12" s="301"/>
      <c r="FFU12" s="301"/>
      <c r="FFV12" s="301"/>
      <c r="FFW12" s="301"/>
      <c r="FFX12" s="312"/>
      <c r="FFY12" s="301"/>
      <c r="FFZ12" s="309"/>
      <c r="FGA12" s="301"/>
      <c r="FGB12" s="306"/>
      <c r="FGC12" s="301"/>
      <c r="FGD12" s="309"/>
      <c r="FGE12" s="301"/>
      <c r="FGF12" s="309"/>
      <c r="FGG12" s="301"/>
      <c r="FGH12" s="301"/>
      <c r="FGI12" s="301"/>
      <c r="FGJ12" s="301"/>
      <c r="FGK12" s="301"/>
      <c r="FGL12" s="301"/>
      <c r="FGM12" s="301"/>
      <c r="FGN12" s="301"/>
      <c r="FGO12" s="312"/>
      <c r="FGP12" s="301"/>
      <c r="FGQ12" s="309"/>
      <c r="FGR12" s="301"/>
      <c r="FGS12" s="306"/>
      <c r="FGT12" s="301"/>
      <c r="FGU12" s="309"/>
      <c r="FGV12" s="301"/>
      <c r="FGW12" s="309"/>
      <c r="FGX12" s="301"/>
      <c r="FGY12" s="301"/>
      <c r="FGZ12" s="301"/>
      <c r="FHA12" s="301"/>
      <c r="FHB12" s="301"/>
      <c r="FHC12" s="301"/>
      <c r="FHD12" s="301"/>
      <c r="FHE12" s="301"/>
      <c r="FHF12" s="312"/>
      <c r="FHG12" s="301"/>
      <c r="FHH12" s="309"/>
      <c r="FHI12" s="301"/>
      <c r="FHJ12" s="306"/>
      <c r="FHK12" s="301"/>
      <c r="FHL12" s="309"/>
      <c r="FHM12" s="301"/>
      <c r="FHN12" s="309"/>
      <c r="FHO12" s="301"/>
      <c r="FHP12" s="301"/>
      <c r="FHQ12" s="301"/>
      <c r="FHR12" s="301"/>
      <c r="FHS12" s="301"/>
      <c r="FHT12" s="301"/>
      <c r="FHU12" s="301"/>
      <c r="FHV12" s="301"/>
      <c r="FHW12" s="312"/>
      <c r="FHX12" s="301"/>
      <c r="FHY12" s="309"/>
      <c r="FHZ12" s="301"/>
      <c r="FIA12" s="306"/>
      <c r="FIB12" s="301"/>
      <c r="FIC12" s="309"/>
      <c r="FID12" s="301"/>
      <c r="FIE12" s="309"/>
      <c r="FIF12" s="301"/>
      <c r="FIG12" s="301"/>
      <c r="FIH12" s="301"/>
      <c r="FII12" s="301"/>
      <c r="FIJ12" s="301"/>
      <c r="FIK12" s="301"/>
      <c r="FIL12" s="301"/>
      <c r="FIM12" s="301"/>
      <c r="FIN12" s="312"/>
      <c r="FIO12" s="301"/>
      <c r="FIP12" s="309"/>
      <c r="FIQ12" s="301"/>
      <c r="FIR12" s="306"/>
      <c r="FIS12" s="301"/>
      <c r="FIT12" s="309"/>
      <c r="FIU12" s="301"/>
      <c r="FIV12" s="309"/>
      <c r="FIW12" s="301"/>
      <c r="FIX12" s="301"/>
      <c r="FIY12" s="301"/>
      <c r="FIZ12" s="301"/>
      <c r="FJA12" s="301"/>
      <c r="FJB12" s="301"/>
      <c r="FJC12" s="301"/>
      <c r="FJD12" s="301"/>
      <c r="FJE12" s="312"/>
      <c r="FJF12" s="301"/>
      <c r="FJG12" s="309"/>
      <c r="FJH12" s="301"/>
      <c r="FJI12" s="306"/>
      <c r="FJJ12" s="301"/>
      <c r="FJK12" s="309"/>
      <c r="FJL12" s="301"/>
      <c r="FJM12" s="309"/>
      <c r="FJN12" s="301"/>
      <c r="FJO12" s="301"/>
      <c r="FJP12" s="301"/>
      <c r="FJQ12" s="301"/>
      <c r="FJR12" s="301"/>
      <c r="FJS12" s="301"/>
      <c r="FJT12" s="301"/>
      <c r="FJU12" s="301"/>
      <c r="FJV12" s="312"/>
      <c r="FJW12" s="301"/>
      <c r="FJX12" s="309"/>
      <c r="FJY12" s="301"/>
      <c r="FJZ12" s="306"/>
      <c r="FKA12" s="301"/>
      <c r="FKB12" s="309"/>
      <c r="FKC12" s="301"/>
      <c r="FKD12" s="309"/>
      <c r="FKE12" s="301"/>
      <c r="FKF12" s="301"/>
      <c r="FKG12" s="301"/>
      <c r="FKH12" s="301"/>
      <c r="FKI12" s="301"/>
      <c r="FKJ12" s="301"/>
      <c r="FKK12" s="301"/>
      <c r="FKL12" s="301"/>
      <c r="FKM12" s="312"/>
      <c r="FKN12" s="301"/>
      <c r="FKO12" s="309"/>
      <c r="FKP12" s="301"/>
      <c r="FKQ12" s="306"/>
      <c r="FKR12" s="301"/>
      <c r="FKS12" s="309"/>
      <c r="FKT12" s="301"/>
      <c r="FKU12" s="309"/>
      <c r="FKV12" s="301"/>
      <c r="FKW12" s="301"/>
      <c r="FKX12" s="301"/>
      <c r="FKY12" s="301"/>
      <c r="FKZ12" s="301"/>
      <c r="FLA12" s="301"/>
      <c r="FLB12" s="301"/>
      <c r="FLC12" s="301"/>
      <c r="FLD12" s="312"/>
      <c r="FLE12" s="301"/>
      <c r="FLF12" s="309"/>
      <c r="FLG12" s="301"/>
      <c r="FLH12" s="306"/>
      <c r="FLI12" s="301"/>
      <c r="FLJ12" s="309"/>
      <c r="FLK12" s="301"/>
      <c r="FLL12" s="309"/>
      <c r="FLM12" s="301"/>
      <c r="FLN12" s="301"/>
      <c r="FLO12" s="301"/>
      <c r="FLP12" s="301"/>
      <c r="FLQ12" s="301"/>
      <c r="FLR12" s="301"/>
      <c r="FLS12" s="301"/>
      <c r="FLT12" s="301"/>
      <c r="FLU12" s="312"/>
      <c r="FLV12" s="301"/>
      <c r="FLW12" s="309"/>
      <c r="FLX12" s="301"/>
      <c r="FLY12" s="306"/>
      <c r="FLZ12" s="301"/>
      <c r="FMA12" s="309"/>
      <c r="FMB12" s="301"/>
      <c r="FMC12" s="309"/>
      <c r="FMD12" s="301"/>
      <c r="FME12" s="301"/>
      <c r="FMF12" s="301"/>
      <c r="FMG12" s="301"/>
      <c r="FMH12" s="301"/>
      <c r="FMI12" s="301"/>
      <c r="FMJ12" s="301"/>
      <c r="FMK12" s="301"/>
      <c r="FML12" s="312"/>
      <c r="FMM12" s="301"/>
      <c r="FMN12" s="309"/>
      <c r="FMO12" s="301"/>
      <c r="FMP12" s="306"/>
      <c r="FMQ12" s="301"/>
      <c r="FMR12" s="309"/>
      <c r="FMS12" s="301"/>
      <c r="FMT12" s="309"/>
      <c r="FMU12" s="301"/>
      <c r="FMV12" s="301"/>
      <c r="FMW12" s="301"/>
      <c r="FMX12" s="301"/>
      <c r="FMY12" s="301"/>
      <c r="FMZ12" s="301"/>
      <c r="FNA12" s="301"/>
      <c r="FNB12" s="301"/>
      <c r="FNC12" s="312"/>
      <c r="FND12" s="301"/>
      <c r="FNE12" s="309"/>
      <c r="FNF12" s="301"/>
      <c r="FNG12" s="306"/>
      <c r="FNH12" s="301"/>
      <c r="FNI12" s="309"/>
      <c r="FNJ12" s="301"/>
      <c r="FNK12" s="309"/>
      <c r="FNL12" s="301"/>
      <c r="FNM12" s="301"/>
      <c r="FNN12" s="301"/>
      <c r="FNO12" s="301"/>
      <c r="FNP12" s="301"/>
      <c r="FNQ12" s="301"/>
      <c r="FNR12" s="301"/>
      <c r="FNS12" s="301"/>
      <c r="FNT12" s="312"/>
      <c r="FNU12" s="301"/>
      <c r="FNV12" s="309"/>
      <c r="FNW12" s="301"/>
      <c r="FNX12" s="306"/>
      <c r="FNY12" s="301"/>
      <c r="FNZ12" s="309"/>
      <c r="FOA12" s="301"/>
      <c r="FOB12" s="309"/>
      <c r="FOC12" s="301"/>
      <c r="FOD12" s="301"/>
      <c r="FOE12" s="301"/>
      <c r="FOF12" s="301"/>
      <c r="FOG12" s="301"/>
      <c r="FOH12" s="301"/>
      <c r="FOI12" s="301"/>
      <c r="FOJ12" s="301"/>
      <c r="FOK12" s="312"/>
      <c r="FOL12" s="301"/>
      <c r="FOM12" s="309"/>
      <c r="FON12" s="301"/>
      <c r="FOO12" s="306"/>
      <c r="FOP12" s="301"/>
      <c r="FOQ12" s="309"/>
      <c r="FOR12" s="301"/>
      <c r="FOS12" s="309"/>
      <c r="FOT12" s="301"/>
      <c r="FOU12" s="301"/>
      <c r="FOV12" s="301"/>
      <c r="FOW12" s="301"/>
      <c r="FOX12" s="301"/>
      <c r="FOY12" s="301"/>
      <c r="FOZ12" s="301"/>
      <c r="FPA12" s="301"/>
      <c r="FPB12" s="312"/>
      <c r="FPC12" s="301"/>
      <c r="FPD12" s="309"/>
      <c r="FPE12" s="301"/>
      <c r="FPF12" s="306"/>
      <c r="FPG12" s="301"/>
      <c r="FPH12" s="309"/>
      <c r="FPI12" s="301"/>
      <c r="FPJ12" s="309"/>
      <c r="FPK12" s="301"/>
      <c r="FPL12" s="301"/>
      <c r="FPM12" s="301"/>
      <c r="FPN12" s="301"/>
      <c r="FPO12" s="301"/>
      <c r="FPP12" s="301"/>
      <c r="FPQ12" s="301"/>
      <c r="FPR12" s="301"/>
      <c r="FPS12" s="312"/>
      <c r="FPT12" s="301"/>
      <c r="FPU12" s="309"/>
      <c r="FPV12" s="301"/>
      <c r="FPW12" s="306"/>
      <c r="FPX12" s="301"/>
      <c r="FPY12" s="309"/>
      <c r="FPZ12" s="301"/>
      <c r="FQA12" s="309"/>
      <c r="FQB12" s="301"/>
      <c r="FQC12" s="301"/>
      <c r="FQD12" s="301"/>
      <c r="FQE12" s="301"/>
      <c r="FQF12" s="301"/>
      <c r="FQG12" s="301"/>
      <c r="FQH12" s="301"/>
      <c r="FQI12" s="301"/>
      <c r="FQJ12" s="312"/>
      <c r="FQK12" s="301"/>
      <c r="FQL12" s="309"/>
      <c r="FQM12" s="301"/>
      <c r="FQN12" s="306"/>
      <c r="FQO12" s="301"/>
      <c r="FQP12" s="309"/>
      <c r="FQQ12" s="301"/>
      <c r="FQR12" s="309"/>
      <c r="FQS12" s="301"/>
      <c r="FQT12" s="301"/>
      <c r="FQU12" s="301"/>
      <c r="FQV12" s="301"/>
      <c r="FQW12" s="301"/>
      <c r="FQX12" s="301"/>
      <c r="FQY12" s="301"/>
      <c r="FQZ12" s="301"/>
      <c r="FRA12" s="312"/>
      <c r="FRB12" s="301"/>
      <c r="FRC12" s="309"/>
      <c r="FRD12" s="301"/>
      <c r="FRE12" s="306"/>
      <c r="FRF12" s="301"/>
      <c r="FRG12" s="309"/>
      <c r="FRH12" s="301"/>
      <c r="FRI12" s="309"/>
      <c r="FRJ12" s="301"/>
      <c r="FRK12" s="301"/>
      <c r="FRL12" s="301"/>
      <c r="FRM12" s="301"/>
      <c r="FRN12" s="301"/>
      <c r="FRO12" s="301"/>
      <c r="FRP12" s="301"/>
      <c r="FRQ12" s="301"/>
      <c r="FRR12" s="312"/>
      <c r="FRS12" s="301"/>
      <c r="FRT12" s="309"/>
      <c r="FRU12" s="301"/>
      <c r="FRV12" s="306"/>
      <c r="FRW12" s="301"/>
      <c r="FRX12" s="309"/>
      <c r="FRY12" s="301"/>
      <c r="FRZ12" s="309"/>
      <c r="FSA12" s="301"/>
      <c r="FSB12" s="301"/>
      <c r="FSC12" s="301"/>
      <c r="FSD12" s="301"/>
      <c r="FSE12" s="301"/>
      <c r="FSF12" s="301"/>
      <c r="FSG12" s="301"/>
      <c r="FSH12" s="301"/>
      <c r="FSI12" s="312"/>
      <c r="FSJ12" s="301"/>
      <c r="FSK12" s="309"/>
      <c r="FSL12" s="301"/>
      <c r="FSM12" s="306"/>
      <c r="FSN12" s="301"/>
      <c r="FSO12" s="309"/>
      <c r="FSP12" s="301"/>
      <c r="FSQ12" s="309"/>
      <c r="FSR12" s="301"/>
      <c r="FSS12" s="301"/>
      <c r="FST12" s="301"/>
      <c r="FSU12" s="301"/>
      <c r="FSV12" s="301"/>
      <c r="FSW12" s="301"/>
      <c r="FSX12" s="301"/>
      <c r="FSY12" s="301"/>
      <c r="FSZ12" s="312"/>
      <c r="FTA12" s="301"/>
      <c r="FTB12" s="309"/>
      <c r="FTC12" s="301"/>
      <c r="FTD12" s="306"/>
      <c r="FTE12" s="301"/>
      <c r="FTF12" s="309"/>
      <c r="FTG12" s="301"/>
      <c r="FTH12" s="309"/>
      <c r="FTI12" s="301"/>
      <c r="FTJ12" s="301"/>
      <c r="FTK12" s="301"/>
      <c r="FTL12" s="301"/>
      <c r="FTM12" s="301"/>
      <c r="FTN12" s="301"/>
      <c r="FTO12" s="301"/>
      <c r="FTP12" s="301"/>
      <c r="FTQ12" s="312"/>
      <c r="FTR12" s="301"/>
      <c r="FTS12" s="309"/>
      <c r="FTT12" s="301"/>
      <c r="FTU12" s="306"/>
      <c r="FTV12" s="301"/>
      <c r="FTW12" s="309"/>
      <c r="FTX12" s="301"/>
      <c r="FTY12" s="309"/>
      <c r="FTZ12" s="301"/>
      <c r="FUA12" s="301"/>
      <c r="FUB12" s="301"/>
      <c r="FUC12" s="301"/>
      <c r="FUD12" s="301"/>
      <c r="FUE12" s="301"/>
      <c r="FUF12" s="301"/>
      <c r="FUG12" s="301"/>
      <c r="FUH12" s="312"/>
      <c r="FUI12" s="301"/>
      <c r="FUJ12" s="309"/>
      <c r="FUK12" s="301"/>
      <c r="FUL12" s="306"/>
      <c r="FUM12" s="301"/>
      <c r="FUN12" s="309"/>
      <c r="FUO12" s="301"/>
      <c r="FUP12" s="309"/>
      <c r="FUQ12" s="301"/>
      <c r="FUR12" s="301"/>
      <c r="FUS12" s="301"/>
      <c r="FUT12" s="301"/>
      <c r="FUU12" s="301"/>
      <c r="FUV12" s="301"/>
      <c r="FUW12" s="301"/>
      <c r="FUX12" s="301"/>
      <c r="FUY12" s="312"/>
      <c r="FUZ12" s="301"/>
      <c r="FVA12" s="309"/>
      <c r="FVB12" s="301"/>
      <c r="FVC12" s="306"/>
      <c r="FVD12" s="301"/>
      <c r="FVE12" s="309"/>
      <c r="FVF12" s="301"/>
      <c r="FVG12" s="309"/>
      <c r="FVH12" s="301"/>
      <c r="FVI12" s="301"/>
      <c r="FVJ12" s="301"/>
      <c r="FVK12" s="301"/>
      <c r="FVL12" s="301"/>
      <c r="FVM12" s="301"/>
      <c r="FVN12" s="301"/>
      <c r="FVO12" s="301"/>
      <c r="FVP12" s="312"/>
      <c r="FVQ12" s="301"/>
      <c r="FVR12" s="309"/>
      <c r="FVS12" s="301"/>
      <c r="FVT12" s="306"/>
      <c r="FVU12" s="301"/>
      <c r="FVV12" s="309"/>
      <c r="FVW12" s="301"/>
      <c r="FVX12" s="309"/>
      <c r="FVY12" s="301"/>
      <c r="FVZ12" s="301"/>
      <c r="FWA12" s="301"/>
      <c r="FWB12" s="301"/>
      <c r="FWC12" s="301"/>
      <c r="FWD12" s="301"/>
      <c r="FWE12" s="301"/>
      <c r="FWF12" s="301"/>
      <c r="FWG12" s="312"/>
      <c r="FWH12" s="301"/>
      <c r="FWI12" s="309"/>
      <c r="FWJ12" s="301"/>
      <c r="FWK12" s="306"/>
      <c r="FWL12" s="301"/>
      <c r="FWM12" s="309"/>
      <c r="FWN12" s="301"/>
      <c r="FWO12" s="309"/>
      <c r="FWP12" s="301"/>
      <c r="FWQ12" s="301"/>
      <c r="FWR12" s="301"/>
      <c r="FWS12" s="301"/>
      <c r="FWT12" s="301"/>
      <c r="FWU12" s="301"/>
      <c r="FWV12" s="301"/>
      <c r="FWW12" s="301"/>
      <c r="FWX12" s="312"/>
      <c r="FWY12" s="301"/>
      <c r="FWZ12" s="309"/>
      <c r="FXA12" s="301"/>
      <c r="FXB12" s="306"/>
      <c r="FXC12" s="301"/>
      <c r="FXD12" s="309"/>
      <c r="FXE12" s="301"/>
      <c r="FXF12" s="309"/>
      <c r="FXG12" s="301"/>
      <c r="FXH12" s="301"/>
      <c r="FXI12" s="301"/>
      <c r="FXJ12" s="301"/>
      <c r="FXK12" s="301"/>
      <c r="FXL12" s="301"/>
      <c r="FXM12" s="301"/>
      <c r="FXN12" s="301"/>
      <c r="FXO12" s="312"/>
      <c r="FXP12" s="301"/>
      <c r="FXQ12" s="309"/>
      <c r="FXR12" s="301"/>
      <c r="FXS12" s="306"/>
      <c r="FXT12" s="301"/>
      <c r="FXU12" s="309"/>
      <c r="FXV12" s="301"/>
      <c r="FXW12" s="309"/>
      <c r="FXX12" s="301"/>
      <c r="FXY12" s="301"/>
      <c r="FXZ12" s="301"/>
      <c r="FYA12" s="301"/>
      <c r="FYB12" s="301"/>
      <c r="FYC12" s="301"/>
      <c r="FYD12" s="301"/>
      <c r="FYE12" s="301"/>
      <c r="FYF12" s="312"/>
      <c r="FYG12" s="301"/>
      <c r="FYH12" s="309"/>
      <c r="FYI12" s="301"/>
      <c r="FYJ12" s="306"/>
      <c r="FYK12" s="301"/>
      <c r="FYL12" s="309"/>
      <c r="FYM12" s="301"/>
      <c r="FYN12" s="309"/>
      <c r="FYO12" s="301"/>
      <c r="FYP12" s="301"/>
      <c r="FYQ12" s="301"/>
      <c r="FYR12" s="301"/>
      <c r="FYS12" s="301"/>
      <c r="FYT12" s="301"/>
      <c r="FYU12" s="301"/>
      <c r="FYV12" s="301"/>
      <c r="FYW12" s="312"/>
      <c r="FYX12" s="301"/>
      <c r="FYY12" s="309"/>
      <c r="FYZ12" s="301"/>
      <c r="FZA12" s="306"/>
      <c r="FZB12" s="301"/>
      <c r="FZC12" s="309"/>
      <c r="FZD12" s="301"/>
      <c r="FZE12" s="309"/>
      <c r="FZF12" s="301"/>
      <c r="FZG12" s="301"/>
      <c r="FZH12" s="301"/>
      <c r="FZI12" s="301"/>
      <c r="FZJ12" s="301"/>
      <c r="FZK12" s="301"/>
      <c r="FZL12" s="301"/>
      <c r="FZM12" s="301"/>
      <c r="FZN12" s="312"/>
      <c r="FZO12" s="301"/>
      <c r="FZP12" s="309"/>
      <c r="FZQ12" s="301"/>
      <c r="FZR12" s="306"/>
      <c r="FZS12" s="301"/>
      <c r="FZT12" s="309"/>
      <c r="FZU12" s="301"/>
      <c r="FZV12" s="309"/>
      <c r="FZW12" s="301"/>
      <c r="FZX12" s="301"/>
      <c r="FZY12" s="301"/>
      <c r="FZZ12" s="301"/>
      <c r="GAA12" s="301"/>
      <c r="GAB12" s="301"/>
      <c r="GAC12" s="301"/>
      <c r="GAD12" s="301"/>
      <c r="GAE12" s="312"/>
      <c r="GAF12" s="301"/>
      <c r="GAG12" s="309"/>
      <c r="GAH12" s="301"/>
      <c r="GAI12" s="306"/>
      <c r="GAJ12" s="301"/>
      <c r="GAK12" s="309"/>
      <c r="GAL12" s="301"/>
      <c r="GAM12" s="309"/>
      <c r="GAN12" s="301"/>
      <c r="GAO12" s="301"/>
      <c r="GAP12" s="301"/>
      <c r="GAQ12" s="301"/>
      <c r="GAR12" s="301"/>
      <c r="GAS12" s="301"/>
      <c r="GAT12" s="301"/>
      <c r="GAU12" s="301"/>
      <c r="GAV12" s="312"/>
      <c r="GAW12" s="301"/>
      <c r="GAX12" s="309"/>
      <c r="GAY12" s="301"/>
      <c r="GAZ12" s="306"/>
      <c r="GBA12" s="301"/>
      <c r="GBB12" s="309"/>
      <c r="GBC12" s="301"/>
      <c r="GBD12" s="309"/>
      <c r="GBE12" s="301"/>
      <c r="GBF12" s="301"/>
      <c r="GBG12" s="301"/>
      <c r="GBH12" s="301"/>
      <c r="GBI12" s="301"/>
      <c r="GBJ12" s="301"/>
      <c r="GBK12" s="301"/>
      <c r="GBL12" s="301"/>
      <c r="GBM12" s="312"/>
      <c r="GBN12" s="301"/>
      <c r="GBO12" s="309"/>
      <c r="GBP12" s="301"/>
      <c r="GBQ12" s="306"/>
      <c r="GBR12" s="301"/>
      <c r="GBS12" s="309"/>
      <c r="GBT12" s="301"/>
      <c r="GBU12" s="309"/>
      <c r="GBV12" s="301"/>
      <c r="GBW12" s="301"/>
      <c r="GBX12" s="301"/>
      <c r="GBY12" s="301"/>
      <c r="GBZ12" s="301"/>
      <c r="GCA12" s="301"/>
      <c r="GCB12" s="301"/>
      <c r="GCC12" s="301"/>
      <c r="GCD12" s="312"/>
      <c r="GCE12" s="301"/>
      <c r="GCF12" s="309"/>
      <c r="GCG12" s="301"/>
      <c r="GCH12" s="306"/>
      <c r="GCI12" s="301"/>
      <c r="GCJ12" s="309"/>
      <c r="GCK12" s="301"/>
      <c r="GCL12" s="309"/>
      <c r="GCM12" s="301"/>
      <c r="GCN12" s="301"/>
      <c r="GCO12" s="301"/>
      <c r="GCP12" s="301"/>
      <c r="GCQ12" s="301"/>
      <c r="GCR12" s="301"/>
      <c r="GCS12" s="301"/>
      <c r="GCT12" s="301"/>
      <c r="GCU12" s="312"/>
      <c r="GCV12" s="301"/>
      <c r="GCW12" s="309"/>
      <c r="GCX12" s="301"/>
      <c r="GCY12" s="306"/>
      <c r="GCZ12" s="301"/>
      <c r="GDA12" s="309"/>
      <c r="GDB12" s="301"/>
      <c r="GDC12" s="309"/>
      <c r="GDD12" s="301"/>
      <c r="GDE12" s="301"/>
      <c r="GDF12" s="301"/>
      <c r="GDG12" s="301"/>
      <c r="GDH12" s="301"/>
      <c r="GDI12" s="301"/>
      <c r="GDJ12" s="301"/>
      <c r="GDK12" s="301"/>
      <c r="GDL12" s="312"/>
      <c r="GDM12" s="301"/>
      <c r="GDN12" s="309"/>
      <c r="GDO12" s="301"/>
      <c r="GDP12" s="306"/>
      <c r="GDQ12" s="301"/>
      <c r="GDR12" s="309"/>
      <c r="GDS12" s="301"/>
      <c r="GDT12" s="309"/>
      <c r="GDU12" s="301"/>
      <c r="GDV12" s="301"/>
      <c r="GDW12" s="301"/>
      <c r="GDX12" s="301"/>
      <c r="GDY12" s="301"/>
      <c r="GDZ12" s="301"/>
      <c r="GEA12" s="301"/>
      <c r="GEB12" s="301"/>
      <c r="GEC12" s="312"/>
      <c r="GED12" s="301"/>
      <c r="GEE12" s="309"/>
      <c r="GEF12" s="301"/>
      <c r="GEG12" s="306"/>
      <c r="GEH12" s="301"/>
      <c r="GEI12" s="309"/>
      <c r="GEJ12" s="301"/>
      <c r="GEK12" s="309"/>
      <c r="GEL12" s="301"/>
      <c r="GEM12" s="301"/>
      <c r="GEN12" s="301"/>
      <c r="GEO12" s="301"/>
      <c r="GEP12" s="301"/>
      <c r="GEQ12" s="301"/>
      <c r="GER12" s="301"/>
      <c r="GES12" s="301"/>
      <c r="GET12" s="312"/>
      <c r="GEU12" s="301"/>
      <c r="GEV12" s="309"/>
      <c r="GEW12" s="301"/>
      <c r="GEX12" s="306"/>
      <c r="GEY12" s="301"/>
      <c r="GEZ12" s="309"/>
      <c r="GFA12" s="301"/>
      <c r="GFB12" s="309"/>
      <c r="GFC12" s="301"/>
      <c r="GFD12" s="301"/>
      <c r="GFE12" s="301"/>
      <c r="GFF12" s="301"/>
      <c r="GFG12" s="301"/>
      <c r="GFH12" s="301"/>
      <c r="GFI12" s="301"/>
      <c r="GFJ12" s="301"/>
      <c r="GFK12" s="312"/>
      <c r="GFL12" s="301"/>
      <c r="GFM12" s="309"/>
      <c r="GFN12" s="301"/>
      <c r="GFO12" s="306"/>
      <c r="GFP12" s="301"/>
      <c r="GFQ12" s="309"/>
      <c r="GFR12" s="301"/>
      <c r="GFS12" s="309"/>
      <c r="GFT12" s="301"/>
      <c r="GFU12" s="301"/>
      <c r="GFV12" s="301"/>
      <c r="GFW12" s="301"/>
      <c r="GFX12" s="301"/>
      <c r="GFY12" s="301"/>
      <c r="GFZ12" s="301"/>
      <c r="GGA12" s="301"/>
      <c r="GGB12" s="312"/>
      <c r="GGC12" s="301"/>
      <c r="GGD12" s="309"/>
      <c r="GGE12" s="301"/>
      <c r="GGF12" s="306"/>
      <c r="GGG12" s="301"/>
      <c r="GGH12" s="309"/>
      <c r="GGI12" s="301"/>
      <c r="GGJ12" s="309"/>
      <c r="GGK12" s="301"/>
      <c r="GGL12" s="301"/>
      <c r="GGM12" s="301"/>
      <c r="GGN12" s="301"/>
      <c r="GGO12" s="301"/>
      <c r="GGP12" s="301"/>
      <c r="GGQ12" s="301"/>
      <c r="GGR12" s="301"/>
      <c r="GGS12" s="312"/>
      <c r="GGT12" s="301"/>
      <c r="GGU12" s="309"/>
      <c r="GGV12" s="301"/>
      <c r="GGW12" s="306"/>
      <c r="GGX12" s="301"/>
      <c r="GGY12" s="309"/>
      <c r="GGZ12" s="301"/>
      <c r="GHA12" s="309"/>
      <c r="GHB12" s="301"/>
      <c r="GHC12" s="301"/>
      <c r="GHD12" s="301"/>
      <c r="GHE12" s="301"/>
      <c r="GHF12" s="301"/>
      <c r="GHG12" s="301"/>
      <c r="GHH12" s="301"/>
      <c r="GHI12" s="301"/>
      <c r="GHJ12" s="312"/>
      <c r="GHK12" s="301"/>
      <c r="GHL12" s="309"/>
      <c r="GHM12" s="301"/>
      <c r="GHN12" s="306"/>
      <c r="GHO12" s="301"/>
      <c r="GHP12" s="309"/>
      <c r="GHQ12" s="301"/>
      <c r="GHR12" s="309"/>
      <c r="GHS12" s="301"/>
      <c r="GHT12" s="301"/>
      <c r="GHU12" s="301"/>
      <c r="GHV12" s="301"/>
      <c r="GHW12" s="301"/>
      <c r="GHX12" s="301"/>
      <c r="GHY12" s="301"/>
      <c r="GHZ12" s="301"/>
      <c r="GIA12" s="312"/>
      <c r="GIB12" s="301"/>
      <c r="GIC12" s="309"/>
      <c r="GID12" s="301"/>
      <c r="GIE12" s="306"/>
      <c r="GIF12" s="301"/>
      <c r="GIG12" s="309"/>
      <c r="GIH12" s="301"/>
      <c r="GII12" s="309"/>
      <c r="GIJ12" s="301"/>
      <c r="GIK12" s="301"/>
      <c r="GIL12" s="301"/>
      <c r="GIM12" s="301"/>
      <c r="GIN12" s="301"/>
      <c r="GIO12" s="301"/>
      <c r="GIP12" s="301"/>
      <c r="GIQ12" s="301"/>
      <c r="GIR12" s="312"/>
      <c r="GIS12" s="301"/>
      <c r="GIT12" s="309"/>
      <c r="GIU12" s="301"/>
      <c r="GIV12" s="306"/>
      <c r="GIW12" s="301"/>
      <c r="GIX12" s="309"/>
      <c r="GIY12" s="301"/>
      <c r="GIZ12" s="309"/>
      <c r="GJA12" s="301"/>
      <c r="GJB12" s="301"/>
      <c r="GJC12" s="301"/>
      <c r="GJD12" s="301"/>
      <c r="GJE12" s="301"/>
      <c r="GJF12" s="301"/>
      <c r="GJG12" s="301"/>
      <c r="GJH12" s="301"/>
      <c r="GJI12" s="312"/>
      <c r="GJJ12" s="301"/>
      <c r="GJK12" s="309"/>
      <c r="GJL12" s="301"/>
      <c r="GJM12" s="306"/>
      <c r="GJN12" s="301"/>
      <c r="GJO12" s="309"/>
      <c r="GJP12" s="301"/>
      <c r="GJQ12" s="309"/>
      <c r="GJR12" s="301"/>
      <c r="GJS12" s="301"/>
      <c r="GJT12" s="301"/>
      <c r="GJU12" s="301"/>
      <c r="GJV12" s="301"/>
      <c r="GJW12" s="301"/>
      <c r="GJX12" s="301"/>
      <c r="GJY12" s="301"/>
      <c r="GJZ12" s="312"/>
      <c r="GKA12" s="301"/>
      <c r="GKB12" s="309"/>
      <c r="GKC12" s="301"/>
      <c r="GKD12" s="306"/>
      <c r="GKE12" s="301"/>
      <c r="GKF12" s="309"/>
      <c r="GKG12" s="301"/>
      <c r="GKH12" s="309"/>
      <c r="GKI12" s="301"/>
      <c r="GKJ12" s="301"/>
      <c r="GKK12" s="301"/>
      <c r="GKL12" s="301"/>
      <c r="GKM12" s="301"/>
      <c r="GKN12" s="301"/>
      <c r="GKO12" s="301"/>
      <c r="GKP12" s="301"/>
      <c r="GKQ12" s="312"/>
      <c r="GKR12" s="301"/>
      <c r="GKS12" s="309"/>
      <c r="GKT12" s="301"/>
      <c r="GKU12" s="306"/>
      <c r="GKV12" s="301"/>
      <c r="GKW12" s="309"/>
      <c r="GKX12" s="301"/>
      <c r="GKY12" s="309"/>
      <c r="GKZ12" s="301"/>
      <c r="GLA12" s="301"/>
      <c r="GLB12" s="301"/>
      <c r="GLC12" s="301"/>
      <c r="GLD12" s="301"/>
      <c r="GLE12" s="301"/>
      <c r="GLF12" s="301"/>
      <c r="GLG12" s="301"/>
      <c r="GLH12" s="312"/>
      <c r="GLI12" s="301"/>
      <c r="GLJ12" s="309"/>
      <c r="GLK12" s="301"/>
      <c r="GLL12" s="306"/>
      <c r="GLM12" s="301"/>
      <c r="GLN12" s="309"/>
      <c r="GLO12" s="301"/>
      <c r="GLP12" s="309"/>
      <c r="GLQ12" s="301"/>
      <c r="GLR12" s="301"/>
      <c r="GLS12" s="301"/>
      <c r="GLT12" s="301"/>
      <c r="GLU12" s="301"/>
      <c r="GLV12" s="301"/>
      <c r="GLW12" s="301"/>
      <c r="GLX12" s="301"/>
      <c r="GLY12" s="312"/>
      <c r="GLZ12" s="301"/>
      <c r="GMA12" s="309"/>
      <c r="GMB12" s="301"/>
      <c r="GMC12" s="306"/>
      <c r="GMD12" s="301"/>
      <c r="GME12" s="309"/>
      <c r="GMF12" s="301"/>
      <c r="GMG12" s="309"/>
      <c r="GMH12" s="301"/>
      <c r="GMI12" s="301"/>
      <c r="GMJ12" s="301"/>
      <c r="GMK12" s="301"/>
      <c r="GML12" s="301"/>
      <c r="GMM12" s="301"/>
      <c r="GMN12" s="301"/>
      <c r="GMO12" s="301"/>
      <c r="GMP12" s="312"/>
      <c r="GMQ12" s="301"/>
      <c r="GMR12" s="309"/>
      <c r="GMS12" s="301"/>
      <c r="GMT12" s="306"/>
      <c r="GMU12" s="301"/>
      <c r="GMV12" s="309"/>
      <c r="GMW12" s="301"/>
      <c r="GMX12" s="309"/>
      <c r="GMY12" s="301"/>
      <c r="GMZ12" s="301"/>
      <c r="GNA12" s="301"/>
      <c r="GNB12" s="301"/>
      <c r="GNC12" s="301"/>
      <c r="GND12" s="301"/>
      <c r="GNE12" s="301"/>
      <c r="GNF12" s="301"/>
      <c r="GNG12" s="312"/>
      <c r="GNH12" s="301"/>
      <c r="GNI12" s="309"/>
      <c r="GNJ12" s="301"/>
      <c r="GNK12" s="306"/>
      <c r="GNL12" s="301"/>
      <c r="GNM12" s="309"/>
      <c r="GNN12" s="301"/>
      <c r="GNO12" s="309"/>
      <c r="GNP12" s="301"/>
      <c r="GNQ12" s="301"/>
      <c r="GNR12" s="301"/>
      <c r="GNS12" s="301"/>
      <c r="GNT12" s="301"/>
      <c r="GNU12" s="301"/>
      <c r="GNV12" s="301"/>
      <c r="GNW12" s="301"/>
      <c r="GNX12" s="312"/>
      <c r="GNY12" s="301"/>
      <c r="GNZ12" s="309"/>
      <c r="GOA12" s="301"/>
      <c r="GOB12" s="306"/>
      <c r="GOC12" s="301"/>
      <c r="GOD12" s="309"/>
      <c r="GOE12" s="301"/>
      <c r="GOF12" s="309"/>
      <c r="GOG12" s="301"/>
      <c r="GOH12" s="301"/>
      <c r="GOI12" s="301"/>
      <c r="GOJ12" s="301"/>
      <c r="GOK12" s="301"/>
      <c r="GOL12" s="301"/>
      <c r="GOM12" s="301"/>
      <c r="GON12" s="301"/>
      <c r="GOO12" s="312"/>
      <c r="GOP12" s="301"/>
      <c r="GOQ12" s="309"/>
      <c r="GOR12" s="301"/>
      <c r="GOS12" s="306"/>
      <c r="GOT12" s="301"/>
      <c r="GOU12" s="309"/>
      <c r="GOV12" s="301"/>
      <c r="GOW12" s="309"/>
      <c r="GOX12" s="301"/>
      <c r="GOY12" s="301"/>
      <c r="GOZ12" s="301"/>
      <c r="GPA12" s="301"/>
      <c r="GPB12" s="301"/>
      <c r="GPC12" s="301"/>
      <c r="GPD12" s="301"/>
      <c r="GPE12" s="301"/>
      <c r="GPF12" s="312"/>
      <c r="GPG12" s="301"/>
      <c r="GPH12" s="309"/>
      <c r="GPI12" s="301"/>
      <c r="GPJ12" s="306"/>
      <c r="GPK12" s="301"/>
      <c r="GPL12" s="309"/>
      <c r="GPM12" s="301"/>
      <c r="GPN12" s="309"/>
      <c r="GPO12" s="301"/>
      <c r="GPP12" s="301"/>
      <c r="GPQ12" s="301"/>
      <c r="GPR12" s="301"/>
      <c r="GPS12" s="301"/>
      <c r="GPT12" s="301"/>
      <c r="GPU12" s="301"/>
      <c r="GPV12" s="301"/>
      <c r="GPW12" s="312"/>
      <c r="GPX12" s="301"/>
      <c r="GPY12" s="309"/>
      <c r="GPZ12" s="301"/>
      <c r="GQA12" s="306"/>
      <c r="GQB12" s="301"/>
      <c r="GQC12" s="309"/>
      <c r="GQD12" s="301"/>
      <c r="GQE12" s="309"/>
      <c r="GQF12" s="301"/>
      <c r="GQG12" s="301"/>
      <c r="GQH12" s="301"/>
      <c r="GQI12" s="301"/>
      <c r="GQJ12" s="301"/>
      <c r="GQK12" s="301"/>
      <c r="GQL12" s="301"/>
      <c r="GQM12" s="301"/>
      <c r="GQN12" s="312"/>
      <c r="GQO12" s="301"/>
      <c r="GQP12" s="309"/>
      <c r="GQQ12" s="301"/>
      <c r="GQR12" s="306"/>
      <c r="GQS12" s="301"/>
      <c r="GQT12" s="309"/>
      <c r="GQU12" s="301"/>
      <c r="GQV12" s="309"/>
      <c r="GQW12" s="301"/>
      <c r="GQX12" s="301"/>
      <c r="GQY12" s="301"/>
      <c r="GQZ12" s="301"/>
      <c r="GRA12" s="301"/>
      <c r="GRB12" s="301"/>
      <c r="GRC12" s="301"/>
      <c r="GRD12" s="301"/>
      <c r="GRE12" s="312"/>
      <c r="GRF12" s="301"/>
      <c r="GRG12" s="309"/>
      <c r="GRH12" s="301"/>
      <c r="GRI12" s="306"/>
      <c r="GRJ12" s="301"/>
      <c r="GRK12" s="309"/>
      <c r="GRL12" s="301"/>
      <c r="GRM12" s="309"/>
      <c r="GRN12" s="301"/>
      <c r="GRO12" s="301"/>
      <c r="GRP12" s="301"/>
      <c r="GRQ12" s="301"/>
      <c r="GRR12" s="301"/>
      <c r="GRS12" s="301"/>
      <c r="GRT12" s="301"/>
      <c r="GRU12" s="301"/>
      <c r="GRV12" s="312"/>
      <c r="GRW12" s="301"/>
      <c r="GRX12" s="309"/>
      <c r="GRY12" s="301"/>
      <c r="GRZ12" s="306"/>
      <c r="GSA12" s="301"/>
      <c r="GSB12" s="309"/>
      <c r="GSC12" s="301"/>
      <c r="GSD12" s="309"/>
      <c r="GSE12" s="301"/>
      <c r="GSF12" s="301"/>
      <c r="GSG12" s="301"/>
      <c r="GSH12" s="301"/>
      <c r="GSI12" s="301"/>
      <c r="GSJ12" s="301"/>
      <c r="GSK12" s="301"/>
      <c r="GSL12" s="301"/>
      <c r="GSM12" s="312"/>
      <c r="GSN12" s="301"/>
      <c r="GSO12" s="309"/>
      <c r="GSP12" s="301"/>
      <c r="GSQ12" s="306"/>
      <c r="GSR12" s="301"/>
      <c r="GSS12" s="309"/>
      <c r="GST12" s="301"/>
      <c r="GSU12" s="309"/>
      <c r="GSV12" s="301"/>
      <c r="GSW12" s="301"/>
      <c r="GSX12" s="301"/>
      <c r="GSY12" s="301"/>
      <c r="GSZ12" s="301"/>
      <c r="GTA12" s="301"/>
      <c r="GTB12" s="301"/>
      <c r="GTC12" s="301"/>
      <c r="GTD12" s="312"/>
      <c r="GTE12" s="301"/>
      <c r="GTF12" s="309"/>
      <c r="GTG12" s="301"/>
      <c r="GTH12" s="306"/>
      <c r="GTI12" s="301"/>
      <c r="GTJ12" s="309"/>
      <c r="GTK12" s="301"/>
      <c r="GTL12" s="309"/>
      <c r="GTM12" s="301"/>
      <c r="GTN12" s="301"/>
      <c r="GTO12" s="301"/>
      <c r="GTP12" s="301"/>
      <c r="GTQ12" s="301"/>
      <c r="GTR12" s="301"/>
      <c r="GTS12" s="301"/>
      <c r="GTT12" s="301"/>
      <c r="GTU12" s="312"/>
      <c r="GTV12" s="301"/>
      <c r="GTW12" s="309"/>
      <c r="GTX12" s="301"/>
      <c r="GTY12" s="306"/>
      <c r="GTZ12" s="301"/>
      <c r="GUA12" s="309"/>
      <c r="GUB12" s="301"/>
      <c r="GUC12" s="309"/>
      <c r="GUD12" s="301"/>
      <c r="GUE12" s="301"/>
      <c r="GUF12" s="301"/>
      <c r="GUG12" s="301"/>
      <c r="GUH12" s="301"/>
      <c r="GUI12" s="301"/>
      <c r="GUJ12" s="301"/>
      <c r="GUK12" s="301"/>
      <c r="GUL12" s="312"/>
      <c r="GUM12" s="301"/>
      <c r="GUN12" s="309"/>
      <c r="GUO12" s="301"/>
      <c r="GUP12" s="306"/>
      <c r="GUQ12" s="301"/>
      <c r="GUR12" s="309"/>
      <c r="GUS12" s="301"/>
      <c r="GUT12" s="309"/>
      <c r="GUU12" s="301"/>
      <c r="GUV12" s="301"/>
      <c r="GUW12" s="301"/>
      <c r="GUX12" s="301"/>
      <c r="GUY12" s="301"/>
      <c r="GUZ12" s="301"/>
      <c r="GVA12" s="301"/>
      <c r="GVB12" s="301"/>
      <c r="GVC12" s="312"/>
      <c r="GVD12" s="301"/>
      <c r="GVE12" s="309"/>
      <c r="GVF12" s="301"/>
      <c r="GVG12" s="306"/>
      <c r="GVH12" s="301"/>
      <c r="GVI12" s="309"/>
      <c r="GVJ12" s="301"/>
      <c r="GVK12" s="309"/>
      <c r="GVL12" s="301"/>
      <c r="GVM12" s="301"/>
      <c r="GVN12" s="301"/>
      <c r="GVO12" s="301"/>
      <c r="GVP12" s="301"/>
      <c r="GVQ12" s="301"/>
      <c r="GVR12" s="301"/>
      <c r="GVS12" s="301"/>
      <c r="GVT12" s="312"/>
      <c r="GVU12" s="301"/>
      <c r="GVV12" s="309"/>
      <c r="GVW12" s="301"/>
      <c r="GVX12" s="306"/>
      <c r="GVY12" s="301"/>
      <c r="GVZ12" s="309"/>
      <c r="GWA12" s="301"/>
      <c r="GWB12" s="309"/>
      <c r="GWC12" s="301"/>
      <c r="GWD12" s="301"/>
      <c r="GWE12" s="301"/>
      <c r="GWF12" s="301"/>
      <c r="GWG12" s="301"/>
      <c r="GWH12" s="301"/>
      <c r="GWI12" s="301"/>
      <c r="GWJ12" s="301"/>
      <c r="GWK12" s="312"/>
      <c r="GWL12" s="301"/>
      <c r="GWM12" s="309"/>
      <c r="GWN12" s="301"/>
      <c r="GWO12" s="306"/>
      <c r="GWP12" s="301"/>
      <c r="GWQ12" s="309"/>
      <c r="GWR12" s="301"/>
      <c r="GWS12" s="309"/>
      <c r="GWT12" s="301"/>
      <c r="GWU12" s="301"/>
      <c r="GWV12" s="301"/>
      <c r="GWW12" s="301"/>
      <c r="GWX12" s="301"/>
      <c r="GWY12" s="301"/>
      <c r="GWZ12" s="301"/>
      <c r="GXA12" s="301"/>
      <c r="GXB12" s="312"/>
      <c r="GXC12" s="301"/>
      <c r="GXD12" s="309"/>
      <c r="GXE12" s="301"/>
      <c r="GXF12" s="306"/>
      <c r="GXG12" s="301"/>
      <c r="GXH12" s="309"/>
      <c r="GXI12" s="301"/>
      <c r="GXJ12" s="309"/>
      <c r="GXK12" s="301"/>
      <c r="GXL12" s="301"/>
      <c r="GXM12" s="301"/>
      <c r="GXN12" s="301"/>
      <c r="GXO12" s="301"/>
      <c r="GXP12" s="301"/>
      <c r="GXQ12" s="301"/>
      <c r="GXR12" s="301"/>
      <c r="GXS12" s="312"/>
      <c r="GXT12" s="301"/>
      <c r="GXU12" s="309"/>
      <c r="GXV12" s="301"/>
      <c r="GXW12" s="306"/>
      <c r="GXX12" s="301"/>
      <c r="GXY12" s="309"/>
      <c r="GXZ12" s="301"/>
      <c r="GYA12" s="309"/>
      <c r="GYB12" s="301"/>
      <c r="GYC12" s="301"/>
      <c r="GYD12" s="301"/>
      <c r="GYE12" s="301"/>
      <c r="GYF12" s="301"/>
      <c r="GYG12" s="301"/>
      <c r="GYH12" s="301"/>
      <c r="GYI12" s="301"/>
      <c r="GYJ12" s="312"/>
      <c r="GYK12" s="301"/>
      <c r="GYL12" s="309"/>
      <c r="GYM12" s="301"/>
      <c r="GYN12" s="306"/>
      <c r="GYO12" s="301"/>
      <c r="GYP12" s="309"/>
      <c r="GYQ12" s="301"/>
      <c r="GYR12" s="309"/>
      <c r="GYS12" s="301"/>
      <c r="GYT12" s="301"/>
      <c r="GYU12" s="301"/>
      <c r="GYV12" s="301"/>
      <c r="GYW12" s="301"/>
      <c r="GYX12" s="301"/>
      <c r="GYY12" s="301"/>
      <c r="GYZ12" s="301"/>
      <c r="GZA12" s="312"/>
      <c r="GZB12" s="301"/>
      <c r="GZC12" s="309"/>
      <c r="GZD12" s="301"/>
      <c r="GZE12" s="306"/>
      <c r="GZF12" s="301"/>
      <c r="GZG12" s="309"/>
      <c r="GZH12" s="301"/>
      <c r="GZI12" s="309"/>
      <c r="GZJ12" s="301"/>
      <c r="GZK12" s="301"/>
      <c r="GZL12" s="301"/>
      <c r="GZM12" s="301"/>
      <c r="GZN12" s="301"/>
      <c r="GZO12" s="301"/>
      <c r="GZP12" s="301"/>
      <c r="GZQ12" s="301"/>
      <c r="GZR12" s="312"/>
      <c r="GZS12" s="301"/>
      <c r="GZT12" s="309"/>
      <c r="GZU12" s="301"/>
      <c r="GZV12" s="306"/>
      <c r="GZW12" s="301"/>
      <c r="GZX12" s="309"/>
      <c r="GZY12" s="301"/>
      <c r="GZZ12" s="309"/>
      <c r="HAA12" s="301"/>
      <c r="HAB12" s="301"/>
      <c r="HAC12" s="301"/>
      <c r="HAD12" s="301"/>
      <c r="HAE12" s="301"/>
      <c r="HAF12" s="301"/>
      <c r="HAG12" s="301"/>
      <c r="HAH12" s="301"/>
      <c r="HAI12" s="312"/>
      <c r="HAJ12" s="301"/>
      <c r="HAK12" s="309"/>
      <c r="HAL12" s="301"/>
      <c r="HAM12" s="306"/>
      <c r="HAN12" s="301"/>
      <c r="HAO12" s="309"/>
      <c r="HAP12" s="301"/>
      <c r="HAQ12" s="309"/>
      <c r="HAR12" s="301"/>
      <c r="HAS12" s="301"/>
      <c r="HAT12" s="301"/>
      <c r="HAU12" s="301"/>
      <c r="HAV12" s="301"/>
      <c r="HAW12" s="301"/>
      <c r="HAX12" s="301"/>
      <c r="HAY12" s="301"/>
      <c r="HAZ12" s="312"/>
      <c r="HBA12" s="301"/>
      <c r="HBB12" s="309"/>
      <c r="HBC12" s="301"/>
      <c r="HBD12" s="306"/>
      <c r="HBE12" s="301"/>
      <c r="HBF12" s="309"/>
      <c r="HBG12" s="301"/>
      <c r="HBH12" s="309"/>
      <c r="HBI12" s="301"/>
      <c r="HBJ12" s="301"/>
      <c r="HBK12" s="301"/>
      <c r="HBL12" s="301"/>
      <c r="HBM12" s="301"/>
      <c r="HBN12" s="301"/>
      <c r="HBO12" s="301"/>
      <c r="HBP12" s="301"/>
      <c r="HBQ12" s="312"/>
      <c r="HBR12" s="301"/>
      <c r="HBS12" s="309"/>
      <c r="HBT12" s="301"/>
      <c r="HBU12" s="306"/>
      <c r="HBV12" s="301"/>
      <c r="HBW12" s="309"/>
      <c r="HBX12" s="301"/>
      <c r="HBY12" s="309"/>
      <c r="HBZ12" s="301"/>
      <c r="HCA12" s="301"/>
      <c r="HCB12" s="301"/>
      <c r="HCC12" s="301"/>
      <c r="HCD12" s="301"/>
      <c r="HCE12" s="301"/>
      <c r="HCF12" s="301"/>
      <c r="HCG12" s="301"/>
      <c r="HCH12" s="312"/>
      <c r="HCI12" s="301"/>
      <c r="HCJ12" s="309"/>
      <c r="HCK12" s="301"/>
      <c r="HCL12" s="306"/>
      <c r="HCM12" s="301"/>
      <c r="HCN12" s="309"/>
      <c r="HCO12" s="301"/>
      <c r="HCP12" s="309"/>
      <c r="HCQ12" s="301"/>
      <c r="HCR12" s="301"/>
      <c r="HCS12" s="301"/>
      <c r="HCT12" s="301"/>
      <c r="HCU12" s="301"/>
      <c r="HCV12" s="301"/>
      <c r="HCW12" s="301"/>
      <c r="HCX12" s="301"/>
      <c r="HCY12" s="312"/>
      <c r="HCZ12" s="301"/>
      <c r="HDA12" s="309"/>
      <c r="HDB12" s="301"/>
      <c r="HDC12" s="306"/>
      <c r="HDD12" s="301"/>
      <c r="HDE12" s="309"/>
      <c r="HDF12" s="301"/>
      <c r="HDG12" s="309"/>
      <c r="HDH12" s="301"/>
      <c r="HDI12" s="301"/>
      <c r="HDJ12" s="301"/>
      <c r="HDK12" s="301"/>
      <c r="HDL12" s="301"/>
      <c r="HDM12" s="301"/>
      <c r="HDN12" s="301"/>
      <c r="HDO12" s="301"/>
      <c r="HDP12" s="312"/>
      <c r="HDQ12" s="301"/>
      <c r="HDR12" s="309"/>
      <c r="HDS12" s="301"/>
      <c r="HDT12" s="306"/>
      <c r="HDU12" s="301"/>
      <c r="HDV12" s="309"/>
      <c r="HDW12" s="301"/>
      <c r="HDX12" s="309"/>
      <c r="HDY12" s="301"/>
      <c r="HDZ12" s="301"/>
      <c r="HEA12" s="301"/>
      <c r="HEB12" s="301"/>
      <c r="HEC12" s="301"/>
      <c r="HED12" s="301"/>
      <c r="HEE12" s="301"/>
      <c r="HEF12" s="301"/>
      <c r="HEG12" s="312"/>
      <c r="HEH12" s="301"/>
      <c r="HEI12" s="309"/>
      <c r="HEJ12" s="301"/>
      <c r="HEK12" s="306"/>
      <c r="HEL12" s="301"/>
      <c r="HEM12" s="309"/>
      <c r="HEN12" s="301"/>
      <c r="HEO12" s="309"/>
      <c r="HEP12" s="301"/>
      <c r="HEQ12" s="301"/>
      <c r="HER12" s="301"/>
      <c r="HES12" s="301"/>
      <c r="HET12" s="301"/>
      <c r="HEU12" s="301"/>
      <c r="HEV12" s="301"/>
      <c r="HEW12" s="301"/>
      <c r="HEX12" s="312"/>
      <c r="HEY12" s="301"/>
      <c r="HEZ12" s="309"/>
      <c r="HFA12" s="301"/>
      <c r="HFB12" s="306"/>
      <c r="HFC12" s="301"/>
      <c r="HFD12" s="309"/>
      <c r="HFE12" s="301"/>
      <c r="HFF12" s="309"/>
      <c r="HFG12" s="301"/>
      <c r="HFH12" s="301"/>
      <c r="HFI12" s="301"/>
      <c r="HFJ12" s="301"/>
      <c r="HFK12" s="301"/>
      <c r="HFL12" s="301"/>
      <c r="HFM12" s="301"/>
      <c r="HFN12" s="301"/>
      <c r="HFO12" s="312"/>
      <c r="HFP12" s="301"/>
      <c r="HFQ12" s="309"/>
      <c r="HFR12" s="301"/>
      <c r="HFS12" s="306"/>
      <c r="HFT12" s="301"/>
      <c r="HFU12" s="309"/>
      <c r="HFV12" s="301"/>
      <c r="HFW12" s="309"/>
      <c r="HFX12" s="301"/>
      <c r="HFY12" s="301"/>
      <c r="HFZ12" s="301"/>
      <c r="HGA12" s="301"/>
      <c r="HGB12" s="301"/>
      <c r="HGC12" s="301"/>
      <c r="HGD12" s="301"/>
      <c r="HGE12" s="301"/>
      <c r="HGF12" s="312"/>
      <c r="HGG12" s="301"/>
      <c r="HGH12" s="309"/>
      <c r="HGI12" s="301"/>
      <c r="HGJ12" s="306"/>
      <c r="HGK12" s="301"/>
      <c r="HGL12" s="309"/>
      <c r="HGM12" s="301"/>
      <c r="HGN12" s="309"/>
      <c r="HGO12" s="301"/>
      <c r="HGP12" s="301"/>
      <c r="HGQ12" s="301"/>
      <c r="HGR12" s="301"/>
      <c r="HGS12" s="301"/>
      <c r="HGT12" s="301"/>
      <c r="HGU12" s="301"/>
      <c r="HGV12" s="301"/>
      <c r="HGW12" s="312"/>
      <c r="HGX12" s="301"/>
      <c r="HGY12" s="309"/>
      <c r="HGZ12" s="301"/>
      <c r="HHA12" s="306"/>
      <c r="HHB12" s="301"/>
      <c r="HHC12" s="309"/>
      <c r="HHD12" s="301"/>
      <c r="HHE12" s="309"/>
      <c r="HHF12" s="301"/>
      <c r="HHG12" s="301"/>
      <c r="HHH12" s="301"/>
      <c r="HHI12" s="301"/>
      <c r="HHJ12" s="301"/>
      <c r="HHK12" s="301"/>
      <c r="HHL12" s="301"/>
      <c r="HHM12" s="301"/>
      <c r="HHN12" s="312"/>
      <c r="HHO12" s="301"/>
      <c r="HHP12" s="309"/>
      <c r="HHQ12" s="301"/>
      <c r="HHR12" s="306"/>
      <c r="HHS12" s="301"/>
      <c r="HHT12" s="309"/>
      <c r="HHU12" s="301"/>
      <c r="HHV12" s="309"/>
      <c r="HHW12" s="301"/>
      <c r="HHX12" s="301"/>
      <c r="HHY12" s="301"/>
      <c r="HHZ12" s="301"/>
      <c r="HIA12" s="301"/>
      <c r="HIB12" s="301"/>
      <c r="HIC12" s="301"/>
      <c r="HID12" s="301"/>
      <c r="HIE12" s="312"/>
      <c r="HIF12" s="301"/>
      <c r="HIG12" s="309"/>
      <c r="HIH12" s="301"/>
      <c r="HII12" s="306"/>
      <c r="HIJ12" s="301"/>
      <c r="HIK12" s="309"/>
      <c r="HIL12" s="301"/>
      <c r="HIM12" s="309"/>
      <c r="HIN12" s="301"/>
      <c r="HIO12" s="301"/>
      <c r="HIP12" s="301"/>
      <c r="HIQ12" s="301"/>
      <c r="HIR12" s="301"/>
      <c r="HIS12" s="301"/>
      <c r="HIT12" s="301"/>
      <c r="HIU12" s="301"/>
      <c r="HIV12" s="312"/>
      <c r="HIW12" s="301"/>
      <c r="HIX12" s="309"/>
      <c r="HIY12" s="301"/>
      <c r="HIZ12" s="306"/>
      <c r="HJA12" s="301"/>
      <c r="HJB12" s="309"/>
      <c r="HJC12" s="301"/>
      <c r="HJD12" s="309"/>
      <c r="HJE12" s="301"/>
      <c r="HJF12" s="301"/>
      <c r="HJG12" s="301"/>
      <c r="HJH12" s="301"/>
      <c r="HJI12" s="301"/>
      <c r="HJJ12" s="301"/>
      <c r="HJK12" s="301"/>
      <c r="HJL12" s="301"/>
      <c r="HJM12" s="312"/>
      <c r="HJN12" s="301"/>
      <c r="HJO12" s="309"/>
      <c r="HJP12" s="301"/>
      <c r="HJQ12" s="306"/>
      <c r="HJR12" s="301"/>
      <c r="HJS12" s="309"/>
      <c r="HJT12" s="301"/>
      <c r="HJU12" s="309"/>
      <c r="HJV12" s="301"/>
      <c r="HJW12" s="301"/>
      <c r="HJX12" s="301"/>
      <c r="HJY12" s="301"/>
      <c r="HJZ12" s="301"/>
      <c r="HKA12" s="301"/>
      <c r="HKB12" s="301"/>
      <c r="HKC12" s="301"/>
      <c r="HKD12" s="312"/>
      <c r="HKE12" s="301"/>
      <c r="HKF12" s="309"/>
      <c r="HKG12" s="301"/>
      <c r="HKH12" s="306"/>
      <c r="HKI12" s="301"/>
      <c r="HKJ12" s="309"/>
      <c r="HKK12" s="301"/>
      <c r="HKL12" s="309"/>
      <c r="HKM12" s="301"/>
      <c r="HKN12" s="301"/>
      <c r="HKO12" s="301"/>
      <c r="HKP12" s="301"/>
      <c r="HKQ12" s="301"/>
      <c r="HKR12" s="301"/>
      <c r="HKS12" s="301"/>
      <c r="HKT12" s="301"/>
      <c r="HKU12" s="312"/>
      <c r="HKV12" s="301"/>
      <c r="HKW12" s="309"/>
      <c r="HKX12" s="301"/>
      <c r="HKY12" s="306"/>
      <c r="HKZ12" s="301"/>
      <c r="HLA12" s="309"/>
      <c r="HLB12" s="301"/>
      <c r="HLC12" s="309"/>
      <c r="HLD12" s="301"/>
      <c r="HLE12" s="301"/>
      <c r="HLF12" s="301"/>
      <c r="HLG12" s="301"/>
      <c r="HLH12" s="301"/>
      <c r="HLI12" s="301"/>
      <c r="HLJ12" s="301"/>
      <c r="HLK12" s="301"/>
      <c r="HLL12" s="312"/>
      <c r="HLM12" s="301"/>
      <c r="HLN12" s="309"/>
      <c r="HLO12" s="301"/>
      <c r="HLP12" s="306"/>
      <c r="HLQ12" s="301"/>
      <c r="HLR12" s="309"/>
      <c r="HLS12" s="301"/>
      <c r="HLT12" s="309"/>
      <c r="HLU12" s="301"/>
      <c r="HLV12" s="301"/>
      <c r="HLW12" s="301"/>
      <c r="HLX12" s="301"/>
      <c r="HLY12" s="301"/>
      <c r="HLZ12" s="301"/>
      <c r="HMA12" s="301"/>
      <c r="HMB12" s="301"/>
      <c r="HMC12" s="312"/>
      <c r="HMD12" s="301"/>
      <c r="HME12" s="309"/>
      <c r="HMF12" s="301"/>
      <c r="HMG12" s="306"/>
      <c r="HMH12" s="301"/>
      <c r="HMI12" s="309"/>
      <c r="HMJ12" s="301"/>
      <c r="HMK12" s="309"/>
      <c r="HML12" s="301"/>
      <c r="HMM12" s="301"/>
      <c r="HMN12" s="301"/>
      <c r="HMO12" s="301"/>
      <c r="HMP12" s="301"/>
      <c r="HMQ12" s="301"/>
      <c r="HMR12" s="301"/>
      <c r="HMS12" s="301"/>
      <c r="HMT12" s="312"/>
      <c r="HMU12" s="301"/>
      <c r="HMV12" s="309"/>
      <c r="HMW12" s="301"/>
      <c r="HMX12" s="306"/>
      <c r="HMY12" s="301"/>
      <c r="HMZ12" s="309"/>
      <c r="HNA12" s="301"/>
      <c r="HNB12" s="309"/>
      <c r="HNC12" s="301"/>
      <c r="HND12" s="301"/>
      <c r="HNE12" s="301"/>
      <c r="HNF12" s="301"/>
      <c r="HNG12" s="301"/>
      <c r="HNH12" s="301"/>
      <c r="HNI12" s="301"/>
      <c r="HNJ12" s="301"/>
      <c r="HNK12" s="312"/>
      <c r="HNL12" s="301"/>
      <c r="HNM12" s="309"/>
      <c r="HNN12" s="301"/>
      <c r="HNO12" s="306"/>
      <c r="HNP12" s="301"/>
      <c r="HNQ12" s="309"/>
      <c r="HNR12" s="301"/>
      <c r="HNS12" s="309"/>
      <c r="HNT12" s="301"/>
      <c r="HNU12" s="301"/>
      <c r="HNV12" s="301"/>
      <c r="HNW12" s="301"/>
      <c r="HNX12" s="301"/>
      <c r="HNY12" s="301"/>
      <c r="HNZ12" s="301"/>
      <c r="HOA12" s="301"/>
      <c r="HOB12" s="312"/>
      <c r="HOC12" s="301"/>
      <c r="HOD12" s="309"/>
      <c r="HOE12" s="301"/>
      <c r="HOF12" s="306"/>
      <c r="HOG12" s="301"/>
      <c r="HOH12" s="309"/>
      <c r="HOI12" s="301"/>
      <c r="HOJ12" s="309"/>
      <c r="HOK12" s="301"/>
      <c r="HOL12" s="301"/>
      <c r="HOM12" s="301"/>
      <c r="HON12" s="301"/>
      <c r="HOO12" s="301"/>
      <c r="HOP12" s="301"/>
      <c r="HOQ12" s="301"/>
      <c r="HOR12" s="301"/>
      <c r="HOS12" s="312"/>
      <c r="HOT12" s="301"/>
      <c r="HOU12" s="309"/>
      <c r="HOV12" s="301"/>
      <c r="HOW12" s="306"/>
      <c r="HOX12" s="301"/>
      <c r="HOY12" s="309"/>
      <c r="HOZ12" s="301"/>
      <c r="HPA12" s="309"/>
      <c r="HPB12" s="301"/>
      <c r="HPC12" s="301"/>
      <c r="HPD12" s="301"/>
      <c r="HPE12" s="301"/>
      <c r="HPF12" s="301"/>
      <c r="HPG12" s="301"/>
      <c r="HPH12" s="301"/>
      <c r="HPI12" s="301"/>
      <c r="HPJ12" s="312"/>
      <c r="HPK12" s="301"/>
      <c r="HPL12" s="309"/>
      <c r="HPM12" s="301"/>
      <c r="HPN12" s="306"/>
      <c r="HPO12" s="301"/>
      <c r="HPP12" s="309"/>
      <c r="HPQ12" s="301"/>
      <c r="HPR12" s="309"/>
      <c r="HPS12" s="301"/>
      <c r="HPT12" s="301"/>
      <c r="HPU12" s="301"/>
      <c r="HPV12" s="301"/>
      <c r="HPW12" s="301"/>
      <c r="HPX12" s="301"/>
      <c r="HPY12" s="301"/>
      <c r="HPZ12" s="301"/>
      <c r="HQA12" s="312"/>
      <c r="HQB12" s="301"/>
      <c r="HQC12" s="309"/>
      <c r="HQD12" s="301"/>
      <c r="HQE12" s="306"/>
      <c r="HQF12" s="301"/>
      <c r="HQG12" s="309"/>
      <c r="HQH12" s="301"/>
      <c r="HQI12" s="309"/>
      <c r="HQJ12" s="301"/>
      <c r="HQK12" s="301"/>
      <c r="HQL12" s="301"/>
      <c r="HQM12" s="301"/>
      <c r="HQN12" s="301"/>
      <c r="HQO12" s="301"/>
      <c r="HQP12" s="301"/>
      <c r="HQQ12" s="301"/>
      <c r="HQR12" s="312"/>
      <c r="HQS12" s="301"/>
      <c r="HQT12" s="309"/>
      <c r="HQU12" s="301"/>
      <c r="HQV12" s="306"/>
      <c r="HQW12" s="301"/>
      <c r="HQX12" s="309"/>
      <c r="HQY12" s="301"/>
      <c r="HQZ12" s="309"/>
      <c r="HRA12" s="301"/>
      <c r="HRB12" s="301"/>
      <c r="HRC12" s="301"/>
      <c r="HRD12" s="301"/>
      <c r="HRE12" s="301"/>
      <c r="HRF12" s="301"/>
      <c r="HRG12" s="301"/>
      <c r="HRH12" s="301"/>
      <c r="HRI12" s="312"/>
      <c r="HRJ12" s="301"/>
      <c r="HRK12" s="309"/>
      <c r="HRL12" s="301"/>
      <c r="HRM12" s="306"/>
      <c r="HRN12" s="301"/>
      <c r="HRO12" s="309"/>
      <c r="HRP12" s="301"/>
      <c r="HRQ12" s="309"/>
      <c r="HRR12" s="301"/>
      <c r="HRS12" s="301"/>
      <c r="HRT12" s="301"/>
      <c r="HRU12" s="301"/>
      <c r="HRV12" s="301"/>
      <c r="HRW12" s="301"/>
      <c r="HRX12" s="301"/>
      <c r="HRY12" s="301"/>
      <c r="HRZ12" s="312"/>
      <c r="HSA12" s="301"/>
      <c r="HSB12" s="309"/>
      <c r="HSC12" s="301"/>
      <c r="HSD12" s="306"/>
      <c r="HSE12" s="301"/>
      <c r="HSF12" s="309"/>
      <c r="HSG12" s="301"/>
      <c r="HSH12" s="309"/>
      <c r="HSI12" s="301"/>
      <c r="HSJ12" s="301"/>
      <c r="HSK12" s="301"/>
      <c r="HSL12" s="301"/>
      <c r="HSM12" s="301"/>
      <c r="HSN12" s="301"/>
      <c r="HSO12" s="301"/>
      <c r="HSP12" s="301"/>
      <c r="HSQ12" s="312"/>
      <c r="HSR12" s="301"/>
      <c r="HSS12" s="309"/>
      <c r="HST12" s="301"/>
      <c r="HSU12" s="306"/>
      <c r="HSV12" s="301"/>
      <c r="HSW12" s="309"/>
      <c r="HSX12" s="301"/>
      <c r="HSY12" s="309"/>
      <c r="HSZ12" s="301"/>
      <c r="HTA12" s="301"/>
      <c r="HTB12" s="301"/>
      <c r="HTC12" s="301"/>
      <c r="HTD12" s="301"/>
      <c r="HTE12" s="301"/>
      <c r="HTF12" s="301"/>
      <c r="HTG12" s="301"/>
      <c r="HTH12" s="312"/>
      <c r="HTI12" s="301"/>
      <c r="HTJ12" s="309"/>
      <c r="HTK12" s="301"/>
      <c r="HTL12" s="306"/>
      <c r="HTM12" s="301"/>
      <c r="HTN12" s="309"/>
      <c r="HTO12" s="301"/>
      <c r="HTP12" s="309"/>
      <c r="HTQ12" s="301"/>
      <c r="HTR12" s="301"/>
      <c r="HTS12" s="301"/>
      <c r="HTT12" s="301"/>
      <c r="HTU12" s="301"/>
      <c r="HTV12" s="301"/>
      <c r="HTW12" s="301"/>
      <c r="HTX12" s="301"/>
      <c r="HTY12" s="312"/>
      <c r="HTZ12" s="301"/>
      <c r="HUA12" s="309"/>
      <c r="HUB12" s="301"/>
      <c r="HUC12" s="306"/>
      <c r="HUD12" s="301"/>
      <c r="HUE12" s="309"/>
      <c r="HUF12" s="301"/>
      <c r="HUG12" s="309"/>
      <c r="HUH12" s="301"/>
      <c r="HUI12" s="301"/>
      <c r="HUJ12" s="301"/>
      <c r="HUK12" s="301"/>
      <c r="HUL12" s="301"/>
      <c r="HUM12" s="301"/>
      <c r="HUN12" s="301"/>
      <c r="HUO12" s="301"/>
      <c r="HUP12" s="312"/>
      <c r="HUQ12" s="301"/>
      <c r="HUR12" s="309"/>
      <c r="HUS12" s="301"/>
      <c r="HUT12" s="306"/>
      <c r="HUU12" s="301"/>
      <c r="HUV12" s="309"/>
      <c r="HUW12" s="301"/>
      <c r="HUX12" s="309"/>
      <c r="HUY12" s="301"/>
      <c r="HUZ12" s="301"/>
      <c r="HVA12" s="301"/>
      <c r="HVB12" s="301"/>
      <c r="HVC12" s="301"/>
      <c r="HVD12" s="301"/>
      <c r="HVE12" s="301"/>
      <c r="HVF12" s="301"/>
      <c r="HVG12" s="312"/>
      <c r="HVH12" s="301"/>
      <c r="HVI12" s="309"/>
      <c r="HVJ12" s="301"/>
      <c r="HVK12" s="306"/>
      <c r="HVL12" s="301"/>
      <c r="HVM12" s="309"/>
      <c r="HVN12" s="301"/>
      <c r="HVO12" s="309"/>
      <c r="HVP12" s="301"/>
      <c r="HVQ12" s="301"/>
      <c r="HVR12" s="301"/>
      <c r="HVS12" s="301"/>
      <c r="HVT12" s="301"/>
      <c r="HVU12" s="301"/>
      <c r="HVV12" s="301"/>
      <c r="HVW12" s="301"/>
      <c r="HVX12" s="312"/>
      <c r="HVY12" s="301"/>
      <c r="HVZ12" s="309"/>
      <c r="HWA12" s="301"/>
      <c r="HWB12" s="306"/>
      <c r="HWC12" s="301"/>
      <c r="HWD12" s="309"/>
      <c r="HWE12" s="301"/>
      <c r="HWF12" s="309"/>
      <c r="HWG12" s="301"/>
      <c r="HWH12" s="301"/>
      <c r="HWI12" s="301"/>
      <c r="HWJ12" s="301"/>
      <c r="HWK12" s="301"/>
      <c r="HWL12" s="301"/>
      <c r="HWM12" s="301"/>
      <c r="HWN12" s="301"/>
      <c r="HWO12" s="312"/>
      <c r="HWP12" s="301"/>
      <c r="HWQ12" s="309"/>
      <c r="HWR12" s="301"/>
      <c r="HWS12" s="306"/>
      <c r="HWT12" s="301"/>
      <c r="HWU12" s="309"/>
      <c r="HWV12" s="301"/>
      <c r="HWW12" s="309"/>
      <c r="HWX12" s="301"/>
      <c r="HWY12" s="301"/>
      <c r="HWZ12" s="301"/>
      <c r="HXA12" s="301"/>
      <c r="HXB12" s="301"/>
      <c r="HXC12" s="301"/>
      <c r="HXD12" s="301"/>
      <c r="HXE12" s="301"/>
      <c r="HXF12" s="312"/>
      <c r="HXG12" s="301"/>
      <c r="HXH12" s="309"/>
      <c r="HXI12" s="301"/>
      <c r="HXJ12" s="306"/>
      <c r="HXK12" s="301"/>
      <c r="HXL12" s="309"/>
      <c r="HXM12" s="301"/>
      <c r="HXN12" s="309"/>
      <c r="HXO12" s="301"/>
      <c r="HXP12" s="301"/>
      <c r="HXQ12" s="301"/>
      <c r="HXR12" s="301"/>
      <c r="HXS12" s="301"/>
      <c r="HXT12" s="301"/>
      <c r="HXU12" s="301"/>
      <c r="HXV12" s="301"/>
      <c r="HXW12" s="312"/>
      <c r="HXX12" s="301"/>
      <c r="HXY12" s="309"/>
      <c r="HXZ12" s="301"/>
      <c r="HYA12" s="306"/>
      <c r="HYB12" s="301"/>
      <c r="HYC12" s="309"/>
      <c r="HYD12" s="301"/>
      <c r="HYE12" s="309"/>
      <c r="HYF12" s="301"/>
      <c r="HYG12" s="301"/>
      <c r="HYH12" s="301"/>
      <c r="HYI12" s="301"/>
      <c r="HYJ12" s="301"/>
      <c r="HYK12" s="301"/>
      <c r="HYL12" s="301"/>
      <c r="HYM12" s="301"/>
      <c r="HYN12" s="312"/>
      <c r="HYO12" s="301"/>
      <c r="HYP12" s="309"/>
      <c r="HYQ12" s="301"/>
      <c r="HYR12" s="306"/>
      <c r="HYS12" s="301"/>
      <c r="HYT12" s="309"/>
      <c r="HYU12" s="301"/>
      <c r="HYV12" s="309"/>
      <c r="HYW12" s="301"/>
      <c r="HYX12" s="301"/>
      <c r="HYY12" s="301"/>
      <c r="HYZ12" s="301"/>
      <c r="HZA12" s="301"/>
      <c r="HZB12" s="301"/>
      <c r="HZC12" s="301"/>
      <c r="HZD12" s="301"/>
      <c r="HZE12" s="312"/>
      <c r="HZF12" s="301"/>
      <c r="HZG12" s="309"/>
      <c r="HZH12" s="301"/>
      <c r="HZI12" s="306"/>
      <c r="HZJ12" s="301"/>
      <c r="HZK12" s="309"/>
      <c r="HZL12" s="301"/>
      <c r="HZM12" s="309"/>
      <c r="HZN12" s="301"/>
      <c r="HZO12" s="301"/>
      <c r="HZP12" s="301"/>
      <c r="HZQ12" s="301"/>
      <c r="HZR12" s="301"/>
      <c r="HZS12" s="301"/>
      <c r="HZT12" s="301"/>
      <c r="HZU12" s="301"/>
      <c r="HZV12" s="312"/>
      <c r="HZW12" s="301"/>
      <c r="HZX12" s="309"/>
      <c r="HZY12" s="301"/>
      <c r="HZZ12" s="306"/>
      <c r="IAA12" s="301"/>
      <c r="IAB12" s="309"/>
      <c r="IAC12" s="301"/>
      <c r="IAD12" s="309"/>
      <c r="IAE12" s="301"/>
      <c r="IAF12" s="301"/>
      <c r="IAG12" s="301"/>
      <c r="IAH12" s="301"/>
      <c r="IAI12" s="301"/>
      <c r="IAJ12" s="301"/>
      <c r="IAK12" s="301"/>
      <c r="IAL12" s="301"/>
      <c r="IAM12" s="312"/>
      <c r="IAN12" s="301"/>
      <c r="IAO12" s="309"/>
      <c r="IAP12" s="301"/>
      <c r="IAQ12" s="306"/>
      <c r="IAR12" s="301"/>
      <c r="IAS12" s="309"/>
      <c r="IAT12" s="301"/>
      <c r="IAU12" s="309"/>
      <c r="IAV12" s="301"/>
      <c r="IAW12" s="301"/>
      <c r="IAX12" s="301"/>
      <c r="IAY12" s="301"/>
      <c r="IAZ12" s="301"/>
      <c r="IBA12" s="301"/>
      <c r="IBB12" s="301"/>
      <c r="IBC12" s="301"/>
      <c r="IBD12" s="312"/>
      <c r="IBE12" s="301"/>
      <c r="IBF12" s="309"/>
      <c r="IBG12" s="301"/>
      <c r="IBH12" s="306"/>
      <c r="IBI12" s="301"/>
      <c r="IBJ12" s="309"/>
      <c r="IBK12" s="301"/>
      <c r="IBL12" s="309"/>
      <c r="IBM12" s="301"/>
      <c r="IBN12" s="301"/>
      <c r="IBO12" s="301"/>
      <c r="IBP12" s="301"/>
      <c r="IBQ12" s="301"/>
      <c r="IBR12" s="301"/>
      <c r="IBS12" s="301"/>
      <c r="IBT12" s="301"/>
      <c r="IBU12" s="312"/>
      <c r="IBV12" s="301"/>
      <c r="IBW12" s="309"/>
      <c r="IBX12" s="301"/>
      <c r="IBY12" s="306"/>
      <c r="IBZ12" s="301"/>
      <c r="ICA12" s="309"/>
      <c r="ICB12" s="301"/>
      <c r="ICC12" s="309"/>
      <c r="ICD12" s="301"/>
      <c r="ICE12" s="301"/>
      <c r="ICF12" s="301"/>
      <c r="ICG12" s="301"/>
      <c r="ICH12" s="301"/>
      <c r="ICI12" s="301"/>
      <c r="ICJ12" s="301"/>
      <c r="ICK12" s="301"/>
      <c r="ICL12" s="312"/>
      <c r="ICM12" s="301"/>
      <c r="ICN12" s="309"/>
      <c r="ICO12" s="301"/>
      <c r="ICP12" s="306"/>
      <c r="ICQ12" s="301"/>
      <c r="ICR12" s="309"/>
      <c r="ICS12" s="301"/>
      <c r="ICT12" s="309"/>
      <c r="ICU12" s="301"/>
      <c r="ICV12" s="301"/>
      <c r="ICW12" s="301"/>
      <c r="ICX12" s="301"/>
      <c r="ICY12" s="301"/>
      <c r="ICZ12" s="301"/>
      <c r="IDA12" s="301"/>
      <c r="IDB12" s="301"/>
      <c r="IDC12" s="312"/>
      <c r="IDD12" s="301"/>
      <c r="IDE12" s="309"/>
      <c r="IDF12" s="301"/>
      <c r="IDG12" s="306"/>
      <c r="IDH12" s="301"/>
      <c r="IDI12" s="309"/>
      <c r="IDJ12" s="301"/>
      <c r="IDK12" s="309"/>
      <c r="IDL12" s="301"/>
      <c r="IDM12" s="301"/>
      <c r="IDN12" s="301"/>
      <c r="IDO12" s="301"/>
      <c r="IDP12" s="301"/>
      <c r="IDQ12" s="301"/>
      <c r="IDR12" s="301"/>
      <c r="IDS12" s="301"/>
      <c r="IDT12" s="312"/>
      <c r="IDU12" s="301"/>
      <c r="IDV12" s="309"/>
      <c r="IDW12" s="301"/>
      <c r="IDX12" s="306"/>
      <c r="IDY12" s="301"/>
      <c r="IDZ12" s="309"/>
      <c r="IEA12" s="301"/>
      <c r="IEB12" s="309"/>
      <c r="IEC12" s="301"/>
      <c r="IED12" s="301"/>
      <c r="IEE12" s="301"/>
      <c r="IEF12" s="301"/>
      <c r="IEG12" s="301"/>
      <c r="IEH12" s="301"/>
      <c r="IEI12" s="301"/>
      <c r="IEJ12" s="301"/>
      <c r="IEK12" s="312"/>
      <c r="IEL12" s="301"/>
      <c r="IEM12" s="309"/>
      <c r="IEN12" s="301"/>
      <c r="IEO12" s="306"/>
      <c r="IEP12" s="301"/>
      <c r="IEQ12" s="309"/>
      <c r="IER12" s="301"/>
      <c r="IES12" s="309"/>
      <c r="IET12" s="301"/>
      <c r="IEU12" s="301"/>
      <c r="IEV12" s="301"/>
      <c r="IEW12" s="301"/>
      <c r="IEX12" s="301"/>
      <c r="IEY12" s="301"/>
      <c r="IEZ12" s="301"/>
      <c r="IFA12" s="301"/>
      <c r="IFB12" s="312"/>
      <c r="IFC12" s="301"/>
      <c r="IFD12" s="309"/>
      <c r="IFE12" s="301"/>
      <c r="IFF12" s="306"/>
      <c r="IFG12" s="301"/>
      <c r="IFH12" s="309"/>
      <c r="IFI12" s="301"/>
      <c r="IFJ12" s="309"/>
      <c r="IFK12" s="301"/>
      <c r="IFL12" s="301"/>
      <c r="IFM12" s="301"/>
      <c r="IFN12" s="301"/>
      <c r="IFO12" s="301"/>
      <c r="IFP12" s="301"/>
      <c r="IFQ12" s="301"/>
      <c r="IFR12" s="301"/>
      <c r="IFS12" s="312"/>
      <c r="IFT12" s="301"/>
      <c r="IFU12" s="309"/>
      <c r="IFV12" s="301"/>
      <c r="IFW12" s="306"/>
      <c r="IFX12" s="301"/>
      <c r="IFY12" s="309"/>
      <c r="IFZ12" s="301"/>
      <c r="IGA12" s="309"/>
      <c r="IGB12" s="301"/>
      <c r="IGC12" s="301"/>
      <c r="IGD12" s="301"/>
      <c r="IGE12" s="301"/>
      <c r="IGF12" s="301"/>
      <c r="IGG12" s="301"/>
      <c r="IGH12" s="301"/>
      <c r="IGI12" s="301"/>
      <c r="IGJ12" s="312"/>
      <c r="IGK12" s="301"/>
      <c r="IGL12" s="309"/>
      <c r="IGM12" s="301"/>
      <c r="IGN12" s="306"/>
      <c r="IGO12" s="301"/>
      <c r="IGP12" s="309"/>
      <c r="IGQ12" s="301"/>
      <c r="IGR12" s="309"/>
      <c r="IGS12" s="301"/>
      <c r="IGT12" s="301"/>
      <c r="IGU12" s="301"/>
      <c r="IGV12" s="301"/>
      <c r="IGW12" s="301"/>
      <c r="IGX12" s="301"/>
      <c r="IGY12" s="301"/>
      <c r="IGZ12" s="301"/>
      <c r="IHA12" s="312"/>
      <c r="IHB12" s="301"/>
      <c r="IHC12" s="309"/>
      <c r="IHD12" s="301"/>
      <c r="IHE12" s="306"/>
      <c r="IHF12" s="301"/>
      <c r="IHG12" s="309"/>
      <c r="IHH12" s="301"/>
      <c r="IHI12" s="309"/>
      <c r="IHJ12" s="301"/>
      <c r="IHK12" s="301"/>
      <c r="IHL12" s="301"/>
      <c r="IHM12" s="301"/>
      <c r="IHN12" s="301"/>
      <c r="IHO12" s="301"/>
      <c r="IHP12" s="301"/>
      <c r="IHQ12" s="301"/>
      <c r="IHR12" s="312"/>
      <c r="IHS12" s="301"/>
      <c r="IHT12" s="309"/>
      <c r="IHU12" s="301"/>
      <c r="IHV12" s="306"/>
      <c r="IHW12" s="301"/>
      <c r="IHX12" s="309"/>
      <c r="IHY12" s="301"/>
      <c r="IHZ12" s="309"/>
      <c r="IIA12" s="301"/>
      <c r="IIB12" s="301"/>
      <c r="IIC12" s="301"/>
      <c r="IID12" s="301"/>
      <c r="IIE12" s="301"/>
      <c r="IIF12" s="301"/>
      <c r="IIG12" s="301"/>
      <c r="IIH12" s="301"/>
      <c r="III12" s="312"/>
      <c r="IIJ12" s="301"/>
      <c r="IIK12" s="309"/>
      <c r="IIL12" s="301"/>
      <c r="IIM12" s="306"/>
      <c r="IIN12" s="301"/>
      <c r="IIO12" s="309"/>
      <c r="IIP12" s="301"/>
      <c r="IIQ12" s="309"/>
      <c r="IIR12" s="301"/>
      <c r="IIS12" s="301"/>
      <c r="IIT12" s="301"/>
      <c r="IIU12" s="301"/>
      <c r="IIV12" s="301"/>
      <c r="IIW12" s="301"/>
      <c r="IIX12" s="301"/>
      <c r="IIY12" s="301"/>
      <c r="IIZ12" s="312"/>
      <c r="IJA12" s="301"/>
      <c r="IJB12" s="309"/>
      <c r="IJC12" s="301"/>
      <c r="IJD12" s="306"/>
      <c r="IJE12" s="301"/>
      <c r="IJF12" s="309"/>
      <c r="IJG12" s="301"/>
      <c r="IJH12" s="309"/>
      <c r="IJI12" s="301"/>
      <c r="IJJ12" s="301"/>
      <c r="IJK12" s="301"/>
      <c r="IJL12" s="301"/>
      <c r="IJM12" s="301"/>
      <c r="IJN12" s="301"/>
      <c r="IJO12" s="301"/>
      <c r="IJP12" s="301"/>
      <c r="IJQ12" s="312"/>
      <c r="IJR12" s="301"/>
      <c r="IJS12" s="309"/>
      <c r="IJT12" s="301"/>
      <c r="IJU12" s="306"/>
      <c r="IJV12" s="301"/>
      <c r="IJW12" s="309"/>
      <c r="IJX12" s="301"/>
      <c r="IJY12" s="309"/>
      <c r="IJZ12" s="301"/>
      <c r="IKA12" s="301"/>
      <c r="IKB12" s="301"/>
      <c r="IKC12" s="301"/>
      <c r="IKD12" s="301"/>
      <c r="IKE12" s="301"/>
      <c r="IKF12" s="301"/>
      <c r="IKG12" s="301"/>
      <c r="IKH12" s="312"/>
      <c r="IKI12" s="301"/>
      <c r="IKJ12" s="309"/>
      <c r="IKK12" s="301"/>
      <c r="IKL12" s="306"/>
      <c r="IKM12" s="301"/>
      <c r="IKN12" s="309"/>
      <c r="IKO12" s="301"/>
      <c r="IKP12" s="309"/>
      <c r="IKQ12" s="301"/>
      <c r="IKR12" s="301"/>
      <c r="IKS12" s="301"/>
      <c r="IKT12" s="301"/>
      <c r="IKU12" s="301"/>
      <c r="IKV12" s="301"/>
      <c r="IKW12" s="301"/>
      <c r="IKX12" s="301"/>
      <c r="IKY12" s="312"/>
      <c r="IKZ12" s="301"/>
      <c r="ILA12" s="309"/>
      <c r="ILB12" s="301"/>
      <c r="ILC12" s="306"/>
      <c r="ILD12" s="301"/>
      <c r="ILE12" s="309"/>
      <c r="ILF12" s="301"/>
      <c r="ILG12" s="309"/>
      <c r="ILH12" s="301"/>
      <c r="ILI12" s="301"/>
      <c r="ILJ12" s="301"/>
      <c r="ILK12" s="301"/>
      <c r="ILL12" s="301"/>
      <c r="ILM12" s="301"/>
      <c r="ILN12" s="301"/>
      <c r="ILO12" s="301"/>
      <c r="ILP12" s="312"/>
      <c r="ILQ12" s="301"/>
      <c r="ILR12" s="309"/>
      <c r="ILS12" s="301"/>
      <c r="ILT12" s="306"/>
      <c r="ILU12" s="301"/>
      <c r="ILV12" s="309"/>
      <c r="ILW12" s="301"/>
      <c r="ILX12" s="309"/>
      <c r="ILY12" s="301"/>
      <c r="ILZ12" s="301"/>
      <c r="IMA12" s="301"/>
      <c r="IMB12" s="301"/>
      <c r="IMC12" s="301"/>
      <c r="IMD12" s="301"/>
      <c r="IME12" s="301"/>
      <c r="IMF12" s="301"/>
      <c r="IMG12" s="312"/>
      <c r="IMH12" s="301"/>
      <c r="IMI12" s="309"/>
      <c r="IMJ12" s="301"/>
      <c r="IMK12" s="306"/>
      <c r="IML12" s="301"/>
      <c r="IMM12" s="309"/>
      <c r="IMN12" s="301"/>
      <c r="IMO12" s="309"/>
      <c r="IMP12" s="301"/>
      <c r="IMQ12" s="301"/>
      <c r="IMR12" s="301"/>
      <c r="IMS12" s="301"/>
      <c r="IMT12" s="301"/>
      <c r="IMU12" s="301"/>
      <c r="IMV12" s="301"/>
      <c r="IMW12" s="301"/>
      <c r="IMX12" s="312"/>
      <c r="IMY12" s="301"/>
      <c r="IMZ12" s="309"/>
      <c r="INA12" s="301"/>
      <c r="INB12" s="306"/>
      <c r="INC12" s="301"/>
      <c r="IND12" s="309"/>
      <c r="INE12" s="301"/>
      <c r="INF12" s="309"/>
      <c r="ING12" s="301"/>
      <c r="INH12" s="301"/>
      <c r="INI12" s="301"/>
      <c r="INJ12" s="301"/>
      <c r="INK12" s="301"/>
      <c r="INL12" s="301"/>
      <c r="INM12" s="301"/>
      <c r="INN12" s="301"/>
      <c r="INO12" s="312"/>
      <c r="INP12" s="301"/>
      <c r="INQ12" s="309"/>
      <c r="INR12" s="301"/>
      <c r="INS12" s="306"/>
      <c r="INT12" s="301"/>
      <c r="INU12" s="309"/>
      <c r="INV12" s="301"/>
      <c r="INW12" s="309"/>
      <c r="INX12" s="301"/>
      <c r="INY12" s="301"/>
      <c r="INZ12" s="301"/>
      <c r="IOA12" s="301"/>
      <c r="IOB12" s="301"/>
      <c r="IOC12" s="301"/>
      <c r="IOD12" s="301"/>
      <c r="IOE12" s="301"/>
      <c r="IOF12" s="312"/>
      <c r="IOG12" s="301"/>
      <c r="IOH12" s="309"/>
      <c r="IOI12" s="301"/>
      <c r="IOJ12" s="306"/>
      <c r="IOK12" s="301"/>
      <c r="IOL12" s="309"/>
      <c r="IOM12" s="301"/>
      <c r="ION12" s="309"/>
      <c r="IOO12" s="301"/>
      <c r="IOP12" s="301"/>
      <c r="IOQ12" s="301"/>
      <c r="IOR12" s="301"/>
      <c r="IOS12" s="301"/>
      <c r="IOT12" s="301"/>
      <c r="IOU12" s="301"/>
      <c r="IOV12" s="301"/>
      <c r="IOW12" s="312"/>
      <c r="IOX12" s="301"/>
      <c r="IOY12" s="309"/>
      <c r="IOZ12" s="301"/>
      <c r="IPA12" s="306"/>
      <c r="IPB12" s="301"/>
      <c r="IPC12" s="309"/>
      <c r="IPD12" s="301"/>
      <c r="IPE12" s="309"/>
      <c r="IPF12" s="301"/>
      <c r="IPG12" s="301"/>
      <c r="IPH12" s="301"/>
      <c r="IPI12" s="301"/>
      <c r="IPJ12" s="301"/>
      <c r="IPK12" s="301"/>
      <c r="IPL12" s="301"/>
      <c r="IPM12" s="301"/>
      <c r="IPN12" s="312"/>
      <c r="IPO12" s="301"/>
      <c r="IPP12" s="309"/>
      <c r="IPQ12" s="301"/>
      <c r="IPR12" s="306"/>
      <c r="IPS12" s="301"/>
      <c r="IPT12" s="309"/>
      <c r="IPU12" s="301"/>
      <c r="IPV12" s="309"/>
      <c r="IPW12" s="301"/>
      <c r="IPX12" s="301"/>
      <c r="IPY12" s="301"/>
      <c r="IPZ12" s="301"/>
      <c r="IQA12" s="301"/>
      <c r="IQB12" s="301"/>
      <c r="IQC12" s="301"/>
      <c r="IQD12" s="301"/>
      <c r="IQE12" s="312"/>
      <c r="IQF12" s="301"/>
      <c r="IQG12" s="309"/>
      <c r="IQH12" s="301"/>
      <c r="IQI12" s="306"/>
      <c r="IQJ12" s="301"/>
      <c r="IQK12" s="309"/>
      <c r="IQL12" s="301"/>
      <c r="IQM12" s="309"/>
      <c r="IQN12" s="301"/>
      <c r="IQO12" s="301"/>
      <c r="IQP12" s="301"/>
      <c r="IQQ12" s="301"/>
      <c r="IQR12" s="301"/>
      <c r="IQS12" s="301"/>
      <c r="IQT12" s="301"/>
      <c r="IQU12" s="301"/>
      <c r="IQV12" s="312"/>
      <c r="IQW12" s="301"/>
      <c r="IQX12" s="309"/>
      <c r="IQY12" s="301"/>
      <c r="IQZ12" s="306"/>
      <c r="IRA12" s="301"/>
      <c r="IRB12" s="309"/>
      <c r="IRC12" s="301"/>
      <c r="IRD12" s="309"/>
      <c r="IRE12" s="301"/>
      <c r="IRF12" s="301"/>
      <c r="IRG12" s="301"/>
      <c r="IRH12" s="301"/>
      <c r="IRI12" s="301"/>
      <c r="IRJ12" s="301"/>
      <c r="IRK12" s="301"/>
      <c r="IRL12" s="301"/>
      <c r="IRM12" s="312"/>
      <c r="IRN12" s="301"/>
      <c r="IRO12" s="309"/>
      <c r="IRP12" s="301"/>
      <c r="IRQ12" s="306"/>
      <c r="IRR12" s="301"/>
      <c r="IRS12" s="309"/>
      <c r="IRT12" s="301"/>
      <c r="IRU12" s="309"/>
      <c r="IRV12" s="301"/>
      <c r="IRW12" s="301"/>
      <c r="IRX12" s="301"/>
      <c r="IRY12" s="301"/>
      <c r="IRZ12" s="301"/>
      <c r="ISA12" s="301"/>
      <c r="ISB12" s="301"/>
      <c r="ISC12" s="301"/>
      <c r="ISD12" s="312"/>
      <c r="ISE12" s="301"/>
      <c r="ISF12" s="309"/>
      <c r="ISG12" s="301"/>
      <c r="ISH12" s="306"/>
      <c r="ISI12" s="301"/>
      <c r="ISJ12" s="309"/>
      <c r="ISK12" s="301"/>
      <c r="ISL12" s="309"/>
      <c r="ISM12" s="301"/>
      <c r="ISN12" s="301"/>
      <c r="ISO12" s="301"/>
      <c r="ISP12" s="301"/>
      <c r="ISQ12" s="301"/>
      <c r="ISR12" s="301"/>
      <c r="ISS12" s="301"/>
      <c r="IST12" s="301"/>
      <c r="ISU12" s="312"/>
      <c r="ISV12" s="301"/>
      <c r="ISW12" s="309"/>
      <c r="ISX12" s="301"/>
      <c r="ISY12" s="306"/>
      <c r="ISZ12" s="301"/>
      <c r="ITA12" s="309"/>
      <c r="ITB12" s="301"/>
      <c r="ITC12" s="309"/>
      <c r="ITD12" s="301"/>
      <c r="ITE12" s="301"/>
      <c r="ITF12" s="301"/>
      <c r="ITG12" s="301"/>
      <c r="ITH12" s="301"/>
      <c r="ITI12" s="301"/>
      <c r="ITJ12" s="301"/>
      <c r="ITK12" s="301"/>
      <c r="ITL12" s="312"/>
      <c r="ITM12" s="301"/>
      <c r="ITN12" s="309"/>
      <c r="ITO12" s="301"/>
      <c r="ITP12" s="306"/>
      <c r="ITQ12" s="301"/>
      <c r="ITR12" s="309"/>
      <c r="ITS12" s="301"/>
      <c r="ITT12" s="309"/>
      <c r="ITU12" s="301"/>
      <c r="ITV12" s="301"/>
      <c r="ITW12" s="301"/>
      <c r="ITX12" s="301"/>
      <c r="ITY12" s="301"/>
      <c r="ITZ12" s="301"/>
      <c r="IUA12" s="301"/>
      <c r="IUB12" s="301"/>
      <c r="IUC12" s="312"/>
      <c r="IUD12" s="301"/>
      <c r="IUE12" s="309"/>
      <c r="IUF12" s="301"/>
      <c r="IUG12" s="306"/>
      <c r="IUH12" s="301"/>
      <c r="IUI12" s="309"/>
      <c r="IUJ12" s="301"/>
      <c r="IUK12" s="309"/>
      <c r="IUL12" s="301"/>
      <c r="IUM12" s="301"/>
      <c r="IUN12" s="301"/>
      <c r="IUO12" s="301"/>
      <c r="IUP12" s="301"/>
      <c r="IUQ12" s="301"/>
      <c r="IUR12" s="301"/>
      <c r="IUS12" s="301"/>
      <c r="IUT12" s="312"/>
      <c r="IUU12" s="301"/>
      <c r="IUV12" s="309"/>
      <c r="IUW12" s="301"/>
      <c r="IUX12" s="306"/>
      <c r="IUY12" s="301"/>
      <c r="IUZ12" s="309"/>
      <c r="IVA12" s="301"/>
      <c r="IVB12" s="309"/>
      <c r="IVC12" s="301"/>
      <c r="IVD12" s="301"/>
      <c r="IVE12" s="301"/>
      <c r="IVF12" s="301"/>
      <c r="IVG12" s="301"/>
      <c r="IVH12" s="301"/>
      <c r="IVI12" s="301"/>
      <c r="IVJ12" s="301"/>
      <c r="IVK12" s="312"/>
      <c r="IVL12" s="301"/>
      <c r="IVM12" s="309"/>
      <c r="IVN12" s="301"/>
      <c r="IVO12" s="306"/>
      <c r="IVP12" s="301"/>
      <c r="IVQ12" s="309"/>
      <c r="IVR12" s="301"/>
      <c r="IVS12" s="309"/>
      <c r="IVT12" s="301"/>
      <c r="IVU12" s="301"/>
      <c r="IVV12" s="301"/>
      <c r="IVW12" s="301"/>
      <c r="IVX12" s="301"/>
      <c r="IVY12" s="301"/>
      <c r="IVZ12" s="301"/>
      <c r="IWA12" s="301"/>
      <c r="IWB12" s="312"/>
      <c r="IWC12" s="301"/>
      <c r="IWD12" s="309"/>
      <c r="IWE12" s="301"/>
      <c r="IWF12" s="306"/>
      <c r="IWG12" s="301"/>
      <c r="IWH12" s="309"/>
      <c r="IWI12" s="301"/>
      <c r="IWJ12" s="309"/>
      <c r="IWK12" s="301"/>
      <c r="IWL12" s="301"/>
      <c r="IWM12" s="301"/>
      <c r="IWN12" s="301"/>
      <c r="IWO12" s="301"/>
      <c r="IWP12" s="301"/>
      <c r="IWQ12" s="301"/>
      <c r="IWR12" s="301"/>
      <c r="IWS12" s="312"/>
      <c r="IWT12" s="301"/>
      <c r="IWU12" s="309"/>
      <c r="IWV12" s="301"/>
      <c r="IWW12" s="306"/>
      <c r="IWX12" s="301"/>
      <c r="IWY12" s="309"/>
      <c r="IWZ12" s="301"/>
      <c r="IXA12" s="309"/>
      <c r="IXB12" s="301"/>
      <c r="IXC12" s="301"/>
      <c r="IXD12" s="301"/>
      <c r="IXE12" s="301"/>
      <c r="IXF12" s="301"/>
      <c r="IXG12" s="301"/>
      <c r="IXH12" s="301"/>
      <c r="IXI12" s="301"/>
      <c r="IXJ12" s="312"/>
      <c r="IXK12" s="301"/>
      <c r="IXL12" s="309"/>
      <c r="IXM12" s="301"/>
      <c r="IXN12" s="306"/>
      <c r="IXO12" s="301"/>
      <c r="IXP12" s="309"/>
      <c r="IXQ12" s="301"/>
      <c r="IXR12" s="309"/>
      <c r="IXS12" s="301"/>
      <c r="IXT12" s="301"/>
      <c r="IXU12" s="301"/>
      <c r="IXV12" s="301"/>
      <c r="IXW12" s="301"/>
      <c r="IXX12" s="301"/>
      <c r="IXY12" s="301"/>
      <c r="IXZ12" s="301"/>
      <c r="IYA12" s="312"/>
      <c r="IYB12" s="301"/>
      <c r="IYC12" s="309"/>
      <c r="IYD12" s="301"/>
      <c r="IYE12" s="306"/>
      <c r="IYF12" s="301"/>
      <c r="IYG12" s="309"/>
      <c r="IYH12" s="301"/>
      <c r="IYI12" s="309"/>
      <c r="IYJ12" s="301"/>
      <c r="IYK12" s="301"/>
      <c r="IYL12" s="301"/>
      <c r="IYM12" s="301"/>
      <c r="IYN12" s="301"/>
      <c r="IYO12" s="301"/>
      <c r="IYP12" s="301"/>
      <c r="IYQ12" s="301"/>
      <c r="IYR12" s="312"/>
      <c r="IYS12" s="301"/>
      <c r="IYT12" s="309"/>
      <c r="IYU12" s="301"/>
      <c r="IYV12" s="306"/>
      <c r="IYW12" s="301"/>
      <c r="IYX12" s="309"/>
      <c r="IYY12" s="301"/>
      <c r="IYZ12" s="309"/>
      <c r="IZA12" s="301"/>
      <c r="IZB12" s="301"/>
      <c r="IZC12" s="301"/>
      <c r="IZD12" s="301"/>
      <c r="IZE12" s="301"/>
      <c r="IZF12" s="301"/>
      <c r="IZG12" s="301"/>
      <c r="IZH12" s="301"/>
      <c r="IZI12" s="312"/>
      <c r="IZJ12" s="301"/>
      <c r="IZK12" s="309"/>
      <c r="IZL12" s="301"/>
      <c r="IZM12" s="306"/>
      <c r="IZN12" s="301"/>
      <c r="IZO12" s="309"/>
      <c r="IZP12" s="301"/>
      <c r="IZQ12" s="309"/>
      <c r="IZR12" s="301"/>
      <c r="IZS12" s="301"/>
      <c r="IZT12" s="301"/>
      <c r="IZU12" s="301"/>
      <c r="IZV12" s="301"/>
      <c r="IZW12" s="301"/>
      <c r="IZX12" s="301"/>
      <c r="IZY12" s="301"/>
      <c r="IZZ12" s="312"/>
      <c r="JAA12" s="301"/>
      <c r="JAB12" s="309"/>
      <c r="JAC12" s="301"/>
      <c r="JAD12" s="306"/>
      <c r="JAE12" s="301"/>
      <c r="JAF12" s="309"/>
      <c r="JAG12" s="301"/>
      <c r="JAH12" s="309"/>
      <c r="JAI12" s="301"/>
      <c r="JAJ12" s="301"/>
      <c r="JAK12" s="301"/>
      <c r="JAL12" s="301"/>
      <c r="JAM12" s="301"/>
      <c r="JAN12" s="301"/>
      <c r="JAO12" s="301"/>
      <c r="JAP12" s="301"/>
      <c r="JAQ12" s="312"/>
      <c r="JAR12" s="301"/>
      <c r="JAS12" s="309"/>
      <c r="JAT12" s="301"/>
      <c r="JAU12" s="306"/>
      <c r="JAV12" s="301"/>
      <c r="JAW12" s="309"/>
      <c r="JAX12" s="301"/>
      <c r="JAY12" s="309"/>
      <c r="JAZ12" s="301"/>
      <c r="JBA12" s="301"/>
      <c r="JBB12" s="301"/>
      <c r="JBC12" s="301"/>
      <c r="JBD12" s="301"/>
      <c r="JBE12" s="301"/>
      <c r="JBF12" s="301"/>
      <c r="JBG12" s="301"/>
      <c r="JBH12" s="312"/>
      <c r="JBI12" s="301"/>
      <c r="JBJ12" s="309"/>
      <c r="JBK12" s="301"/>
      <c r="JBL12" s="306"/>
      <c r="JBM12" s="301"/>
      <c r="JBN12" s="309"/>
      <c r="JBO12" s="301"/>
      <c r="JBP12" s="309"/>
      <c r="JBQ12" s="301"/>
      <c r="JBR12" s="301"/>
      <c r="JBS12" s="301"/>
      <c r="JBT12" s="301"/>
      <c r="JBU12" s="301"/>
      <c r="JBV12" s="301"/>
      <c r="JBW12" s="301"/>
      <c r="JBX12" s="301"/>
      <c r="JBY12" s="312"/>
      <c r="JBZ12" s="301"/>
      <c r="JCA12" s="309"/>
      <c r="JCB12" s="301"/>
      <c r="JCC12" s="306"/>
      <c r="JCD12" s="301"/>
      <c r="JCE12" s="309"/>
      <c r="JCF12" s="301"/>
      <c r="JCG12" s="309"/>
      <c r="JCH12" s="301"/>
      <c r="JCI12" s="301"/>
      <c r="JCJ12" s="301"/>
      <c r="JCK12" s="301"/>
      <c r="JCL12" s="301"/>
      <c r="JCM12" s="301"/>
      <c r="JCN12" s="301"/>
      <c r="JCO12" s="301"/>
      <c r="JCP12" s="312"/>
      <c r="JCQ12" s="301"/>
      <c r="JCR12" s="309"/>
      <c r="JCS12" s="301"/>
      <c r="JCT12" s="306"/>
      <c r="JCU12" s="301"/>
      <c r="JCV12" s="309"/>
      <c r="JCW12" s="301"/>
      <c r="JCX12" s="309"/>
      <c r="JCY12" s="301"/>
      <c r="JCZ12" s="301"/>
      <c r="JDA12" s="301"/>
      <c r="JDB12" s="301"/>
      <c r="JDC12" s="301"/>
      <c r="JDD12" s="301"/>
      <c r="JDE12" s="301"/>
      <c r="JDF12" s="301"/>
      <c r="JDG12" s="312"/>
      <c r="JDH12" s="301"/>
      <c r="JDI12" s="309"/>
      <c r="JDJ12" s="301"/>
      <c r="JDK12" s="306"/>
      <c r="JDL12" s="301"/>
      <c r="JDM12" s="309"/>
      <c r="JDN12" s="301"/>
      <c r="JDO12" s="309"/>
      <c r="JDP12" s="301"/>
      <c r="JDQ12" s="301"/>
      <c r="JDR12" s="301"/>
      <c r="JDS12" s="301"/>
      <c r="JDT12" s="301"/>
      <c r="JDU12" s="301"/>
      <c r="JDV12" s="301"/>
      <c r="JDW12" s="301"/>
      <c r="JDX12" s="312"/>
      <c r="JDY12" s="301"/>
      <c r="JDZ12" s="309"/>
      <c r="JEA12" s="301"/>
      <c r="JEB12" s="306"/>
      <c r="JEC12" s="301"/>
      <c r="JED12" s="309"/>
      <c r="JEE12" s="301"/>
      <c r="JEF12" s="309"/>
      <c r="JEG12" s="301"/>
      <c r="JEH12" s="301"/>
      <c r="JEI12" s="301"/>
      <c r="JEJ12" s="301"/>
      <c r="JEK12" s="301"/>
      <c r="JEL12" s="301"/>
      <c r="JEM12" s="301"/>
      <c r="JEN12" s="301"/>
      <c r="JEO12" s="312"/>
      <c r="JEP12" s="301"/>
      <c r="JEQ12" s="309"/>
      <c r="JER12" s="301"/>
      <c r="JES12" s="306"/>
      <c r="JET12" s="301"/>
      <c r="JEU12" s="309"/>
      <c r="JEV12" s="301"/>
      <c r="JEW12" s="309"/>
      <c r="JEX12" s="301"/>
      <c r="JEY12" s="301"/>
      <c r="JEZ12" s="301"/>
      <c r="JFA12" s="301"/>
      <c r="JFB12" s="301"/>
      <c r="JFC12" s="301"/>
      <c r="JFD12" s="301"/>
      <c r="JFE12" s="301"/>
      <c r="JFF12" s="312"/>
      <c r="JFG12" s="301"/>
      <c r="JFH12" s="309"/>
      <c r="JFI12" s="301"/>
      <c r="JFJ12" s="306"/>
      <c r="JFK12" s="301"/>
      <c r="JFL12" s="309"/>
      <c r="JFM12" s="301"/>
      <c r="JFN12" s="309"/>
      <c r="JFO12" s="301"/>
      <c r="JFP12" s="301"/>
      <c r="JFQ12" s="301"/>
      <c r="JFR12" s="301"/>
      <c r="JFS12" s="301"/>
      <c r="JFT12" s="301"/>
      <c r="JFU12" s="301"/>
      <c r="JFV12" s="301"/>
      <c r="JFW12" s="312"/>
      <c r="JFX12" s="301"/>
      <c r="JFY12" s="309"/>
      <c r="JFZ12" s="301"/>
      <c r="JGA12" s="306"/>
      <c r="JGB12" s="301"/>
      <c r="JGC12" s="309"/>
      <c r="JGD12" s="301"/>
      <c r="JGE12" s="309"/>
      <c r="JGF12" s="301"/>
      <c r="JGG12" s="301"/>
      <c r="JGH12" s="301"/>
      <c r="JGI12" s="301"/>
      <c r="JGJ12" s="301"/>
      <c r="JGK12" s="301"/>
      <c r="JGL12" s="301"/>
      <c r="JGM12" s="301"/>
      <c r="JGN12" s="312"/>
      <c r="JGO12" s="301"/>
      <c r="JGP12" s="309"/>
      <c r="JGQ12" s="301"/>
      <c r="JGR12" s="306"/>
      <c r="JGS12" s="301"/>
      <c r="JGT12" s="309"/>
      <c r="JGU12" s="301"/>
      <c r="JGV12" s="309"/>
      <c r="JGW12" s="301"/>
      <c r="JGX12" s="301"/>
      <c r="JGY12" s="301"/>
      <c r="JGZ12" s="301"/>
      <c r="JHA12" s="301"/>
      <c r="JHB12" s="301"/>
      <c r="JHC12" s="301"/>
      <c r="JHD12" s="301"/>
      <c r="JHE12" s="312"/>
      <c r="JHF12" s="301"/>
      <c r="JHG12" s="309"/>
      <c r="JHH12" s="301"/>
      <c r="JHI12" s="306"/>
      <c r="JHJ12" s="301"/>
      <c r="JHK12" s="309"/>
      <c r="JHL12" s="301"/>
      <c r="JHM12" s="309"/>
      <c r="JHN12" s="301"/>
      <c r="JHO12" s="301"/>
      <c r="JHP12" s="301"/>
      <c r="JHQ12" s="301"/>
      <c r="JHR12" s="301"/>
      <c r="JHS12" s="301"/>
      <c r="JHT12" s="301"/>
      <c r="JHU12" s="301"/>
      <c r="JHV12" s="312"/>
      <c r="JHW12" s="301"/>
      <c r="JHX12" s="309"/>
      <c r="JHY12" s="301"/>
      <c r="JHZ12" s="306"/>
      <c r="JIA12" s="301"/>
      <c r="JIB12" s="309"/>
      <c r="JIC12" s="301"/>
      <c r="JID12" s="309"/>
      <c r="JIE12" s="301"/>
      <c r="JIF12" s="301"/>
      <c r="JIG12" s="301"/>
      <c r="JIH12" s="301"/>
      <c r="JII12" s="301"/>
      <c r="JIJ12" s="301"/>
      <c r="JIK12" s="301"/>
      <c r="JIL12" s="301"/>
      <c r="JIM12" s="312"/>
      <c r="JIN12" s="301"/>
      <c r="JIO12" s="309"/>
      <c r="JIP12" s="301"/>
      <c r="JIQ12" s="306"/>
      <c r="JIR12" s="301"/>
      <c r="JIS12" s="309"/>
      <c r="JIT12" s="301"/>
      <c r="JIU12" s="309"/>
      <c r="JIV12" s="301"/>
      <c r="JIW12" s="301"/>
      <c r="JIX12" s="301"/>
      <c r="JIY12" s="301"/>
      <c r="JIZ12" s="301"/>
      <c r="JJA12" s="301"/>
      <c r="JJB12" s="301"/>
      <c r="JJC12" s="301"/>
      <c r="JJD12" s="312"/>
      <c r="JJE12" s="301"/>
      <c r="JJF12" s="309"/>
      <c r="JJG12" s="301"/>
      <c r="JJH12" s="306"/>
      <c r="JJI12" s="301"/>
      <c r="JJJ12" s="309"/>
      <c r="JJK12" s="301"/>
      <c r="JJL12" s="309"/>
      <c r="JJM12" s="301"/>
      <c r="JJN12" s="301"/>
      <c r="JJO12" s="301"/>
      <c r="JJP12" s="301"/>
      <c r="JJQ12" s="301"/>
      <c r="JJR12" s="301"/>
      <c r="JJS12" s="301"/>
      <c r="JJT12" s="301"/>
      <c r="JJU12" s="312"/>
      <c r="JJV12" s="301"/>
      <c r="JJW12" s="309"/>
      <c r="JJX12" s="301"/>
      <c r="JJY12" s="306"/>
      <c r="JJZ12" s="301"/>
      <c r="JKA12" s="309"/>
      <c r="JKB12" s="301"/>
      <c r="JKC12" s="309"/>
      <c r="JKD12" s="301"/>
      <c r="JKE12" s="301"/>
      <c r="JKF12" s="301"/>
      <c r="JKG12" s="301"/>
      <c r="JKH12" s="301"/>
      <c r="JKI12" s="301"/>
      <c r="JKJ12" s="301"/>
      <c r="JKK12" s="301"/>
      <c r="JKL12" s="312"/>
      <c r="JKM12" s="301"/>
      <c r="JKN12" s="309"/>
      <c r="JKO12" s="301"/>
      <c r="JKP12" s="306"/>
      <c r="JKQ12" s="301"/>
      <c r="JKR12" s="309"/>
      <c r="JKS12" s="301"/>
      <c r="JKT12" s="309"/>
      <c r="JKU12" s="301"/>
      <c r="JKV12" s="301"/>
      <c r="JKW12" s="301"/>
      <c r="JKX12" s="301"/>
      <c r="JKY12" s="301"/>
      <c r="JKZ12" s="301"/>
      <c r="JLA12" s="301"/>
      <c r="JLB12" s="301"/>
      <c r="JLC12" s="312"/>
      <c r="JLD12" s="301"/>
      <c r="JLE12" s="309"/>
      <c r="JLF12" s="301"/>
      <c r="JLG12" s="306"/>
      <c r="JLH12" s="301"/>
      <c r="JLI12" s="309"/>
      <c r="JLJ12" s="301"/>
      <c r="JLK12" s="309"/>
      <c r="JLL12" s="301"/>
      <c r="JLM12" s="301"/>
      <c r="JLN12" s="301"/>
      <c r="JLO12" s="301"/>
      <c r="JLP12" s="301"/>
      <c r="JLQ12" s="301"/>
      <c r="JLR12" s="301"/>
      <c r="JLS12" s="301"/>
      <c r="JLT12" s="312"/>
      <c r="JLU12" s="301"/>
      <c r="JLV12" s="309"/>
      <c r="JLW12" s="301"/>
      <c r="JLX12" s="306"/>
      <c r="JLY12" s="301"/>
      <c r="JLZ12" s="309"/>
      <c r="JMA12" s="301"/>
      <c r="JMB12" s="309"/>
      <c r="JMC12" s="301"/>
      <c r="JMD12" s="301"/>
      <c r="JME12" s="301"/>
      <c r="JMF12" s="301"/>
      <c r="JMG12" s="301"/>
      <c r="JMH12" s="301"/>
      <c r="JMI12" s="301"/>
      <c r="JMJ12" s="301"/>
      <c r="JMK12" s="312"/>
      <c r="JML12" s="301"/>
      <c r="JMM12" s="309"/>
      <c r="JMN12" s="301"/>
      <c r="JMO12" s="306"/>
      <c r="JMP12" s="301"/>
      <c r="JMQ12" s="309"/>
      <c r="JMR12" s="301"/>
      <c r="JMS12" s="309"/>
      <c r="JMT12" s="301"/>
      <c r="JMU12" s="301"/>
      <c r="JMV12" s="301"/>
      <c r="JMW12" s="301"/>
      <c r="JMX12" s="301"/>
      <c r="JMY12" s="301"/>
      <c r="JMZ12" s="301"/>
      <c r="JNA12" s="301"/>
      <c r="JNB12" s="312"/>
      <c r="JNC12" s="301"/>
      <c r="JND12" s="309"/>
      <c r="JNE12" s="301"/>
      <c r="JNF12" s="306"/>
      <c r="JNG12" s="301"/>
      <c r="JNH12" s="309"/>
      <c r="JNI12" s="301"/>
      <c r="JNJ12" s="309"/>
      <c r="JNK12" s="301"/>
      <c r="JNL12" s="301"/>
      <c r="JNM12" s="301"/>
      <c r="JNN12" s="301"/>
      <c r="JNO12" s="301"/>
      <c r="JNP12" s="301"/>
      <c r="JNQ12" s="301"/>
      <c r="JNR12" s="301"/>
      <c r="JNS12" s="312"/>
      <c r="JNT12" s="301"/>
      <c r="JNU12" s="309"/>
      <c r="JNV12" s="301"/>
      <c r="JNW12" s="306"/>
      <c r="JNX12" s="301"/>
      <c r="JNY12" s="309"/>
      <c r="JNZ12" s="301"/>
      <c r="JOA12" s="309"/>
      <c r="JOB12" s="301"/>
      <c r="JOC12" s="301"/>
      <c r="JOD12" s="301"/>
      <c r="JOE12" s="301"/>
      <c r="JOF12" s="301"/>
      <c r="JOG12" s="301"/>
      <c r="JOH12" s="301"/>
      <c r="JOI12" s="301"/>
      <c r="JOJ12" s="312"/>
      <c r="JOK12" s="301"/>
      <c r="JOL12" s="309"/>
      <c r="JOM12" s="301"/>
      <c r="JON12" s="306"/>
      <c r="JOO12" s="301"/>
      <c r="JOP12" s="309"/>
      <c r="JOQ12" s="301"/>
      <c r="JOR12" s="309"/>
      <c r="JOS12" s="301"/>
      <c r="JOT12" s="301"/>
      <c r="JOU12" s="301"/>
      <c r="JOV12" s="301"/>
      <c r="JOW12" s="301"/>
      <c r="JOX12" s="301"/>
      <c r="JOY12" s="301"/>
      <c r="JOZ12" s="301"/>
      <c r="JPA12" s="312"/>
      <c r="JPB12" s="301"/>
      <c r="JPC12" s="309"/>
      <c r="JPD12" s="301"/>
      <c r="JPE12" s="306"/>
      <c r="JPF12" s="301"/>
      <c r="JPG12" s="309"/>
      <c r="JPH12" s="301"/>
      <c r="JPI12" s="309"/>
      <c r="JPJ12" s="301"/>
      <c r="JPK12" s="301"/>
      <c r="JPL12" s="301"/>
      <c r="JPM12" s="301"/>
      <c r="JPN12" s="301"/>
      <c r="JPO12" s="301"/>
      <c r="JPP12" s="301"/>
      <c r="JPQ12" s="301"/>
      <c r="JPR12" s="312"/>
      <c r="JPS12" s="301"/>
      <c r="JPT12" s="309"/>
      <c r="JPU12" s="301"/>
      <c r="JPV12" s="306"/>
      <c r="JPW12" s="301"/>
      <c r="JPX12" s="309"/>
      <c r="JPY12" s="301"/>
      <c r="JPZ12" s="309"/>
      <c r="JQA12" s="301"/>
      <c r="JQB12" s="301"/>
      <c r="JQC12" s="301"/>
      <c r="JQD12" s="301"/>
      <c r="JQE12" s="301"/>
      <c r="JQF12" s="301"/>
      <c r="JQG12" s="301"/>
      <c r="JQH12" s="301"/>
      <c r="JQI12" s="312"/>
      <c r="JQJ12" s="301"/>
      <c r="JQK12" s="309"/>
      <c r="JQL12" s="301"/>
      <c r="JQM12" s="306"/>
      <c r="JQN12" s="301"/>
      <c r="JQO12" s="309"/>
      <c r="JQP12" s="301"/>
      <c r="JQQ12" s="309"/>
      <c r="JQR12" s="301"/>
      <c r="JQS12" s="301"/>
      <c r="JQT12" s="301"/>
      <c r="JQU12" s="301"/>
      <c r="JQV12" s="301"/>
      <c r="JQW12" s="301"/>
      <c r="JQX12" s="301"/>
      <c r="JQY12" s="301"/>
      <c r="JQZ12" s="312"/>
      <c r="JRA12" s="301"/>
      <c r="JRB12" s="309"/>
      <c r="JRC12" s="301"/>
      <c r="JRD12" s="306"/>
      <c r="JRE12" s="301"/>
      <c r="JRF12" s="309"/>
      <c r="JRG12" s="301"/>
      <c r="JRH12" s="309"/>
      <c r="JRI12" s="301"/>
      <c r="JRJ12" s="301"/>
      <c r="JRK12" s="301"/>
      <c r="JRL12" s="301"/>
      <c r="JRM12" s="301"/>
      <c r="JRN12" s="301"/>
      <c r="JRO12" s="301"/>
      <c r="JRP12" s="301"/>
      <c r="JRQ12" s="312"/>
      <c r="JRR12" s="301"/>
      <c r="JRS12" s="309"/>
      <c r="JRT12" s="301"/>
      <c r="JRU12" s="306"/>
      <c r="JRV12" s="301"/>
      <c r="JRW12" s="309"/>
      <c r="JRX12" s="301"/>
      <c r="JRY12" s="309"/>
      <c r="JRZ12" s="301"/>
      <c r="JSA12" s="301"/>
      <c r="JSB12" s="301"/>
      <c r="JSC12" s="301"/>
      <c r="JSD12" s="301"/>
      <c r="JSE12" s="301"/>
      <c r="JSF12" s="301"/>
      <c r="JSG12" s="301"/>
      <c r="JSH12" s="312"/>
      <c r="JSI12" s="301"/>
      <c r="JSJ12" s="309"/>
      <c r="JSK12" s="301"/>
      <c r="JSL12" s="306"/>
      <c r="JSM12" s="301"/>
      <c r="JSN12" s="309"/>
      <c r="JSO12" s="301"/>
      <c r="JSP12" s="309"/>
      <c r="JSQ12" s="301"/>
      <c r="JSR12" s="301"/>
      <c r="JSS12" s="301"/>
      <c r="JST12" s="301"/>
      <c r="JSU12" s="301"/>
      <c r="JSV12" s="301"/>
      <c r="JSW12" s="301"/>
      <c r="JSX12" s="301"/>
      <c r="JSY12" s="312"/>
      <c r="JSZ12" s="301"/>
      <c r="JTA12" s="309"/>
      <c r="JTB12" s="301"/>
      <c r="JTC12" s="306"/>
      <c r="JTD12" s="301"/>
      <c r="JTE12" s="309"/>
      <c r="JTF12" s="301"/>
      <c r="JTG12" s="309"/>
      <c r="JTH12" s="301"/>
      <c r="JTI12" s="301"/>
      <c r="JTJ12" s="301"/>
      <c r="JTK12" s="301"/>
      <c r="JTL12" s="301"/>
      <c r="JTM12" s="301"/>
      <c r="JTN12" s="301"/>
      <c r="JTO12" s="301"/>
      <c r="JTP12" s="312"/>
      <c r="JTQ12" s="301"/>
      <c r="JTR12" s="309"/>
      <c r="JTS12" s="301"/>
      <c r="JTT12" s="306"/>
      <c r="JTU12" s="301"/>
      <c r="JTV12" s="309"/>
      <c r="JTW12" s="301"/>
      <c r="JTX12" s="309"/>
      <c r="JTY12" s="301"/>
      <c r="JTZ12" s="301"/>
      <c r="JUA12" s="301"/>
      <c r="JUB12" s="301"/>
      <c r="JUC12" s="301"/>
      <c r="JUD12" s="301"/>
      <c r="JUE12" s="301"/>
      <c r="JUF12" s="301"/>
      <c r="JUG12" s="312"/>
      <c r="JUH12" s="301"/>
      <c r="JUI12" s="309"/>
      <c r="JUJ12" s="301"/>
      <c r="JUK12" s="306"/>
      <c r="JUL12" s="301"/>
      <c r="JUM12" s="309"/>
      <c r="JUN12" s="301"/>
      <c r="JUO12" s="309"/>
      <c r="JUP12" s="301"/>
      <c r="JUQ12" s="301"/>
      <c r="JUR12" s="301"/>
      <c r="JUS12" s="301"/>
      <c r="JUT12" s="301"/>
      <c r="JUU12" s="301"/>
      <c r="JUV12" s="301"/>
      <c r="JUW12" s="301"/>
      <c r="JUX12" s="312"/>
      <c r="JUY12" s="301"/>
      <c r="JUZ12" s="309"/>
      <c r="JVA12" s="301"/>
      <c r="JVB12" s="306"/>
      <c r="JVC12" s="301"/>
      <c r="JVD12" s="309"/>
      <c r="JVE12" s="301"/>
      <c r="JVF12" s="309"/>
      <c r="JVG12" s="301"/>
      <c r="JVH12" s="301"/>
      <c r="JVI12" s="301"/>
      <c r="JVJ12" s="301"/>
      <c r="JVK12" s="301"/>
      <c r="JVL12" s="301"/>
      <c r="JVM12" s="301"/>
      <c r="JVN12" s="301"/>
      <c r="JVO12" s="312"/>
      <c r="JVP12" s="301"/>
      <c r="JVQ12" s="309"/>
      <c r="JVR12" s="301"/>
      <c r="JVS12" s="306"/>
      <c r="JVT12" s="301"/>
      <c r="JVU12" s="309"/>
      <c r="JVV12" s="301"/>
      <c r="JVW12" s="309"/>
      <c r="JVX12" s="301"/>
      <c r="JVY12" s="301"/>
      <c r="JVZ12" s="301"/>
      <c r="JWA12" s="301"/>
      <c r="JWB12" s="301"/>
      <c r="JWC12" s="301"/>
      <c r="JWD12" s="301"/>
      <c r="JWE12" s="301"/>
      <c r="JWF12" s="312"/>
      <c r="JWG12" s="301"/>
      <c r="JWH12" s="309"/>
      <c r="JWI12" s="301"/>
      <c r="JWJ12" s="306"/>
      <c r="JWK12" s="301"/>
      <c r="JWL12" s="309"/>
      <c r="JWM12" s="301"/>
      <c r="JWN12" s="309"/>
      <c r="JWO12" s="301"/>
      <c r="JWP12" s="301"/>
      <c r="JWQ12" s="301"/>
      <c r="JWR12" s="301"/>
      <c r="JWS12" s="301"/>
      <c r="JWT12" s="301"/>
      <c r="JWU12" s="301"/>
      <c r="JWV12" s="301"/>
      <c r="JWW12" s="312"/>
      <c r="JWX12" s="301"/>
      <c r="JWY12" s="309"/>
      <c r="JWZ12" s="301"/>
      <c r="JXA12" s="306"/>
      <c r="JXB12" s="301"/>
      <c r="JXC12" s="309"/>
      <c r="JXD12" s="301"/>
      <c r="JXE12" s="309"/>
      <c r="JXF12" s="301"/>
      <c r="JXG12" s="301"/>
      <c r="JXH12" s="301"/>
      <c r="JXI12" s="301"/>
      <c r="JXJ12" s="301"/>
      <c r="JXK12" s="301"/>
      <c r="JXL12" s="301"/>
      <c r="JXM12" s="301"/>
      <c r="JXN12" s="312"/>
      <c r="JXO12" s="301"/>
      <c r="JXP12" s="309"/>
      <c r="JXQ12" s="301"/>
      <c r="JXR12" s="306"/>
      <c r="JXS12" s="301"/>
      <c r="JXT12" s="309"/>
      <c r="JXU12" s="301"/>
      <c r="JXV12" s="309"/>
      <c r="JXW12" s="301"/>
      <c r="JXX12" s="301"/>
      <c r="JXY12" s="301"/>
      <c r="JXZ12" s="301"/>
      <c r="JYA12" s="301"/>
      <c r="JYB12" s="301"/>
      <c r="JYC12" s="301"/>
      <c r="JYD12" s="301"/>
      <c r="JYE12" s="312"/>
      <c r="JYF12" s="301"/>
      <c r="JYG12" s="309"/>
      <c r="JYH12" s="301"/>
      <c r="JYI12" s="306"/>
      <c r="JYJ12" s="301"/>
      <c r="JYK12" s="309"/>
      <c r="JYL12" s="301"/>
      <c r="JYM12" s="309"/>
      <c r="JYN12" s="301"/>
      <c r="JYO12" s="301"/>
      <c r="JYP12" s="301"/>
      <c r="JYQ12" s="301"/>
      <c r="JYR12" s="301"/>
      <c r="JYS12" s="301"/>
      <c r="JYT12" s="301"/>
      <c r="JYU12" s="301"/>
      <c r="JYV12" s="312"/>
      <c r="JYW12" s="301"/>
      <c r="JYX12" s="309"/>
      <c r="JYY12" s="301"/>
      <c r="JYZ12" s="306"/>
      <c r="JZA12" s="301"/>
      <c r="JZB12" s="309"/>
      <c r="JZC12" s="301"/>
      <c r="JZD12" s="309"/>
      <c r="JZE12" s="301"/>
      <c r="JZF12" s="301"/>
      <c r="JZG12" s="301"/>
      <c r="JZH12" s="301"/>
      <c r="JZI12" s="301"/>
      <c r="JZJ12" s="301"/>
      <c r="JZK12" s="301"/>
      <c r="JZL12" s="301"/>
      <c r="JZM12" s="312"/>
      <c r="JZN12" s="301"/>
      <c r="JZO12" s="309"/>
      <c r="JZP12" s="301"/>
      <c r="JZQ12" s="306"/>
      <c r="JZR12" s="301"/>
      <c r="JZS12" s="309"/>
      <c r="JZT12" s="301"/>
      <c r="JZU12" s="309"/>
      <c r="JZV12" s="301"/>
      <c r="JZW12" s="301"/>
      <c r="JZX12" s="301"/>
      <c r="JZY12" s="301"/>
      <c r="JZZ12" s="301"/>
      <c r="KAA12" s="301"/>
      <c r="KAB12" s="301"/>
      <c r="KAC12" s="301"/>
      <c r="KAD12" s="312"/>
      <c r="KAE12" s="301"/>
      <c r="KAF12" s="309"/>
      <c r="KAG12" s="301"/>
      <c r="KAH12" s="306"/>
      <c r="KAI12" s="301"/>
      <c r="KAJ12" s="309"/>
      <c r="KAK12" s="301"/>
      <c r="KAL12" s="309"/>
      <c r="KAM12" s="301"/>
      <c r="KAN12" s="301"/>
      <c r="KAO12" s="301"/>
      <c r="KAP12" s="301"/>
      <c r="KAQ12" s="301"/>
      <c r="KAR12" s="301"/>
      <c r="KAS12" s="301"/>
      <c r="KAT12" s="301"/>
      <c r="KAU12" s="312"/>
      <c r="KAV12" s="301"/>
      <c r="KAW12" s="309"/>
      <c r="KAX12" s="301"/>
      <c r="KAY12" s="306"/>
      <c r="KAZ12" s="301"/>
      <c r="KBA12" s="309"/>
      <c r="KBB12" s="301"/>
      <c r="KBC12" s="309"/>
      <c r="KBD12" s="301"/>
      <c r="KBE12" s="301"/>
      <c r="KBF12" s="301"/>
      <c r="KBG12" s="301"/>
      <c r="KBH12" s="301"/>
      <c r="KBI12" s="301"/>
      <c r="KBJ12" s="301"/>
      <c r="KBK12" s="301"/>
      <c r="KBL12" s="312"/>
      <c r="KBM12" s="301"/>
      <c r="KBN12" s="309"/>
      <c r="KBO12" s="301"/>
      <c r="KBP12" s="306"/>
      <c r="KBQ12" s="301"/>
      <c r="KBR12" s="309"/>
      <c r="KBS12" s="301"/>
      <c r="KBT12" s="309"/>
      <c r="KBU12" s="301"/>
      <c r="KBV12" s="301"/>
      <c r="KBW12" s="301"/>
      <c r="KBX12" s="301"/>
      <c r="KBY12" s="301"/>
      <c r="KBZ12" s="301"/>
      <c r="KCA12" s="301"/>
      <c r="KCB12" s="301"/>
      <c r="KCC12" s="312"/>
      <c r="KCD12" s="301"/>
      <c r="KCE12" s="309"/>
      <c r="KCF12" s="301"/>
      <c r="KCG12" s="306"/>
      <c r="KCH12" s="301"/>
      <c r="KCI12" s="309"/>
      <c r="KCJ12" s="301"/>
      <c r="KCK12" s="309"/>
      <c r="KCL12" s="301"/>
      <c r="KCM12" s="301"/>
      <c r="KCN12" s="301"/>
      <c r="KCO12" s="301"/>
      <c r="KCP12" s="301"/>
      <c r="KCQ12" s="301"/>
      <c r="KCR12" s="301"/>
      <c r="KCS12" s="301"/>
      <c r="KCT12" s="312"/>
      <c r="KCU12" s="301"/>
      <c r="KCV12" s="309"/>
      <c r="KCW12" s="301"/>
      <c r="KCX12" s="306"/>
      <c r="KCY12" s="301"/>
      <c r="KCZ12" s="309"/>
      <c r="KDA12" s="301"/>
      <c r="KDB12" s="309"/>
      <c r="KDC12" s="301"/>
      <c r="KDD12" s="301"/>
      <c r="KDE12" s="301"/>
      <c r="KDF12" s="301"/>
      <c r="KDG12" s="301"/>
      <c r="KDH12" s="301"/>
      <c r="KDI12" s="301"/>
      <c r="KDJ12" s="301"/>
      <c r="KDK12" s="312"/>
      <c r="KDL12" s="301"/>
      <c r="KDM12" s="309"/>
      <c r="KDN12" s="301"/>
      <c r="KDO12" s="306"/>
      <c r="KDP12" s="301"/>
      <c r="KDQ12" s="309"/>
      <c r="KDR12" s="301"/>
      <c r="KDS12" s="309"/>
      <c r="KDT12" s="301"/>
      <c r="KDU12" s="301"/>
      <c r="KDV12" s="301"/>
      <c r="KDW12" s="301"/>
      <c r="KDX12" s="301"/>
      <c r="KDY12" s="301"/>
      <c r="KDZ12" s="301"/>
      <c r="KEA12" s="301"/>
      <c r="KEB12" s="312"/>
      <c r="KEC12" s="301"/>
      <c r="KED12" s="309"/>
      <c r="KEE12" s="301"/>
      <c r="KEF12" s="306"/>
      <c r="KEG12" s="301"/>
      <c r="KEH12" s="309"/>
      <c r="KEI12" s="301"/>
      <c r="KEJ12" s="309"/>
      <c r="KEK12" s="301"/>
      <c r="KEL12" s="301"/>
      <c r="KEM12" s="301"/>
      <c r="KEN12" s="301"/>
      <c r="KEO12" s="301"/>
      <c r="KEP12" s="301"/>
      <c r="KEQ12" s="301"/>
      <c r="KER12" s="301"/>
      <c r="KES12" s="312"/>
      <c r="KET12" s="301"/>
      <c r="KEU12" s="309"/>
      <c r="KEV12" s="301"/>
      <c r="KEW12" s="306"/>
      <c r="KEX12" s="301"/>
      <c r="KEY12" s="309"/>
      <c r="KEZ12" s="301"/>
      <c r="KFA12" s="309"/>
      <c r="KFB12" s="301"/>
      <c r="KFC12" s="301"/>
      <c r="KFD12" s="301"/>
      <c r="KFE12" s="301"/>
      <c r="KFF12" s="301"/>
      <c r="KFG12" s="301"/>
      <c r="KFH12" s="301"/>
      <c r="KFI12" s="301"/>
      <c r="KFJ12" s="312"/>
      <c r="KFK12" s="301"/>
      <c r="KFL12" s="309"/>
      <c r="KFM12" s="301"/>
      <c r="KFN12" s="306"/>
      <c r="KFO12" s="301"/>
      <c r="KFP12" s="309"/>
      <c r="KFQ12" s="301"/>
      <c r="KFR12" s="309"/>
      <c r="KFS12" s="301"/>
      <c r="KFT12" s="301"/>
      <c r="KFU12" s="301"/>
      <c r="KFV12" s="301"/>
      <c r="KFW12" s="301"/>
      <c r="KFX12" s="301"/>
      <c r="KFY12" s="301"/>
      <c r="KFZ12" s="301"/>
      <c r="KGA12" s="312"/>
      <c r="KGB12" s="301"/>
      <c r="KGC12" s="309"/>
      <c r="KGD12" s="301"/>
      <c r="KGE12" s="306"/>
      <c r="KGF12" s="301"/>
      <c r="KGG12" s="309"/>
      <c r="KGH12" s="301"/>
      <c r="KGI12" s="309"/>
      <c r="KGJ12" s="301"/>
      <c r="KGK12" s="301"/>
      <c r="KGL12" s="301"/>
      <c r="KGM12" s="301"/>
      <c r="KGN12" s="301"/>
      <c r="KGO12" s="301"/>
      <c r="KGP12" s="301"/>
      <c r="KGQ12" s="301"/>
      <c r="KGR12" s="312"/>
      <c r="KGS12" s="301"/>
      <c r="KGT12" s="309"/>
      <c r="KGU12" s="301"/>
      <c r="KGV12" s="306"/>
      <c r="KGW12" s="301"/>
      <c r="KGX12" s="309"/>
      <c r="KGY12" s="301"/>
      <c r="KGZ12" s="309"/>
      <c r="KHA12" s="301"/>
      <c r="KHB12" s="301"/>
      <c r="KHC12" s="301"/>
      <c r="KHD12" s="301"/>
      <c r="KHE12" s="301"/>
      <c r="KHF12" s="301"/>
      <c r="KHG12" s="301"/>
      <c r="KHH12" s="301"/>
      <c r="KHI12" s="312"/>
      <c r="KHJ12" s="301"/>
      <c r="KHK12" s="309"/>
      <c r="KHL12" s="301"/>
      <c r="KHM12" s="306"/>
      <c r="KHN12" s="301"/>
      <c r="KHO12" s="309"/>
      <c r="KHP12" s="301"/>
      <c r="KHQ12" s="309"/>
      <c r="KHR12" s="301"/>
      <c r="KHS12" s="301"/>
      <c r="KHT12" s="301"/>
      <c r="KHU12" s="301"/>
      <c r="KHV12" s="301"/>
      <c r="KHW12" s="301"/>
      <c r="KHX12" s="301"/>
      <c r="KHY12" s="301"/>
      <c r="KHZ12" s="312"/>
      <c r="KIA12" s="301"/>
      <c r="KIB12" s="309"/>
      <c r="KIC12" s="301"/>
      <c r="KID12" s="306"/>
      <c r="KIE12" s="301"/>
      <c r="KIF12" s="309"/>
      <c r="KIG12" s="301"/>
      <c r="KIH12" s="309"/>
      <c r="KII12" s="301"/>
      <c r="KIJ12" s="301"/>
      <c r="KIK12" s="301"/>
      <c r="KIL12" s="301"/>
      <c r="KIM12" s="301"/>
      <c r="KIN12" s="301"/>
      <c r="KIO12" s="301"/>
      <c r="KIP12" s="301"/>
      <c r="KIQ12" s="312"/>
      <c r="KIR12" s="301"/>
      <c r="KIS12" s="309"/>
      <c r="KIT12" s="301"/>
      <c r="KIU12" s="306"/>
      <c r="KIV12" s="301"/>
      <c r="KIW12" s="309"/>
      <c r="KIX12" s="301"/>
      <c r="KIY12" s="309"/>
      <c r="KIZ12" s="301"/>
      <c r="KJA12" s="301"/>
      <c r="KJB12" s="301"/>
      <c r="KJC12" s="301"/>
      <c r="KJD12" s="301"/>
      <c r="KJE12" s="301"/>
      <c r="KJF12" s="301"/>
      <c r="KJG12" s="301"/>
      <c r="KJH12" s="312"/>
      <c r="KJI12" s="301"/>
      <c r="KJJ12" s="309"/>
      <c r="KJK12" s="301"/>
      <c r="KJL12" s="306"/>
      <c r="KJM12" s="301"/>
      <c r="KJN12" s="309"/>
      <c r="KJO12" s="301"/>
      <c r="KJP12" s="309"/>
      <c r="KJQ12" s="301"/>
      <c r="KJR12" s="301"/>
      <c r="KJS12" s="301"/>
      <c r="KJT12" s="301"/>
      <c r="KJU12" s="301"/>
      <c r="KJV12" s="301"/>
      <c r="KJW12" s="301"/>
      <c r="KJX12" s="301"/>
      <c r="KJY12" s="312"/>
      <c r="KJZ12" s="301"/>
      <c r="KKA12" s="309"/>
      <c r="KKB12" s="301"/>
      <c r="KKC12" s="306"/>
      <c r="KKD12" s="301"/>
      <c r="KKE12" s="309"/>
      <c r="KKF12" s="301"/>
      <c r="KKG12" s="309"/>
      <c r="KKH12" s="301"/>
      <c r="KKI12" s="301"/>
      <c r="KKJ12" s="301"/>
      <c r="KKK12" s="301"/>
      <c r="KKL12" s="301"/>
      <c r="KKM12" s="301"/>
      <c r="KKN12" s="301"/>
      <c r="KKO12" s="301"/>
      <c r="KKP12" s="312"/>
      <c r="KKQ12" s="301"/>
      <c r="KKR12" s="309"/>
      <c r="KKS12" s="301"/>
      <c r="KKT12" s="306"/>
      <c r="KKU12" s="301"/>
      <c r="KKV12" s="309"/>
      <c r="KKW12" s="301"/>
      <c r="KKX12" s="309"/>
      <c r="KKY12" s="301"/>
      <c r="KKZ12" s="301"/>
      <c r="KLA12" s="301"/>
      <c r="KLB12" s="301"/>
      <c r="KLC12" s="301"/>
      <c r="KLD12" s="301"/>
      <c r="KLE12" s="301"/>
      <c r="KLF12" s="301"/>
      <c r="KLG12" s="312"/>
      <c r="KLH12" s="301"/>
      <c r="KLI12" s="309"/>
      <c r="KLJ12" s="301"/>
      <c r="KLK12" s="306"/>
      <c r="KLL12" s="301"/>
      <c r="KLM12" s="309"/>
      <c r="KLN12" s="301"/>
      <c r="KLO12" s="309"/>
      <c r="KLP12" s="301"/>
      <c r="KLQ12" s="301"/>
      <c r="KLR12" s="301"/>
      <c r="KLS12" s="301"/>
      <c r="KLT12" s="301"/>
      <c r="KLU12" s="301"/>
      <c r="KLV12" s="301"/>
      <c r="KLW12" s="301"/>
      <c r="KLX12" s="312"/>
      <c r="KLY12" s="301"/>
      <c r="KLZ12" s="309"/>
      <c r="KMA12" s="301"/>
      <c r="KMB12" s="306"/>
      <c r="KMC12" s="301"/>
      <c r="KMD12" s="309"/>
      <c r="KME12" s="301"/>
      <c r="KMF12" s="309"/>
      <c r="KMG12" s="301"/>
      <c r="KMH12" s="301"/>
      <c r="KMI12" s="301"/>
      <c r="KMJ12" s="301"/>
      <c r="KMK12" s="301"/>
      <c r="KML12" s="301"/>
      <c r="KMM12" s="301"/>
      <c r="KMN12" s="301"/>
      <c r="KMO12" s="312"/>
      <c r="KMP12" s="301"/>
      <c r="KMQ12" s="309"/>
      <c r="KMR12" s="301"/>
      <c r="KMS12" s="306"/>
      <c r="KMT12" s="301"/>
      <c r="KMU12" s="309"/>
      <c r="KMV12" s="301"/>
      <c r="KMW12" s="309"/>
      <c r="KMX12" s="301"/>
      <c r="KMY12" s="301"/>
      <c r="KMZ12" s="301"/>
      <c r="KNA12" s="301"/>
      <c r="KNB12" s="301"/>
      <c r="KNC12" s="301"/>
      <c r="KND12" s="301"/>
      <c r="KNE12" s="301"/>
      <c r="KNF12" s="312"/>
      <c r="KNG12" s="301"/>
      <c r="KNH12" s="309"/>
      <c r="KNI12" s="301"/>
      <c r="KNJ12" s="306"/>
      <c r="KNK12" s="301"/>
      <c r="KNL12" s="309"/>
      <c r="KNM12" s="301"/>
      <c r="KNN12" s="309"/>
      <c r="KNO12" s="301"/>
      <c r="KNP12" s="301"/>
      <c r="KNQ12" s="301"/>
      <c r="KNR12" s="301"/>
      <c r="KNS12" s="301"/>
      <c r="KNT12" s="301"/>
      <c r="KNU12" s="301"/>
      <c r="KNV12" s="301"/>
      <c r="KNW12" s="312"/>
      <c r="KNX12" s="301"/>
      <c r="KNY12" s="309"/>
      <c r="KNZ12" s="301"/>
      <c r="KOA12" s="306"/>
      <c r="KOB12" s="301"/>
      <c r="KOC12" s="309"/>
      <c r="KOD12" s="301"/>
      <c r="KOE12" s="309"/>
      <c r="KOF12" s="301"/>
      <c r="KOG12" s="301"/>
      <c r="KOH12" s="301"/>
      <c r="KOI12" s="301"/>
      <c r="KOJ12" s="301"/>
      <c r="KOK12" s="301"/>
      <c r="KOL12" s="301"/>
      <c r="KOM12" s="301"/>
      <c r="KON12" s="312"/>
      <c r="KOO12" s="301"/>
      <c r="KOP12" s="309"/>
      <c r="KOQ12" s="301"/>
      <c r="KOR12" s="306"/>
      <c r="KOS12" s="301"/>
      <c r="KOT12" s="309"/>
      <c r="KOU12" s="301"/>
      <c r="KOV12" s="309"/>
      <c r="KOW12" s="301"/>
      <c r="KOX12" s="301"/>
      <c r="KOY12" s="301"/>
      <c r="KOZ12" s="301"/>
      <c r="KPA12" s="301"/>
      <c r="KPB12" s="301"/>
      <c r="KPC12" s="301"/>
      <c r="KPD12" s="301"/>
      <c r="KPE12" s="312"/>
      <c r="KPF12" s="301"/>
      <c r="KPG12" s="309"/>
      <c r="KPH12" s="301"/>
      <c r="KPI12" s="306"/>
      <c r="KPJ12" s="301"/>
      <c r="KPK12" s="309"/>
      <c r="KPL12" s="301"/>
      <c r="KPM12" s="309"/>
      <c r="KPN12" s="301"/>
      <c r="KPO12" s="301"/>
      <c r="KPP12" s="301"/>
      <c r="KPQ12" s="301"/>
      <c r="KPR12" s="301"/>
      <c r="KPS12" s="301"/>
      <c r="KPT12" s="301"/>
      <c r="KPU12" s="301"/>
      <c r="KPV12" s="312"/>
      <c r="KPW12" s="301"/>
      <c r="KPX12" s="309"/>
      <c r="KPY12" s="301"/>
      <c r="KPZ12" s="306"/>
      <c r="KQA12" s="301"/>
      <c r="KQB12" s="309"/>
      <c r="KQC12" s="301"/>
      <c r="KQD12" s="309"/>
      <c r="KQE12" s="301"/>
      <c r="KQF12" s="301"/>
      <c r="KQG12" s="301"/>
      <c r="KQH12" s="301"/>
      <c r="KQI12" s="301"/>
      <c r="KQJ12" s="301"/>
      <c r="KQK12" s="301"/>
      <c r="KQL12" s="301"/>
      <c r="KQM12" s="312"/>
      <c r="KQN12" s="301"/>
      <c r="KQO12" s="309"/>
      <c r="KQP12" s="301"/>
      <c r="KQQ12" s="306"/>
      <c r="KQR12" s="301"/>
      <c r="KQS12" s="309"/>
      <c r="KQT12" s="301"/>
      <c r="KQU12" s="309"/>
      <c r="KQV12" s="301"/>
      <c r="KQW12" s="301"/>
      <c r="KQX12" s="301"/>
      <c r="KQY12" s="301"/>
      <c r="KQZ12" s="301"/>
      <c r="KRA12" s="301"/>
      <c r="KRB12" s="301"/>
      <c r="KRC12" s="301"/>
      <c r="KRD12" s="312"/>
      <c r="KRE12" s="301"/>
      <c r="KRF12" s="309"/>
      <c r="KRG12" s="301"/>
      <c r="KRH12" s="306"/>
      <c r="KRI12" s="301"/>
      <c r="KRJ12" s="309"/>
      <c r="KRK12" s="301"/>
      <c r="KRL12" s="309"/>
      <c r="KRM12" s="301"/>
      <c r="KRN12" s="301"/>
      <c r="KRO12" s="301"/>
      <c r="KRP12" s="301"/>
      <c r="KRQ12" s="301"/>
      <c r="KRR12" s="301"/>
      <c r="KRS12" s="301"/>
      <c r="KRT12" s="301"/>
      <c r="KRU12" s="312"/>
      <c r="KRV12" s="301"/>
      <c r="KRW12" s="309"/>
      <c r="KRX12" s="301"/>
      <c r="KRY12" s="306"/>
      <c r="KRZ12" s="301"/>
      <c r="KSA12" s="309"/>
      <c r="KSB12" s="301"/>
      <c r="KSC12" s="309"/>
      <c r="KSD12" s="301"/>
      <c r="KSE12" s="301"/>
      <c r="KSF12" s="301"/>
      <c r="KSG12" s="301"/>
      <c r="KSH12" s="301"/>
      <c r="KSI12" s="301"/>
      <c r="KSJ12" s="301"/>
      <c r="KSK12" s="301"/>
      <c r="KSL12" s="312"/>
      <c r="KSM12" s="301"/>
      <c r="KSN12" s="309"/>
      <c r="KSO12" s="301"/>
      <c r="KSP12" s="306"/>
      <c r="KSQ12" s="301"/>
      <c r="KSR12" s="309"/>
      <c r="KSS12" s="301"/>
      <c r="KST12" s="309"/>
      <c r="KSU12" s="301"/>
      <c r="KSV12" s="301"/>
      <c r="KSW12" s="301"/>
      <c r="KSX12" s="301"/>
      <c r="KSY12" s="301"/>
      <c r="KSZ12" s="301"/>
      <c r="KTA12" s="301"/>
      <c r="KTB12" s="301"/>
      <c r="KTC12" s="312"/>
      <c r="KTD12" s="301"/>
      <c r="KTE12" s="309"/>
      <c r="KTF12" s="301"/>
      <c r="KTG12" s="306"/>
      <c r="KTH12" s="301"/>
      <c r="KTI12" s="309"/>
      <c r="KTJ12" s="301"/>
      <c r="KTK12" s="309"/>
      <c r="KTL12" s="301"/>
      <c r="KTM12" s="301"/>
      <c r="KTN12" s="301"/>
      <c r="KTO12" s="301"/>
      <c r="KTP12" s="301"/>
      <c r="KTQ12" s="301"/>
      <c r="KTR12" s="301"/>
      <c r="KTS12" s="301"/>
      <c r="KTT12" s="312"/>
      <c r="KTU12" s="301"/>
      <c r="KTV12" s="309"/>
      <c r="KTW12" s="301"/>
      <c r="KTX12" s="306"/>
      <c r="KTY12" s="301"/>
      <c r="KTZ12" s="309"/>
      <c r="KUA12" s="301"/>
      <c r="KUB12" s="309"/>
      <c r="KUC12" s="301"/>
      <c r="KUD12" s="301"/>
      <c r="KUE12" s="301"/>
      <c r="KUF12" s="301"/>
      <c r="KUG12" s="301"/>
      <c r="KUH12" s="301"/>
      <c r="KUI12" s="301"/>
      <c r="KUJ12" s="301"/>
      <c r="KUK12" s="312"/>
      <c r="KUL12" s="301"/>
      <c r="KUM12" s="309"/>
      <c r="KUN12" s="301"/>
      <c r="KUO12" s="306"/>
      <c r="KUP12" s="301"/>
      <c r="KUQ12" s="309"/>
      <c r="KUR12" s="301"/>
      <c r="KUS12" s="309"/>
      <c r="KUT12" s="301"/>
      <c r="KUU12" s="301"/>
      <c r="KUV12" s="301"/>
      <c r="KUW12" s="301"/>
      <c r="KUX12" s="301"/>
      <c r="KUY12" s="301"/>
      <c r="KUZ12" s="301"/>
      <c r="KVA12" s="301"/>
      <c r="KVB12" s="312"/>
      <c r="KVC12" s="301"/>
      <c r="KVD12" s="309"/>
      <c r="KVE12" s="301"/>
      <c r="KVF12" s="306"/>
      <c r="KVG12" s="301"/>
      <c r="KVH12" s="309"/>
      <c r="KVI12" s="301"/>
      <c r="KVJ12" s="309"/>
      <c r="KVK12" s="301"/>
      <c r="KVL12" s="301"/>
      <c r="KVM12" s="301"/>
      <c r="KVN12" s="301"/>
      <c r="KVO12" s="301"/>
      <c r="KVP12" s="301"/>
      <c r="KVQ12" s="301"/>
      <c r="KVR12" s="301"/>
      <c r="KVS12" s="312"/>
      <c r="KVT12" s="301"/>
      <c r="KVU12" s="309"/>
      <c r="KVV12" s="301"/>
      <c r="KVW12" s="306"/>
      <c r="KVX12" s="301"/>
      <c r="KVY12" s="309"/>
      <c r="KVZ12" s="301"/>
      <c r="KWA12" s="309"/>
      <c r="KWB12" s="301"/>
      <c r="KWC12" s="301"/>
      <c r="KWD12" s="301"/>
      <c r="KWE12" s="301"/>
      <c r="KWF12" s="301"/>
      <c r="KWG12" s="301"/>
      <c r="KWH12" s="301"/>
      <c r="KWI12" s="301"/>
      <c r="KWJ12" s="312"/>
      <c r="KWK12" s="301"/>
      <c r="KWL12" s="309"/>
      <c r="KWM12" s="301"/>
      <c r="KWN12" s="306"/>
      <c r="KWO12" s="301"/>
      <c r="KWP12" s="309"/>
      <c r="KWQ12" s="301"/>
      <c r="KWR12" s="309"/>
      <c r="KWS12" s="301"/>
      <c r="KWT12" s="301"/>
      <c r="KWU12" s="301"/>
      <c r="KWV12" s="301"/>
      <c r="KWW12" s="301"/>
      <c r="KWX12" s="301"/>
      <c r="KWY12" s="301"/>
      <c r="KWZ12" s="301"/>
      <c r="KXA12" s="312"/>
      <c r="KXB12" s="301"/>
      <c r="KXC12" s="309"/>
      <c r="KXD12" s="301"/>
      <c r="KXE12" s="306"/>
      <c r="KXF12" s="301"/>
      <c r="KXG12" s="309"/>
      <c r="KXH12" s="301"/>
      <c r="KXI12" s="309"/>
      <c r="KXJ12" s="301"/>
      <c r="KXK12" s="301"/>
      <c r="KXL12" s="301"/>
      <c r="KXM12" s="301"/>
      <c r="KXN12" s="301"/>
      <c r="KXO12" s="301"/>
      <c r="KXP12" s="301"/>
      <c r="KXQ12" s="301"/>
      <c r="KXR12" s="312"/>
      <c r="KXS12" s="301"/>
      <c r="KXT12" s="309"/>
      <c r="KXU12" s="301"/>
      <c r="KXV12" s="306"/>
      <c r="KXW12" s="301"/>
      <c r="KXX12" s="309"/>
      <c r="KXY12" s="301"/>
      <c r="KXZ12" s="309"/>
      <c r="KYA12" s="301"/>
      <c r="KYB12" s="301"/>
      <c r="KYC12" s="301"/>
      <c r="KYD12" s="301"/>
      <c r="KYE12" s="301"/>
      <c r="KYF12" s="301"/>
      <c r="KYG12" s="301"/>
      <c r="KYH12" s="301"/>
      <c r="KYI12" s="312"/>
      <c r="KYJ12" s="301"/>
      <c r="KYK12" s="309"/>
      <c r="KYL12" s="301"/>
      <c r="KYM12" s="306"/>
      <c r="KYN12" s="301"/>
      <c r="KYO12" s="309"/>
      <c r="KYP12" s="301"/>
      <c r="KYQ12" s="309"/>
      <c r="KYR12" s="301"/>
      <c r="KYS12" s="301"/>
      <c r="KYT12" s="301"/>
      <c r="KYU12" s="301"/>
      <c r="KYV12" s="301"/>
      <c r="KYW12" s="301"/>
      <c r="KYX12" s="301"/>
      <c r="KYY12" s="301"/>
      <c r="KYZ12" s="312"/>
      <c r="KZA12" s="301"/>
      <c r="KZB12" s="309"/>
      <c r="KZC12" s="301"/>
      <c r="KZD12" s="306"/>
      <c r="KZE12" s="301"/>
      <c r="KZF12" s="309"/>
      <c r="KZG12" s="301"/>
      <c r="KZH12" s="309"/>
      <c r="KZI12" s="301"/>
      <c r="KZJ12" s="301"/>
      <c r="KZK12" s="301"/>
      <c r="KZL12" s="301"/>
      <c r="KZM12" s="301"/>
      <c r="KZN12" s="301"/>
      <c r="KZO12" s="301"/>
      <c r="KZP12" s="301"/>
      <c r="KZQ12" s="312"/>
      <c r="KZR12" s="301"/>
      <c r="KZS12" s="309"/>
      <c r="KZT12" s="301"/>
      <c r="KZU12" s="306"/>
      <c r="KZV12" s="301"/>
      <c r="KZW12" s="309"/>
      <c r="KZX12" s="301"/>
      <c r="KZY12" s="309"/>
      <c r="KZZ12" s="301"/>
      <c r="LAA12" s="301"/>
      <c r="LAB12" s="301"/>
      <c r="LAC12" s="301"/>
      <c r="LAD12" s="301"/>
      <c r="LAE12" s="301"/>
      <c r="LAF12" s="301"/>
      <c r="LAG12" s="301"/>
      <c r="LAH12" s="312"/>
      <c r="LAI12" s="301"/>
      <c r="LAJ12" s="309"/>
      <c r="LAK12" s="301"/>
      <c r="LAL12" s="306"/>
      <c r="LAM12" s="301"/>
      <c r="LAN12" s="309"/>
      <c r="LAO12" s="301"/>
      <c r="LAP12" s="309"/>
      <c r="LAQ12" s="301"/>
      <c r="LAR12" s="301"/>
      <c r="LAS12" s="301"/>
      <c r="LAT12" s="301"/>
      <c r="LAU12" s="301"/>
      <c r="LAV12" s="301"/>
      <c r="LAW12" s="301"/>
      <c r="LAX12" s="301"/>
      <c r="LAY12" s="312"/>
      <c r="LAZ12" s="301"/>
      <c r="LBA12" s="309"/>
      <c r="LBB12" s="301"/>
      <c r="LBC12" s="306"/>
      <c r="LBD12" s="301"/>
      <c r="LBE12" s="309"/>
      <c r="LBF12" s="301"/>
      <c r="LBG12" s="309"/>
      <c r="LBH12" s="301"/>
      <c r="LBI12" s="301"/>
      <c r="LBJ12" s="301"/>
      <c r="LBK12" s="301"/>
      <c r="LBL12" s="301"/>
      <c r="LBM12" s="301"/>
      <c r="LBN12" s="301"/>
      <c r="LBO12" s="301"/>
      <c r="LBP12" s="312"/>
      <c r="LBQ12" s="301"/>
      <c r="LBR12" s="309"/>
      <c r="LBS12" s="301"/>
      <c r="LBT12" s="306"/>
      <c r="LBU12" s="301"/>
      <c r="LBV12" s="309"/>
      <c r="LBW12" s="301"/>
      <c r="LBX12" s="309"/>
      <c r="LBY12" s="301"/>
      <c r="LBZ12" s="301"/>
      <c r="LCA12" s="301"/>
      <c r="LCB12" s="301"/>
      <c r="LCC12" s="301"/>
      <c r="LCD12" s="301"/>
      <c r="LCE12" s="301"/>
      <c r="LCF12" s="301"/>
      <c r="LCG12" s="312"/>
      <c r="LCH12" s="301"/>
      <c r="LCI12" s="309"/>
      <c r="LCJ12" s="301"/>
      <c r="LCK12" s="306"/>
      <c r="LCL12" s="301"/>
      <c r="LCM12" s="309"/>
      <c r="LCN12" s="301"/>
      <c r="LCO12" s="309"/>
      <c r="LCP12" s="301"/>
      <c r="LCQ12" s="301"/>
      <c r="LCR12" s="301"/>
      <c r="LCS12" s="301"/>
      <c r="LCT12" s="301"/>
      <c r="LCU12" s="301"/>
      <c r="LCV12" s="301"/>
      <c r="LCW12" s="301"/>
      <c r="LCX12" s="312"/>
      <c r="LCY12" s="301"/>
      <c r="LCZ12" s="309"/>
      <c r="LDA12" s="301"/>
      <c r="LDB12" s="306"/>
      <c r="LDC12" s="301"/>
      <c r="LDD12" s="309"/>
      <c r="LDE12" s="301"/>
      <c r="LDF12" s="309"/>
      <c r="LDG12" s="301"/>
      <c r="LDH12" s="301"/>
      <c r="LDI12" s="301"/>
      <c r="LDJ12" s="301"/>
      <c r="LDK12" s="301"/>
      <c r="LDL12" s="301"/>
      <c r="LDM12" s="301"/>
      <c r="LDN12" s="301"/>
      <c r="LDO12" s="312"/>
      <c r="LDP12" s="301"/>
      <c r="LDQ12" s="309"/>
      <c r="LDR12" s="301"/>
      <c r="LDS12" s="306"/>
      <c r="LDT12" s="301"/>
      <c r="LDU12" s="309"/>
      <c r="LDV12" s="301"/>
      <c r="LDW12" s="309"/>
      <c r="LDX12" s="301"/>
      <c r="LDY12" s="301"/>
      <c r="LDZ12" s="301"/>
      <c r="LEA12" s="301"/>
      <c r="LEB12" s="301"/>
      <c r="LEC12" s="301"/>
      <c r="LED12" s="301"/>
      <c r="LEE12" s="301"/>
      <c r="LEF12" s="312"/>
      <c r="LEG12" s="301"/>
      <c r="LEH12" s="309"/>
      <c r="LEI12" s="301"/>
      <c r="LEJ12" s="306"/>
      <c r="LEK12" s="301"/>
      <c r="LEL12" s="309"/>
      <c r="LEM12" s="301"/>
      <c r="LEN12" s="309"/>
      <c r="LEO12" s="301"/>
      <c r="LEP12" s="301"/>
      <c r="LEQ12" s="301"/>
      <c r="LER12" s="301"/>
      <c r="LES12" s="301"/>
      <c r="LET12" s="301"/>
      <c r="LEU12" s="301"/>
      <c r="LEV12" s="301"/>
      <c r="LEW12" s="312"/>
      <c r="LEX12" s="301"/>
      <c r="LEY12" s="309"/>
      <c r="LEZ12" s="301"/>
      <c r="LFA12" s="306"/>
      <c r="LFB12" s="301"/>
      <c r="LFC12" s="309"/>
      <c r="LFD12" s="301"/>
      <c r="LFE12" s="309"/>
      <c r="LFF12" s="301"/>
      <c r="LFG12" s="301"/>
      <c r="LFH12" s="301"/>
      <c r="LFI12" s="301"/>
      <c r="LFJ12" s="301"/>
      <c r="LFK12" s="301"/>
      <c r="LFL12" s="301"/>
      <c r="LFM12" s="301"/>
      <c r="LFN12" s="312"/>
      <c r="LFO12" s="301"/>
      <c r="LFP12" s="309"/>
      <c r="LFQ12" s="301"/>
      <c r="LFR12" s="306"/>
      <c r="LFS12" s="301"/>
      <c r="LFT12" s="309"/>
      <c r="LFU12" s="301"/>
      <c r="LFV12" s="309"/>
      <c r="LFW12" s="301"/>
      <c r="LFX12" s="301"/>
      <c r="LFY12" s="301"/>
      <c r="LFZ12" s="301"/>
      <c r="LGA12" s="301"/>
      <c r="LGB12" s="301"/>
      <c r="LGC12" s="301"/>
      <c r="LGD12" s="301"/>
      <c r="LGE12" s="312"/>
      <c r="LGF12" s="301"/>
      <c r="LGG12" s="309"/>
      <c r="LGH12" s="301"/>
      <c r="LGI12" s="306"/>
      <c r="LGJ12" s="301"/>
      <c r="LGK12" s="309"/>
      <c r="LGL12" s="301"/>
      <c r="LGM12" s="309"/>
      <c r="LGN12" s="301"/>
      <c r="LGO12" s="301"/>
      <c r="LGP12" s="301"/>
      <c r="LGQ12" s="301"/>
      <c r="LGR12" s="301"/>
      <c r="LGS12" s="301"/>
      <c r="LGT12" s="301"/>
      <c r="LGU12" s="301"/>
      <c r="LGV12" s="312"/>
      <c r="LGW12" s="301"/>
      <c r="LGX12" s="309"/>
      <c r="LGY12" s="301"/>
      <c r="LGZ12" s="306"/>
      <c r="LHA12" s="301"/>
      <c r="LHB12" s="309"/>
      <c r="LHC12" s="301"/>
      <c r="LHD12" s="309"/>
      <c r="LHE12" s="301"/>
      <c r="LHF12" s="301"/>
      <c r="LHG12" s="301"/>
      <c r="LHH12" s="301"/>
      <c r="LHI12" s="301"/>
      <c r="LHJ12" s="301"/>
      <c r="LHK12" s="301"/>
      <c r="LHL12" s="301"/>
      <c r="LHM12" s="312"/>
      <c r="LHN12" s="301"/>
      <c r="LHO12" s="309"/>
      <c r="LHP12" s="301"/>
      <c r="LHQ12" s="306"/>
      <c r="LHR12" s="301"/>
      <c r="LHS12" s="309"/>
      <c r="LHT12" s="301"/>
      <c r="LHU12" s="309"/>
      <c r="LHV12" s="301"/>
      <c r="LHW12" s="301"/>
      <c r="LHX12" s="301"/>
      <c r="LHY12" s="301"/>
      <c r="LHZ12" s="301"/>
      <c r="LIA12" s="301"/>
      <c r="LIB12" s="301"/>
      <c r="LIC12" s="301"/>
      <c r="LID12" s="312"/>
      <c r="LIE12" s="301"/>
      <c r="LIF12" s="309"/>
      <c r="LIG12" s="301"/>
      <c r="LIH12" s="306"/>
      <c r="LII12" s="301"/>
      <c r="LIJ12" s="309"/>
      <c r="LIK12" s="301"/>
      <c r="LIL12" s="309"/>
      <c r="LIM12" s="301"/>
      <c r="LIN12" s="301"/>
      <c r="LIO12" s="301"/>
      <c r="LIP12" s="301"/>
      <c r="LIQ12" s="301"/>
      <c r="LIR12" s="301"/>
      <c r="LIS12" s="301"/>
      <c r="LIT12" s="301"/>
      <c r="LIU12" s="312"/>
      <c r="LIV12" s="301"/>
      <c r="LIW12" s="309"/>
      <c r="LIX12" s="301"/>
      <c r="LIY12" s="306"/>
      <c r="LIZ12" s="301"/>
      <c r="LJA12" s="309"/>
      <c r="LJB12" s="301"/>
      <c r="LJC12" s="309"/>
      <c r="LJD12" s="301"/>
      <c r="LJE12" s="301"/>
      <c r="LJF12" s="301"/>
      <c r="LJG12" s="301"/>
      <c r="LJH12" s="301"/>
      <c r="LJI12" s="301"/>
      <c r="LJJ12" s="301"/>
      <c r="LJK12" s="301"/>
      <c r="LJL12" s="312"/>
      <c r="LJM12" s="301"/>
      <c r="LJN12" s="309"/>
      <c r="LJO12" s="301"/>
      <c r="LJP12" s="306"/>
      <c r="LJQ12" s="301"/>
      <c r="LJR12" s="309"/>
      <c r="LJS12" s="301"/>
      <c r="LJT12" s="309"/>
      <c r="LJU12" s="301"/>
      <c r="LJV12" s="301"/>
      <c r="LJW12" s="301"/>
      <c r="LJX12" s="301"/>
      <c r="LJY12" s="301"/>
      <c r="LJZ12" s="301"/>
      <c r="LKA12" s="301"/>
      <c r="LKB12" s="301"/>
      <c r="LKC12" s="312"/>
      <c r="LKD12" s="301"/>
      <c r="LKE12" s="309"/>
      <c r="LKF12" s="301"/>
      <c r="LKG12" s="306"/>
      <c r="LKH12" s="301"/>
      <c r="LKI12" s="309"/>
      <c r="LKJ12" s="301"/>
      <c r="LKK12" s="309"/>
      <c r="LKL12" s="301"/>
      <c r="LKM12" s="301"/>
      <c r="LKN12" s="301"/>
      <c r="LKO12" s="301"/>
      <c r="LKP12" s="301"/>
      <c r="LKQ12" s="301"/>
      <c r="LKR12" s="301"/>
      <c r="LKS12" s="301"/>
      <c r="LKT12" s="312"/>
      <c r="LKU12" s="301"/>
      <c r="LKV12" s="309"/>
      <c r="LKW12" s="301"/>
      <c r="LKX12" s="306"/>
      <c r="LKY12" s="301"/>
      <c r="LKZ12" s="309"/>
      <c r="LLA12" s="301"/>
      <c r="LLB12" s="309"/>
      <c r="LLC12" s="301"/>
      <c r="LLD12" s="301"/>
      <c r="LLE12" s="301"/>
      <c r="LLF12" s="301"/>
      <c r="LLG12" s="301"/>
      <c r="LLH12" s="301"/>
      <c r="LLI12" s="301"/>
      <c r="LLJ12" s="301"/>
      <c r="LLK12" s="312"/>
      <c r="LLL12" s="301"/>
      <c r="LLM12" s="309"/>
      <c r="LLN12" s="301"/>
      <c r="LLO12" s="306"/>
      <c r="LLP12" s="301"/>
      <c r="LLQ12" s="309"/>
      <c r="LLR12" s="301"/>
      <c r="LLS12" s="309"/>
      <c r="LLT12" s="301"/>
      <c r="LLU12" s="301"/>
      <c r="LLV12" s="301"/>
      <c r="LLW12" s="301"/>
      <c r="LLX12" s="301"/>
      <c r="LLY12" s="301"/>
      <c r="LLZ12" s="301"/>
      <c r="LMA12" s="301"/>
      <c r="LMB12" s="312"/>
      <c r="LMC12" s="301"/>
      <c r="LMD12" s="309"/>
      <c r="LME12" s="301"/>
      <c r="LMF12" s="306"/>
      <c r="LMG12" s="301"/>
      <c r="LMH12" s="309"/>
      <c r="LMI12" s="301"/>
      <c r="LMJ12" s="309"/>
      <c r="LMK12" s="301"/>
      <c r="LML12" s="301"/>
      <c r="LMM12" s="301"/>
      <c r="LMN12" s="301"/>
      <c r="LMO12" s="301"/>
      <c r="LMP12" s="301"/>
      <c r="LMQ12" s="301"/>
      <c r="LMR12" s="301"/>
      <c r="LMS12" s="312"/>
      <c r="LMT12" s="301"/>
      <c r="LMU12" s="309"/>
      <c r="LMV12" s="301"/>
      <c r="LMW12" s="306"/>
      <c r="LMX12" s="301"/>
      <c r="LMY12" s="309"/>
      <c r="LMZ12" s="301"/>
      <c r="LNA12" s="309"/>
      <c r="LNB12" s="301"/>
      <c r="LNC12" s="301"/>
      <c r="LND12" s="301"/>
      <c r="LNE12" s="301"/>
      <c r="LNF12" s="301"/>
      <c r="LNG12" s="301"/>
      <c r="LNH12" s="301"/>
      <c r="LNI12" s="301"/>
      <c r="LNJ12" s="312"/>
      <c r="LNK12" s="301"/>
      <c r="LNL12" s="309"/>
      <c r="LNM12" s="301"/>
      <c r="LNN12" s="306"/>
      <c r="LNO12" s="301"/>
      <c r="LNP12" s="309"/>
      <c r="LNQ12" s="301"/>
      <c r="LNR12" s="309"/>
      <c r="LNS12" s="301"/>
      <c r="LNT12" s="301"/>
      <c r="LNU12" s="301"/>
      <c r="LNV12" s="301"/>
      <c r="LNW12" s="301"/>
      <c r="LNX12" s="301"/>
      <c r="LNY12" s="301"/>
      <c r="LNZ12" s="301"/>
      <c r="LOA12" s="312"/>
      <c r="LOB12" s="301"/>
      <c r="LOC12" s="309"/>
      <c r="LOD12" s="301"/>
      <c r="LOE12" s="306"/>
      <c r="LOF12" s="301"/>
      <c r="LOG12" s="309"/>
      <c r="LOH12" s="301"/>
      <c r="LOI12" s="309"/>
      <c r="LOJ12" s="301"/>
      <c r="LOK12" s="301"/>
      <c r="LOL12" s="301"/>
      <c r="LOM12" s="301"/>
      <c r="LON12" s="301"/>
      <c r="LOO12" s="301"/>
      <c r="LOP12" s="301"/>
      <c r="LOQ12" s="301"/>
      <c r="LOR12" s="312"/>
      <c r="LOS12" s="301"/>
      <c r="LOT12" s="309"/>
      <c r="LOU12" s="301"/>
      <c r="LOV12" s="306"/>
      <c r="LOW12" s="301"/>
      <c r="LOX12" s="309"/>
      <c r="LOY12" s="301"/>
      <c r="LOZ12" s="309"/>
      <c r="LPA12" s="301"/>
      <c r="LPB12" s="301"/>
      <c r="LPC12" s="301"/>
      <c r="LPD12" s="301"/>
      <c r="LPE12" s="301"/>
      <c r="LPF12" s="301"/>
      <c r="LPG12" s="301"/>
      <c r="LPH12" s="301"/>
      <c r="LPI12" s="312"/>
      <c r="LPJ12" s="301"/>
      <c r="LPK12" s="309"/>
      <c r="LPL12" s="301"/>
      <c r="LPM12" s="306"/>
      <c r="LPN12" s="301"/>
      <c r="LPO12" s="309"/>
      <c r="LPP12" s="301"/>
      <c r="LPQ12" s="309"/>
      <c r="LPR12" s="301"/>
      <c r="LPS12" s="301"/>
      <c r="LPT12" s="301"/>
      <c r="LPU12" s="301"/>
      <c r="LPV12" s="301"/>
      <c r="LPW12" s="301"/>
      <c r="LPX12" s="301"/>
      <c r="LPY12" s="301"/>
      <c r="LPZ12" s="312"/>
      <c r="LQA12" s="301"/>
      <c r="LQB12" s="309"/>
      <c r="LQC12" s="301"/>
      <c r="LQD12" s="306"/>
      <c r="LQE12" s="301"/>
      <c r="LQF12" s="309"/>
      <c r="LQG12" s="301"/>
      <c r="LQH12" s="309"/>
      <c r="LQI12" s="301"/>
      <c r="LQJ12" s="301"/>
      <c r="LQK12" s="301"/>
      <c r="LQL12" s="301"/>
      <c r="LQM12" s="301"/>
      <c r="LQN12" s="301"/>
      <c r="LQO12" s="301"/>
      <c r="LQP12" s="301"/>
      <c r="LQQ12" s="312"/>
      <c r="LQR12" s="301"/>
      <c r="LQS12" s="309"/>
      <c r="LQT12" s="301"/>
      <c r="LQU12" s="306"/>
      <c r="LQV12" s="301"/>
      <c r="LQW12" s="309"/>
      <c r="LQX12" s="301"/>
      <c r="LQY12" s="309"/>
      <c r="LQZ12" s="301"/>
      <c r="LRA12" s="301"/>
      <c r="LRB12" s="301"/>
      <c r="LRC12" s="301"/>
      <c r="LRD12" s="301"/>
      <c r="LRE12" s="301"/>
      <c r="LRF12" s="301"/>
      <c r="LRG12" s="301"/>
      <c r="LRH12" s="312"/>
      <c r="LRI12" s="301"/>
      <c r="LRJ12" s="309"/>
      <c r="LRK12" s="301"/>
      <c r="LRL12" s="306"/>
      <c r="LRM12" s="301"/>
      <c r="LRN12" s="309"/>
      <c r="LRO12" s="301"/>
      <c r="LRP12" s="309"/>
      <c r="LRQ12" s="301"/>
      <c r="LRR12" s="301"/>
      <c r="LRS12" s="301"/>
      <c r="LRT12" s="301"/>
      <c r="LRU12" s="301"/>
      <c r="LRV12" s="301"/>
      <c r="LRW12" s="301"/>
      <c r="LRX12" s="301"/>
      <c r="LRY12" s="312"/>
      <c r="LRZ12" s="301"/>
      <c r="LSA12" s="309"/>
      <c r="LSB12" s="301"/>
      <c r="LSC12" s="306"/>
      <c r="LSD12" s="301"/>
      <c r="LSE12" s="309"/>
      <c r="LSF12" s="301"/>
      <c r="LSG12" s="309"/>
      <c r="LSH12" s="301"/>
      <c r="LSI12" s="301"/>
      <c r="LSJ12" s="301"/>
      <c r="LSK12" s="301"/>
      <c r="LSL12" s="301"/>
      <c r="LSM12" s="301"/>
      <c r="LSN12" s="301"/>
      <c r="LSO12" s="301"/>
      <c r="LSP12" s="312"/>
      <c r="LSQ12" s="301"/>
      <c r="LSR12" s="309"/>
      <c r="LSS12" s="301"/>
      <c r="LST12" s="306"/>
      <c r="LSU12" s="301"/>
      <c r="LSV12" s="309"/>
      <c r="LSW12" s="301"/>
      <c r="LSX12" s="309"/>
      <c r="LSY12" s="301"/>
      <c r="LSZ12" s="301"/>
      <c r="LTA12" s="301"/>
      <c r="LTB12" s="301"/>
      <c r="LTC12" s="301"/>
      <c r="LTD12" s="301"/>
      <c r="LTE12" s="301"/>
      <c r="LTF12" s="301"/>
      <c r="LTG12" s="312"/>
      <c r="LTH12" s="301"/>
      <c r="LTI12" s="309"/>
      <c r="LTJ12" s="301"/>
      <c r="LTK12" s="306"/>
      <c r="LTL12" s="301"/>
      <c r="LTM12" s="309"/>
      <c r="LTN12" s="301"/>
      <c r="LTO12" s="309"/>
      <c r="LTP12" s="301"/>
      <c r="LTQ12" s="301"/>
      <c r="LTR12" s="301"/>
      <c r="LTS12" s="301"/>
      <c r="LTT12" s="301"/>
      <c r="LTU12" s="301"/>
      <c r="LTV12" s="301"/>
      <c r="LTW12" s="301"/>
      <c r="LTX12" s="312"/>
      <c r="LTY12" s="301"/>
      <c r="LTZ12" s="309"/>
      <c r="LUA12" s="301"/>
      <c r="LUB12" s="306"/>
      <c r="LUC12" s="301"/>
      <c r="LUD12" s="309"/>
      <c r="LUE12" s="301"/>
      <c r="LUF12" s="309"/>
      <c r="LUG12" s="301"/>
      <c r="LUH12" s="301"/>
      <c r="LUI12" s="301"/>
      <c r="LUJ12" s="301"/>
      <c r="LUK12" s="301"/>
      <c r="LUL12" s="301"/>
      <c r="LUM12" s="301"/>
      <c r="LUN12" s="301"/>
      <c r="LUO12" s="312"/>
      <c r="LUP12" s="301"/>
      <c r="LUQ12" s="309"/>
      <c r="LUR12" s="301"/>
      <c r="LUS12" s="306"/>
      <c r="LUT12" s="301"/>
      <c r="LUU12" s="309"/>
      <c r="LUV12" s="301"/>
      <c r="LUW12" s="309"/>
      <c r="LUX12" s="301"/>
      <c r="LUY12" s="301"/>
      <c r="LUZ12" s="301"/>
      <c r="LVA12" s="301"/>
      <c r="LVB12" s="301"/>
      <c r="LVC12" s="301"/>
      <c r="LVD12" s="301"/>
      <c r="LVE12" s="301"/>
      <c r="LVF12" s="312"/>
      <c r="LVG12" s="301"/>
      <c r="LVH12" s="309"/>
      <c r="LVI12" s="301"/>
      <c r="LVJ12" s="306"/>
      <c r="LVK12" s="301"/>
      <c r="LVL12" s="309"/>
      <c r="LVM12" s="301"/>
      <c r="LVN12" s="309"/>
      <c r="LVO12" s="301"/>
      <c r="LVP12" s="301"/>
      <c r="LVQ12" s="301"/>
      <c r="LVR12" s="301"/>
      <c r="LVS12" s="301"/>
      <c r="LVT12" s="301"/>
      <c r="LVU12" s="301"/>
      <c r="LVV12" s="301"/>
      <c r="LVW12" s="312"/>
      <c r="LVX12" s="301"/>
      <c r="LVY12" s="309"/>
      <c r="LVZ12" s="301"/>
      <c r="LWA12" s="306"/>
      <c r="LWB12" s="301"/>
      <c r="LWC12" s="309"/>
      <c r="LWD12" s="301"/>
      <c r="LWE12" s="309"/>
      <c r="LWF12" s="301"/>
      <c r="LWG12" s="301"/>
      <c r="LWH12" s="301"/>
      <c r="LWI12" s="301"/>
      <c r="LWJ12" s="301"/>
      <c r="LWK12" s="301"/>
      <c r="LWL12" s="301"/>
      <c r="LWM12" s="301"/>
      <c r="LWN12" s="312"/>
      <c r="LWO12" s="301"/>
      <c r="LWP12" s="309"/>
      <c r="LWQ12" s="301"/>
      <c r="LWR12" s="306"/>
      <c r="LWS12" s="301"/>
      <c r="LWT12" s="309"/>
      <c r="LWU12" s="301"/>
      <c r="LWV12" s="309"/>
      <c r="LWW12" s="301"/>
      <c r="LWX12" s="301"/>
      <c r="LWY12" s="301"/>
      <c r="LWZ12" s="301"/>
      <c r="LXA12" s="301"/>
      <c r="LXB12" s="301"/>
      <c r="LXC12" s="301"/>
      <c r="LXD12" s="301"/>
      <c r="LXE12" s="312"/>
      <c r="LXF12" s="301"/>
      <c r="LXG12" s="309"/>
      <c r="LXH12" s="301"/>
      <c r="LXI12" s="306"/>
      <c r="LXJ12" s="301"/>
      <c r="LXK12" s="309"/>
      <c r="LXL12" s="301"/>
      <c r="LXM12" s="309"/>
      <c r="LXN12" s="301"/>
      <c r="LXO12" s="301"/>
      <c r="LXP12" s="301"/>
      <c r="LXQ12" s="301"/>
      <c r="LXR12" s="301"/>
      <c r="LXS12" s="301"/>
      <c r="LXT12" s="301"/>
      <c r="LXU12" s="301"/>
      <c r="LXV12" s="312"/>
      <c r="LXW12" s="301"/>
      <c r="LXX12" s="309"/>
      <c r="LXY12" s="301"/>
      <c r="LXZ12" s="306"/>
      <c r="LYA12" s="301"/>
      <c r="LYB12" s="309"/>
      <c r="LYC12" s="301"/>
      <c r="LYD12" s="309"/>
      <c r="LYE12" s="301"/>
      <c r="LYF12" s="301"/>
      <c r="LYG12" s="301"/>
      <c r="LYH12" s="301"/>
      <c r="LYI12" s="301"/>
      <c r="LYJ12" s="301"/>
      <c r="LYK12" s="301"/>
      <c r="LYL12" s="301"/>
      <c r="LYM12" s="312"/>
      <c r="LYN12" s="301"/>
      <c r="LYO12" s="309"/>
      <c r="LYP12" s="301"/>
      <c r="LYQ12" s="306"/>
      <c r="LYR12" s="301"/>
      <c r="LYS12" s="309"/>
      <c r="LYT12" s="301"/>
      <c r="LYU12" s="309"/>
      <c r="LYV12" s="301"/>
      <c r="LYW12" s="301"/>
      <c r="LYX12" s="301"/>
      <c r="LYY12" s="301"/>
      <c r="LYZ12" s="301"/>
      <c r="LZA12" s="301"/>
      <c r="LZB12" s="301"/>
      <c r="LZC12" s="301"/>
      <c r="LZD12" s="312"/>
      <c r="LZE12" s="301"/>
      <c r="LZF12" s="309"/>
      <c r="LZG12" s="301"/>
      <c r="LZH12" s="306"/>
      <c r="LZI12" s="301"/>
      <c r="LZJ12" s="309"/>
      <c r="LZK12" s="301"/>
      <c r="LZL12" s="309"/>
      <c r="LZM12" s="301"/>
      <c r="LZN12" s="301"/>
      <c r="LZO12" s="301"/>
      <c r="LZP12" s="301"/>
      <c r="LZQ12" s="301"/>
      <c r="LZR12" s="301"/>
      <c r="LZS12" s="301"/>
      <c r="LZT12" s="301"/>
      <c r="LZU12" s="312"/>
      <c r="LZV12" s="301"/>
      <c r="LZW12" s="309"/>
      <c r="LZX12" s="301"/>
      <c r="LZY12" s="306"/>
      <c r="LZZ12" s="301"/>
      <c r="MAA12" s="309"/>
      <c r="MAB12" s="301"/>
      <c r="MAC12" s="309"/>
      <c r="MAD12" s="301"/>
      <c r="MAE12" s="301"/>
      <c r="MAF12" s="301"/>
      <c r="MAG12" s="301"/>
      <c r="MAH12" s="301"/>
      <c r="MAI12" s="301"/>
      <c r="MAJ12" s="301"/>
      <c r="MAK12" s="301"/>
      <c r="MAL12" s="312"/>
      <c r="MAM12" s="301"/>
      <c r="MAN12" s="309"/>
      <c r="MAO12" s="301"/>
      <c r="MAP12" s="306"/>
      <c r="MAQ12" s="301"/>
      <c r="MAR12" s="309"/>
      <c r="MAS12" s="301"/>
      <c r="MAT12" s="309"/>
      <c r="MAU12" s="301"/>
      <c r="MAV12" s="301"/>
      <c r="MAW12" s="301"/>
      <c r="MAX12" s="301"/>
      <c r="MAY12" s="301"/>
      <c r="MAZ12" s="301"/>
      <c r="MBA12" s="301"/>
      <c r="MBB12" s="301"/>
      <c r="MBC12" s="312"/>
      <c r="MBD12" s="301"/>
      <c r="MBE12" s="309"/>
      <c r="MBF12" s="301"/>
      <c r="MBG12" s="306"/>
      <c r="MBH12" s="301"/>
      <c r="MBI12" s="309"/>
      <c r="MBJ12" s="301"/>
      <c r="MBK12" s="309"/>
      <c r="MBL12" s="301"/>
      <c r="MBM12" s="301"/>
      <c r="MBN12" s="301"/>
      <c r="MBO12" s="301"/>
      <c r="MBP12" s="301"/>
      <c r="MBQ12" s="301"/>
      <c r="MBR12" s="301"/>
      <c r="MBS12" s="301"/>
      <c r="MBT12" s="312"/>
      <c r="MBU12" s="301"/>
      <c r="MBV12" s="309"/>
      <c r="MBW12" s="301"/>
      <c r="MBX12" s="306"/>
      <c r="MBY12" s="301"/>
      <c r="MBZ12" s="309"/>
      <c r="MCA12" s="301"/>
      <c r="MCB12" s="309"/>
      <c r="MCC12" s="301"/>
      <c r="MCD12" s="301"/>
      <c r="MCE12" s="301"/>
      <c r="MCF12" s="301"/>
      <c r="MCG12" s="301"/>
      <c r="MCH12" s="301"/>
      <c r="MCI12" s="301"/>
      <c r="MCJ12" s="301"/>
      <c r="MCK12" s="312"/>
      <c r="MCL12" s="301"/>
      <c r="MCM12" s="309"/>
      <c r="MCN12" s="301"/>
      <c r="MCO12" s="306"/>
      <c r="MCP12" s="301"/>
      <c r="MCQ12" s="309"/>
      <c r="MCR12" s="301"/>
      <c r="MCS12" s="309"/>
      <c r="MCT12" s="301"/>
      <c r="MCU12" s="301"/>
      <c r="MCV12" s="301"/>
      <c r="MCW12" s="301"/>
      <c r="MCX12" s="301"/>
      <c r="MCY12" s="301"/>
      <c r="MCZ12" s="301"/>
      <c r="MDA12" s="301"/>
      <c r="MDB12" s="312"/>
      <c r="MDC12" s="301"/>
      <c r="MDD12" s="309"/>
      <c r="MDE12" s="301"/>
      <c r="MDF12" s="306"/>
      <c r="MDG12" s="301"/>
      <c r="MDH12" s="309"/>
      <c r="MDI12" s="301"/>
      <c r="MDJ12" s="309"/>
      <c r="MDK12" s="301"/>
      <c r="MDL12" s="301"/>
      <c r="MDM12" s="301"/>
      <c r="MDN12" s="301"/>
      <c r="MDO12" s="301"/>
      <c r="MDP12" s="301"/>
      <c r="MDQ12" s="301"/>
      <c r="MDR12" s="301"/>
      <c r="MDS12" s="312"/>
      <c r="MDT12" s="301"/>
      <c r="MDU12" s="309"/>
      <c r="MDV12" s="301"/>
      <c r="MDW12" s="306"/>
      <c r="MDX12" s="301"/>
      <c r="MDY12" s="309"/>
      <c r="MDZ12" s="301"/>
      <c r="MEA12" s="309"/>
      <c r="MEB12" s="301"/>
      <c r="MEC12" s="301"/>
      <c r="MED12" s="301"/>
      <c r="MEE12" s="301"/>
      <c r="MEF12" s="301"/>
      <c r="MEG12" s="301"/>
      <c r="MEH12" s="301"/>
      <c r="MEI12" s="301"/>
      <c r="MEJ12" s="312"/>
      <c r="MEK12" s="301"/>
      <c r="MEL12" s="309"/>
      <c r="MEM12" s="301"/>
      <c r="MEN12" s="306"/>
      <c r="MEO12" s="301"/>
      <c r="MEP12" s="309"/>
      <c r="MEQ12" s="301"/>
      <c r="MER12" s="309"/>
      <c r="MES12" s="301"/>
      <c r="MET12" s="301"/>
      <c r="MEU12" s="301"/>
      <c r="MEV12" s="301"/>
      <c r="MEW12" s="301"/>
      <c r="MEX12" s="301"/>
      <c r="MEY12" s="301"/>
      <c r="MEZ12" s="301"/>
      <c r="MFA12" s="312"/>
      <c r="MFB12" s="301"/>
      <c r="MFC12" s="309"/>
      <c r="MFD12" s="301"/>
      <c r="MFE12" s="306"/>
      <c r="MFF12" s="301"/>
      <c r="MFG12" s="309"/>
      <c r="MFH12" s="301"/>
      <c r="MFI12" s="309"/>
      <c r="MFJ12" s="301"/>
      <c r="MFK12" s="301"/>
      <c r="MFL12" s="301"/>
      <c r="MFM12" s="301"/>
      <c r="MFN12" s="301"/>
      <c r="MFO12" s="301"/>
      <c r="MFP12" s="301"/>
      <c r="MFQ12" s="301"/>
      <c r="MFR12" s="312"/>
      <c r="MFS12" s="301"/>
      <c r="MFT12" s="309"/>
      <c r="MFU12" s="301"/>
      <c r="MFV12" s="306"/>
      <c r="MFW12" s="301"/>
      <c r="MFX12" s="309"/>
      <c r="MFY12" s="301"/>
      <c r="MFZ12" s="309"/>
      <c r="MGA12" s="301"/>
      <c r="MGB12" s="301"/>
      <c r="MGC12" s="301"/>
      <c r="MGD12" s="301"/>
      <c r="MGE12" s="301"/>
      <c r="MGF12" s="301"/>
      <c r="MGG12" s="301"/>
      <c r="MGH12" s="301"/>
      <c r="MGI12" s="312"/>
      <c r="MGJ12" s="301"/>
      <c r="MGK12" s="309"/>
      <c r="MGL12" s="301"/>
      <c r="MGM12" s="306"/>
      <c r="MGN12" s="301"/>
      <c r="MGO12" s="309"/>
      <c r="MGP12" s="301"/>
      <c r="MGQ12" s="309"/>
      <c r="MGR12" s="301"/>
      <c r="MGS12" s="301"/>
      <c r="MGT12" s="301"/>
      <c r="MGU12" s="301"/>
      <c r="MGV12" s="301"/>
      <c r="MGW12" s="301"/>
      <c r="MGX12" s="301"/>
      <c r="MGY12" s="301"/>
      <c r="MGZ12" s="312"/>
      <c r="MHA12" s="301"/>
      <c r="MHB12" s="309"/>
      <c r="MHC12" s="301"/>
      <c r="MHD12" s="306"/>
      <c r="MHE12" s="301"/>
      <c r="MHF12" s="309"/>
      <c r="MHG12" s="301"/>
      <c r="MHH12" s="309"/>
      <c r="MHI12" s="301"/>
      <c r="MHJ12" s="301"/>
      <c r="MHK12" s="301"/>
      <c r="MHL12" s="301"/>
      <c r="MHM12" s="301"/>
      <c r="MHN12" s="301"/>
      <c r="MHO12" s="301"/>
      <c r="MHP12" s="301"/>
      <c r="MHQ12" s="312"/>
      <c r="MHR12" s="301"/>
      <c r="MHS12" s="309"/>
      <c r="MHT12" s="301"/>
      <c r="MHU12" s="306"/>
      <c r="MHV12" s="301"/>
      <c r="MHW12" s="309"/>
      <c r="MHX12" s="301"/>
      <c r="MHY12" s="309"/>
      <c r="MHZ12" s="301"/>
      <c r="MIA12" s="301"/>
      <c r="MIB12" s="301"/>
      <c r="MIC12" s="301"/>
      <c r="MID12" s="301"/>
      <c r="MIE12" s="301"/>
      <c r="MIF12" s="301"/>
      <c r="MIG12" s="301"/>
      <c r="MIH12" s="312"/>
      <c r="MII12" s="301"/>
      <c r="MIJ12" s="309"/>
      <c r="MIK12" s="301"/>
      <c r="MIL12" s="306"/>
      <c r="MIM12" s="301"/>
      <c r="MIN12" s="309"/>
      <c r="MIO12" s="301"/>
      <c r="MIP12" s="309"/>
      <c r="MIQ12" s="301"/>
      <c r="MIR12" s="301"/>
      <c r="MIS12" s="301"/>
      <c r="MIT12" s="301"/>
      <c r="MIU12" s="301"/>
      <c r="MIV12" s="301"/>
      <c r="MIW12" s="301"/>
      <c r="MIX12" s="301"/>
      <c r="MIY12" s="312"/>
      <c r="MIZ12" s="301"/>
      <c r="MJA12" s="309"/>
      <c r="MJB12" s="301"/>
      <c r="MJC12" s="306"/>
      <c r="MJD12" s="301"/>
      <c r="MJE12" s="309"/>
      <c r="MJF12" s="301"/>
      <c r="MJG12" s="309"/>
      <c r="MJH12" s="301"/>
      <c r="MJI12" s="301"/>
      <c r="MJJ12" s="301"/>
      <c r="MJK12" s="301"/>
      <c r="MJL12" s="301"/>
      <c r="MJM12" s="301"/>
      <c r="MJN12" s="301"/>
      <c r="MJO12" s="301"/>
      <c r="MJP12" s="312"/>
      <c r="MJQ12" s="301"/>
      <c r="MJR12" s="309"/>
      <c r="MJS12" s="301"/>
      <c r="MJT12" s="306"/>
      <c r="MJU12" s="301"/>
      <c r="MJV12" s="309"/>
      <c r="MJW12" s="301"/>
      <c r="MJX12" s="309"/>
      <c r="MJY12" s="301"/>
      <c r="MJZ12" s="301"/>
      <c r="MKA12" s="301"/>
      <c r="MKB12" s="301"/>
      <c r="MKC12" s="301"/>
      <c r="MKD12" s="301"/>
      <c r="MKE12" s="301"/>
      <c r="MKF12" s="301"/>
      <c r="MKG12" s="312"/>
      <c r="MKH12" s="301"/>
      <c r="MKI12" s="309"/>
      <c r="MKJ12" s="301"/>
      <c r="MKK12" s="306"/>
      <c r="MKL12" s="301"/>
      <c r="MKM12" s="309"/>
      <c r="MKN12" s="301"/>
      <c r="MKO12" s="309"/>
      <c r="MKP12" s="301"/>
      <c r="MKQ12" s="301"/>
      <c r="MKR12" s="301"/>
      <c r="MKS12" s="301"/>
      <c r="MKT12" s="301"/>
      <c r="MKU12" s="301"/>
      <c r="MKV12" s="301"/>
      <c r="MKW12" s="301"/>
      <c r="MKX12" s="312"/>
      <c r="MKY12" s="301"/>
      <c r="MKZ12" s="309"/>
      <c r="MLA12" s="301"/>
      <c r="MLB12" s="306"/>
      <c r="MLC12" s="301"/>
      <c r="MLD12" s="309"/>
      <c r="MLE12" s="301"/>
      <c r="MLF12" s="309"/>
      <c r="MLG12" s="301"/>
      <c r="MLH12" s="301"/>
      <c r="MLI12" s="301"/>
      <c r="MLJ12" s="301"/>
      <c r="MLK12" s="301"/>
      <c r="MLL12" s="301"/>
      <c r="MLM12" s="301"/>
      <c r="MLN12" s="301"/>
      <c r="MLO12" s="312"/>
      <c r="MLP12" s="301"/>
      <c r="MLQ12" s="309"/>
      <c r="MLR12" s="301"/>
      <c r="MLS12" s="306"/>
      <c r="MLT12" s="301"/>
      <c r="MLU12" s="309"/>
      <c r="MLV12" s="301"/>
      <c r="MLW12" s="309"/>
      <c r="MLX12" s="301"/>
      <c r="MLY12" s="301"/>
      <c r="MLZ12" s="301"/>
      <c r="MMA12" s="301"/>
      <c r="MMB12" s="301"/>
      <c r="MMC12" s="301"/>
      <c r="MMD12" s="301"/>
      <c r="MME12" s="301"/>
      <c r="MMF12" s="312"/>
      <c r="MMG12" s="301"/>
      <c r="MMH12" s="309"/>
      <c r="MMI12" s="301"/>
      <c r="MMJ12" s="306"/>
      <c r="MMK12" s="301"/>
      <c r="MML12" s="309"/>
      <c r="MMM12" s="301"/>
      <c r="MMN12" s="309"/>
      <c r="MMO12" s="301"/>
      <c r="MMP12" s="301"/>
      <c r="MMQ12" s="301"/>
      <c r="MMR12" s="301"/>
      <c r="MMS12" s="301"/>
      <c r="MMT12" s="301"/>
      <c r="MMU12" s="301"/>
      <c r="MMV12" s="301"/>
      <c r="MMW12" s="312"/>
      <c r="MMX12" s="301"/>
      <c r="MMY12" s="309"/>
      <c r="MMZ12" s="301"/>
      <c r="MNA12" s="306"/>
      <c r="MNB12" s="301"/>
      <c r="MNC12" s="309"/>
      <c r="MND12" s="301"/>
      <c r="MNE12" s="309"/>
      <c r="MNF12" s="301"/>
      <c r="MNG12" s="301"/>
      <c r="MNH12" s="301"/>
      <c r="MNI12" s="301"/>
      <c r="MNJ12" s="301"/>
      <c r="MNK12" s="301"/>
      <c r="MNL12" s="301"/>
      <c r="MNM12" s="301"/>
      <c r="MNN12" s="312"/>
      <c r="MNO12" s="301"/>
      <c r="MNP12" s="309"/>
      <c r="MNQ12" s="301"/>
      <c r="MNR12" s="306"/>
      <c r="MNS12" s="301"/>
      <c r="MNT12" s="309"/>
      <c r="MNU12" s="301"/>
      <c r="MNV12" s="309"/>
      <c r="MNW12" s="301"/>
      <c r="MNX12" s="301"/>
      <c r="MNY12" s="301"/>
      <c r="MNZ12" s="301"/>
      <c r="MOA12" s="301"/>
      <c r="MOB12" s="301"/>
      <c r="MOC12" s="301"/>
      <c r="MOD12" s="301"/>
      <c r="MOE12" s="312"/>
      <c r="MOF12" s="301"/>
      <c r="MOG12" s="309"/>
      <c r="MOH12" s="301"/>
      <c r="MOI12" s="306"/>
      <c r="MOJ12" s="301"/>
      <c r="MOK12" s="309"/>
      <c r="MOL12" s="301"/>
      <c r="MOM12" s="309"/>
      <c r="MON12" s="301"/>
      <c r="MOO12" s="301"/>
      <c r="MOP12" s="301"/>
      <c r="MOQ12" s="301"/>
      <c r="MOR12" s="301"/>
      <c r="MOS12" s="301"/>
      <c r="MOT12" s="301"/>
      <c r="MOU12" s="301"/>
      <c r="MOV12" s="312"/>
      <c r="MOW12" s="301"/>
      <c r="MOX12" s="309"/>
      <c r="MOY12" s="301"/>
      <c r="MOZ12" s="306"/>
      <c r="MPA12" s="301"/>
      <c r="MPB12" s="309"/>
      <c r="MPC12" s="301"/>
      <c r="MPD12" s="309"/>
      <c r="MPE12" s="301"/>
      <c r="MPF12" s="301"/>
      <c r="MPG12" s="301"/>
      <c r="MPH12" s="301"/>
      <c r="MPI12" s="301"/>
      <c r="MPJ12" s="301"/>
      <c r="MPK12" s="301"/>
      <c r="MPL12" s="301"/>
      <c r="MPM12" s="312"/>
      <c r="MPN12" s="301"/>
      <c r="MPO12" s="309"/>
      <c r="MPP12" s="301"/>
      <c r="MPQ12" s="306"/>
      <c r="MPR12" s="301"/>
      <c r="MPS12" s="309"/>
      <c r="MPT12" s="301"/>
      <c r="MPU12" s="309"/>
      <c r="MPV12" s="301"/>
      <c r="MPW12" s="301"/>
      <c r="MPX12" s="301"/>
      <c r="MPY12" s="301"/>
      <c r="MPZ12" s="301"/>
      <c r="MQA12" s="301"/>
      <c r="MQB12" s="301"/>
      <c r="MQC12" s="301"/>
      <c r="MQD12" s="312"/>
      <c r="MQE12" s="301"/>
      <c r="MQF12" s="309"/>
      <c r="MQG12" s="301"/>
      <c r="MQH12" s="306"/>
      <c r="MQI12" s="301"/>
      <c r="MQJ12" s="309"/>
      <c r="MQK12" s="301"/>
      <c r="MQL12" s="309"/>
      <c r="MQM12" s="301"/>
      <c r="MQN12" s="301"/>
      <c r="MQO12" s="301"/>
      <c r="MQP12" s="301"/>
      <c r="MQQ12" s="301"/>
      <c r="MQR12" s="301"/>
      <c r="MQS12" s="301"/>
      <c r="MQT12" s="301"/>
      <c r="MQU12" s="312"/>
      <c r="MQV12" s="301"/>
      <c r="MQW12" s="309"/>
      <c r="MQX12" s="301"/>
      <c r="MQY12" s="306"/>
      <c r="MQZ12" s="301"/>
      <c r="MRA12" s="309"/>
      <c r="MRB12" s="301"/>
      <c r="MRC12" s="309"/>
      <c r="MRD12" s="301"/>
      <c r="MRE12" s="301"/>
      <c r="MRF12" s="301"/>
      <c r="MRG12" s="301"/>
      <c r="MRH12" s="301"/>
      <c r="MRI12" s="301"/>
      <c r="MRJ12" s="301"/>
      <c r="MRK12" s="301"/>
      <c r="MRL12" s="312"/>
      <c r="MRM12" s="301"/>
      <c r="MRN12" s="309"/>
      <c r="MRO12" s="301"/>
      <c r="MRP12" s="306"/>
      <c r="MRQ12" s="301"/>
      <c r="MRR12" s="309"/>
      <c r="MRS12" s="301"/>
      <c r="MRT12" s="309"/>
      <c r="MRU12" s="301"/>
      <c r="MRV12" s="301"/>
      <c r="MRW12" s="301"/>
      <c r="MRX12" s="301"/>
      <c r="MRY12" s="301"/>
      <c r="MRZ12" s="301"/>
      <c r="MSA12" s="301"/>
      <c r="MSB12" s="301"/>
      <c r="MSC12" s="312"/>
      <c r="MSD12" s="301"/>
      <c r="MSE12" s="309"/>
      <c r="MSF12" s="301"/>
      <c r="MSG12" s="306"/>
      <c r="MSH12" s="301"/>
      <c r="MSI12" s="309"/>
      <c r="MSJ12" s="301"/>
      <c r="MSK12" s="309"/>
      <c r="MSL12" s="301"/>
      <c r="MSM12" s="301"/>
      <c r="MSN12" s="301"/>
      <c r="MSO12" s="301"/>
      <c r="MSP12" s="301"/>
      <c r="MSQ12" s="301"/>
      <c r="MSR12" s="301"/>
      <c r="MSS12" s="301"/>
      <c r="MST12" s="312"/>
      <c r="MSU12" s="301"/>
      <c r="MSV12" s="309"/>
      <c r="MSW12" s="301"/>
      <c r="MSX12" s="306"/>
      <c r="MSY12" s="301"/>
      <c r="MSZ12" s="309"/>
      <c r="MTA12" s="301"/>
      <c r="MTB12" s="309"/>
      <c r="MTC12" s="301"/>
      <c r="MTD12" s="301"/>
      <c r="MTE12" s="301"/>
      <c r="MTF12" s="301"/>
      <c r="MTG12" s="301"/>
      <c r="MTH12" s="301"/>
      <c r="MTI12" s="301"/>
      <c r="MTJ12" s="301"/>
      <c r="MTK12" s="312"/>
      <c r="MTL12" s="301"/>
      <c r="MTM12" s="309"/>
      <c r="MTN12" s="301"/>
      <c r="MTO12" s="306"/>
      <c r="MTP12" s="301"/>
      <c r="MTQ12" s="309"/>
      <c r="MTR12" s="301"/>
      <c r="MTS12" s="309"/>
      <c r="MTT12" s="301"/>
      <c r="MTU12" s="301"/>
      <c r="MTV12" s="301"/>
      <c r="MTW12" s="301"/>
      <c r="MTX12" s="301"/>
      <c r="MTY12" s="301"/>
      <c r="MTZ12" s="301"/>
      <c r="MUA12" s="301"/>
      <c r="MUB12" s="312"/>
      <c r="MUC12" s="301"/>
      <c r="MUD12" s="309"/>
      <c r="MUE12" s="301"/>
      <c r="MUF12" s="306"/>
      <c r="MUG12" s="301"/>
      <c r="MUH12" s="309"/>
      <c r="MUI12" s="301"/>
      <c r="MUJ12" s="309"/>
      <c r="MUK12" s="301"/>
      <c r="MUL12" s="301"/>
      <c r="MUM12" s="301"/>
      <c r="MUN12" s="301"/>
      <c r="MUO12" s="301"/>
      <c r="MUP12" s="301"/>
      <c r="MUQ12" s="301"/>
      <c r="MUR12" s="301"/>
      <c r="MUS12" s="312"/>
      <c r="MUT12" s="301"/>
      <c r="MUU12" s="309"/>
      <c r="MUV12" s="301"/>
      <c r="MUW12" s="306"/>
      <c r="MUX12" s="301"/>
      <c r="MUY12" s="309"/>
      <c r="MUZ12" s="301"/>
      <c r="MVA12" s="309"/>
      <c r="MVB12" s="301"/>
      <c r="MVC12" s="301"/>
      <c r="MVD12" s="301"/>
      <c r="MVE12" s="301"/>
      <c r="MVF12" s="301"/>
      <c r="MVG12" s="301"/>
      <c r="MVH12" s="301"/>
      <c r="MVI12" s="301"/>
      <c r="MVJ12" s="312"/>
      <c r="MVK12" s="301"/>
      <c r="MVL12" s="309"/>
      <c r="MVM12" s="301"/>
      <c r="MVN12" s="306"/>
      <c r="MVO12" s="301"/>
      <c r="MVP12" s="309"/>
      <c r="MVQ12" s="301"/>
      <c r="MVR12" s="309"/>
      <c r="MVS12" s="301"/>
      <c r="MVT12" s="301"/>
      <c r="MVU12" s="301"/>
      <c r="MVV12" s="301"/>
      <c r="MVW12" s="301"/>
      <c r="MVX12" s="301"/>
      <c r="MVY12" s="301"/>
      <c r="MVZ12" s="301"/>
      <c r="MWA12" s="312"/>
      <c r="MWB12" s="301"/>
      <c r="MWC12" s="309"/>
      <c r="MWD12" s="301"/>
      <c r="MWE12" s="306"/>
      <c r="MWF12" s="301"/>
      <c r="MWG12" s="309"/>
      <c r="MWH12" s="301"/>
      <c r="MWI12" s="309"/>
      <c r="MWJ12" s="301"/>
      <c r="MWK12" s="301"/>
      <c r="MWL12" s="301"/>
      <c r="MWM12" s="301"/>
      <c r="MWN12" s="301"/>
      <c r="MWO12" s="301"/>
      <c r="MWP12" s="301"/>
      <c r="MWQ12" s="301"/>
      <c r="MWR12" s="312"/>
      <c r="MWS12" s="301"/>
      <c r="MWT12" s="309"/>
      <c r="MWU12" s="301"/>
      <c r="MWV12" s="306"/>
      <c r="MWW12" s="301"/>
      <c r="MWX12" s="309"/>
      <c r="MWY12" s="301"/>
      <c r="MWZ12" s="309"/>
      <c r="MXA12" s="301"/>
      <c r="MXB12" s="301"/>
      <c r="MXC12" s="301"/>
      <c r="MXD12" s="301"/>
      <c r="MXE12" s="301"/>
      <c r="MXF12" s="301"/>
      <c r="MXG12" s="301"/>
      <c r="MXH12" s="301"/>
      <c r="MXI12" s="312"/>
      <c r="MXJ12" s="301"/>
      <c r="MXK12" s="309"/>
      <c r="MXL12" s="301"/>
      <c r="MXM12" s="306"/>
      <c r="MXN12" s="301"/>
      <c r="MXO12" s="309"/>
      <c r="MXP12" s="301"/>
      <c r="MXQ12" s="309"/>
      <c r="MXR12" s="301"/>
      <c r="MXS12" s="301"/>
      <c r="MXT12" s="301"/>
      <c r="MXU12" s="301"/>
      <c r="MXV12" s="301"/>
      <c r="MXW12" s="301"/>
      <c r="MXX12" s="301"/>
      <c r="MXY12" s="301"/>
      <c r="MXZ12" s="312"/>
      <c r="MYA12" s="301"/>
      <c r="MYB12" s="309"/>
      <c r="MYC12" s="301"/>
      <c r="MYD12" s="306"/>
      <c r="MYE12" s="301"/>
      <c r="MYF12" s="309"/>
      <c r="MYG12" s="301"/>
      <c r="MYH12" s="309"/>
      <c r="MYI12" s="301"/>
      <c r="MYJ12" s="301"/>
      <c r="MYK12" s="301"/>
      <c r="MYL12" s="301"/>
      <c r="MYM12" s="301"/>
      <c r="MYN12" s="301"/>
      <c r="MYO12" s="301"/>
      <c r="MYP12" s="301"/>
      <c r="MYQ12" s="312"/>
      <c r="MYR12" s="301"/>
      <c r="MYS12" s="309"/>
      <c r="MYT12" s="301"/>
      <c r="MYU12" s="306"/>
      <c r="MYV12" s="301"/>
      <c r="MYW12" s="309"/>
      <c r="MYX12" s="301"/>
      <c r="MYY12" s="309"/>
      <c r="MYZ12" s="301"/>
      <c r="MZA12" s="301"/>
      <c r="MZB12" s="301"/>
      <c r="MZC12" s="301"/>
      <c r="MZD12" s="301"/>
      <c r="MZE12" s="301"/>
      <c r="MZF12" s="301"/>
      <c r="MZG12" s="301"/>
      <c r="MZH12" s="312"/>
      <c r="MZI12" s="301"/>
      <c r="MZJ12" s="309"/>
      <c r="MZK12" s="301"/>
      <c r="MZL12" s="306"/>
      <c r="MZM12" s="301"/>
      <c r="MZN12" s="309"/>
      <c r="MZO12" s="301"/>
      <c r="MZP12" s="309"/>
      <c r="MZQ12" s="301"/>
      <c r="MZR12" s="301"/>
      <c r="MZS12" s="301"/>
      <c r="MZT12" s="301"/>
      <c r="MZU12" s="301"/>
      <c r="MZV12" s="301"/>
      <c r="MZW12" s="301"/>
      <c r="MZX12" s="301"/>
      <c r="MZY12" s="312"/>
      <c r="MZZ12" s="301"/>
      <c r="NAA12" s="309"/>
      <c r="NAB12" s="301"/>
      <c r="NAC12" s="306"/>
      <c r="NAD12" s="301"/>
      <c r="NAE12" s="309"/>
      <c r="NAF12" s="301"/>
      <c r="NAG12" s="309"/>
      <c r="NAH12" s="301"/>
      <c r="NAI12" s="301"/>
      <c r="NAJ12" s="301"/>
      <c r="NAK12" s="301"/>
      <c r="NAL12" s="301"/>
      <c r="NAM12" s="301"/>
      <c r="NAN12" s="301"/>
      <c r="NAO12" s="301"/>
      <c r="NAP12" s="312"/>
      <c r="NAQ12" s="301"/>
      <c r="NAR12" s="309"/>
      <c r="NAS12" s="301"/>
      <c r="NAT12" s="306"/>
      <c r="NAU12" s="301"/>
      <c r="NAV12" s="309"/>
      <c r="NAW12" s="301"/>
      <c r="NAX12" s="309"/>
      <c r="NAY12" s="301"/>
      <c r="NAZ12" s="301"/>
      <c r="NBA12" s="301"/>
      <c r="NBB12" s="301"/>
      <c r="NBC12" s="301"/>
      <c r="NBD12" s="301"/>
      <c r="NBE12" s="301"/>
      <c r="NBF12" s="301"/>
      <c r="NBG12" s="312"/>
      <c r="NBH12" s="301"/>
      <c r="NBI12" s="309"/>
      <c r="NBJ12" s="301"/>
      <c r="NBK12" s="306"/>
      <c r="NBL12" s="301"/>
      <c r="NBM12" s="309"/>
      <c r="NBN12" s="301"/>
      <c r="NBO12" s="309"/>
      <c r="NBP12" s="301"/>
      <c r="NBQ12" s="301"/>
      <c r="NBR12" s="301"/>
      <c r="NBS12" s="301"/>
      <c r="NBT12" s="301"/>
      <c r="NBU12" s="301"/>
      <c r="NBV12" s="301"/>
      <c r="NBW12" s="301"/>
      <c r="NBX12" s="312"/>
      <c r="NBY12" s="301"/>
      <c r="NBZ12" s="309"/>
      <c r="NCA12" s="301"/>
      <c r="NCB12" s="306"/>
      <c r="NCC12" s="301"/>
      <c r="NCD12" s="309"/>
      <c r="NCE12" s="301"/>
      <c r="NCF12" s="309"/>
      <c r="NCG12" s="301"/>
      <c r="NCH12" s="301"/>
      <c r="NCI12" s="301"/>
      <c r="NCJ12" s="301"/>
      <c r="NCK12" s="301"/>
      <c r="NCL12" s="301"/>
      <c r="NCM12" s="301"/>
      <c r="NCN12" s="301"/>
      <c r="NCO12" s="312"/>
      <c r="NCP12" s="301"/>
      <c r="NCQ12" s="309"/>
      <c r="NCR12" s="301"/>
      <c r="NCS12" s="306"/>
      <c r="NCT12" s="301"/>
      <c r="NCU12" s="309"/>
      <c r="NCV12" s="301"/>
      <c r="NCW12" s="309"/>
      <c r="NCX12" s="301"/>
      <c r="NCY12" s="301"/>
      <c r="NCZ12" s="301"/>
      <c r="NDA12" s="301"/>
      <c r="NDB12" s="301"/>
      <c r="NDC12" s="301"/>
      <c r="NDD12" s="301"/>
      <c r="NDE12" s="301"/>
      <c r="NDF12" s="312"/>
      <c r="NDG12" s="301"/>
      <c r="NDH12" s="309"/>
      <c r="NDI12" s="301"/>
      <c r="NDJ12" s="306"/>
      <c r="NDK12" s="301"/>
      <c r="NDL12" s="309"/>
      <c r="NDM12" s="301"/>
      <c r="NDN12" s="309"/>
      <c r="NDO12" s="301"/>
      <c r="NDP12" s="301"/>
      <c r="NDQ12" s="301"/>
      <c r="NDR12" s="301"/>
      <c r="NDS12" s="301"/>
      <c r="NDT12" s="301"/>
      <c r="NDU12" s="301"/>
      <c r="NDV12" s="301"/>
      <c r="NDW12" s="312"/>
      <c r="NDX12" s="301"/>
      <c r="NDY12" s="309"/>
      <c r="NDZ12" s="301"/>
      <c r="NEA12" s="306"/>
      <c r="NEB12" s="301"/>
      <c r="NEC12" s="309"/>
      <c r="NED12" s="301"/>
      <c r="NEE12" s="309"/>
      <c r="NEF12" s="301"/>
      <c r="NEG12" s="301"/>
      <c r="NEH12" s="301"/>
      <c r="NEI12" s="301"/>
      <c r="NEJ12" s="301"/>
      <c r="NEK12" s="301"/>
      <c r="NEL12" s="301"/>
      <c r="NEM12" s="301"/>
      <c r="NEN12" s="312"/>
      <c r="NEO12" s="301"/>
      <c r="NEP12" s="309"/>
      <c r="NEQ12" s="301"/>
      <c r="NER12" s="306"/>
      <c r="NES12" s="301"/>
      <c r="NET12" s="309"/>
      <c r="NEU12" s="301"/>
      <c r="NEV12" s="309"/>
      <c r="NEW12" s="301"/>
      <c r="NEX12" s="301"/>
      <c r="NEY12" s="301"/>
      <c r="NEZ12" s="301"/>
      <c r="NFA12" s="301"/>
      <c r="NFB12" s="301"/>
      <c r="NFC12" s="301"/>
      <c r="NFD12" s="301"/>
      <c r="NFE12" s="312"/>
      <c r="NFF12" s="301"/>
      <c r="NFG12" s="309"/>
      <c r="NFH12" s="301"/>
      <c r="NFI12" s="306"/>
      <c r="NFJ12" s="301"/>
      <c r="NFK12" s="309"/>
      <c r="NFL12" s="301"/>
      <c r="NFM12" s="309"/>
      <c r="NFN12" s="301"/>
      <c r="NFO12" s="301"/>
      <c r="NFP12" s="301"/>
      <c r="NFQ12" s="301"/>
      <c r="NFR12" s="301"/>
      <c r="NFS12" s="301"/>
      <c r="NFT12" s="301"/>
      <c r="NFU12" s="301"/>
      <c r="NFV12" s="312"/>
      <c r="NFW12" s="301"/>
      <c r="NFX12" s="309"/>
      <c r="NFY12" s="301"/>
      <c r="NFZ12" s="306"/>
      <c r="NGA12" s="301"/>
      <c r="NGB12" s="309"/>
      <c r="NGC12" s="301"/>
      <c r="NGD12" s="309"/>
      <c r="NGE12" s="301"/>
      <c r="NGF12" s="301"/>
      <c r="NGG12" s="301"/>
      <c r="NGH12" s="301"/>
      <c r="NGI12" s="301"/>
      <c r="NGJ12" s="301"/>
      <c r="NGK12" s="301"/>
      <c r="NGL12" s="301"/>
      <c r="NGM12" s="312"/>
      <c r="NGN12" s="301"/>
      <c r="NGO12" s="309"/>
      <c r="NGP12" s="301"/>
      <c r="NGQ12" s="306"/>
      <c r="NGR12" s="301"/>
      <c r="NGS12" s="309"/>
      <c r="NGT12" s="301"/>
      <c r="NGU12" s="309"/>
      <c r="NGV12" s="301"/>
      <c r="NGW12" s="301"/>
      <c r="NGX12" s="301"/>
      <c r="NGY12" s="301"/>
      <c r="NGZ12" s="301"/>
      <c r="NHA12" s="301"/>
      <c r="NHB12" s="301"/>
      <c r="NHC12" s="301"/>
      <c r="NHD12" s="312"/>
      <c r="NHE12" s="301"/>
      <c r="NHF12" s="309"/>
      <c r="NHG12" s="301"/>
      <c r="NHH12" s="306"/>
      <c r="NHI12" s="301"/>
      <c r="NHJ12" s="309"/>
      <c r="NHK12" s="301"/>
      <c r="NHL12" s="309"/>
      <c r="NHM12" s="301"/>
      <c r="NHN12" s="301"/>
      <c r="NHO12" s="301"/>
      <c r="NHP12" s="301"/>
      <c r="NHQ12" s="301"/>
      <c r="NHR12" s="301"/>
      <c r="NHS12" s="301"/>
      <c r="NHT12" s="301"/>
      <c r="NHU12" s="312"/>
      <c r="NHV12" s="301"/>
      <c r="NHW12" s="309"/>
      <c r="NHX12" s="301"/>
      <c r="NHY12" s="306"/>
      <c r="NHZ12" s="301"/>
      <c r="NIA12" s="309"/>
      <c r="NIB12" s="301"/>
      <c r="NIC12" s="309"/>
      <c r="NID12" s="301"/>
      <c r="NIE12" s="301"/>
      <c r="NIF12" s="301"/>
      <c r="NIG12" s="301"/>
      <c r="NIH12" s="301"/>
      <c r="NII12" s="301"/>
      <c r="NIJ12" s="301"/>
      <c r="NIK12" s="301"/>
      <c r="NIL12" s="312"/>
      <c r="NIM12" s="301"/>
      <c r="NIN12" s="309"/>
      <c r="NIO12" s="301"/>
      <c r="NIP12" s="306"/>
      <c r="NIQ12" s="301"/>
      <c r="NIR12" s="309"/>
      <c r="NIS12" s="301"/>
      <c r="NIT12" s="309"/>
      <c r="NIU12" s="301"/>
      <c r="NIV12" s="301"/>
      <c r="NIW12" s="301"/>
      <c r="NIX12" s="301"/>
      <c r="NIY12" s="301"/>
      <c r="NIZ12" s="301"/>
      <c r="NJA12" s="301"/>
      <c r="NJB12" s="301"/>
      <c r="NJC12" s="312"/>
      <c r="NJD12" s="301"/>
      <c r="NJE12" s="309"/>
      <c r="NJF12" s="301"/>
      <c r="NJG12" s="306"/>
      <c r="NJH12" s="301"/>
      <c r="NJI12" s="309"/>
      <c r="NJJ12" s="301"/>
      <c r="NJK12" s="309"/>
      <c r="NJL12" s="301"/>
      <c r="NJM12" s="301"/>
      <c r="NJN12" s="301"/>
      <c r="NJO12" s="301"/>
      <c r="NJP12" s="301"/>
      <c r="NJQ12" s="301"/>
      <c r="NJR12" s="301"/>
      <c r="NJS12" s="301"/>
      <c r="NJT12" s="312"/>
      <c r="NJU12" s="301"/>
      <c r="NJV12" s="309"/>
      <c r="NJW12" s="301"/>
      <c r="NJX12" s="306"/>
      <c r="NJY12" s="301"/>
      <c r="NJZ12" s="309"/>
      <c r="NKA12" s="301"/>
      <c r="NKB12" s="309"/>
      <c r="NKC12" s="301"/>
      <c r="NKD12" s="301"/>
      <c r="NKE12" s="301"/>
      <c r="NKF12" s="301"/>
      <c r="NKG12" s="301"/>
      <c r="NKH12" s="301"/>
      <c r="NKI12" s="301"/>
      <c r="NKJ12" s="301"/>
      <c r="NKK12" s="312"/>
      <c r="NKL12" s="301"/>
      <c r="NKM12" s="309"/>
      <c r="NKN12" s="301"/>
      <c r="NKO12" s="306"/>
      <c r="NKP12" s="301"/>
      <c r="NKQ12" s="309"/>
      <c r="NKR12" s="301"/>
      <c r="NKS12" s="309"/>
      <c r="NKT12" s="301"/>
      <c r="NKU12" s="301"/>
      <c r="NKV12" s="301"/>
      <c r="NKW12" s="301"/>
      <c r="NKX12" s="301"/>
      <c r="NKY12" s="301"/>
      <c r="NKZ12" s="301"/>
      <c r="NLA12" s="301"/>
      <c r="NLB12" s="312"/>
      <c r="NLC12" s="301"/>
      <c r="NLD12" s="309"/>
      <c r="NLE12" s="301"/>
      <c r="NLF12" s="306"/>
      <c r="NLG12" s="301"/>
      <c r="NLH12" s="309"/>
      <c r="NLI12" s="301"/>
      <c r="NLJ12" s="309"/>
      <c r="NLK12" s="301"/>
      <c r="NLL12" s="301"/>
      <c r="NLM12" s="301"/>
      <c r="NLN12" s="301"/>
      <c r="NLO12" s="301"/>
      <c r="NLP12" s="301"/>
      <c r="NLQ12" s="301"/>
      <c r="NLR12" s="301"/>
      <c r="NLS12" s="312"/>
      <c r="NLT12" s="301"/>
      <c r="NLU12" s="309"/>
      <c r="NLV12" s="301"/>
      <c r="NLW12" s="306"/>
      <c r="NLX12" s="301"/>
      <c r="NLY12" s="309"/>
      <c r="NLZ12" s="301"/>
      <c r="NMA12" s="309"/>
      <c r="NMB12" s="301"/>
      <c r="NMC12" s="301"/>
      <c r="NMD12" s="301"/>
      <c r="NME12" s="301"/>
      <c r="NMF12" s="301"/>
      <c r="NMG12" s="301"/>
      <c r="NMH12" s="301"/>
      <c r="NMI12" s="301"/>
      <c r="NMJ12" s="312"/>
      <c r="NMK12" s="301"/>
      <c r="NML12" s="309"/>
      <c r="NMM12" s="301"/>
      <c r="NMN12" s="306"/>
      <c r="NMO12" s="301"/>
      <c r="NMP12" s="309"/>
      <c r="NMQ12" s="301"/>
      <c r="NMR12" s="309"/>
      <c r="NMS12" s="301"/>
      <c r="NMT12" s="301"/>
      <c r="NMU12" s="301"/>
      <c r="NMV12" s="301"/>
      <c r="NMW12" s="301"/>
      <c r="NMX12" s="301"/>
      <c r="NMY12" s="301"/>
      <c r="NMZ12" s="301"/>
      <c r="NNA12" s="312"/>
      <c r="NNB12" s="301"/>
      <c r="NNC12" s="309"/>
      <c r="NND12" s="301"/>
      <c r="NNE12" s="306"/>
      <c r="NNF12" s="301"/>
      <c r="NNG12" s="309"/>
      <c r="NNH12" s="301"/>
      <c r="NNI12" s="309"/>
      <c r="NNJ12" s="301"/>
      <c r="NNK12" s="301"/>
      <c r="NNL12" s="301"/>
      <c r="NNM12" s="301"/>
      <c r="NNN12" s="301"/>
      <c r="NNO12" s="301"/>
      <c r="NNP12" s="301"/>
      <c r="NNQ12" s="301"/>
      <c r="NNR12" s="312"/>
      <c r="NNS12" s="301"/>
      <c r="NNT12" s="309"/>
      <c r="NNU12" s="301"/>
      <c r="NNV12" s="306"/>
      <c r="NNW12" s="301"/>
      <c r="NNX12" s="309"/>
      <c r="NNY12" s="301"/>
      <c r="NNZ12" s="309"/>
      <c r="NOA12" s="301"/>
      <c r="NOB12" s="301"/>
      <c r="NOC12" s="301"/>
      <c r="NOD12" s="301"/>
      <c r="NOE12" s="301"/>
      <c r="NOF12" s="301"/>
      <c r="NOG12" s="301"/>
      <c r="NOH12" s="301"/>
      <c r="NOI12" s="312"/>
      <c r="NOJ12" s="301"/>
      <c r="NOK12" s="309"/>
      <c r="NOL12" s="301"/>
      <c r="NOM12" s="306"/>
      <c r="NON12" s="301"/>
      <c r="NOO12" s="309"/>
      <c r="NOP12" s="301"/>
      <c r="NOQ12" s="309"/>
      <c r="NOR12" s="301"/>
      <c r="NOS12" s="301"/>
      <c r="NOT12" s="301"/>
      <c r="NOU12" s="301"/>
      <c r="NOV12" s="301"/>
      <c r="NOW12" s="301"/>
      <c r="NOX12" s="301"/>
      <c r="NOY12" s="301"/>
      <c r="NOZ12" s="312"/>
      <c r="NPA12" s="301"/>
      <c r="NPB12" s="309"/>
      <c r="NPC12" s="301"/>
      <c r="NPD12" s="306"/>
      <c r="NPE12" s="301"/>
      <c r="NPF12" s="309"/>
      <c r="NPG12" s="301"/>
      <c r="NPH12" s="309"/>
      <c r="NPI12" s="301"/>
      <c r="NPJ12" s="301"/>
      <c r="NPK12" s="301"/>
      <c r="NPL12" s="301"/>
      <c r="NPM12" s="301"/>
      <c r="NPN12" s="301"/>
      <c r="NPO12" s="301"/>
      <c r="NPP12" s="301"/>
      <c r="NPQ12" s="312"/>
      <c r="NPR12" s="301"/>
      <c r="NPS12" s="309"/>
      <c r="NPT12" s="301"/>
      <c r="NPU12" s="306"/>
      <c r="NPV12" s="301"/>
      <c r="NPW12" s="309"/>
      <c r="NPX12" s="301"/>
      <c r="NPY12" s="309"/>
      <c r="NPZ12" s="301"/>
      <c r="NQA12" s="301"/>
      <c r="NQB12" s="301"/>
      <c r="NQC12" s="301"/>
      <c r="NQD12" s="301"/>
      <c r="NQE12" s="301"/>
      <c r="NQF12" s="301"/>
      <c r="NQG12" s="301"/>
      <c r="NQH12" s="312"/>
      <c r="NQI12" s="301"/>
      <c r="NQJ12" s="309"/>
      <c r="NQK12" s="301"/>
      <c r="NQL12" s="306"/>
      <c r="NQM12" s="301"/>
      <c r="NQN12" s="309"/>
      <c r="NQO12" s="301"/>
      <c r="NQP12" s="309"/>
      <c r="NQQ12" s="301"/>
      <c r="NQR12" s="301"/>
      <c r="NQS12" s="301"/>
      <c r="NQT12" s="301"/>
      <c r="NQU12" s="301"/>
      <c r="NQV12" s="301"/>
      <c r="NQW12" s="301"/>
      <c r="NQX12" s="301"/>
      <c r="NQY12" s="312"/>
      <c r="NQZ12" s="301"/>
      <c r="NRA12" s="309"/>
      <c r="NRB12" s="301"/>
      <c r="NRC12" s="306"/>
      <c r="NRD12" s="301"/>
      <c r="NRE12" s="309"/>
      <c r="NRF12" s="301"/>
      <c r="NRG12" s="309"/>
      <c r="NRH12" s="301"/>
      <c r="NRI12" s="301"/>
      <c r="NRJ12" s="301"/>
      <c r="NRK12" s="301"/>
      <c r="NRL12" s="301"/>
      <c r="NRM12" s="301"/>
      <c r="NRN12" s="301"/>
      <c r="NRO12" s="301"/>
      <c r="NRP12" s="312"/>
      <c r="NRQ12" s="301"/>
      <c r="NRR12" s="309"/>
      <c r="NRS12" s="301"/>
      <c r="NRT12" s="306"/>
      <c r="NRU12" s="301"/>
      <c r="NRV12" s="309"/>
      <c r="NRW12" s="301"/>
      <c r="NRX12" s="309"/>
      <c r="NRY12" s="301"/>
      <c r="NRZ12" s="301"/>
      <c r="NSA12" s="301"/>
      <c r="NSB12" s="301"/>
      <c r="NSC12" s="301"/>
      <c r="NSD12" s="301"/>
      <c r="NSE12" s="301"/>
      <c r="NSF12" s="301"/>
      <c r="NSG12" s="312"/>
      <c r="NSH12" s="301"/>
      <c r="NSI12" s="309"/>
      <c r="NSJ12" s="301"/>
      <c r="NSK12" s="306"/>
      <c r="NSL12" s="301"/>
      <c r="NSM12" s="309"/>
      <c r="NSN12" s="301"/>
      <c r="NSO12" s="309"/>
      <c r="NSP12" s="301"/>
      <c r="NSQ12" s="301"/>
      <c r="NSR12" s="301"/>
      <c r="NSS12" s="301"/>
      <c r="NST12" s="301"/>
      <c r="NSU12" s="301"/>
      <c r="NSV12" s="301"/>
      <c r="NSW12" s="301"/>
      <c r="NSX12" s="312"/>
      <c r="NSY12" s="301"/>
      <c r="NSZ12" s="309"/>
      <c r="NTA12" s="301"/>
      <c r="NTB12" s="306"/>
      <c r="NTC12" s="301"/>
      <c r="NTD12" s="309"/>
      <c r="NTE12" s="301"/>
      <c r="NTF12" s="309"/>
      <c r="NTG12" s="301"/>
      <c r="NTH12" s="301"/>
      <c r="NTI12" s="301"/>
      <c r="NTJ12" s="301"/>
      <c r="NTK12" s="301"/>
      <c r="NTL12" s="301"/>
      <c r="NTM12" s="301"/>
      <c r="NTN12" s="301"/>
      <c r="NTO12" s="312"/>
      <c r="NTP12" s="301"/>
      <c r="NTQ12" s="309"/>
      <c r="NTR12" s="301"/>
      <c r="NTS12" s="306"/>
      <c r="NTT12" s="301"/>
      <c r="NTU12" s="309"/>
      <c r="NTV12" s="301"/>
      <c r="NTW12" s="309"/>
      <c r="NTX12" s="301"/>
      <c r="NTY12" s="301"/>
      <c r="NTZ12" s="301"/>
      <c r="NUA12" s="301"/>
      <c r="NUB12" s="301"/>
      <c r="NUC12" s="301"/>
      <c r="NUD12" s="301"/>
      <c r="NUE12" s="301"/>
      <c r="NUF12" s="312"/>
      <c r="NUG12" s="301"/>
      <c r="NUH12" s="309"/>
      <c r="NUI12" s="301"/>
      <c r="NUJ12" s="306"/>
      <c r="NUK12" s="301"/>
      <c r="NUL12" s="309"/>
      <c r="NUM12" s="301"/>
      <c r="NUN12" s="309"/>
      <c r="NUO12" s="301"/>
      <c r="NUP12" s="301"/>
      <c r="NUQ12" s="301"/>
      <c r="NUR12" s="301"/>
      <c r="NUS12" s="301"/>
      <c r="NUT12" s="301"/>
      <c r="NUU12" s="301"/>
      <c r="NUV12" s="301"/>
      <c r="NUW12" s="312"/>
      <c r="NUX12" s="301"/>
      <c r="NUY12" s="309"/>
      <c r="NUZ12" s="301"/>
      <c r="NVA12" s="306"/>
      <c r="NVB12" s="301"/>
      <c r="NVC12" s="309"/>
      <c r="NVD12" s="301"/>
      <c r="NVE12" s="309"/>
      <c r="NVF12" s="301"/>
      <c r="NVG12" s="301"/>
      <c r="NVH12" s="301"/>
      <c r="NVI12" s="301"/>
      <c r="NVJ12" s="301"/>
      <c r="NVK12" s="301"/>
      <c r="NVL12" s="301"/>
      <c r="NVM12" s="301"/>
      <c r="NVN12" s="312"/>
      <c r="NVO12" s="301"/>
      <c r="NVP12" s="309"/>
      <c r="NVQ12" s="301"/>
      <c r="NVR12" s="306"/>
      <c r="NVS12" s="301"/>
      <c r="NVT12" s="309"/>
      <c r="NVU12" s="301"/>
      <c r="NVV12" s="309"/>
      <c r="NVW12" s="301"/>
      <c r="NVX12" s="301"/>
      <c r="NVY12" s="301"/>
      <c r="NVZ12" s="301"/>
      <c r="NWA12" s="301"/>
      <c r="NWB12" s="301"/>
      <c r="NWC12" s="301"/>
      <c r="NWD12" s="301"/>
      <c r="NWE12" s="312"/>
      <c r="NWF12" s="301"/>
      <c r="NWG12" s="309"/>
      <c r="NWH12" s="301"/>
      <c r="NWI12" s="306"/>
      <c r="NWJ12" s="301"/>
      <c r="NWK12" s="309"/>
      <c r="NWL12" s="301"/>
      <c r="NWM12" s="309"/>
      <c r="NWN12" s="301"/>
      <c r="NWO12" s="301"/>
      <c r="NWP12" s="301"/>
      <c r="NWQ12" s="301"/>
      <c r="NWR12" s="301"/>
      <c r="NWS12" s="301"/>
      <c r="NWT12" s="301"/>
      <c r="NWU12" s="301"/>
      <c r="NWV12" s="312"/>
      <c r="NWW12" s="301"/>
      <c r="NWX12" s="309"/>
      <c r="NWY12" s="301"/>
      <c r="NWZ12" s="306"/>
      <c r="NXA12" s="301"/>
      <c r="NXB12" s="309"/>
      <c r="NXC12" s="301"/>
      <c r="NXD12" s="309"/>
      <c r="NXE12" s="301"/>
      <c r="NXF12" s="301"/>
      <c r="NXG12" s="301"/>
      <c r="NXH12" s="301"/>
      <c r="NXI12" s="301"/>
      <c r="NXJ12" s="301"/>
      <c r="NXK12" s="301"/>
      <c r="NXL12" s="301"/>
      <c r="NXM12" s="312"/>
      <c r="NXN12" s="301"/>
      <c r="NXO12" s="309"/>
      <c r="NXP12" s="301"/>
      <c r="NXQ12" s="306"/>
      <c r="NXR12" s="301"/>
      <c r="NXS12" s="309"/>
      <c r="NXT12" s="301"/>
      <c r="NXU12" s="309"/>
      <c r="NXV12" s="301"/>
      <c r="NXW12" s="301"/>
      <c r="NXX12" s="301"/>
      <c r="NXY12" s="301"/>
      <c r="NXZ12" s="301"/>
      <c r="NYA12" s="301"/>
      <c r="NYB12" s="301"/>
      <c r="NYC12" s="301"/>
      <c r="NYD12" s="312"/>
      <c r="NYE12" s="301"/>
      <c r="NYF12" s="309"/>
      <c r="NYG12" s="301"/>
      <c r="NYH12" s="306"/>
      <c r="NYI12" s="301"/>
      <c r="NYJ12" s="309"/>
      <c r="NYK12" s="301"/>
      <c r="NYL12" s="309"/>
      <c r="NYM12" s="301"/>
      <c r="NYN12" s="301"/>
      <c r="NYO12" s="301"/>
      <c r="NYP12" s="301"/>
      <c r="NYQ12" s="301"/>
      <c r="NYR12" s="301"/>
      <c r="NYS12" s="301"/>
      <c r="NYT12" s="301"/>
      <c r="NYU12" s="312"/>
      <c r="NYV12" s="301"/>
      <c r="NYW12" s="309"/>
      <c r="NYX12" s="301"/>
      <c r="NYY12" s="306"/>
      <c r="NYZ12" s="301"/>
      <c r="NZA12" s="309"/>
      <c r="NZB12" s="301"/>
      <c r="NZC12" s="309"/>
      <c r="NZD12" s="301"/>
      <c r="NZE12" s="301"/>
      <c r="NZF12" s="301"/>
      <c r="NZG12" s="301"/>
      <c r="NZH12" s="301"/>
      <c r="NZI12" s="301"/>
      <c r="NZJ12" s="301"/>
      <c r="NZK12" s="301"/>
      <c r="NZL12" s="312"/>
      <c r="NZM12" s="301"/>
      <c r="NZN12" s="309"/>
      <c r="NZO12" s="301"/>
      <c r="NZP12" s="306"/>
      <c r="NZQ12" s="301"/>
      <c r="NZR12" s="309"/>
      <c r="NZS12" s="301"/>
      <c r="NZT12" s="309"/>
      <c r="NZU12" s="301"/>
      <c r="NZV12" s="301"/>
      <c r="NZW12" s="301"/>
      <c r="NZX12" s="301"/>
      <c r="NZY12" s="301"/>
      <c r="NZZ12" s="301"/>
      <c r="OAA12" s="301"/>
      <c r="OAB12" s="301"/>
      <c r="OAC12" s="312"/>
      <c r="OAD12" s="301"/>
      <c r="OAE12" s="309"/>
      <c r="OAF12" s="301"/>
      <c r="OAG12" s="306"/>
      <c r="OAH12" s="301"/>
      <c r="OAI12" s="309"/>
      <c r="OAJ12" s="301"/>
      <c r="OAK12" s="309"/>
      <c r="OAL12" s="301"/>
      <c r="OAM12" s="301"/>
      <c r="OAN12" s="301"/>
      <c r="OAO12" s="301"/>
      <c r="OAP12" s="301"/>
      <c r="OAQ12" s="301"/>
      <c r="OAR12" s="301"/>
      <c r="OAS12" s="301"/>
      <c r="OAT12" s="312"/>
      <c r="OAU12" s="301"/>
      <c r="OAV12" s="309"/>
      <c r="OAW12" s="301"/>
      <c r="OAX12" s="306"/>
      <c r="OAY12" s="301"/>
      <c r="OAZ12" s="309"/>
      <c r="OBA12" s="301"/>
      <c r="OBB12" s="309"/>
      <c r="OBC12" s="301"/>
      <c r="OBD12" s="301"/>
      <c r="OBE12" s="301"/>
      <c r="OBF12" s="301"/>
      <c r="OBG12" s="301"/>
      <c r="OBH12" s="301"/>
      <c r="OBI12" s="301"/>
      <c r="OBJ12" s="301"/>
      <c r="OBK12" s="312"/>
      <c r="OBL12" s="301"/>
      <c r="OBM12" s="309"/>
      <c r="OBN12" s="301"/>
      <c r="OBO12" s="306"/>
      <c r="OBP12" s="301"/>
      <c r="OBQ12" s="309"/>
      <c r="OBR12" s="301"/>
      <c r="OBS12" s="309"/>
      <c r="OBT12" s="301"/>
      <c r="OBU12" s="301"/>
      <c r="OBV12" s="301"/>
      <c r="OBW12" s="301"/>
      <c r="OBX12" s="301"/>
      <c r="OBY12" s="301"/>
      <c r="OBZ12" s="301"/>
      <c r="OCA12" s="301"/>
      <c r="OCB12" s="312"/>
      <c r="OCC12" s="301"/>
      <c r="OCD12" s="309"/>
      <c r="OCE12" s="301"/>
      <c r="OCF12" s="306"/>
      <c r="OCG12" s="301"/>
      <c r="OCH12" s="309"/>
      <c r="OCI12" s="301"/>
      <c r="OCJ12" s="309"/>
      <c r="OCK12" s="301"/>
      <c r="OCL12" s="301"/>
      <c r="OCM12" s="301"/>
      <c r="OCN12" s="301"/>
      <c r="OCO12" s="301"/>
      <c r="OCP12" s="301"/>
      <c r="OCQ12" s="301"/>
      <c r="OCR12" s="301"/>
      <c r="OCS12" s="312"/>
      <c r="OCT12" s="301"/>
      <c r="OCU12" s="309"/>
      <c r="OCV12" s="301"/>
      <c r="OCW12" s="306"/>
      <c r="OCX12" s="301"/>
      <c r="OCY12" s="309"/>
      <c r="OCZ12" s="301"/>
      <c r="ODA12" s="309"/>
      <c r="ODB12" s="301"/>
      <c r="ODC12" s="301"/>
      <c r="ODD12" s="301"/>
      <c r="ODE12" s="301"/>
      <c r="ODF12" s="301"/>
      <c r="ODG12" s="301"/>
      <c r="ODH12" s="301"/>
      <c r="ODI12" s="301"/>
      <c r="ODJ12" s="312"/>
      <c r="ODK12" s="301"/>
      <c r="ODL12" s="309"/>
      <c r="ODM12" s="301"/>
      <c r="ODN12" s="306"/>
      <c r="ODO12" s="301"/>
      <c r="ODP12" s="309"/>
      <c r="ODQ12" s="301"/>
      <c r="ODR12" s="309"/>
      <c r="ODS12" s="301"/>
      <c r="ODT12" s="301"/>
      <c r="ODU12" s="301"/>
      <c r="ODV12" s="301"/>
      <c r="ODW12" s="301"/>
      <c r="ODX12" s="301"/>
      <c r="ODY12" s="301"/>
      <c r="ODZ12" s="301"/>
      <c r="OEA12" s="312"/>
      <c r="OEB12" s="301"/>
      <c r="OEC12" s="309"/>
      <c r="OED12" s="301"/>
      <c r="OEE12" s="306"/>
      <c r="OEF12" s="301"/>
      <c r="OEG12" s="309"/>
      <c r="OEH12" s="301"/>
      <c r="OEI12" s="309"/>
      <c r="OEJ12" s="301"/>
      <c r="OEK12" s="301"/>
      <c r="OEL12" s="301"/>
      <c r="OEM12" s="301"/>
      <c r="OEN12" s="301"/>
      <c r="OEO12" s="301"/>
      <c r="OEP12" s="301"/>
      <c r="OEQ12" s="301"/>
      <c r="OER12" s="312"/>
      <c r="OES12" s="301"/>
      <c r="OET12" s="309"/>
      <c r="OEU12" s="301"/>
      <c r="OEV12" s="306"/>
      <c r="OEW12" s="301"/>
      <c r="OEX12" s="309"/>
      <c r="OEY12" s="301"/>
      <c r="OEZ12" s="309"/>
      <c r="OFA12" s="301"/>
      <c r="OFB12" s="301"/>
      <c r="OFC12" s="301"/>
      <c r="OFD12" s="301"/>
      <c r="OFE12" s="301"/>
      <c r="OFF12" s="301"/>
      <c r="OFG12" s="301"/>
      <c r="OFH12" s="301"/>
      <c r="OFI12" s="312"/>
      <c r="OFJ12" s="301"/>
      <c r="OFK12" s="309"/>
      <c r="OFL12" s="301"/>
      <c r="OFM12" s="306"/>
      <c r="OFN12" s="301"/>
      <c r="OFO12" s="309"/>
      <c r="OFP12" s="301"/>
      <c r="OFQ12" s="309"/>
      <c r="OFR12" s="301"/>
      <c r="OFS12" s="301"/>
      <c r="OFT12" s="301"/>
      <c r="OFU12" s="301"/>
      <c r="OFV12" s="301"/>
      <c r="OFW12" s="301"/>
      <c r="OFX12" s="301"/>
      <c r="OFY12" s="301"/>
      <c r="OFZ12" s="312"/>
      <c r="OGA12" s="301"/>
      <c r="OGB12" s="309"/>
      <c r="OGC12" s="301"/>
      <c r="OGD12" s="306"/>
      <c r="OGE12" s="301"/>
      <c r="OGF12" s="309"/>
      <c r="OGG12" s="301"/>
      <c r="OGH12" s="309"/>
      <c r="OGI12" s="301"/>
      <c r="OGJ12" s="301"/>
      <c r="OGK12" s="301"/>
      <c r="OGL12" s="301"/>
      <c r="OGM12" s="301"/>
      <c r="OGN12" s="301"/>
      <c r="OGO12" s="301"/>
      <c r="OGP12" s="301"/>
      <c r="OGQ12" s="312"/>
      <c r="OGR12" s="301"/>
      <c r="OGS12" s="309"/>
      <c r="OGT12" s="301"/>
      <c r="OGU12" s="306"/>
      <c r="OGV12" s="301"/>
      <c r="OGW12" s="309"/>
      <c r="OGX12" s="301"/>
      <c r="OGY12" s="309"/>
      <c r="OGZ12" s="301"/>
      <c r="OHA12" s="301"/>
      <c r="OHB12" s="301"/>
      <c r="OHC12" s="301"/>
      <c r="OHD12" s="301"/>
      <c r="OHE12" s="301"/>
      <c r="OHF12" s="301"/>
      <c r="OHG12" s="301"/>
      <c r="OHH12" s="312"/>
      <c r="OHI12" s="301"/>
      <c r="OHJ12" s="309"/>
      <c r="OHK12" s="301"/>
      <c r="OHL12" s="306"/>
      <c r="OHM12" s="301"/>
      <c r="OHN12" s="309"/>
      <c r="OHO12" s="301"/>
      <c r="OHP12" s="309"/>
      <c r="OHQ12" s="301"/>
      <c r="OHR12" s="301"/>
      <c r="OHS12" s="301"/>
      <c r="OHT12" s="301"/>
      <c r="OHU12" s="301"/>
      <c r="OHV12" s="301"/>
      <c r="OHW12" s="301"/>
      <c r="OHX12" s="301"/>
      <c r="OHY12" s="312"/>
      <c r="OHZ12" s="301"/>
      <c r="OIA12" s="309"/>
      <c r="OIB12" s="301"/>
      <c r="OIC12" s="306"/>
      <c r="OID12" s="301"/>
      <c r="OIE12" s="309"/>
      <c r="OIF12" s="301"/>
      <c r="OIG12" s="309"/>
      <c r="OIH12" s="301"/>
      <c r="OII12" s="301"/>
      <c r="OIJ12" s="301"/>
      <c r="OIK12" s="301"/>
      <c r="OIL12" s="301"/>
      <c r="OIM12" s="301"/>
      <c r="OIN12" s="301"/>
      <c r="OIO12" s="301"/>
      <c r="OIP12" s="312"/>
      <c r="OIQ12" s="301"/>
      <c r="OIR12" s="309"/>
      <c r="OIS12" s="301"/>
      <c r="OIT12" s="306"/>
      <c r="OIU12" s="301"/>
      <c r="OIV12" s="309"/>
      <c r="OIW12" s="301"/>
      <c r="OIX12" s="309"/>
      <c r="OIY12" s="301"/>
      <c r="OIZ12" s="301"/>
      <c r="OJA12" s="301"/>
      <c r="OJB12" s="301"/>
      <c r="OJC12" s="301"/>
      <c r="OJD12" s="301"/>
      <c r="OJE12" s="301"/>
      <c r="OJF12" s="301"/>
      <c r="OJG12" s="312"/>
      <c r="OJH12" s="301"/>
      <c r="OJI12" s="309"/>
      <c r="OJJ12" s="301"/>
      <c r="OJK12" s="306"/>
      <c r="OJL12" s="301"/>
      <c r="OJM12" s="309"/>
      <c r="OJN12" s="301"/>
      <c r="OJO12" s="309"/>
      <c r="OJP12" s="301"/>
      <c r="OJQ12" s="301"/>
      <c r="OJR12" s="301"/>
      <c r="OJS12" s="301"/>
      <c r="OJT12" s="301"/>
      <c r="OJU12" s="301"/>
      <c r="OJV12" s="301"/>
      <c r="OJW12" s="301"/>
      <c r="OJX12" s="312"/>
      <c r="OJY12" s="301"/>
      <c r="OJZ12" s="309"/>
      <c r="OKA12" s="301"/>
      <c r="OKB12" s="306"/>
      <c r="OKC12" s="301"/>
      <c r="OKD12" s="309"/>
      <c r="OKE12" s="301"/>
      <c r="OKF12" s="309"/>
      <c r="OKG12" s="301"/>
      <c r="OKH12" s="301"/>
      <c r="OKI12" s="301"/>
      <c r="OKJ12" s="301"/>
      <c r="OKK12" s="301"/>
      <c r="OKL12" s="301"/>
      <c r="OKM12" s="301"/>
      <c r="OKN12" s="301"/>
      <c r="OKO12" s="312"/>
      <c r="OKP12" s="301"/>
      <c r="OKQ12" s="309"/>
      <c r="OKR12" s="301"/>
      <c r="OKS12" s="306"/>
      <c r="OKT12" s="301"/>
      <c r="OKU12" s="309"/>
      <c r="OKV12" s="301"/>
      <c r="OKW12" s="309"/>
      <c r="OKX12" s="301"/>
      <c r="OKY12" s="301"/>
      <c r="OKZ12" s="301"/>
      <c r="OLA12" s="301"/>
      <c r="OLB12" s="301"/>
      <c r="OLC12" s="301"/>
      <c r="OLD12" s="301"/>
      <c r="OLE12" s="301"/>
      <c r="OLF12" s="312"/>
      <c r="OLG12" s="301"/>
      <c r="OLH12" s="309"/>
      <c r="OLI12" s="301"/>
      <c r="OLJ12" s="306"/>
      <c r="OLK12" s="301"/>
      <c r="OLL12" s="309"/>
      <c r="OLM12" s="301"/>
      <c r="OLN12" s="309"/>
      <c r="OLO12" s="301"/>
      <c r="OLP12" s="301"/>
      <c r="OLQ12" s="301"/>
      <c r="OLR12" s="301"/>
      <c r="OLS12" s="301"/>
      <c r="OLT12" s="301"/>
      <c r="OLU12" s="301"/>
      <c r="OLV12" s="301"/>
      <c r="OLW12" s="312"/>
      <c r="OLX12" s="301"/>
      <c r="OLY12" s="309"/>
      <c r="OLZ12" s="301"/>
      <c r="OMA12" s="306"/>
      <c r="OMB12" s="301"/>
      <c r="OMC12" s="309"/>
      <c r="OMD12" s="301"/>
      <c r="OME12" s="309"/>
      <c r="OMF12" s="301"/>
      <c r="OMG12" s="301"/>
      <c r="OMH12" s="301"/>
      <c r="OMI12" s="301"/>
      <c r="OMJ12" s="301"/>
      <c r="OMK12" s="301"/>
      <c r="OML12" s="301"/>
      <c r="OMM12" s="301"/>
      <c r="OMN12" s="312"/>
      <c r="OMO12" s="301"/>
      <c r="OMP12" s="309"/>
      <c r="OMQ12" s="301"/>
      <c r="OMR12" s="306"/>
      <c r="OMS12" s="301"/>
      <c r="OMT12" s="309"/>
      <c r="OMU12" s="301"/>
      <c r="OMV12" s="309"/>
      <c r="OMW12" s="301"/>
      <c r="OMX12" s="301"/>
      <c r="OMY12" s="301"/>
      <c r="OMZ12" s="301"/>
      <c r="ONA12" s="301"/>
      <c r="ONB12" s="301"/>
      <c r="ONC12" s="301"/>
      <c r="OND12" s="301"/>
      <c r="ONE12" s="312"/>
      <c r="ONF12" s="301"/>
      <c r="ONG12" s="309"/>
      <c r="ONH12" s="301"/>
      <c r="ONI12" s="306"/>
      <c r="ONJ12" s="301"/>
      <c r="ONK12" s="309"/>
      <c r="ONL12" s="301"/>
      <c r="ONM12" s="309"/>
      <c r="ONN12" s="301"/>
      <c r="ONO12" s="301"/>
      <c r="ONP12" s="301"/>
      <c r="ONQ12" s="301"/>
      <c r="ONR12" s="301"/>
      <c r="ONS12" s="301"/>
      <c r="ONT12" s="301"/>
      <c r="ONU12" s="301"/>
      <c r="ONV12" s="312"/>
      <c r="ONW12" s="301"/>
      <c r="ONX12" s="309"/>
      <c r="ONY12" s="301"/>
      <c r="ONZ12" s="306"/>
      <c r="OOA12" s="301"/>
      <c r="OOB12" s="309"/>
      <c r="OOC12" s="301"/>
      <c r="OOD12" s="309"/>
      <c r="OOE12" s="301"/>
      <c r="OOF12" s="301"/>
      <c r="OOG12" s="301"/>
      <c r="OOH12" s="301"/>
      <c r="OOI12" s="301"/>
      <c r="OOJ12" s="301"/>
      <c r="OOK12" s="301"/>
      <c r="OOL12" s="301"/>
      <c r="OOM12" s="312"/>
      <c r="OON12" s="301"/>
      <c r="OOO12" s="309"/>
      <c r="OOP12" s="301"/>
      <c r="OOQ12" s="306"/>
      <c r="OOR12" s="301"/>
      <c r="OOS12" s="309"/>
      <c r="OOT12" s="301"/>
      <c r="OOU12" s="309"/>
      <c r="OOV12" s="301"/>
      <c r="OOW12" s="301"/>
      <c r="OOX12" s="301"/>
      <c r="OOY12" s="301"/>
      <c r="OOZ12" s="301"/>
      <c r="OPA12" s="301"/>
      <c r="OPB12" s="301"/>
      <c r="OPC12" s="301"/>
      <c r="OPD12" s="312"/>
      <c r="OPE12" s="301"/>
      <c r="OPF12" s="309"/>
      <c r="OPG12" s="301"/>
      <c r="OPH12" s="306"/>
      <c r="OPI12" s="301"/>
      <c r="OPJ12" s="309"/>
      <c r="OPK12" s="301"/>
      <c r="OPL12" s="309"/>
      <c r="OPM12" s="301"/>
      <c r="OPN12" s="301"/>
      <c r="OPO12" s="301"/>
      <c r="OPP12" s="301"/>
      <c r="OPQ12" s="301"/>
      <c r="OPR12" s="301"/>
      <c r="OPS12" s="301"/>
      <c r="OPT12" s="301"/>
      <c r="OPU12" s="312"/>
      <c r="OPV12" s="301"/>
      <c r="OPW12" s="309"/>
      <c r="OPX12" s="301"/>
      <c r="OPY12" s="306"/>
      <c r="OPZ12" s="301"/>
      <c r="OQA12" s="309"/>
      <c r="OQB12" s="301"/>
      <c r="OQC12" s="309"/>
      <c r="OQD12" s="301"/>
      <c r="OQE12" s="301"/>
      <c r="OQF12" s="301"/>
      <c r="OQG12" s="301"/>
      <c r="OQH12" s="301"/>
      <c r="OQI12" s="301"/>
      <c r="OQJ12" s="301"/>
      <c r="OQK12" s="301"/>
      <c r="OQL12" s="312"/>
      <c r="OQM12" s="301"/>
      <c r="OQN12" s="309"/>
      <c r="OQO12" s="301"/>
      <c r="OQP12" s="306"/>
      <c r="OQQ12" s="301"/>
      <c r="OQR12" s="309"/>
      <c r="OQS12" s="301"/>
      <c r="OQT12" s="309"/>
      <c r="OQU12" s="301"/>
      <c r="OQV12" s="301"/>
      <c r="OQW12" s="301"/>
      <c r="OQX12" s="301"/>
      <c r="OQY12" s="301"/>
      <c r="OQZ12" s="301"/>
      <c r="ORA12" s="301"/>
      <c r="ORB12" s="301"/>
      <c r="ORC12" s="312"/>
      <c r="ORD12" s="301"/>
      <c r="ORE12" s="309"/>
      <c r="ORF12" s="301"/>
      <c r="ORG12" s="306"/>
      <c r="ORH12" s="301"/>
      <c r="ORI12" s="309"/>
      <c r="ORJ12" s="301"/>
      <c r="ORK12" s="309"/>
      <c r="ORL12" s="301"/>
      <c r="ORM12" s="301"/>
      <c r="ORN12" s="301"/>
      <c r="ORO12" s="301"/>
      <c r="ORP12" s="301"/>
      <c r="ORQ12" s="301"/>
      <c r="ORR12" s="301"/>
      <c r="ORS12" s="301"/>
      <c r="ORT12" s="312"/>
      <c r="ORU12" s="301"/>
      <c r="ORV12" s="309"/>
      <c r="ORW12" s="301"/>
      <c r="ORX12" s="306"/>
      <c r="ORY12" s="301"/>
      <c r="ORZ12" s="309"/>
      <c r="OSA12" s="301"/>
      <c r="OSB12" s="309"/>
      <c r="OSC12" s="301"/>
      <c r="OSD12" s="301"/>
      <c r="OSE12" s="301"/>
      <c r="OSF12" s="301"/>
      <c r="OSG12" s="301"/>
      <c r="OSH12" s="301"/>
      <c r="OSI12" s="301"/>
      <c r="OSJ12" s="301"/>
      <c r="OSK12" s="312"/>
      <c r="OSL12" s="301"/>
      <c r="OSM12" s="309"/>
      <c r="OSN12" s="301"/>
      <c r="OSO12" s="306"/>
      <c r="OSP12" s="301"/>
      <c r="OSQ12" s="309"/>
      <c r="OSR12" s="301"/>
      <c r="OSS12" s="309"/>
      <c r="OST12" s="301"/>
      <c r="OSU12" s="301"/>
      <c r="OSV12" s="301"/>
      <c r="OSW12" s="301"/>
      <c r="OSX12" s="301"/>
      <c r="OSY12" s="301"/>
      <c r="OSZ12" s="301"/>
      <c r="OTA12" s="301"/>
      <c r="OTB12" s="312"/>
      <c r="OTC12" s="301"/>
      <c r="OTD12" s="309"/>
      <c r="OTE12" s="301"/>
      <c r="OTF12" s="306"/>
      <c r="OTG12" s="301"/>
      <c r="OTH12" s="309"/>
      <c r="OTI12" s="301"/>
      <c r="OTJ12" s="309"/>
      <c r="OTK12" s="301"/>
      <c r="OTL12" s="301"/>
      <c r="OTM12" s="301"/>
      <c r="OTN12" s="301"/>
      <c r="OTO12" s="301"/>
      <c r="OTP12" s="301"/>
      <c r="OTQ12" s="301"/>
      <c r="OTR12" s="301"/>
      <c r="OTS12" s="312"/>
      <c r="OTT12" s="301"/>
      <c r="OTU12" s="309"/>
      <c r="OTV12" s="301"/>
      <c r="OTW12" s="306"/>
      <c r="OTX12" s="301"/>
      <c r="OTY12" s="309"/>
      <c r="OTZ12" s="301"/>
      <c r="OUA12" s="309"/>
      <c r="OUB12" s="301"/>
      <c r="OUC12" s="301"/>
      <c r="OUD12" s="301"/>
      <c r="OUE12" s="301"/>
      <c r="OUF12" s="301"/>
      <c r="OUG12" s="301"/>
      <c r="OUH12" s="301"/>
      <c r="OUI12" s="301"/>
      <c r="OUJ12" s="312"/>
      <c r="OUK12" s="301"/>
      <c r="OUL12" s="309"/>
      <c r="OUM12" s="301"/>
      <c r="OUN12" s="306"/>
      <c r="OUO12" s="301"/>
      <c r="OUP12" s="309"/>
      <c r="OUQ12" s="301"/>
      <c r="OUR12" s="309"/>
      <c r="OUS12" s="301"/>
      <c r="OUT12" s="301"/>
      <c r="OUU12" s="301"/>
      <c r="OUV12" s="301"/>
      <c r="OUW12" s="301"/>
      <c r="OUX12" s="301"/>
      <c r="OUY12" s="301"/>
      <c r="OUZ12" s="301"/>
      <c r="OVA12" s="312"/>
      <c r="OVB12" s="301"/>
      <c r="OVC12" s="309"/>
      <c r="OVD12" s="301"/>
      <c r="OVE12" s="306"/>
      <c r="OVF12" s="301"/>
      <c r="OVG12" s="309"/>
      <c r="OVH12" s="301"/>
      <c r="OVI12" s="309"/>
      <c r="OVJ12" s="301"/>
      <c r="OVK12" s="301"/>
      <c r="OVL12" s="301"/>
      <c r="OVM12" s="301"/>
      <c r="OVN12" s="301"/>
      <c r="OVO12" s="301"/>
      <c r="OVP12" s="301"/>
      <c r="OVQ12" s="301"/>
      <c r="OVR12" s="312"/>
      <c r="OVS12" s="301"/>
      <c r="OVT12" s="309"/>
      <c r="OVU12" s="301"/>
      <c r="OVV12" s="306"/>
      <c r="OVW12" s="301"/>
      <c r="OVX12" s="309"/>
      <c r="OVY12" s="301"/>
      <c r="OVZ12" s="309"/>
      <c r="OWA12" s="301"/>
      <c r="OWB12" s="301"/>
      <c r="OWC12" s="301"/>
      <c r="OWD12" s="301"/>
      <c r="OWE12" s="301"/>
      <c r="OWF12" s="301"/>
      <c r="OWG12" s="301"/>
      <c r="OWH12" s="301"/>
      <c r="OWI12" s="312"/>
      <c r="OWJ12" s="301"/>
      <c r="OWK12" s="309"/>
      <c r="OWL12" s="301"/>
      <c r="OWM12" s="306"/>
      <c r="OWN12" s="301"/>
      <c r="OWO12" s="309"/>
      <c r="OWP12" s="301"/>
      <c r="OWQ12" s="309"/>
      <c r="OWR12" s="301"/>
      <c r="OWS12" s="301"/>
      <c r="OWT12" s="301"/>
      <c r="OWU12" s="301"/>
      <c r="OWV12" s="301"/>
      <c r="OWW12" s="301"/>
      <c r="OWX12" s="301"/>
      <c r="OWY12" s="301"/>
      <c r="OWZ12" s="312"/>
      <c r="OXA12" s="301"/>
      <c r="OXB12" s="309"/>
      <c r="OXC12" s="301"/>
      <c r="OXD12" s="306"/>
      <c r="OXE12" s="301"/>
      <c r="OXF12" s="309"/>
      <c r="OXG12" s="301"/>
      <c r="OXH12" s="309"/>
      <c r="OXI12" s="301"/>
      <c r="OXJ12" s="301"/>
      <c r="OXK12" s="301"/>
      <c r="OXL12" s="301"/>
      <c r="OXM12" s="301"/>
      <c r="OXN12" s="301"/>
      <c r="OXO12" s="301"/>
      <c r="OXP12" s="301"/>
      <c r="OXQ12" s="312"/>
      <c r="OXR12" s="301"/>
      <c r="OXS12" s="309"/>
      <c r="OXT12" s="301"/>
      <c r="OXU12" s="306"/>
      <c r="OXV12" s="301"/>
      <c r="OXW12" s="309"/>
      <c r="OXX12" s="301"/>
      <c r="OXY12" s="309"/>
      <c r="OXZ12" s="301"/>
      <c r="OYA12" s="301"/>
      <c r="OYB12" s="301"/>
      <c r="OYC12" s="301"/>
      <c r="OYD12" s="301"/>
      <c r="OYE12" s="301"/>
      <c r="OYF12" s="301"/>
      <c r="OYG12" s="301"/>
      <c r="OYH12" s="312"/>
      <c r="OYI12" s="301"/>
      <c r="OYJ12" s="309"/>
      <c r="OYK12" s="301"/>
      <c r="OYL12" s="306"/>
      <c r="OYM12" s="301"/>
      <c r="OYN12" s="309"/>
      <c r="OYO12" s="301"/>
      <c r="OYP12" s="309"/>
      <c r="OYQ12" s="301"/>
      <c r="OYR12" s="301"/>
      <c r="OYS12" s="301"/>
      <c r="OYT12" s="301"/>
      <c r="OYU12" s="301"/>
      <c r="OYV12" s="301"/>
      <c r="OYW12" s="301"/>
      <c r="OYX12" s="301"/>
      <c r="OYY12" s="312"/>
      <c r="OYZ12" s="301"/>
      <c r="OZA12" s="309"/>
      <c r="OZB12" s="301"/>
      <c r="OZC12" s="306"/>
      <c r="OZD12" s="301"/>
      <c r="OZE12" s="309"/>
      <c r="OZF12" s="301"/>
      <c r="OZG12" s="309"/>
      <c r="OZH12" s="301"/>
      <c r="OZI12" s="301"/>
      <c r="OZJ12" s="301"/>
      <c r="OZK12" s="301"/>
      <c r="OZL12" s="301"/>
      <c r="OZM12" s="301"/>
      <c r="OZN12" s="301"/>
      <c r="OZO12" s="301"/>
      <c r="OZP12" s="312"/>
      <c r="OZQ12" s="301"/>
      <c r="OZR12" s="309"/>
      <c r="OZS12" s="301"/>
      <c r="OZT12" s="306"/>
      <c r="OZU12" s="301"/>
      <c r="OZV12" s="309"/>
      <c r="OZW12" s="301"/>
      <c r="OZX12" s="309"/>
      <c r="OZY12" s="301"/>
      <c r="OZZ12" s="301"/>
      <c r="PAA12" s="301"/>
      <c r="PAB12" s="301"/>
      <c r="PAC12" s="301"/>
      <c r="PAD12" s="301"/>
      <c r="PAE12" s="301"/>
      <c r="PAF12" s="301"/>
      <c r="PAG12" s="312"/>
      <c r="PAH12" s="301"/>
      <c r="PAI12" s="309"/>
      <c r="PAJ12" s="301"/>
      <c r="PAK12" s="306"/>
      <c r="PAL12" s="301"/>
      <c r="PAM12" s="309"/>
      <c r="PAN12" s="301"/>
      <c r="PAO12" s="309"/>
      <c r="PAP12" s="301"/>
      <c r="PAQ12" s="301"/>
      <c r="PAR12" s="301"/>
      <c r="PAS12" s="301"/>
      <c r="PAT12" s="301"/>
      <c r="PAU12" s="301"/>
      <c r="PAV12" s="301"/>
      <c r="PAW12" s="301"/>
      <c r="PAX12" s="312"/>
      <c r="PAY12" s="301"/>
      <c r="PAZ12" s="309"/>
      <c r="PBA12" s="301"/>
      <c r="PBB12" s="306"/>
      <c r="PBC12" s="301"/>
      <c r="PBD12" s="309"/>
      <c r="PBE12" s="301"/>
      <c r="PBF12" s="309"/>
      <c r="PBG12" s="301"/>
      <c r="PBH12" s="301"/>
      <c r="PBI12" s="301"/>
      <c r="PBJ12" s="301"/>
      <c r="PBK12" s="301"/>
      <c r="PBL12" s="301"/>
      <c r="PBM12" s="301"/>
      <c r="PBN12" s="301"/>
      <c r="PBO12" s="312"/>
      <c r="PBP12" s="301"/>
      <c r="PBQ12" s="309"/>
      <c r="PBR12" s="301"/>
      <c r="PBS12" s="306"/>
      <c r="PBT12" s="301"/>
      <c r="PBU12" s="309"/>
      <c r="PBV12" s="301"/>
      <c r="PBW12" s="309"/>
      <c r="PBX12" s="301"/>
      <c r="PBY12" s="301"/>
      <c r="PBZ12" s="301"/>
      <c r="PCA12" s="301"/>
      <c r="PCB12" s="301"/>
      <c r="PCC12" s="301"/>
      <c r="PCD12" s="301"/>
      <c r="PCE12" s="301"/>
      <c r="PCF12" s="312"/>
      <c r="PCG12" s="301"/>
      <c r="PCH12" s="309"/>
      <c r="PCI12" s="301"/>
      <c r="PCJ12" s="306"/>
      <c r="PCK12" s="301"/>
      <c r="PCL12" s="309"/>
      <c r="PCM12" s="301"/>
      <c r="PCN12" s="309"/>
      <c r="PCO12" s="301"/>
      <c r="PCP12" s="301"/>
      <c r="PCQ12" s="301"/>
      <c r="PCR12" s="301"/>
      <c r="PCS12" s="301"/>
      <c r="PCT12" s="301"/>
      <c r="PCU12" s="301"/>
      <c r="PCV12" s="301"/>
      <c r="PCW12" s="312"/>
      <c r="PCX12" s="301"/>
      <c r="PCY12" s="309"/>
      <c r="PCZ12" s="301"/>
      <c r="PDA12" s="306"/>
      <c r="PDB12" s="301"/>
      <c r="PDC12" s="309"/>
      <c r="PDD12" s="301"/>
      <c r="PDE12" s="309"/>
      <c r="PDF12" s="301"/>
      <c r="PDG12" s="301"/>
      <c r="PDH12" s="301"/>
      <c r="PDI12" s="301"/>
      <c r="PDJ12" s="301"/>
      <c r="PDK12" s="301"/>
      <c r="PDL12" s="301"/>
      <c r="PDM12" s="301"/>
      <c r="PDN12" s="312"/>
      <c r="PDO12" s="301"/>
      <c r="PDP12" s="309"/>
      <c r="PDQ12" s="301"/>
      <c r="PDR12" s="306"/>
      <c r="PDS12" s="301"/>
      <c r="PDT12" s="309"/>
      <c r="PDU12" s="301"/>
      <c r="PDV12" s="309"/>
      <c r="PDW12" s="301"/>
      <c r="PDX12" s="301"/>
      <c r="PDY12" s="301"/>
      <c r="PDZ12" s="301"/>
      <c r="PEA12" s="301"/>
      <c r="PEB12" s="301"/>
      <c r="PEC12" s="301"/>
      <c r="PED12" s="301"/>
      <c r="PEE12" s="312"/>
      <c r="PEF12" s="301"/>
      <c r="PEG12" s="309"/>
      <c r="PEH12" s="301"/>
      <c r="PEI12" s="306"/>
      <c r="PEJ12" s="301"/>
      <c r="PEK12" s="309"/>
      <c r="PEL12" s="301"/>
      <c r="PEM12" s="309"/>
      <c r="PEN12" s="301"/>
      <c r="PEO12" s="301"/>
      <c r="PEP12" s="301"/>
      <c r="PEQ12" s="301"/>
      <c r="PER12" s="301"/>
      <c r="PES12" s="301"/>
      <c r="PET12" s="301"/>
      <c r="PEU12" s="301"/>
      <c r="PEV12" s="312"/>
      <c r="PEW12" s="301"/>
      <c r="PEX12" s="309"/>
      <c r="PEY12" s="301"/>
      <c r="PEZ12" s="306"/>
      <c r="PFA12" s="301"/>
      <c r="PFB12" s="309"/>
      <c r="PFC12" s="301"/>
      <c r="PFD12" s="309"/>
      <c r="PFE12" s="301"/>
      <c r="PFF12" s="301"/>
      <c r="PFG12" s="301"/>
      <c r="PFH12" s="301"/>
      <c r="PFI12" s="301"/>
      <c r="PFJ12" s="301"/>
      <c r="PFK12" s="301"/>
      <c r="PFL12" s="301"/>
      <c r="PFM12" s="312"/>
      <c r="PFN12" s="301"/>
      <c r="PFO12" s="309"/>
      <c r="PFP12" s="301"/>
      <c r="PFQ12" s="306"/>
      <c r="PFR12" s="301"/>
      <c r="PFS12" s="309"/>
      <c r="PFT12" s="301"/>
      <c r="PFU12" s="309"/>
      <c r="PFV12" s="301"/>
      <c r="PFW12" s="301"/>
      <c r="PFX12" s="301"/>
      <c r="PFY12" s="301"/>
      <c r="PFZ12" s="301"/>
      <c r="PGA12" s="301"/>
      <c r="PGB12" s="301"/>
      <c r="PGC12" s="301"/>
      <c r="PGD12" s="312"/>
      <c r="PGE12" s="301"/>
      <c r="PGF12" s="309"/>
      <c r="PGG12" s="301"/>
      <c r="PGH12" s="306"/>
      <c r="PGI12" s="301"/>
      <c r="PGJ12" s="309"/>
      <c r="PGK12" s="301"/>
      <c r="PGL12" s="309"/>
      <c r="PGM12" s="301"/>
      <c r="PGN12" s="301"/>
      <c r="PGO12" s="301"/>
      <c r="PGP12" s="301"/>
      <c r="PGQ12" s="301"/>
      <c r="PGR12" s="301"/>
      <c r="PGS12" s="301"/>
      <c r="PGT12" s="301"/>
      <c r="PGU12" s="312"/>
      <c r="PGV12" s="301"/>
      <c r="PGW12" s="309"/>
      <c r="PGX12" s="301"/>
      <c r="PGY12" s="306"/>
      <c r="PGZ12" s="301"/>
      <c r="PHA12" s="309"/>
      <c r="PHB12" s="301"/>
      <c r="PHC12" s="309"/>
      <c r="PHD12" s="301"/>
      <c r="PHE12" s="301"/>
      <c r="PHF12" s="301"/>
      <c r="PHG12" s="301"/>
      <c r="PHH12" s="301"/>
      <c r="PHI12" s="301"/>
      <c r="PHJ12" s="301"/>
      <c r="PHK12" s="301"/>
      <c r="PHL12" s="312"/>
      <c r="PHM12" s="301"/>
      <c r="PHN12" s="309"/>
      <c r="PHO12" s="301"/>
      <c r="PHP12" s="306"/>
      <c r="PHQ12" s="301"/>
      <c r="PHR12" s="309"/>
      <c r="PHS12" s="301"/>
      <c r="PHT12" s="309"/>
      <c r="PHU12" s="301"/>
      <c r="PHV12" s="301"/>
      <c r="PHW12" s="301"/>
      <c r="PHX12" s="301"/>
      <c r="PHY12" s="301"/>
      <c r="PHZ12" s="301"/>
      <c r="PIA12" s="301"/>
      <c r="PIB12" s="301"/>
      <c r="PIC12" s="312"/>
      <c r="PID12" s="301"/>
      <c r="PIE12" s="309"/>
      <c r="PIF12" s="301"/>
      <c r="PIG12" s="306"/>
      <c r="PIH12" s="301"/>
      <c r="PII12" s="309"/>
      <c r="PIJ12" s="301"/>
      <c r="PIK12" s="309"/>
      <c r="PIL12" s="301"/>
      <c r="PIM12" s="301"/>
      <c r="PIN12" s="301"/>
      <c r="PIO12" s="301"/>
      <c r="PIP12" s="301"/>
      <c r="PIQ12" s="301"/>
      <c r="PIR12" s="301"/>
      <c r="PIS12" s="301"/>
      <c r="PIT12" s="312"/>
      <c r="PIU12" s="301"/>
      <c r="PIV12" s="309"/>
      <c r="PIW12" s="301"/>
      <c r="PIX12" s="306"/>
      <c r="PIY12" s="301"/>
      <c r="PIZ12" s="309"/>
      <c r="PJA12" s="301"/>
      <c r="PJB12" s="309"/>
      <c r="PJC12" s="301"/>
      <c r="PJD12" s="301"/>
      <c r="PJE12" s="301"/>
      <c r="PJF12" s="301"/>
      <c r="PJG12" s="301"/>
      <c r="PJH12" s="301"/>
      <c r="PJI12" s="301"/>
      <c r="PJJ12" s="301"/>
      <c r="PJK12" s="312"/>
      <c r="PJL12" s="301"/>
      <c r="PJM12" s="309"/>
      <c r="PJN12" s="301"/>
      <c r="PJO12" s="306"/>
      <c r="PJP12" s="301"/>
      <c r="PJQ12" s="309"/>
      <c r="PJR12" s="301"/>
      <c r="PJS12" s="309"/>
      <c r="PJT12" s="301"/>
      <c r="PJU12" s="301"/>
      <c r="PJV12" s="301"/>
      <c r="PJW12" s="301"/>
      <c r="PJX12" s="301"/>
      <c r="PJY12" s="301"/>
      <c r="PJZ12" s="301"/>
      <c r="PKA12" s="301"/>
      <c r="PKB12" s="312"/>
      <c r="PKC12" s="301"/>
      <c r="PKD12" s="309"/>
      <c r="PKE12" s="301"/>
      <c r="PKF12" s="306"/>
      <c r="PKG12" s="301"/>
      <c r="PKH12" s="309"/>
      <c r="PKI12" s="301"/>
      <c r="PKJ12" s="309"/>
      <c r="PKK12" s="301"/>
      <c r="PKL12" s="301"/>
      <c r="PKM12" s="301"/>
      <c r="PKN12" s="301"/>
      <c r="PKO12" s="301"/>
      <c r="PKP12" s="301"/>
      <c r="PKQ12" s="301"/>
      <c r="PKR12" s="301"/>
      <c r="PKS12" s="312"/>
      <c r="PKT12" s="301"/>
      <c r="PKU12" s="309"/>
      <c r="PKV12" s="301"/>
      <c r="PKW12" s="306"/>
      <c r="PKX12" s="301"/>
      <c r="PKY12" s="309"/>
      <c r="PKZ12" s="301"/>
      <c r="PLA12" s="309"/>
      <c r="PLB12" s="301"/>
      <c r="PLC12" s="301"/>
      <c r="PLD12" s="301"/>
      <c r="PLE12" s="301"/>
      <c r="PLF12" s="301"/>
      <c r="PLG12" s="301"/>
      <c r="PLH12" s="301"/>
      <c r="PLI12" s="301"/>
      <c r="PLJ12" s="312"/>
      <c r="PLK12" s="301"/>
      <c r="PLL12" s="309"/>
      <c r="PLM12" s="301"/>
      <c r="PLN12" s="306"/>
      <c r="PLO12" s="301"/>
      <c r="PLP12" s="309"/>
      <c r="PLQ12" s="301"/>
      <c r="PLR12" s="309"/>
      <c r="PLS12" s="301"/>
      <c r="PLT12" s="301"/>
      <c r="PLU12" s="301"/>
      <c r="PLV12" s="301"/>
      <c r="PLW12" s="301"/>
      <c r="PLX12" s="301"/>
      <c r="PLY12" s="301"/>
      <c r="PLZ12" s="301"/>
      <c r="PMA12" s="312"/>
      <c r="PMB12" s="301"/>
      <c r="PMC12" s="309"/>
      <c r="PMD12" s="301"/>
      <c r="PME12" s="306"/>
      <c r="PMF12" s="301"/>
      <c r="PMG12" s="309"/>
      <c r="PMH12" s="301"/>
      <c r="PMI12" s="309"/>
      <c r="PMJ12" s="301"/>
      <c r="PMK12" s="301"/>
      <c r="PML12" s="301"/>
      <c r="PMM12" s="301"/>
      <c r="PMN12" s="301"/>
      <c r="PMO12" s="301"/>
      <c r="PMP12" s="301"/>
      <c r="PMQ12" s="301"/>
      <c r="PMR12" s="312"/>
      <c r="PMS12" s="301"/>
      <c r="PMT12" s="309"/>
      <c r="PMU12" s="301"/>
      <c r="PMV12" s="306"/>
      <c r="PMW12" s="301"/>
      <c r="PMX12" s="309"/>
      <c r="PMY12" s="301"/>
      <c r="PMZ12" s="309"/>
      <c r="PNA12" s="301"/>
      <c r="PNB12" s="301"/>
      <c r="PNC12" s="301"/>
      <c r="PND12" s="301"/>
      <c r="PNE12" s="301"/>
      <c r="PNF12" s="301"/>
      <c r="PNG12" s="301"/>
      <c r="PNH12" s="301"/>
      <c r="PNI12" s="312"/>
      <c r="PNJ12" s="301"/>
      <c r="PNK12" s="309"/>
      <c r="PNL12" s="301"/>
      <c r="PNM12" s="306"/>
      <c r="PNN12" s="301"/>
      <c r="PNO12" s="309"/>
      <c r="PNP12" s="301"/>
      <c r="PNQ12" s="309"/>
      <c r="PNR12" s="301"/>
      <c r="PNS12" s="301"/>
      <c r="PNT12" s="301"/>
      <c r="PNU12" s="301"/>
      <c r="PNV12" s="301"/>
      <c r="PNW12" s="301"/>
      <c r="PNX12" s="301"/>
      <c r="PNY12" s="301"/>
      <c r="PNZ12" s="312"/>
      <c r="POA12" s="301"/>
      <c r="POB12" s="309"/>
      <c r="POC12" s="301"/>
      <c r="POD12" s="306"/>
      <c r="POE12" s="301"/>
      <c r="POF12" s="309"/>
      <c r="POG12" s="301"/>
      <c r="POH12" s="309"/>
      <c r="POI12" s="301"/>
      <c r="POJ12" s="301"/>
      <c r="POK12" s="301"/>
      <c r="POL12" s="301"/>
      <c r="POM12" s="301"/>
      <c r="PON12" s="301"/>
      <c r="POO12" s="301"/>
      <c r="POP12" s="301"/>
      <c r="POQ12" s="312"/>
      <c r="POR12" s="301"/>
      <c r="POS12" s="309"/>
      <c r="POT12" s="301"/>
      <c r="POU12" s="306"/>
      <c r="POV12" s="301"/>
      <c r="POW12" s="309"/>
      <c r="POX12" s="301"/>
      <c r="POY12" s="309"/>
      <c r="POZ12" s="301"/>
      <c r="PPA12" s="301"/>
      <c r="PPB12" s="301"/>
      <c r="PPC12" s="301"/>
      <c r="PPD12" s="301"/>
      <c r="PPE12" s="301"/>
      <c r="PPF12" s="301"/>
      <c r="PPG12" s="301"/>
      <c r="PPH12" s="312"/>
      <c r="PPI12" s="301"/>
      <c r="PPJ12" s="309"/>
      <c r="PPK12" s="301"/>
      <c r="PPL12" s="306"/>
      <c r="PPM12" s="301"/>
      <c r="PPN12" s="309"/>
      <c r="PPO12" s="301"/>
      <c r="PPP12" s="309"/>
      <c r="PPQ12" s="301"/>
      <c r="PPR12" s="301"/>
      <c r="PPS12" s="301"/>
      <c r="PPT12" s="301"/>
      <c r="PPU12" s="301"/>
      <c r="PPV12" s="301"/>
      <c r="PPW12" s="301"/>
      <c r="PPX12" s="301"/>
      <c r="PPY12" s="312"/>
      <c r="PPZ12" s="301"/>
      <c r="PQA12" s="309"/>
      <c r="PQB12" s="301"/>
      <c r="PQC12" s="306"/>
      <c r="PQD12" s="301"/>
      <c r="PQE12" s="309"/>
      <c r="PQF12" s="301"/>
      <c r="PQG12" s="309"/>
      <c r="PQH12" s="301"/>
      <c r="PQI12" s="301"/>
      <c r="PQJ12" s="301"/>
      <c r="PQK12" s="301"/>
      <c r="PQL12" s="301"/>
      <c r="PQM12" s="301"/>
      <c r="PQN12" s="301"/>
      <c r="PQO12" s="301"/>
      <c r="PQP12" s="312"/>
      <c r="PQQ12" s="301"/>
      <c r="PQR12" s="309"/>
      <c r="PQS12" s="301"/>
      <c r="PQT12" s="306"/>
      <c r="PQU12" s="301"/>
      <c r="PQV12" s="309"/>
      <c r="PQW12" s="301"/>
      <c r="PQX12" s="309"/>
      <c r="PQY12" s="301"/>
      <c r="PQZ12" s="301"/>
      <c r="PRA12" s="301"/>
      <c r="PRB12" s="301"/>
      <c r="PRC12" s="301"/>
      <c r="PRD12" s="301"/>
      <c r="PRE12" s="301"/>
      <c r="PRF12" s="301"/>
      <c r="PRG12" s="312"/>
      <c r="PRH12" s="301"/>
      <c r="PRI12" s="309"/>
      <c r="PRJ12" s="301"/>
      <c r="PRK12" s="306"/>
      <c r="PRL12" s="301"/>
      <c r="PRM12" s="309"/>
      <c r="PRN12" s="301"/>
      <c r="PRO12" s="309"/>
      <c r="PRP12" s="301"/>
      <c r="PRQ12" s="301"/>
      <c r="PRR12" s="301"/>
      <c r="PRS12" s="301"/>
      <c r="PRT12" s="301"/>
      <c r="PRU12" s="301"/>
      <c r="PRV12" s="301"/>
      <c r="PRW12" s="301"/>
      <c r="PRX12" s="312"/>
      <c r="PRY12" s="301"/>
      <c r="PRZ12" s="309"/>
      <c r="PSA12" s="301"/>
      <c r="PSB12" s="306"/>
      <c r="PSC12" s="301"/>
      <c r="PSD12" s="309"/>
      <c r="PSE12" s="301"/>
      <c r="PSF12" s="309"/>
      <c r="PSG12" s="301"/>
      <c r="PSH12" s="301"/>
      <c r="PSI12" s="301"/>
      <c r="PSJ12" s="301"/>
      <c r="PSK12" s="301"/>
      <c r="PSL12" s="301"/>
      <c r="PSM12" s="301"/>
      <c r="PSN12" s="301"/>
      <c r="PSO12" s="312"/>
      <c r="PSP12" s="301"/>
      <c r="PSQ12" s="309"/>
      <c r="PSR12" s="301"/>
      <c r="PSS12" s="306"/>
      <c r="PST12" s="301"/>
      <c r="PSU12" s="309"/>
      <c r="PSV12" s="301"/>
      <c r="PSW12" s="309"/>
      <c r="PSX12" s="301"/>
      <c r="PSY12" s="301"/>
      <c r="PSZ12" s="301"/>
      <c r="PTA12" s="301"/>
      <c r="PTB12" s="301"/>
      <c r="PTC12" s="301"/>
      <c r="PTD12" s="301"/>
      <c r="PTE12" s="301"/>
      <c r="PTF12" s="312"/>
      <c r="PTG12" s="301"/>
      <c r="PTH12" s="309"/>
      <c r="PTI12" s="301"/>
      <c r="PTJ12" s="306"/>
      <c r="PTK12" s="301"/>
      <c r="PTL12" s="309"/>
      <c r="PTM12" s="301"/>
      <c r="PTN12" s="309"/>
      <c r="PTO12" s="301"/>
      <c r="PTP12" s="301"/>
      <c r="PTQ12" s="301"/>
      <c r="PTR12" s="301"/>
      <c r="PTS12" s="301"/>
      <c r="PTT12" s="301"/>
      <c r="PTU12" s="301"/>
      <c r="PTV12" s="301"/>
      <c r="PTW12" s="312"/>
      <c r="PTX12" s="301"/>
      <c r="PTY12" s="309"/>
      <c r="PTZ12" s="301"/>
      <c r="PUA12" s="306"/>
      <c r="PUB12" s="301"/>
      <c r="PUC12" s="309"/>
      <c r="PUD12" s="301"/>
      <c r="PUE12" s="309"/>
      <c r="PUF12" s="301"/>
      <c r="PUG12" s="301"/>
      <c r="PUH12" s="301"/>
      <c r="PUI12" s="301"/>
      <c r="PUJ12" s="301"/>
      <c r="PUK12" s="301"/>
      <c r="PUL12" s="301"/>
      <c r="PUM12" s="301"/>
      <c r="PUN12" s="312"/>
      <c r="PUO12" s="301"/>
      <c r="PUP12" s="309"/>
      <c r="PUQ12" s="301"/>
      <c r="PUR12" s="306"/>
      <c r="PUS12" s="301"/>
      <c r="PUT12" s="309"/>
      <c r="PUU12" s="301"/>
      <c r="PUV12" s="309"/>
      <c r="PUW12" s="301"/>
      <c r="PUX12" s="301"/>
      <c r="PUY12" s="301"/>
      <c r="PUZ12" s="301"/>
      <c r="PVA12" s="301"/>
      <c r="PVB12" s="301"/>
      <c r="PVC12" s="301"/>
      <c r="PVD12" s="301"/>
      <c r="PVE12" s="312"/>
      <c r="PVF12" s="301"/>
      <c r="PVG12" s="309"/>
      <c r="PVH12" s="301"/>
      <c r="PVI12" s="306"/>
      <c r="PVJ12" s="301"/>
      <c r="PVK12" s="309"/>
      <c r="PVL12" s="301"/>
      <c r="PVM12" s="309"/>
      <c r="PVN12" s="301"/>
      <c r="PVO12" s="301"/>
      <c r="PVP12" s="301"/>
      <c r="PVQ12" s="301"/>
      <c r="PVR12" s="301"/>
      <c r="PVS12" s="301"/>
      <c r="PVT12" s="301"/>
      <c r="PVU12" s="301"/>
      <c r="PVV12" s="312"/>
      <c r="PVW12" s="301"/>
      <c r="PVX12" s="309"/>
      <c r="PVY12" s="301"/>
      <c r="PVZ12" s="306"/>
      <c r="PWA12" s="301"/>
      <c r="PWB12" s="309"/>
      <c r="PWC12" s="301"/>
      <c r="PWD12" s="309"/>
      <c r="PWE12" s="301"/>
      <c r="PWF12" s="301"/>
      <c r="PWG12" s="301"/>
      <c r="PWH12" s="301"/>
      <c r="PWI12" s="301"/>
      <c r="PWJ12" s="301"/>
      <c r="PWK12" s="301"/>
      <c r="PWL12" s="301"/>
      <c r="PWM12" s="312"/>
      <c r="PWN12" s="301"/>
      <c r="PWO12" s="309"/>
      <c r="PWP12" s="301"/>
      <c r="PWQ12" s="306"/>
      <c r="PWR12" s="301"/>
      <c r="PWS12" s="309"/>
      <c r="PWT12" s="301"/>
      <c r="PWU12" s="309"/>
      <c r="PWV12" s="301"/>
      <c r="PWW12" s="301"/>
      <c r="PWX12" s="301"/>
      <c r="PWY12" s="301"/>
      <c r="PWZ12" s="301"/>
      <c r="PXA12" s="301"/>
      <c r="PXB12" s="301"/>
      <c r="PXC12" s="301"/>
      <c r="PXD12" s="312"/>
      <c r="PXE12" s="301"/>
      <c r="PXF12" s="309"/>
      <c r="PXG12" s="301"/>
      <c r="PXH12" s="306"/>
      <c r="PXI12" s="301"/>
      <c r="PXJ12" s="309"/>
      <c r="PXK12" s="301"/>
      <c r="PXL12" s="309"/>
      <c r="PXM12" s="301"/>
      <c r="PXN12" s="301"/>
      <c r="PXO12" s="301"/>
      <c r="PXP12" s="301"/>
      <c r="PXQ12" s="301"/>
      <c r="PXR12" s="301"/>
      <c r="PXS12" s="301"/>
      <c r="PXT12" s="301"/>
      <c r="PXU12" s="312"/>
      <c r="PXV12" s="301"/>
      <c r="PXW12" s="309"/>
      <c r="PXX12" s="301"/>
      <c r="PXY12" s="306"/>
      <c r="PXZ12" s="301"/>
      <c r="PYA12" s="309"/>
      <c r="PYB12" s="301"/>
      <c r="PYC12" s="309"/>
      <c r="PYD12" s="301"/>
      <c r="PYE12" s="301"/>
      <c r="PYF12" s="301"/>
      <c r="PYG12" s="301"/>
      <c r="PYH12" s="301"/>
      <c r="PYI12" s="301"/>
      <c r="PYJ12" s="301"/>
      <c r="PYK12" s="301"/>
      <c r="PYL12" s="312"/>
      <c r="PYM12" s="301"/>
      <c r="PYN12" s="309"/>
      <c r="PYO12" s="301"/>
      <c r="PYP12" s="306"/>
      <c r="PYQ12" s="301"/>
      <c r="PYR12" s="309"/>
      <c r="PYS12" s="301"/>
      <c r="PYT12" s="309"/>
      <c r="PYU12" s="301"/>
      <c r="PYV12" s="301"/>
      <c r="PYW12" s="301"/>
      <c r="PYX12" s="301"/>
      <c r="PYY12" s="301"/>
      <c r="PYZ12" s="301"/>
      <c r="PZA12" s="301"/>
      <c r="PZB12" s="301"/>
      <c r="PZC12" s="312"/>
      <c r="PZD12" s="301"/>
      <c r="PZE12" s="309"/>
      <c r="PZF12" s="301"/>
      <c r="PZG12" s="306"/>
      <c r="PZH12" s="301"/>
      <c r="PZI12" s="309"/>
      <c r="PZJ12" s="301"/>
      <c r="PZK12" s="309"/>
      <c r="PZL12" s="301"/>
      <c r="PZM12" s="301"/>
      <c r="PZN12" s="301"/>
      <c r="PZO12" s="301"/>
      <c r="PZP12" s="301"/>
      <c r="PZQ12" s="301"/>
      <c r="PZR12" s="301"/>
      <c r="PZS12" s="301"/>
      <c r="PZT12" s="312"/>
      <c r="PZU12" s="301"/>
      <c r="PZV12" s="309"/>
      <c r="PZW12" s="301"/>
      <c r="PZX12" s="306"/>
      <c r="PZY12" s="301"/>
      <c r="PZZ12" s="309"/>
      <c r="QAA12" s="301"/>
      <c r="QAB12" s="309"/>
      <c r="QAC12" s="301"/>
      <c r="QAD12" s="301"/>
      <c r="QAE12" s="301"/>
      <c r="QAF12" s="301"/>
      <c r="QAG12" s="301"/>
      <c r="QAH12" s="301"/>
      <c r="QAI12" s="301"/>
      <c r="QAJ12" s="301"/>
      <c r="QAK12" s="312"/>
      <c r="QAL12" s="301"/>
      <c r="QAM12" s="309"/>
      <c r="QAN12" s="301"/>
      <c r="QAO12" s="306"/>
      <c r="QAP12" s="301"/>
      <c r="QAQ12" s="309"/>
      <c r="QAR12" s="301"/>
      <c r="QAS12" s="309"/>
      <c r="QAT12" s="301"/>
      <c r="QAU12" s="301"/>
      <c r="QAV12" s="301"/>
      <c r="QAW12" s="301"/>
      <c r="QAX12" s="301"/>
      <c r="QAY12" s="301"/>
      <c r="QAZ12" s="301"/>
      <c r="QBA12" s="301"/>
      <c r="QBB12" s="312"/>
      <c r="QBC12" s="301"/>
      <c r="QBD12" s="309"/>
      <c r="QBE12" s="301"/>
      <c r="QBF12" s="306"/>
      <c r="QBG12" s="301"/>
      <c r="QBH12" s="309"/>
      <c r="QBI12" s="301"/>
      <c r="QBJ12" s="309"/>
      <c r="QBK12" s="301"/>
      <c r="QBL12" s="301"/>
      <c r="QBM12" s="301"/>
      <c r="QBN12" s="301"/>
      <c r="QBO12" s="301"/>
      <c r="QBP12" s="301"/>
      <c r="QBQ12" s="301"/>
      <c r="QBR12" s="301"/>
      <c r="QBS12" s="312"/>
      <c r="QBT12" s="301"/>
      <c r="QBU12" s="309"/>
      <c r="QBV12" s="301"/>
      <c r="QBW12" s="306"/>
      <c r="QBX12" s="301"/>
      <c r="QBY12" s="309"/>
      <c r="QBZ12" s="301"/>
      <c r="QCA12" s="309"/>
      <c r="QCB12" s="301"/>
      <c r="QCC12" s="301"/>
      <c r="QCD12" s="301"/>
      <c r="QCE12" s="301"/>
      <c r="QCF12" s="301"/>
      <c r="QCG12" s="301"/>
      <c r="QCH12" s="301"/>
      <c r="QCI12" s="301"/>
      <c r="QCJ12" s="312"/>
      <c r="QCK12" s="301"/>
      <c r="QCL12" s="309"/>
      <c r="QCM12" s="301"/>
      <c r="QCN12" s="306"/>
      <c r="QCO12" s="301"/>
      <c r="QCP12" s="309"/>
      <c r="QCQ12" s="301"/>
      <c r="QCR12" s="309"/>
      <c r="QCS12" s="301"/>
      <c r="QCT12" s="301"/>
      <c r="QCU12" s="301"/>
      <c r="QCV12" s="301"/>
      <c r="QCW12" s="301"/>
      <c r="QCX12" s="301"/>
      <c r="QCY12" s="301"/>
      <c r="QCZ12" s="301"/>
      <c r="QDA12" s="312"/>
      <c r="QDB12" s="301"/>
      <c r="QDC12" s="309"/>
      <c r="QDD12" s="301"/>
      <c r="QDE12" s="306"/>
      <c r="QDF12" s="301"/>
      <c r="QDG12" s="309"/>
      <c r="QDH12" s="301"/>
      <c r="QDI12" s="309"/>
      <c r="QDJ12" s="301"/>
      <c r="QDK12" s="301"/>
      <c r="QDL12" s="301"/>
      <c r="QDM12" s="301"/>
      <c r="QDN12" s="301"/>
      <c r="QDO12" s="301"/>
      <c r="QDP12" s="301"/>
      <c r="QDQ12" s="301"/>
      <c r="QDR12" s="312"/>
      <c r="QDS12" s="301"/>
      <c r="QDT12" s="309"/>
      <c r="QDU12" s="301"/>
      <c r="QDV12" s="306"/>
      <c r="QDW12" s="301"/>
      <c r="QDX12" s="309"/>
      <c r="QDY12" s="301"/>
      <c r="QDZ12" s="309"/>
      <c r="QEA12" s="301"/>
      <c r="QEB12" s="301"/>
      <c r="QEC12" s="301"/>
      <c r="QED12" s="301"/>
      <c r="QEE12" s="301"/>
      <c r="QEF12" s="301"/>
      <c r="QEG12" s="301"/>
      <c r="QEH12" s="301"/>
      <c r="QEI12" s="312"/>
      <c r="QEJ12" s="301"/>
      <c r="QEK12" s="309"/>
      <c r="QEL12" s="301"/>
      <c r="QEM12" s="306"/>
      <c r="QEN12" s="301"/>
      <c r="QEO12" s="309"/>
      <c r="QEP12" s="301"/>
      <c r="QEQ12" s="309"/>
      <c r="QER12" s="301"/>
      <c r="QES12" s="301"/>
      <c r="QET12" s="301"/>
      <c r="QEU12" s="301"/>
      <c r="QEV12" s="301"/>
      <c r="QEW12" s="301"/>
      <c r="QEX12" s="301"/>
      <c r="QEY12" s="301"/>
      <c r="QEZ12" s="312"/>
      <c r="QFA12" s="301"/>
      <c r="QFB12" s="309"/>
      <c r="QFC12" s="301"/>
      <c r="QFD12" s="306"/>
      <c r="QFE12" s="301"/>
      <c r="QFF12" s="309"/>
      <c r="QFG12" s="301"/>
      <c r="QFH12" s="309"/>
      <c r="QFI12" s="301"/>
      <c r="QFJ12" s="301"/>
      <c r="QFK12" s="301"/>
      <c r="QFL12" s="301"/>
      <c r="QFM12" s="301"/>
      <c r="QFN12" s="301"/>
      <c r="QFO12" s="301"/>
      <c r="QFP12" s="301"/>
      <c r="QFQ12" s="312"/>
      <c r="QFR12" s="301"/>
      <c r="QFS12" s="309"/>
      <c r="QFT12" s="301"/>
      <c r="QFU12" s="306"/>
      <c r="QFV12" s="301"/>
      <c r="QFW12" s="309"/>
      <c r="QFX12" s="301"/>
      <c r="QFY12" s="309"/>
      <c r="QFZ12" s="301"/>
      <c r="QGA12" s="301"/>
      <c r="QGB12" s="301"/>
      <c r="QGC12" s="301"/>
      <c r="QGD12" s="301"/>
      <c r="QGE12" s="301"/>
      <c r="QGF12" s="301"/>
      <c r="QGG12" s="301"/>
      <c r="QGH12" s="312"/>
      <c r="QGI12" s="301"/>
      <c r="QGJ12" s="309"/>
      <c r="QGK12" s="301"/>
      <c r="QGL12" s="306"/>
      <c r="QGM12" s="301"/>
      <c r="QGN12" s="309"/>
      <c r="QGO12" s="301"/>
      <c r="QGP12" s="309"/>
      <c r="QGQ12" s="301"/>
      <c r="QGR12" s="301"/>
      <c r="QGS12" s="301"/>
      <c r="QGT12" s="301"/>
      <c r="QGU12" s="301"/>
      <c r="QGV12" s="301"/>
      <c r="QGW12" s="301"/>
      <c r="QGX12" s="301"/>
      <c r="QGY12" s="312"/>
      <c r="QGZ12" s="301"/>
      <c r="QHA12" s="309"/>
      <c r="QHB12" s="301"/>
      <c r="QHC12" s="306"/>
      <c r="QHD12" s="301"/>
      <c r="QHE12" s="309"/>
      <c r="QHF12" s="301"/>
      <c r="QHG12" s="309"/>
      <c r="QHH12" s="301"/>
      <c r="QHI12" s="301"/>
      <c r="QHJ12" s="301"/>
      <c r="QHK12" s="301"/>
      <c r="QHL12" s="301"/>
      <c r="QHM12" s="301"/>
      <c r="QHN12" s="301"/>
      <c r="QHO12" s="301"/>
      <c r="QHP12" s="312"/>
      <c r="QHQ12" s="301"/>
      <c r="QHR12" s="309"/>
      <c r="QHS12" s="301"/>
      <c r="QHT12" s="306"/>
      <c r="QHU12" s="301"/>
      <c r="QHV12" s="309"/>
      <c r="QHW12" s="301"/>
      <c r="QHX12" s="309"/>
      <c r="QHY12" s="301"/>
      <c r="QHZ12" s="301"/>
      <c r="QIA12" s="301"/>
      <c r="QIB12" s="301"/>
      <c r="QIC12" s="301"/>
      <c r="QID12" s="301"/>
      <c r="QIE12" s="301"/>
      <c r="QIF12" s="301"/>
      <c r="QIG12" s="312"/>
      <c r="QIH12" s="301"/>
      <c r="QII12" s="309"/>
      <c r="QIJ12" s="301"/>
      <c r="QIK12" s="306"/>
      <c r="QIL12" s="301"/>
      <c r="QIM12" s="309"/>
      <c r="QIN12" s="301"/>
      <c r="QIO12" s="309"/>
      <c r="QIP12" s="301"/>
      <c r="QIQ12" s="301"/>
      <c r="QIR12" s="301"/>
      <c r="QIS12" s="301"/>
      <c r="QIT12" s="301"/>
      <c r="QIU12" s="301"/>
      <c r="QIV12" s="301"/>
      <c r="QIW12" s="301"/>
      <c r="QIX12" s="312"/>
      <c r="QIY12" s="301"/>
      <c r="QIZ12" s="309"/>
      <c r="QJA12" s="301"/>
      <c r="QJB12" s="306"/>
      <c r="QJC12" s="301"/>
      <c r="QJD12" s="309"/>
      <c r="QJE12" s="301"/>
      <c r="QJF12" s="309"/>
      <c r="QJG12" s="301"/>
      <c r="QJH12" s="301"/>
      <c r="QJI12" s="301"/>
      <c r="QJJ12" s="301"/>
      <c r="QJK12" s="301"/>
      <c r="QJL12" s="301"/>
      <c r="QJM12" s="301"/>
      <c r="QJN12" s="301"/>
      <c r="QJO12" s="312"/>
      <c r="QJP12" s="301"/>
      <c r="QJQ12" s="309"/>
      <c r="QJR12" s="301"/>
      <c r="QJS12" s="306"/>
      <c r="QJT12" s="301"/>
      <c r="QJU12" s="309"/>
      <c r="QJV12" s="301"/>
      <c r="QJW12" s="309"/>
      <c r="QJX12" s="301"/>
      <c r="QJY12" s="301"/>
      <c r="QJZ12" s="301"/>
      <c r="QKA12" s="301"/>
      <c r="QKB12" s="301"/>
      <c r="QKC12" s="301"/>
      <c r="QKD12" s="301"/>
      <c r="QKE12" s="301"/>
      <c r="QKF12" s="312"/>
      <c r="QKG12" s="301"/>
      <c r="QKH12" s="309"/>
      <c r="QKI12" s="301"/>
      <c r="QKJ12" s="306"/>
      <c r="QKK12" s="301"/>
      <c r="QKL12" s="309"/>
      <c r="QKM12" s="301"/>
      <c r="QKN12" s="309"/>
      <c r="QKO12" s="301"/>
      <c r="QKP12" s="301"/>
      <c r="QKQ12" s="301"/>
      <c r="QKR12" s="301"/>
      <c r="QKS12" s="301"/>
      <c r="QKT12" s="301"/>
      <c r="QKU12" s="301"/>
      <c r="QKV12" s="301"/>
      <c r="QKW12" s="312"/>
      <c r="QKX12" s="301"/>
      <c r="QKY12" s="309"/>
      <c r="QKZ12" s="301"/>
      <c r="QLA12" s="306"/>
      <c r="QLB12" s="301"/>
      <c r="QLC12" s="309"/>
      <c r="QLD12" s="301"/>
      <c r="QLE12" s="309"/>
      <c r="QLF12" s="301"/>
      <c r="QLG12" s="301"/>
      <c r="QLH12" s="301"/>
      <c r="QLI12" s="301"/>
      <c r="QLJ12" s="301"/>
      <c r="QLK12" s="301"/>
      <c r="QLL12" s="301"/>
      <c r="QLM12" s="301"/>
      <c r="QLN12" s="312"/>
      <c r="QLO12" s="301"/>
      <c r="QLP12" s="309"/>
      <c r="QLQ12" s="301"/>
      <c r="QLR12" s="306"/>
      <c r="QLS12" s="301"/>
      <c r="QLT12" s="309"/>
      <c r="QLU12" s="301"/>
      <c r="QLV12" s="309"/>
      <c r="QLW12" s="301"/>
      <c r="QLX12" s="301"/>
      <c r="QLY12" s="301"/>
      <c r="QLZ12" s="301"/>
      <c r="QMA12" s="301"/>
      <c r="QMB12" s="301"/>
      <c r="QMC12" s="301"/>
      <c r="QMD12" s="301"/>
      <c r="QME12" s="312"/>
      <c r="QMF12" s="301"/>
      <c r="QMG12" s="309"/>
      <c r="QMH12" s="301"/>
      <c r="QMI12" s="306"/>
      <c r="QMJ12" s="301"/>
      <c r="QMK12" s="309"/>
      <c r="QML12" s="301"/>
      <c r="QMM12" s="309"/>
      <c r="QMN12" s="301"/>
      <c r="QMO12" s="301"/>
      <c r="QMP12" s="301"/>
      <c r="QMQ12" s="301"/>
      <c r="QMR12" s="301"/>
      <c r="QMS12" s="301"/>
      <c r="QMT12" s="301"/>
      <c r="QMU12" s="301"/>
      <c r="QMV12" s="312"/>
      <c r="QMW12" s="301"/>
      <c r="QMX12" s="309"/>
      <c r="QMY12" s="301"/>
      <c r="QMZ12" s="306"/>
      <c r="QNA12" s="301"/>
      <c r="QNB12" s="309"/>
      <c r="QNC12" s="301"/>
      <c r="QND12" s="309"/>
      <c r="QNE12" s="301"/>
      <c r="QNF12" s="301"/>
      <c r="QNG12" s="301"/>
      <c r="QNH12" s="301"/>
      <c r="QNI12" s="301"/>
      <c r="QNJ12" s="301"/>
      <c r="QNK12" s="301"/>
      <c r="QNL12" s="301"/>
      <c r="QNM12" s="312"/>
      <c r="QNN12" s="301"/>
      <c r="QNO12" s="309"/>
      <c r="QNP12" s="301"/>
      <c r="QNQ12" s="306"/>
      <c r="QNR12" s="301"/>
      <c r="QNS12" s="309"/>
      <c r="QNT12" s="301"/>
      <c r="QNU12" s="309"/>
      <c r="QNV12" s="301"/>
      <c r="QNW12" s="301"/>
      <c r="QNX12" s="301"/>
      <c r="QNY12" s="301"/>
      <c r="QNZ12" s="301"/>
      <c r="QOA12" s="301"/>
      <c r="QOB12" s="301"/>
      <c r="QOC12" s="301"/>
      <c r="QOD12" s="312"/>
      <c r="QOE12" s="301"/>
      <c r="QOF12" s="309"/>
      <c r="QOG12" s="301"/>
      <c r="QOH12" s="306"/>
      <c r="QOI12" s="301"/>
      <c r="QOJ12" s="309"/>
      <c r="QOK12" s="301"/>
      <c r="QOL12" s="309"/>
      <c r="QOM12" s="301"/>
      <c r="QON12" s="301"/>
      <c r="QOO12" s="301"/>
      <c r="QOP12" s="301"/>
      <c r="QOQ12" s="301"/>
      <c r="QOR12" s="301"/>
      <c r="QOS12" s="301"/>
      <c r="QOT12" s="301"/>
      <c r="QOU12" s="312"/>
      <c r="QOV12" s="301"/>
      <c r="QOW12" s="309"/>
      <c r="QOX12" s="301"/>
      <c r="QOY12" s="306"/>
      <c r="QOZ12" s="301"/>
      <c r="QPA12" s="309"/>
      <c r="QPB12" s="301"/>
      <c r="QPC12" s="309"/>
      <c r="QPD12" s="301"/>
      <c r="QPE12" s="301"/>
      <c r="QPF12" s="301"/>
      <c r="QPG12" s="301"/>
      <c r="QPH12" s="301"/>
      <c r="QPI12" s="301"/>
      <c r="QPJ12" s="301"/>
      <c r="QPK12" s="301"/>
      <c r="QPL12" s="312"/>
      <c r="QPM12" s="301"/>
      <c r="QPN12" s="309"/>
      <c r="QPO12" s="301"/>
      <c r="QPP12" s="306"/>
      <c r="QPQ12" s="301"/>
      <c r="QPR12" s="309"/>
      <c r="QPS12" s="301"/>
      <c r="QPT12" s="309"/>
      <c r="QPU12" s="301"/>
      <c r="QPV12" s="301"/>
      <c r="QPW12" s="301"/>
      <c r="QPX12" s="301"/>
      <c r="QPY12" s="301"/>
      <c r="QPZ12" s="301"/>
      <c r="QQA12" s="301"/>
      <c r="QQB12" s="301"/>
      <c r="QQC12" s="312"/>
      <c r="QQD12" s="301"/>
      <c r="QQE12" s="309"/>
      <c r="QQF12" s="301"/>
      <c r="QQG12" s="306"/>
      <c r="QQH12" s="301"/>
      <c r="QQI12" s="309"/>
      <c r="QQJ12" s="301"/>
      <c r="QQK12" s="309"/>
      <c r="QQL12" s="301"/>
      <c r="QQM12" s="301"/>
      <c r="QQN12" s="301"/>
      <c r="QQO12" s="301"/>
      <c r="QQP12" s="301"/>
      <c r="QQQ12" s="301"/>
      <c r="QQR12" s="301"/>
      <c r="QQS12" s="301"/>
      <c r="QQT12" s="312"/>
      <c r="QQU12" s="301"/>
      <c r="QQV12" s="309"/>
      <c r="QQW12" s="301"/>
      <c r="QQX12" s="306"/>
      <c r="QQY12" s="301"/>
      <c r="QQZ12" s="309"/>
      <c r="QRA12" s="301"/>
      <c r="QRB12" s="309"/>
      <c r="QRC12" s="301"/>
      <c r="QRD12" s="301"/>
      <c r="QRE12" s="301"/>
      <c r="QRF12" s="301"/>
      <c r="QRG12" s="301"/>
      <c r="QRH12" s="301"/>
      <c r="QRI12" s="301"/>
      <c r="QRJ12" s="301"/>
      <c r="QRK12" s="312"/>
      <c r="QRL12" s="301"/>
      <c r="QRM12" s="309"/>
      <c r="QRN12" s="301"/>
      <c r="QRO12" s="306"/>
      <c r="QRP12" s="301"/>
      <c r="QRQ12" s="309"/>
      <c r="QRR12" s="301"/>
      <c r="QRS12" s="309"/>
      <c r="QRT12" s="301"/>
      <c r="QRU12" s="301"/>
      <c r="QRV12" s="301"/>
      <c r="QRW12" s="301"/>
      <c r="QRX12" s="301"/>
      <c r="QRY12" s="301"/>
      <c r="QRZ12" s="301"/>
      <c r="QSA12" s="301"/>
      <c r="QSB12" s="312"/>
      <c r="QSC12" s="301"/>
      <c r="QSD12" s="309"/>
      <c r="QSE12" s="301"/>
      <c r="QSF12" s="306"/>
      <c r="QSG12" s="301"/>
      <c r="QSH12" s="309"/>
      <c r="QSI12" s="301"/>
      <c r="QSJ12" s="309"/>
      <c r="QSK12" s="301"/>
      <c r="QSL12" s="301"/>
      <c r="QSM12" s="301"/>
      <c r="QSN12" s="301"/>
      <c r="QSO12" s="301"/>
      <c r="QSP12" s="301"/>
      <c r="QSQ12" s="301"/>
      <c r="QSR12" s="301"/>
      <c r="QSS12" s="312"/>
      <c r="QST12" s="301"/>
      <c r="QSU12" s="309"/>
      <c r="QSV12" s="301"/>
      <c r="QSW12" s="306"/>
      <c r="QSX12" s="301"/>
      <c r="QSY12" s="309"/>
      <c r="QSZ12" s="301"/>
      <c r="QTA12" s="309"/>
      <c r="QTB12" s="301"/>
      <c r="QTC12" s="301"/>
      <c r="QTD12" s="301"/>
      <c r="QTE12" s="301"/>
      <c r="QTF12" s="301"/>
      <c r="QTG12" s="301"/>
      <c r="QTH12" s="301"/>
      <c r="QTI12" s="301"/>
      <c r="QTJ12" s="312"/>
      <c r="QTK12" s="301"/>
      <c r="QTL12" s="309"/>
      <c r="QTM12" s="301"/>
      <c r="QTN12" s="306"/>
      <c r="QTO12" s="301"/>
      <c r="QTP12" s="309"/>
      <c r="QTQ12" s="301"/>
      <c r="QTR12" s="309"/>
      <c r="QTS12" s="301"/>
      <c r="QTT12" s="301"/>
      <c r="QTU12" s="301"/>
      <c r="QTV12" s="301"/>
      <c r="QTW12" s="301"/>
      <c r="QTX12" s="301"/>
      <c r="QTY12" s="301"/>
      <c r="QTZ12" s="301"/>
      <c r="QUA12" s="312"/>
      <c r="QUB12" s="301"/>
      <c r="QUC12" s="309"/>
      <c r="QUD12" s="301"/>
      <c r="QUE12" s="306"/>
      <c r="QUF12" s="301"/>
      <c r="QUG12" s="309"/>
      <c r="QUH12" s="301"/>
      <c r="QUI12" s="309"/>
      <c r="QUJ12" s="301"/>
      <c r="QUK12" s="301"/>
      <c r="QUL12" s="301"/>
      <c r="QUM12" s="301"/>
      <c r="QUN12" s="301"/>
      <c r="QUO12" s="301"/>
      <c r="QUP12" s="301"/>
      <c r="QUQ12" s="301"/>
      <c r="QUR12" s="312"/>
      <c r="QUS12" s="301"/>
      <c r="QUT12" s="309"/>
      <c r="QUU12" s="301"/>
      <c r="QUV12" s="306"/>
      <c r="QUW12" s="301"/>
      <c r="QUX12" s="309"/>
      <c r="QUY12" s="301"/>
      <c r="QUZ12" s="309"/>
      <c r="QVA12" s="301"/>
      <c r="QVB12" s="301"/>
      <c r="QVC12" s="301"/>
      <c r="QVD12" s="301"/>
      <c r="QVE12" s="301"/>
      <c r="QVF12" s="301"/>
      <c r="QVG12" s="301"/>
      <c r="QVH12" s="301"/>
      <c r="QVI12" s="312"/>
      <c r="QVJ12" s="301"/>
      <c r="QVK12" s="309"/>
      <c r="QVL12" s="301"/>
      <c r="QVM12" s="306"/>
      <c r="QVN12" s="301"/>
      <c r="QVO12" s="309"/>
      <c r="QVP12" s="301"/>
      <c r="QVQ12" s="309"/>
      <c r="QVR12" s="301"/>
      <c r="QVS12" s="301"/>
      <c r="QVT12" s="301"/>
      <c r="QVU12" s="301"/>
      <c r="QVV12" s="301"/>
      <c r="QVW12" s="301"/>
      <c r="QVX12" s="301"/>
      <c r="QVY12" s="301"/>
      <c r="QVZ12" s="312"/>
      <c r="QWA12" s="301"/>
      <c r="QWB12" s="309"/>
      <c r="QWC12" s="301"/>
      <c r="QWD12" s="306"/>
      <c r="QWE12" s="301"/>
      <c r="QWF12" s="309"/>
      <c r="QWG12" s="301"/>
      <c r="QWH12" s="309"/>
      <c r="QWI12" s="301"/>
      <c r="QWJ12" s="301"/>
      <c r="QWK12" s="301"/>
      <c r="QWL12" s="301"/>
      <c r="QWM12" s="301"/>
      <c r="QWN12" s="301"/>
      <c r="QWO12" s="301"/>
      <c r="QWP12" s="301"/>
      <c r="QWQ12" s="312"/>
      <c r="QWR12" s="301"/>
      <c r="QWS12" s="309"/>
      <c r="QWT12" s="301"/>
      <c r="QWU12" s="306"/>
      <c r="QWV12" s="301"/>
      <c r="QWW12" s="309"/>
      <c r="QWX12" s="301"/>
      <c r="QWY12" s="309"/>
      <c r="QWZ12" s="301"/>
      <c r="QXA12" s="301"/>
      <c r="QXB12" s="301"/>
      <c r="QXC12" s="301"/>
      <c r="QXD12" s="301"/>
      <c r="QXE12" s="301"/>
      <c r="QXF12" s="301"/>
      <c r="QXG12" s="301"/>
      <c r="QXH12" s="312"/>
      <c r="QXI12" s="301"/>
      <c r="QXJ12" s="309"/>
      <c r="QXK12" s="301"/>
      <c r="QXL12" s="306"/>
      <c r="QXM12" s="301"/>
      <c r="QXN12" s="309"/>
      <c r="QXO12" s="301"/>
      <c r="QXP12" s="309"/>
      <c r="QXQ12" s="301"/>
      <c r="QXR12" s="301"/>
      <c r="QXS12" s="301"/>
      <c r="QXT12" s="301"/>
      <c r="QXU12" s="301"/>
      <c r="QXV12" s="301"/>
      <c r="QXW12" s="301"/>
      <c r="QXX12" s="301"/>
      <c r="QXY12" s="312"/>
      <c r="QXZ12" s="301"/>
      <c r="QYA12" s="309"/>
      <c r="QYB12" s="301"/>
      <c r="QYC12" s="306"/>
      <c r="QYD12" s="301"/>
      <c r="QYE12" s="309"/>
      <c r="QYF12" s="301"/>
      <c r="QYG12" s="309"/>
      <c r="QYH12" s="301"/>
      <c r="QYI12" s="301"/>
      <c r="QYJ12" s="301"/>
      <c r="QYK12" s="301"/>
      <c r="QYL12" s="301"/>
      <c r="QYM12" s="301"/>
      <c r="QYN12" s="301"/>
      <c r="QYO12" s="301"/>
      <c r="QYP12" s="312"/>
      <c r="QYQ12" s="301"/>
      <c r="QYR12" s="309"/>
      <c r="QYS12" s="301"/>
      <c r="QYT12" s="306"/>
      <c r="QYU12" s="301"/>
      <c r="QYV12" s="309"/>
      <c r="QYW12" s="301"/>
      <c r="QYX12" s="309"/>
      <c r="QYY12" s="301"/>
      <c r="QYZ12" s="301"/>
      <c r="QZA12" s="301"/>
      <c r="QZB12" s="301"/>
      <c r="QZC12" s="301"/>
      <c r="QZD12" s="301"/>
      <c r="QZE12" s="301"/>
      <c r="QZF12" s="301"/>
      <c r="QZG12" s="312"/>
      <c r="QZH12" s="301"/>
      <c r="QZI12" s="309"/>
      <c r="QZJ12" s="301"/>
      <c r="QZK12" s="306"/>
      <c r="QZL12" s="301"/>
      <c r="QZM12" s="309"/>
      <c r="QZN12" s="301"/>
      <c r="QZO12" s="309"/>
      <c r="QZP12" s="301"/>
      <c r="QZQ12" s="301"/>
      <c r="QZR12" s="301"/>
      <c r="QZS12" s="301"/>
      <c r="QZT12" s="301"/>
      <c r="QZU12" s="301"/>
      <c r="QZV12" s="301"/>
      <c r="QZW12" s="301"/>
      <c r="QZX12" s="312"/>
      <c r="QZY12" s="301"/>
      <c r="QZZ12" s="309"/>
      <c r="RAA12" s="301"/>
      <c r="RAB12" s="306"/>
      <c r="RAC12" s="301"/>
      <c r="RAD12" s="309"/>
      <c r="RAE12" s="301"/>
      <c r="RAF12" s="309"/>
      <c r="RAG12" s="301"/>
      <c r="RAH12" s="301"/>
      <c r="RAI12" s="301"/>
      <c r="RAJ12" s="301"/>
      <c r="RAK12" s="301"/>
      <c r="RAL12" s="301"/>
      <c r="RAM12" s="301"/>
      <c r="RAN12" s="301"/>
      <c r="RAO12" s="312"/>
      <c r="RAP12" s="301"/>
      <c r="RAQ12" s="309"/>
      <c r="RAR12" s="301"/>
      <c r="RAS12" s="306"/>
      <c r="RAT12" s="301"/>
      <c r="RAU12" s="309"/>
      <c r="RAV12" s="301"/>
      <c r="RAW12" s="309"/>
      <c r="RAX12" s="301"/>
      <c r="RAY12" s="301"/>
      <c r="RAZ12" s="301"/>
      <c r="RBA12" s="301"/>
      <c r="RBB12" s="301"/>
      <c r="RBC12" s="301"/>
      <c r="RBD12" s="301"/>
      <c r="RBE12" s="301"/>
      <c r="RBF12" s="312"/>
      <c r="RBG12" s="301"/>
      <c r="RBH12" s="309"/>
      <c r="RBI12" s="301"/>
      <c r="RBJ12" s="306"/>
      <c r="RBK12" s="301"/>
      <c r="RBL12" s="309"/>
      <c r="RBM12" s="301"/>
      <c r="RBN12" s="309"/>
      <c r="RBO12" s="301"/>
      <c r="RBP12" s="301"/>
      <c r="RBQ12" s="301"/>
      <c r="RBR12" s="301"/>
      <c r="RBS12" s="301"/>
      <c r="RBT12" s="301"/>
      <c r="RBU12" s="301"/>
      <c r="RBV12" s="301"/>
      <c r="RBW12" s="312"/>
      <c r="RBX12" s="301"/>
      <c r="RBY12" s="309"/>
      <c r="RBZ12" s="301"/>
      <c r="RCA12" s="306"/>
      <c r="RCB12" s="301"/>
      <c r="RCC12" s="309"/>
      <c r="RCD12" s="301"/>
      <c r="RCE12" s="309"/>
      <c r="RCF12" s="301"/>
      <c r="RCG12" s="301"/>
      <c r="RCH12" s="301"/>
      <c r="RCI12" s="301"/>
      <c r="RCJ12" s="301"/>
      <c r="RCK12" s="301"/>
      <c r="RCL12" s="301"/>
      <c r="RCM12" s="301"/>
      <c r="RCN12" s="312"/>
      <c r="RCO12" s="301"/>
      <c r="RCP12" s="309"/>
      <c r="RCQ12" s="301"/>
      <c r="RCR12" s="306"/>
      <c r="RCS12" s="301"/>
      <c r="RCT12" s="309"/>
      <c r="RCU12" s="301"/>
      <c r="RCV12" s="309"/>
      <c r="RCW12" s="301"/>
      <c r="RCX12" s="301"/>
      <c r="RCY12" s="301"/>
      <c r="RCZ12" s="301"/>
      <c r="RDA12" s="301"/>
      <c r="RDB12" s="301"/>
      <c r="RDC12" s="301"/>
      <c r="RDD12" s="301"/>
      <c r="RDE12" s="312"/>
      <c r="RDF12" s="301"/>
      <c r="RDG12" s="309"/>
      <c r="RDH12" s="301"/>
      <c r="RDI12" s="306"/>
      <c r="RDJ12" s="301"/>
      <c r="RDK12" s="309"/>
      <c r="RDL12" s="301"/>
      <c r="RDM12" s="309"/>
      <c r="RDN12" s="301"/>
      <c r="RDO12" s="301"/>
      <c r="RDP12" s="301"/>
      <c r="RDQ12" s="301"/>
      <c r="RDR12" s="301"/>
      <c r="RDS12" s="301"/>
      <c r="RDT12" s="301"/>
      <c r="RDU12" s="301"/>
      <c r="RDV12" s="312"/>
      <c r="RDW12" s="301"/>
      <c r="RDX12" s="309"/>
      <c r="RDY12" s="301"/>
      <c r="RDZ12" s="306"/>
      <c r="REA12" s="301"/>
      <c r="REB12" s="309"/>
      <c r="REC12" s="301"/>
      <c r="RED12" s="309"/>
      <c r="REE12" s="301"/>
      <c r="REF12" s="301"/>
      <c r="REG12" s="301"/>
      <c r="REH12" s="301"/>
      <c r="REI12" s="301"/>
      <c r="REJ12" s="301"/>
      <c r="REK12" s="301"/>
      <c r="REL12" s="301"/>
      <c r="REM12" s="312"/>
      <c r="REN12" s="301"/>
      <c r="REO12" s="309"/>
      <c r="REP12" s="301"/>
      <c r="REQ12" s="306"/>
      <c r="RER12" s="301"/>
      <c r="RES12" s="309"/>
      <c r="RET12" s="301"/>
      <c r="REU12" s="309"/>
      <c r="REV12" s="301"/>
      <c r="REW12" s="301"/>
      <c r="REX12" s="301"/>
      <c r="REY12" s="301"/>
      <c r="REZ12" s="301"/>
      <c r="RFA12" s="301"/>
      <c r="RFB12" s="301"/>
      <c r="RFC12" s="301"/>
      <c r="RFD12" s="312"/>
      <c r="RFE12" s="301"/>
      <c r="RFF12" s="309"/>
      <c r="RFG12" s="301"/>
      <c r="RFH12" s="306"/>
      <c r="RFI12" s="301"/>
      <c r="RFJ12" s="309"/>
      <c r="RFK12" s="301"/>
      <c r="RFL12" s="309"/>
      <c r="RFM12" s="301"/>
      <c r="RFN12" s="301"/>
      <c r="RFO12" s="301"/>
      <c r="RFP12" s="301"/>
      <c r="RFQ12" s="301"/>
      <c r="RFR12" s="301"/>
      <c r="RFS12" s="301"/>
      <c r="RFT12" s="301"/>
      <c r="RFU12" s="312"/>
      <c r="RFV12" s="301"/>
      <c r="RFW12" s="309"/>
      <c r="RFX12" s="301"/>
      <c r="RFY12" s="306"/>
      <c r="RFZ12" s="301"/>
      <c r="RGA12" s="309"/>
      <c r="RGB12" s="301"/>
      <c r="RGC12" s="309"/>
      <c r="RGD12" s="301"/>
      <c r="RGE12" s="301"/>
      <c r="RGF12" s="301"/>
      <c r="RGG12" s="301"/>
      <c r="RGH12" s="301"/>
      <c r="RGI12" s="301"/>
      <c r="RGJ12" s="301"/>
      <c r="RGK12" s="301"/>
      <c r="RGL12" s="312"/>
      <c r="RGM12" s="301"/>
      <c r="RGN12" s="309"/>
      <c r="RGO12" s="301"/>
      <c r="RGP12" s="306"/>
      <c r="RGQ12" s="301"/>
      <c r="RGR12" s="309"/>
      <c r="RGS12" s="301"/>
      <c r="RGT12" s="309"/>
      <c r="RGU12" s="301"/>
      <c r="RGV12" s="301"/>
      <c r="RGW12" s="301"/>
      <c r="RGX12" s="301"/>
      <c r="RGY12" s="301"/>
      <c r="RGZ12" s="301"/>
      <c r="RHA12" s="301"/>
      <c r="RHB12" s="301"/>
      <c r="RHC12" s="312"/>
      <c r="RHD12" s="301"/>
      <c r="RHE12" s="309"/>
      <c r="RHF12" s="301"/>
      <c r="RHG12" s="306"/>
      <c r="RHH12" s="301"/>
      <c r="RHI12" s="309"/>
      <c r="RHJ12" s="301"/>
      <c r="RHK12" s="309"/>
      <c r="RHL12" s="301"/>
      <c r="RHM12" s="301"/>
      <c r="RHN12" s="301"/>
      <c r="RHO12" s="301"/>
      <c r="RHP12" s="301"/>
      <c r="RHQ12" s="301"/>
      <c r="RHR12" s="301"/>
      <c r="RHS12" s="301"/>
      <c r="RHT12" s="312"/>
      <c r="RHU12" s="301"/>
      <c r="RHV12" s="309"/>
      <c r="RHW12" s="301"/>
      <c r="RHX12" s="306"/>
      <c r="RHY12" s="301"/>
      <c r="RHZ12" s="309"/>
      <c r="RIA12" s="301"/>
      <c r="RIB12" s="309"/>
      <c r="RIC12" s="301"/>
      <c r="RID12" s="301"/>
      <c r="RIE12" s="301"/>
      <c r="RIF12" s="301"/>
      <c r="RIG12" s="301"/>
      <c r="RIH12" s="301"/>
      <c r="RII12" s="301"/>
      <c r="RIJ12" s="301"/>
      <c r="RIK12" s="312"/>
      <c r="RIL12" s="301"/>
      <c r="RIM12" s="309"/>
      <c r="RIN12" s="301"/>
      <c r="RIO12" s="306"/>
      <c r="RIP12" s="301"/>
      <c r="RIQ12" s="309"/>
      <c r="RIR12" s="301"/>
      <c r="RIS12" s="309"/>
      <c r="RIT12" s="301"/>
      <c r="RIU12" s="301"/>
      <c r="RIV12" s="301"/>
      <c r="RIW12" s="301"/>
      <c r="RIX12" s="301"/>
      <c r="RIY12" s="301"/>
      <c r="RIZ12" s="301"/>
      <c r="RJA12" s="301"/>
      <c r="RJB12" s="312"/>
      <c r="RJC12" s="301"/>
      <c r="RJD12" s="309"/>
      <c r="RJE12" s="301"/>
      <c r="RJF12" s="306"/>
      <c r="RJG12" s="301"/>
      <c r="RJH12" s="309"/>
      <c r="RJI12" s="301"/>
      <c r="RJJ12" s="309"/>
      <c r="RJK12" s="301"/>
      <c r="RJL12" s="301"/>
      <c r="RJM12" s="301"/>
      <c r="RJN12" s="301"/>
      <c r="RJO12" s="301"/>
      <c r="RJP12" s="301"/>
      <c r="RJQ12" s="301"/>
      <c r="RJR12" s="301"/>
      <c r="RJS12" s="312"/>
      <c r="RJT12" s="301"/>
      <c r="RJU12" s="309"/>
      <c r="RJV12" s="301"/>
      <c r="RJW12" s="306"/>
      <c r="RJX12" s="301"/>
      <c r="RJY12" s="309"/>
      <c r="RJZ12" s="301"/>
      <c r="RKA12" s="309"/>
      <c r="RKB12" s="301"/>
      <c r="RKC12" s="301"/>
      <c r="RKD12" s="301"/>
      <c r="RKE12" s="301"/>
      <c r="RKF12" s="301"/>
      <c r="RKG12" s="301"/>
      <c r="RKH12" s="301"/>
      <c r="RKI12" s="301"/>
      <c r="RKJ12" s="312"/>
      <c r="RKK12" s="301"/>
      <c r="RKL12" s="309"/>
      <c r="RKM12" s="301"/>
      <c r="RKN12" s="306"/>
      <c r="RKO12" s="301"/>
      <c r="RKP12" s="309"/>
      <c r="RKQ12" s="301"/>
      <c r="RKR12" s="309"/>
      <c r="RKS12" s="301"/>
      <c r="RKT12" s="301"/>
      <c r="RKU12" s="301"/>
      <c r="RKV12" s="301"/>
      <c r="RKW12" s="301"/>
      <c r="RKX12" s="301"/>
      <c r="RKY12" s="301"/>
      <c r="RKZ12" s="301"/>
      <c r="RLA12" s="312"/>
      <c r="RLB12" s="301"/>
      <c r="RLC12" s="309"/>
      <c r="RLD12" s="301"/>
      <c r="RLE12" s="306"/>
      <c r="RLF12" s="301"/>
      <c r="RLG12" s="309"/>
      <c r="RLH12" s="301"/>
      <c r="RLI12" s="309"/>
      <c r="RLJ12" s="301"/>
      <c r="RLK12" s="301"/>
      <c r="RLL12" s="301"/>
      <c r="RLM12" s="301"/>
      <c r="RLN12" s="301"/>
      <c r="RLO12" s="301"/>
      <c r="RLP12" s="301"/>
      <c r="RLQ12" s="301"/>
      <c r="RLR12" s="312"/>
      <c r="RLS12" s="301"/>
      <c r="RLT12" s="309"/>
      <c r="RLU12" s="301"/>
      <c r="RLV12" s="306"/>
      <c r="RLW12" s="301"/>
      <c r="RLX12" s="309"/>
      <c r="RLY12" s="301"/>
      <c r="RLZ12" s="309"/>
      <c r="RMA12" s="301"/>
      <c r="RMB12" s="301"/>
      <c r="RMC12" s="301"/>
      <c r="RMD12" s="301"/>
      <c r="RME12" s="301"/>
      <c r="RMF12" s="301"/>
      <c r="RMG12" s="301"/>
      <c r="RMH12" s="301"/>
      <c r="RMI12" s="312"/>
      <c r="RMJ12" s="301"/>
      <c r="RMK12" s="309"/>
      <c r="RML12" s="301"/>
      <c r="RMM12" s="306"/>
      <c r="RMN12" s="301"/>
      <c r="RMO12" s="309"/>
      <c r="RMP12" s="301"/>
      <c r="RMQ12" s="309"/>
      <c r="RMR12" s="301"/>
      <c r="RMS12" s="301"/>
      <c r="RMT12" s="301"/>
      <c r="RMU12" s="301"/>
      <c r="RMV12" s="301"/>
      <c r="RMW12" s="301"/>
      <c r="RMX12" s="301"/>
      <c r="RMY12" s="301"/>
      <c r="RMZ12" s="312"/>
      <c r="RNA12" s="301"/>
      <c r="RNB12" s="309"/>
      <c r="RNC12" s="301"/>
      <c r="RND12" s="306"/>
      <c r="RNE12" s="301"/>
      <c r="RNF12" s="309"/>
      <c r="RNG12" s="301"/>
      <c r="RNH12" s="309"/>
      <c r="RNI12" s="301"/>
      <c r="RNJ12" s="301"/>
      <c r="RNK12" s="301"/>
      <c r="RNL12" s="301"/>
      <c r="RNM12" s="301"/>
      <c r="RNN12" s="301"/>
      <c r="RNO12" s="301"/>
      <c r="RNP12" s="301"/>
      <c r="RNQ12" s="312"/>
      <c r="RNR12" s="301"/>
      <c r="RNS12" s="309"/>
      <c r="RNT12" s="301"/>
      <c r="RNU12" s="306"/>
      <c r="RNV12" s="301"/>
      <c r="RNW12" s="309"/>
      <c r="RNX12" s="301"/>
      <c r="RNY12" s="309"/>
      <c r="RNZ12" s="301"/>
      <c r="ROA12" s="301"/>
      <c r="ROB12" s="301"/>
      <c r="ROC12" s="301"/>
      <c r="ROD12" s="301"/>
      <c r="ROE12" s="301"/>
      <c r="ROF12" s="301"/>
      <c r="ROG12" s="301"/>
      <c r="ROH12" s="312"/>
      <c r="ROI12" s="301"/>
      <c r="ROJ12" s="309"/>
      <c r="ROK12" s="301"/>
      <c r="ROL12" s="306"/>
      <c r="ROM12" s="301"/>
      <c r="RON12" s="309"/>
      <c r="ROO12" s="301"/>
      <c r="ROP12" s="309"/>
      <c r="ROQ12" s="301"/>
      <c r="ROR12" s="301"/>
      <c r="ROS12" s="301"/>
      <c r="ROT12" s="301"/>
      <c r="ROU12" s="301"/>
      <c r="ROV12" s="301"/>
      <c r="ROW12" s="301"/>
      <c r="ROX12" s="301"/>
      <c r="ROY12" s="312"/>
      <c r="ROZ12" s="301"/>
      <c r="RPA12" s="309"/>
      <c r="RPB12" s="301"/>
      <c r="RPC12" s="306"/>
      <c r="RPD12" s="301"/>
      <c r="RPE12" s="309"/>
      <c r="RPF12" s="301"/>
      <c r="RPG12" s="309"/>
      <c r="RPH12" s="301"/>
      <c r="RPI12" s="301"/>
      <c r="RPJ12" s="301"/>
      <c r="RPK12" s="301"/>
      <c r="RPL12" s="301"/>
      <c r="RPM12" s="301"/>
      <c r="RPN12" s="301"/>
      <c r="RPO12" s="301"/>
      <c r="RPP12" s="312"/>
      <c r="RPQ12" s="301"/>
      <c r="RPR12" s="309"/>
      <c r="RPS12" s="301"/>
      <c r="RPT12" s="306"/>
      <c r="RPU12" s="301"/>
      <c r="RPV12" s="309"/>
      <c r="RPW12" s="301"/>
      <c r="RPX12" s="309"/>
      <c r="RPY12" s="301"/>
      <c r="RPZ12" s="301"/>
      <c r="RQA12" s="301"/>
      <c r="RQB12" s="301"/>
      <c r="RQC12" s="301"/>
      <c r="RQD12" s="301"/>
      <c r="RQE12" s="301"/>
      <c r="RQF12" s="301"/>
      <c r="RQG12" s="312"/>
      <c r="RQH12" s="301"/>
      <c r="RQI12" s="309"/>
      <c r="RQJ12" s="301"/>
      <c r="RQK12" s="306"/>
      <c r="RQL12" s="301"/>
      <c r="RQM12" s="309"/>
      <c r="RQN12" s="301"/>
      <c r="RQO12" s="309"/>
      <c r="RQP12" s="301"/>
      <c r="RQQ12" s="301"/>
      <c r="RQR12" s="301"/>
      <c r="RQS12" s="301"/>
      <c r="RQT12" s="301"/>
      <c r="RQU12" s="301"/>
      <c r="RQV12" s="301"/>
      <c r="RQW12" s="301"/>
      <c r="RQX12" s="312"/>
      <c r="RQY12" s="301"/>
      <c r="RQZ12" s="309"/>
      <c r="RRA12" s="301"/>
      <c r="RRB12" s="306"/>
      <c r="RRC12" s="301"/>
      <c r="RRD12" s="309"/>
      <c r="RRE12" s="301"/>
      <c r="RRF12" s="309"/>
      <c r="RRG12" s="301"/>
      <c r="RRH12" s="301"/>
      <c r="RRI12" s="301"/>
      <c r="RRJ12" s="301"/>
      <c r="RRK12" s="301"/>
      <c r="RRL12" s="301"/>
      <c r="RRM12" s="301"/>
      <c r="RRN12" s="301"/>
      <c r="RRO12" s="312"/>
      <c r="RRP12" s="301"/>
      <c r="RRQ12" s="309"/>
      <c r="RRR12" s="301"/>
      <c r="RRS12" s="306"/>
      <c r="RRT12" s="301"/>
      <c r="RRU12" s="309"/>
      <c r="RRV12" s="301"/>
      <c r="RRW12" s="309"/>
      <c r="RRX12" s="301"/>
      <c r="RRY12" s="301"/>
      <c r="RRZ12" s="301"/>
      <c r="RSA12" s="301"/>
      <c r="RSB12" s="301"/>
      <c r="RSC12" s="301"/>
      <c r="RSD12" s="301"/>
      <c r="RSE12" s="301"/>
      <c r="RSF12" s="312"/>
      <c r="RSG12" s="301"/>
      <c r="RSH12" s="309"/>
      <c r="RSI12" s="301"/>
      <c r="RSJ12" s="306"/>
      <c r="RSK12" s="301"/>
      <c r="RSL12" s="309"/>
      <c r="RSM12" s="301"/>
      <c r="RSN12" s="309"/>
      <c r="RSO12" s="301"/>
      <c r="RSP12" s="301"/>
      <c r="RSQ12" s="301"/>
      <c r="RSR12" s="301"/>
      <c r="RSS12" s="301"/>
      <c r="RST12" s="301"/>
      <c r="RSU12" s="301"/>
      <c r="RSV12" s="301"/>
      <c r="RSW12" s="312"/>
      <c r="RSX12" s="301"/>
      <c r="RSY12" s="309"/>
      <c r="RSZ12" s="301"/>
      <c r="RTA12" s="306"/>
      <c r="RTB12" s="301"/>
      <c r="RTC12" s="309"/>
      <c r="RTD12" s="301"/>
      <c r="RTE12" s="309"/>
      <c r="RTF12" s="301"/>
      <c r="RTG12" s="301"/>
      <c r="RTH12" s="301"/>
      <c r="RTI12" s="301"/>
      <c r="RTJ12" s="301"/>
      <c r="RTK12" s="301"/>
      <c r="RTL12" s="301"/>
      <c r="RTM12" s="301"/>
      <c r="RTN12" s="312"/>
      <c r="RTO12" s="301"/>
      <c r="RTP12" s="309"/>
      <c r="RTQ12" s="301"/>
      <c r="RTR12" s="306"/>
      <c r="RTS12" s="301"/>
      <c r="RTT12" s="309"/>
      <c r="RTU12" s="301"/>
      <c r="RTV12" s="309"/>
      <c r="RTW12" s="301"/>
      <c r="RTX12" s="301"/>
      <c r="RTY12" s="301"/>
      <c r="RTZ12" s="301"/>
      <c r="RUA12" s="301"/>
      <c r="RUB12" s="301"/>
      <c r="RUC12" s="301"/>
      <c r="RUD12" s="301"/>
      <c r="RUE12" s="312"/>
      <c r="RUF12" s="301"/>
      <c r="RUG12" s="309"/>
      <c r="RUH12" s="301"/>
      <c r="RUI12" s="306"/>
      <c r="RUJ12" s="301"/>
      <c r="RUK12" s="309"/>
      <c r="RUL12" s="301"/>
      <c r="RUM12" s="309"/>
      <c r="RUN12" s="301"/>
      <c r="RUO12" s="301"/>
      <c r="RUP12" s="301"/>
      <c r="RUQ12" s="301"/>
      <c r="RUR12" s="301"/>
      <c r="RUS12" s="301"/>
      <c r="RUT12" s="301"/>
      <c r="RUU12" s="301"/>
      <c r="RUV12" s="312"/>
      <c r="RUW12" s="301"/>
      <c r="RUX12" s="309"/>
      <c r="RUY12" s="301"/>
      <c r="RUZ12" s="306"/>
      <c r="RVA12" s="301"/>
      <c r="RVB12" s="309"/>
      <c r="RVC12" s="301"/>
      <c r="RVD12" s="309"/>
      <c r="RVE12" s="301"/>
      <c r="RVF12" s="301"/>
      <c r="RVG12" s="301"/>
      <c r="RVH12" s="301"/>
      <c r="RVI12" s="301"/>
      <c r="RVJ12" s="301"/>
      <c r="RVK12" s="301"/>
      <c r="RVL12" s="301"/>
      <c r="RVM12" s="312"/>
      <c r="RVN12" s="301"/>
      <c r="RVO12" s="309"/>
      <c r="RVP12" s="301"/>
      <c r="RVQ12" s="306"/>
      <c r="RVR12" s="301"/>
      <c r="RVS12" s="309"/>
      <c r="RVT12" s="301"/>
      <c r="RVU12" s="309"/>
      <c r="RVV12" s="301"/>
      <c r="RVW12" s="301"/>
      <c r="RVX12" s="301"/>
      <c r="RVY12" s="301"/>
      <c r="RVZ12" s="301"/>
      <c r="RWA12" s="301"/>
      <c r="RWB12" s="301"/>
      <c r="RWC12" s="301"/>
      <c r="RWD12" s="312"/>
      <c r="RWE12" s="301"/>
      <c r="RWF12" s="309"/>
      <c r="RWG12" s="301"/>
      <c r="RWH12" s="306"/>
      <c r="RWI12" s="301"/>
      <c r="RWJ12" s="309"/>
      <c r="RWK12" s="301"/>
      <c r="RWL12" s="309"/>
      <c r="RWM12" s="301"/>
      <c r="RWN12" s="301"/>
      <c r="RWO12" s="301"/>
      <c r="RWP12" s="301"/>
      <c r="RWQ12" s="301"/>
      <c r="RWR12" s="301"/>
      <c r="RWS12" s="301"/>
      <c r="RWT12" s="301"/>
      <c r="RWU12" s="312"/>
      <c r="RWV12" s="301"/>
      <c r="RWW12" s="309"/>
      <c r="RWX12" s="301"/>
      <c r="RWY12" s="306"/>
      <c r="RWZ12" s="301"/>
      <c r="RXA12" s="309"/>
      <c r="RXB12" s="301"/>
      <c r="RXC12" s="309"/>
      <c r="RXD12" s="301"/>
      <c r="RXE12" s="301"/>
      <c r="RXF12" s="301"/>
      <c r="RXG12" s="301"/>
      <c r="RXH12" s="301"/>
      <c r="RXI12" s="301"/>
      <c r="RXJ12" s="301"/>
      <c r="RXK12" s="301"/>
      <c r="RXL12" s="312"/>
      <c r="RXM12" s="301"/>
      <c r="RXN12" s="309"/>
      <c r="RXO12" s="301"/>
      <c r="RXP12" s="306"/>
      <c r="RXQ12" s="301"/>
      <c r="RXR12" s="309"/>
      <c r="RXS12" s="301"/>
      <c r="RXT12" s="309"/>
      <c r="RXU12" s="301"/>
      <c r="RXV12" s="301"/>
      <c r="RXW12" s="301"/>
      <c r="RXX12" s="301"/>
      <c r="RXY12" s="301"/>
      <c r="RXZ12" s="301"/>
      <c r="RYA12" s="301"/>
      <c r="RYB12" s="301"/>
      <c r="RYC12" s="312"/>
      <c r="RYD12" s="301"/>
      <c r="RYE12" s="309"/>
      <c r="RYF12" s="301"/>
      <c r="RYG12" s="306"/>
      <c r="RYH12" s="301"/>
      <c r="RYI12" s="309"/>
      <c r="RYJ12" s="301"/>
      <c r="RYK12" s="309"/>
      <c r="RYL12" s="301"/>
      <c r="RYM12" s="301"/>
      <c r="RYN12" s="301"/>
      <c r="RYO12" s="301"/>
      <c r="RYP12" s="301"/>
      <c r="RYQ12" s="301"/>
      <c r="RYR12" s="301"/>
      <c r="RYS12" s="301"/>
      <c r="RYT12" s="312"/>
      <c r="RYU12" s="301"/>
      <c r="RYV12" s="309"/>
      <c r="RYW12" s="301"/>
      <c r="RYX12" s="306"/>
      <c r="RYY12" s="301"/>
      <c r="RYZ12" s="309"/>
      <c r="RZA12" s="301"/>
      <c r="RZB12" s="309"/>
      <c r="RZC12" s="301"/>
      <c r="RZD12" s="301"/>
      <c r="RZE12" s="301"/>
      <c r="RZF12" s="301"/>
      <c r="RZG12" s="301"/>
      <c r="RZH12" s="301"/>
      <c r="RZI12" s="301"/>
      <c r="RZJ12" s="301"/>
      <c r="RZK12" s="312"/>
      <c r="RZL12" s="301"/>
      <c r="RZM12" s="309"/>
      <c r="RZN12" s="301"/>
      <c r="RZO12" s="306"/>
      <c r="RZP12" s="301"/>
      <c r="RZQ12" s="309"/>
      <c r="RZR12" s="301"/>
      <c r="RZS12" s="309"/>
      <c r="RZT12" s="301"/>
      <c r="RZU12" s="301"/>
      <c r="RZV12" s="301"/>
      <c r="RZW12" s="301"/>
      <c r="RZX12" s="301"/>
      <c r="RZY12" s="301"/>
      <c r="RZZ12" s="301"/>
      <c r="SAA12" s="301"/>
      <c r="SAB12" s="312"/>
      <c r="SAC12" s="301"/>
      <c r="SAD12" s="309"/>
      <c r="SAE12" s="301"/>
      <c r="SAF12" s="306"/>
      <c r="SAG12" s="301"/>
      <c r="SAH12" s="309"/>
      <c r="SAI12" s="301"/>
      <c r="SAJ12" s="309"/>
      <c r="SAK12" s="301"/>
      <c r="SAL12" s="301"/>
      <c r="SAM12" s="301"/>
      <c r="SAN12" s="301"/>
      <c r="SAO12" s="301"/>
      <c r="SAP12" s="301"/>
      <c r="SAQ12" s="301"/>
      <c r="SAR12" s="301"/>
      <c r="SAS12" s="312"/>
      <c r="SAT12" s="301"/>
      <c r="SAU12" s="309"/>
      <c r="SAV12" s="301"/>
      <c r="SAW12" s="306"/>
      <c r="SAX12" s="301"/>
      <c r="SAY12" s="309"/>
      <c r="SAZ12" s="301"/>
      <c r="SBA12" s="309"/>
      <c r="SBB12" s="301"/>
      <c r="SBC12" s="301"/>
      <c r="SBD12" s="301"/>
      <c r="SBE12" s="301"/>
      <c r="SBF12" s="301"/>
      <c r="SBG12" s="301"/>
      <c r="SBH12" s="301"/>
      <c r="SBI12" s="301"/>
      <c r="SBJ12" s="312"/>
      <c r="SBK12" s="301"/>
      <c r="SBL12" s="309"/>
      <c r="SBM12" s="301"/>
      <c r="SBN12" s="306"/>
      <c r="SBO12" s="301"/>
      <c r="SBP12" s="309"/>
      <c r="SBQ12" s="301"/>
      <c r="SBR12" s="309"/>
      <c r="SBS12" s="301"/>
      <c r="SBT12" s="301"/>
      <c r="SBU12" s="301"/>
      <c r="SBV12" s="301"/>
      <c r="SBW12" s="301"/>
      <c r="SBX12" s="301"/>
      <c r="SBY12" s="301"/>
      <c r="SBZ12" s="301"/>
      <c r="SCA12" s="312"/>
      <c r="SCB12" s="301"/>
      <c r="SCC12" s="309"/>
      <c r="SCD12" s="301"/>
      <c r="SCE12" s="306"/>
      <c r="SCF12" s="301"/>
      <c r="SCG12" s="309"/>
      <c r="SCH12" s="301"/>
      <c r="SCI12" s="309"/>
      <c r="SCJ12" s="301"/>
      <c r="SCK12" s="301"/>
      <c r="SCL12" s="301"/>
      <c r="SCM12" s="301"/>
      <c r="SCN12" s="301"/>
      <c r="SCO12" s="301"/>
      <c r="SCP12" s="301"/>
      <c r="SCQ12" s="301"/>
      <c r="SCR12" s="312"/>
      <c r="SCS12" s="301"/>
      <c r="SCT12" s="309"/>
      <c r="SCU12" s="301"/>
      <c r="SCV12" s="306"/>
      <c r="SCW12" s="301"/>
      <c r="SCX12" s="309"/>
      <c r="SCY12" s="301"/>
      <c r="SCZ12" s="309"/>
      <c r="SDA12" s="301"/>
      <c r="SDB12" s="301"/>
      <c r="SDC12" s="301"/>
      <c r="SDD12" s="301"/>
      <c r="SDE12" s="301"/>
      <c r="SDF12" s="301"/>
      <c r="SDG12" s="301"/>
      <c r="SDH12" s="301"/>
      <c r="SDI12" s="312"/>
      <c r="SDJ12" s="301"/>
      <c r="SDK12" s="309"/>
      <c r="SDL12" s="301"/>
      <c r="SDM12" s="306"/>
      <c r="SDN12" s="301"/>
      <c r="SDO12" s="309"/>
      <c r="SDP12" s="301"/>
      <c r="SDQ12" s="309"/>
      <c r="SDR12" s="301"/>
      <c r="SDS12" s="301"/>
      <c r="SDT12" s="301"/>
      <c r="SDU12" s="301"/>
      <c r="SDV12" s="301"/>
      <c r="SDW12" s="301"/>
      <c r="SDX12" s="301"/>
      <c r="SDY12" s="301"/>
      <c r="SDZ12" s="312"/>
      <c r="SEA12" s="301"/>
      <c r="SEB12" s="309"/>
      <c r="SEC12" s="301"/>
      <c r="SED12" s="306"/>
      <c r="SEE12" s="301"/>
      <c r="SEF12" s="309"/>
      <c r="SEG12" s="301"/>
      <c r="SEH12" s="309"/>
      <c r="SEI12" s="301"/>
      <c r="SEJ12" s="301"/>
      <c r="SEK12" s="301"/>
      <c r="SEL12" s="301"/>
      <c r="SEM12" s="301"/>
      <c r="SEN12" s="301"/>
      <c r="SEO12" s="301"/>
      <c r="SEP12" s="301"/>
      <c r="SEQ12" s="312"/>
      <c r="SER12" s="301"/>
      <c r="SES12" s="309"/>
      <c r="SET12" s="301"/>
      <c r="SEU12" s="306"/>
      <c r="SEV12" s="301"/>
      <c r="SEW12" s="309"/>
      <c r="SEX12" s="301"/>
      <c r="SEY12" s="309"/>
      <c r="SEZ12" s="301"/>
      <c r="SFA12" s="301"/>
      <c r="SFB12" s="301"/>
      <c r="SFC12" s="301"/>
      <c r="SFD12" s="301"/>
      <c r="SFE12" s="301"/>
      <c r="SFF12" s="301"/>
      <c r="SFG12" s="301"/>
      <c r="SFH12" s="312"/>
      <c r="SFI12" s="301"/>
      <c r="SFJ12" s="309"/>
      <c r="SFK12" s="301"/>
      <c r="SFL12" s="306"/>
      <c r="SFM12" s="301"/>
      <c r="SFN12" s="309"/>
      <c r="SFO12" s="301"/>
      <c r="SFP12" s="309"/>
      <c r="SFQ12" s="301"/>
      <c r="SFR12" s="301"/>
      <c r="SFS12" s="301"/>
      <c r="SFT12" s="301"/>
      <c r="SFU12" s="301"/>
      <c r="SFV12" s="301"/>
      <c r="SFW12" s="301"/>
      <c r="SFX12" s="301"/>
      <c r="SFY12" s="312"/>
      <c r="SFZ12" s="301"/>
      <c r="SGA12" s="309"/>
      <c r="SGB12" s="301"/>
      <c r="SGC12" s="306"/>
      <c r="SGD12" s="301"/>
      <c r="SGE12" s="309"/>
      <c r="SGF12" s="301"/>
      <c r="SGG12" s="309"/>
      <c r="SGH12" s="301"/>
      <c r="SGI12" s="301"/>
      <c r="SGJ12" s="301"/>
      <c r="SGK12" s="301"/>
      <c r="SGL12" s="301"/>
      <c r="SGM12" s="301"/>
      <c r="SGN12" s="301"/>
      <c r="SGO12" s="301"/>
      <c r="SGP12" s="312"/>
      <c r="SGQ12" s="301"/>
      <c r="SGR12" s="309"/>
      <c r="SGS12" s="301"/>
      <c r="SGT12" s="306"/>
      <c r="SGU12" s="301"/>
      <c r="SGV12" s="309"/>
      <c r="SGW12" s="301"/>
      <c r="SGX12" s="309"/>
      <c r="SGY12" s="301"/>
      <c r="SGZ12" s="301"/>
      <c r="SHA12" s="301"/>
      <c r="SHB12" s="301"/>
      <c r="SHC12" s="301"/>
      <c r="SHD12" s="301"/>
      <c r="SHE12" s="301"/>
      <c r="SHF12" s="301"/>
      <c r="SHG12" s="312"/>
      <c r="SHH12" s="301"/>
      <c r="SHI12" s="309"/>
      <c r="SHJ12" s="301"/>
      <c r="SHK12" s="306"/>
      <c r="SHL12" s="301"/>
      <c r="SHM12" s="309"/>
      <c r="SHN12" s="301"/>
      <c r="SHO12" s="309"/>
      <c r="SHP12" s="301"/>
      <c r="SHQ12" s="301"/>
      <c r="SHR12" s="301"/>
      <c r="SHS12" s="301"/>
      <c r="SHT12" s="301"/>
      <c r="SHU12" s="301"/>
      <c r="SHV12" s="301"/>
      <c r="SHW12" s="301"/>
      <c r="SHX12" s="312"/>
      <c r="SHY12" s="301"/>
      <c r="SHZ12" s="309"/>
      <c r="SIA12" s="301"/>
      <c r="SIB12" s="306"/>
      <c r="SIC12" s="301"/>
      <c r="SID12" s="309"/>
      <c r="SIE12" s="301"/>
      <c r="SIF12" s="309"/>
      <c r="SIG12" s="301"/>
      <c r="SIH12" s="301"/>
      <c r="SII12" s="301"/>
      <c r="SIJ12" s="301"/>
      <c r="SIK12" s="301"/>
      <c r="SIL12" s="301"/>
      <c r="SIM12" s="301"/>
      <c r="SIN12" s="301"/>
      <c r="SIO12" s="312"/>
      <c r="SIP12" s="301"/>
      <c r="SIQ12" s="309"/>
      <c r="SIR12" s="301"/>
      <c r="SIS12" s="306"/>
      <c r="SIT12" s="301"/>
      <c r="SIU12" s="309"/>
      <c r="SIV12" s="301"/>
      <c r="SIW12" s="309"/>
      <c r="SIX12" s="301"/>
      <c r="SIY12" s="301"/>
      <c r="SIZ12" s="301"/>
      <c r="SJA12" s="301"/>
      <c r="SJB12" s="301"/>
      <c r="SJC12" s="301"/>
      <c r="SJD12" s="301"/>
      <c r="SJE12" s="301"/>
      <c r="SJF12" s="312"/>
      <c r="SJG12" s="301"/>
      <c r="SJH12" s="309"/>
      <c r="SJI12" s="301"/>
      <c r="SJJ12" s="306"/>
      <c r="SJK12" s="301"/>
      <c r="SJL12" s="309"/>
      <c r="SJM12" s="301"/>
      <c r="SJN12" s="309"/>
      <c r="SJO12" s="301"/>
      <c r="SJP12" s="301"/>
      <c r="SJQ12" s="301"/>
      <c r="SJR12" s="301"/>
      <c r="SJS12" s="301"/>
      <c r="SJT12" s="301"/>
      <c r="SJU12" s="301"/>
      <c r="SJV12" s="301"/>
      <c r="SJW12" s="312"/>
      <c r="SJX12" s="301"/>
      <c r="SJY12" s="309"/>
      <c r="SJZ12" s="301"/>
      <c r="SKA12" s="306"/>
      <c r="SKB12" s="301"/>
      <c r="SKC12" s="309"/>
      <c r="SKD12" s="301"/>
      <c r="SKE12" s="309"/>
      <c r="SKF12" s="301"/>
      <c r="SKG12" s="301"/>
      <c r="SKH12" s="301"/>
      <c r="SKI12" s="301"/>
      <c r="SKJ12" s="301"/>
      <c r="SKK12" s="301"/>
      <c r="SKL12" s="301"/>
      <c r="SKM12" s="301"/>
      <c r="SKN12" s="312"/>
      <c r="SKO12" s="301"/>
      <c r="SKP12" s="309"/>
      <c r="SKQ12" s="301"/>
      <c r="SKR12" s="306"/>
      <c r="SKS12" s="301"/>
      <c r="SKT12" s="309"/>
      <c r="SKU12" s="301"/>
      <c r="SKV12" s="309"/>
      <c r="SKW12" s="301"/>
      <c r="SKX12" s="301"/>
      <c r="SKY12" s="301"/>
      <c r="SKZ12" s="301"/>
      <c r="SLA12" s="301"/>
      <c r="SLB12" s="301"/>
      <c r="SLC12" s="301"/>
      <c r="SLD12" s="301"/>
      <c r="SLE12" s="312"/>
      <c r="SLF12" s="301"/>
      <c r="SLG12" s="309"/>
      <c r="SLH12" s="301"/>
      <c r="SLI12" s="306"/>
      <c r="SLJ12" s="301"/>
      <c r="SLK12" s="309"/>
      <c r="SLL12" s="301"/>
      <c r="SLM12" s="309"/>
      <c r="SLN12" s="301"/>
      <c r="SLO12" s="301"/>
      <c r="SLP12" s="301"/>
      <c r="SLQ12" s="301"/>
      <c r="SLR12" s="301"/>
      <c r="SLS12" s="301"/>
      <c r="SLT12" s="301"/>
      <c r="SLU12" s="301"/>
      <c r="SLV12" s="312"/>
      <c r="SLW12" s="301"/>
      <c r="SLX12" s="309"/>
      <c r="SLY12" s="301"/>
      <c r="SLZ12" s="306"/>
      <c r="SMA12" s="301"/>
      <c r="SMB12" s="309"/>
      <c r="SMC12" s="301"/>
      <c r="SMD12" s="309"/>
      <c r="SME12" s="301"/>
      <c r="SMF12" s="301"/>
      <c r="SMG12" s="301"/>
      <c r="SMH12" s="301"/>
      <c r="SMI12" s="301"/>
      <c r="SMJ12" s="301"/>
      <c r="SMK12" s="301"/>
      <c r="SML12" s="301"/>
      <c r="SMM12" s="312"/>
      <c r="SMN12" s="301"/>
      <c r="SMO12" s="309"/>
      <c r="SMP12" s="301"/>
      <c r="SMQ12" s="306"/>
      <c r="SMR12" s="301"/>
      <c r="SMS12" s="309"/>
      <c r="SMT12" s="301"/>
      <c r="SMU12" s="309"/>
      <c r="SMV12" s="301"/>
      <c r="SMW12" s="301"/>
      <c r="SMX12" s="301"/>
      <c r="SMY12" s="301"/>
      <c r="SMZ12" s="301"/>
      <c r="SNA12" s="301"/>
      <c r="SNB12" s="301"/>
      <c r="SNC12" s="301"/>
      <c r="SND12" s="312"/>
      <c r="SNE12" s="301"/>
      <c r="SNF12" s="309"/>
      <c r="SNG12" s="301"/>
      <c r="SNH12" s="306"/>
      <c r="SNI12" s="301"/>
      <c r="SNJ12" s="309"/>
      <c r="SNK12" s="301"/>
      <c r="SNL12" s="309"/>
      <c r="SNM12" s="301"/>
      <c r="SNN12" s="301"/>
      <c r="SNO12" s="301"/>
      <c r="SNP12" s="301"/>
      <c r="SNQ12" s="301"/>
      <c r="SNR12" s="301"/>
      <c r="SNS12" s="301"/>
      <c r="SNT12" s="301"/>
      <c r="SNU12" s="312"/>
      <c r="SNV12" s="301"/>
      <c r="SNW12" s="309"/>
      <c r="SNX12" s="301"/>
      <c r="SNY12" s="306"/>
      <c r="SNZ12" s="301"/>
      <c r="SOA12" s="309"/>
      <c r="SOB12" s="301"/>
      <c r="SOC12" s="309"/>
      <c r="SOD12" s="301"/>
      <c r="SOE12" s="301"/>
      <c r="SOF12" s="301"/>
      <c r="SOG12" s="301"/>
      <c r="SOH12" s="301"/>
      <c r="SOI12" s="301"/>
      <c r="SOJ12" s="301"/>
      <c r="SOK12" s="301"/>
      <c r="SOL12" s="312"/>
      <c r="SOM12" s="301"/>
      <c r="SON12" s="309"/>
      <c r="SOO12" s="301"/>
      <c r="SOP12" s="306"/>
      <c r="SOQ12" s="301"/>
      <c r="SOR12" s="309"/>
      <c r="SOS12" s="301"/>
      <c r="SOT12" s="309"/>
      <c r="SOU12" s="301"/>
      <c r="SOV12" s="301"/>
      <c r="SOW12" s="301"/>
      <c r="SOX12" s="301"/>
      <c r="SOY12" s="301"/>
      <c r="SOZ12" s="301"/>
      <c r="SPA12" s="301"/>
      <c r="SPB12" s="301"/>
      <c r="SPC12" s="312"/>
      <c r="SPD12" s="301"/>
      <c r="SPE12" s="309"/>
      <c r="SPF12" s="301"/>
      <c r="SPG12" s="306"/>
      <c r="SPH12" s="301"/>
      <c r="SPI12" s="309"/>
      <c r="SPJ12" s="301"/>
      <c r="SPK12" s="309"/>
      <c r="SPL12" s="301"/>
      <c r="SPM12" s="301"/>
      <c r="SPN12" s="301"/>
      <c r="SPO12" s="301"/>
      <c r="SPP12" s="301"/>
      <c r="SPQ12" s="301"/>
      <c r="SPR12" s="301"/>
      <c r="SPS12" s="301"/>
      <c r="SPT12" s="312"/>
      <c r="SPU12" s="301"/>
      <c r="SPV12" s="309"/>
      <c r="SPW12" s="301"/>
      <c r="SPX12" s="306"/>
      <c r="SPY12" s="301"/>
      <c r="SPZ12" s="309"/>
      <c r="SQA12" s="301"/>
      <c r="SQB12" s="309"/>
      <c r="SQC12" s="301"/>
      <c r="SQD12" s="301"/>
      <c r="SQE12" s="301"/>
      <c r="SQF12" s="301"/>
      <c r="SQG12" s="301"/>
      <c r="SQH12" s="301"/>
      <c r="SQI12" s="301"/>
      <c r="SQJ12" s="301"/>
      <c r="SQK12" s="312"/>
      <c r="SQL12" s="301"/>
      <c r="SQM12" s="309"/>
      <c r="SQN12" s="301"/>
      <c r="SQO12" s="306"/>
      <c r="SQP12" s="301"/>
      <c r="SQQ12" s="309"/>
      <c r="SQR12" s="301"/>
      <c r="SQS12" s="309"/>
      <c r="SQT12" s="301"/>
      <c r="SQU12" s="301"/>
      <c r="SQV12" s="301"/>
      <c r="SQW12" s="301"/>
      <c r="SQX12" s="301"/>
      <c r="SQY12" s="301"/>
      <c r="SQZ12" s="301"/>
      <c r="SRA12" s="301"/>
      <c r="SRB12" s="312"/>
      <c r="SRC12" s="301"/>
      <c r="SRD12" s="309"/>
      <c r="SRE12" s="301"/>
      <c r="SRF12" s="306"/>
      <c r="SRG12" s="301"/>
      <c r="SRH12" s="309"/>
      <c r="SRI12" s="301"/>
      <c r="SRJ12" s="309"/>
      <c r="SRK12" s="301"/>
      <c r="SRL12" s="301"/>
      <c r="SRM12" s="301"/>
      <c r="SRN12" s="301"/>
      <c r="SRO12" s="301"/>
      <c r="SRP12" s="301"/>
      <c r="SRQ12" s="301"/>
      <c r="SRR12" s="301"/>
      <c r="SRS12" s="312"/>
      <c r="SRT12" s="301"/>
      <c r="SRU12" s="309"/>
      <c r="SRV12" s="301"/>
      <c r="SRW12" s="306"/>
      <c r="SRX12" s="301"/>
      <c r="SRY12" s="309"/>
      <c r="SRZ12" s="301"/>
      <c r="SSA12" s="309"/>
      <c r="SSB12" s="301"/>
      <c r="SSC12" s="301"/>
      <c r="SSD12" s="301"/>
      <c r="SSE12" s="301"/>
      <c r="SSF12" s="301"/>
      <c r="SSG12" s="301"/>
      <c r="SSH12" s="301"/>
      <c r="SSI12" s="301"/>
      <c r="SSJ12" s="312"/>
      <c r="SSK12" s="301"/>
      <c r="SSL12" s="309"/>
      <c r="SSM12" s="301"/>
      <c r="SSN12" s="306"/>
      <c r="SSO12" s="301"/>
      <c r="SSP12" s="309"/>
      <c r="SSQ12" s="301"/>
      <c r="SSR12" s="309"/>
      <c r="SSS12" s="301"/>
      <c r="SST12" s="301"/>
      <c r="SSU12" s="301"/>
      <c r="SSV12" s="301"/>
      <c r="SSW12" s="301"/>
      <c r="SSX12" s="301"/>
      <c r="SSY12" s="301"/>
      <c r="SSZ12" s="301"/>
      <c r="STA12" s="312"/>
      <c r="STB12" s="301"/>
      <c r="STC12" s="309"/>
      <c r="STD12" s="301"/>
      <c r="STE12" s="306"/>
      <c r="STF12" s="301"/>
      <c r="STG12" s="309"/>
      <c r="STH12" s="301"/>
      <c r="STI12" s="309"/>
      <c r="STJ12" s="301"/>
      <c r="STK12" s="301"/>
      <c r="STL12" s="301"/>
      <c r="STM12" s="301"/>
      <c r="STN12" s="301"/>
      <c r="STO12" s="301"/>
      <c r="STP12" s="301"/>
      <c r="STQ12" s="301"/>
      <c r="STR12" s="312"/>
      <c r="STS12" s="301"/>
      <c r="STT12" s="309"/>
      <c r="STU12" s="301"/>
      <c r="STV12" s="306"/>
      <c r="STW12" s="301"/>
      <c r="STX12" s="309"/>
      <c r="STY12" s="301"/>
      <c r="STZ12" s="309"/>
      <c r="SUA12" s="301"/>
      <c r="SUB12" s="301"/>
      <c r="SUC12" s="301"/>
      <c r="SUD12" s="301"/>
      <c r="SUE12" s="301"/>
      <c r="SUF12" s="301"/>
      <c r="SUG12" s="301"/>
      <c r="SUH12" s="301"/>
      <c r="SUI12" s="312"/>
      <c r="SUJ12" s="301"/>
      <c r="SUK12" s="309"/>
      <c r="SUL12" s="301"/>
      <c r="SUM12" s="306"/>
      <c r="SUN12" s="301"/>
      <c r="SUO12" s="309"/>
      <c r="SUP12" s="301"/>
      <c r="SUQ12" s="309"/>
      <c r="SUR12" s="301"/>
      <c r="SUS12" s="301"/>
      <c r="SUT12" s="301"/>
      <c r="SUU12" s="301"/>
      <c r="SUV12" s="301"/>
      <c r="SUW12" s="301"/>
      <c r="SUX12" s="301"/>
      <c r="SUY12" s="301"/>
      <c r="SUZ12" s="312"/>
      <c r="SVA12" s="301"/>
      <c r="SVB12" s="309"/>
      <c r="SVC12" s="301"/>
      <c r="SVD12" s="306"/>
      <c r="SVE12" s="301"/>
      <c r="SVF12" s="309"/>
      <c r="SVG12" s="301"/>
      <c r="SVH12" s="309"/>
      <c r="SVI12" s="301"/>
      <c r="SVJ12" s="301"/>
      <c r="SVK12" s="301"/>
      <c r="SVL12" s="301"/>
      <c r="SVM12" s="301"/>
      <c r="SVN12" s="301"/>
      <c r="SVO12" s="301"/>
      <c r="SVP12" s="301"/>
      <c r="SVQ12" s="312"/>
      <c r="SVR12" s="301"/>
      <c r="SVS12" s="309"/>
      <c r="SVT12" s="301"/>
      <c r="SVU12" s="306"/>
      <c r="SVV12" s="301"/>
      <c r="SVW12" s="309"/>
      <c r="SVX12" s="301"/>
      <c r="SVY12" s="309"/>
      <c r="SVZ12" s="301"/>
      <c r="SWA12" s="301"/>
      <c r="SWB12" s="301"/>
      <c r="SWC12" s="301"/>
      <c r="SWD12" s="301"/>
      <c r="SWE12" s="301"/>
      <c r="SWF12" s="301"/>
      <c r="SWG12" s="301"/>
      <c r="SWH12" s="312"/>
      <c r="SWI12" s="301"/>
      <c r="SWJ12" s="309"/>
      <c r="SWK12" s="301"/>
      <c r="SWL12" s="306"/>
      <c r="SWM12" s="301"/>
      <c r="SWN12" s="309"/>
      <c r="SWO12" s="301"/>
      <c r="SWP12" s="309"/>
      <c r="SWQ12" s="301"/>
      <c r="SWR12" s="301"/>
      <c r="SWS12" s="301"/>
      <c r="SWT12" s="301"/>
      <c r="SWU12" s="301"/>
      <c r="SWV12" s="301"/>
      <c r="SWW12" s="301"/>
      <c r="SWX12" s="301"/>
      <c r="SWY12" s="312"/>
      <c r="SWZ12" s="301"/>
      <c r="SXA12" s="309"/>
      <c r="SXB12" s="301"/>
      <c r="SXC12" s="306"/>
      <c r="SXD12" s="301"/>
      <c r="SXE12" s="309"/>
      <c r="SXF12" s="301"/>
      <c r="SXG12" s="309"/>
      <c r="SXH12" s="301"/>
      <c r="SXI12" s="301"/>
      <c r="SXJ12" s="301"/>
      <c r="SXK12" s="301"/>
      <c r="SXL12" s="301"/>
      <c r="SXM12" s="301"/>
      <c r="SXN12" s="301"/>
      <c r="SXO12" s="301"/>
      <c r="SXP12" s="312"/>
      <c r="SXQ12" s="301"/>
      <c r="SXR12" s="309"/>
      <c r="SXS12" s="301"/>
      <c r="SXT12" s="306"/>
      <c r="SXU12" s="301"/>
      <c r="SXV12" s="309"/>
      <c r="SXW12" s="301"/>
      <c r="SXX12" s="309"/>
      <c r="SXY12" s="301"/>
      <c r="SXZ12" s="301"/>
      <c r="SYA12" s="301"/>
      <c r="SYB12" s="301"/>
      <c r="SYC12" s="301"/>
      <c r="SYD12" s="301"/>
      <c r="SYE12" s="301"/>
      <c r="SYF12" s="301"/>
      <c r="SYG12" s="312"/>
      <c r="SYH12" s="301"/>
      <c r="SYI12" s="309"/>
      <c r="SYJ12" s="301"/>
      <c r="SYK12" s="306"/>
      <c r="SYL12" s="301"/>
      <c r="SYM12" s="309"/>
      <c r="SYN12" s="301"/>
      <c r="SYO12" s="309"/>
      <c r="SYP12" s="301"/>
      <c r="SYQ12" s="301"/>
      <c r="SYR12" s="301"/>
      <c r="SYS12" s="301"/>
      <c r="SYT12" s="301"/>
      <c r="SYU12" s="301"/>
      <c r="SYV12" s="301"/>
      <c r="SYW12" s="301"/>
      <c r="SYX12" s="312"/>
      <c r="SYY12" s="301"/>
      <c r="SYZ12" s="309"/>
      <c r="SZA12" s="301"/>
      <c r="SZB12" s="306"/>
      <c r="SZC12" s="301"/>
      <c r="SZD12" s="309"/>
      <c r="SZE12" s="301"/>
      <c r="SZF12" s="309"/>
      <c r="SZG12" s="301"/>
      <c r="SZH12" s="301"/>
      <c r="SZI12" s="301"/>
      <c r="SZJ12" s="301"/>
      <c r="SZK12" s="301"/>
      <c r="SZL12" s="301"/>
      <c r="SZM12" s="301"/>
      <c r="SZN12" s="301"/>
      <c r="SZO12" s="312"/>
      <c r="SZP12" s="301"/>
      <c r="SZQ12" s="309"/>
      <c r="SZR12" s="301"/>
      <c r="SZS12" s="306"/>
      <c r="SZT12" s="301"/>
      <c r="SZU12" s="309"/>
      <c r="SZV12" s="301"/>
      <c r="SZW12" s="309"/>
      <c r="SZX12" s="301"/>
      <c r="SZY12" s="301"/>
      <c r="SZZ12" s="301"/>
      <c r="TAA12" s="301"/>
      <c r="TAB12" s="301"/>
      <c r="TAC12" s="301"/>
      <c r="TAD12" s="301"/>
      <c r="TAE12" s="301"/>
      <c r="TAF12" s="312"/>
      <c r="TAG12" s="301"/>
      <c r="TAH12" s="309"/>
      <c r="TAI12" s="301"/>
      <c r="TAJ12" s="306"/>
      <c r="TAK12" s="301"/>
      <c r="TAL12" s="309"/>
      <c r="TAM12" s="301"/>
      <c r="TAN12" s="309"/>
      <c r="TAO12" s="301"/>
      <c r="TAP12" s="301"/>
      <c r="TAQ12" s="301"/>
      <c r="TAR12" s="301"/>
      <c r="TAS12" s="301"/>
      <c r="TAT12" s="301"/>
      <c r="TAU12" s="301"/>
      <c r="TAV12" s="301"/>
      <c r="TAW12" s="312"/>
      <c r="TAX12" s="301"/>
      <c r="TAY12" s="309"/>
      <c r="TAZ12" s="301"/>
      <c r="TBA12" s="306"/>
      <c r="TBB12" s="301"/>
      <c r="TBC12" s="309"/>
      <c r="TBD12" s="301"/>
      <c r="TBE12" s="309"/>
      <c r="TBF12" s="301"/>
      <c r="TBG12" s="301"/>
      <c r="TBH12" s="301"/>
      <c r="TBI12" s="301"/>
      <c r="TBJ12" s="301"/>
      <c r="TBK12" s="301"/>
      <c r="TBL12" s="301"/>
      <c r="TBM12" s="301"/>
      <c r="TBN12" s="312"/>
      <c r="TBO12" s="301"/>
      <c r="TBP12" s="309"/>
      <c r="TBQ12" s="301"/>
      <c r="TBR12" s="306"/>
      <c r="TBS12" s="301"/>
      <c r="TBT12" s="309"/>
      <c r="TBU12" s="301"/>
      <c r="TBV12" s="309"/>
      <c r="TBW12" s="301"/>
      <c r="TBX12" s="301"/>
      <c r="TBY12" s="301"/>
      <c r="TBZ12" s="301"/>
      <c r="TCA12" s="301"/>
      <c r="TCB12" s="301"/>
      <c r="TCC12" s="301"/>
      <c r="TCD12" s="301"/>
      <c r="TCE12" s="312"/>
      <c r="TCF12" s="301"/>
      <c r="TCG12" s="309"/>
      <c r="TCH12" s="301"/>
      <c r="TCI12" s="306"/>
      <c r="TCJ12" s="301"/>
      <c r="TCK12" s="309"/>
      <c r="TCL12" s="301"/>
      <c r="TCM12" s="309"/>
      <c r="TCN12" s="301"/>
      <c r="TCO12" s="301"/>
      <c r="TCP12" s="301"/>
      <c r="TCQ12" s="301"/>
      <c r="TCR12" s="301"/>
      <c r="TCS12" s="301"/>
      <c r="TCT12" s="301"/>
      <c r="TCU12" s="301"/>
      <c r="TCV12" s="312"/>
      <c r="TCW12" s="301"/>
      <c r="TCX12" s="309"/>
      <c r="TCY12" s="301"/>
      <c r="TCZ12" s="306"/>
      <c r="TDA12" s="301"/>
      <c r="TDB12" s="309"/>
      <c r="TDC12" s="301"/>
      <c r="TDD12" s="309"/>
      <c r="TDE12" s="301"/>
      <c r="TDF12" s="301"/>
      <c r="TDG12" s="301"/>
      <c r="TDH12" s="301"/>
      <c r="TDI12" s="301"/>
      <c r="TDJ12" s="301"/>
      <c r="TDK12" s="301"/>
      <c r="TDL12" s="301"/>
      <c r="TDM12" s="312"/>
      <c r="TDN12" s="301"/>
      <c r="TDO12" s="309"/>
      <c r="TDP12" s="301"/>
      <c r="TDQ12" s="306"/>
      <c r="TDR12" s="301"/>
      <c r="TDS12" s="309"/>
      <c r="TDT12" s="301"/>
      <c r="TDU12" s="309"/>
      <c r="TDV12" s="301"/>
      <c r="TDW12" s="301"/>
      <c r="TDX12" s="301"/>
      <c r="TDY12" s="301"/>
      <c r="TDZ12" s="301"/>
      <c r="TEA12" s="301"/>
      <c r="TEB12" s="301"/>
      <c r="TEC12" s="301"/>
      <c r="TED12" s="312"/>
      <c r="TEE12" s="301"/>
      <c r="TEF12" s="309"/>
      <c r="TEG12" s="301"/>
      <c r="TEH12" s="306"/>
      <c r="TEI12" s="301"/>
      <c r="TEJ12" s="309"/>
      <c r="TEK12" s="301"/>
      <c r="TEL12" s="309"/>
      <c r="TEM12" s="301"/>
      <c r="TEN12" s="301"/>
      <c r="TEO12" s="301"/>
      <c r="TEP12" s="301"/>
      <c r="TEQ12" s="301"/>
      <c r="TER12" s="301"/>
      <c r="TES12" s="301"/>
      <c r="TET12" s="301"/>
      <c r="TEU12" s="312"/>
      <c r="TEV12" s="301"/>
      <c r="TEW12" s="309"/>
      <c r="TEX12" s="301"/>
      <c r="TEY12" s="306"/>
      <c r="TEZ12" s="301"/>
      <c r="TFA12" s="309"/>
      <c r="TFB12" s="301"/>
      <c r="TFC12" s="309"/>
      <c r="TFD12" s="301"/>
      <c r="TFE12" s="301"/>
      <c r="TFF12" s="301"/>
      <c r="TFG12" s="301"/>
      <c r="TFH12" s="301"/>
      <c r="TFI12" s="301"/>
      <c r="TFJ12" s="301"/>
      <c r="TFK12" s="301"/>
      <c r="TFL12" s="312"/>
      <c r="TFM12" s="301"/>
      <c r="TFN12" s="309"/>
      <c r="TFO12" s="301"/>
      <c r="TFP12" s="306"/>
      <c r="TFQ12" s="301"/>
      <c r="TFR12" s="309"/>
      <c r="TFS12" s="301"/>
      <c r="TFT12" s="309"/>
      <c r="TFU12" s="301"/>
      <c r="TFV12" s="301"/>
      <c r="TFW12" s="301"/>
      <c r="TFX12" s="301"/>
      <c r="TFY12" s="301"/>
      <c r="TFZ12" s="301"/>
      <c r="TGA12" s="301"/>
      <c r="TGB12" s="301"/>
      <c r="TGC12" s="312"/>
      <c r="TGD12" s="301"/>
      <c r="TGE12" s="309"/>
      <c r="TGF12" s="301"/>
      <c r="TGG12" s="306"/>
      <c r="TGH12" s="301"/>
      <c r="TGI12" s="309"/>
      <c r="TGJ12" s="301"/>
      <c r="TGK12" s="309"/>
      <c r="TGL12" s="301"/>
      <c r="TGM12" s="301"/>
      <c r="TGN12" s="301"/>
      <c r="TGO12" s="301"/>
      <c r="TGP12" s="301"/>
      <c r="TGQ12" s="301"/>
      <c r="TGR12" s="301"/>
      <c r="TGS12" s="301"/>
      <c r="TGT12" s="312"/>
      <c r="TGU12" s="301"/>
      <c r="TGV12" s="309"/>
      <c r="TGW12" s="301"/>
      <c r="TGX12" s="306"/>
      <c r="TGY12" s="301"/>
      <c r="TGZ12" s="309"/>
      <c r="THA12" s="301"/>
      <c r="THB12" s="309"/>
      <c r="THC12" s="301"/>
      <c r="THD12" s="301"/>
      <c r="THE12" s="301"/>
      <c r="THF12" s="301"/>
      <c r="THG12" s="301"/>
      <c r="THH12" s="301"/>
      <c r="THI12" s="301"/>
      <c r="THJ12" s="301"/>
      <c r="THK12" s="312"/>
      <c r="THL12" s="301"/>
      <c r="THM12" s="309"/>
      <c r="THN12" s="301"/>
      <c r="THO12" s="306"/>
      <c r="THP12" s="301"/>
      <c r="THQ12" s="309"/>
      <c r="THR12" s="301"/>
      <c r="THS12" s="309"/>
      <c r="THT12" s="301"/>
      <c r="THU12" s="301"/>
      <c r="THV12" s="301"/>
      <c r="THW12" s="301"/>
      <c r="THX12" s="301"/>
      <c r="THY12" s="301"/>
      <c r="THZ12" s="301"/>
      <c r="TIA12" s="301"/>
      <c r="TIB12" s="312"/>
      <c r="TIC12" s="301"/>
      <c r="TID12" s="309"/>
      <c r="TIE12" s="301"/>
      <c r="TIF12" s="306"/>
      <c r="TIG12" s="301"/>
      <c r="TIH12" s="309"/>
      <c r="TII12" s="301"/>
      <c r="TIJ12" s="309"/>
      <c r="TIK12" s="301"/>
      <c r="TIL12" s="301"/>
      <c r="TIM12" s="301"/>
      <c r="TIN12" s="301"/>
      <c r="TIO12" s="301"/>
      <c r="TIP12" s="301"/>
      <c r="TIQ12" s="301"/>
      <c r="TIR12" s="301"/>
      <c r="TIS12" s="312"/>
      <c r="TIT12" s="301"/>
      <c r="TIU12" s="309"/>
      <c r="TIV12" s="301"/>
      <c r="TIW12" s="306"/>
      <c r="TIX12" s="301"/>
      <c r="TIY12" s="309"/>
      <c r="TIZ12" s="301"/>
      <c r="TJA12" s="309"/>
      <c r="TJB12" s="301"/>
      <c r="TJC12" s="301"/>
      <c r="TJD12" s="301"/>
      <c r="TJE12" s="301"/>
      <c r="TJF12" s="301"/>
      <c r="TJG12" s="301"/>
      <c r="TJH12" s="301"/>
      <c r="TJI12" s="301"/>
      <c r="TJJ12" s="312"/>
      <c r="TJK12" s="301"/>
      <c r="TJL12" s="309"/>
      <c r="TJM12" s="301"/>
      <c r="TJN12" s="306"/>
      <c r="TJO12" s="301"/>
      <c r="TJP12" s="309"/>
      <c r="TJQ12" s="301"/>
      <c r="TJR12" s="309"/>
      <c r="TJS12" s="301"/>
      <c r="TJT12" s="301"/>
      <c r="TJU12" s="301"/>
      <c r="TJV12" s="301"/>
      <c r="TJW12" s="301"/>
      <c r="TJX12" s="301"/>
      <c r="TJY12" s="301"/>
      <c r="TJZ12" s="301"/>
      <c r="TKA12" s="312"/>
      <c r="TKB12" s="301"/>
      <c r="TKC12" s="309"/>
      <c r="TKD12" s="301"/>
      <c r="TKE12" s="306"/>
      <c r="TKF12" s="301"/>
      <c r="TKG12" s="309"/>
      <c r="TKH12" s="301"/>
      <c r="TKI12" s="309"/>
      <c r="TKJ12" s="301"/>
      <c r="TKK12" s="301"/>
      <c r="TKL12" s="301"/>
      <c r="TKM12" s="301"/>
      <c r="TKN12" s="301"/>
      <c r="TKO12" s="301"/>
      <c r="TKP12" s="301"/>
      <c r="TKQ12" s="301"/>
      <c r="TKR12" s="312"/>
      <c r="TKS12" s="301"/>
      <c r="TKT12" s="309"/>
      <c r="TKU12" s="301"/>
      <c r="TKV12" s="306"/>
      <c r="TKW12" s="301"/>
      <c r="TKX12" s="309"/>
      <c r="TKY12" s="301"/>
      <c r="TKZ12" s="309"/>
      <c r="TLA12" s="301"/>
      <c r="TLB12" s="301"/>
      <c r="TLC12" s="301"/>
      <c r="TLD12" s="301"/>
      <c r="TLE12" s="301"/>
      <c r="TLF12" s="301"/>
      <c r="TLG12" s="301"/>
      <c r="TLH12" s="301"/>
      <c r="TLI12" s="312"/>
      <c r="TLJ12" s="301"/>
      <c r="TLK12" s="309"/>
      <c r="TLL12" s="301"/>
      <c r="TLM12" s="306"/>
      <c r="TLN12" s="301"/>
      <c r="TLO12" s="309"/>
      <c r="TLP12" s="301"/>
      <c r="TLQ12" s="309"/>
      <c r="TLR12" s="301"/>
      <c r="TLS12" s="301"/>
      <c r="TLT12" s="301"/>
      <c r="TLU12" s="301"/>
      <c r="TLV12" s="301"/>
      <c r="TLW12" s="301"/>
      <c r="TLX12" s="301"/>
      <c r="TLY12" s="301"/>
      <c r="TLZ12" s="312"/>
      <c r="TMA12" s="301"/>
      <c r="TMB12" s="309"/>
      <c r="TMC12" s="301"/>
      <c r="TMD12" s="306"/>
      <c r="TME12" s="301"/>
      <c r="TMF12" s="309"/>
      <c r="TMG12" s="301"/>
      <c r="TMH12" s="309"/>
      <c r="TMI12" s="301"/>
      <c r="TMJ12" s="301"/>
      <c r="TMK12" s="301"/>
      <c r="TML12" s="301"/>
      <c r="TMM12" s="301"/>
      <c r="TMN12" s="301"/>
      <c r="TMO12" s="301"/>
      <c r="TMP12" s="301"/>
      <c r="TMQ12" s="312"/>
      <c r="TMR12" s="301"/>
      <c r="TMS12" s="309"/>
      <c r="TMT12" s="301"/>
      <c r="TMU12" s="306"/>
      <c r="TMV12" s="301"/>
      <c r="TMW12" s="309"/>
      <c r="TMX12" s="301"/>
      <c r="TMY12" s="309"/>
      <c r="TMZ12" s="301"/>
      <c r="TNA12" s="301"/>
      <c r="TNB12" s="301"/>
      <c r="TNC12" s="301"/>
      <c r="TND12" s="301"/>
      <c r="TNE12" s="301"/>
      <c r="TNF12" s="301"/>
      <c r="TNG12" s="301"/>
      <c r="TNH12" s="312"/>
      <c r="TNI12" s="301"/>
      <c r="TNJ12" s="309"/>
      <c r="TNK12" s="301"/>
      <c r="TNL12" s="306"/>
      <c r="TNM12" s="301"/>
      <c r="TNN12" s="309"/>
      <c r="TNO12" s="301"/>
      <c r="TNP12" s="309"/>
      <c r="TNQ12" s="301"/>
      <c r="TNR12" s="301"/>
      <c r="TNS12" s="301"/>
      <c r="TNT12" s="301"/>
      <c r="TNU12" s="301"/>
      <c r="TNV12" s="301"/>
      <c r="TNW12" s="301"/>
      <c r="TNX12" s="301"/>
      <c r="TNY12" s="312"/>
      <c r="TNZ12" s="301"/>
      <c r="TOA12" s="309"/>
      <c r="TOB12" s="301"/>
      <c r="TOC12" s="306"/>
      <c r="TOD12" s="301"/>
      <c r="TOE12" s="309"/>
      <c r="TOF12" s="301"/>
      <c r="TOG12" s="309"/>
      <c r="TOH12" s="301"/>
      <c r="TOI12" s="301"/>
      <c r="TOJ12" s="301"/>
      <c r="TOK12" s="301"/>
      <c r="TOL12" s="301"/>
      <c r="TOM12" s="301"/>
      <c r="TON12" s="301"/>
      <c r="TOO12" s="301"/>
      <c r="TOP12" s="312"/>
      <c r="TOQ12" s="301"/>
      <c r="TOR12" s="309"/>
      <c r="TOS12" s="301"/>
      <c r="TOT12" s="306"/>
      <c r="TOU12" s="301"/>
      <c r="TOV12" s="309"/>
      <c r="TOW12" s="301"/>
      <c r="TOX12" s="309"/>
      <c r="TOY12" s="301"/>
      <c r="TOZ12" s="301"/>
      <c r="TPA12" s="301"/>
      <c r="TPB12" s="301"/>
      <c r="TPC12" s="301"/>
      <c r="TPD12" s="301"/>
      <c r="TPE12" s="301"/>
      <c r="TPF12" s="301"/>
      <c r="TPG12" s="312"/>
      <c r="TPH12" s="301"/>
      <c r="TPI12" s="309"/>
      <c r="TPJ12" s="301"/>
      <c r="TPK12" s="306"/>
      <c r="TPL12" s="301"/>
      <c r="TPM12" s="309"/>
      <c r="TPN12" s="301"/>
      <c r="TPO12" s="309"/>
      <c r="TPP12" s="301"/>
      <c r="TPQ12" s="301"/>
      <c r="TPR12" s="301"/>
      <c r="TPS12" s="301"/>
      <c r="TPT12" s="301"/>
      <c r="TPU12" s="301"/>
      <c r="TPV12" s="301"/>
      <c r="TPW12" s="301"/>
      <c r="TPX12" s="312"/>
      <c r="TPY12" s="301"/>
      <c r="TPZ12" s="309"/>
      <c r="TQA12" s="301"/>
      <c r="TQB12" s="306"/>
      <c r="TQC12" s="301"/>
      <c r="TQD12" s="309"/>
      <c r="TQE12" s="301"/>
      <c r="TQF12" s="309"/>
      <c r="TQG12" s="301"/>
      <c r="TQH12" s="301"/>
      <c r="TQI12" s="301"/>
      <c r="TQJ12" s="301"/>
      <c r="TQK12" s="301"/>
      <c r="TQL12" s="301"/>
      <c r="TQM12" s="301"/>
      <c r="TQN12" s="301"/>
      <c r="TQO12" s="312"/>
      <c r="TQP12" s="301"/>
      <c r="TQQ12" s="309"/>
      <c r="TQR12" s="301"/>
      <c r="TQS12" s="306"/>
      <c r="TQT12" s="301"/>
      <c r="TQU12" s="309"/>
      <c r="TQV12" s="301"/>
      <c r="TQW12" s="309"/>
      <c r="TQX12" s="301"/>
      <c r="TQY12" s="301"/>
      <c r="TQZ12" s="301"/>
      <c r="TRA12" s="301"/>
      <c r="TRB12" s="301"/>
      <c r="TRC12" s="301"/>
      <c r="TRD12" s="301"/>
      <c r="TRE12" s="301"/>
      <c r="TRF12" s="312"/>
      <c r="TRG12" s="301"/>
      <c r="TRH12" s="309"/>
      <c r="TRI12" s="301"/>
      <c r="TRJ12" s="306"/>
      <c r="TRK12" s="301"/>
      <c r="TRL12" s="309"/>
      <c r="TRM12" s="301"/>
      <c r="TRN12" s="309"/>
      <c r="TRO12" s="301"/>
      <c r="TRP12" s="301"/>
      <c r="TRQ12" s="301"/>
      <c r="TRR12" s="301"/>
      <c r="TRS12" s="301"/>
      <c r="TRT12" s="301"/>
      <c r="TRU12" s="301"/>
      <c r="TRV12" s="301"/>
      <c r="TRW12" s="312"/>
      <c r="TRX12" s="301"/>
      <c r="TRY12" s="309"/>
      <c r="TRZ12" s="301"/>
      <c r="TSA12" s="306"/>
      <c r="TSB12" s="301"/>
      <c r="TSC12" s="309"/>
      <c r="TSD12" s="301"/>
      <c r="TSE12" s="309"/>
      <c r="TSF12" s="301"/>
      <c r="TSG12" s="301"/>
      <c r="TSH12" s="301"/>
      <c r="TSI12" s="301"/>
      <c r="TSJ12" s="301"/>
      <c r="TSK12" s="301"/>
      <c r="TSL12" s="301"/>
      <c r="TSM12" s="301"/>
      <c r="TSN12" s="312"/>
      <c r="TSO12" s="301"/>
      <c r="TSP12" s="309"/>
      <c r="TSQ12" s="301"/>
      <c r="TSR12" s="306"/>
      <c r="TSS12" s="301"/>
      <c r="TST12" s="309"/>
      <c r="TSU12" s="301"/>
      <c r="TSV12" s="309"/>
      <c r="TSW12" s="301"/>
      <c r="TSX12" s="301"/>
      <c r="TSY12" s="301"/>
      <c r="TSZ12" s="301"/>
      <c r="TTA12" s="301"/>
      <c r="TTB12" s="301"/>
      <c r="TTC12" s="301"/>
      <c r="TTD12" s="301"/>
      <c r="TTE12" s="312"/>
      <c r="TTF12" s="301"/>
      <c r="TTG12" s="309"/>
      <c r="TTH12" s="301"/>
      <c r="TTI12" s="306"/>
      <c r="TTJ12" s="301"/>
      <c r="TTK12" s="309"/>
      <c r="TTL12" s="301"/>
      <c r="TTM12" s="309"/>
      <c r="TTN12" s="301"/>
      <c r="TTO12" s="301"/>
      <c r="TTP12" s="301"/>
      <c r="TTQ12" s="301"/>
      <c r="TTR12" s="301"/>
      <c r="TTS12" s="301"/>
      <c r="TTT12" s="301"/>
      <c r="TTU12" s="301"/>
      <c r="TTV12" s="312"/>
      <c r="TTW12" s="301"/>
      <c r="TTX12" s="309"/>
      <c r="TTY12" s="301"/>
      <c r="TTZ12" s="306"/>
      <c r="TUA12" s="301"/>
      <c r="TUB12" s="309"/>
      <c r="TUC12" s="301"/>
      <c r="TUD12" s="309"/>
      <c r="TUE12" s="301"/>
      <c r="TUF12" s="301"/>
      <c r="TUG12" s="301"/>
      <c r="TUH12" s="301"/>
      <c r="TUI12" s="301"/>
      <c r="TUJ12" s="301"/>
      <c r="TUK12" s="301"/>
      <c r="TUL12" s="301"/>
      <c r="TUM12" s="312"/>
      <c r="TUN12" s="301"/>
      <c r="TUO12" s="309"/>
      <c r="TUP12" s="301"/>
      <c r="TUQ12" s="306"/>
      <c r="TUR12" s="301"/>
      <c r="TUS12" s="309"/>
      <c r="TUT12" s="301"/>
      <c r="TUU12" s="309"/>
      <c r="TUV12" s="301"/>
      <c r="TUW12" s="301"/>
      <c r="TUX12" s="301"/>
      <c r="TUY12" s="301"/>
      <c r="TUZ12" s="301"/>
      <c r="TVA12" s="301"/>
      <c r="TVB12" s="301"/>
      <c r="TVC12" s="301"/>
      <c r="TVD12" s="312"/>
      <c r="TVE12" s="301"/>
      <c r="TVF12" s="309"/>
      <c r="TVG12" s="301"/>
      <c r="TVH12" s="306"/>
      <c r="TVI12" s="301"/>
      <c r="TVJ12" s="309"/>
      <c r="TVK12" s="301"/>
      <c r="TVL12" s="309"/>
      <c r="TVM12" s="301"/>
      <c r="TVN12" s="301"/>
      <c r="TVO12" s="301"/>
      <c r="TVP12" s="301"/>
      <c r="TVQ12" s="301"/>
      <c r="TVR12" s="301"/>
      <c r="TVS12" s="301"/>
      <c r="TVT12" s="301"/>
      <c r="TVU12" s="312"/>
      <c r="TVV12" s="301"/>
      <c r="TVW12" s="309"/>
      <c r="TVX12" s="301"/>
      <c r="TVY12" s="306"/>
      <c r="TVZ12" s="301"/>
      <c r="TWA12" s="309"/>
      <c r="TWB12" s="301"/>
      <c r="TWC12" s="309"/>
      <c r="TWD12" s="301"/>
      <c r="TWE12" s="301"/>
      <c r="TWF12" s="301"/>
      <c r="TWG12" s="301"/>
      <c r="TWH12" s="301"/>
      <c r="TWI12" s="301"/>
      <c r="TWJ12" s="301"/>
      <c r="TWK12" s="301"/>
      <c r="TWL12" s="312"/>
      <c r="TWM12" s="301"/>
      <c r="TWN12" s="309"/>
      <c r="TWO12" s="301"/>
      <c r="TWP12" s="306"/>
      <c r="TWQ12" s="301"/>
      <c r="TWR12" s="309"/>
      <c r="TWS12" s="301"/>
      <c r="TWT12" s="309"/>
      <c r="TWU12" s="301"/>
      <c r="TWV12" s="301"/>
      <c r="TWW12" s="301"/>
      <c r="TWX12" s="301"/>
      <c r="TWY12" s="301"/>
      <c r="TWZ12" s="301"/>
      <c r="TXA12" s="301"/>
      <c r="TXB12" s="301"/>
      <c r="TXC12" s="312"/>
      <c r="TXD12" s="301"/>
      <c r="TXE12" s="309"/>
      <c r="TXF12" s="301"/>
      <c r="TXG12" s="306"/>
      <c r="TXH12" s="301"/>
      <c r="TXI12" s="309"/>
      <c r="TXJ12" s="301"/>
      <c r="TXK12" s="309"/>
      <c r="TXL12" s="301"/>
      <c r="TXM12" s="301"/>
      <c r="TXN12" s="301"/>
      <c r="TXO12" s="301"/>
      <c r="TXP12" s="301"/>
      <c r="TXQ12" s="301"/>
      <c r="TXR12" s="301"/>
      <c r="TXS12" s="301"/>
      <c r="TXT12" s="312"/>
      <c r="TXU12" s="301"/>
      <c r="TXV12" s="309"/>
      <c r="TXW12" s="301"/>
      <c r="TXX12" s="306"/>
      <c r="TXY12" s="301"/>
      <c r="TXZ12" s="309"/>
      <c r="TYA12" s="301"/>
      <c r="TYB12" s="309"/>
      <c r="TYC12" s="301"/>
      <c r="TYD12" s="301"/>
      <c r="TYE12" s="301"/>
      <c r="TYF12" s="301"/>
      <c r="TYG12" s="301"/>
      <c r="TYH12" s="301"/>
      <c r="TYI12" s="301"/>
      <c r="TYJ12" s="301"/>
      <c r="TYK12" s="312"/>
      <c r="TYL12" s="301"/>
      <c r="TYM12" s="309"/>
      <c r="TYN12" s="301"/>
      <c r="TYO12" s="306"/>
      <c r="TYP12" s="301"/>
      <c r="TYQ12" s="309"/>
      <c r="TYR12" s="301"/>
      <c r="TYS12" s="309"/>
      <c r="TYT12" s="301"/>
      <c r="TYU12" s="301"/>
      <c r="TYV12" s="301"/>
      <c r="TYW12" s="301"/>
      <c r="TYX12" s="301"/>
      <c r="TYY12" s="301"/>
      <c r="TYZ12" s="301"/>
      <c r="TZA12" s="301"/>
      <c r="TZB12" s="312"/>
      <c r="TZC12" s="301"/>
      <c r="TZD12" s="309"/>
      <c r="TZE12" s="301"/>
      <c r="TZF12" s="306"/>
      <c r="TZG12" s="301"/>
      <c r="TZH12" s="309"/>
      <c r="TZI12" s="301"/>
      <c r="TZJ12" s="309"/>
      <c r="TZK12" s="301"/>
      <c r="TZL12" s="301"/>
      <c r="TZM12" s="301"/>
      <c r="TZN12" s="301"/>
      <c r="TZO12" s="301"/>
      <c r="TZP12" s="301"/>
      <c r="TZQ12" s="301"/>
      <c r="TZR12" s="301"/>
      <c r="TZS12" s="312"/>
      <c r="TZT12" s="301"/>
      <c r="TZU12" s="309"/>
      <c r="TZV12" s="301"/>
      <c r="TZW12" s="306"/>
      <c r="TZX12" s="301"/>
      <c r="TZY12" s="309"/>
      <c r="TZZ12" s="301"/>
      <c r="UAA12" s="309"/>
      <c r="UAB12" s="301"/>
      <c r="UAC12" s="301"/>
      <c r="UAD12" s="301"/>
      <c r="UAE12" s="301"/>
      <c r="UAF12" s="301"/>
      <c r="UAG12" s="301"/>
      <c r="UAH12" s="301"/>
      <c r="UAI12" s="301"/>
      <c r="UAJ12" s="312"/>
      <c r="UAK12" s="301"/>
      <c r="UAL12" s="309"/>
      <c r="UAM12" s="301"/>
      <c r="UAN12" s="306"/>
      <c r="UAO12" s="301"/>
      <c r="UAP12" s="309"/>
      <c r="UAQ12" s="301"/>
      <c r="UAR12" s="309"/>
      <c r="UAS12" s="301"/>
      <c r="UAT12" s="301"/>
      <c r="UAU12" s="301"/>
      <c r="UAV12" s="301"/>
      <c r="UAW12" s="301"/>
      <c r="UAX12" s="301"/>
      <c r="UAY12" s="301"/>
      <c r="UAZ12" s="301"/>
      <c r="UBA12" s="312"/>
      <c r="UBB12" s="301"/>
      <c r="UBC12" s="309"/>
      <c r="UBD12" s="301"/>
      <c r="UBE12" s="306"/>
      <c r="UBF12" s="301"/>
      <c r="UBG12" s="309"/>
      <c r="UBH12" s="301"/>
      <c r="UBI12" s="309"/>
      <c r="UBJ12" s="301"/>
      <c r="UBK12" s="301"/>
      <c r="UBL12" s="301"/>
      <c r="UBM12" s="301"/>
      <c r="UBN12" s="301"/>
      <c r="UBO12" s="301"/>
      <c r="UBP12" s="301"/>
      <c r="UBQ12" s="301"/>
      <c r="UBR12" s="312"/>
      <c r="UBS12" s="301"/>
      <c r="UBT12" s="309"/>
      <c r="UBU12" s="301"/>
      <c r="UBV12" s="306"/>
      <c r="UBW12" s="301"/>
      <c r="UBX12" s="309"/>
      <c r="UBY12" s="301"/>
      <c r="UBZ12" s="309"/>
      <c r="UCA12" s="301"/>
      <c r="UCB12" s="301"/>
      <c r="UCC12" s="301"/>
      <c r="UCD12" s="301"/>
      <c r="UCE12" s="301"/>
      <c r="UCF12" s="301"/>
      <c r="UCG12" s="301"/>
      <c r="UCH12" s="301"/>
      <c r="UCI12" s="312"/>
      <c r="UCJ12" s="301"/>
      <c r="UCK12" s="309"/>
      <c r="UCL12" s="301"/>
      <c r="UCM12" s="306"/>
      <c r="UCN12" s="301"/>
      <c r="UCO12" s="309"/>
      <c r="UCP12" s="301"/>
      <c r="UCQ12" s="309"/>
      <c r="UCR12" s="301"/>
      <c r="UCS12" s="301"/>
      <c r="UCT12" s="301"/>
      <c r="UCU12" s="301"/>
      <c r="UCV12" s="301"/>
      <c r="UCW12" s="301"/>
      <c r="UCX12" s="301"/>
      <c r="UCY12" s="301"/>
      <c r="UCZ12" s="312"/>
      <c r="UDA12" s="301"/>
      <c r="UDB12" s="309"/>
      <c r="UDC12" s="301"/>
      <c r="UDD12" s="306"/>
      <c r="UDE12" s="301"/>
      <c r="UDF12" s="309"/>
      <c r="UDG12" s="301"/>
      <c r="UDH12" s="309"/>
      <c r="UDI12" s="301"/>
      <c r="UDJ12" s="301"/>
      <c r="UDK12" s="301"/>
      <c r="UDL12" s="301"/>
      <c r="UDM12" s="301"/>
      <c r="UDN12" s="301"/>
      <c r="UDO12" s="301"/>
      <c r="UDP12" s="301"/>
      <c r="UDQ12" s="312"/>
      <c r="UDR12" s="301"/>
      <c r="UDS12" s="309"/>
      <c r="UDT12" s="301"/>
      <c r="UDU12" s="306"/>
      <c r="UDV12" s="301"/>
      <c r="UDW12" s="309"/>
      <c r="UDX12" s="301"/>
      <c r="UDY12" s="309"/>
      <c r="UDZ12" s="301"/>
      <c r="UEA12" s="301"/>
      <c r="UEB12" s="301"/>
      <c r="UEC12" s="301"/>
      <c r="UED12" s="301"/>
      <c r="UEE12" s="301"/>
      <c r="UEF12" s="301"/>
      <c r="UEG12" s="301"/>
      <c r="UEH12" s="312"/>
      <c r="UEI12" s="301"/>
      <c r="UEJ12" s="309"/>
      <c r="UEK12" s="301"/>
      <c r="UEL12" s="306"/>
      <c r="UEM12" s="301"/>
      <c r="UEN12" s="309"/>
      <c r="UEO12" s="301"/>
      <c r="UEP12" s="309"/>
      <c r="UEQ12" s="301"/>
      <c r="UER12" s="301"/>
      <c r="UES12" s="301"/>
      <c r="UET12" s="301"/>
      <c r="UEU12" s="301"/>
      <c r="UEV12" s="301"/>
      <c r="UEW12" s="301"/>
      <c r="UEX12" s="301"/>
      <c r="UEY12" s="312"/>
      <c r="UEZ12" s="301"/>
      <c r="UFA12" s="309"/>
      <c r="UFB12" s="301"/>
      <c r="UFC12" s="306"/>
      <c r="UFD12" s="301"/>
      <c r="UFE12" s="309"/>
      <c r="UFF12" s="301"/>
      <c r="UFG12" s="309"/>
      <c r="UFH12" s="301"/>
      <c r="UFI12" s="301"/>
      <c r="UFJ12" s="301"/>
      <c r="UFK12" s="301"/>
      <c r="UFL12" s="301"/>
      <c r="UFM12" s="301"/>
      <c r="UFN12" s="301"/>
      <c r="UFO12" s="301"/>
      <c r="UFP12" s="312"/>
      <c r="UFQ12" s="301"/>
      <c r="UFR12" s="309"/>
      <c r="UFS12" s="301"/>
      <c r="UFT12" s="306"/>
      <c r="UFU12" s="301"/>
      <c r="UFV12" s="309"/>
      <c r="UFW12" s="301"/>
      <c r="UFX12" s="309"/>
      <c r="UFY12" s="301"/>
      <c r="UFZ12" s="301"/>
      <c r="UGA12" s="301"/>
      <c r="UGB12" s="301"/>
      <c r="UGC12" s="301"/>
      <c r="UGD12" s="301"/>
      <c r="UGE12" s="301"/>
      <c r="UGF12" s="301"/>
      <c r="UGG12" s="312"/>
      <c r="UGH12" s="301"/>
      <c r="UGI12" s="309"/>
      <c r="UGJ12" s="301"/>
      <c r="UGK12" s="306"/>
      <c r="UGL12" s="301"/>
      <c r="UGM12" s="309"/>
      <c r="UGN12" s="301"/>
      <c r="UGO12" s="309"/>
      <c r="UGP12" s="301"/>
      <c r="UGQ12" s="301"/>
      <c r="UGR12" s="301"/>
      <c r="UGS12" s="301"/>
      <c r="UGT12" s="301"/>
      <c r="UGU12" s="301"/>
      <c r="UGV12" s="301"/>
      <c r="UGW12" s="301"/>
      <c r="UGX12" s="312"/>
      <c r="UGY12" s="301"/>
      <c r="UGZ12" s="309"/>
      <c r="UHA12" s="301"/>
      <c r="UHB12" s="306"/>
      <c r="UHC12" s="301"/>
      <c r="UHD12" s="309"/>
      <c r="UHE12" s="301"/>
      <c r="UHF12" s="309"/>
      <c r="UHG12" s="301"/>
      <c r="UHH12" s="301"/>
      <c r="UHI12" s="301"/>
      <c r="UHJ12" s="301"/>
      <c r="UHK12" s="301"/>
      <c r="UHL12" s="301"/>
      <c r="UHM12" s="301"/>
      <c r="UHN12" s="301"/>
      <c r="UHO12" s="312"/>
      <c r="UHP12" s="301"/>
      <c r="UHQ12" s="309"/>
      <c r="UHR12" s="301"/>
      <c r="UHS12" s="306"/>
      <c r="UHT12" s="301"/>
      <c r="UHU12" s="309"/>
      <c r="UHV12" s="301"/>
      <c r="UHW12" s="309"/>
      <c r="UHX12" s="301"/>
      <c r="UHY12" s="301"/>
      <c r="UHZ12" s="301"/>
      <c r="UIA12" s="301"/>
      <c r="UIB12" s="301"/>
      <c r="UIC12" s="301"/>
      <c r="UID12" s="301"/>
      <c r="UIE12" s="301"/>
      <c r="UIF12" s="312"/>
      <c r="UIG12" s="301"/>
      <c r="UIH12" s="309"/>
      <c r="UII12" s="301"/>
      <c r="UIJ12" s="306"/>
      <c r="UIK12" s="301"/>
      <c r="UIL12" s="309"/>
      <c r="UIM12" s="301"/>
      <c r="UIN12" s="309"/>
      <c r="UIO12" s="301"/>
      <c r="UIP12" s="301"/>
      <c r="UIQ12" s="301"/>
      <c r="UIR12" s="301"/>
      <c r="UIS12" s="301"/>
      <c r="UIT12" s="301"/>
      <c r="UIU12" s="301"/>
      <c r="UIV12" s="301"/>
      <c r="UIW12" s="312"/>
      <c r="UIX12" s="301"/>
      <c r="UIY12" s="309"/>
      <c r="UIZ12" s="301"/>
      <c r="UJA12" s="306"/>
      <c r="UJB12" s="301"/>
      <c r="UJC12" s="309"/>
      <c r="UJD12" s="301"/>
      <c r="UJE12" s="309"/>
      <c r="UJF12" s="301"/>
      <c r="UJG12" s="301"/>
      <c r="UJH12" s="301"/>
      <c r="UJI12" s="301"/>
      <c r="UJJ12" s="301"/>
      <c r="UJK12" s="301"/>
      <c r="UJL12" s="301"/>
      <c r="UJM12" s="301"/>
      <c r="UJN12" s="312"/>
      <c r="UJO12" s="301"/>
      <c r="UJP12" s="309"/>
      <c r="UJQ12" s="301"/>
      <c r="UJR12" s="306"/>
      <c r="UJS12" s="301"/>
      <c r="UJT12" s="309"/>
      <c r="UJU12" s="301"/>
      <c r="UJV12" s="309"/>
      <c r="UJW12" s="301"/>
      <c r="UJX12" s="301"/>
      <c r="UJY12" s="301"/>
      <c r="UJZ12" s="301"/>
      <c r="UKA12" s="301"/>
      <c r="UKB12" s="301"/>
      <c r="UKC12" s="301"/>
      <c r="UKD12" s="301"/>
      <c r="UKE12" s="312"/>
      <c r="UKF12" s="301"/>
      <c r="UKG12" s="309"/>
      <c r="UKH12" s="301"/>
      <c r="UKI12" s="306"/>
      <c r="UKJ12" s="301"/>
      <c r="UKK12" s="309"/>
      <c r="UKL12" s="301"/>
      <c r="UKM12" s="309"/>
      <c r="UKN12" s="301"/>
      <c r="UKO12" s="301"/>
      <c r="UKP12" s="301"/>
      <c r="UKQ12" s="301"/>
      <c r="UKR12" s="301"/>
      <c r="UKS12" s="301"/>
      <c r="UKT12" s="301"/>
      <c r="UKU12" s="301"/>
      <c r="UKV12" s="312"/>
      <c r="UKW12" s="301"/>
      <c r="UKX12" s="309"/>
      <c r="UKY12" s="301"/>
      <c r="UKZ12" s="306"/>
      <c r="ULA12" s="301"/>
      <c r="ULB12" s="309"/>
      <c r="ULC12" s="301"/>
      <c r="ULD12" s="309"/>
      <c r="ULE12" s="301"/>
      <c r="ULF12" s="301"/>
      <c r="ULG12" s="301"/>
      <c r="ULH12" s="301"/>
      <c r="ULI12" s="301"/>
      <c r="ULJ12" s="301"/>
      <c r="ULK12" s="301"/>
      <c r="ULL12" s="301"/>
      <c r="ULM12" s="312"/>
      <c r="ULN12" s="301"/>
      <c r="ULO12" s="309"/>
      <c r="ULP12" s="301"/>
      <c r="ULQ12" s="306"/>
      <c r="ULR12" s="301"/>
      <c r="ULS12" s="309"/>
      <c r="ULT12" s="301"/>
      <c r="ULU12" s="309"/>
      <c r="ULV12" s="301"/>
      <c r="ULW12" s="301"/>
      <c r="ULX12" s="301"/>
      <c r="ULY12" s="301"/>
      <c r="ULZ12" s="301"/>
      <c r="UMA12" s="301"/>
      <c r="UMB12" s="301"/>
      <c r="UMC12" s="301"/>
      <c r="UMD12" s="312"/>
      <c r="UME12" s="301"/>
      <c r="UMF12" s="309"/>
      <c r="UMG12" s="301"/>
      <c r="UMH12" s="306"/>
      <c r="UMI12" s="301"/>
      <c r="UMJ12" s="309"/>
      <c r="UMK12" s="301"/>
      <c r="UML12" s="309"/>
      <c r="UMM12" s="301"/>
      <c r="UMN12" s="301"/>
      <c r="UMO12" s="301"/>
      <c r="UMP12" s="301"/>
      <c r="UMQ12" s="301"/>
      <c r="UMR12" s="301"/>
      <c r="UMS12" s="301"/>
      <c r="UMT12" s="301"/>
      <c r="UMU12" s="312"/>
      <c r="UMV12" s="301"/>
      <c r="UMW12" s="309"/>
      <c r="UMX12" s="301"/>
      <c r="UMY12" s="306"/>
      <c r="UMZ12" s="301"/>
      <c r="UNA12" s="309"/>
      <c r="UNB12" s="301"/>
      <c r="UNC12" s="309"/>
      <c r="UND12" s="301"/>
      <c r="UNE12" s="301"/>
      <c r="UNF12" s="301"/>
      <c r="UNG12" s="301"/>
      <c r="UNH12" s="301"/>
      <c r="UNI12" s="301"/>
      <c r="UNJ12" s="301"/>
      <c r="UNK12" s="301"/>
      <c r="UNL12" s="312"/>
      <c r="UNM12" s="301"/>
      <c r="UNN12" s="309"/>
      <c r="UNO12" s="301"/>
      <c r="UNP12" s="306"/>
      <c r="UNQ12" s="301"/>
      <c r="UNR12" s="309"/>
      <c r="UNS12" s="301"/>
      <c r="UNT12" s="309"/>
      <c r="UNU12" s="301"/>
      <c r="UNV12" s="301"/>
      <c r="UNW12" s="301"/>
      <c r="UNX12" s="301"/>
      <c r="UNY12" s="301"/>
      <c r="UNZ12" s="301"/>
      <c r="UOA12" s="301"/>
      <c r="UOB12" s="301"/>
      <c r="UOC12" s="312"/>
      <c r="UOD12" s="301"/>
      <c r="UOE12" s="309"/>
      <c r="UOF12" s="301"/>
      <c r="UOG12" s="306"/>
      <c r="UOH12" s="301"/>
      <c r="UOI12" s="309"/>
      <c r="UOJ12" s="301"/>
      <c r="UOK12" s="309"/>
      <c r="UOL12" s="301"/>
      <c r="UOM12" s="301"/>
      <c r="UON12" s="301"/>
      <c r="UOO12" s="301"/>
      <c r="UOP12" s="301"/>
      <c r="UOQ12" s="301"/>
      <c r="UOR12" s="301"/>
      <c r="UOS12" s="301"/>
      <c r="UOT12" s="312"/>
      <c r="UOU12" s="301"/>
      <c r="UOV12" s="309"/>
      <c r="UOW12" s="301"/>
      <c r="UOX12" s="306"/>
      <c r="UOY12" s="301"/>
      <c r="UOZ12" s="309"/>
      <c r="UPA12" s="301"/>
      <c r="UPB12" s="309"/>
      <c r="UPC12" s="301"/>
      <c r="UPD12" s="301"/>
      <c r="UPE12" s="301"/>
      <c r="UPF12" s="301"/>
      <c r="UPG12" s="301"/>
      <c r="UPH12" s="301"/>
      <c r="UPI12" s="301"/>
      <c r="UPJ12" s="301"/>
      <c r="UPK12" s="312"/>
      <c r="UPL12" s="301"/>
      <c r="UPM12" s="309"/>
      <c r="UPN12" s="301"/>
      <c r="UPO12" s="306"/>
      <c r="UPP12" s="301"/>
      <c r="UPQ12" s="309"/>
      <c r="UPR12" s="301"/>
      <c r="UPS12" s="309"/>
      <c r="UPT12" s="301"/>
      <c r="UPU12" s="301"/>
      <c r="UPV12" s="301"/>
      <c r="UPW12" s="301"/>
      <c r="UPX12" s="301"/>
      <c r="UPY12" s="301"/>
      <c r="UPZ12" s="301"/>
      <c r="UQA12" s="301"/>
      <c r="UQB12" s="312"/>
      <c r="UQC12" s="301"/>
      <c r="UQD12" s="309"/>
      <c r="UQE12" s="301"/>
      <c r="UQF12" s="306"/>
      <c r="UQG12" s="301"/>
      <c r="UQH12" s="309"/>
      <c r="UQI12" s="301"/>
      <c r="UQJ12" s="309"/>
      <c r="UQK12" s="301"/>
      <c r="UQL12" s="301"/>
      <c r="UQM12" s="301"/>
      <c r="UQN12" s="301"/>
      <c r="UQO12" s="301"/>
      <c r="UQP12" s="301"/>
      <c r="UQQ12" s="301"/>
      <c r="UQR12" s="301"/>
      <c r="UQS12" s="312"/>
      <c r="UQT12" s="301"/>
      <c r="UQU12" s="309"/>
      <c r="UQV12" s="301"/>
      <c r="UQW12" s="306"/>
      <c r="UQX12" s="301"/>
      <c r="UQY12" s="309"/>
      <c r="UQZ12" s="301"/>
      <c r="URA12" s="309"/>
      <c r="URB12" s="301"/>
      <c r="URC12" s="301"/>
      <c r="URD12" s="301"/>
      <c r="URE12" s="301"/>
      <c r="URF12" s="301"/>
      <c r="URG12" s="301"/>
      <c r="URH12" s="301"/>
      <c r="URI12" s="301"/>
      <c r="URJ12" s="312"/>
      <c r="URK12" s="301"/>
      <c r="URL12" s="309"/>
      <c r="URM12" s="301"/>
      <c r="URN12" s="306"/>
      <c r="URO12" s="301"/>
      <c r="URP12" s="309"/>
      <c r="URQ12" s="301"/>
      <c r="URR12" s="309"/>
      <c r="URS12" s="301"/>
      <c r="URT12" s="301"/>
      <c r="URU12" s="301"/>
      <c r="URV12" s="301"/>
      <c r="URW12" s="301"/>
      <c r="URX12" s="301"/>
      <c r="URY12" s="301"/>
      <c r="URZ12" s="301"/>
      <c r="USA12" s="312"/>
      <c r="USB12" s="301"/>
      <c r="USC12" s="309"/>
      <c r="USD12" s="301"/>
      <c r="USE12" s="306"/>
      <c r="USF12" s="301"/>
      <c r="USG12" s="309"/>
      <c r="USH12" s="301"/>
      <c r="USI12" s="309"/>
      <c r="USJ12" s="301"/>
      <c r="USK12" s="301"/>
      <c r="USL12" s="301"/>
      <c r="USM12" s="301"/>
      <c r="USN12" s="301"/>
      <c r="USO12" s="301"/>
      <c r="USP12" s="301"/>
      <c r="USQ12" s="301"/>
      <c r="USR12" s="312"/>
      <c r="USS12" s="301"/>
      <c r="UST12" s="309"/>
      <c r="USU12" s="301"/>
      <c r="USV12" s="306"/>
      <c r="USW12" s="301"/>
      <c r="USX12" s="309"/>
      <c r="USY12" s="301"/>
      <c r="USZ12" s="309"/>
      <c r="UTA12" s="301"/>
      <c r="UTB12" s="301"/>
      <c r="UTC12" s="301"/>
      <c r="UTD12" s="301"/>
      <c r="UTE12" s="301"/>
      <c r="UTF12" s="301"/>
      <c r="UTG12" s="301"/>
      <c r="UTH12" s="301"/>
      <c r="UTI12" s="312"/>
      <c r="UTJ12" s="301"/>
      <c r="UTK12" s="309"/>
      <c r="UTL12" s="301"/>
      <c r="UTM12" s="306"/>
      <c r="UTN12" s="301"/>
      <c r="UTO12" s="309"/>
      <c r="UTP12" s="301"/>
      <c r="UTQ12" s="309"/>
      <c r="UTR12" s="301"/>
      <c r="UTS12" s="301"/>
      <c r="UTT12" s="301"/>
      <c r="UTU12" s="301"/>
      <c r="UTV12" s="301"/>
      <c r="UTW12" s="301"/>
      <c r="UTX12" s="301"/>
      <c r="UTY12" s="301"/>
      <c r="UTZ12" s="312"/>
      <c r="UUA12" s="301"/>
      <c r="UUB12" s="309"/>
      <c r="UUC12" s="301"/>
      <c r="UUD12" s="306"/>
      <c r="UUE12" s="301"/>
      <c r="UUF12" s="309"/>
      <c r="UUG12" s="301"/>
      <c r="UUH12" s="309"/>
      <c r="UUI12" s="301"/>
      <c r="UUJ12" s="301"/>
      <c r="UUK12" s="301"/>
      <c r="UUL12" s="301"/>
      <c r="UUM12" s="301"/>
      <c r="UUN12" s="301"/>
      <c r="UUO12" s="301"/>
      <c r="UUP12" s="301"/>
      <c r="UUQ12" s="312"/>
      <c r="UUR12" s="301"/>
      <c r="UUS12" s="309"/>
      <c r="UUT12" s="301"/>
      <c r="UUU12" s="306"/>
      <c r="UUV12" s="301"/>
      <c r="UUW12" s="309"/>
      <c r="UUX12" s="301"/>
      <c r="UUY12" s="309"/>
      <c r="UUZ12" s="301"/>
      <c r="UVA12" s="301"/>
      <c r="UVB12" s="301"/>
      <c r="UVC12" s="301"/>
      <c r="UVD12" s="301"/>
      <c r="UVE12" s="301"/>
      <c r="UVF12" s="301"/>
      <c r="UVG12" s="301"/>
      <c r="UVH12" s="312"/>
      <c r="UVI12" s="301"/>
      <c r="UVJ12" s="309"/>
      <c r="UVK12" s="301"/>
      <c r="UVL12" s="306"/>
      <c r="UVM12" s="301"/>
      <c r="UVN12" s="309"/>
      <c r="UVO12" s="301"/>
      <c r="UVP12" s="309"/>
      <c r="UVQ12" s="301"/>
      <c r="UVR12" s="301"/>
      <c r="UVS12" s="301"/>
      <c r="UVT12" s="301"/>
      <c r="UVU12" s="301"/>
      <c r="UVV12" s="301"/>
      <c r="UVW12" s="301"/>
      <c r="UVX12" s="301"/>
      <c r="UVY12" s="312"/>
      <c r="UVZ12" s="301"/>
      <c r="UWA12" s="309"/>
      <c r="UWB12" s="301"/>
      <c r="UWC12" s="306"/>
      <c r="UWD12" s="301"/>
      <c r="UWE12" s="309"/>
      <c r="UWF12" s="301"/>
      <c r="UWG12" s="309"/>
      <c r="UWH12" s="301"/>
      <c r="UWI12" s="301"/>
      <c r="UWJ12" s="301"/>
      <c r="UWK12" s="301"/>
      <c r="UWL12" s="301"/>
      <c r="UWM12" s="301"/>
      <c r="UWN12" s="301"/>
      <c r="UWO12" s="301"/>
      <c r="UWP12" s="312"/>
      <c r="UWQ12" s="301"/>
      <c r="UWR12" s="309"/>
      <c r="UWS12" s="301"/>
      <c r="UWT12" s="306"/>
      <c r="UWU12" s="301"/>
      <c r="UWV12" s="309"/>
      <c r="UWW12" s="301"/>
      <c r="UWX12" s="309"/>
      <c r="UWY12" s="301"/>
      <c r="UWZ12" s="301"/>
      <c r="UXA12" s="301"/>
      <c r="UXB12" s="301"/>
      <c r="UXC12" s="301"/>
      <c r="UXD12" s="301"/>
      <c r="UXE12" s="301"/>
      <c r="UXF12" s="301"/>
      <c r="UXG12" s="312"/>
      <c r="UXH12" s="301"/>
      <c r="UXI12" s="309"/>
      <c r="UXJ12" s="301"/>
      <c r="UXK12" s="306"/>
      <c r="UXL12" s="301"/>
      <c r="UXM12" s="309"/>
      <c r="UXN12" s="301"/>
      <c r="UXO12" s="309"/>
      <c r="UXP12" s="301"/>
      <c r="UXQ12" s="301"/>
      <c r="UXR12" s="301"/>
      <c r="UXS12" s="301"/>
      <c r="UXT12" s="301"/>
      <c r="UXU12" s="301"/>
      <c r="UXV12" s="301"/>
      <c r="UXW12" s="301"/>
      <c r="UXX12" s="312"/>
      <c r="UXY12" s="301"/>
      <c r="UXZ12" s="309"/>
      <c r="UYA12" s="301"/>
      <c r="UYB12" s="306"/>
      <c r="UYC12" s="301"/>
      <c r="UYD12" s="309"/>
      <c r="UYE12" s="301"/>
      <c r="UYF12" s="309"/>
      <c r="UYG12" s="301"/>
      <c r="UYH12" s="301"/>
      <c r="UYI12" s="301"/>
      <c r="UYJ12" s="301"/>
      <c r="UYK12" s="301"/>
      <c r="UYL12" s="301"/>
      <c r="UYM12" s="301"/>
      <c r="UYN12" s="301"/>
      <c r="UYO12" s="312"/>
      <c r="UYP12" s="301"/>
      <c r="UYQ12" s="309"/>
      <c r="UYR12" s="301"/>
      <c r="UYS12" s="306"/>
      <c r="UYT12" s="301"/>
      <c r="UYU12" s="309"/>
      <c r="UYV12" s="301"/>
      <c r="UYW12" s="309"/>
      <c r="UYX12" s="301"/>
      <c r="UYY12" s="301"/>
      <c r="UYZ12" s="301"/>
      <c r="UZA12" s="301"/>
      <c r="UZB12" s="301"/>
      <c r="UZC12" s="301"/>
      <c r="UZD12" s="301"/>
      <c r="UZE12" s="301"/>
      <c r="UZF12" s="312"/>
      <c r="UZG12" s="301"/>
      <c r="UZH12" s="309"/>
      <c r="UZI12" s="301"/>
      <c r="UZJ12" s="306"/>
      <c r="UZK12" s="301"/>
      <c r="UZL12" s="309"/>
      <c r="UZM12" s="301"/>
      <c r="UZN12" s="309"/>
      <c r="UZO12" s="301"/>
      <c r="UZP12" s="301"/>
      <c r="UZQ12" s="301"/>
      <c r="UZR12" s="301"/>
      <c r="UZS12" s="301"/>
      <c r="UZT12" s="301"/>
      <c r="UZU12" s="301"/>
      <c r="UZV12" s="301"/>
      <c r="UZW12" s="312"/>
      <c r="UZX12" s="301"/>
      <c r="UZY12" s="309"/>
      <c r="UZZ12" s="301"/>
      <c r="VAA12" s="306"/>
      <c r="VAB12" s="301"/>
      <c r="VAC12" s="309"/>
      <c r="VAD12" s="301"/>
      <c r="VAE12" s="309"/>
      <c r="VAF12" s="301"/>
      <c r="VAG12" s="301"/>
      <c r="VAH12" s="301"/>
      <c r="VAI12" s="301"/>
      <c r="VAJ12" s="301"/>
      <c r="VAK12" s="301"/>
      <c r="VAL12" s="301"/>
      <c r="VAM12" s="301"/>
      <c r="VAN12" s="312"/>
      <c r="VAO12" s="301"/>
      <c r="VAP12" s="309"/>
      <c r="VAQ12" s="301"/>
      <c r="VAR12" s="306"/>
      <c r="VAS12" s="301"/>
      <c r="VAT12" s="309"/>
      <c r="VAU12" s="301"/>
      <c r="VAV12" s="309"/>
      <c r="VAW12" s="301"/>
      <c r="VAX12" s="301"/>
      <c r="VAY12" s="301"/>
      <c r="VAZ12" s="301"/>
      <c r="VBA12" s="301"/>
      <c r="VBB12" s="301"/>
      <c r="VBC12" s="301"/>
      <c r="VBD12" s="301"/>
      <c r="VBE12" s="312"/>
      <c r="VBF12" s="301"/>
      <c r="VBG12" s="309"/>
      <c r="VBH12" s="301"/>
      <c r="VBI12" s="306"/>
      <c r="VBJ12" s="301"/>
      <c r="VBK12" s="309"/>
      <c r="VBL12" s="301"/>
      <c r="VBM12" s="309"/>
      <c r="VBN12" s="301"/>
      <c r="VBO12" s="301"/>
      <c r="VBP12" s="301"/>
      <c r="VBQ12" s="301"/>
      <c r="VBR12" s="301"/>
      <c r="VBS12" s="301"/>
      <c r="VBT12" s="301"/>
      <c r="VBU12" s="301"/>
      <c r="VBV12" s="312"/>
      <c r="VBW12" s="301"/>
      <c r="VBX12" s="309"/>
      <c r="VBY12" s="301"/>
      <c r="VBZ12" s="306"/>
      <c r="VCA12" s="301"/>
      <c r="VCB12" s="309"/>
      <c r="VCC12" s="301"/>
      <c r="VCD12" s="309"/>
      <c r="VCE12" s="301"/>
      <c r="VCF12" s="301"/>
      <c r="VCG12" s="301"/>
      <c r="VCH12" s="301"/>
      <c r="VCI12" s="301"/>
      <c r="VCJ12" s="301"/>
      <c r="VCK12" s="301"/>
      <c r="VCL12" s="301"/>
      <c r="VCM12" s="312"/>
      <c r="VCN12" s="301"/>
      <c r="VCO12" s="309"/>
      <c r="VCP12" s="301"/>
      <c r="VCQ12" s="306"/>
      <c r="VCR12" s="301"/>
      <c r="VCS12" s="309"/>
      <c r="VCT12" s="301"/>
      <c r="VCU12" s="309"/>
      <c r="VCV12" s="301"/>
      <c r="VCW12" s="301"/>
      <c r="VCX12" s="301"/>
      <c r="VCY12" s="301"/>
      <c r="VCZ12" s="301"/>
      <c r="VDA12" s="301"/>
      <c r="VDB12" s="301"/>
      <c r="VDC12" s="301"/>
      <c r="VDD12" s="312"/>
      <c r="VDE12" s="301"/>
      <c r="VDF12" s="309"/>
      <c r="VDG12" s="301"/>
      <c r="VDH12" s="306"/>
      <c r="VDI12" s="301"/>
      <c r="VDJ12" s="309"/>
      <c r="VDK12" s="301"/>
      <c r="VDL12" s="309"/>
      <c r="VDM12" s="301"/>
      <c r="VDN12" s="301"/>
      <c r="VDO12" s="301"/>
      <c r="VDP12" s="301"/>
      <c r="VDQ12" s="301"/>
      <c r="VDR12" s="301"/>
      <c r="VDS12" s="301"/>
      <c r="VDT12" s="301"/>
      <c r="VDU12" s="312"/>
      <c r="VDV12" s="301"/>
      <c r="VDW12" s="309"/>
      <c r="VDX12" s="301"/>
      <c r="VDY12" s="306"/>
      <c r="VDZ12" s="301"/>
      <c r="VEA12" s="309"/>
      <c r="VEB12" s="301"/>
      <c r="VEC12" s="309"/>
      <c r="VED12" s="301"/>
      <c r="VEE12" s="301"/>
      <c r="VEF12" s="301"/>
      <c r="VEG12" s="301"/>
      <c r="VEH12" s="301"/>
      <c r="VEI12" s="301"/>
      <c r="VEJ12" s="301"/>
      <c r="VEK12" s="301"/>
      <c r="VEL12" s="312"/>
      <c r="VEM12" s="301"/>
      <c r="VEN12" s="309"/>
      <c r="VEO12" s="301"/>
      <c r="VEP12" s="306"/>
      <c r="VEQ12" s="301"/>
      <c r="VER12" s="309"/>
      <c r="VES12" s="301"/>
      <c r="VET12" s="309"/>
      <c r="VEU12" s="301"/>
      <c r="VEV12" s="301"/>
      <c r="VEW12" s="301"/>
      <c r="VEX12" s="301"/>
      <c r="VEY12" s="301"/>
      <c r="VEZ12" s="301"/>
      <c r="VFA12" s="301"/>
      <c r="VFB12" s="301"/>
      <c r="VFC12" s="312"/>
      <c r="VFD12" s="301"/>
      <c r="VFE12" s="309"/>
      <c r="VFF12" s="301"/>
      <c r="VFG12" s="306"/>
      <c r="VFH12" s="301"/>
      <c r="VFI12" s="309"/>
      <c r="VFJ12" s="301"/>
      <c r="VFK12" s="309"/>
      <c r="VFL12" s="301"/>
      <c r="VFM12" s="301"/>
      <c r="VFN12" s="301"/>
      <c r="VFO12" s="301"/>
      <c r="VFP12" s="301"/>
      <c r="VFQ12" s="301"/>
      <c r="VFR12" s="301"/>
      <c r="VFS12" s="301"/>
      <c r="VFT12" s="312"/>
      <c r="VFU12" s="301"/>
      <c r="VFV12" s="309"/>
      <c r="VFW12" s="301"/>
      <c r="VFX12" s="306"/>
      <c r="VFY12" s="301"/>
      <c r="VFZ12" s="309"/>
      <c r="VGA12" s="301"/>
      <c r="VGB12" s="309"/>
      <c r="VGC12" s="301"/>
      <c r="VGD12" s="301"/>
      <c r="VGE12" s="301"/>
      <c r="VGF12" s="301"/>
      <c r="VGG12" s="301"/>
      <c r="VGH12" s="301"/>
      <c r="VGI12" s="301"/>
      <c r="VGJ12" s="301"/>
      <c r="VGK12" s="312"/>
      <c r="VGL12" s="301"/>
      <c r="VGM12" s="309"/>
      <c r="VGN12" s="301"/>
      <c r="VGO12" s="306"/>
      <c r="VGP12" s="301"/>
      <c r="VGQ12" s="309"/>
      <c r="VGR12" s="301"/>
      <c r="VGS12" s="309"/>
      <c r="VGT12" s="301"/>
      <c r="VGU12" s="301"/>
      <c r="VGV12" s="301"/>
      <c r="VGW12" s="301"/>
      <c r="VGX12" s="301"/>
      <c r="VGY12" s="301"/>
      <c r="VGZ12" s="301"/>
      <c r="VHA12" s="301"/>
      <c r="VHB12" s="312"/>
      <c r="VHC12" s="301"/>
      <c r="VHD12" s="309"/>
      <c r="VHE12" s="301"/>
      <c r="VHF12" s="306"/>
      <c r="VHG12" s="301"/>
      <c r="VHH12" s="309"/>
      <c r="VHI12" s="301"/>
      <c r="VHJ12" s="309"/>
      <c r="VHK12" s="301"/>
      <c r="VHL12" s="301"/>
      <c r="VHM12" s="301"/>
      <c r="VHN12" s="301"/>
      <c r="VHO12" s="301"/>
      <c r="VHP12" s="301"/>
      <c r="VHQ12" s="301"/>
      <c r="VHR12" s="301"/>
      <c r="VHS12" s="312"/>
      <c r="VHT12" s="301"/>
      <c r="VHU12" s="309"/>
      <c r="VHV12" s="301"/>
      <c r="VHW12" s="306"/>
      <c r="VHX12" s="301"/>
      <c r="VHY12" s="309"/>
      <c r="VHZ12" s="301"/>
      <c r="VIA12" s="309"/>
      <c r="VIB12" s="301"/>
      <c r="VIC12" s="301"/>
      <c r="VID12" s="301"/>
      <c r="VIE12" s="301"/>
      <c r="VIF12" s="301"/>
      <c r="VIG12" s="301"/>
      <c r="VIH12" s="301"/>
      <c r="VII12" s="301"/>
      <c r="VIJ12" s="312"/>
      <c r="VIK12" s="301"/>
      <c r="VIL12" s="309"/>
      <c r="VIM12" s="301"/>
      <c r="VIN12" s="306"/>
      <c r="VIO12" s="301"/>
      <c r="VIP12" s="309"/>
      <c r="VIQ12" s="301"/>
      <c r="VIR12" s="309"/>
      <c r="VIS12" s="301"/>
      <c r="VIT12" s="301"/>
      <c r="VIU12" s="301"/>
      <c r="VIV12" s="301"/>
      <c r="VIW12" s="301"/>
      <c r="VIX12" s="301"/>
      <c r="VIY12" s="301"/>
      <c r="VIZ12" s="301"/>
      <c r="VJA12" s="312"/>
      <c r="VJB12" s="301"/>
      <c r="VJC12" s="309"/>
      <c r="VJD12" s="301"/>
      <c r="VJE12" s="306"/>
      <c r="VJF12" s="301"/>
      <c r="VJG12" s="309"/>
      <c r="VJH12" s="301"/>
      <c r="VJI12" s="309"/>
      <c r="VJJ12" s="301"/>
      <c r="VJK12" s="301"/>
      <c r="VJL12" s="301"/>
      <c r="VJM12" s="301"/>
      <c r="VJN12" s="301"/>
      <c r="VJO12" s="301"/>
      <c r="VJP12" s="301"/>
      <c r="VJQ12" s="301"/>
      <c r="VJR12" s="312"/>
      <c r="VJS12" s="301"/>
      <c r="VJT12" s="309"/>
      <c r="VJU12" s="301"/>
      <c r="VJV12" s="306"/>
      <c r="VJW12" s="301"/>
      <c r="VJX12" s="309"/>
      <c r="VJY12" s="301"/>
      <c r="VJZ12" s="309"/>
      <c r="VKA12" s="301"/>
      <c r="VKB12" s="301"/>
      <c r="VKC12" s="301"/>
      <c r="VKD12" s="301"/>
      <c r="VKE12" s="301"/>
      <c r="VKF12" s="301"/>
      <c r="VKG12" s="301"/>
      <c r="VKH12" s="301"/>
      <c r="VKI12" s="312"/>
      <c r="VKJ12" s="301"/>
      <c r="VKK12" s="309"/>
      <c r="VKL12" s="301"/>
      <c r="VKM12" s="306"/>
      <c r="VKN12" s="301"/>
      <c r="VKO12" s="309"/>
      <c r="VKP12" s="301"/>
      <c r="VKQ12" s="309"/>
      <c r="VKR12" s="301"/>
      <c r="VKS12" s="301"/>
      <c r="VKT12" s="301"/>
      <c r="VKU12" s="301"/>
      <c r="VKV12" s="301"/>
      <c r="VKW12" s="301"/>
      <c r="VKX12" s="301"/>
      <c r="VKY12" s="301"/>
      <c r="VKZ12" s="312"/>
      <c r="VLA12" s="301"/>
      <c r="VLB12" s="309"/>
      <c r="VLC12" s="301"/>
      <c r="VLD12" s="306"/>
      <c r="VLE12" s="301"/>
      <c r="VLF12" s="309"/>
      <c r="VLG12" s="301"/>
      <c r="VLH12" s="309"/>
      <c r="VLI12" s="301"/>
      <c r="VLJ12" s="301"/>
      <c r="VLK12" s="301"/>
      <c r="VLL12" s="301"/>
      <c r="VLM12" s="301"/>
      <c r="VLN12" s="301"/>
      <c r="VLO12" s="301"/>
      <c r="VLP12" s="301"/>
      <c r="VLQ12" s="312"/>
      <c r="VLR12" s="301"/>
      <c r="VLS12" s="309"/>
      <c r="VLT12" s="301"/>
      <c r="VLU12" s="306"/>
      <c r="VLV12" s="301"/>
      <c r="VLW12" s="309"/>
      <c r="VLX12" s="301"/>
      <c r="VLY12" s="309"/>
      <c r="VLZ12" s="301"/>
      <c r="VMA12" s="301"/>
      <c r="VMB12" s="301"/>
      <c r="VMC12" s="301"/>
      <c r="VMD12" s="301"/>
      <c r="VME12" s="301"/>
      <c r="VMF12" s="301"/>
      <c r="VMG12" s="301"/>
      <c r="VMH12" s="312"/>
      <c r="VMI12" s="301"/>
      <c r="VMJ12" s="309"/>
      <c r="VMK12" s="301"/>
      <c r="VML12" s="306"/>
      <c r="VMM12" s="301"/>
      <c r="VMN12" s="309"/>
      <c r="VMO12" s="301"/>
      <c r="VMP12" s="309"/>
      <c r="VMQ12" s="301"/>
      <c r="VMR12" s="301"/>
      <c r="VMS12" s="301"/>
      <c r="VMT12" s="301"/>
      <c r="VMU12" s="301"/>
      <c r="VMV12" s="301"/>
      <c r="VMW12" s="301"/>
      <c r="VMX12" s="301"/>
      <c r="VMY12" s="312"/>
      <c r="VMZ12" s="301"/>
      <c r="VNA12" s="309"/>
      <c r="VNB12" s="301"/>
      <c r="VNC12" s="306"/>
      <c r="VND12" s="301"/>
      <c r="VNE12" s="309"/>
      <c r="VNF12" s="301"/>
      <c r="VNG12" s="309"/>
      <c r="VNH12" s="301"/>
      <c r="VNI12" s="301"/>
      <c r="VNJ12" s="301"/>
      <c r="VNK12" s="301"/>
      <c r="VNL12" s="301"/>
      <c r="VNM12" s="301"/>
      <c r="VNN12" s="301"/>
      <c r="VNO12" s="301"/>
      <c r="VNP12" s="312"/>
      <c r="VNQ12" s="301"/>
      <c r="VNR12" s="309"/>
      <c r="VNS12" s="301"/>
      <c r="VNT12" s="306"/>
      <c r="VNU12" s="301"/>
      <c r="VNV12" s="309"/>
      <c r="VNW12" s="301"/>
      <c r="VNX12" s="309"/>
      <c r="VNY12" s="301"/>
      <c r="VNZ12" s="301"/>
      <c r="VOA12" s="301"/>
      <c r="VOB12" s="301"/>
      <c r="VOC12" s="301"/>
      <c r="VOD12" s="301"/>
      <c r="VOE12" s="301"/>
      <c r="VOF12" s="301"/>
      <c r="VOG12" s="312"/>
      <c r="VOH12" s="301"/>
      <c r="VOI12" s="309"/>
      <c r="VOJ12" s="301"/>
      <c r="VOK12" s="306"/>
      <c r="VOL12" s="301"/>
      <c r="VOM12" s="309"/>
      <c r="VON12" s="301"/>
      <c r="VOO12" s="309"/>
      <c r="VOP12" s="301"/>
      <c r="VOQ12" s="301"/>
      <c r="VOR12" s="301"/>
      <c r="VOS12" s="301"/>
      <c r="VOT12" s="301"/>
      <c r="VOU12" s="301"/>
      <c r="VOV12" s="301"/>
      <c r="VOW12" s="301"/>
      <c r="VOX12" s="312"/>
      <c r="VOY12" s="301"/>
      <c r="VOZ12" s="309"/>
      <c r="VPA12" s="301"/>
      <c r="VPB12" s="306"/>
      <c r="VPC12" s="301"/>
      <c r="VPD12" s="309"/>
      <c r="VPE12" s="301"/>
      <c r="VPF12" s="309"/>
      <c r="VPG12" s="301"/>
      <c r="VPH12" s="301"/>
      <c r="VPI12" s="301"/>
      <c r="VPJ12" s="301"/>
      <c r="VPK12" s="301"/>
      <c r="VPL12" s="301"/>
      <c r="VPM12" s="301"/>
      <c r="VPN12" s="301"/>
      <c r="VPO12" s="312"/>
      <c r="VPP12" s="301"/>
      <c r="VPQ12" s="309"/>
      <c r="VPR12" s="301"/>
      <c r="VPS12" s="306"/>
      <c r="VPT12" s="301"/>
      <c r="VPU12" s="309"/>
      <c r="VPV12" s="301"/>
      <c r="VPW12" s="309"/>
      <c r="VPX12" s="301"/>
      <c r="VPY12" s="301"/>
      <c r="VPZ12" s="301"/>
      <c r="VQA12" s="301"/>
      <c r="VQB12" s="301"/>
      <c r="VQC12" s="301"/>
      <c r="VQD12" s="301"/>
      <c r="VQE12" s="301"/>
      <c r="VQF12" s="312"/>
      <c r="VQG12" s="301"/>
      <c r="VQH12" s="309"/>
      <c r="VQI12" s="301"/>
      <c r="VQJ12" s="306"/>
      <c r="VQK12" s="301"/>
      <c r="VQL12" s="309"/>
      <c r="VQM12" s="301"/>
      <c r="VQN12" s="309"/>
      <c r="VQO12" s="301"/>
      <c r="VQP12" s="301"/>
      <c r="VQQ12" s="301"/>
      <c r="VQR12" s="301"/>
      <c r="VQS12" s="301"/>
      <c r="VQT12" s="301"/>
      <c r="VQU12" s="301"/>
      <c r="VQV12" s="301"/>
      <c r="VQW12" s="312"/>
      <c r="VQX12" s="301"/>
      <c r="VQY12" s="309"/>
      <c r="VQZ12" s="301"/>
      <c r="VRA12" s="306"/>
      <c r="VRB12" s="301"/>
      <c r="VRC12" s="309"/>
      <c r="VRD12" s="301"/>
      <c r="VRE12" s="309"/>
      <c r="VRF12" s="301"/>
      <c r="VRG12" s="301"/>
      <c r="VRH12" s="301"/>
      <c r="VRI12" s="301"/>
      <c r="VRJ12" s="301"/>
      <c r="VRK12" s="301"/>
      <c r="VRL12" s="301"/>
      <c r="VRM12" s="301"/>
      <c r="VRN12" s="312"/>
      <c r="VRO12" s="301"/>
      <c r="VRP12" s="309"/>
      <c r="VRQ12" s="301"/>
      <c r="VRR12" s="306"/>
      <c r="VRS12" s="301"/>
      <c r="VRT12" s="309"/>
      <c r="VRU12" s="301"/>
      <c r="VRV12" s="309"/>
      <c r="VRW12" s="301"/>
      <c r="VRX12" s="301"/>
      <c r="VRY12" s="301"/>
      <c r="VRZ12" s="301"/>
      <c r="VSA12" s="301"/>
      <c r="VSB12" s="301"/>
      <c r="VSC12" s="301"/>
      <c r="VSD12" s="301"/>
      <c r="VSE12" s="312"/>
      <c r="VSF12" s="301"/>
      <c r="VSG12" s="309"/>
      <c r="VSH12" s="301"/>
      <c r="VSI12" s="306"/>
      <c r="VSJ12" s="301"/>
      <c r="VSK12" s="309"/>
      <c r="VSL12" s="301"/>
      <c r="VSM12" s="309"/>
      <c r="VSN12" s="301"/>
      <c r="VSO12" s="301"/>
      <c r="VSP12" s="301"/>
      <c r="VSQ12" s="301"/>
      <c r="VSR12" s="301"/>
      <c r="VSS12" s="301"/>
      <c r="VST12" s="301"/>
      <c r="VSU12" s="301"/>
      <c r="VSV12" s="312"/>
      <c r="VSW12" s="301"/>
      <c r="VSX12" s="309"/>
      <c r="VSY12" s="301"/>
      <c r="VSZ12" s="306"/>
      <c r="VTA12" s="301"/>
      <c r="VTB12" s="309"/>
      <c r="VTC12" s="301"/>
      <c r="VTD12" s="309"/>
      <c r="VTE12" s="301"/>
      <c r="VTF12" s="301"/>
      <c r="VTG12" s="301"/>
      <c r="VTH12" s="301"/>
      <c r="VTI12" s="301"/>
      <c r="VTJ12" s="301"/>
      <c r="VTK12" s="301"/>
      <c r="VTL12" s="301"/>
      <c r="VTM12" s="312"/>
      <c r="VTN12" s="301"/>
      <c r="VTO12" s="309"/>
      <c r="VTP12" s="301"/>
      <c r="VTQ12" s="306"/>
      <c r="VTR12" s="301"/>
      <c r="VTS12" s="309"/>
      <c r="VTT12" s="301"/>
      <c r="VTU12" s="309"/>
      <c r="VTV12" s="301"/>
      <c r="VTW12" s="301"/>
      <c r="VTX12" s="301"/>
      <c r="VTY12" s="301"/>
      <c r="VTZ12" s="301"/>
      <c r="VUA12" s="301"/>
      <c r="VUB12" s="301"/>
      <c r="VUC12" s="301"/>
      <c r="VUD12" s="312"/>
      <c r="VUE12" s="301"/>
      <c r="VUF12" s="309"/>
      <c r="VUG12" s="301"/>
      <c r="VUH12" s="306"/>
      <c r="VUI12" s="301"/>
      <c r="VUJ12" s="309"/>
      <c r="VUK12" s="301"/>
      <c r="VUL12" s="309"/>
      <c r="VUM12" s="301"/>
      <c r="VUN12" s="301"/>
      <c r="VUO12" s="301"/>
      <c r="VUP12" s="301"/>
      <c r="VUQ12" s="301"/>
      <c r="VUR12" s="301"/>
      <c r="VUS12" s="301"/>
      <c r="VUT12" s="301"/>
      <c r="VUU12" s="312"/>
      <c r="VUV12" s="301"/>
      <c r="VUW12" s="309"/>
      <c r="VUX12" s="301"/>
      <c r="VUY12" s="306"/>
      <c r="VUZ12" s="301"/>
      <c r="VVA12" s="309"/>
      <c r="VVB12" s="301"/>
      <c r="VVC12" s="309"/>
      <c r="VVD12" s="301"/>
      <c r="VVE12" s="301"/>
      <c r="VVF12" s="301"/>
      <c r="VVG12" s="301"/>
      <c r="VVH12" s="301"/>
      <c r="VVI12" s="301"/>
      <c r="VVJ12" s="301"/>
      <c r="VVK12" s="301"/>
      <c r="VVL12" s="312"/>
      <c r="VVM12" s="301"/>
      <c r="VVN12" s="309"/>
      <c r="VVO12" s="301"/>
      <c r="VVP12" s="306"/>
      <c r="VVQ12" s="301"/>
      <c r="VVR12" s="309"/>
      <c r="VVS12" s="301"/>
      <c r="VVT12" s="309"/>
      <c r="VVU12" s="301"/>
      <c r="VVV12" s="301"/>
      <c r="VVW12" s="301"/>
      <c r="VVX12" s="301"/>
      <c r="VVY12" s="301"/>
      <c r="VVZ12" s="301"/>
      <c r="VWA12" s="301"/>
      <c r="VWB12" s="301"/>
      <c r="VWC12" s="312"/>
      <c r="VWD12" s="301"/>
      <c r="VWE12" s="309"/>
      <c r="VWF12" s="301"/>
      <c r="VWG12" s="306"/>
      <c r="VWH12" s="301"/>
      <c r="VWI12" s="309"/>
      <c r="VWJ12" s="301"/>
      <c r="VWK12" s="309"/>
      <c r="VWL12" s="301"/>
      <c r="VWM12" s="301"/>
      <c r="VWN12" s="301"/>
      <c r="VWO12" s="301"/>
      <c r="VWP12" s="301"/>
      <c r="VWQ12" s="301"/>
      <c r="VWR12" s="301"/>
      <c r="VWS12" s="301"/>
      <c r="VWT12" s="312"/>
      <c r="VWU12" s="301"/>
      <c r="VWV12" s="309"/>
      <c r="VWW12" s="301"/>
      <c r="VWX12" s="306"/>
      <c r="VWY12" s="301"/>
      <c r="VWZ12" s="309"/>
      <c r="VXA12" s="301"/>
      <c r="VXB12" s="309"/>
      <c r="VXC12" s="301"/>
      <c r="VXD12" s="301"/>
      <c r="VXE12" s="301"/>
      <c r="VXF12" s="301"/>
      <c r="VXG12" s="301"/>
      <c r="VXH12" s="301"/>
      <c r="VXI12" s="301"/>
      <c r="VXJ12" s="301"/>
      <c r="VXK12" s="312"/>
      <c r="VXL12" s="301"/>
      <c r="VXM12" s="309"/>
      <c r="VXN12" s="301"/>
      <c r="VXO12" s="306"/>
      <c r="VXP12" s="301"/>
      <c r="VXQ12" s="309"/>
      <c r="VXR12" s="301"/>
      <c r="VXS12" s="309"/>
      <c r="VXT12" s="301"/>
      <c r="VXU12" s="301"/>
      <c r="VXV12" s="301"/>
      <c r="VXW12" s="301"/>
      <c r="VXX12" s="301"/>
      <c r="VXY12" s="301"/>
      <c r="VXZ12" s="301"/>
      <c r="VYA12" s="301"/>
      <c r="VYB12" s="312"/>
      <c r="VYC12" s="301"/>
      <c r="VYD12" s="309"/>
      <c r="VYE12" s="301"/>
      <c r="VYF12" s="306"/>
      <c r="VYG12" s="301"/>
      <c r="VYH12" s="309"/>
      <c r="VYI12" s="301"/>
      <c r="VYJ12" s="309"/>
      <c r="VYK12" s="301"/>
      <c r="VYL12" s="301"/>
      <c r="VYM12" s="301"/>
      <c r="VYN12" s="301"/>
      <c r="VYO12" s="301"/>
      <c r="VYP12" s="301"/>
      <c r="VYQ12" s="301"/>
      <c r="VYR12" s="301"/>
      <c r="VYS12" s="312"/>
      <c r="VYT12" s="301"/>
      <c r="VYU12" s="309"/>
      <c r="VYV12" s="301"/>
      <c r="VYW12" s="306"/>
      <c r="VYX12" s="301"/>
      <c r="VYY12" s="309"/>
      <c r="VYZ12" s="301"/>
      <c r="VZA12" s="309"/>
      <c r="VZB12" s="301"/>
      <c r="VZC12" s="301"/>
      <c r="VZD12" s="301"/>
      <c r="VZE12" s="301"/>
      <c r="VZF12" s="301"/>
      <c r="VZG12" s="301"/>
      <c r="VZH12" s="301"/>
      <c r="VZI12" s="301"/>
      <c r="VZJ12" s="312"/>
      <c r="VZK12" s="301"/>
      <c r="VZL12" s="309"/>
      <c r="VZM12" s="301"/>
      <c r="VZN12" s="306"/>
      <c r="VZO12" s="301"/>
      <c r="VZP12" s="309"/>
      <c r="VZQ12" s="301"/>
      <c r="VZR12" s="309"/>
      <c r="VZS12" s="301"/>
      <c r="VZT12" s="301"/>
      <c r="VZU12" s="301"/>
      <c r="VZV12" s="301"/>
      <c r="VZW12" s="301"/>
      <c r="VZX12" s="301"/>
      <c r="VZY12" s="301"/>
      <c r="VZZ12" s="301"/>
      <c r="WAA12" s="312"/>
      <c r="WAB12" s="301"/>
      <c r="WAC12" s="309"/>
      <c r="WAD12" s="301"/>
      <c r="WAE12" s="306"/>
      <c r="WAF12" s="301"/>
      <c r="WAG12" s="309"/>
      <c r="WAH12" s="301"/>
      <c r="WAI12" s="309"/>
      <c r="WAJ12" s="301"/>
      <c r="WAK12" s="301"/>
      <c r="WAL12" s="301"/>
      <c r="WAM12" s="301"/>
      <c r="WAN12" s="301"/>
      <c r="WAO12" s="301"/>
      <c r="WAP12" s="301"/>
      <c r="WAQ12" s="301"/>
      <c r="WAR12" s="312"/>
      <c r="WAS12" s="301"/>
      <c r="WAT12" s="309"/>
      <c r="WAU12" s="301"/>
      <c r="WAV12" s="306"/>
      <c r="WAW12" s="301"/>
      <c r="WAX12" s="309"/>
      <c r="WAY12" s="301"/>
      <c r="WAZ12" s="309"/>
      <c r="WBA12" s="301"/>
      <c r="WBB12" s="301"/>
      <c r="WBC12" s="301"/>
      <c r="WBD12" s="301"/>
      <c r="WBE12" s="301"/>
      <c r="WBF12" s="301"/>
      <c r="WBG12" s="301"/>
      <c r="WBH12" s="301"/>
      <c r="WBI12" s="312"/>
      <c r="WBJ12" s="301"/>
      <c r="WBK12" s="309"/>
      <c r="WBL12" s="301"/>
      <c r="WBM12" s="306"/>
      <c r="WBN12" s="301"/>
      <c r="WBO12" s="309"/>
      <c r="WBP12" s="301"/>
      <c r="WBQ12" s="309"/>
      <c r="WBR12" s="301"/>
      <c r="WBS12" s="301"/>
      <c r="WBT12" s="301"/>
      <c r="WBU12" s="301"/>
      <c r="WBV12" s="301"/>
      <c r="WBW12" s="301"/>
      <c r="WBX12" s="301"/>
      <c r="WBY12" s="301"/>
      <c r="WBZ12" s="312"/>
      <c r="WCA12" s="301"/>
      <c r="WCB12" s="309"/>
      <c r="WCC12" s="301"/>
      <c r="WCD12" s="306"/>
      <c r="WCE12" s="301"/>
      <c r="WCF12" s="309"/>
      <c r="WCG12" s="301"/>
      <c r="WCH12" s="309"/>
      <c r="WCI12" s="301"/>
      <c r="WCJ12" s="301"/>
      <c r="WCK12" s="301"/>
      <c r="WCL12" s="301"/>
      <c r="WCM12" s="301"/>
      <c r="WCN12" s="301"/>
      <c r="WCO12" s="301"/>
      <c r="WCP12" s="301"/>
      <c r="WCQ12" s="312"/>
      <c r="WCR12" s="301"/>
      <c r="WCS12" s="309"/>
      <c r="WCT12" s="301"/>
      <c r="WCU12" s="306"/>
      <c r="WCV12" s="301"/>
      <c r="WCW12" s="309"/>
      <c r="WCX12" s="301"/>
      <c r="WCY12" s="309"/>
      <c r="WCZ12" s="301"/>
      <c r="WDA12" s="301"/>
      <c r="WDB12" s="301"/>
      <c r="WDC12" s="301"/>
      <c r="WDD12" s="301"/>
      <c r="WDE12" s="301"/>
      <c r="WDF12" s="301"/>
      <c r="WDG12" s="301"/>
      <c r="WDH12" s="312"/>
      <c r="WDI12" s="301"/>
      <c r="WDJ12" s="309"/>
      <c r="WDK12" s="301"/>
      <c r="WDL12" s="306"/>
      <c r="WDM12" s="301"/>
      <c r="WDN12" s="309"/>
      <c r="WDO12" s="301"/>
      <c r="WDP12" s="309"/>
      <c r="WDQ12" s="301"/>
      <c r="WDR12" s="301"/>
      <c r="WDS12" s="301"/>
      <c r="WDT12" s="301"/>
      <c r="WDU12" s="301"/>
      <c r="WDV12" s="301"/>
      <c r="WDW12" s="301"/>
      <c r="WDX12" s="301"/>
      <c r="WDY12" s="312"/>
      <c r="WDZ12" s="301"/>
      <c r="WEA12" s="309"/>
      <c r="WEB12" s="301"/>
      <c r="WEC12" s="306"/>
      <c r="WED12" s="301"/>
      <c r="WEE12" s="309"/>
      <c r="WEF12" s="301"/>
      <c r="WEG12" s="309"/>
      <c r="WEH12" s="301"/>
      <c r="WEI12" s="301"/>
      <c r="WEJ12" s="301"/>
      <c r="WEK12" s="301"/>
      <c r="WEL12" s="301"/>
      <c r="WEM12" s="301"/>
      <c r="WEN12" s="301"/>
      <c r="WEO12" s="301"/>
      <c r="WEP12" s="312"/>
      <c r="WEQ12" s="301"/>
      <c r="WER12" s="309"/>
      <c r="WES12" s="301"/>
      <c r="WET12" s="306"/>
      <c r="WEU12" s="301"/>
      <c r="WEV12" s="309"/>
      <c r="WEW12" s="301"/>
      <c r="WEX12" s="309"/>
      <c r="WEY12" s="301"/>
      <c r="WEZ12" s="301"/>
      <c r="WFA12" s="301"/>
      <c r="WFB12" s="301"/>
      <c r="WFC12" s="301"/>
      <c r="WFD12" s="301"/>
      <c r="WFE12" s="301"/>
      <c r="WFF12" s="301"/>
      <c r="WFG12" s="312"/>
      <c r="WFH12" s="301"/>
      <c r="WFI12" s="309"/>
      <c r="WFJ12" s="301"/>
      <c r="WFK12" s="306"/>
      <c r="WFL12" s="301"/>
      <c r="WFM12" s="309"/>
      <c r="WFN12" s="301"/>
      <c r="WFO12" s="309"/>
      <c r="WFP12" s="301"/>
      <c r="WFQ12" s="301"/>
      <c r="WFR12" s="301"/>
      <c r="WFS12" s="301"/>
      <c r="WFT12" s="301"/>
      <c r="WFU12" s="301"/>
      <c r="WFV12" s="301"/>
      <c r="WFW12" s="301"/>
      <c r="WFX12" s="312"/>
      <c r="WFY12" s="301"/>
      <c r="WFZ12" s="309"/>
      <c r="WGA12" s="301"/>
      <c r="WGB12" s="306"/>
      <c r="WGC12" s="301"/>
      <c r="WGD12" s="309"/>
      <c r="WGE12" s="301"/>
      <c r="WGF12" s="309"/>
      <c r="WGG12" s="301"/>
      <c r="WGH12" s="301"/>
      <c r="WGI12" s="301"/>
      <c r="WGJ12" s="301"/>
      <c r="WGK12" s="301"/>
      <c r="WGL12" s="301"/>
      <c r="WGM12" s="301"/>
      <c r="WGN12" s="301"/>
      <c r="WGO12" s="312"/>
      <c r="WGP12" s="301"/>
      <c r="WGQ12" s="309"/>
      <c r="WGR12" s="301"/>
      <c r="WGS12" s="306"/>
      <c r="WGT12" s="301"/>
      <c r="WGU12" s="309"/>
      <c r="WGV12" s="301"/>
      <c r="WGW12" s="309"/>
      <c r="WGX12" s="301"/>
      <c r="WGY12" s="301"/>
      <c r="WGZ12" s="301"/>
      <c r="WHA12" s="301"/>
      <c r="WHB12" s="301"/>
      <c r="WHC12" s="301"/>
      <c r="WHD12" s="301"/>
      <c r="WHE12" s="301"/>
      <c r="WHF12" s="312"/>
      <c r="WHG12" s="301"/>
      <c r="WHH12" s="309"/>
      <c r="WHI12" s="301"/>
      <c r="WHJ12" s="306"/>
      <c r="WHK12" s="301"/>
      <c r="WHL12" s="309"/>
      <c r="WHM12" s="301"/>
      <c r="WHN12" s="309"/>
      <c r="WHO12" s="301"/>
      <c r="WHP12" s="301"/>
      <c r="WHQ12" s="301"/>
      <c r="WHR12" s="301"/>
      <c r="WHS12" s="301"/>
      <c r="WHT12" s="301"/>
      <c r="WHU12" s="301"/>
      <c r="WHV12" s="301"/>
      <c r="WHW12" s="312"/>
      <c r="WHX12" s="301"/>
      <c r="WHY12" s="309"/>
      <c r="WHZ12" s="301"/>
      <c r="WIA12" s="306"/>
      <c r="WIB12" s="301"/>
      <c r="WIC12" s="309"/>
      <c r="WID12" s="301"/>
      <c r="WIE12" s="309"/>
      <c r="WIF12" s="301"/>
      <c r="WIG12" s="301"/>
      <c r="WIH12" s="301"/>
      <c r="WII12" s="301"/>
      <c r="WIJ12" s="301"/>
      <c r="WIK12" s="301"/>
      <c r="WIL12" s="301"/>
      <c r="WIM12" s="301"/>
      <c r="WIN12" s="312"/>
      <c r="WIO12" s="301"/>
      <c r="WIP12" s="309"/>
      <c r="WIQ12" s="301"/>
      <c r="WIR12" s="306"/>
      <c r="WIS12" s="301"/>
      <c r="WIT12" s="309"/>
      <c r="WIU12" s="301"/>
      <c r="WIV12" s="309"/>
      <c r="WIW12" s="301"/>
      <c r="WIX12" s="301"/>
      <c r="WIY12" s="301"/>
      <c r="WIZ12" s="301"/>
      <c r="WJA12" s="301"/>
      <c r="WJB12" s="301"/>
      <c r="WJC12" s="301"/>
      <c r="WJD12" s="301"/>
      <c r="WJE12" s="312"/>
      <c r="WJF12" s="301"/>
      <c r="WJG12" s="309"/>
      <c r="WJH12" s="301"/>
      <c r="WJI12" s="306"/>
      <c r="WJJ12" s="301"/>
      <c r="WJK12" s="309"/>
      <c r="WJL12" s="301"/>
      <c r="WJM12" s="309"/>
      <c r="WJN12" s="301"/>
      <c r="WJO12" s="301"/>
      <c r="WJP12" s="301"/>
      <c r="WJQ12" s="301"/>
      <c r="WJR12" s="301"/>
      <c r="WJS12" s="301"/>
      <c r="WJT12" s="301"/>
      <c r="WJU12" s="301"/>
      <c r="WJV12" s="312"/>
      <c r="WJW12" s="301"/>
      <c r="WJX12" s="309"/>
      <c r="WJY12" s="301"/>
      <c r="WJZ12" s="306"/>
      <c r="WKA12" s="301"/>
      <c r="WKB12" s="309"/>
      <c r="WKC12" s="301"/>
      <c r="WKD12" s="309"/>
      <c r="WKE12" s="301"/>
      <c r="WKF12" s="301"/>
      <c r="WKG12" s="301"/>
      <c r="WKH12" s="301"/>
      <c r="WKI12" s="301"/>
      <c r="WKJ12" s="301"/>
      <c r="WKK12" s="301"/>
      <c r="WKL12" s="301"/>
      <c r="WKM12" s="312"/>
      <c r="WKN12" s="301"/>
      <c r="WKO12" s="309"/>
      <c r="WKP12" s="301"/>
      <c r="WKQ12" s="306"/>
      <c r="WKR12" s="301"/>
      <c r="WKS12" s="309"/>
      <c r="WKT12" s="301"/>
      <c r="WKU12" s="309"/>
      <c r="WKV12" s="301"/>
      <c r="WKW12" s="301"/>
      <c r="WKX12" s="301"/>
      <c r="WKY12" s="301"/>
      <c r="WKZ12" s="301"/>
      <c r="WLA12" s="301"/>
      <c r="WLB12" s="301"/>
      <c r="WLC12" s="301"/>
      <c r="WLD12" s="312"/>
      <c r="WLE12" s="301"/>
      <c r="WLF12" s="309"/>
      <c r="WLG12" s="301"/>
      <c r="WLH12" s="306"/>
      <c r="WLI12" s="301"/>
      <c r="WLJ12" s="309"/>
      <c r="WLK12" s="301"/>
      <c r="WLL12" s="309"/>
      <c r="WLM12" s="301"/>
      <c r="WLN12" s="301"/>
      <c r="WLO12" s="301"/>
      <c r="WLP12" s="301"/>
      <c r="WLQ12" s="301"/>
      <c r="WLR12" s="301"/>
      <c r="WLS12" s="301"/>
      <c r="WLT12" s="301"/>
      <c r="WLU12" s="312"/>
      <c r="WLV12" s="301"/>
      <c r="WLW12" s="309"/>
      <c r="WLX12" s="301"/>
      <c r="WLY12" s="306"/>
      <c r="WLZ12" s="301"/>
      <c r="WMA12" s="309"/>
      <c r="WMB12" s="301"/>
      <c r="WMC12" s="309"/>
      <c r="WMD12" s="301"/>
      <c r="WME12" s="301"/>
      <c r="WMF12" s="301"/>
      <c r="WMG12" s="301"/>
      <c r="WMH12" s="301"/>
      <c r="WMI12" s="301"/>
      <c r="WMJ12" s="301"/>
      <c r="WMK12" s="301"/>
      <c r="WML12" s="312"/>
      <c r="WMM12" s="301"/>
      <c r="WMN12" s="309"/>
      <c r="WMO12" s="301"/>
      <c r="WMP12" s="306"/>
      <c r="WMQ12" s="301"/>
      <c r="WMR12" s="309"/>
      <c r="WMS12" s="301"/>
      <c r="WMT12" s="309"/>
      <c r="WMU12" s="301"/>
      <c r="WMV12" s="301"/>
      <c r="WMW12" s="301"/>
      <c r="WMX12" s="301"/>
      <c r="WMY12" s="301"/>
      <c r="WMZ12" s="301"/>
      <c r="WNA12" s="301"/>
      <c r="WNB12" s="301"/>
      <c r="WNC12" s="312"/>
      <c r="WND12" s="301"/>
      <c r="WNE12" s="309"/>
      <c r="WNF12" s="301"/>
      <c r="WNG12" s="306"/>
      <c r="WNH12" s="301"/>
      <c r="WNI12" s="309"/>
      <c r="WNJ12" s="301"/>
      <c r="WNK12" s="309"/>
      <c r="WNL12" s="301"/>
      <c r="WNM12" s="301"/>
      <c r="WNN12" s="301"/>
      <c r="WNO12" s="301"/>
      <c r="WNP12" s="301"/>
      <c r="WNQ12" s="301"/>
      <c r="WNR12" s="301"/>
      <c r="WNS12" s="301"/>
      <c r="WNT12" s="312"/>
      <c r="WNU12" s="301"/>
      <c r="WNV12" s="309"/>
      <c r="WNW12" s="301"/>
      <c r="WNX12" s="306"/>
      <c r="WNY12" s="301"/>
      <c r="WNZ12" s="309"/>
      <c r="WOA12" s="301"/>
      <c r="WOB12" s="309"/>
      <c r="WOC12" s="301"/>
      <c r="WOD12" s="301"/>
      <c r="WOE12" s="301"/>
      <c r="WOF12" s="301"/>
      <c r="WOG12" s="301"/>
      <c r="WOH12" s="301"/>
      <c r="WOI12" s="301"/>
      <c r="WOJ12" s="301"/>
      <c r="WOK12" s="312"/>
      <c r="WOL12" s="301"/>
      <c r="WOM12" s="309"/>
      <c r="WON12" s="301"/>
      <c r="WOO12" s="306"/>
      <c r="WOP12" s="301"/>
      <c r="WOQ12" s="309"/>
      <c r="WOR12" s="301"/>
      <c r="WOS12" s="309"/>
      <c r="WOT12" s="301"/>
      <c r="WOU12" s="301"/>
      <c r="WOV12" s="301"/>
      <c r="WOW12" s="301"/>
      <c r="WOX12" s="301"/>
      <c r="WOY12" s="301"/>
      <c r="WOZ12" s="301"/>
      <c r="WPA12" s="301"/>
      <c r="WPB12" s="312"/>
      <c r="WPC12" s="301"/>
      <c r="WPD12" s="309"/>
      <c r="WPE12" s="301"/>
      <c r="WPF12" s="306"/>
      <c r="WPG12" s="301"/>
      <c r="WPH12" s="309"/>
      <c r="WPI12" s="301"/>
      <c r="WPJ12" s="309"/>
      <c r="WPK12" s="301"/>
      <c r="WPL12" s="301"/>
      <c r="WPM12" s="301"/>
      <c r="WPN12" s="301"/>
      <c r="WPO12" s="301"/>
      <c r="WPP12" s="301"/>
      <c r="WPQ12" s="301"/>
      <c r="WPR12" s="301"/>
      <c r="WPS12" s="312"/>
      <c r="WPT12" s="301"/>
      <c r="WPU12" s="309"/>
      <c r="WPV12" s="301"/>
      <c r="WPW12" s="306"/>
      <c r="WPX12" s="301"/>
      <c r="WPY12" s="309"/>
      <c r="WPZ12" s="301"/>
      <c r="WQA12" s="309"/>
      <c r="WQB12" s="301"/>
      <c r="WQC12" s="301"/>
      <c r="WQD12" s="301"/>
      <c r="WQE12" s="301"/>
      <c r="WQF12" s="301"/>
      <c r="WQG12" s="301"/>
      <c r="WQH12" s="301"/>
      <c r="WQI12" s="301"/>
      <c r="WQJ12" s="312"/>
      <c r="WQK12" s="301"/>
      <c r="WQL12" s="309"/>
      <c r="WQM12" s="301"/>
      <c r="WQN12" s="306"/>
      <c r="WQO12" s="301"/>
      <c r="WQP12" s="309"/>
      <c r="WQQ12" s="301"/>
      <c r="WQR12" s="309"/>
      <c r="WQS12" s="301"/>
      <c r="WQT12" s="301"/>
      <c r="WQU12" s="301"/>
      <c r="WQV12" s="301"/>
      <c r="WQW12" s="301"/>
      <c r="WQX12" s="301"/>
      <c r="WQY12" s="301"/>
      <c r="WQZ12" s="301"/>
      <c r="WRA12" s="312"/>
      <c r="WRB12" s="301"/>
      <c r="WRC12" s="309"/>
      <c r="WRD12" s="301"/>
      <c r="WRE12" s="306"/>
      <c r="WRF12" s="301"/>
      <c r="WRG12" s="309"/>
      <c r="WRH12" s="301"/>
      <c r="WRI12" s="309"/>
      <c r="WRJ12" s="301"/>
      <c r="WRK12" s="301"/>
      <c r="WRL12" s="301"/>
      <c r="WRM12" s="301"/>
      <c r="WRN12" s="301"/>
      <c r="WRO12" s="301"/>
      <c r="WRP12" s="301"/>
      <c r="WRQ12" s="301"/>
      <c r="WRR12" s="312"/>
      <c r="WRS12" s="301"/>
      <c r="WRT12" s="309"/>
      <c r="WRU12" s="301"/>
      <c r="WRV12" s="306"/>
      <c r="WRW12" s="301"/>
      <c r="WRX12" s="309"/>
      <c r="WRY12" s="301"/>
      <c r="WRZ12" s="309"/>
      <c r="WSA12" s="301"/>
      <c r="WSB12" s="301"/>
      <c r="WSC12" s="301"/>
      <c r="WSD12" s="301"/>
      <c r="WSE12" s="301"/>
      <c r="WSF12" s="301"/>
      <c r="WSG12" s="301"/>
      <c r="WSH12" s="301"/>
      <c r="WSI12" s="312"/>
      <c r="WSJ12" s="301"/>
      <c r="WSK12" s="309"/>
      <c r="WSL12" s="301"/>
      <c r="WSM12" s="306"/>
      <c r="WSN12" s="301"/>
      <c r="WSO12" s="309"/>
      <c r="WSP12" s="301"/>
      <c r="WSQ12" s="309"/>
      <c r="WSR12" s="301"/>
      <c r="WSS12" s="301"/>
      <c r="WST12" s="301"/>
      <c r="WSU12" s="301"/>
      <c r="WSV12" s="301"/>
      <c r="WSW12" s="301"/>
      <c r="WSX12" s="301"/>
      <c r="WSY12" s="301"/>
      <c r="WSZ12" s="312"/>
      <c r="WTA12" s="301"/>
      <c r="WTB12" s="309"/>
      <c r="WTC12" s="301"/>
      <c r="WTD12" s="306"/>
      <c r="WTE12" s="301"/>
      <c r="WTF12" s="309"/>
      <c r="WTG12" s="301"/>
      <c r="WTH12" s="309"/>
      <c r="WTI12" s="301"/>
      <c r="WTJ12" s="301"/>
      <c r="WTK12" s="301"/>
      <c r="WTL12" s="301"/>
      <c r="WTM12" s="301"/>
      <c r="WTN12" s="301"/>
      <c r="WTO12" s="301"/>
      <c r="WTP12" s="301"/>
      <c r="WTQ12" s="312"/>
      <c r="WTR12" s="301"/>
      <c r="WTS12" s="309"/>
      <c r="WTT12" s="301"/>
      <c r="WTU12" s="306"/>
      <c r="WTV12" s="301"/>
      <c r="WTW12" s="309"/>
      <c r="WTX12" s="301"/>
      <c r="WTY12" s="309"/>
      <c r="WTZ12" s="301"/>
      <c r="WUA12" s="301"/>
      <c r="WUB12" s="301"/>
      <c r="WUC12" s="301"/>
      <c r="WUD12" s="301"/>
      <c r="WUE12" s="301"/>
      <c r="WUF12" s="301"/>
      <c r="WUG12" s="301"/>
      <c r="WUH12" s="312"/>
      <c r="WUI12" s="301"/>
      <c r="WUJ12" s="309"/>
      <c r="WUK12" s="301"/>
      <c r="WUL12" s="306"/>
      <c r="WUM12" s="301"/>
      <c r="WUN12" s="309"/>
      <c r="WUO12" s="301"/>
      <c r="WUP12" s="309"/>
      <c r="WUQ12" s="301"/>
      <c r="WUR12" s="301"/>
      <c r="WUS12" s="301"/>
      <c r="WUT12" s="301"/>
      <c r="WUU12" s="301"/>
      <c r="WUV12" s="301"/>
      <c r="WUW12" s="301"/>
      <c r="WUX12" s="301"/>
      <c r="WUY12" s="312"/>
      <c r="WUZ12" s="301"/>
      <c r="WVA12" s="309"/>
      <c r="WVB12" s="301"/>
      <c r="WVC12" s="306"/>
      <c r="WVD12" s="301"/>
      <c r="WVE12" s="309"/>
      <c r="WVF12" s="301"/>
      <c r="WVG12" s="309"/>
      <c r="WVH12" s="301"/>
      <c r="WVI12" s="301"/>
      <c r="WVJ12" s="301"/>
      <c r="WVK12" s="301"/>
      <c r="WVL12" s="301"/>
      <c r="WVM12" s="301"/>
      <c r="WVN12" s="301"/>
      <c r="WVO12" s="301"/>
      <c r="WVP12" s="312"/>
      <c r="WVQ12" s="301"/>
      <c r="WVR12" s="309"/>
      <c r="WVS12" s="301"/>
      <c r="WVT12" s="306"/>
      <c r="WVU12" s="301"/>
      <c r="WVV12" s="309"/>
      <c r="WVW12" s="301"/>
      <c r="WVX12" s="309"/>
      <c r="WVY12" s="301"/>
      <c r="WVZ12" s="301"/>
      <c r="WWA12" s="301"/>
      <c r="WWB12" s="301"/>
      <c r="WWC12" s="301"/>
      <c r="WWD12" s="301"/>
      <c r="WWE12" s="301"/>
      <c r="WWF12" s="301"/>
      <c r="WWG12" s="312"/>
      <c r="WWH12" s="301"/>
      <c r="WWI12" s="309"/>
      <c r="WWJ12" s="301"/>
      <c r="WWK12" s="306"/>
      <c r="WWL12" s="301"/>
      <c r="WWM12" s="309"/>
      <c r="WWN12" s="301"/>
      <c r="WWO12" s="309"/>
      <c r="WWP12" s="301"/>
      <c r="WWQ12" s="301"/>
      <c r="WWR12" s="301"/>
      <c r="WWS12" s="301"/>
      <c r="WWT12" s="301"/>
      <c r="WWU12" s="301"/>
      <c r="WWV12" s="301"/>
      <c r="WWW12" s="301"/>
      <c r="WWX12" s="312"/>
      <c r="WWY12" s="301"/>
      <c r="WWZ12" s="309"/>
      <c r="WXA12" s="301"/>
      <c r="WXB12" s="306"/>
      <c r="WXC12" s="301"/>
      <c r="WXD12" s="309"/>
      <c r="WXE12" s="301"/>
      <c r="WXF12" s="309"/>
      <c r="WXG12" s="301"/>
      <c r="WXH12" s="301"/>
      <c r="WXI12" s="301"/>
      <c r="WXJ12" s="301"/>
      <c r="WXK12" s="301"/>
      <c r="WXL12" s="301"/>
      <c r="WXM12" s="301"/>
      <c r="WXN12" s="301"/>
      <c r="WXO12" s="312"/>
      <c r="WXP12" s="301"/>
      <c r="WXQ12" s="309"/>
      <c r="WXR12" s="301"/>
      <c r="WXS12" s="306"/>
      <c r="WXT12" s="301"/>
      <c r="WXU12" s="309"/>
      <c r="WXV12" s="301"/>
      <c r="WXW12" s="309"/>
      <c r="WXX12" s="301"/>
      <c r="WXY12" s="301"/>
      <c r="WXZ12" s="301"/>
      <c r="WYA12" s="301"/>
      <c r="WYB12" s="301"/>
      <c r="WYC12" s="301"/>
      <c r="WYD12" s="301"/>
      <c r="WYE12" s="301"/>
      <c r="WYF12" s="312"/>
      <c r="WYG12" s="301"/>
      <c r="WYH12" s="309"/>
      <c r="WYI12" s="301"/>
      <c r="WYJ12" s="306"/>
      <c r="WYK12" s="301"/>
      <c r="WYL12" s="309"/>
      <c r="WYM12" s="301"/>
      <c r="WYN12" s="309"/>
      <c r="WYO12" s="301"/>
      <c r="WYP12" s="301"/>
      <c r="WYQ12" s="301"/>
      <c r="WYR12" s="301"/>
      <c r="WYS12" s="301"/>
      <c r="WYT12" s="301"/>
      <c r="WYU12" s="301"/>
      <c r="WYV12" s="301"/>
      <c r="WYW12" s="312"/>
      <c r="WYX12" s="301"/>
      <c r="WYY12" s="309"/>
      <c r="WYZ12" s="301"/>
      <c r="WZA12" s="306"/>
      <c r="WZB12" s="301"/>
      <c r="WZC12" s="309"/>
      <c r="WZD12" s="301"/>
      <c r="WZE12" s="309"/>
      <c r="WZF12" s="301"/>
      <c r="WZG12" s="301"/>
      <c r="WZH12" s="301"/>
      <c r="WZI12" s="301"/>
      <c r="WZJ12" s="301"/>
      <c r="WZK12" s="301"/>
      <c r="WZL12" s="301"/>
      <c r="WZM12" s="301"/>
      <c r="WZN12" s="312"/>
      <c r="WZO12" s="301"/>
      <c r="WZP12" s="309"/>
      <c r="WZQ12" s="301"/>
      <c r="WZR12" s="306"/>
      <c r="WZS12" s="301"/>
      <c r="WZT12" s="309"/>
      <c r="WZU12" s="301"/>
      <c r="WZV12" s="309"/>
      <c r="WZW12" s="301"/>
      <c r="WZX12" s="301"/>
      <c r="WZY12" s="301"/>
      <c r="WZZ12" s="301"/>
      <c r="XAA12" s="301"/>
      <c r="XAB12" s="301"/>
      <c r="XAC12" s="301"/>
      <c r="XAD12" s="301"/>
      <c r="XAE12" s="312"/>
      <c r="XAF12" s="301"/>
      <c r="XAG12" s="309"/>
      <c r="XAH12" s="301"/>
      <c r="XAI12" s="306"/>
      <c r="XAJ12" s="301"/>
      <c r="XAK12" s="309"/>
      <c r="XAL12" s="301"/>
      <c r="XAM12" s="309"/>
      <c r="XAN12" s="301"/>
      <c r="XAO12" s="301"/>
      <c r="XAP12" s="301"/>
      <c r="XAQ12" s="301"/>
      <c r="XAR12" s="301"/>
      <c r="XAS12" s="301"/>
      <c r="XAT12" s="301"/>
      <c r="XAU12" s="301"/>
      <c r="XAV12" s="312"/>
      <c r="XAW12" s="301"/>
      <c r="XAX12" s="309"/>
      <c r="XAY12" s="301"/>
      <c r="XAZ12" s="306"/>
      <c r="XBA12" s="301"/>
      <c r="XBB12" s="309"/>
      <c r="XBC12" s="301"/>
      <c r="XBD12" s="309"/>
      <c r="XBE12" s="301"/>
      <c r="XBF12" s="301"/>
      <c r="XBG12" s="301"/>
      <c r="XBH12" s="301"/>
      <c r="XBI12" s="301"/>
      <c r="XBJ12" s="301"/>
      <c r="XBK12" s="301"/>
      <c r="XBL12" s="301"/>
      <c r="XBM12" s="312"/>
      <c r="XBN12" s="301"/>
      <c r="XBO12" s="309"/>
      <c r="XBP12" s="301"/>
      <c r="XBQ12" s="306"/>
      <c r="XBR12" s="301"/>
      <c r="XBS12" s="309"/>
      <c r="XBT12" s="301"/>
      <c r="XBU12" s="309"/>
      <c r="XBV12" s="301"/>
      <c r="XBW12" s="301"/>
      <c r="XBX12" s="301"/>
      <c r="XBY12" s="301"/>
      <c r="XBZ12" s="301"/>
      <c r="XCA12" s="301"/>
      <c r="XCB12" s="301"/>
      <c r="XCC12" s="301"/>
      <c r="XCD12" s="312"/>
      <c r="XCE12" s="301"/>
      <c r="XCF12" s="309"/>
      <c r="XCG12" s="301"/>
      <c r="XCH12" s="306"/>
      <c r="XCI12" s="301"/>
      <c r="XCJ12" s="309"/>
      <c r="XCK12" s="301"/>
      <c r="XCL12" s="309"/>
      <c r="XCM12" s="301"/>
      <c r="XCN12" s="301"/>
      <c r="XCO12" s="301"/>
      <c r="XCP12" s="301"/>
      <c r="XCQ12" s="301"/>
      <c r="XCR12" s="301"/>
      <c r="XCS12" s="301"/>
      <c r="XCT12" s="301"/>
      <c r="XCU12" s="312"/>
      <c r="XCV12" s="301"/>
      <c r="XCW12" s="309"/>
      <c r="XCX12" s="301"/>
      <c r="XCY12" s="306"/>
      <c r="XCZ12" s="301"/>
      <c r="XDA12" s="309"/>
      <c r="XDB12" s="301"/>
      <c r="XDC12" s="309"/>
      <c r="XDD12" s="301"/>
      <c r="XDE12" s="301"/>
      <c r="XDF12" s="301"/>
      <c r="XDG12" s="301"/>
      <c r="XDH12" s="301"/>
      <c r="XDI12" s="301"/>
      <c r="XDJ12" s="301"/>
      <c r="XDK12" s="301"/>
      <c r="XDL12" s="312"/>
      <c r="XDM12" s="301"/>
      <c r="XDN12" s="309"/>
      <c r="XDO12" s="301"/>
      <c r="XDP12" s="306"/>
      <c r="XDQ12" s="301"/>
      <c r="XDR12" s="309"/>
      <c r="XDS12" s="301"/>
      <c r="XDT12" s="309"/>
      <c r="XDU12" s="301"/>
      <c r="XDV12" s="301"/>
      <c r="XDW12" s="301"/>
      <c r="XDX12" s="301"/>
      <c r="XDY12" s="301"/>
      <c r="XDZ12" s="301"/>
      <c r="XEA12" s="301"/>
      <c r="XEB12" s="301"/>
      <c r="XEC12" s="312"/>
      <c r="XED12" s="301"/>
      <c r="XEE12" s="309"/>
      <c r="XEF12" s="301"/>
      <c r="XEG12" s="306"/>
      <c r="XEH12" s="301"/>
      <c r="XEI12" s="309"/>
      <c r="XEJ12" s="301"/>
      <c r="XEK12" s="309"/>
      <c r="XEL12" s="301"/>
      <c r="XEM12" s="301"/>
      <c r="XEN12" s="301"/>
      <c r="XEO12" s="301"/>
      <c r="XEP12" s="301"/>
      <c r="XEQ12" s="301"/>
      <c r="XER12" s="301"/>
      <c r="XES12" s="301"/>
    </row>
    <row r="13" spans="1:16373" s="101" customFormat="1" ht="57.95">
      <c r="A13" s="105" t="s">
        <v>84</v>
      </c>
      <c r="B13" s="29" t="s">
        <v>85</v>
      </c>
      <c r="C13" s="26" t="s">
        <v>86</v>
      </c>
      <c r="D13" s="26" t="s">
        <v>74</v>
      </c>
      <c r="E13" s="30">
        <v>0</v>
      </c>
      <c r="F13" s="26" t="s">
        <v>87</v>
      </c>
      <c r="G13" s="28">
        <f>1/8</f>
        <v>0.125</v>
      </c>
      <c r="H13" s="26" t="s">
        <v>88</v>
      </c>
      <c r="I13" s="28">
        <f>4/24</f>
        <v>0.16666666666666666</v>
      </c>
      <c r="J13" s="26" t="s">
        <v>88</v>
      </c>
      <c r="K13" s="28">
        <f>3/10</f>
        <v>0.3</v>
      </c>
      <c r="L13" s="26" t="s">
        <v>77</v>
      </c>
      <c r="M13" s="28">
        <v>0.4</v>
      </c>
      <c r="N13" s="146" t="s">
        <v>89</v>
      </c>
    </row>
    <row r="14" spans="1:16373">
      <c r="A14" s="303" t="s">
        <v>90</v>
      </c>
      <c r="B14" s="321" t="s">
        <v>91</v>
      </c>
      <c r="C14" s="321"/>
      <c r="D14" s="295">
        <v>68.7</v>
      </c>
      <c r="E14" s="296"/>
      <c r="F14" s="323">
        <v>69.790000000000006</v>
      </c>
      <c r="G14" s="324"/>
      <c r="H14" s="295">
        <v>82.85</v>
      </c>
      <c r="I14" s="296"/>
      <c r="J14" s="295">
        <v>74.77</v>
      </c>
      <c r="K14" s="296"/>
      <c r="L14" s="150">
        <v>90.11</v>
      </c>
      <c r="M14" s="151"/>
    </row>
    <row r="15" spans="1:16373">
      <c r="A15" s="320" t="s">
        <v>92</v>
      </c>
      <c r="B15" s="322"/>
      <c r="C15" s="322"/>
      <c r="D15" s="297"/>
      <c r="E15" s="298"/>
      <c r="F15" s="325"/>
      <c r="G15" s="326"/>
      <c r="H15" s="297"/>
      <c r="I15" s="298"/>
      <c r="J15" s="297"/>
      <c r="K15" s="298"/>
      <c r="L15" s="152"/>
      <c r="M15" s="153"/>
    </row>
    <row r="16" spans="1:16373">
      <c r="A16" s="316" t="s">
        <v>92</v>
      </c>
      <c r="B16" s="317" t="s">
        <v>93</v>
      </c>
      <c r="C16" s="317"/>
      <c r="D16" s="318" t="s">
        <v>94</v>
      </c>
      <c r="E16" s="319"/>
      <c r="F16" s="319"/>
      <c r="G16" s="319"/>
      <c r="H16" s="319"/>
      <c r="I16" s="319"/>
      <c r="J16" s="315"/>
      <c r="K16" s="315"/>
      <c r="L16" s="315"/>
      <c r="M16" s="315"/>
    </row>
    <row r="17" spans="1:13" ht="36.75" customHeight="1">
      <c r="A17" s="316"/>
      <c r="B17" s="317"/>
      <c r="C17" s="317"/>
      <c r="D17" s="319"/>
      <c r="E17" s="319"/>
      <c r="F17" s="319"/>
      <c r="G17" s="319"/>
      <c r="H17" s="319"/>
      <c r="I17" s="319"/>
      <c r="J17" s="315"/>
      <c r="K17" s="315"/>
      <c r="L17" s="315"/>
      <c r="M17" s="315"/>
    </row>
    <row r="18" spans="1:13">
      <c r="A18" s="107" t="s">
        <v>38</v>
      </c>
      <c r="B18" s="72"/>
      <c r="C18" s="72"/>
      <c r="D18" s="315" t="s">
        <v>95</v>
      </c>
      <c r="E18" s="315"/>
      <c r="F18" s="315" t="s">
        <v>95</v>
      </c>
      <c r="G18" s="315"/>
      <c r="H18" s="315" t="s">
        <v>95</v>
      </c>
      <c r="I18" s="315"/>
      <c r="J18" s="72"/>
      <c r="K18" s="72"/>
      <c r="L18" s="154">
        <v>3.75</v>
      </c>
      <c r="M18" s="155"/>
    </row>
  </sheetData>
  <mergeCells count="16387">
    <mergeCell ref="J16:K17"/>
    <mergeCell ref="L16:M17"/>
    <mergeCell ref="A16:A17"/>
    <mergeCell ref="B16:B17"/>
    <mergeCell ref="C16:C17"/>
    <mergeCell ref="D16:I17"/>
    <mergeCell ref="D18:E18"/>
    <mergeCell ref="F18:G18"/>
    <mergeCell ref="H18:I18"/>
    <mergeCell ref="A14:A15"/>
    <mergeCell ref="B14:B15"/>
    <mergeCell ref="C14:C15"/>
    <mergeCell ref="D14:E15"/>
    <mergeCell ref="F14:G15"/>
    <mergeCell ref="H14:I15"/>
    <mergeCell ref="XEN11:XEN12"/>
    <mergeCell ref="XEO11:XEO12"/>
    <mergeCell ref="XEP11:XEP12"/>
    <mergeCell ref="XEQ11:XEQ12"/>
    <mergeCell ref="XER11:XER12"/>
    <mergeCell ref="XES11:XES12"/>
    <mergeCell ref="XEH11:XEH12"/>
    <mergeCell ref="XEI11:XEI12"/>
    <mergeCell ref="XEJ11:XEJ12"/>
    <mergeCell ref="XEK11:XEK12"/>
    <mergeCell ref="XEL11:XEL12"/>
    <mergeCell ref="XEM11:XEM12"/>
    <mergeCell ref="XEB11:XEB12"/>
    <mergeCell ref="XEC11:XEC12"/>
    <mergeCell ref="XED11:XED12"/>
    <mergeCell ref="XEE11:XEE12"/>
    <mergeCell ref="XEF11:XEF12"/>
    <mergeCell ref="XEG11:XEG12"/>
    <mergeCell ref="XDV11:XDV12"/>
    <mergeCell ref="XDW11:XDW12"/>
    <mergeCell ref="XDX11:XDX12"/>
    <mergeCell ref="XDY11:XDY12"/>
    <mergeCell ref="XDZ11:XDZ12"/>
    <mergeCell ref="XEA11:XEA12"/>
    <mergeCell ref="XDP11:XDP12"/>
    <mergeCell ref="XDQ11:XDQ12"/>
    <mergeCell ref="XDR11:XDR12"/>
    <mergeCell ref="XDS11:XDS12"/>
    <mergeCell ref="XDT11:XDT12"/>
    <mergeCell ref="XDU11:XDU12"/>
    <mergeCell ref="XDJ11:XDJ12"/>
    <mergeCell ref="XDK11:XDK12"/>
    <mergeCell ref="XDL11:XDL12"/>
    <mergeCell ref="XDM11:XDM12"/>
    <mergeCell ref="XDN11:XDN12"/>
    <mergeCell ref="XDO11:XDO12"/>
    <mergeCell ref="XDD11:XDD12"/>
    <mergeCell ref="XDE11:XDE12"/>
    <mergeCell ref="XDF11:XDF12"/>
    <mergeCell ref="XDG11:XDG12"/>
    <mergeCell ref="XDH11:XDH12"/>
    <mergeCell ref="XDI11:XDI12"/>
    <mergeCell ref="XCX11:XCX12"/>
    <mergeCell ref="XCY11:XCY12"/>
    <mergeCell ref="XCZ11:XCZ12"/>
    <mergeCell ref="XDA11:XDA12"/>
    <mergeCell ref="XDB11:XDB12"/>
    <mergeCell ref="XDC11:XDC12"/>
    <mergeCell ref="XCR11:XCR12"/>
    <mergeCell ref="XCS11:XCS12"/>
    <mergeCell ref="XCT11:XCT12"/>
    <mergeCell ref="XCU11:XCU12"/>
    <mergeCell ref="XCV11:XCV12"/>
    <mergeCell ref="XCW11:XCW12"/>
    <mergeCell ref="XCL11:XCL12"/>
    <mergeCell ref="XCM11:XCM12"/>
    <mergeCell ref="XCN11:XCN12"/>
    <mergeCell ref="XCO11:XCO12"/>
    <mergeCell ref="XCP11:XCP12"/>
    <mergeCell ref="XCQ11:XCQ12"/>
    <mergeCell ref="XCF11:XCF12"/>
    <mergeCell ref="XCG11:XCG12"/>
    <mergeCell ref="XCH11:XCH12"/>
    <mergeCell ref="XCI11:XCI12"/>
    <mergeCell ref="XCJ11:XCJ12"/>
    <mergeCell ref="XCK11:XCK12"/>
    <mergeCell ref="XBZ11:XBZ12"/>
    <mergeCell ref="XCA11:XCA12"/>
    <mergeCell ref="XCB11:XCB12"/>
    <mergeCell ref="XCC11:XCC12"/>
    <mergeCell ref="XCD11:XCD12"/>
    <mergeCell ref="XCE11:XCE12"/>
    <mergeCell ref="XBT11:XBT12"/>
    <mergeCell ref="XBU11:XBU12"/>
    <mergeCell ref="XBV11:XBV12"/>
    <mergeCell ref="XBW11:XBW12"/>
    <mergeCell ref="XBX11:XBX12"/>
    <mergeCell ref="XBY11:XBY12"/>
    <mergeCell ref="XBN11:XBN12"/>
    <mergeCell ref="XBO11:XBO12"/>
    <mergeCell ref="XBP11:XBP12"/>
    <mergeCell ref="XBQ11:XBQ12"/>
    <mergeCell ref="XBR11:XBR12"/>
    <mergeCell ref="XBS11:XBS12"/>
    <mergeCell ref="XBH11:XBH12"/>
    <mergeCell ref="XBI11:XBI12"/>
    <mergeCell ref="XBJ11:XBJ12"/>
    <mergeCell ref="XBK11:XBK12"/>
    <mergeCell ref="XBL11:XBL12"/>
    <mergeCell ref="XBM11:XBM12"/>
    <mergeCell ref="XBB11:XBB12"/>
    <mergeCell ref="XBC11:XBC12"/>
    <mergeCell ref="XBD11:XBD12"/>
    <mergeCell ref="XBE11:XBE12"/>
    <mergeCell ref="XBF11:XBF12"/>
    <mergeCell ref="XBG11:XBG12"/>
    <mergeCell ref="XAV11:XAV12"/>
    <mergeCell ref="XAW11:XAW12"/>
    <mergeCell ref="XAX11:XAX12"/>
    <mergeCell ref="XAY11:XAY12"/>
    <mergeCell ref="XAZ11:XAZ12"/>
    <mergeCell ref="XBA11:XBA12"/>
    <mergeCell ref="XAP11:XAP12"/>
    <mergeCell ref="XAQ11:XAQ12"/>
    <mergeCell ref="XAR11:XAR12"/>
    <mergeCell ref="XAS11:XAS12"/>
    <mergeCell ref="XAT11:XAT12"/>
    <mergeCell ref="XAU11:XAU12"/>
    <mergeCell ref="XAJ11:XAJ12"/>
    <mergeCell ref="XAK11:XAK12"/>
    <mergeCell ref="XAL11:XAL12"/>
    <mergeCell ref="XAM11:XAM12"/>
    <mergeCell ref="XAN11:XAN12"/>
    <mergeCell ref="XAO11:XAO12"/>
    <mergeCell ref="XAD11:XAD12"/>
    <mergeCell ref="XAE11:XAE12"/>
    <mergeCell ref="XAF11:XAF12"/>
    <mergeCell ref="XAG11:XAG12"/>
    <mergeCell ref="XAH11:XAH12"/>
    <mergeCell ref="XAI11:XAI12"/>
    <mergeCell ref="WZX11:WZX12"/>
    <mergeCell ref="WZY11:WZY12"/>
    <mergeCell ref="WZZ11:WZZ12"/>
    <mergeCell ref="XAA11:XAA12"/>
    <mergeCell ref="XAB11:XAB12"/>
    <mergeCell ref="XAC11:XAC12"/>
    <mergeCell ref="WZR11:WZR12"/>
    <mergeCell ref="WZS11:WZS12"/>
    <mergeCell ref="WZT11:WZT12"/>
    <mergeCell ref="WZU11:WZU12"/>
    <mergeCell ref="WZV11:WZV12"/>
    <mergeCell ref="WZW11:WZW12"/>
    <mergeCell ref="WZL11:WZL12"/>
    <mergeCell ref="WZM11:WZM12"/>
    <mergeCell ref="WZN11:WZN12"/>
    <mergeCell ref="WZO11:WZO12"/>
    <mergeCell ref="WZP11:WZP12"/>
    <mergeCell ref="WZQ11:WZQ12"/>
    <mergeCell ref="WZF11:WZF12"/>
    <mergeCell ref="WZG11:WZG12"/>
    <mergeCell ref="WZH11:WZH12"/>
    <mergeCell ref="WZI11:WZI12"/>
    <mergeCell ref="WZJ11:WZJ12"/>
    <mergeCell ref="WZK11:WZK12"/>
    <mergeCell ref="WYZ11:WYZ12"/>
    <mergeCell ref="WZA11:WZA12"/>
    <mergeCell ref="WZB11:WZB12"/>
    <mergeCell ref="WZC11:WZC12"/>
    <mergeCell ref="WZD11:WZD12"/>
    <mergeCell ref="WZE11:WZE12"/>
    <mergeCell ref="WYT11:WYT12"/>
    <mergeCell ref="WYU11:WYU12"/>
    <mergeCell ref="WYV11:WYV12"/>
    <mergeCell ref="WYW11:WYW12"/>
    <mergeCell ref="WYX11:WYX12"/>
    <mergeCell ref="WYY11:WYY12"/>
    <mergeCell ref="WYN11:WYN12"/>
    <mergeCell ref="WYO11:WYO12"/>
    <mergeCell ref="WYP11:WYP12"/>
    <mergeCell ref="WYQ11:WYQ12"/>
    <mergeCell ref="WYR11:WYR12"/>
    <mergeCell ref="WYS11:WYS12"/>
    <mergeCell ref="WYH11:WYH12"/>
    <mergeCell ref="WYI11:WYI12"/>
    <mergeCell ref="WYJ11:WYJ12"/>
    <mergeCell ref="WYK11:WYK12"/>
    <mergeCell ref="WYL11:WYL12"/>
    <mergeCell ref="WYM11:WYM12"/>
    <mergeCell ref="WYB11:WYB12"/>
    <mergeCell ref="WYC11:WYC12"/>
    <mergeCell ref="WYD11:WYD12"/>
    <mergeCell ref="WYE11:WYE12"/>
    <mergeCell ref="WYF11:WYF12"/>
    <mergeCell ref="WYG11:WYG12"/>
    <mergeCell ref="WXV11:WXV12"/>
    <mergeCell ref="WXW11:WXW12"/>
    <mergeCell ref="WXX11:WXX12"/>
    <mergeCell ref="WXY11:WXY12"/>
    <mergeCell ref="WXZ11:WXZ12"/>
    <mergeCell ref="WYA11:WYA12"/>
    <mergeCell ref="WXP11:WXP12"/>
    <mergeCell ref="WXQ11:WXQ12"/>
    <mergeCell ref="WXR11:WXR12"/>
    <mergeCell ref="WXS11:WXS12"/>
    <mergeCell ref="WXT11:WXT12"/>
    <mergeCell ref="WXU11:WXU12"/>
    <mergeCell ref="WXJ11:WXJ12"/>
    <mergeCell ref="WXK11:WXK12"/>
    <mergeCell ref="WXL11:WXL12"/>
    <mergeCell ref="WXM11:WXM12"/>
    <mergeCell ref="WXN11:WXN12"/>
    <mergeCell ref="WXO11:WXO12"/>
    <mergeCell ref="WXD11:WXD12"/>
    <mergeCell ref="WXE11:WXE12"/>
    <mergeCell ref="WXF11:WXF12"/>
    <mergeCell ref="WXG11:WXG12"/>
    <mergeCell ref="WXH11:WXH12"/>
    <mergeCell ref="WXI11:WXI12"/>
    <mergeCell ref="WWX11:WWX12"/>
    <mergeCell ref="WWY11:WWY12"/>
    <mergeCell ref="WWZ11:WWZ12"/>
    <mergeCell ref="WXA11:WXA12"/>
    <mergeCell ref="WXB11:WXB12"/>
    <mergeCell ref="WXC11:WXC12"/>
    <mergeCell ref="WWR11:WWR12"/>
    <mergeCell ref="WWS11:WWS12"/>
    <mergeCell ref="WWT11:WWT12"/>
    <mergeCell ref="WWU11:WWU12"/>
    <mergeCell ref="WWV11:WWV12"/>
    <mergeCell ref="WWW11:WWW12"/>
    <mergeCell ref="WWL11:WWL12"/>
    <mergeCell ref="WWM11:WWM12"/>
    <mergeCell ref="WWN11:WWN12"/>
    <mergeCell ref="WWO11:WWO12"/>
    <mergeCell ref="WWP11:WWP12"/>
    <mergeCell ref="WWQ11:WWQ12"/>
    <mergeCell ref="WWF11:WWF12"/>
    <mergeCell ref="WWG11:WWG12"/>
    <mergeCell ref="WWH11:WWH12"/>
    <mergeCell ref="WWI11:WWI12"/>
    <mergeCell ref="WWJ11:WWJ12"/>
    <mergeCell ref="WWK11:WWK12"/>
    <mergeCell ref="WVZ11:WVZ12"/>
    <mergeCell ref="WWA11:WWA12"/>
    <mergeCell ref="WWB11:WWB12"/>
    <mergeCell ref="WWC11:WWC12"/>
    <mergeCell ref="WWD11:WWD12"/>
    <mergeCell ref="WWE11:WWE12"/>
    <mergeCell ref="WVT11:WVT12"/>
    <mergeCell ref="WVU11:WVU12"/>
    <mergeCell ref="WVV11:WVV12"/>
    <mergeCell ref="WVW11:WVW12"/>
    <mergeCell ref="WVX11:WVX12"/>
    <mergeCell ref="WVY11:WVY12"/>
    <mergeCell ref="WVN11:WVN12"/>
    <mergeCell ref="WVO11:WVO12"/>
    <mergeCell ref="WVP11:WVP12"/>
    <mergeCell ref="WVQ11:WVQ12"/>
    <mergeCell ref="WVR11:WVR12"/>
    <mergeCell ref="WVS11:WVS12"/>
    <mergeCell ref="WVH11:WVH12"/>
    <mergeCell ref="WVI11:WVI12"/>
    <mergeCell ref="WVJ11:WVJ12"/>
    <mergeCell ref="WVK11:WVK12"/>
    <mergeCell ref="WVL11:WVL12"/>
    <mergeCell ref="WVM11:WVM12"/>
    <mergeCell ref="WVB11:WVB12"/>
    <mergeCell ref="WVC11:WVC12"/>
    <mergeCell ref="WVD11:WVD12"/>
    <mergeCell ref="WVE11:WVE12"/>
    <mergeCell ref="WVF11:WVF12"/>
    <mergeCell ref="WVG11:WVG12"/>
    <mergeCell ref="WUV11:WUV12"/>
    <mergeCell ref="WUW11:WUW12"/>
    <mergeCell ref="WUX11:WUX12"/>
    <mergeCell ref="WUY11:WUY12"/>
    <mergeCell ref="WUZ11:WUZ12"/>
    <mergeCell ref="WVA11:WVA12"/>
    <mergeCell ref="WUP11:WUP12"/>
    <mergeCell ref="WUQ11:WUQ12"/>
    <mergeCell ref="WUR11:WUR12"/>
    <mergeCell ref="WUS11:WUS12"/>
    <mergeCell ref="WUT11:WUT12"/>
    <mergeCell ref="WUU11:WUU12"/>
    <mergeCell ref="WUJ11:WUJ12"/>
    <mergeCell ref="WUK11:WUK12"/>
    <mergeCell ref="WUL11:WUL12"/>
    <mergeCell ref="WUM11:WUM12"/>
    <mergeCell ref="WUN11:WUN12"/>
    <mergeCell ref="WUO11:WUO12"/>
    <mergeCell ref="WUD11:WUD12"/>
    <mergeCell ref="WUE11:WUE12"/>
    <mergeCell ref="WUF11:WUF12"/>
    <mergeCell ref="WUG11:WUG12"/>
    <mergeCell ref="WUH11:WUH12"/>
    <mergeCell ref="WUI11:WUI12"/>
    <mergeCell ref="WTX11:WTX12"/>
    <mergeCell ref="WTY11:WTY12"/>
    <mergeCell ref="WTZ11:WTZ12"/>
    <mergeCell ref="WUA11:WUA12"/>
    <mergeCell ref="WUB11:WUB12"/>
    <mergeCell ref="WUC11:WUC12"/>
    <mergeCell ref="WTR11:WTR12"/>
    <mergeCell ref="WTS11:WTS12"/>
    <mergeCell ref="WTT11:WTT12"/>
    <mergeCell ref="WTU11:WTU12"/>
    <mergeCell ref="WTV11:WTV12"/>
    <mergeCell ref="WTW11:WTW12"/>
    <mergeCell ref="WTL11:WTL12"/>
    <mergeCell ref="WTM11:WTM12"/>
    <mergeCell ref="WTN11:WTN12"/>
    <mergeCell ref="WTO11:WTO12"/>
    <mergeCell ref="WTP11:WTP12"/>
    <mergeCell ref="WTQ11:WTQ12"/>
    <mergeCell ref="WTF11:WTF12"/>
    <mergeCell ref="WTG11:WTG12"/>
    <mergeCell ref="WTH11:WTH12"/>
    <mergeCell ref="WTI11:WTI12"/>
    <mergeCell ref="WTJ11:WTJ12"/>
    <mergeCell ref="WTK11:WTK12"/>
    <mergeCell ref="WSZ11:WSZ12"/>
    <mergeCell ref="WTA11:WTA12"/>
    <mergeCell ref="WTB11:WTB12"/>
    <mergeCell ref="WTC11:WTC12"/>
    <mergeCell ref="WTD11:WTD12"/>
    <mergeCell ref="WTE11:WTE12"/>
    <mergeCell ref="WST11:WST12"/>
    <mergeCell ref="WSU11:WSU12"/>
    <mergeCell ref="WSV11:WSV12"/>
    <mergeCell ref="WSW11:WSW12"/>
    <mergeCell ref="WSX11:WSX12"/>
    <mergeCell ref="WSY11:WSY12"/>
    <mergeCell ref="WSN11:WSN12"/>
    <mergeCell ref="WSO11:WSO12"/>
    <mergeCell ref="WSP11:WSP12"/>
    <mergeCell ref="WSQ11:WSQ12"/>
    <mergeCell ref="WSR11:WSR12"/>
    <mergeCell ref="WSS11:WSS12"/>
    <mergeCell ref="WSH11:WSH12"/>
    <mergeCell ref="WSI11:WSI12"/>
    <mergeCell ref="WSJ11:WSJ12"/>
    <mergeCell ref="WSK11:WSK12"/>
    <mergeCell ref="WSL11:WSL12"/>
    <mergeCell ref="WSM11:WSM12"/>
    <mergeCell ref="WSB11:WSB12"/>
    <mergeCell ref="WSC11:WSC12"/>
    <mergeCell ref="WSD11:WSD12"/>
    <mergeCell ref="WSE11:WSE12"/>
    <mergeCell ref="WSF11:WSF12"/>
    <mergeCell ref="WSG11:WSG12"/>
    <mergeCell ref="WRV11:WRV12"/>
    <mergeCell ref="WRW11:WRW12"/>
    <mergeCell ref="WRX11:WRX12"/>
    <mergeCell ref="WRY11:WRY12"/>
    <mergeCell ref="WRZ11:WRZ12"/>
    <mergeCell ref="WSA11:WSA12"/>
    <mergeCell ref="WRP11:WRP12"/>
    <mergeCell ref="WRQ11:WRQ12"/>
    <mergeCell ref="WRR11:WRR12"/>
    <mergeCell ref="WRS11:WRS12"/>
    <mergeCell ref="WRT11:WRT12"/>
    <mergeCell ref="WRU11:WRU12"/>
    <mergeCell ref="WRJ11:WRJ12"/>
    <mergeCell ref="WRK11:WRK12"/>
    <mergeCell ref="WRL11:WRL12"/>
    <mergeCell ref="WRM11:WRM12"/>
    <mergeCell ref="WRN11:WRN12"/>
    <mergeCell ref="WRO11:WRO12"/>
    <mergeCell ref="WRD11:WRD12"/>
    <mergeCell ref="WRE11:WRE12"/>
    <mergeCell ref="WRF11:WRF12"/>
    <mergeCell ref="WRG11:WRG12"/>
    <mergeCell ref="WRH11:WRH12"/>
    <mergeCell ref="WRI11:WRI12"/>
    <mergeCell ref="WQX11:WQX12"/>
    <mergeCell ref="WQY11:WQY12"/>
    <mergeCell ref="WQZ11:WQZ12"/>
    <mergeCell ref="WRA11:WRA12"/>
    <mergeCell ref="WRB11:WRB12"/>
    <mergeCell ref="WRC11:WRC12"/>
    <mergeCell ref="WQR11:WQR12"/>
    <mergeCell ref="WQS11:WQS12"/>
    <mergeCell ref="WQT11:WQT12"/>
    <mergeCell ref="WQU11:WQU12"/>
    <mergeCell ref="WQV11:WQV12"/>
    <mergeCell ref="WQW11:WQW12"/>
    <mergeCell ref="WQL11:WQL12"/>
    <mergeCell ref="WQM11:WQM12"/>
    <mergeCell ref="WQN11:WQN12"/>
    <mergeCell ref="WQO11:WQO12"/>
    <mergeCell ref="WQP11:WQP12"/>
    <mergeCell ref="WQQ11:WQQ12"/>
    <mergeCell ref="WQF11:WQF12"/>
    <mergeCell ref="WQG11:WQG12"/>
    <mergeCell ref="WQH11:WQH12"/>
    <mergeCell ref="WQI11:WQI12"/>
    <mergeCell ref="WQJ11:WQJ12"/>
    <mergeCell ref="WQK11:WQK12"/>
    <mergeCell ref="WPZ11:WPZ12"/>
    <mergeCell ref="WQA11:WQA12"/>
    <mergeCell ref="WQB11:WQB12"/>
    <mergeCell ref="WQC11:WQC12"/>
    <mergeCell ref="WQD11:WQD12"/>
    <mergeCell ref="WQE11:WQE12"/>
    <mergeCell ref="WPT11:WPT12"/>
    <mergeCell ref="WPU11:WPU12"/>
    <mergeCell ref="WPV11:WPV12"/>
    <mergeCell ref="WPW11:WPW12"/>
    <mergeCell ref="WPX11:WPX12"/>
    <mergeCell ref="WPY11:WPY12"/>
    <mergeCell ref="WPN11:WPN12"/>
    <mergeCell ref="WPO11:WPO12"/>
    <mergeCell ref="WPP11:WPP12"/>
    <mergeCell ref="WPQ11:WPQ12"/>
    <mergeCell ref="WPR11:WPR12"/>
    <mergeCell ref="WPS11:WPS12"/>
    <mergeCell ref="WPH11:WPH12"/>
    <mergeCell ref="WPI11:WPI12"/>
    <mergeCell ref="WPJ11:WPJ12"/>
    <mergeCell ref="WPK11:WPK12"/>
    <mergeCell ref="WPL11:WPL12"/>
    <mergeCell ref="WPM11:WPM12"/>
    <mergeCell ref="WPB11:WPB12"/>
    <mergeCell ref="WPC11:WPC12"/>
    <mergeCell ref="WPD11:WPD12"/>
    <mergeCell ref="WPE11:WPE12"/>
    <mergeCell ref="WPF11:WPF12"/>
    <mergeCell ref="WPG11:WPG12"/>
    <mergeCell ref="WOV11:WOV12"/>
    <mergeCell ref="WOW11:WOW12"/>
    <mergeCell ref="WOX11:WOX12"/>
    <mergeCell ref="WOY11:WOY12"/>
    <mergeCell ref="WOZ11:WOZ12"/>
    <mergeCell ref="WPA11:WPA12"/>
    <mergeCell ref="WOP11:WOP12"/>
    <mergeCell ref="WOQ11:WOQ12"/>
    <mergeCell ref="WOR11:WOR12"/>
    <mergeCell ref="WOS11:WOS12"/>
    <mergeCell ref="WOT11:WOT12"/>
    <mergeCell ref="WOU11:WOU12"/>
    <mergeCell ref="WOJ11:WOJ12"/>
    <mergeCell ref="WOK11:WOK12"/>
    <mergeCell ref="WOL11:WOL12"/>
    <mergeCell ref="WOM11:WOM12"/>
    <mergeCell ref="WON11:WON12"/>
    <mergeCell ref="WOO11:WOO12"/>
    <mergeCell ref="WOD11:WOD12"/>
    <mergeCell ref="WOE11:WOE12"/>
    <mergeCell ref="WOF11:WOF12"/>
    <mergeCell ref="WOG11:WOG12"/>
    <mergeCell ref="WOH11:WOH12"/>
    <mergeCell ref="WOI11:WOI12"/>
    <mergeCell ref="WNX11:WNX12"/>
    <mergeCell ref="WNY11:WNY12"/>
    <mergeCell ref="WNZ11:WNZ12"/>
    <mergeCell ref="WOA11:WOA12"/>
    <mergeCell ref="WOB11:WOB12"/>
    <mergeCell ref="WOC11:WOC12"/>
    <mergeCell ref="WNR11:WNR12"/>
    <mergeCell ref="WNS11:WNS12"/>
    <mergeCell ref="WNT11:WNT12"/>
    <mergeCell ref="WNU11:WNU12"/>
    <mergeCell ref="WNV11:WNV12"/>
    <mergeCell ref="WNW11:WNW12"/>
    <mergeCell ref="WNL11:WNL12"/>
    <mergeCell ref="WNM11:WNM12"/>
    <mergeCell ref="WNN11:WNN12"/>
    <mergeCell ref="WNO11:WNO12"/>
    <mergeCell ref="WNP11:WNP12"/>
    <mergeCell ref="WNQ11:WNQ12"/>
    <mergeCell ref="WNF11:WNF12"/>
    <mergeCell ref="WNG11:WNG12"/>
    <mergeCell ref="WNH11:WNH12"/>
    <mergeCell ref="WNI11:WNI12"/>
    <mergeCell ref="WNJ11:WNJ12"/>
    <mergeCell ref="WNK11:WNK12"/>
    <mergeCell ref="WMZ11:WMZ12"/>
    <mergeCell ref="WNA11:WNA12"/>
    <mergeCell ref="WNB11:WNB12"/>
    <mergeCell ref="WNC11:WNC12"/>
    <mergeCell ref="WND11:WND12"/>
    <mergeCell ref="WNE11:WNE12"/>
    <mergeCell ref="WMT11:WMT12"/>
    <mergeCell ref="WMU11:WMU12"/>
    <mergeCell ref="WMV11:WMV12"/>
    <mergeCell ref="WMW11:WMW12"/>
    <mergeCell ref="WMX11:WMX12"/>
    <mergeCell ref="WMY11:WMY12"/>
    <mergeCell ref="WMN11:WMN12"/>
    <mergeCell ref="WMO11:WMO12"/>
    <mergeCell ref="WMP11:WMP12"/>
    <mergeCell ref="WMQ11:WMQ12"/>
    <mergeCell ref="WMR11:WMR12"/>
    <mergeCell ref="WMS11:WMS12"/>
    <mergeCell ref="WMH11:WMH12"/>
    <mergeCell ref="WMI11:WMI12"/>
    <mergeCell ref="WMJ11:WMJ12"/>
    <mergeCell ref="WMK11:WMK12"/>
    <mergeCell ref="WML11:WML12"/>
    <mergeCell ref="WMM11:WMM12"/>
    <mergeCell ref="WMB11:WMB12"/>
    <mergeCell ref="WMC11:WMC12"/>
    <mergeCell ref="WMD11:WMD12"/>
    <mergeCell ref="WME11:WME12"/>
    <mergeCell ref="WMF11:WMF12"/>
    <mergeCell ref="WMG11:WMG12"/>
    <mergeCell ref="WLV11:WLV12"/>
    <mergeCell ref="WLW11:WLW12"/>
    <mergeCell ref="WLX11:WLX12"/>
    <mergeCell ref="WLY11:WLY12"/>
    <mergeCell ref="WLZ11:WLZ12"/>
    <mergeCell ref="WMA11:WMA12"/>
    <mergeCell ref="WLP11:WLP12"/>
    <mergeCell ref="WLQ11:WLQ12"/>
    <mergeCell ref="WLR11:WLR12"/>
    <mergeCell ref="WLS11:WLS12"/>
    <mergeCell ref="WLT11:WLT12"/>
    <mergeCell ref="WLU11:WLU12"/>
    <mergeCell ref="WLJ11:WLJ12"/>
    <mergeCell ref="WLK11:WLK12"/>
    <mergeCell ref="WLL11:WLL12"/>
    <mergeCell ref="WLM11:WLM12"/>
    <mergeCell ref="WLN11:WLN12"/>
    <mergeCell ref="WLO11:WLO12"/>
    <mergeCell ref="WLD11:WLD12"/>
    <mergeCell ref="WLE11:WLE12"/>
    <mergeCell ref="WLF11:WLF12"/>
    <mergeCell ref="WLG11:WLG12"/>
    <mergeCell ref="WLH11:WLH12"/>
    <mergeCell ref="WLI11:WLI12"/>
    <mergeCell ref="WKX11:WKX12"/>
    <mergeCell ref="WKY11:WKY12"/>
    <mergeCell ref="WKZ11:WKZ12"/>
    <mergeCell ref="WLA11:WLA12"/>
    <mergeCell ref="WLB11:WLB12"/>
    <mergeCell ref="WLC11:WLC12"/>
    <mergeCell ref="WKR11:WKR12"/>
    <mergeCell ref="WKS11:WKS12"/>
    <mergeCell ref="WKT11:WKT12"/>
    <mergeCell ref="WKU11:WKU12"/>
    <mergeCell ref="WKV11:WKV12"/>
    <mergeCell ref="WKW11:WKW12"/>
    <mergeCell ref="WKL11:WKL12"/>
    <mergeCell ref="WKM11:WKM12"/>
    <mergeCell ref="WKN11:WKN12"/>
    <mergeCell ref="WKO11:WKO12"/>
    <mergeCell ref="WKP11:WKP12"/>
    <mergeCell ref="WKQ11:WKQ12"/>
    <mergeCell ref="WKF11:WKF12"/>
    <mergeCell ref="WKG11:WKG12"/>
    <mergeCell ref="WKH11:WKH12"/>
    <mergeCell ref="WKI11:WKI12"/>
    <mergeCell ref="WKJ11:WKJ12"/>
    <mergeCell ref="WKK11:WKK12"/>
    <mergeCell ref="WJZ11:WJZ12"/>
    <mergeCell ref="WKA11:WKA12"/>
    <mergeCell ref="WKB11:WKB12"/>
    <mergeCell ref="WKC11:WKC12"/>
    <mergeCell ref="WKD11:WKD12"/>
    <mergeCell ref="WKE11:WKE12"/>
    <mergeCell ref="WJT11:WJT12"/>
    <mergeCell ref="WJU11:WJU12"/>
    <mergeCell ref="WJV11:WJV12"/>
    <mergeCell ref="WJW11:WJW12"/>
    <mergeCell ref="WJX11:WJX12"/>
    <mergeCell ref="WJY11:WJY12"/>
    <mergeCell ref="WJN11:WJN12"/>
    <mergeCell ref="WJO11:WJO12"/>
    <mergeCell ref="WJP11:WJP12"/>
    <mergeCell ref="WJQ11:WJQ12"/>
    <mergeCell ref="WJR11:WJR12"/>
    <mergeCell ref="WJS11:WJS12"/>
    <mergeCell ref="WJH11:WJH12"/>
    <mergeCell ref="WJI11:WJI12"/>
    <mergeCell ref="WJJ11:WJJ12"/>
    <mergeCell ref="WJK11:WJK12"/>
    <mergeCell ref="WJL11:WJL12"/>
    <mergeCell ref="WJM11:WJM12"/>
    <mergeCell ref="WJB11:WJB12"/>
    <mergeCell ref="WJC11:WJC12"/>
    <mergeCell ref="WJD11:WJD12"/>
    <mergeCell ref="WJE11:WJE12"/>
    <mergeCell ref="WJF11:WJF12"/>
    <mergeCell ref="WJG11:WJG12"/>
    <mergeCell ref="WIV11:WIV12"/>
    <mergeCell ref="WIW11:WIW12"/>
    <mergeCell ref="WIX11:WIX12"/>
    <mergeCell ref="WIY11:WIY12"/>
    <mergeCell ref="WIZ11:WIZ12"/>
    <mergeCell ref="WJA11:WJA12"/>
    <mergeCell ref="WIP11:WIP12"/>
    <mergeCell ref="WIQ11:WIQ12"/>
    <mergeCell ref="WIR11:WIR12"/>
    <mergeCell ref="WIS11:WIS12"/>
    <mergeCell ref="WIT11:WIT12"/>
    <mergeCell ref="WIU11:WIU12"/>
    <mergeCell ref="WIJ11:WIJ12"/>
    <mergeCell ref="WIK11:WIK12"/>
    <mergeCell ref="WIL11:WIL12"/>
    <mergeCell ref="WIM11:WIM12"/>
    <mergeCell ref="WIN11:WIN12"/>
    <mergeCell ref="WIO11:WIO12"/>
    <mergeCell ref="WID11:WID12"/>
    <mergeCell ref="WIE11:WIE12"/>
    <mergeCell ref="WIF11:WIF12"/>
    <mergeCell ref="WIG11:WIG12"/>
    <mergeCell ref="WIH11:WIH12"/>
    <mergeCell ref="WII11:WII12"/>
    <mergeCell ref="WHX11:WHX12"/>
    <mergeCell ref="WHY11:WHY12"/>
    <mergeCell ref="WHZ11:WHZ12"/>
    <mergeCell ref="WIA11:WIA12"/>
    <mergeCell ref="WIB11:WIB12"/>
    <mergeCell ref="WIC11:WIC12"/>
    <mergeCell ref="WHR11:WHR12"/>
    <mergeCell ref="WHS11:WHS12"/>
    <mergeCell ref="WHT11:WHT12"/>
    <mergeCell ref="WHU11:WHU12"/>
    <mergeCell ref="WHV11:WHV12"/>
    <mergeCell ref="WHW11:WHW12"/>
    <mergeCell ref="WHL11:WHL12"/>
    <mergeCell ref="WHM11:WHM12"/>
    <mergeCell ref="WHN11:WHN12"/>
    <mergeCell ref="WHO11:WHO12"/>
    <mergeCell ref="WHP11:WHP12"/>
    <mergeCell ref="WHQ11:WHQ12"/>
    <mergeCell ref="WHF11:WHF12"/>
    <mergeCell ref="WHG11:WHG12"/>
    <mergeCell ref="WHH11:WHH12"/>
    <mergeCell ref="WHI11:WHI12"/>
    <mergeCell ref="WHJ11:WHJ12"/>
    <mergeCell ref="WHK11:WHK12"/>
    <mergeCell ref="WGZ11:WGZ12"/>
    <mergeCell ref="WHA11:WHA12"/>
    <mergeCell ref="WHB11:WHB12"/>
    <mergeCell ref="WHC11:WHC12"/>
    <mergeCell ref="WHD11:WHD12"/>
    <mergeCell ref="WHE11:WHE12"/>
    <mergeCell ref="WGT11:WGT12"/>
    <mergeCell ref="WGU11:WGU12"/>
    <mergeCell ref="WGV11:WGV12"/>
    <mergeCell ref="WGW11:WGW12"/>
    <mergeCell ref="WGX11:WGX12"/>
    <mergeCell ref="WGY11:WGY12"/>
    <mergeCell ref="WGN11:WGN12"/>
    <mergeCell ref="WGO11:WGO12"/>
    <mergeCell ref="WGP11:WGP12"/>
    <mergeCell ref="WGQ11:WGQ12"/>
    <mergeCell ref="WGR11:WGR12"/>
    <mergeCell ref="WGS11:WGS12"/>
    <mergeCell ref="WGH11:WGH12"/>
    <mergeCell ref="WGI11:WGI12"/>
    <mergeCell ref="WGJ11:WGJ12"/>
    <mergeCell ref="WGK11:WGK12"/>
    <mergeCell ref="WGL11:WGL12"/>
    <mergeCell ref="WGM11:WGM12"/>
    <mergeCell ref="WGB11:WGB12"/>
    <mergeCell ref="WGC11:WGC12"/>
    <mergeCell ref="WGD11:WGD12"/>
    <mergeCell ref="WGE11:WGE12"/>
    <mergeCell ref="WGF11:WGF12"/>
    <mergeCell ref="WGG11:WGG12"/>
    <mergeCell ref="WFV11:WFV12"/>
    <mergeCell ref="WFW11:WFW12"/>
    <mergeCell ref="WFX11:WFX12"/>
    <mergeCell ref="WFY11:WFY12"/>
    <mergeCell ref="WFZ11:WFZ12"/>
    <mergeCell ref="WGA11:WGA12"/>
    <mergeCell ref="WFP11:WFP12"/>
    <mergeCell ref="WFQ11:WFQ12"/>
    <mergeCell ref="WFR11:WFR12"/>
    <mergeCell ref="WFS11:WFS12"/>
    <mergeCell ref="WFT11:WFT12"/>
    <mergeCell ref="WFU11:WFU12"/>
    <mergeCell ref="WFJ11:WFJ12"/>
    <mergeCell ref="WFK11:WFK12"/>
    <mergeCell ref="WFL11:WFL12"/>
    <mergeCell ref="WFM11:WFM12"/>
    <mergeCell ref="WFN11:WFN12"/>
    <mergeCell ref="WFO11:WFO12"/>
    <mergeCell ref="WFD11:WFD12"/>
    <mergeCell ref="WFE11:WFE12"/>
    <mergeCell ref="WFF11:WFF12"/>
    <mergeCell ref="WFG11:WFG12"/>
    <mergeCell ref="WFH11:WFH12"/>
    <mergeCell ref="WFI11:WFI12"/>
    <mergeCell ref="WEX11:WEX12"/>
    <mergeCell ref="WEY11:WEY12"/>
    <mergeCell ref="WEZ11:WEZ12"/>
    <mergeCell ref="WFA11:WFA12"/>
    <mergeCell ref="WFB11:WFB12"/>
    <mergeCell ref="WFC11:WFC12"/>
    <mergeCell ref="WER11:WER12"/>
    <mergeCell ref="WES11:WES12"/>
    <mergeCell ref="WET11:WET12"/>
    <mergeCell ref="WEU11:WEU12"/>
    <mergeCell ref="WEV11:WEV12"/>
    <mergeCell ref="WEW11:WEW12"/>
    <mergeCell ref="WEL11:WEL12"/>
    <mergeCell ref="WEM11:WEM12"/>
    <mergeCell ref="WEN11:WEN12"/>
    <mergeCell ref="WEO11:WEO12"/>
    <mergeCell ref="WEP11:WEP12"/>
    <mergeCell ref="WEQ11:WEQ12"/>
    <mergeCell ref="WEF11:WEF12"/>
    <mergeCell ref="WEG11:WEG12"/>
    <mergeCell ref="WEH11:WEH12"/>
    <mergeCell ref="WEI11:WEI12"/>
    <mergeCell ref="WEJ11:WEJ12"/>
    <mergeCell ref="WEK11:WEK12"/>
    <mergeCell ref="WDZ11:WDZ12"/>
    <mergeCell ref="WEA11:WEA12"/>
    <mergeCell ref="WEB11:WEB12"/>
    <mergeCell ref="WEC11:WEC12"/>
    <mergeCell ref="WED11:WED12"/>
    <mergeCell ref="WEE11:WEE12"/>
    <mergeCell ref="WDT11:WDT12"/>
    <mergeCell ref="WDU11:WDU12"/>
    <mergeCell ref="WDV11:WDV12"/>
    <mergeCell ref="WDW11:WDW12"/>
    <mergeCell ref="WDX11:WDX12"/>
    <mergeCell ref="WDY11:WDY12"/>
    <mergeCell ref="WDN11:WDN12"/>
    <mergeCell ref="WDO11:WDO12"/>
    <mergeCell ref="WDP11:WDP12"/>
    <mergeCell ref="WDQ11:WDQ12"/>
    <mergeCell ref="WDR11:WDR12"/>
    <mergeCell ref="WDS11:WDS12"/>
    <mergeCell ref="WDH11:WDH12"/>
    <mergeCell ref="WDI11:WDI12"/>
    <mergeCell ref="WDJ11:WDJ12"/>
    <mergeCell ref="WDK11:WDK12"/>
    <mergeCell ref="WDL11:WDL12"/>
    <mergeCell ref="WDM11:WDM12"/>
    <mergeCell ref="WDB11:WDB12"/>
    <mergeCell ref="WDC11:WDC12"/>
    <mergeCell ref="WDD11:WDD12"/>
    <mergeCell ref="WDE11:WDE12"/>
    <mergeCell ref="WDF11:WDF12"/>
    <mergeCell ref="WDG11:WDG12"/>
    <mergeCell ref="WCV11:WCV12"/>
    <mergeCell ref="WCW11:WCW12"/>
    <mergeCell ref="WCX11:WCX12"/>
    <mergeCell ref="WCY11:WCY12"/>
    <mergeCell ref="WCZ11:WCZ12"/>
    <mergeCell ref="WDA11:WDA12"/>
    <mergeCell ref="WCP11:WCP12"/>
    <mergeCell ref="WCQ11:WCQ12"/>
    <mergeCell ref="WCR11:WCR12"/>
    <mergeCell ref="WCS11:WCS12"/>
    <mergeCell ref="WCT11:WCT12"/>
    <mergeCell ref="WCU11:WCU12"/>
    <mergeCell ref="WCJ11:WCJ12"/>
    <mergeCell ref="WCK11:WCK12"/>
    <mergeCell ref="WCL11:WCL12"/>
    <mergeCell ref="WCM11:WCM12"/>
    <mergeCell ref="WCN11:WCN12"/>
    <mergeCell ref="WCO11:WCO12"/>
    <mergeCell ref="WCD11:WCD12"/>
    <mergeCell ref="WCE11:WCE12"/>
    <mergeCell ref="WCF11:WCF12"/>
    <mergeCell ref="WCG11:WCG12"/>
    <mergeCell ref="WCH11:WCH12"/>
    <mergeCell ref="WCI11:WCI12"/>
    <mergeCell ref="WBX11:WBX12"/>
    <mergeCell ref="WBY11:WBY12"/>
    <mergeCell ref="WBZ11:WBZ12"/>
    <mergeCell ref="WCA11:WCA12"/>
    <mergeCell ref="WCB11:WCB12"/>
    <mergeCell ref="WCC11:WCC12"/>
    <mergeCell ref="WBR11:WBR12"/>
    <mergeCell ref="WBS11:WBS12"/>
    <mergeCell ref="WBT11:WBT12"/>
    <mergeCell ref="WBU11:WBU12"/>
    <mergeCell ref="WBV11:WBV12"/>
    <mergeCell ref="WBW11:WBW12"/>
    <mergeCell ref="WBL11:WBL12"/>
    <mergeCell ref="WBM11:WBM12"/>
    <mergeCell ref="WBN11:WBN12"/>
    <mergeCell ref="WBO11:WBO12"/>
    <mergeCell ref="WBP11:WBP12"/>
    <mergeCell ref="WBQ11:WBQ12"/>
    <mergeCell ref="WBF11:WBF12"/>
    <mergeCell ref="WBG11:WBG12"/>
    <mergeCell ref="WBH11:WBH12"/>
    <mergeCell ref="WBI11:WBI12"/>
    <mergeCell ref="WBJ11:WBJ12"/>
    <mergeCell ref="WBK11:WBK12"/>
    <mergeCell ref="WAZ11:WAZ12"/>
    <mergeCell ref="WBA11:WBA12"/>
    <mergeCell ref="WBB11:WBB12"/>
    <mergeCell ref="WBC11:WBC12"/>
    <mergeCell ref="WBD11:WBD12"/>
    <mergeCell ref="WBE11:WBE12"/>
    <mergeCell ref="WAT11:WAT12"/>
    <mergeCell ref="WAU11:WAU12"/>
    <mergeCell ref="WAV11:WAV12"/>
    <mergeCell ref="WAW11:WAW12"/>
    <mergeCell ref="WAX11:WAX12"/>
    <mergeCell ref="WAY11:WAY12"/>
    <mergeCell ref="WAN11:WAN12"/>
    <mergeCell ref="WAO11:WAO12"/>
    <mergeCell ref="WAP11:WAP12"/>
    <mergeCell ref="WAQ11:WAQ12"/>
    <mergeCell ref="WAR11:WAR12"/>
    <mergeCell ref="WAS11:WAS12"/>
    <mergeCell ref="WAH11:WAH12"/>
    <mergeCell ref="WAI11:WAI12"/>
    <mergeCell ref="WAJ11:WAJ12"/>
    <mergeCell ref="WAK11:WAK12"/>
    <mergeCell ref="WAL11:WAL12"/>
    <mergeCell ref="WAM11:WAM12"/>
    <mergeCell ref="WAB11:WAB12"/>
    <mergeCell ref="WAC11:WAC12"/>
    <mergeCell ref="WAD11:WAD12"/>
    <mergeCell ref="WAE11:WAE12"/>
    <mergeCell ref="WAF11:WAF12"/>
    <mergeCell ref="WAG11:WAG12"/>
    <mergeCell ref="VZV11:VZV12"/>
    <mergeCell ref="VZW11:VZW12"/>
    <mergeCell ref="VZX11:VZX12"/>
    <mergeCell ref="VZY11:VZY12"/>
    <mergeCell ref="VZZ11:VZZ12"/>
    <mergeCell ref="WAA11:WAA12"/>
    <mergeCell ref="VZP11:VZP12"/>
    <mergeCell ref="VZQ11:VZQ12"/>
    <mergeCell ref="VZR11:VZR12"/>
    <mergeCell ref="VZS11:VZS12"/>
    <mergeCell ref="VZT11:VZT12"/>
    <mergeCell ref="VZU11:VZU12"/>
    <mergeCell ref="VZJ11:VZJ12"/>
    <mergeCell ref="VZK11:VZK12"/>
    <mergeCell ref="VZL11:VZL12"/>
    <mergeCell ref="VZM11:VZM12"/>
    <mergeCell ref="VZN11:VZN12"/>
    <mergeCell ref="VZO11:VZO12"/>
    <mergeCell ref="VZD11:VZD12"/>
    <mergeCell ref="VZE11:VZE12"/>
    <mergeCell ref="VZF11:VZF12"/>
    <mergeCell ref="VZG11:VZG12"/>
    <mergeCell ref="VZH11:VZH12"/>
    <mergeCell ref="VZI11:VZI12"/>
    <mergeCell ref="VYX11:VYX12"/>
    <mergeCell ref="VYY11:VYY12"/>
    <mergeCell ref="VYZ11:VYZ12"/>
    <mergeCell ref="VZA11:VZA12"/>
    <mergeCell ref="VZB11:VZB12"/>
    <mergeCell ref="VZC11:VZC12"/>
    <mergeCell ref="VYR11:VYR12"/>
    <mergeCell ref="VYS11:VYS12"/>
    <mergeCell ref="VYT11:VYT12"/>
    <mergeCell ref="VYU11:VYU12"/>
    <mergeCell ref="VYV11:VYV12"/>
    <mergeCell ref="VYW11:VYW12"/>
    <mergeCell ref="VYL11:VYL12"/>
    <mergeCell ref="VYM11:VYM12"/>
    <mergeCell ref="VYN11:VYN12"/>
    <mergeCell ref="VYO11:VYO12"/>
    <mergeCell ref="VYP11:VYP12"/>
    <mergeCell ref="VYQ11:VYQ12"/>
    <mergeCell ref="VYF11:VYF12"/>
    <mergeCell ref="VYG11:VYG12"/>
    <mergeCell ref="VYH11:VYH12"/>
    <mergeCell ref="VYI11:VYI12"/>
    <mergeCell ref="VYJ11:VYJ12"/>
    <mergeCell ref="VYK11:VYK12"/>
    <mergeCell ref="VXZ11:VXZ12"/>
    <mergeCell ref="VYA11:VYA12"/>
    <mergeCell ref="VYB11:VYB12"/>
    <mergeCell ref="VYC11:VYC12"/>
    <mergeCell ref="VYD11:VYD12"/>
    <mergeCell ref="VYE11:VYE12"/>
    <mergeCell ref="VXT11:VXT12"/>
    <mergeCell ref="VXU11:VXU12"/>
    <mergeCell ref="VXV11:VXV12"/>
    <mergeCell ref="VXW11:VXW12"/>
    <mergeCell ref="VXX11:VXX12"/>
    <mergeCell ref="VXY11:VXY12"/>
    <mergeCell ref="VXN11:VXN12"/>
    <mergeCell ref="VXO11:VXO12"/>
    <mergeCell ref="VXP11:VXP12"/>
    <mergeCell ref="VXQ11:VXQ12"/>
    <mergeCell ref="VXR11:VXR12"/>
    <mergeCell ref="VXS11:VXS12"/>
    <mergeCell ref="VXH11:VXH12"/>
    <mergeCell ref="VXI11:VXI12"/>
    <mergeCell ref="VXJ11:VXJ12"/>
    <mergeCell ref="VXK11:VXK12"/>
    <mergeCell ref="VXL11:VXL12"/>
    <mergeCell ref="VXM11:VXM12"/>
    <mergeCell ref="VXB11:VXB12"/>
    <mergeCell ref="VXC11:VXC12"/>
    <mergeCell ref="VXD11:VXD12"/>
    <mergeCell ref="VXE11:VXE12"/>
    <mergeCell ref="VXF11:VXF12"/>
    <mergeCell ref="VXG11:VXG12"/>
    <mergeCell ref="VWV11:VWV12"/>
    <mergeCell ref="VWW11:VWW12"/>
    <mergeCell ref="VWX11:VWX12"/>
    <mergeCell ref="VWY11:VWY12"/>
    <mergeCell ref="VWZ11:VWZ12"/>
    <mergeCell ref="VXA11:VXA12"/>
    <mergeCell ref="VWP11:VWP12"/>
    <mergeCell ref="VWQ11:VWQ12"/>
    <mergeCell ref="VWR11:VWR12"/>
    <mergeCell ref="VWS11:VWS12"/>
    <mergeCell ref="VWT11:VWT12"/>
    <mergeCell ref="VWU11:VWU12"/>
    <mergeCell ref="VWJ11:VWJ12"/>
    <mergeCell ref="VWK11:VWK12"/>
    <mergeCell ref="VWL11:VWL12"/>
    <mergeCell ref="VWM11:VWM12"/>
    <mergeCell ref="VWN11:VWN12"/>
    <mergeCell ref="VWO11:VWO12"/>
    <mergeCell ref="VWD11:VWD12"/>
    <mergeCell ref="VWE11:VWE12"/>
    <mergeCell ref="VWF11:VWF12"/>
    <mergeCell ref="VWG11:VWG12"/>
    <mergeCell ref="VWH11:VWH12"/>
    <mergeCell ref="VWI11:VWI12"/>
    <mergeCell ref="VVX11:VVX12"/>
    <mergeCell ref="VVY11:VVY12"/>
    <mergeCell ref="VVZ11:VVZ12"/>
    <mergeCell ref="VWA11:VWA12"/>
    <mergeCell ref="VWB11:VWB12"/>
    <mergeCell ref="VWC11:VWC12"/>
    <mergeCell ref="VVR11:VVR12"/>
    <mergeCell ref="VVS11:VVS12"/>
    <mergeCell ref="VVT11:VVT12"/>
    <mergeCell ref="VVU11:VVU12"/>
    <mergeCell ref="VVV11:VVV12"/>
    <mergeCell ref="VVW11:VVW12"/>
    <mergeCell ref="VVL11:VVL12"/>
    <mergeCell ref="VVM11:VVM12"/>
    <mergeCell ref="VVN11:VVN12"/>
    <mergeCell ref="VVO11:VVO12"/>
    <mergeCell ref="VVP11:VVP12"/>
    <mergeCell ref="VVQ11:VVQ12"/>
    <mergeCell ref="VVF11:VVF12"/>
    <mergeCell ref="VVG11:VVG12"/>
    <mergeCell ref="VVH11:VVH12"/>
    <mergeCell ref="VVI11:VVI12"/>
    <mergeCell ref="VVJ11:VVJ12"/>
    <mergeCell ref="VVK11:VVK12"/>
    <mergeCell ref="VUZ11:VUZ12"/>
    <mergeCell ref="VVA11:VVA12"/>
    <mergeCell ref="VVB11:VVB12"/>
    <mergeCell ref="VVC11:VVC12"/>
    <mergeCell ref="VVD11:VVD12"/>
    <mergeCell ref="VVE11:VVE12"/>
    <mergeCell ref="VUT11:VUT12"/>
    <mergeCell ref="VUU11:VUU12"/>
    <mergeCell ref="VUV11:VUV12"/>
    <mergeCell ref="VUW11:VUW12"/>
    <mergeCell ref="VUX11:VUX12"/>
    <mergeCell ref="VUY11:VUY12"/>
    <mergeCell ref="VUN11:VUN12"/>
    <mergeCell ref="VUO11:VUO12"/>
    <mergeCell ref="VUP11:VUP12"/>
    <mergeCell ref="VUQ11:VUQ12"/>
    <mergeCell ref="VUR11:VUR12"/>
    <mergeCell ref="VUS11:VUS12"/>
    <mergeCell ref="VUH11:VUH12"/>
    <mergeCell ref="VUI11:VUI12"/>
    <mergeCell ref="VUJ11:VUJ12"/>
    <mergeCell ref="VUK11:VUK12"/>
    <mergeCell ref="VUL11:VUL12"/>
    <mergeCell ref="VUM11:VUM12"/>
    <mergeCell ref="VUB11:VUB12"/>
    <mergeCell ref="VUC11:VUC12"/>
    <mergeCell ref="VUD11:VUD12"/>
    <mergeCell ref="VUE11:VUE12"/>
    <mergeCell ref="VUF11:VUF12"/>
    <mergeCell ref="VUG11:VUG12"/>
    <mergeCell ref="VTV11:VTV12"/>
    <mergeCell ref="VTW11:VTW12"/>
    <mergeCell ref="VTX11:VTX12"/>
    <mergeCell ref="VTY11:VTY12"/>
    <mergeCell ref="VTZ11:VTZ12"/>
    <mergeCell ref="VUA11:VUA12"/>
    <mergeCell ref="VTP11:VTP12"/>
    <mergeCell ref="VTQ11:VTQ12"/>
    <mergeCell ref="VTR11:VTR12"/>
    <mergeCell ref="VTS11:VTS12"/>
    <mergeCell ref="VTT11:VTT12"/>
    <mergeCell ref="VTU11:VTU12"/>
    <mergeCell ref="VTJ11:VTJ12"/>
    <mergeCell ref="VTK11:VTK12"/>
    <mergeCell ref="VTL11:VTL12"/>
    <mergeCell ref="VTM11:VTM12"/>
    <mergeCell ref="VTN11:VTN12"/>
    <mergeCell ref="VTO11:VTO12"/>
    <mergeCell ref="VTD11:VTD12"/>
    <mergeCell ref="VTE11:VTE12"/>
    <mergeCell ref="VTF11:VTF12"/>
    <mergeCell ref="VTG11:VTG12"/>
    <mergeCell ref="VTH11:VTH12"/>
    <mergeCell ref="VTI11:VTI12"/>
    <mergeCell ref="VSX11:VSX12"/>
    <mergeCell ref="VSY11:VSY12"/>
    <mergeCell ref="VSZ11:VSZ12"/>
    <mergeCell ref="VTA11:VTA12"/>
    <mergeCell ref="VTB11:VTB12"/>
    <mergeCell ref="VTC11:VTC12"/>
    <mergeCell ref="VSR11:VSR12"/>
    <mergeCell ref="VSS11:VSS12"/>
    <mergeCell ref="VST11:VST12"/>
    <mergeCell ref="VSU11:VSU12"/>
    <mergeCell ref="VSV11:VSV12"/>
    <mergeCell ref="VSW11:VSW12"/>
    <mergeCell ref="VSL11:VSL12"/>
    <mergeCell ref="VSM11:VSM12"/>
    <mergeCell ref="VSN11:VSN12"/>
    <mergeCell ref="VSO11:VSO12"/>
    <mergeCell ref="VSP11:VSP12"/>
    <mergeCell ref="VSQ11:VSQ12"/>
    <mergeCell ref="VSF11:VSF12"/>
    <mergeCell ref="VSG11:VSG12"/>
    <mergeCell ref="VSH11:VSH12"/>
    <mergeCell ref="VSI11:VSI12"/>
    <mergeCell ref="VSJ11:VSJ12"/>
    <mergeCell ref="VSK11:VSK12"/>
    <mergeCell ref="VRZ11:VRZ12"/>
    <mergeCell ref="VSA11:VSA12"/>
    <mergeCell ref="VSB11:VSB12"/>
    <mergeCell ref="VSC11:VSC12"/>
    <mergeCell ref="VSD11:VSD12"/>
    <mergeCell ref="VSE11:VSE12"/>
    <mergeCell ref="VRT11:VRT12"/>
    <mergeCell ref="VRU11:VRU12"/>
    <mergeCell ref="VRV11:VRV12"/>
    <mergeCell ref="VRW11:VRW12"/>
    <mergeCell ref="VRX11:VRX12"/>
    <mergeCell ref="VRY11:VRY12"/>
    <mergeCell ref="VRN11:VRN12"/>
    <mergeCell ref="VRO11:VRO12"/>
    <mergeCell ref="VRP11:VRP12"/>
    <mergeCell ref="VRQ11:VRQ12"/>
    <mergeCell ref="VRR11:VRR12"/>
    <mergeCell ref="VRS11:VRS12"/>
    <mergeCell ref="VRH11:VRH12"/>
    <mergeCell ref="VRI11:VRI12"/>
    <mergeCell ref="VRJ11:VRJ12"/>
    <mergeCell ref="VRK11:VRK12"/>
    <mergeCell ref="VRL11:VRL12"/>
    <mergeCell ref="VRM11:VRM12"/>
    <mergeCell ref="VRB11:VRB12"/>
    <mergeCell ref="VRC11:VRC12"/>
    <mergeCell ref="VRD11:VRD12"/>
    <mergeCell ref="VRE11:VRE12"/>
    <mergeCell ref="VRF11:VRF12"/>
    <mergeCell ref="VRG11:VRG12"/>
    <mergeCell ref="VQV11:VQV12"/>
    <mergeCell ref="VQW11:VQW12"/>
    <mergeCell ref="VQX11:VQX12"/>
    <mergeCell ref="VQY11:VQY12"/>
    <mergeCell ref="VQZ11:VQZ12"/>
    <mergeCell ref="VRA11:VRA12"/>
    <mergeCell ref="VQP11:VQP12"/>
    <mergeCell ref="VQQ11:VQQ12"/>
    <mergeCell ref="VQR11:VQR12"/>
    <mergeCell ref="VQS11:VQS12"/>
    <mergeCell ref="VQT11:VQT12"/>
    <mergeCell ref="VQU11:VQU12"/>
    <mergeCell ref="VQJ11:VQJ12"/>
    <mergeCell ref="VQK11:VQK12"/>
    <mergeCell ref="VQL11:VQL12"/>
    <mergeCell ref="VQM11:VQM12"/>
    <mergeCell ref="VQN11:VQN12"/>
    <mergeCell ref="VQO11:VQO12"/>
    <mergeCell ref="VQD11:VQD12"/>
    <mergeCell ref="VQE11:VQE12"/>
    <mergeCell ref="VQF11:VQF12"/>
    <mergeCell ref="VQG11:VQG12"/>
    <mergeCell ref="VQH11:VQH12"/>
    <mergeCell ref="VQI11:VQI12"/>
    <mergeCell ref="VPX11:VPX12"/>
    <mergeCell ref="VPY11:VPY12"/>
    <mergeCell ref="VPZ11:VPZ12"/>
    <mergeCell ref="VQA11:VQA12"/>
    <mergeCell ref="VQB11:VQB12"/>
    <mergeCell ref="VQC11:VQC12"/>
    <mergeCell ref="VPR11:VPR12"/>
    <mergeCell ref="VPS11:VPS12"/>
    <mergeCell ref="VPT11:VPT12"/>
    <mergeCell ref="VPU11:VPU12"/>
    <mergeCell ref="VPV11:VPV12"/>
    <mergeCell ref="VPW11:VPW12"/>
    <mergeCell ref="VPL11:VPL12"/>
    <mergeCell ref="VPM11:VPM12"/>
    <mergeCell ref="VPN11:VPN12"/>
    <mergeCell ref="VPO11:VPO12"/>
    <mergeCell ref="VPP11:VPP12"/>
    <mergeCell ref="VPQ11:VPQ12"/>
    <mergeCell ref="VPF11:VPF12"/>
    <mergeCell ref="VPG11:VPG12"/>
    <mergeCell ref="VPH11:VPH12"/>
    <mergeCell ref="VPI11:VPI12"/>
    <mergeCell ref="VPJ11:VPJ12"/>
    <mergeCell ref="VPK11:VPK12"/>
    <mergeCell ref="VOZ11:VOZ12"/>
    <mergeCell ref="VPA11:VPA12"/>
    <mergeCell ref="VPB11:VPB12"/>
    <mergeCell ref="VPC11:VPC12"/>
    <mergeCell ref="VPD11:VPD12"/>
    <mergeCell ref="VPE11:VPE12"/>
    <mergeCell ref="VOT11:VOT12"/>
    <mergeCell ref="VOU11:VOU12"/>
    <mergeCell ref="VOV11:VOV12"/>
    <mergeCell ref="VOW11:VOW12"/>
    <mergeCell ref="VOX11:VOX12"/>
    <mergeCell ref="VOY11:VOY12"/>
    <mergeCell ref="VON11:VON12"/>
    <mergeCell ref="VOO11:VOO12"/>
    <mergeCell ref="VOP11:VOP12"/>
    <mergeCell ref="VOQ11:VOQ12"/>
    <mergeCell ref="VOR11:VOR12"/>
    <mergeCell ref="VOS11:VOS12"/>
    <mergeCell ref="VOH11:VOH12"/>
    <mergeCell ref="VOI11:VOI12"/>
    <mergeCell ref="VOJ11:VOJ12"/>
    <mergeCell ref="VOK11:VOK12"/>
    <mergeCell ref="VOL11:VOL12"/>
    <mergeCell ref="VOM11:VOM12"/>
    <mergeCell ref="VOB11:VOB12"/>
    <mergeCell ref="VOC11:VOC12"/>
    <mergeCell ref="VOD11:VOD12"/>
    <mergeCell ref="VOE11:VOE12"/>
    <mergeCell ref="VOF11:VOF12"/>
    <mergeCell ref="VOG11:VOG12"/>
    <mergeCell ref="VNV11:VNV12"/>
    <mergeCell ref="VNW11:VNW12"/>
    <mergeCell ref="VNX11:VNX12"/>
    <mergeCell ref="VNY11:VNY12"/>
    <mergeCell ref="VNZ11:VNZ12"/>
    <mergeCell ref="VOA11:VOA12"/>
    <mergeCell ref="VNP11:VNP12"/>
    <mergeCell ref="VNQ11:VNQ12"/>
    <mergeCell ref="VNR11:VNR12"/>
    <mergeCell ref="VNS11:VNS12"/>
    <mergeCell ref="VNT11:VNT12"/>
    <mergeCell ref="VNU11:VNU12"/>
    <mergeCell ref="VNJ11:VNJ12"/>
    <mergeCell ref="VNK11:VNK12"/>
    <mergeCell ref="VNL11:VNL12"/>
    <mergeCell ref="VNM11:VNM12"/>
    <mergeCell ref="VNN11:VNN12"/>
    <mergeCell ref="VNO11:VNO12"/>
    <mergeCell ref="VND11:VND12"/>
    <mergeCell ref="VNE11:VNE12"/>
    <mergeCell ref="VNF11:VNF12"/>
    <mergeCell ref="VNG11:VNG12"/>
    <mergeCell ref="VNH11:VNH12"/>
    <mergeCell ref="VNI11:VNI12"/>
    <mergeCell ref="VMX11:VMX12"/>
    <mergeCell ref="VMY11:VMY12"/>
    <mergeCell ref="VMZ11:VMZ12"/>
    <mergeCell ref="VNA11:VNA12"/>
    <mergeCell ref="VNB11:VNB12"/>
    <mergeCell ref="VNC11:VNC12"/>
    <mergeCell ref="VMR11:VMR12"/>
    <mergeCell ref="VMS11:VMS12"/>
    <mergeCell ref="VMT11:VMT12"/>
    <mergeCell ref="VMU11:VMU12"/>
    <mergeCell ref="VMV11:VMV12"/>
    <mergeCell ref="VMW11:VMW12"/>
    <mergeCell ref="VML11:VML12"/>
    <mergeCell ref="VMM11:VMM12"/>
    <mergeCell ref="VMN11:VMN12"/>
    <mergeCell ref="VMO11:VMO12"/>
    <mergeCell ref="VMP11:VMP12"/>
    <mergeCell ref="VMQ11:VMQ12"/>
    <mergeCell ref="VMF11:VMF12"/>
    <mergeCell ref="VMG11:VMG12"/>
    <mergeCell ref="VMH11:VMH12"/>
    <mergeCell ref="VMI11:VMI12"/>
    <mergeCell ref="VMJ11:VMJ12"/>
    <mergeCell ref="VMK11:VMK12"/>
    <mergeCell ref="VLZ11:VLZ12"/>
    <mergeCell ref="VMA11:VMA12"/>
    <mergeCell ref="VMB11:VMB12"/>
    <mergeCell ref="VMC11:VMC12"/>
    <mergeCell ref="VMD11:VMD12"/>
    <mergeCell ref="VME11:VME12"/>
    <mergeCell ref="VLT11:VLT12"/>
    <mergeCell ref="VLU11:VLU12"/>
    <mergeCell ref="VLV11:VLV12"/>
    <mergeCell ref="VLW11:VLW12"/>
    <mergeCell ref="VLX11:VLX12"/>
    <mergeCell ref="VLY11:VLY12"/>
    <mergeCell ref="VLN11:VLN12"/>
    <mergeCell ref="VLO11:VLO12"/>
    <mergeCell ref="VLP11:VLP12"/>
    <mergeCell ref="VLQ11:VLQ12"/>
    <mergeCell ref="VLR11:VLR12"/>
    <mergeCell ref="VLS11:VLS12"/>
    <mergeCell ref="VLH11:VLH12"/>
    <mergeCell ref="VLI11:VLI12"/>
    <mergeCell ref="VLJ11:VLJ12"/>
    <mergeCell ref="VLK11:VLK12"/>
    <mergeCell ref="VLL11:VLL12"/>
    <mergeCell ref="VLM11:VLM12"/>
    <mergeCell ref="VLB11:VLB12"/>
    <mergeCell ref="VLC11:VLC12"/>
    <mergeCell ref="VLD11:VLD12"/>
    <mergeCell ref="VLE11:VLE12"/>
    <mergeCell ref="VLF11:VLF12"/>
    <mergeCell ref="VLG11:VLG12"/>
    <mergeCell ref="VKV11:VKV12"/>
    <mergeCell ref="VKW11:VKW12"/>
    <mergeCell ref="VKX11:VKX12"/>
    <mergeCell ref="VKY11:VKY12"/>
    <mergeCell ref="VKZ11:VKZ12"/>
    <mergeCell ref="VLA11:VLA12"/>
    <mergeCell ref="VKP11:VKP12"/>
    <mergeCell ref="VKQ11:VKQ12"/>
    <mergeCell ref="VKR11:VKR12"/>
    <mergeCell ref="VKS11:VKS12"/>
    <mergeCell ref="VKT11:VKT12"/>
    <mergeCell ref="VKU11:VKU12"/>
    <mergeCell ref="VKJ11:VKJ12"/>
    <mergeCell ref="VKK11:VKK12"/>
    <mergeCell ref="VKL11:VKL12"/>
    <mergeCell ref="VKM11:VKM12"/>
    <mergeCell ref="VKN11:VKN12"/>
    <mergeCell ref="VKO11:VKO12"/>
    <mergeCell ref="VKD11:VKD12"/>
    <mergeCell ref="VKE11:VKE12"/>
    <mergeCell ref="VKF11:VKF12"/>
    <mergeCell ref="VKG11:VKG12"/>
    <mergeCell ref="VKH11:VKH12"/>
    <mergeCell ref="VKI11:VKI12"/>
    <mergeCell ref="VJX11:VJX12"/>
    <mergeCell ref="VJY11:VJY12"/>
    <mergeCell ref="VJZ11:VJZ12"/>
    <mergeCell ref="VKA11:VKA12"/>
    <mergeCell ref="VKB11:VKB12"/>
    <mergeCell ref="VKC11:VKC12"/>
    <mergeCell ref="VJR11:VJR12"/>
    <mergeCell ref="VJS11:VJS12"/>
    <mergeCell ref="VJT11:VJT12"/>
    <mergeCell ref="VJU11:VJU12"/>
    <mergeCell ref="VJV11:VJV12"/>
    <mergeCell ref="VJW11:VJW12"/>
    <mergeCell ref="VJL11:VJL12"/>
    <mergeCell ref="VJM11:VJM12"/>
    <mergeCell ref="VJN11:VJN12"/>
    <mergeCell ref="VJO11:VJO12"/>
    <mergeCell ref="VJP11:VJP12"/>
    <mergeCell ref="VJQ11:VJQ12"/>
    <mergeCell ref="VJF11:VJF12"/>
    <mergeCell ref="VJG11:VJG12"/>
    <mergeCell ref="VJH11:VJH12"/>
    <mergeCell ref="VJI11:VJI12"/>
    <mergeCell ref="VJJ11:VJJ12"/>
    <mergeCell ref="VJK11:VJK12"/>
    <mergeCell ref="VIZ11:VIZ12"/>
    <mergeCell ref="VJA11:VJA12"/>
    <mergeCell ref="VJB11:VJB12"/>
    <mergeCell ref="VJC11:VJC12"/>
    <mergeCell ref="VJD11:VJD12"/>
    <mergeCell ref="VJE11:VJE12"/>
    <mergeCell ref="VIT11:VIT12"/>
    <mergeCell ref="VIU11:VIU12"/>
    <mergeCell ref="VIV11:VIV12"/>
    <mergeCell ref="VIW11:VIW12"/>
    <mergeCell ref="VIX11:VIX12"/>
    <mergeCell ref="VIY11:VIY12"/>
    <mergeCell ref="VIN11:VIN12"/>
    <mergeCell ref="VIO11:VIO12"/>
    <mergeCell ref="VIP11:VIP12"/>
    <mergeCell ref="VIQ11:VIQ12"/>
    <mergeCell ref="VIR11:VIR12"/>
    <mergeCell ref="VIS11:VIS12"/>
    <mergeCell ref="VIH11:VIH12"/>
    <mergeCell ref="VII11:VII12"/>
    <mergeCell ref="VIJ11:VIJ12"/>
    <mergeCell ref="VIK11:VIK12"/>
    <mergeCell ref="VIL11:VIL12"/>
    <mergeCell ref="VIM11:VIM12"/>
    <mergeCell ref="VIB11:VIB12"/>
    <mergeCell ref="VIC11:VIC12"/>
    <mergeCell ref="VID11:VID12"/>
    <mergeCell ref="VIE11:VIE12"/>
    <mergeCell ref="VIF11:VIF12"/>
    <mergeCell ref="VIG11:VIG12"/>
    <mergeCell ref="VHV11:VHV12"/>
    <mergeCell ref="VHW11:VHW12"/>
    <mergeCell ref="VHX11:VHX12"/>
    <mergeCell ref="VHY11:VHY12"/>
    <mergeCell ref="VHZ11:VHZ12"/>
    <mergeCell ref="VIA11:VIA12"/>
    <mergeCell ref="VHP11:VHP12"/>
    <mergeCell ref="VHQ11:VHQ12"/>
    <mergeCell ref="VHR11:VHR12"/>
    <mergeCell ref="VHS11:VHS12"/>
    <mergeCell ref="VHT11:VHT12"/>
    <mergeCell ref="VHU11:VHU12"/>
    <mergeCell ref="VHJ11:VHJ12"/>
    <mergeCell ref="VHK11:VHK12"/>
    <mergeCell ref="VHL11:VHL12"/>
    <mergeCell ref="VHM11:VHM12"/>
    <mergeCell ref="VHN11:VHN12"/>
    <mergeCell ref="VHO11:VHO12"/>
    <mergeCell ref="VHD11:VHD12"/>
    <mergeCell ref="VHE11:VHE12"/>
    <mergeCell ref="VHF11:VHF12"/>
    <mergeCell ref="VHG11:VHG12"/>
    <mergeCell ref="VHH11:VHH12"/>
    <mergeCell ref="VHI11:VHI12"/>
    <mergeCell ref="VGX11:VGX12"/>
    <mergeCell ref="VGY11:VGY12"/>
    <mergeCell ref="VGZ11:VGZ12"/>
    <mergeCell ref="VHA11:VHA12"/>
    <mergeCell ref="VHB11:VHB12"/>
    <mergeCell ref="VHC11:VHC12"/>
    <mergeCell ref="VGR11:VGR12"/>
    <mergeCell ref="VGS11:VGS12"/>
    <mergeCell ref="VGT11:VGT12"/>
    <mergeCell ref="VGU11:VGU12"/>
    <mergeCell ref="VGV11:VGV12"/>
    <mergeCell ref="VGW11:VGW12"/>
    <mergeCell ref="VGL11:VGL12"/>
    <mergeCell ref="VGM11:VGM12"/>
    <mergeCell ref="VGN11:VGN12"/>
    <mergeCell ref="VGO11:VGO12"/>
    <mergeCell ref="VGP11:VGP12"/>
    <mergeCell ref="VGQ11:VGQ12"/>
    <mergeCell ref="VGF11:VGF12"/>
    <mergeCell ref="VGG11:VGG12"/>
    <mergeCell ref="VGH11:VGH12"/>
    <mergeCell ref="VGI11:VGI12"/>
    <mergeCell ref="VGJ11:VGJ12"/>
    <mergeCell ref="VGK11:VGK12"/>
    <mergeCell ref="VFZ11:VFZ12"/>
    <mergeCell ref="VGA11:VGA12"/>
    <mergeCell ref="VGB11:VGB12"/>
    <mergeCell ref="VGC11:VGC12"/>
    <mergeCell ref="VGD11:VGD12"/>
    <mergeCell ref="VGE11:VGE12"/>
    <mergeCell ref="VFT11:VFT12"/>
    <mergeCell ref="VFU11:VFU12"/>
    <mergeCell ref="VFV11:VFV12"/>
    <mergeCell ref="VFW11:VFW12"/>
    <mergeCell ref="VFX11:VFX12"/>
    <mergeCell ref="VFY11:VFY12"/>
    <mergeCell ref="VFN11:VFN12"/>
    <mergeCell ref="VFO11:VFO12"/>
    <mergeCell ref="VFP11:VFP12"/>
    <mergeCell ref="VFQ11:VFQ12"/>
    <mergeCell ref="VFR11:VFR12"/>
    <mergeCell ref="VFS11:VFS12"/>
    <mergeCell ref="VFH11:VFH12"/>
    <mergeCell ref="VFI11:VFI12"/>
    <mergeCell ref="VFJ11:VFJ12"/>
    <mergeCell ref="VFK11:VFK12"/>
    <mergeCell ref="VFL11:VFL12"/>
    <mergeCell ref="VFM11:VFM12"/>
    <mergeCell ref="VFB11:VFB12"/>
    <mergeCell ref="VFC11:VFC12"/>
    <mergeCell ref="VFD11:VFD12"/>
    <mergeCell ref="VFE11:VFE12"/>
    <mergeCell ref="VFF11:VFF12"/>
    <mergeCell ref="VFG11:VFG12"/>
    <mergeCell ref="VEV11:VEV12"/>
    <mergeCell ref="VEW11:VEW12"/>
    <mergeCell ref="VEX11:VEX12"/>
    <mergeCell ref="VEY11:VEY12"/>
    <mergeCell ref="VEZ11:VEZ12"/>
    <mergeCell ref="VFA11:VFA12"/>
    <mergeCell ref="VEP11:VEP12"/>
    <mergeCell ref="VEQ11:VEQ12"/>
    <mergeCell ref="VER11:VER12"/>
    <mergeCell ref="VES11:VES12"/>
    <mergeCell ref="VET11:VET12"/>
    <mergeCell ref="VEU11:VEU12"/>
    <mergeCell ref="VEJ11:VEJ12"/>
    <mergeCell ref="VEK11:VEK12"/>
    <mergeCell ref="VEL11:VEL12"/>
    <mergeCell ref="VEM11:VEM12"/>
    <mergeCell ref="VEN11:VEN12"/>
    <mergeCell ref="VEO11:VEO12"/>
    <mergeCell ref="VED11:VED12"/>
    <mergeCell ref="VEE11:VEE12"/>
    <mergeCell ref="VEF11:VEF12"/>
    <mergeCell ref="VEG11:VEG12"/>
    <mergeCell ref="VEH11:VEH12"/>
    <mergeCell ref="VEI11:VEI12"/>
    <mergeCell ref="VDX11:VDX12"/>
    <mergeCell ref="VDY11:VDY12"/>
    <mergeCell ref="VDZ11:VDZ12"/>
    <mergeCell ref="VEA11:VEA12"/>
    <mergeCell ref="VEB11:VEB12"/>
    <mergeCell ref="VEC11:VEC12"/>
    <mergeCell ref="VDR11:VDR12"/>
    <mergeCell ref="VDS11:VDS12"/>
    <mergeCell ref="VDT11:VDT12"/>
    <mergeCell ref="VDU11:VDU12"/>
    <mergeCell ref="VDV11:VDV12"/>
    <mergeCell ref="VDW11:VDW12"/>
    <mergeCell ref="VDL11:VDL12"/>
    <mergeCell ref="VDM11:VDM12"/>
    <mergeCell ref="VDN11:VDN12"/>
    <mergeCell ref="VDO11:VDO12"/>
    <mergeCell ref="VDP11:VDP12"/>
    <mergeCell ref="VDQ11:VDQ12"/>
    <mergeCell ref="VDF11:VDF12"/>
    <mergeCell ref="VDG11:VDG12"/>
    <mergeCell ref="VDH11:VDH12"/>
    <mergeCell ref="VDI11:VDI12"/>
    <mergeCell ref="VDJ11:VDJ12"/>
    <mergeCell ref="VDK11:VDK12"/>
    <mergeCell ref="VCZ11:VCZ12"/>
    <mergeCell ref="VDA11:VDA12"/>
    <mergeCell ref="VDB11:VDB12"/>
    <mergeCell ref="VDC11:VDC12"/>
    <mergeCell ref="VDD11:VDD12"/>
    <mergeCell ref="VDE11:VDE12"/>
    <mergeCell ref="VCT11:VCT12"/>
    <mergeCell ref="VCU11:VCU12"/>
    <mergeCell ref="VCV11:VCV12"/>
    <mergeCell ref="VCW11:VCW12"/>
    <mergeCell ref="VCX11:VCX12"/>
    <mergeCell ref="VCY11:VCY12"/>
    <mergeCell ref="VCN11:VCN12"/>
    <mergeCell ref="VCO11:VCO12"/>
    <mergeCell ref="VCP11:VCP12"/>
    <mergeCell ref="VCQ11:VCQ12"/>
    <mergeCell ref="VCR11:VCR12"/>
    <mergeCell ref="VCS11:VCS12"/>
    <mergeCell ref="VCH11:VCH12"/>
    <mergeCell ref="VCI11:VCI12"/>
    <mergeCell ref="VCJ11:VCJ12"/>
    <mergeCell ref="VCK11:VCK12"/>
    <mergeCell ref="VCL11:VCL12"/>
    <mergeCell ref="VCM11:VCM12"/>
    <mergeCell ref="VCB11:VCB12"/>
    <mergeCell ref="VCC11:VCC12"/>
    <mergeCell ref="VCD11:VCD12"/>
    <mergeCell ref="VCE11:VCE12"/>
    <mergeCell ref="VCF11:VCF12"/>
    <mergeCell ref="VCG11:VCG12"/>
    <mergeCell ref="VBV11:VBV12"/>
    <mergeCell ref="VBW11:VBW12"/>
    <mergeCell ref="VBX11:VBX12"/>
    <mergeCell ref="VBY11:VBY12"/>
    <mergeCell ref="VBZ11:VBZ12"/>
    <mergeCell ref="VCA11:VCA12"/>
    <mergeCell ref="VBP11:VBP12"/>
    <mergeCell ref="VBQ11:VBQ12"/>
    <mergeCell ref="VBR11:VBR12"/>
    <mergeCell ref="VBS11:VBS12"/>
    <mergeCell ref="VBT11:VBT12"/>
    <mergeCell ref="VBU11:VBU12"/>
    <mergeCell ref="VBJ11:VBJ12"/>
    <mergeCell ref="VBK11:VBK12"/>
    <mergeCell ref="VBL11:VBL12"/>
    <mergeCell ref="VBM11:VBM12"/>
    <mergeCell ref="VBN11:VBN12"/>
    <mergeCell ref="VBO11:VBO12"/>
    <mergeCell ref="VBD11:VBD12"/>
    <mergeCell ref="VBE11:VBE12"/>
    <mergeCell ref="VBF11:VBF12"/>
    <mergeCell ref="VBG11:VBG12"/>
    <mergeCell ref="VBH11:VBH12"/>
    <mergeCell ref="VBI11:VBI12"/>
    <mergeCell ref="VAX11:VAX12"/>
    <mergeCell ref="VAY11:VAY12"/>
    <mergeCell ref="VAZ11:VAZ12"/>
    <mergeCell ref="VBA11:VBA12"/>
    <mergeCell ref="VBB11:VBB12"/>
    <mergeCell ref="VBC11:VBC12"/>
    <mergeCell ref="VAR11:VAR12"/>
    <mergeCell ref="VAS11:VAS12"/>
    <mergeCell ref="VAT11:VAT12"/>
    <mergeCell ref="VAU11:VAU12"/>
    <mergeCell ref="VAV11:VAV12"/>
    <mergeCell ref="VAW11:VAW12"/>
    <mergeCell ref="VAL11:VAL12"/>
    <mergeCell ref="VAM11:VAM12"/>
    <mergeCell ref="VAN11:VAN12"/>
    <mergeCell ref="VAO11:VAO12"/>
    <mergeCell ref="VAP11:VAP12"/>
    <mergeCell ref="VAQ11:VAQ12"/>
    <mergeCell ref="VAF11:VAF12"/>
    <mergeCell ref="VAG11:VAG12"/>
    <mergeCell ref="VAH11:VAH12"/>
    <mergeCell ref="VAI11:VAI12"/>
    <mergeCell ref="VAJ11:VAJ12"/>
    <mergeCell ref="VAK11:VAK12"/>
    <mergeCell ref="UZZ11:UZZ12"/>
    <mergeCell ref="VAA11:VAA12"/>
    <mergeCell ref="VAB11:VAB12"/>
    <mergeCell ref="VAC11:VAC12"/>
    <mergeCell ref="VAD11:VAD12"/>
    <mergeCell ref="VAE11:VAE12"/>
    <mergeCell ref="UZT11:UZT12"/>
    <mergeCell ref="UZU11:UZU12"/>
    <mergeCell ref="UZV11:UZV12"/>
    <mergeCell ref="UZW11:UZW12"/>
    <mergeCell ref="UZX11:UZX12"/>
    <mergeCell ref="UZY11:UZY12"/>
    <mergeCell ref="UZN11:UZN12"/>
    <mergeCell ref="UZO11:UZO12"/>
    <mergeCell ref="UZP11:UZP12"/>
    <mergeCell ref="UZQ11:UZQ12"/>
    <mergeCell ref="UZR11:UZR12"/>
    <mergeCell ref="UZS11:UZS12"/>
    <mergeCell ref="UZH11:UZH12"/>
    <mergeCell ref="UZI11:UZI12"/>
    <mergeCell ref="UZJ11:UZJ12"/>
    <mergeCell ref="UZK11:UZK12"/>
    <mergeCell ref="UZL11:UZL12"/>
    <mergeCell ref="UZM11:UZM12"/>
    <mergeCell ref="UZB11:UZB12"/>
    <mergeCell ref="UZC11:UZC12"/>
    <mergeCell ref="UZD11:UZD12"/>
    <mergeCell ref="UZE11:UZE12"/>
    <mergeCell ref="UZF11:UZF12"/>
    <mergeCell ref="UZG11:UZG12"/>
    <mergeCell ref="UYV11:UYV12"/>
    <mergeCell ref="UYW11:UYW12"/>
    <mergeCell ref="UYX11:UYX12"/>
    <mergeCell ref="UYY11:UYY12"/>
    <mergeCell ref="UYZ11:UYZ12"/>
    <mergeCell ref="UZA11:UZA12"/>
    <mergeCell ref="UYP11:UYP12"/>
    <mergeCell ref="UYQ11:UYQ12"/>
    <mergeCell ref="UYR11:UYR12"/>
    <mergeCell ref="UYS11:UYS12"/>
    <mergeCell ref="UYT11:UYT12"/>
    <mergeCell ref="UYU11:UYU12"/>
    <mergeCell ref="UYJ11:UYJ12"/>
    <mergeCell ref="UYK11:UYK12"/>
    <mergeCell ref="UYL11:UYL12"/>
    <mergeCell ref="UYM11:UYM12"/>
    <mergeCell ref="UYN11:UYN12"/>
    <mergeCell ref="UYO11:UYO12"/>
    <mergeCell ref="UYD11:UYD12"/>
    <mergeCell ref="UYE11:UYE12"/>
    <mergeCell ref="UYF11:UYF12"/>
    <mergeCell ref="UYG11:UYG12"/>
    <mergeCell ref="UYH11:UYH12"/>
    <mergeCell ref="UYI11:UYI12"/>
    <mergeCell ref="UXX11:UXX12"/>
    <mergeCell ref="UXY11:UXY12"/>
    <mergeCell ref="UXZ11:UXZ12"/>
    <mergeCell ref="UYA11:UYA12"/>
    <mergeCell ref="UYB11:UYB12"/>
    <mergeCell ref="UYC11:UYC12"/>
    <mergeCell ref="UXR11:UXR12"/>
    <mergeCell ref="UXS11:UXS12"/>
    <mergeCell ref="UXT11:UXT12"/>
    <mergeCell ref="UXU11:UXU12"/>
    <mergeCell ref="UXV11:UXV12"/>
    <mergeCell ref="UXW11:UXW12"/>
    <mergeCell ref="UXL11:UXL12"/>
    <mergeCell ref="UXM11:UXM12"/>
    <mergeCell ref="UXN11:UXN12"/>
    <mergeCell ref="UXO11:UXO12"/>
    <mergeCell ref="UXP11:UXP12"/>
    <mergeCell ref="UXQ11:UXQ12"/>
    <mergeCell ref="UXF11:UXF12"/>
    <mergeCell ref="UXG11:UXG12"/>
    <mergeCell ref="UXH11:UXH12"/>
    <mergeCell ref="UXI11:UXI12"/>
    <mergeCell ref="UXJ11:UXJ12"/>
    <mergeCell ref="UXK11:UXK12"/>
    <mergeCell ref="UWZ11:UWZ12"/>
    <mergeCell ref="UXA11:UXA12"/>
    <mergeCell ref="UXB11:UXB12"/>
    <mergeCell ref="UXC11:UXC12"/>
    <mergeCell ref="UXD11:UXD12"/>
    <mergeCell ref="UXE11:UXE12"/>
    <mergeCell ref="UWT11:UWT12"/>
    <mergeCell ref="UWU11:UWU12"/>
    <mergeCell ref="UWV11:UWV12"/>
    <mergeCell ref="UWW11:UWW12"/>
    <mergeCell ref="UWX11:UWX12"/>
    <mergeCell ref="UWY11:UWY12"/>
    <mergeCell ref="UWN11:UWN12"/>
    <mergeCell ref="UWO11:UWO12"/>
    <mergeCell ref="UWP11:UWP12"/>
    <mergeCell ref="UWQ11:UWQ12"/>
    <mergeCell ref="UWR11:UWR12"/>
    <mergeCell ref="UWS11:UWS12"/>
    <mergeCell ref="UWH11:UWH12"/>
    <mergeCell ref="UWI11:UWI12"/>
    <mergeCell ref="UWJ11:UWJ12"/>
    <mergeCell ref="UWK11:UWK12"/>
    <mergeCell ref="UWL11:UWL12"/>
    <mergeCell ref="UWM11:UWM12"/>
    <mergeCell ref="UWB11:UWB12"/>
    <mergeCell ref="UWC11:UWC12"/>
    <mergeCell ref="UWD11:UWD12"/>
    <mergeCell ref="UWE11:UWE12"/>
    <mergeCell ref="UWF11:UWF12"/>
    <mergeCell ref="UWG11:UWG12"/>
    <mergeCell ref="UVV11:UVV12"/>
    <mergeCell ref="UVW11:UVW12"/>
    <mergeCell ref="UVX11:UVX12"/>
    <mergeCell ref="UVY11:UVY12"/>
    <mergeCell ref="UVZ11:UVZ12"/>
    <mergeCell ref="UWA11:UWA12"/>
    <mergeCell ref="UVP11:UVP12"/>
    <mergeCell ref="UVQ11:UVQ12"/>
    <mergeCell ref="UVR11:UVR12"/>
    <mergeCell ref="UVS11:UVS12"/>
    <mergeCell ref="UVT11:UVT12"/>
    <mergeCell ref="UVU11:UVU12"/>
    <mergeCell ref="UVJ11:UVJ12"/>
    <mergeCell ref="UVK11:UVK12"/>
    <mergeCell ref="UVL11:UVL12"/>
    <mergeCell ref="UVM11:UVM12"/>
    <mergeCell ref="UVN11:UVN12"/>
    <mergeCell ref="UVO11:UVO12"/>
    <mergeCell ref="UVD11:UVD12"/>
    <mergeCell ref="UVE11:UVE12"/>
    <mergeCell ref="UVF11:UVF12"/>
    <mergeCell ref="UVG11:UVG12"/>
    <mergeCell ref="UVH11:UVH12"/>
    <mergeCell ref="UVI11:UVI12"/>
    <mergeCell ref="UUX11:UUX12"/>
    <mergeCell ref="UUY11:UUY12"/>
    <mergeCell ref="UUZ11:UUZ12"/>
    <mergeCell ref="UVA11:UVA12"/>
    <mergeCell ref="UVB11:UVB12"/>
    <mergeCell ref="UVC11:UVC12"/>
    <mergeCell ref="UUR11:UUR12"/>
    <mergeCell ref="UUS11:UUS12"/>
    <mergeCell ref="UUT11:UUT12"/>
    <mergeCell ref="UUU11:UUU12"/>
    <mergeCell ref="UUV11:UUV12"/>
    <mergeCell ref="UUW11:UUW12"/>
    <mergeCell ref="UUL11:UUL12"/>
    <mergeCell ref="UUM11:UUM12"/>
    <mergeCell ref="UUN11:UUN12"/>
    <mergeCell ref="UUO11:UUO12"/>
    <mergeCell ref="UUP11:UUP12"/>
    <mergeCell ref="UUQ11:UUQ12"/>
    <mergeCell ref="UUF11:UUF12"/>
    <mergeCell ref="UUG11:UUG12"/>
    <mergeCell ref="UUH11:UUH12"/>
    <mergeCell ref="UUI11:UUI12"/>
    <mergeCell ref="UUJ11:UUJ12"/>
    <mergeCell ref="UUK11:UUK12"/>
    <mergeCell ref="UTZ11:UTZ12"/>
    <mergeCell ref="UUA11:UUA12"/>
    <mergeCell ref="UUB11:UUB12"/>
    <mergeCell ref="UUC11:UUC12"/>
    <mergeCell ref="UUD11:UUD12"/>
    <mergeCell ref="UUE11:UUE12"/>
    <mergeCell ref="UTT11:UTT12"/>
    <mergeCell ref="UTU11:UTU12"/>
    <mergeCell ref="UTV11:UTV12"/>
    <mergeCell ref="UTW11:UTW12"/>
    <mergeCell ref="UTX11:UTX12"/>
    <mergeCell ref="UTY11:UTY12"/>
    <mergeCell ref="UTN11:UTN12"/>
    <mergeCell ref="UTO11:UTO12"/>
    <mergeCell ref="UTP11:UTP12"/>
    <mergeCell ref="UTQ11:UTQ12"/>
    <mergeCell ref="UTR11:UTR12"/>
    <mergeCell ref="UTS11:UTS12"/>
    <mergeCell ref="UTH11:UTH12"/>
    <mergeCell ref="UTI11:UTI12"/>
    <mergeCell ref="UTJ11:UTJ12"/>
    <mergeCell ref="UTK11:UTK12"/>
    <mergeCell ref="UTL11:UTL12"/>
    <mergeCell ref="UTM11:UTM12"/>
    <mergeCell ref="UTB11:UTB12"/>
    <mergeCell ref="UTC11:UTC12"/>
    <mergeCell ref="UTD11:UTD12"/>
    <mergeCell ref="UTE11:UTE12"/>
    <mergeCell ref="UTF11:UTF12"/>
    <mergeCell ref="UTG11:UTG12"/>
    <mergeCell ref="USV11:USV12"/>
    <mergeCell ref="USW11:USW12"/>
    <mergeCell ref="USX11:USX12"/>
    <mergeCell ref="USY11:USY12"/>
    <mergeCell ref="USZ11:USZ12"/>
    <mergeCell ref="UTA11:UTA12"/>
    <mergeCell ref="USP11:USP12"/>
    <mergeCell ref="USQ11:USQ12"/>
    <mergeCell ref="USR11:USR12"/>
    <mergeCell ref="USS11:USS12"/>
    <mergeCell ref="UST11:UST12"/>
    <mergeCell ref="USU11:USU12"/>
    <mergeCell ref="USJ11:USJ12"/>
    <mergeCell ref="USK11:USK12"/>
    <mergeCell ref="USL11:USL12"/>
    <mergeCell ref="USM11:USM12"/>
    <mergeCell ref="USN11:USN12"/>
    <mergeCell ref="USO11:USO12"/>
    <mergeCell ref="USD11:USD12"/>
    <mergeCell ref="USE11:USE12"/>
    <mergeCell ref="USF11:USF12"/>
    <mergeCell ref="USG11:USG12"/>
    <mergeCell ref="USH11:USH12"/>
    <mergeCell ref="USI11:USI12"/>
    <mergeCell ref="URX11:URX12"/>
    <mergeCell ref="URY11:URY12"/>
    <mergeCell ref="URZ11:URZ12"/>
    <mergeCell ref="USA11:USA12"/>
    <mergeCell ref="USB11:USB12"/>
    <mergeCell ref="USC11:USC12"/>
    <mergeCell ref="URR11:URR12"/>
    <mergeCell ref="URS11:URS12"/>
    <mergeCell ref="URT11:URT12"/>
    <mergeCell ref="URU11:URU12"/>
    <mergeCell ref="URV11:URV12"/>
    <mergeCell ref="URW11:URW12"/>
    <mergeCell ref="URL11:URL12"/>
    <mergeCell ref="URM11:URM12"/>
    <mergeCell ref="URN11:URN12"/>
    <mergeCell ref="URO11:URO12"/>
    <mergeCell ref="URP11:URP12"/>
    <mergeCell ref="URQ11:URQ12"/>
    <mergeCell ref="URF11:URF12"/>
    <mergeCell ref="URG11:URG12"/>
    <mergeCell ref="URH11:URH12"/>
    <mergeCell ref="URI11:URI12"/>
    <mergeCell ref="URJ11:URJ12"/>
    <mergeCell ref="URK11:URK12"/>
    <mergeCell ref="UQZ11:UQZ12"/>
    <mergeCell ref="URA11:URA12"/>
    <mergeCell ref="URB11:URB12"/>
    <mergeCell ref="URC11:URC12"/>
    <mergeCell ref="URD11:URD12"/>
    <mergeCell ref="URE11:URE12"/>
    <mergeCell ref="UQT11:UQT12"/>
    <mergeCell ref="UQU11:UQU12"/>
    <mergeCell ref="UQV11:UQV12"/>
    <mergeCell ref="UQW11:UQW12"/>
    <mergeCell ref="UQX11:UQX12"/>
    <mergeCell ref="UQY11:UQY12"/>
    <mergeCell ref="UQN11:UQN12"/>
    <mergeCell ref="UQO11:UQO12"/>
    <mergeCell ref="UQP11:UQP12"/>
    <mergeCell ref="UQQ11:UQQ12"/>
    <mergeCell ref="UQR11:UQR12"/>
    <mergeCell ref="UQS11:UQS12"/>
    <mergeCell ref="UQH11:UQH12"/>
    <mergeCell ref="UQI11:UQI12"/>
    <mergeCell ref="UQJ11:UQJ12"/>
    <mergeCell ref="UQK11:UQK12"/>
    <mergeCell ref="UQL11:UQL12"/>
    <mergeCell ref="UQM11:UQM12"/>
    <mergeCell ref="UQB11:UQB12"/>
    <mergeCell ref="UQC11:UQC12"/>
    <mergeCell ref="UQD11:UQD12"/>
    <mergeCell ref="UQE11:UQE12"/>
    <mergeCell ref="UQF11:UQF12"/>
    <mergeCell ref="UQG11:UQG12"/>
    <mergeCell ref="UPV11:UPV12"/>
    <mergeCell ref="UPW11:UPW12"/>
    <mergeCell ref="UPX11:UPX12"/>
    <mergeCell ref="UPY11:UPY12"/>
    <mergeCell ref="UPZ11:UPZ12"/>
    <mergeCell ref="UQA11:UQA12"/>
    <mergeCell ref="UPP11:UPP12"/>
    <mergeCell ref="UPQ11:UPQ12"/>
    <mergeCell ref="UPR11:UPR12"/>
    <mergeCell ref="UPS11:UPS12"/>
    <mergeCell ref="UPT11:UPT12"/>
    <mergeCell ref="UPU11:UPU12"/>
    <mergeCell ref="UPJ11:UPJ12"/>
    <mergeCell ref="UPK11:UPK12"/>
    <mergeCell ref="UPL11:UPL12"/>
    <mergeCell ref="UPM11:UPM12"/>
    <mergeCell ref="UPN11:UPN12"/>
    <mergeCell ref="UPO11:UPO12"/>
    <mergeCell ref="UPD11:UPD12"/>
    <mergeCell ref="UPE11:UPE12"/>
    <mergeCell ref="UPF11:UPF12"/>
    <mergeCell ref="UPG11:UPG12"/>
    <mergeCell ref="UPH11:UPH12"/>
    <mergeCell ref="UPI11:UPI12"/>
    <mergeCell ref="UOX11:UOX12"/>
    <mergeCell ref="UOY11:UOY12"/>
    <mergeCell ref="UOZ11:UOZ12"/>
    <mergeCell ref="UPA11:UPA12"/>
    <mergeCell ref="UPB11:UPB12"/>
    <mergeCell ref="UPC11:UPC12"/>
    <mergeCell ref="UOR11:UOR12"/>
    <mergeCell ref="UOS11:UOS12"/>
    <mergeCell ref="UOT11:UOT12"/>
    <mergeCell ref="UOU11:UOU12"/>
    <mergeCell ref="UOV11:UOV12"/>
    <mergeCell ref="UOW11:UOW12"/>
    <mergeCell ref="UOL11:UOL12"/>
    <mergeCell ref="UOM11:UOM12"/>
    <mergeCell ref="UON11:UON12"/>
    <mergeCell ref="UOO11:UOO12"/>
    <mergeCell ref="UOP11:UOP12"/>
    <mergeCell ref="UOQ11:UOQ12"/>
    <mergeCell ref="UOF11:UOF12"/>
    <mergeCell ref="UOG11:UOG12"/>
    <mergeCell ref="UOH11:UOH12"/>
    <mergeCell ref="UOI11:UOI12"/>
    <mergeCell ref="UOJ11:UOJ12"/>
    <mergeCell ref="UOK11:UOK12"/>
    <mergeCell ref="UNZ11:UNZ12"/>
    <mergeCell ref="UOA11:UOA12"/>
    <mergeCell ref="UOB11:UOB12"/>
    <mergeCell ref="UOC11:UOC12"/>
    <mergeCell ref="UOD11:UOD12"/>
    <mergeCell ref="UOE11:UOE12"/>
    <mergeCell ref="UNT11:UNT12"/>
    <mergeCell ref="UNU11:UNU12"/>
    <mergeCell ref="UNV11:UNV12"/>
    <mergeCell ref="UNW11:UNW12"/>
    <mergeCell ref="UNX11:UNX12"/>
    <mergeCell ref="UNY11:UNY12"/>
    <mergeCell ref="UNN11:UNN12"/>
    <mergeCell ref="UNO11:UNO12"/>
    <mergeCell ref="UNP11:UNP12"/>
    <mergeCell ref="UNQ11:UNQ12"/>
    <mergeCell ref="UNR11:UNR12"/>
    <mergeCell ref="UNS11:UNS12"/>
    <mergeCell ref="UNH11:UNH12"/>
    <mergeCell ref="UNI11:UNI12"/>
    <mergeCell ref="UNJ11:UNJ12"/>
    <mergeCell ref="UNK11:UNK12"/>
    <mergeCell ref="UNL11:UNL12"/>
    <mergeCell ref="UNM11:UNM12"/>
    <mergeCell ref="UNB11:UNB12"/>
    <mergeCell ref="UNC11:UNC12"/>
    <mergeCell ref="UND11:UND12"/>
    <mergeCell ref="UNE11:UNE12"/>
    <mergeCell ref="UNF11:UNF12"/>
    <mergeCell ref="UNG11:UNG12"/>
    <mergeCell ref="UMV11:UMV12"/>
    <mergeCell ref="UMW11:UMW12"/>
    <mergeCell ref="UMX11:UMX12"/>
    <mergeCell ref="UMY11:UMY12"/>
    <mergeCell ref="UMZ11:UMZ12"/>
    <mergeCell ref="UNA11:UNA12"/>
    <mergeCell ref="UMP11:UMP12"/>
    <mergeCell ref="UMQ11:UMQ12"/>
    <mergeCell ref="UMR11:UMR12"/>
    <mergeCell ref="UMS11:UMS12"/>
    <mergeCell ref="UMT11:UMT12"/>
    <mergeCell ref="UMU11:UMU12"/>
    <mergeCell ref="UMJ11:UMJ12"/>
    <mergeCell ref="UMK11:UMK12"/>
    <mergeCell ref="UML11:UML12"/>
    <mergeCell ref="UMM11:UMM12"/>
    <mergeCell ref="UMN11:UMN12"/>
    <mergeCell ref="UMO11:UMO12"/>
    <mergeCell ref="UMD11:UMD12"/>
    <mergeCell ref="UME11:UME12"/>
    <mergeCell ref="UMF11:UMF12"/>
    <mergeCell ref="UMG11:UMG12"/>
    <mergeCell ref="UMH11:UMH12"/>
    <mergeCell ref="UMI11:UMI12"/>
    <mergeCell ref="ULX11:ULX12"/>
    <mergeCell ref="ULY11:ULY12"/>
    <mergeCell ref="ULZ11:ULZ12"/>
    <mergeCell ref="UMA11:UMA12"/>
    <mergeCell ref="UMB11:UMB12"/>
    <mergeCell ref="UMC11:UMC12"/>
    <mergeCell ref="ULR11:ULR12"/>
    <mergeCell ref="ULS11:ULS12"/>
    <mergeCell ref="ULT11:ULT12"/>
    <mergeCell ref="ULU11:ULU12"/>
    <mergeCell ref="ULV11:ULV12"/>
    <mergeCell ref="ULW11:ULW12"/>
    <mergeCell ref="ULL11:ULL12"/>
    <mergeCell ref="ULM11:ULM12"/>
    <mergeCell ref="ULN11:ULN12"/>
    <mergeCell ref="ULO11:ULO12"/>
    <mergeCell ref="ULP11:ULP12"/>
    <mergeCell ref="ULQ11:ULQ12"/>
    <mergeCell ref="ULF11:ULF12"/>
    <mergeCell ref="ULG11:ULG12"/>
    <mergeCell ref="ULH11:ULH12"/>
    <mergeCell ref="ULI11:ULI12"/>
    <mergeCell ref="ULJ11:ULJ12"/>
    <mergeCell ref="ULK11:ULK12"/>
    <mergeCell ref="UKZ11:UKZ12"/>
    <mergeCell ref="ULA11:ULA12"/>
    <mergeCell ref="ULB11:ULB12"/>
    <mergeCell ref="ULC11:ULC12"/>
    <mergeCell ref="ULD11:ULD12"/>
    <mergeCell ref="ULE11:ULE12"/>
    <mergeCell ref="UKT11:UKT12"/>
    <mergeCell ref="UKU11:UKU12"/>
    <mergeCell ref="UKV11:UKV12"/>
    <mergeCell ref="UKW11:UKW12"/>
    <mergeCell ref="UKX11:UKX12"/>
    <mergeCell ref="UKY11:UKY12"/>
    <mergeCell ref="UKN11:UKN12"/>
    <mergeCell ref="UKO11:UKO12"/>
    <mergeCell ref="UKP11:UKP12"/>
    <mergeCell ref="UKQ11:UKQ12"/>
    <mergeCell ref="UKR11:UKR12"/>
    <mergeCell ref="UKS11:UKS12"/>
    <mergeCell ref="UKH11:UKH12"/>
    <mergeCell ref="UKI11:UKI12"/>
    <mergeCell ref="UKJ11:UKJ12"/>
    <mergeCell ref="UKK11:UKK12"/>
    <mergeCell ref="UKL11:UKL12"/>
    <mergeCell ref="UKM11:UKM12"/>
    <mergeCell ref="UKB11:UKB12"/>
    <mergeCell ref="UKC11:UKC12"/>
    <mergeCell ref="UKD11:UKD12"/>
    <mergeCell ref="UKE11:UKE12"/>
    <mergeCell ref="UKF11:UKF12"/>
    <mergeCell ref="UKG11:UKG12"/>
    <mergeCell ref="UJV11:UJV12"/>
    <mergeCell ref="UJW11:UJW12"/>
    <mergeCell ref="UJX11:UJX12"/>
    <mergeCell ref="UJY11:UJY12"/>
    <mergeCell ref="UJZ11:UJZ12"/>
    <mergeCell ref="UKA11:UKA12"/>
    <mergeCell ref="UJP11:UJP12"/>
    <mergeCell ref="UJQ11:UJQ12"/>
    <mergeCell ref="UJR11:UJR12"/>
    <mergeCell ref="UJS11:UJS12"/>
    <mergeCell ref="UJT11:UJT12"/>
    <mergeCell ref="UJU11:UJU12"/>
    <mergeCell ref="UJJ11:UJJ12"/>
    <mergeCell ref="UJK11:UJK12"/>
    <mergeCell ref="UJL11:UJL12"/>
    <mergeCell ref="UJM11:UJM12"/>
    <mergeCell ref="UJN11:UJN12"/>
    <mergeCell ref="UJO11:UJO12"/>
    <mergeCell ref="UJD11:UJD12"/>
    <mergeCell ref="UJE11:UJE12"/>
    <mergeCell ref="UJF11:UJF12"/>
    <mergeCell ref="UJG11:UJG12"/>
    <mergeCell ref="UJH11:UJH12"/>
    <mergeCell ref="UJI11:UJI12"/>
    <mergeCell ref="UIX11:UIX12"/>
    <mergeCell ref="UIY11:UIY12"/>
    <mergeCell ref="UIZ11:UIZ12"/>
    <mergeCell ref="UJA11:UJA12"/>
    <mergeCell ref="UJB11:UJB12"/>
    <mergeCell ref="UJC11:UJC12"/>
    <mergeCell ref="UIR11:UIR12"/>
    <mergeCell ref="UIS11:UIS12"/>
    <mergeCell ref="UIT11:UIT12"/>
    <mergeCell ref="UIU11:UIU12"/>
    <mergeCell ref="UIV11:UIV12"/>
    <mergeCell ref="UIW11:UIW12"/>
    <mergeCell ref="UIL11:UIL12"/>
    <mergeCell ref="UIM11:UIM12"/>
    <mergeCell ref="UIN11:UIN12"/>
    <mergeCell ref="UIO11:UIO12"/>
    <mergeCell ref="UIP11:UIP12"/>
    <mergeCell ref="UIQ11:UIQ12"/>
    <mergeCell ref="UIF11:UIF12"/>
    <mergeCell ref="UIG11:UIG12"/>
    <mergeCell ref="UIH11:UIH12"/>
    <mergeCell ref="UII11:UII12"/>
    <mergeCell ref="UIJ11:UIJ12"/>
    <mergeCell ref="UIK11:UIK12"/>
    <mergeCell ref="UHZ11:UHZ12"/>
    <mergeCell ref="UIA11:UIA12"/>
    <mergeCell ref="UIB11:UIB12"/>
    <mergeCell ref="UIC11:UIC12"/>
    <mergeCell ref="UID11:UID12"/>
    <mergeCell ref="UIE11:UIE12"/>
    <mergeCell ref="UHT11:UHT12"/>
    <mergeCell ref="UHU11:UHU12"/>
    <mergeCell ref="UHV11:UHV12"/>
    <mergeCell ref="UHW11:UHW12"/>
    <mergeCell ref="UHX11:UHX12"/>
    <mergeCell ref="UHY11:UHY12"/>
    <mergeCell ref="UHN11:UHN12"/>
    <mergeCell ref="UHO11:UHO12"/>
    <mergeCell ref="UHP11:UHP12"/>
    <mergeCell ref="UHQ11:UHQ12"/>
    <mergeCell ref="UHR11:UHR12"/>
    <mergeCell ref="UHS11:UHS12"/>
    <mergeCell ref="UHH11:UHH12"/>
    <mergeCell ref="UHI11:UHI12"/>
    <mergeCell ref="UHJ11:UHJ12"/>
    <mergeCell ref="UHK11:UHK12"/>
    <mergeCell ref="UHL11:UHL12"/>
    <mergeCell ref="UHM11:UHM12"/>
    <mergeCell ref="UHB11:UHB12"/>
    <mergeCell ref="UHC11:UHC12"/>
    <mergeCell ref="UHD11:UHD12"/>
    <mergeCell ref="UHE11:UHE12"/>
    <mergeCell ref="UHF11:UHF12"/>
    <mergeCell ref="UHG11:UHG12"/>
    <mergeCell ref="UGV11:UGV12"/>
    <mergeCell ref="UGW11:UGW12"/>
    <mergeCell ref="UGX11:UGX12"/>
    <mergeCell ref="UGY11:UGY12"/>
    <mergeCell ref="UGZ11:UGZ12"/>
    <mergeCell ref="UHA11:UHA12"/>
    <mergeCell ref="UGP11:UGP12"/>
    <mergeCell ref="UGQ11:UGQ12"/>
    <mergeCell ref="UGR11:UGR12"/>
    <mergeCell ref="UGS11:UGS12"/>
    <mergeCell ref="UGT11:UGT12"/>
    <mergeCell ref="UGU11:UGU12"/>
    <mergeCell ref="UGJ11:UGJ12"/>
    <mergeCell ref="UGK11:UGK12"/>
    <mergeCell ref="UGL11:UGL12"/>
    <mergeCell ref="UGM11:UGM12"/>
    <mergeCell ref="UGN11:UGN12"/>
    <mergeCell ref="UGO11:UGO12"/>
    <mergeCell ref="UGD11:UGD12"/>
    <mergeCell ref="UGE11:UGE12"/>
    <mergeCell ref="UGF11:UGF12"/>
    <mergeCell ref="UGG11:UGG12"/>
    <mergeCell ref="UGH11:UGH12"/>
    <mergeCell ref="UGI11:UGI12"/>
    <mergeCell ref="UFX11:UFX12"/>
    <mergeCell ref="UFY11:UFY12"/>
    <mergeCell ref="UFZ11:UFZ12"/>
    <mergeCell ref="UGA11:UGA12"/>
    <mergeCell ref="UGB11:UGB12"/>
    <mergeCell ref="UGC11:UGC12"/>
    <mergeCell ref="UFR11:UFR12"/>
    <mergeCell ref="UFS11:UFS12"/>
    <mergeCell ref="UFT11:UFT12"/>
    <mergeCell ref="UFU11:UFU12"/>
    <mergeCell ref="UFV11:UFV12"/>
    <mergeCell ref="UFW11:UFW12"/>
    <mergeCell ref="UFL11:UFL12"/>
    <mergeCell ref="UFM11:UFM12"/>
    <mergeCell ref="UFN11:UFN12"/>
    <mergeCell ref="UFO11:UFO12"/>
    <mergeCell ref="UFP11:UFP12"/>
    <mergeCell ref="UFQ11:UFQ12"/>
    <mergeCell ref="UFF11:UFF12"/>
    <mergeCell ref="UFG11:UFG12"/>
    <mergeCell ref="UFH11:UFH12"/>
    <mergeCell ref="UFI11:UFI12"/>
    <mergeCell ref="UFJ11:UFJ12"/>
    <mergeCell ref="UFK11:UFK12"/>
    <mergeCell ref="UEZ11:UEZ12"/>
    <mergeCell ref="UFA11:UFA12"/>
    <mergeCell ref="UFB11:UFB12"/>
    <mergeCell ref="UFC11:UFC12"/>
    <mergeCell ref="UFD11:UFD12"/>
    <mergeCell ref="UFE11:UFE12"/>
    <mergeCell ref="UET11:UET12"/>
    <mergeCell ref="UEU11:UEU12"/>
    <mergeCell ref="UEV11:UEV12"/>
    <mergeCell ref="UEW11:UEW12"/>
    <mergeCell ref="UEX11:UEX12"/>
    <mergeCell ref="UEY11:UEY12"/>
    <mergeCell ref="UEN11:UEN12"/>
    <mergeCell ref="UEO11:UEO12"/>
    <mergeCell ref="UEP11:UEP12"/>
    <mergeCell ref="UEQ11:UEQ12"/>
    <mergeCell ref="UER11:UER12"/>
    <mergeCell ref="UES11:UES12"/>
    <mergeCell ref="UEH11:UEH12"/>
    <mergeCell ref="UEI11:UEI12"/>
    <mergeCell ref="UEJ11:UEJ12"/>
    <mergeCell ref="UEK11:UEK12"/>
    <mergeCell ref="UEL11:UEL12"/>
    <mergeCell ref="UEM11:UEM12"/>
    <mergeCell ref="UEB11:UEB12"/>
    <mergeCell ref="UEC11:UEC12"/>
    <mergeCell ref="UED11:UED12"/>
    <mergeCell ref="UEE11:UEE12"/>
    <mergeCell ref="UEF11:UEF12"/>
    <mergeCell ref="UEG11:UEG12"/>
    <mergeCell ref="UDV11:UDV12"/>
    <mergeCell ref="UDW11:UDW12"/>
    <mergeCell ref="UDX11:UDX12"/>
    <mergeCell ref="UDY11:UDY12"/>
    <mergeCell ref="UDZ11:UDZ12"/>
    <mergeCell ref="UEA11:UEA12"/>
    <mergeCell ref="UDP11:UDP12"/>
    <mergeCell ref="UDQ11:UDQ12"/>
    <mergeCell ref="UDR11:UDR12"/>
    <mergeCell ref="UDS11:UDS12"/>
    <mergeCell ref="UDT11:UDT12"/>
    <mergeCell ref="UDU11:UDU12"/>
    <mergeCell ref="UDJ11:UDJ12"/>
    <mergeCell ref="UDK11:UDK12"/>
    <mergeCell ref="UDL11:UDL12"/>
    <mergeCell ref="UDM11:UDM12"/>
    <mergeCell ref="UDN11:UDN12"/>
    <mergeCell ref="UDO11:UDO12"/>
    <mergeCell ref="UDD11:UDD12"/>
    <mergeCell ref="UDE11:UDE12"/>
    <mergeCell ref="UDF11:UDF12"/>
    <mergeCell ref="UDG11:UDG12"/>
    <mergeCell ref="UDH11:UDH12"/>
    <mergeCell ref="UDI11:UDI12"/>
    <mergeCell ref="UCX11:UCX12"/>
    <mergeCell ref="UCY11:UCY12"/>
    <mergeCell ref="UCZ11:UCZ12"/>
    <mergeCell ref="UDA11:UDA12"/>
    <mergeCell ref="UDB11:UDB12"/>
    <mergeCell ref="UDC11:UDC12"/>
    <mergeCell ref="UCR11:UCR12"/>
    <mergeCell ref="UCS11:UCS12"/>
    <mergeCell ref="UCT11:UCT12"/>
    <mergeCell ref="UCU11:UCU12"/>
    <mergeCell ref="UCV11:UCV12"/>
    <mergeCell ref="UCW11:UCW12"/>
    <mergeCell ref="UCL11:UCL12"/>
    <mergeCell ref="UCM11:UCM12"/>
    <mergeCell ref="UCN11:UCN12"/>
    <mergeCell ref="UCO11:UCO12"/>
    <mergeCell ref="UCP11:UCP12"/>
    <mergeCell ref="UCQ11:UCQ12"/>
    <mergeCell ref="UCF11:UCF12"/>
    <mergeCell ref="UCG11:UCG12"/>
    <mergeCell ref="UCH11:UCH12"/>
    <mergeCell ref="UCI11:UCI12"/>
    <mergeCell ref="UCJ11:UCJ12"/>
    <mergeCell ref="UCK11:UCK12"/>
    <mergeCell ref="UBZ11:UBZ12"/>
    <mergeCell ref="UCA11:UCA12"/>
    <mergeCell ref="UCB11:UCB12"/>
    <mergeCell ref="UCC11:UCC12"/>
    <mergeCell ref="UCD11:UCD12"/>
    <mergeCell ref="UCE11:UCE12"/>
    <mergeCell ref="UBT11:UBT12"/>
    <mergeCell ref="UBU11:UBU12"/>
    <mergeCell ref="UBV11:UBV12"/>
    <mergeCell ref="UBW11:UBW12"/>
    <mergeCell ref="UBX11:UBX12"/>
    <mergeCell ref="UBY11:UBY12"/>
    <mergeCell ref="UBN11:UBN12"/>
    <mergeCell ref="UBO11:UBO12"/>
    <mergeCell ref="UBP11:UBP12"/>
    <mergeCell ref="UBQ11:UBQ12"/>
    <mergeCell ref="UBR11:UBR12"/>
    <mergeCell ref="UBS11:UBS12"/>
    <mergeCell ref="UBH11:UBH12"/>
    <mergeCell ref="UBI11:UBI12"/>
    <mergeCell ref="UBJ11:UBJ12"/>
    <mergeCell ref="UBK11:UBK12"/>
    <mergeCell ref="UBL11:UBL12"/>
    <mergeCell ref="UBM11:UBM12"/>
    <mergeCell ref="UBB11:UBB12"/>
    <mergeCell ref="UBC11:UBC12"/>
    <mergeCell ref="UBD11:UBD12"/>
    <mergeCell ref="UBE11:UBE12"/>
    <mergeCell ref="UBF11:UBF12"/>
    <mergeCell ref="UBG11:UBG12"/>
    <mergeCell ref="UAV11:UAV12"/>
    <mergeCell ref="UAW11:UAW12"/>
    <mergeCell ref="UAX11:UAX12"/>
    <mergeCell ref="UAY11:UAY12"/>
    <mergeCell ref="UAZ11:UAZ12"/>
    <mergeCell ref="UBA11:UBA12"/>
    <mergeCell ref="UAP11:UAP12"/>
    <mergeCell ref="UAQ11:UAQ12"/>
    <mergeCell ref="UAR11:UAR12"/>
    <mergeCell ref="UAS11:UAS12"/>
    <mergeCell ref="UAT11:UAT12"/>
    <mergeCell ref="UAU11:UAU12"/>
    <mergeCell ref="UAJ11:UAJ12"/>
    <mergeCell ref="UAK11:UAK12"/>
    <mergeCell ref="UAL11:UAL12"/>
    <mergeCell ref="UAM11:UAM12"/>
    <mergeCell ref="UAN11:UAN12"/>
    <mergeCell ref="UAO11:UAO12"/>
    <mergeCell ref="UAD11:UAD12"/>
    <mergeCell ref="UAE11:UAE12"/>
    <mergeCell ref="UAF11:UAF12"/>
    <mergeCell ref="UAG11:UAG12"/>
    <mergeCell ref="UAH11:UAH12"/>
    <mergeCell ref="UAI11:UAI12"/>
    <mergeCell ref="TZX11:TZX12"/>
    <mergeCell ref="TZY11:TZY12"/>
    <mergeCell ref="TZZ11:TZZ12"/>
    <mergeCell ref="UAA11:UAA12"/>
    <mergeCell ref="UAB11:UAB12"/>
    <mergeCell ref="UAC11:UAC12"/>
    <mergeCell ref="TZR11:TZR12"/>
    <mergeCell ref="TZS11:TZS12"/>
    <mergeCell ref="TZT11:TZT12"/>
    <mergeCell ref="TZU11:TZU12"/>
    <mergeCell ref="TZV11:TZV12"/>
    <mergeCell ref="TZW11:TZW12"/>
    <mergeCell ref="TZL11:TZL12"/>
    <mergeCell ref="TZM11:TZM12"/>
    <mergeCell ref="TZN11:TZN12"/>
    <mergeCell ref="TZO11:TZO12"/>
    <mergeCell ref="TZP11:TZP12"/>
    <mergeCell ref="TZQ11:TZQ12"/>
    <mergeCell ref="TZF11:TZF12"/>
    <mergeCell ref="TZG11:TZG12"/>
    <mergeCell ref="TZH11:TZH12"/>
    <mergeCell ref="TZI11:TZI12"/>
    <mergeCell ref="TZJ11:TZJ12"/>
    <mergeCell ref="TZK11:TZK12"/>
    <mergeCell ref="TYZ11:TYZ12"/>
    <mergeCell ref="TZA11:TZA12"/>
    <mergeCell ref="TZB11:TZB12"/>
    <mergeCell ref="TZC11:TZC12"/>
    <mergeCell ref="TZD11:TZD12"/>
    <mergeCell ref="TZE11:TZE12"/>
    <mergeCell ref="TYT11:TYT12"/>
    <mergeCell ref="TYU11:TYU12"/>
    <mergeCell ref="TYV11:TYV12"/>
    <mergeCell ref="TYW11:TYW12"/>
    <mergeCell ref="TYX11:TYX12"/>
    <mergeCell ref="TYY11:TYY12"/>
    <mergeCell ref="TYN11:TYN12"/>
    <mergeCell ref="TYO11:TYO12"/>
    <mergeCell ref="TYP11:TYP12"/>
    <mergeCell ref="TYQ11:TYQ12"/>
    <mergeCell ref="TYR11:TYR12"/>
    <mergeCell ref="TYS11:TYS12"/>
    <mergeCell ref="TYH11:TYH12"/>
    <mergeCell ref="TYI11:TYI12"/>
    <mergeCell ref="TYJ11:TYJ12"/>
    <mergeCell ref="TYK11:TYK12"/>
    <mergeCell ref="TYL11:TYL12"/>
    <mergeCell ref="TYM11:TYM12"/>
    <mergeCell ref="TYB11:TYB12"/>
    <mergeCell ref="TYC11:TYC12"/>
    <mergeCell ref="TYD11:TYD12"/>
    <mergeCell ref="TYE11:TYE12"/>
    <mergeCell ref="TYF11:TYF12"/>
    <mergeCell ref="TYG11:TYG12"/>
    <mergeCell ref="TXV11:TXV12"/>
    <mergeCell ref="TXW11:TXW12"/>
    <mergeCell ref="TXX11:TXX12"/>
    <mergeCell ref="TXY11:TXY12"/>
    <mergeCell ref="TXZ11:TXZ12"/>
    <mergeCell ref="TYA11:TYA12"/>
    <mergeCell ref="TXP11:TXP12"/>
    <mergeCell ref="TXQ11:TXQ12"/>
    <mergeCell ref="TXR11:TXR12"/>
    <mergeCell ref="TXS11:TXS12"/>
    <mergeCell ref="TXT11:TXT12"/>
    <mergeCell ref="TXU11:TXU12"/>
    <mergeCell ref="TXJ11:TXJ12"/>
    <mergeCell ref="TXK11:TXK12"/>
    <mergeCell ref="TXL11:TXL12"/>
    <mergeCell ref="TXM11:TXM12"/>
    <mergeCell ref="TXN11:TXN12"/>
    <mergeCell ref="TXO11:TXO12"/>
    <mergeCell ref="TXD11:TXD12"/>
    <mergeCell ref="TXE11:TXE12"/>
    <mergeCell ref="TXF11:TXF12"/>
    <mergeCell ref="TXG11:TXG12"/>
    <mergeCell ref="TXH11:TXH12"/>
    <mergeCell ref="TXI11:TXI12"/>
    <mergeCell ref="TWX11:TWX12"/>
    <mergeCell ref="TWY11:TWY12"/>
    <mergeCell ref="TWZ11:TWZ12"/>
    <mergeCell ref="TXA11:TXA12"/>
    <mergeCell ref="TXB11:TXB12"/>
    <mergeCell ref="TXC11:TXC12"/>
    <mergeCell ref="TWR11:TWR12"/>
    <mergeCell ref="TWS11:TWS12"/>
    <mergeCell ref="TWT11:TWT12"/>
    <mergeCell ref="TWU11:TWU12"/>
    <mergeCell ref="TWV11:TWV12"/>
    <mergeCell ref="TWW11:TWW12"/>
    <mergeCell ref="TWL11:TWL12"/>
    <mergeCell ref="TWM11:TWM12"/>
    <mergeCell ref="TWN11:TWN12"/>
    <mergeCell ref="TWO11:TWO12"/>
    <mergeCell ref="TWP11:TWP12"/>
    <mergeCell ref="TWQ11:TWQ12"/>
    <mergeCell ref="TWF11:TWF12"/>
    <mergeCell ref="TWG11:TWG12"/>
    <mergeCell ref="TWH11:TWH12"/>
    <mergeCell ref="TWI11:TWI12"/>
    <mergeCell ref="TWJ11:TWJ12"/>
    <mergeCell ref="TWK11:TWK12"/>
    <mergeCell ref="TVZ11:TVZ12"/>
    <mergeCell ref="TWA11:TWA12"/>
    <mergeCell ref="TWB11:TWB12"/>
    <mergeCell ref="TWC11:TWC12"/>
    <mergeCell ref="TWD11:TWD12"/>
    <mergeCell ref="TWE11:TWE12"/>
    <mergeCell ref="TVT11:TVT12"/>
    <mergeCell ref="TVU11:TVU12"/>
    <mergeCell ref="TVV11:TVV12"/>
    <mergeCell ref="TVW11:TVW12"/>
    <mergeCell ref="TVX11:TVX12"/>
    <mergeCell ref="TVY11:TVY12"/>
    <mergeCell ref="TVN11:TVN12"/>
    <mergeCell ref="TVO11:TVO12"/>
    <mergeCell ref="TVP11:TVP12"/>
    <mergeCell ref="TVQ11:TVQ12"/>
    <mergeCell ref="TVR11:TVR12"/>
    <mergeCell ref="TVS11:TVS12"/>
    <mergeCell ref="TVH11:TVH12"/>
    <mergeCell ref="TVI11:TVI12"/>
    <mergeCell ref="TVJ11:TVJ12"/>
    <mergeCell ref="TVK11:TVK12"/>
    <mergeCell ref="TVL11:TVL12"/>
    <mergeCell ref="TVM11:TVM12"/>
    <mergeCell ref="TVB11:TVB12"/>
    <mergeCell ref="TVC11:TVC12"/>
    <mergeCell ref="TVD11:TVD12"/>
    <mergeCell ref="TVE11:TVE12"/>
    <mergeCell ref="TVF11:TVF12"/>
    <mergeCell ref="TVG11:TVG12"/>
    <mergeCell ref="TUV11:TUV12"/>
    <mergeCell ref="TUW11:TUW12"/>
    <mergeCell ref="TUX11:TUX12"/>
    <mergeCell ref="TUY11:TUY12"/>
    <mergeCell ref="TUZ11:TUZ12"/>
    <mergeCell ref="TVA11:TVA12"/>
    <mergeCell ref="TUP11:TUP12"/>
    <mergeCell ref="TUQ11:TUQ12"/>
    <mergeCell ref="TUR11:TUR12"/>
    <mergeCell ref="TUS11:TUS12"/>
    <mergeCell ref="TUT11:TUT12"/>
    <mergeCell ref="TUU11:TUU12"/>
    <mergeCell ref="TUJ11:TUJ12"/>
    <mergeCell ref="TUK11:TUK12"/>
    <mergeCell ref="TUL11:TUL12"/>
    <mergeCell ref="TUM11:TUM12"/>
    <mergeCell ref="TUN11:TUN12"/>
    <mergeCell ref="TUO11:TUO12"/>
    <mergeCell ref="TUD11:TUD12"/>
    <mergeCell ref="TUE11:TUE12"/>
    <mergeCell ref="TUF11:TUF12"/>
    <mergeCell ref="TUG11:TUG12"/>
    <mergeCell ref="TUH11:TUH12"/>
    <mergeCell ref="TUI11:TUI12"/>
    <mergeCell ref="TTX11:TTX12"/>
    <mergeCell ref="TTY11:TTY12"/>
    <mergeCell ref="TTZ11:TTZ12"/>
    <mergeCell ref="TUA11:TUA12"/>
    <mergeCell ref="TUB11:TUB12"/>
    <mergeCell ref="TUC11:TUC12"/>
    <mergeCell ref="TTR11:TTR12"/>
    <mergeCell ref="TTS11:TTS12"/>
    <mergeCell ref="TTT11:TTT12"/>
    <mergeCell ref="TTU11:TTU12"/>
    <mergeCell ref="TTV11:TTV12"/>
    <mergeCell ref="TTW11:TTW12"/>
    <mergeCell ref="TTL11:TTL12"/>
    <mergeCell ref="TTM11:TTM12"/>
    <mergeCell ref="TTN11:TTN12"/>
    <mergeCell ref="TTO11:TTO12"/>
    <mergeCell ref="TTP11:TTP12"/>
    <mergeCell ref="TTQ11:TTQ12"/>
    <mergeCell ref="TTF11:TTF12"/>
    <mergeCell ref="TTG11:TTG12"/>
    <mergeCell ref="TTH11:TTH12"/>
    <mergeCell ref="TTI11:TTI12"/>
    <mergeCell ref="TTJ11:TTJ12"/>
    <mergeCell ref="TTK11:TTK12"/>
    <mergeCell ref="TSZ11:TSZ12"/>
    <mergeCell ref="TTA11:TTA12"/>
    <mergeCell ref="TTB11:TTB12"/>
    <mergeCell ref="TTC11:TTC12"/>
    <mergeCell ref="TTD11:TTD12"/>
    <mergeCell ref="TTE11:TTE12"/>
    <mergeCell ref="TST11:TST12"/>
    <mergeCell ref="TSU11:TSU12"/>
    <mergeCell ref="TSV11:TSV12"/>
    <mergeCell ref="TSW11:TSW12"/>
    <mergeCell ref="TSX11:TSX12"/>
    <mergeCell ref="TSY11:TSY12"/>
    <mergeCell ref="TSN11:TSN12"/>
    <mergeCell ref="TSO11:TSO12"/>
    <mergeCell ref="TSP11:TSP12"/>
    <mergeCell ref="TSQ11:TSQ12"/>
    <mergeCell ref="TSR11:TSR12"/>
    <mergeCell ref="TSS11:TSS12"/>
    <mergeCell ref="TSH11:TSH12"/>
    <mergeCell ref="TSI11:TSI12"/>
    <mergeCell ref="TSJ11:TSJ12"/>
    <mergeCell ref="TSK11:TSK12"/>
    <mergeCell ref="TSL11:TSL12"/>
    <mergeCell ref="TSM11:TSM12"/>
    <mergeCell ref="TSB11:TSB12"/>
    <mergeCell ref="TSC11:TSC12"/>
    <mergeCell ref="TSD11:TSD12"/>
    <mergeCell ref="TSE11:TSE12"/>
    <mergeCell ref="TSF11:TSF12"/>
    <mergeCell ref="TSG11:TSG12"/>
    <mergeCell ref="TRV11:TRV12"/>
    <mergeCell ref="TRW11:TRW12"/>
    <mergeCell ref="TRX11:TRX12"/>
    <mergeCell ref="TRY11:TRY12"/>
    <mergeCell ref="TRZ11:TRZ12"/>
    <mergeCell ref="TSA11:TSA12"/>
    <mergeCell ref="TRP11:TRP12"/>
    <mergeCell ref="TRQ11:TRQ12"/>
    <mergeCell ref="TRR11:TRR12"/>
    <mergeCell ref="TRS11:TRS12"/>
    <mergeCell ref="TRT11:TRT12"/>
    <mergeCell ref="TRU11:TRU12"/>
    <mergeCell ref="TRJ11:TRJ12"/>
    <mergeCell ref="TRK11:TRK12"/>
    <mergeCell ref="TRL11:TRL12"/>
    <mergeCell ref="TRM11:TRM12"/>
    <mergeCell ref="TRN11:TRN12"/>
    <mergeCell ref="TRO11:TRO12"/>
    <mergeCell ref="TRD11:TRD12"/>
    <mergeCell ref="TRE11:TRE12"/>
    <mergeCell ref="TRF11:TRF12"/>
    <mergeCell ref="TRG11:TRG12"/>
    <mergeCell ref="TRH11:TRH12"/>
    <mergeCell ref="TRI11:TRI12"/>
    <mergeCell ref="TQX11:TQX12"/>
    <mergeCell ref="TQY11:TQY12"/>
    <mergeCell ref="TQZ11:TQZ12"/>
    <mergeCell ref="TRA11:TRA12"/>
    <mergeCell ref="TRB11:TRB12"/>
    <mergeCell ref="TRC11:TRC12"/>
    <mergeCell ref="TQR11:TQR12"/>
    <mergeCell ref="TQS11:TQS12"/>
    <mergeCell ref="TQT11:TQT12"/>
    <mergeCell ref="TQU11:TQU12"/>
    <mergeCell ref="TQV11:TQV12"/>
    <mergeCell ref="TQW11:TQW12"/>
    <mergeCell ref="TQL11:TQL12"/>
    <mergeCell ref="TQM11:TQM12"/>
    <mergeCell ref="TQN11:TQN12"/>
    <mergeCell ref="TQO11:TQO12"/>
    <mergeCell ref="TQP11:TQP12"/>
    <mergeCell ref="TQQ11:TQQ12"/>
    <mergeCell ref="TQF11:TQF12"/>
    <mergeCell ref="TQG11:TQG12"/>
    <mergeCell ref="TQH11:TQH12"/>
    <mergeCell ref="TQI11:TQI12"/>
    <mergeCell ref="TQJ11:TQJ12"/>
    <mergeCell ref="TQK11:TQK12"/>
    <mergeCell ref="TPZ11:TPZ12"/>
    <mergeCell ref="TQA11:TQA12"/>
    <mergeCell ref="TQB11:TQB12"/>
    <mergeCell ref="TQC11:TQC12"/>
    <mergeCell ref="TQD11:TQD12"/>
    <mergeCell ref="TQE11:TQE12"/>
    <mergeCell ref="TPT11:TPT12"/>
    <mergeCell ref="TPU11:TPU12"/>
    <mergeCell ref="TPV11:TPV12"/>
    <mergeCell ref="TPW11:TPW12"/>
    <mergeCell ref="TPX11:TPX12"/>
    <mergeCell ref="TPY11:TPY12"/>
    <mergeCell ref="TPN11:TPN12"/>
    <mergeCell ref="TPO11:TPO12"/>
    <mergeCell ref="TPP11:TPP12"/>
    <mergeCell ref="TPQ11:TPQ12"/>
    <mergeCell ref="TPR11:TPR12"/>
    <mergeCell ref="TPS11:TPS12"/>
    <mergeCell ref="TPH11:TPH12"/>
    <mergeCell ref="TPI11:TPI12"/>
    <mergeCell ref="TPJ11:TPJ12"/>
    <mergeCell ref="TPK11:TPK12"/>
    <mergeCell ref="TPL11:TPL12"/>
    <mergeCell ref="TPM11:TPM12"/>
    <mergeCell ref="TPB11:TPB12"/>
    <mergeCell ref="TPC11:TPC12"/>
    <mergeCell ref="TPD11:TPD12"/>
    <mergeCell ref="TPE11:TPE12"/>
    <mergeCell ref="TPF11:TPF12"/>
    <mergeCell ref="TPG11:TPG12"/>
    <mergeCell ref="TOV11:TOV12"/>
    <mergeCell ref="TOW11:TOW12"/>
    <mergeCell ref="TOX11:TOX12"/>
    <mergeCell ref="TOY11:TOY12"/>
    <mergeCell ref="TOZ11:TOZ12"/>
    <mergeCell ref="TPA11:TPA12"/>
    <mergeCell ref="TOP11:TOP12"/>
    <mergeCell ref="TOQ11:TOQ12"/>
    <mergeCell ref="TOR11:TOR12"/>
    <mergeCell ref="TOS11:TOS12"/>
    <mergeCell ref="TOT11:TOT12"/>
    <mergeCell ref="TOU11:TOU12"/>
    <mergeCell ref="TOJ11:TOJ12"/>
    <mergeCell ref="TOK11:TOK12"/>
    <mergeCell ref="TOL11:TOL12"/>
    <mergeCell ref="TOM11:TOM12"/>
    <mergeCell ref="TON11:TON12"/>
    <mergeCell ref="TOO11:TOO12"/>
    <mergeCell ref="TOD11:TOD12"/>
    <mergeCell ref="TOE11:TOE12"/>
    <mergeCell ref="TOF11:TOF12"/>
    <mergeCell ref="TOG11:TOG12"/>
    <mergeCell ref="TOH11:TOH12"/>
    <mergeCell ref="TOI11:TOI12"/>
    <mergeCell ref="TNX11:TNX12"/>
    <mergeCell ref="TNY11:TNY12"/>
    <mergeCell ref="TNZ11:TNZ12"/>
    <mergeCell ref="TOA11:TOA12"/>
    <mergeCell ref="TOB11:TOB12"/>
    <mergeCell ref="TOC11:TOC12"/>
    <mergeCell ref="TNR11:TNR12"/>
    <mergeCell ref="TNS11:TNS12"/>
    <mergeCell ref="TNT11:TNT12"/>
    <mergeCell ref="TNU11:TNU12"/>
    <mergeCell ref="TNV11:TNV12"/>
    <mergeCell ref="TNW11:TNW12"/>
    <mergeCell ref="TNL11:TNL12"/>
    <mergeCell ref="TNM11:TNM12"/>
    <mergeCell ref="TNN11:TNN12"/>
    <mergeCell ref="TNO11:TNO12"/>
    <mergeCell ref="TNP11:TNP12"/>
    <mergeCell ref="TNQ11:TNQ12"/>
    <mergeCell ref="TNF11:TNF12"/>
    <mergeCell ref="TNG11:TNG12"/>
    <mergeCell ref="TNH11:TNH12"/>
    <mergeCell ref="TNI11:TNI12"/>
    <mergeCell ref="TNJ11:TNJ12"/>
    <mergeCell ref="TNK11:TNK12"/>
    <mergeCell ref="TMZ11:TMZ12"/>
    <mergeCell ref="TNA11:TNA12"/>
    <mergeCell ref="TNB11:TNB12"/>
    <mergeCell ref="TNC11:TNC12"/>
    <mergeCell ref="TND11:TND12"/>
    <mergeCell ref="TNE11:TNE12"/>
    <mergeCell ref="TMT11:TMT12"/>
    <mergeCell ref="TMU11:TMU12"/>
    <mergeCell ref="TMV11:TMV12"/>
    <mergeCell ref="TMW11:TMW12"/>
    <mergeCell ref="TMX11:TMX12"/>
    <mergeCell ref="TMY11:TMY12"/>
    <mergeCell ref="TMN11:TMN12"/>
    <mergeCell ref="TMO11:TMO12"/>
    <mergeCell ref="TMP11:TMP12"/>
    <mergeCell ref="TMQ11:TMQ12"/>
    <mergeCell ref="TMR11:TMR12"/>
    <mergeCell ref="TMS11:TMS12"/>
    <mergeCell ref="TMH11:TMH12"/>
    <mergeCell ref="TMI11:TMI12"/>
    <mergeCell ref="TMJ11:TMJ12"/>
    <mergeCell ref="TMK11:TMK12"/>
    <mergeCell ref="TML11:TML12"/>
    <mergeCell ref="TMM11:TMM12"/>
    <mergeCell ref="TMB11:TMB12"/>
    <mergeCell ref="TMC11:TMC12"/>
    <mergeCell ref="TMD11:TMD12"/>
    <mergeCell ref="TME11:TME12"/>
    <mergeCell ref="TMF11:TMF12"/>
    <mergeCell ref="TMG11:TMG12"/>
    <mergeCell ref="TLV11:TLV12"/>
    <mergeCell ref="TLW11:TLW12"/>
    <mergeCell ref="TLX11:TLX12"/>
    <mergeCell ref="TLY11:TLY12"/>
    <mergeCell ref="TLZ11:TLZ12"/>
    <mergeCell ref="TMA11:TMA12"/>
    <mergeCell ref="TLP11:TLP12"/>
    <mergeCell ref="TLQ11:TLQ12"/>
    <mergeCell ref="TLR11:TLR12"/>
    <mergeCell ref="TLS11:TLS12"/>
    <mergeCell ref="TLT11:TLT12"/>
    <mergeCell ref="TLU11:TLU12"/>
    <mergeCell ref="TLJ11:TLJ12"/>
    <mergeCell ref="TLK11:TLK12"/>
    <mergeCell ref="TLL11:TLL12"/>
    <mergeCell ref="TLM11:TLM12"/>
    <mergeCell ref="TLN11:TLN12"/>
    <mergeCell ref="TLO11:TLO12"/>
    <mergeCell ref="TLD11:TLD12"/>
    <mergeCell ref="TLE11:TLE12"/>
    <mergeCell ref="TLF11:TLF12"/>
    <mergeCell ref="TLG11:TLG12"/>
    <mergeCell ref="TLH11:TLH12"/>
    <mergeCell ref="TLI11:TLI12"/>
    <mergeCell ref="TKX11:TKX12"/>
    <mergeCell ref="TKY11:TKY12"/>
    <mergeCell ref="TKZ11:TKZ12"/>
    <mergeCell ref="TLA11:TLA12"/>
    <mergeCell ref="TLB11:TLB12"/>
    <mergeCell ref="TLC11:TLC12"/>
    <mergeCell ref="TKR11:TKR12"/>
    <mergeCell ref="TKS11:TKS12"/>
    <mergeCell ref="TKT11:TKT12"/>
    <mergeCell ref="TKU11:TKU12"/>
    <mergeCell ref="TKV11:TKV12"/>
    <mergeCell ref="TKW11:TKW12"/>
    <mergeCell ref="TKL11:TKL12"/>
    <mergeCell ref="TKM11:TKM12"/>
    <mergeCell ref="TKN11:TKN12"/>
    <mergeCell ref="TKO11:TKO12"/>
    <mergeCell ref="TKP11:TKP12"/>
    <mergeCell ref="TKQ11:TKQ12"/>
    <mergeCell ref="TKF11:TKF12"/>
    <mergeCell ref="TKG11:TKG12"/>
    <mergeCell ref="TKH11:TKH12"/>
    <mergeCell ref="TKI11:TKI12"/>
    <mergeCell ref="TKJ11:TKJ12"/>
    <mergeCell ref="TKK11:TKK12"/>
    <mergeCell ref="TJZ11:TJZ12"/>
    <mergeCell ref="TKA11:TKA12"/>
    <mergeCell ref="TKB11:TKB12"/>
    <mergeCell ref="TKC11:TKC12"/>
    <mergeCell ref="TKD11:TKD12"/>
    <mergeCell ref="TKE11:TKE12"/>
    <mergeCell ref="TJT11:TJT12"/>
    <mergeCell ref="TJU11:TJU12"/>
    <mergeCell ref="TJV11:TJV12"/>
    <mergeCell ref="TJW11:TJW12"/>
    <mergeCell ref="TJX11:TJX12"/>
    <mergeCell ref="TJY11:TJY12"/>
    <mergeCell ref="TJN11:TJN12"/>
    <mergeCell ref="TJO11:TJO12"/>
    <mergeCell ref="TJP11:TJP12"/>
    <mergeCell ref="TJQ11:TJQ12"/>
    <mergeCell ref="TJR11:TJR12"/>
    <mergeCell ref="TJS11:TJS12"/>
    <mergeCell ref="TJH11:TJH12"/>
    <mergeCell ref="TJI11:TJI12"/>
    <mergeCell ref="TJJ11:TJJ12"/>
    <mergeCell ref="TJK11:TJK12"/>
    <mergeCell ref="TJL11:TJL12"/>
    <mergeCell ref="TJM11:TJM12"/>
    <mergeCell ref="TJB11:TJB12"/>
    <mergeCell ref="TJC11:TJC12"/>
    <mergeCell ref="TJD11:TJD12"/>
    <mergeCell ref="TJE11:TJE12"/>
    <mergeCell ref="TJF11:TJF12"/>
    <mergeCell ref="TJG11:TJG12"/>
    <mergeCell ref="TIV11:TIV12"/>
    <mergeCell ref="TIW11:TIW12"/>
    <mergeCell ref="TIX11:TIX12"/>
    <mergeCell ref="TIY11:TIY12"/>
    <mergeCell ref="TIZ11:TIZ12"/>
    <mergeCell ref="TJA11:TJA12"/>
    <mergeCell ref="TIP11:TIP12"/>
    <mergeCell ref="TIQ11:TIQ12"/>
    <mergeCell ref="TIR11:TIR12"/>
    <mergeCell ref="TIS11:TIS12"/>
    <mergeCell ref="TIT11:TIT12"/>
    <mergeCell ref="TIU11:TIU12"/>
    <mergeCell ref="TIJ11:TIJ12"/>
    <mergeCell ref="TIK11:TIK12"/>
    <mergeCell ref="TIL11:TIL12"/>
    <mergeCell ref="TIM11:TIM12"/>
    <mergeCell ref="TIN11:TIN12"/>
    <mergeCell ref="TIO11:TIO12"/>
    <mergeCell ref="TID11:TID12"/>
    <mergeCell ref="TIE11:TIE12"/>
    <mergeCell ref="TIF11:TIF12"/>
    <mergeCell ref="TIG11:TIG12"/>
    <mergeCell ref="TIH11:TIH12"/>
    <mergeCell ref="TII11:TII12"/>
    <mergeCell ref="THX11:THX12"/>
    <mergeCell ref="THY11:THY12"/>
    <mergeCell ref="THZ11:THZ12"/>
    <mergeCell ref="TIA11:TIA12"/>
    <mergeCell ref="TIB11:TIB12"/>
    <mergeCell ref="TIC11:TIC12"/>
    <mergeCell ref="THR11:THR12"/>
    <mergeCell ref="THS11:THS12"/>
    <mergeCell ref="THT11:THT12"/>
    <mergeCell ref="THU11:THU12"/>
    <mergeCell ref="THV11:THV12"/>
    <mergeCell ref="THW11:THW12"/>
    <mergeCell ref="THL11:THL12"/>
    <mergeCell ref="THM11:THM12"/>
    <mergeCell ref="THN11:THN12"/>
    <mergeCell ref="THO11:THO12"/>
    <mergeCell ref="THP11:THP12"/>
    <mergeCell ref="THQ11:THQ12"/>
    <mergeCell ref="THF11:THF12"/>
    <mergeCell ref="THG11:THG12"/>
    <mergeCell ref="THH11:THH12"/>
    <mergeCell ref="THI11:THI12"/>
    <mergeCell ref="THJ11:THJ12"/>
    <mergeCell ref="THK11:THK12"/>
    <mergeCell ref="TGZ11:TGZ12"/>
    <mergeCell ref="THA11:THA12"/>
    <mergeCell ref="THB11:THB12"/>
    <mergeCell ref="THC11:THC12"/>
    <mergeCell ref="THD11:THD12"/>
    <mergeCell ref="THE11:THE12"/>
    <mergeCell ref="TGT11:TGT12"/>
    <mergeCell ref="TGU11:TGU12"/>
    <mergeCell ref="TGV11:TGV12"/>
    <mergeCell ref="TGW11:TGW12"/>
    <mergeCell ref="TGX11:TGX12"/>
    <mergeCell ref="TGY11:TGY12"/>
    <mergeCell ref="TGN11:TGN12"/>
    <mergeCell ref="TGO11:TGO12"/>
    <mergeCell ref="TGP11:TGP12"/>
    <mergeCell ref="TGQ11:TGQ12"/>
    <mergeCell ref="TGR11:TGR12"/>
    <mergeCell ref="TGS11:TGS12"/>
    <mergeCell ref="TGH11:TGH12"/>
    <mergeCell ref="TGI11:TGI12"/>
    <mergeCell ref="TGJ11:TGJ12"/>
    <mergeCell ref="TGK11:TGK12"/>
    <mergeCell ref="TGL11:TGL12"/>
    <mergeCell ref="TGM11:TGM12"/>
    <mergeCell ref="TGB11:TGB12"/>
    <mergeCell ref="TGC11:TGC12"/>
    <mergeCell ref="TGD11:TGD12"/>
    <mergeCell ref="TGE11:TGE12"/>
    <mergeCell ref="TGF11:TGF12"/>
    <mergeCell ref="TGG11:TGG12"/>
    <mergeCell ref="TFV11:TFV12"/>
    <mergeCell ref="TFW11:TFW12"/>
    <mergeCell ref="TFX11:TFX12"/>
    <mergeCell ref="TFY11:TFY12"/>
    <mergeCell ref="TFZ11:TFZ12"/>
    <mergeCell ref="TGA11:TGA12"/>
    <mergeCell ref="TFP11:TFP12"/>
    <mergeCell ref="TFQ11:TFQ12"/>
    <mergeCell ref="TFR11:TFR12"/>
    <mergeCell ref="TFS11:TFS12"/>
    <mergeCell ref="TFT11:TFT12"/>
    <mergeCell ref="TFU11:TFU12"/>
    <mergeCell ref="TFJ11:TFJ12"/>
    <mergeCell ref="TFK11:TFK12"/>
    <mergeCell ref="TFL11:TFL12"/>
    <mergeCell ref="TFM11:TFM12"/>
    <mergeCell ref="TFN11:TFN12"/>
    <mergeCell ref="TFO11:TFO12"/>
    <mergeCell ref="TFD11:TFD12"/>
    <mergeCell ref="TFE11:TFE12"/>
    <mergeCell ref="TFF11:TFF12"/>
    <mergeCell ref="TFG11:TFG12"/>
    <mergeCell ref="TFH11:TFH12"/>
    <mergeCell ref="TFI11:TFI12"/>
    <mergeCell ref="TEX11:TEX12"/>
    <mergeCell ref="TEY11:TEY12"/>
    <mergeCell ref="TEZ11:TEZ12"/>
    <mergeCell ref="TFA11:TFA12"/>
    <mergeCell ref="TFB11:TFB12"/>
    <mergeCell ref="TFC11:TFC12"/>
    <mergeCell ref="TER11:TER12"/>
    <mergeCell ref="TES11:TES12"/>
    <mergeCell ref="TET11:TET12"/>
    <mergeCell ref="TEU11:TEU12"/>
    <mergeCell ref="TEV11:TEV12"/>
    <mergeCell ref="TEW11:TEW12"/>
    <mergeCell ref="TEL11:TEL12"/>
    <mergeCell ref="TEM11:TEM12"/>
    <mergeCell ref="TEN11:TEN12"/>
    <mergeCell ref="TEO11:TEO12"/>
    <mergeCell ref="TEP11:TEP12"/>
    <mergeCell ref="TEQ11:TEQ12"/>
    <mergeCell ref="TEF11:TEF12"/>
    <mergeCell ref="TEG11:TEG12"/>
    <mergeCell ref="TEH11:TEH12"/>
    <mergeCell ref="TEI11:TEI12"/>
    <mergeCell ref="TEJ11:TEJ12"/>
    <mergeCell ref="TEK11:TEK12"/>
    <mergeCell ref="TDZ11:TDZ12"/>
    <mergeCell ref="TEA11:TEA12"/>
    <mergeCell ref="TEB11:TEB12"/>
    <mergeCell ref="TEC11:TEC12"/>
    <mergeCell ref="TED11:TED12"/>
    <mergeCell ref="TEE11:TEE12"/>
    <mergeCell ref="TDT11:TDT12"/>
    <mergeCell ref="TDU11:TDU12"/>
    <mergeCell ref="TDV11:TDV12"/>
    <mergeCell ref="TDW11:TDW12"/>
    <mergeCell ref="TDX11:TDX12"/>
    <mergeCell ref="TDY11:TDY12"/>
    <mergeCell ref="TDN11:TDN12"/>
    <mergeCell ref="TDO11:TDO12"/>
    <mergeCell ref="TDP11:TDP12"/>
    <mergeCell ref="TDQ11:TDQ12"/>
    <mergeCell ref="TDR11:TDR12"/>
    <mergeCell ref="TDS11:TDS12"/>
    <mergeCell ref="TDH11:TDH12"/>
    <mergeCell ref="TDI11:TDI12"/>
    <mergeCell ref="TDJ11:TDJ12"/>
    <mergeCell ref="TDK11:TDK12"/>
    <mergeCell ref="TDL11:TDL12"/>
    <mergeCell ref="TDM11:TDM12"/>
    <mergeCell ref="TDB11:TDB12"/>
    <mergeCell ref="TDC11:TDC12"/>
    <mergeCell ref="TDD11:TDD12"/>
    <mergeCell ref="TDE11:TDE12"/>
    <mergeCell ref="TDF11:TDF12"/>
    <mergeCell ref="TDG11:TDG12"/>
    <mergeCell ref="TCV11:TCV12"/>
    <mergeCell ref="TCW11:TCW12"/>
    <mergeCell ref="TCX11:TCX12"/>
    <mergeCell ref="TCY11:TCY12"/>
    <mergeCell ref="TCZ11:TCZ12"/>
    <mergeCell ref="TDA11:TDA12"/>
    <mergeCell ref="TCP11:TCP12"/>
    <mergeCell ref="TCQ11:TCQ12"/>
    <mergeCell ref="TCR11:TCR12"/>
    <mergeCell ref="TCS11:TCS12"/>
    <mergeCell ref="TCT11:TCT12"/>
    <mergeCell ref="TCU11:TCU12"/>
    <mergeCell ref="TCJ11:TCJ12"/>
    <mergeCell ref="TCK11:TCK12"/>
    <mergeCell ref="TCL11:TCL12"/>
    <mergeCell ref="TCM11:TCM12"/>
    <mergeCell ref="TCN11:TCN12"/>
    <mergeCell ref="TCO11:TCO12"/>
    <mergeCell ref="TCD11:TCD12"/>
    <mergeCell ref="TCE11:TCE12"/>
    <mergeCell ref="TCF11:TCF12"/>
    <mergeCell ref="TCG11:TCG12"/>
    <mergeCell ref="TCH11:TCH12"/>
    <mergeCell ref="TCI11:TCI12"/>
    <mergeCell ref="TBX11:TBX12"/>
    <mergeCell ref="TBY11:TBY12"/>
    <mergeCell ref="TBZ11:TBZ12"/>
    <mergeCell ref="TCA11:TCA12"/>
    <mergeCell ref="TCB11:TCB12"/>
    <mergeCell ref="TCC11:TCC12"/>
    <mergeCell ref="TBR11:TBR12"/>
    <mergeCell ref="TBS11:TBS12"/>
    <mergeCell ref="TBT11:TBT12"/>
    <mergeCell ref="TBU11:TBU12"/>
    <mergeCell ref="TBV11:TBV12"/>
    <mergeCell ref="TBW11:TBW12"/>
    <mergeCell ref="TBL11:TBL12"/>
    <mergeCell ref="TBM11:TBM12"/>
    <mergeCell ref="TBN11:TBN12"/>
    <mergeCell ref="TBO11:TBO12"/>
    <mergeCell ref="TBP11:TBP12"/>
    <mergeCell ref="TBQ11:TBQ12"/>
    <mergeCell ref="TBF11:TBF12"/>
    <mergeCell ref="TBG11:TBG12"/>
    <mergeCell ref="TBH11:TBH12"/>
    <mergeCell ref="TBI11:TBI12"/>
    <mergeCell ref="TBJ11:TBJ12"/>
    <mergeCell ref="TBK11:TBK12"/>
    <mergeCell ref="TAZ11:TAZ12"/>
    <mergeCell ref="TBA11:TBA12"/>
    <mergeCell ref="TBB11:TBB12"/>
    <mergeCell ref="TBC11:TBC12"/>
    <mergeCell ref="TBD11:TBD12"/>
    <mergeCell ref="TBE11:TBE12"/>
    <mergeCell ref="TAT11:TAT12"/>
    <mergeCell ref="TAU11:TAU12"/>
    <mergeCell ref="TAV11:TAV12"/>
    <mergeCell ref="TAW11:TAW12"/>
    <mergeCell ref="TAX11:TAX12"/>
    <mergeCell ref="TAY11:TAY12"/>
    <mergeCell ref="TAN11:TAN12"/>
    <mergeCell ref="TAO11:TAO12"/>
    <mergeCell ref="TAP11:TAP12"/>
    <mergeCell ref="TAQ11:TAQ12"/>
    <mergeCell ref="TAR11:TAR12"/>
    <mergeCell ref="TAS11:TAS12"/>
    <mergeCell ref="TAH11:TAH12"/>
    <mergeCell ref="TAI11:TAI12"/>
    <mergeCell ref="TAJ11:TAJ12"/>
    <mergeCell ref="TAK11:TAK12"/>
    <mergeCell ref="TAL11:TAL12"/>
    <mergeCell ref="TAM11:TAM12"/>
    <mergeCell ref="TAB11:TAB12"/>
    <mergeCell ref="TAC11:TAC12"/>
    <mergeCell ref="TAD11:TAD12"/>
    <mergeCell ref="TAE11:TAE12"/>
    <mergeCell ref="TAF11:TAF12"/>
    <mergeCell ref="TAG11:TAG12"/>
    <mergeCell ref="SZV11:SZV12"/>
    <mergeCell ref="SZW11:SZW12"/>
    <mergeCell ref="SZX11:SZX12"/>
    <mergeCell ref="SZY11:SZY12"/>
    <mergeCell ref="SZZ11:SZZ12"/>
    <mergeCell ref="TAA11:TAA12"/>
    <mergeCell ref="SZP11:SZP12"/>
    <mergeCell ref="SZQ11:SZQ12"/>
    <mergeCell ref="SZR11:SZR12"/>
    <mergeCell ref="SZS11:SZS12"/>
    <mergeCell ref="SZT11:SZT12"/>
    <mergeCell ref="SZU11:SZU12"/>
    <mergeCell ref="SZJ11:SZJ12"/>
    <mergeCell ref="SZK11:SZK12"/>
    <mergeCell ref="SZL11:SZL12"/>
    <mergeCell ref="SZM11:SZM12"/>
    <mergeCell ref="SZN11:SZN12"/>
    <mergeCell ref="SZO11:SZO12"/>
    <mergeCell ref="SZD11:SZD12"/>
    <mergeCell ref="SZE11:SZE12"/>
    <mergeCell ref="SZF11:SZF12"/>
    <mergeCell ref="SZG11:SZG12"/>
    <mergeCell ref="SZH11:SZH12"/>
    <mergeCell ref="SZI11:SZI12"/>
    <mergeCell ref="SYX11:SYX12"/>
    <mergeCell ref="SYY11:SYY12"/>
    <mergeCell ref="SYZ11:SYZ12"/>
    <mergeCell ref="SZA11:SZA12"/>
    <mergeCell ref="SZB11:SZB12"/>
    <mergeCell ref="SZC11:SZC12"/>
    <mergeCell ref="SYR11:SYR12"/>
    <mergeCell ref="SYS11:SYS12"/>
    <mergeCell ref="SYT11:SYT12"/>
    <mergeCell ref="SYU11:SYU12"/>
    <mergeCell ref="SYV11:SYV12"/>
    <mergeCell ref="SYW11:SYW12"/>
    <mergeCell ref="SYL11:SYL12"/>
    <mergeCell ref="SYM11:SYM12"/>
    <mergeCell ref="SYN11:SYN12"/>
    <mergeCell ref="SYO11:SYO12"/>
    <mergeCell ref="SYP11:SYP12"/>
    <mergeCell ref="SYQ11:SYQ12"/>
    <mergeCell ref="SYF11:SYF12"/>
    <mergeCell ref="SYG11:SYG12"/>
    <mergeCell ref="SYH11:SYH12"/>
    <mergeCell ref="SYI11:SYI12"/>
    <mergeCell ref="SYJ11:SYJ12"/>
    <mergeCell ref="SYK11:SYK12"/>
    <mergeCell ref="SXZ11:SXZ12"/>
    <mergeCell ref="SYA11:SYA12"/>
    <mergeCell ref="SYB11:SYB12"/>
    <mergeCell ref="SYC11:SYC12"/>
    <mergeCell ref="SYD11:SYD12"/>
    <mergeCell ref="SYE11:SYE12"/>
    <mergeCell ref="SXT11:SXT12"/>
    <mergeCell ref="SXU11:SXU12"/>
    <mergeCell ref="SXV11:SXV12"/>
    <mergeCell ref="SXW11:SXW12"/>
    <mergeCell ref="SXX11:SXX12"/>
    <mergeCell ref="SXY11:SXY12"/>
    <mergeCell ref="SXN11:SXN12"/>
    <mergeCell ref="SXO11:SXO12"/>
    <mergeCell ref="SXP11:SXP12"/>
    <mergeCell ref="SXQ11:SXQ12"/>
    <mergeCell ref="SXR11:SXR12"/>
    <mergeCell ref="SXS11:SXS12"/>
    <mergeCell ref="SXH11:SXH12"/>
    <mergeCell ref="SXI11:SXI12"/>
    <mergeCell ref="SXJ11:SXJ12"/>
    <mergeCell ref="SXK11:SXK12"/>
    <mergeCell ref="SXL11:SXL12"/>
    <mergeCell ref="SXM11:SXM12"/>
    <mergeCell ref="SXB11:SXB12"/>
    <mergeCell ref="SXC11:SXC12"/>
    <mergeCell ref="SXD11:SXD12"/>
    <mergeCell ref="SXE11:SXE12"/>
    <mergeCell ref="SXF11:SXF12"/>
    <mergeCell ref="SXG11:SXG12"/>
    <mergeCell ref="SWV11:SWV12"/>
    <mergeCell ref="SWW11:SWW12"/>
    <mergeCell ref="SWX11:SWX12"/>
    <mergeCell ref="SWY11:SWY12"/>
    <mergeCell ref="SWZ11:SWZ12"/>
    <mergeCell ref="SXA11:SXA12"/>
    <mergeCell ref="SWP11:SWP12"/>
    <mergeCell ref="SWQ11:SWQ12"/>
    <mergeCell ref="SWR11:SWR12"/>
    <mergeCell ref="SWS11:SWS12"/>
    <mergeCell ref="SWT11:SWT12"/>
    <mergeCell ref="SWU11:SWU12"/>
    <mergeCell ref="SWJ11:SWJ12"/>
    <mergeCell ref="SWK11:SWK12"/>
    <mergeCell ref="SWL11:SWL12"/>
    <mergeCell ref="SWM11:SWM12"/>
    <mergeCell ref="SWN11:SWN12"/>
    <mergeCell ref="SWO11:SWO12"/>
    <mergeCell ref="SWD11:SWD12"/>
    <mergeCell ref="SWE11:SWE12"/>
    <mergeCell ref="SWF11:SWF12"/>
    <mergeCell ref="SWG11:SWG12"/>
    <mergeCell ref="SWH11:SWH12"/>
    <mergeCell ref="SWI11:SWI12"/>
    <mergeCell ref="SVX11:SVX12"/>
    <mergeCell ref="SVY11:SVY12"/>
    <mergeCell ref="SVZ11:SVZ12"/>
    <mergeCell ref="SWA11:SWA12"/>
    <mergeCell ref="SWB11:SWB12"/>
    <mergeCell ref="SWC11:SWC12"/>
    <mergeCell ref="SVR11:SVR12"/>
    <mergeCell ref="SVS11:SVS12"/>
    <mergeCell ref="SVT11:SVT12"/>
    <mergeCell ref="SVU11:SVU12"/>
    <mergeCell ref="SVV11:SVV12"/>
    <mergeCell ref="SVW11:SVW12"/>
    <mergeCell ref="SVL11:SVL12"/>
    <mergeCell ref="SVM11:SVM12"/>
    <mergeCell ref="SVN11:SVN12"/>
    <mergeCell ref="SVO11:SVO12"/>
    <mergeCell ref="SVP11:SVP12"/>
    <mergeCell ref="SVQ11:SVQ12"/>
    <mergeCell ref="SVF11:SVF12"/>
    <mergeCell ref="SVG11:SVG12"/>
    <mergeCell ref="SVH11:SVH12"/>
    <mergeCell ref="SVI11:SVI12"/>
    <mergeCell ref="SVJ11:SVJ12"/>
    <mergeCell ref="SVK11:SVK12"/>
    <mergeCell ref="SUZ11:SUZ12"/>
    <mergeCell ref="SVA11:SVA12"/>
    <mergeCell ref="SVB11:SVB12"/>
    <mergeCell ref="SVC11:SVC12"/>
    <mergeCell ref="SVD11:SVD12"/>
    <mergeCell ref="SVE11:SVE12"/>
    <mergeCell ref="SUT11:SUT12"/>
    <mergeCell ref="SUU11:SUU12"/>
    <mergeCell ref="SUV11:SUV12"/>
    <mergeCell ref="SUW11:SUW12"/>
    <mergeCell ref="SUX11:SUX12"/>
    <mergeCell ref="SUY11:SUY12"/>
    <mergeCell ref="SUN11:SUN12"/>
    <mergeCell ref="SUO11:SUO12"/>
    <mergeCell ref="SUP11:SUP12"/>
    <mergeCell ref="SUQ11:SUQ12"/>
    <mergeCell ref="SUR11:SUR12"/>
    <mergeCell ref="SUS11:SUS12"/>
    <mergeCell ref="SUH11:SUH12"/>
    <mergeCell ref="SUI11:SUI12"/>
    <mergeCell ref="SUJ11:SUJ12"/>
    <mergeCell ref="SUK11:SUK12"/>
    <mergeCell ref="SUL11:SUL12"/>
    <mergeCell ref="SUM11:SUM12"/>
    <mergeCell ref="SUB11:SUB12"/>
    <mergeCell ref="SUC11:SUC12"/>
    <mergeCell ref="SUD11:SUD12"/>
    <mergeCell ref="SUE11:SUE12"/>
    <mergeCell ref="SUF11:SUF12"/>
    <mergeCell ref="SUG11:SUG12"/>
    <mergeCell ref="STV11:STV12"/>
    <mergeCell ref="STW11:STW12"/>
    <mergeCell ref="STX11:STX12"/>
    <mergeCell ref="STY11:STY12"/>
    <mergeCell ref="STZ11:STZ12"/>
    <mergeCell ref="SUA11:SUA12"/>
    <mergeCell ref="STP11:STP12"/>
    <mergeCell ref="STQ11:STQ12"/>
    <mergeCell ref="STR11:STR12"/>
    <mergeCell ref="STS11:STS12"/>
    <mergeCell ref="STT11:STT12"/>
    <mergeCell ref="STU11:STU12"/>
    <mergeCell ref="STJ11:STJ12"/>
    <mergeCell ref="STK11:STK12"/>
    <mergeCell ref="STL11:STL12"/>
    <mergeCell ref="STM11:STM12"/>
    <mergeCell ref="STN11:STN12"/>
    <mergeCell ref="STO11:STO12"/>
    <mergeCell ref="STD11:STD12"/>
    <mergeCell ref="STE11:STE12"/>
    <mergeCell ref="STF11:STF12"/>
    <mergeCell ref="STG11:STG12"/>
    <mergeCell ref="STH11:STH12"/>
    <mergeCell ref="STI11:STI12"/>
    <mergeCell ref="SSX11:SSX12"/>
    <mergeCell ref="SSY11:SSY12"/>
    <mergeCell ref="SSZ11:SSZ12"/>
    <mergeCell ref="STA11:STA12"/>
    <mergeCell ref="STB11:STB12"/>
    <mergeCell ref="STC11:STC12"/>
    <mergeCell ref="SSR11:SSR12"/>
    <mergeCell ref="SSS11:SSS12"/>
    <mergeCell ref="SST11:SST12"/>
    <mergeCell ref="SSU11:SSU12"/>
    <mergeCell ref="SSV11:SSV12"/>
    <mergeCell ref="SSW11:SSW12"/>
    <mergeCell ref="SSL11:SSL12"/>
    <mergeCell ref="SSM11:SSM12"/>
    <mergeCell ref="SSN11:SSN12"/>
    <mergeCell ref="SSO11:SSO12"/>
    <mergeCell ref="SSP11:SSP12"/>
    <mergeCell ref="SSQ11:SSQ12"/>
    <mergeCell ref="SSF11:SSF12"/>
    <mergeCell ref="SSG11:SSG12"/>
    <mergeCell ref="SSH11:SSH12"/>
    <mergeCell ref="SSI11:SSI12"/>
    <mergeCell ref="SSJ11:SSJ12"/>
    <mergeCell ref="SSK11:SSK12"/>
    <mergeCell ref="SRZ11:SRZ12"/>
    <mergeCell ref="SSA11:SSA12"/>
    <mergeCell ref="SSB11:SSB12"/>
    <mergeCell ref="SSC11:SSC12"/>
    <mergeCell ref="SSD11:SSD12"/>
    <mergeCell ref="SSE11:SSE12"/>
    <mergeCell ref="SRT11:SRT12"/>
    <mergeCell ref="SRU11:SRU12"/>
    <mergeCell ref="SRV11:SRV12"/>
    <mergeCell ref="SRW11:SRW12"/>
    <mergeCell ref="SRX11:SRX12"/>
    <mergeCell ref="SRY11:SRY12"/>
    <mergeCell ref="SRN11:SRN12"/>
    <mergeCell ref="SRO11:SRO12"/>
    <mergeCell ref="SRP11:SRP12"/>
    <mergeCell ref="SRQ11:SRQ12"/>
    <mergeCell ref="SRR11:SRR12"/>
    <mergeCell ref="SRS11:SRS12"/>
    <mergeCell ref="SRH11:SRH12"/>
    <mergeCell ref="SRI11:SRI12"/>
    <mergeCell ref="SRJ11:SRJ12"/>
    <mergeCell ref="SRK11:SRK12"/>
    <mergeCell ref="SRL11:SRL12"/>
    <mergeCell ref="SRM11:SRM12"/>
    <mergeCell ref="SRB11:SRB12"/>
    <mergeCell ref="SRC11:SRC12"/>
    <mergeCell ref="SRD11:SRD12"/>
    <mergeCell ref="SRE11:SRE12"/>
    <mergeCell ref="SRF11:SRF12"/>
    <mergeCell ref="SRG11:SRG12"/>
    <mergeCell ref="SQV11:SQV12"/>
    <mergeCell ref="SQW11:SQW12"/>
    <mergeCell ref="SQX11:SQX12"/>
    <mergeCell ref="SQY11:SQY12"/>
    <mergeCell ref="SQZ11:SQZ12"/>
    <mergeCell ref="SRA11:SRA12"/>
    <mergeCell ref="SQP11:SQP12"/>
    <mergeCell ref="SQQ11:SQQ12"/>
    <mergeCell ref="SQR11:SQR12"/>
    <mergeCell ref="SQS11:SQS12"/>
    <mergeCell ref="SQT11:SQT12"/>
    <mergeCell ref="SQU11:SQU12"/>
    <mergeCell ref="SQJ11:SQJ12"/>
    <mergeCell ref="SQK11:SQK12"/>
    <mergeCell ref="SQL11:SQL12"/>
    <mergeCell ref="SQM11:SQM12"/>
    <mergeCell ref="SQN11:SQN12"/>
    <mergeCell ref="SQO11:SQO12"/>
    <mergeCell ref="SQD11:SQD12"/>
    <mergeCell ref="SQE11:SQE12"/>
    <mergeCell ref="SQF11:SQF12"/>
    <mergeCell ref="SQG11:SQG12"/>
    <mergeCell ref="SQH11:SQH12"/>
    <mergeCell ref="SQI11:SQI12"/>
    <mergeCell ref="SPX11:SPX12"/>
    <mergeCell ref="SPY11:SPY12"/>
    <mergeCell ref="SPZ11:SPZ12"/>
    <mergeCell ref="SQA11:SQA12"/>
    <mergeCell ref="SQB11:SQB12"/>
    <mergeCell ref="SQC11:SQC12"/>
    <mergeCell ref="SPR11:SPR12"/>
    <mergeCell ref="SPS11:SPS12"/>
    <mergeCell ref="SPT11:SPT12"/>
    <mergeCell ref="SPU11:SPU12"/>
    <mergeCell ref="SPV11:SPV12"/>
    <mergeCell ref="SPW11:SPW12"/>
    <mergeCell ref="SPL11:SPL12"/>
    <mergeCell ref="SPM11:SPM12"/>
    <mergeCell ref="SPN11:SPN12"/>
    <mergeCell ref="SPO11:SPO12"/>
    <mergeCell ref="SPP11:SPP12"/>
    <mergeCell ref="SPQ11:SPQ12"/>
    <mergeCell ref="SPF11:SPF12"/>
    <mergeCell ref="SPG11:SPG12"/>
    <mergeCell ref="SPH11:SPH12"/>
    <mergeCell ref="SPI11:SPI12"/>
    <mergeCell ref="SPJ11:SPJ12"/>
    <mergeCell ref="SPK11:SPK12"/>
    <mergeCell ref="SOZ11:SOZ12"/>
    <mergeCell ref="SPA11:SPA12"/>
    <mergeCell ref="SPB11:SPB12"/>
    <mergeCell ref="SPC11:SPC12"/>
    <mergeCell ref="SPD11:SPD12"/>
    <mergeCell ref="SPE11:SPE12"/>
    <mergeCell ref="SOT11:SOT12"/>
    <mergeCell ref="SOU11:SOU12"/>
    <mergeCell ref="SOV11:SOV12"/>
    <mergeCell ref="SOW11:SOW12"/>
    <mergeCell ref="SOX11:SOX12"/>
    <mergeCell ref="SOY11:SOY12"/>
    <mergeCell ref="SON11:SON12"/>
    <mergeCell ref="SOO11:SOO12"/>
    <mergeCell ref="SOP11:SOP12"/>
    <mergeCell ref="SOQ11:SOQ12"/>
    <mergeCell ref="SOR11:SOR12"/>
    <mergeCell ref="SOS11:SOS12"/>
    <mergeCell ref="SOH11:SOH12"/>
    <mergeCell ref="SOI11:SOI12"/>
    <mergeCell ref="SOJ11:SOJ12"/>
    <mergeCell ref="SOK11:SOK12"/>
    <mergeCell ref="SOL11:SOL12"/>
    <mergeCell ref="SOM11:SOM12"/>
    <mergeCell ref="SOB11:SOB12"/>
    <mergeCell ref="SOC11:SOC12"/>
    <mergeCell ref="SOD11:SOD12"/>
    <mergeCell ref="SOE11:SOE12"/>
    <mergeCell ref="SOF11:SOF12"/>
    <mergeCell ref="SOG11:SOG12"/>
    <mergeCell ref="SNV11:SNV12"/>
    <mergeCell ref="SNW11:SNW12"/>
    <mergeCell ref="SNX11:SNX12"/>
    <mergeCell ref="SNY11:SNY12"/>
    <mergeCell ref="SNZ11:SNZ12"/>
    <mergeCell ref="SOA11:SOA12"/>
    <mergeCell ref="SNP11:SNP12"/>
    <mergeCell ref="SNQ11:SNQ12"/>
    <mergeCell ref="SNR11:SNR12"/>
    <mergeCell ref="SNS11:SNS12"/>
    <mergeCell ref="SNT11:SNT12"/>
    <mergeCell ref="SNU11:SNU12"/>
    <mergeCell ref="SNJ11:SNJ12"/>
    <mergeCell ref="SNK11:SNK12"/>
    <mergeCell ref="SNL11:SNL12"/>
    <mergeCell ref="SNM11:SNM12"/>
    <mergeCell ref="SNN11:SNN12"/>
    <mergeCell ref="SNO11:SNO12"/>
    <mergeCell ref="SND11:SND12"/>
    <mergeCell ref="SNE11:SNE12"/>
    <mergeCell ref="SNF11:SNF12"/>
    <mergeCell ref="SNG11:SNG12"/>
    <mergeCell ref="SNH11:SNH12"/>
    <mergeCell ref="SNI11:SNI12"/>
    <mergeCell ref="SMX11:SMX12"/>
    <mergeCell ref="SMY11:SMY12"/>
    <mergeCell ref="SMZ11:SMZ12"/>
    <mergeCell ref="SNA11:SNA12"/>
    <mergeCell ref="SNB11:SNB12"/>
    <mergeCell ref="SNC11:SNC12"/>
    <mergeCell ref="SMR11:SMR12"/>
    <mergeCell ref="SMS11:SMS12"/>
    <mergeCell ref="SMT11:SMT12"/>
    <mergeCell ref="SMU11:SMU12"/>
    <mergeCell ref="SMV11:SMV12"/>
    <mergeCell ref="SMW11:SMW12"/>
    <mergeCell ref="SML11:SML12"/>
    <mergeCell ref="SMM11:SMM12"/>
    <mergeCell ref="SMN11:SMN12"/>
    <mergeCell ref="SMO11:SMO12"/>
    <mergeCell ref="SMP11:SMP12"/>
    <mergeCell ref="SMQ11:SMQ12"/>
    <mergeCell ref="SMF11:SMF12"/>
    <mergeCell ref="SMG11:SMG12"/>
    <mergeCell ref="SMH11:SMH12"/>
    <mergeCell ref="SMI11:SMI12"/>
    <mergeCell ref="SMJ11:SMJ12"/>
    <mergeCell ref="SMK11:SMK12"/>
    <mergeCell ref="SLZ11:SLZ12"/>
    <mergeCell ref="SMA11:SMA12"/>
    <mergeCell ref="SMB11:SMB12"/>
    <mergeCell ref="SMC11:SMC12"/>
    <mergeCell ref="SMD11:SMD12"/>
    <mergeCell ref="SME11:SME12"/>
    <mergeCell ref="SLT11:SLT12"/>
    <mergeCell ref="SLU11:SLU12"/>
    <mergeCell ref="SLV11:SLV12"/>
    <mergeCell ref="SLW11:SLW12"/>
    <mergeCell ref="SLX11:SLX12"/>
    <mergeCell ref="SLY11:SLY12"/>
    <mergeCell ref="SLN11:SLN12"/>
    <mergeCell ref="SLO11:SLO12"/>
    <mergeCell ref="SLP11:SLP12"/>
    <mergeCell ref="SLQ11:SLQ12"/>
    <mergeCell ref="SLR11:SLR12"/>
    <mergeCell ref="SLS11:SLS12"/>
    <mergeCell ref="SLH11:SLH12"/>
    <mergeCell ref="SLI11:SLI12"/>
    <mergeCell ref="SLJ11:SLJ12"/>
    <mergeCell ref="SLK11:SLK12"/>
    <mergeCell ref="SLL11:SLL12"/>
    <mergeCell ref="SLM11:SLM12"/>
    <mergeCell ref="SLB11:SLB12"/>
    <mergeCell ref="SLC11:SLC12"/>
    <mergeCell ref="SLD11:SLD12"/>
    <mergeCell ref="SLE11:SLE12"/>
    <mergeCell ref="SLF11:SLF12"/>
    <mergeCell ref="SLG11:SLG12"/>
    <mergeCell ref="SKV11:SKV12"/>
    <mergeCell ref="SKW11:SKW12"/>
    <mergeCell ref="SKX11:SKX12"/>
    <mergeCell ref="SKY11:SKY12"/>
    <mergeCell ref="SKZ11:SKZ12"/>
    <mergeCell ref="SLA11:SLA12"/>
    <mergeCell ref="SKP11:SKP12"/>
    <mergeCell ref="SKQ11:SKQ12"/>
    <mergeCell ref="SKR11:SKR12"/>
    <mergeCell ref="SKS11:SKS12"/>
    <mergeCell ref="SKT11:SKT12"/>
    <mergeCell ref="SKU11:SKU12"/>
    <mergeCell ref="SKJ11:SKJ12"/>
    <mergeCell ref="SKK11:SKK12"/>
    <mergeCell ref="SKL11:SKL12"/>
    <mergeCell ref="SKM11:SKM12"/>
    <mergeCell ref="SKN11:SKN12"/>
    <mergeCell ref="SKO11:SKO12"/>
    <mergeCell ref="SKD11:SKD12"/>
    <mergeCell ref="SKE11:SKE12"/>
    <mergeCell ref="SKF11:SKF12"/>
    <mergeCell ref="SKG11:SKG12"/>
    <mergeCell ref="SKH11:SKH12"/>
    <mergeCell ref="SKI11:SKI12"/>
    <mergeCell ref="SJX11:SJX12"/>
    <mergeCell ref="SJY11:SJY12"/>
    <mergeCell ref="SJZ11:SJZ12"/>
    <mergeCell ref="SKA11:SKA12"/>
    <mergeCell ref="SKB11:SKB12"/>
    <mergeCell ref="SKC11:SKC12"/>
    <mergeCell ref="SJR11:SJR12"/>
    <mergeCell ref="SJS11:SJS12"/>
    <mergeCell ref="SJT11:SJT12"/>
    <mergeCell ref="SJU11:SJU12"/>
    <mergeCell ref="SJV11:SJV12"/>
    <mergeCell ref="SJW11:SJW12"/>
    <mergeCell ref="SJL11:SJL12"/>
    <mergeCell ref="SJM11:SJM12"/>
    <mergeCell ref="SJN11:SJN12"/>
    <mergeCell ref="SJO11:SJO12"/>
    <mergeCell ref="SJP11:SJP12"/>
    <mergeCell ref="SJQ11:SJQ12"/>
    <mergeCell ref="SJF11:SJF12"/>
    <mergeCell ref="SJG11:SJG12"/>
    <mergeCell ref="SJH11:SJH12"/>
    <mergeCell ref="SJI11:SJI12"/>
    <mergeCell ref="SJJ11:SJJ12"/>
    <mergeCell ref="SJK11:SJK12"/>
    <mergeCell ref="SIZ11:SIZ12"/>
    <mergeCell ref="SJA11:SJA12"/>
    <mergeCell ref="SJB11:SJB12"/>
    <mergeCell ref="SJC11:SJC12"/>
    <mergeCell ref="SJD11:SJD12"/>
    <mergeCell ref="SJE11:SJE12"/>
    <mergeCell ref="SIT11:SIT12"/>
    <mergeCell ref="SIU11:SIU12"/>
    <mergeCell ref="SIV11:SIV12"/>
    <mergeCell ref="SIW11:SIW12"/>
    <mergeCell ref="SIX11:SIX12"/>
    <mergeCell ref="SIY11:SIY12"/>
    <mergeCell ref="SIN11:SIN12"/>
    <mergeCell ref="SIO11:SIO12"/>
    <mergeCell ref="SIP11:SIP12"/>
    <mergeCell ref="SIQ11:SIQ12"/>
    <mergeCell ref="SIR11:SIR12"/>
    <mergeCell ref="SIS11:SIS12"/>
    <mergeCell ref="SIH11:SIH12"/>
    <mergeCell ref="SII11:SII12"/>
    <mergeCell ref="SIJ11:SIJ12"/>
    <mergeCell ref="SIK11:SIK12"/>
    <mergeCell ref="SIL11:SIL12"/>
    <mergeCell ref="SIM11:SIM12"/>
    <mergeCell ref="SIB11:SIB12"/>
    <mergeCell ref="SIC11:SIC12"/>
    <mergeCell ref="SID11:SID12"/>
    <mergeCell ref="SIE11:SIE12"/>
    <mergeCell ref="SIF11:SIF12"/>
    <mergeCell ref="SIG11:SIG12"/>
    <mergeCell ref="SHV11:SHV12"/>
    <mergeCell ref="SHW11:SHW12"/>
    <mergeCell ref="SHX11:SHX12"/>
    <mergeCell ref="SHY11:SHY12"/>
    <mergeCell ref="SHZ11:SHZ12"/>
    <mergeCell ref="SIA11:SIA12"/>
    <mergeCell ref="SHP11:SHP12"/>
    <mergeCell ref="SHQ11:SHQ12"/>
    <mergeCell ref="SHR11:SHR12"/>
    <mergeCell ref="SHS11:SHS12"/>
    <mergeCell ref="SHT11:SHT12"/>
    <mergeCell ref="SHU11:SHU12"/>
    <mergeCell ref="SHJ11:SHJ12"/>
    <mergeCell ref="SHK11:SHK12"/>
    <mergeCell ref="SHL11:SHL12"/>
    <mergeCell ref="SHM11:SHM12"/>
    <mergeCell ref="SHN11:SHN12"/>
    <mergeCell ref="SHO11:SHO12"/>
    <mergeCell ref="SHD11:SHD12"/>
    <mergeCell ref="SHE11:SHE12"/>
    <mergeCell ref="SHF11:SHF12"/>
    <mergeCell ref="SHG11:SHG12"/>
    <mergeCell ref="SHH11:SHH12"/>
    <mergeCell ref="SHI11:SHI12"/>
    <mergeCell ref="SGX11:SGX12"/>
    <mergeCell ref="SGY11:SGY12"/>
    <mergeCell ref="SGZ11:SGZ12"/>
    <mergeCell ref="SHA11:SHA12"/>
    <mergeCell ref="SHB11:SHB12"/>
    <mergeCell ref="SHC11:SHC12"/>
    <mergeCell ref="SGR11:SGR12"/>
    <mergeCell ref="SGS11:SGS12"/>
    <mergeCell ref="SGT11:SGT12"/>
    <mergeCell ref="SGU11:SGU12"/>
    <mergeCell ref="SGV11:SGV12"/>
    <mergeCell ref="SGW11:SGW12"/>
    <mergeCell ref="SGL11:SGL12"/>
    <mergeCell ref="SGM11:SGM12"/>
    <mergeCell ref="SGN11:SGN12"/>
    <mergeCell ref="SGO11:SGO12"/>
    <mergeCell ref="SGP11:SGP12"/>
    <mergeCell ref="SGQ11:SGQ12"/>
    <mergeCell ref="SGF11:SGF12"/>
    <mergeCell ref="SGG11:SGG12"/>
    <mergeCell ref="SGH11:SGH12"/>
    <mergeCell ref="SGI11:SGI12"/>
    <mergeCell ref="SGJ11:SGJ12"/>
    <mergeCell ref="SGK11:SGK12"/>
    <mergeCell ref="SFZ11:SFZ12"/>
    <mergeCell ref="SGA11:SGA12"/>
    <mergeCell ref="SGB11:SGB12"/>
    <mergeCell ref="SGC11:SGC12"/>
    <mergeCell ref="SGD11:SGD12"/>
    <mergeCell ref="SGE11:SGE12"/>
    <mergeCell ref="SFT11:SFT12"/>
    <mergeCell ref="SFU11:SFU12"/>
    <mergeCell ref="SFV11:SFV12"/>
    <mergeCell ref="SFW11:SFW12"/>
    <mergeCell ref="SFX11:SFX12"/>
    <mergeCell ref="SFY11:SFY12"/>
    <mergeCell ref="SFN11:SFN12"/>
    <mergeCell ref="SFO11:SFO12"/>
    <mergeCell ref="SFP11:SFP12"/>
    <mergeCell ref="SFQ11:SFQ12"/>
    <mergeCell ref="SFR11:SFR12"/>
    <mergeCell ref="SFS11:SFS12"/>
    <mergeCell ref="SFH11:SFH12"/>
    <mergeCell ref="SFI11:SFI12"/>
    <mergeCell ref="SFJ11:SFJ12"/>
    <mergeCell ref="SFK11:SFK12"/>
    <mergeCell ref="SFL11:SFL12"/>
    <mergeCell ref="SFM11:SFM12"/>
    <mergeCell ref="SFB11:SFB12"/>
    <mergeCell ref="SFC11:SFC12"/>
    <mergeCell ref="SFD11:SFD12"/>
    <mergeCell ref="SFE11:SFE12"/>
    <mergeCell ref="SFF11:SFF12"/>
    <mergeCell ref="SFG11:SFG12"/>
    <mergeCell ref="SEV11:SEV12"/>
    <mergeCell ref="SEW11:SEW12"/>
    <mergeCell ref="SEX11:SEX12"/>
    <mergeCell ref="SEY11:SEY12"/>
    <mergeCell ref="SEZ11:SEZ12"/>
    <mergeCell ref="SFA11:SFA12"/>
    <mergeCell ref="SEP11:SEP12"/>
    <mergeCell ref="SEQ11:SEQ12"/>
    <mergeCell ref="SER11:SER12"/>
    <mergeCell ref="SES11:SES12"/>
    <mergeCell ref="SET11:SET12"/>
    <mergeCell ref="SEU11:SEU12"/>
    <mergeCell ref="SEJ11:SEJ12"/>
    <mergeCell ref="SEK11:SEK12"/>
    <mergeCell ref="SEL11:SEL12"/>
    <mergeCell ref="SEM11:SEM12"/>
    <mergeCell ref="SEN11:SEN12"/>
    <mergeCell ref="SEO11:SEO12"/>
    <mergeCell ref="SED11:SED12"/>
    <mergeCell ref="SEE11:SEE12"/>
    <mergeCell ref="SEF11:SEF12"/>
    <mergeCell ref="SEG11:SEG12"/>
    <mergeCell ref="SEH11:SEH12"/>
    <mergeCell ref="SEI11:SEI12"/>
    <mergeCell ref="SDX11:SDX12"/>
    <mergeCell ref="SDY11:SDY12"/>
    <mergeCell ref="SDZ11:SDZ12"/>
    <mergeCell ref="SEA11:SEA12"/>
    <mergeCell ref="SEB11:SEB12"/>
    <mergeCell ref="SEC11:SEC12"/>
    <mergeCell ref="SDR11:SDR12"/>
    <mergeCell ref="SDS11:SDS12"/>
    <mergeCell ref="SDT11:SDT12"/>
    <mergeCell ref="SDU11:SDU12"/>
    <mergeCell ref="SDV11:SDV12"/>
    <mergeCell ref="SDW11:SDW12"/>
    <mergeCell ref="SDL11:SDL12"/>
    <mergeCell ref="SDM11:SDM12"/>
    <mergeCell ref="SDN11:SDN12"/>
    <mergeCell ref="SDO11:SDO12"/>
    <mergeCell ref="SDP11:SDP12"/>
    <mergeCell ref="SDQ11:SDQ12"/>
    <mergeCell ref="SDF11:SDF12"/>
    <mergeCell ref="SDG11:SDG12"/>
    <mergeCell ref="SDH11:SDH12"/>
    <mergeCell ref="SDI11:SDI12"/>
    <mergeCell ref="SDJ11:SDJ12"/>
    <mergeCell ref="SDK11:SDK12"/>
    <mergeCell ref="SCZ11:SCZ12"/>
    <mergeCell ref="SDA11:SDA12"/>
    <mergeCell ref="SDB11:SDB12"/>
    <mergeCell ref="SDC11:SDC12"/>
    <mergeCell ref="SDD11:SDD12"/>
    <mergeCell ref="SDE11:SDE12"/>
    <mergeCell ref="SCT11:SCT12"/>
    <mergeCell ref="SCU11:SCU12"/>
    <mergeCell ref="SCV11:SCV12"/>
    <mergeCell ref="SCW11:SCW12"/>
    <mergeCell ref="SCX11:SCX12"/>
    <mergeCell ref="SCY11:SCY12"/>
    <mergeCell ref="SCN11:SCN12"/>
    <mergeCell ref="SCO11:SCO12"/>
    <mergeCell ref="SCP11:SCP12"/>
    <mergeCell ref="SCQ11:SCQ12"/>
    <mergeCell ref="SCR11:SCR12"/>
    <mergeCell ref="SCS11:SCS12"/>
    <mergeCell ref="SCH11:SCH12"/>
    <mergeCell ref="SCI11:SCI12"/>
    <mergeCell ref="SCJ11:SCJ12"/>
    <mergeCell ref="SCK11:SCK12"/>
    <mergeCell ref="SCL11:SCL12"/>
    <mergeCell ref="SCM11:SCM12"/>
    <mergeCell ref="SCB11:SCB12"/>
    <mergeCell ref="SCC11:SCC12"/>
    <mergeCell ref="SCD11:SCD12"/>
    <mergeCell ref="SCE11:SCE12"/>
    <mergeCell ref="SCF11:SCF12"/>
    <mergeCell ref="SCG11:SCG12"/>
    <mergeCell ref="SBV11:SBV12"/>
    <mergeCell ref="SBW11:SBW12"/>
    <mergeCell ref="SBX11:SBX12"/>
    <mergeCell ref="SBY11:SBY12"/>
    <mergeCell ref="SBZ11:SBZ12"/>
    <mergeCell ref="SCA11:SCA12"/>
    <mergeCell ref="SBP11:SBP12"/>
    <mergeCell ref="SBQ11:SBQ12"/>
    <mergeCell ref="SBR11:SBR12"/>
    <mergeCell ref="SBS11:SBS12"/>
    <mergeCell ref="SBT11:SBT12"/>
    <mergeCell ref="SBU11:SBU12"/>
    <mergeCell ref="SBJ11:SBJ12"/>
    <mergeCell ref="SBK11:SBK12"/>
    <mergeCell ref="SBL11:SBL12"/>
    <mergeCell ref="SBM11:SBM12"/>
    <mergeCell ref="SBN11:SBN12"/>
    <mergeCell ref="SBO11:SBO12"/>
    <mergeCell ref="SBD11:SBD12"/>
    <mergeCell ref="SBE11:SBE12"/>
    <mergeCell ref="SBF11:SBF12"/>
    <mergeCell ref="SBG11:SBG12"/>
    <mergeCell ref="SBH11:SBH12"/>
    <mergeCell ref="SBI11:SBI12"/>
    <mergeCell ref="SAX11:SAX12"/>
    <mergeCell ref="SAY11:SAY12"/>
    <mergeCell ref="SAZ11:SAZ12"/>
    <mergeCell ref="SBA11:SBA12"/>
    <mergeCell ref="SBB11:SBB12"/>
    <mergeCell ref="SBC11:SBC12"/>
    <mergeCell ref="SAR11:SAR12"/>
    <mergeCell ref="SAS11:SAS12"/>
    <mergeCell ref="SAT11:SAT12"/>
    <mergeCell ref="SAU11:SAU12"/>
    <mergeCell ref="SAV11:SAV12"/>
    <mergeCell ref="SAW11:SAW12"/>
    <mergeCell ref="SAL11:SAL12"/>
    <mergeCell ref="SAM11:SAM12"/>
    <mergeCell ref="SAN11:SAN12"/>
    <mergeCell ref="SAO11:SAO12"/>
    <mergeCell ref="SAP11:SAP12"/>
    <mergeCell ref="SAQ11:SAQ12"/>
    <mergeCell ref="SAF11:SAF12"/>
    <mergeCell ref="SAG11:SAG12"/>
    <mergeCell ref="SAH11:SAH12"/>
    <mergeCell ref="SAI11:SAI12"/>
    <mergeCell ref="SAJ11:SAJ12"/>
    <mergeCell ref="SAK11:SAK12"/>
    <mergeCell ref="RZZ11:RZZ12"/>
    <mergeCell ref="SAA11:SAA12"/>
    <mergeCell ref="SAB11:SAB12"/>
    <mergeCell ref="SAC11:SAC12"/>
    <mergeCell ref="SAD11:SAD12"/>
    <mergeCell ref="SAE11:SAE12"/>
    <mergeCell ref="RZT11:RZT12"/>
    <mergeCell ref="RZU11:RZU12"/>
    <mergeCell ref="RZV11:RZV12"/>
    <mergeCell ref="RZW11:RZW12"/>
    <mergeCell ref="RZX11:RZX12"/>
    <mergeCell ref="RZY11:RZY12"/>
    <mergeCell ref="RZN11:RZN12"/>
    <mergeCell ref="RZO11:RZO12"/>
    <mergeCell ref="RZP11:RZP12"/>
    <mergeCell ref="RZQ11:RZQ12"/>
    <mergeCell ref="RZR11:RZR12"/>
    <mergeCell ref="RZS11:RZS12"/>
    <mergeCell ref="RZH11:RZH12"/>
    <mergeCell ref="RZI11:RZI12"/>
    <mergeCell ref="RZJ11:RZJ12"/>
    <mergeCell ref="RZK11:RZK12"/>
    <mergeCell ref="RZL11:RZL12"/>
    <mergeCell ref="RZM11:RZM12"/>
    <mergeCell ref="RZB11:RZB12"/>
    <mergeCell ref="RZC11:RZC12"/>
    <mergeCell ref="RZD11:RZD12"/>
    <mergeCell ref="RZE11:RZE12"/>
    <mergeCell ref="RZF11:RZF12"/>
    <mergeCell ref="RZG11:RZG12"/>
    <mergeCell ref="RYV11:RYV12"/>
    <mergeCell ref="RYW11:RYW12"/>
    <mergeCell ref="RYX11:RYX12"/>
    <mergeCell ref="RYY11:RYY12"/>
    <mergeCell ref="RYZ11:RYZ12"/>
    <mergeCell ref="RZA11:RZA12"/>
    <mergeCell ref="RYP11:RYP12"/>
    <mergeCell ref="RYQ11:RYQ12"/>
    <mergeCell ref="RYR11:RYR12"/>
    <mergeCell ref="RYS11:RYS12"/>
    <mergeCell ref="RYT11:RYT12"/>
    <mergeCell ref="RYU11:RYU12"/>
    <mergeCell ref="RYJ11:RYJ12"/>
    <mergeCell ref="RYK11:RYK12"/>
    <mergeCell ref="RYL11:RYL12"/>
    <mergeCell ref="RYM11:RYM12"/>
    <mergeCell ref="RYN11:RYN12"/>
    <mergeCell ref="RYO11:RYO12"/>
    <mergeCell ref="RYD11:RYD12"/>
    <mergeCell ref="RYE11:RYE12"/>
    <mergeCell ref="RYF11:RYF12"/>
    <mergeCell ref="RYG11:RYG12"/>
    <mergeCell ref="RYH11:RYH12"/>
    <mergeCell ref="RYI11:RYI12"/>
    <mergeCell ref="RXX11:RXX12"/>
    <mergeCell ref="RXY11:RXY12"/>
    <mergeCell ref="RXZ11:RXZ12"/>
    <mergeCell ref="RYA11:RYA12"/>
    <mergeCell ref="RYB11:RYB12"/>
    <mergeCell ref="RYC11:RYC12"/>
    <mergeCell ref="RXR11:RXR12"/>
    <mergeCell ref="RXS11:RXS12"/>
    <mergeCell ref="RXT11:RXT12"/>
    <mergeCell ref="RXU11:RXU12"/>
    <mergeCell ref="RXV11:RXV12"/>
    <mergeCell ref="RXW11:RXW12"/>
    <mergeCell ref="RXL11:RXL12"/>
    <mergeCell ref="RXM11:RXM12"/>
    <mergeCell ref="RXN11:RXN12"/>
    <mergeCell ref="RXO11:RXO12"/>
    <mergeCell ref="RXP11:RXP12"/>
    <mergeCell ref="RXQ11:RXQ12"/>
    <mergeCell ref="RXF11:RXF12"/>
    <mergeCell ref="RXG11:RXG12"/>
    <mergeCell ref="RXH11:RXH12"/>
    <mergeCell ref="RXI11:RXI12"/>
    <mergeCell ref="RXJ11:RXJ12"/>
    <mergeCell ref="RXK11:RXK12"/>
    <mergeCell ref="RWZ11:RWZ12"/>
    <mergeCell ref="RXA11:RXA12"/>
    <mergeCell ref="RXB11:RXB12"/>
    <mergeCell ref="RXC11:RXC12"/>
    <mergeCell ref="RXD11:RXD12"/>
    <mergeCell ref="RXE11:RXE12"/>
    <mergeCell ref="RWT11:RWT12"/>
    <mergeCell ref="RWU11:RWU12"/>
    <mergeCell ref="RWV11:RWV12"/>
    <mergeCell ref="RWW11:RWW12"/>
    <mergeCell ref="RWX11:RWX12"/>
    <mergeCell ref="RWY11:RWY12"/>
    <mergeCell ref="RWN11:RWN12"/>
    <mergeCell ref="RWO11:RWO12"/>
    <mergeCell ref="RWP11:RWP12"/>
    <mergeCell ref="RWQ11:RWQ12"/>
    <mergeCell ref="RWR11:RWR12"/>
    <mergeCell ref="RWS11:RWS12"/>
    <mergeCell ref="RWH11:RWH12"/>
    <mergeCell ref="RWI11:RWI12"/>
    <mergeCell ref="RWJ11:RWJ12"/>
    <mergeCell ref="RWK11:RWK12"/>
    <mergeCell ref="RWL11:RWL12"/>
    <mergeCell ref="RWM11:RWM12"/>
    <mergeCell ref="RWB11:RWB12"/>
    <mergeCell ref="RWC11:RWC12"/>
    <mergeCell ref="RWD11:RWD12"/>
    <mergeCell ref="RWE11:RWE12"/>
    <mergeCell ref="RWF11:RWF12"/>
    <mergeCell ref="RWG11:RWG12"/>
    <mergeCell ref="RVV11:RVV12"/>
    <mergeCell ref="RVW11:RVW12"/>
    <mergeCell ref="RVX11:RVX12"/>
    <mergeCell ref="RVY11:RVY12"/>
    <mergeCell ref="RVZ11:RVZ12"/>
    <mergeCell ref="RWA11:RWA12"/>
    <mergeCell ref="RVP11:RVP12"/>
    <mergeCell ref="RVQ11:RVQ12"/>
    <mergeCell ref="RVR11:RVR12"/>
    <mergeCell ref="RVS11:RVS12"/>
    <mergeCell ref="RVT11:RVT12"/>
    <mergeCell ref="RVU11:RVU12"/>
    <mergeCell ref="RVJ11:RVJ12"/>
    <mergeCell ref="RVK11:RVK12"/>
    <mergeCell ref="RVL11:RVL12"/>
    <mergeCell ref="RVM11:RVM12"/>
    <mergeCell ref="RVN11:RVN12"/>
    <mergeCell ref="RVO11:RVO12"/>
    <mergeCell ref="RVD11:RVD12"/>
    <mergeCell ref="RVE11:RVE12"/>
    <mergeCell ref="RVF11:RVF12"/>
    <mergeCell ref="RVG11:RVG12"/>
    <mergeCell ref="RVH11:RVH12"/>
    <mergeCell ref="RVI11:RVI12"/>
    <mergeCell ref="RUX11:RUX12"/>
    <mergeCell ref="RUY11:RUY12"/>
    <mergeCell ref="RUZ11:RUZ12"/>
    <mergeCell ref="RVA11:RVA12"/>
    <mergeCell ref="RVB11:RVB12"/>
    <mergeCell ref="RVC11:RVC12"/>
    <mergeCell ref="RUR11:RUR12"/>
    <mergeCell ref="RUS11:RUS12"/>
    <mergeCell ref="RUT11:RUT12"/>
    <mergeCell ref="RUU11:RUU12"/>
    <mergeCell ref="RUV11:RUV12"/>
    <mergeCell ref="RUW11:RUW12"/>
    <mergeCell ref="RUL11:RUL12"/>
    <mergeCell ref="RUM11:RUM12"/>
    <mergeCell ref="RUN11:RUN12"/>
    <mergeCell ref="RUO11:RUO12"/>
    <mergeCell ref="RUP11:RUP12"/>
    <mergeCell ref="RUQ11:RUQ12"/>
    <mergeCell ref="RUF11:RUF12"/>
    <mergeCell ref="RUG11:RUG12"/>
    <mergeCell ref="RUH11:RUH12"/>
    <mergeCell ref="RUI11:RUI12"/>
    <mergeCell ref="RUJ11:RUJ12"/>
    <mergeCell ref="RUK11:RUK12"/>
    <mergeCell ref="RTZ11:RTZ12"/>
    <mergeCell ref="RUA11:RUA12"/>
    <mergeCell ref="RUB11:RUB12"/>
    <mergeCell ref="RUC11:RUC12"/>
    <mergeCell ref="RUD11:RUD12"/>
    <mergeCell ref="RUE11:RUE12"/>
    <mergeCell ref="RTT11:RTT12"/>
    <mergeCell ref="RTU11:RTU12"/>
    <mergeCell ref="RTV11:RTV12"/>
    <mergeCell ref="RTW11:RTW12"/>
    <mergeCell ref="RTX11:RTX12"/>
    <mergeCell ref="RTY11:RTY12"/>
    <mergeCell ref="RTN11:RTN12"/>
    <mergeCell ref="RTO11:RTO12"/>
    <mergeCell ref="RTP11:RTP12"/>
    <mergeCell ref="RTQ11:RTQ12"/>
    <mergeCell ref="RTR11:RTR12"/>
    <mergeCell ref="RTS11:RTS12"/>
    <mergeCell ref="RTH11:RTH12"/>
    <mergeCell ref="RTI11:RTI12"/>
    <mergeCell ref="RTJ11:RTJ12"/>
    <mergeCell ref="RTK11:RTK12"/>
    <mergeCell ref="RTL11:RTL12"/>
    <mergeCell ref="RTM11:RTM12"/>
    <mergeCell ref="RTB11:RTB12"/>
    <mergeCell ref="RTC11:RTC12"/>
    <mergeCell ref="RTD11:RTD12"/>
    <mergeCell ref="RTE11:RTE12"/>
    <mergeCell ref="RTF11:RTF12"/>
    <mergeCell ref="RTG11:RTG12"/>
    <mergeCell ref="RSV11:RSV12"/>
    <mergeCell ref="RSW11:RSW12"/>
    <mergeCell ref="RSX11:RSX12"/>
    <mergeCell ref="RSY11:RSY12"/>
    <mergeCell ref="RSZ11:RSZ12"/>
    <mergeCell ref="RTA11:RTA12"/>
    <mergeCell ref="RSP11:RSP12"/>
    <mergeCell ref="RSQ11:RSQ12"/>
    <mergeCell ref="RSR11:RSR12"/>
    <mergeCell ref="RSS11:RSS12"/>
    <mergeCell ref="RST11:RST12"/>
    <mergeCell ref="RSU11:RSU12"/>
    <mergeCell ref="RSJ11:RSJ12"/>
    <mergeCell ref="RSK11:RSK12"/>
    <mergeCell ref="RSL11:RSL12"/>
    <mergeCell ref="RSM11:RSM12"/>
    <mergeCell ref="RSN11:RSN12"/>
    <mergeCell ref="RSO11:RSO12"/>
    <mergeCell ref="RSD11:RSD12"/>
    <mergeCell ref="RSE11:RSE12"/>
    <mergeCell ref="RSF11:RSF12"/>
    <mergeCell ref="RSG11:RSG12"/>
    <mergeCell ref="RSH11:RSH12"/>
    <mergeCell ref="RSI11:RSI12"/>
    <mergeCell ref="RRX11:RRX12"/>
    <mergeCell ref="RRY11:RRY12"/>
    <mergeCell ref="RRZ11:RRZ12"/>
    <mergeCell ref="RSA11:RSA12"/>
    <mergeCell ref="RSB11:RSB12"/>
    <mergeCell ref="RSC11:RSC12"/>
    <mergeCell ref="RRR11:RRR12"/>
    <mergeCell ref="RRS11:RRS12"/>
    <mergeCell ref="RRT11:RRT12"/>
    <mergeCell ref="RRU11:RRU12"/>
    <mergeCell ref="RRV11:RRV12"/>
    <mergeCell ref="RRW11:RRW12"/>
    <mergeCell ref="RRL11:RRL12"/>
    <mergeCell ref="RRM11:RRM12"/>
    <mergeCell ref="RRN11:RRN12"/>
    <mergeCell ref="RRO11:RRO12"/>
    <mergeCell ref="RRP11:RRP12"/>
    <mergeCell ref="RRQ11:RRQ12"/>
    <mergeCell ref="RRF11:RRF12"/>
    <mergeCell ref="RRG11:RRG12"/>
    <mergeCell ref="RRH11:RRH12"/>
    <mergeCell ref="RRI11:RRI12"/>
    <mergeCell ref="RRJ11:RRJ12"/>
    <mergeCell ref="RRK11:RRK12"/>
    <mergeCell ref="RQZ11:RQZ12"/>
    <mergeCell ref="RRA11:RRA12"/>
    <mergeCell ref="RRB11:RRB12"/>
    <mergeCell ref="RRC11:RRC12"/>
    <mergeCell ref="RRD11:RRD12"/>
    <mergeCell ref="RRE11:RRE12"/>
    <mergeCell ref="RQT11:RQT12"/>
    <mergeCell ref="RQU11:RQU12"/>
    <mergeCell ref="RQV11:RQV12"/>
    <mergeCell ref="RQW11:RQW12"/>
    <mergeCell ref="RQX11:RQX12"/>
    <mergeCell ref="RQY11:RQY12"/>
    <mergeCell ref="RQN11:RQN12"/>
    <mergeCell ref="RQO11:RQO12"/>
    <mergeCell ref="RQP11:RQP12"/>
    <mergeCell ref="RQQ11:RQQ12"/>
    <mergeCell ref="RQR11:RQR12"/>
    <mergeCell ref="RQS11:RQS12"/>
    <mergeCell ref="RQH11:RQH12"/>
    <mergeCell ref="RQI11:RQI12"/>
    <mergeCell ref="RQJ11:RQJ12"/>
    <mergeCell ref="RQK11:RQK12"/>
    <mergeCell ref="RQL11:RQL12"/>
    <mergeCell ref="RQM11:RQM12"/>
    <mergeCell ref="RQB11:RQB12"/>
    <mergeCell ref="RQC11:RQC12"/>
    <mergeCell ref="RQD11:RQD12"/>
    <mergeCell ref="RQE11:RQE12"/>
    <mergeCell ref="RQF11:RQF12"/>
    <mergeCell ref="RQG11:RQG12"/>
    <mergeCell ref="RPV11:RPV12"/>
    <mergeCell ref="RPW11:RPW12"/>
    <mergeCell ref="RPX11:RPX12"/>
    <mergeCell ref="RPY11:RPY12"/>
    <mergeCell ref="RPZ11:RPZ12"/>
    <mergeCell ref="RQA11:RQA12"/>
    <mergeCell ref="RPP11:RPP12"/>
    <mergeCell ref="RPQ11:RPQ12"/>
    <mergeCell ref="RPR11:RPR12"/>
    <mergeCell ref="RPS11:RPS12"/>
    <mergeCell ref="RPT11:RPT12"/>
    <mergeCell ref="RPU11:RPU12"/>
    <mergeCell ref="RPJ11:RPJ12"/>
    <mergeCell ref="RPK11:RPK12"/>
    <mergeCell ref="RPL11:RPL12"/>
    <mergeCell ref="RPM11:RPM12"/>
    <mergeCell ref="RPN11:RPN12"/>
    <mergeCell ref="RPO11:RPO12"/>
    <mergeCell ref="RPD11:RPD12"/>
    <mergeCell ref="RPE11:RPE12"/>
    <mergeCell ref="RPF11:RPF12"/>
    <mergeCell ref="RPG11:RPG12"/>
    <mergeCell ref="RPH11:RPH12"/>
    <mergeCell ref="RPI11:RPI12"/>
    <mergeCell ref="ROX11:ROX12"/>
    <mergeCell ref="ROY11:ROY12"/>
    <mergeCell ref="ROZ11:ROZ12"/>
    <mergeCell ref="RPA11:RPA12"/>
    <mergeCell ref="RPB11:RPB12"/>
    <mergeCell ref="RPC11:RPC12"/>
    <mergeCell ref="ROR11:ROR12"/>
    <mergeCell ref="ROS11:ROS12"/>
    <mergeCell ref="ROT11:ROT12"/>
    <mergeCell ref="ROU11:ROU12"/>
    <mergeCell ref="ROV11:ROV12"/>
    <mergeCell ref="ROW11:ROW12"/>
    <mergeCell ref="ROL11:ROL12"/>
    <mergeCell ref="ROM11:ROM12"/>
    <mergeCell ref="RON11:RON12"/>
    <mergeCell ref="ROO11:ROO12"/>
    <mergeCell ref="ROP11:ROP12"/>
    <mergeCell ref="ROQ11:ROQ12"/>
    <mergeCell ref="ROF11:ROF12"/>
    <mergeCell ref="ROG11:ROG12"/>
    <mergeCell ref="ROH11:ROH12"/>
    <mergeCell ref="ROI11:ROI12"/>
    <mergeCell ref="ROJ11:ROJ12"/>
    <mergeCell ref="ROK11:ROK12"/>
    <mergeCell ref="RNZ11:RNZ12"/>
    <mergeCell ref="ROA11:ROA12"/>
    <mergeCell ref="ROB11:ROB12"/>
    <mergeCell ref="ROC11:ROC12"/>
    <mergeCell ref="ROD11:ROD12"/>
    <mergeCell ref="ROE11:ROE12"/>
    <mergeCell ref="RNT11:RNT12"/>
    <mergeCell ref="RNU11:RNU12"/>
    <mergeCell ref="RNV11:RNV12"/>
    <mergeCell ref="RNW11:RNW12"/>
    <mergeCell ref="RNX11:RNX12"/>
    <mergeCell ref="RNY11:RNY12"/>
    <mergeCell ref="RNN11:RNN12"/>
    <mergeCell ref="RNO11:RNO12"/>
    <mergeCell ref="RNP11:RNP12"/>
    <mergeCell ref="RNQ11:RNQ12"/>
    <mergeCell ref="RNR11:RNR12"/>
    <mergeCell ref="RNS11:RNS12"/>
    <mergeCell ref="RNH11:RNH12"/>
    <mergeCell ref="RNI11:RNI12"/>
    <mergeCell ref="RNJ11:RNJ12"/>
    <mergeCell ref="RNK11:RNK12"/>
    <mergeCell ref="RNL11:RNL12"/>
    <mergeCell ref="RNM11:RNM12"/>
    <mergeCell ref="RNB11:RNB12"/>
    <mergeCell ref="RNC11:RNC12"/>
    <mergeCell ref="RND11:RND12"/>
    <mergeCell ref="RNE11:RNE12"/>
    <mergeCell ref="RNF11:RNF12"/>
    <mergeCell ref="RNG11:RNG12"/>
    <mergeCell ref="RMV11:RMV12"/>
    <mergeCell ref="RMW11:RMW12"/>
    <mergeCell ref="RMX11:RMX12"/>
    <mergeCell ref="RMY11:RMY12"/>
    <mergeCell ref="RMZ11:RMZ12"/>
    <mergeCell ref="RNA11:RNA12"/>
    <mergeCell ref="RMP11:RMP12"/>
    <mergeCell ref="RMQ11:RMQ12"/>
    <mergeCell ref="RMR11:RMR12"/>
    <mergeCell ref="RMS11:RMS12"/>
    <mergeCell ref="RMT11:RMT12"/>
    <mergeCell ref="RMU11:RMU12"/>
    <mergeCell ref="RMJ11:RMJ12"/>
    <mergeCell ref="RMK11:RMK12"/>
    <mergeCell ref="RML11:RML12"/>
    <mergeCell ref="RMM11:RMM12"/>
    <mergeCell ref="RMN11:RMN12"/>
    <mergeCell ref="RMO11:RMO12"/>
    <mergeCell ref="RMD11:RMD12"/>
    <mergeCell ref="RME11:RME12"/>
    <mergeCell ref="RMF11:RMF12"/>
    <mergeCell ref="RMG11:RMG12"/>
    <mergeCell ref="RMH11:RMH12"/>
    <mergeCell ref="RMI11:RMI12"/>
    <mergeCell ref="RLX11:RLX12"/>
    <mergeCell ref="RLY11:RLY12"/>
    <mergeCell ref="RLZ11:RLZ12"/>
    <mergeCell ref="RMA11:RMA12"/>
    <mergeCell ref="RMB11:RMB12"/>
    <mergeCell ref="RMC11:RMC12"/>
    <mergeCell ref="RLR11:RLR12"/>
    <mergeCell ref="RLS11:RLS12"/>
    <mergeCell ref="RLT11:RLT12"/>
    <mergeCell ref="RLU11:RLU12"/>
    <mergeCell ref="RLV11:RLV12"/>
    <mergeCell ref="RLW11:RLW12"/>
    <mergeCell ref="RLL11:RLL12"/>
    <mergeCell ref="RLM11:RLM12"/>
    <mergeCell ref="RLN11:RLN12"/>
    <mergeCell ref="RLO11:RLO12"/>
    <mergeCell ref="RLP11:RLP12"/>
    <mergeCell ref="RLQ11:RLQ12"/>
    <mergeCell ref="RLF11:RLF12"/>
    <mergeCell ref="RLG11:RLG12"/>
    <mergeCell ref="RLH11:RLH12"/>
    <mergeCell ref="RLI11:RLI12"/>
    <mergeCell ref="RLJ11:RLJ12"/>
    <mergeCell ref="RLK11:RLK12"/>
    <mergeCell ref="RKZ11:RKZ12"/>
    <mergeCell ref="RLA11:RLA12"/>
    <mergeCell ref="RLB11:RLB12"/>
    <mergeCell ref="RLC11:RLC12"/>
    <mergeCell ref="RLD11:RLD12"/>
    <mergeCell ref="RLE11:RLE12"/>
    <mergeCell ref="RKT11:RKT12"/>
    <mergeCell ref="RKU11:RKU12"/>
    <mergeCell ref="RKV11:RKV12"/>
    <mergeCell ref="RKW11:RKW12"/>
    <mergeCell ref="RKX11:RKX12"/>
    <mergeCell ref="RKY11:RKY12"/>
    <mergeCell ref="RKN11:RKN12"/>
    <mergeCell ref="RKO11:RKO12"/>
    <mergeCell ref="RKP11:RKP12"/>
    <mergeCell ref="RKQ11:RKQ12"/>
    <mergeCell ref="RKR11:RKR12"/>
    <mergeCell ref="RKS11:RKS12"/>
    <mergeCell ref="RKH11:RKH12"/>
    <mergeCell ref="RKI11:RKI12"/>
    <mergeCell ref="RKJ11:RKJ12"/>
    <mergeCell ref="RKK11:RKK12"/>
    <mergeCell ref="RKL11:RKL12"/>
    <mergeCell ref="RKM11:RKM12"/>
    <mergeCell ref="RKB11:RKB12"/>
    <mergeCell ref="RKC11:RKC12"/>
    <mergeCell ref="RKD11:RKD12"/>
    <mergeCell ref="RKE11:RKE12"/>
    <mergeCell ref="RKF11:RKF12"/>
    <mergeCell ref="RKG11:RKG12"/>
    <mergeCell ref="RJV11:RJV12"/>
    <mergeCell ref="RJW11:RJW12"/>
    <mergeCell ref="RJX11:RJX12"/>
    <mergeCell ref="RJY11:RJY12"/>
    <mergeCell ref="RJZ11:RJZ12"/>
    <mergeCell ref="RKA11:RKA12"/>
    <mergeCell ref="RJP11:RJP12"/>
    <mergeCell ref="RJQ11:RJQ12"/>
    <mergeCell ref="RJR11:RJR12"/>
    <mergeCell ref="RJS11:RJS12"/>
    <mergeCell ref="RJT11:RJT12"/>
    <mergeCell ref="RJU11:RJU12"/>
    <mergeCell ref="RJJ11:RJJ12"/>
    <mergeCell ref="RJK11:RJK12"/>
    <mergeCell ref="RJL11:RJL12"/>
    <mergeCell ref="RJM11:RJM12"/>
    <mergeCell ref="RJN11:RJN12"/>
    <mergeCell ref="RJO11:RJO12"/>
    <mergeCell ref="RJD11:RJD12"/>
    <mergeCell ref="RJE11:RJE12"/>
    <mergeCell ref="RJF11:RJF12"/>
    <mergeCell ref="RJG11:RJG12"/>
    <mergeCell ref="RJH11:RJH12"/>
    <mergeCell ref="RJI11:RJI12"/>
    <mergeCell ref="RIX11:RIX12"/>
    <mergeCell ref="RIY11:RIY12"/>
    <mergeCell ref="RIZ11:RIZ12"/>
    <mergeCell ref="RJA11:RJA12"/>
    <mergeCell ref="RJB11:RJB12"/>
    <mergeCell ref="RJC11:RJC12"/>
    <mergeCell ref="RIR11:RIR12"/>
    <mergeCell ref="RIS11:RIS12"/>
    <mergeCell ref="RIT11:RIT12"/>
    <mergeCell ref="RIU11:RIU12"/>
    <mergeCell ref="RIV11:RIV12"/>
    <mergeCell ref="RIW11:RIW12"/>
    <mergeCell ref="RIL11:RIL12"/>
    <mergeCell ref="RIM11:RIM12"/>
    <mergeCell ref="RIN11:RIN12"/>
    <mergeCell ref="RIO11:RIO12"/>
    <mergeCell ref="RIP11:RIP12"/>
    <mergeCell ref="RIQ11:RIQ12"/>
    <mergeCell ref="RIF11:RIF12"/>
    <mergeCell ref="RIG11:RIG12"/>
    <mergeCell ref="RIH11:RIH12"/>
    <mergeCell ref="RII11:RII12"/>
    <mergeCell ref="RIJ11:RIJ12"/>
    <mergeCell ref="RIK11:RIK12"/>
    <mergeCell ref="RHZ11:RHZ12"/>
    <mergeCell ref="RIA11:RIA12"/>
    <mergeCell ref="RIB11:RIB12"/>
    <mergeCell ref="RIC11:RIC12"/>
    <mergeCell ref="RID11:RID12"/>
    <mergeCell ref="RIE11:RIE12"/>
    <mergeCell ref="RHT11:RHT12"/>
    <mergeCell ref="RHU11:RHU12"/>
    <mergeCell ref="RHV11:RHV12"/>
    <mergeCell ref="RHW11:RHW12"/>
    <mergeCell ref="RHX11:RHX12"/>
    <mergeCell ref="RHY11:RHY12"/>
    <mergeCell ref="RHN11:RHN12"/>
    <mergeCell ref="RHO11:RHO12"/>
    <mergeCell ref="RHP11:RHP12"/>
    <mergeCell ref="RHQ11:RHQ12"/>
    <mergeCell ref="RHR11:RHR12"/>
    <mergeCell ref="RHS11:RHS12"/>
    <mergeCell ref="RHH11:RHH12"/>
    <mergeCell ref="RHI11:RHI12"/>
    <mergeCell ref="RHJ11:RHJ12"/>
    <mergeCell ref="RHK11:RHK12"/>
    <mergeCell ref="RHL11:RHL12"/>
    <mergeCell ref="RHM11:RHM12"/>
    <mergeCell ref="RHB11:RHB12"/>
    <mergeCell ref="RHC11:RHC12"/>
    <mergeCell ref="RHD11:RHD12"/>
    <mergeCell ref="RHE11:RHE12"/>
    <mergeCell ref="RHF11:RHF12"/>
    <mergeCell ref="RHG11:RHG12"/>
    <mergeCell ref="RGV11:RGV12"/>
    <mergeCell ref="RGW11:RGW12"/>
    <mergeCell ref="RGX11:RGX12"/>
    <mergeCell ref="RGY11:RGY12"/>
    <mergeCell ref="RGZ11:RGZ12"/>
    <mergeCell ref="RHA11:RHA12"/>
    <mergeCell ref="RGP11:RGP12"/>
    <mergeCell ref="RGQ11:RGQ12"/>
    <mergeCell ref="RGR11:RGR12"/>
    <mergeCell ref="RGS11:RGS12"/>
    <mergeCell ref="RGT11:RGT12"/>
    <mergeCell ref="RGU11:RGU12"/>
    <mergeCell ref="RGJ11:RGJ12"/>
    <mergeCell ref="RGK11:RGK12"/>
    <mergeCell ref="RGL11:RGL12"/>
    <mergeCell ref="RGM11:RGM12"/>
    <mergeCell ref="RGN11:RGN12"/>
    <mergeCell ref="RGO11:RGO12"/>
    <mergeCell ref="RGD11:RGD12"/>
    <mergeCell ref="RGE11:RGE12"/>
    <mergeCell ref="RGF11:RGF12"/>
    <mergeCell ref="RGG11:RGG12"/>
    <mergeCell ref="RGH11:RGH12"/>
    <mergeCell ref="RGI11:RGI12"/>
    <mergeCell ref="RFX11:RFX12"/>
    <mergeCell ref="RFY11:RFY12"/>
    <mergeCell ref="RFZ11:RFZ12"/>
    <mergeCell ref="RGA11:RGA12"/>
    <mergeCell ref="RGB11:RGB12"/>
    <mergeCell ref="RGC11:RGC12"/>
    <mergeCell ref="RFR11:RFR12"/>
    <mergeCell ref="RFS11:RFS12"/>
    <mergeCell ref="RFT11:RFT12"/>
    <mergeCell ref="RFU11:RFU12"/>
    <mergeCell ref="RFV11:RFV12"/>
    <mergeCell ref="RFW11:RFW12"/>
    <mergeCell ref="RFL11:RFL12"/>
    <mergeCell ref="RFM11:RFM12"/>
    <mergeCell ref="RFN11:RFN12"/>
    <mergeCell ref="RFO11:RFO12"/>
    <mergeCell ref="RFP11:RFP12"/>
    <mergeCell ref="RFQ11:RFQ12"/>
    <mergeCell ref="RFF11:RFF12"/>
    <mergeCell ref="RFG11:RFG12"/>
    <mergeCell ref="RFH11:RFH12"/>
    <mergeCell ref="RFI11:RFI12"/>
    <mergeCell ref="RFJ11:RFJ12"/>
    <mergeCell ref="RFK11:RFK12"/>
    <mergeCell ref="REZ11:REZ12"/>
    <mergeCell ref="RFA11:RFA12"/>
    <mergeCell ref="RFB11:RFB12"/>
    <mergeCell ref="RFC11:RFC12"/>
    <mergeCell ref="RFD11:RFD12"/>
    <mergeCell ref="RFE11:RFE12"/>
    <mergeCell ref="RET11:RET12"/>
    <mergeCell ref="REU11:REU12"/>
    <mergeCell ref="REV11:REV12"/>
    <mergeCell ref="REW11:REW12"/>
    <mergeCell ref="REX11:REX12"/>
    <mergeCell ref="REY11:REY12"/>
    <mergeCell ref="REN11:REN12"/>
    <mergeCell ref="REO11:REO12"/>
    <mergeCell ref="REP11:REP12"/>
    <mergeCell ref="REQ11:REQ12"/>
    <mergeCell ref="RER11:RER12"/>
    <mergeCell ref="RES11:RES12"/>
    <mergeCell ref="REH11:REH12"/>
    <mergeCell ref="REI11:REI12"/>
    <mergeCell ref="REJ11:REJ12"/>
    <mergeCell ref="REK11:REK12"/>
    <mergeCell ref="REL11:REL12"/>
    <mergeCell ref="REM11:REM12"/>
    <mergeCell ref="REB11:REB12"/>
    <mergeCell ref="REC11:REC12"/>
    <mergeCell ref="RED11:RED12"/>
    <mergeCell ref="REE11:REE12"/>
    <mergeCell ref="REF11:REF12"/>
    <mergeCell ref="REG11:REG12"/>
    <mergeCell ref="RDV11:RDV12"/>
    <mergeCell ref="RDW11:RDW12"/>
    <mergeCell ref="RDX11:RDX12"/>
    <mergeCell ref="RDY11:RDY12"/>
    <mergeCell ref="RDZ11:RDZ12"/>
    <mergeCell ref="REA11:REA12"/>
    <mergeCell ref="RDP11:RDP12"/>
    <mergeCell ref="RDQ11:RDQ12"/>
    <mergeCell ref="RDR11:RDR12"/>
    <mergeCell ref="RDS11:RDS12"/>
    <mergeCell ref="RDT11:RDT12"/>
    <mergeCell ref="RDU11:RDU12"/>
    <mergeCell ref="RDJ11:RDJ12"/>
    <mergeCell ref="RDK11:RDK12"/>
    <mergeCell ref="RDL11:RDL12"/>
    <mergeCell ref="RDM11:RDM12"/>
    <mergeCell ref="RDN11:RDN12"/>
    <mergeCell ref="RDO11:RDO12"/>
    <mergeCell ref="RDD11:RDD12"/>
    <mergeCell ref="RDE11:RDE12"/>
    <mergeCell ref="RDF11:RDF12"/>
    <mergeCell ref="RDG11:RDG12"/>
    <mergeCell ref="RDH11:RDH12"/>
    <mergeCell ref="RDI11:RDI12"/>
    <mergeCell ref="RCX11:RCX12"/>
    <mergeCell ref="RCY11:RCY12"/>
    <mergeCell ref="RCZ11:RCZ12"/>
    <mergeCell ref="RDA11:RDA12"/>
    <mergeCell ref="RDB11:RDB12"/>
    <mergeCell ref="RDC11:RDC12"/>
    <mergeCell ref="RCR11:RCR12"/>
    <mergeCell ref="RCS11:RCS12"/>
    <mergeCell ref="RCT11:RCT12"/>
    <mergeCell ref="RCU11:RCU12"/>
    <mergeCell ref="RCV11:RCV12"/>
    <mergeCell ref="RCW11:RCW12"/>
    <mergeCell ref="RCL11:RCL12"/>
    <mergeCell ref="RCM11:RCM12"/>
    <mergeCell ref="RCN11:RCN12"/>
    <mergeCell ref="RCO11:RCO12"/>
    <mergeCell ref="RCP11:RCP12"/>
    <mergeCell ref="RCQ11:RCQ12"/>
    <mergeCell ref="RCF11:RCF12"/>
    <mergeCell ref="RCG11:RCG12"/>
    <mergeCell ref="RCH11:RCH12"/>
    <mergeCell ref="RCI11:RCI12"/>
    <mergeCell ref="RCJ11:RCJ12"/>
    <mergeCell ref="RCK11:RCK12"/>
    <mergeCell ref="RBZ11:RBZ12"/>
    <mergeCell ref="RCA11:RCA12"/>
    <mergeCell ref="RCB11:RCB12"/>
    <mergeCell ref="RCC11:RCC12"/>
    <mergeCell ref="RCD11:RCD12"/>
    <mergeCell ref="RCE11:RCE12"/>
    <mergeCell ref="RBT11:RBT12"/>
    <mergeCell ref="RBU11:RBU12"/>
    <mergeCell ref="RBV11:RBV12"/>
    <mergeCell ref="RBW11:RBW12"/>
    <mergeCell ref="RBX11:RBX12"/>
    <mergeCell ref="RBY11:RBY12"/>
    <mergeCell ref="RBN11:RBN12"/>
    <mergeCell ref="RBO11:RBO12"/>
    <mergeCell ref="RBP11:RBP12"/>
    <mergeCell ref="RBQ11:RBQ12"/>
    <mergeCell ref="RBR11:RBR12"/>
    <mergeCell ref="RBS11:RBS12"/>
    <mergeCell ref="RBH11:RBH12"/>
    <mergeCell ref="RBI11:RBI12"/>
    <mergeCell ref="RBJ11:RBJ12"/>
    <mergeCell ref="RBK11:RBK12"/>
    <mergeCell ref="RBL11:RBL12"/>
    <mergeCell ref="RBM11:RBM12"/>
    <mergeCell ref="RBB11:RBB12"/>
    <mergeCell ref="RBC11:RBC12"/>
    <mergeCell ref="RBD11:RBD12"/>
    <mergeCell ref="RBE11:RBE12"/>
    <mergeCell ref="RBF11:RBF12"/>
    <mergeCell ref="RBG11:RBG12"/>
    <mergeCell ref="RAV11:RAV12"/>
    <mergeCell ref="RAW11:RAW12"/>
    <mergeCell ref="RAX11:RAX12"/>
    <mergeCell ref="RAY11:RAY12"/>
    <mergeCell ref="RAZ11:RAZ12"/>
    <mergeCell ref="RBA11:RBA12"/>
    <mergeCell ref="RAP11:RAP12"/>
    <mergeCell ref="RAQ11:RAQ12"/>
    <mergeCell ref="RAR11:RAR12"/>
    <mergeCell ref="RAS11:RAS12"/>
    <mergeCell ref="RAT11:RAT12"/>
    <mergeCell ref="RAU11:RAU12"/>
    <mergeCell ref="RAJ11:RAJ12"/>
    <mergeCell ref="RAK11:RAK12"/>
    <mergeCell ref="RAL11:RAL12"/>
    <mergeCell ref="RAM11:RAM12"/>
    <mergeCell ref="RAN11:RAN12"/>
    <mergeCell ref="RAO11:RAO12"/>
    <mergeCell ref="RAD11:RAD12"/>
    <mergeCell ref="RAE11:RAE12"/>
    <mergeCell ref="RAF11:RAF12"/>
    <mergeCell ref="RAG11:RAG12"/>
    <mergeCell ref="RAH11:RAH12"/>
    <mergeCell ref="RAI11:RAI12"/>
    <mergeCell ref="QZX11:QZX12"/>
    <mergeCell ref="QZY11:QZY12"/>
    <mergeCell ref="QZZ11:QZZ12"/>
    <mergeCell ref="RAA11:RAA12"/>
    <mergeCell ref="RAB11:RAB12"/>
    <mergeCell ref="RAC11:RAC12"/>
    <mergeCell ref="QZR11:QZR12"/>
    <mergeCell ref="QZS11:QZS12"/>
    <mergeCell ref="QZT11:QZT12"/>
    <mergeCell ref="QZU11:QZU12"/>
    <mergeCell ref="QZV11:QZV12"/>
    <mergeCell ref="QZW11:QZW12"/>
    <mergeCell ref="QZL11:QZL12"/>
    <mergeCell ref="QZM11:QZM12"/>
    <mergeCell ref="QZN11:QZN12"/>
    <mergeCell ref="QZO11:QZO12"/>
    <mergeCell ref="QZP11:QZP12"/>
    <mergeCell ref="QZQ11:QZQ12"/>
    <mergeCell ref="QZF11:QZF12"/>
    <mergeCell ref="QZG11:QZG12"/>
    <mergeCell ref="QZH11:QZH12"/>
    <mergeCell ref="QZI11:QZI12"/>
    <mergeCell ref="QZJ11:QZJ12"/>
    <mergeCell ref="QZK11:QZK12"/>
    <mergeCell ref="QYZ11:QYZ12"/>
    <mergeCell ref="QZA11:QZA12"/>
    <mergeCell ref="QZB11:QZB12"/>
    <mergeCell ref="QZC11:QZC12"/>
    <mergeCell ref="QZD11:QZD12"/>
    <mergeCell ref="QZE11:QZE12"/>
    <mergeCell ref="QYT11:QYT12"/>
    <mergeCell ref="QYU11:QYU12"/>
    <mergeCell ref="QYV11:QYV12"/>
    <mergeCell ref="QYW11:QYW12"/>
    <mergeCell ref="QYX11:QYX12"/>
    <mergeCell ref="QYY11:QYY12"/>
    <mergeCell ref="QYN11:QYN12"/>
    <mergeCell ref="QYO11:QYO12"/>
    <mergeCell ref="QYP11:QYP12"/>
    <mergeCell ref="QYQ11:QYQ12"/>
    <mergeCell ref="QYR11:QYR12"/>
    <mergeCell ref="QYS11:QYS12"/>
    <mergeCell ref="QYH11:QYH12"/>
    <mergeCell ref="QYI11:QYI12"/>
    <mergeCell ref="QYJ11:QYJ12"/>
    <mergeCell ref="QYK11:QYK12"/>
    <mergeCell ref="QYL11:QYL12"/>
    <mergeCell ref="QYM11:QYM12"/>
    <mergeCell ref="QYB11:QYB12"/>
    <mergeCell ref="QYC11:QYC12"/>
    <mergeCell ref="QYD11:QYD12"/>
    <mergeCell ref="QYE11:QYE12"/>
    <mergeCell ref="QYF11:QYF12"/>
    <mergeCell ref="QYG11:QYG12"/>
    <mergeCell ref="QXV11:QXV12"/>
    <mergeCell ref="QXW11:QXW12"/>
    <mergeCell ref="QXX11:QXX12"/>
    <mergeCell ref="QXY11:QXY12"/>
    <mergeCell ref="QXZ11:QXZ12"/>
    <mergeCell ref="QYA11:QYA12"/>
    <mergeCell ref="QXP11:QXP12"/>
    <mergeCell ref="QXQ11:QXQ12"/>
    <mergeCell ref="QXR11:QXR12"/>
    <mergeCell ref="QXS11:QXS12"/>
    <mergeCell ref="QXT11:QXT12"/>
    <mergeCell ref="QXU11:QXU12"/>
    <mergeCell ref="QXJ11:QXJ12"/>
    <mergeCell ref="QXK11:QXK12"/>
    <mergeCell ref="QXL11:QXL12"/>
    <mergeCell ref="QXM11:QXM12"/>
    <mergeCell ref="QXN11:QXN12"/>
    <mergeCell ref="QXO11:QXO12"/>
    <mergeCell ref="QXD11:QXD12"/>
    <mergeCell ref="QXE11:QXE12"/>
    <mergeCell ref="QXF11:QXF12"/>
    <mergeCell ref="QXG11:QXG12"/>
    <mergeCell ref="QXH11:QXH12"/>
    <mergeCell ref="QXI11:QXI12"/>
    <mergeCell ref="QWX11:QWX12"/>
    <mergeCell ref="QWY11:QWY12"/>
    <mergeCell ref="QWZ11:QWZ12"/>
    <mergeCell ref="QXA11:QXA12"/>
    <mergeCell ref="QXB11:QXB12"/>
    <mergeCell ref="QXC11:QXC12"/>
    <mergeCell ref="QWR11:QWR12"/>
    <mergeCell ref="QWS11:QWS12"/>
    <mergeCell ref="QWT11:QWT12"/>
    <mergeCell ref="QWU11:QWU12"/>
    <mergeCell ref="QWV11:QWV12"/>
    <mergeCell ref="QWW11:QWW12"/>
    <mergeCell ref="QWL11:QWL12"/>
    <mergeCell ref="QWM11:QWM12"/>
    <mergeCell ref="QWN11:QWN12"/>
    <mergeCell ref="QWO11:QWO12"/>
    <mergeCell ref="QWP11:QWP12"/>
    <mergeCell ref="QWQ11:QWQ12"/>
    <mergeCell ref="QWF11:QWF12"/>
    <mergeCell ref="QWG11:QWG12"/>
    <mergeCell ref="QWH11:QWH12"/>
    <mergeCell ref="QWI11:QWI12"/>
    <mergeCell ref="QWJ11:QWJ12"/>
    <mergeCell ref="QWK11:QWK12"/>
    <mergeCell ref="QVZ11:QVZ12"/>
    <mergeCell ref="QWA11:QWA12"/>
    <mergeCell ref="QWB11:QWB12"/>
    <mergeCell ref="QWC11:QWC12"/>
    <mergeCell ref="QWD11:QWD12"/>
    <mergeCell ref="QWE11:QWE12"/>
    <mergeCell ref="QVT11:QVT12"/>
    <mergeCell ref="QVU11:QVU12"/>
    <mergeCell ref="QVV11:QVV12"/>
    <mergeCell ref="QVW11:QVW12"/>
    <mergeCell ref="QVX11:QVX12"/>
    <mergeCell ref="QVY11:QVY12"/>
    <mergeCell ref="QVN11:QVN12"/>
    <mergeCell ref="QVO11:QVO12"/>
    <mergeCell ref="QVP11:QVP12"/>
    <mergeCell ref="QVQ11:QVQ12"/>
    <mergeCell ref="QVR11:QVR12"/>
    <mergeCell ref="QVS11:QVS12"/>
    <mergeCell ref="QVH11:QVH12"/>
    <mergeCell ref="QVI11:QVI12"/>
    <mergeCell ref="QVJ11:QVJ12"/>
    <mergeCell ref="QVK11:QVK12"/>
    <mergeCell ref="QVL11:QVL12"/>
    <mergeCell ref="QVM11:QVM12"/>
    <mergeCell ref="QVB11:QVB12"/>
    <mergeCell ref="QVC11:QVC12"/>
    <mergeCell ref="QVD11:QVD12"/>
    <mergeCell ref="QVE11:QVE12"/>
    <mergeCell ref="QVF11:QVF12"/>
    <mergeCell ref="QVG11:QVG12"/>
    <mergeCell ref="QUV11:QUV12"/>
    <mergeCell ref="QUW11:QUW12"/>
    <mergeCell ref="QUX11:QUX12"/>
    <mergeCell ref="QUY11:QUY12"/>
    <mergeCell ref="QUZ11:QUZ12"/>
    <mergeCell ref="QVA11:QVA12"/>
    <mergeCell ref="QUP11:QUP12"/>
    <mergeCell ref="QUQ11:QUQ12"/>
    <mergeCell ref="QUR11:QUR12"/>
    <mergeCell ref="QUS11:QUS12"/>
    <mergeCell ref="QUT11:QUT12"/>
    <mergeCell ref="QUU11:QUU12"/>
    <mergeCell ref="QUJ11:QUJ12"/>
    <mergeCell ref="QUK11:QUK12"/>
    <mergeCell ref="QUL11:QUL12"/>
    <mergeCell ref="QUM11:QUM12"/>
    <mergeCell ref="QUN11:QUN12"/>
    <mergeCell ref="QUO11:QUO12"/>
    <mergeCell ref="QUD11:QUD12"/>
    <mergeCell ref="QUE11:QUE12"/>
    <mergeCell ref="QUF11:QUF12"/>
    <mergeCell ref="QUG11:QUG12"/>
    <mergeCell ref="QUH11:QUH12"/>
    <mergeCell ref="QUI11:QUI12"/>
    <mergeCell ref="QTX11:QTX12"/>
    <mergeCell ref="QTY11:QTY12"/>
    <mergeCell ref="QTZ11:QTZ12"/>
    <mergeCell ref="QUA11:QUA12"/>
    <mergeCell ref="QUB11:QUB12"/>
    <mergeCell ref="QUC11:QUC12"/>
    <mergeCell ref="QTR11:QTR12"/>
    <mergeCell ref="QTS11:QTS12"/>
    <mergeCell ref="QTT11:QTT12"/>
    <mergeCell ref="QTU11:QTU12"/>
    <mergeCell ref="QTV11:QTV12"/>
    <mergeCell ref="QTW11:QTW12"/>
    <mergeCell ref="QTL11:QTL12"/>
    <mergeCell ref="QTM11:QTM12"/>
    <mergeCell ref="QTN11:QTN12"/>
    <mergeCell ref="QTO11:QTO12"/>
    <mergeCell ref="QTP11:QTP12"/>
    <mergeCell ref="QTQ11:QTQ12"/>
    <mergeCell ref="QTF11:QTF12"/>
    <mergeCell ref="QTG11:QTG12"/>
    <mergeCell ref="QTH11:QTH12"/>
    <mergeCell ref="QTI11:QTI12"/>
    <mergeCell ref="QTJ11:QTJ12"/>
    <mergeCell ref="QTK11:QTK12"/>
    <mergeCell ref="QSZ11:QSZ12"/>
    <mergeCell ref="QTA11:QTA12"/>
    <mergeCell ref="QTB11:QTB12"/>
    <mergeCell ref="QTC11:QTC12"/>
    <mergeCell ref="QTD11:QTD12"/>
    <mergeCell ref="QTE11:QTE12"/>
    <mergeCell ref="QST11:QST12"/>
    <mergeCell ref="QSU11:QSU12"/>
    <mergeCell ref="QSV11:QSV12"/>
    <mergeCell ref="QSW11:QSW12"/>
    <mergeCell ref="QSX11:QSX12"/>
    <mergeCell ref="QSY11:QSY12"/>
    <mergeCell ref="QSN11:QSN12"/>
    <mergeCell ref="QSO11:QSO12"/>
    <mergeCell ref="QSP11:QSP12"/>
    <mergeCell ref="QSQ11:QSQ12"/>
    <mergeCell ref="QSR11:QSR12"/>
    <mergeCell ref="QSS11:QSS12"/>
    <mergeCell ref="QSH11:QSH12"/>
    <mergeCell ref="QSI11:QSI12"/>
    <mergeCell ref="QSJ11:QSJ12"/>
    <mergeCell ref="QSK11:QSK12"/>
    <mergeCell ref="QSL11:QSL12"/>
    <mergeCell ref="QSM11:QSM12"/>
    <mergeCell ref="QSB11:QSB12"/>
    <mergeCell ref="QSC11:QSC12"/>
    <mergeCell ref="QSD11:QSD12"/>
    <mergeCell ref="QSE11:QSE12"/>
    <mergeCell ref="QSF11:QSF12"/>
    <mergeCell ref="QSG11:QSG12"/>
    <mergeCell ref="QRV11:QRV12"/>
    <mergeCell ref="QRW11:QRW12"/>
    <mergeCell ref="QRX11:QRX12"/>
    <mergeCell ref="QRY11:QRY12"/>
    <mergeCell ref="QRZ11:QRZ12"/>
    <mergeCell ref="QSA11:QSA12"/>
    <mergeCell ref="QRP11:QRP12"/>
    <mergeCell ref="QRQ11:QRQ12"/>
    <mergeCell ref="QRR11:QRR12"/>
    <mergeCell ref="QRS11:QRS12"/>
    <mergeCell ref="QRT11:QRT12"/>
    <mergeCell ref="QRU11:QRU12"/>
    <mergeCell ref="QRJ11:QRJ12"/>
    <mergeCell ref="QRK11:QRK12"/>
    <mergeCell ref="QRL11:QRL12"/>
    <mergeCell ref="QRM11:QRM12"/>
    <mergeCell ref="QRN11:QRN12"/>
    <mergeCell ref="QRO11:QRO12"/>
    <mergeCell ref="QRD11:QRD12"/>
    <mergeCell ref="QRE11:QRE12"/>
    <mergeCell ref="QRF11:QRF12"/>
    <mergeCell ref="QRG11:QRG12"/>
    <mergeCell ref="QRH11:QRH12"/>
    <mergeCell ref="QRI11:QRI12"/>
    <mergeCell ref="QQX11:QQX12"/>
    <mergeCell ref="QQY11:QQY12"/>
    <mergeCell ref="QQZ11:QQZ12"/>
    <mergeCell ref="QRA11:QRA12"/>
    <mergeCell ref="QRB11:QRB12"/>
    <mergeCell ref="QRC11:QRC12"/>
    <mergeCell ref="QQR11:QQR12"/>
    <mergeCell ref="QQS11:QQS12"/>
    <mergeCell ref="QQT11:QQT12"/>
    <mergeCell ref="QQU11:QQU12"/>
    <mergeCell ref="QQV11:QQV12"/>
    <mergeCell ref="QQW11:QQW12"/>
    <mergeCell ref="QQL11:QQL12"/>
    <mergeCell ref="QQM11:QQM12"/>
    <mergeCell ref="QQN11:QQN12"/>
    <mergeCell ref="QQO11:QQO12"/>
    <mergeCell ref="QQP11:QQP12"/>
    <mergeCell ref="QQQ11:QQQ12"/>
    <mergeCell ref="QQF11:QQF12"/>
    <mergeCell ref="QQG11:QQG12"/>
    <mergeCell ref="QQH11:QQH12"/>
    <mergeCell ref="QQI11:QQI12"/>
    <mergeCell ref="QQJ11:QQJ12"/>
    <mergeCell ref="QQK11:QQK12"/>
    <mergeCell ref="QPZ11:QPZ12"/>
    <mergeCell ref="QQA11:QQA12"/>
    <mergeCell ref="QQB11:QQB12"/>
    <mergeCell ref="QQC11:QQC12"/>
    <mergeCell ref="QQD11:QQD12"/>
    <mergeCell ref="QQE11:QQE12"/>
    <mergeCell ref="QPT11:QPT12"/>
    <mergeCell ref="QPU11:QPU12"/>
    <mergeCell ref="QPV11:QPV12"/>
    <mergeCell ref="QPW11:QPW12"/>
    <mergeCell ref="QPX11:QPX12"/>
    <mergeCell ref="QPY11:QPY12"/>
    <mergeCell ref="QPN11:QPN12"/>
    <mergeCell ref="QPO11:QPO12"/>
    <mergeCell ref="QPP11:QPP12"/>
    <mergeCell ref="QPQ11:QPQ12"/>
    <mergeCell ref="QPR11:QPR12"/>
    <mergeCell ref="QPS11:QPS12"/>
    <mergeCell ref="QPH11:QPH12"/>
    <mergeCell ref="QPI11:QPI12"/>
    <mergeCell ref="QPJ11:QPJ12"/>
    <mergeCell ref="QPK11:QPK12"/>
    <mergeCell ref="QPL11:QPL12"/>
    <mergeCell ref="QPM11:QPM12"/>
    <mergeCell ref="QPB11:QPB12"/>
    <mergeCell ref="QPC11:QPC12"/>
    <mergeCell ref="QPD11:QPD12"/>
    <mergeCell ref="QPE11:QPE12"/>
    <mergeCell ref="QPF11:QPF12"/>
    <mergeCell ref="QPG11:QPG12"/>
    <mergeCell ref="QOV11:QOV12"/>
    <mergeCell ref="QOW11:QOW12"/>
    <mergeCell ref="QOX11:QOX12"/>
    <mergeCell ref="QOY11:QOY12"/>
    <mergeCell ref="QOZ11:QOZ12"/>
    <mergeCell ref="QPA11:QPA12"/>
    <mergeCell ref="QOP11:QOP12"/>
    <mergeCell ref="QOQ11:QOQ12"/>
    <mergeCell ref="QOR11:QOR12"/>
    <mergeCell ref="QOS11:QOS12"/>
    <mergeCell ref="QOT11:QOT12"/>
    <mergeCell ref="QOU11:QOU12"/>
    <mergeCell ref="QOJ11:QOJ12"/>
    <mergeCell ref="QOK11:QOK12"/>
    <mergeCell ref="QOL11:QOL12"/>
    <mergeCell ref="QOM11:QOM12"/>
    <mergeCell ref="QON11:QON12"/>
    <mergeCell ref="QOO11:QOO12"/>
    <mergeCell ref="QOD11:QOD12"/>
    <mergeCell ref="QOE11:QOE12"/>
    <mergeCell ref="QOF11:QOF12"/>
    <mergeCell ref="QOG11:QOG12"/>
    <mergeCell ref="QOH11:QOH12"/>
    <mergeCell ref="QOI11:QOI12"/>
    <mergeCell ref="QNX11:QNX12"/>
    <mergeCell ref="QNY11:QNY12"/>
    <mergeCell ref="QNZ11:QNZ12"/>
    <mergeCell ref="QOA11:QOA12"/>
    <mergeCell ref="QOB11:QOB12"/>
    <mergeCell ref="QOC11:QOC12"/>
    <mergeCell ref="QNR11:QNR12"/>
    <mergeCell ref="QNS11:QNS12"/>
    <mergeCell ref="QNT11:QNT12"/>
    <mergeCell ref="QNU11:QNU12"/>
    <mergeCell ref="QNV11:QNV12"/>
    <mergeCell ref="QNW11:QNW12"/>
    <mergeCell ref="QNL11:QNL12"/>
    <mergeCell ref="QNM11:QNM12"/>
    <mergeCell ref="QNN11:QNN12"/>
    <mergeCell ref="QNO11:QNO12"/>
    <mergeCell ref="QNP11:QNP12"/>
    <mergeCell ref="QNQ11:QNQ12"/>
    <mergeCell ref="QNF11:QNF12"/>
    <mergeCell ref="QNG11:QNG12"/>
    <mergeCell ref="QNH11:QNH12"/>
    <mergeCell ref="QNI11:QNI12"/>
    <mergeCell ref="QNJ11:QNJ12"/>
    <mergeCell ref="QNK11:QNK12"/>
    <mergeCell ref="QMZ11:QMZ12"/>
    <mergeCell ref="QNA11:QNA12"/>
    <mergeCell ref="QNB11:QNB12"/>
    <mergeCell ref="QNC11:QNC12"/>
    <mergeCell ref="QND11:QND12"/>
    <mergeCell ref="QNE11:QNE12"/>
    <mergeCell ref="QMT11:QMT12"/>
    <mergeCell ref="QMU11:QMU12"/>
    <mergeCell ref="QMV11:QMV12"/>
    <mergeCell ref="QMW11:QMW12"/>
    <mergeCell ref="QMX11:QMX12"/>
    <mergeCell ref="QMY11:QMY12"/>
    <mergeCell ref="QMN11:QMN12"/>
    <mergeCell ref="QMO11:QMO12"/>
    <mergeCell ref="QMP11:QMP12"/>
    <mergeCell ref="QMQ11:QMQ12"/>
    <mergeCell ref="QMR11:QMR12"/>
    <mergeCell ref="QMS11:QMS12"/>
    <mergeCell ref="QMH11:QMH12"/>
    <mergeCell ref="QMI11:QMI12"/>
    <mergeCell ref="QMJ11:QMJ12"/>
    <mergeCell ref="QMK11:QMK12"/>
    <mergeCell ref="QML11:QML12"/>
    <mergeCell ref="QMM11:QMM12"/>
    <mergeCell ref="QMB11:QMB12"/>
    <mergeCell ref="QMC11:QMC12"/>
    <mergeCell ref="QMD11:QMD12"/>
    <mergeCell ref="QME11:QME12"/>
    <mergeCell ref="QMF11:QMF12"/>
    <mergeCell ref="QMG11:QMG12"/>
    <mergeCell ref="QLV11:QLV12"/>
    <mergeCell ref="QLW11:QLW12"/>
    <mergeCell ref="QLX11:QLX12"/>
    <mergeCell ref="QLY11:QLY12"/>
    <mergeCell ref="QLZ11:QLZ12"/>
    <mergeCell ref="QMA11:QMA12"/>
    <mergeCell ref="QLP11:QLP12"/>
    <mergeCell ref="QLQ11:QLQ12"/>
    <mergeCell ref="QLR11:QLR12"/>
    <mergeCell ref="QLS11:QLS12"/>
    <mergeCell ref="QLT11:QLT12"/>
    <mergeCell ref="QLU11:QLU12"/>
    <mergeCell ref="QLJ11:QLJ12"/>
    <mergeCell ref="QLK11:QLK12"/>
    <mergeCell ref="QLL11:QLL12"/>
    <mergeCell ref="QLM11:QLM12"/>
    <mergeCell ref="QLN11:QLN12"/>
    <mergeCell ref="QLO11:QLO12"/>
    <mergeCell ref="QLD11:QLD12"/>
    <mergeCell ref="QLE11:QLE12"/>
    <mergeCell ref="QLF11:QLF12"/>
    <mergeCell ref="QLG11:QLG12"/>
    <mergeCell ref="QLH11:QLH12"/>
    <mergeCell ref="QLI11:QLI12"/>
    <mergeCell ref="QKX11:QKX12"/>
    <mergeCell ref="QKY11:QKY12"/>
    <mergeCell ref="QKZ11:QKZ12"/>
    <mergeCell ref="QLA11:QLA12"/>
    <mergeCell ref="QLB11:QLB12"/>
    <mergeCell ref="QLC11:QLC12"/>
    <mergeCell ref="QKR11:QKR12"/>
    <mergeCell ref="QKS11:QKS12"/>
    <mergeCell ref="QKT11:QKT12"/>
    <mergeCell ref="QKU11:QKU12"/>
    <mergeCell ref="QKV11:QKV12"/>
    <mergeCell ref="QKW11:QKW12"/>
    <mergeCell ref="QKL11:QKL12"/>
    <mergeCell ref="QKM11:QKM12"/>
    <mergeCell ref="QKN11:QKN12"/>
    <mergeCell ref="QKO11:QKO12"/>
    <mergeCell ref="QKP11:QKP12"/>
    <mergeCell ref="QKQ11:QKQ12"/>
    <mergeCell ref="QKF11:QKF12"/>
    <mergeCell ref="QKG11:QKG12"/>
    <mergeCell ref="QKH11:QKH12"/>
    <mergeCell ref="QKI11:QKI12"/>
    <mergeCell ref="QKJ11:QKJ12"/>
    <mergeCell ref="QKK11:QKK12"/>
    <mergeCell ref="QJZ11:QJZ12"/>
    <mergeCell ref="QKA11:QKA12"/>
    <mergeCell ref="QKB11:QKB12"/>
    <mergeCell ref="QKC11:QKC12"/>
    <mergeCell ref="QKD11:QKD12"/>
    <mergeCell ref="QKE11:QKE12"/>
    <mergeCell ref="QJT11:QJT12"/>
    <mergeCell ref="QJU11:QJU12"/>
    <mergeCell ref="QJV11:QJV12"/>
    <mergeCell ref="QJW11:QJW12"/>
    <mergeCell ref="QJX11:QJX12"/>
    <mergeCell ref="QJY11:QJY12"/>
    <mergeCell ref="QJN11:QJN12"/>
    <mergeCell ref="QJO11:QJO12"/>
    <mergeCell ref="QJP11:QJP12"/>
    <mergeCell ref="QJQ11:QJQ12"/>
    <mergeCell ref="QJR11:QJR12"/>
    <mergeCell ref="QJS11:QJS12"/>
    <mergeCell ref="QJH11:QJH12"/>
    <mergeCell ref="QJI11:QJI12"/>
    <mergeCell ref="QJJ11:QJJ12"/>
    <mergeCell ref="QJK11:QJK12"/>
    <mergeCell ref="QJL11:QJL12"/>
    <mergeCell ref="QJM11:QJM12"/>
    <mergeCell ref="QJB11:QJB12"/>
    <mergeCell ref="QJC11:QJC12"/>
    <mergeCell ref="QJD11:QJD12"/>
    <mergeCell ref="QJE11:QJE12"/>
    <mergeCell ref="QJF11:QJF12"/>
    <mergeCell ref="QJG11:QJG12"/>
    <mergeCell ref="QIV11:QIV12"/>
    <mergeCell ref="QIW11:QIW12"/>
    <mergeCell ref="QIX11:QIX12"/>
    <mergeCell ref="QIY11:QIY12"/>
    <mergeCell ref="QIZ11:QIZ12"/>
    <mergeCell ref="QJA11:QJA12"/>
    <mergeCell ref="QIP11:QIP12"/>
    <mergeCell ref="QIQ11:QIQ12"/>
    <mergeCell ref="QIR11:QIR12"/>
    <mergeCell ref="QIS11:QIS12"/>
    <mergeCell ref="QIT11:QIT12"/>
    <mergeCell ref="QIU11:QIU12"/>
    <mergeCell ref="QIJ11:QIJ12"/>
    <mergeCell ref="QIK11:QIK12"/>
    <mergeCell ref="QIL11:QIL12"/>
    <mergeCell ref="QIM11:QIM12"/>
    <mergeCell ref="QIN11:QIN12"/>
    <mergeCell ref="QIO11:QIO12"/>
    <mergeCell ref="QID11:QID12"/>
    <mergeCell ref="QIE11:QIE12"/>
    <mergeCell ref="QIF11:QIF12"/>
    <mergeCell ref="QIG11:QIG12"/>
    <mergeCell ref="QIH11:QIH12"/>
    <mergeCell ref="QII11:QII12"/>
    <mergeCell ref="QHX11:QHX12"/>
    <mergeCell ref="QHY11:QHY12"/>
    <mergeCell ref="QHZ11:QHZ12"/>
    <mergeCell ref="QIA11:QIA12"/>
    <mergeCell ref="QIB11:QIB12"/>
    <mergeCell ref="QIC11:QIC12"/>
    <mergeCell ref="QHR11:QHR12"/>
    <mergeCell ref="QHS11:QHS12"/>
    <mergeCell ref="QHT11:QHT12"/>
    <mergeCell ref="QHU11:QHU12"/>
    <mergeCell ref="QHV11:QHV12"/>
    <mergeCell ref="QHW11:QHW12"/>
    <mergeCell ref="QHL11:QHL12"/>
    <mergeCell ref="QHM11:QHM12"/>
    <mergeCell ref="QHN11:QHN12"/>
    <mergeCell ref="QHO11:QHO12"/>
    <mergeCell ref="QHP11:QHP12"/>
    <mergeCell ref="QHQ11:QHQ12"/>
    <mergeCell ref="QHF11:QHF12"/>
    <mergeCell ref="QHG11:QHG12"/>
    <mergeCell ref="QHH11:QHH12"/>
    <mergeCell ref="QHI11:QHI12"/>
    <mergeCell ref="QHJ11:QHJ12"/>
    <mergeCell ref="QHK11:QHK12"/>
    <mergeCell ref="QGZ11:QGZ12"/>
    <mergeCell ref="QHA11:QHA12"/>
    <mergeCell ref="QHB11:QHB12"/>
    <mergeCell ref="QHC11:QHC12"/>
    <mergeCell ref="QHD11:QHD12"/>
    <mergeCell ref="QHE11:QHE12"/>
    <mergeCell ref="QGT11:QGT12"/>
    <mergeCell ref="QGU11:QGU12"/>
    <mergeCell ref="QGV11:QGV12"/>
    <mergeCell ref="QGW11:QGW12"/>
    <mergeCell ref="QGX11:QGX12"/>
    <mergeCell ref="QGY11:QGY12"/>
    <mergeCell ref="QGN11:QGN12"/>
    <mergeCell ref="QGO11:QGO12"/>
    <mergeCell ref="QGP11:QGP12"/>
    <mergeCell ref="QGQ11:QGQ12"/>
    <mergeCell ref="QGR11:QGR12"/>
    <mergeCell ref="QGS11:QGS12"/>
    <mergeCell ref="QGH11:QGH12"/>
    <mergeCell ref="QGI11:QGI12"/>
    <mergeCell ref="QGJ11:QGJ12"/>
    <mergeCell ref="QGK11:QGK12"/>
    <mergeCell ref="QGL11:QGL12"/>
    <mergeCell ref="QGM11:QGM12"/>
    <mergeCell ref="QGB11:QGB12"/>
    <mergeCell ref="QGC11:QGC12"/>
    <mergeCell ref="QGD11:QGD12"/>
    <mergeCell ref="QGE11:QGE12"/>
    <mergeCell ref="QGF11:QGF12"/>
    <mergeCell ref="QGG11:QGG12"/>
    <mergeCell ref="QFV11:QFV12"/>
    <mergeCell ref="QFW11:QFW12"/>
    <mergeCell ref="QFX11:QFX12"/>
    <mergeCell ref="QFY11:QFY12"/>
    <mergeCell ref="QFZ11:QFZ12"/>
    <mergeCell ref="QGA11:QGA12"/>
    <mergeCell ref="QFP11:QFP12"/>
    <mergeCell ref="QFQ11:QFQ12"/>
    <mergeCell ref="QFR11:QFR12"/>
    <mergeCell ref="QFS11:QFS12"/>
    <mergeCell ref="QFT11:QFT12"/>
    <mergeCell ref="QFU11:QFU12"/>
    <mergeCell ref="QFJ11:QFJ12"/>
    <mergeCell ref="QFK11:QFK12"/>
    <mergeCell ref="QFL11:QFL12"/>
    <mergeCell ref="QFM11:QFM12"/>
    <mergeCell ref="QFN11:QFN12"/>
    <mergeCell ref="QFO11:QFO12"/>
    <mergeCell ref="QFD11:QFD12"/>
    <mergeCell ref="QFE11:QFE12"/>
    <mergeCell ref="QFF11:QFF12"/>
    <mergeCell ref="QFG11:QFG12"/>
    <mergeCell ref="QFH11:QFH12"/>
    <mergeCell ref="QFI11:QFI12"/>
    <mergeCell ref="QEX11:QEX12"/>
    <mergeCell ref="QEY11:QEY12"/>
    <mergeCell ref="QEZ11:QEZ12"/>
    <mergeCell ref="QFA11:QFA12"/>
    <mergeCell ref="QFB11:QFB12"/>
    <mergeCell ref="QFC11:QFC12"/>
    <mergeCell ref="QER11:QER12"/>
    <mergeCell ref="QES11:QES12"/>
    <mergeCell ref="QET11:QET12"/>
    <mergeCell ref="QEU11:QEU12"/>
    <mergeCell ref="QEV11:QEV12"/>
    <mergeCell ref="QEW11:QEW12"/>
    <mergeCell ref="QEL11:QEL12"/>
    <mergeCell ref="QEM11:QEM12"/>
    <mergeCell ref="QEN11:QEN12"/>
    <mergeCell ref="QEO11:QEO12"/>
    <mergeCell ref="QEP11:QEP12"/>
    <mergeCell ref="QEQ11:QEQ12"/>
    <mergeCell ref="QEF11:QEF12"/>
    <mergeCell ref="QEG11:QEG12"/>
    <mergeCell ref="QEH11:QEH12"/>
    <mergeCell ref="QEI11:QEI12"/>
    <mergeCell ref="QEJ11:QEJ12"/>
    <mergeCell ref="QEK11:QEK12"/>
    <mergeCell ref="QDZ11:QDZ12"/>
    <mergeCell ref="QEA11:QEA12"/>
    <mergeCell ref="QEB11:QEB12"/>
    <mergeCell ref="QEC11:QEC12"/>
    <mergeCell ref="QED11:QED12"/>
    <mergeCell ref="QEE11:QEE12"/>
    <mergeCell ref="QDT11:QDT12"/>
    <mergeCell ref="QDU11:QDU12"/>
    <mergeCell ref="QDV11:QDV12"/>
    <mergeCell ref="QDW11:QDW12"/>
    <mergeCell ref="QDX11:QDX12"/>
    <mergeCell ref="QDY11:QDY12"/>
    <mergeCell ref="QDN11:QDN12"/>
    <mergeCell ref="QDO11:QDO12"/>
    <mergeCell ref="QDP11:QDP12"/>
    <mergeCell ref="QDQ11:QDQ12"/>
    <mergeCell ref="QDR11:QDR12"/>
    <mergeCell ref="QDS11:QDS12"/>
    <mergeCell ref="QDH11:QDH12"/>
    <mergeCell ref="QDI11:QDI12"/>
    <mergeCell ref="QDJ11:QDJ12"/>
    <mergeCell ref="QDK11:QDK12"/>
    <mergeCell ref="QDL11:QDL12"/>
    <mergeCell ref="QDM11:QDM12"/>
    <mergeCell ref="QDB11:QDB12"/>
    <mergeCell ref="QDC11:QDC12"/>
    <mergeCell ref="QDD11:QDD12"/>
    <mergeCell ref="QDE11:QDE12"/>
    <mergeCell ref="QDF11:QDF12"/>
    <mergeCell ref="QDG11:QDG12"/>
    <mergeCell ref="QCV11:QCV12"/>
    <mergeCell ref="QCW11:QCW12"/>
    <mergeCell ref="QCX11:QCX12"/>
    <mergeCell ref="QCY11:QCY12"/>
    <mergeCell ref="QCZ11:QCZ12"/>
    <mergeCell ref="QDA11:QDA12"/>
    <mergeCell ref="QCP11:QCP12"/>
    <mergeCell ref="QCQ11:QCQ12"/>
    <mergeCell ref="QCR11:QCR12"/>
    <mergeCell ref="QCS11:QCS12"/>
    <mergeCell ref="QCT11:QCT12"/>
    <mergeCell ref="QCU11:QCU12"/>
    <mergeCell ref="QCJ11:QCJ12"/>
    <mergeCell ref="QCK11:QCK12"/>
    <mergeCell ref="QCL11:QCL12"/>
    <mergeCell ref="QCM11:QCM12"/>
    <mergeCell ref="QCN11:QCN12"/>
    <mergeCell ref="QCO11:QCO12"/>
    <mergeCell ref="QCD11:QCD12"/>
    <mergeCell ref="QCE11:QCE12"/>
    <mergeCell ref="QCF11:QCF12"/>
    <mergeCell ref="QCG11:QCG12"/>
    <mergeCell ref="QCH11:QCH12"/>
    <mergeCell ref="QCI11:QCI12"/>
    <mergeCell ref="QBX11:QBX12"/>
    <mergeCell ref="QBY11:QBY12"/>
    <mergeCell ref="QBZ11:QBZ12"/>
    <mergeCell ref="QCA11:QCA12"/>
    <mergeCell ref="QCB11:QCB12"/>
    <mergeCell ref="QCC11:QCC12"/>
    <mergeCell ref="QBR11:QBR12"/>
    <mergeCell ref="QBS11:QBS12"/>
    <mergeCell ref="QBT11:QBT12"/>
    <mergeCell ref="QBU11:QBU12"/>
    <mergeCell ref="QBV11:QBV12"/>
    <mergeCell ref="QBW11:QBW12"/>
    <mergeCell ref="QBL11:QBL12"/>
    <mergeCell ref="QBM11:QBM12"/>
    <mergeCell ref="QBN11:QBN12"/>
    <mergeCell ref="QBO11:QBO12"/>
    <mergeCell ref="QBP11:QBP12"/>
    <mergeCell ref="QBQ11:QBQ12"/>
    <mergeCell ref="QBF11:QBF12"/>
    <mergeCell ref="QBG11:QBG12"/>
    <mergeCell ref="QBH11:QBH12"/>
    <mergeCell ref="QBI11:QBI12"/>
    <mergeCell ref="QBJ11:QBJ12"/>
    <mergeCell ref="QBK11:QBK12"/>
    <mergeCell ref="QAZ11:QAZ12"/>
    <mergeCell ref="QBA11:QBA12"/>
    <mergeCell ref="QBB11:QBB12"/>
    <mergeCell ref="QBC11:QBC12"/>
    <mergeCell ref="QBD11:QBD12"/>
    <mergeCell ref="QBE11:QBE12"/>
    <mergeCell ref="QAT11:QAT12"/>
    <mergeCell ref="QAU11:QAU12"/>
    <mergeCell ref="QAV11:QAV12"/>
    <mergeCell ref="QAW11:QAW12"/>
    <mergeCell ref="QAX11:QAX12"/>
    <mergeCell ref="QAY11:QAY12"/>
    <mergeCell ref="QAN11:QAN12"/>
    <mergeCell ref="QAO11:QAO12"/>
    <mergeCell ref="QAP11:QAP12"/>
    <mergeCell ref="QAQ11:QAQ12"/>
    <mergeCell ref="QAR11:QAR12"/>
    <mergeCell ref="QAS11:QAS12"/>
    <mergeCell ref="QAH11:QAH12"/>
    <mergeCell ref="QAI11:QAI12"/>
    <mergeCell ref="QAJ11:QAJ12"/>
    <mergeCell ref="QAK11:QAK12"/>
    <mergeCell ref="QAL11:QAL12"/>
    <mergeCell ref="QAM11:QAM12"/>
    <mergeCell ref="QAB11:QAB12"/>
    <mergeCell ref="QAC11:QAC12"/>
    <mergeCell ref="QAD11:QAD12"/>
    <mergeCell ref="QAE11:QAE12"/>
    <mergeCell ref="QAF11:QAF12"/>
    <mergeCell ref="QAG11:QAG12"/>
    <mergeCell ref="PZV11:PZV12"/>
    <mergeCell ref="PZW11:PZW12"/>
    <mergeCell ref="PZX11:PZX12"/>
    <mergeCell ref="PZY11:PZY12"/>
    <mergeCell ref="PZZ11:PZZ12"/>
    <mergeCell ref="QAA11:QAA12"/>
    <mergeCell ref="PZP11:PZP12"/>
    <mergeCell ref="PZQ11:PZQ12"/>
    <mergeCell ref="PZR11:PZR12"/>
    <mergeCell ref="PZS11:PZS12"/>
    <mergeCell ref="PZT11:PZT12"/>
    <mergeCell ref="PZU11:PZU12"/>
    <mergeCell ref="PZJ11:PZJ12"/>
    <mergeCell ref="PZK11:PZK12"/>
    <mergeCell ref="PZL11:PZL12"/>
    <mergeCell ref="PZM11:PZM12"/>
    <mergeCell ref="PZN11:PZN12"/>
    <mergeCell ref="PZO11:PZO12"/>
    <mergeCell ref="PZD11:PZD12"/>
    <mergeCell ref="PZE11:PZE12"/>
    <mergeCell ref="PZF11:PZF12"/>
    <mergeCell ref="PZG11:PZG12"/>
    <mergeCell ref="PZH11:PZH12"/>
    <mergeCell ref="PZI11:PZI12"/>
    <mergeCell ref="PYX11:PYX12"/>
    <mergeCell ref="PYY11:PYY12"/>
    <mergeCell ref="PYZ11:PYZ12"/>
    <mergeCell ref="PZA11:PZA12"/>
    <mergeCell ref="PZB11:PZB12"/>
    <mergeCell ref="PZC11:PZC12"/>
    <mergeCell ref="PYR11:PYR12"/>
    <mergeCell ref="PYS11:PYS12"/>
    <mergeCell ref="PYT11:PYT12"/>
    <mergeCell ref="PYU11:PYU12"/>
    <mergeCell ref="PYV11:PYV12"/>
    <mergeCell ref="PYW11:PYW12"/>
    <mergeCell ref="PYL11:PYL12"/>
    <mergeCell ref="PYM11:PYM12"/>
    <mergeCell ref="PYN11:PYN12"/>
    <mergeCell ref="PYO11:PYO12"/>
    <mergeCell ref="PYP11:PYP12"/>
    <mergeCell ref="PYQ11:PYQ12"/>
    <mergeCell ref="PYF11:PYF12"/>
    <mergeCell ref="PYG11:PYG12"/>
    <mergeCell ref="PYH11:PYH12"/>
    <mergeCell ref="PYI11:PYI12"/>
    <mergeCell ref="PYJ11:PYJ12"/>
    <mergeCell ref="PYK11:PYK12"/>
    <mergeCell ref="PXZ11:PXZ12"/>
    <mergeCell ref="PYA11:PYA12"/>
    <mergeCell ref="PYB11:PYB12"/>
    <mergeCell ref="PYC11:PYC12"/>
    <mergeCell ref="PYD11:PYD12"/>
    <mergeCell ref="PYE11:PYE12"/>
    <mergeCell ref="PXT11:PXT12"/>
    <mergeCell ref="PXU11:PXU12"/>
    <mergeCell ref="PXV11:PXV12"/>
    <mergeCell ref="PXW11:PXW12"/>
    <mergeCell ref="PXX11:PXX12"/>
    <mergeCell ref="PXY11:PXY12"/>
    <mergeCell ref="PXN11:PXN12"/>
    <mergeCell ref="PXO11:PXO12"/>
    <mergeCell ref="PXP11:PXP12"/>
    <mergeCell ref="PXQ11:PXQ12"/>
    <mergeCell ref="PXR11:PXR12"/>
    <mergeCell ref="PXS11:PXS12"/>
    <mergeCell ref="PXH11:PXH12"/>
    <mergeCell ref="PXI11:PXI12"/>
    <mergeCell ref="PXJ11:PXJ12"/>
    <mergeCell ref="PXK11:PXK12"/>
    <mergeCell ref="PXL11:PXL12"/>
    <mergeCell ref="PXM11:PXM12"/>
    <mergeCell ref="PXB11:PXB12"/>
    <mergeCell ref="PXC11:PXC12"/>
    <mergeCell ref="PXD11:PXD12"/>
    <mergeCell ref="PXE11:PXE12"/>
    <mergeCell ref="PXF11:PXF12"/>
    <mergeCell ref="PXG11:PXG12"/>
    <mergeCell ref="PWV11:PWV12"/>
    <mergeCell ref="PWW11:PWW12"/>
    <mergeCell ref="PWX11:PWX12"/>
    <mergeCell ref="PWY11:PWY12"/>
    <mergeCell ref="PWZ11:PWZ12"/>
    <mergeCell ref="PXA11:PXA12"/>
    <mergeCell ref="PWP11:PWP12"/>
    <mergeCell ref="PWQ11:PWQ12"/>
    <mergeCell ref="PWR11:PWR12"/>
    <mergeCell ref="PWS11:PWS12"/>
    <mergeCell ref="PWT11:PWT12"/>
    <mergeCell ref="PWU11:PWU12"/>
    <mergeCell ref="PWJ11:PWJ12"/>
    <mergeCell ref="PWK11:PWK12"/>
    <mergeCell ref="PWL11:PWL12"/>
    <mergeCell ref="PWM11:PWM12"/>
    <mergeCell ref="PWN11:PWN12"/>
    <mergeCell ref="PWO11:PWO12"/>
    <mergeCell ref="PWD11:PWD12"/>
    <mergeCell ref="PWE11:PWE12"/>
    <mergeCell ref="PWF11:PWF12"/>
    <mergeCell ref="PWG11:PWG12"/>
    <mergeCell ref="PWH11:PWH12"/>
    <mergeCell ref="PWI11:PWI12"/>
    <mergeCell ref="PVX11:PVX12"/>
    <mergeCell ref="PVY11:PVY12"/>
    <mergeCell ref="PVZ11:PVZ12"/>
    <mergeCell ref="PWA11:PWA12"/>
    <mergeCell ref="PWB11:PWB12"/>
    <mergeCell ref="PWC11:PWC12"/>
    <mergeCell ref="PVR11:PVR12"/>
    <mergeCell ref="PVS11:PVS12"/>
    <mergeCell ref="PVT11:PVT12"/>
    <mergeCell ref="PVU11:PVU12"/>
    <mergeCell ref="PVV11:PVV12"/>
    <mergeCell ref="PVW11:PVW12"/>
    <mergeCell ref="PVL11:PVL12"/>
    <mergeCell ref="PVM11:PVM12"/>
    <mergeCell ref="PVN11:PVN12"/>
    <mergeCell ref="PVO11:PVO12"/>
    <mergeCell ref="PVP11:PVP12"/>
    <mergeCell ref="PVQ11:PVQ12"/>
    <mergeCell ref="PVF11:PVF12"/>
    <mergeCell ref="PVG11:PVG12"/>
    <mergeCell ref="PVH11:PVH12"/>
    <mergeCell ref="PVI11:PVI12"/>
    <mergeCell ref="PVJ11:PVJ12"/>
    <mergeCell ref="PVK11:PVK12"/>
    <mergeCell ref="PUZ11:PUZ12"/>
    <mergeCell ref="PVA11:PVA12"/>
    <mergeCell ref="PVB11:PVB12"/>
    <mergeCell ref="PVC11:PVC12"/>
    <mergeCell ref="PVD11:PVD12"/>
    <mergeCell ref="PVE11:PVE12"/>
    <mergeCell ref="PUT11:PUT12"/>
    <mergeCell ref="PUU11:PUU12"/>
    <mergeCell ref="PUV11:PUV12"/>
    <mergeCell ref="PUW11:PUW12"/>
    <mergeCell ref="PUX11:PUX12"/>
    <mergeCell ref="PUY11:PUY12"/>
    <mergeCell ref="PUN11:PUN12"/>
    <mergeCell ref="PUO11:PUO12"/>
    <mergeCell ref="PUP11:PUP12"/>
    <mergeCell ref="PUQ11:PUQ12"/>
    <mergeCell ref="PUR11:PUR12"/>
    <mergeCell ref="PUS11:PUS12"/>
    <mergeCell ref="PUH11:PUH12"/>
    <mergeCell ref="PUI11:PUI12"/>
    <mergeCell ref="PUJ11:PUJ12"/>
    <mergeCell ref="PUK11:PUK12"/>
    <mergeCell ref="PUL11:PUL12"/>
    <mergeCell ref="PUM11:PUM12"/>
    <mergeCell ref="PUB11:PUB12"/>
    <mergeCell ref="PUC11:PUC12"/>
    <mergeCell ref="PUD11:PUD12"/>
    <mergeCell ref="PUE11:PUE12"/>
    <mergeCell ref="PUF11:PUF12"/>
    <mergeCell ref="PUG11:PUG12"/>
    <mergeCell ref="PTV11:PTV12"/>
    <mergeCell ref="PTW11:PTW12"/>
    <mergeCell ref="PTX11:PTX12"/>
    <mergeCell ref="PTY11:PTY12"/>
    <mergeCell ref="PTZ11:PTZ12"/>
    <mergeCell ref="PUA11:PUA12"/>
    <mergeCell ref="PTP11:PTP12"/>
    <mergeCell ref="PTQ11:PTQ12"/>
    <mergeCell ref="PTR11:PTR12"/>
    <mergeCell ref="PTS11:PTS12"/>
    <mergeCell ref="PTT11:PTT12"/>
    <mergeCell ref="PTU11:PTU12"/>
    <mergeCell ref="PTJ11:PTJ12"/>
    <mergeCell ref="PTK11:PTK12"/>
    <mergeCell ref="PTL11:PTL12"/>
    <mergeCell ref="PTM11:PTM12"/>
    <mergeCell ref="PTN11:PTN12"/>
    <mergeCell ref="PTO11:PTO12"/>
    <mergeCell ref="PTD11:PTD12"/>
    <mergeCell ref="PTE11:PTE12"/>
    <mergeCell ref="PTF11:PTF12"/>
    <mergeCell ref="PTG11:PTG12"/>
    <mergeCell ref="PTH11:PTH12"/>
    <mergeCell ref="PTI11:PTI12"/>
    <mergeCell ref="PSX11:PSX12"/>
    <mergeCell ref="PSY11:PSY12"/>
    <mergeCell ref="PSZ11:PSZ12"/>
    <mergeCell ref="PTA11:PTA12"/>
    <mergeCell ref="PTB11:PTB12"/>
    <mergeCell ref="PTC11:PTC12"/>
    <mergeCell ref="PSR11:PSR12"/>
    <mergeCell ref="PSS11:PSS12"/>
    <mergeCell ref="PST11:PST12"/>
    <mergeCell ref="PSU11:PSU12"/>
    <mergeCell ref="PSV11:PSV12"/>
    <mergeCell ref="PSW11:PSW12"/>
    <mergeCell ref="PSL11:PSL12"/>
    <mergeCell ref="PSM11:PSM12"/>
    <mergeCell ref="PSN11:PSN12"/>
    <mergeCell ref="PSO11:PSO12"/>
    <mergeCell ref="PSP11:PSP12"/>
    <mergeCell ref="PSQ11:PSQ12"/>
    <mergeCell ref="PSF11:PSF12"/>
    <mergeCell ref="PSG11:PSG12"/>
    <mergeCell ref="PSH11:PSH12"/>
    <mergeCell ref="PSI11:PSI12"/>
    <mergeCell ref="PSJ11:PSJ12"/>
    <mergeCell ref="PSK11:PSK12"/>
    <mergeCell ref="PRZ11:PRZ12"/>
    <mergeCell ref="PSA11:PSA12"/>
    <mergeCell ref="PSB11:PSB12"/>
    <mergeCell ref="PSC11:PSC12"/>
    <mergeCell ref="PSD11:PSD12"/>
    <mergeCell ref="PSE11:PSE12"/>
    <mergeCell ref="PRT11:PRT12"/>
    <mergeCell ref="PRU11:PRU12"/>
    <mergeCell ref="PRV11:PRV12"/>
    <mergeCell ref="PRW11:PRW12"/>
    <mergeCell ref="PRX11:PRX12"/>
    <mergeCell ref="PRY11:PRY12"/>
    <mergeCell ref="PRN11:PRN12"/>
    <mergeCell ref="PRO11:PRO12"/>
    <mergeCell ref="PRP11:PRP12"/>
    <mergeCell ref="PRQ11:PRQ12"/>
    <mergeCell ref="PRR11:PRR12"/>
    <mergeCell ref="PRS11:PRS12"/>
    <mergeCell ref="PRH11:PRH12"/>
    <mergeCell ref="PRI11:PRI12"/>
    <mergeCell ref="PRJ11:PRJ12"/>
    <mergeCell ref="PRK11:PRK12"/>
    <mergeCell ref="PRL11:PRL12"/>
    <mergeCell ref="PRM11:PRM12"/>
    <mergeCell ref="PRB11:PRB12"/>
    <mergeCell ref="PRC11:PRC12"/>
    <mergeCell ref="PRD11:PRD12"/>
    <mergeCell ref="PRE11:PRE12"/>
    <mergeCell ref="PRF11:PRF12"/>
    <mergeCell ref="PRG11:PRG12"/>
    <mergeCell ref="PQV11:PQV12"/>
    <mergeCell ref="PQW11:PQW12"/>
    <mergeCell ref="PQX11:PQX12"/>
    <mergeCell ref="PQY11:PQY12"/>
    <mergeCell ref="PQZ11:PQZ12"/>
    <mergeCell ref="PRA11:PRA12"/>
    <mergeCell ref="PQP11:PQP12"/>
    <mergeCell ref="PQQ11:PQQ12"/>
    <mergeCell ref="PQR11:PQR12"/>
    <mergeCell ref="PQS11:PQS12"/>
    <mergeCell ref="PQT11:PQT12"/>
    <mergeCell ref="PQU11:PQU12"/>
    <mergeCell ref="PQJ11:PQJ12"/>
    <mergeCell ref="PQK11:PQK12"/>
    <mergeCell ref="PQL11:PQL12"/>
    <mergeCell ref="PQM11:PQM12"/>
    <mergeCell ref="PQN11:PQN12"/>
    <mergeCell ref="PQO11:PQO12"/>
    <mergeCell ref="PQD11:PQD12"/>
    <mergeCell ref="PQE11:PQE12"/>
    <mergeCell ref="PQF11:PQF12"/>
    <mergeCell ref="PQG11:PQG12"/>
    <mergeCell ref="PQH11:PQH12"/>
    <mergeCell ref="PQI11:PQI12"/>
    <mergeCell ref="PPX11:PPX12"/>
    <mergeCell ref="PPY11:PPY12"/>
    <mergeCell ref="PPZ11:PPZ12"/>
    <mergeCell ref="PQA11:PQA12"/>
    <mergeCell ref="PQB11:PQB12"/>
    <mergeCell ref="PQC11:PQC12"/>
    <mergeCell ref="PPR11:PPR12"/>
    <mergeCell ref="PPS11:PPS12"/>
    <mergeCell ref="PPT11:PPT12"/>
    <mergeCell ref="PPU11:PPU12"/>
    <mergeCell ref="PPV11:PPV12"/>
    <mergeCell ref="PPW11:PPW12"/>
    <mergeCell ref="PPL11:PPL12"/>
    <mergeCell ref="PPM11:PPM12"/>
    <mergeCell ref="PPN11:PPN12"/>
    <mergeCell ref="PPO11:PPO12"/>
    <mergeCell ref="PPP11:PPP12"/>
    <mergeCell ref="PPQ11:PPQ12"/>
    <mergeCell ref="PPF11:PPF12"/>
    <mergeCell ref="PPG11:PPG12"/>
    <mergeCell ref="PPH11:PPH12"/>
    <mergeCell ref="PPI11:PPI12"/>
    <mergeCell ref="PPJ11:PPJ12"/>
    <mergeCell ref="PPK11:PPK12"/>
    <mergeCell ref="POZ11:POZ12"/>
    <mergeCell ref="PPA11:PPA12"/>
    <mergeCell ref="PPB11:PPB12"/>
    <mergeCell ref="PPC11:PPC12"/>
    <mergeCell ref="PPD11:PPD12"/>
    <mergeCell ref="PPE11:PPE12"/>
    <mergeCell ref="POT11:POT12"/>
    <mergeCell ref="POU11:POU12"/>
    <mergeCell ref="POV11:POV12"/>
    <mergeCell ref="POW11:POW12"/>
    <mergeCell ref="POX11:POX12"/>
    <mergeCell ref="POY11:POY12"/>
    <mergeCell ref="PON11:PON12"/>
    <mergeCell ref="POO11:POO12"/>
    <mergeCell ref="POP11:POP12"/>
    <mergeCell ref="POQ11:POQ12"/>
    <mergeCell ref="POR11:POR12"/>
    <mergeCell ref="POS11:POS12"/>
    <mergeCell ref="POH11:POH12"/>
    <mergeCell ref="POI11:POI12"/>
    <mergeCell ref="POJ11:POJ12"/>
    <mergeCell ref="POK11:POK12"/>
    <mergeCell ref="POL11:POL12"/>
    <mergeCell ref="POM11:POM12"/>
    <mergeCell ref="POB11:POB12"/>
    <mergeCell ref="POC11:POC12"/>
    <mergeCell ref="POD11:POD12"/>
    <mergeCell ref="POE11:POE12"/>
    <mergeCell ref="POF11:POF12"/>
    <mergeCell ref="POG11:POG12"/>
    <mergeCell ref="PNV11:PNV12"/>
    <mergeCell ref="PNW11:PNW12"/>
    <mergeCell ref="PNX11:PNX12"/>
    <mergeCell ref="PNY11:PNY12"/>
    <mergeCell ref="PNZ11:PNZ12"/>
    <mergeCell ref="POA11:POA12"/>
    <mergeCell ref="PNP11:PNP12"/>
    <mergeCell ref="PNQ11:PNQ12"/>
    <mergeCell ref="PNR11:PNR12"/>
    <mergeCell ref="PNS11:PNS12"/>
    <mergeCell ref="PNT11:PNT12"/>
    <mergeCell ref="PNU11:PNU12"/>
    <mergeCell ref="PNJ11:PNJ12"/>
    <mergeCell ref="PNK11:PNK12"/>
    <mergeCell ref="PNL11:PNL12"/>
    <mergeCell ref="PNM11:PNM12"/>
    <mergeCell ref="PNN11:PNN12"/>
    <mergeCell ref="PNO11:PNO12"/>
    <mergeCell ref="PND11:PND12"/>
    <mergeCell ref="PNE11:PNE12"/>
    <mergeCell ref="PNF11:PNF12"/>
    <mergeCell ref="PNG11:PNG12"/>
    <mergeCell ref="PNH11:PNH12"/>
    <mergeCell ref="PNI11:PNI12"/>
    <mergeCell ref="PMX11:PMX12"/>
    <mergeCell ref="PMY11:PMY12"/>
    <mergeCell ref="PMZ11:PMZ12"/>
    <mergeCell ref="PNA11:PNA12"/>
    <mergeCell ref="PNB11:PNB12"/>
    <mergeCell ref="PNC11:PNC12"/>
    <mergeCell ref="PMR11:PMR12"/>
    <mergeCell ref="PMS11:PMS12"/>
    <mergeCell ref="PMT11:PMT12"/>
    <mergeCell ref="PMU11:PMU12"/>
    <mergeCell ref="PMV11:PMV12"/>
    <mergeCell ref="PMW11:PMW12"/>
    <mergeCell ref="PML11:PML12"/>
    <mergeCell ref="PMM11:PMM12"/>
    <mergeCell ref="PMN11:PMN12"/>
    <mergeCell ref="PMO11:PMO12"/>
    <mergeCell ref="PMP11:PMP12"/>
    <mergeCell ref="PMQ11:PMQ12"/>
    <mergeCell ref="PMF11:PMF12"/>
    <mergeCell ref="PMG11:PMG12"/>
    <mergeCell ref="PMH11:PMH12"/>
    <mergeCell ref="PMI11:PMI12"/>
    <mergeCell ref="PMJ11:PMJ12"/>
    <mergeCell ref="PMK11:PMK12"/>
    <mergeCell ref="PLZ11:PLZ12"/>
    <mergeCell ref="PMA11:PMA12"/>
    <mergeCell ref="PMB11:PMB12"/>
    <mergeCell ref="PMC11:PMC12"/>
    <mergeCell ref="PMD11:PMD12"/>
    <mergeCell ref="PME11:PME12"/>
    <mergeCell ref="PLT11:PLT12"/>
    <mergeCell ref="PLU11:PLU12"/>
    <mergeCell ref="PLV11:PLV12"/>
    <mergeCell ref="PLW11:PLW12"/>
    <mergeCell ref="PLX11:PLX12"/>
    <mergeCell ref="PLY11:PLY12"/>
    <mergeCell ref="PLN11:PLN12"/>
    <mergeCell ref="PLO11:PLO12"/>
    <mergeCell ref="PLP11:PLP12"/>
    <mergeCell ref="PLQ11:PLQ12"/>
    <mergeCell ref="PLR11:PLR12"/>
    <mergeCell ref="PLS11:PLS12"/>
    <mergeCell ref="PLH11:PLH12"/>
    <mergeCell ref="PLI11:PLI12"/>
    <mergeCell ref="PLJ11:PLJ12"/>
    <mergeCell ref="PLK11:PLK12"/>
    <mergeCell ref="PLL11:PLL12"/>
    <mergeCell ref="PLM11:PLM12"/>
    <mergeCell ref="PLB11:PLB12"/>
    <mergeCell ref="PLC11:PLC12"/>
    <mergeCell ref="PLD11:PLD12"/>
    <mergeCell ref="PLE11:PLE12"/>
    <mergeCell ref="PLF11:PLF12"/>
    <mergeCell ref="PLG11:PLG12"/>
    <mergeCell ref="PKV11:PKV12"/>
    <mergeCell ref="PKW11:PKW12"/>
    <mergeCell ref="PKX11:PKX12"/>
    <mergeCell ref="PKY11:PKY12"/>
    <mergeCell ref="PKZ11:PKZ12"/>
    <mergeCell ref="PLA11:PLA12"/>
    <mergeCell ref="PKP11:PKP12"/>
    <mergeCell ref="PKQ11:PKQ12"/>
    <mergeCell ref="PKR11:PKR12"/>
    <mergeCell ref="PKS11:PKS12"/>
    <mergeCell ref="PKT11:PKT12"/>
    <mergeCell ref="PKU11:PKU12"/>
    <mergeCell ref="PKJ11:PKJ12"/>
    <mergeCell ref="PKK11:PKK12"/>
    <mergeCell ref="PKL11:PKL12"/>
    <mergeCell ref="PKM11:PKM12"/>
    <mergeCell ref="PKN11:PKN12"/>
    <mergeCell ref="PKO11:PKO12"/>
    <mergeCell ref="PKD11:PKD12"/>
    <mergeCell ref="PKE11:PKE12"/>
    <mergeCell ref="PKF11:PKF12"/>
    <mergeCell ref="PKG11:PKG12"/>
    <mergeCell ref="PKH11:PKH12"/>
    <mergeCell ref="PKI11:PKI12"/>
    <mergeCell ref="PJX11:PJX12"/>
    <mergeCell ref="PJY11:PJY12"/>
    <mergeCell ref="PJZ11:PJZ12"/>
    <mergeCell ref="PKA11:PKA12"/>
    <mergeCell ref="PKB11:PKB12"/>
    <mergeCell ref="PKC11:PKC12"/>
    <mergeCell ref="PJR11:PJR12"/>
    <mergeCell ref="PJS11:PJS12"/>
    <mergeCell ref="PJT11:PJT12"/>
    <mergeCell ref="PJU11:PJU12"/>
    <mergeCell ref="PJV11:PJV12"/>
    <mergeCell ref="PJW11:PJW12"/>
    <mergeCell ref="PJL11:PJL12"/>
    <mergeCell ref="PJM11:PJM12"/>
    <mergeCell ref="PJN11:PJN12"/>
    <mergeCell ref="PJO11:PJO12"/>
    <mergeCell ref="PJP11:PJP12"/>
    <mergeCell ref="PJQ11:PJQ12"/>
    <mergeCell ref="PJF11:PJF12"/>
    <mergeCell ref="PJG11:PJG12"/>
    <mergeCell ref="PJH11:PJH12"/>
    <mergeCell ref="PJI11:PJI12"/>
    <mergeCell ref="PJJ11:PJJ12"/>
    <mergeCell ref="PJK11:PJK12"/>
    <mergeCell ref="PIZ11:PIZ12"/>
    <mergeCell ref="PJA11:PJA12"/>
    <mergeCell ref="PJB11:PJB12"/>
    <mergeCell ref="PJC11:PJC12"/>
    <mergeCell ref="PJD11:PJD12"/>
    <mergeCell ref="PJE11:PJE12"/>
    <mergeCell ref="PIT11:PIT12"/>
    <mergeCell ref="PIU11:PIU12"/>
    <mergeCell ref="PIV11:PIV12"/>
    <mergeCell ref="PIW11:PIW12"/>
    <mergeCell ref="PIX11:PIX12"/>
    <mergeCell ref="PIY11:PIY12"/>
    <mergeCell ref="PIN11:PIN12"/>
    <mergeCell ref="PIO11:PIO12"/>
    <mergeCell ref="PIP11:PIP12"/>
    <mergeCell ref="PIQ11:PIQ12"/>
    <mergeCell ref="PIR11:PIR12"/>
    <mergeCell ref="PIS11:PIS12"/>
    <mergeCell ref="PIH11:PIH12"/>
    <mergeCell ref="PII11:PII12"/>
    <mergeCell ref="PIJ11:PIJ12"/>
    <mergeCell ref="PIK11:PIK12"/>
    <mergeCell ref="PIL11:PIL12"/>
    <mergeCell ref="PIM11:PIM12"/>
    <mergeCell ref="PIB11:PIB12"/>
    <mergeCell ref="PIC11:PIC12"/>
    <mergeCell ref="PID11:PID12"/>
    <mergeCell ref="PIE11:PIE12"/>
    <mergeCell ref="PIF11:PIF12"/>
    <mergeCell ref="PIG11:PIG12"/>
    <mergeCell ref="PHV11:PHV12"/>
    <mergeCell ref="PHW11:PHW12"/>
    <mergeCell ref="PHX11:PHX12"/>
    <mergeCell ref="PHY11:PHY12"/>
    <mergeCell ref="PHZ11:PHZ12"/>
    <mergeCell ref="PIA11:PIA12"/>
    <mergeCell ref="PHP11:PHP12"/>
    <mergeCell ref="PHQ11:PHQ12"/>
    <mergeCell ref="PHR11:PHR12"/>
    <mergeCell ref="PHS11:PHS12"/>
    <mergeCell ref="PHT11:PHT12"/>
    <mergeCell ref="PHU11:PHU12"/>
    <mergeCell ref="PHJ11:PHJ12"/>
    <mergeCell ref="PHK11:PHK12"/>
    <mergeCell ref="PHL11:PHL12"/>
    <mergeCell ref="PHM11:PHM12"/>
    <mergeCell ref="PHN11:PHN12"/>
    <mergeCell ref="PHO11:PHO12"/>
    <mergeCell ref="PHD11:PHD12"/>
    <mergeCell ref="PHE11:PHE12"/>
    <mergeCell ref="PHF11:PHF12"/>
    <mergeCell ref="PHG11:PHG12"/>
    <mergeCell ref="PHH11:PHH12"/>
    <mergeCell ref="PHI11:PHI12"/>
    <mergeCell ref="PGX11:PGX12"/>
    <mergeCell ref="PGY11:PGY12"/>
    <mergeCell ref="PGZ11:PGZ12"/>
    <mergeCell ref="PHA11:PHA12"/>
    <mergeCell ref="PHB11:PHB12"/>
    <mergeCell ref="PHC11:PHC12"/>
    <mergeCell ref="PGR11:PGR12"/>
    <mergeCell ref="PGS11:PGS12"/>
    <mergeCell ref="PGT11:PGT12"/>
    <mergeCell ref="PGU11:PGU12"/>
    <mergeCell ref="PGV11:PGV12"/>
    <mergeCell ref="PGW11:PGW12"/>
    <mergeCell ref="PGL11:PGL12"/>
    <mergeCell ref="PGM11:PGM12"/>
    <mergeCell ref="PGN11:PGN12"/>
    <mergeCell ref="PGO11:PGO12"/>
    <mergeCell ref="PGP11:PGP12"/>
    <mergeCell ref="PGQ11:PGQ12"/>
    <mergeCell ref="PGF11:PGF12"/>
    <mergeCell ref="PGG11:PGG12"/>
    <mergeCell ref="PGH11:PGH12"/>
    <mergeCell ref="PGI11:PGI12"/>
    <mergeCell ref="PGJ11:PGJ12"/>
    <mergeCell ref="PGK11:PGK12"/>
    <mergeCell ref="PFZ11:PFZ12"/>
    <mergeCell ref="PGA11:PGA12"/>
    <mergeCell ref="PGB11:PGB12"/>
    <mergeCell ref="PGC11:PGC12"/>
    <mergeCell ref="PGD11:PGD12"/>
    <mergeCell ref="PGE11:PGE12"/>
    <mergeCell ref="PFT11:PFT12"/>
    <mergeCell ref="PFU11:PFU12"/>
    <mergeCell ref="PFV11:PFV12"/>
    <mergeCell ref="PFW11:PFW12"/>
    <mergeCell ref="PFX11:PFX12"/>
    <mergeCell ref="PFY11:PFY12"/>
    <mergeCell ref="PFN11:PFN12"/>
    <mergeCell ref="PFO11:PFO12"/>
    <mergeCell ref="PFP11:PFP12"/>
    <mergeCell ref="PFQ11:PFQ12"/>
    <mergeCell ref="PFR11:PFR12"/>
    <mergeCell ref="PFS11:PFS12"/>
    <mergeCell ref="PFH11:PFH12"/>
    <mergeCell ref="PFI11:PFI12"/>
    <mergeCell ref="PFJ11:PFJ12"/>
    <mergeCell ref="PFK11:PFK12"/>
    <mergeCell ref="PFL11:PFL12"/>
    <mergeCell ref="PFM11:PFM12"/>
    <mergeCell ref="PFB11:PFB12"/>
    <mergeCell ref="PFC11:PFC12"/>
    <mergeCell ref="PFD11:PFD12"/>
    <mergeCell ref="PFE11:PFE12"/>
    <mergeCell ref="PFF11:PFF12"/>
    <mergeCell ref="PFG11:PFG12"/>
    <mergeCell ref="PEV11:PEV12"/>
    <mergeCell ref="PEW11:PEW12"/>
    <mergeCell ref="PEX11:PEX12"/>
    <mergeCell ref="PEY11:PEY12"/>
    <mergeCell ref="PEZ11:PEZ12"/>
    <mergeCell ref="PFA11:PFA12"/>
    <mergeCell ref="PEP11:PEP12"/>
    <mergeCell ref="PEQ11:PEQ12"/>
    <mergeCell ref="PER11:PER12"/>
    <mergeCell ref="PES11:PES12"/>
    <mergeCell ref="PET11:PET12"/>
    <mergeCell ref="PEU11:PEU12"/>
    <mergeCell ref="PEJ11:PEJ12"/>
    <mergeCell ref="PEK11:PEK12"/>
    <mergeCell ref="PEL11:PEL12"/>
    <mergeCell ref="PEM11:PEM12"/>
    <mergeCell ref="PEN11:PEN12"/>
    <mergeCell ref="PEO11:PEO12"/>
    <mergeCell ref="PED11:PED12"/>
    <mergeCell ref="PEE11:PEE12"/>
    <mergeCell ref="PEF11:PEF12"/>
    <mergeCell ref="PEG11:PEG12"/>
    <mergeCell ref="PEH11:PEH12"/>
    <mergeCell ref="PEI11:PEI12"/>
    <mergeCell ref="PDX11:PDX12"/>
    <mergeCell ref="PDY11:PDY12"/>
    <mergeCell ref="PDZ11:PDZ12"/>
    <mergeCell ref="PEA11:PEA12"/>
    <mergeCell ref="PEB11:PEB12"/>
    <mergeCell ref="PEC11:PEC12"/>
    <mergeCell ref="PDR11:PDR12"/>
    <mergeCell ref="PDS11:PDS12"/>
    <mergeCell ref="PDT11:PDT12"/>
    <mergeCell ref="PDU11:PDU12"/>
    <mergeCell ref="PDV11:PDV12"/>
    <mergeCell ref="PDW11:PDW12"/>
    <mergeCell ref="PDL11:PDL12"/>
    <mergeCell ref="PDM11:PDM12"/>
    <mergeCell ref="PDN11:PDN12"/>
    <mergeCell ref="PDO11:PDO12"/>
    <mergeCell ref="PDP11:PDP12"/>
    <mergeCell ref="PDQ11:PDQ12"/>
    <mergeCell ref="PDF11:PDF12"/>
    <mergeCell ref="PDG11:PDG12"/>
    <mergeCell ref="PDH11:PDH12"/>
    <mergeCell ref="PDI11:PDI12"/>
    <mergeCell ref="PDJ11:PDJ12"/>
    <mergeCell ref="PDK11:PDK12"/>
    <mergeCell ref="PCZ11:PCZ12"/>
    <mergeCell ref="PDA11:PDA12"/>
    <mergeCell ref="PDB11:PDB12"/>
    <mergeCell ref="PDC11:PDC12"/>
    <mergeCell ref="PDD11:PDD12"/>
    <mergeCell ref="PDE11:PDE12"/>
    <mergeCell ref="PCT11:PCT12"/>
    <mergeCell ref="PCU11:PCU12"/>
    <mergeCell ref="PCV11:PCV12"/>
    <mergeCell ref="PCW11:PCW12"/>
    <mergeCell ref="PCX11:PCX12"/>
    <mergeCell ref="PCY11:PCY12"/>
    <mergeCell ref="PCN11:PCN12"/>
    <mergeCell ref="PCO11:PCO12"/>
    <mergeCell ref="PCP11:PCP12"/>
    <mergeCell ref="PCQ11:PCQ12"/>
    <mergeCell ref="PCR11:PCR12"/>
    <mergeCell ref="PCS11:PCS12"/>
    <mergeCell ref="PCH11:PCH12"/>
    <mergeCell ref="PCI11:PCI12"/>
    <mergeCell ref="PCJ11:PCJ12"/>
    <mergeCell ref="PCK11:PCK12"/>
    <mergeCell ref="PCL11:PCL12"/>
    <mergeCell ref="PCM11:PCM12"/>
    <mergeCell ref="PCB11:PCB12"/>
    <mergeCell ref="PCC11:PCC12"/>
    <mergeCell ref="PCD11:PCD12"/>
    <mergeCell ref="PCE11:PCE12"/>
    <mergeCell ref="PCF11:PCF12"/>
    <mergeCell ref="PCG11:PCG12"/>
    <mergeCell ref="PBV11:PBV12"/>
    <mergeCell ref="PBW11:PBW12"/>
    <mergeCell ref="PBX11:PBX12"/>
    <mergeCell ref="PBY11:PBY12"/>
    <mergeCell ref="PBZ11:PBZ12"/>
    <mergeCell ref="PCA11:PCA12"/>
    <mergeCell ref="PBP11:PBP12"/>
    <mergeCell ref="PBQ11:PBQ12"/>
    <mergeCell ref="PBR11:PBR12"/>
    <mergeCell ref="PBS11:PBS12"/>
    <mergeCell ref="PBT11:PBT12"/>
    <mergeCell ref="PBU11:PBU12"/>
    <mergeCell ref="PBJ11:PBJ12"/>
    <mergeCell ref="PBK11:PBK12"/>
    <mergeCell ref="PBL11:PBL12"/>
    <mergeCell ref="PBM11:PBM12"/>
    <mergeCell ref="PBN11:PBN12"/>
    <mergeCell ref="PBO11:PBO12"/>
    <mergeCell ref="PBD11:PBD12"/>
    <mergeCell ref="PBE11:PBE12"/>
    <mergeCell ref="PBF11:PBF12"/>
    <mergeCell ref="PBG11:PBG12"/>
    <mergeCell ref="PBH11:PBH12"/>
    <mergeCell ref="PBI11:PBI12"/>
    <mergeCell ref="PAX11:PAX12"/>
    <mergeCell ref="PAY11:PAY12"/>
    <mergeCell ref="PAZ11:PAZ12"/>
    <mergeCell ref="PBA11:PBA12"/>
    <mergeCell ref="PBB11:PBB12"/>
    <mergeCell ref="PBC11:PBC12"/>
    <mergeCell ref="PAR11:PAR12"/>
    <mergeCell ref="PAS11:PAS12"/>
    <mergeCell ref="PAT11:PAT12"/>
    <mergeCell ref="PAU11:PAU12"/>
    <mergeCell ref="PAV11:PAV12"/>
    <mergeCell ref="PAW11:PAW12"/>
    <mergeCell ref="PAL11:PAL12"/>
    <mergeCell ref="PAM11:PAM12"/>
    <mergeCell ref="PAN11:PAN12"/>
    <mergeCell ref="PAO11:PAO12"/>
    <mergeCell ref="PAP11:PAP12"/>
    <mergeCell ref="PAQ11:PAQ12"/>
    <mergeCell ref="PAF11:PAF12"/>
    <mergeCell ref="PAG11:PAG12"/>
    <mergeCell ref="PAH11:PAH12"/>
    <mergeCell ref="PAI11:PAI12"/>
    <mergeCell ref="PAJ11:PAJ12"/>
    <mergeCell ref="PAK11:PAK12"/>
    <mergeCell ref="OZZ11:OZZ12"/>
    <mergeCell ref="PAA11:PAA12"/>
    <mergeCell ref="PAB11:PAB12"/>
    <mergeCell ref="PAC11:PAC12"/>
    <mergeCell ref="PAD11:PAD12"/>
    <mergeCell ref="PAE11:PAE12"/>
    <mergeCell ref="OZT11:OZT12"/>
    <mergeCell ref="OZU11:OZU12"/>
    <mergeCell ref="OZV11:OZV12"/>
    <mergeCell ref="OZW11:OZW12"/>
    <mergeCell ref="OZX11:OZX12"/>
    <mergeCell ref="OZY11:OZY12"/>
    <mergeCell ref="OZN11:OZN12"/>
    <mergeCell ref="OZO11:OZO12"/>
    <mergeCell ref="OZP11:OZP12"/>
    <mergeCell ref="OZQ11:OZQ12"/>
    <mergeCell ref="OZR11:OZR12"/>
    <mergeCell ref="OZS11:OZS12"/>
    <mergeCell ref="OZH11:OZH12"/>
    <mergeCell ref="OZI11:OZI12"/>
    <mergeCell ref="OZJ11:OZJ12"/>
    <mergeCell ref="OZK11:OZK12"/>
    <mergeCell ref="OZL11:OZL12"/>
    <mergeCell ref="OZM11:OZM12"/>
    <mergeCell ref="OZB11:OZB12"/>
    <mergeCell ref="OZC11:OZC12"/>
    <mergeCell ref="OZD11:OZD12"/>
    <mergeCell ref="OZE11:OZE12"/>
    <mergeCell ref="OZF11:OZF12"/>
    <mergeCell ref="OZG11:OZG12"/>
    <mergeCell ref="OYV11:OYV12"/>
    <mergeCell ref="OYW11:OYW12"/>
    <mergeCell ref="OYX11:OYX12"/>
    <mergeCell ref="OYY11:OYY12"/>
    <mergeCell ref="OYZ11:OYZ12"/>
    <mergeCell ref="OZA11:OZA12"/>
    <mergeCell ref="OYP11:OYP12"/>
    <mergeCell ref="OYQ11:OYQ12"/>
    <mergeCell ref="OYR11:OYR12"/>
    <mergeCell ref="OYS11:OYS12"/>
    <mergeCell ref="OYT11:OYT12"/>
    <mergeCell ref="OYU11:OYU12"/>
    <mergeCell ref="OYJ11:OYJ12"/>
    <mergeCell ref="OYK11:OYK12"/>
    <mergeCell ref="OYL11:OYL12"/>
    <mergeCell ref="OYM11:OYM12"/>
    <mergeCell ref="OYN11:OYN12"/>
    <mergeCell ref="OYO11:OYO12"/>
    <mergeCell ref="OYD11:OYD12"/>
    <mergeCell ref="OYE11:OYE12"/>
    <mergeCell ref="OYF11:OYF12"/>
    <mergeCell ref="OYG11:OYG12"/>
    <mergeCell ref="OYH11:OYH12"/>
    <mergeCell ref="OYI11:OYI12"/>
    <mergeCell ref="OXX11:OXX12"/>
    <mergeCell ref="OXY11:OXY12"/>
    <mergeCell ref="OXZ11:OXZ12"/>
    <mergeCell ref="OYA11:OYA12"/>
    <mergeCell ref="OYB11:OYB12"/>
    <mergeCell ref="OYC11:OYC12"/>
    <mergeCell ref="OXR11:OXR12"/>
    <mergeCell ref="OXS11:OXS12"/>
    <mergeCell ref="OXT11:OXT12"/>
    <mergeCell ref="OXU11:OXU12"/>
    <mergeCell ref="OXV11:OXV12"/>
    <mergeCell ref="OXW11:OXW12"/>
    <mergeCell ref="OXL11:OXL12"/>
    <mergeCell ref="OXM11:OXM12"/>
    <mergeCell ref="OXN11:OXN12"/>
    <mergeCell ref="OXO11:OXO12"/>
    <mergeCell ref="OXP11:OXP12"/>
    <mergeCell ref="OXQ11:OXQ12"/>
    <mergeCell ref="OXF11:OXF12"/>
    <mergeCell ref="OXG11:OXG12"/>
    <mergeCell ref="OXH11:OXH12"/>
    <mergeCell ref="OXI11:OXI12"/>
    <mergeCell ref="OXJ11:OXJ12"/>
    <mergeCell ref="OXK11:OXK12"/>
    <mergeCell ref="OWZ11:OWZ12"/>
    <mergeCell ref="OXA11:OXA12"/>
    <mergeCell ref="OXB11:OXB12"/>
    <mergeCell ref="OXC11:OXC12"/>
    <mergeCell ref="OXD11:OXD12"/>
    <mergeCell ref="OXE11:OXE12"/>
    <mergeCell ref="OWT11:OWT12"/>
    <mergeCell ref="OWU11:OWU12"/>
    <mergeCell ref="OWV11:OWV12"/>
    <mergeCell ref="OWW11:OWW12"/>
    <mergeCell ref="OWX11:OWX12"/>
    <mergeCell ref="OWY11:OWY12"/>
    <mergeCell ref="OWN11:OWN12"/>
    <mergeCell ref="OWO11:OWO12"/>
    <mergeCell ref="OWP11:OWP12"/>
    <mergeCell ref="OWQ11:OWQ12"/>
    <mergeCell ref="OWR11:OWR12"/>
    <mergeCell ref="OWS11:OWS12"/>
    <mergeCell ref="OWH11:OWH12"/>
    <mergeCell ref="OWI11:OWI12"/>
    <mergeCell ref="OWJ11:OWJ12"/>
    <mergeCell ref="OWK11:OWK12"/>
    <mergeCell ref="OWL11:OWL12"/>
    <mergeCell ref="OWM11:OWM12"/>
    <mergeCell ref="OWB11:OWB12"/>
    <mergeCell ref="OWC11:OWC12"/>
    <mergeCell ref="OWD11:OWD12"/>
    <mergeCell ref="OWE11:OWE12"/>
    <mergeCell ref="OWF11:OWF12"/>
    <mergeCell ref="OWG11:OWG12"/>
    <mergeCell ref="OVV11:OVV12"/>
    <mergeCell ref="OVW11:OVW12"/>
    <mergeCell ref="OVX11:OVX12"/>
    <mergeCell ref="OVY11:OVY12"/>
    <mergeCell ref="OVZ11:OVZ12"/>
    <mergeCell ref="OWA11:OWA12"/>
    <mergeCell ref="OVP11:OVP12"/>
    <mergeCell ref="OVQ11:OVQ12"/>
    <mergeCell ref="OVR11:OVR12"/>
    <mergeCell ref="OVS11:OVS12"/>
    <mergeCell ref="OVT11:OVT12"/>
    <mergeCell ref="OVU11:OVU12"/>
    <mergeCell ref="OVJ11:OVJ12"/>
    <mergeCell ref="OVK11:OVK12"/>
    <mergeCell ref="OVL11:OVL12"/>
    <mergeCell ref="OVM11:OVM12"/>
    <mergeCell ref="OVN11:OVN12"/>
    <mergeCell ref="OVO11:OVO12"/>
    <mergeCell ref="OVD11:OVD12"/>
    <mergeCell ref="OVE11:OVE12"/>
    <mergeCell ref="OVF11:OVF12"/>
    <mergeCell ref="OVG11:OVG12"/>
    <mergeCell ref="OVH11:OVH12"/>
    <mergeCell ref="OVI11:OVI12"/>
    <mergeCell ref="OUX11:OUX12"/>
    <mergeCell ref="OUY11:OUY12"/>
    <mergeCell ref="OUZ11:OUZ12"/>
    <mergeCell ref="OVA11:OVA12"/>
    <mergeCell ref="OVB11:OVB12"/>
    <mergeCell ref="OVC11:OVC12"/>
    <mergeCell ref="OUR11:OUR12"/>
    <mergeCell ref="OUS11:OUS12"/>
    <mergeCell ref="OUT11:OUT12"/>
    <mergeCell ref="OUU11:OUU12"/>
    <mergeCell ref="OUV11:OUV12"/>
    <mergeCell ref="OUW11:OUW12"/>
    <mergeCell ref="OUL11:OUL12"/>
    <mergeCell ref="OUM11:OUM12"/>
    <mergeCell ref="OUN11:OUN12"/>
    <mergeCell ref="OUO11:OUO12"/>
    <mergeCell ref="OUP11:OUP12"/>
    <mergeCell ref="OUQ11:OUQ12"/>
    <mergeCell ref="OUF11:OUF12"/>
    <mergeCell ref="OUG11:OUG12"/>
    <mergeCell ref="OUH11:OUH12"/>
    <mergeCell ref="OUI11:OUI12"/>
    <mergeCell ref="OUJ11:OUJ12"/>
    <mergeCell ref="OUK11:OUK12"/>
    <mergeCell ref="OTZ11:OTZ12"/>
    <mergeCell ref="OUA11:OUA12"/>
    <mergeCell ref="OUB11:OUB12"/>
    <mergeCell ref="OUC11:OUC12"/>
    <mergeCell ref="OUD11:OUD12"/>
    <mergeCell ref="OUE11:OUE12"/>
    <mergeCell ref="OTT11:OTT12"/>
    <mergeCell ref="OTU11:OTU12"/>
    <mergeCell ref="OTV11:OTV12"/>
    <mergeCell ref="OTW11:OTW12"/>
    <mergeCell ref="OTX11:OTX12"/>
    <mergeCell ref="OTY11:OTY12"/>
    <mergeCell ref="OTN11:OTN12"/>
    <mergeCell ref="OTO11:OTO12"/>
    <mergeCell ref="OTP11:OTP12"/>
    <mergeCell ref="OTQ11:OTQ12"/>
    <mergeCell ref="OTR11:OTR12"/>
    <mergeCell ref="OTS11:OTS12"/>
    <mergeCell ref="OTH11:OTH12"/>
    <mergeCell ref="OTI11:OTI12"/>
    <mergeCell ref="OTJ11:OTJ12"/>
    <mergeCell ref="OTK11:OTK12"/>
    <mergeCell ref="OTL11:OTL12"/>
    <mergeCell ref="OTM11:OTM12"/>
    <mergeCell ref="OTB11:OTB12"/>
    <mergeCell ref="OTC11:OTC12"/>
    <mergeCell ref="OTD11:OTD12"/>
    <mergeCell ref="OTE11:OTE12"/>
    <mergeCell ref="OTF11:OTF12"/>
    <mergeCell ref="OTG11:OTG12"/>
    <mergeCell ref="OSV11:OSV12"/>
    <mergeCell ref="OSW11:OSW12"/>
    <mergeCell ref="OSX11:OSX12"/>
    <mergeCell ref="OSY11:OSY12"/>
    <mergeCell ref="OSZ11:OSZ12"/>
    <mergeCell ref="OTA11:OTA12"/>
    <mergeCell ref="OSP11:OSP12"/>
    <mergeCell ref="OSQ11:OSQ12"/>
    <mergeCell ref="OSR11:OSR12"/>
    <mergeCell ref="OSS11:OSS12"/>
    <mergeCell ref="OST11:OST12"/>
    <mergeCell ref="OSU11:OSU12"/>
    <mergeCell ref="OSJ11:OSJ12"/>
    <mergeCell ref="OSK11:OSK12"/>
    <mergeCell ref="OSL11:OSL12"/>
    <mergeCell ref="OSM11:OSM12"/>
    <mergeCell ref="OSN11:OSN12"/>
    <mergeCell ref="OSO11:OSO12"/>
    <mergeCell ref="OSD11:OSD12"/>
    <mergeCell ref="OSE11:OSE12"/>
    <mergeCell ref="OSF11:OSF12"/>
    <mergeCell ref="OSG11:OSG12"/>
    <mergeCell ref="OSH11:OSH12"/>
    <mergeCell ref="OSI11:OSI12"/>
    <mergeCell ref="ORX11:ORX12"/>
    <mergeCell ref="ORY11:ORY12"/>
    <mergeCell ref="ORZ11:ORZ12"/>
    <mergeCell ref="OSA11:OSA12"/>
    <mergeCell ref="OSB11:OSB12"/>
    <mergeCell ref="OSC11:OSC12"/>
    <mergeCell ref="ORR11:ORR12"/>
    <mergeCell ref="ORS11:ORS12"/>
    <mergeCell ref="ORT11:ORT12"/>
    <mergeCell ref="ORU11:ORU12"/>
    <mergeCell ref="ORV11:ORV12"/>
    <mergeCell ref="ORW11:ORW12"/>
    <mergeCell ref="ORL11:ORL12"/>
    <mergeCell ref="ORM11:ORM12"/>
    <mergeCell ref="ORN11:ORN12"/>
    <mergeCell ref="ORO11:ORO12"/>
    <mergeCell ref="ORP11:ORP12"/>
    <mergeCell ref="ORQ11:ORQ12"/>
    <mergeCell ref="ORF11:ORF12"/>
    <mergeCell ref="ORG11:ORG12"/>
    <mergeCell ref="ORH11:ORH12"/>
    <mergeCell ref="ORI11:ORI12"/>
    <mergeCell ref="ORJ11:ORJ12"/>
    <mergeCell ref="ORK11:ORK12"/>
    <mergeCell ref="OQZ11:OQZ12"/>
    <mergeCell ref="ORA11:ORA12"/>
    <mergeCell ref="ORB11:ORB12"/>
    <mergeCell ref="ORC11:ORC12"/>
    <mergeCell ref="ORD11:ORD12"/>
    <mergeCell ref="ORE11:ORE12"/>
    <mergeCell ref="OQT11:OQT12"/>
    <mergeCell ref="OQU11:OQU12"/>
    <mergeCell ref="OQV11:OQV12"/>
    <mergeCell ref="OQW11:OQW12"/>
    <mergeCell ref="OQX11:OQX12"/>
    <mergeCell ref="OQY11:OQY12"/>
    <mergeCell ref="OQN11:OQN12"/>
    <mergeCell ref="OQO11:OQO12"/>
    <mergeCell ref="OQP11:OQP12"/>
    <mergeCell ref="OQQ11:OQQ12"/>
    <mergeCell ref="OQR11:OQR12"/>
    <mergeCell ref="OQS11:OQS12"/>
    <mergeCell ref="OQH11:OQH12"/>
    <mergeCell ref="OQI11:OQI12"/>
    <mergeCell ref="OQJ11:OQJ12"/>
    <mergeCell ref="OQK11:OQK12"/>
    <mergeCell ref="OQL11:OQL12"/>
    <mergeCell ref="OQM11:OQM12"/>
    <mergeCell ref="OQB11:OQB12"/>
    <mergeCell ref="OQC11:OQC12"/>
    <mergeCell ref="OQD11:OQD12"/>
    <mergeCell ref="OQE11:OQE12"/>
    <mergeCell ref="OQF11:OQF12"/>
    <mergeCell ref="OQG11:OQG12"/>
    <mergeCell ref="OPV11:OPV12"/>
    <mergeCell ref="OPW11:OPW12"/>
    <mergeCell ref="OPX11:OPX12"/>
    <mergeCell ref="OPY11:OPY12"/>
    <mergeCell ref="OPZ11:OPZ12"/>
    <mergeCell ref="OQA11:OQA12"/>
    <mergeCell ref="OPP11:OPP12"/>
    <mergeCell ref="OPQ11:OPQ12"/>
    <mergeCell ref="OPR11:OPR12"/>
    <mergeCell ref="OPS11:OPS12"/>
    <mergeCell ref="OPT11:OPT12"/>
    <mergeCell ref="OPU11:OPU12"/>
    <mergeCell ref="OPJ11:OPJ12"/>
    <mergeCell ref="OPK11:OPK12"/>
    <mergeCell ref="OPL11:OPL12"/>
    <mergeCell ref="OPM11:OPM12"/>
    <mergeCell ref="OPN11:OPN12"/>
    <mergeCell ref="OPO11:OPO12"/>
    <mergeCell ref="OPD11:OPD12"/>
    <mergeCell ref="OPE11:OPE12"/>
    <mergeCell ref="OPF11:OPF12"/>
    <mergeCell ref="OPG11:OPG12"/>
    <mergeCell ref="OPH11:OPH12"/>
    <mergeCell ref="OPI11:OPI12"/>
    <mergeCell ref="OOX11:OOX12"/>
    <mergeCell ref="OOY11:OOY12"/>
    <mergeCell ref="OOZ11:OOZ12"/>
    <mergeCell ref="OPA11:OPA12"/>
    <mergeCell ref="OPB11:OPB12"/>
    <mergeCell ref="OPC11:OPC12"/>
    <mergeCell ref="OOR11:OOR12"/>
    <mergeCell ref="OOS11:OOS12"/>
    <mergeCell ref="OOT11:OOT12"/>
    <mergeCell ref="OOU11:OOU12"/>
    <mergeCell ref="OOV11:OOV12"/>
    <mergeCell ref="OOW11:OOW12"/>
    <mergeCell ref="OOL11:OOL12"/>
    <mergeCell ref="OOM11:OOM12"/>
    <mergeCell ref="OON11:OON12"/>
    <mergeCell ref="OOO11:OOO12"/>
    <mergeCell ref="OOP11:OOP12"/>
    <mergeCell ref="OOQ11:OOQ12"/>
    <mergeCell ref="OOF11:OOF12"/>
    <mergeCell ref="OOG11:OOG12"/>
    <mergeCell ref="OOH11:OOH12"/>
    <mergeCell ref="OOI11:OOI12"/>
    <mergeCell ref="OOJ11:OOJ12"/>
    <mergeCell ref="OOK11:OOK12"/>
    <mergeCell ref="ONZ11:ONZ12"/>
    <mergeCell ref="OOA11:OOA12"/>
    <mergeCell ref="OOB11:OOB12"/>
    <mergeCell ref="OOC11:OOC12"/>
    <mergeCell ref="OOD11:OOD12"/>
    <mergeCell ref="OOE11:OOE12"/>
    <mergeCell ref="ONT11:ONT12"/>
    <mergeCell ref="ONU11:ONU12"/>
    <mergeCell ref="ONV11:ONV12"/>
    <mergeCell ref="ONW11:ONW12"/>
    <mergeCell ref="ONX11:ONX12"/>
    <mergeCell ref="ONY11:ONY12"/>
    <mergeCell ref="ONN11:ONN12"/>
    <mergeCell ref="ONO11:ONO12"/>
    <mergeCell ref="ONP11:ONP12"/>
    <mergeCell ref="ONQ11:ONQ12"/>
    <mergeCell ref="ONR11:ONR12"/>
    <mergeCell ref="ONS11:ONS12"/>
    <mergeCell ref="ONH11:ONH12"/>
    <mergeCell ref="ONI11:ONI12"/>
    <mergeCell ref="ONJ11:ONJ12"/>
    <mergeCell ref="ONK11:ONK12"/>
    <mergeCell ref="ONL11:ONL12"/>
    <mergeCell ref="ONM11:ONM12"/>
    <mergeCell ref="ONB11:ONB12"/>
    <mergeCell ref="ONC11:ONC12"/>
    <mergeCell ref="OND11:OND12"/>
    <mergeCell ref="ONE11:ONE12"/>
    <mergeCell ref="ONF11:ONF12"/>
    <mergeCell ref="ONG11:ONG12"/>
    <mergeCell ref="OMV11:OMV12"/>
    <mergeCell ref="OMW11:OMW12"/>
    <mergeCell ref="OMX11:OMX12"/>
    <mergeCell ref="OMY11:OMY12"/>
    <mergeCell ref="OMZ11:OMZ12"/>
    <mergeCell ref="ONA11:ONA12"/>
    <mergeCell ref="OMP11:OMP12"/>
    <mergeCell ref="OMQ11:OMQ12"/>
    <mergeCell ref="OMR11:OMR12"/>
    <mergeCell ref="OMS11:OMS12"/>
    <mergeCell ref="OMT11:OMT12"/>
    <mergeCell ref="OMU11:OMU12"/>
    <mergeCell ref="OMJ11:OMJ12"/>
    <mergeCell ref="OMK11:OMK12"/>
    <mergeCell ref="OML11:OML12"/>
    <mergeCell ref="OMM11:OMM12"/>
    <mergeCell ref="OMN11:OMN12"/>
    <mergeCell ref="OMO11:OMO12"/>
    <mergeCell ref="OMD11:OMD12"/>
    <mergeCell ref="OME11:OME12"/>
    <mergeCell ref="OMF11:OMF12"/>
    <mergeCell ref="OMG11:OMG12"/>
    <mergeCell ref="OMH11:OMH12"/>
    <mergeCell ref="OMI11:OMI12"/>
    <mergeCell ref="OLX11:OLX12"/>
    <mergeCell ref="OLY11:OLY12"/>
    <mergeCell ref="OLZ11:OLZ12"/>
    <mergeCell ref="OMA11:OMA12"/>
    <mergeCell ref="OMB11:OMB12"/>
    <mergeCell ref="OMC11:OMC12"/>
    <mergeCell ref="OLR11:OLR12"/>
    <mergeCell ref="OLS11:OLS12"/>
    <mergeCell ref="OLT11:OLT12"/>
    <mergeCell ref="OLU11:OLU12"/>
    <mergeCell ref="OLV11:OLV12"/>
    <mergeCell ref="OLW11:OLW12"/>
    <mergeCell ref="OLL11:OLL12"/>
    <mergeCell ref="OLM11:OLM12"/>
    <mergeCell ref="OLN11:OLN12"/>
    <mergeCell ref="OLO11:OLO12"/>
    <mergeCell ref="OLP11:OLP12"/>
    <mergeCell ref="OLQ11:OLQ12"/>
    <mergeCell ref="OLF11:OLF12"/>
    <mergeCell ref="OLG11:OLG12"/>
    <mergeCell ref="OLH11:OLH12"/>
    <mergeCell ref="OLI11:OLI12"/>
    <mergeCell ref="OLJ11:OLJ12"/>
    <mergeCell ref="OLK11:OLK12"/>
    <mergeCell ref="OKZ11:OKZ12"/>
    <mergeCell ref="OLA11:OLA12"/>
    <mergeCell ref="OLB11:OLB12"/>
    <mergeCell ref="OLC11:OLC12"/>
    <mergeCell ref="OLD11:OLD12"/>
    <mergeCell ref="OLE11:OLE12"/>
    <mergeCell ref="OKT11:OKT12"/>
    <mergeCell ref="OKU11:OKU12"/>
    <mergeCell ref="OKV11:OKV12"/>
    <mergeCell ref="OKW11:OKW12"/>
    <mergeCell ref="OKX11:OKX12"/>
    <mergeCell ref="OKY11:OKY12"/>
    <mergeCell ref="OKN11:OKN12"/>
    <mergeCell ref="OKO11:OKO12"/>
    <mergeCell ref="OKP11:OKP12"/>
    <mergeCell ref="OKQ11:OKQ12"/>
    <mergeCell ref="OKR11:OKR12"/>
    <mergeCell ref="OKS11:OKS12"/>
    <mergeCell ref="OKH11:OKH12"/>
    <mergeCell ref="OKI11:OKI12"/>
    <mergeCell ref="OKJ11:OKJ12"/>
    <mergeCell ref="OKK11:OKK12"/>
    <mergeCell ref="OKL11:OKL12"/>
    <mergeCell ref="OKM11:OKM12"/>
    <mergeCell ref="OKB11:OKB12"/>
    <mergeCell ref="OKC11:OKC12"/>
    <mergeCell ref="OKD11:OKD12"/>
    <mergeCell ref="OKE11:OKE12"/>
    <mergeCell ref="OKF11:OKF12"/>
    <mergeCell ref="OKG11:OKG12"/>
    <mergeCell ref="OJV11:OJV12"/>
    <mergeCell ref="OJW11:OJW12"/>
    <mergeCell ref="OJX11:OJX12"/>
    <mergeCell ref="OJY11:OJY12"/>
    <mergeCell ref="OJZ11:OJZ12"/>
    <mergeCell ref="OKA11:OKA12"/>
    <mergeCell ref="OJP11:OJP12"/>
    <mergeCell ref="OJQ11:OJQ12"/>
    <mergeCell ref="OJR11:OJR12"/>
    <mergeCell ref="OJS11:OJS12"/>
    <mergeCell ref="OJT11:OJT12"/>
    <mergeCell ref="OJU11:OJU12"/>
    <mergeCell ref="OJJ11:OJJ12"/>
    <mergeCell ref="OJK11:OJK12"/>
    <mergeCell ref="OJL11:OJL12"/>
    <mergeCell ref="OJM11:OJM12"/>
    <mergeCell ref="OJN11:OJN12"/>
    <mergeCell ref="OJO11:OJO12"/>
    <mergeCell ref="OJD11:OJD12"/>
    <mergeCell ref="OJE11:OJE12"/>
    <mergeCell ref="OJF11:OJF12"/>
    <mergeCell ref="OJG11:OJG12"/>
    <mergeCell ref="OJH11:OJH12"/>
    <mergeCell ref="OJI11:OJI12"/>
    <mergeCell ref="OIX11:OIX12"/>
    <mergeCell ref="OIY11:OIY12"/>
    <mergeCell ref="OIZ11:OIZ12"/>
    <mergeCell ref="OJA11:OJA12"/>
    <mergeCell ref="OJB11:OJB12"/>
    <mergeCell ref="OJC11:OJC12"/>
    <mergeCell ref="OIR11:OIR12"/>
    <mergeCell ref="OIS11:OIS12"/>
    <mergeCell ref="OIT11:OIT12"/>
    <mergeCell ref="OIU11:OIU12"/>
    <mergeCell ref="OIV11:OIV12"/>
    <mergeCell ref="OIW11:OIW12"/>
    <mergeCell ref="OIL11:OIL12"/>
    <mergeCell ref="OIM11:OIM12"/>
    <mergeCell ref="OIN11:OIN12"/>
    <mergeCell ref="OIO11:OIO12"/>
    <mergeCell ref="OIP11:OIP12"/>
    <mergeCell ref="OIQ11:OIQ12"/>
    <mergeCell ref="OIF11:OIF12"/>
    <mergeCell ref="OIG11:OIG12"/>
    <mergeCell ref="OIH11:OIH12"/>
    <mergeCell ref="OII11:OII12"/>
    <mergeCell ref="OIJ11:OIJ12"/>
    <mergeCell ref="OIK11:OIK12"/>
    <mergeCell ref="OHZ11:OHZ12"/>
    <mergeCell ref="OIA11:OIA12"/>
    <mergeCell ref="OIB11:OIB12"/>
    <mergeCell ref="OIC11:OIC12"/>
    <mergeCell ref="OID11:OID12"/>
    <mergeCell ref="OIE11:OIE12"/>
    <mergeCell ref="OHT11:OHT12"/>
    <mergeCell ref="OHU11:OHU12"/>
    <mergeCell ref="OHV11:OHV12"/>
    <mergeCell ref="OHW11:OHW12"/>
    <mergeCell ref="OHX11:OHX12"/>
    <mergeCell ref="OHY11:OHY12"/>
    <mergeCell ref="OHN11:OHN12"/>
    <mergeCell ref="OHO11:OHO12"/>
    <mergeCell ref="OHP11:OHP12"/>
    <mergeCell ref="OHQ11:OHQ12"/>
    <mergeCell ref="OHR11:OHR12"/>
    <mergeCell ref="OHS11:OHS12"/>
    <mergeCell ref="OHH11:OHH12"/>
    <mergeCell ref="OHI11:OHI12"/>
    <mergeCell ref="OHJ11:OHJ12"/>
    <mergeCell ref="OHK11:OHK12"/>
    <mergeCell ref="OHL11:OHL12"/>
    <mergeCell ref="OHM11:OHM12"/>
    <mergeCell ref="OHB11:OHB12"/>
    <mergeCell ref="OHC11:OHC12"/>
    <mergeCell ref="OHD11:OHD12"/>
    <mergeCell ref="OHE11:OHE12"/>
    <mergeCell ref="OHF11:OHF12"/>
    <mergeCell ref="OHG11:OHG12"/>
    <mergeCell ref="OGV11:OGV12"/>
    <mergeCell ref="OGW11:OGW12"/>
    <mergeCell ref="OGX11:OGX12"/>
    <mergeCell ref="OGY11:OGY12"/>
    <mergeCell ref="OGZ11:OGZ12"/>
    <mergeCell ref="OHA11:OHA12"/>
    <mergeCell ref="OGP11:OGP12"/>
    <mergeCell ref="OGQ11:OGQ12"/>
    <mergeCell ref="OGR11:OGR12"/>
    <mergeCell ref="OGS11:OGS12"/>
    <mergeCell ref="OGT11:OGT12"/>
    <mergeCell ref="OGU11:OGU12"/>
    <mergeCell ref="OGJ11:OGJ12"/>
    <mergeCell ref="OGK11:OGK12"/>
    <mergeCell ref="OGL11:OGL12"/>
    <mergeCell ref="OGM11:OGM12"/>
    <mergeCell ref="OGN11:OGN12"/>
    <mergeCell ref="OGO11:OGO12"/>
    <mergeCell ref="OGD11:OGD12"/>
    <mergeCell ref="OGE11:OGE12"/>
    <mergeCell ref="OGF11:OGF12"/>
    <mergeCell ref="OGG11:OGG12"/>
    <mergeCell ref="OGH11:OGH12"/>
    <mergeCell ref="OGI11:OGI12"/>
    <mergeCell ref="OFX11:OFX12"/>
    <mergeCell ref="OFY11:OFY12"/>
    <mergeCell ref="OFZ11:OFZ12"/>
    <mergeCell ref="OGA11:OGA12"/>
    <mergeCell ref="OGB11:OGB12"/>
    <mergeCell ref="OGC11:OGC12"/>
    <mergeCell ref="OFR11:OFR12"/>
    <mergeCell ref="OFS11:OFS12"/>
    <mergeCell ref="OFT11:OFT12"/>
    <mergeCell ref="OFU11:OFU12"/>
    <mergeCell ref="OFV11:OFV12"/>
    <mergeCell ref="OFW11:OFW12"/>
    <mergeCell ref="OFL11:OFL12"/>
    <mergeCell ref="OFM11:OFM12"/>
    <mergeCell ref="OFN11:OFN12"/>
    <mergeCell ref="OFO11:OFO12"/>
    <mergeCell ref="OFP11:OFP12"/>
    <mergeCell ref="OFQ11:OFQ12"/>
    <mergeCell ref="OFF11:OFF12"/>
    <mergeCell ref="OFG11:OFG12"/>
    <mergeCell ref="OFH11:OFH12"/>
    <mergeCell ref="OFI11:OFI12"/>
    <mergeCell ref="OFJ11:OFJ12"/>
    <mergeCell ref="OFK11:OFK12"/>
    <mergeCell ref="OEZ11:OEZ12"/>
    <mergeCell ref="OFA11:OFA12"/>
    <mergeCell ref="OFB11:OFB12"/>
    <mergeCell ref="OFC11:OFC12"/>
    <mergeCell ref="OFD11:OFD12"/>
    <mergeCell ref="OFE11:OFE12"/>
    <mergeCell ref="OET11:OET12"/>
    <mergeCell ref="OEU11:OEU12"/>
    <mergeCell ref="OEV11:OEV12"/>
    <mergeCell ref="OEW11:OEW12"/>
    <mergeCell ref="OEX11:OEX12"/>
    <mergeCell ref="OEY11:OEY12"/>
    <mergeCell ref="OEN11:OEN12"/>
    <mergeCell ref="OEO11:OEO12"/>
    <mergeCell ref="OEP11:OEP12"/>
    <mergeCell ref="OEQ11:OEQ12"/>
    <mergeCell ref="OER11:OER12"/>
    <mergeCell ref="OES11:OES12"/>
    <mergeCell ref="OEH11:OEH12"/>
    <mergeCell ref="OEI11:OEI12"/>
    <mergeCell ref="OEJ11:OEJ12"/>
    <mergeCell ref="OEK11:OEK12"/>
    <mergeCell ref="OEL11:OEL12"/>
    <mergeCell ref="OEM11:OEM12"/>
    <mergeCell ref="OEB11:OEB12"/>
    <mergeCell ref="OEC11:OEC12"/>
    <mergeCell ref="OED11:OED12"/>
    <mergeCell ref="OEE11:OEE12"/>
    <mergeCell ref="OEF11:OEF12"/>
    <mergeCell ref="OEG11:OEG12"/>
    <mergeCell ref="ODV11:ODV12"/>
    <mergeCell ref="ODW11:ODW12"/>
    <mergeCell ref="ODX11:ODX12"/>
    <mergeCell ref="ODY11:ODY12"/>
    <mergeCell ref="ODZ11:ODZ12"/>
    <mergeCell ref="OEA11:OEA12"/>
    <mergeCell ref="ODP11:ODP12"/>
    <mergeCell ref="ODQ11:ODQ12"/>
    <mergeCell ref="ODR11:ODR12"/>
    <mergeCell ref="ODS11:ODS12"/>
    <mergeCell ref="ODT11:ODT12"/>
    <mergeCell ref="ODU11:ODU12"/>
    <mergeCell ref="ODJ11:ODJ12"/>
    <mergeCell ref="ODK11:ODK12"/>
    <mergeCell ref="ODL11:ODL12"/>
    <mergeCell ref="ODM11:ODM12"/>
    <mergeCell ref="ODN11:ODN12"/>
    <mergeCell ref="ODO11:ODO12"/>
    <mergeCell ref="ODD11:ODD12"/>
    <mergeCell ref="ODE11:ODE12"/>
    <mergeCell ref="ODF11:ODF12"/>
    <mergeCell ref="ODG11:ODG12"/>
    <mergeCell ref="ODH11:ODH12"/>
    <mergeCell ref="ODI11:ODI12"/>
    <mergeCell ref="OCX11:OCX12"/>
    <mergeCell ref="OCY11:OCY12"/>
    <mergeCell ref="OCZ11:OCZ12"/>
    <mergeCell ref="ODA11:ODA12"/>
    <mergeCell ref="ODB11:ODB12"/>
    <mergeCell ref="ODC11:ODC12"/>
    <mergeCell ref="OCR11:OCR12"/>
    <mergeCell ref="OCS11:OCS12"/>
    <mergeCell ref="OCT11:OCT12"/>
    <mergeCell ref="OCU11:OCU12"/>
    <mergeCell ref="OCV11:OCV12"/>
    <mergeCell ref="OCW11:OCW12"/>
    <mergeCell ref="OCL11:OCL12"/>
    <mergeCell ref="OCM11:OCM12"/>
    <mergeCell ref="OCN11:OCN12"/>
    <mergeCell ref="OCO11:OCO12"/>
    <mergeCell ref="OCP11:OCP12"/>
    <mergeCell ref="OCQ11:OCQ12"/>
    <mergeCell ref="OCF11:OCF12"/>
    <mergeCell ref="OCG11:OCG12"/>
    <mergeCell ref="OCH11:OCH12"/>
    <mergeCell ref="OCI11:OCI12"/>
    <mergeCell ref="OCJ11:OCJ12"/>
    <mergeCell ref="OCK11:OCK12"/>
    <mergeCell ref="OBZ11:OBZ12"/>
    <mergeCell ref="OCA11:OCA12"/>
    <mergeCell ref="OCB11:OCB12"/>
    <mergeCell ref="OCC11:OCC12"/>
    <mergeCell ref="OCD11:OCD12"/>
    <mergeCell ref="OCE11:OCE12"/>
    <mergeCell ref="OBT11:OBT12"/>
    <mergeCell ref="OBU11:OBU12"/>
    <mergeCell ref="OBV11:OBV12"/>
    <mergeCell ref="OBW11:OBW12"/>
    <mergeCell ref="OBX11:OBX12"/>
    <mergeCell ref="OBY11:OBY12"/>
    <mergeCell ref="OBN11:OBN12"/>
    <mergeCell ref="OBO11:OBO12"/>
    <mergeCell ref="OBP11:OBP12"/>
    <mergeCell ref="OBQ11:OBQ12"/>
    <mergeCell ref="OBR11:OBR12"/>
    <mergeCell ref="OBS11:OBS12"/>
    <mergeCell ref="OBH11:OBH12"/>
    <mergeCell ref="OBI11:OBI12"/>
    <mergeCell ref="OBJ11:OBJ12"/>
    <mergeCell ref="OBK11:OBK12"/>
    <mergeCell ref="OBL11:OBL12"/>
    <mergeCell ref="OBM11:OBM12"/>
    <mergeCell ref="OBB11:OBB12"/>
    <mergeCell ref="OBC11:OBC12"/>
    <mergeCell ref="OBD11:OBD12"/>
    <mergeCell ref="OBE11:OBE12"/>
    <mergeCell ref="OBF11:OBF12"/>
    <mergeCell ref="OBG11:OBG12"/>
    <mergeCell ref="OAV11:OAV12"/>
    <mergeCell ref="OAW11:OAW12"/>
    <mergeCell ref="OAX11:OAX12"/>
    <mergeCell ref="OAY11:OAY12"/>
    <mergeCell ref="OAZ11:OAZ12"/>
    <mergeCell ref="OBA11:OBA12"/>
    <mergeCell ref="OAP11:OAP12"/>
    <mergeCell ref="OAQ11:OAQ12"/>
    <mergeCell ref="OAR11:OAR12"/>
    <mergeCell ref="OAS11:OAS12"/>
    <mergeCell ref="OAT11:OAT12"/>
    <mergeCell ref="OAU11:OAU12"/>
    <mergeCell ref="OAJ11:OAJ12"/>
    <mergeCell ref="OAK11:OAK12"/>
    <mergeCell ref="OAL11:OAL12"/>
    <mergeCell ref="OAM11:OAM12"/>
    <mergeCell ref="OAN11:OAN12"/>
    <mergeCell ref="OAO11:OAO12"/>
    <mergeCell ref="OAD11:OAD12"/>
    <mergeCell ref="OAE11:OAE12"/>
    <mergeCell ref="OAF11:OAF12"/>
    <mergeCell ref="OAG11:OAG12"/>
    <mergeCell ref="OAH11:OAH12"/>
    <mergeCell ref="OAI11:OAI12"/>
    <mergeCell ref="NZX11:NZX12"/>
    <mergeCell ref="NZY11:NZY12"/>
    <mergeCell ref="NZZ11:NZZ12"/>
    <mergeCell ref="OAA11:OAA12"/>
    <mergeCell ref="OAB11:OAB12"/>
    <mergeCell ref="OAC11:OAC12"/>
    <mergeCell ref="NZR11:NZR12"/>
    <mergeCell ref="NZS11:NZS12"/>
    <mergeCell ref="NZT11:NZT12"/>
    <mergeCell ref="NZU11:NZU12"/>
    <mergeCell ref="NZV11:NZV12"/>
    <mergeCell ref="NZW11:NZW12"/>
    <mergeCell ref="NZL11:NZL12"/>
    <mergeCell ref="NZM11:NZM12"/>
    <mergeCell ref="NZN11:NZN12"/>
    <mergeCell ref="NZO11:NZO12"/>
    <mergeCell ref="NZP11:NZP12"/>
    <mergeCell ref="NZQ11:NZQ12"/>
    <mergeCell ref="NZF11:NZF12"/>
    <mergeCell ref="NZG11:NZG12"/>
    <mergeCell ref="NZH11:NZH12"/>
    <mergeCell ref="NZI11:NZI12"/>
    <mergeCell ref="NZJ11:NZJ12"/>
    <mergeCell ref="NZK11:NZK12"/>
    <mergeCell ref="NYZ11:NYZ12"/>
    <mergeCell ref="NZA11:NZA12"/>
    <mergeCell ref="NZB11:NZB12"/>
    <mergeCell ref="NZC11:NZC12"/>
    <mergeCell ref="NZD11:NZD12"/>
    <mergeCell ref="NZE11:NZE12"/>
    <mergeCell ref="NYT11:NYT12"/>
    <mergeCell ref="NYU11:NYU12"/>
    <mergeCell ref="NYV11:NYV12"/>
    <mergeCell ref="NYW11:NYW12"/>
    <mergeCell ref="NYX11:NYX12"/>
    <mergeCell ref="NYY11:NYY12"/>
    <mergeCell ref="NYN11:NYN12"/>
    <mergeCell ref="NYO11:NYO12"/>
    <mergeCell ref="NYP11:NYP12"/>
    <mergeCell ref="NYQ11:NYQ12"/>
    <mergeCell ref="NYR11:NYR12"/>
    <mergeCell ref="NYS11:NYS12"/>
    <mergeCell ref="NYH11:NYH12"/>
    <mergeCell ref="NYI11:NYI12"/>
    <mergeCell ref="NYJ11:NYJ12"/>
    <mergeCell ref="NYK11:NYK12"/>
    <mergeCell ref="NYL11:NYL12"/>
    <mergeCell ref="NYM11:NYM12"/>
    <mergeCell ref="NYB11:NYB12"/>
    <mergeCell ref="NYC11:NYC12"/>
    <mergeCell ref="NYD11:NYD12"/>
    <mergeCell ref="NYE11:NYE12"/>
    <mergeCell ref="NYF11:NYF12"/>
    <mergeCell ref="NYG11:NYG12"/>
    <mergeCell ref="NXV11:NXV12"/>
    <mergeCell ref="NXW11:NXW12"/>
    <mergeCell ref="NXX11:NXX12"/>
    <mergeCell ref="NXY11:NXY12"/>
    <mergeCell ref="NXZ11:NXZ12"/>
    <mergeCell ref="NYA11:NYA12"/>
    <mergeCell ref="NXP11:NXP12"/>
    <mergeCell ref="NXQ11:NXQ12"/>
    <mergeCell ref="NXR11:NXR12"/>
    <mergeCell ref="NXS11:NXS12"/>
    <mergeCell ref="NXT11:NXT12"/>
    <mergeCell ref="NXU11:NXU12"/>
    <mergeCell ref="NXJ11:NXJ12"/>
    <mergeCell ref="NXK11:NXK12"/>
    <mergeCell ref="NXL11:NXL12"/>
    <mergeCell ref="NXM11:NXM12"/>
    <mergeCell ref="NXN11:NXN12"/>
    <mergeCell ref="NXO11:NXO12"/>
    <mergeCell ref="NXD11:NXD12"/>
    <mergeCell ref="NXE11:NXE12"/>
    <mergeCell ref="NXF11:NXF12"/>
    <mergeCell ref="NXG11:NXG12"/>
    <mergeCell ref="NXH11:NXH12"/>
    <mergeCell ref="NXI11:NXI12"/>
    <mergeCell ref="NWX11:NWX12"/>
    <mergeCell ref="NWY11:NWY12"/>
    <mergeCell ref="NWZ11:NWZ12"/>
    <mergeCell ref="NXA11:NXA12"/>
    <mergeCell ref="NXB11:NXB12"/>
    <mergeCell ref="NXC11:NXC12"/>
    <mergeCell ref="NWR11:NWR12"/>
    <mergeCell ref="NWS11:NWS12"/>
    <mergeCell ref="NWT11:NWT12"/>
    <mergeCell ref="NWU11:NWU12"/>
    <mergeCell ref="NWV11:NWV12"/>
    <mergeCell ref="NWW11:NWW12"/>
    <mergeCell ref="NWL11:NWL12"/>
    <mergeCell ref="NWM11:NWM12"/>
    <mergeCell ref="NWN11:NWN12"/>
    <mergeCell ref="NWO11:NWO12"/>
    <mergeCell ref="NWP11:NWP12"/>
    <mergeCell ref="NWQ11:NWQ12"/>
    <mergeCell ref="NWF11:NWF12"/>
    <mergeCell ref="NWG11:NWG12"/>
    <mergeCell ref="NWH11:NWH12"/>
    <mergeCell ref="NWI11:NWI12"/>
    <mergeCell ref="NWJ11:NWJ12"/>
    <mergeCell ref="NWK11:NWK12"/>
    <mergeCell ref="NVZ11:NVZ12"/>
    <mergeCell ref="NWA11:NWA12"/>
    <mergeCell ref="NWB11:NWB12"/>
    <mergeCell ref="NWC11:NWC12"/>
    <mergeCell ref="NWD11:NWD12"/>
    <mergeCell ref="NWE11:NWE12"/>
    <mergeCell ref="NVT11:NVT12"/>
    <mergeCell ref="NVU11:NVU12"/>
    <mergeCell ref="NVV11:NVV12"/>
    <mergeCell ref="NVW11:NVW12"/>
    <mergeCell ref="NVX11:NVX12"/>
    <mergeCell ref="NVY11:NVY12"/>
    <mergeCell ref="NVN11:NVN12"/>
    <mergeCell ref="NVO11:NVO12"/>
    <mergeCell ref="NVP11:NVP12"/>
    <mergeCell ref="NVQ11:NVQ12"/>
    <mergeCell ref="NVR11:NVR12"/>
    <mergeCell ref="NVS11:NVS12"/>
    <mergeCell ref="NVH11:NVH12"/>
    <mergeCell ref="NVI11:NVI12"/>
    <mergeCell ref="NVJ11:NVJ12"/>
    <mergeCell ref="NVK11:NVK12"/>
    <mergeCell ref="NVL11:NVL12"/>
    <mergeCell ref="NVM11:NVM12"/>
    <mergeCell ref="NVB11:NVB12"/>
    <mergeCell ref="NVC11:NVC12"/>
    <mergeCell ref="NVD11:NVD12"/>
    <mergeCell ref="NVE11:NVE12"/>
    <mergeCell ref="NVF11:NVF12"/>
    <mergeCell ref="NVG11:NVG12"/>
    <mergeCell ref="NUV11:NUV12"/>
    <mergeCell ref="NUW11:NUW12"/>
    <mergeCell ref="NUX11:NUX12"/>
    <mergeCell ref="NUY11:NUY12"/>
    <mergeCell ref="NUZ11:NUZ12"/>
    <mergeCell ref="NVA11:NVA12"/>
    <mergeCell ref="NUP11:NUP12"/>
    <mergeCell ref="NUQ11:NUQ12"/>
    <mergeCell ref="NUR11:NUR12"/>
    <mergeCell ref="NUS11:NUS12"/>
    <mergeCell ref="NUT11:NUT12"/>
    <mergeCell ref="NUU11:NUU12"/>
    <mergeCell ref="NUJ11:NUJ12"/>
    <mergeCell ref="NUK11:NUK12"/>
    <mergeCell ref="NUL11:NUL12"/>
    <mergeCell ref="NUM11:NUM12"/>
    <mergeCell ref="NUN11:NUN12"/>
    <mergeCell ref="NUO11:NUO12"/>
    <mergeCell ref="NUD11:NUD12"/>
    <mergeCell ref="NUE11:NUE12"/>
    <mergeCell ref="NUF11:NUF12"/>
    <mergeCell ref="NUG11:NUG12"/>
    <mergeCell ref="NUH11:NUH12"/>
    <mergeCell ref="NUI11:NUI12"/>
    <mergeCell ref="NTX11:NTX12"/>
    <mergeCell ref="NTY11:NTY12"/>
    <mergeCell ref="NTZ11:NTZ12"/>
    <mergeCell ref="NUA11:NUA12"/>
    <mergeCell ref="NUB11:NUB12"/>
    <mergeCell ref="NUC11:NUC12"/>
    <mergeCell ref="NTR11:NTR12"/>
    <mergeCell ref="NTS11:NTS12"/>
    <mergeCell ref="NTT11:NTT12"/>
    <mergeCell ref="NTU11:NTU12"/>
    <mergeCell ref="NTV11:NTV12"/>
    <mergeCell ref="NTW11:NTW12"/>
    <mergeCell ref="NTL11:NTL12"/>
    <mergeCell ref="NTM11:NTM12"/>
    <mergeCell ref="NTN11:NTN12"/>
    <mergeCell ref="NTO11:NTO12"/>
    <mergeCell ref="NTP11:NTP12"/>
    <mergeCell ref="NTQ11:NTQ12"/>
    <mergeCell ref="NTF11:NTF12"/>
    <mergeCell ref="NTG11:NTG12"/>
    <mergeCell ref="NTH11:NTH12"/>
    <mergeCell ref="NTI11:NTI12"/>
    <mergeCell ref="NTJ11:NTJ12"/>
    <mergeCell ref="NTK11:NTK12"/>
    <mergeCell ref="NSZ11:NSZ12"/>
    <mergeCell ref="NTA11:NTA12"/>
    <mergeCell ref="NTB11:NTB12"/>
    <mergeCell ref="NTC11:NTC12"/>
    <mergeCell ref="NTD11:NTD12"/>
    <mergeCell ref="NTE11:NTE12"/>
    <mergeCell ref="NST11:NST12"/>
    <mergeCell ref="NSU11:NSU12"/>
    <mergeCell ref="NSV11:NSV12"/>
    <mergeCell ref="NSW11:NSW12"/>
    <mergeCell ref="NSX11:NSX12"/>
    <mergeCell ref="NSY11:NSY12"/>
    <mergeCell ref="NSN11:NSN12"/>
    <mergeCell ref="NSO11:NSO12"/>
    <mergeCell ref="NSP11:NSP12"/>
    <mergeCell ref="NSQ11:NSQ12"/>
    <mergeCell ref="NSR11:NSR12"/>
    <mergeCell ref="NSS11:NSS12"/>
    <mergeCell ref="NSH11:NSH12"/>
    <mergeCell ref="NSI11:NSI12"/>
    <mergeCell ref="NSJ11:NSJ12"/>
    <mergeCell ref="NSK11:NSK12"/>
    <mergeCell ref="NSL11:NSL12"/>
    <mergeCell ref="NSM11:NSM12"/>
    <mergeCell ref="NSB11:NSB12"/>
    <mergeCell ref="NSC11:NSC12"/>
    <mergeCell ref="NSD11:NSD12"/>
    <mergeCell ref="NSE11:NSE12"/>
    <mergeCell ref="NSF11:NSF12"/>
    <mergeCell ref="NSG11:NSG12"/>
    <mergeCell ref="NRV11:NRV12"/>
    <mergeCell ref="NRW11:NRW12"/>
    <mergeCell ref="NRX11:NRX12"/>
    <mergeCell ref="NRY11:NRY12"/>
    <mergeCell ref="NRZ11:NRZ12"/>
    <mergeCell ref="NSA11:NSA12"/>
    <mergeCell ref="NRP11:NRP12"/>
    <mergeCell ref="NRQ11:NRQ12"/>
    <mergeCell ref="NRR11:NRR12"/>
    <mergeCell ref="NRS11:NRS12"/>
    <mergeCell ref="NRT11:NRT12"/>
    <mergeCell ref="NRU11:NRU12"/>
    <mergeCell ref="NRJ11:NRJ12"/>
    <mergeCell ref="NRK11:NRK12"/>
    <mergeCell ref="NRL11:NRL12"/>
    <mergeCell ref="NRM11:NRM12"/>
    <mergeCell ref="NRN11:NRN12"/>
    <mergeCell ref="NRO11:NRO12"/>
    <mergeCell ref="NRD11:NRD12"/>
    <mergeCell ref="NRE11:NRE12"/>
    <mergeCell ref="NRF11:NRF12"/>
    <mergeCell ref="NRG11:NRG12"/>
    <mergeCell ref="NRH11:NRH12"/>
    <mergeCell ref="NRI11:NRI12"/>
    <mergeCell ref="NQX11:NQX12"/>
    <mergeCell ref="NQY11:NQY12"/>
    <mergeCell ref="NQZ11:NQZ12"/>
    <mergeCell ref="NRA11:NRA12"/>
    <mergeCell ref="NRB11:NRB12"/>
    <mergeCell ref="NRC11:NRC12"/>
    <mergeCell ref="NQR11:NQR12"/>
    <mergeCell ref="NQS11:NQS12"/>
    <mergeCell ref="NQT11:NQT12"/>
    <mergeCell ref="NQU11:NQU12"/>
    <mergeCell ref="NQV11:NQV12"/>
    <mergeCell ref="NQW11:NQW12"/>
    <mergeCell ref="NQL11:NQL12"/>
    <mergeCell ref="NQM11:NQM12"/>
    <mergeCell ref="NQN11:NQN12"/>
    <mergeCell ref="NQO11:NQO12"/>
    <mergeCell ref="NQP11:NQP12"/>
    <mergeCell ref="NQQ11:NQQ12"/>
    <mergeCell ref="NQF11:NQF12"/>
    <mergeCell ref="NQG11:NQG12"/>
    <mergeCell ref="NQH11:NQH12"/>
    <mergeCell ref="NQI11:NQI12"/>
    <mergeCell ref="NQJ11:NQJ12"/>
    <mergeCell ref="NQK11:NQK12"/>
    <mergeCell ref="NPZ11:NPZ12"/>
    <mergeCell ref="NQA11:NQA12"/>
    <mergeCell ref="NQB11:NQB12"/>
    <mergeCell ref="NQC11:NQC12"/>
    <mergeCell ref="NQD11:NQD12"/>
    <mergeCell ref="NQE11:NQE12"/>
    <mergeCell ref="NPT11:NPT12"/>
    <mergeCell ref="NPU11:NPU12"/>
    <mergeCell ref="NPV11:NPV12"/>
    <mergeCell ref="NPW11:NPW12"/>
    <mergeCell ref="NPX11:NPX12"/>
    <mergeCell ref="NPY11:NPY12"/>
    <mergeCell ref="NPN11:NPN12"/>
    <mergeCell ref="NPO11:NPO12"/>
    <mergeCell ref="NPP11:NPP12"/>
    <mergeCell ref="NPQ11:NPQ12"/>
    <mergeCell ref="NPR11:NPR12"/>
    <mergeCell ref="NPS11:NPS12"/>
    <mergeCell ref="NPH11:NPH12"/>
    <mergeCell ref="NPI11:NPI12"/>
    <mergeCell ref="NPJ11:NPJ12"/>
    <mergeCell ref="NPK11:NPK12"/>
    <mergeCell ref="NPL11:NPL12"/>
    <mergeCell ref="NPM11:NPM12"/>
    <mergeCell ref="NPB11:NPB12"/>
    <mergeCell ref="NPC11:NPC12"/>
    <mergeCell ref="NPD11:NPD12"/>
    <mergeCell ref="NPE11:NPE12"/>
    <mergeCell ref="NPF11:NPF12"/>
    <mergeCell ref="NPG11:NPG12"/>
    <mergeCell ref="NOV11:NOV12"/>
    <mergeCell ref="NOW11:NOW12"/>
    <mergeCell ref="NOX11:NOX12"/>
    <mergeCell ref="NOY11:NOY12"/>
    <mergeCell ref="NOZ11:NOZ12"/>
    <mergeCell ref="NPA11:NPA12"/>
    <mergeCell ref="NOP11:NOP12"/>
    <mergeCell ref="NOQ11:NOQ12"/>
    <mergeCell ref="NOR11:NOR12"/>
    <mergeCell ref="NOS11:NOS12"/>
    <mergeCell ref="NOT11:NOT12"/>
    <mergeCell ref="NOU11:NOU12"/>
    <mergeCell ref="NOJ11:NOJ12"/>
    <mergeCell ref="NOK11:NOK12"/>
    <mergeCell ref="NOL11:NOL12"/>
    <mergeCell ref="NOM11:NOM12"/>
    <mergeCell ref="NON11:NON12"/>
    <mergeCell ref="NOO11:NOO12"/>
    <mergeCell ref="NOD11:NOD12"/>
    <mergeCell ref="NOE11:NOE12"/>
    <mergeCell ref="NOF11:NOF12"/>
    <mergeCell ref="NOG11:NOG12"/>
    <mergeCell ref="NOH11:NOH12"/>
    <mergeCell ref="NOI11:NOI12"/>
    <mergeCell ref="NNX11:NNX12"/>
    <mergeCell ref="NNY11:NNY12"/>
    <mergeCell ref="NNZ11:NNZ12"/>
    <mergeCell ref="NOA11:NOA12"/>
    <mergeCell ref="NOB11:NOB12"/>
    <mergeCell ref="NOC11:NOC12"/>
    <mergeCell ref="NNR11:NNR12"/>
    <mergeCell ref="NNS11:NNS12"/>
    <mergeCell ref="NNT11:NNT12"/>
    <mergeCell ref="NNU11:NNU12"/>
    <mergeCell ref="NNV11:NNV12"/>
    <mergeCell ref="NNW11:NNW12"/>
    <mergeCell ref="NNL11:NNL12"/>
    <mergeCell ref="NNM11:NNM12"/>
    <mergeCell ref="NNN11:NNN12"/>
    <mergeCell ref="NNO11:NNO12"/>
    <mergeCell ref="NNP11:NNP12"/>
    <mergeCell ref="NNQ11:NNQ12"/>
    <mergeCell ref="NNF11:NNF12"/>
    <mergeCell ref="NNG11:NNG12"/>
    <mergeCell ref="NNH11:NNH12"/>
    <mergeCell ref="NNI11:NNI12"/>
    <mergeCell ref="NNJ11:NNJ12"/>
    <mergeCell ref="NNK11:NNK12"/>
    <mergeCell ref="NMZ11:NMZ12"/>
    <mergeCell ref="NNA11:NNA12"/>
    <mergeCell ref="NNB11:NNB12"/>
    <mergeCell ref="NNC11:NNC12"/>
    <mergeCell ref="NND11:NND12"/>
    <mergeCell ref="NNE11:NNE12"/>
    <mergeCell ref="NMT11:NMT12"/>
    <mergeCell ref="NMU11:NMU12"/>
    <mergeCell ref="NMV11:NMV12"/>
    <mergeCell ref="NMW11:NMW12"/>
    <mergeCell ref="NMX11:NMX12"/>
    <mergeCell ref="NMY11:NMY12"/>
    <mergeCell ref="NMN11:NMN12"/>
    <mergeCell ref="NMO11:NMO12"/>
    <mergeCell ref="NMP11:NMP12"/>
    <mergeCell ref="NMQ11:NMQ12"/>
    <mergeCell ref="NMR11:NMR12"/>
    <mergeCell ref="NMS11:NMS12"/>
    <mergeCell ref="NMH11:NMH12"/>
    <mergeCell ref="NMI11:NMI12"/>
    <mergeCell ref="NMJ11:NMJ12"/>
    <mergeCell ref="NMK11:NMK12"/>
    <mergeCell ref="NML11:NML12"/>
    <mergeCell ref="NMM11:NMM12"/>
    <mergeCell ref="NMB11:NMB12"/>
    <mergeCell ref="NMC11:NMC12"/>
    <mergeCell ref="NMD11:NMD12"/>
    <mergeCell ref="NME11:NME12"/>
    <mergeCell ref="NMF11:NMF12"/>
    <mergeCell ref="NMG11:NMG12"/>
    <mergeCell ref="NLV11:NLV12"/>
    <mergeCell ref="NLW11:NLW12"/>
    <mergeCell ref="NLX11:NLX12"/>
    <mergeCell ref="NLY11:NLY12"/>
    <mergeCell ref="NLZ11:NLZ12"/>
    <mergeCell ref="NMA11:NMA12"/>
    <mergeCell ref="NLP11:NLP12"/>
    <mergeCell ref="NLQ11:NLQ12"/>
    <mergeCell ref="NLR11:NLR12"/>
    <mergeCell ref="NLS11:NLS12"/>
    <mergeCell ref="NLT11:NLT12"/>
    <mergeCell ref="NLU11:NLU12"/>
    <mergeCell ref="NLJ11:NLJ12"/>
    <mergeCell ref="NLK11:NLK12"/>
    <mergeCell ref="NLL11:NLL12"/>
    <mergeCell ref="NLM11:NLM12"/>
    <mergeCell ref="NLN11:NLN12"/>
    <mergeCell ref="NLO11:NLO12"/>
    <mergeCell ref="NLD11:NLD12"/>
    <mergeCell ref="NLE11:NLE12"/>
    <mergeCell ref="NLF11:NLF12"/>
    <mergeCell ref="NLG11:NLG12"/>
    <mergeCell ref="NLH11:NLH12"/>
    <mergeCell ref="NLI11:NLI12"/>
    <mergeCell ref="NKX11:NKX12"/>
    <mergeCell ref="NKY11:NKY12"/>
    <mergeCell ref="NKZ11:NKZ12"/>
    <mergeCell ref="NLA11:NLA12"/>
    <mergeCell ref="NLB11:NLB12"/>
    <mergeCell ref="NLC11:NLC12"/>
    <mergeCell ref="NKR11:NKR12"/>
    <mergeCell ref="NKS11:NKS12"/>
    <mergeCell ref="NKT11:NKT12"/>
    <mergeCell ref="NKU11:NKU12"/>
    <mergeCell ref="NKV11:NKV12"/>
    <mergeCell ref="NKW11:NKW12"/>
    <mergeCell ref="NKL11:NKL12"/>
    <mergeCell ref="NKM11:NKM12"/>
    <mergeCell ref="NKN11:NKN12"/>
    <mergeCell ref="NKO11:NKO12"/>
    <mergeCell ref="NKP11:NKP12"/>
    <mergeCell ref="NKQ11:NKQ12"/>
    <mergeCell ref="NKF11:NKF12"/>
    <mergeCell ref="NKG11:NKG12"/>
    <mergeCell ref="NKH11:NKH12"/>
    <mergeCell ref="NKI11:NKI12"/>
    <mergeCell ref="NKJ11:NKJ12"/>
    <mergeCell ref="NKK11:NKK12"/>
    <mergeCell ref="NJZ11:NJZ12"/>
    <mergeCell ref="NKA11:NKA12"/>
    <mergeCell ref="NKB11:NKB12"/>
    <mergeCell ref="NKC11:NKC12"/>
    <mergeCell ref="NKD11:NKD12"/>
    <mergeCell ref="NKE11:NKE12"/>
    <mergeCell ref="NJT11:NJT12"/>
    <mergeCell ref="NJU11:NJU12"/>
    <mergeCell ref="NJV11:NJV12"/>
    <mergeCell ref="NJW11:NJW12"/>
    <mergeCell ref="NJX11:NJX12"/>
    <mergeCell ref="NJY11:NJY12"/>
    <mergeCell ref="NJN11:NJN12"/>
    <mergeCell ref="NJO11:NJO12"/>
    <mergeCell ref="NJP11:NJP12"/>
    <mergeCell ref="NJQ11:NJQ12"/>
    <mergeCell ref="NJR11:NJR12"/>
    <mergeCell ref="NJS11:NJS12"/>
    <mergeCell ref="NJH11:NJH12"/>
    <mergeCell ref="NJI11:NJI12"/>
    <mergeCell ref="NJJ11:NJJ12"/>
    <mergeCell ref="NJK11:NJK12"/>
    <mergeCell ref="NJL11:NJL12"/>
    <mergeCell ref="NJM11:NJM12"/>
    <mergeCell ref="NJB11:NJB12"/>
    <mergeCell ref="NJC11:NJC12"/>
    <mergeCell ref="NJD11:NJD12"/>
    <mergeCell ref="NJE11:NJE12"/>
    <mergeCell ref="NJF11:NJF12"/>
    <mergeCell ref="NJG11:NJG12"/>
    <mergeCell ref="NIV11:NIV12"/>
    <mergeCell ref="NIW11:NIW12"/>
    <mergeCell ref="NIX11:NIX12"/>
    <mergeCell ref="NIY11:NIY12"/>
    <mergeCell ref="NIZ11:NIZ12"/>
    <mergeCell ref="NJA11:NJA12"/>
    <mergeCell ref="NIP11:NIP12"/>
    <mergeCell ref="NIQ11:NIQ12"/>
    <mergeCell ref="NIR11:NIR12"/>
    <mergeCell ref="NIS11:NIS12"/>
    <mergeCell ref="NIT11:NIT12"/>
    <mergeCell ref="NIU11:NIU12"/>
    <mergeCell ref="NIJ11:NIJ12"/>
    <mergeCell ref="NIK11:NIK12"/>
    <mergeCell ref="NIL11:NIL12"/>
    <mergeCell ref="NIM11:NIM12"/>
    <mergeCell ref="NIN11:NIN12"/>
    <mergeCell ref="NIO11:NIO12"/>
    <mergeCell ref="NID11:NID12"/>
    <mergeCell ref="NIE11:NIE12"/>
    <mergeCell ref="NIF11:NIF12"/>
    <mergeCell ref="NIG11:NIG12"/>
    <mergeCell ref="NIH11:NIH12"/>
    <mergeCell ref="NII11:NII12"/>
    <mergeCell ref="NHX11:NHX12"/>
    <mergeCell ref="NHY11:NHY12"/>
    <mergeCell ref="NHZ11:NHZ12"/>
    <mergeCell ref="NIA11:NIA12"/>
    <mergeCell ref="NIB11:NIB12"/>
    <mergeCell ref="NIC11:NIC12"/>
    <mergeCell ref="NHR11:NHR12"/>
    <mergeCell ref="NHS11:NHS12"/>
    <mergeCell ref="NHT11:NHT12"/>
    <mergeCell ref="NHU11:NHU12"/>
    <mergeCell ref="NHV11:NHV12"/>
    <mergeCell ref="NHW11:NHW12"/>
    <mergeCell ref="NHL11:NHL12"/>
    <mergeCell ref="NHM11:NHM12"/>
    <mergeCell ref="NHN11:NHN12"/>
    <mergeCell ref="NHO11:NHO12"/>
    <mergeCell ref="NHP11:NHP12"/>
    <mergeCell ref="NHQ11:NHQ12"/>
    <mergeCell ref="NHF11:NHF12"/>
    <mergeCell ref="NHG11:NHG12"/>
    <mergeCell ref="NHH11:NHH12"/>
    <mergeCell ref="NHI11:NHI12"/>
    <mergeCell ref="NHJ11:NHJ12"/>
    <mergeCell ref="NHK11:NHK12"/>
    <mergeCell ref="NGZ11:NGZ12"/>
    <mergeCell ref="NHA11:NHA12"/>
    <mergeCell ref="NHB11:NHB12"/>
    <mergeCell ref="NHC11:NHC12"/>
    <mergeCell ref="NHD11:NHD12"/>
    <mergeCell ref="NHE11:NHE12"/>
    <mergeCell ref="NGT11:NGT12"/>
    <mergeCell ref="NGU11:NGU12"/>
    <mergeCell ref="NGV11:NGV12"/>
    <mergeCell ref="NGW11:NGW12"/>
    <mergeCell ref="NGX11:NGX12"/>
    <mergeCell ref="NGY11:NGY12"/>
    <mergeCell ref="NGN11:NGN12"/>
    <mergeCell ref="NGO11:NGO12"/>
    <mergeCell ref="NGP11:NGP12"/>
    <mergeCell ref="NGQ11:NGQ12"/>
    <mergeCell ref="NGR11:NGR12"/>
    <mergeCell ref="NGS11:NGS12"/>
    <mergeCell ref="NGH11:NGH12"/>
    <mergeCell ref="NGI11:NGI12"/>
    <mergeCell ref="NGJ11:NGJ12"/>
    <mergeCell ref="NGK11:NGK12"/>
    <mergeCell ref="NGL11:NGL12"/>
    <mergeCell ref="NGM11:NGM12"/>
    <mergeCell ref="NGB11:NGB12"/>
    <mergeCell ref="NGC11:NGC12"/>
    <mergeCell ref="NGD11:NGD12"/>
    <mergeCell ref="NGE11:NGE12"/>
    <mergeCell ref="NGF11:NGF12"/>
    <mergeCell ref="NGG11:NGG12"/>
    <mergeCell ref="NFV11:NFV12"/>
    <mergeCell ref="NFW11:NFW12"/>
    <mergeCell ref="NFX11:NFX12"/>
    <mergeCell ref="NFY11:NFY12"/>
    <mergeCell ref="NFZ11:NFZ12"/>
    <mergeCell ref="NGA11:NGA12"/>
    <mergeCell ref="NFP11:NFP12"/>
    <mergeCell ref="NFQ11:NFQ12"/>
    <mergeCell ref="NFR11:NFR12"/>
    <mergeCell ref="NFS11:NFS12"/>
    <mergeCell ref="NFT11:NFT12"/>
    <mergeCell ref="NFU11:NFU12"/>
    <mergeCell ref="NFJ11:NFJ12"/>
    <mergeCell ref="NFK11:NFK12"/>
    <mergeCell ref="NFL11:NFL12"/>
    <mergeCell ref="NFM11:NFM12"/>
    <mergeCell ref="NFN11:NFN12"/>
    <mergeCell ref="NFO11:NFO12"/>
    <mergeCell ref="NFD11:NFD12"/>
    <mergeCell ref="NFE11:NFE12"/>
    <mergeCell ref="NFF11:NFF12"/>
    <mergeCell ref="NFG11:NFG12"/>
    <mergeCell ref="NFH11:NFH12"/>
    <mergeCell ref="NFI11:NFI12"/>
    <mergeCell ref="NEX11:NEX12"/>
    <mergeCell ref="NEY11:NEY12"/>
    <mergeCell ref="NEZ11:NEZ12"/>
    <mergeCell ref="NFA11:NFA12"/>
    <mergeCell ref="NFB11:NFB12"/>
    <mergeCell ref="NFC11:NFC12"/>
    <mergeCell ref="NER11:NER12"/>
    <mergeCell ref="NES11:NES12"/>
    <mergeCell ref="NET11:NET12"/>
    <mergeCell ref="NEU11:NEU12"/>
    <mergeCell ref="NEV11:NEV12"/>
    <mergeCell ref="NEW11:NEW12"/>
    <mergeCell ref="NEL11:NEL12"/>
    <mergeCell ref="NEM11:NEM12"/>
    <mergeCell ref="NEN11:NEN12"/>
    <mergeCell ref="NEO11:NEO12"/>
    <mergeCell ref="NEP11:NEP12"/>
    <mergeCell ref="NEQ11:NEQ12"/>
    <mergeCell ref="NEF11:NEF12"/>
    <mergeCell ref="NEG11:NEG12"/>
    <mergeCell ref="NEH11:NEH12"/>
    <mergeCell ref="NEI11:NEI12"/>
    <mergeCell ref="NEJ11:NEJ12"/>
    <mergeCell ref="NEK11:NEK12"/>
    <mergeCell ref="NDZ11:NDZ12"/>
    <mergeCell ref="NEA11:NEA12"/>
    <mergeCell ref="NEB11:NEB12"/>
    <mergeCell ref="NEC11:NEC12"/>
    <mergeCell ref="NED11:NED12"/>
    <mergeCell ref="NEE11:NEE12"/>
    <mergeCell ref="NDT11:NDT12"/>
    <mergeCell ref="NDU11:NDU12"/>
    <mergeCell ref="NDV11:NDV12"/>
    <mergeCell ref="NDW11:NDW12"/>
    <mergeCell ref="NDX11:NDX12"/>
    <mergeCell ref="NDY11:NDY12"/>
    <mergeCell ref="NDN11:NDN12"/>
    <mergeCell ref="NDO11:NDO12"/>
    <mergeCell ref="NDP11:NDP12"/>
    <mergeCell ref="NDQ11:NDQ12"/>
    <mergeCell ref="NDR11:NDR12"/>
    <mergeCell ref="NDS11:NDS12"/>
    <mergeCell ref="NDH11:NDH12"/>
    <mergeCell ref="NDI11:NDI12"/>
    <mergeCell ref="NDJ11:NDJ12"/>
    <mergeCell ref="NDK11:NDK12"/>
    <mergeCell ref="NDL11:NDL12"/>
    <mergeCell ref="NDM11:NDM12"/>
    <mergeCell ref="NDB11:NDB12"/>
    <mergeCell ref="NDC11:NDC12"/>
    <mergeCell ref="NDD11:NDD12"/>
    <mergeCell ref="NDE11:NDE12"/>
    <mergeCell ref="NDF11:NDF12"/>
    <mergeCell ref="NDG11:NDG12"/>
    <mergeCell ref="NCV11:NCV12"/>
    <mergeCell ref="NCW11:NCW12"/>
    <mergeCell ref="NCX11:NCX12"/>
    <mergeCell ref="NCY11:NCY12"/>
    <mergeCell ref="NCZ11:NCZ12"/>
    <mergeCell ref="NDA11:NDA12"/>
    <mergeCell ref="NCP11:NCP12"/>
    <mergeCell ref="NCQ11:NCQ12"/>
    <mergeCell ref="NCR11:NCR12"/>
    <mergeCell ref="NCS11:NCS12"/>
    <mergeCell ref="NCT11:NCT12"/>
    <mergeCell ref="NCU11:NCU12"/>
    <mergeCell ref="NCJ11:NCJ12"/>
    <mergeCell ref="NCK11:NCK12"/>
    <mergeCell ref="NCL11:NCL12"/>
    <mergeCell ref="NCM11:NCM12"/>
    <mergeCell ref="NCN11:NCN12"/>
    <mergeCell ref="NCO11:NCO12"/>
    <mergeCell ref="NCD11:NCD12"/>
    <mergeCell ref="NCE11:NCE12"/>
    <mergeCell ref="NCF11:NCF12"/>
    <mergeCell ref="NCG11:NCG12"/>
    <mergeCell ref="NCH11:NCH12"/>
    <mergeCell ref="NCI11:NCI12"/>
    <mergeCell ref="NBX11:NBX12"/>
    <mergeCell ref="NBY11:NBY12"/>
    <mergeCell ref="NBZ11:NBZ12"/>
    <mergeCell ref="NCA11:NCA12"/>
    <mergeCell ref="NCB11:NCB12"/>
    <mergeCell ref="NCC11:NCC12"/>
    <mergeCell ref="NBR11:NBR12"/>
    <mergeCell ref="NBS11:NBS12"/>
    <mergeCell ref="NBT11:NBT12"/>
    <mergeCell ref="NBU11:NBU12"/>
    <mergeCell ref="NBV11:NBV12"/>
    <mergeCell ref="NBW11:NBW12"/>
    <mergeCell ref="NBL11:NBL12"/>
    <mergeCell ref="NBM11:NBM12"/>
    <mergeCell ref="NBN11:NBN12"/>
    <mergeCell ref="NBO11:NBO12"/>
    <mergeCell ref="NBP11:NBP12"/>
    <mergeCell ref="NBQ11:NBQ12"/>
    <mergeCell ref="NBF11:NBF12"/>
    <mergeCell ref="NBG11:NBG12"/>
    <mergeCell ref="NBH11:NBH12"/>
    <mergeCell ref="NBI11:NBI12"/>
    <mergeCell ref="NBJ11:NBJ12"/>
    <mergeCell ref="NBK11:NBK12"/>
    <mergeCell ref="NAZ11:NAZ12"/>
    <mergeCell ref="NBA11:NBA12"/>
    <mergeCell ref="NBB11:NBB12"/>
    <mergeCell ref="NBC11:NBC12"/>
    <mergeCell ref="NBD11:NBD12"/>
    <mergeCell ref="NBE11:NBE12"/>
    <mergeCell ref="NAT11:NAT12"/>
    <mergeCell ref="NAU11:NAU12"/>
    <mergeCell ref="NAV11:NAV12"/>
    <mergeCell ref="NAW11:NAW12"/>
    <mergeCell ref="NAX11:NAX12"/>
    <mergeCell ref="NAY11:NAY12"/>
    <mergeCell ref="NAN11:NAN12"/>
    <mergeCell ref="NAO11:NAO12"/>
    <mergeCell ref="NAP11:NAP12"/>
    <mergeCell ref="NAQ11:NAQ12"/>
    <mergeCell ref="NAR11:NAR12"/>
    <mergeCell ref="NAS11:NAS12"/>
    <mergeCell ref="NAH11:NAH12"/>
    <mergeCell ref="NAI11:NAI12"/>
    <mergeCell ref="NAJ11:NAJ12"/>
    <mergeCell ref="NAK11:NAK12"/>
    <mergeCell ref="NAL11:NAL12"/>
    <mergeCell ref="NAM11:NAM12"/>
    <mergeCell ref="NAB11:NAB12"/>
    <mergeCell ref="NAC11:NAC12"/>
    <mergeCell ref="NAD11:NAD12"/>
    <mergeCell ref="NAE11:NAE12"/>
    <mergeCell ref="NAF11:NAF12"/>
    <mergeCell ref="NAG11:NAG12"/>
    <mergeCell ref="MZV11:MZV12"/>
    <mergeCell ref="MZW11:MZW12"/>
    <mergeCell ref="MZX11:MZX12"/>
    <mergeCell ref="MZY11:MZY12"/>
    <mergeCell ref="MZZ11:MZZ12"/>
    <mergeCell ref="NAA11:NAA12"/>
    <mergeCell ref="MZP11:MZP12"/>
    <mergeCell ref="MZQ11:MZQ12"/>
    <mergeCell ref="MZR11:MZR12"/>
    <mergeCell ref="MZS11:MZS12"/>
    <mergeCell ref="MZT11:MZT12"/>
    <mergeCell ref="MZU11:MZU12"/>
    <mergeCell ref="MZJ11:MZJ12"/>
    <mergeCell ref="MZK11:MZK12"/>
    <mergeCell ref="MZL11:MZL12"/>
    <mergeCell ref="MZM11:MZM12"/>
    <mergeCell ref="MZN11:MZN12"/>
    <mergeCell ref="MZO11:MZO12"/>
    <mergeCell ref="MZD11:MZD12"/>
    <mergeCell ref="MZE11:MZE12"/>
    <mergeCell ref="MZF11:MZF12"/>
    <mergeCell ref="MZG11:MZG12"/>
    <mergeCell ref="MZH11:MZH12"/>
    <mergeCell ref="MZI11:MZI12"/>
    <mergeCell ref="MYX11:MYX12"/>
    <mergeCell ref="MYY11:MYY12"/>
    <mergeCell ref="MYZ11:MYZ12"/>
    <mergeCell ref="MZA11:MZA12"/>
    <mergeCell ref="MZB11:MZB12"/>
    <mergeCell ref="MZC11:MZC12"/>
    <mergeCell ref="MYR11:MYR12"/>
    <mergeCell ref="MYS11:MYS12"/>
    <mergeCell ref="MYT11:MYT12"/>
    <mergeCell ref="MYU11:MYU12"/>
    <mergeCell ref="MYV11:MYV12"/>
    <mergeCell ref="MYW11:MYW12"/>
    <mergeCell ref="MYL11:MYL12"/>
    <mergeCell ref="MYM11:MYM12"/>
    <mergeCell ref="MYN11:MYN12"/>
    <mergeCell ref="MYO11:MYO12"/>
    <mergeCell ref="MYP11:MYP12"/>
    <mergeCell ref="MYQ11:MYQ12"/>
    <mergeCell ref="MYF11:MYF12"/>
    <mergeCell ref="MYG11:MYG12"/>
    <mergeCell ref="MYH11:MYH12"/>
    <mergeCell ref="MYI11:MYI12"/>
    <mergeCell ref="MYJ11:MYJ12"/>
    <mergeCell ref="MYK11:MYK12"/>
    <mergeCell ref="MXZ11:MXZ12"/>
    <mergeCell ref="MYA11:MYA12"/>
    <mergeCell ref="MYB11:MYB12"/>
    <mergeCell ref="MYC11:MYC12"/>
    <mergeCell ref="MYD11:MYD12"/>
    <mergeCell ref="MYE11:MYE12"/>
    <mergeCell ref="MXT11:MXT12"/>
    <mergeCell ref="MXU11:MXU12"/>
    <mergeCell ref="MXV11:MXV12"/>
    <mergeCell ref="MXW11:MXW12"/>
    <mergeCell ref="MXX11:MXX12"/>
    <mergeCell ref="MXY11:MXY12"/>
    <mergeCell ref="MXN11:MXN12"/>
    <mergeCell ref="MXO11:MXO12"/>
    <mergeCell ref="MXP11:MXP12"/>
    <mergeCell ref="MXQ11:MXQ12"/>
    <mergeCell ref="MXR11:MXR12"/>
    <mergeCell ref="MXS11:MXS12"/>
    <mergeCell ref="MXH11:MXH12"/>
    <mergeCell ref="MXI11:MXI12"/>
    <mergeCell ref="MXJ11:MXJ12"/>
    <mergeCell ref="MXK11:MXK12"/>
    <mergeCell ref="MXL11:MXL12"/>
    <mergeCell ref="MXM11:MXM12"/>
    <mergeCell ref="MXB11:MXB12"/>
    <mergeCell ref="MXC11:MXC12"/>
    <mergeCell ref="MXD11:MXD12"/>
    <mergeCell ref="MXE11:MXE12"/>
    <mergeCell ref="MXF11:MXF12"/>
    <mergeCell ref="MXG11:MXG12"/>
    <mergeCell ref="MWV11:MWV12"/>
    <mergeCell ref="MWW11:MWW12"/>
    <mergeCell ref="MWX11:MWX12"/>
    <mergeCell ref="MWY11:MWY12"/>
    <mergeCell ref="MWZ11:MWZ12"/>
    <mergeCell ref="MXA11:MXA12"/>
    <mergeCell ref="MWP11:MWP12"/>
    <mergeCell ref="MWQ11:MWQ12"/>
    <mergeCell ref="MWR11:MWR12"/>
    <mergeCell ref="MWS11:MWS12"/>
    <mergeCell ref="MWT11:MWT12"/>
    <mergeCell ref="MWU11:MWU12"/>
    <mergeCell ref="MWJ11:MWJ12"/>
    <mergeCell ref="MWK11:MWK12"/>
    <mergeCell ref="MWL11:MWL12"/>
    <mergeCell ref="MWM11:MWM12"/>
    <mergeCell ref="MWN11:MWN12"/>
    <mergeCell ref="MWO11:MWO12"/>
    <mergeCell ref="MWD11:MWD12"/>
    <mergeCell ref="MWE11:MWE12"/>
    <mergeCell ref="MWF11:MWF12"/>
    <mergeCell ref="MWG11:MWG12"/>
    <mergeCell ref="MWH11:MWH12"/>
    <mergeCell ref="MWI11:MWI12"/>
    <mergeCell ref="MVX11:MVX12"/>
    <mergeCell ref="MVY11:MVY12"/>
    <mergeCell ref="MVZ11:MVZ12"/>
    <mergeCell ref="MWA11:MWA12"/>
    <mergeCell ref="MWB11:MWB12"/>
    <mergeCell ref="MWC11:MWC12"/>
    <mergeCell ref="MVR11:MVR12"/>
    <mergeCell ref="MVS11:MVS12"/>
    <mergeCell ref="MVT11:MVT12"/>
    <mergeCell ref="MVU11:MVU12"/>
    <mergeCell ref="MVV11:MVV12"/>
    <mergeCell ref="MVW11:MVW12"/>
    <mergeCell ref="MVL11:MVL12"/>
    <mergeCell ref="MVM11:MVM12"/>
    <mergeCell ref="MVN11:MVN12"/>
    <mergeCell ref="MVO11:MVO12"/>
    <mergeCell ref="MVP11:MVP12"/>
    <mergeCell ref="MVQ11:MVQ12"/>
    <mergeCell ref="MVF11:MVF12"/>
    <mergeCell ref="MVG11:MVG12"/>
    <mergeCell ref="MVH11:MVH12"/>
    <mergeCell ref="MVI11:MVI12"/>
    <mergeCell ref="MVJ11:MVJ12"/>
    <mergeCell ref="MVK11:MVK12"/>
    <mergeCell ref="MUZ11:MUZ12"/>
    <mergeCell ref="MVA11:MVA12"/>
    <mergeCell ref="MVB11:MVB12"/>
    <mergeCell ref="MVC11:MVC12"/>
    <mergeCell ref="MVD11:MVD12"/>
    <mergeCell ref="MVE11:MVE12"/>
    <mergeCell ref="MUT11:MUT12"/>
    <mergeCell ref="MUU11:MUU12"/>
    <mergeCell ref="MUV11:MUV12"/>
    <mergeCell ref="MUW11:MUW12"/>
    <mergeCell ref="MUX11:MUX12"/>
    <mergeCell ref="MUY11:MUY12"/>
    <mergeCell ref="MUN11:MUN12"/>
    <mergeCell ref="MUO11:MUO12"/>
    <mergeCell ref="MUP11:MUP12"/>
    <mergeCell ref="MUQ11:MUQ12"/>
    <mergeCell ref="MUR11:MUR12"/>
    <mergeCell ref="MUS11:MUS12"/>
    <mergeCell ref="MUH11:MUH12"/>
    <mergeCell ref="MUI11:MUI12"/>
    <mergeCell ref="MUJ11:MUJ12"/>
    <mergeCell ref="MUK11:MUK12"/>
    <mergeCell ref="MUL11:MUL12"/>
    <mergeCell ref="MUM11:MUM12"/>
    <mergeCell ref="MUB11:MUB12"/>
    <mergeCell ref="MUC11:MUC12"/>
    <mergeCell ref="MUD11:MUD12"/>
    <mergeCell ref="MUE11:MUE12"/>
    <mergeCell ref="MUF11:MUF12"/>
    <mergeCell ref="MUG11:MUG12"/>
    <mergeCell ref="MTV11:MTV12"/>
    <mergeCell ref="MTW11:MTW12"/>
    <mergeCell ref="MTX11:MTX12"/>
    <mergeCell ref="MTY11:MTY12"/>
    <mergeCell ref="MTZ11:MTZ12"/>
    <mergeCell ref="MUA11:MUA12"/>
    <mergeCell ref="MTP11:MTP12"/>
    <mergeCell ref="MTQ11:MTQ12"/>
    <mergeCell ref="MTR11:MTR12"/>
    <mergeCell ref="MTS11:MTS12"/>
    <mergeCell ref="MTT11:MTT12"/>
    <mergeCell ref="MTU11:MTU12"/>
    <mergeCell ref="MTJ11:MTJ12"/>
    <mergeCell ref="MTK11:MTK12"/>
    <mergeCell ref="MTL11:MTL12"/>
    <mergeCell ref="MTM11:MTM12"/>
    <mergeCell ref="MTN11:MTN12"/>
    <mergeCell ref="MTO11:MTO12"/>
    <mergeCell ref="MTD11:MTD12"/>
    <mergeCell ref="MTE11:MTE12"/>
    <mergeCell ref="MTF11:MTF12"/>
    <mergeCell ref="MTG11:MTG12"/>
    <mergeCell ref="MTH11:MTH12"/>
    <mergeCell ref="MTI11:MTI12"/>
    <mergeCell ref="MSX11:MSX12"/>
    <mergeCell ref="MSY11:MSY12"/>
    <mergeCell ref="MSZ11:MSZ12"/>
    <mergeCell ref="MTA11:MTA12"/>
    <mergeCell ref="MTB11:MTB12"/>
    <mergeCell ref="MTC11:MTC12"/>
    <mergeCell ref="MSR11:MSR12"/>
    <mergeCell ref="MSS11:MSS12"/>
    <mergeCell ref="MST11:MST12"/>
    <mergeCell ref="MSU11:MSU12"/>
    <mergeCell ref="MSV11:MSV12"/>
    <mergeCell ref="MSW11:MSW12"/>
    <mergeCell ref="MSL11:MSL12"/>
    <mergeCell ref="MSM11:MSM12"/>
    <mergeCell ref="MSN11:MSN12"/>
    <mergeCell ref="MSO11:MSO12"/>
    <mergeCell ref="MSP11:MSP12"/>
    <mergeCell ref="MSQ11:MSQ12"/>
    <mergeCell ref="MSF11:MSF12"/>
    <mergeCell ref="MSG11:MSG12"/>
    <mergeCell ref="MSH11:MSH12"/>
    <mergeCell ref="MSI11:MSI12"/>
    <mergeCell ref="MSJ11:MSJ12"/>
    <mergeCell ref="MSK11:MSK12"/>
    <mergeCell ref="MRZ11:MRZ12"/>
    <mergeCell ref="MSA11:MSA12"/>
    <mergeCell ref="MSB11:MSB12"/>
    <mergeCell ref="MSC11:MSC12"/>
    <mergeCell ref="MSD11:MSD12"/>
    <mergeCell ref="MSE11:MSE12"/>
    <mergeCell ref="MRT11:MRT12"/>
    <mergeCell ref="MRU11:MRU12"/>
    <mergeCell ref="MRV11:MRV12"/>
    <mergeCell ref="MRW11:MRW12"/>
    <mergeCell ref="MRX11:MRX12"/>
    <mergeCell ref="MRY11:MRY12"/>
    <mergeCell ref="MRN11:MRN12"/>
    <mergeCell ref="MRO11:MRO12"/>
    <mergeCell ref="MRP11:MRP12"/>
    <mergeCell ref="MRQ11:MRQ12"/>
    <mergeCell ref="MRR11:MRR12"/>
    <mergeCell ref="MRS11:MRS12"/>
    <mergeCell ref="MRH11:MRH12"/>
    <mergeCell ref="MRI11:MRI12"/>
    <mergeCell ref="MRJ11:MRJ12"/>
    <mergeCell ref="MRK11:MRK12"/>
    <mergeCell ref="MRL11:MRL12"/>
    <mergeCell ref="MRM11:MRM12"/>
    <mergeCell ref="MRB11:MRB12"/>
    <mergeCell ref="MRC11:MRC12"/>
    <mergeCell ref="MRD11:MRD12"/>
    <mergeCell ref="MRE11:MRE12"/>
    <mergeCell ref="MRF11:MRF12"/>
    <mergeCell ref="MRG11:MRG12"/>
    <mergeCell ref="MQV11:MQV12"/>
    <mergeCell ref="MQW11:MQW12"/>
    <mergeCell ref="MQX11:MQX12"/>
    <mergeCell ref="MQY11:MQY12"/>
    <mergeCell ref="MQZ11:MQZ12"/>
    <mergeCell ref="MRA11:MRA12"/>
    <mergeCell ref="MQP11:MQP12"/>
    <mergeCell ref="MQQ11:MQQ12"/>
    <mergeCell ref="MQR11:MQR12"/>
    <mergeCell ref="MQS11:MQS12"/>
    <mergeCell ref="MQT11:MQT12"/>
    <mergeCell ref="MQU11:MQU12"/>
    <mergeCell ref="MQJ11:MQJ12"/>
    <mergeCell ref="MQK11:MQK12"/>
    <mergeCell ref="MQL11:MQL12"/>
    <mergeCell ref="MQM11:MQM12"/>
    <mergeCell ref="MQN11:MQN12"/>
    <mergeCell ref="MQO11:MQO12"/>
    <mergeCell ref="MQD11:MQD12"/>
    <mergeCell ref="MQE11:MQE12"/>
    <mergeCell ref="MQF11:MQF12"/>
    <mergeCell ref="MQG11:MQG12"/>
    <mergeCell ref="MQH11:MQH12"/>
    <mergeCell ref="MQI11:MQI12"/>
    <mergeCell ref="MPX11:MPX12"/>
    <mergeCell ref="MPY11:MPY12"/>
    <mergeCell ref="MPZ11:MPZ12"/>
    <mergeCell ref="MQA11:MQA12"/>
    <mergeCell ref="MQB11:MQB12"/>
    <mergeCell ref="MQC11:MQC12"/>
    <mergeCell ref="MPR11:MPR12"/>
    <mergeCell ref="MPS11:MPS12"/>
    <mergeCell ref="MPT11:MPT12"/>
    <mergeCell ref="MPU11:MPU12"/>
    <mergeCell ref="MPV11:MPV12"/>
    <mergeCell ref="MPW11:MPW12"/>
    <mergeCell ref="MPL11:MPL12"/>
    <mergeCell ref="MPM11:MPM12"/>
    <mergeCell ref="MPN11:MPN12"/>
    <mergeCell ref="MPO11:MPO12"/>
    <mergeCell ref="MPP11:MPP12"/>
    <mergeCell ref="MPQ11:MPQ12"/>
    <mergeCell ref="MPF11:MPF12"/>
    <mergeCell ref="MPG11:MPG12"/>
    <mergeCell ref="MPH11:MPH12"/>
    <mergeCell ref="MPI11:MPI12"/>
    <mergeCell ref="MPJ11:MPJ12"/>
    <mergeCell ref="MPK11:MPK12"/>
    <mergeCell ref="MOZ11:MOZ12"/>
    <mergeCell ref="MPA11:MPA12"/>
    <mergeCell ref="MPB11:MPB12"/>
    <mergeCell ref="MPC11:MPC12"/>
    <mergeCell ref="MPD11:MPD12"/>
    <mergeCell ref="MPE11:MPE12"/>
    <mergeCell ref="MOT11:MOT12"/>
    <mergeCell ref="MOU11:MOU12"/>
    <mergeCell ref="MOV11:MOV12"/>
    <mergeCell ref="MOW11:MOW12"/>
    <mergeCell ref="MOX11:MOX12"/>
    <mergeCell ref="MOY11:MOY12"/>
    <mergeCell ref="MON11:MON12"/>
    <mergeCell ref="MOO11:MOO12"/>
    <mergeCell ref="MOP11:MOP12"/>
    <mergeCell ref="MOQ11:MOQ12"/>
    <mergeCell ref="MOR11:MOR12"/>
    <mergeCell ref="MOS11:MOS12"/>
    <mergeCell ref="MOH11:MOH12"/>
    <mergeCell ref="MOI11:MOI12"/>
    <mergeCell ref="MOJ11:MOJ12"/>
    <mergeCell ref="MOK11:MOK12"/>
    <mergeCell ref="MOL11:MOL12"/>
    <mergeCell ref="MOM11:MOM12"/>
    <mergeCell ref="MOB11:MOB12"/>
    <mergeCell ref="MOC11:MOC12"/>
    <mergeCell ref="MOD11:MOD12"/>
    <mergeCell ref="MOE11:MOE12"/>
    <mergeCell ref="MOF11:MOF12"/>
    <mergeCell ref="MOG11:MOG12"/>
    <mergeCell ref="MNV11:MNV12"/>
    <mergeCell ref="MNW11:MNW12"/>
    <mergeCell ref="MNX11:MNX12"/>
    <mergeCell ref="MNY11:MNY12"/>
    <mergeCell ref="MNZ11:MNZ12"/>
    <mergeCell ref="MOA11:MOA12"/>
    <mergeCell ref="MNP11:MNP12"/>
    <mergeCell ref="MNQ11:MNQ12"/>
    <mergeCell ref="MNR11:MNR12"/>
    <mergeCell ref="MNS11:MNS12"/>
    <mergeCell ref="MNT11:MNT12"/>
    <mergeCell ref="MNU11:MNU12"/>
    <mergeCell ref="MNJ11:MNJ12"/>
    <mergeCell ref="MNK11:MNK12"/>
    <mergeCell ref="MNL11:MNL12"/>
    <mergeCell ref="MNM11:MNM12"/>
    <mergeCell ref="MNN11:MNN12"/>
    <mergeCell ref="MNO11:MNO12"/>
    <mergeCell ref="MND11:MND12"/>
    <mergeCell ref="MNE11:MNE12"/>
    <mergeCell ref="MNF11:MNF12"/>
    <mergeCell ref="MNG11:MNG12"/>
    <mergeCell ref="MNH11:MNH12"/>
    <mergeCell ref="MNI11:MNI12"/>
    <mergeCell ref="MMX11:MMX12"/>
    <mergeCell ref="MMY11:MMY12"/>
    <mergeCell ref="MMZ11:MMZ12"/>
    <mergeCell ref="MNA11:MNA12"/>
    <mergeCell ref="MNB11:MNB12"/>
    <mergeCell ref="MNC11:MNC12"/>
    <mergeCell ref="MMR11:MMR12"/>
    <mergeCell ref="MMS11:MMS12"/>
    <mergeCell ref="MMT11:MMT12"/>
    <mergeCell ref="MMU11:MMU12"/>
    <mergeCell ref="MMV11:MMV12"/>
    <mergeCell ref="MMW11:MMW12"/>
    <mergeCell ref="MML11:MML12"/>
    <mergeCell ref="MMM11:MMM12"/>
    <mergeCell ref="MMN11:MMN12"/>
    <mergeCell ref="MMO11:MMO12"/>
    <mergeCell ref="MMP11:MMP12"/>
    <mergeCell ref="MMQ11:MMQ12"/>
    <mergeCell ref="MMF11:MMF12"/>
    <mergeCell ref="MMG11:MMG12"/>
    <mergeCell ref="MMH11:MMH12"/>
    <mergeCell ref="MMI11:MMI12"/>
    <mergeCell ref="MMJ11:MMJ12"/>
    <mergeCell ref="MMK11:MMK12"/>
    <mergeCell ref="MLZ11:MLZ12"/>
    <mergeCell ref="MMA11:MMA12"/>
    <mergeCell ref="MMB11:MMB12"/>
    <mergeCell ref="MMC11:MMC12"/>
    <mergeCell ref="MMD11:MMD12"/>
    <mergeCell ref="MME11:MME12"/>
    <mergeCell ref="MLT11:MLT12"/>
    <mergeCell ref="MLU11:MLU12"/>
    <mergeCell ref="MLV11:MLV12"/>
    <mergeCell ref="MLW11:MLW12"/>
    <mergeCell ref="MLX11:MLX12"/>
    <mergeCell ref="MLY11:MLY12"/>
    <mergeCell ref="MLN11:MLN12"/>
    <mergeCell ref="MLO11:MLO12"/>
    <mergeCell ref="MLP11:MLP12"/>
    <mergeCell ref="MLQ11:MLQ12"/>
    <mergeCell ref="MLR11:MLR12"/>
    <mergeCell ref="MLS11:MLS12"/>
    <mergeCell ref="MLH11:MLH12"/>
    <mergeCell ref="MLI11:MLI12"/>
    <mergeCell ref="MLJ11:MLJ12"/>
    <mergeCell ref="MLK11:MLK12"/>
    <mergeCell ref="MLL11:MLL12"/>
    <mergeCell ref="MLM11:MLM12"/>
    <mergeCell ref="MLB11:MLB12"/>
    <mergeCell ref="MLC11:MLC12"/>
    <mergeCell ref="MLD11:MLD12"/>
    <mergeCell ref="MLE11:MLE12"/>
    <mergeCell ref="MLF11:MLF12"/>
    <mergeCell ref="MLG11:MLG12"/>
    <mergeCell ref="MKV11:MKV12"/>
    <mergeCell ref="MKW11:MKW12"/>
    <mergeCell ref="MKX11:MKX12"/>
    <mergeCell ref="MKY11:MKY12"/>
    <mergeCell ref="MKZ11:MKZ12"/>
    <mergeCell ref="MLA11:MLA12"/>
    <mergeCell ref="MKP11:MKP12"/>
    <mergeCell ref="MKQ11:MKQ12"/>
    <mergeCell ref="MKR11:MKR12"/>
    <mergeCell ref="MKS11:MKS12"/>
    <mergeCell ref="MKT11:MKT12"/>
    <mergeCell ref="MKU11:MKU12"/>
    <mergeCell ref="MKJ11:MKJ12"/>
    <mergeCell ref="MKK11:MKK12"/>
    <mergeCell ref="MKL11:MKL12"/>
    <mergeCell ref="MKM11:MKM12"/>
    <mergeCell ref="MKN11:MKN12"/>
    <mergeCell ref="MKO11:MKO12"/>
    <mergeCell ref="MKD11:MKD12"/>
    <mergeCell ref="MKE11:MKE12"/>
    <mergeCell ref="MKF11:MKF12"/>
    <mergeCell ref="MKG11:MKG12"/>
    <mergeCell ref="MKH11:MKH12"/>
    <mergeCell ref="MKI11:MKI12"/>
    <mergeCell ref="MJX11:MJX12"/>
    <mergeCell ref="MJY11:MJY12"/>
    <mergeCell ref="MJZ11:MJZ12"/>
    <mergeCell ref="MKA11:MKA12"/>
    <mergeCell ref="MKB11:MKB12"/>
    <mergeCell ref="MKC11:MKC12"/>
    <mergeCell ref="MJR11:MJR12"/>
    <mergeCell ref="MJS11:MJS12"/>
    <mergeCell ref="MJT11:MJT12"/>
    <mergeCell ref="MJU11:MJU12"/>
    <mergeCell ref="MJV11:MJV12"/>
    <mergeCell ref="MJW11:MJW12"/>
    <mergeCell ref="MJL11:MJL12"/>
    <mergeCell ref="MJM11:MJM12"/>
    <mergeCell ref="MJN11:MJN12"/>
    <mergeCell ref="MJO11:MJO12"/>
    <mergeCell ref="MJP11:MJP12"/>
    <mergeCell ref="MJQ11:MJQ12"/>
    <mergeCell ref="MJF11:MJF12"/>
    <mergeCell ref="MJG11:MJG12"/>
    <mergeCell ref="MJH11:MJH12"/>
    <mergeCell ref="MJI11:MJI12"/>
    <mergeCell ref="MJJ11:MJJ12"/>
    <mergeCell ref="MJK11:MJK12"/>
    <mergeCell ref="MIZ11:MIZ12"/>
    <mergeCell ref="MJA11:MJA12"/>
    <mergeCell ref="MJB11:MJB12"/>
    <mergeCell ref="MJC11:MJC12"/>
    <mergeCell ref="MJD11:MJD12"/>
    <mergeCell ref="MJE11:MJE12"/>
    <mergeCell ref="MIT11:MIT12"/>
    <mergeCell ref="MIU11:MIU12"/>
    <mergeCell ref="MIV11:MIV12"/>
    <mergeCell ref="MIW11:MIW12"/>
    <mergeCell ref="MIX11:MIX12"/>
    <mergeCell ref="MIY11:MIY12"/>
    <mergeCell ref="MIN11:MIN12"/>
    <mergeCell ref="MIO11:MIO12"/>
    <mergeCell ref="MIP11:MIP12"/>
    <mergeCell ref="MIQ11:MIQ12"/>
    <mergeCell ref="MIR11:MIR12"/>
    <mergeCell ref="MIS11:MIS12"/>
    <mergeCell ref="MIH11:MIH12"/>
    <mergeCell ref="MII11:MII12"/>
    <mergeCell ref="MIJ11:MIJ12"/>
    <mergeCell ref="MIK11:MIK12"/>
    <mergeCell ref="MIL11:MIL12"/>
    <mergeCell ref="MIM11:MIM12"/>
    <mergeCell ref="MIB11:MIB12"/>
    <mergeCell ref="MIC11:MIC12"/>
    <mergeCell ref="MID11:MID12"/>
    <mergeCell ref="MIE11:MIE12"/>
    <mergeCell ref="MIF11:MIF12"/>
    <mergeCell ref="MIG11:MIG12"/>
    <mergeCell ref="MHV11:MHV12"/>
    <mergeCell ref="MHW11:MHW12"/>
    <mergeCell ref="MHX11:MHX12"/>
    <mergeCell ref="MHY11:MHY12"/>
    <mergeCell ref="MHZ11:MHZ12"/>
    <mergeCell ref="MIA11:MIA12"/>
    <mergeCell ref="MHP11:MHP12"/>
    <mergeCell ref="MHQ11:MHQ12"/>
    <mergeCell ref="MHR11:MHR12"/>
    <mergeCell ref="MHS11:MHS12"/>
    <mergeCell ref="MHT11:MHT12"/>
    <mergeCell ref="MHU11:MHU12"/>
    <mergeCell ref="MHJ11:MHJ12"/>
    <mergeCell ref="MHK11:MHK12"/>
    <mergeCell ref="MHL11:MHL12"/>
    <mergeCell ref="MHM11:MHM12"/>
    <mergeCell ref="MHN11:MHN12"/>
    <mergeCell ref="MHO11:MHO12"/>
    <mergeCell ref="MHD11:MHD12"/>
    <mergeCell ref="MHE11:MHE12"/>
    <mergeCell ref="MHF11:MHF12"/>
    <mergeCell ref="MHG11:MHG12"/>
    <mergeCell ref="MHH11:MHH12"/>
    <mergeCell ref="MHI11:MHI12"/>
    <mergeCell ref="MGX11:MGX12"/>
    <mergeCell ref="MGY11:MGY12"/>
    <mergeCell ref="MGZ11:MGZ12"/>
    <mergeCell ref="MHA11:MHA12"/>
    <mergeCell ref="MHB11:MHB12"/>
    <mergeCell ref="MHC11:MHC12"/>
    <mergeCell ref="MGR11:MGR12"/>
    <mergeCell ref="MGS11:MGS12"/>
    <mergeCell ref="MGT11:MGT12"/>
    <mergeCell ref="MGU11:MGU12"/>
    <mergeCell ref="MGV11:MGV12"/>
    <mergeCell ref="MGW11:MGW12"/>
    <mergeCell ref="MGL11:MGL12"/>
    <mergeCell ref="MGM11:MGM12"/>
    <mergeCell ref="MGN11:MGN12"/>
    <mergeCell ref="MGO11:MGO12"/>
    <mergeCell ref="MGP11:MGP12"/>
    <mergeCell ref="MGQ11:MGQ12"/>
    <mergeCell ref="MGF11:MGF12"/>
    <mergeCell ref="MGG11:MGG12"/>
    <mergeCell ref="MGH11:MGH12"/>
    <mergeCell ref="MGI11:MGI12"/>
    <mergeCell ref="MGJ11:MGJ12"/>
    <mergeCell ref="MGK11:MGK12"/>
    <mergeCell ref="MFZ11:MFZ12"/>
    <mergeCell ref="MGA11:MGA12"/>
    <mergeCell ref="MGB11:MGB12"/>
    <mergeCell ref="MGC11:MGC12"/>
    <mergeCell ref="MGD11:MGD12"/>
    <mergeCell ref="MGE11:MGE12"/>
    <mergeCell ref="MFT11:MFT12"/>
    <mergeCell ref="MFU11:MFU12"/>
    <mergeCell ref="MFV11:MFV12"/>
    <mergeCell ref="MFW11:MFW12"/>
    <mergeCell ref="MFX11:MFX12"/>
    <mergeCell ref="MFY11:MFY12"/>
    <mergeCell ref="MFN11:MFN12"/>
    <mergeCell ref="MFO11:MFO12"/>
    <mergeCell ref="MFP11:MFP12"/>
    <mergeCell ref="MFQ11:MFQ12"/>
    <mergeCell ref="MFR11:MFR12"/>
    <mergeCell ref="MFS11:MFS12"/>
    <mergeCell ref="MFH11:MFH12"/>
    <mergeCell ref="MFI11:MFI12"/>
    <mergeCell ref="MFJ11:MFJ12"/>
    <mergeCell ref="MFK11:MFK12"/>
    <mergeCell ref="MFL11:MFL12"/>
    <mergeCell ref="MFM11:MFM12"/>
    <mergeCell ref="MFB11:MFB12"/>
    <mergeCell ref="MFC11:MFC12"/>
    <mergeCell ref="MFD11:MFD12"/>
    <mergeCell ref="MFE11:MFE12"/>
    <mergeCell ref="MFF11:MFF12"/>
    <mergeCell ref="MFG11:MFG12"/>
    <mergeCell ref="MEV11:MEV12"/>
    <mergeCell ref="MEW11:MEW12"/>
    <mergeCell ref="MEX11:MEX12"/>
    <mergeCell ref="MEY11:MEY12"/>
    <mergeCell ref="MEZ11:MEZ12"/>
    <mergeCell ref="MFA11:MFA12"/>
    <mergeCell ref="MEP11:MEP12"/>
    <mergeCell ref="MEQ11:MEQ12"/>
    <mergeCell ref="MER11:MER12"/>
    <mergeCell ref="MES11:MES12"/>
    <mergeCell ref="MET11:MET12"/>
    <mergeCell ref="MEU11:MEU12"/>
    <mergeCell ref="MEJ11:MEJ12"/>
    <mergeCell ref="MEK11:MEK12"/>
    <mergeCell ref="MEL11:MEL12"/>
    <mergeCell ref="MEM11:MEM12"/>
    <mergeCell ref="MEN11:MEN12"/>
    <mergeCell ref="MEO11:MEO12"/>
    <mergeCell ref="MED11:MED12"/>
    <mergeCell ref="MEE11:MEE12"/>
    <mergeCell ref="MEF11:MEF12"/>
    <mergeCell ref="MEG11:MEG12"/>
    <mergeCell ref="MEH11:MEH12"/>
    <mergeCell ref="MEI11:MEI12"/>
    <mergeCell ref="MDX11:MDX12"/>
    <mergeCell ref="MDY11:MDY12"/>
    <mergeCell ref="MDZ11:MDZ12"/>
    <mergeCell ref="MEA11:MEA12"/>
    <mergeCell ref="MEB11:MEB12"/>
    <mergeCell ref="MEC11:MEC12"/>
    <mergeCell ref="MDR11:MDR12"/>
    <mergeCell ref="MDS11:MDS12"/>
    <mergeCell ref="MDT11:MDT12"/>
    <mergeCell ref="MDU11:MDU12"/>
    <mergeCell ref="MDV11:MDV12"/>
    <mergeCell ref="MDW11:MDW12"/>
    <mergeCell ref="MDL11:MDL12"/>
    <mergeCell ref="MDM11:MDM12"/>
    <mergeCell ref="MDN11:MDN12"/>
    <mergeCell ref="MDO11:MDO12"/>
    <mergeCell ref="MDP11:MDP12"/>
    <mergeCell ref="MDQ11:MDQ12"/>
    <mergeCell ref="MDF11:MDF12"/>
    <mergeCell ref="MDG11:MDG12"/>
    <mergeCell ref="MDH11:MDH12"/>
    <mergeCell ref="MDI11:MDI12"/>
    <mergeCell ref="MDJ11:MDJ12"/>
    <mergeCell ref="MDK11:MDK12"/>
    <mergeCell ref="MCZ11:MCZ12"/>
    <mergeCell ref="MDA11:MDA12"/>
    <mergeCell ref="MDB11:MDB12"/>
    <mergeCell ref="MDC11:MDC12"/>
    <mergeCell ref="MDD11:MDD12"/>
    <mergeCell ref="MDE11:MDE12"/>
    <mergeCell ref="MCT11:MCT12"/>
    <mergeCell ref="MCU11:MCU12"/>
    <mergeCell ref="MCV11:MCV12"/>
    <mergeCell ref="MCW11:MCW12"/>
    <mergeCell ref="MCX11:MCX12"/>
    <mergeCell ref="MCY11:MCY12"/>
    <mergeCell ref="MCN11:MCN12"/>
    <mergeCell ref="MCO11:MCO12"/>
    <mergeCell ref="MCP11:MCP12"/>
    <mergeCell ref="MCQ11:MCQ12"/>
    <mergeCell ref="MCR11:MCR12"/>
    <mergeCell ref="MCS11:MCS12"/>
    <mergeCell ref="MCH11:MCH12"/>
    <mergeCell ref="MCI11:MCI12"/>
    <mergeCell ref="MCJ11:MCJ12"/>
    <mergeCell ref="MCK11:MCK12"/>
    <mergeCell ref="MCL11:MCL12"/>
    <mergeCell ref="MCM11:MCM12"/>
    <mergeCell ref="MCB11:MCB12"/>
    <mergeCell ref="MCC11:MCC12"/>
    <mergeCell ref="MCD11:MCD12"/>
    <mergeCell ref="MCE11:MCE12"/>
    <mergeCell ref="MCF11:MCF12"/>
    <mergeCell ref="MCG11:MCG12"/>
    <mergeCell ref="MBV11:MBV12"/>
    <mergeCell ref="MBW11:MBW12"/>
    <mergeCell ref="MBX11:MBX12"/>
    <mergeCell ref="MBY11:MBY12"/>
    <mergeCell ref="MBZ11:MBZ12"/>
    <mergeCell ref="MCA11:MCA12"/>
    <mergeCell ref="MBP11:MBP12"/>
    <mergeCell ref="MBQ11:MBQ12"/>
    <mergeCell ref="MBR11:MBR12"/>
    <mergeCell ref="MBS11:MBS12"/>
    <mergeCell ref="MBT11:MBT12"/>
    <mergeCell ref="MBU11:MBU12"/>
    <mergeCell ref="MBJ11:MBJ12"/>
    <mergeCell ref="MBK11:MBK12"/>
    <mergeCell ref="MBL11:MBL12"/>
    <mergeCell ref="MBM11:MBM12"/>
    <mergeCell ref="MBN11:MBN12"/>
    <mergeCell ref="MBO11:MBO12"/>
    <mergeCell ref="MBD11:MBD12"/>
    <mergeCell ref="MBE11:MBE12"/>
    <mergeCell ref="MBF11:MBF12"/>
    <mergeCell ref="MBG11:MBG12"/>
    <mergeCell ref="MBH11:MBH12"/>
    <mergeCell ref="MBI11:MBI12"/>
    <mergeCell ref="MAX11:MAX12"/>
    <mergeCell ref="MAY11:MAY12"/>
    <mergeCell ref="MAZ11:MAZ12"/>
    <mergeCell ref="MBA11:MBA12"/>
    <mergeCell ref="MBB11:MBB12"/>
    <mergeCell ref="MBC11:MBC12"/>
    <mergeCell ref="MAR11:MAR12"/>
    <mergeCell ref="MAS11:MAS12"/>
    <mergeCell ref="MAT11:MAT12"/>
    <mergeCell ref="MAU11:MAU12"/>
    <mergeCell ref="MAV11:MAV12"/>
    <mergeCell ref="MAW11:MAW12"/>
    <mergeCell ref="MAL11:MAL12"/>
    <mergeCell ref="MAM11:MAM12"/>
    <mergeCell ref="MAN11:MAN12"/>
    <mergeCell ref="MAO11:MAO12"/>
    <mergeCell ref="MAP11:MAP12"/>
    <mergeCell ref="MAQ11:MAQ12"/>
    <mergeCell ref="MAF11:MAF12"/>
    <mergeCell ref="MAG11:MAG12"/>
    <mergeCell ref="MAH11:MAH12"/>
    <mergeCell ref="MAI11:MAI12"/>
    <mergeCell ref="MAJ11:MAJ12"/>
    <mergeCell ref="MAK11:MAK12"/>
    <mergeCell ref="LZZ11:LZZ12"/>
    <mergeCell ref="MAA11:MAA12"/>
    <mergeCell ref="MAB11:MAB12"/>
    <mergeCell ref="MAC11:MAC12"/>
    <mergeCell ref="MAD11:MAD12"/>
    <mergeCell ref="MAE11:MAE12"/>
    <mergeCell ref="LZT11:LZT12"/>
    <mergeCell ref="LZU11:LZU12"/>
    <mergeCell ref="LZV11:LZV12"/>
    <mergeCell ref="LZW11:LZW12"/>
    <mergeCell ref="LZX11:LZX12"/>
    <mergeCell ref="LZY11:LZY12"/>
    <mergeCell ref="LZN11:LZN12"/>
    <mergeCell ref="LZO11:LZO12"/>
    <mergeCell ref="LZP11:LZP12"/>
    <mergeCell ref="LZQ11:LZQ12"/>
    <mergeCell ref="LZR11:LZR12"/>
    <mergeCell ref="LZS11:LZS12"/>
    <mergeCell ref="LZH11:LZH12"/>
    <mergeCell ref="LZI11:LZI12"/>
    <mergeCell ref="LZJ11:LZJ12"/>
    <mergeCell ref="LZK11:LZK12"/>
    <mergeCell ref="LZL11:LZL12"/>
    <mergeCell ref="LZM11:LZM12"/>
    <mergeCell ref="LZB11:LZB12"/>
    <mergeCell ref="LZC11:LZC12"/>
    <mergeCell ref="LZD11:LZD12"/>
    <mergeCell ref="LZE11:LZE12"/>
    <mergeCell ref="LZF11:LZF12"/>
    <mergeCell ref="LZG11:LZG12"/>
    <mergeCell ref="LYV11:LYV12"/>
    <mergeCell ref="LYW11:LYW12"/>
    <mergeCell ref="LYX11:LYX12"/>
    <mergeCell ref="LYY11:LYY12"/>
    <mergeCell ref="LYZ11:LYZ12"/>
    <mergeCell ref="LZA11:LZA12"/>
    <mergeCell ref="LYP11:LYP12"/>
    <mergeCell ref="LYQ11:LYQ12"/>
    <mergeCell ref="LYR11:LYR12"/>
    <mergeCell ref="LYS11:LYS12"/>
    <mergeCell ref="LYT11:LYT12"/>
    <mergeCell ref="LYU11:LYU12"/>
    <mergeCell ref="LYJ11:LYJ12"/>
    <mergeCell ref="LYK11:LYK12"/>
    <mergeCell ref="LYL11:LYL12"/>
    <mergeCell ref="LYM11:LYM12"/>
    <mergeCell ref="LYN11:LYN12"/>
    <mergeCell ref="LYO11:LYO12"/>
    <mergeCell ref="LYD11:LYD12"/>
    <mergeCell ref="LYE11:LYE12"/>
    <mergeCell ref="LYF11:LYF12"/>
    <mergeCell ref="LYG11:LYG12"/>
    <mergeCell ref="LYH11:LYH12"/>
    <mergeCell ref="LYI11:LYI12"/>
    <mergeCell ref="LXX11:LXX12"/>
    <mergeCell ref="LXY11:LXY12"/>
    <mergeCell ref="LXZ11:LXZ12"/>
    <mergeCell ref="LYA11:LYA12"/>
    <mergeCell ref="LYB11:LYB12"/>
    <mergeCell ref="LYC11:LYC12"/>
    <mergeCell ref="LXR11:LXR12"/>
    <mergeCell ref="LXS11:LXS12"/>
    <mergeCell ref="LXT11:LXT12"/>
    <mergeCell ref="LXU11:LXU12"/>
    <mergeCell ref="LXV11:LXV12"/>
    <mergeCell ref="LXW11:LXW12"/>
    <mergeCell ref="LXL11:LXL12"/>
    <mergeCell ref="LXM11:LXM12"/>
    <mergeCell ref="LXN11:LXN12"/>
    <mergeCell ref="LXO11:LXO12"/>
    <mergeCell ref="LXP11:LXP12"/>
    <mergeCell ref="LXQ11:LXQ12"/>
    <mergeCell ref="LXF11:LXF12"/>
    <mergeCell ref="LXG11:LXG12"/>
    <mergeCell ref="LXH11:LXH12"/>
    <mergeCell ref="LXI11:LXI12"/>
    <mergeCell ref="LXJ11:LXJ12"/>
    <mergeCell ref="LXK11:LXK12"/>
    <mergeCell ref="LWZ11:LWZ12"/>
    <mergeCell ref="LXA11:LXA12"/>
    <mergeCell ref="LXB11:LXB12"/>
    <mergeCell ref="LXC11:LXC12"/>
    <mergeCell ref="LXD11:LXD12"/>
    <mergeCell ref="LXE11:LXE12"/>
    <mergeCell ref="LWT11:LWT12"/>
    <mergeCell ref="LWU11:LWU12"/>
    <mergeCell ref="LWV11:LWV12"/>
    <mergeCell ref="LWW11:LWW12"/>
    <mergeCell ref="LWX11:LWX12"/>
    <mergeCell ref="LWY11:LWY12"/>
    <mergeCell ref="LWN11:LWN12"/>
    <mergeCell ref="LWO11:LWO12"/>
    <mergeCell ref="LWP11:LWP12"/>
    <mergeCell ref="LWQ11:LWQ12"/>
    <mergeCell ref="LWR11:LWR12"/>
    <mergeCell ref="LWS11:LWS12"/>
    <mergeCell ref="LWH11:LWH12"/>
    <mergeCell ref="LWI11:LWI12"/>
    <mergeCell ref="LWJ11:LWJ12"/>
    <mergeCell ref="LWK11:LWK12"/>
    <mergeCell ref="LWL11:LWL12"/>
    <mergeCell ref="LWM11:LWM12"/>
    <mergeCell ref="LWB11:LWB12"/>
    <mergeCell ref="LWC11:LWC12"/>
    <mergeCell ref="LWD11:LWD12"/>
    <mergeCell ref="LWE11:LWE12"/>
    <mergeCell ref="LWF11:LWF12"/>
    <mergeCell ref="LWG11:LWG12"/>
    <mergeCell ref="LVV11:LVV12"/>
    <mergeCell ref="LVW11:LVW12"/>
    <mergeCell ref="LVX11:LVX12"/>
    <mergeCell ref="LVY11:LVY12"/>
    <mergeCell ref="LVZ11:LVZ12"/>
    <mergeCell ref="LWA11:LWA12"/>
    <mergeCell ref="LVP11:LVP12"/>
    <mergeCell ref="LVQ11:LVQ12"/>
    <mergeCell ref="LVR11:LVR12"/>
    <mergeCell ref="LVS11:LVS12"/>
    <mergeCell ref="LVT11:LVT12"/>
    <mergeCell ref="LVU11:LVU12"/>
    <mergeCell ref="LVJ11:LVJ12"/>
    <mergeCell ref="LVK11:LVK12"/>
    <mergeCell ref="LVL11:LVL12"/>
    <mergeCell ref="LVM11:LVM12"/>
    <mergeCell ref="LVN11:LVN12"/>
    <mergeCell ref="LVO11:LVO12"/>
    <mergeCell ref="LVD11:LVD12"/>
    <mergeCell ref="LVE11:LVE12"/>
    <mergeCell ref="LVF11:LVF12"/>
    <mergeCell ref="LVG11:LVG12"/>
    <mergeCell ref="LVH11:LVH12"/>
    <mergeCell ref="LVI11:LVI12"/>
    <mergeCell ref="LUX11:LUX12"/>
    <mergeCell ref="LUY11:LUY12"/>
    <mergeCell ref="LUZ11:LUZ12"/>
    <mergeCell ref="LVA11:LVA12"/>
    <mergeCell ref="LVB11:LVB12"/>
    <mergeCell ref="LVC11:LVC12"/>
    <mergeCell ref="LUR11:LUR12"/>
    <mergeCell ref="LUS11:LUS12"/>
    <mergeCell ref="LUT11:LUT12"/>
    <mergeCell ref="LUU11:LUU12"/>
    <mergeCell ref="LUV11:LUV12"/>
    <mergeCell ref="LUW11:LUW12"/>
    <mergeCell ref="LUL11:LUL12"/>
    <mergeCell ref="LUM11:LUM12"/>
    <mergeCell ref="LUN11:LUN12"/>
    <mergeCell ref="LUO11:LUO12"/>
    <mergeCell ref="LUP11:LUP12"/>
    <mergeCell ref="LUQ11:LUQ12"/>
    <mergeCell ref="LUF11:LUF12"/>
    <mergeCell ref="LUG11:LUG12"/>
    <mergeCell ref="LUH11:LUH12"/>
    <mergeCell ref="LUI11:LUI12"/>
    <mergeCell ref="LUJ11:LUJ12"/>
    <mergeCell ref="LUK11:LUK12"/>
    <mergeCell ref="LTZ11:LTZ12"/>
    <mergeCell ref="LUA11:LUA12"/>
    <mergeCell ref="LUB11:LUB12"/>
    <mergeCell ref="LUC11:LUC12"/>
    <mergeCell ref="LUD11:LUD12"/>
    <mergeCell ref="LUE11:LUE12"/>
    <mergeCell ref="LTT11:LTT12"/>
    <mergeCell ref="LTU11:LTU12"/>
    <mergeCell ref="LTV11:LTV12"/>
    <mergeCell ref="LTW11:LTW12"/>
    <mergeCell ref="LTX11:LTX12"/>
    <mergeCell ref="LTY11:LTY12"/>
    <mergeCell ref="LTN11:LTN12"/>
    <mergeCell ref="LTO11:LTO12"/>
    <mergeCell ref="LTP11:LTP12"/>
    <mergeCell ref="LTQ11:LTQ12"/>
    <mergeCell ref="LTR11:LTR12"/>
    <mergeCell ref="LTS11:LTS12"/>
    <mergeCell ref="LTH11:LTH12"/>
    <mergeCell ref="LTI11:LTI12"/>
    <mergeCell ref="LTJ11:LTJ12"/>
    <mergeCell ref="LTK11:LTK12"/>
    <mergeCell ref="LTL11:LTL12"/>
    <mergeCell ref="LTM11:LTM12"/>
    <mergeCell ref="LTB11:LTB12"/>
    <mergeCell ref="LTC11:LTC12"/>
    <mergeCell ref="LTD11:LTD12"/>
    <mergeCell ref="LTE11:LTE12"/>
    <mergeCell ref="LTF11:LTF12"/>
    <mergeCell ref="LTG11:LTG12"/>
    <mergeCell ref="LSV11:LSV12"/>
    <mergeCell ref="LSW11:LSW12"/>
    <mergeCell ref="LSX11:LSX12"/>
    <mergeCell ref="LSY11:LSY12"/>
    <mergeCell ref="LSZ11:LSZ12"/>
    <mergeCell ref="LTA11:LTA12"/>
    <mergeCell ref="LSP11:LSP12"/>
    <mergeCell ref="LSQ11:LSQ12"/>
    <mergeCell ref="LSR11:LSR12"/>
    <mergeCell ref="LSS11:LSS12"/>
    <mergeCell ref="LST11:LST12"/>
    <mergeCell ref="LSU11:LSU12"/>
    <mergeCell ref="LSJ11:LSJ12"/>
    <mergeCell ref="LSK11:LSK12"/>
    <mergeCell ref="LSL11:LSL12"/>
    <mergeCell ref="LSM11:LSM12"/>
    <mergeCell ref="LSN11:LSN12"/>
    <mergeCell ref="LSO11:LSO12"/>
    <mergeCell ref="LSD11:LSD12"/>
    <mergeCell ref="LSE11:LSE12"/>
    <mergeCell ref="LSF11:LSF12"/>
    <mergeCell ref="LSG11:LSG12"/>
    <mergeCell ref="LSH11:LSH12"/>
    <mergeCell ref="LSI11:LSI12"/>
    <mergeCell ref="LRX11:LRX12"/>
    <mergeCell ref="LRY11:LRY12"/>
    <mergeCell ref="LRZ11:LRZ12"/>
    <mergeCell ref="LSA11:LSA12"/>
    <mergeCell ref="LSB11:LSB12"/>
    <mergeCell ref="LSC11:LSC12"/>
    <mergeCell ref="LRR11:LRR12"/>
    <mergeCell ref="LRS11:LRS12"/>
    <mergeCell ref="LRT11:LRT12"/>
    <mergeCell ref="LRU11:LRU12"/>
    <mergeCell ref="LRV11:LRV12"/>
    <mergeCell ref="LRW11:LRW12"/>
    <mergeCell ref="LRL11:LRL12"/>
    <mergeCell ref="LRM11:LRM12"/>
    <mergeCell ref="LRN11:LRN12"/>
    <mergeCell ref="LRO11:LRO12"/>
    <mergeCell ref="LRP11:LRP12"/>
    <mergeCell ref="LRQ11:LRQ12"/>
    <mergeCell ref="LRF11:LRF12"/>
    <mergeCell ref="LRG11:LRG12"/>
    <mergeCell ref="LRH11:LRH12"/>
    <mergeCell ref="LRI11:LRI12"/>
    <mergeCell ref="LRJ11:LRJ12"/>
    <mergeCell ref="LRK11:LRK12"/>
    <mergeCell ref="LQZ11:LQZ12"/>
    <mergeCell ref="LRA11:LRA12"/>
    <mergeCell ref="LRB11:LRB12"/>
    <mergeCell ref="LRC11:LRC12"/>
    <mergeCell ref="LRD11:LRD12"/>
    <mergeCell ref="LRE11:LRE12"/>
    <mergeCell ref="LQT11:LQT12"/>
    <mergeCell ref="LQU11:LQU12"/>
    <mergeCell ref="LQV11:LQV12"/>
    <mergeCell ref="LQW11:LQW12"/>
    <mergeCell ref="LQX11:LQX12"/>
    <mergeCell ref="LQY11:LQY12"/>
    <mergeCell ref="LQN11:LQN12"/>
    <mergeCell ref="LQO11:LQO12"/>
    <mergeCell ref="LQP11:LQP12"/>
    <mergeCell ref="LQQ11:LQQ12"/>
    <mergeCell ref="LQR11:LQR12"/>
    <mergeCell ref="LQS11:LQS12"/>
    <mergeCell ref="LQH11:LQH12"/>
    <mergeCell ref="LQI11:LQI12"/>
    <mergeCell ref="LQJ11:LQJ12"/>
    <mergeCell ref="LQK11:LQK12"/>
    <mergeCell ref="LQL11:LQL12"/>
    <mergeCell ref="LQM11:LQM12"/>
    <mergeCell ref="LQB11:LQB12"/>
    <mergeCell ref="LQC11:LQC12"/>
    <mergeCell ref="LQD11:LQD12"/>
    <mergeCell ref="LQE11:LQE12"/>
    <mergeCell ref="LQF11:LQF12"/>
    <mergeCell ref="LQG11:LQG12"/>
    <mergeCell ref="LPV11:LPV12"/>
    <mergeCell ref="LPW11:LPW12"/>
    <mergeCell ref="LPX11:LPX12"/>
    <mergeCell ref="LPY11:LPY12"/>
    <mergeCell ref="LPZ11:LPZ12"/>
    <mergeCell ref="LQA11:LQA12"/>
    <mergeCell ref="LPP11:LPP12"/>
    <mergeCell ref="LPQ11:LPQ12"/>
    <mergeCell ref="LPR11:LPR12"/>
    <mergeCell ref="LPS11:LPS12"/>
    <mergeCell ref="LPT11:LPT12"/>
    <mergeCell ref="LPU11:LPU12"/>
    <mergeCell ref="LPJ11:LPJ12"/>
    <mergeCell ref="LPK11:LPK12"/>
    <mergeCell ref="LPL11:LPL12"/>
    <mergeCell ref="LPM11:LPM12"/>
    <mergeCell ref="LPN11:LPN12"/>
    <mergeCell ref="LPO11:LPO12"/>
    <mergeCell ref="LPD11:LPD12"/>
    <mergeCell ref="LPE11:LPE12"/>
    <mergeCell ref="LPF11:LPF12"/>
    <mergeCell ref="LPG11:LPG12"/>
    <mergeCell ref="LPH11:LPH12"/>
    <mergeCell ref="LPI11:LPI12"/>
    <mergeCell ref="LOX11:LOX12"/>
    <mergeCell ref="LOY11:LOY12"/>
    <mergeCell ref="LOZ11:LOZ12"/>
    <mergeCell ref="LPA11:LPA12"/>
    <mergeCell ref="LPB11:LPB12"/>
    <mergeCell ref="LPC11:LPC12"/>
    <mergeCell ref="LOR11:LOR12"/>
    <mergeCell ref="LOS11:LOS12"/>
    <mergeCell ref="LOT11:LOT12"/>
    <mergeCell ref="LOU11:LOU12"/>
    <mergeCell ref="LOV11:LOV12"/>
    <mergeCell ref="LOW11:LOW12"/>
    <mergeCell ref="LOL11:LOL12"/>
    <mergeCell ref="LOM11:LOM12"/>
    <mergeCell ref="LON11:LON12"/>
    <mergeCell ref="LOO11:LOO12"/>
    <mergeCell ref="LOP11:LOP12"/>
    <mergeCell ref="LOQ11:LOQ12"/>
    <mergeCell ref="LOF11:LOF12"/>
    <mergeCell ref="LOG11:LOG12"/>
    <mergeCell ref="LOH11:LOH12"/>
    <mergeCell ref="LOI11:LOI12"/>
    <mergeCell ref="LOJ11:LOJ12"/>
    <mergeCell ref="LOK11:LOK12"/>
    <mergeCell ref="LNZ11:LNZ12"/>
    <mergeCell ref="LOA11:LOA12"/>
    <mergeCell ref="LOB11:LOB12"/>
    <mergeCell ref="LOC11:LOC12"/>
    <mergeCell ref="LOD11:LOD12"/>
    <mergeCell ref="LOE11:LOE12"/>
    <mergeCell ref="LNT11:LNT12"/>
    <mergeCell ref="LNU11:LNU12"/>
    <mergeCell ref="LNV11:LNV12"/>
    <mergeCell ref="LNW11:LNW12"/>
    <mergeCell ref="LNX11:LNX12"/>
    <mergeCell ref="LNY11:LNY12"/>
    <mergeCell ref="LNN11:LNN12"/>
    <mergeCell ref="LNO11:LNO12"/>
    <mergeCell ref="LNP11:LNP12"/>
    <mergeCell ref="LNQ11:LNQ12"/>
    <mergeCell ref="LNR11:LNR12"/>
    <mergeCell ref="LNS11:LNS12"/>
    <mergeCell ref="LNH11:LNH12"/>
    <mergeCell ref="LNI11:LNI12"/>
    <mergeCell ref="LNJ11:LNJ12"/>
    <mergeCell ref="LNK11:LNK12"/>
    <mergeCell ref="LNL11:LNL12"/>
    <mergeCell ref="LNM11:LNM12"/>
    <mergeCell ref="LNB11:LNB12"/>
    <mergeCell ref="LNC11:LNC12"/>
    <mergeCell ref="LND11:LND12"/>
    <mergeCell ref="LNE11:LNE12"/>
    <mergeCell ref="LNF11:LNF12"/>
    <mergeCell ref="LNG11:LNG12"/>
    <mergeCell ref="LMV11:LMV12"/>
    <mergeCell ref="LMW11:LMW12"/>
    <mergeCell ref="LMX11:LMX12"/>
    <mergeCell ref="LMY11:LMY12"/>
    <mergeCell ref="LMZ11:LMZ12"/>
    <mergeCell ref="LNA11:LNA12"/>
    <mergeCell ref="LMP11:LMP12"/>
    <mergeCell ref="LMQ11:LMQ12"/>
    <mergeCell ref="LMR11:LMR12"/>
    <mergeCell ref="LMS11:LMS12"/>
    <mergeCell ref="LMT11:LMT12"/>
    <mergeCell ref="LMU11:LMU12"/>
    <mergeCell ref="LMJ11:LMJ12"/>
    <mergeCell ref="LMK11:LMK12"/>
    <mergeCell ref="LML11:LML12"/>
    <mergeCell ref="LMM11:LMM12"/>
    <mergeCell ref="LMN11:LMN12"/>
    <mergeCell ref="LMO11:LMO12"/>
    <mergeCell ref="LMD11:LMD12"/>
    <mergeCell ref="LME11:LME12"/>
    <mergeCell ref="LMF11:LMF12"/>
    <mergeCell ref="LMG11:LMG12"/>
    <mergeCell ref="LMH11:LMH12"/>
    <mergeCell ref="LMI11:LMI12"/>
    <mergeCell ref="LLX11:LLX12"/>
    <mergeCell ref="LLY11:LLY12"/>
    <mergeCell ref="LLZ11:LLZ12"/>
    <mergeCell ref="LMA11:LMA12"/>
    <mergeCell ref="LMB11:LMB12"/>
    <mergeCell ref="LMC11:LMC12"/>
    <mergeCell ref="LLR11:LLR12"/>
    <mergeCell ref="LLS11:LLS12"/>
    <mergeCell ref="LLT11:LLT12"/>
    <mergeCell ref="LLU11:LLU12"/>
    <mergeCell ref="LLV11:LLV12"/>
    <mergeCell ref="LLW11:LLW12"/>
    <mergeCell ref="LLL11:LLL12"/>
    <mergeCell ref="LLM11:LLM12"/>
    <mergeCell ref="LLN11:LLN12"/>
    <mergeCell ref="LLO11:LLO12"/>
    <mergeCell ref="LLP11:LLP12"/>
    <mergeCell ref="LLQ11:LLQ12"/>
    <mergeCell ref="LLF11:LLF12"/>
    <mergeCell ref="LLG11:LLG12"/>
    <mergeCell ref="LLH11:LLH12"/>
    <mergeCell ref="LLI11:LLI12"/>
    <mergeCell ref="LLJ11:LLJ12"/>
    <mergeCell ref="LLK11:LLK12"/>
    <mergeCell ref="LKZ11:LKZ12"/>
    <mergeCell ref="LLA11:LLA12"/>
    <mergeCell ref="LLB11:LLB12"/>
    <mergeCell ref="LLC11:LLC12"/>
    <mergeCell ref="LLD11:LLD12"/>
    <mergeCell ref="LLE11:LLE12"/>
    <mergeCell ref="LKT11:LKT12"/>
    <mergeCell ref="LKU11:LKU12"/>
    <mergeCell ref="LKV11:LKV12"/>
    <mergeCell ref="LKW11:LKW12"/>
    <mergeCell ref="LKX11:LKX12"/>
    <mergeCell ref="LKY11:LKY12"/>
    <mergeCell ref="LKN11:LKN12"/>
    <mergeCell ref="LKO11:LKO12"/>
    <mergeCell ref="LKP11:LKP12"/>
    <mergeCell ref="LKQ11:LKQ12"/>
    <mergeCell ref="LKR11:LKR12"/>
    <mergeCell ref="LKS11:LKS12"/>
    <mergeCell ref="LKH11:LKH12"/>
    <mergeCell ref="LKI11:LKI12"/>
    <mergeCell ref="LKJ11:LKJ12"/>
    <mergeCell ref="LKK11:LKK12"/>
    <mergeCell ref="LKL11:LKL12"/>
    <mergeCell ref="LKM11:LKM12"/>
    <mergeCell ref="LKB11:LKB12"/>
    <mergeCell ref="LKC11:LKC12"/>
    <mergeCell ref="LKD11:LKD12"/>
    <mergeCell ref="LKE11:LKE12"/>
    <mergeCell ref="LKF11:LKF12"/>
    <mergeCell ref="LKG11:LKG12"/>
    <mergeCell ref="LJV11:LJV12"/>
    <mergeCell ref="LJW11:LJW12"/>
    <mergeCell ref="LJX11:LJX12"/>
    <mergeCell ref="LJY11:LJY12"/>
    <mergeCell ref="LJZ11:LJZ12"/>
    <mergeCell ref="LKA11:LKA12"/>
    <mergeCell ref="LJP11:LJP12"/>
    <mergeCell ref="LJQ11:LJQ12"/>
    <mergeCell ref="LJR11:LJR12"/>
    <mergeCell ref="LJS11:LJS12"/>
    <mergeCell ref="LJT11:LJT12"/>
    <mergeCell ref="LJU11:LJU12"/>
    <mergeCell ref="LJJ11:LJJ12"/>
    <mergeCell ref="LJK11:LJK12"/>
    <mergeCell ref="LJL11:LJL12"/>
    <mergeCell ref="LJM11:LJM12"/>
    <mergeCell ref="LJN11:LJN12"/>
    <mergeCell ref="LJO11:LJO12"/>
    <mergeCell ref="LJD11:LJD12"/>
    <mergeCell ref="LJE11:LJE12"/>
    <mergeCell ref="LJF11:LJF12"/>
    <mergeCell ref="LJG11:LJG12"/>
    <mergeCell ref="LJH11:LJH12"/>
    <mergeCell ref="LJI11:LJI12"/>
    <mergeCell ref="LIX11:LIX12"/>
    <mergeCell ref="LIY11:LIY12"/>
    <mergeCell ref="LIZ11:LIZ12"/>
    <mergeCell ref="LJA11:LJA12"/>
    <mergeCell ref="LJB11:LJB12"/>
    <mergeCell ref="LJC11:LJC12"/>
    <mergeCell ref="LIR11:LIR12"/>
    <mergeCell ref="LIS11:LIS12"/>
    <mergeCell ref="LIT11:LIT12"/>
    <mergeCell ref="LIU11:LIU12"/>
    <mergeCell ref="LIV11:LIV12"/>
    <mergeCell ref="LIW11:LIW12"/>
    <mergeCell ref="LIL11:LIL12"/>
    <mergeCell ref="LIM11:LIM12"/>
    <mergeCell ref="LIN11:LIN12"/>
    <mergeCell ref="LIO11:LIO12"/>
    <mergeCell ref="LIP11:LIP12"/>
    <mergeCell ref="LIQ11:LIQ12"/>
    <mergeCell ref="LIF11:LIF12"/>
    <mergeCell ref="LIG11:LIG12"/>
    <mergeCell ref="LIH11:LIH12"/>
    <mergeCell ref="LII11:LII12"/>
    <mergeCell ref="LIJ11:LIJ12"/>
    <mergeCell ref="LIK11:LIK12"/>
    <mergeCell ref="LHZ11:LHZ12"/>
    <mergeCell ref="LIA11:LIA12"/>
    <mergeCell ref="LIB11:LIB12"/>
    <mergeCell ref="LIC11:LIC12"/>
    <mergeCell ref="LID11:LID12"/>
    <mergeCell ref="LIE11:LIE12"/>
    <mergeCell ref="LHT11:LHT12"/>
    <mergeCell ref="LHU11:LHU12"/>
    <mergeCell ref="LHV11:LHV12"/>
    <mergeCell ref="LHW11:LHW12"/>
    <mergeCell ref="LHX11:LHX12"/>
    <mergeCell ref="LHY11:LHY12"/>
    <mergeCell ref="LHN11:LHN12"/>
    <mergeCell ref="LHO11:LHO12"/>
    <mergeCell ref="LHP11:LHP12"/>
    <mergeCell ref="LHQ11:LHQ12"/>
    <mergeCell ref="LHR11:LHR12"/>
    <mergeCell ref="LHS11:LHS12"/>
    <mergeCell ref="LHH11:LHH12"/>
    <mergeCell ref="LHI11:LHI12"/>
    <mergeCell ref="LHJ11:LHJ12"/>
    <mergeCell ref="LHK11:LHK12"/>
    <mergeCell ref="LHL11:LHL12"/>
    <mergeCell ref="LHM11:LHM12"/>
    <mergeCell ref="LHB11:LHB12"/>
    <mergeCell ref="LHC11:LHC12"/>
    <mergeCell ref="LHD11:LHD12"/>
    <mergeCell ref="LHE11:LHE12"/>
    <mergeCell ref="LHF11:LHF12"/>
    <mergeCell ref="LHG11:LHG12"/>
    <mergeCell ref="LGV11:LGV12"/>
    <mergeCell ref="LGW11:LGW12"/>
    <mergeCell ref="LGX11:LGX12"/>
    <mergeCell ref="LGY11:LGY12"/>
    <mergeCell ref="LGZ11:LGZ12"/>
    <mergeCell ref="LHA11:LHA12"/>
    <mergeCell ref="LGP11:LGP12"/>
    <mergeCell ref="LGQ11:LGQ12"/>
    <mergeCell ref="LGR11:LGR12"/>
    <mergeCell ref="LGS11:LGS12"/>
    <mergeCell ref="LGT11:LGT12"/>
    <mergeCell ref="LGU11:LGU12"/>
    <mergeCell ref="LGJ11:LGJ12"/>
    <mergeCell ref="LGK11:LGK12"/>
    <mergeCell ref="LGL11:LGL12"/>
    <mergeCell ref="LGM11:LGM12"/>
    <mergeCell ref="LGN11:LGN12"/>
    <mergeCell ref="LGO11:LGO12"/>
    <mergeCell ref="LGD11:LGD12"/>
    <mergeCell ref="LGE11:LGE12"/>
    <mergeCell ref="LGF11:LGF12"/>
    <mergeCell ref="LGG11:LGG12"/>
    <mergeCell ref="LGH11:LGH12"/>
    <mergeCell ref="LGI11:LGI12"/>
    <mergeCell ref="LFX11:LFX12"/>
    <mergeCell ref="LFY11:LFY12"/>
    <mergeCell ref="LFZ11:LFZ12"/>
    <mergeCell ref="LGA11:LGA12"/>
    <mergeCell ref="LGB11:LGB12"/>
    <mergeCell ref="LGC11:LGC12"/>
    <mergeCell ref="LFR11:LFR12"/>
    <mergeCell ref="LFS11:LFS12"/>
    <mergeCell ref="LFT11:LFT12"/>
    <mergeCell ref="LFU11:LFU12"/>
    <mergeCell ref="LFV11:LFV12"/>
    <mergeCell ref="LFW11:LFW12"/>
    <mergeCell ref="LFL11:LFL12"/>
    <mergeCell ref="LFM11:LFM12"/>
    <mergeCell ref="LFN11:LFN12"/>
    <mergeCell ref="LFO11:LFO12"/>
    <mergeCell ref="LFP11:LFP12"/>
    <mergeCell ref="LFQ11:LFQ12"/>
    <mergeCell ref="LFF11:LFF12"/>
    <mergeCell ref="LFG11:LFG12"/>
    <mergeCell ref="LFH11:LFH12"/>
    <mergeCell ref="LFI11:LFI12"/>
    <mergeCell ref="LFJ11:LFJ12"/>
    <mergeCell ref="LFK11:LFK12"/>
    <mergeCell ref="LEZ11:LEZ12"/>
    <mergeCell ref="LFA11:LFA12"/>
    <mergeCell ref="LFB11:LFB12"/>
    <mergeCell ref="LFC11:LFC12"/>
    <mergeCell ref="LFD11:LFD12"/>
    <mergeCell ref="LFE11:LFE12"/>
    <mergeCell ref="LET11:LET12"/>
    <mergeCell ref="LEU11:LEU12"/>
    <mergeCell ref="LEV11:LEV12"/>
    <mergeCell ref="LEW11:LEW12"/>
    <mergeCell ref="LEX11:LEX12"/>
    <mergeCell ref="LEY11:LEY12"/>
    <mergeCell ref="LEN11:LEN12"/>
    <mergeCell ref="LEO11:LEO12"/>
    <mergeCell ref="LEP11:LEP12"/>
    <mergeCell ref="LEQ11:LEQ12"/>
    <mergeCell ref="LER11:LER12"/>
    <mergeCell ref="LES11:LES12"/>
    <mergeCell ref="LEH11:LEH12"/>
    <mergeCell ref="LEI11:LEI12"/>
    <mergeCell ref="LEJ11:LEJ12"/>
    <mergeCell ref="LEK11:LEK12"/>
    <mergeCell ref="LEL11:LEL12"/>
    <mergeCell ref="LEM11:LEM12"/>
    <mergeCell ref="LEB11:LEB12"/>
    <mergeCell ref="LEC11:LEC12"/>
    <mergeCell ref="LED11:LED12"/>
    <mergeCell ref="LEE11:LEE12"/>
    <mergeCell ref="LEF11:LEF12"/>
    <mergeCell ref="LEG11:LEG12"/>
    <mergeCell ref="LDV11:LDV12"/>
    <mergeCell ref="LDW11:LDW12"/>
    <mergeCell ref="LDX11:LDX12"/>
    <mergeCell ref="LDY11:LDY12"/>
    <mergeCell ref="LDZ11:LDZ12"/>
    <mergeCell ref="LEA11:LEA12"/>
    <mergeCell ref="LDP11:LDP12"/>
    <mergeCell ref="LDQ11:LDQ12"/>
    <mergeCell ref="LDR11:LDR12"/>
    <mergeCell ref="LDS11:LDS12"/>
    <mergeCell ref="LDT11:LDT12"/>
    <mergeCell ref="LDU11:LDU12"/>
    <mergeCell ref="LDJ11:LDJ12"/>
    <mergeCell ref="LDK11:LDK12"/>
    <mergeCell ref="LDL11:LDL12"/>
    <mergeCell ref="LDM11:LDM12"/>
    <mergeCell ref="LDN11:LDN12"/>
    <mergeCell ref="LDO11:LDO12"/>
    <mergeCell ref="LDD11:LDD12"/>
    <mergeCell ref="LDE11:LDE12"/>
    <mergeCell ref="LDF11:LDF12"/>
    <mergeCell ref="LDG11:LDG12"/>
    <mergeCell ref="LDH11:LDH12"/>
    <mergeCell ref="LDI11:LDI12"/>
    <mergeCell ref="LCX11:LCX12"/>
    <mergeCell ref="LCY11:LCY12"/>
    <mergeCell ref="LCZ11:LCZ12"/>
    <mergeCell ref="LDA11:LDA12"/>
    <mergeCell ref="LDB11:LDB12"/>
    <mergeCell ref="LDC11:LDC12"/>
    <mergeCell ref="LCR11:LCR12"/>
    <mergeCell ref="LCS11:LCS12"/>
    <mergeCell ref="LCT11:LCT12"/>
    <mergeCell ref="LCU11:LCU12"/>
    <mergeCell ref="LCV11:LCV12"/>
    <mergeCell ref="LCW11:LCW12"/>
    <mergeCell ref="LCL11:LCL12"/>
    <mergeCell ref="LCM11:LCM12"/>
    <mergeCell ref="LCN11:LCN12"/>
    <mergeCell ref="LCO11:LCO12"/>
    <mergeCell ref="LCP11:LCP12"/>
    <mergeCell ref="LCQ11:LCQ12"/>
    <mergeCell ref="LCF11:LCF12"/>
    <mergeCell ref="LCG11:LCG12"/>
    <mergeCell ref="LCH11:LCH12"/>
    <mergeCell ref="LCI11:LCI12"/>
    <mergeCell ref="LCJ11:LCJ12"/>
    <mergeCell ref="LCK11:LCK12"/>
    <mergeCell ref="LBZ11:LBZ12"/>
    <mergeCell ref="LCA11:LCA12"/>
    <mergeCell ref="LCB11:LCB12"/>
    <mergeCell ref="LCC11:LCC12"/>
    <mergeCell ref="LCD11:LCD12"/>
    <mergeCell ref="LCE11:LCE12"/>
    <mergeCell ref="LBT11:LBT12"/>
    <mergeCell ref="LBU11:LBU12"/>
    <mergeCell ref="LBV11:LBV12"/>
    <mergeCell ref="LBW11:LBW12"/>
    <mergeCell ref="LBX11:LBX12"/>
    <mergeCell ref="LBY11:LBY12"/>
    <mergeCell ref="LBN11:LBN12"/>
    <mergeCell ref="LBO11:LBO12"/>
    <mergeCell ref="LBP11:LBP12"/>
    <mergeCell ref="LBQ11:LBQ12"/>
    <mergeCell ref="LBR11:LBR12"/>
    <mergeCell ref="LBS11:LBS12"/>
    <mergeCell ref="LBH11:LBH12"/>
    <mergeCell ref="LBI11:LBI12"/>
    <mergeCell ref="LBJ11:LBJ12"/>
    <mergeCell ref="LBK11:LBK12"/>
    <mergeCell ref="LBL11:LBL12"/>
    <mergeCell ref="LBM11:LBM12"/>
    <mergeCell ref="LBB11:LBB12"/>
    <mergeCell ref="LBC11:LBC12"/>
    <mergeCell ref="LBD11:LBD12"/>
    <mergeCell ref="LBE11:LBE12"/>
    <mergeCell ref="LBF11:LBF12"/>
    <mergeCell ref="LBG11:LBG12"/>
    <mergeCell ref="LAV11:LAV12"/>
    <mergeCell ref="LAW11:LAW12"/>
    <mergeCell ref="LAX11:LAX12"/>
    <mergeCell ref="LAY11:LAY12"/>
    <mergeCell ref="LAZ11:LAZ12"/>
    <mergeCell ref="LBA11:LBA12"/>
    <mergeCell ref="LAP11:LAP12"/>
    <mergeCell ref="LAQ11:LAQ12"/>
    <mergeCell ref="LAR11:LAR12"/>
    <mergeCell ref="LAS11:LAS12"/>
    <mergeCell ref="LAT11:LAT12"/>
    <mergeCell ref="LAU11:LAU12"/>
    <mergeCell ref="LAJ11:LAJ12"/>
    <mergeCell ref="LAK11:LAK12"/>
    <mergeCell ref="LAL11:LAL12"/>
    <mergeCell ref="LAM11:LAM12"/>
    <mergeCell ref="LAN11:LAN12"/>
    <mergeCell ref="LAO11:LAO12"/>
    <mergeCell ref="LAD11:LAD12"/>
    <mergeCell ref="LAE11:LAE12"/>
    <mergeCell ref="LAF11:LAF12"/>
    <mergeCell ref="LAG11:LAG12"/>
    <mergeCell ref="LAH11:LAH12"/>
    <mergeCell ref="LAI11:LAI12"/>
    <mergeCell ref="KZX11:KZX12"/>
    <mergeCell ref="KZY11:KZY12"/>
    <mergeCell ref="KZZ11:KZZ12"/>
    <mergeCell ref="LAA11:LAA12"/>
    <mergeCell ref="LAB11:LAB12"/>
    <mergeCell ref="LAC11:LAC12"/>
    <mergeCell ref="KZR11:KZR12"/>
    <mergeCell ref="KZS11:KZS12"/>
    <mergeCell ref="KZT11:KZT12"/>
    <mergeCell ref="KZU11:KZU12"/>
    <mergeCell ref="KZV11:KZV12"/>
    <mergeCell ref="KZW11:KZW12"/>
    <mergeCell ref="KZL11:KZL12"/>
    <mergeCell ref="KZM11:KZM12"/>
    <mergeCell ref="KZN11:KZN12"/>
    <mergeCell ref="KZO11:KZO12"/>
    <mergeCell ref="KZP11:KZP12"/>
    <mergeCell ref="KZQ11:KZQ12"/>
    <mergeCell ref="KZF11:KZF12"/>
    <mergeCell ref="KZG11:KZG12"/>
    <mergeCell ref="KZH11:KZH12"/>
    <mergeCell ref="KZI11:KZI12"/>
    <mergeCell ref="KZJ11:KZJ12"/>
    <mergeCell ref="KZK11:KZK12"/>
    <mergeCell ref="KYZ11:KYZ12"/>
    <mergeCell ref="KZA11:KZA12"/>
    <mergeCell ref="KZB11:KZB12"/>
    <mergeCell ref="KZC11:KZC12"/>
    <mergeCell ref="KZD11:KZD12"/>
    <mergeCell ref="KZE11:KZE12"/>
    <mergeCell ref="KYT11:KYT12"/>
    <mergeCell ref="KYU11:KYU12"/>
    <mergeCell ref="KYV11:KYV12"/>
    <mergeCell ref="KYW11:KYW12"/>
    <mergeCell ref="KYX11:KYX12"/>
    <mergeCell ref="KYY11:KYY12"/>
    <mergeCell ref="KYN11:KYN12"/>
    <mergeCell ref="KYO11:KYO12"/>
    <mergeCell ref="KYP11:KYP12"/>
    <mergeCell ref="KYQ11:KYQ12"/>
    <mergeCell ref="KYR11:KYR12"/>
    <mergeCell ref="KYS11:KYS12"/>
    <mergeCell ref="KYH11:KYH12"/>
    <mergeCell ref="KYI11:KYI12"/>
    <mergeCell ref="KYJ11:KYJ12"/>
    <mergeCell ref="KYK11:KYK12"/>
    <mergeCell ref="KYL11:KYL12"/>
    <mergeCell ref="KYM11:KYM12"/>
    <mergeCell ref="KYB11:KYB12"/>
    <mergeCell ref="KYC11:KYC12"/>
    <mergeCell ref="KYD11:KYD12"/>
    <mergeCell ref="KYE11:KYE12"/>
    <mergeCell ref="KYF11:KYF12"/>
    <mergeCell ref="KYG11:KYG12"/>
    <mergeCell ref="KXV11:KXV12"/>
    <mergeCell ref="KXW11:KXW12"/>
    <mergeCell ref="KXX11:KXX12"/>
    <mergeCell ref="KXY11:KXY12"/>
    <mergeCell ref="KXZ11:KXZ12"/>
    <mergeCell ref="KYA11:KYA12"/>
    <mergeCell ref="KXP11:KXP12"/>
    <mergeCell ref="KXQ11:KXQ12"/>
    <mergeCell ref="KXR11:KXR12"/>
    <mergeCell ref="KXS11:KXS12"/>
    <mergeCell ref="KXT11:KXT12"/>
    <mergeCell ref="KXU11:KXU12"/>
    <mergeCell ref="KXJ11:KXJ12"/>
    <mergeCell ref="KXK11:KXK12"/>
    <mergeCell ref="KXL11:KXL12"/>
    <mergeCell ref="KXM11:KXM12"/>
    <mergeCell ref="KXN11:KXN12"/>
    <mergeCell ref="KXO11:KXO12"/>
    <mergeCell ref="KXD11:KXD12"/>
    <mergeCell ref="KXE11:KXE12"/>
    <mergeCell ref="KXF11:KXF12"/>
    <mergeCell ref="KXG11:KXG12"/>
    <mergeCell ref="KXH11:KXH12"/>
    <mergeCell ref="KXI11:KXI12"/>
    <mergeCell ref="KWX11:KWX12"/>
    <mergeCell ref="KWY11:KWY12"/>
    <mergeCell ref="KWZ11:KWZ12"/>
    <mergeCell ref="KXA11:KXA12"/>
    <mergeCell ref="KXB11:KXB12"/>
    <mergeCell ref="KXC11:KXC12"/>
    <mergeCell ref="KWR11:KWR12"/>
    <mergeCell ref="KWS11:KWS12"/>
    <mergeCell ref="KWT11:KWT12"/>
    <mergeCell ref="KWU11:KWU12"/>
    <mergeCell ref="KWV11:KWV12"/>
    <mergeCell ref="KWW11:KWW12"/>
    <mergeCell ref="KWL11:KWL12"/>
    <mergeCell ref="KWM11:KWM12"/>
    <mergeCell ref="KWN11:KWN12"/>
    <mergeCell ref="KWO11:KWO12"/>
    <mergeCell ref="KWP11:KWP12"/>
    <mergeCell ref="KWQ11:KWQ12"/>
    <mergeCell ref="KWF11:KWF12"/>
    <mergeCell ref="KWG11:KWG12"/>
    <mergeCell ref="KWH11:KWH12"/>
    <mergeCell ref="KWI11:KWI12"/>
    <mergeCell ref="KWJ11:KWJ12"/>
    <mergeCell ref="KWK11:KWK12"/>
    <mergeCell ref="KVZ11:KVZ12"/>
    <mergeCell ref="KWA11:KWA12"/>
    <mergeCell ref="KWB11:KWB12"/>
    <mergeCell ref="KWC11:KWC12"/>
    <mergeCell ref="KWD11:KWD12"/>
    <mergeCell ref="KWE11:KWE12"/>
    <mergeCell ref="KVT11:KVT12"/>
    <mergeCell ref="KVU11:KVU12"/>
    <mergeCell ref="KVV11:KVV12"/>
    <mergeCell ref="KVW11:KVW12"/>
    <mergeCell ref="KVX11:KVX12"/>
    <mergeCell ref="KVY11:KVY12"/>
    <mergeCell ref="KVN11:KVN12"/>
    <mergeCell ref="KVO11:KVO12"/>
    <mergeCell ref="KVP11:KVP12"/>
    <mergeCell ref="KVQ11:KVQ12"/>
    <mergeCell ref="KVR11:KVR12"/>
    <mergeCell ref="KVS11:KVS12"/>
    <mergeCell ref="KVH11:KVH12"/>
    <mergeCell ref="KVI11:KVI12"/>
    <mergeCell ref="KVJ11:KVJ12"/>
    <mergeCell ref="KVK11:KVK12"/>
    <mergeCell ref="KVL11:KVL12"/>
    <mergeCell ref="KVM11:KVM12"/>
    <mergeCell ref="KVB11:KVB12"/>
    <mergeCell ref="KVC11:KVC12"/>
    <mergeCell ref="KVD11:KVD12"/>
    <mergeCell ref="KVE11:KVE12"/>
    <mergeCell ref="KVF11:KVF12"/>
    <mergeCell ref="KVG11:KVG12"/>
    <mergeCell ref="KUV11:KUV12"/>
    <mergeCell ref="KUW11:KUW12"/>
    <mergeCell ref="KUX11:KUX12"/>
    <mergeCell ref="KUY11:KUY12"/>
    <mergeCell ref="KUZ11:KUZ12"/>
    <mergeCell ref="KVA11:KVA12"/>
    <mergeCell ref="KUP11:KUP12"/>
    <mergeCell ref="KUQ11:KUQ12"/>
    <mergeCell ref="KUR11:KUR12"/>
    <mergeCell ref="KUS11:KUS12"/>
    <mergeCell ref="KUT11:KUT12"/>
    <mergeCell ref="KUU11:KUU12"/>
    <mergeCell ref="KUJ11:KUJ12"/>
    <mergeCell ref="KUK11:KUK12"/>
    <mergeCell ref="KUL11:KUL12"/>
    <mergeCell ref="KUM11:KUM12"/>
    <mergeCell ref="KUN11:KUN12"/>
    <mergeCell ref="KUO11:KUO12"/>
    <mergeCell ref="KUD11:KUD12"/>
    <mergeCell ref="KUE11:KUE12"/>
    <mergeCell ref="KUF11:KUF12"/>
    <mergeCell ref="KUG11:KUG12"/>
    <mergeCell ref="KUH11:KUH12"/>
    <mergeCell ref="KUI11:KUI12"/>
    <mergeCell ref="KTX11:KTX12"/>
    <mergeCell ref="KTY11:KTY12"/>
    <mergeCell ref="KTZ11:KTZ12"/>
    <mergeCell ref="KUA11:KUA12"/>
    <mergeCell ref="KUB11:KUB12"/>
    <mergeCell ref="KUC11:KUC12"/>
    <mergeCell ref="KTR11:KTR12"/>
    <mergeCell ref="KTS11:KTS12"/>
    <mergeCell ref="KTT11:KTT12"/>
    <mergeCell ref="KTU11:KTU12"/>
    <mergeCell ref="KTV11:KTV12"/>
    <mergeCell ref="KTW11:KTW12"/>
    <mergeCell ref="KTL11:KTL12"/>
    <mergeCell ref="KTM11:KTM12"/>
    <mergeCell ref="KTN11:KTN12"/>
    <mergeCell ref="KTO11:KTO12"/>
    <mergeCell ref="KTP11:KTP12"/>
    <mergeCell ref="KTQ11:KTQ12"/>
    <mergeCell ref="KTF11:KTF12"/>
    <mergeCell ref="KTG11:KTG12"/>
    <mergeCell ref="KTH11:KTH12"/>
    <mergeCell ref="KTI11:KTI12"/>
    <mergeCell ref="KTJ11:KTJ12"/>
    <mergeCell ref="KTK11:KTK12"/>
    <mergeCell ref="KSZ11:KSZ12"/>
    <mergeCell ref="KTA11:KTA12"/>
    <mergeCell ref="KTB11:KTB12"/>
    <mergeCell ref="KTC11:KTC12"/>
    <mergeCell ref="KTD11:KTD12"/>
    <mergeCell ref="KTE11:KTE12"/>
    <mergeCell ref="KST11:KST12"/>
    <mergeCell ref="KSU11:KSU12"/>
    <mergeCell ref="KSV11:KSV12"/>
    <mergeCell ref="KSW11:KSW12"/>
    <mergeCell ref="KSX11:KSX12"/>
    <mergeCell ref="KSY11:KSY12"/>
    <mergeCell ref="KSN11:KSN12"/>
    <mergeCell ref="KSO11:KSO12"/>
    <mergeCell ref="KSP11:KSP12"/>
    <mergeCell ref="KSQ11:KSQ12"/>
    <mergeCell ref="KSR11:KSR12"/>
    <mergeCell ref="KSS11:KSS12"/>
    <mergeCell ref="KSH11:KSH12"/>
    <mergeCell ref="KSI11:KSI12"/>
    <mergeCell ref="KSJ11:KSJ12"/>
    <mergeCell ref="KSK11:KSK12"/>
    <mergeCell ref="KSL11:KSL12"/>
    <mergeCell ref="KSM11:KSM12"/>
    <mergeCell ref="KSB11:KSB12"/>
    <mergeCell ref="KSC11:KSC12"/>
    <mergeCell ref="KSD11:KSD12"/>
    <mergeCell ref="KSE11:KSE12"/>
    <mergeCell ref="KSF11:KSF12"/>
    <mergeCell ref="KSG11:KSG12"/>
    <mergeCell ref="KRV11:KRV12"/>
    <mergeCell ref="KRW11:KRW12"/>
    <mergeCell ref="KRX11:KRX12"/>
    <mergeCell ref="KRY11:KRY12"/>
    <mergeCell ref="KRZ11:KRZ12"/>
    <mergeCell ref="KSA11:KSA12"/>
    <mergeCell ref="KRP11:KRP12"/>
    <mergeCell ref="KRQ11:KRQ12"/>
    <mergeCell ref="KRR11:KRR12"/>
    <mergeCell ref="KRS11:KRS12"/>
    <mergeCell ref="KRT11:KRT12"/>
    <mergeCell ref="KRU11:KRU12"/>
    <mergeCell ref="KRJ11:KRJ12"/>
    <mergeCell ref="KRK11:KRK12"/>
    <mergeCell ref="KRL11:KRL12"/>
    <mergeCell ref="KRM11:KRM12"/>
    <mergeCell ref="KRN11:KRN12"/>
    <mergeCell ref="KRO11:KRO12"/>
    <mergeCell ref="KRD11:KRD12"/>
    <mergeCell ref="KRE11:KRE12"/>
    <mergeCell ref="KRF11:KRF12"/>
    <mergeCell ref="KRG11:KRG12"/>
    <mergeCell ref="KRH11:KRH12"/>
    <mergeCell ref="KRI11:KRI12"/>
    <mergeCell ref="KQX11:KQX12"/>
    <mergeCell ref="KQY11:KQY12"/>
    <mergeCell ref="KQZ11:KQZ12"/>
    <mergeCell ref="KRA11:KRA12"/>
    <mergeCell ref="KRB11:KRB12"/>
    <mergeCell ref="KRC11:KRC12"/>
    <mergeCell ref="KQR11:KQR12"/>
    <mergeCell ref="KQS11:KQS12"/>
    <mergeCell ref="KQT11:KQT12"/>
    <mergeCell ref="KQU11:KQU12"/>
    <mergeCell ref="KQV11:KQV12"/>
    <mergeCell ref="KQW11:KQW12"/>
    <mergeCell ref="KQL11:KQL12"/>
    <mergeCell ref="KQM11:KQM12"/>
    <mergeCell ref="KQN11:KQN12"/>
    <mergeCell ref="KQO11:KQO12"/>
    <mergeCell ref="KQP11:KQP12"/>
    <mergeCell ref="KQQ11:KQQ12"/>
    <mergeCell ref="KQF11:KQF12"/>
    <mergeCell ref="KQG11:KQG12"/>
    <mergeCell ref="KQH11:KQH12"/>
    <mergeCell ref="KQI11:KQI12"/>
    <mergeCell ref="KQJ11:KQJ12"/>
    <mergeCell ref="KQK11:KQK12"/>
    <mergeCell ref="KPZ11:KPZ12"/>
    <mergeCell ref="KQA11:KQA12"/>
    <mergeCell ref="KQB11:KQB12"/>
    <mergeCell ref="KQC11:KQC12"/>
    <mergeCell ref="KQD11:KQD12"/>
    <mergeCell ref="KQE11:KQE12"/>
    <mergeCell ref="KPT11:KPT12"/>
    <mergeCell ref="KPU11:KPU12"/>
    <mergeCell ref="KPV11:KPV12"/>
    <mergeCell ref="KPW11:KPW12"/>
    <mergeCell ref="KPX11:KPX12"/>
    <mergeCell ref="KPY11:KPY12"/>
    <mergeCell ref="KPN11:KPN12"/>
    <mergeCell ref="KPO11:KPO12"/>
    <mergeCell ref="KPP11:KPP12"/>
    <mergeCell ref="KPQ11:KPQ12"/>
    <mergeCell ref="KPR11:KPR12"/>
    <mergeCell ref="KPS11:KPS12"/>
    <mergeCell ref="KPH11:KPH12"/>
    <mergeCell ref="KPI11:KPI12"/>
    <mergeCell ref="KPJ11:KPJ12"/>
    <mergeCell ref="KPK11:KPK12"/>
    <mergeCell ref="KPL11:KPL12"/>
    <mergeCell ref="KPM11:KPM12"/>
    <mergeCell ref="KPB11:KPB12"/>
    <mergeCell ref="KPC11:KPC12"/>
    <mergeCell ref="KPD11:KPD12"/>
    <mergeCell ref="KPE11:KPE12"/>
    <mergeCell ref="KPF11:KPF12"/>
    <mergeCell ref="KPG11:KPG12"/>
    <mergeCell ref="KOV11:KOV12"/>
    <mergeCell ref="KOW11:KOW12"/>
    <mergeCell ref="KOX11:KOX12"/>
    <mergeCell ref="KOY11:KOY12"/>
    <mergeCell ref="KOZ11:KOZ12"/>
    <mergeCell ref="KPA11:KPA12"/>
    <mergeCell ref="KOP11:KOP12"/>
    <mergeCell ref="KOQ11:KOQ12"/>
    <mergeCell ref="KOR11:KOR12"/>
    <mergeCell ref="KOS11:KOS12"/>
    <mergeCell ref="KOT11:KOT12"/>
    <mergeCell ref="KOU11:KOU12"/>
    <mergeCell ref="KOJ11:KOJ12"/>
    <mergeCell ref="KOK11:KOK12"/>
    <mergeCell ref="KOL11:KOL12"/>
    <mergeCell ref="KOM11:KOM12"/>
    <mergeCell ref="KON11:KON12"/>
    <mergeCell ref="KOO11:KOO12"/>
    <mergeCell ref="KOD11:KOD12"/>
    <mergeCell ref="KOE11:KOE12"/>
    <mergeCell ref="KOF11:KOF12"/>
    <mergeCell ref="KOG11:KOG12"/>
    <mergeCell ref="KOH11:KOH12"/>
    <mergeCell ref="KOI11:KOI12"/>
    <mergeCell ref="KNX11:KNX12"/>
    <mergeCell ref="KNY11:KNY12"/>
    <mergeCell ref="KNZ11:KNZ12"/>
    <mergeCell ref="KOA11:KOA12"/>
    <mergeCell ref="KOB11:KOB12"/>
    <mergeCell ref="KOC11:KOC12"/>
    <mergeCell ref="KNR11:KNR12"/>
    <mergeCell ref="KNS11:KNS12"/>
    <mergeCell ref="KNT11:KNT12"/>
    <mergeCell ref="KNU11:KNU12"/>
    <mergeCell ref="KNV11:KNV12"/>
    <mergeCell ref="KNW11:KNW12"/>
    <mergeCell ref="KNL11:KNL12"/>
    <mergeCell ref="KNM11:KNM12"/>
    <mergeCell ref="KNN11:KNN12"/>
    <mergeCell ref="KNO11:KNO12"/>
    <mergeCell ref="KNP11:KNP12"/>
    <mergeCell ref="KNQ11:KNQ12"/>
    <mergeCell ref="KNF11:KNF12"/>
    <mergeCell ref="KNG11:KNG12"/>
    <mergeCell ref="KNH11:KNH12"/>
    <mergeCell ref="KNI11:KNI12"/>
    <mergeCell ref="KNJ11:KNJ12"/>
    <mergeCell ref="KNK11:KNK12"/>
    <mergeCell ref="KMZ11:KMZ12"/>
    <mergeCell ref="KNA11:KNA12"/>
    <mergeCell ref="KNB11:KNB12"/>
    <mergeCell ref="KNC11:KNC12"/>
    <mergeCell ref="KND11:KND12"/>
    <mergeCell ref="KNE11:KNE12"/>
    <mergeCell ref="KMT11:KMT12"/>
    <mergeCell ref="KMU11:KMU12"/>
    <mergeCell ref="KMV11:KMV12"/>
    <mergeCell ref="KMW11:KMW12"/>
    <mergeCell ref="KMX11:KMX12"/>
    <mergeCell ref="KMY11:KMY12"/>
    <mergeCell ref="KMN11:KMN12"/>
    <mergeCell ref="KMO11:KMO12"/>
    <mergeCell ref="KMP11:KMP12"/>
    <mergeCell ref="KMQ11:KMQ12"/>
    <mergeCell ref="KMR11:KMR12"/>
    <mergeCell ref="KMS11:KMS12"/>
    <mergeCell ref="KMH11:KMH12"/>
    <mergeCell ref="KMI11:KMI12"/>
    <mergeCell ref="KMJ11:KMJ12"/>
    <mergeCell ref="KMK11:KMK12"/>
    <mergeCell ref="KML11:KML12"/>
    <mergeCell ref="KMM11:KMM12"/>
    <mergeCell ref="KMB11:KMB12"/>
    <mergeCell ref="KMC11:KMC12"/>
    <mergeCell ref="KMD11:KMD12"/>
    <mergeCell ref="KME11:KME12"/>
    <mergeCell ref="KMF11:KMF12"/>
    <mergeCell ref="KMG11:KMG12"/>
    <mergeCell ref="KLV11:KLV12"/>
    <mergeCell ref="KLW11:KLW12"/>
    <mergeCell ref="KLX11:KLX12"/>
    <mergeCell ref="KLY11:KLY12"/>
    <mergeCell ref="KLZ11:KLZ12"/>
    <mergeCell ref="KMA11:KMA12"/>
    <mergeCell ref="KLP11:KLP12"/>
    <mergeCell ref="KLQ11:KLQ12"/>
    <mergeCell ref="KLR11:KLR12"/>
    <mergeCell ref="KLS11:KLS12"/>
    <mergeCell ref="KLT11:KLT12"/>
    <mergeCell ref="KLU11:KLU12"/>
    <mergeCell ref="KLJ11:KLJ12"/>
    <mergeCell ref="KLK11:KLK12"/>
    <mergeCell ref="KLL11:KLL12"/>
    <mergeCell ref="KLM11:KLM12"/>
    <mergeCell ref="KLN11:KLN12"/>
    <mergeCell ref="KLO11:KLO12"/>
    <mergeCell ref="KLD11:KLD12"/>
    <mergeCell ref="KLE11:KLE12"/>
    <mergeCell ref="KLF11:KLF12"/>
    <mergeCell ref="KLG11:KLG12"/>
    <mergeCell ref="KLH11:KLH12"/>
    <mergeCell ref="KLI11:KLI12"/>
    <mergeCell ref="KKX11:KKX12"/>
    <mergeCell ref="KKY11:KKY12"/>
    <mergeCell ref="KKZ11:KKZ12"/>
    <mergeCell ref="KLA11:KLA12"/>
    <mergeCell ref="KLB11:KLB12"/>
    <mergeCell ref="KLC11:KLC12"/>
    <mergeCell ref="KKR11:KKR12"/>
    <mergeCell ref="KKS11:KKS12"/>
    <mergeCell ref="KKT11:KKT12"/>
    <mergeCell ref="KKU11:KKU12"/>
    <mergeCell ref="KKV11:KKV12"/>
    <mergeCell ref="KKW11:KKW12"/>
    <mergeCell ref="KKL11:KKL12"/>
    <mergeCell ref="KKM11:KKM12"/>
    <mergeCell ref="KKN11:KKN12"/>
    <mergeCell ref="KKO11:KKO12"/>
    <mergeCell ref="KKP11:KKP12"/>
    <mergeCell ref="KKQ11:KKQ12"/>
    <mergeCell ref="KKF11:KKF12"/>
    <mergeCell ref="KKG11:KKG12"/>
    <mergeCell ref="KKH11:KKH12"/>
    <mergeCell ref="KKI11:KKI12"/>
    <mergeCell ref="KKJ11:KKJ12"/>
    <mergeCell ref="KKK11:KKK12"/>
    <mergeCell ref="KJZ11:KJZ12"/>
    <mergeCell ref="KKA11:KKA12"/>
    <mergeCell ref="KKB11:KKB12"/>
    <mergeCell ref="KKC11:KKC12"/>
    <mergeCell ref="KKD11:KKD12"/>
    <mergeCell ref="KKE11:KKE12"/>
    <mergeCell ref="KJT11:KJT12"/>
    <mergeCell ref="KJU11:KJU12"/>
    <mergeCell ref="KJV11:KJV12"/>
    <mergeCell ref="KJW11:KJW12"/>
    <mergeCell ref="KJX11:KJX12"/>
    <mergeCell ref="KJY11:KJY12"/>
    <mergeCell ref="KJN11:KJN12"/>
    <mergeCell ref="KJO11:KJO12"/>
    <mergeCell ref="KJP11:KJP12"/>
    <mergeCell ref="KJQ11:KJQ12"/>
    <mergeCell ref="KJR11:KJR12"/>
    <mergeCell ref="KJS11:KJS12"/>
    <mergeCell ref="KJH11:KJH12"/>
    <mergeCell ref="KJI11:KJI12"/>
    <mergeCell ref="KJJ11:KJJ12"/>
    <mergeCell ref="KJK11:KJK12"/>
    <mergeCell ref="KJL11:KJL12"/>
    <mergeCell ref="KJM11:KJM12"/>
    <mergeCell ref="KJB11:KJB12"/>
    <mergeCell ref="KJC11:KJC12"/>
    <mergeCell ref="KJD11:KJD12"/>
    <mergeCell ref="KJE11:KJE12"/>
    <mergeCell ref="KJF11:KJF12"/>
    <mergeCell ref="KJG11:KJG12"/>
    <mergeCell ref="KIV11:KIV12"/>
    <mergeCell ref="KIW11:KIW12"/>
    <mergeCell ref="KIX11:KIX12"/>
    <mergeCell ref="KIY11:KIY12"/>
    <mergeCell ref="KIZ11:KIZ12"/>
    <mergeCell ref="KJA11:KJA12"/>
    <mergeCell ref="KIP11:KIP12"/>
    <mergeCell ref="KIQ11:KIQ12"/>
    <mergeCell ref="KIR11:KIR12"/>
    <mergeCell ref="KIS11:KIS12"/>
    <mergeCell ref="KIT11:KIT12"/>
    <mergeCell ref="KIU11:KIU12"/>
    <mergeCell ref="KIJ11:KIJ12"/>
    <mergeCell ref="KIK11:KIK12"/>
    <mergeCell ref="KIL11:KIL12"/>
    <mergeCell ref="KIM11:KIM12"/>
    <mergeCell ref="KIN11:KIN12"/>
    <mergeCell ref="KIO11:KIO12"/>
    <mergeCell ref="KID11:KID12"/>
    <mergeCell ref="KIE11:KIE12"/>
    <mergeCell ref="KIF11:KIF12"/>
    <mergeCell ref="KIG11:KIG12"/>
    <mergeCell ref="KIH11:KIH12"/>
    <mergeCell ref="KII11:KII12"/>
    <mergeCell ref="KHX11:KHX12"/>
    <mergeCell ref="KHY11:KHY12"/>
    <mergeCell ref="KHZ11:KHZ12"/>
    <mergeCell ref="KIA11:KIA12"/>
    <mergeCell ref="KIB11:KIB12"/>
    <mergeCell ref="KIC11:KIC12"/>
    <mergeCell ref="KHR11:KHR12"/>
    <mergeCell ref="KHS11:KHS12"/>
    <mergeCell ref="KHT11:KHT12"/>
    <mergeCell ref="KHU11:KHU12"/>
    <mergeCell ref="KHV11:KHV12"/>
    <mergeCell ref="KHW11:KHW12"/>
    <mergeCell ref="KHL11:KHL12"/>
    <mergeCell ref="KHM11:KHM12"/>
    <mergeCell ref="KHN11:KHN12"/>
    <mergeCell ref="KHO11:KHO12"/>
    <mergeCell ref="KHP11:KHP12"/>
    <mergeCell ref="KHQ11:KHQ12"/>
    <mergeCell ref="KHF11:KHF12"/>
    <mergeCell ref="KHG11:KHG12"/>
    <mergeCell ref="KHH11:KHH12"/>
    <mergeCell ref="KHI11:KHI12"/>
    <mergeCell ref="KHJ11:KHJ12"/>
    <mergeCell ref="KHK11:KHK12"/>
    <mergeCell ref="KGZ11:KGZ12"/>
    <mergeCell ref="KHA11:KHA12"/>
    <mergeCell ref="KHB11:KHB12"/>
    <mergeCell ref="KHC11:KHC12"/>
    <mergeCell ref="KHD11:KHD12"/>
    <mergeCell ref="KHE11:KHE12"/>
    <mergeCell ref="KGT11:KGT12"/>
    <mergeCell ref="KGU11:KGU12"/>
    <mergeCell ref="KGV11:KGV12"/>
    <mergeCell ref="KGW11:KGW12"/>
    <mergeCell ref="KGX11:KGX12"/>
    <mergeCell ref="KGY11:KGY12"/>
    <mergeCell ref="KGN11:KGN12"/>
    <mergeCell ref="KGO11:KGO12"/>
    <mergeCell ref="KGP11:KGP12"/>
    <mergeCell ref="KGQ11:KGQ12"/>
    <mergeCell ref="KGR11:KGR12"/>
    <mergeCell ref="KGS11:KGS12"/>
    <mergeCell ref="KGH11:KGH12"/>
    <mergeCell ref="KGI11:KGI12"/>
    <mergeCell ref="KGJ11:KGJ12"/>
    <mergeCell ref="KGK11:KGK12"/>
    <mergeCell ref="KGL11:KGL12"/>
    <mergeCell ref="KGM11:KGM12"/>
    <mergeCell ref="KGB11:KGB12"/>
    <mergeCell ref="KGC11:KGC12"/>
    <mergeCell ref="KGD11:KGD12"/>
    <mergeCell ref="KGE11:KGE12"/>
    <mergeCell ref="KGF11:KGF12"/>
    <mergeCell ref="KGG11:KGG12"/>
    <mergeCell ref="KFV11:KFV12"/>
    <mergeCell ref="KFW11:KFW12"/>
    <mergeCell ref="KFX11:KFX12"/>
    <mergeCell ref="KFY11:KFY12"/>
    <mergeCell ref="KFZ11:KFZ12"/>
    <mergeCell ref="KGA11:KGA12"/>
    <mergeCell ref="KFP11:KFP12"/>
    <mergeCell ref="KFQ11:KFQ12"/>
    <mergeCell ref="KFR11:KFR12"/>
    <mergeCell ref="KFS11:KFS12"/>
    <mergeCell ref="KFT11:KFT12"/>
    <mergeCell ref="KFU11:KFU12"/>
    <mergeCell ref="KFJ11:KFJ12"/>
    <mergeCell ref="KFK11:KFK12"/>
    <mergeCell ref="KFL11:KFL12"/>
    <mergeCell ref="KFM11:KFM12"/>
    <mergeCell ref="KFN11:KFN12"/>
    <mergeCell ref="KFO11:KFO12"/>
    <mergeCell ref="KFD11:KFD12"/>
    <mergeCell ref="KFE11:KFE12"/>
    <mergeCell ref="KFF11:KFF12"/>
    <mergeCell ref="KFG11:KFG12"/>
    <mergeCell ref="KFH11:KFH12"/>
    <mergeCell ref="KFI11:KFI12"/>
    <mergeCell ref="KEX11:KEX12"/>
    <mergeCell ref="KEY11:KEY12"/>
    <mergeCell ref="KEZ11:KEZ12"/>
    <mergeCell ref="KFA11:KFA12"/>
    <mergeCell ref="KFB11:KFB12"/>
    <mergeCell ref="KFC11:KFC12"/>
    <mergeCell ref="KER11:KER12"/>
    <mergeCell ref="KES11:KES12"/>
    <mergeCell ref="KET11:KET12"/>
    <mergeCell ref="KEU11:KEU12"/>
    <mergeCell ref="KEV11:KEV12"/>
    <mergeCell ref="KEW11:KEW12"/>
    <mergeCell ref="KEL11:KEL12"/>
    <mergeCell ref="KEM11:KEM12"/>
    <mergeCell ref="KEN11:KEN12"/>
    <mergeCell ref="KEO11:KEO12"/>
    <mergeCell ref="KEP11:KEP12"/>
    <mergeCell ref="KEQ11:KEQ12"/>
    <mergeCell ref="KEF11:KEF12"/>
    <mergeCell ref="KEG11:KEG12"/>
    <mergeCell ref="KEH11:KEH12"/>
    <mergeCell ref="KEI11:KEI12"/>
    <mergeCell ref="KEJ11:KEJ12"/>
    <mergeCell ref="KEK11:KEK12"/>
    <mergeCell ref="KDZ11:KDZ12"/>
    <mergeCell ref="KEA11:KEA12"/>
    <mergeCell ref="KEB11:KEB12"/>
    <mergeCell ref="KEC11:KEC12"/>
    <mergeCell ref="KED11:KED12"/>
    <mergeCell ref="KEE11:KEE12"/>
    <mergeCell ref="KDT11:KDT12"/>
    <mergeCell ref="KDU11:KDU12"/>
    <mergeCell ref="KDV11:KDV12"/>
    <mergeCell ref="KDW11:KDW12"/>
    <mergeCell ref="KDX11:KDX12"/>
    <mergeCell ref="KDY11:KDY12"/>
    <mergeCell ref="KDN11:KDN12"/>
    <mergeCell ref="KDO11:KDO12"/>
    <mergeCell ref="KDP11:KDP12"/>
    <mergeCell ref="KDQ11:KDQ12"/>
    <mergeCell ref="KDR11:KDR12"/>
    <mergeCell ref="KDS11:KDS12"/>
    <mergeCell ref="KDH11:KDH12"/>
    <mergeCell ref="KDI11:KDI12"/>
    <mergeCell ref="KDJ11:KDJ12"/>
    <mergeCell ref="KDK11:KDK12"/>
    <mergeCell ref="KDL11:KDL12"/>
    <mergeCell ref="KDM11:KDM12"/>
    <mergeCell ref="KDB11:KDB12"/>
    <mergeCell ref="KDC11:KDC12"/>
    <mergeCell ref="KDD11:KDD12"/>
    <mergeCell ref="KDE11:KDE12"/>
    <mergeCell ref="KDF11:KDF12"/>
    <mergeCell ref="KDG11:KDG12"/>
    <mergeCell ref="KCV11:KCV12"/>
    <mergeCell ref="KCW11:KCW12"/>
    <mergeCell ref="KCX11:KCX12"/>
    <mergeCell ref="KCY11:KCY12"/>
    <mergeCell ref="KCZ11:KCZ12"/>
    <mergeCell ref="KDA11:KDA12"/>
    <mergeCell ref="KCP11:KCP12"/>
    <mergeCell ref="KCQ11:KCQ12"/>
    <mergeCell ref="KCR11:KCR12"/>
    <mergeCell ref="KCS11:KCS12"/>
    <mergeCell ref="KCT11:KCT12"/>
    <mergeCell ref="KCU11:KCU12"/>
    <mergeCell ref="KCJ11:KCJ12"/>
    <mergeCell ref="KCK11:KCK12"/>
    <mergeCell ref="KCL11:KCL12"/>
    <mergeCell ref="KCM11:KCM12"/>
    <mergeCell ref="KCN11:KCN12"/>
    <mergeCell ref="KCO11:KCO12"/>
    <mergeCell ref="KCD11:KCD12"/>
    <mergeCell ref="KCE11:KCE12"/>
    <mergeCell ref="KCF11:KCF12"/>
    <mergeCell ref="KCG11:KCG12"/>
    <mergeCell ref="KCH11:KCH12"/>
    <mergeCell ref="KCI11:KCI12"/>
    <mergeCell ref="KBX11:KBX12"/>
    <mergeCell ref="KBY11:KBY12"/>
    <mergeCell ref="KBZ11:KBZ12"/>
    <mergeCell ref="KCA11:KCA12"/>
    <mergeCell ref="KCB11:KCB12"/>
    <mergeCell ref="KCC11:KCC12"/>
    <mergeCell ref="KBR11:KBR12"/>
    <mergeCell ref="KBS11:KBS12"/>
    <mergeCell ref="KBT11:KBT12"/>
    <mergeCell ref="KBU11:KBU12"/>
    <mergeCell ref="KBV11:KBV12"/>
    <mergeCell ref="KBW11:KBW12"/>
    <mergeCell ref="KBL11:KBL12"/>
    <mergeCell ref="KBM11:KBM12"/>
    <mergeCell ref="KBN11:KBN12"/>
    <mergeCell ref="KBO11:KBO12"/>
    <mergeCell ref="KBP11:KBP12"/>
    <mergeCell ref="KBQ11:KBQ12"/>
    <mergeCell ref="KBF11:KBF12"/>
    <mergeCell ref="KBG11:KBG12"/>
    <mergeCell ref="KBH11:KBH12"/>
    <mergeCell ref="KBI11:KBI12"/>
    <mergeCell ref="KBJ11:KBJ12"/>
    <mergeCell ref="KBK11:KBK12"/>
    <mergeCell ref="KAZ11:KAZ12"/>
    <mergeCell ref="KBA11:KBA12"/>
    <mergeCell ref="KBB11:KBB12"/>
    <mergeCell ref="KBC11:KBC12"/>
    <mergeCell ref="KBD11:KBD12"/>
    <mergeCell ref="KBE11:KBE12"/>
    <mergeCell ref="KAT11:KAT12"/>
    <mergeCell ref="KAU11:KAU12"/>
    <mergeCell ref="KAV11:KAV12"/>
    <mergeCell ref="KAW11:KAW12"/>
    <mergeCell ref="KAX11:KAX12"/>
    <mergeCell ref="KAY11:KAY12"/>
    <mergeCell ref="KAN11:KAN12"/>
    <mergeCell ref="KAO11:KAO12"/>
    <mergeCell ref="KAP11:KAP12"/>
    <mergeCell ref="KAQ11:KAQ12"/>
    <mergeCell ref="KAR11:KAR12"/>
    <mergeCell ref="KAS11:KAS12"/>
    <mergeCell ref="KAH11:KAH12"/>
    <mergeCell ref="KAI11:KAI12"/>
    <mergeCell ref="KAJ11:KAJ12"/>
    <mergeCell ref="KAK11:KAK12"/>
    <mergeCell ref="KAL11:KAL12"/>
    <mergeCell ref="KAM11:KAM12"/>
    <mergeCell ref="KAB11:KAB12"/>
    <mergeCell ref="KAC11:KAC12"/>
    <mergeCell ref="KAD11:KAD12"/>
    <mergeCell ref="KAE11:KAE12"/>
    <mergeCell ref="KAF11:KAF12"/>
    <mergeCell ref="KAG11:KAG12"/>
    <mergeCell ref="JZV11:JZV12"/>
    <mergeCell ref="JZW11:JZW12"/>
    <mergeCell ref="JZX11:JZX12"/>
    <mergeCell ref="JZY11:JZY12"/>
    <mergeCell ref="JZZ11:JZZ12"/>
    <mergeCell ref="KAA11:KAA12"/>
    <mergeCell ref="JZP11:JZP12"/>
    <mergeCell ref="JZQ11:JZQ12"/>
    <mergeCell ref="JZR11:JZR12"/>
    <mergeCell ref="JZS11:JZS12"/>
    <mergeCell ref="JZT11:JZT12"/>
    <mergeCell ref="JZU11:JZU12"/>
    <mergeCell ref="JZJ11:JZJ12"/>
    <mergeCell ref="JZK11:JZK12"/>
    <mergeCell ref="JZL11:JZL12"/>
    <mergeCell ref="JZM11:JZM12"/>
    <mergeCell ref="JZN11:JZN12"/>
    <mergeCell ref="JZO11:JZO12"/>
    <mergeCell ref="JZD11:JZD12"/>
    <mergeCell ref="JZE11:JZE12"/>
    <mergeCell ref="JZF11:JZF12"/>
    <mergeCell ref="JZG11:JZG12"/>
    <mergeCell ref="JZH11:JZH12"/>
    <mergeCell ref="JZI11:JZI12"/>
    <mergeCell ref="JYX11:JYX12"/>
    <mergeCell ref="JYY11:JYY12"/>
    <mergeCell ref="JYZ11:JYZ12"/>
    <mergeCell ref="JZA11:JZA12"/>
    <mergeCell ref="JZB11:JZB12"/>
    <mergeCell ref="JZC11:JZC12"/>
    <mergeCell ref="JYR11:JYR12"/>
    <mergeCell ref="JYS11:JYS12"/>
    <mergeCell ref="JYT11:JYT12"/>
    <mergeCell ref="JYU11:JYU12"/>
    <mergeCell ref="JYV11:JYV12"/>
    <mergeCell ref="JYW11:JYW12"/>
    <mergeCell ref="JYL11:JYL12"/>
    <mergeCell ref="JYM11:JYM12"/>
    <mergeCell ref="JYN11:JYN12"/>
    <mergeCell ref="JYO11:JYO12"/>
    <mergeCell ref="JYP11:JYP12"/>
    <mergeCell ref="JYQ11:JYQ12"/>
    <mergeCell ref="JYF11:JYF12"/>
    <mergeCell ref="JYG11:JYG12"/>
    <mergeCell ref="JYH11:JYH12"/>
    <mergeCell ref="JYI11:JYI12"/>
    <mergeCell ref="JYJ11:JYJ12"/>
    <mergeCell ref="JYK11:JYK12"/>
    <mergeCell ref="JXZ11:JXZ12"/>
    <mergeCell ref="JYA11:JYA12"/>
    <mergeCell ref="JYB11:JYB12"/>
    <mergeCell ref="JYC11:JYC12"/>
    <mergeCell ref="JYD11:JYD12"/>
    <mergeCell ref="JYE11:JYE12"/>
    <mergeCell ref="JXT11:JXT12"/>
    <mergeCell ref="JXU11:JXU12"/>
    <mergeCell ref="JXV11:JXV12"/>
    <mergeCell ref="JXW11:JXW12"/>
    <mergeCell ref="JXX11:JXX12"/>
    <mergeCell ref="JXY11:JXY12"/>
    <mergeCell ref="JXN11:JXN12"/>
    <mergeCell ref="JXO11:JXO12"/>
    <mergeCell ref="JXP11:JXP12"/>
    <mergeCell ref="JXQ11:JXQ12"/>
    <mergeCell ref="JXR11:JXR12"/>
    <mergeCell ref="JXS11:JXS12"/>
    <mergeCell ref="JXH11:JXH12"/>
    <mergeCell ref="JXI11:JXI12"/>
    <mergeCell ref="JXJ11:JXJ12"/>
    <mergeCell ref="JXK11:JXK12"/>
    <mergeCell ref="JXL11:JXL12"/>
    <mergeCell ref="JXM11:JXM12"/>
    <mergeCell ref="JXB11:JXB12"/>
    <mergeCell ref="JXC11:JXC12"/>
    <mergeCell ref="JXD11:JXD12"/>
    <mergeCell ref="JXE11:JXE12"/>
    <mergeCell ref="JXF11:JXF12"/>
    <mergeCell ref="JXG11:JXG12"/>
    <mergeCell ref="JWV11:JWV12"/>
    <mergeCell ref="JWW11:JWW12"/>
    <mergeCell ref="JWX11:JWX12"/>
    <mergeCell ref="JWY11:JWY12"/>
    <mergeCell ref="JWZ11:JWZ12"/>
    <mergeCell ref="JXA11:JXA12"/>
    <mergeCell ref="JWP11:JWP12"/>
    <mergeCell ref="JWQ11:JWQ12"/>
    <mergeCell ref="JWR11:JWR12"/>
    <mergeCell ref="JWS11:JWS12"/>
    <mergeCell ref="JWT11:JWT12"/>
    <mergeCell ref="JWU11:JWU12"/>
    <mergeCell ref="JWJ11:JWJ12"/>
    <mergeCell ref="JWK11:JWK12"/>
    <mergeCell ref="JWL11:JWL12"/>
    <mergeCell ref="JWM11:JWM12"/>
    <mergeCell ref="JWN11:JWN12"/>
    <mergeCell ref="JWO11:JWO12"/>
    <mergeCell ref="JWD11:JWD12"/>
    <mergeCell ref="JWE11:JWE12"/>
    <mergeCell ref="JWF11:JWF12"/>
    <mergeCell ref="JWG11:JWG12"/>
    <mergeCell ref="JWH11:JWH12"/>
    <mergeCell ref="JWI11:JWI12"/>
    <mergeCell ref="JVX11:JVX12"/>
    <mergeCell ref="JVY11:JVY12"/>
    <mergeCell ref="JVZ11:JVZ12"/>
    <mergeCell ref="JWA11:JWA12"/>
    <mergeCell ref="JWB11:JWB12"/>
    <mergeCell ref="JWC11:JWC12"/>
    <mergeCell ref="JVR11:JVR12"/>
    <mergeCell ref="JVS11:JVS12"/>
    <mergeCell ref="JVT11:JVT12"/>
    <mergeCell ref="JVU11:JVU12"/>
    <mergeCell ref="JVV11:JVV12"/>
    <mergeCell ref="JVW11:JVW12"/>
    <mergeCell ref="JVL11:JVL12"/>
    <mergeCell ref="JVM11:JVM12"/>
    <mergeCell ref="JVN11:JVN12"/>
    <mergeCell ref="JVO11:JVO12"/>
    <mergeCell ref="JVP11:JVP12"/>
    <mergeCell ref="JVQ11:JVQ12"/>
    <mergeCell ref="JVF11:JVF12"/>
    <mergeCell ref="JVG11:JVG12"/>
    <mergeCell ref="JVH11:JVH12"/>
    <mergeCell ref="JVI11:JVI12"/>
    <mergeCell ref="JVJ11:JVJ12"/>
    <mergeCell ref="JVK11:JVK12"/>
    <mergeCell ref="JUZ11:JUZ12"/>
    <mergeCell ref="JVA11:JVA12"/>
    <mergeCell ref="JVB11:JVB12"/>
    <mergeCell ref="JVC11:JVC12"/>
    <mergeCell ref="JVD11:JVD12"/>
    <mergeCell ref="JVE11:JVE12"/>
    <mergeCell ref="JUT11:JUT12"/>
    <mergeCell ref="JUU11:JUU12"/>
    <mergeCell ref="JUV11:JUV12"/>
    <mergeCell ref="JUW11:JUW12"/>
    <mergeCell ref="JUX11:JUX12"/>
    <mergeCell ref="JUY11:JUY12"/>
    <mergeCell ref="JUN11:JUN12"/>
    <mergeCell ref="JUO11:JUO12"/>
    <mergeCell ref="JUP11:JUP12"/>
    <mergeCell ref="JUQ11:JUQ12"/>
    <mergeCell ref="JUR11:JUR12"/>
    <mergeCell ref="JUS11:JUS12"/>
    <mergeCell ref="JUH11:JUH12"/>
    <mergeCell ref="JUI11:JUI12"/>
    <mergeCell ref="JUJ11:JUJ12"/>
    <mergeCell ref="JUK11:JUK12"/>
    <mergeCell ref="JUL11:JUL12"/>
    <mergeCell ref="JUM11:JUM12"/>
    <mergeCell ref="JUB11:JUB12"/>
    <mergeCell ref="JUC11:JUC12"/>
    <mergeCell ref="JUD11:JUD12"/>
    <mergeCell ref="JUE11:JUE12"/>
    <mergeCell ref="JUF11:JUF12"/>
    <mergeCell ref="JUG11:JUG12"/>
    <mergeCell ref="JTV11:JTV12"/>
    <mergeCell ref="JTW11:JTW12"/>
    <mergeCell ref="JTX11:JTX12"/>
    <mergeCell ref="JTY11:JTY12"/>
    <mergeCell ref="JTZ11:JTZ12"/>
    <mergeCell ref="JUA11:JUA12"/>
    <mergeCell ref="JTP11:JTP12"/>
    <mergeCell ref="JTQ11:JTQ12"/>
    <mergeCell ref="JTR11:JTR12"/>
    <mergeCell ref="JTS11:JTS12"/>
    <mergeCell ref="JTT11:JTT12"/>
    <mergeCell ref="JTU11:JTU12"/>
    <mergeCell ref="JTJ11:JTJ12"/>
    <mergeCell ref="JTK11:JTK12"/>
    <mergeCell ref="JTL11:JTL12"/>
    <mergeCell ref="JTM11:JTM12"/>
    <mergeCell ref="JTN11:JTN12"/>
    <mergeCell ref="JTO11:JTO12"/>
    <mergeCell ref="JTD11:JTD12"/>
    <mergeCell ref="JTE11:JTE12"/>
    <mergeCell ref="JTF11:JTF12"/>
    <mergeCell ref="JTG11:JTG12"/>
    <mergeCell ref="JTH11:JTH12"/>
    <mergeCell ref="JTI11:JTI12"/>
    <mergeCell ref="JSX11:JSX12"/>
    <mergeCell ref="JSY11:JSY12"/>
    <mergeCell ref="JSZ11:JSZ12"/>
    <mergeCell ref="JTA11:JTA12"/>
    <mergeCell ref="JTB11:JTB12"/>
    <mergeCell ref="JTC11:JTC12"/>
    <mergeCell ref="JSR11:JSR12"/>
    <mergeCell ref="JSS11:JSS12"/>
    <mergeCell ref="JST11:JST12"/>
    <mergeCell ref="JSU11:JSU12"/>
    <mergeCell ref="JSV11:JSV12"/>
    <mergeCell ref="JSW11:JSW12"/>
    <mergeCell ref="JSL11:JSL12"/>
    <mergeCell ref="JSM11:JSM12"/>
    <mergeCell ref="JSN11:JSN12"/>
    <mergeCell ref="JSO11:JSO12"/>
    <mergeCell ref="JSP11:JSP12"/>
    <mergeCell ref="JSQ11:JSQ12"/>
    <mergeCell ref="JSF11:JSF12"/>
    <mergeCell ref="JSG11:JSG12"/>
    <mergeCell ref="JSH11:JSH12"/>
    <mergeCell ref="JSI11:JSI12"/>
    <mergeCell ref="JSJ11:JSJ12"/>
    <mergeCell ref="JSK11:JSK12"/>
    <mergeCell ref="JRZ11:JRZ12"/>
    <mergeCell ref="JSA11:JSA12"/>
    <mergeCell ref="JSB11:JSB12"/>
    <mergeCell ref="JSC11:JSC12"/>
    <mergeCell ref="JSD11:JSD12"/>
    <mergeCell ref="JSE11:JSE12"/>
    <mergeCell ref="JRT11:JRT12"/>
    <mergeCell ref="JRU11:JRU12"/>
    <mergeCell ref="JRV11:JRV12"/>
    <mergeCell ref="JRW11:JRW12"/>
    <mergeCell ref="JRX11:JRX12"/>
    <mergeCell ref="JRY11:JRY12"/>
    <mergeCell ref="JRN11:JRN12"/>
    <mergeCell ref="JRO11:JRO12"/>
    <mergeCell ref="JRP11:JRP12"/>
    <mergeCell ref="JRQ11:JRQ12"/>
    <mergeCell ref="JRR11:JRR12"/>
    <mergeCell ref="JRS11:JRS12"/>
    <mergeCell ref="JRH11:JRH12"/>
    <mergeCell ref="JRI11:JRI12"/>
    <mergeCell ref="JRJ11:JRJ12"/>
    <mergeCell ref="JRK11:JRK12"/>
    <mergeCell ref="JRL11:JRL12"/>
    <mergeCell ref="JRM11:JRM12"/>
    <mergeCell ref="JRB11:JRB12"/>
    <mergeCell ref="JRC11:JRC12"/>
    <mergeCell ref="JRD11:JRD12"/>
    <mergeCell ref="JRE11:JRE12"/>
    <mergeCell ref="JRF11:JRF12"/>
    <mergeCell ref="JRG11:JRG12"/>
    <mergeCell ref="JQV11:JQV12"/>
    <mergeCell ref="JQW11:JQW12"/>
    <mergeCell ref="JQX11:JQX12"/>
    <mergeCell ref="JQY11:JQY12"/>
    <mergeCell ref="JQZ11:JQZ12"/>
    <mergeCell ref="JRA11:JRA12"/>
    <mergeCell ref="JQP11:JQP12"/>
    <mergeCell ref="JQQ11:JQQ12"/>
    <mergeCell ref="JQR11:JQR12"/>
    <mergeCell ref="JQS11:JQS12"/>
    <mergeCell ref="JQT11:JQT12"/>
    <mergeCell ref="JQU11:JQU12"/>
    <mergeCell ref="JQJ11:JQJ12"/>
    <mergeCell ref="JQK11:JQK12"/>
    <mergeCell ref="JQL11:JQL12"/>
    <mergeCell ref="JQM11:JQM12"/>
    <mergeCell ref="JQN11:JQN12"/>
    <mergeCell ref="JQO11:JQO12"/>
    <mergeCell ref="JQD11:JQD12"/>
    <mergeCell ref="JQE11:JQE12"/>
    <mergeCell ref="JQF11:JQF12"/>
    <mergeCell ref="JQG11:JQG12"/>
    <mergeCell ref="JQH11:JQH12"/>
    <mergeCell ref="JQI11:JQI12"/>
    <mergeCell ref="JPX11:JPX12"/>
    <mergeCell ref="JPY11:JPY12"/>
    <mergeCell ref="JPZ11:JPZ12"/>
    <mergeCell ref="JQA11:JQA12"/>
    <mergeCell ref="JQB11:JQB12"/>
    <mergeCell ref="JQC11:JQC12"/>
    <mergeCell ref="JPR11:JPR12"/>
    <mergeCell ref="JPS11:JPS12"/>
    <mergeCell ref="JPT11:JPT12"/>
    <mergeCell ref="JPU11:JPU12"/>
    <mergeCell ref="JPV11:JPV12"/>
    <mergeCell ref="JPW11:JPW12"/>
    <mergeCell ref="JPL11:JPL12"/>
    <mergeCell ref="JPM11:JPM12"/>
    <mergeCell ref="JPN11:JPN12"/>
    <mergeCell ref="JPO11:JPO12"/>
    <mergeCell ref="JPP11:JPP12"/>
    <mergeCell ref="JPQ11:JPQ12"/>
    <mergeCell ref="JPF11:JPF12"/>
    <mergeCell ref="JPG11:JPG12"/>
    <mergeCell ref="JPH11:JPH12"/>
    <mergeCell ref="JPI11:JPI12"/>
    <mergeCell ref="JPJ11:JPJ12"/>
    <mergeCell ref="JPK11:JPK12"/>
    <mergeCell ref="JOZ11:JOZ12"/>
    <mergeCell ref="JPA11:JPA12"/>
    <mergeCell ref="JPB11:JPB12"/>
    <mergeCell ref="JPC11:JPC12"/>
    <mergeCell ref="JPD11:JPD12"/>
    <mergeCell ref="JPE11:JPE12"/>
    <mergeCell ref="JOT11:JOT12"/>
    <mergeCell ref="JOU11:JOU12"/>
    <mergeCell ref="JOV11:JOV12"/>
    <mergeCell ref="JOW11:JOW12"/>
    <mergeCell ref="JOX11:JOX12"/>
    <mergeCell ref="JOY11:JOY12"/>
    <mergeCell ref="JON11:JON12"/>
    <mergeCell ref="JOO11:JOO12"/>
    <mergeCell ref="JOP11:JOP12"/>
    <mergeCell ref="JOQ11:JOQ12"/>
    <mergeCell ref="JOR11:JOR12"/>
    <mergeCell ref="JOS11:JOS12"/>
    <mergeCell ref="JOH11:JOH12"/>
    <mergeCell ref="JOI11:JOI12"/>
    <mergeCell ref="JOJ11:JOJ12"/>
    <mergeCell ref="JOK11:JOK12"/>
    <mergeCell ref="JOL11:JOL12"/>
    <mergeCell ref="JOM11:JOM12"/>
    <mergeCell ref="JOB11:JOB12"/>
    <mergeCell ref="JOC11:JOC12"/>
    <mergeCell ref="JOD11:JOD12"/>
    <mergeCell ref="JOE11:JOE12"/>
    <mergeCell ref="JOF11:JOF12"/>
    <mergeCell ref="JOG11:JOG12"/>
    <mergeCell ref="JNV11:JNV12"/>
    <mergeCell ref="JNW11:JNW12"/>
    <mergeCell ref="JNX11:JNX12"/>
    <mergeCell ref="JNY11:JNY12"/>
    <mergeCell ref="JNZ11:JNZ12"/>
    <mergeCell ref="JOA11:JOA12"/>
    <mergeCell ref="JNP11:JNP12"/>
    <mergeCell ref="JNQ11:JNQ12"/>
    <mergeCell ref="JNR11:JNR12"/>
    <mergeCell ref="JNS11:JNS12"/>
    <mergeCell ref="JNT11:JNT12"/>
    <mergeCell ref="JNU11:JNU12"/>
    <mergeCell ref="JNJ11:JNJ12"/>
    <mergeCell ref="JNK11:JNK12"/>
    <mergeCell ref="JNL11:JNL12"/>
    <mergeCell ref="JNM11:JNM12"/>
    <mergeCell ref="JNN11:JNN12"/>
    <mergeCell ref="JNO11:JNO12"/>
    <mergeCell ref="JND11:JND12"/>
    <mergeCell ref="JNE11:JNE12"/>
    <mergeCell ref="JNF11:JNF12"/>
    <mergeCell ref="JNG11:JNG12"/>
    <mergeCell ref="JNH11:JNH12"/>
    <mergeCell ref="JNI11:JNI12"/>
    <mergeCell ref="JMX11:JMX12"/>
    <mergeCell ref="JMY11:JMY12"/>
    <mergeCell ref="JMZ11:JMZ12"/>
    <mergeCell ref="JNA11:JNA12"/>
    <mergeCell ref="JNB11:JNB12"/>
    <mergeCell ref="JNC11:JNC12"/>
    <mergeCell ref="JMR11:JMR12"/>
    <mergeCell ref="JMS11:JMS12"/>
    <mergeCell ref="JMT11:JMT12"/>
    <mergeCell ref="JMU11:JMU12"/>
    <mergeCell ref="JMV11:JMV12"/>
    <mergeCell ref="JMW11:JMW12"/>
    <mergeCell ref="JML11:JML12"/>
    <mergeCell ref="JMM11:JMM12"/>
    <mergeCell ref="JMN11:JMN12"/>
    <mergeCell ref="JMO11:JMO12"/>
    <mergeCell ref="JMP11:JMP12"/>
    <mergeCell ref="JMQ11:JMQ12"/>
    <mergeCell ref="JMF11:JMF12"/>
    <mergeCell ref="JMG11:JMG12"/>
    <mergeCell ref="JMH11:JMH12"/>
    <mergeCell ref="JMI11:JMI12"/>
    <mergeCell ref="JMJ11:JMJ12"/>
    <mergeCell ref="JMK11:JMK12"/>
    <mergeCell ref="JLZ11:JLZ12"/>
    <mergeCell ref="JMA11:JMA12"/>
    <mergeCell ref="JMB11:JMB12"/>
    <mergeCell ref="JMC11:JMC12"/>
    <mergeCell ref="JMD11:JMD12"/>
    <mergeCell ref="JME11:JME12"/>
    <mergeCell ref="JLT11:JLT12"/>
    <mergeCell ref="JLU11:JLU12"/>
    <mergeCell ref="JLV11:JLV12"/>
    <mergeCell ref="JLW11:JLW12"/>
    <mergeCell ref="JLX11:JLX12"/>
    <mergeCell ref="JLY11:JLY12"/>
    <mergeCell ref="JLN11:JLN12"/>
    <mergeCell ref="JLO11:JLO12"/>
    <mergeCell ref="JLP11:JLP12"/>
    <mergeCell ref="JLQ11:JLQ12"/>
    <mergeCell ref="JLR11:JLR12"/>
    <mergeCell ref="JLS11:JLS12"/>
    <mergeCell ref="JLH11:JLH12"/>
    <mergeCell ref="JLI11:JLI12"/>
    <mergeCell ref="JLJ11:JLJ12"/>
    <mergeCell ref="JLK11:JLK12"/>
    <mergeCell ref="JLL11:JLL12"/>
    <mergeCell ref="JLM11:JLM12"/>
    <mergeCell ref="JLB11:JLB12"/>
    <mergeCell ref="JLC11:JLC12"/>
    <mergeCell ref="JLD11:JLD12"/>
    <mergeCell ref="JLE11:JLE12"/>
    <mergeCell ref="JLF11:JLF12"/>
    <mergeCell ref="JLG11:JLG12"/>
    <mergeCell ref="JKV11:JKV12"/>
    <mergeCell ref="JKW11:JKW12"/>
    <mergeCell ref="JKX11:JKX12"/>
    <mergeCell ref="JKY11:JKY12"/>
    <mergeCell ref="JKZ11:JKZ12"/>
    <mergeCell ref="JLA11:JLA12"/>
    <mergeCell ref="JKP11:JKP12"/>
    <mergeCell ref="JKQ11:JKQ12"/>
    <mergeCell ref="JKR11:JKR12"/>
    <mergeCell ref="JKS11:JKS12"/>
    <mergeCell ref="JKT11:JKT12"/>
    <mergeCell ref="JKU11:JKU12"/>
    <mergeCell ref="JKJ11:JKJ12"/>
    <mergeCell ref="JKK11:JKK12"/>
    <mergeCell ref="JKL11:JKL12"/>
    <mergeCell ref="JKM11:JKM12"/>
    <mergeCell ref="JKN11:JKN12"/>
    <mergeCell ref="JKO11:JKO12"/>
    <mergeCell ref="JKD11:JKD12"/>
    <mergeCell ref="JKE11:JKE12"/>
    <mergeCell ref="JKF11:JKF12"/>
    <mergeCell ref="JKG11:JKG12"/>
    <mergeCell ref="JKH11:JKH12"/>
    <mergeCell ref="JKI11:JKI12"/>
    <mergeCell ref="JJX11:JJX12"/>
    <mergeCell ref="JJY11:JJY12"/>
    <mergeCell ref="JJZ11:JJZ12"/>
    <mergeCell ref="JKA11:JKA12"/>
    <mergeCell ref="JKB11:JKB12"/>
    <mergeCell ref="JKC11:JKC12"/>
    <mergeCell ref="JJR11:JJR12"/>
    <mergeCell ref="JJS11:JJS12"/>
    <mergeCell ref="JJT11:JJT12"/>
    <mergeCell ref="JJU11:JJU12"/>
    <mergeCell ref="JJV11:JJV12"/>
    <mergeCell ref="JJW11:JJW12"/>
    <mergeCell ref="JJL11:JJL12"/>
    <mergeCell ref="JJM11:JJM12"/>
    <mergeCell ref="JJN11:JJN12"/>
    <mergeCell ref="JJO11:JJO12"/>
    <mergeCell ref="JJP11:JJP12"/>
    <mergeCell ref="JJQ11:JJQ12"/>
    <mergeCell ref="JJF11:JJF12"/>
    <mergeCell ref="JJG11:JJG12"/>
    <mergeCell ref="JJH11:JJH12"/>
    <mergeCell ref="JJI11:JJI12"/>
    <mergeCell ref="JJJ11:JJJ12"/>
    <mergeCell ref="JJK11:JJK12"/>
    <mergeCell ref="JIZ11:JIZ12"/>
    <mergeCell ref="JJA11:JJA12"/>
    <mergeCell ref="JJB11:JJB12"/>
    <mergeCell ref="JJC11:JJC12"/>
    <mergeCell ref="JJD11:JJD12"/>
    <mergeCell ref="JJE11:JJE12"/>
    <mergeCell ref="JIT11:JIT12"/>
    <mergeCell ref="JIU11:JIU12"/>
    <mergeCell ref="JIV11:JIV12"/>
    <mergeCell ref="JIW11:JIW12"/>
    <mergeCell ref="JIX11:JIX12"/>
    <mergeCell ref="JIY11:JIY12"/>
    <mergeCell ref="JIN11:JIN12"/>
    <mergeCell ref="JIO11:JIO12"/>
    <mergeCell ref="JIP11:JIP12"/>
    <mergeCell ref="JIQ11:JIQ12"/>
    <mergeCell ref="JIR11:JIR12"/>
    <mergeCell ref="JIS11:JIS12"/>
    <mergeCell ref="JIH11:JIH12"/>
    <mergeCell ref="JII11:JII12"/>
    <mergeCell ref="JIJ11:JIJ12"/>
    <mergeCell ref="JIK11:JIK12"/>
    <mergeCell ref="JIL11:JIL12"/>
    <mergeCell ref="JIM11:JIM12"/>
    <mergeCell ref="JIB11:JIB12"/>
    <mergeCell ref="JIC11:JIC12"/>
    <mergeCell ref="JID11:JID12"/>
    <mergeCell ref="JIE11:JIE12"/>
    <mergeCell ref="JIF11:JIF12"/>
    <mergeCell ref="JIG11:JIG12"/>
    <mergeCell ref="JHV11:JHV12"/>
    <mergeCell ref="JHW11:JHW12"/>
    <mergeCell ref="JHX11:JHX12"/>
    <mergeCell ref="JHY11:JHY12"/>
    <mergeCell ref="JHZ11:JHZ12"/>
    <mergeCell ref="JIA11:JIA12"/>
    <mergeCell ref="JHP11:JHP12"/>
    <mergeCell ref="JHQ11:JHQ12"/>
    <mergeCell ref="JHR11:JHR12"/>
    <mergeCell ref="JHS11:JHS12"/>
    <mergeCell ref="JHT11:JHT12"/>
    <mergeCell ref="JHU11:JHU12"/>
    <mergeCell ref="JHJ11:JHJ12"/>
    <mergeCell ref="JHK11:JHK12"/>
    <mergeCell ref="JHL11:JHL12"/>
    <mergeCell ref="JHM11:JHM12"/>
    <mergeCell ref="JHN11:JHN12"/>
    <mergeCell ref="JHO11:JHO12"/>
    <mergeCell ref="JHD11:JHD12"/>
    <mergeCell ref="JHE11:JHE12"/>
    <mergeCell ref="JHF11:JHF12"/>
    <mergeCell ref="JHG11:JHG12"/>
    <mergeCell ref="JHH11:JHH12"/>
    <mergeCell ref="JHI11:JHI12"/>
    <mergeCell ref="JGX11:JGX12"/>
    <mergeCell ref="JGY11:JGY12"/>
    <mergeCell ref="JGZ11:JGZ12"/>
    <mergeCell ref="JHA11:JHA12"/>
    <mergeCell ref="JHB11:JHB12"/>
    <mergeCell ref="JHC11:JHC12"/>
    <mergeCell ref="JGR11:JGR12"/>
    <mergeCell ref="JGS11:JGS12"/>
    <mergeCell ref="JGT11:JGT12"/>
    <mergeCell ref="JGU11:JGU12"/>
    <mergeCell ref="JGV11:JGV12"/>
    <mergeCell ref="JGW11:JGW12"/>
    <mergeCell ref="JGL11:JGL12"/>
    <mergeCell ref="JGM11:JGM12"/>
    <mergeCell ref="JGN11:JGN12"/>
    <mergeCell ref="JGO11:JGO12"/>
    <mergeCell ref="JGP11:JGP12"/>
    <mergeCell ref="JGQ11:JGQ12"/>
    <mergeCell ref="JGF11:JGF12"/>
    <mergeCell ref="JGG11:JGG12"/>
    <mergeCell ref="JGH11:JGH12"/>
    <mergeCell ref="JGI11:JGI12"/>
    <mergeCell ref="JGJ11:JGJ12"/>
    <mergeCell ref="JGK11:JGK12"/>
    <mergeCell ref="JFZ11:JFZ12"/>
    <mergeCell ref="JGA11:JGA12"/>
    <mergeCell ref="JGB11:JGB12"/>
    <mergeCell ref="JGC11:JGC12"/>
    <mergeCell ref="JGD11:JGD12"/>
    <mergeCell ref="JGE11:JGE12"/>
    <mergeCell ref="JFT11:JFT12"/>
    <mergeCell ref="JFU11:JFU12"/>
    <mergeCell ref="JFV11:JFV12"/>
    <mergeCell ref="JFW11:JFW12"/>
    <mergeCell ref="JFX11:JFX12"/>
    <mergeCell ref="JFY11:JFY12"/>
    <mergeCell ref="JFN11:JFN12"/>
    <mergeCell ref="JFO11:JFO12"/>
    <mergeCell ref="JFP11:JFP12"/>
    <mergeCell ref="JFQ11:JFQ12"/>
    <mergeCell ref="JFR11:JFR12"/>
    <mergeCell ref="JFS11:JFS12"/>
    <mergeCell ref="JFH11:JFH12"/>
    <mergeCell ref="JFI11:JFI12"/>
    <mergeCell ref="JFJ11:JFJ12"/>
    <mergeCell ref="JFK11:JFK12"/>
    <mergeCell ref="JFL11:JFL12"/>
    <mergeCell ref="JFM11:JFM12"/>
    <mergeCell ref="JFB11:JFB12"/>
    <mergeCell ref="JFC11:JFC12"/>
    <mergeCell ref="JFD11:JFD12"/>
    <mergeCell ref="JFE11:JFE12"/>
    <mergeCell ref="JFF11:JFF12"/>
    <mergeCell ref="JFG11:JFG12"/>
    <mergeCell ref="JEV11:JEV12"/>
    <mergeCell ref="JEW11:JEW12"/>
    <mergeCell ref="JEX11:JEX12"/>
    <mergeCell ref="JEY11:JEY12"/>
    <mergeCell ref="JEZ11:JEZ12"/>
    <mergeCell ref="JFA11:JFA12"/>
    <mergeCell ref="JEP11:JEP12"/>
    <mergeCell ref="JEQ11:JEQ12"/>
    <mergeCell ref="JER11:JER12"/>
    <mergeCell ref="JES11:JES12"/>
    <mergeCell ref="JET11:JET12"/>
    <mergeCell ref="JEU11:JEU12"/>
    <mergeCell ref="JEJ11:JEJ12"/>
    <mergeCell ref="JEK11:JEK12"/>
    <mergeCell ref="JEL11:JEL12"/>
    <mergeCell ref="JEM11:JEM12"/>
    <mergeCell ref="JEN11:JEN12"/>
    <mergeCell ref="JEO11:JEO12"/>
    <mergeCell ref="JED11:JED12"/>
    <mergeCell ref="JEE11:JEE12"/>
    <mergeCell ref="JEF11:JEF12"/>
    <mergeCell ref="JEG11:JEG12"/>
    <mergeCell ref="JEH11:JEH12"/>
    <mergeCell ref="JEI11:JEI12"/>
    <mergeCell ref="JDX11:JDX12"/>
    <mergeCell ref="JDY11:JDY12"/>
    <mergeCell ref="JDZ11:JDZ12"/>
    <mergeCell ref="JEA11:JEA12"/>
    <mergeCell ref="JEB11:JEB12"/>
    <mergeCell ref="JEC11:JEC12"/>
    <mergeCell ref="JDR11:JDR12"/>
    <mergeCell ref="JDS11:JDS12"/>
    <mergeCell ref="JDT11:JDT12"/>
    <mergeCell ref="JDU11:JDU12"/>
    <mergeCell ref="JDV11:JDV12"/>
    <mergeCell ref="JDW11:JDW12"/>
    <mergeCell ref="JDL11:JDL12"/>
    <mergeCell ref="JDM11:JDM12"/>
    <mergeCell ref="JDN11:JDN12"/>
    <mergeCell ref="JDO11:JDO12"/>
    <mergeCell ref="JDP11:JDP12"/>
    <mergeCell ref="JDQ11:JDQ12"/>
    <mergeCell ref="JDF11:JDF12"/>
    <mergeCell ref="JDG11:JDG12"/>
    <mergeCell ref="JDH11:JDH12"/>
    <mergeCell ref="JDI11:JDI12"/>
    <mergeCell ref="JDJ11:JDJ12"/>
    <mergeCell ref="JDK11:JDK12"/>
    <mergeCell ref="JCZ11:JCZ12"/>
    <mergeCell ref="JDA11:JDA12"/>
    <mergeCell ref="JDB11:JDB12"/>
    <mergeCell ref="JDC11:JDC12"/>
    <mergeCell ref="JDD11:JDD12"/>
    <mergeCell ref="JDE11:JDE12"/>
    <mergeCell ref="JCT11:JCT12"/>
    <mergeCell ref="JCU11:JCU12"/>
    <mergeCell ref="JCV11:JCV12"/>
    <mergeCell ref="JCW11:JCW12"/>
    <mergeCell ref="JCX11:JCX12"/>
    <mergeCell ref="JCY11:JCY12"/>
    <mergeCell ref="JCN11:JCN12"/>
    <mergeCell ref="JCO11:JCO12"/>
    <mergeCell ref="JCP11:JCP12"/>
    <mergeCell ref="JCQ11:JCQ12"/>
    <mergeCell ref="JCR11:JCR12"/>
    <mergeCell ref="JCS11:JCS12"/>
    <mergeCell ref="JCH11:JCH12"/>
    <mergeCell ref="JCI11:JCI12"/>
    <mergeCell ref="JCJ11:JCJ12"/>
    <mergeCell ref="JCK11:JCK12"/>
    <mergeCell ref="JCL11:JCL12"/>
    <mergeCell ref="JCM11:JCM12"/>
    <mergeCell ref="JCB11:JCB12"/>
    <mergeCell ref="JCC11:JCC12"/>
    <mergeCell ref="JCD11:JCD12"/>
    <mergeCell ref="JCE11:JCE12"/>
    <mergeCell ref="JCF11:JCF12"/>
    <mergeCell ref="JCG11:JCG12"/>
    <mergeCell ref="JBV11:JBV12"/>
    <mergeCell ref="JBW11:JBW12"/>
    <mergeCell ref="JBX11:JBX12"/>
    <mergeCell ref="JBY11:JBY12"/>
    <mergeCell ref="JBZ11:JBZ12"/>
    <mergeCell ref="JCA11:JCA12"/>
    <mergeCell ref="JBP11:JBP12"/>
    <mergeCell ref="JBQ11:JBQ12"/>
    <mergeCell ref="JBR11:JBR12"/>
    <mergeCell ref="JBS11:JBS12"/>
    <mergeCell ref="JBT11:JBT12"/>
    <mergeCell ref="JBU11:JBU12"/>
    <mergeCell ref="JBJ11:JBJ12"/>
    <mergeCell ref="JBK11:JBK12"/>
    <mergeCell ref="JBL11:JBL12"/>
    <mergeCell ref="JBM11:JBM12"/>
    <mergeCell ref="JBN11:JBN12"/>
    <mergeCell ref="JBO11:JBO12"/>
    <mergeCell ref="JBD11:JBD12"/>
    <mergeCell ref="JBE11:JBE12"/>
    <mergeCell ref="JBF11:JBF12"/>
    <mergeCell ref="JBG11:JBG12"/>
    <mergeCell ref="JBH11:JBH12"/>
    <mergeCell ref="JBI11:JBI12"/>
    <mergeCell ref="JAX11:JAX12"/>
    <mergeCell ref="JAY11:JAY12"/>
    <mergeCell ref="JAZ11:JAZ12"/>
    <mergeCell ref="JBA11:JBA12"/>
    <mergeCell ref="JBB11:JBB12"/>
    <mergeCell ref="JBC11:JBC12"/>
    <mergeCell ref="JAR11:JAR12"/>
    <mergeCell ref="JAS11:JAS12"/>
    <mergeCell ref="JAT11:JAT12"/>
    <mergeCell ref="JAU11:JAU12"/>
    <mergeCell ref="JAV11:JAV12"/>
    <mergeCell ref="JAW11:JAW12"/>
    <mergeCell ref="JAL11:JAL12"/>
    <mergeCell ref="JAM11:JAM12"/>
    <mergeCell ref="JAN11:JAN12"/>
    <mergeCell ref="JAO11:JAO12"/>
    <mergeCell ref="JAP11:JAP12"/>
    <mergeCell ref="JAQ11:JAQ12"/>
    <mergeCell ref="JAF11:JAF12"/>
    <mergeCell ref="JAG11:JAG12"/>
    <mergeCell ref="JAH11:JAH12"/>
    <mergeCell ref="JAI11:JAI12"/>
    <mergeCell ref="JAJ11:JAJ12"/>
    <mergeCell ref="JAK11:JAK12"/>
    <mergeCell ref="IZZ11:IZZ12"/>
    <mergeCell ref="JAA11:JAA12"/>
    <mergeCell ref="JAB11:JAB12"/>
    <mergeCell ref="JAC11:JAC12"/>
    <mergeCell ref="JAD11:JAD12"/>
    <mergeCell ref="JAE11:JAE12"/>
    <mergeCell ref="IZT11:IZT12"/>
    <mergeCell ref="IZU11:IZU12"/>
    <mergeCell ref="IZV11:IZV12"/>
    <mergeCell ref="IZW11:IZW12"/>
    <mergeCell ref="IZX11:IZX12"/>
    <mergeCell ref="IZY11:IZY12"/>
    <mergeCell ref="IZN11:IZN12"/>
    <mergeCell ref="IZO11:IZO12"/>
    <mergeCell ref="IZP11:IZP12"/>
    <mergeCell ref="IZQ11:IZQ12"/>
    <mergeCell ref="IZR11:IZR12"/>
    <mergeCell ref="IZS11:IZS12"/>
    <mergeCell ref="IZH11:IZH12"/>
    <mergeCell ref="IZI11:IZI12"/>
    <mergeCell ref="IZJ11:IZJ12"/>
    <mergeCell ref="IZK11:IZK12"/>
    <mergeCell ref="IZL11:IZL12"/>
    <mergeCell ref="IZM11:IZM12"/>
    <mergeCell ref="IZB11:IZB12"/>
    <mergeCell ref="IZC11:IZC12"/>
    <mergeCell ref="IZD11:IZD12"/>
    <mergeCell ref="IZE11:IZE12"/>
    <mergeCell ref="IZF11:IZF12"/>
    <mergeCell ref="IZG11:IZG12"/>
    <mergeCell ref="IYV11:IYV12"/>
    <mergeCell ref="IYW11:IYW12"/>
    <mergeCell ref="IYX11:IYX12"/>
    <mergeCell ref="IYY11:IYY12"/>
    <mergeCell ref="IYZ11:IYZ12"/>
    <mergeCell ref="IZA11:IZA12"/>
    <mergeCell ref="IYP11:IYP12"/>
    <mergeCell ref="IYQ11:IYQ12"/>
    <mergeCell ref="IYR11:IYR12"/>
    <mergeCell ref="IYS11:IYS12"/>
    <mergeCell ref="IYT11:IYT12"/>
    <mergeCell ref="IYU11:IYU12"/>
    <mergeCell ref="IYJ11:IYJ12"/>
    <mergeCell ref="IYK11:IYK12"/>
    <mergeCell ref="IYL11:IYL12"/>
    <mergeCell ref="IYM11:IYM12"/>
    <mergeCell ref="IYN11:IYN12"/>
    <mergeCell ref="IYO11:IYO12"/>
    <mergeCell ref="IYD11:IYD12"/>
    <mergeCell ref="IYE11:IYE12"/>
    <mergeCell ref="IYF11:IYF12"/>
    <mergeCell ref="IYG11:IYG12"/>
    <mergeCell ref="IYH11:IYH12"/>
    <mergeCell ref="IYI11:IYI12"/>
    <mergeCell ref="IXX11:IXX12"/>
    <mergeCell ref="IXY11:IXY12"/>
    <mergeCell ref="IXZ11:IXZ12"/>
    <mergeCell ref="IYA11:IYA12"/>
    <mergeCell ref="IYB11:IYB12"/>
    <mergeCell ref="IYC11:IYC12"/>
    <mergeCell ref="IXR11:IXR12"/>
    <mergeCell ref="IXS11:IXS12"/>
    <mergeCell ref="IXT11:IXT12"/>
    <mergeCell ref="IXU11:IXU12"/>
    <mergeCell ref="IXV11:IXV12"/>
    <mergeCell ref="IXW11:IXW12"/>
    <mergeCell ref="IXL11:IXL12"/>
    <mergeCell ref="IXM11:IXM12"/>
    <mergeCell ref="IXN11:IXN12"/>
    <mergeCell ref="IXO11:IXO12"/>
    <mergeCell ref="IXP11:IXP12"/>
    <mergeCell ref="IXQ11:IXQ12"/>
    <mergeCell ref="IXF11:IXF12"/>
    <mergeCell ref="IXG11:IXG12"/>
    <mergeCell ref="IXH11:IXH12"/>
    <mergeCell ref="IXI11:IXI12"/>
    <mergeCell ref="IXJ11:IXJ12"/>
    <mergeCell ref="IXK11:IXK12"/>
    <mergeCell ref="IWZ11:IWZ12"/>
    <mergeCell ref="IXA11:IXA12"/>
    <mergeCell ref="IXB11:IXB12"/>
    <mergeCell ref="IXC11:IXC12"/>
    <mergeCell ref="IXD11:IXD12"/>
    <mergeCell ref="IXE11:IXE12"/>
    <mergeCell ref="IWT11:IWT12"/>
    <mergeCell ref="IWU11:IWU12"/>
    <mergeCell ref="IWV11:IWV12"/>
    <mergeCell ref="IWW11:IWW12"/>
    <mergeCell ref="IWX11:IWX12"/>
    <mergeCell ref="IWY11:IWY12"/>
    <mergeCell ref="IWN11:IWN12"/>
    <mergeCell ref="IWO11:IWO12"/>
    <mergeCell ref="IWP11:IWP12"/>
    <mergeCell ref="IWQ11:IWQ12"/>
    <mergeCell ref="IWR11:IWR12"/>
    <mergeCell ref="IWS11:IWS12"/>
    <mergeCell ref="IWH11:IWH12"/>
    <mergeCell ref="IWI11:IWI12"/>
    <mergeCell ref="IWJ11:IWJ12"/>
    <mergeCell ref="IWK11:IWK12"/>
    <mergeCell ref="IWL11:IWL12"/>
    <mergeCell ref="IWM11:IWM12"/>
    <mergeCell ref="IWB11:IWB12"/>
    <mergeCell ref="IWC11:IWC12"/>
    <mergeCell ref="IWD11:IWD12"/>
    <mergeCell ref="IWE11:IWE12"/>
    <mergeCell ref="IWF11:IWF12"/>
    <mergeCell ref="IWG11:IWG12"/>
    <mergeCell ref="IVV11:IVV12"/>
    <mergeCell ref="IVW11:IVW12"/>
    <mergeCell ref="IVX11:IVX12"/>
    <mergeCell ref="IVY11:IVY12"/>
    <mergeCell ref="IVZ11:IVZ12"/>
    <mergeCell ref="IWA11:IWA12"/>
    <mergeCell ref="IVP11:IVP12"/>
    <mergeCell ref="IVQ11:IVQ12"/>
    <mergeCell ref="IVR11:IVR12"/>
    <mergeCell ref="IVS11:IVS12"/>
    <mergeCell ref="IVT11:IVT12"/>
    <mergeCell ref="IVU11:IVU12"/>
    <mergeCell ref="IVJ11:IVJ12"/>
    <mergeCell ref="IVK11:IVK12"/>
    <mergeCell ref="IVL11:IVL12"/>
    <mergeCell ref="IVM11:IVM12"/>
    <mergeCell ref="IVN11:IVN12"/>
    <mergeCell ref="IVO11:IVO12"/>
    <mergeCell ref="IVD11:IVD12"/>
    <mergeCell ref="IVE11:IVE12"/>
    <mergeCell ref="IVF11:IVF12"/>
    <mergeCell ref="IVG11:IVG12"/>
    <mergeCell ref="IVH11:IVH12"/>
    <mergeCell ref="IVI11:IVI12"/>
    <mergeCell ref="IUX11:IUX12"/>
    <mergeCell ref="IUY11:IUY12"/>
    <mergeCell ref="IUZ11:IUZ12"/>
    <mergeCell ref="IVA11:IVA12"/>
    <mergeCell ref="IVB11:IVB12"/>
    <mergeCell ref="IVC11:IVC12"/>
    <mergeCell ref="IUR11:IUR12"/>
    <mergeCell ref="IUS11:IUS12"/>
    <mergeCell ref="IUT11:IUT12"/>
    <mergeCell ref="IUU11:IUU12"/>
    <mergeCell ref="IUV11:IUV12"/>
    <mergeCell ref="IUW11:IUW12"/>
    <mergeCell ref="IUL11:IUL12"/>
    <mergeCell ref="IUM11:IUM12"/>
    <mergeCell ref="IUN11:IUN12"/>
    <mergeCell ref="IUO11:IUO12"/>
    <mergeCell ref="IUP11:IUP12"/>
    <mergeCell ref="IUQ11:IUQ12"/>
    <mergeCell ref="IUF11:IUF12"/>
    <mergeCell ref="IUG11:IUG12"/>
    <mergeCell ref="IUH11:IUH12"/>
    <mergeCell ref="IUI11:IUI12"/>
    <mergeCell ref="IUJ11:IUJ12"/>
    <mergeCell ref="IUK11:IUK12"/>
    <mergeCell ref="ITZ11:ITZ12"/>
    <mergeCell ref="IUA11:IUA12"/>
    <mergeCell ref="IUB11:IUB12"/>
    <mergeCell ref="IUC11:IUC12"/>
    <mergeCell ref="IUD11:IUD12"/>
    <mergeCell ref="IUE11:IUE12"/>
    <mergeCell ref="ITT11:ITT12"/>
    <mergeCell ref="ITU11:ITU12"/>
    <mergeCell ref="ITV11:ITV12"/>
    <mergeCell ref="ITW11:ITW12"/>
    <mergeCell ref="ITX11:ITX12"/>
    <mergeCell ref="ITY11:ITY12"/>
    <mergeCell ref="ITN11:ITN12"/>
    <mergeCell ref="ITO11:ITO12"/>
    <mergeCell ref="ITP11:ITP12"/>
    <mergeCell ref="ITQ11:ITQ12"/>
    <mergeCell ref="ITR11:ITR12"/>
    <mergeCell ref="ITS11:ITS12"/>
    <mergeCell ref="ITH11:ITH12"/>
    <mergeCell ref="ITI11:ITI12"/>
    <mergeCell ref="ITJ11:ITJ12"/>
    <mergeCell ref="ITK11:ITK12"/>
    <mergeCell ref="ITL11:ITL12"/>
    <mergeCell ref="ITM11:ITM12"/>
    <mergeCell ref="ITB11:ITB12"/>
    <mergeCell ref="ITC11:ITC12"/>
    <mergeCell ref="ITD11:ITD12"/>
    <mergeCell ref="ITE11:ITE12"/>
    <mergeCell ref="ITF11:ITF12"/>
    <mergeCell ref="ITG11:ITG12"/>
    <mergeCell ref="ISV11:ISV12"/>
    <mergeCell ref="ISW11:ISW12"/>
    <mergeCell ref="ISX11:ISX12"/>
    <mergeCell ref="ISY11:ISY12"/>
    <mergeCell ref="ISZ11:ISZ12"/>
    <mergeCell ref="ITA11:ITA12"/>
    <mergeCell ref="ISP11:ISP12"/>
    <mergeCell ref="ISQ11:ISQ12"/>
    <mergeCell ref="ISR11:ISR12"/>
    <mergeCell ref="ISS11:ISS12"/>
    <mergeCell ref="IST11:IST12"/>
    <mergeCell ref="ISU11:ISU12"/>
    <mergeCell ref="ISJ11:ISJ12"/>
    <mergeCell ref="ISK11:ISK12"/>
    <mergeCell ref="ISL11:ISL12"/>
    <mergeCell ref="ISM11:ISM12"/>
    <mergeCell ref="ISN11:ISN12"/>
    <mergeCell ref="ISO11:ISO12"/>
    <mergeCell ref="ISD11:ISD12"/>
    <mergeCell ref="ISE11:ISE12"/>
    <mergeCell ref="ISF11:ISF12"/>
    <mergeCell ref="ISG11:ISG12"/>
    <mergeCell ref="ISH11:ISH12"/>
    <mergeCell ref="ISI11:ISI12"/>
    <mergeCell ref="IRX11:IRX12"/>
    <mergeCell ref="IRY11:IRY12"/>
    <mergeCell ref="IRZ11:IRZ12"/>
    <mergeCell ref="ISA11:ISA12"/>
    <mergeCell ref="ISB11:ISB12"/>
    <mergeCell ref="ISC11:ISC12"/>
    <mergeCell ref="IRR11:IRR12"/>
    <mergeCell ref="IRS11:IRS12"/>
    <mergeCell ref="IRT11:IRT12"/>
    <mergeCell ref="IRU11:IRU12"/>
    <mergeCell ref="IRV11:IRV12"/>
    <mergeCell ref="IRW11:IRW12"/>
    <mergeCell ref="IRL11:IRL12"/>
    <mergeCell ref="IRM11:IRM12"/>
    <mergeCell ref="IRN11:IRN12"/>
    <mergeCell ref="IRO11:IRO12"/>
    <mergeCell ref="IRP11:IRP12"/>
    <mergeCell ref="IRQ11:IRQ12"/>
    <mergeCell ref="IRF11:IRF12"/>
    <mergeCell ref="IRG11:IRG12"/>
    <mergeCell ref="IRH11:IRH12"/>
    <mergeCell ref="IRI11:IRI12"/>
    <mergeCell ref="IRJ11:IRJ12"/>
    <mergeCell ref="IRK11:IRK12"/>
    <mergeCell ref="IQZ11:IQZ12"/>
    <mergeCell ref="IRA11:IRA12"/>
    <mergeCell ref="IRB11:IRB12"/>
    <mergeCell ref="IRC11:IRC12"/>
    <mergeCell ref="IRD11:IRD12"/>
    <mergeCell ref="IRE11:IRE12"/>
    <mergeCell ref="IQT11:IQT12"/>
    <mergeCell ref="IQU11:IQU12"/>
    <mergeCell ref="IQV11:IQV12"/>
    <mergeCell ref="IQW11:IQW12"/>
    <mergeCell ref="IQX11:IQX12"/>
    <mergeCell ref="IQY11:IQY12"/>
    <mergeCell ref="IQN11:IQN12"/>
    <mergeCell ref="IQO11:IQO12"/>
    <mergeCell ref="IQP11:IQP12"/>
    <mergeCell ref="IQQ11:IQQ12"/>
    <mergeCell ref="IQR11:IQR12"/>
    <mergeCell ref="IQS11:IQS12"/>
    <mergeCell ref="IQH11:IQH12"/>
    <mergeCell ref="IQI11:IQI12"/>
    <mergeCell ref="IQJ11:IQJ12"/>
    <mergeCell ref="IQK11:IQK12"/>
    <mergeCell ref="IQL11:IQL12"/>
    <mergeCell ref="IQM11:IQM12"/>
    <mergeCell ref="IQB11:IQB12"/>
    <mergeCell ref="IQC11:IQC12"/>
    <mergeCell ref="IQD11:IQD12"/>
    <mergeCell ref="IQE11:IQE12"/>
    <mergeCell ref="IQF11:IQF12"/>
    <mergeCell ref="IQG11:IQG12"/>
    <mergeCell ref="IPV11:IPV12"/>
    <mergeCell ref="IPW11:IPW12"/>
    <mergeCell ref="IPX11:IPX12"/>
    <mergeCell ref="IPY11:IPY12"/>
    <mergeCell ref="IPZ11:IPZ12"/>
    <mergeCell ref="IQA11:IQA12"/>
    <mergeCell ref="IPP11:IPP12"/>
    <mergeCell ref="IPQ11:IPQ12"/>
    <mergeCell ref="IPR11:IPR12"/>
    <mergeCell ref="IPS11:IPS12"/>
    <mergeCell ref="IPT11:IPT12"/>
    <mergeCell ref="IPU11:IPU12"/>
    <mergeCell ref="IPJ11:IPJ12"/>
    <mergeCell ref="IPK11:IPK12"/>
    <mergeCell ref="IPL11:IPL12"/>
    <mergeCell ref="IPM11:IPM12"/>
    <mergeCell ref="IPN11:IPN12"/>
    <mergeCell ref="IPO11:IPO12"/>
    <mergeCell ref="IPD11:IPD12"/>
    <mergeCell ref="IPE11:IPE12"/>
    <mergeCell ref="IPF11:IPF12"/>
    <mergeCell ref="IPG11:IPG12"/>
    <mergeCell ref="IPH11:IPH12"/>
    <mergeCell ref="IPI11:IPI12"/>
    <mergeCell ref="IOX11:IOX12"/>
    <mergeCell ref="IOY11:IOY12"/>
    <mergeCell ref="IOZ11:IOZ12"/>
    <mergeCell ref="IPA11:IPA12"/>
    <mergeCell ref="IPB11:IPB12"/>
    <mergeCell ref="IPC11:IPC12"/>
    <mergeCell ref="IOR11:IOR12"/>
    <mergeCell ref="IOS11:IOS12"/>
    <mergeCell ref="IOT11:IOT12"/>
    <mergeCell ref="IOU11:IOU12"/>
    <mergeCell ref="IOV11:IOV12"/>
    <mergeCell ref="IOW11:IOW12"/>
    <mergeCell ref="IOL11:IOL12"/>
    <mergeCell ref="IOM11:IOM12"/>
    <mergeCell ref="ION11:ION12"/>
    <mergeCell ref="IOO11:IOO12"/>
    <mergeCell ref="IOP11:IOP12"/>
    <mergeCell ref="IOQ11:IOQ12"/>
    <mergeCell ref="IOF11:IOF12"/>
    <mergeCell ref="IOG11:IOG12"/>
    <mergeCell ref="IOH11:IOH12"/>
    <mergeCell ref="IOI11:IOI12"/>
    <mergeCell ref="IOJ11:IOJ12"/>
    <mergeCell ref="IOK11:IOK12"/>
    <mergeCell ref="INZ11:INZ12"/>
    <mergeCell ref="IOA11:IOA12"/>
    <mergeCell ref="IOB11:IOB12"/>
    <mergeCell ref="IOC11:IOC12"/>
    <mergeCell ref="IOD11:IOD12"/>
    <mergeCell ref="IOE11:IOE12"/>
    <mergeCell ref="INT11:INT12"/>
    <mergeCell ref="INU11:INU12"/>
    <mergeCell ref="INV11:INV12"/>
    <mergeCell ref="INW11:INW12"/>
    <mergeCell ref="INX11:INX12"/>
    <mergeCell ref="INY11:INY12"/>
    <mergeCell ref="INN11:INN12"/>
    <mergeCell ref="INO11:INO12"/>
    <mergeCell ref="INP11:INP12"/>
    <mergeCell ref="INQ11:INQ12"/>
    <mergeCell ref="INR11:INR12"/>
    <mergeCell ref="INS11:INS12"/>
    <mergeCell ref="INH11:INH12"/>
    <mergeCell ref="INI11:INI12"/>
    <mergeCell ref="INJ11:INJ12"/>
    <mergeCell ref="INK11:INK12"/>
    <mergeCell ref="INL11:INL12"/>
    <mergeCell ref="INM11:INM12"/>
    <mergeCell ref="INB11:INB12"/>
    <mergeCell ref="INC11:INC12"/>
    <mergeCell ref="IND11:IND12"/>
    <mergeCell ref="INE11:INE12"/>
    <mergeCell ref="INF11:INF12"/>
    <mergeCell ref="ING11:ING12"/>
    <mergeCell ref="IMV11:IMV12"/>
    <mergeCell ref="IMW11:IMW12"/>
    <mergeCell ref="IMX11:IMX12"/>
    <mergeCell ref="IMY11:IMY12"/>
    <mergeCell ref="IMZ11:IMZ12"/>
    <mergeCell ref="INA11:INA12"/>
    <mergeCell ref="IMP11:IMP12"/>
    <mergeCell ref="IMQ11:IMQ12"/>
    <mergeCell ref="IMR11:IMR12"/>
    <mergeCell ref="IMS11:IMS12"/>
    <mergeCell ref="IMT11:IMT12"/>
    <mergeCell ref="IMU11:IMU12"/>
    <mergeCell ref="IMJ11:IMJ12"/>
    <mergeCell ref="IMK11:IMK12"/>
    <mergeCell ref="IML11:IML12"/>
    <mergeCell ref="IMM11:IMM12"/>
    <mergeCell ref="IMN11:IMN12"/>
    <mergeCell ref="IMO11:IMO12"/>
    <mergeCell ref="IMD11:IMD12"/>
    <mergeCell ref="IME11:IME12"/>
    <mergeCell ref="IMF11:IMF12"/>
    <mergeCell ref="IMG11:IMG12"/>
    <mergeCell ref="IMH11:IMH12"/>
    <mergeCell ref="IMI11:IMI12"/>
    <mergeCell ref="ILX11:ILX12"/>
    <mergeCell ref="ILY11:ILY12"/>
    <mergeCell ref="ILZ11:ILZ12"/>
    <mergeCell ref="IMA11:IMA12"/>
    <mergeCell ref="IMB11:IMB12"/>
    <mergeCell ref="IMC11:IMC12"/>
    <mergeCell ref="ILR11:ILR12"/>
    <mergeCell ref="ILS11:ILS12"/>
    <mergeCell ref="ILT11:ILT12"/>
    <mergeCell ref="ILU11:ILU12"/>
    <mergeCell ref="ILV11:ILV12"/>
    <mergeCell ref="ILW11:ILW12"/>
    <mergeCell ref="ILL11:ILL12"/>
    <mergeCell ref="ILM11:ILM12"/>
    <mergeCell ref="ILN11:ILN12"/>
    <mergeCell ref="ILO11:ILO12"/>
    <mergeCell ref="ILP11:ILP12"/>
    <mergeCell ref="ILQ11:ILQ12"/>
    <mergeCell ref="ILF11:ILF12"/>
    <mergeCell ref="ILG11:ILG12"/>
    <mergeCell ref="ILH11:ILH12"/>
    <mergeCell ref="ILI11:ILI12"/>
    <mergeCell ref="ILJ11:ILJ12"/>
    <mergeCell ref="ILK11:ILK12"/>
    <mergeCell ref="IKZ11:IKZ12"/>
    <mergeCell ref="ILA11:ILA12"/>
    <mergeCell ref="ILB11:ILB12"/>
    <mergeCell ref="ILC11:ILC12"/>
    <mergeCell ref="ILD11:ILD12"/>
    <mergeCell ref="ILE11:ILE12"/>
    <mergeCell ref="IKT11:IKT12"/>
    <mergeCell ref="IKU11:IKU12"/>
    <mergeCell ref="IKV11:IKV12"/>
    <mergeCell ref="IKW11:IKW12"/>
    <mergeCell ref="IKX11:IKX12"/>
    <mergeCell ref="IKY11:IKY12"/>
    <mergeCell ref="IKN11:IKN12"/>
    <mergeCell ref="IKO11:IKO12"/>
    <mergeCell ref="IKP11:IKP12"/>
    <mergeCell ref="IKQ11:IKQ12"/>
    <mergeCell ref="IKR11:IKR12"/>
    <mergeCell ref="IKS11:IKS12"/>
    <mergeCell ref="IKH11:IKH12"/>
    <mergeCell ref="IKI11:IKI12"/>
    <mergeCell ref="IKJ11:IKJ12"/>
    <mergeCell ref="IKK11:IKK12"/>
    <mergeCell ref="IKL11:IKL12"/>
    <mergeCell ref="IKM11:IKM12"/>
    <mergeCell ref="IKB11:IKB12"/>
    <mergeCell ref="IKC11:IKC12"/>
    <mergeCell ref="IKD11:IKD12"/>
    <mergeCell ref="IKE11:IKE12"/>
    <mergeCell ref="IKF11:IKF12"/>
    <mergeCell ref="IKG11:IKG12"/>
    <mergeCell ref="IJV11:IJV12"/>
    <mergeCell ref="IJW11:IJW12"/>
    <mergeCell ref="IJX11:IJX12"/>
    <mergeCell ref="IJY11:IJY12"/>
    <mergeCell ref="IJZ11:IJZ12"/>
    <mergeCell ref="IKA11:IKA12"/>
    <mergeCell ref="IJP11:IJP12"/>
    <mergeCell ref="IJQ11:IJQ12"/>
    <mergeCell ref="IJR11:IJR12"/>
    <mergeCell ref="IJS11:IJS12"/>
    <mergeCell ref="IJT11:IJT12"/>
    <mergeCell ref="IJU11:IJU12"/>
    <mergeCell ref="IJJ11:IJJ12"/>
    <mergeCell ref="IJK11:IJK12"/>
    <mergeCell ref="IJL11:IJL12"/>
    <mergeCell ref="IJM11:IJM12"/>
    <mergeCell ref="IJN11:IJN12"/>
    <mergeCell ref="IJO11:IJO12"/>
    <mergeCell ref="IJD11:IJD12"/>
    <mergeCell ref="IJE11:IJE12"/>
    <mergeCell ref="IJF11:IJF12"/>
    <mergeCell ref="IJG11:IJG12"/>
    <mergeCell ref="IJH11:IJH12"/>
    <mergeCell ref="IJI11:IJI12"/>
    <mergeCell ref="IIX11:IIX12"/>
    <mergeCell ref="IIY11:IIY12"/>
    <mergeCell ref="IIZ11:IIZ12"/>
    <mergeCell ref="IJA11:IJA12"/>
    <mergeCell ref="IJB11:IJB12"/>
    <mergeCell ref="IJC11:IJC12"/>
    <mergeCell ref="IIR11:IIR12"/>
    <mergeCell ref="IIS11:IIS12"/>
    <mergeCell ref="IIT11:IIT12"/>
    <mergeCell ref="IIU11:IIU12"/>
    <mergeCell ref="IIV11:IIV12"/>
    <mergeCell ref="IIW11:IIW12"/>
    <mergeCell ref="IIL11:IIL12"/>
    <mergeCell ref="IIM11:IIM12"/>
    <mergeCell ref="IIN11:IIN12"/>
    <mergeCell ref="IIO11:IIO12"/>
    <mergeCell ref="IIP11:IIP12"/>
    <mergeCell ref="IIQ11:IIQ12"/>
    <mergeCell ref="IIF11:IIF12"/>
    <mergeCell ref="IIG11:IIG12"/>
    <mergeCell ref="IIH11:IIH12"/>
    <mergeCell ref="III11:III12"/>
    <mergeCell ref="IIJ11:IIJ12"/>
    <mergeCell ref="IIK11:IIK12"/>
    <mergeCell ref="IHZ11:IHZ12"/>
    <mergeCell ref="IIA11:IIA12"/>
    <mergeCell ref="IIB11:IIB12"/>
    <mergeCell ref="IIC11:IIC12"/>
    <mergeCell ref="IID11:IID12"/>
    <mergeCell ref="IIE11:IIE12"/>
    <mergeCell ref="IHT11:IHT12"/>
    <mergeCell ref="IHU11:IHU12"/>
    <mergeCell ref="IHV11:IHV12"/>
    <mergeCell ref="IHW11:IHW12"/>
    <mergeCell ref="IHX11:IHX12"/>
    <mergeCell ref="IHY11:IHY12"/>
    <mergeCell ref="IHN11:IHN12"/>
    <mergeCell ref="IHO11:IHO12"/>
    <mergeCell ref="IHP11:IHP12"/>
    <mergeCell ref="IHQ11:IHQ12"/>
    <mergeCell ref="IHR11:IHR12"/>
    <mergeCell ref="IHS11:IHS12"/>
    <mergeCell ref="IHH11:IHH12"/>
    <mergeCell ref="IHI11:IHI12"/>
    <mergeCell ref="IHJ11:IHJ12"/>
    <mergeCell ref="IHK11:IHK12"/>
    <mergeCell ref="IHL11:IHL12"/>
    <mergeCell ref="IHM11:IHM12"/>
    <mergeCell ref="IHB11:IHB12"/>
    <mergeCell ref="IHC11:IHC12"/>
    <mergeCell ref="IHD11:IHD12"/>
    <mergeCell ref="IHE11:IHE12"/>
    <mergeCell ref="IHF11:IHF12"/>
    <mergeCell ref="IHG11:IHG12"/>
    <mergeCell ref="IGV11:IGV12"/>
    <mergeCell ref="IGW11:IGW12"/>
    <mergeCell ref="IGX11:IGX12"/>
    <mergeCell ref="IGY11:IGY12"/>
    <mergeCell ref="IGZ11:IGZ12"/>
    <mergeCell ref="IHA11:IHA12"/>
    <mergeCell ref="IGP11:IGP12"/>
    <mergeCell ref="IGQ11:IGQ12"/>
    <mergeCell ref="IGR11:IGR12"/>
    <mergeCell ref="IGS11:IGS12"/>
    <mergeCell ref="IGT11:IGT12"/>
    <mergeCell ref="IGU11:IGU12"/>
    <mergeCell ref="IGJ11:IGJ12"/>
    <mergeCell ref="IGK11:IGK12"/>
    <mergeCell ref="IGL11:IGL12"/>
    <mergeCell ref="IGM11:IGM12"/>
    <mergeCell ref="IGN11:IGN12"/>
    <mergeCell ref="IGO11:IGO12"/>
    <mergeCell ref="IGD11:IGD12"/>
    <mergeCell ref="IGE11:IGE12"/>
    <mergeCell ref="IGF11:IGF12"/>
    <mergeCell ref="IGG11:IGG12"/>
    <mergeCell ref="IGH11:IGH12"/>
    <mergeCell ref="IGI11:IGI12"/>
    <mergeCell ref="IFX11:IFX12"/>
    <mergeCell ref="IFY11:IFY12"/>
    <mergeCell ref="IFZ11:IFZ12"/>
    <mergeCell ref="IGA11:IGA12"/>
    <mergeCell ref="IGB11:IGB12"/>
    <mergeCell ref="IGC11:IGC12"/>
    <mergeCell ref="IFR11:IFR12"/>
    <mergeCell ref="IFS11:IFS12"/>
    <mergeCell ref="IFT11:IFT12"/>
    <mergeCell ref="IFU11:IFU12"/>
    <mergeCell ref="IFV11:IFV12"/>
    <mergeCell ref="IFW11:IFW12"/>
    <mergeCell ref="IFL11:IFL12"/>
    <mergeCell ref="IFM11:IFM12"/>
    <mergeCell ref="IFN11:IFN12"/>
    <mergeCell ref="IFO11:IFO12"/>
    <mergeCell ref="IFP11:IFP12"/>
    <mergeCell ref="IFQ11:IFQ12"/>
    <mergeCell ref="IFF11:IFF12"/>
    <mergeCell ref="IFG11:IFG12"/>
    <mergeCell ref="IFH11:IFH12"/>
    <mergeCell ref="IFI11:IFI12"/>
    <mergeCell ref="IFJ11:IFJ12"/>
    <mergeCell ref="IFK11:IFK12"/>
    <mergeCell ref="IEZ11:IEZ12"/>
    <mergeCell ref="IFA11:IFA12"/>
    <mergeCell ref="IFB11:IFB12"/>
    <mergeCell ref="IFC11:IFC12"/>
    <mergeCell ref="IFD11:IFD12"/>
    <mergeCell ref="IFE11:IFE12"/>
    <mergeCell ref="IET11:IET12"/>
    <mergeCell ref="IEU11:IEU12"/>
    <mergeCell ref="IEV11:IEV12"/>
    <mergeCell ref="IEW11:IEW12"/>
    <mergeCell ref="IEX11:IEX12"/>
    <mergeCell ref="IEY11:IEY12"/>
    <mergeCell ref="IEN11:IEN12"/>
    <mergeCell ref="IEO11:IEO12"/>
    <mergeCell ref="IEP11:IEP12"/>
    <mergeCell ref="IEQ11:IEQ12"/>
    <mergeCell ref="IER11:IER12"/>
    <mergeCell ref="IES11:IES12"/>
    <mergeCell ref="IEH11:IEH12"/>
    <mergeCell ref="IEI11:IEI12"/>
    <mergeCell ref="IEJ11:IEJ12"/>
    <mergeCell ref="IEK11:IEK12"/>
    <mergeCell ref="IEL11:IEL12"/>
    <mergeCell ref="IEM11:IEM12"/>
    <mergeCell ref="IEB11:IEB12"/>
    <mergeCell ref="IEC11:IEC12"/>
    <mergeCell ref="IED11:IED12"/>
    <mergeCell ref="IEE11:IEE12"/>
    <mergeCell ref="IEF11:IEF12"/>
    <mergeCell ref="IEG11:IEG12"/>
    <mergeCell ref="IDV11:IDV12"/>
    <mergeCell ref="IDW11:IDW12"/>
    <mergeCell ref="IDX11:IDX12"/>
    <mergeCell ref="IDY11:IDY12"/>
    <mergeCell ref="IDZ11:IDZ12"/>
    <mergeCell ref="IEA11:IEA12"/>
    <mergeCell ref="IDP11:IDP12"/>
    <mergeCell ref="IDQ11:IDQ12"/>
    <mergeCell ref="IDR11:IDR12"/>
    <mergeCell ref="IDS11:IDS12"/>
    <mergeCell ref="IDT11:IDT12"/>
    <mergeCell ref="IDU11:IDU12"/>
    <mergeCell ref="IDJ11:IDJ12"/>
    <mergeCell ref="IDK11:IDK12"/>
    <mergeCell ref="IDL11:IDL12"/>
    <mergeCell ref="IDM11:IDM12"/>
    <mergeCell ref="IDN11:IDN12"/>
    <mergeCell ref="IDO11:IDO12"/>
    <mergeCell ref="IDD11:IDD12"/>
    <mergeCell ref="IDE11:IDE12"/>
    <mergeCell ref="IDF11:IDF12"/>
    <mergeCell ref="IDG11:IDG12"/>
    <mergeCell ref="IDH11:IDH12"/>
    <mergeCell ref="IDI11:IDI12"/>
    <mergeCell ref="ICX11:ICX12"/>
    <mergeCell ref="ICY11:ICY12"/>
    <mergeCell ref="ICZ11:ICZ12"/>
    <mergeCell ref="IDA11:IDA12"/>
    <mergeCell ref="IDB11:IDB12"/>
    <mergeCell ref="IDC11:IDC12"/>
    <mergeCell ref="ICR11:ICR12"/>
    <mergeCell ref="ICS11:ICS12"/>
    <mergeCell ref="ICT11:ICT12"/>
    <mergeCell ref="ICU11:ICU12"/>
    <mergeCell ref="ICV11:ICV12"/>
    <mergeCell ref="ICW11:ICW12"/>
    <mergeCell ref="ICL11:ICL12"/>
    <mergeCell ref="ICM11:ICM12"/>
    <mergeCell ref="ICN11:ICN12"/>
    <mergeCell ref="ICO11:ICO12"/>
    <mergeCell ref="ICP11:ICP12"/>
    <mergeCell ref="ICQ11:ICQ12"/>
    <mergeCell ref="ICF11:ICF12"/>
    <mergeCell ref="ICG11:ICG12"/>
    <mergeCell ref="ICH11:ICH12"/>
    <mergeCell ref="ICI11:ICI12"/>
    <mergeCell ref="ICJ11:ICJ12"/>
    <mergeCell ref="ICK11:ICK12"/>
    <mergeCell ref="IBZ11:IBZ12"/>
    <mergeCell ref="ICA11:ICA12"/>
    <mergeCell ref="ICB11:ICB12"/>
    <mergeCell ref="ICC11:ICC12"/>
    <mergeCell ref="ICD11:ICD12"/>
    <mergeCell ref="ICE11:ICE12"/>
    <mergeCell ref="IBT11:IBT12"/>
    <mergeCell ref="IBU11:IBU12"/>
    <mergeCell ref="IBV11:IBV12"/>
    <mergeCell ref="IBW11:IBW12"/>
    <mergeCell ref="IBX11:IBX12"/>
    <mergeCell ref="IBY11:IBY12"/>
    <mergeCell ref="IBN11:IBN12"/>
    <mergeCell ref="IBO11:IBO12"/>
    <mergeCell ref="IBP11:IBP12"/>
    <mergeCell ref="IBQ11:IBQ12"/>
    <mergeCell ref="IBR11:IBR12"/>
    <mergeCell ref="IBS11:IBS12"/>
    <mergeCell ref="IBH11:IBH12"/>
    <mergeCell ref="IBI11:IBI12"/>
    <mergeCell ref="IBJ11:IBJ12"/>
    <mergeCell ref="IBK11:IBK12"/>
    <mergeCell ref="IBL11:IBL12"/>
    <mergeCell ref="IBM11:IBM12"/>
    <mergeCell ref="IBB11:IBB12"/>
    <mergeCell ref="IBC11:IBC12"/>
    <mergeCell ref="IBD11:IBD12"/>
    <mergeCell ref="IBE11:IBE12"/>
    <mergeCell ref="IBF11:IBF12"/>
    <mergeCell ref="IBG11:IBG12"/>
    <mergeCell ref="IAV11:IAV12"/>
    <mergeCell ref="IAW11:IAW12"/>
    <mergeCell ref="IAX11:IAX12"/>
    <mergeCell ref="IAY11:IAY12"/>
    <mergeCell ref="IAZ11:IAZ12"/>
    <mergeCell ref="IBA11:IBA12"/>
    <mergeCell ref="IAP11:IAP12"/>
    <mergeCell ref="IAQ11:IAQ12"/>
    <mergeCell ref="IAR11:IAR12"/>
    <mergeCell ref="IAS11:IAS12"/>
    <mergeCell ref="IAT11:IAT12"/>
    <mergeCell ref="IAU11:IAU12"/>
    <mergeCell ref="IAJ11:IAJ12"/>
    <mergeCell ref="IAK11:IAK12"/>
    <mergeCell ref="IAL11:IAL12"/>
    <mergeCell ref="IAM11:IAM12"/>
    <mergeCell ref="IAN11:IAN12"/>
    <mergeCell ref="IAO11:IAO12"/>
    <mergeCell ref="IAD11:IAD12"/>
    <mergeCell ref="IAE11:IAE12"/>
    <mergeCell ref="IAF11:IAF12"/>
    <mergeCell ref="IAG11:IAG12"/>
    <mergeCell ref="IAH11:IAH12"/>
    <mergeCell ref="IAI11:IAI12"/>
    <mergeCell ref="HZX11:HZX12"/>
    <mergeCell ref="HZY11:HZY12"/>
    <mergeCell ref="HZZ11:HZZ12"/>
    <mergeCell ref="IAA11:IAA12"/>
    <mergeCell ref="IAB11:IAB12"/>
    <mergeCell ref="IAC11:IAC12"/>
    <mergeCell ref="HZR11:HZR12"/>
    <mergeCell ref="HZS11:HZS12"/>
    <mergeCell ref="HZT11:HZT12"/>
    <mergeCell ref="HZU11:HZU12"/>
    <mergeCell ref="HZV11:HZV12"/>
    <mergeCell ref="HZW11:HZW12"/>
    <mergeCell ref="HZL11:HZL12"/>
    <mergeCell ref="HZM11:HZM12"/>
    <mergeCell ref="HZN11:HZN12"/>
    <mergeCell ref="HZO11:HZO12"/>
    <mergeCell ref="HZP11:HZP12"/>
    <mergeCell ref="HZQ11:HZQ12"/>
    <mergeCell ref="HZF11:HZF12"/>
    <mergeCell ref="HZG11:HZG12"/>
    <mergeCell ref="HZH11:HZH12"/>
    <mergeCell ref="HZI11:HZI12"/>
    <mergeCell ref="HZJ11:HZJ12"/>
    <mergeCell ref="HZK11:HZK12"/>
    <mergeCell ref="HYZ11:HYZ12"/>
    <mergeCell ref="HZA11:HZA12"/>
    <mergeCell ref="HZB11:HZB12"/>
    <mergeCell ref="HZC11:HZC12"/>
    <mergeCell ref="HZD11:HZD12"/>
    <mergeCell ref="HZE11:HZE12"/>
    <mergeCell ref="HYT11:HYT12"/>
    <mergeCell ref="HYU11:HYU12"/>
    <mergeCell ref="HYV11:HYV12"/>
    <mergeCell ref="HYW11:HYW12"/>
    <mergeCell ref="HYX11:HYX12"/>
    <mergeCell ref="HYY11:HYY12"/>
    <mergeCell ref="HYN11:HYN12"/>
    <mergeCell ref="HYO11:HYO12"/>
    <mergeCell ref="HYP11:HYP12"/>
    <mergeCell ref="HYQ11:HYQ12"/>
    <mergeCell ref="HYR11:HYR12"/>
    <mergeCell ref="HYS11:HYS12"/>
    <mergeCell ref="HYH11:HYH12"/>
    <mergeCell ref="HYI11:HYI12"/>
    <mergeCell ref="HYJ11:HYJ12"/>
    <mergeCell ref="HYK11:HYK12"/>
    <mergeCell ref="HYL11:HYL12"/>
    <mergeCell ref="HYM11:HYM12"/>
    <mergeCell ref="HYB11:HYB12"/>
    <mergeCell ref="HYC11:HYC12"/>
    <mergeCell ref="HYD11:HYD12"/>
    <mergeCell ref="HYE11:HYE12"/>
    <mergeCell ref="HYF11:HYF12"/>
    <mergeCell ref="HYG11:HYG12"/>
    <mergeCell ref="HXV11:HXV12"/>
    <mergeCell ref="HXW11:HXW12"/>
    <mergeCell ref="HXX11:HXX12"/>
    <mergeCell ref="HXY11:HXY12"/>
    <mergeCell ref="HXZ11:HXZ12"/>
    <mergeCell ref="HYA11:HYA12"/>
    <mergeCell ref="HXP11:HXP12"/>
    <mergeCell ref="HXQ11:HXQ12"/>
    <mergeCell ref="HXR11:HXR12"/>
    <mergeCell ref="HXS11:HXS12"/>
    <mergeCell ref="HXT11:HXT12"/>
    <mergeCell ref="HXU11:HXU12"/>
    <mergeCell ref="HXJ11:HXJ12"/>
    <mergeCell ref="HXK11:HXK12"/>
    <mergeCell ref="HXL11:HXL12"/>
    <mergeCell ref="HXM11:HXM12"/>
    <mergeCell ref="HXN11:HXN12"/>
    <mergeCell ref="HXO11:HXO12"/>
    <mergeCell ref="HXD11:HXD12"/>
    <mergeCell ref="HXE11:HXE12"/>
    <mergeCell ref="HXF11:HXF12"/>
    <mergeCell ref="HXG11:HXG12"/>
    <mergeCell ref="HXH11:HXH12"/>
    <mergeCell ref="HXI11:HXI12"/>
    <mergeCell ref="HWX11:HWX12"/>
    <mergeCell ref="HWY11:HWY12"/>
    <mergeCell ref="HWZ11:HWZ12"/>
    <mergeCell ref="HXA11:HXA12"/>
    <mergeCell ref="HXB11:HXB12"/>
    <mergeCell ref="HXC11:HXC12"/>
    <mergeCell ref="HWR11:HWR12"/>
    <mergeCell ref="HWS11:HWS12"/>
    <mergeCell ref="HWT11:HWT12"/>
    <mergeCell ref="HWU11:HWU12"/>
    <mergeCell ref="HWV11:HWV12"/>
    <mergeCell ref="HWW11:HWW12"/>
    <mergeCell ref="HWL11:HWL12"/>
    <mergeCell ref="HWM11:HWM12"/>
    <mergeCell ref="HWN11:HWN12"/>
    <mergeCell ref="HWO11:HWO12"/>
    <mergeCell ref="HWP11:HWP12"/>
    <mergeCell ref="HWQ11:HWQ12"/>
    <mergeCell ref="HWF11:HWF12"/>
    <mergeCell ref="HWG11:HWG12"/>
    <mergeCell ref="HWH11:HWH12"/>
    <mergeCell ref="HWI11:HWI12"/>
    <mergeCell ref="HWJ11:HWJ12"/>
    <mergeCell ref="HWK11:HWK12"/>
    <mergeCell ref="HVZ11:HVZ12"/>
    <mergeCell ref="HWA11:HWA12"/>
    <mergeCell ref="HWB11:HWB12"/>
    <mergeCell ref="HWC11:HWC12"/>
    <mergeCell ref="HWD11:HWD12"/>
    <mergeCell ref="HWE11:HWE12"/>
    <mergeCell ref="HVT11:HVT12"/>
    <mergeCell ref="HVU11:HVU12"/>
    <mergeCell ref="HVV11:HVV12"/>
    <mergeCell ref="HVW11:HVW12"/>
    <mergeCell ref="HVX11:HVX12"/>
    <mergeCell ref="HVY11:HVY12"/>
    <mergeCell ref="HVN11:HVN12"/>
    <mergeCell ref="HVO11:HVO12"/>
    <mergeCell ref="HVP11:HVP12"/>
    <mergeCell ref="HVQ11:HVQ12"/>
    <mergeCell ref="HVR11:HVR12"/>
    <mergeCell ref="HVS11:HVS12"/>
    <mergeCell ref="HVH11:HVH12"/>
    <mergeCell ref="HVI11:HVI12"/>
    <mergeCell ref="HVJ11:HVJ12"/>
    <mergeCell ref="HVK11:HVK12"/>
    <mergeCell ref="HVL11:HVL12"/>
    <mergeCell ref="HVM11:HVM12"/>
    <mergeCell ref="HVB11:HVB12"/>
    <mergeCell ref="HVC11:HVC12"/>
    <mergeCell ref="HVD11:HVD12"/>
    <mergeCell ref="HVE11:HVE12"/>
    <mergeCell ref="HVF11:HVF12"/>
    <mergeCell ref="HVG11:HVG12"/>
    <mergeCell ref="HUV11:HUV12"/>
    <mergeCell ref="HUW11:HUW12"/>
    <mergeCell ref="HUX11:HUX12"/>
    <mergeCell ref="HUY11:HUY12"/>
    <mergeCell ref="HUZ11:HUZ12"/>
    <mergeCell ref="HVA11:HVA12"/>
    <mergeCell ref="HUP11:HUP12"/>
    <mergeCell ref="HUQ11:HUQ12"/>
    <mergeCell ref="HUR11:HUR12"/>
    <mergeCell ref="HUS11:HUS12"/>
    <mergeCell ref="HUT11:HUT12"/>
    <mergeCell ref="HUU11:HUU12"/>
    <mergeCell ref="HUJ11:HUJ12"/>
    <mergeCell ref="HUK11:HUK12"/>
    <mergeCell ref="HUL11:HUL12"/>
    <mergeCell ref="HUM11:HUM12"/>
    <mergeCell ref="HUN11:HUN12"/>
    <mergeCell ref="HUO11:HUO12"/>
    <mergeCell ref="HUD11:HUD12"/>
    <mergeCell ref="HUE11:HUE12"/>
    <mergeCell ref="HUF11:HUF12"/>
    <mergeCell ref="HUG11:HUG12"/>
    <mergeCell ref="HUH11:HUH12"/>
    <mergeCell ref="HUI11:HUI12"/>
    <mergeCell ref="HTX11:HTX12"/>
    <mergeCell ref="HTY11:HTY12"/>
    <mergeCell ref="HTZ11:HTZ12"/>
    <mergeCell ref="HUA11:HUA12"/>
    <mergeCell ref="HUB11:HUB12"/>
    <mergeCell ref="HUC11:HUC12"/>
    <mergeCell ref="HTR11:HTR12"/>
    <mergeCell ref="HTS11:HTS12"/>
    <mergeCell ref="HTT11:HTT12"/>
    <mergeCell ref="HTU11:HTU12"/>
    <mergeCell ref="HTV11:HTV12"/>
    <mergeCell ref="HTW11:HTW12"/>
    <mergeCell ref="HTL11:HTL12"/>
    <mergeCell ref="HTM11:HTM12"/>
    <mergeCell ref="HTN11:HTN12"/>
    <mergeCell ref="HTO11:HTO12"/>
    <mergeCell ref="HTP11:HTP12"/>
    <mergeCell ref="HTQ11:HTQ12"/>
    <mergeCell ref="HTF11:HTF12"/>
    <mergeCell ref="HTG11:HTG12"/>
    <mergeCell ref="HTH11:HTH12"/>
    <mergeCell ref="HTI11:HTI12"/>
    <mergeCell ref="HTJ11:HTJ12"/>
    <mergeCell ref="HTK11:HTK12"/>
    <mergeCell ref="HSZ11:HSZ12"/>
    <mergeCell ref="HTA11:HTA12"/>
    <mergeCell ref="HTB11:HTB12"/>
    <mergeCell ref="HTC11:HTC12"/>
    <mergeCell ref="HTD11:HTD12"/>
    <mergeCell ref="HTE11:HTE12"/>
    <mergeCell ref="HST11:HST12"/>
    <mergeCell ref="HSU11:HSU12"/>
    <mergeCell ref="HSV11:HSV12"/>
    <mergeCell ref="HSW11:HSW12"/>
    <mergeCell ref="HSX11:HSX12"/>
    <mergeCell ref="HSY11:HSY12"/>
    <mergeCell ref="HSN11:HSN12"/>
    <mergeCell ref="HSO11:HSO12"/>
    <mergeCell ref="HSP11:HSP12"/>
    <mergeCell ref="HSQ11:HSQ12"/>
    <mergeCell ref="HSR11:HSR12"/>
    <mergeCell ref="HSS11:HSS12"/>
    <mergeCell ref="HSH11:HSH12"/>
    <mergeCell ref="HSI11:HSI12"/>
    <mergeCell ref="HSJ11:HSJ12"/>
    <mergeCell ref="HSK11:HSK12"/>
    <mergeCell ref="HSL11:HSL12"/>
    <mergeCell ref="HSM11:HSM12"/>
    <mergeCell ref="HSB11:HSB12"/>
    <mergeCell ref="HSC11:HSC12"/>
    <mergeCell ref="HSD11:HSD12"/>
    <mergeCell ref="HSE11:HSE12"/>
    <mergeCell ref="HSF11:HSF12"/>
    <mergeCell ref="HSG11:HSG12"/>
    <mergeCell ref="HRV11:HRV12"/>
    <mergeCell ref="HRW11:HRW12"/>
    <mergeCell ref="HRX11:HRX12"/>
    <mergeCell ref="HRY11:HRY12"/>
    <mergeCell ref="HRZ11:HRZ12"/>
    <mergeCell ref="HSA11:HSA12"/>
    <mergeCell ref="HRP11:HRP12"/>
    <mergeCell ref="HRQ11:HRQ12"/>
    <mergeCell ref="HRR11:HRR12"/>
    <mergeCell ref="HRS11:HRS12"/>
    <mergeCell ref="HRT11:HRT12"/>
    <mergeCell ref="HRU11:HRU12"/>
    <mergeCell ref="HRJ11:HRJ12"/>
    <mergeCell ref="HRK11:HRK12"/>
    <mergeCell ref="HRL11:HRL12"/>
    <mergeCell ref="HRM11:HRM12"/>
    <mergeCell ref="HRN11:HRN12"/>
    <mergeCell ref="HRO11:HRO12"/>
    <mergeCell ref="HRD11:HRD12"/>
    <mergeCell ref="HRE11:HRE12"/>
    <mergeCell ref="HRF11:HRF12"/>
    <mergeCell ref="HRG11:HRG12"/>
    <mergeCell ref="HRH11:HRH12"/>
    <mergeCell ref="HRI11:HRI12"/>
    <mergeCell ref="HQX11:HQX12"/>
    <mergeCell ref="HQY11:HQY12"/>
    <mergeCell ref="HQZ11:HQZ12"/>
    <mergeCell ref="HRA11:HRA12"/>
    <mergeCell ref="HRB11:HRB12"/>
    <mergeCell ref="HRC11:HRC12"/>
    <mergeCell ref="HQR11:HQR12"/>
    <mergeCell ref="HQS11:HQS12"/>
    <mergeCell ref="HQT11:HQT12"/>
    <mergeCell ref="HQU11:HQU12"/>
    <mergeCell ref="HQV11:HQV12"/>
    <mergeCell ref="HQW11:HQW12"/>
    <mergeCell ref="HQL11:HQL12"/>
    <mergeCell ref="HQM11:HQM12"/>
    <mergeCell ref="HQN11:HQN12"/>
    <mergeCell ref="HQO11:HQO12"/>
    <mergeCell ref="HQP11:HQP12"/>
    <mergeCell ref="HQQ11:HQQ12"/>
    <mergeCell ref="HQF11:HQF12"/>
    <mergeCell ref="HQG11:HQG12"/>
    <mergeCell ref="HQH11:HQH12"/>
    <mergeCell ref="HQI11:HQI12"/>
    <mergeCell ref="HQJ11:HQJ12"/>
    <mergeCell ref="HQK11:HQK12"/>
    <mergeCell ref="HPZ11:HPZ12"/>
    <mergeCell ref="HQA11:HQA12"/>
    <mergeCell ref="HQB11:HQB12"/>
    <mergeCell ref="HQC11:HQC12"/>
    <mergeCell ref="HQD11:HQD12"/>
    <mergeCell ref="HQE11:HQE12"/>
    <mergeCell ref="HPT11:HPT12"/>
    <mergeCell ref="HPU11:HPU12"/>
    <mergeCell ref="HPV11:HPV12"/>
    <mergeCell ref="HPW11:HPW12"/>
    <mergeCell ref="HPX11:HPX12"/>
    <mergeCell ref="HPY11:HPY12"/>
    <mergeCell ref="HPN11:HPN12"/>
    <mergeCell ref="HPO11:HPO12"/>
    <mergeCell ref="HPP11:HPP12"/>
    <mergeCell ref="HPQ11:HPQ12"/>
    <mergeCell ref="HPR11:HPR12"/>
    <mergeCell ref="HPS11:HPS12"/>
    <mergeCell ref="HPH11:HPH12"/>
    <mergeCell ref="HPI11:HPI12"/>
    <mergeCell ref="HPJ11:HPJ12"/>
    <mergeCell ref="HPK11:HPK12"/>
    <mergeCell ref="HPL11:HPL12"/>
    <mergeCell ref="HPM11:HPM12"/>
    <mergeCell ref="HPB11:HPB12"/>
    <mergeCell ref="HPC11:HPC12"/>
    <mergeCell ref="HPD11:HPD12"/>
    <mergeCell ref="HPE11:HPE12"/>
    <mergeCell ref="HPF11:HPF12"/>
    <mergeCell ref="HPG11:HPG12"/>
    <mergeCell ref="HOV11:HOV12"/>
    <mergeCell ref="HOW11:HOW12"/>
    <mergeCell ref="HOX11:HOX12"/>
    <mergeCell ref="HOY11:HOY12"/>
    <mergeCell ref="HOZ11:HOZ12"/>
    <mergeCell ref="HPA11:HPA12"/>
    <mergeCell ref="HOP11:HOP12"/>
    <mergeCell ref="HOQ11:HOQ12"/>
    <mergeCell ref="HOR11:HOR12"/>
    <mergeCell ref="HOS11:HOS12"/>
    <mergeCell ref="HOT11:HOT12"/>
    <mergeCell ref="HOU11:HOU12"/>
    <mergeCell ref="HOJ11:HOJ12"/>
    <mergeCell ref="HOK11:HOK12"/>
    <mergeCell ref="HOL11:HOL12"/>
    <mergeCell ref="HOM11:HOM12"/>
    <mergeCell ref="HON11:HON12"/>
    <mergeCell ref="HOO11:HOO12"/>
    <mergeCell ref="HOD11:HOD12"/>
    <mergeCell ref="HOE11:HOE12"/>
    <mergeCell ref="HOF11:HOF12"/>
    <mergeCell ref="HOG11:HOG12"/>
    <mergeCell ref="HOH11:HOH12"/>
    <mergeCell ref="HOI11:HOI12"/>
    <mergeCell ref="HNX11:HNX12"/>
    <mergeCell ref="HNY11:HNY12"/>
    <mergeCell ref="HNZ11:HNZ12"/>
    <mergeCell ref="HOA11:HOA12"/>
    <mergeCell ref="HOB11:HOB12"/>
    <mergeCell ref="HOC11:HOC12"/>
    <mergeCell ref="HNR11:HNR12"/>
    <mergeCell ref="HNS11:HNS12"/>
    <mergeCell ref="HNT11:HNT12"/>
    <mergeCell ref="HNU11:HNU12"/>
    <mergeCell ref="HNV11:HNV12"/>
    <mergeCell ref="HNW11:HNW12"/>
    <mergeCell ref="HNL11:HNL12"/>
    <mergeCell ref="HNM11:HNM12"/>
    <mergeCell ref="HNN11:HNN12"/>
    <mergeCell ref="HNO11:HNO12"/>
    <mergeCell ref="HNP11:HNP12"/>
    <mergeCell ref="HNQ11:HNQ12"/>
    <mergeCell ref="HNF11:HNF12"/>
    <mergeCell ref="HNG11:HNG12"/>
    <mergeCell ref="HNH11:HNH12"/>
    <mergeCell ref="HNI11:HNI12"/>
    <mergeCell ref="HNJ11:HNJ12"/>
    <mergeCell ref="HNK11:HNK12"/>
    <mergeCell ref="HMZ11:HMZ12"/>
    <mergeCell ref="HNA11:HNA12"/>
    <mergeCell ref="HNB11:HNB12"/>
    <mergeCell ref="HNC11:HNC12"/>
    <mergeCell ref="HND11:HND12"/>
    <mergeCell ref="HNE11:HNE12"/>
    <mergeCell ref="HMT11:HMT12"/>
    <mergeCell ref="HMU11:HMU12"/>
    <mergeCell ref="HMV11:HMV12"/>
    <mergeCell ref="HMW11:HMW12"/>
    <mergeCell ref="HMX11:HMX12"/>
    <mergeCell ref="HMY11:HMY12"/>
    <mergeCell ref="HMN11:HMN12"/>
    <mergeCell ref="HMO11:HMO12"/>
    <mergeCell ref="HMP11:HMP12"/>
    <mergeCell ref="HMQ11:HMQ12"/>
    <mergeCell ref="HMR11:HMR12"/>
    <mergeCell ref="HMS11:HMS12"/>
    <mergeCell ref="HMH11:HMH12"/>
    <mergeCell ref="HMI11:HMI12"/>
    <mergeCell ref="HMJ11:HMJ12"/>
    <mergeCell ref="HMK11:HMK12"/>
    <mergeCell ref="HML11:HML12"/>
    <mergeCell ref="HMM11:HMM12"/>
    <mergeCell ref="HMB11:HMB12"/>
    <mergeCell ref="HMC11:HMC12"/>
    <mergeCell ref="HMD11:HMD12"/>
    <mergeCell ref="HME11:HME12"/>
    <mergeCell ref="HMF11:HMF12"/>
    <mergeCell ref="HMG11:HMG12"/>
    <mergeCell ref="HLV11:HLV12"/>
    <mergeCell ref="HLW11:HLW12"/>
    <mergeCell ref="HLX11:HLX12"/>
    <mergeCell ref="HLY11:HLY12"/>
    <mergeCell ref="HLZ11:HLZ12"/>
    <mergeCell ref="HMA11:HMA12"/>
    <mergeCell ref="HLP11:HLP12"/>
    <mergeCell ref="HLQ11:HLQ12"/>
    <mergeCell ref="HLR11:HLR12"/>
    <mergeCell ref="HLS11:HLS12"/>
    <mergeCell ref="HLT11:HLT12"/>
    <mergeCell ref="HLU11:HLU12"/>
    <mergeCell ref="HLJ11:HLJ12"/>
    <mergeCell ref="HLK11:HLK12"/>
    <mergeCell ref="HLL11:HLL12"/>
    <mergeCell ref="HLM11:HLM12"/>
    <mergeCell ref="HLN11:HLN12"/>
    <mergeCell ref="HLO11:HLO12"/>
    <mergeCell ref="HLD11:HLD12"/>
    <mergeCell ref="HLE11:HLE12"/>
    <mergeCell ref="HLF11:HLF12"/>
    <mergeCell ref="HLG11:HLG12"/>
    <mergeCell ref="HLH11:HLH12"/>
    <mergeCell ref="HLI11:HLI12"/>
    <mergeCell ref="HKX11:HKX12"/>
    <mergeCell ref="HKY11:HKY12"/>
    <mergeCell ref="HKZ11:HKZ12"/>
    <mergeCell ref="HLA11:HLA12"/>
    <mergeCell ref="HLB11:HLB12"/>
    <mergeCell ref="HLC11:HLC12"/>
    <mergeCell ref="HKR11:HKR12"/>
    <mergeCell ref="HKS11:HKS12"/>
    <mergeCell ref="HKT11:HKT12"/>
    <mergeCell ref="HKU11:HKU12"/>
    <mergeCell ref="HKV11:HKV12"/>
    <mergeCell ref="HKW11:HKW12"/>
    <mergeCell ref="HKL11:HKL12"/>
    <mergeCell ref="HKM11:HKM12"/>
    <mergeCell ref="HKN11:HKN12"/>
    <mergeCell ref="HKO11:HKO12"/>
    <mergeCell ref="HKP11:HKP12"/>
    <mergeCell ref="HKQ11:HKQ12"/>
    <mergeCell ref="HKF11:HKF12"/>
    <mergeCell ref="HKG11:HKG12"/>
    <mergeCell ref="HKH11:HKH12"/>
    <mergeCell ref="HKI11:HKI12"/>
    <mergeCell ref="HKJ11:HKJ12"/>
    <mergeCell ref="HKK11:HKK12"/>
    <mergeCell ref="HJZ11:HJZ12"/>
    <mergeCell ref="HKA11:HKA12"/>
    <mergeCell ref="HKB11:HKB12"/>
    <mergeCell ref="HKC11:HKC12"/>
    <mergeCell ref="HKD11:HKD12"/>
    <mergeCell ref="HKE11:HKE12"/>
    <mergeCell ref="HJT11:HJT12"/>
    <mergeCell ref="HJU11:HJU12"/>
    <mergeCell ref="HJV11:HJV12"/>
    <mergeCell ref="HJW11:HJW12"/>
    <mergeCell ref="HJX11:HJX12"/>
    <mergeCell ref="HJY11:HJY12"/>
    <mergeCell ref="HJN11:HJN12"/>
    <mergeCell ref="HJO11:HJO12"/>
    <mergeCell ref="HJP11:HJP12"/>
    <mergeCell ref="HJQ11:HJQ12"/>
    <mergeCell ref="HJR11:HJR12"/>
    <mergeCell ref="HJS11:HJS12"/>
    <mergeCell ref="HJH11:HJH12"/>
    <mergeCell ref="HJI11:HJI12"/>
    <mergeCell ref="HJJ11:HJJ12"/>
    <mergeCell ref="HJK11:HJK12"/>
    <mergeCell ref="HJL11:HJL12"/>
    <mergeCell ref="HJM11:HJM12"/>
    <mergeCell ref="HJB11:HJB12"/>
    <mergeCell ref="HJC11:HJC12"/>
    <mergeCell ref="HJD11:HJD12"/>
    <mergeCell ref="HJE11:HJE12"/>
    <mergeCell ref="HJF11:HJF12"/>
    <mergeCell ref="HJG11:HJG12"/>
    <mergeCell ref="HIV11:HIV12"/>
    <mergeCell ref="HIW11:HIW12"/>
    <mergeCell ref="HIX11:HIX12"/>
    <mergeCell ref="HIY11:HIY12"/>
    <mergeCell ref="HIZ11:HIZ12"/>
    <mergeCell ref="HJA11:HJA12"/>
    <mergeCell ref="HIP11:HIP12"/>
    <mergeCell ref="HIQ11:HIQ12"/>
    <mergeCell ref="HIR11:HIR12"/>
    <mergeCell ref="HIS11:HIS12"/>
    <mergeCell ref="HIT11:HIT12"/>
    <mergeCell ref="HIU11:HIU12"/>
    <mergeCell ref="HIJ11:HIJ12"/>
    <mergeCell ref="HIK11:HIK12"/>
    <mergeCell ref="HIL11:HIL12"/>
    <mergeCell ref="HIM11:HIM12"/>
    <mergeCell ref="HIN11:HIN12"/>
    <mergeCell ref="HIO11:HIO12"/>
    <mergeCell ref="HID11:HID12"/>
    <mergeCell ref="HIE11:HIE12"/>
    <mergeCell ref="HIF11:HIF12"/>
    <mergeCell ref="HIG11:HIG12"/>
    <mergeCell ref="HIH11:HIH12"/>
    <mergeCell ref="HII11:HII12"/>
    <mergeCell ref="HHX11:HHX12"/>
    <mergeCell ref="HHY11:HHY12"/>
    <mergeCell ref="HHZ11:HHZ12"/>
    <mergeCell ref="HIA11:HIA12"/>
    <mergeCell ref="HIB11:HIB12"/>
    <mergeCell ref="HIC11:HIC12"/>
    <mergeCell ref="HHR11:HHR12"/>
    <mergeCell ref="HHS11:HHS12"/>
    <mergeCell ref="HHT11:HHT12"/>
    <mergeCell ref="HHU11:HHU12"/>
    <mergeCell ref="HHV11:HHV12"/>
    <mergeCell ref="HHW11:HHW12"/>
    <mergeCell ref="HHL11:HHL12"/>
    <mergeCell ref="HHM11:HHM12"/>
    <mergeCell ref="HHN11:HHN12"/>
    <mergeCell ref="HHO11:HHO12"/>
    <mergeCell ref="HHP11:HHP12"/>
    <mergeCell ref="HHQ11:HHQ12"/>
    <mergeCell ref="HHF11:HHF12"/>
    <mergeCell ref="HHG11:HHG12"/>
    <mergeCell ref="HHH11:HHH12"/>
    <mergeCell ref="HHI11:HHI12"/>
    <mergeCell ref="HHJ11:HHJ12"/>
    <mergeCell ref="HHK11:HHK12"/>
    <mergeCell ref="HGZ11:HGZ12"/>
    <mergeCell ref="HHA11:HHA12"/>
    <mergeCell ref="HHB11:HHB12"/>
    <mergeCell ref="HHC11:HHC12"/>
    <mergeCell ref="HHD11:HHD12"/>
    <mergeCell ref="HHE11:HHE12"/>
    <mergeCell ref="HGT11:HGT12"/>
    <mergeCell ref="HGU11:HGU12"/>
    <mergeCell ref="HGV11:HGV12"/>
    <mergeCell ref="HGW11:HGW12"/>
    <mergeCell ref="HGX11:HGX12"/>
    <mergeCell ref="HGY11:HGY12"/>
    <mergeCell ref="HGN11:HGN12"/>
    <mergeCell ref="HGO11:HGO12"/>
    <mergeCell ref="HGP11:HGP12"/>
    <mergeCell ref="HGQ11:HGQ12"/>
    <mergeCell ref="HGR11:HGR12"/>
    <mergeCell ref="HGS11:HGS12"/>
    <mergeCell ref="HGH11:HGH12"/>
    <mergeCell ref="HGI11:HGI12"/>
    <mergeCell ref="HGJ11:HGJ12"/>
    <mergeCell ref="HGK11:HGK12"/>
    <mergeCell ref="HGL11:HGL12"/>
    <mergeCell ref="HGM11:HGM12"/>
    <mergeCell ref="HGB11:HGB12"/>
    <mergeCell ref="HGC11:HGC12"/>
    <mergeCell ref="HGD11:HGD12"/>
    <mergeCell ref="HGE11:HGE12"/>
    <mergeCell ref="HGF11:HGF12"/>
    <mergeCell ref="HGG11:HGG12"/>
    <mergeCell ref="HFV11:HFV12"/>
    <mergeCell ref="HFW11:HFW12"/>
    <mergeCell ref="HFX11:HFX12"/>
    <mergeCell ref="HFY11:HFY12"/>
    <mergeCell ref="HFZ11:HFZ12"/>
    <mergeCell ref="HGA11:HGA12"/>
    <mergeCell ref="HFP11:HFP12"/>
    <mergeCell ref="HFQ11:HFQ12"/>
    <mergeCell ref="HFR11:HFR12"/>
    <mergeCell ref="HFS11:HFS12"/>
    <mergeCell ref="HFT11:HFT12"/>
    <mergeCell ref="HFU11:HFU12"/>
    <mergeCell ref="HFJ11:HFJ12"/>
    <mergeCell ref="HFK11:HFK12"/>
    <mergeCell ref="HFL11:HFL12"/>
    <mergeCell ref="HFM11:HFM12"/>
    <mergeCell ref="HFN11:HFN12"/>
    <mergeCell ref="HFO11:HFO12"/>
    <mergeCell ref="HFD11:HFD12"/>
    <mergeCell ref="HFE11:HFE12"/>
    <mergeCell ref="HFF11:HFF12"/>
    <mergeCell ref="HFG11:HFG12"/>
    <mergeCell ref="HFH11:HFH12"/>
    <mergeCell ref="HFI11:HFI12"/>
    <mergeCell ref="HEX11:HEX12"/>
    <mergeCell ref="HEY11:HEY12"/>
    <mergeCell ref="HEZ11:HEZ12"/>
    <mergeCell ref="HFA11:HFA12"/>
    <mergeCell ref="HFB11:HFB12"/>
    <mergeCell ref="HFC11:HFC12"/>
    <mergeCell ref="HER11:HER12"/>
    <mergeCell ref="HES11:HES12"/>
    <mergeCell ref="HET11:HET12"/>
    <mergeCell ref="HEU11:HEU12"/>
    <mergeCell ref="HEV11:HEV12"/>
    <mergeCell ref="HEW11:HEW12"/>
    <mergeCell ref="HEL11:HEL12"/>
    <mergeCell ref="HEM11:HEM12"/>
    <mergeCell ref="HEN11:HEN12"/>
    <mergeCell ref="HEO11:HEO12"/>
    <mergeCell ref="HEP11:HEP12"/>
    <mergeCell ref="HEQ11:HEQ12"/>
    <mergeCell ref="HEF11:HEF12"/>
    <mergeCell ref="HEG11:HEG12"/>
    <mergeCell ref="HEH11:HEH12"/>
    <mergeCell ref="HEI11:HEI12"/>
    <mergeCell ref="HEJ11:HEJ12"/>
    <mergeCell ref="HEK11:HEK12"/>
    <mergeCell ref="HDZ11:HDZ12"/>
    <mergeCell ref="HEA11:HEA12"/>
    <mergeCell ref="HEB11:HEB12"/>
    <mergeCell ref="HEC11:HEC12"/>
    <mergeCell ref="HED11:HED12"/>
    <mergeCell ref="HEE11:HEE12"/>
    <mergeCell ref="HDT11:HDT12"/>
    <mergeCell ref="HDU11:HDU12"/>
    <mergeCell ref="HDV11:HDV12"/>
    <mergeCell ref="HDW11:HDW12"/>
    <mergeCell ref="HDX11:HDX12"/>
    <mergeCell ref="HDY11:HDY12"/>
    <mergeCell ref="HDN11:HDN12"/>
    <mergeCell ref="HDO11:HDO12"/>
    <mergeCell ref="HDP11:HDP12"/>
    <mergeCell ref="HDQ11:HDQ12"/>
    <mergeCell ref="HDR11:HDR12"/>
    <mergeCell ref="HDS11:HDS12"/>
    <mergeCell ref="HDH11:HDH12"/>
    <mergeCell ref="HDI11:HDI12"/>
    <mergeCell ref="HDJ11:HDJ12"/>
    <mergeCell ref="HDK11:HDK12"/>
    <mergeCell ref="HDL11:HDL12"/>
    <mergeCell ref="HDM11:HDM12"/>
    <mergeCell ref="HDB11:HDB12"/>
    <mergeCell ref="HDC11:HDC12"/>
    <mergeCell ref="HDD11:HDD12"/>
    <mergeCell ref="HDE11:HDE12"/>
    <mergeCell ref="HDF11:HDF12"/>
    <mergeCell ref="HDG11:HDG12"/>
    <mergeCell ref="HCV11:HCV12"/>
    <mergeCell ref="HCW11:HCW12"/>
    <mergeCell ref="HCX11:HCX12"/>
    <mergeCell ref="HCY11:HCY12"/>
    <mergeCell ref="HCZ11:HCZ12"/>
    <mergeCell ref="HDA11:HDA12"/>
    <mergeCell ref="HCP11:HCP12"/>
    <mergeCell ref="HCQ11:HCQ12"/>
    <mergeCell ref="HCR11:HCR12"/>
    <mergeCell ref="HCS11:HCS12"/>
    <mergeCell ref="HCT11:HCT12"/>
    <mergeCell ref="HCU11:HCU12"/>
    <mergeCell ref="HCJ11:HCJ12"/>
    <mergeCell ref="HCK11:HCK12"/>
    <mergeCell ref="HCL11:HCL12"/>
    <mergeCell ref="HCM11:HCM12"/>
    <mergeCell ref="HCN11:HCN12"/>
    <mergeCell ref="HCO11:HCO12"/>
    <mergeCell ref="HCD11:HCD12"/>
    <mergeCell ref="HCE11:HCE12"/>
    <mergeCell ref="HCF11:HCF12"/>
    <mergeCell ref="HCG11:HCG12"/>
    <mergeCell ref="HCH11:HCH12"/>
    <mergeCell ref="HCI11:HCI12"/>
    <mergeCell ref="HBX11:HBX12"/>
    <mergeCell ref="HBY11:HBY12"/>
    <mergeCell ref="HBZ11:HBZ12"/>
    <mergeCell ref="HCA11:HCA12"/>
    <mergeCell ref="HCB11:HCB12"/>
    <mergeCell ref="HCC11:HCC12"/>
    <mergeCell ref="HBR11:HBR12"/>
    <mergeCell ref="HBS11:HBS12"/>
    <mergeCell ref="HBT11:HBT12"/>
    <mergeCell ref="HBU11:HBU12"/>
    <mergeCell ref="HBV11:HBV12"/>
    <mergeCell ref="HBW11:HBW12"/>
    <mergeCell ref="HBL11:HBL12"/>
    <mergeCell ref="HBM11:HBM12"/>
    <mergeCell ref="HBN11:HBN12"/>
    <mergeCell ref="HBO11:HBO12"/>
    <mergeCell ref="HBP11:HBP12"/>
    <mergeCell ref="HBQ11:HBQ12"/>
    <mergeCell ref="HBF11:HBF12"/>
    <mergeCell ref="HBG11:HBG12"/>
    <mergeCell ref="HBH11:HBH12"/>
    <mergeCell ref="HBI11:HBI12"/>
    <mergeCell ref="HBJ11:HBJ12"/>
    <mergeCell ref="HBK11:HBK12"/>
    <mergeCell ref="HAZ11:HAZ12"/>
    <mergeCell ref="HBA11:HBA12"/>
    <mergeCell ref="HBB11:HBB12"/>
    <mergeCell ref="HBC11:HBC12"/>
    <mergeCell ref="HBD11:HBD12"/>
    <mergeCell ref="HBE11:HBE12"/>
    <mergeCell ref="HAT11:HAT12"/>
    <mergeCell ref="HAU11:HAU12"/>
    <mergeCell ref="HAV11:HAV12"/>
    <mergeCell ref="HAW11:HAW12"/>
    <mergeCell ref="HAX11:HAX12"/>
    <mergeCell ref="HAY11:HAY12"/>
    <mergeCell ref="HAN11:HAN12"/>
    <mergeCell ref="HAO11:HAO12"/>
    <mergeCell ref="HAP11:HAP12"/>
    <mergeCell ref="HAQ11:HAQ12"/>
    <mergeCell ref="HAR11:HAR12"/>
    <mergeCell ref="HAS11:HAS12"/>
    <mergeCell ref="HAH11:HAH12"/>
    <mergeCell ref="HAI11:HAI12"/>
    <mergeCell ref="HAJ11:HAJ12"/>
    <mergeCell ref="HAK11:HAK12"/>
    <mergeCell ref="HAL11:HAL12"/>
    <mergeCell ref="HAM11:HAM12"/>
    <mergeCell ref="HAB11:HAB12"/>
    <mergeCell ref="HAC11:HAC12"/>
    <mergeCell ref="HAD11:HAD12"/>
    <mergeCell ref="HAE11:HAE12"/>
    <mergeCell ref="HAF11:HAF12"/>
    <mergeCell ref="HAG11:HAG12"/>
    <mergeCell ref="GZV11:GZV12"/>
    <mergeCell ref="GZW11:GZW12"/>
    <mergeCell ref="GZX11:GZX12"/>
    <mergeCell ref="GZY11:GZY12"/>
    <mergeCell ref="GZZ11:GZZ12"/>
    <mergeCell ref="HAA11:HAA12"/>
    <mergeCell ref="GZP11:GZP12"/>
    <mergeCell ref="GZQ11:GZQ12"/>
    <mergeCell ref="GZR11:GZR12"/>
    <mergeCell ref="GZS11:GZS12"/>
    <mergeCell ref="GZT11:GZT12"/>
    <mergeCell ref="GZU11:GZU12"/>
    <mergeCell ref="GZJ11:GZJ12"/>
    <mergeCell ref="GZK11:GZK12"/>
    <mergeCell ref="GZL11:GZL12"/>
    <mergeCell ref="GZM11:GZM12"/>
    <mergeCell ref="GZN11:GZN12"/>
    <mergeCell ref="GZO11:GZO12"/>
    <mergeCell ref="GZD11:GZD12"/>
    <mergeCell ref="GZE11:GZE12"/>
    <mergeCell ref="GZF11:GZF12"/>
    <mergeCell ref="GZG11:GZG12"/>
    <mergeCell ref="GZH11:GZH12"/>
    <mergeCell ref="GZI11:GZI12"/>
    <mergeCell ref="GYX11:GYX12"/>
    <mergeCell ref="GYY11:GYY12"/>
    <mergeCell ref="GYZ11:GYZ12"/>
    <mergeCell ref="GZA11:GZA12"/>
    <mergeCell ref="GZB11:GZB12"/>
    <mergeCell ref="GZC11:GZC12"/>
    <mergeCell ref="GYR11:GYR12"/>
    <mergeCell ref="GYS11:GYS12"/>
    <mergeCell ref="GYT11:GYT12"/>
    <mergeCell ref="GYU11:GYU12"/>
    <mergeCell ref="GYV11:GYV12"/>
    <mergeCell ref="GYW11:GYW12"/>
    <mergeCell ref="GYL11:GYL12"/>
    <mergeCell ref="GYM11:GYM12"/>
    <mergeCell ref="GYN11:GYN12"/>
    <mergeCell ref="GYO11:GYO12"/>
    <mergeCell ref="GYP11:GYP12"/>
    <mergeCell ref="GYQ11:GYQ12"/>
    <mergeCell ref="GYF11:GYF12"/>
    <mergeCell ref="GYG11:GYG12"/>
    <mergeCell ref="GYH11:GYH12"/>
    <mergeCell ref="GYI11:GYI12"/>
    <mergeCell ref="GYJ11:GYJ12"/>
    <mergeCell ref="GYK11:GYK12"/>
    <mergeCell ref="GXZ11:GXZ12"/>
    <mergeCell ref="GYA11:GYA12"/>
    <mergeCell ref="GYB11:GYB12"/>
    <mergeCell ref="GYC11:GYC12"/>
    <mergeCell ref="GYD11:GYD12"/>
    <mergeCell ref="GYE11:GYE12"/>
    <mergeCell ref="GXT11:GXT12"/>
    <mergeCell ref="GXU11:GXU12"/>
    <mergeCell ref="GXV11:GXV12"/>
    <mergeCell ref="GXW11:GXW12"/>
    <mergeCell ref="GXX11:GXX12"/>
    <mergeCell ref="GXY11:GXY12"/>
    <mergeCell ref="GXN11:GXN12"/>
    <mergeCell ref="GXO11:GXO12"/>
    <mergeCell ref="GXP11:GXP12"/>
    <mergeCell ref="GXQ11:GXQ12"/>
    <mergeCell ref="GXR11:GXR12"/>
    <mergeCell ref="GXS11:GXS12"/>
    <mergeCell ref="GXH11:GXH12"/>
    <mergeCell ref="GXI11:GXI12"/>
    <mergeCell ref="GXJ11:GXJ12"/>
    <mergeCell ref="GXK11:GXK12"/>
    <mergeCell ref="GXL11:GXL12"/>
    <mergeCell ref="GXM11:GXM12"/>
    <mergeCell ref="GXB11:GXB12"/>
    <mergeCell ref="GXC11:GXC12"/>
    <mergeCell ref="GXD11:GXD12"/>
    <mergeCell ref="GXE11:GXE12"/>
    <mergeCell ref="GXF11:GXF12"/>
    <mergeCell ref="GXG11:GXG12"/>
    <mergeCell ref="GWV11:GWV12"/>
    <mergeCell ref="GWW11:GWW12"/>
    <mergeCell ref="GWX11:GWX12"/>
    <mergeCell ref="GWY11:GWY12"/>
    <mergeCell ref="GWZ11:GWZ12"/>
    <mergeCell ref="GXA11:GXA12"/>
    <mergeCell ref="GWP11:GWP12"/>
    <mergeCell ref="GWQ11:GWQ12"/>
    <mergeCell ref="GWR11:GWR12"/>
    <mergeCell ref="GWS11:GWS12"/>
    <mergeCell ref="GWT11:GWT12"/>
    <mergeCell ref="GWU11:GWU12"/>
    <mergeCell ref="GWJ11:GWJ12"/>
    <mergeCell ref="GWK11:GWK12"/>
    <mergeCell ref="GWL11:GWL12"/>
    <mergeCell ref="GWM11:GWM12"/>
    <mergeCell ref="GWN11:GWN12"/>
    <mergeCell ref="GWO11:GWO12"/>
    <mergeCell ref="GWD11:GWD12"/>
    <mergeCell ref="GWE11:GWE12"/>
    <mergeCell ref="GWF11:GWF12"/>
    <mergeCell ref="GWG11:GWG12"/>
    <mergeCell ref="GWH11:GWH12"/>
    <mergeCell ref="GWI11:GWI12"/>
    <mergeCell ref="GVX11:GVX12"/>
    <mergeCell ref="GVY11:GVY12"/>
    <mergeCell ref="GVZ11:GVZ12"/>
    <mergeCell ref="GWA11:GWA12"/>
    <mergeCell ref="GWB11:GWB12"/>
    <mergeCell ref="GWC11:GWC12"/>
    <mergeCell ref="GVR11:GVR12"/>
    <mergeCell ref="GVS11:GVS12"/>
    <mergeCell ref="GVT11:GVT12"/>
    <mergeCell ref="GVU11:GVU12"/>
    <mergeCell ref="GVV11:GVV12"/>
    <mergeCell ref="GVW11:GVW12"/>
    <mergeCell ref="GVL11:GVL12"/>
    <mergeCell ref="GVM11:GVM12"/>
    <mergeCell ref="GVN11:GVN12"/>
    <mergeCell ref="GVO11:GVO12"/>
    <mergeCell ref="GVP11:GVP12"/>
    <mergeCell ref="GVQ11:GVQ12"/>
    <mergeCell ref="GVF11:GVF12"/>
    <mergeCell ref="GVG11:GVG12"/>
    <mergeCell ref="GVH11:GVH12"/>
    <mergeCell ref="GVI11:GVI12"/>
    <mergeCell ref="GVJ11:GVJ12"/>
    <mergeCell ref="GVK11:GVK12"/>
    <mergeCell ref="GUZ11:GUZ12"/>
    <mergeCell ref="GVA11:GVA12"/>
    <mergeCell ref="GVB11:GVB12"/>
    <mergeCell ref="GVC11:GVC12"/>
    <mergeCell ref="GVD11:GVD12"/>
    <mergeCell ref="GVE11:GVE12"/>
    <mergeCell ref="GUT11:GUT12"/>
    <mergeCell ref="GUU11:GUU12"/>
    <mergeCell ref="GUV11:GUV12"/>
    <mergeCell ref="GUW11:GUW12"/>
    <mergeCell ref="GUX11:GUX12"/>
    <mergeCell ref="GUY11:GUY12"/>
    <mergeCell ref="GUN11:GUN12"/>
    <mergeCell ref="GUO11:GUO12"/>
    <mergeCell ref="GUP11:GUP12"/>
    <mergeCell ref="GUQ11:GUQ12"/>
    <mergeCell ref="GUR11:GUR12"/>
    <mergeCell ref="GUS11:GUS12"/>
    <mergeCell ref="GUH11:GUH12"/>
    <mergeCell ref="GUI11:GUI12"/>
    <mergeCell ref="GUJ11:GUJ12"/>
    <mergeCell ref="GUK11:GUK12"/>
    <mergeCell ref="GUL11:GUL12"/>
    <mergeCell ref="GUM11:GUM12"/>
    <mergeCell ref="GUB11:GUB12"/>
    <mergeCell ref="GUC11:GUC12"/>
    <mergeCell ref="GUD11:GUD12"/>
    <mergeCell ref="GUE11:GUE12"/>
    <mergeCell ref="GUF11:GUF12"/>
    <mergeCell ref="GUG11:GUG12"/>
    <mergeCell ref="GTV11:GTV12"/>
    <mergeCell ref="GTW11:GTW12"/>
    <mergeCell ref="GTX11:GTX12"/>
    <mergeCell ref="GTY11:GTY12"/>
    <mergeCell ref="GTZ11:GTZ12"/>
    <mergeCell ref="GUA11:GUA12"/>
    <mergeCell ref="GTP11:GTP12"/>
    <mergeCell ref="GTQ11:GTQ12"/>
    <mergeCell ref="GTR11:GTR12"/>
    <mergeCell ref="GTS11:GTS12"/>
    <mergeCell ref="GTT11:GTT12"/>
    <mergeCell ref="GTU11:GTU12"/>
    <mergeCell ref="GTJ11:GTJ12"/>
    <mergeCell ref="GTK11:GTK12"/>
    <mergeCell ref="GTL11:GTL12"/>
    <mergeCell ref="GTM11:GTM12"/>
    <mergeCell ref="GTN11:GTN12"/>
    <mergeCell ref="GTO11:GTO12"/>
    <mergeCell ref="GTD11:GTD12"/>
    <mergeCell ref="GTE11:GTE12"/>
    <mergeCell ref="GTF11:GTF12"/>
    <mergeCell ref="GTG11:GTG12"/>
    <mergeCell ref="GTH11:GTH12"/>
    <mergeCell ref="GTI11:GTI12"/>
    <mergeCell ref="GSX11:GSX12"/>
    <mergeCell ref="GSY11:GSY12"/>
    <mergeCell ref="GSZ11:GSZ12"/>
    <mergeCell ref="GTA11:GTA12"/>
    <mergeCell ref="GTB11:GTB12"/>
    <mergeCell ref="GTC11:GTC12"/>
    <mergeCell ref="GSR11:GSR12"/>
    <mergeCell ref="GSS11:GSS12"/>
    <mergeCell ref="GST11:GST12"/>
    <mergeCell ref="GSU11:GSU12"/>
    <mergeCell ref="GSV11:GSV12"/>
    <mergeCell ref="GSW11:GSW12"/>
    <mergeCell ref="GSL11:GSL12"/>
    <mergeCell ref="GSM11:GSM12"/>
    <mergeCell ref="GSN11:GSN12"/>
    <mergeCell ref="GSO11:GSO12"/>
    <mergeCell ref="GSP11:GSP12"/>
    <mergeCell ref="GSQ11:GSQ12"/>
    <mergeCell ref="GSF11:GSF12"/>
    <mergeCell ref="GSG11:GSG12"/>
    <mergeCell ref="GSH11:GSH12"/>
    <mergeCell ref="GSI11:GSI12"/>
    <mergeCell ref="GSJ11:GSJ12"/>
    <mergeCell ref="GSK11:GSK12"/>
    <mergeCell ref="GRZ11:GRZ12"/>
    <mergeCell ref="GSA11:GSA12"/>
    <mergeCell ref="GSB11:GSB12"/>
    <mergeCell ref="GSC11:GSC12"/>
    <mergeCell ref="GSD11:GSD12"/>
    <mergeCell ref="GSE11:GSE12"/>
    <mergeCell ref="GRT11:GRT12"/>
    <mergeCell ref="GRU11:GRU12"/>
    <mergeCell ref="GRV11:GRV12"/>
    <mergeCell ref="GRW11:GRW12"/>
    <mergeCell ref="GRX11:GRX12"/>
    <mergeCell ref="GRY11:GRY12"/>
    <mergeCell ref="GRN11:GRN12"/>
    <mergeCell ref="GRO11:GRO12"/>
    <mergeCell ref="GRP11:GRP12"/>
    <mergeCell ref="GRQ11:GRQ12"/>
    <mergeCell ref="GRR11:GRR12"/>
    <mergeCell ref="GRS11:GRS12"/>
    <mergeCell ref="GRH11:GRH12"/>
    <mergeCell ref="GRI11:GRI12"/>
    <mergeCell ref="GRJ11:GRJ12"/>
    <mergeCell ref="GRK11:GRK12"/>
    <mergeCell ref="GRL11:GRL12"/>
    <mergeCell ref="GRM11:GRM12"/>
    <mergeCell ref="GRB11:GRB12"/>
    <mergeCell ref="GRC11:GRC12"/>
    <mergeCell ref="GRD11:GRD12"/>
    <mergeCell ref="GRE11:GRE12"/>
    <mergeCell ref="GRF11:GRF12"/>
    <mergeCell ref="GRG11:GRG12"/>
    <mergeCell ref="GQV11:GQV12"/>
    <mergeCell ref="GQW11:GQW12"/>
    <mergeCell ref="GQX11:GQX12"/>
    <mergeCell ref="GQY11:GQY12"/>
    <mergeCell ref="GQZ11:GQZ12"/>
    <mergeCell ref="GRA11:GRA12"/>
    <mergeCell ref="GQP11:GQP12"/>
    <mergeCell ref="GQQ11:GQQ12"/>
    <mergeCell ref="GQR11:GQR12"/>
    <mergeCell ref="GQS11:GQS12"/>
    <mergeCell ref="GQT11:GQT12"/>
    <mergeCell ref="GQU11:GQU12"/>
    <mergeCell ref="GQJ11:GQJ12"/>
    <mergeCell ref="GQK11:GQK12"/>
    <mergeCell ref="GQL11:GQL12"/>
    <mergeCell ref="GQM11:GQM12"/>
    <mergeCell ref="GQN11:GQN12"/>
    <mergeCell ref="GQO11:GQO12"/>
    <mergeCell ref="GQD11:GQD12"/>
    <mergeCell ref="GQE11:GQE12"/>
    <mergeCell ref="GQF11:GQF12"/>
    <mergeCell ref="GQG11:GQG12"/>
    <mergeCell ref="GQH11:GQH12"/>
    <mergeCell ref="GQI11:GQI12"/>
    <mergeCell ref="GPX11:GPX12"/>
    <mergeCell ref="GPY11:GPY12"/>
    <mergeCell ref="GPZ11:GPZ12"/>
    <mergeCell ref="GQA11:GQA12"/>
    <mergeCell ref="GQB11:GQB12"/>
    <mergeCell ref="GQC11:GQC12"/>
    <mergeCell ref="GPR11:GPR12"/>
    <mergeCell ref="GPS11:GPS12"/>
    <mergeCell ref="GPT11:GPT12"/>
    <mergeCell ref="GPU11:GPU12"/>
    <mergeCell ref="GPV11:GPV12"/>
    <mergeCell ref="GPW11:GPW12"/>
    <mergeCell ref="GPL11:GPL12"/>
    <mergeCell ref="GPM11:GPM12"/>
    <mergeCell ref="GPN11:GPN12"/>
    <mergeCell ref="GPO11:GPO12"/>
    <mergeCell ref="GPP11:GPP12"/>
    <mergeCell ref="GPQ11:GPQ12"/>
    <mergeCell ref="GPF11:GPF12"/>
    <mergeCell ref="GPG11:GPG12"/>
    <mergeCell ref="GPH11:GPH12"/>
    <mergeCell ref="GPI11:GPI12"/>
    <mergeCell ref="GPJ11:GPJ12"/>
    <mergeCell ref="GPK11:GPK12"/>
    <mergeCell ref="GOZ11:GOZ12"/>
    <mergeCell ref="GPA11:GPA12"/>
    <mergeCell ref="GPB11:GPB12"/>
    <mergeCell ref="GPC11:GPC12"/>
    <mergeCell ref="GPD11:GPD12"/>
    <mergeCell ref="GPE11:GPE12"/>
    <mergeCell ref="GOT11:GOT12"/>
    <mergeCell ref="GOU11:GOU12"/>
    <mergeCell ref="GOV11:GOV12"/>
    <mergeCell ref="GOW11:GOW12"/>
    <mergeCell ref="GOX11:GOX12"/>
    <mergeCell ref="GOY11:GOY12"/>
    <mergeCell ref="GON11:GON12"/>
    <mergeCell ref="GOO11:GOO12"/>
    <mergeCell ref="GOP11:GOP12"/>
    <mergeCell ref="GOQ11:GOQ12"/>
    <mergeCell ref="GOR11:GOR12"/>
    <mergeCell ref="GOS11:GOS12"/>
    <mergeCell ref="GOH11:GOH12"/>
    <mergeCell ref="GOI11:GOI12"/>
    <mergeCell ref="GOJ11:GOJ12"/>
    <mergeCell ref="GOK11:GOK12"/>
    <mergeCell ref="GOL11:GOL12"/>
    <mergeCell ref="GOM11:GOM12"/>
    <mergeCell ref="GOB11:GOB12"/>
    <mergeCell ref="GOC11:GOC12"/>
    <mergeCell ref="GOD11:GOD12"/>
    <mergeCell ref="GOE11:GOE12"/>
    <mergeCell ref="GOF11:GOF12"/>
    <mergeCell ref="GOG11:GOG12"/>
    <mergeCell ref="GNV11:GNV12"/>
    <mergeCell ref="GNW11:GNW12"/>
    <mergeCell ref="GNX11:GNX12"/>
    <mergeCell ref="GNY11:GNY12"/>
    <mergeCell ref="GNZ11:GNZ12"/>
    <mergeCell ref="GOA11:GOA12"/>
    <mergeCell ref="GNP11:GNP12"/>
    <mergeCell ref="GNQ11:GNQ12"/>
    <mergeCell ref="GNR11:GNR12"/>
    <mergeCell ref="GNS11:GNS12"/>
    <mergeCell ref="GNT11:GNT12"/>
    <mergeCell ref="GNU11:GNU12"/>
    <mergeCell ref="GNJ11:GNJ12"/>
    <mergeCell ref="GNK11:GNK12"/>
    <mergeCell ref="GNL11:GNL12"/>
    <mergeCell ref="GNM11:GNM12"/>
    <mergeCell ref="GNN11:GNN12"/>
    <mergeCell ref="GNO11:GNO12"/>
    <mergeCell ref="GND11:GND12"/>
    <mergeCell ref="GNE11:GNE12"/>
    <mergeCell ref="GNF11:GNF12"/>
    <mergeCell ref="GNG11:GNG12"/>
    <mergeCell ref="GNH11:GNH12"/>
    <mergeCell ref="GNI11:GNI12"/>
    <mergeCell ref="GMX11:GMX12"/>
    <mergeCell ref="GMY11:GMY12"/>
    <mergeCell ref="GMZ11:GMZ12"/>
    <mergeCell ref="GNA11:GNA12"/>
    <mergeCell ref="GNB11:GNB12"/>
    <mergeCell ref="GNC11:GNC12"/>
    <mergeCell ref="GMR11:GMR12"/>
    <mergeCell ref="GMS11:GMS12"/>
    <mergeCell ref="GMT11:GMT12"/>
    <mergeCell ref="GMU11:GMU12"/>
    <mergeCell ref="GMV11:GMV12"/>
    <mergeCell ref="GMW11:GMW12"/>
    <mergeCell ref="GML11:GML12"/>
    <mergeCell ref="GMM11:GMM12"/>
    <mergeCell ref="GMN11:GMN12"/>
    <mergeCell ref="GMO11:GMO12"/>
    <mergeCell ref="GMP11:GMP12"/>
    <mergeCell ref="GMQ11:GMQ12"/>
    <mergeCell ref="GMF11:GMF12"/>
    <mergeCell ref="GMG11:GMG12"/>
    <mergeCell ref="GMH11:GMH12"/>
    <mergeCell ref="GMI11:GMI12"/>
    <mergeCell ref="GMJ11:GMJ12"/>
    <mergeCell ref="GMK11:GMK12"/>
    <mergeCell ref="GLZ11:GLZ12"/>
    <mergeCell ref="GMA11:GMA12"/>
    <mergeCell ref="GMB11:GMB12"/>
    <mergeCell ref="GMC11:GMC12"/>
    <mergeCell ref="GMD11:GMD12"/>
    <mergeCell ref="GME11:GME12"/>
    <mergeCell ref="GLT11:GLT12"/>
    <mergeCell ref="GLU11:GLU12"/>
    <mergeCell ref="GLV11:GLV12"/>
    <mergeCell ref="GLW11:GLW12"/>
    <mergeCell ref="GLX11:GLX12"/>
    <mergeCell ref="GLY11:GLY12"/>
    <mergeCell ref="GLN11:GLN12"/>
    <mergeCell ref="GLO11:GLO12"/>
    <mergeCell ref="GLP11:GLP12"/>
    <mergeCell ref="GLQ11:GLQ12"/>
    <mergeCell ref="GLR11:GLR12"/>
    <mergeCell ref="GLS11:GLS12"/>
    <mergeCell ref="GLH11:GLH12"/>
    <mergeCell ref="GLI11:GLI12"/>
    <mergeCell ref="GLJ11:GLJ12"/>
    <mergeCell ref="GLK11:GLK12"/>
    <mergeCell ref="GLL11:GLL12"/>
    <mergeCell ref="GLM11:GLM12"/>
    <mergeCell ref="GLB11:GLB12"/>
    <mergeCell ref="GLC11:GLC12"/>
    <mergeCell ref="GLD11:GLD12"/>
    <mergeCell ref="GLE11:GLE12"/>
    <mergeCell ref="GLF11:GLF12"/>
    <mergeCell ref="GLG11:GLG12"/>
    <mergeCell ref="GKV11:GKV12"/>
    <mergeCell ref="GKW11:GKW12"/>
    <mergeCell ref="GKX11:GKX12"/>
    <mergeCell ref="GKY11:GKY12"/>
    <mergeCell ref="GKZ11:GKZ12"/>
    <mergeCell ref="GLA11:GLA12"/>
    <mergeCell ref="GKP11:GKP12"/>
    <mergeCell ref="GKQ11:GKQ12"/>
    <mergeCell ref="GKR11:GKR12"/>
    <mergeCell ref="GKS11:GKS12"/>
    <mergeCell ref="GKT11:GKT12"/>
    <mergeCell ref="GKU11:GKU12"/>
    <mergeCell ref="GKJ11:GKJ12"/>
    <mergeCell ref="GKK11:GKK12"/>
    <mergeCell ref="GKL11:GKL12"/>
    <mergeCell ref="GKM11:GKM12"/>
    <mergeCell ref="GKN11:GKN12"/>
    <mergeCell ref="GKO11:GKO12"/>
    <mergeCell ref="GKD11:GKD12"/>
    <mergeCell ref="GKE11:GKE12"/>
    <mergeCell ref="GKF11:GKF12"/>
    <mergeCell ref="GKG11:GKG12"/>
    <mergeCell ref="GKH11:GKH12"/>
    <mergeCell ref="GKI11:GKI12"/>
    <mergeCell ref="GJX11:GJX12"/>
    <mergeCell ref="GJY11:GJY12"/>
    <mergeCell ref="GJZ11:GJZ12"/>
    <mergeCell ref="GKA11:GKA12"/>
    <mergeCell ref="GKB11:GKB12"/>
    <mergeCell ref="GKC11:GKC12"/>
    <mergeCell ref="GJR11:GJR12"/>
    <mergeCell ref="GJS11:GJS12"/>
    <mergeCell ref="GJT11:GJT12"/>
    <mergeCell ref="GJU11:GJU12"/>
    <mergeCell ref="GJV11:GJV12"/>
    <mergeCell ref="GJW11:GJW12"/>
    <mergeCell ref="GJL11:GJL12"/>
    <mergeCell ref="GJM11:GJM12"/>
    <mergeCell ref="GJN11:GJN12"/>
    <mergeCell ref="GJO11:GJO12"/>
    <mergeCell ref="GJP11:GJP12"/>
    <mergeCell ref="GJQ11:GJQ12"/>
    <mergeCell ref="GJF11:GJF12"/>
    <mergeCell ref="GJG11:GJG12"/>
    <mergeCell ref="GJH11:GJH12"/>
    <mergeCell ref="GJI11:GJI12"/>
    <mergeCell ref="GJJ11:GJJ12"/>
    <mergeCell ref="GJK11:GJK12"/>
    <mergeCell ref="GIZ11:GIZ12"/>
    <mergeCell ref="GJA11:GJA12"/>
    <mergeCell ref="GJB11:GJB12"/>
    <mergeCell ref="GJC11:GJC12"/>
    <mergeCell ref="GJD11:GJD12"/>
    <mergeCell ref="GJE11:GJE12"/>
    <mergeCell ref="GIT11:GIT12"/>
    <mergeCell ref="GIU11:GIU12"/>
    <mergeCell ref="GIV11:GIV12"/>
    <mergeCell ref="GIW11:GIW12"/>
    <mergeCell ref="GIX11:GIX12"/>
    <mergeCell ref="GIY11:GIY12"/>
    <mergeCell ref="GIN11:GIN12"/>
    <mergeCell ref="GIO11:GIO12"/>
    <mergeCell ref="GIP11:GIP12"/>
    <mergeCell ref="GIQ11:GIQ12"/>
    <mergeCell ref="GIR11:GIR12"/>
    <mergeCell ref="GIS11:GIS12"/>
    <mergeCell ref="GIH11:GIH12"/>
    <mergeCell ref="GII11:GII12"/>
    <mergeCell ref="GIJ11:GIJ12"/>
    <mergeCell ref="GIK11:GIK12"/>
    <mergeCell ref="GIL11:GIL12"/>
    <mergeCell ref="GIM11:GIM12"/>
    <mergeCell ref="GIB11:GIB12"/>
    <mergeCell ref="GIC11:GIC12"/>
    <mergeCell ref="GID11:GID12"/>
    <mergeCell ref="GIE11:GIE12"/>
    <mergeCell ref="GIF11:GIF12"/>
    <mergeCell ref="GIG11:GIG12"/>
    <mergeCell ref="GHV11:GHV12"/>
    <mergeCell ref="GHW11:GHW12"/>
    <mergeCell ref="GHX11:GHX12"/>
    <mergeCell ref="GHY11:GHY12"/>
    <mergeCell ref="GHZ11:GHZ12"/>
    <mergeCell ref="GIA11:GIA12"/>
    <mergeCell ref="GHP11:GHP12"/>
    <mergeCell ref="GHQ11:GHQ12"/>
    <mergeCell ref="GHR11:GHR12"/>
    <mergeCell ref="GHS11:GHS12"/>
    <mergeCell ref="GHT11:GHT12"/>
    <mergeCell ref="GHU11:GHU12"/>
    <mergeCell ref="GHJ11:GHJ12"/>
    <mergeCell ref="GHK11:GHK12"/>
    <mergeCell ref="GHL11:GHL12"/>
    <mergeCell ref="GHM11:GHM12"/>
    <mergeCell ref="GHN11:GHN12"/>
    <mergeCell ref="GHO11:GHO12"/>
    <mergeCell ref="GHD11:GHD12"/>
    <mergeCell ref="GHE11:GHE12"/>
    <mergeCell ref="GHF11:GHF12"/>
    <mergeCell ref="GHG11:GHG12"/>
    <mergeCell ref="GHH11:GHH12"/>
    <mergeCell ref="GHI11:GHI12"/>
    <mergeCell ref="GGX11:GGX12"/>
    <mergeCell ref="GGY11:GGY12"/>
    <mergeCell ref="GGZ11:GGZ12"/>
    <mergeCell ref="GHA11:GHA12"/>
    <mergeCell ref="GHB11:GHB12"/>
    <mergeCell ref="GHC11:GHC12"/>
    <mergeCell ref="GGR11:GGR12"/>
    <mergeCell ref="GGS11:GGS12"/>
    <mergeCell ref="GGT11:GGT12"/>
    <mergeCell ref="GGU11:GGU12"/>
    <mergeCell ref="GGV11:GGV12"/>
    <mergeCell ref="GGW11:GGW12"/>
    <mergeCell ref="GGL11:GGL12"/>
    <mergeCell ref="GGM11:GGM12"/>
    <mergeCell ref="GGN11:GGN12"/>
    <mergeCell ref="GGO11:GGO12"/>
    <mergeCell ref="GGP11:GGP12"/>
    <mergeCell ref="GGQ11:GGQ12"/>
    <mergeCell ref="GGF11:GGF12"/>
    <mergeCell ref="GGG11:GGG12"/>
    <mergeCell ref="GGH11:GGH12"/>
    <mergeCell ref="GGI11:GGI12"/>
    <mergeCell ref="GGJ11:GGJ12"/>
    <mergeCell ref="GGK11:GGK12"/>
    <mergeCell ref="GFZ11:GFZ12"/>
    <mergeCell ref="GGA11:GGA12"/>
    <mergeCell ref="GGB11:GGB12"/>
    <mergeCell ref="GGC11:GGC12"/>
    <mergeCell ref="GGD11:GGD12"/>
    <mergeCell ref="GGE11:GGE12"/>
    <mergeCell ref="GFT11:GFT12"/>
    <mergeCell ref="GFU11:GFU12"/>
    <mergeCell ref="GFV11:GFV12"/>
    <mergeCell ref="GFW11:GFW12"/>
    <mergeCell ref="GFX11:GFX12"/>
    <mergeCell ref="GFY11:GFY12"/>
    <mergeCell ref="GFN11:GFN12"/>
    <mergeCell ref="GFO11:GFO12"/>
    <mergeCell ref="GFP11:GFP12"/>
    <mergeCell ref="GFQ11:GFQ12"/>
    <mergeCell ref="GFR11:GFR12"/>
    <mergeCell ref="GFS11:GFS12"/>
    <mergeCell ref="GFH11:GFH12"/>
    <mergeCell ref="GFI11:GFI12"/>
    <mergeCell ref="GFJ11:GFJ12"/>
    <mergeCell ref="GFK11:GFK12"/>
    <mergeCell ref="GFL11:GFL12"/>
    <mergeCell ref="GFM11:GFM12"/>
    <mergeCell ref="GFB11:GFB12"/>
    <mergeCell ref="GFC11:GFC12"/>
    <mergeCell ref="GFD11:GFD12"/>
    <mergeCell ref="GFE11:GFE12"/>
    <mergeCell ref="GFF11:GFF12"/>
    <mergeCell ref="GFG11:GFG12"/>
    <mergeCell ref="GEV11:GEV12"/>
    <mergeCell ref="GEW11:GEW12"/>
    <mergeCell ref="GEX11:GEX12"/>
    <mergeCell ref="GEY11:GEY12"/>
    <mergeCell ref="GEZ11:GEZ12"/>
    <mergeCell ref="GFA11:GFA12"/>
    <mergeCell ref="GEP11:GEP12"/>
    <mergeCell ref="GEQ11:GEQ12"/>
    <mergeCell ref="GER11:GER12"/>
    <mergeCell ref="GES11:GES12"/>
    <mergeCell ref="GET11:GET12"/>
    <mergeCell ref="GEU11:GEU12"/>
    <mergeCell ref="GEJ11:GEJ12"/>
    <mergeCell ref="GEK11:GEK12"/>
    <mergeCell ref="GEL11:GEL12"/>
    <mergeCell ref="GEM11:GEM12"/>
    <mergeCell ref="GEN11:GEN12"/>
    <mergeCell ref="GEO11:GEO12"/>
    <mergeCell ref="GED11:GED12"/>
    <mergeCell ref="GEE11:GEE12"/>
    <mergeCell ref="GEF11:GEF12"/>
    <mergeCell ref="GEG11:GEG12"/>
    <mergeCell ref="GEH11:GEH12"/>
    <mergeCell ref="GEI11:GEI12"/>
    <mergeCell ref="GDX11:GDX12"/>
    <mergeCell ref="GDY11:GDY12"/>
    <mergeCell ref="GDZ11:GDZ12"/>
    <mergeCell ref="GEA11:GEA12"/>
    <mergeCell ref="GEB11:GEB12"/>
    <mergeCell ref="GEC11:GEC12"/>
    <mergeCell ref="GDR11:GDR12"/>
    <mergeCell ref="GDS11:GDS12"/>
    <mergeCell ref="GDT11:GDT12"/>
    <mergeCell ref="GDU11:GDU12"/>
    <mergeCell ref="GDV11:GDV12"/>
    <mergeCell ref="GDW11:GDW12"/>
    <mergeCell ref="GDL11:GDL12"/>
    <mergeCell ref="GDM11:GDM12"/>
    <mergeCell ref="GDN11:GDN12"/>
    <mergeCell ref="GDO11:GDO12"/>
    <mergeCell ref="GDP11:GDP12"/>
    <mergeCell ref="GDQ11:GDQ12"/>
    <mergeCell ref="GDF11:GDF12"/>
    <mergeCell ref="GDG11:GDG12"/>
    <mergeCell ref="GDH11:GDH12"/>
    <mergeCell ref="GDI11:GDI12"/>
    <mergeCell ref="GDJ11:GDJ12"/>
    <mergeCell ref="GDK11:GDK12"/>
    <mergeCell ref="GCZ11:GCZ12"/>
    <mergeCell ref="GDA11:GDA12"/>
    <mergeCell ref="GDB11:GDB12"/>
    <mergeCell ref="GDC11:GDC12"/>
    <mergeCell ref="GDD11:GDD12"/>
    <mergeCell ref="GDE11:GDE12"/>
    <mergeCell ref="GCT11:GCT12"/>
    <mergeCell ref="GCU11:GCU12"/>
    <mergeCell ref="GCV11:GCV12"/>
    <mergeCell ref="GCW11:GCW12"/>
    <mergeCell ref="GCX11:GCX12"/>
    <mergeCell ref="GCY11:GCY12"/>
    <mergeCell ref="GCN11:GCN12"/>
    <mergeCell ref="GCO11:GCO12"/>
    <mergeCell ref="GCP11:GCP12"/>
    <mergeCell ref="GCQ11:GCQ12"/>
    <mergeCell ref="GCR11:GCR12"/>
    <mergeCell ref="GCS11:GCS12"/>
    <mergeCell ref="GCH11:GCH12"/>
    <mergeCell ref="GCI11:GCI12"/>
    <mergeCell ref="GCJ11:GCJ12"/>
    <mergeCell ref="GCK11:GCK12"/>
    <mergeCell ref="GCL11:GCL12"/>
    <mergeCell ref="GCM11:GCM12"/>
    <mergeCell ref="GCB11:GCB12"/>
    <mergeCell ref="GCC11:GCC12"/>
    <mergeCell ref="GCD11:GCD12"/>
    <mergeCell ref="GCE11:GCE12"/>
    <mergeCell ref="GCF11:GCF12"/>
    <mergeCell ref="GCG11:GCG12"/>
    <mergeCell ref="GBV11:GBV12"/>
    <mergeCell ref="GBW11:GBW12"/>
    <mergeCell ref="GBX11:GBX12"/>
    <mergeCell ref="GBY11:GBY12"/>
    <mergeCell ref="GBZ11:GBZ12"/>
    <mergeCell ref="GCA11:GCA12"/>
    <mergeCell ref="GBP11:GBP12"/>
    <mergeCell ref="GBQ11:GBQ12"/>
    <mergeCell ref="GBR11:GBR12"/>
    <mergeCell ref="GBS11:GBS12"/>
    <mergeCell ref="GBT11:GBT12"/>
    <mergeCell ref="GBU11:GBU12"/>
    <mergeCell ref="GBJ11:GBJ12"/>
    <mergeCell ref="GBK11:GBK12"/>
    <mergeCell ref="GBL11:GBL12"/>
    <mergeCell ref="GBM11:GBM12"/>
    <mergeCell ref="GBN11:GBN12"/>
    <mergeCell ref="GBO11:GBO12"/>
    <mergeCell ref="GBD11:GBD12"/>
    <mergeCell ref="GBE11:GBE12"/>
    <mergeCell ref="GBF11:GBF12"/>
    <mergeCell ref="GBG11:GBG12"/>
    <mergeCell ref="GBH11:GBH12"/>
    <mergeCell ref="GBI11:GBI12"/>
    <mergeCell ref="GAX11:GAX12"/>
    <mergeCell ref="GAY11:GAY12"/>
    <mergeCell ref="GAZ11:GAZ12"/>
    <mergeCell ref="GBA11:GBA12"/>
    <mergeCell ref="GBB11:GBB12"/>
    <mergeCell ref="GBC11:GBC12"/>
    <mergeCell ref="GAR11:GAR12"/>
    <mergeCell ref="GAS11:GAS12"/>
    <mergeCell ref="GAT11:GAT12"/>
    <mergeCell ref="GAU11:GAU12"/>
    <mergeCell ref="GAV11:GAV12"/>
    <mergeCell ref="GAW11:GAW12"/>
    <mergeCell ref="GAL11:GAL12"/>
    <mergeCell ref="GAM11:GAM12"/>
    <mergeCell ref="GAN11:GAN12"/>
    <mergeCell ref="GAO11:GAO12"/>
    <mergeCell ref="GAP11:GAP12"/>
    <mergeCell ref="GAQ11:GAQ12"/>
    <mergeCell ref="GAF11:GAF12"/>
    <mergeCell ref="GAG11:GAG12"/>
    <mergeCell ref="GAH11:GAH12"/>
    <mergeCell ref="GAI11:GAI12"/>
    <mergeCell ref="GAJ11:GAJ12"/>
    <mergeCell ref="GAK11:GAK12"/>
    <mergeCell ref="FZZ11:FZZ12"/>
    <mergeCell ref="GAA11:GAA12"/>
    <mergeCell ref="GAB11:GAB12"/>
    <mergeCell ref="GAC11:GAC12"/>
    <mergeCell ref="GAD11:GAD12"/>
    <mergeCell ref="GAE11:GAE12"/>
    <mergeCell ref="FZT11:FZT12"/>
    <mergeCell ref="FZU11:FZU12"/>
    <mergeCell ref="FZV11:FZV12"/>
    <mergeCell ref="FZW11:FZW12"/>
    <mergeCell ref="FZX11:FZX12"/>
    <mergeCell ref="FZY11:FZY12"/>
    <mergeCell ref="FZN11:FZN12"/>
    <mergeCell ref="FZO11:FZO12"/>
    <mergeCell ref="FZP11:FZP12"/>
    <mergeCell ref="FZQ11:FZQ12"/>
    <mergeCell ref="FZR11:FZR12"/>
    <mergeCell ref="FZS11:FZS12"/>
    <mergeCell ref="FZH11:FZH12"/>
    <mergeCell ref="FZI11:FZI12"/>
    <mergeCell ref="FZJ11:FZJ12"/>
    <mergeCell ref="FZK11:FZK12"/>
    <mergeCell ref="FZL11:FZL12"/>
    <mergeCell ref="FZM11:FZM12"/>
    <mergeCell ref="FZB11:FZB12"/>
    <mergeCell ref="FZC11:FZC12"/>
    <mergeCell ref="FZD11:FZD12"/>
    <mergeCell ref="FZE11:FZE12"/>
    <mergeCell ref="FZF11:FZF12"/>
    <mergeCell ref="FZG11:FZG12"/>
    <mergeCell ref="FYV11:FYV12"/>
    <mergeCell ref="FYW11:FYW12"/>
    <mergeCell ref="FYX11:FYX12"/>
    <mergeCell ref="FYY11:FYY12"/>
    <mergeCell ref="FYZ11:FYZ12"/>
    <mergeCell ref="FZA11:FZA12"/>
    <mergeCell ref="FYP11:FYP12"/>
    <mergeCell ref="FYQ11:FYQ12"/>
    <mergeCell ref="FYR11:FYR12"/>
    <mergeCell ref="FYS11:FYS12"/>
    <mergeCell ref="FYT11:FYT12"/>
    <mergeCell ref="FYU11:FYU12"/>
    <mergeCell ref="FYJ11:FYJ12"/>
    <mergeCell ref="FYK11:FYK12"/>
    <mergeCell ref="FYL11:FYL12"/>
    <mergeCell ref="FYM11:FYM12"/>
    <mergeCell ref="FYN11:FYN12"/>
    <mergeCell ref="FYO11:FYO12"/>
    <mergeCell ref="FYD11:FYD12"/>
    <mergeCell ref="FYE11:FYE12"/>
    <mergeCell ref="FYF11:FYF12"/>
    <mergeCell ref="FYG11:FYG12"/>
    <mergeCell ref="FYH11:FYH12"/>
    <mergeCell ref="FYI11:FYI12"/>
    <mergeCell ref="FXX11:FXX12"/>
    <mergeCell ref="FXY11:FXY12"/>
    <mergeCell ref="FXZ11:FXZ12"/>
    <mergeCell ref="FYA11:FYA12"/>
    <mergeCell ref="FYB11:FYB12"/>
    <mergeCell ref="FYC11:FYC12"/>
    <mergeCell ref="FXR11:FXR12"/>
    <mergeCell ref="FXS11:FXS12"/>
    <mergeCell ref="FXT11:FXT12"/>
    <mergeCell ref="FXU11:FXU12"/>
    <mergeCell ref="FXV11:FXV12"/>
    <mergeCell ref="FXW11:FXW12"/>
    <mergeCell ref="FXL11:FXL12"/>
    <mergeCell ref="FXM11:FXM12"/>
    <mergeCell ref="FXN11:FXN12"/>
    <mergeCell ref="FXO11:FXO12"/>
    <mergeCell ref="FXP11:FXP12"/>
    <mergeCell ref="FXQ11:FXQ12"/>
    <mergeCell ref="FXF11:FXF12"/>
    <mergeCell ref="FXG11:FXG12"/>
    <mergeCell ref="FXH11:FXH12"/>
    <mergeCell ref="FXI11:FXI12"/>
    <mergeCell ref="FXJ11:FXJ12"/>
    <mergeCell ref="FXK11:FXK12"/>
    <mergeCell ref="FWZ11:FWZ12"/>
    <mergeCell ref="FXA11:FXA12"/>
    <mergeCell ref="FXB11:FXB12"/>
    <mergeCell ref="FXC11:FXC12"/>
    <mergeCell ref="FXD11:FXD12"/>
    <mergeCell ref="FXE11:FXE12"/>
    <mergeCell ref="FWT11:FWT12"/>
    <mergeCell ref="FWU11:FWU12"/>
    <mergeCell ref="FWV11:FWV12"/>
    <mergeCell ref="FWW11:FWW12"/>
    <mergeCell ref="FWX11:FWX12"/>
    <mergeCell ref="FWY11:FWY12"/>
    <mergeCell ref="FWN11:FWN12"/>
    <mergeCell ref="FWO11:FWO12"/>
    <mergeCell ref="FWP11:FWP12"/>
    <mergeCell ref="FWQ11:FWQ12"/>
    <mergeCell ref="FWR11:FWR12"/>
    <mergeCell ref="FWS11:FWS12"/>
    <mergeCell ref="FWH11:FWH12"/>
    <mergeCell ref="FWI11:FWI12"/>
    <mergeCell ref="FWJ11:FWJ12"/>
    <mergeCell ref="FWK11:FWK12"/>
    <mergeCell ref="FWL11:FWL12"/>
    <mergeCell ref="FWM11:FWM12"/>
    <mergeCell ref="FWB11:FWB12"/>
    <mergeCell ref="FWC11:FWC12"/>
    <mergeCell ref="FWD11:FWD12"/>
    <mergeCell ref="FWE11:FWE12"/>
    <mergeCell ref="FWF11:FWF12"/>
    <mergeCell ref="FWG11:FWG12"/>
    <mergeCell ref="FVV11:FVV12"/>
    <mergeCell ref="FVW11:FVW12"/>
    <mergeCell ref="FVX11:FVX12"/>
    <mergeCell ref="FVY11:FVY12"/>
    <mergeCell ref="FVZ11:FVZ12"/>
    <mergeCell ref="FWA11:FWA12"/>
    <mergeCell ref="FVP11:FVP12"/>
    <mergeCell ref="FVQ11:FVQ12"/>
    <mergeCell ref="FVR11:FVR12"/>
    <mergeCell ref="FVS11:FVS12"/>
    <mergeCell ref="FVT11:FVT12"/>
    <mergeCell ref="FVU11:FVU12"/>
    <mergeCell ref="FVJ11:FVJ12"/>
    <mergeCell ref="FVK11:FVK12"/>
    <mergeCell ref="FVL11:FVL12"/>
    <mergeCell ref="FVM11:FVM12"/>
    <mergeCell ref="FVN11:FVN12"/>
    <mergeCell ref="FVO11:FVO12"/>
    <mergeCell ref="FVD11:FVD12"/>
    <mergeCell ref="FVE11:FVE12"/>
    <mergeCell ref="FVF11:FVF12"/>
    <mergeCell ref="FVG11:FVG12"/>
    <mergeCell ref="FVH11:FVH12"/>
    <mergeCell ref="FVI11:FVI12"/>
    <mergeCell ref="FUX11:FUX12"/>
    <mergeCell ref="FUY11:FUY12"/>
    <mergeCell ref="FUZ11:FUZ12"/>
    <mergeCell ref="FVA11:FVA12"/>
    <mergeCell ref="FVB11:FVB12"/>
    <mergeCell ref="FVC11:FVC12"/>
    <mergeCell ref="FUR11:FUR12"/>
    <mergeCell ref="FUS11:FUS12"/>
    <mergeCell ref="FUT11:FUT12"/>
    <mergeCell ref="FUU11:FUU12"/>
    <mergeCell ref="FUV11:FUV12"/>
    <mergeCell ref="FUW11:FUW12"/>
    <mergeCell ref="FUL11:FUL12"/>
    <mergeCell ref="FUM11:FUM12"/>
    <mergeCell ref="FUN11:FUN12"/>
    <mergeCell ref="FUO11:FUO12"/>
    <mergeCell ref="FUP11:FUP12"/>
    <mergeCell ref="FUQ11:FUQ12"/>
    <mergeCell ref="FUF11:FUF12"/>
    <mergeCell ref="FUG11:FUG12"/>
    <mergeCell ref="FUH11:FUH12"/>
    <mergeCell ref="FUI11:FUI12"/>
    <mergeCell ref="FUJ11:FUJ12"/>
    <mergeCell ref="FUK11:FUK12"/>
    <mergeCell ref="FTZ11:FTZ12"/>
    <mergeCell ref="FUA11:FUA12"/>
    <mergeCell ref="FUB11:FUB12"/>
    <mergeCell ref="FUC11:FUC12"/>
    <mergeCell ref="FUD11:FUD12"/>
    <mergeCell ref="FUE11:FUE12"/>
    <mergeCell ref="FTT11:FTT12"/>
    <mergeCell ref="FTU11:FTU12"/>
    <mergeCell ref="FTV11:FTV12"/>
    <mergeCell ref="FTW11:FTW12"/>
    <mergeCell ref="FTX11:FTX12"/>
    <mergeCell ref="FTY11:FTY12"/>
    <mergeCell ref="FTN11:FTN12"/>
    <mergeCell ref="FTO11:FTO12"/>
    <mergeCell ref="FTP11:FTP12"/>
    <mergeCell ref="FTQ11:FTQ12"/>
    <mergeCell ref="FTR11:FTR12"/>
    <mergeCell ref="FTS11:FTS12"/>
    <mergeCell ref="FTH11:FTH12"/>
    <mergeCell ref="FTI11:FTI12"/>
    <mergeCell ref="FTJ11:FTJ12"/>
    <mergeCell ref="FTK11:FTK12"/>
    <mergeCell ref="FTL11:FTL12"/>
    <mergeCell ref="FTM11:FTM12"/>
    <mergeCell ref="FTB11:FTB12"/>
    <mergeCell ref="FTC11:FTC12"/>
    <mergeCell ref="FTD11:FTD12"/>
    <mergeCell ref="FTE11:FTE12"/>
    <mergeCell ref="FTF11:FTF12"/>
    <mergeCell ref="FTG11:FTG12"/>
    <mergeCell ref="FSV11:FSV12"/>
    <mergeCell ref="FSW11:FSW12"/>
    <mergeCell ref="FSX11:FSX12"/>
    <mergeCell ref="FSY11:FSY12"/>
    <mergeCell ref="FSZ11:FSZ12"/>
    <mergeCell ref="FTA11:FTA12"/>
    <mergeCell ref="FSP11:FSP12"/>
    <mergeCell ref="FSQ11:FSQ12"/>
    <mergeCell ref="FSR11:FSR12"/>
    <mergeCell ref="FSS11:FSS12"/>
    <mergeCell ref="FST11:FST12"/>
    <mergeCell ref="FSU11:FSU12"/>
    <mergeCell ref="FSJ11:FSJ12"/>
    <mergeCell ref="FSK11:FSK12"/>
    <mergeCell ref="FSL11:FSL12"/>
    <mergeCell ref="FSM11:FSM12"/>
    <mergeCell ref="FSN11:FSN12"/>
    <mergeCell ref="FSO11:FSO12"/>
    <mergeCell ref="FSD11:FSD12"/>
    <mergeCell ref="FSE11:FSE12"/>
    <mergeCell ref="FSF11:FSF12"/>
    <mergeCell ref="FSG11:FSG12"/>
    <mergeCell ref="FSH11:FSH12"/>
    <mergeCell ref="FSI11:FSI12"/>
    <mergeCell ref="FRX11:FRX12"/>
    <mergeCell ref="FRY11:FRY12"/>
    <mergeCell ref="FRZ11:FRZ12"/>
    <mergeCell ref="FSA11:FSA12"/>
    <mergeCell ref="FSB11:FSB12"/>
    <mergeCell ref="FSC11:FSC12"/>
    <mergeCell ref="FRR11:FRR12"/>
    <mergeCell ref="FRS11:FRS12"/>
    <mergeCell ref="FRT11:FRT12"/>
    <mergeCell ref="FRU11:FRU12"/>
    <mergeCell ref="FRV11:FRV12"/>
    <mergeCell ref="FRW11:FRW12"/>
    <mergeCell ref="FRL11:FRL12"/>
    <mergeCell ref="FRM11:FRM12"/>
    <mergeCell ref="FRN11:FRN12"/>
    <mergeCell ref="FRO11:FRO12"/>
    <mergeCell ref="FRP11:FRP12"/>
    <mergeCell ref="FRQ11:FRQ12"/>
    <mergeCell ref="FRF11:FRF12"/>
    <mergeCell ref="FRG11:FRG12"/>
    <mergeCell ref="FRH11:FRH12"/>
    <mergeCell ref="FRI11:FRI12"/>
    <mergeCell ref="FRJ11:FRJ12"/>
    <mergeCell ref="FRK11:FRK12"/>
    <mergeCell ref="FQZ11:FQZ12"/>
    <mergeCell ref="FRA11:FRA12"/>
    <mergeCell ref="FRB11:FRB12"/>
    <mergeCell ref="FRC11:FRC12"/>
    <mergeCell ref="FRD11:FRD12"/>
    <mergeCell ref="FRE11:FRE12"/>
    <mergeCell ref="FQT11:FQT12"/>
    <mergeCell ref="FQU11:FQU12"/>
    <mergeCell ref="FQV11:FQV12"/>
    <mergeCell ref="FQW11:FQW12"/>
    <mergeCell ref="FQX11:FQX12"/>
    <mergeCell ref="FQY11:FQY12"/>
    <mergeCell ref="FQN11:FQN12"/>
    <mergeCell ref="FQO11:FQO12"/>
    <mergeCell ref="FQP11:FQP12"/>
    <mergeCell ref="FQQ11:FQQ12"/>
    <mergeCell ref="FQR11:FQR12"/>
    <mergeCell ref="FQS11:FQS12"/>
    <mergeCell ref="FQH11:FQH12"/>
    <mergeCell ref="FQI11:FQI12"/>
    <mergeCell ref="FQJ11:FQJ12"/>
    <mergeCell ref="FQK11:FQK12"/>
    <mergeCell ref="FQL11:FQL12"/>
    <mergeCell ref="FQM11:FQM12"/>
    <mergeCell ref="FQB11:FQB12"/>
    <mergeCell ref="FQC11:FQC12"/>
    <mergeCell ref="FQD11:FQD12"/>
    <mergeCell ref="FQE11:FQE12"/>
    <mergeCell ref="FQF11:FQF12"/>
    <mergeCell ref="FQG11:FQG12"/>
    <mergeCell ref="FPV11:FPV12"/>
    <mergeCell ref="FPW11:FPW12"/>
    <mergeCell ref="FPX11:FPX12"/>
    <mergeCell ref="FPY11:FPY12"/>
    <mergeCell ref="FPZ11:FPZ12"/>
    <mergeCell ref="FQA11:FQA12"/>
    <mergeCell ref="FPP11:FPP12"/>
    <mergeCell ref="FPQ11:FPQ12"/>
    <mergeCell ref="FPR11:FPR12"/>
    <mergeCell ref="FPS11:FPS12"/>
    <mergeCell ref="FPT11:FPT12"/>
    <mergeCell ref="FPU11:FPU12"/>
    <mergeCell ref="FPJ11:FPJ12"/>
    <mergeCell ref="FPK11:FPK12"/>
    <mergeCell ref="FPL11:FPL12"/>
    <mergeCell ref="FPM11:FPM12"/>
    <mergeCell ref="FPN11:FPN12"/>
    <mergeCell ref="FPO11:FPO12"/>
    <mergeCell ref="FPD11:FPD12"/>
    <mergeCell ref="FPE11:FPE12"/>
    <mergeCell ref="FPF11:FPF12"/>
    <mergeCell ref="FPG11:FPG12"/>
    <mergeCell ref="FPH11:FPH12"/>
    <mergeCell ref="FPI11:FPI12"/>
    <mergeCell ref="FOX11:FOX12"/>
    <mergeCell ref="FOY11:FOY12"/>
    <mergeCell ref="FOZ11:FOZ12"/>
    <mergeCell ref="FPA11:FPA12"/>
    <mergeCell ref="FPB11:FPB12"/>
    <mergeCell ref="FPC11:FPC12"/>
    <mergeCell ref="FOR11:FOR12"/>
    <mergeCell ref="FOS11:FOS12"/>
    <mergeCell ref="FOT11:FOT12"/>
    <mergeCell ref="FOU11:FOU12"/>
    <mergeCell ref="FOV11:FOV12"/>
    <mergeCell ref="FOW11:FOW12"/>
    <mergeCell ref="FOL11:FOL12"/>
    <mergeCell ref="FOM11:FOM12"/>
    <mergeCell ref="FON11:FON12"/>
    <mergeCell ref="FOO11:FOO12"/>
    <mergeCell ref="FOP11:FOP12"/>
    <mergeCell ref="FOQ11:FOQ12"/>
    <mergeCell ref="FOF11:FOF12"/>
    <mergeCell ref="FOG11:FOG12"/>
    <mergeCell ref="FOH11:FOH12"/>
    <mergeCell ref="FOI11:FOI12"/>
    <mergeCell ref="FOJ11:FOJ12"/>
    <mergeCell ref="FOK11:FOK12"/>
    <mergeCell ref="FNZ11:FNZ12"/>
    <mergeCell ref="FOA11:FOA12"/>
    <mergeCell ref="FOB11:FOB12"/>
    <mergeCell ref="FOC11:FOC12"/>
    <mergeCell ref="FOD11:FOD12"/>
    <mergeCell ref="FOE11:FOE12"/>
    <mergeCell ref="FNT11:FNT12"/>
    <mergeCell ref="FNU11:FNU12"/>
    <mergeCell ref="FNV11:FNV12"/>
    <mergeCell ref="FNW11:FNW12"/>
    <mergeCell ref="FNX11:FNX12"/>
    <mergeCell ref="FNY11:FNY12"/>
    <mergeCell ref="FNN11:FNN12"/>
    <mergeCell ref="FNO11:FNO12"/>
    <mergeCell ref="FNP11:FNP12"/>
    <mergeCell ref="FNQ11:FNQ12"/>
    <mergeCell ref="FNR11:FNR12"/>
    <mergeCell ref="FNS11:FNS12"/>
    <mergeCell ref="FNH11:FNH12"/>
    <mergeCell ref="FNI11:FNI12"/>
    <mergeCell ref="FNJ11:FNJ12"/>
    <mergeCell ref="FNK11:FNK12"/>
    <mergeCell ref="FNL11:FNL12"/>
    <mergeCell ref="FNM11:FNM12"/>
    <mergeCell ref="FNB11:FNB12"/>
    <mergeCell ref="FNC11:FNC12"/>
    <mergeCell ref="FND11:FND12"/>
    <mergeCell ref="FNE11:FNE12"/>
    <mergeCell ref="FNF11:FNF12"/>
    <mergeCell ref="FNG11:FNG12"/>
    <mergeCell ref="FMV11:FMV12"/>
    <mergeCell ref="FMW11:FMW12"/>
    <mergeCell ref="FMX11:FMX12"/>
    <mergeCell ref="FMY11:FMY12"/>
    <mergeCell ref="FMZ11:FMZ12"/>
    <mergeCell ref="FNA11:FNA12"/>
    <mergeCell ref="FMP11:FMP12"/>
    <mergeCell ref="FMQ11:FMQ12"/>
    <mergeCell ref="FMR11:FMR12"/>
    <mergeCell ref="FMS11:FMS12"/>
    <mergeCell ref="FMT11:FMT12"/>
    <mergeCell ref="FMU11:FMU12"/>
    <mergeCell ref="FMJ11:FMJ12"/>
    <mergeCell ref="FMK11:FMK12"/>
    <mergeCell ref="FML11:FML12"/>
    <mergeCell ref="FMM11:FMM12"/>
    <mergeCell ref="FMN11:FMN12"/>
    <mergeCell ref="FMO11:FMO12"/>
    <mergeCell ref="FMD11:FMD12"/>
    <mergeCell ref="FME11:FME12"/>
    <mergeCell ref="FMF11:FMF12"/>
    <mergeCell ref="FMG11:FMG12"/>
    <mergeCell ref="FMH11:FMH12"/>
    <mergeCell ref="FMI11:FMI12"/>
    <mergeCell ref="FLX11:FLX12"/>
    <mergeCell ref="FLY11:FLY12"/>
    <mergeCell ref="FLZ11:FLZ12"/>
    <mergeCell ref="FMA11:FMA12"/>
    <mergeCell ref="FMB11:FMB12"/>
    <mergeCell ref="FMC11:FMC12"/>
    <mergeCell ref="FLR11:FLR12"/>
    <mergeCell ref="FLS11:FLS12"/>
    <mergeCell ref="FLT11:FLT12"/>
    <mergeCell ref="FLU11:FLU12"/>
    <mergeCell ref="FLV11:FLV12"/>
    <mergeCell ref="FLW11:FLW12"/>
    <mergeCell ref="FLL11:FLL12"/>
    <mergeCell ref="FLM11:FLM12"/>
    <mergeCell ref="FLN11:FLN12"/>
    <mergeCell ref="FLO11:FLO12"/>
    <mergeCell ref="FLP11:FLP12"/>
    <mergeCell ref="FLQ11:FLQ12"/>
    <mergeCell ref="FLF11:FLF12"/>
    <mergeCell ref="FLG11:FLG12"/>
    <mergeCell ref="FLH11:FLH12"/>
    <mergeCell ref="FLI11:FLI12"/>
    <mergeCell ref="FLJ11:FLJ12"/>
    <mergeCell ref="FLK11:FLK12"/>
    <mergeCell ref="FKZ11:FKZ12"/>
    <mergeCell ref="FLA11:FLA12"/>
    <mergeCell ref="FLB11:FLB12"/>
    <mergeCell ref="FLC11:FLC12"/>
    <mergeCell ref="FLD11:FLD12"/>
    <mergeCell ref="FLE11:FLE12"/>
    <mergeCell ref="FKT11:FKT12"/>
    <mergeCell ref="FKU11:FKU12"/>
    <mergeCell ref="FKV11:FKV12"/>
    <mergeCell ref="FKW11:FKW12"/>
    <mergeCell ref="FKX11:FKX12"/>
    <mergeCell ref="FKY11:FKY12"/>
    <mergeCell ref="FKN11:FKN12"/>
    <mergeCell ref="FKO11:FKO12"/>
    <mergeCell ref="FKP11:FKP12"/>
    <mergeCell ref="FKQ11:FKQ12"/>
    <mergeCell ref="FKR11:FKR12"/>
    <mergeCell ref="FKS11:FKS12"/>
    <mergeCell ref="FKH11:FKH12"/>
    <mergeCell ref="FKI11:FKI12"/>
    <mergeCell ref="FKJ11:FKJ12"/>
    <mergeCell ref="FKK11:FKK12"/>
    <mergeCell ref="FKL11:FKL12"/>
    <mergeCell ref="FKM11:FKM12"/>
    <mergeCell ref="FKB11:FKB12"/>
    <mergeCell ref="FKC11:FKC12"/>
    <mergeCell ref="FKD11:FKD12"/>
    <mergeCell ref="FKE11:FKE12"/>
    <mergeCell ref="FKF11:FKF12"/>
    <mergeCell ref="FKG11:FKG12"/>
    <mergeCell ref="FJV11:FJV12"/>
    <mergeCell ref="FJW11:FJW12"/>
    <mergeCell ref="FJX11:FJX12"/>
    <mergeCell ref="FJY11:FJY12"/>
    <mergeCell ref="FJZ11:FJZ12"/>
    <mergeCell ref="FKA11:FKA12"/>
    <mergeCell ref="FJP11:FJP12"/>
    <mergeCell ref="FJQ11:FJQ12"/>
    <mergeCell ref="FJR11:FJR12"/>
    <mergeCell ref="FJS11:FJS12"/>
    <mergeCell ref="FJT11:FJT12"/>
    <mergeCell ref="FJU11:FJU12"/>
    <mergeCell ref="FJJ11:FJJ12"/>
    <mergeCell ref="FJK11:FJK12"/>
    <mergeCell ref="FJL11:FJL12"/>
    <mergeCell ref="FJM11:FJM12"/>
    <mergeCell ref="FJN11:FJN12"/>
    <mergeCell ref="FJO11:FJO12"/>
    <mergeCell ref="FJD11:FJD12"/>
    <mergeCell ref="FJE11:FJE12"/>
    <mergeCell ref="FJF11:FJF12"/>
    <mergeCell ref="FJG11:FJG12"/>
    <mergeCell ref="FJH11:FJH12"/>
    <mergeCell ref="FJI11:FJI12"/>
    <mergeCell ref="FIX11:FIX12"/>
    <mergeCell ref="FIY11:FIY12"/>
    <mergeCell ref="FIZ11:FIZ12"/>
    <mergeCell ref="FJA11:FJA12"/>
    <mergeCell ref="FJB11:FJB12"/>
    <mergeCell ref="FJC11:FJC12"/>
    <mergeCell ref="FIR11:FIR12"/>
    <mergeCell ref="FIS11:FIS12"/>
    <mergeCell ref="FIT11:FIT12"/>
    <mergeCell ref="FIU11:FIU12"/>
    <mergeCell ref="FIV11:FIV12"/>
    <mergeCell ref="FIW11:FIW12"/>
    <mergeCell ref="FIL11:FIL12"/>
    <mergeCell ref="FIM11:FIM12"/>
    <mergeCell ref="FIN11:FIN12"/>
    <mergeCell ref="FIO11:FIO12"/>
    <mergeCell ref="FIP11:FIP12"/>
    <mergeCell ref="FIQ11:FIQ12"/>
    <mergeCell ref="FIF11:FIF12"/>
    <mergeCell ref="FIG11:FIG12"/>
    <mergeCell ref="FIH11:FIH12"/>
    <mergeCell ref="FII11:FII12"/>
    <mergeCell ref="FIJ11:FIJ12"/>
    <mergeCell ref="FIK11:FIK12"/>
    <mergeCell ref="FHZ11:FHZ12"/>
    <mergeCell ref="FIA11:FIA12"/>
    <mergeCell ref="FIB11:FIB12"/>
    <mergeCell ref="FIC11:FIC12"/>
    <mergeCell ref="FID11:FID12"/>
    <mergeCell ref="FIE11:FIE12"/>
    <mergeCell ref="FHT11:FHT12"/>
    <mergeCell ref="FHU11:FHU12"/>
    <mergeCell ref="FHV11:FHV12"/>
    <mergeCell ref="FHW11:FHW12"/>
    <mergeCell ref="FHX11:FHX12"/>
    <mergeCell ref="FHY11:FHY12"/>
    <mergeCell ref="FHN11:FHN12"/>
    <mergeCell ref="FHO11:FHO12"/>
    <mergeCell ref="FHP11:FHP12"/>
    <mergeCell ref="FHQ11:FHQ12"/>
    <mergeCell ref="FHR11:FHR12"/>
    <mergeCell ref="FHS11:FHS12"/>
    <mergeCell ref="FHH11:FHH12"/>
    <mergeCell ref="FHI11:FHI12"/>
    <mergeCell ref="FHJ11:FHJ12"/>
    <mergeCell ref="FHK11:FHK12"/>
    <mergeCell ref="FHL11:FHL12"/>
    <mergeCell ref="FHM11:FHM12"/>
    <mergeCell ref="FHB11:FHB12"/>
    <mergeCell ref="FHC11:FHC12"/>
    <mergeCell ref="FHD11:FHD12"/>
    <mergeCell ref="FHE11:FHE12"/>
    <mergeCell ref="FHF11:FHF12"/>
    <mergeCell ref="FHG11:FHG12"/>
    <mergeCell ref="FGV11:FGV12"/>
    <mergeCell ref="FGW11:FGW12"/>
    <mergeCell ref="FGX11:FGX12"/>
    <mergeCell ref="FGY11:FGY12"/>
    <mergeCell ref="FGZ11:FGZ12"/>
    <mergeCell ref="FHA11:FHA12"/>
    <mergeCell ref="FGP11:FGP12"/>
    <mergeCell ref="FGQ11:FGQ12"/>
    <mergeCell ref="FGR11:FGR12"/>
    <mergeCell ref="FGS11:FGS12"/>
    <mergeCell ref="FGT11:FGT12"/>
    <mergeCell ref="FGU11:FGU12"/>
    <mergeCell ref="FGJ11:FGJ12"/>
    <mergeCell ref="FGK11:FGK12"/>
    <mergeCell ref="FGL11:FGL12"/>
    <mergeCell ref="FGM11:FGM12"/>
    <mergeCell ref="FGN11:FGN12"/>
    <mergeCell ref="FGO11:FGO12"/>
    <mergeCell ref="FGD11:FGD12"/>
    <mergeCell ref="FGE11:FGE12"/>
    <mergeCell ref="FGF11:FGF12"/>
    <mergeCell ref="FGG11:FGG12"/>
    <mergeCell ref="FGH11:FGH12"/>
    <mergeCell ref="FGI11:FGI12"/>
    <mergeCell ref="FFX11:FFX12"/>
    <mergeCell ref="FFY11:FFY12"/>
    <mergeCell ref="FFZ11:FFZ12"/>
    <mergeCell ref="FGA11:FGA12"/>
    <mergeCell ref="FGB11:FGB12"/>
    <mergeCell ref="FGC11:FGC12"/>
    <mergeCell ref="FFR11:FFR12"/>
    <mergeCell ref="FFS11:FFS12"/>
    <mergeCell ref="FFT11:FFT12"/>
    <mergeCell ref="FFU11:FFU12"/>
    <mergeCell ref="FFV11:FFV12"/>
    <mergeCell ref="FFW11:FFW12"/>
    <mergeCell ref="FFL11:FFL12"/>
    <mergeCell ref="FFM11:FFM12"/>
    <mergeCell ref="FFN11:FFN12"/>
    <mergeCell ref="FFO11:FFO12"/>
    <mergeCell ref="FFP11:FFP12"/>
    <mergeCell ref="FFQ11:FFQ12"/>
    <mergeCell ref="FFF11:FFF12"/>
    <mergeCell ref="FFG11:FFG12"/>
    <mergeCell ref="FFH11:FFH12"/>
    <mergeCell ref="FFI11:FFI12"/>
    <mergeCell ref="FFJ11:FFJ12"/>
    <mergeCell ref="FFK11:FFK12"/>
    <mergeCell ref="FEZ11:FEZ12"/>
    <mergeCell ref="FFA11:FFA12"/>
    <mergeCell ref="FFB11:FFB12"/>
    <mergeCell ref="FFC11:FFC12"/>
    <mergeCell ref="FFD11:FFD12"/>
    <mergeCell ref="FFE11:FFE12"/>
    <mergeCell ref="FET11:FET12"/>
    <mergeCell ref="FEU11:FEU12"/>
    <mergeCell ref="FEV11:FEV12"/>
    <mergeCell ref="FEW11:FEW12"/>
    <mergeCell ref="FEX11:FEX12"/>
    <mergeCell ref="FEY11:FEY12"/>
    <mergeCell ref="FEN11:FEN12"/>
    <mergeCell ref="FEO11:FEO12"/>
    <mergeCell ref="FEP11:FEP12"/>
    <mergeCell ref="FEQ11:FEQ12"/>
    <mergeCell ref="FER11:FER12"/>
    <mergeCell ref="FES11:FES12"/>
    <mergeCell ref="FEH11:FEH12"/>
    <mergeCell ref="FEI11:FEI12"/>
    <mergeCell ref="FEJ11:FEJ12"/>
    <mergeCell ref="FEK11:FEK12"/>
    <mergeCell ref="FEL11:FEL12"/>
    <mergeCell ref="FEM11:FEM12"/>
    <mergeCell ref="FEB11:FEB12"/>
    <mergeCell ref="FEC11:FEC12"/>
    <mergeCell ref="FED11:FED12"/>
    <mergeCell ref="FEE11:FEE12"/>
    <mergeCell ref="FEF11:FEF12"/>
    <mergeCell ref="FEG11:FEG12"/>
    <mergeCell ref="FDV11:FDV12"/>
    <mergeCell ref="FDW11:FDW12"/>
    <mergeCell ref="FDX11:FDX12"/>
    <mergeCell ref="FDY11:FDY12"/>
    <mergeCell ref="FDZ11:FDZ12"/>
    <mergeCell ref="FEA11:FEA12"/>
    <mergeCell ref="FDP11:FDP12"/>
    <mergeCell ref="FDQ11:FDQ12"/>
    <mergeCell ref="FDR11:FDR12"/>
    <mergeCell ref="FDS11:FDS12"/>
    <mergeCell ref="FDT11:FDT12"/>
    <mergeCell ref="FDU11:FDU12"/>
    <mergeCell ref="FDJ11:FDJ12"/>
    <mergeCell ref="FDK11:FDK12"/>
    <mergeCell ref="FDL11:FDL12"/>
    <mergeCell ref="FDM11:FDM12"/>
    <mergeCell ref="FDN11:FDN12"/>
    <mergeCell ref="FDO11:FDO12"/>
    <mergeCell ref="FDD11:FDD12"/>
    <mergeCell ref="FDE11:FDE12"/>
    <mergeCell ref="FDF11:FDF12"/>
    <mergeCell ref="FDG11:FDG12"/>
    <mergeCell ref="FDH11:FDH12"/>
    <mergeCell ref="FDI11:FDI12"/>
    <mergeCell ref="FCX11:FCX12"/>
    <mergeCell ref="FCY11:FCY12"/>
    <mergeCell ref="FCZ11:FCZ12"/>
    <mergeCell ref="FDA11:FDA12"/>
    <mergeCell ref="FDB11:FDB12"/>
    <mergeCell ref="FDC11:FDC12"/>
    <mergeCell ref="FCR11:FCR12"/>
    <mergeCell ref="FCS11:FCS12"/>
    <mergeCell ref="FCT11:FCT12"/>
    <mergeCell ref="FCU11:FCU12"/>
    <mergeCell ref="FCV11:FCV12"/>
    <mergeCell ref="FCW11:FCW12"/>
    <mergeCell ref="FCL11:FCL12"/>
    <mergeCell ref="FCM11:FCM12"/>
    <mergeCell ref="FCN11:FCN12"/>
    <mergeCell ref="FCO11:FCO12"/>
    <mergeCell ref="FCP11:FCP12"/>
    <mergeCell ref="FCQ11:FCQ12"/>
    <mergeCell ref="FCF11:FCF12"/>
    <mergeCell ref="FCG11:FCG12"/>
    <mergeCell ref="FCH11:FCH12"/>
    <mergeCell ref="FCI11:FCI12"/>
    <mergeCell ref="FCJ11:FCJ12"/>
    <mergeCell ref="FCK11:FCK12"/>
    <mergeCell ref="FBZ11:FBZ12"/>
    <mergeCell ref="FCA11:FCA12"/>
    <mergeCell ref="FCB11:FCB12"/>
    <mergeCell ref="FCC11:FCC12"/>
    <mergeCell ref="FCD11:FCD12"/>
    <mergeCell ref="FCE11:FCE12"/>
    <mergeCell ref="FBT11:FBT12"/>
    <mergeCell ref="FBU11:FBU12"/>
    <mergeCell ref="FBV11:FBV12"/>
    <mergeCell ref="FBW11:FBW12"/>
    <mergeCell ref="FBX11:FBX12"/>
    <mergeCell ref="FBY11:FBY12"/>
    <mergeCell ref="FBN11:FBN12"/>
    <mergeCell ref="FBO11:FBO12"/>
    <mergeCell ref="FBP11:FBP12"/>
    <mergeCell ref="FBQ11:FBQ12"/>
    <mergeCell ref="FBR11:FBR12"/>
    <mergeCell ref="FBS11:FBS12"/>
    <mergeCell ref="FBH11:FBH12"/>
    <mergeCell ref="FBI11:FBI12"/>
    <mergeCell ref="FBJ11:FBJ12"/>
    <mergeCell ref="FBK11:FBK12"/>
    <mergeCell ref="FBL11:FBL12"/>
    <mergeCell ref="FBM11:FBM12"/>
    <mergeCell ref="FBB11:FBB12"/>
    <mergeCell ref="FBC11:FBC12"/>
    <mergeCell ref="FBD11:FBD12"/>
    <mergeCell ref="FBE11:FBE12"/>
    <mergeCell ref="FBF11:FBF12"/>
    <mergeCell ref="FBG11:FBG12"/>
    <mergeCell ref="FAV11:FAV12"/>
    <mergeCell ref="FAW11:FAW12"/>
    <mergeCell ref="FAX11:FAX12"/>
    <mergeCell ref="FAY11:FAY12"/>
    <mergeCell ref="FAZ11:FAZ12"/>
    <mergeCell ref="FBA11:FBA12"/>
    <mergeCell ref="FAP11:FAP12"/>
    <mergeCell ref="FAQ11:FAQ12"/>
    <mergeCell ref="FAR11:FAR12"/>
    <mergeCell ref="FAS11:FAS12"/>
    <mergeCell ref="FAT11:FAT12"/>
    <mergeCell ref="FAU11:FAU12"/>
    <mergeCell ref="FAJ11:FAJ12"/>
    <mergeCell ref="FAK11:FAK12"/>
    <mergeCell ref="FAL11:FAL12"/>
    <mergeCell ref="FAM11:FAM12"/>
    <mergeCell ref="FAN11:FAN12"/>
    <mergeCell ref="FAO11:FAO12"/>
    <mergeCell ref="FAD11:FAD12"/>
    <mergeCell ref="FAE11:FAE12"/>
    <mergeCell ref="FAF11:FAF12"/>
    <mergeCell ref="FAG11:FAG12"/>
    <mergeCell ref="FAH11:FAH12"/>
    <mergeCell ref="FAI11:FAI12"/>
    <mergeCell ref="EZX11:EZX12"/>
    <mergeCell ref="EZY11:EZY12"/>
    <mergeCell ref="EZZ11:EZZ12"/>
    <mergeCell ref="FAA11:FAA12"/>
    <mergeCell ref="FAB11:FAB12"/>
    <mergeCell ref="FAC11:FAC12"/>
    <mergeCell ref="EZR11:EZR12"/>
    <mergeCell ref="EZS11:EZS12"/>
    <mergeCell ref="EZT11:EZT12"/>
    <mergeCell ref="EZU11:EZU12"/>
    <mergeCell ref="EZV11:EZV12"/>
    <mergeCell ref="EZW11:EZW12"/>
    <mergeCell ref="EZL11:EZL12"/>
    <mergeCell ref="EZM11:EZM12"/>
    <mergeCell ref="EZN11:EZN12"/>
    <mergeCell ref="EZO11:EZO12"/>
    <mergeCell ref="EZP11:EZP12"/>
    <mergeCell ref="EZQ11:EZQ12"/>
    <mergeCell ref="EZF11:EZF12"/>
    <mergeCell ref="EZG11:EZG12"/>
    <mergeCell ref="EZH11:EZH12"/>
    <mergeCell ref="EZI11:EZI12"/>
    <mergeCell ref="EZJ11:EZJ12"/>
    <mergeCell ref="EZK11:EZK12"/>
    <mergeCell ref="EYZ11:EYZ12"/>
    <mergeCell ref="EZA11:EZA12"/>
    <mergeCell ref="EZB11:EZB12"/>
    <mergeCell ref="EZC11:EZC12"/>
    <mergeCell ref="EZD11:EZD12"/>
    <mergeCell ref="EZE11:EZE12"/>
    <mergeCell ref="EYT11:EYT12"/>
    <mergeCell ref="EYU11:EYU12"/>
    <mergeCell ref="EYV11:EYV12"/>
    <mergeCell ref="EYW11:EYW12"/>
    <mergeCell ref="EYX11:EYX12"/>
    <mergeCell ref="EYY11:EYY12"/>
    <mergeCell ref="EYN11:EYN12"/>
    <mergeCell ref="EYO11:EYO12"/>
    <mergeCell ref="EYP11:EYP12"/>
    <mergeCell ref="EYQ11:EYQ12"/>
    <mergeCell ref="EYR11:EYR12"/>
    <mergeCell ref="EYS11:EYS12"/>
    <mergeCell ref="EYH11:EYH12"/>
    <mergeCell ref="EYI11:EYI12"/>
    <mergeCell ref="EYJ11:EYJ12"/>
    <mergeCell ref="EYK11:EYK12"/>
    <mergeCell ref="EYL11:EYL12"/>
    <mergeCell ref="EYM11:EYM12"/>
    <mergeCell ref="EYB11:EYB12"/>
    <mergeCell ref="EYC11:EYC12"/>
    <mergeCell ref="EYD11:EYD12"/>
    <mergeCell ref="EYE11:EYE12"/>
    <mergeCell ref="EYF11:EYF12"/>
    <mergeCell ref="EYG11:EYG12"/>
    <mergeCell ref="EXV11:EXV12"/>
    <mergeCell ref="EXW11:EXW12"/>
    <mergeCell ref="EXX11:EXX12"/>
    <mergeCell ref="EXY11:EXY12"/>
    <mergeCell ref="EXZ11:EXZ12"/>
    <mergeCell ref="EYA11:EYA12"/>
    <mergeCell ref="EXP11:EXP12"/>
    <mergeCell ref="EXQ11:EXQ12"/>
    <mergeCell ref="EXR11:EXR12"/>
    <mergeCell ref="EXS11:EXS12"/>
    <mergeCell ref="EXT11:EXT12"/>
    <mergeCell ref="EXU11:EXU12"/>
    <mergeCell ref="EXJ11:EXJ12"/>
    <mergeCell ref="EXK11:EXK12"/>
    <mergeCell ref="EXL11:EXL12"/>
    <mergeCell ref="EXM11:EXM12"/>
    <mergeCell ref="EXN11:EXN12"/>
    <mergeCell ref="EXO11:EXO12"/>
    <mergeCell ref="EXD11:EXD12"/>
    <mergeCell ref="EXE11:EXE12"/>
    <mergeCell ref="EXF11:EXF12"/>
    <mergeCell ref="EXG11:EXG12"/>
    <mergeCell ref="EXH11:EXH12"/>
    <mergeCell ref="EXI11:EXI12"/>
    <mergeCell ref="EWX11:EWX12"/>
    <mergeCell ref="EWY11:EWY12"/>
    <mergeCell ref="EWZ11:EWZ12"/>
    <mergeCell ref="EXA11:EXA12"/>
    <mergeCell ref="EXB11:EXB12"/>
    <mergeCell ref="EXC11:EXC12"/>
    <mergeCell ref="EWR11:EWR12"/>
    <mergeCell ref="EWS11:EWS12"/>
    <mergeCell ref="EWT11:EWT12"/>
    <mergeCell ref="EWU11:EWU12"/>
    <mergeCell ref="EWV11:EWV12"/>
    <mergeCell ref="EWW11:EWW12"/>
    <mergeCell ref="EWL11:EWL12"/>
    <mergeCell ref="EWM11:EWM12"/>
    <mergeCell ref="EWN11:EWN12"/>
    <mergeCell ref="EWO11:EWO12"/>
    <mergeCell ref="EWP11:EWP12"/>
    <mergeCell ref="EWQ11:EWQ12"/>
    <mergeCell ref="EWF11:EWF12"/>
    <mergeCell ref="EWG11:EWG12"/>
    <mergeCell ref="EWH11:EWH12"/>
    <mergeCell ref="EWI11:EWI12"/>
    <mergeCell ref="EWJ11:EWJ12"/>
    <mergeCell ref="EWK11:EWK12"/>
    <mergeCell ref="EVZ11:EVZ12"/>
    <mergeCell ref="EWA11:EWA12"/>
    <mergeCell ref="EWB11:EWB12"/>
    <mergeCell ref="EWC11:EWC12"/>
    <mergeCell ref="EWD11:EWD12"/>
    <mergeCell ref="EWE11:EWE12"/>
    <mergeCell ref="EVT11:EVT12"/>
    <mergeCell ref="EVU11:EVU12"/>
    <mergeCell ref="EVV11:EVV12"/>
    <mergeCell ref="EVW11:EVW12"/>
    <mergeCell ref="EVX11:EVX12"/>
    <mergeCell ref="EVY11:EVY12"/>
    <mergeCell ref="EVN11:EVN12"/>
    <mergeCell ref="EVO11:EVO12"/>
    <mergeCell ref="EVP11:EVP12"/>
    <mergeCell ref="EVQ11:EVQ12"/>
    <mergeCell ref="EVR11:EVR12"/>
    <mergeCell ref="EVS11:EVS12"/>
    <mergeCell ref="EVH11:EVH12"/>
    <mergeCell ref="EVI11:EVI12"/>
    <mergeCell ref="EVJ11:EVJ12"/>
    <mergeCell ref="EVK11:EVK12"/>
    <mergeCell ref="EVL11:EVL12"/>
    <mergeCell ref="EVM11:EVM12"/>
    <mergeCell ref="EVB11:EVB12"/>
    <mergeCell ref="EVC11:EVC12"/>
    <mergeCell ref="EVD11:EVD12"/>
    <mergeCell ref="EVE11:EVE12"/>
    <mergeCell ref="EVF11:EVF12"/>
    <mergeCell ref="EVG11:EVG12"/>
    <mergeCell ref="EUV11:EUV12"/>
    <mergeCell ref="EUW11:EUW12"/>
    <mergeCell ref="EUX11:EUX12"/>
    <mergeCell ref="EUY11:EUY12"/>
    <mergeCell ref="EUZ11:EUZ12"/>
    <mergeCell ref="EVA11:EVA12"/>
    <mergeCell ref="EUP11:EUP12"/>
    <mergeCell ref="EUQ11:EUQ12"/>
    <mergeCell ref="EUR11:EUR12"/>
    <mergeCell ref="EUS11:EUS12"/>
    <mergeCell ref="EUT11:EUT12"/>
    <mergeCell ref="EUU11:EUU12"/>
    <mergeCell ref="EUJ11:EUJ12"/>
    <mergeCell ref="EUK11:EUK12"/>
    <mergeCell ref="EUL11:EUL12"/>
    <mergeCell ref="EUM11:EUM12"/>
    <mergeCell ref="EUN11:EUN12"/>
    <mergeCell ref="EUO11:EUO12"/>
    <mergeCell ref="EUD11:EUD12"/>
    <mergeCell ref="EUE11:EUE12"/>
    <mergeCell ref="EUF11:EUF12"/>
    <mergeCell ref="EUG11:EUG12"/>
    <mergeCell ref="EUH11:EUH12"/>
    <mergeCell ref="EUI11:EUI12"/>
    <mergeCell ref="ETX11:ETX12"/>
    <mergeCell ref="ETY11:ETY12"/>
    <mergeCell ref="ETZ11:ETZ12"/>
    <mergeCell ref="EUA11:EUA12"/>
    <mergeCell ref="EUB11:EUB12"/>
    <mergeCell ref="EUC11:EUC12"/>
    <mergeCell ref="ETR11:ETR12"/>
    <mergeCell ref="ETS11:ETS12"/>
    <mergeCell ref="ETT11:ETT12"/>
    <mergeCell ref="ETU11:ETU12"/>
    <mergeCell ref="ETV11:ETV12"/>
    <mergeCell ref="ETW11:ETW12"/>
    <mergeCell ref="ETL11:ETL12"/>
    <mergeCell ref="ETM11:ETM12"/>
    <mergeCell ref="ETN11:ETN12"/>
    <mergeCell ref="ETO11:ETO12"/>
    <mergeCell ref="ETP11:ETP12"/>
    <mergeCell ref="ETQ11:ETQ12"/>
    <mergeCell ref="ETF11:ETF12"/>
    <mergeCell ref="ETG11:ETG12"/>
    <mergeCell ref="ETH11:ETH12"/>
    <mergeCell ref="ETI11:ETI12"/>
    <mergeCell ref="ETJ11:ETJ12"/>
    <mergeCell ref="ETK11:ETK12"/>
    <mergeCell ref="ESZ11:ESZ12"/>
    <mergeCell ref="ETA11:ETA12"/>
    <mergeCell ref="ETB11:ETB12"/>
    <mergeCell ref="ETC11:ETC12"/>
    <mergeCell ref="ETD11:ETD12"/>
    <mergeCell ref="ETE11:ETE12"/>
    <mergeCell ref="EST11:EST12"/>
    <mergeCell ref="ESU11:ESU12"/>
    <mergeCell ref="ESV11:ESV12"/>
    <mergeCell ref="ESW11:ESW12"/>
    <mergeCell ref="ESX11:ESX12"/>
    <mergeCell ref="ESY11:ESY12"/>
    <mergeCell ref="ESN11:ESN12"/>
    <mergeCell ref="ESO11:ESO12"/>
    <mergeCell ref="ESP11:ESP12"/>
    <mergeCell ref="ESQ11:ESQ12"/>
    <mergeCell ref="ESR11:ESR12"/>
    <mergeCell ref="ESS11:ESS12"/>
    <mergeCell ref="ESH11:ESH12"/>
    <mergeCell ref="ESI11:ESI12"/>
    <mergeCell ref="ESJ11:ESJ12"/>
    <mergeCell ref="ESK11:ESK12"/>
    <mergeCell ref="ESL11:ESL12"/>
    <mergeCell ref="ESM11:ESM12"/>
    <mergeCell ref="ESB11:ESB12"/>
    <mergeCell ref="ESC11:ESC12"/>
    <mergeCell ref="ESD11:ESD12"/>
    <mergeCell ref="ESE11:ESE12"/>
    <mergeCell ref="ESF11:ESF12"/>
    <mergeCell ref="ESG11:ESG12"/>
    <mergeCell ref="ERV11:ERV12"/>
    <mergeCell ref="ERW11:ERW12"/>
    <mergeCell ref="ERX11:ERX12"/>
    <mergeCell ref="ERY11:ERY12"/>
    <mergeCell ref="ERZ11:ERZ12"/>
    <mergeCell ref="ESA11:ESA12"/>
    <mergeCell ref="ERP11:ERP12"/>
    <mergeCell ref="ERQ11:ERQ12"/>
    <mergeCell ref="ERR11:ERR12"/>
    <mergeCell ref="ERS11:ERS12"/>
    <mergeCell ref="ERT11:ERT12"/>
    <mergeCell ref="ERU11:ERU12"/>
    <mergeCell ref="ERJ11:ERJ12"/>
    <mergeCell ref="ERK11:ERK12"/>
    <mergeCell ref="ERL11:ERL12"/>
    <mergeCell ref="ERM11:ERM12"/>
    <mergeCell ref="ERN11:ERN12"/>
    <mergeCell ref="ERO11:ERO12"/>
    <mergeCell ref="ERD11:ERD12"/>
    <mergeCell ref="ERE11:ERE12"/>
    <mergeCell ref="ERF11:ERF12"/>
    <mergeCell ref="ERG11:ERG12"/>
    <mergeCell ref="ERH11:ERH12"/>
    <mergeCell ref="ERI11:ERI12"/>
    <mergeCell ref="EQX11:EQX12"/>
    <mergeCell ref="EQY11:EQY12"/>
    <mergeCell ref="EQZ11:EQZ12"/>
    <mergeCell ref="ERA11:ERA12"/>
    <mergeCell ref="ERB11:ERB12"/>
    <mergeCell ref="ERC11:ERC12"/>
    <mergeCell ref="EQR11:EQR12"/>
    <mergeCell ref="EQS11:EQS12"/>
    <mergeCell ref="EQT11:EQT12"/>
    <mergeCell ref="EQU11:EQU12"/>
    <mergeCell ref="EQV11:EQV12"/>
    <mergeCell ref="EQW11:EQW12"/>
    <mergeCell ref="EQL11:EQL12"/>
    <mergeCell ref="EQM11:EQM12"/>
    <mergeCell ref="EQN11:EQN12"/>
    <mergeCell ref="EQO11:EQO12"/>
    <mergeCell ref="EQP11:EQP12"/>
    <mergeCell ref="EQQ11:EQQ12"/>
    <mergeCell ref="EQF11:EQF12"/>
    <mergeCell ref="EQG11:EQG12"/>
    <mergeCell ref="EQH11:EQH12"/>
    <mergeCell ref="EQI11:EQI12"/>
    <mergeCell ref="EQJ11:EQJ12"/>
    <mergeCell ref="EQK11:EQK12"/>
    <mergeCell ref="EPZ11:EPZ12"/>
    <mergeCell ref="EQA11:EQA12"/>
    <mergeCell ref="EQB11:EQB12"/>
    <mergeCell ref="EQC11:EQC12"/>
    <mergeCell ref="EQD11:EQD12"/>
    <mergeCell ref="EQE11:EQE12"/>
    <mergeCell ref="EPT11:EPT12"/>
    <mergeCell ref="EPU11:EPU12"/>
    <mergeCell ref="EPV11:EPV12"/>
    <mergeCell ref="EPW11:EPW12"/>
    <mergeCell ref="EPX11:EPX12"/>
    <mergeCell ref="EPY11:EPY12"/>
    <mergeCell ref="EPN11:EPN12"/>
    <mergeCell ref="EPO11:EPO12"/>
    <mergeCell ref="EPP11:EPP12"/>
    <mergeCell ref="EPQ11:EPQ12"/>
    <mergeCell ref="EPR11:EPR12"/>
    <mergeCell ref="EPS11:EPS12"/>
    <mergeCell ref="EPH11:EPH12"/>
    <mergeCell ref="EPI11:EPI12"/>
    <mergeCell ref="EPJ11:EPJ12"/>
    <mergeCell ref="EPK11:EPK12"/>
    <mergeCell ref="EPL11:EPL12"/>
    <mergeCell ref="EPM11:EPM12"/>
    <mergeCell ref="EPB11:EPB12"/>
    <mergeCell ref="EPC11:EPC12"/>
    <mergeCell ref="EPD11:EPD12"/>
    <mergeCell ref="EPE11:EPE12"/>
    <mergeCell ref="EPF11:EPF12"/>
    <mergeCell ref="EPG11:EPG12"/>
    <mergeCell ref="EOV11:EOV12"/>
    <mergeCell ref="EOW11:EOW12"/>
    <mergeCell ref="EOX11:EOX12"/>
    <mergeCell ref="EOY11:EOY12"/>
    <mergeCell ref="EOZ11:EOZ12"/>
    <mergeCell ref="EPA11:EPA12"/>
    <mergeCell ref="EOP11:EOP12"/>
    <mergeCell ref="EOQ11:EOQ12"/>
    <mergeCell ref="EOR11:EOR12"/>
    <mergeCell ref="EOS11:EOS12"/>
    <mergeCell ref="EOT11:EOT12"/>
    <mergeCell ref="EOU11:EOU12"/>
    <mergeCell ref="EOJ11:EOJ12"/>
    <mergeCell ref="EOK11:EOK12"/>
    <mergeCell ref="EOL11:EOL12"/>
    <mergeCell ref="EOM11:EOM12"/>
    <mergeCell ref="EON11:EON12"/>
    <mergeCell ref="EOO11:EOO12"/>
    <mergeCell ref="EOD11:EOD12"/>
    <mergeCell ref="EOE11:EOE12"/>
    <mergeCell ref="EOF11:EOF12"/>
    <mergeCell ref="EOG11:EOG12"/>
    <mergeCell ref="EOH11:EOH12"/>
    <mergeCell ref="EOI11:EOI12"/>
    <mergeCell ref="ENX11:ENX12"/>
    <mergeCell ref="ENY11:ENY12"/>
    <mergeCell ref="ENZ11:ENZ12"/>
    <mergeCell ref="EOA11:EOA12"/>
    <mergeCell ref="EOB11:EOB12"/>
    <mergeCell ref="EOC11:EOC12"/>
    <mergeCell ref="ENR11:ENR12"/>
    <mergeCell ref="ENS11:ENS12"/>
    <mergeCell ref="ENT11:ENT12"/>
    <mergeCell ref="ENU11:ENU12"/>
    <mergeCell ref="ENV11:ENV12"/>
    <mergeCell ref="ENW11:ENW12"/>
    <mergeCell ref="ENL11:ENL12"/>
    <mergeCell ref="ENM11:ENM12"/>
    <mergeCell ref="ENN11:ENN12"/>
    <mergeCell ref="ENO11:ENO12"/>
    <mergeCell ref="ENP11:ENP12"/>
    <mergeCell ref="ENQ11:ENQ12"/>
    <mergeCell ref="ENF11:ENF12"/>
    <mergeCell ref="ENG11:ENG12"/>
    <mergeCell ref="ENH11:ENH12"/>
    <mergeCell ref="ENI11:ENI12"/>
    <mergeCell ref="ENJ11:ENJ12"/>
    <mergeCell ref="ENK11:ENK12"/>
    <mergeCell ref="EMZ11:EMZ12"/>
    <mergeCell ref="ENA11:ENA12"/>
    <mergeCell ref="ENB11:ENB12"/>
    <mergeCell ref="ENC11:ENC12"/>
    <mergeCell ref="END11:END12"/>
    <mergeCell ref="ENE11:ENE12"/>
    <mergeCell ref="EMT11:EMT12"/>
    <mergeCell ref="EMU11:EMU12"/>
    <mergeCell ref="EMV11:EMV12"/>
    <mergeCell ref="EMW11:EMW12"/>
    <mergeCell ref="EMX11:EMX12"/>
    <mergeCell ref="EMY11:EMY12"/>
    <mergeCell ref="EMN11:EMN12"/>
    <mergeCell ref="EMO11:EMO12"/>
    <mergeCell ref="EMP11:EMP12"/>
    <mergeCell ref="EMQ11:EMQ12"/>
    <mergeCell ref="EMR11:EMR12"/>
    <mergeCell ref="EMS11:EMS12"/>
    <mergeCell ref="EMH11:EMH12"/>
    <mergeCell ref="EMI11:EMI12"/>
    <mergeCell ref="EMJ11:EMJ12"/>
    <mergeCell ref="EMK11:EMK12"/>
    <mergeCell ref="EML11:EML12"/>
    <mergeCell ref="EMM11:EMM12"/>
    <mergeCell ref="EMB11:EMB12"/>
    <mergeCell ref="EMC11:EMC12"/>
    <mergeCell ref="EMD11:EMD12"/>
    <mergeCell ref="EME11:EME12"/>
    <mergeCell ref="EMF11:EMF12"/>
    <mergeCell ref="EMG11:EMG12"/>
    <mergeCell ref="ELV11:ELV12"/>
    <mergeCell ref="ELW11:ELW12"/>
    <mergeCell ref="ELX11:ELX12"/>
    <mergeCell ref="ELY11:ELY12"/>
    <mergeCell ref="ELZ11:ELZ12"/>
    <mergeCell ref="EMA11:EMA12"/>
    <mergeCell ref="ELP11:ELP12"/>
    <mergeCell ref="ELQ11:ELQ12"/>
    <mergeCell ref="ELR11:ELR12"/>
    <mergeCell ref="ELS11:ELS12"/>
    <mergeCell ref="ELT11:ELT12"/>
    <mergeCell ref="ELU11:ELU12"/>
    <mergeCell ref="ELJ11:ELJ12"/>
    <mergeCell ref="ELK11:ELK12"/>
    <mergeCell ref="ELL11:ELL12"/>
    <mergeCell ref="ELM11:ELM12"/>
    <mergeCell ref="ELN11:ELN12"/>
    <mergeCell ref="ELO11:ELO12"/>
    <mergeCell ref="ELD11:ELD12"/>
    <mergeCell ref="ELE11:ELE12"/>
    <mergeCell ref="ELF11:ELF12"/>
    <mergeCell ref="ELG11:ELG12"/>
    <mergeCell ref="ELH11:ELH12"/>
    <mergeCell ref="ELI11:ELI12"/>
    <mergeCell ref="EKX11:EKX12"/>
    <mergeCell ref="EKY11:EKY12"/>
    <mergeCell ref="EKZ11:EKZ12"/>
    <mergeCell ref="ELA11:ELA12"/>
    <mergeCell ref="ELB11:ELB12"/>
    <mergeCell ref="ELC11:ELC12"/>
    <mergeCell ref="EKR11:EKR12"/>
    <mergeCell ref="EKS11:EKS12"/>
    <mergeCell ref="EKT11:EKT12"/>
    <mergeCell ref="EKU11:EKU12"/>
    <mergeCell ref="EKV11:EKV12"/>
    <mergeCell ref="EKW11:EKW12"/>
    <mergeCell ref="EKL11:EKL12"/>
    <mergeCell ref="EKM11:EKM12"/>
    <mergeCell ref="EKN11:EKN12"/>
    <mergeCell ref="EKO11:EKO12"/>
    <mergeCell ref="EKP11:EKP12"/>
    <mergeCell ref="EKQ11:EKQ12"/>
    <mergeCell ref="EKF11:EKF12"/>
    <mergeCell ref="EKG11:EKG12"/>
    <mergeCell ref="EKH11:EKH12"/>
    <mergeCell ref="EKI11:EKI12"/>
    <mergeCell ref="EKJ11:EKJ12"/>
    <mergeCell ref="EKK11:EKK12"/>
    <mergeCell ref="EJZ11:EJZ12"/>
    <mergeCell ref="EKA11:EKA12"/>
    <mergeCell ref="EKB11:EKB12"/>
    <mergeCell ref="EKC11:EKC12"/>
    <mergeCell ref="EKD11:EKD12"/>
    <mergeCell ref="EKE11:EKE12"/>
    <mergeCell ref="EJT11:EJT12"/>
    <mergeCell ref="EJU11:EJU12"/>
    <mergeCell ref="EJV11:EJV12"/>
    <mergeCell ref="EJW11:EJW12"/>
    <mergeCell ref="EJX11:EJX12"/>
    <mergeCell ref="EJY11:EJY12"/>
    <mergeCell ref="EJN11:EJN12"/>
    <mergeCell ref="EJO11:EJO12"/>
    <mergeCell ref="EJP11:EJP12"/>
    <mergeCell ref="EJQ11:EJQ12"/>
    <mergeCell ref="EJR11:EJR12"/>
    <mergeCell ref="EJS11:EJS12"/>
    <mergeCell ref="EJH11:EJH12"/>
    <mergeCell ref="EJI11:EJI12"/>
    <mergeCell ref="EJJ11:EJJ12"/>
    <mergeCell ref="EJK11:EJK12"/>
    <mergeCell ref="EJL11:EJL12"/>
    <mergeCell ref="EJM11:EJM12"/>
    <mergeCell ref="EJB11:EJB12"/>
    <mergeCell ref="EJC11:EJC12"/>
    <mergeCell ref="EJD11:EJD12"/>
    <mergeCell ref="EJE11:EJE12"/>
    <mergeCell ref="EJF11:EJF12"/>
    <mergeCell ref="EJG11:EJG12"/>
    <mergeCell ref="EIV11:EIV12"/>
    <mergeCell ref="EIW11:EIW12"/>
    <mergeCell ref="EIX11:EIX12"/>
    <mergeCell ref="EIY11:EIY12"/>
    <mergeCell ref="EIZ11:EIZ12"/>
    <mergeCell ref="EJA11:EJA12"/>
    <mergeCell ref="EIP11:EIP12"/>
    <mergeCell ref="EIQ11:EIQ12"/>
    <mergeCell ref="EIR11:EIR12"/>
    <mergeCell ref="EIS11:EIS12"/>
    <mergeCell ref="EIT11:EIT12"/>
    <mergeCell ref="EIU11:EIU12"/>
    <mergeCell ref="EIJ11:EIJ12"/>
    <mergeCell ref="EIK11:EIK12"/>
    <mergeCell ref="EIL11:EIL12"/>
    <mergeCell ref="EIM11:EIM12"/>
    <mergeCell ref="EIN11:EIN12"/>
    <mergeCell ref="EIO11:EIO12"/>
    <mergeCell ref="EID11:EID12"/>
    <mergeCell ref="EIE11:EIE12"/>
    <mergeCell ref="EIF11:EIF12"/>
    <mergeCell ref="EIG11:EIG12"/>
    <mergeCell ref="EIH11:EIH12"/>
    <mergeCell ref="EII11:EII12"/>
    <mergeCell ref="EHX11:EHX12"/>
    <mergeCell ref="EHY11:EHY12"/>
    <mergeCell ref="EHZ11:EHZ12"/>
    <mergeCell ref="EIA11:EIA12"/>
    <mergeCell ref="EIB11:EIB12"/>
    <mergeCell ref="EIC11:EIC12"/>
    <mergeCell ref="EHR11:EHR12"/>
    <mergeCell ref="EHS11:EHS12"/>
    <mergeCell ref="EHT11:EHT12"/>
    <mergeCell ref="EHU11:EHU12"/>
    <mergeCell ref="EHV11:EHV12"/>
    <mergeCell ref="EHW11:EHW12"/>
    <mergeCell ref="EHL11:EHL12"/>
    <mergeCell ref="EHM11:EHM12"/>
    <mergeCell ref="EHN11:EHN12"/>
    <mergeCell ref="EHO11:EHO12"/>
    <mergeCell ref="EHP11:EHP12"/>
    <mergeCell ref="EHQ11:EHQ12"/>
    <mergeCell ref="EHF11:EHF12"/>
    <mergeCell ref="EHG11:EHG12"/>
    <mergeCell ref="EHH11:EHH12"/>
    <mergeCell ref="EHI11:EHI12"/>
    <mergeCell ref="EHJ11:EHJ12"/>
    <mergeCell ref="EHK11:EHK12"/>
    <mergeCell ref="EGZ11:EGZ12"/>
    <mergeCell ref="EHA11:EHA12"/>
    <mergeCell ref="EHB11:EHB12"/>
    <mergeCell ref="EHC11:EHC12"/>
    <mergeCell ref="EHD11:EHD12"/>
    <mergeCell ref="EHE11:EHE12"/>
    <mergeCell ref="EGT11:EGT12"/>
    <mergeCell ref="EGU11:EGU12"/>
    <mergeCell ref="EGV11:EGV12"/>
    <mergeCell ref="EGW11:EGW12"/>
    <mergeCell ref="EGX11:EGX12"/>
    <mergeCell ref="EGY11:EGY12"/>
    <mergeCell ref="EGN11:EGN12"/>
    <mergeCell ref="EGO11:EGO12"/>
    <mergeCell ref="EGP11:EGP12"/>
    <mergeCell ref="EGQ11:EGQ12"/>
    <mergeCell ref="EGR11:EGR12"/>
    <mergeCell ref="EGS11:EGS12"/>
    <mergeCell ref="EGH11:EGH12"/>
    <mergeCell ref="EGI11:EGI12"/>
    <mergeCell ref="EGJ11:EGJ12"/>
    <mergeCell ref="EGK11:EGK12"/>
    <mergeCell ref="EGL11:EGL12"/>
    <mergeCell ref="EGM11:EGM12"/>
    <mergeCell ref="EGB11:EGB12"/>
    <mergeCell ref="EGC11:EGC12"/>
    <mergeCell ref="EGD11:EGD12"/>
    <mergeCell ref="EGE11:EGE12"/>
    <mergeCell ref="EGF11:EGF12"/>
    <mergeCell ref="EGG11:EGG12"/>
    <mergeCell ref="EFV11:EFV12"/>
    <mergeCell ref="EFW11:EFW12"/>
    <mergeCell ref="EFX11:EFX12"/>
    <mergeCell ref="EFY11:EFY12"/>
    <mergeCell ref="EFZ11:EFZ12"/>
    <mergeCell ref="EGA11:EGA12"/>
    <mergeCell ref="EFP11:EFP12"/>
    <mergeCell ref="EFQ11:EFQ12"/>
    <mergeCell ref="EFR11:EFR12"/>
    <mergeCell ref="EFS11:EFS12"/>
    <mergeCell ref="EFT11:EFT12"/>
    <mergeCell ref="EFU11:EFU12"/>
    <mergeCell ref="EFJ11:EFJ12"/>
    <mergeCell ref="EFK11:EFK12"/>
    <mergeCell ref="EFL11:EFL12"/>
    <mergeCell ref="EFM11:EFM12"/>
    <mergeCell ref="EFN11:EFN12"/>
    <mergeCell ref="EFO11:EFO12"/>
    <mergeCell ref="EFD11:EFD12"/>
    <mergeCell ref="EFE11:EFE12"/>
    <mergeCell ref="EFF11:EFF12"/>
    <mergeCell ref="EFG11:EFG12"/>
    <mergeCell ref="EFH11:EFH12"/>
    <mergeCell ref="EFI11:EFI12"/>
    <mergeCell ref="EEX11:EEX12"/>
    <mergeCell ref="EEY11:EEY12"/>
    <mergeCell ref="EEZ11:EEZ12"/>
    <mergeCell ref="EFA11:EFA12"/>
    <mergeCell ref="EFB11:EFB12"/>
    <mergeCell ref="EFC11:EFC12"/>
    <mergeCell ref="EER11:EER12"/>
    <mergeCell ref="EES11:EES12"/>
    <mergeCell ref="EET11:EET12"/>
    <mergeCell ref="EEU11:EEU12"/>
    <mergeCell ref="EEV11:EEV12"/>
    <mergeCell ref="EEW11:EEW12"/>
    <mergeCell ref="EEL11:EEL12"/>
    <mergeCell ref="EEM11:EEM12"/>
    <mergeCell ref="EEN11:EEN12"/>
    <mergeCell ref="EEO11:EEO12"/>
    <mergeCell ref="EEP11:EEP12"/>
    <mergeCell ref="EEQ11:EEQ12"/>
    <mergeCell ref="EEF11:EEF12"/>
    <mergeCell ref="EEG11:EEG12"/>
    <mergeCell ref="EEH11:EEH12"/>
    <mergeCell ref="EEI11:EEI12"/>
    <mergeCell ref="EEJ11:EEJ12"/>
    <mergeCell ref="EEK11:EEK12"/>
    <mergeCell ref="EDZ11:EDZ12"/>
    <mergeCell ref="EEA11:EEA12"/>
    <mergeCell ref="EEB11:EEB12"/>
    <mergeCell ref="EEC11:EEC12"/>
    <mergeCell ref="EED11:EED12"/>
    <mergeCell ref="EEE11:EEE12"/>
    <mergeCell ref="EDT11:EDT12"/>
    <mergeCell ref="EDU11:EDU12"/>
    <mergeCell ref="EDV11:EDV12"/>
    <mergeCell ref="EDW11:EDW12"/>
    <mergeCell ref="EDX11:EDX12"/>
    <mergeCell ref="EDY11:EDY12"/>
    <mergeCell ref="EDN11:EDN12"/>
    <mergeCell ref="EDO11:EDO12"/>
    <mergeCell ref="EDP11:EDP12"/>
    <mergeCell ref="EDQ11:EDQ12"/>
    <mergeCell ref="EDR11:EDR12"/>
    <mergeCell ref="EDS11:EDS12"/>
    <mergeCell ref="EDH11:EDH12"/>
    <mergeCell ref="EDI11:EDI12"/>
    <mergeCell ref="EDJ11:EDJ12"/>
    <mergeCell ref="EDK11:EDK12"/>
    <mergeCell ref="EDL11:EDL12"/>
    <mergeCell ref="EDM11:EDM12"/>
    <mergeCell ref="EDB11:EDB12"/>
    <mergeCell ref="EDC11:EDC12"/>
    <mergeCell ref="EDD11:EDD12"/>
    <mergeCell ref="EDE11:EDE12"/>
    <mergeCell ref="EDF11:EDF12"/>
    <mergeCell ref="EDG11:EDG12"/>
    <mergeCell ref="ECV11:ECV12"/>
    <mergeCell ref="ECW11:ECW12"/>
    <mergeCell ref="ECX11:ECX12"/>
    <mergeCell ref="ECY11:ECY12"/>
    <mergeCell ref="ECZ11:ECZ12"/>
    <mergeCell ref="EDA11:EDA12"/>
    <mergeCell ref="ECP11:ECP12"/>
    <mergeCell ref="ECQ11:ECQ12"/>
    <mergeCell ref="ECR11:ECR12"/>
    <mergeCell ref="ECS11:ECS12"/>
    <mergeCell ref="ECT11:ECT12"/>
    <mergeCell ref="ECU11:ECU12"/>
    <mergeCell ref="ECJ11:ECJ12"/>
    <mergeCell ref="ECK11:ECK12"/>
    <mergeCell ref="ECL11:ECL12"/>
    <mergeCell ref="ECM11:ECM12"/>
    <mergeCell ref="ECN11:ECN12"/>
    <mergeCell ref="ECO11:ECO12"/>
    <mergeCell ref="ECD11:ECD12"/>
    <mergeCell ref="ECE11:ECE12"/>
    <mergeCell ref="ECF11:ECF12"/>
    <mergeCell ref="ECG11:ECG12"/>
    <mergeCell ref="ECH11:ECH12"/>
    <mergeCell ref="ECI11:ECI12"/>
    <mergeCell ref="EBX11:EBX12"/>
    <mergeCell ref="EBY11:EBY12"/>
    <mergeCell ref="EBZ11:EBZ12"/>
    <mergeCell ref="ECA11:ECA12"/>
    <mergeCell ref="ECB11:ECB12"/>
    <mergeCell ref="ECC11:ECC12"/>
    <mergeCell ref="EBR11:EBR12"/>
    <mergeCell ref="EBS11:EBS12"/>
    <mergeCell ref="EBT11:EBT12"/>
    <mergeCell ref="EBU11:EBU12"/>
    <mergeCell ref="EBV11:EBV12"/>
    <mergeCell ref="EBW11:EBW12"/>
    <mergeCell ref="EBL11:EBL12"/>
    <mergeCell ref="EBM11:EBM12"/>
    <mergeCell ref="EBN11:EBN12"/>
    <mergeCell ref="EBO11:EBO12"/>
    <mergeCell ref="EBP11:EBP12"/>
    <mergeCell ref="EBQ11:EBQ12"/>
    <mergeCell ref="EBF11:EBF12"/>
    <mergeCell ref="EBG11:EBG12"/>
    <mergeCell ref="EBH11:EBH12"/>
    <mergeCell ref="EBI11:EBI12"/>
    <mergeCell ref="EBJ11:EBJ12"/>
    <mergeCell ref="EBK11:EBK12"/>
    <mergeCell ref="EAZ11:EAZ12"/>
    <mergeCell ref="EBA11:EBA12"/>
    <mergeCell ref="EBB11:EBB12"/>
    <mergeCell ref="EBC11:EBC12"/>
    <mergeCell ref="EBD11:EBD12"/>
    <mergeCell ref="EBE11:EBE12"/>
    <mergeCell ref="EAT11:EAT12"/>
    <mergeCell ref="EAU11:EAU12"/>
    <mergeCell ref="EAV11:EAV12"/>
    <mergeCell ref="EAW11:EAW12"/>
    <mergeCell ref="EAX11:EAX12"/>
    <mergeCell ref="EAY11:EAY12"/>
    <mergeCell ref="EAN11:EAN12"/>
    <mergeCell ref="EAO11:EAO12"/>
    <mergeCell ref="EAP11:EAP12"/>
    <mergeCell ref="EAQ11:EAQ12"/>
    <mergeCell ref="EAR11:EAR12"/>
    <mergeCell ref="EAS11:EAS12"/>
    <mergeCell ref="EAH11:EAH12"/>
    <mergeCell ref="EAI11:EAI12"/>
    <mergeCell ref="EAJ11:EAJ12"/>
    <mergeCell ref="EAK11:EAK12"/>
    <mergeCell ref="EAL11:EAL12"/>
    <mergeCell ref="EAM11:EAM12"/>
    <mergeCell ref="EAB11:EAB12"/>
    <mergeCell ref="EAC11:EAC12"/>
    <mergeCell ref="EAD11:EAD12"/>
    <mergeCell ref="EAE11:EAE12"/>
    <mergeCell ref="EAF11:EAF12"/>
    <mergeCell ref="EAG11:EAG12"/>
    <mergeCell ref="DZV11:DZV12"/>
    <mergeCell ref="DZW11:DZW12"/>
    <mergeCell ref="DZX11:DZX12"/>
    <mergeCell ref="DZY11:DZY12"/>
    <mergeCell ref="DZZ11:DZZ12"/>
    <mergeCell ref="EAA11:EAA12"/>
    <mergeCell ref="DZP11:DZP12"/>
    <mergeCell ref="DZQ11:DZQ12"/>
    <mergeCell ref="DZR11:DZR12"/>
    <mergeCell ref="DZS11:DZS12"/>
    <mergeCell ref="DZT11:DZT12"/>
    <mergeCell ref="DZU11:DZU12"/>
    <mergeCell ref="DZJ11:DZJ12"/>
    <mergeCell ref="DZK11:DZK12"/>
    <mergeCell ref="DZL11:DZL12"/>
    <mergeCell ref="DZM11:DZM12"/>
    <mergeCell ref="DZN11:DZN12"/>
    <mergeCell ref="DZO11:DZO12"/>
    <mergeCell ref="DZD11:DZD12"/>
    <mergeCell ref="DZE11:DZE12"/>
    <mergeCell ref="DZF11:DZF12"/>
    <mergeCell ref="DZG11:DZG12"/>
    <mergeCell ref="DZH11:DZH12"/>
    <mergeCell ref="DZI11:DZI12"/>
    <mergeCell ref="DYX11:DYX12"/>
    <mergeCell ref="DYY11:DYY12"/>
    <mergeCell ref="DYZ11:DYZ12"/>
    <mergeCell ref="DZA11:DZA12"/>
    <mergeCell ref="DZB11:DZB12"/>
    <mergeCell ref="DZC11:DZC12"/>
    <mergeCell ref="DYR11:DYR12"/>
    <mergeCell ref="DYS11:DYS12"/>
    <mergeCell ref="DYT11:DYT12"/>
    <mergeCell ref="DYU11:DYU12"/>
    <mergeCell ref="DYV11:DYV12"/>
    <mergeCell ref="DYW11:DYW12"/>
    <mergeCell ref="DYL11:DYL12"/>
    <mergeCell ref="DYM11:DYM12"/>
    <mergeCell ref="DYN11:DYN12"/>
    <mergeCell ref="DYO11:DYO12"/>
    <mergeCell ref="DYP11:DYP12"/>
    <mergeCell ref="DYQ11:DYQ12"/>
    <mergeCell ref="DYF11:DYF12"/>
    <mergeCell ref="DYG11:DYG12"/>
    <mergeCell ref="DYH11:DYH12"/>
    <mergeCell ref="DYI11:DYI12"/>
    <mergeCell ref="DYJ11:DYJ12"/>
    <mergeCell ref="DYK11:DYK12"/>
    <mergeCell ref="DXZ11:DXZ12"/>
    <mergeCell ref="DYA11:DYA12"/>
    <mergeCell ref="DYB11:DYB12"/>
    <mergeCell ref="DYC11:DYC12"/>
    <mergeCell ref="DYD11:DYD12"/>
    <mergeCell ref="DYE11:DYE12"/>
    <mergeCell ref="DXT11:DXT12"/>
    <mergeCell ref="DXU11:DXU12"/>
    <mergeCell ref="DXV11:DXV12"/>
    <mergeCell ref="DXW11:DXW12"/>
    <mergeCell ref="DXX11:DXX12"/>
    <mergeCell ref="DXY11:DXY12"/>
    <mergeCell ref="DXN11:DXN12"/>
    <mergeCell ref="DXO11:DXO12"/>
    <mergeCell ref="DXP11:DXP12"/>
    <mergeCell ref="DXQ11:DXQ12"/>
    <mergeCell ref="DXR11:DXR12"/>
    <mergeCell ref="DXS11:DXS12"/>
    <mergeCell ref="DXH11:DXH12"/>
    <mergeCell ref="DXI11:DXI12"/>
    <mergeCell ref="DXJ11:DXJ12"/>
    <mergeCell ref="DXK11:DXK12"/>
    <mergeCell ref="DXL11:DXL12"/>
    <mergeCell ref="DXM11:DXM12"/>
    <mergeCell ref="DXB11:DXB12"/>
    <mergeCell ref="DXC11:DXC12"/>
    <mergeCell ref="DXD11:DXD12"/>
    <mergeCell ref="DXE11:DXE12"/>
    <mergeCell ref="DXF11:DXF12"/>
    <mergeCell ref="DXG11:DXG12"/>
    <mergeCell ref="DWV11:DWV12"/>
    <mergeCell ref="DWW11:DWW12"/>
    <mergeCell ref="DWX11:DWX12"/>
    <mergeCell ref="DWY11:DWY12"/>
    <mergeCell ref="DWZ11:DWZ12"/>
    <mergeCell ref="DXA11:DXA12"/>
    <mergeCell ref="DWP11:DWP12"/>
    <mergeCell ref="DWQ11:DWQ12"/>
    <mergeCell ref="DWR11:DWR12"/>
    <mergeCell ref="DWS11:DWS12"/>
    <mergeCell ref="DWT11:DWT12"/>
    <mergeCell ref="DWU11:DWU12"/>
    <mergeCell ref="DWJ11:DWJ12"/>
    <mergeCell ref="DWK11:DWK12"/>
    <mergeCell ref="DWL11:DWL12"/>
    <mergeCell ref="DWM11:DWM12"/>
    <mergeCell ref="DWN11:DWN12"/>
    <mergeCell ref="DWO11:DWO12"/>
    <mergeCell ref="DWD11:DWD12"/>
    <mergeCell ref="DWE11:DWE12"/>
    <mergeCell ref="DWF11:DWF12"/>
    <mergeCell ref="DWG11:DWG12"/>
    <mergeCell ref="DWH11:DWH12"/>
    <mergeCell ref="DWI11:DWI12"/>
    <mergeCell ref="DVX11:DVX12"/>
    <mergeCell ref="DVY11:DVY12"/>
    <mergeCell ref="DVZ11:DVZ12"/>
    <mergeCell ref="DWA11:DWA12"/>
    <mergeCell ref="DWB11:DWB12"/>
    <mergeCell ref="DWC11:DWC12"/>
    <mergeCell ref="DVR11:DVR12"/>
    <mergeCell ref="DVS11:DVS12"/>
    <mergeCell ref="DVT11:DVT12"/>
    <mergeCell ref="DVU11:DVU12"/>
    <mergeCell ref="DVV11:DVV12"/>
    <mergeCell ref="DVW11:DVW12"/>
    <mergeCell ref="DVL11:DVL12"/>
    <mergeCell ref="DVM11:DVM12"/>
    <mergeCell ref="DVN11:DVN12"/>
    <mergeCell ref="DVO11:DVO12"/>
    <mergeCell ref="DVP11:DVP12"/>
    <mergeCell ref="DVQ11:DVQ12"/>
    <mergeCell ref="DVF11:DVF12"/>
    <mergeCell ref="DVG11:DVG12"/>
    <mergeCell ref="DVH11:DVH12"/>
    <mergeCell ref="DVI11:DVI12"/>
    <mergeCell ref="DVJ11:DVJ12"/>
    <mergeCell ref="DVK11:DVK12"/>
    <mergeCell ref="DUZ11:DUZ12"/>
    <mergeCell ref="DVA11:DVA12"/>
    <mergeCell ref="DVB11:DVB12"/>
    <mergeCell ref="DVC11:DVC12"/>
    <mergeCell ref="DVD11:DVD12"/>
    <mergeCell ref="DVE11:DVE12"/>
    <mergeCell ref="DUT11:DUT12"/>
    <mergeCell ref="DUU11:DUU12"/>
    <mergeCell ref="DUV11:DUV12"/>
    <mergeCell ref="DUW11:DUW12"/>
    <mergeCell ref="DUX11:DUX12"/>
    <mergeCell ref="DUY11:DUY12"/>
    <mergeCell ref="DUN11:DUN12"/>
    <mergeCell ref="DUO11:DUO12"/>
    <mergeCell ref="DUP11:DUP12"/>
    <mergeCell ref="DUQ11:DUQ12"/>
    <mergeCell ref="DUR11:DUR12"/>
    <mergeCell ref="DUS11:DUS12"/>
    <mergeCell ref="DUH11:DUH12"/>
    <mergeCell ref="DUI11:DUI12"/>
    <mergeCell ref="DUJ11:DUJ12"/>
    <mergeCell ref="DUK11:DUK12"/>
    <mergeCell ref="DUL11:DUL12"/>
    <mergeCell ref="DUM11:DUM12"/>
    <mergeCell ref="DUB11:DUB12"/>
    <mergeCell ref="DUC11:DUC12"/>
    <mergeCell ref="DUD11:DUD12"/>
    <mergeCell ref="DUE11:DUE12"/>
    <mergeCell ref="DUF11:DUF12"/>
    <mergeCell ref="DUG11:DUG12"/>
    <mergeCell ref="DTV11:DTV12"/>
    <mergeCell ref="DTW11:DTW12"/>
    <mergeCell ref="DTX11:DTX12"/>
    <mergeCell ref="DTY11:DTY12"/>
    <mergeCell ref="DTZ11:DTZ12"/>
    <mergeCell ref="DUA11:DUA12"/>
    <mergeCell ref="DTP11:DTP12"/>
    <mergeCell ref="DTQ11:DTQ12"/>
    <mergeCell ref="DTR11:DTR12"/>
    <mergeCell ref="DTS11:DTS12"/>
    <mergeCell ref="DTT11:DTT12"/>
    <mergeCell ref="DTU11:DTU12"/>
    <mergeCell ref="DTJ11:DTJ12"/>
    <mergeCell ref="DTK11:DTK12"/>
    <mergeCell ref="DTL11:DTL12"/>
    <mergeCell ref="DTM11:DTM12"/>
    <mergeCell ref="DTN11:DTN12"/>
    <mergeCell ref="DTO11:DTO12"/>
    <mergeCell ref="DTD11:DTD12"/>
    <mergeCell ref="DTE11:DTE12"/>
    <mergeCell ref="DTF11:DTF12"/>
    <mergeCell ref="DTG11:DTG12"/>
    <mergeCell ref="DTH11:DTH12"/>
    <mergeCell ref="DTI11:DTI12"/>
    <mergeCell ref="DSX11:DSX12"/>
    <mergeCell ref="DSY11:DSY12"/>
    <mergeCell ref="DSZ11:DSZ12"/>
    <mergeCell ref="DTA11:DTA12"/>
    <mergeCell ref="DTB11:DTB12"/>
    <mergeCell ref="DTC11:DTC12"/>
    <mergeCell ref="DSR11:DSR12"/>
    <mergeCell ref="DSS11:DSS12"/>
    <mergeCell ref="DST11:DST12"/>
    <mergeCell ref="DSU11:DSU12"/>
    <mergeCell ref="DSV11:DSV12"/>
    <mergeCell ref="DSW11:DSW12"/>
    <mergeCell ref="DSL11:DSL12"/>
    <mergeCell ref="DSM11:DSM12"/>
    <mergeCell ref="DSN11:DSN12"/>
    <mergeCell ref="DSO11:DSO12"/>
    <mergeCell ref="DSP11:DSP12"/>
    <mergeCell ref="DSQ11:DSQ12"/>
    <mergeCell ref="DSF11:DSF12"/>
    <mergeCell ref="DSG11:DSG12"/>
    <mergeCell ref="DSH11:DSH12"/>
    <mergeCell ref="DSI11:DSI12"/>
    <mergeCell ref="DSJ11:DSJ12"/>
    <mergeCell ref="DSK11:DSK12"/>
    <mergeCell ref="DRZ11:DRZ12"/>
    <mergeCell ref="DSA11:DSA12"/>
    <mergeCell ref="DSB11:DSB12"/>
    <mergeCell ref="DSC11:DSC12"/>
    <mergeCell ref="DSD11:DSD12"/>
    <mergeCell ref="DSE11:DSE12"/>
    <mergeCell ref="DRT11:DRT12"/>
    <mergeCell ref="DRU11:DRU12"/>
    <mergeCell ref="DRV11:DRV12"/>
    <mergeCell ref="DRW11:DRW12"/>
    <mergeCell ref="DRX11:DRX12"/>
    <mergeCell ref="DRY11:DRY12"/>
    <mergeCell ref="DRN11:DRN12"/>
    <mergeCell ref="DRO11:DRO12"/>
    <mergeCell ref="DRP11:DRP12"/>
    <mergeCell ref="DRQ11:DRQ12"/>
    <mergeCell ref="DRR11:DRR12"/>
    <mergeCell ref="DRS11:DRS12"/>
    <mergeCell ref="DRH11:DRH12"/>
    <mergeCell ref="DRI11:DRI12"/>
    <mergeCell ref="DRJ11:DRJ12"/>
    <mergeCell ref="DRK11:DRK12"/>
    <mergeCell ref="DRL11:DRL12"/>
    <mergeCell ref="DRM11:DRM12"/>
    <mergeCell ref="DRB11:DRB12"/>
    <mergeCell ref="DRC11:DRC12"/>
    <mergeCell ref="DRD11:DRD12"/>
    <mergeCell ref="DRE11:DRE12"/>
    <mergeCell ref="DRF11:DRF12"/>
    <mergeCell ref="DRG11:DRG12"/>
    <mergeCell ref="DQV11:DQV12"/>
    <mergeCell ref="DQW11:DQW12"/>
    <mergeCell ref="DQX11:DQX12"/>
    <mergeCell ref="DQY11:DQY12"/>
    <mergeCell ref="DQZ11:DQZ12"/>
    <mergeCell ref="DRA11:DRA12"/>
    <mergeCell ref="DQP11:DQP12"/>
    <mergeCell ref="DQQ11:DQQ12"/>
    <mergeCell ref="DQR11:DQR12"/>
    <mergeCell ref="DQS11:DQS12"/>
    <mergeCell ref="DQT11:DQT12"/>
    <mergeCell ref="DQU11:DQU12"/>
    <mergeCell ref="DQJ11:DQJ12"/>
    <mergeCell ref="DQK11:DQK12"/>
    <mergeCell ref="DQL11:DQL12"/>
    <mergeCell ref="DQM11:DQM12"/>
    <mergeCell ref="DQN11:DQN12"/>
    <mergeCell ref="DQO11:DQO12"/>
    <mergeCell ref="DQD11:DQD12"/>
    <mergeCell ref="DQE11:DQE12"/>
    <mergeCell ref="DQF11:DQF12"/>
    <mergeCell ref="DQG11:DQG12"/>
    <mergeCell ref="DQH11:DQH12"/>
    <mergeCell ref="DQI11:DQI12"/>
    <mergeCell ref="DPX11:DPX12"/>
    <mergeCell ref="DPY11:DPY12"/>
    <mergeCell ref="DPZ11:DPZ12"/>
    <mergeCell ref="DQA11:DQA12"/>
    <mergeCell ref="DQB11:DQB12"/>
    <mergeCell ref="DQC11:DQC12"/>
    <mergeCell ref="DPR11:DPR12"/>
    <mergeCell ref="DPS11:DPS12"/>
    <mergeCell ref="DPT11:DPT12"/>
    <mergeCell ref="DPU11:DPU12"/>
    <mergeCell ref="DPV11:DPV12"/>
    <mergeCell ref="DPW11:DPW12"/>
    <mergeCell ref="DPL11:DPL12"/>
    <mergeCell ref="DPM11:DPM12"/>
    <mergeCell ref="DPN11:DPN12"/>
    <mergeCell ref="DPO11:DPO12"/>
    <mergeCell ref="DPP11:DPP12"/>
    <mergeCell ref="DPQ11:DPQ12"/>
    <mergeCell ref="DPF11:DPF12"/>
    <mergeCell ref="DPG11:DPG12"/>
    <mergeCell ref="DPH11:DPH12"/>
    <mergeCell ref="DPI11:DPI12"/>
    <mergeCell ref="DPJ11:DPJ12"/>
    <mergeCell ref="DPK11:DPK12"/>
    <mergeCell ref="DOZ11:DOZ12"/>
    <mergeCell ref="DPA11:DPA12"/>
    <mergeCell ref="DPB11:DPB12"/>
    <mergeCell ref="DPC11:DPC12"/>
    <mergeCell ref="DPD11:DPD12"/>
    <mergeCell ref="DPE11:DPE12"/>
    <mergeCell ref="DOT11:DOT12"/>
    <mergeCell ref="DOU11:DOU12"/>
    <mergeCell ref="DOV11:DOV12"/>
    <mergeCell ref="DOW11:DOW12"/>
    <mergeCell ref="DOX11:DOX12"/>
    <mergeCell ref="DOY11:DOY12"/>
    <mergeCell ref="DON11:DON12"/>
    <mergeCell ref="DOO11:DOO12"/>
    <mergeCell ref="DOP11:DOP12"/>
    <mergeCell ref="DOQ11:DOQ12"/>
    <mergeCell ref="DOR11:DOR12"/>
    <mergeCell ref="DOS11:DOS12"/>
    <mergeCell ref="DOH11:DOH12"/>
    <mergeCell ref="DOI11:DOI12"/>
    <mergeCell ref="DOJ11:DOJ12"/>
    <mergeCell ref="DOK11:DOK12"/>
    <mergeCell ref="DOL11:DOL12"/>
    <mergeCell ref="DOM11:DOM12"/>
    <mergeCell ref="DOB11:DOB12"/>
    <mergeCell ref="DOC11:DOC12"/>
    <mergeCell ref="DOD11:DOD12"/>
    <mergeCell ref="DOE11:DOE12"/>
    <mergeCell ref="DOF11:DOF12"/>
    <mergeCell ref="DOG11:DOG12"/>
    <mergeCell ref="DNV11:DNV12"/>
    <mergeCell ref="DNW11:DNW12"/>
    <mergeCell ref="DNX11:DNX12"/>
    <mergeCell ref="DNY11:DNY12"/>
    <mergeCell ref="DNZ11:DNZ12"/>
    <mergeCell ref="DOA11:DOA12"/>
    <mergeCell ref="DNP11:DNP12"/>
    <mergeCell ref="DNQ11:DNQ12"/>
    <mergeCell ref="DNR11:DNR12"/>
    <mergeCell ref="DNS11:DNS12"/>
    <mergeCell ref="DNT11:DNT12"/>
    <mergeCell ref="DNU11:DNU12"/>
    <mergeCell ref="DNJ11:DNJ12"/>
    <mergeCell ref="DNK11:DNK12"/>
    <mergeCell ref="DNL11:DNL12"/>
    <mergeCell ref="DNM11:DNM12"/>
    <mergeCell ref="DNN11:DNN12"/>
    <mergeCell ref="DNO11:DNO12"/>
    <mergeCell ref="DND11:DND12"/>
    <mergeCell ref="DNE11:DNE12"/>
    <mergeCell ref="DNF11:DNF12"/>
    <mergeCell ref="DNG11:DNG12"/>
    <mergeCell ref="DNH11:DNH12"/>
    <mergeCell ref="DNI11:DNI12"/>
    <mergeCell ref="DMX11:DMX12"/>
    <mergeCell ref="DMY11:DMY12"/>
    <mergeCell ref="DMZ11:DMZ12"/>
    <mergeCell ref="DNA11:DNA12"/>
    <mergeCell ref="DNB11:DNB12"/>
    <mergeCell ref="DNC11:DNC12"/>
    <mergeCell ref="DMR11:DMR12"/>
    <mergeCell ref="DMS11:DMS12"/>
    <mergeCell ref="DMT11:DMT12"/>
    <mergeCell ref="DMU11:DMU12"/>
    <mergeCell ref="DMV11:DMV12"/>
    <mergeCell ref="DMW11:DMW12"/>
    <mergeCell ref="DML11:DML12"/>
    <mergeCell ref="DMM11:DMM12"/>
    <mergeCell ref="DMN11:DMN12"/>
    <mergeCell ref="DMO11:DMO12"/>
    <mergeCell ref="DMP11:DMP12"/>
    <mergeCell ref="DMQ11:DMQ12"/>
    <mergeCell ref="DMF11:DMF12"/>
    <mergeCell ref="DMG11:DMG12"/>
    <mergeCell ref="DMH11:DMH12"/>
    <mergeCell ref="DMI11:DMI12"/>
    <mergeCell ref="DMJ11:DMJ12"/>
    <mergeCell ref="DMK11:DMK12"/>
    <mergeCell ref="DLZ11:DLZ12"/>
    <mergeCell ref="DMA11:DMA12"/>
    <mergeCell ref="DMB11:DMB12"/>
    <mergeCell ref="DMC11:DMC12"/>
    <mergeCell ref="DMD11:DMD12"/>
    <mergeCell ref="DME11:DME12"/>
    <mergeCell ref="DLT11:DLT12"/>
    <mergeCell ref="DLU11:DLU12"/>
    <mergeCell ref="DLV11:DLV12"/>
    <mergeCell ref="DLW11:DLW12"/>
    <mergeCell ref="DLX11:DLX12"/>
    <mergeCell ref="DLY11:DLY12"/>
    <mergeCell ref="DLN11:DLN12"/>
    <mergeCell ref="DLO11:DLO12"/>
    <mergeCell ref="DLP11:DLP12"/>
    <mergeCell ref="DLQ11:DLQ12"/>
    <mergeCell ref="DLR11:DLR12"/>
    <mergeCell ref="DLS11:DLS12"/>
    <mergeCell ref="DLH11:DLH12"/>
    <mergeCell ref="DLI11:DLI12"/>
    <mergeCell ref="DLJ11:DLJ12"/>
    <mergeCell ref="DLK11:DLK12"/>
    <mergeCell ref="DLL11:DLL12"/>
    <mergeCell ref="DLM11:DLM12"/>
    <mergeCell ref="DLB11:DLB12"/>
    <mergeCell ref="DLC11:DLC12"/>
    <mergeCell ref="DLD11:DLD12"/>
    <mergeCell ref="DLE11:DLE12"/>
    <mergeCell ref="DLF11:DLF12"/>
    <mergeCell ref="DLG11:DLG12"/>
    <mergeCell ref="DKV11:DKV12"/>
    <mergeCell ref="DKW11:DKW12"/>
    <mergeCell ref="DKX11:DKX12"/>
    <mergeCell ref="DKY11:DKY12"/>
    <mergeCell ref="DKZ11:DKZ12"/>
    <mergeCell ref="DLA11:DLA12"/>
    <mergeCell ref="DKP11:DKP12"/>
    <mergeCell ref="DKQ11:DKQ12"/>
    <mergeCell ref="DKR11:DKR12"/>
    <mergeCell ref="DKS11:DKS12"/>
    <mergeCell ref="DKT11:DKT12"/>
    <mergeCell ref="DKU11:DKU12"/>
    <mergeCell ref="DKJ11:DKJ12"/>
    <mergeCell ref="DKK11:DKK12"/>
    <mergeCell ref="DKL11:DKL12"/>
    <mergeCell ref="DKM11:DKM12"/>
    <mergeCell ref="DKN11:DKN12"/>
    <mergeCell ref="DKO11:DKO12"/>
    <mergeCell ref="DKD11:DKD12"/>
    <mergeCell ref="DKE11:DKE12"/>
    <mergeCell ref="DKF11:DKF12"/>
    <mergeCell ref="DKG11:DKG12"/>
    <mergeCell ref="DKH11:DKH12"/>
    <mergeCell ref="DKI11:DKI12"/>
    <mergeCell ref="DJX11:DJX12"/>
    <mergeCell ref="DJY11:DJY12"/>
    <mergeCell ref="DJZ11:DJZ12"/>
    <mergeCell ref="DKA11:DKA12"/>
    <mergeCell ref="DKB11:DKB12"/>
    <mergeCell ref="DKC11:DKC12"/>
    <mergeCell ref="DJR11:DJR12"/>
    <mergeCell ref="DJS11:DJS12"/>
    <mergeCell ref="DJT11:DJT12"/>
    <mergeCell ref="DJU11:DJU12"/>
    <mergeCell ref="DJV11:DJV12"/>
    <mergeCell ref="DJW11:DJW12"/>
    <mergeCell ref="DJL11:DJL12"/>
    <mergeCell ref="DJM11:DJM12"/>
    <mergeCell ref="DJN11:DJN12"/>
    <mergeCell ref="DJO11:DJO12"/>
    <mergeCell ref="DJP11:DJP12"/>
    <mergeCell ref="DJQ11:DJQ12"/>
    <mergeCell ref="DJF11:DJF12"/>
    <mergeCell ref="DJG11:DJG12"/>
    <mergeCell ref="DJH11:DJH12"/>
    <mergeCell ref="DJI11:DJI12"/>
    <mergeCell ref="DJJ11:DJJ12"/>
    <mergeCell ref="DJK11:DJK12"/>
    <mergeCell ref="DIZ11:DIZ12"/>
    <mergeCell ref="DJA11:DJA12"/>
    <mergeCell ref="DJB11:DJB12"/>
    <mergeCell ref="DJC11:DJC12"/>
    <mergeCell ref="DJD11:DJD12"/>
    <mergeCell ref="DJE11:DJE12"/>
    <mergeCell ref="DIT11:DIT12"/>
    <mergeCell ref="DIU11:DIU12"/>
    <mergeCell ref="DIV11:DIV12"/>
    <mergeCell ref="DIW11:DIW12"/>
    <mergeCell ref="DIX11:DIX12"/>
    <mergeCell ref="DIY11:DIY12"/>
    <mergeCell ref="DIN11:DIN12"/>
    <mergeCell ref="DIO11:DIO12"/>
    <mergeCell ref="DIP11:DIP12"/>
    <mergeCell ref="DIQ11:DIQ12"/>
    <mergeCell ref="DIR11:DIR12"/>
    <mergeCell ref="DIS11:DIS12"/>
    <mergeCell ref="DIH11:DIH12"/>
    <mergeCell ref="DII11:DII12"/>
    <mergeCell ref="DIJ11:DIJ12"/>
    <mergeCell ref="DIK11:DIK12"/>
    <mergeCell ref="DIL11:DIL12"/>
    <mergeCell ref="DIM11:DIM12"/>
    <mergeCell ref="DIB11:DIB12"/>
    <mergeCell ref="DIC11:DIC12"/>
    <mergeCell ref="DID11:DID12"/>
    <mergeCell ref="DIE11:DIE12"/>
    <mergeCell ref="DIF11:DIF12"/>
    <mergeCell ref="DIG11:DIG12"/>
    <mergeCell ref="DHV11:DHV12"/>
    <mergeCell ref="DHW11:DHW12"/>
    <mergeCell ref="DHX11:DHX12"/>
    <mergeCell ref="DHY11:DHY12"/>
    <mergeCell ref="DHZ11:DHZ12"/>
    <mergeCell ref="DIA11:DIA12"/>
    <mergeCell ref="DHP11:DHP12"/>
    <mergeCell ref="DHQ11:DHQ12"/>
    <mergeCell ref="DHR11:DHR12"/>
    <mergeCell ref="DHS11:DHS12"/>
    <mergeCell ref="DHT11:DHT12"/>
    <mergeCell ref="DHU11:DHU12"/>
    <mergeCell ref="DHJ11:DHJ12"/>
    <mergeCell ref="DHK11:DHK12"/>
    <mergeCell ref="DHL11:DHL12"/>
    <mergeCell ref="DHM11:DHM12"/>
    <mergeCell ref="DHN11:DHN12"/>
    <mergeCell ref="DHO11:DHO12"/>
    <mergeCell ref="DHD11:DHD12"/>
    <mergeCell ref="DHE11:DHE12"/>
    <mergeCell ref="DHF11:DHF12"/>
    <mergeCell ref="DHG11:DHG12"/>
    <mergeCell ref="DHH11:DHH12"/>
    <mergeCell ref="DHI11:DHI12"/>
    <mergeCell ref="DGX11:DGX12"/>
    <mergeCell ref="DGY11:DGY12"/>
    <mergeCell ref="DGZ11:DGZ12"/>
    <mergeCell ref="DHA11:DHA12"/>
    <mergeCell ref="DHB11:DHB12"/>
    <mergeCell ref="DHC11:DHC12"/>
    <mergeCell ref="DGR11:DGR12"/>
    <mergeCell ref="DGS11:DGS12"/>
    <mergeCell ref="DGT11:DGT12"/>
    <mergeCell ref="DGU11:DGU12"/>
    <mergeCell ref="DGV11:DGV12"/>
    <mergeCell ref="DGW11:DGW12"/>
    <mergeCell ref="DGL11:DGL12"/>
    <mergeCell ref="DGM11:DGM12"/>
    <mergeCell ref="DGN11:DGN12"/>
    <mergeCell ref="DGO11:DGO12"/>
    <mergeCell ref="DGP11:DGP12"/>
    <mergeCell ref="DGQ11:DGQ12"/>
    <mergeCell ref="DGF11:DGF12"/>
    <mergeCell ref="DGG11:DGG12"/>
    <mergeCell ref="DGH11:DGH12"/>
    <mergeCell ref="DGI11:DGI12"/>
    <mergeCell ref="DGJ11:DGJ12"/>
    <mergeCell ref="DGK11:DGK12"/>
    <mergeCell ref="DFZ11:DFZ12"/>
    <mergeCell ref="DGA11:DGA12"/>
    <mergeCell ref="DGB11:DGB12"/>
    <mergeCell ref="DGC11:DGC12"/>
    <mergeCell ref="DGD11:DGD12"/>
    <mergeCell ref="DGE11:DGE12"/>
    <mergeCell ref="DFT11:DFT12"/>
    <mergeCell ref="DFU11:DFU12"/>
    <mergeCell ref="DFV11:DFV12"/>
    <mergeCell ref="DFW11:DFW12"/>
    <mergeCell ref="DFX11:DFX12"/>
    <mergeCell ref="DFY11:DFY12"/>
    <mergeCell ref="DFN11:DFN12"/>
    <mergeCell ref="DFO11:DFO12"/>
    <mergeCell ref="DFP11:DFP12"/>
    <mergeCell ref="DFQ11:DFQ12"/>
    <mergeCell ref="DFR11:DFR12"/>
    <mergeCell ref="DFS11:DFS12"/>
    <mergeCell ref="DFH11:DFH12"/>
    <mergeCell ref="DFI11:DFI12"/>
    <mergeCell ref="DFJ11:DFJ12"/>
    <mergeCell ref="DFK11:DFK12"/>
    <mergeCell ref="DFL11:DFL12"/>
    <mergeCell ref="DFM11:DFM12"/>
    <mergeCell ref="DFB11:DFB12"/>
    <mergeCell ref="DFC11:DFC12"/>
    <mergeCell ref="DFD11:DFD12"/>
    <mergeCell ref="DFE11:DFE12"/>
    <mergeCell ref="DFF11:DFF12"/>
    <mergeCell ref="DFG11:DFG12"/>
    <mergeCell ref="DEV11:DEV12"/>
    <mergeCell ref="DEW11:DEW12"/>
    <mergeCell ref="DEX11:DEX12"/>
    <mergeCell ref="DEY11:DEY12"/>
    <mergeCell ref="DEZ11:DEZ12"/>
    <mergeCell ref="DFA11:DFA12"/>
    <mergeCell ref="DEP11:DEP12"/>
    <mergeCell ref="DEQ11:DEQ12"/>
    <mergeCell ref="DER11:DER12"/>
    <mergeCell ref="DES11:DES12"/>
    <mergeCell ref="DET11:DET12"/>
    <mergeCell ref="DEU11:DEU12"/>
    <mergeCell ref="DEJ11:DEJ12"/>
    <mergeCell ref="DEK11:DEK12"/>
    <mergeCell ref="DEL11:DEL12"/>
    <mergeCell ref="DEM11:DEM12"/>
    <mergeCell ref="DEN11:DEN12"/>
    <mergeCell ref="DEO11:DEO12"/>
    <mergeCell ref="DED11:DED12"/>
    <mergeCell ref="DEE11:DEE12"/>
    <mergeCell ref="DEF11:DEF12"/>
    <mergeCell ref="DEG11:DEG12"/>
    <mergeCell ref="DEH11:DEH12"/>
    <mergeCell ref="DEI11:DEI12"/>
    <mergeCell ref="DDX11:DDX12"/>
    <mergeCell ref="DDY11:DDY12"/>
    <mergeCell ref="DDZ11:DDZ12"/>
    <mergeCell ref="DEA11:DEA12"/>
    <mergeCell ref="DEB11:DEB12"/>
    <mergeCell ref="DEC11:DEC12"/>
    <mergeCell ref="DDR11:DDR12"/>
    <mergeCell ref="DDS11:DDS12"/>
    <mergeCell ref="DDT11:DDT12"/>
    <mergeCell ref="DDU11:DDU12"/>
    <mergeCell ref="DDV11:DDV12"/>
    <mergeCell ref="DDW11:DDW12"/>
    <mergeCell ref="DDL11:DDL12"/>
    <mergeCell ref="DDM11:DDM12"/>
    <mergeCell ref="DDN11:DDN12"/>
    <mergeCell ref="DDO11:DDO12"/>
    <mergeCell ref="DDP11:DDP12"/>
    <mergeCell ref="DDQ11:DDQ12"/>
    <mergeCell ref="DDF11:DDF12"/>
    <mergeCell ref="DDG11:DDG12"/>
    <mergeCell ref="DDH11:DDH12"/>
    <mergeCell ref="DDI11:DDI12"/>
    <mergeCell ref="DDJ11:DDJ12"/>
    <mergeCell ref="DDK11:DDK12"/>
    <mergeCell ref="DCZ11:DCZ12"/>
    <mergeCell ref="DDA11:DDA12"/>
    <mergeCell ref="DDB11:DDB12"/>
    <mergeCell ref="DDC11:DDC12"/>
    <mergeCell ref="DDD11:DDD12"/>
    <mergeCell ref="DDE11:DDE12"/>
    <mergeCell ref="DCT11:DCT12"/>
    <mergeCell ref="DCU11:DCU12"/>
    <mergeCell ref="DCV11:DCV12"/>
    <mergeCell ref="DCW11:DCW12"/>
    <mergeCell ref="DCX11:DCX12"/>
    <mergeCell ref="DCY11:DCY12"/>
    <mergeCell ref="DCN11:DCN12"/>
    <mergeCell ref="DCO11:DCO12"/>
    <mergeCell ref="DCP11:DCP12"/>
    <mergeCell ref="DCQ11:DCQ12"/>
    <mergeCell ref="DCR11:DCR12"/>
    <mergeCell ref="DCS11:DCS12"/>
    <mergeCell ref="DCH11:DCH12"/>
    <mergeCell ref="DCI11:DCI12"/>
    <mergeCell ref="DCJ11:DCJ12"/>
    <mergeCell ref="DCK11:DCK12"/>
    <mergeCell ref="DCL11:DCL12"/>
    <mergeCell ref="DCM11:DCM12"/>
    <mergeCell ref="DCB11:DCB12"/>
    <mergeCell ref="DCC11:DCC12"/>
    <mergeCell ref="DCD11:DCD12"/>
    <mergeCell ref="DCE11:DCE12"/>
    <mergeCell ref="DCF11:DCF12"/>
    <mergeCell ref="DCG11:DCG12"/>
    <mergeCell ref="DBV11:DBV12"/>
    <mergeCell ref="DBW11:DBW12"/>
    <mergeCell ref="DBX11:DBX12"/>
    <mergeCell ref="DBY11:DBY12"/>
    <mergeCell ref="DBZ11:DBZ12"/>
    <mergeCell ref="DCA11:DCA12"/>
    <mergeCell ref="DBP11:DBP12"/>
    <mergeCell ref="DBQ11:DBQ12"/>
    <mergeCell ref="DBR11:DBR12"/>
    <mergeCell ref="DBS11:DBS12"/>
    <mergeCell ref="DBT11:DBT12"/>
    <mergeCell ref="DBU11:DBU12"/>
    <mergeCell ref="DBJ11:DBJ12"/>
    <mergeCell ref="DBK11:DBK12"/>
    <mergeCell ref="DBL11:DBL12"/>
    <mergeCell ref="DBM11:DBM12"/>
    <mergeCell ref="DBN11:DBN12"/>
    <mergeCell ref="DBO11:DBO12"/>
    <mergeCell ref="DBD11:DBD12"/>
    <mergeCell ref="DBE11:DBE12"/>
    <mergeCell ref="DBF11:DBF12"/>
    <mergeCell ref="DBG11:DBG12"/>
    <mergeCell ref="DBH11:DBH12"/>
    <mergeCell ref="DBI11:DBI12"/>
    <mergeCell ref="DAX11:DAX12"/>
    <mergeCell ref="DAY11:DAY12"/>
    <mergeCell ref="DAZ11:DAZ12"/>
    <mergeCell ref="DBA11:DBA12"/>
    <mergeCell ref="DBB11:DBB12"/>
    <mergeCell ref="DBC11:DBC12"/>
    <mergeCell ref="DAR11:DAR12"/>
    <mergeCell ref="DAS11:DAS12"/>
    <mergeCell ref="DAT11:DAT12"/>
    <mergeCell ref="DAU11:DAU12"/>
    <mergeCell ref="DAV11:DAV12"/>
    <mergeCell ref="DAW11:DAW12"/>
    <mergeCell ref="DAL11:DAL12"/>
    <mergeCell ref="DAM11:DAM12"/>
    <mergeCell ref="DAN11:DAN12"/>
    <mergeCell ref="DAO11:DAO12"/>
    <mergeCell ref="DAP11:DAP12"/>
    <mergeCell ref="DAQ11:DAQ12"/>
    <mergeCell ref="DAF11:DAF12"/>
    <mergeCell ref="DAG11:DAG12"/>
    <mergeCell ref="DAH11:DAH12"/>
    <mergeCell ref="DAI11:DAI12"/>
    <mergeCell ref="DAJ11:DAJ12"/>
    <mergeCell ref="DAK11:DAK12"/>
    <mergeCell ref="CZZ11:CZZ12"/>
    <mergeCell ref="DAA11:DAA12"/>
    <mergeCell ref="DAB11:DAB12"/>
    <mergeCell ref="DAC11:DAC12"/>
    <mergeCell ref="DAD11:DAD12"/>
    <mergeCell ref="DAE11:DAE12"/>
    <mergeCell ref="CZT11:CZT12"/>
    <mergeCell ref="CZU11:CZU12"/>
    <mergeCell ref="CZV11:CZV12"/>
    <mergeCell ref="CZW11:CZW12"/>
    <mergeCell ref="CZX11:CZX12"/>
    <mergeCell ref="CZY11:CZY12"/>
    <mergeCell ref="CZN11:CZN12"/>
    <mergeCell ref="CZO11:CZO12"/>
    <mergeCell ref="CZP11:CZP12"/>
    <mergeCell ref="CZQ11:CZQ12"/>
    <mergeCell ref="CZR11:CZR12"/>
    <mergeCell ref="CZS11:CZS12"/>
    <mergeCell ref="CZH11:CZH12"/>
    <mergeCell ref="CZI11:CZI12"/>
    <mergeCell ref="CZJ11:CZJ12"/>
    <mergeCell ref="CZK11:CZK12"/>
    <mergeCell ref="CZL11:CZL12"/>
    <mergeCell ref="CZM11:CZM12"/>
    <mergeCell ref="CZB11:CZB12"/>
    <mergeCell ref="CZC11:CZC12"/>
    <mergeCell ref="CZD11:CZD12"/>
    <mergeCell ref="CZE11:CZE12"/>
    <mergeCell ref="CZF11:CZF12"/>
    <mergeCell ref="CZG11:CZG12"/>
    <mergeCell ref="CYV11:CYV12"/>
    <mergeCell ref="CYW11:CYW12"/>
    <mergeCell ref="CYX11:CYX12"/>
    <mergeCell ref="CYY11:CYY12"/>
    <mergeCell ref="CYZ11:CYZ12"/>
    <mergeCell ref="CZA11:CZA12"/>
    <mergeCell ref="CYP11:CYP12"/>
    <mergeCell ref="CYQ11:CYQ12"/>
    <mergeCell ref="CYR11:CYR12"/>
    <mergeCell ref="CYS11:CYS12"/>
    <mergeCell ref="CYT11:CYT12"/>
    <mergeCell ref="CYU11:CYU12"/>
    <mergeCell ref="CYJ11:CYJ12"/>
    <mergeCell ref="CYK11:CYK12"/>
    <mergeCell ref="CYL11:CYL12"/>
    <mergeCell ref="CYM11:CYM12"/>
    <mergeCell ref="CYN11:CYN12"/>
    <mergeCell ref="CYO11:CYO12"/>
    <mergeCell ref="CYD11:CYD12"/>
    <mergeCell ref="CYE11:CYE12"/>
    <mergeCell ref="CYF11:CYF12"/>
    <mergeCell ref="CYG11:CYG12"/>
    <mergeCell ref="CYH11:CYH12"/>
    <mergeCell ref="CYI11:CYI12"/>
    <mergeCell ref="CXX11:CXX12"/>
    <mergeCell ref="CXY11:CXY12"/>
    <mergeCell ref="CXZ11:CXZ12"/>
    <mergeCell ref="CYA11:CYA12"/>
    <mergeCell ref="CYB11:CYB12"/>
    <mergeCell ref="CYC11:CYC12"/>
    <mergeCell ref="CXR11:CXR12"/>
    <mergeCell ref="CXS11:CXS12"/>
    <mergeCell ref="CXT11:CXT12"/>
    <mergeCell ref="CXU11:CXU12"/>
    <mergeCell ref="CXV11:CXV12"/>
    <mergeCell ref="CXW11:CXW12"/>
    <mergeCell ref="CXL11:CXL12"/>
    <mergeCell ref="CXM11:CXM12"/>
    <mergeCell ref="CXN11:CXN12"/>
    <mergeCell ref="CXO11:CXO12"/>
    <mergeCell ref="CXP11:CXP12"/>
    <mergeCell ref="CXQ11:CXQ12"/>
    <mergeCell ref="CXF11:CXF12"/>
    <mergeCell ref="CXG11:CXG12"/>
    <mergeCell ref="CXH11:CXH12"/>
    <mergeCell ref="CXI11:CXI12"/>
    <mergeCell ref="CXJ11:CXJ12"/>
    <mergeCell ref="CXK11:CXK12"/>
    <mergeCell ref="CWZ11:CWZ12"/>
    <mergeCell ref="CXA11:CXA12"/>
    <mergeCell ref="CXB11:CXB12"/>
    <mergeCell ref="CXC11:CXC12"/>
    <mergeCell ref="CXD11:CXD12"/>
    <mergeCell ref="CXE11:CXE12"/>
    <mergeCell ref="CWT11:CWT12"/>
    <mergeCell ref="CWU11:CWU12"/>
    <mergeCell ref="CWV11:CWV12"/>
    <mergeCell ref="CWW11:CWW12"/>
    <mergeCell ref="CWX11:CWX12"/>
    <mergeCell ref="CWY11:CWY12"/>
    <mergeCell ref="CWN11:CWN12"/>
    <mergeCell ref="CWO11:CWO12"/>
    <mergeCell ref="CWP11:CWP12"/>
    <mergeCell ref="CWQ11:CWQ12"/>
    <mergeCell ref="CWR11:CWR12"/>
    <mergeCell ref="CWS11:CWS12"/>
    <mergeCell ref="CWH11:CWH12"/>
    <mergeCell ref="CWI11:CWI12"/>
    <mergeCell ref="CWJ11:CWJ12"/>
    <mergeCell ref="CWK11:CWK12"/>
    <mergeCell ref="CWL11:CWL12"/>
    <mergeCell ref="CWM11:CWM12"/>
    <mergeCell ref="CWB11:CWB12"/>
    <mergeCell ref="CWC11:CWC12"/>
    <mergeCell ref="CWD11:CWD12"/>
    <mergeCell ref="CWE11:CWE12"/>
    <mergeCell ref="CWF11:CWF12"/>
    <mergeCell ref="CWG11:CWG12"/>
    <mergeCell ref="CVV11:CVV12"/>
    <mergeCell ref="CVW11:CVW12"/>
    <mergeCell ref="CVX11:CVX12"/>
    <mergeCell ref="CVY11:CVY12"/>
    <mergeCell ref="CVZ11:CVZ12"/>
    <mergeCell ref="CWA11:CWA12"/>
    <mergeCell ref="CVP11:CVP12"/>
    <mergeCell ref="CVQ11:CVQ12"/>
    <mergeCell ref="CVR11:CVR12"/>
    <mergeCell ref="CVS11:CVS12"/>
    <mergeCell ref="CVT11:CVT12"/>
    <mergeCell ref="CVU11:CVU12"/>
    <mergeCell ref="CVJ11:CVJ12"/>
    <mergeCell ref="CVK11:CVK12"/>
    <mergeCell ref="CVL11:CVL12"/>
    <mergeCell ref="CVM11:CVM12"/>
    <mergeCell ref="CVN11:CVN12"/>
    <mergeCell ref="CVO11:CVO12"/>
    <mergeCell ref="CVD11:CVD12"/>
    <mergeCell ref="CVE11:CVE12"/>
    <mergeCell ref="CVF11:CVF12"/>
    <mergeCell ref="CVG11:CVG12"/>
    <mergeCell ref="CVH11:CVH12"/>
    <mergeCell ref="CVI11:CVI12"/>
    <mergeCell ref="CUX11:CUX12"/>
    <mergeCell ref="CUY11:CUY12"/>
    <mergeCell ref="CUZ11:CUZ12"/>
    <mergeCell ref="CVA11:CVA12"/>
    <mergeCell ref="CVB11:CVB12"/>
    <mergeCell ref="CVC11:CVC12"/>
    <mergeCell ref="CUR11:CUR12"/>
    <mergeCell ref="CUS11:CUS12"/>
    <mergeCell ref="CUT11:CUT12"/>
    <mergeCell ref="CUU11:CUU12"/>
    <mergeCell ref="CUV11:CUV12"/>
    <mergeCell ref="CUW11:CUW12"/>
    <mergeCell ref="CUL11:CUL12"/>
    <mergeCell ref="CUM11:CUM12"/>
    <mergeCell ref="CUN11:CUN12"/>
    <mergeCell ref="CUO11:CUO12"/>
    <mergeCell ref="CUP11:CUP12"/>
    <mergeCell ref="CUQ11:CUQ12"/>
    <mergeCell ref="CUF11:CUF12"/>
    <mergeCell ref="CUG11:CUG12"/>
    <mergeCell ref="CUH11:CUH12"/>
    <mergeCell ref="CUI11:CUI12"/>
    <mergeCell ref="CUJ11:CUJ12"/>
    <mergeCell ref="CUK11:CUK12"/>
    <mergeCell ref="CTZ11:CTZ12"/>
    <mergeCell ref="CUA11:CUA12"/>
    <mergeCell ref="CUB11:CUB12"/>
    <mergeCell ref="CUC11:CUC12"/>
    <mergeCell ref="CUD11:CUD12"/>
    <mergeCell ref="CUE11:CUE12"/>
    <mergeCell ref="CTT11:CTT12"/>
    <mergeCell ref="CTU11:CTU12"/>
    <mergeCell ref="CTV11:CTV12"/>
    <mergeCell ref="CTW11:CTW12"/>
    <mergeCell ref="CTX11:CTX12"/>
    <mergeCell ref="CTY11:CTY12"/>
    <mergeCell ref="CTN11:CTN12"/>
    <mergeCell ref="CTO11:CTO12"/>
    <mergeCell ref="CTP11:CTP12"/>
    <mergeCell ref="CTQ11:CTQ12"/>
    <mergeCell ref="CTR11:CTR12"/>
    <mergeCell ref="CTS11:CTS12"/>
    <mergeCell ref="CTH11:CTH12"/>
    <mergeCell ref="CTI11:CTI12"/>
    <mergeCell ref="CTJ11:CTJ12"/>
    <mergeCell ref="CTK11:CTK12"/>
    <mergeCell ref="CTL11:CTL12"/>
    <mergeCell ref="CTM11:CTM12"/>
    <mergeCell ref="CTB11:CTB12"/>
    <mergeCell ref="CTC11:CTC12"/>
    <mergeCell ref="CTD11:CTD12"/>
    <mergeCell ref="CTE11:CTE12"/>
    <mergeCell ref="CTF11:CTF12"/>
    <mergeCell ref="CTG11:CTG12"/>
    <mergeCell ref="CSV11:CSV12"/>
    <mergeCell ref="CSW11:CSW12"/>
    <mergeCell ref="CSX11:CSX12"/>
    <mergeCell ref="CSY11:CSY12"/>
    <mergeCell ref="CSZ11:CSZ12"/>
    <mergeCell ref="CTA11:CTA12"/>
    <mergeCell ref="CSP11:CSP12"/>
    <mergeCell ref="CSQ11:CSQ12"/>
    <mergeCell ref="CSR11:CSR12"/>
    <mergeCell ref="CSS11:CSS12"/>
    <mergeCell ref="CST11:CST12"/>
    <mergeCell ref="CSU11:CSU12"/>
    <mergeCell ref="CSJ11:CSJ12"/>
    <mergeCell ref="CSK11:CSK12"/>
    <mergeCell ref="CSL11:CSL12"/>
    <mergeCell ref="CSM11:CSM12"/>
    <mergeCell ref="CSN11:CSN12"/>
    <mergeCell ref="CSO11:CSO12"/>
    <mergeCell ref="CSD11:CSD12"/>
    <mergeCell ref="CSE11:CSE12"/>
    <mergeCell ref="CSF11:CSF12"/>
    <mergeCell ref="CSG11:CSG12"/>
    <mergeCell ref="CSH11:CSH12"/>
    <mergeCell ref="CSI11:CSI12"/>
    <mergeCell ref="CRX11:CRX12"/>
    <mergeCell ref="CRY11:CRY12"/>
    <mergeCell ref="CRZ11:CRZ12"/>
    <mergeCell ref="CSA11:CSA12"/>
    <mergeCell ref="CSB11:CSB12"/>
    <mergeCell ref="CSC11:CSC12"/>
    <mergeCell ref="CRR11:CRR12"/>
    <mergeCell ref="CRS11:CRS12"/>
    <mergeCell ref="CRT11:CRT12"/>
    <mergeCell ref="CRU11:CRU12"/>
    <mergeCell ref="CRV11:CRV12"/>
    <mergeCell ref="CRW11:CRW12"/>
    <mergeCell ref="CRL11:CRL12"/>
    <mergeCell ref="CRM11:CRM12"/>
    <mergeCell ref="CRN11:CRN12"/>
    <mergeCell ref="CRO11:CRO12"/>
    <mergeCell ref="CRP11:CRP12"/>
    <mergeCell ref="CRQ11:CRQ12"/>
    <mergeCell ref="CRF11:CRF12"/>
    <mergeCell ref="CRG11:CRG12"/>
    <mergeCell ref="CRH11:CRH12"/>
    <mergeCell ref="CRI11:CRI12"/>
    <mergeCell ref="CRJ11:CRJ12"/>
    <mergeCell ref="CRK11:CRK12"/>
    <mergeCell ref="CQZ11:CQZ12"/>
    <mergeCell ref="CRA11:CRA12"/>
    <mergeCell ref="CRB11:CRB12"/>
    <mergeCell ref="CRC11:CRC12"/>
    <mergeCell ref="CRD11:CRD12"/>
    <mergeCell ref="CRE11:CRE12"/>
    <mergeCell ref="CQT11:CQT12"/>
    <mergeCell ref="CQU11:CQU12"/>
    <mergeCell ref="CQV11:CQV12"/>
    <mergeCell ref="CQW11:CQW12"/>
    <mergeCell ref="CQX11:CQX12"/>
    <mergeCell ref="CQY11:CQY12"/>
    <mergeCell ref="CQN11:CQN12"/>
    <mergeCell ref="CQO11:CQO12"/>
    <mergeCell ref="CQP11:CQP12"/>
    <mergeCell ref="CQQ11:CQQ12"/>
    <mergeCell ref="CQR11:CQR12"/>
    <mergeCell ref="CQS11:CQS12"/>
    <mergeCell ref="CQH11:CQH12"/>
    <mergeCell ref="CQI11:CQI12"/>
    <mergeCell ref="CQJ11:CQJ12"/>
    <mergeCell ref="CQK11:CQK12"/>
    <mergeCell ref="CQL11:CQL12"/>
    <mergeCell ref="CQM11:CQM12"/>
    <mergeCell ref="CQB11:CQB12"/>
    <mergeCell ref="CQC11:CQC12"/>
    <mergeCell ref="CQD11:CQD12"/>
    <mergeCell ref="CQE11:CQE12"/>
    <mergeCell ref="CQF11:CQF12"/>
    <mergeCell ref="CQG11:CQG12"/>
    <mergeCell ref="CPV11:CPV12"/>
    <mergeCell ref="CPW11:CPW12"/>
    <mergeCell ref="CPX11:CPX12"/>
    <mergeCell ref="CPY11:CPY12"/>
    <mergeCell ref="CPZ11:CPZ12"/>
    <mergeCell ref="CQA11:CQA12"/>
    <mergeCell ref="CPP11:CPP12"/>
    <mergeCell ref="CPQ11:CPQ12"/>
    <mergeCell ref="CPR11:CPR12"/>
    <mergeCell ref="CPS11:CPS12"/>
    <mergeCell ref="CPT11:CPT12"/>
    <mergeCell ref="CPU11:CPU12"/>
    <mergeCell ref="CPJ11:CPJ12"/>
    <mergeCell ref="CPK11:CPK12"/>
    <mergeCell ref="CPL11:CPL12"/>
    <mergeCell ref="CPM11:CPM12"/>
    <mergeCell ref="CPN11:CPN12"/>
    <mergeCell ref="CPO11:CPO12"/>
    <mergeCell ref="CPD11:CPD12"/>
    <mergeCell ref="CPE11:CPE12"/>
    <mergeCell ref="CPF11:CPF12"/>
    <mergeCell ref="CPG11:CPG12"/>
    <mergeCell ref="CPH11:CPH12"/>
    <mergeCell ref="CPI11:CPI12"/>
    <mergeCell ref="COX11:COX12"/>
    <mergeCell ref="COY11:COY12"/>
    <mergeCell ref="COZ11:COZ12"/>
    <mergeCell ref="CPA11:CPA12"/>
    <mergeCell ref="CPB11:CPB12"/>
    <mergeCell ref="CPC11:CPC12"/>
    <mergeCell ref="COR11:COR12"/>
    <mergeCell ref="COS11:COS12"/>
    <mergeCell ref="COT11:COT12"/>
    <mergeCell ref="COU11:COU12"/>
    <mergeCell ref="COV11:COV12"/>
    <mergeCell ref="COW11:COW12"/>
    <mergeCell ref="COL11:COL12"/>
    <mergeCell ref="COM11:COM12"/>
    <mergeCell ref="CON11:CON12"/>
    <mergeCell ref="COO11:COO12"/>
    <mergeCell ref="COP11:COP12"/>
    <mergeCell ref="COQ11:COQ12"/>
    <mergeCell ref="COF11:COF12"/>
    <mergeCell ref="COG11:COG12"/>
    <mergeCell ref="COH11:COH12"/>
    <mergeCell ref="COI11:COI12"/>
    <mergeCell ref="COJ11:COJ12"/>
    <mergeCell ref="COK11:COK12"/>
    <mergeCell ref="CNZ11:CNZ12"/>
    <mergeCell ref="COA11:COA12"/>
    <mergeCell ref="COB11:COB12"/>
    <mergeCell ref="COC11:COC12"/>
    <mergeCell ref="COD11:COD12"/>
    <mergeCell ref="COE11:COE12"/>
    <mergeCell ref="CNT11:CNT12"/>
    <mergeCell ref="CNU11:CNU12"/>
    <mergeCell ref="CNV11:CNV12"/>
    <mergeCell ref="CNW11:CNW12"/>
    <mergeCell ref="CNX11:CNX12"/>
    <mergeCell ref="CNY11:CNY12"/>
    <mergeCell ref="CNN11:CNN12"/>
    <mergeCell ref="CNO11:CNO12"/>
    <mergeCell ref="CNP11:CNP12"/>
    <mergeCell ref="CNQ11:CNQ12"/>
    <mergeCell ref="CNR11:CNR12"/>
    <mergeCell ref="CNS11:CNS12"/>
    <mergeCell ref="CNH11:CNH12"/>
    <mergeCell ref="CNI11:CNI12"/>
    <mergeCell ref="CNJ11:CNJ12"/>
    <mergeCell ref="CNK11:CNK12"/>
    <mergeCell ref="CNL11:CNL12"/>
    <mergeCell ref="CNM11:CNM12"/>
    <mergeCell ref="CNB11:CNB12"/>
    <mergeCell ref="CNC11:CNC12"/>
    <mergeCell ref="CND11:CND12"/>
    <mergeCell ref="CNE11:CNE12"/>
    <mergeCell ref="CNF11:CNF12"/>
    <mergeCell ref="CNG11:CNG12"/>
    <mergeCell ref="CMV11:CMV12"/>
    <mergeCell ref="CMW11:CMW12"/>
    <mergeCell ref="CMX11:CMX12"/>
    <mergeCell ref="CMY11:CMY12"/>
    <mergeCell ref="CMZ11:CMZ12"/>
    <mergeCell ref="CNA11:CNA12"/>
    <mergeCell ref="CMP11:CMP12"/>
    <mergeCell ref="CMQ11:CMQ12"/>
    <mergeCell ref="CMR11:CMR12"/>
    <mergeCell ref="CMS11:CMS12"/>
    <mergeCell ref="CMT11:CMT12"/>
    <mergeCell ref="CMU11:CMU12"/>
    <mergeCell ref="CMJ11:CMJ12"/>
    <mergeCell ref="CMK11:CMK12"/>
    <mergeCell ref="CML11:CML12"/>
    <mergeCell ref="CMM11:CMM12"/>
    <mergeCell ref="CMN11:CMN12"/>
    <mergeCell ref="CMO11:CMO12"/>
    <mergeCell ref="CMD11:CMD12"/>
    <mergeCell ref="CME11:CME12"/>
    <mergeCell ref="CMF11:CMF12"/>
    <mergeCell ref="CMG11:CMG12"/>
    <mergeCell ref="CMH11:CMH12"/>
    <mergeCell ref="CMI11:CMI12"/>
    <mergeCell ref="CLX11:CLX12"/>
    <mergeCell ref="CLY11:CLY12"/>
    <mergeCell ref="CLZ11:CLZ12"/>
    <mergeCell ref="CMA11:CMA12"/>
    <mergeCell ref="CMB11:CMB12"/>
    <mergeCell ref="CMC11:CMC12"/>
    <mergeCell ref="CLR11:CLR12"/>
    <mergeCell ref="CLS11:CLS12"/>
    <mergeCell ref="CLT11:CLT12"/>
    <mergeCell ref="CLU11:CLU12"/>
    <mergeCell ref="CLV11:CLV12"/>
    <mergeCell ref="CLW11:CLW12"/>
    <mergeCell ref="CLL11:CLL12"/>
    <mergeCell ref="CLM11:CLM12"/>
    <mergeCell ref="CLN11:CLN12"/>
    <mergeCell ref="CLO11:CLO12"/>
    <mergeCell ref="CLP11:CLP12"/>
    <mergeCell ref="CLQ11:CLQ12"/>
    <mergeCell ref="CLF11:CLF12"/>
    <mergeCell ref="CLG11:CLG12"/>
    <mergeCell ref="CLH11:CLH12"/>
    <mergeCell ref="CLI11:CLI12"/>
    <mergeCell ref="CLJ11:CLJ12"/>
    <mergeCell ref="CLK11:CLK12"/>
    <mergeCell ref="CKZ11:CKZ12"/>
    <mergeCell ref="CLA11:CLA12"/>
    <mergeCell ref="CLB11:CLB12"/>
    <mergeCell ref="CLC11:CLC12"/>
    <mergeCell ref="CLD11:CLD12"/>
    <mergeCell ref="CLE11:CLE12"/>
    <mergeCell ref="CKT11:CKT12"/>
    <mergeCell ref="CKU11:CKU12"/>
    <mergeCell ref="CKV11:CKV12"/>
    <mergeCell ref="CKW11:CKW12"/>
    <mergeCell ref="CKX11:CKX12"/>
    <mergeCell ref="CKY11:CKY12"/>
    <mergeCell ref="CKN11:CKN12"/>
    <mergeCell ref="CKO11:CKO12"/>
    <mergeCell ref="CKP11:CKP12"/>
    <mergeCell ref="CKQ11:CKQ12"/>
    <mergeCell ref="CKR11:CKR12"/>
    <mergeCell ref="CKS11:CKS12"/>
    <mergeCell ref="CKH11:CKH12"/>
    <mergeCell ref="CKI11:CKI12"/>
    <mergeCell ref="CKJ11:CKJ12"/>
    <mergeCell ref="CKK11:CKK12"/>
    <mergeCell ref="CKL11:CKL12"/>
    <mergeCell ref="CKM11:CKM12"/>
    <mergeCell ref="CKB11:CKB12"/>
    <mergeCell ref="CKC11:CKC12"/>
    <mergeCell ref="CKD11:CKD12"/>
    <mergeCell ref="CKE11:CKE12"/>
    <mergeCell ref="CKF11:CKF12"/>
    <mergeCell ref="CKG11:CKG12"/>
    <mergeCell ref="CJV11:CJV12"/>
    <mergeCell ref="CJW11:CJW12"/>
    <mergeCell ref="CJX11:CJX12"/>
    <mergeCell ref="CJY11:CJY12"/>
    <mergeCell ref="CJZ11:CJZ12"/>
    <mergeCell ref="CKA11:CKA12"/>
    <mergeCell ref="CJP11:CJP12"/>
    <mergeCell ref="CJQ11:CJQ12"/>
    <mergeCell ref="CJR11:CJR12"/>
    <mergeCell ref="CJS11:CJS12"/>
    <mergeCell ref="CJT11:CJT12"/>
    <mergeCell ref="CJU11:CJU12"/>
    <mergeCell ref="CJJ11:CJJ12"/>
    <mergeCell ref="CJK11:CJK12"/>
    <mergeCell ref="CJL11:CJL12"/>
    <mergeCell ref="CJM11:CJM12"/>
    <mergeCell ref="CJN11:CJN12"/>
    <mergeCell ref="CJO11:CJO12"/>
    <mergeCell ref="CJD11:CJD12"/>
    <mergeCell ref="CJE11:CJE12"/>
    <mergeCell ref="CJF11:CJF12"/>
    <mergeCell ref="CJG11:CJG12"/>
    <mergeCell ref="CJH11:CJH12"/>
    <mergeCell ref="CJI11:CJI12"/>
    <mergeCell ref="CIX11:CIX12"/>
    <mergeCell ref="CIY11:CIY12"/>
    <mergeCell ref="CIZ11:CIZ12"/>
    <mergeCell ref="CJA11:CJA12"/>
    <mergeCell ref="CJB11:CJB12"/>
    <mergeCell ref="CJC11:CJC12"/>
    <mergeCell ref="CIR11:CIR12"/>
    <mergeCell ref="CIS11:CIS12"/>
    <mergeCell ref="CIT11:CIT12"/>
    <mergeCell ref="CIU11:CIU12"/>
    <mergeCell ref="CIV11:CIV12"/>
    <mergeCell ref="CIW11:CIW12"/>
    <mergeCell ref="CIL11:CIL12"/>
    <mergeCell ref="CIM11:CIM12"/>
    <mergeCell ref="CIN11:CIN12"/>
    <mergeCell ref="CIO11:CIO12"/>
    <mergeCell ref="CIP11:CIP12"/>
    <mergeCell ref="CIQ11:CIQ12"/>
    <mergeCell ref="CIF11:CIF12"/>
    <mergeCell ref="CIG11:CIG12"/>
    <mergeCell ref="CIH11:CIH12"/>
    <mergeCell ref="CII11:CII12"/>
    <mergeCell ref="CIJ11:CIJ12"/>
    <mergeCell ref="CIK11:CIK12"/>
    <mergeCell ref="CHZ11:CHZ12"/>
    <mergeCell ref="CIA11:CIA12"/>
    <mergeCell ref="CIB11:CIB12"/>
    <mergeCell ref="CIC11:CIC12"/>
    <mergeCell ref="CID11:CID12"/>
    <mergeCell ref="CIE11:CIE12"/>
    <mergeCell ref="CHT11:CHT12"/>
    <mergeCell ref="CHU11:CHU12"/>
    <mergeCell ref="CHV11:CHV12"/>
    <mergeCell ref="CHW11:CHW12"/>
    <mergeCell ref="CHX11:CHX12"/>
    <mergeCell ref="CHY11:CHY12"/>
    <mergeCell ref="CHN11:CHN12"/>
    <mergeCell ref="CHO11:CHO12"/>
    <mergeCell ref="CHP11:CHP12"/>
    <mergeCell ref="CHQ11:CHQ12"/>
    <mergeCell ref="CHR11:CHR12"/>
    <mergeCell ref="CHS11:CHS12"/>
    <mergeCell ref="CHH11:CHH12"/>
    <mergeCell ref="CHI11:CHI12"/>
    <mergeCell ref="CHJ11:CHJ12"/>
    <mergeCell ref="CHK11:CHK12"/>
    <mergeCell ref="CHL11:CHL12"/>
    <mergeCell ref="CHM11:CHM12"/>
    <mergeCell ref="CHB11:CHB12"/>
    <mergeCell ref="CHC11:CHC12"/>
    <mergeCell ref="CHD11:CHD12"/>
    <mergeCell ref="CHE11:CHE12"/>
    <mergeCell ref="CHF11:CHF12"/>
    <mergeCell ref="CHG11:CHG12"/>
    <mergeCell ref="CGV11:CGV12"/>
    <mergeCell ref="CGW11:CGW12"/>
    <mergeCell ref="CGX11:CGX12"/>
    <mergeCell ref="CGY11:CGY12"/>
    <mergeCell ref="CGZ11:CGZ12"/>
    <mergeCell ref="CHA11:CHA12"/>
    <mergeCell ref="CGP11:CGP12"/>
    <mergeCell ref="CGQ11:CGQ12"/>
    <mergeCell ref="CGR11:CGR12"/>
    <mergeCell ref="CGS11:CGS12"/>
    <mergeCell ref="CGT11:CGT12"/>
    <mergeCell ref="CGU11:CGU12"/>
    <mergeCell ref="CGJ11:CGJ12"/>
    <mergeCell ref="CGK11:CGK12"/>
    <mergeCell ref="CGL11:CGL12"/>
    <mergeCell ref="CGM11:CGM12"/>
    <mergeCell ref="CGN11:CGN12"/>
    <mergeCell ref="CGO11:CGO12"/>
    <mergeCell ref="CGD11:CGD12"/>
    <mergeCell ref="CGE11:CGE12"/>
    <mergeCell ref="CGF11:CGF12"/>
    <mergeCell ref="CGG11:CGG12"/>
    <mergeCell ref="CGH11:CGH12"/>
    <mergeCell ref="CGI11:CGI12"/>
    <mergeCell ref="CFX11:CFX12"/>
    <mergeCell ref="CFY11:CFY12"/>
    <mergeCell ref="CFZ11:CFZ12"/>
    <mergeCell ref="CGA11:CGA12"/>
    <mergeCell ref="CGB11:CGB12"/>
    <mergeCell ref="CGC11:CGC12"/>
    <mergeCell ref="CFR11:CFR12"/>
    <mergeCell ref="CFS11:CFS12"/>
    <mergeCell ref="CFT11:CFT12"/>
    <mergeCell ref="CFU11:CFU12"/>
    <mergeCell ref="CFV11:CFV12"/>
    <mergeCell ref="CFW11:CFW12"/>
    <mergeCell ref="CFL11:CFL12"/>
    <mergeCell ref="CFM11:CFM12"/>
    <mergeCell ref="CFN11:CFN12"/>
    <mergeCell ref="CFO11:CFO12"/>
    <mergeCell ref="CFP11:CFP12"/>
    <mergeCell ref="CFQ11:CFQ12"/>
    <mergeCell ref="CFF11:CFF12"/>
    <mergeCell ref="CFG11:CFG12"/>
    <mergeCell ref="CFH11:CFH12"/>
    <mergeCell ref="CFI11:CFI12"/>
    <mergeCell ref="CFJ11:CFJ12"/>
    <mergeCell ref="CFK11:CFK12"/>
    <mergeCell ref="CEZ11:CEZ12"/>
    <mergeCell ref="CFA11:CFA12"/>
    <mergeCell ref="CFB11:CFB12"/>
    <mergeCell ref="CFC11:CFC12"/>
    <mergeCell ref="CFD11:CFD12"/>
    <mergeCell ref="CFE11:CFE12"/>
    <mergeCell ref="CET11:CET12"/>
    <mergeCell ref="CEU11:CEU12"/>
    <mergeCell ref="CEV11:CEV12"/>
    <mergeCell ref="CEW11:CEW12"/>
    <mergeCell ref="CEX11:CEX12"/>
    <mergeCell ref="CEY11:CEY12"/>
    <mergeCell ref="CEN11:CEN12"/>
    <mergeCell ref="CEO11:CEO12"/>
    <mergeCell ref="CEP11:CEP12"/>
    <mergeCell ref="CEQ11:CEQ12"/>
    <mergeCell ref="CER11:CER12"/>
    <mergeCell ref="CES11:CES12"/>
    <mergeCell ref="CEH11:CEH12"/>
    <mergeCell ref="CEI11:CEI12"/>
    <mergeCell ref="CEJ11:CEJ12"/>
    <mergeCell ref="CEK11:CEK12"/>
    <mergeCell ref="CEL11:CEL12"/>
    <mergeCell ref="CEM11:CEM12"/>
    <mergeCell ref="CEB11:CEB12"/>
    <mergeCell ref="CEC11:CEC12"/>
    <mergeCell ref="CED11:CED12"/>
    <mergeCell ref="CEE11:CEE12"/>
    <mergeCell ref="CEF11:CEF12"/>
    <mergeCell ref="CEG11:CEG12"/>
    <mergeCell ref="CDV11:CDV12"/>
    <mergeCell ref="CDW11:CDW12"/>
    <mergeCell ref="CDX11:CDX12"/>
    <mergeCell ref="CDY11:CDY12"/>
    <mergeCell ref="CDZ11:CDZ12"/>
    <mergeCell ref="CEA11:CEA12"/>
    <mergeCell ref="CDP11:CDP12"/>
    <mergeCell ref="CDQ11:CDQ12"/>
    <mergeCell ref="CDR11:CDR12"/>
    <mergeCell ref="CDS11:CDS12"/>
    <mergeCell ref="CDT11:CDT12"/>
    <mergeCell ref="CDU11:CDU12"/>
    <mergeCell ref="CDJ11:CDJ12"/>
    <mergeCell ref="CDK11:CDK12"/>
    <mergeCell ref="CDL11:CDL12"/>
    <mergeCell ref="CDM11:CDM12"/>
    <mergeCell ref="CDN11:CDN12"/>
    <mergeCell ref="CDO11:CDO12"/>
    <mergeCell ref="CDD11:CDD12"/>
    <mergeCell ref="CDE11:CDE12"/>
    <mergeCell ref="CDF11:CDF12"/>
    <mergeCell ref="CDG11:CDG12"/>
    <mergeCell ref="CDH11:CDH12"/>
    <mergeCell ref="CDI11:CDI12"/>
    <mergeCell ref="CCX11:CCX12"/>
    <mergeCell ref="CCY11:CCY12"/>
    <mergeCell ref="CCZ11:CCZ12"/>
    <mergeCell ref="CDA11:CDA12"/>
    <mergeCell ref="CDB11:CDB12"/>
    <mergeCell ref="CDC11:CDC12"/>
    <mergeCell ref="CCR11:CCR12"/>
    <mergeCell ref="CCS11:CCS12"/>
    <mergeCell ref="CCT11:CCT12"/>
    <mergeCell ref="CCU11:CCU12"/>
    <mergeCell ref="CCV11:CCV12"/>
    <mergeCell ref="CCW11:CCW12"/>
    <mergeCell ref="CCL11:CCL12"/>
    <mergeCell ref="CCM11:CCM12"/>
    <mergeCell ref="CCN11:CCN12"/>
    <mergeCell ref="CCO11:CCO12"/>
    <mergeCell ref="CCP11:CCP12"/>
    <mergeCell ref="CCQ11:CCQ12"/>
    <mergeCell ref="CCF11:CCF12"/>
    <mergeCell ref="CCG11:CCG12"/>
    <mergeCell ref="CCH11:CCH12"/>
    <mergeCell ref="CCI11:CCI12"/>
    <mergeCell ref="CCJ11:CCJ12"/>
    <mergeCell ref="CCK11:CCK12"/>
    <mergeCell ref="CBZ11:CBZ12"/>
    <mergeCell ref="CCA11:CCA12"/>
    <mergeCell ref="CCB11:CCB12"/>
    <mergeCell ref="CCC11:CCC12"/>
    <mergeCell ref="CCD11:CCD12"/>
    <mergeCell ref="CCE11:CCE12"/>
    <mergeCell ref="CBT11:CBT12"/>
    <mergeCell ref="CBU11:CBU12"/>
    <mergeCell ref="CBV11:CBV12"/>
    <mergeCell ref="CBW11:CBW12"/>
    <mergeCell ref="CBX11:CBX12"/>
    <mergeCell ref="CBY11:CBY12"/>
    <mergeCell ref="CBN11:CBN12"/>
    <mergeCell ref="CBO11:CBO12"/>
    <mergeCell ref="CBP11:CBP12"/>
    <mergeCell ref="CBQ11:CBQ12"/>
    <mergeCell ref="CBR11:CBR12"/>
    <mergeCell ref="CBS11:CBS12"/>
    <mergeCell ref="CBH11:CBH12"/>
    <mergeCell ref="CBI11:CBI12"/>
    <mergeCell ref="CBJ11:CBJ12"/>
    <mergeCell ref="CBK11:CBK12"/>
    <mergeCell ref="CBL11:CBL12"/>
    <mergeCell ref="CBM11:CBM12"/>
    <mergeCell ref="CBB11:CBB12"/>
    <mergeCell ref="CBC11:CBC12"/>
    <mergeCell ref="CBD11:CBD12"/>
    <mergeCell ref="CBE11:CBE12"/>
    <mergeCell ref="CBF11:CBF12"/>
    <mergeCell ref="CBG11:CBG12"/>
    <mergeCell ref="CAV11:CAV12"/>
    <mergeCell ref="CAW11:CAW12"/>
    <mergeCell ref="CAX11:CAX12"/>
    <mergeCell ref="CAY11:CAY12"/>
    <mergeCell ref="CAZ11:CAZ12"/>
    <mergeCell ref="CBA11:CBA12"/>
    <mergeCell ref="CAP11:CAP12"/>
    <mergeCell ref="CAQ11:CAQ12"/>
    <mergeCell ref="CAR11:CAR12"/>
    <mergeCell ref="CAS11:CAS12"/>
    <mergeCell ref="CAT11:CAT12"/>
    <mergeCell ref="CAU11:CAU12"/>
    <mergeCell ref="CAJ11:CAJ12"/>
    <mergeCell ref="CAK11:CAK12"/>
    <mergeCell ref="CAL11:CAL12"/>
    <mergeCell ref="CAM11:CAM12"/>
    <mergeCell ref="CAN11:CAN12"/>
    <mergeCell ref="CAO11:CAO12"/>
    <mergeCell ref="CAD11:CAD12"/>
    <mergeCell ref="CAE11:CAE12"/>
    <mergeCell ref="CAF11:CAF12"/>
    <mergeCell ref="CAG11:CAG12"/>
    <mergeCell ref="CAH11:CAH12"/>
    <mergeCell ref="CAI11:CAI12"/>
    <mergeCell ref="BZX11:BZX12"/>
    <mergeCell ref="BZY11:BZY12"/>
    <mergeCell ref="BZZ11:BZZ12"/>
    <mergeCell ref="CAA11:CAA12"/>
    <mergeCell ref="CAB11:CAB12"/>
    <mergeCell ref="CAC11:CAC12"/>
    <mergeCell ref="BZR11:BZR12"/>
    <mergeCell ref="BZS11:BZS12"/>
    <mergeCell ref="BZT11:BZT12"/>
    <mergeCell ref="BZU11:BZU12"/>
    <mergeCell ref="BZV11:BZV12"/>
    <mergeCell ref="BZW11:BZW12"/>
    <mergeCell ref="BZL11:BZL12"/>
    <mergeCell ref="BZM11:BZM12"/>
    <mergeCell ref="BZN11:BZN12"/>
    <mergeCell ref="BZO11:BZO12"/>
    <mergeCell ref="BZP11:BZP12"/>
    <mergeCell ref="BZQ11:BZQ12"/>
    <mergeCell ref="BZF11:BZF12"/>
    <mergeCell ref="BZG11:BZG12"/>
    <mergeCell ref="BZH11:BZH12"/>
    <mergeCell ref="BZI11:BZI12"/>
    <mergeCell ref="BZJ11:BZJ12"/>
    <mergeCell ref="BZK11:BZK12"/>
    <mergeCell ref="BYZ11:BYZ12"/>
    <mergeCell ref="BZA11:BZA12"/>
    <mergeCell ref="BZB11:BZB12"/>
    <mergeCell ref="BZC11:BZC12"/>
    <mergeCell ref="BZD11:BZD12"/>
    <mergeCell ref="BZE11:BZE12"/>
    <mergeCell ref="BYT11:BYT12"/>
    <mergeCell ref="BYU11:BYU12"/>
    <mergeCell ref="BYV11:BYV12"/>
    <mergeCell ref="BYW11:BYW12"/>
    <mergeCell ref="BYX11:BYX12"/>
    <mergeCell ref="BYY11:BYY12"/>
    <mergeCell ref="BYN11:BYN12"/>
    <mergeCell ref="BYO11:BYO12"/>
    <mergeCell ref="BYP11:BYP12"/>
    <mergeCell ref="BYQ11:BYQ12"/>
    <mergeCell ref="BYR11:BYR12"/>
    <mergeCell ref="BYS11:BYS12"/>
    <mergeCell ref="BYH11:BYH12"/>
    <mergeCell ref="BYI11:BYI12"/>
    <mergeCell ref="BYJ11:BYJ12"/>
    <mergeCell ref="BYK11:BYK12"/>
    <mergeCell ref="BYL11:BYL12"/>
    <mergeCell ref="BYM11:BYM12"/>
    <mergeCell ref="BYB11:BYB12"/>
    <mergeCell ref="BYC11:BYC12"/>
    <mergeCell ref="BYD11:BYD12"/>
    <mergeCell ref="BYE11:BYE12"/>
    <mergeCell ref="BYF11:BYF12"/>
    <mergeCell ref="BYG11:BYG12"/>
    <mergeCell ref="BXV11:BXV12"/>
    <mergeCell ref="BXW11:BXW12"/>
    <mergeCell ref="BXX11:BXX12"/>
    <mergeCell ref="BXY11:BXY12"/>
    <mergeCell ref="BXZ11:BXZ12"/>
    <mergeCell ref="BYA11:BYA12"/>
    <mergeCell ref="BXP11:BXP12"/>
    <mergeCell ref="BXQ11:BXQ12"/>
    <mergeCell ref="BXR11:BXR12"/>
    <mergeCell ref="BXS11:BXS12"/>
    <mergeCell ref="BXT11:BXT12"/>
    <mergeCell ref="BXU11:BXU12"/>
    <mergeCell ref="BXJ11:BXJ12"/>
    <mergeCell ref="BXK11:BXK12"/>
    <mergeCell ref="BXL11:BXL12"/>
    <mergeCell ref="BXM11:BXM12"/>
    <mergeCell ref="BXN11:BXN12"/>
    <mergeCell ref="BXO11:BXO12"/>
    <mergeCell ref="BXD11:BXD12"/>
    <mergeCell ref="BXE11:BXE12"/>
    <mergeCell ref="BXF11:BXF12"/>
    <mergeCell ref="BXG11:BXG12"/>
    <mergeCell ref="BXH11:BXH12"/>
    <mergeCell ref="BXI11:BXI12"/>
    <mergeCell ref="BWX11:BWX12"/>
    <mergeCell ref="BWY11:BWY12"/>
    <mergeCell ref="BWZ11:BWZ12"/>
    <mergeCell ref="BXA11:BXA12"/>
    <mergeCell ref="BXB11:BXB12"/>
    <mergeCell ref="BXC11:BXC12"/>
    <mergeCell ref="BWR11:BWR12"/>
    <mergeCell ref="BWS11:BWS12"/>
    <mergeCell ref="BWT11:BWT12"/>
    <mergeCell ref="BWU11:BWU12"/>
    <mergeCell ref="BWV11:BWV12"/>
    <mergeCell ref="BWW11:BWW12"/>
    <mergeCell ref="BWL11:BWL12"/>
    <mergeCell ref="BWM11:BWM12"/>
    <mergeCell ref="BWN11:BWN12"/>
    <mergeCell ref="BWO11:BWO12"/>
    <mergeCell ref="BWP11:BWP12"/>
    <mergeCell ref="BWQ11:BWQ12"/>
    <mergeCell ref="BWF11:BWF12"/>
    <mergeCell ref="BWG11:BWG12"/>
    <mergeCell ref="BWH11:BWH12"/>
    <mergeCell ref="BWI11:BWI12"/>
    <mergeCell ref="BWJ11:BWJ12"/>
    <mergeCell ref="BWK11:BWK12"/>
    <mergeCell ref="BVZ11:BVZ12"/>
    <mergeCell ref="BWA11:BWA12"/>
    <mergeCell ref="BWB11:BWB12"/>
    <mergeCell ref="BWC11:BWC12"/>
    <mergeCell ref="BWD11:BWD12"/>
    <mergeCell ref="BWE11:BWE12"/>
    <mergeCell ref="BVT11:BVT12"/>
    <mergeCell ref="BVU11:BVU12"/>
    <mergeCell ref="BVV11:BVV12"/>
    <mergeCell ref="BVW11:BVW12"/>
    <mergeCell ref="BVX11:BVX12"/>
    <mergeCell ref="BVY11:BVY12"/>
    <mergeCell ref="BVN11:BVN12"/>
    <mergeCell ref="BVO11:BVO12"/>
    <mergeCell ref="BVP11:BVP12"/>
    <mergeCell ref="BVQ11:BVQ12"/>
    <mergeCell ref="BVR11:BVR12"/>
    <mergeCell ref="BVS11:BVS12"/>
    <mergeCell ref="BVH11:BVH12"/>
    <mergeCell ref="BVI11:BVI12"/>
    <mergeCell ref="BVJ11:BVJ12"/>
    <mergeCell ref="BVK11:BVK12"/>
    <mergeCell ref="BVL11:BVL12"/>
    <mergeCell ref="BVM11:BVM12"/>
    <mergeCell ref="BVB11:BVB12"/>
    <mergeCell ref="BVC11:BVC12"/>
    <mergeCell ref="BVD11:BVD12"/>
    <mergeCell ref="BVE11:BVE12"/>
    <mergeCell ref="BVF11:BVF12"/>
    <mergeCell ref="BVG11:BVG12"/>
    <mergeCell ref="BUV11:BUV12"/>
    <mergeCell ref="BUW11:BUW12"/>
    <mergeCell ref="BUX11:BUX12"/>
    <mergeCell ref="BUY11:BUY12"/>
    <mergeCell ref="BUZ11:BUZ12"/>
    <mergeCell ref="BVA11:BVA12"/>
    <mergeCell ref="BUP11:BUP12"/>
    <mergeCell ref="BUQ11:BUQ12"/>
    <mergeCell ref="BUR11:BUR12"/>
    <mergeCell ref="BUS11:BUS12"/>
    <mergeCell ref="BUT11:BUT12"/>
    <mergeCell ref="BUU11:BUU12"/>
    <mergeCell ref="BUJ11:BUJ12"/>
    <mergeCell ref="BUK11:BUK12"/>
    <mergeCell ref="BUL11:BUL12"/>
    <mergeCell ref="BUM11:BUM12"/>
    <mergeCell ref="BUN11:BUN12"/>
    <mergeCell ref="BUO11:BUO12"/>
    <mergeCell ref="BUD11:BUD12"/>
    <mergeCell ref="BUE11:BUE12"/>
    <mergeCell ref="BUF11:BUF12"/>
    <mergeCell ref="BUG11:BUG12"/>
    <mergeCell ref="BUH11:BUH12"/>
    <mergeCell ref="BUI11:BUI12"/>
    <mergeCell ref="BTX11:BTX12"/>
    <mergeCell ref="BTY11:BTY12"/>
    <mergeCell ref="BTZ11:BTZ12"/>
    <mergeCell ref="BUA11:BUA12"/>
    <mergeCell ref="BUB11:BUB12"/>
    <mergeCell ref="BUC11:BUC12"/>
    <mergeCell ref="BTR11:BTR12"/>
    <mergeCell ref="BTS11:BTS12"/>
    <mergeCell ref="BTT11:BTT12"/>
    <mergeCell ref="BTU11:BTU12"/>
    <mergeCell ref="BTV11:BTV12"/>
    <mergeCell ref="BTW11:BTW12"/>
    <mergeCell ref="BTL11:BTL12"/>
    <mergeCell ref="BTM11:BTM12"/>
    <mergeCell ref="BTN11:BTN12"/>
    <mergeCell ref="BTO11:BTO12"/>
    <mergeCell ref="BTP11:BTP12"/>
    <mergeCell ref="BTQ11:BTQ12"/>
    <mergeCell ref="BTF11:BTF12"/>
    <mergeCell ref="BTG11:BTG12"/>
    <mergeCell ref="BTH11:BTH12"/>
    <mergeCell ref="BTI11:BTI12"/>
    <mergeCell ref="BTJ11:BTJ12"/>
    <mergeCell ref="BTK11:BTK12"/>
    <mergeCell ref="BSZ11:BSZ12"/>
    <mergeCell ref="BTA11:BTA12"/>
    <mergeCell ref="BTB11:BTB12"/>
    <mergeCell ref="BTC11:BTC12"/>
    <mergeCell ref="BTD11:BTD12"/>
    <mergeCell ref="BTE11:BTE12"/>
    <mergeCell ref="BST11:BST12"/>
    <mergeCell ref="BSU11:BSU12"/>
    <mergeCell ref="BSV11:BSV12"/>
    <mergeCell ref="BSW11:BSW12"/>
    <mergeCell ref="BSX11:BSX12"/>
    <mergeCell ref="BSY11:BSY12"/>
    <mergeCell ref="BSN11:BSN12"/>
    <mergeCell ref="BSO11:BSO12"/>
    <mergeCell ref="BSP11:BSP12"/>
    <mergeCell ref="BSQ11:BSQ12"/>
    <mergeCell ref="BSR11:BSR12"/>
    <mergeCell ref="BSS11:BSS12"/>
    <mergeCell ref="BSH11:BSH12"/>
    <mergeCell ref="BSI11:BSI12"/>
    <mergeCell ref="BSJ11:BSJ12"/>
    <mergeCell ref="BSK11:BSK12"/>
    <mergeCell ref="BSL11:BSL12"/>
    <mergeCell ref="BSM11:BSM12"/>
    <mergeCell ref="BSB11:BSB12"/>
    <mergeCell ref="BSC11:BSC12"/>
    <mergeCell ref="BSD11:BSD12"/>
    <mergeCell ref="BSE11:BSE12"/>
    <mergeCell ref="BSF11:BSF12"/>
    <mergeCell ref="BSG11:BSG12"/>
    <mergeCell ref="BRV11:BRV12"/>
    <mergeCell ref="BRW11:BRW12"/>
    <mergeCell ref="BRX11:BRX12"/>
    <mergeCell ref="BRY11:BRY12"/>
    <mergeCell ref="BRZ11:BRZ12"/>
    <mergeCell ref="BSA11:BSA12"/>
    <mergeCell ref="BRP11:BRP12"/>
    <mergeCell ref="BRQ11:BRQ12"/>
    <mergeCell ref="BRR11:BRR12"/>
    <mergeCell ref="BRS11:BRS12"/>
    <mergeCell ref="BRT11:BRT12"/>
    <mergeCell ref="BRU11:BRU12"/>
    <mergeCell ref="BRJ11:BRJ12"/>
    <mergeCell ref="BRK11:BRK12"/>
    <mergeCell ref="BRL11:BRL12"/>
    <mergeCell ref="BRM11:BRM12"/>
    <mergeCell ref="BRN11:BRN12"/>
    <mergeCell ref="BRO11:BRO12"/>
    <mergeCell ref="BRD11:BRD12"/>
    <mergeCell ref="BRE11:BRE12"/>
    <mergeCell ref="BRF11:BRF12"/>
    <mergeCell ref="BRG11:BRG12"/>
    <mergeCell ref="BRH11:BRH12"/>
    <mergeCell ref="BRI11:BRI12"/>
    <mergeCell ref="BQX11:BQX12"/>
    <mergeCell ref="BQY11:BQY12"/>
    <mergeCell ref="BQZ11:BQZ12"/>
    <mergeCell ref="BRA11:BRA12"/>
    <mergeCell ref="BRB11:BRB12"/>
    <mergeCell ref="BRC11:BRC12"/>
    <mergeCell ref="BQR11:BQR12"/>
    <mergeCell ref="BQS11:BQS12"/>
    <mergeCell ref="BQT11:BQT12"/>
    <mergeCell ref="BQU11:BQU12"/>
    <mergeCell ref="BQV11:BQV12"/>
    <mergeCell ref="BQW11:BQW12"/>
    <mergeCell ref="BQL11:BQL12"/>
    <mergeCell ref="BQM11:BQM12"/>
    <mergeCell ref="BQN11:BQN12"/>
    <mergeCell ref="BQO11:BQO12"/>
    <mergeCell ref="BQP11:BQP12"/>
    <mergeCell ref="BQQ11:BQQ12"/>
    <mergeCell ref="BQF11:BQF12"/>
    <mergeCell ref="BQG11:BQG12"/>
    <mergeCell ref="BQH11:BQH12"/>
    <mergeCell ref="BQI11:BQI12"/>
    <mergeCell ref="BQJ11:BQJ12"/>
    <mergeCell ref="BQK11:BQK12"/>
    <mergeCell ref="BPZ11:BPZ12"/>
    <mergeCell ref="BQA11:BQA12"/>
    <mergeCell ref="BQB11:BQB12"/>
    <mergeCell ref="BQC11:BQC12"/>
    <mergeCell ref="BQD11:BQD12"/>
    <mergeCell ref="BQE11:BQE12"/>
    <mergeCell ref="BPT11:BPT12"/>
    <mergeCell ref="BPU11:BPU12"/>
    <mergeCell ref="BPV11:BPV12"/>
    <mergeCell ref="BPW11:BPW12"/>
    <mergeCell ref="BPX11:BPX12"/>
    <mergeCell ref="BPY11:BPY12"/>
    <mergeCell ref="BPN11:BPN12"/>
    <mergeCell ref="BPO11:BPO12"/>
    <mergeCell ref="BPP11:BPP12"/>
    <mergeCell ref="BPQ11:BPQ12"/>
    <mergeCell ref="BPR11:BPR12"/>
    <mergeCell ref="BPS11:BPS12"/>
    <mergeCell ref="BPH11:BPH12"/>
    <mergeCell ref="BPI11:BPI12"/>
    <mergeCell ref="BPJ11:BPJ12"/>
    <mergeCell ref="BPK11:BPK12"/>
    <mergeCell ref="BPL11:BPL12"/>
    <mergeCell ref="BPM11:BPM12"/>
    <mergeCell ref="BPB11:BPB12"/>
    <mergeCell ref="BPC11:BPC12"/>
    <mergeCell ref="BPD11:BPD12"/>
    <mergeCell ref="BPE11:BPE12"/>
    <mergeCell ref="BPF11:BPF12"/>
    <mergeCell ref="BPG11:BPG12"/>
    <mergeCell ref="BOV11:BOV12"/>
    <mergeCell ref="BOW11:BOW12"/>
    <mergeCell ref="BOX11:BOX12"/>
    <mergeCell ref="BOY11:BOY12"/>
    <mergeCell ref="BOZ11:BOZ12"/>
    <mergeCell ref="BPA11:BPA12"/>
    <mergeCell ref="BOP11:BOP12"/>
    <mergeCell ref="BOQ11:BOQ12"/>
    <mergeCell ref="BOR11:BOR12"/>
    <mergeCell ref="BOS11:BOS12"/>
    <mergeCell ref="BOT11:BOT12"/>
    <mergeCell ref="BOU11:BOU12"/>
    <mergeCell ref="BOJ11:BOJ12"/>
    <mergeCell ref="BOK11:BOK12"/>
    <mergeCell ref="BOL11:BOL12"/>
    <mergeCell ref="BOM11:BOM12"/>
    <mergeCell ref="BON11:BON12"/>
    <mergeCell ref="BOO11:BOO12"/>
    <mergeCell ref="BOD11:BOD12"/>
    <mergeCell ref="BOE11:BOE12"/>
    <mergeCell ref="BOF11:BOF12"/>
    <mergeCell ref="BOG11:BOG12"/>
    <mergeCell ref="BOH11:BOH12"/>
    <mergeCell ref="BOI11:BOI12"/>
    <mergeCell ref="BNX11:BNX12"/>
    <mergeCell ref="BNY11:BNY12"/>
    <mergeCell ref="BNZ11:BNZ12"/>
    <mergeCell ref="BOA11:BOA12"/>
    <mergeCell ref="BOB11:BOB12"/>
    <mergeCell ref="BOC11:BOC12"/>
    <mergeCell ref="BNR11:BNR12"/>
    <mergeCell ref="BNS11:BNS12"/>
    <mergeCell ref="BNT11:BNT12"/>
    <mergeCell ref="BNU11:BNU12"/>
    <mergeCell ref="BNV11:BNV12"/>
    <mergeCell ref="BNW11:BNW12"/>
    <mergeCell ref="BNL11:BNL12"/>
    <mergeCell ref="BNM11:BNM12"/>
    <mergeCell ref="BNN11:BNN12"/>
    <mergeCell ref="BNO11:BNO12"/>
    <mergeCell ref="BNP11:BNP12"/>
    <mergeCell ref="BNQ11:BNQ12"/>
    <mergeCell ref="BNF11:BNF12"/>
    <mergeCell ref="BNG11:BNG12"/>
    <mergeCell ref="BNH11:BNH12"/>
    <mergeCell ref="BNI11:BNI12"/>
    <mergeCell ref="BNJ11:BNJ12"/>
    <mergeCell ref="BNK11:BNK12"/>
    <mergeCell ref="BMZ11:BMZ12"/>
    <mergeCell ref="BNA11:BNA12"/>
    <mergeCell ref="BNB11:BNB12"/>
    <mergeCell ref="BNC11:BNC12"/>
    <mergeCell ref="BND11:BND12"/>
    <mergeCell ref="BNE11:BNE12"/>
    <mergeCell ref="BMT11:BMT12"/>
    <mergeCell ref="BMU11:BMU12"/>
    <mergeCell ref="BMV11:BMV12"/>
    <mergeCell ref="BMW11:BMW12"/>
    <mergeCell ref="BMX11:BMX12"/>
    <mergeCell ref="BMY11:BMY12"/>
    <mergeCell ref="BMN11:BMN12"/>
    <mergeCell ref="BMO11:BMO12"/>
    <mergeCell ref="BMP11:BMP12"/>
    <mergeCell ref="BMQ11:BMQ12"/>
    <mergeCell ref="BMR11:BMR12"/>
    <mergeCell ref="BMS11:BMS12"/>
    <mergeCell ref="BMH11:BMH12"/>
    <mergeCell ref="BMI11:BMI12"/>
    <mergeCell ref="BMJ11:BMJ12"/>
    <mergeCell ref="BMK11:BMK12"/>
    <mergeCell ref="BML11:BML12"/>
    <mergeCell ref="BMM11:BMM12"/>
    <mergeCell ref="BMB11:BMB12"/>
    <mergeCell ref="BMC11:BMC12"/>
    <mergeCell ref="BMD11:BMD12"/>
    <mergeCell ref="BME11:BME12"/>
    <mergeCell ref="BMF11:BMF12"/>
    <mergeCell ref="BMG11:BMG12"/>
    <mergeCell ref="BLV11:BLV12"/>
    <mergeCell ref="BLW11:BLW12"/>
    <mergeCell ref="BLX11:BLX12"/>
    <mergeCell ref="BLY11:BLY12"/>
    <mergeCell ref="BLZ11:BLZ12"/>
    <mergeCell ref="BMA11:BMA12"/>
    <mergeCell ref="BLP11:BLP12"/>
    <mergeCell ref="BLQ11:BLQ12"/>
    <mergeCell ref="BLR11:BLR12"/>
    <mergeCell ref="BLS11:BLS12"/>
    <mergeCell ref="BLT11:BLT12"/>
    <mergeCell ref="BLU11:BLU12"/>
    <mergeCell ref="BLJ11:BLJ12"/>
    <mergeCell ref="BLK11:BLK12"/>
    <mergeCell ref="BLL11:BLL12"/>
    <mergeCell ref="BLM11:BLM12"/>
    <mergeCell ref="BLN11:BLN12"/>
    <mergeCell ref="BLO11:BLO12"/>
    <mergeCell ref="BLD11:BLD12"/>
    <mergeCell ref="BLE11:BLE12"/>
    <mergeCell ref="BLF11:BLF12"/>
    <mergeCell ref="BLG11:BLG12"/>
    <mergeCell ref="BLH11:BLH12"/>
    <mergeCell ref="BLI11:BLI12"/>
    <mergeCell ref="BKX11:BKX12"/>
    <mergeCell ref="BKY11:BKY12"/>
    <mergeCell ref="BKZ11:BKZ12"/>
    <mergeCell ref="BLA11:BLA12"/>
    <mergeCell ref="BLB11:BLB12"/>
    <mergeCell ref="BLC11:BLC12"/>
    <mergeCell ref="BKR11:BKR12"/>
    <mergeCell ref="BKS11:BKS12"/>
    <mergeCell ref="BKT11:BKT12"/>
    <mergeCell ref="BKU11:BKU12"/>
    <mergeCell ref="BKV11:BKV12"/>
    <mergeCell ref="BKW11:BKW12"/>
    <mergeCell ref="BKL11:BKL12"/>
    <mergeCell ref="BKM11:BKM12"/>
    <mergeCell ref="BKN11:BKN12"/>
    <mergeCell ref="BKO11:BKO12"/>
    <mergeCell ref="BKP11:BKP12"/>
    <mergeCell ref="BKQ11:BKQ12"/>
    <mergeCell ref="BKF11:BKF12"/>
    <mergeCell ref="BKG11:BKG12"/>
    <mergeCell ref="BKH11:BKH12"/>
    <mergeCell ref="BKI11:BKI12"/>
    <mergeCell ref="BKJ11:BKJ12"/>
    <mergeCell ref="BKK11:BKK12"/>
    <mergeCell ref="BJZ11:BJZ12"/>
    <mergeCell ref="BKA11:BKA12"/>
    <mergeCell ref="BKB11:BKB12"/>
    <mergeCell ref="BKC11:BKC12"/>
    <mergeCell ref="BKD11:BKD12"/>
    <mergeCell ref="BKE11:BKE12"/>
    <mergeCell ref="BJT11:BJT12"/>
    <mergeCell ref="BJU11:BJU12"/>
    <mergeCell ref="BJV11:BJV12"/>
    <mergeCell ref="BJW11:BJW12"/>
    <mergeCell ref="BJX11:BJX12"/>
    <mergeCell ref="BJY11:BJY12"/>
    <mergeCell ref="BJN11:BJN12"/>
    <mergeCell ref="BJO11:BJO12"/>
    <mergeCell ref="BJP11:BJP12"/>
    <mergeCell ref="BJQ11:BJQ12"/>
    <mergeCell ref="BJR11:BJR12"/>
    <mergeCell ref="BJS11:BJS12"/>
    <mergeCell ref="BJH11:BJH12"/>
    <mergeCell ref="BJI11:BJI12"/>
    <mergeCell ref="BJJ11:BJJ12"/>
    <mergeCell ref="BJK11:BJK12"/>
    <mergeCell ref="BJL11:BJL12"/>
    <mergeCell ref="BJM11:BJM12"/>
    <mergeCell ref="BJB11:BJB12"/>
    <mergeCell ref="BJC11:BJC12"/>
    <mergeCell ref="BJD11:BJD12"/>
    <mergeCell ref="BJE11:BJE12"/>
    <mergeCell ref="BJF11:BJF12"/>
    <mergeCell ref="BJG11:BJG12"/>
    <mergeCell ref="BIV11:BIV12"/>
    <mergeCell ref="BIW11:BIW12"/>
    <mergeCell ref="BIX11:BIX12"/>
    <mergeCell ref="BIY11:BIY12"/>
    <mergeCell ref="BIZ11:BIZ12"/>
    <mergeCell ref="BJA11:BJA12"/>
    <mergeCell ref="BIP11:BIP12"/>
    <mergeCell ref="BIQ11:BIQ12"/>
    <mergeCell ref="BIR11:BIR12"/>
    <mergeCell ref="BIS11:BIS12"/>
    <mergeCell ref="BIT11:BIT12"/>
    <mergeCell ref="BIU11:BIU12"/>
    <mergeCell ref="BIJ11:BIJ12"/>
    <mergeCell ref="BIK11:BIK12"/>
    <mergeCell ref="BIL11:BIL12"/>
    <mergeCell ref="BIM11:BIM12"/>
    <mergeCell ref="BIN11:BIN12"/>
    <mergeCell ref="BIO11:BIO12"/>
    <mergeCell ref="BID11:BID12"/>
    <mergeCell ref="BIE11:BIE12"/>
    <mergeCell ref="BIF11:BIF12"/>
    <mergeCell ref="BIG11:BIG12"/>
    <mergeCell ref="BIH11:BIH12"/>
    <mergeCell ref="BII11:BII12"/>
    <mergeCell ref="BHX11:BHX12"/>
    <mergeCell ref="BHY11:BHY12"/>
    <mergeCell ref="BHZ11:BHZ12"/>
    <mergeCell ref="BIA11:BIA12"/>
    <mergeCell ref="BIB11:BIB12"/>
    <mergeCell ref="BIC11:BIC12"/>
    <mergeCell ref="BHR11:BHR12"/>
    <mergeCell ref="BHS11:BHS12"/>
    <mergeCell ref="BHT11:BHT12"/>
    <mergeCell ref="BHU11:BHU12"/>
    <mergeCell ref="BHV11:BHV12"/>
    <mergeCell ref="BHW11:BHW12"/>
    <mergeCell ref="BHL11:BHL12"/>
    <mergeCell ref="BHM11:BHM12"/>
    <mergeCell ref="BHN11:BHN12"/>
    <mergeCell ref="BHO11:BHO12"/>
    <mergeCell ref="BHP11:BHP12"/>
    <mergeCell ref="BHQ11:BHQ12"/>
    <mergeCell ref="BHF11:BHF12"/>
    <mergeCell ref="BHG11:BHG12"/>
    <mergeCell ref="BHH11:BHH12"/>
    <mergeCell ref="BHI11:BHI12"/>
    <mergeCell ref="BHJ11:BHJ12"/>
    <mergeCell ref="BHK11:BHK12"/>
    <mergeCell ref="BGZ11:BGZ12"/>
    <mergeCell ref="BHA11:BHA12"/>
    <mergeCell ref="BHB11:BHB12"/>
    <mergeCell ref="BHC11:BHC12"/>
    <mergeCell ref="BHD11:BHD12"/>
    <mergeCell ref="BHE11:BHE12"/>
    <mergeCell ref="BGT11:BGT12"/>
    <mergeCell ref="BGU11:BGU12"/>
    <mergeCell ref="BGV11:BGV12"/>
    <mergeCell ref="BGW11:BGW12"/>
    <mergeCell ref="BGX11:BGX12"/>
    <mergeCell ref="BGY11:BGY12"/>
    <mergeCell ref="BGN11:BGN12"/>
    <mergeCell ref="BGO11:BGO12"/>
    <mergeCell ref="BGP11:BGP12"/>
    <mergeCell ref="BGQ11:BGQ12"/>
    <mergeCell ref="BGR11:BGR12"/>
    <mergeCell ref="BGS11:BGS12"/>
    <mergeCell ref="BGH11:BGH12"/>
    <mergeCell ref="BGI11:BGI12"/>
    <mergeCell ref="BGJ11:BGJ12"/>
    <mergeCell ref="BGK11:BGK12"/>
    <mergeCell ref="BGL11:BGL12"/>
    <mergeCell ref="BGM11:BGM12"/>
    <mergeCell ref="BGB11:BGB12"/>
    <mergeCell ref="BGC11:BGC12"/>
    <mergeCell ref="BGD11:BGD12"/>
    <mergeCell ref="BGE11:BGE12"/>
    <mergeCell ref="BGF11:BGF12"/>
    <mergeCell ref="BGG11:BGG12"/>
    <mergeCell ref="BFV11:BFV12"/>
    <mergeCell ref="BFW11:BFW12"/>
    <mergeCell ref="BFX11:BFX12"/>
    <mergeCell ref="BFY11:BFY12"/>
    <mergeCell ref="BFZ11:BFZ12"/>
    <mergeCell ref="BGA11:BGA12"/>
    <mergeCell ref="BFP11:BFP12"/>
    <mergeCell ref="BFQ11:BFQ12"/>
    <mergeCell ref="BFR11:BFR12"/>
    <mergeCell ref="BFS11:BFS12"/>
    <mergeCell ref="BFT11:BFT12"/>
    <mergeCell ref="BFU11:BFU12"/>
    <mergeCell ref="BFJ11:BFJ12"/>
    <mergeCell ref="BFK11:BFK12"/>
    <mergeCell ref="BFL11:BFL12"/>
    <mergeCell ref="BFM11:BFM12"/>
    <mergeCell ref="BFN11:BFN12"/>
    <mergeCell ref="BFO11:BFO12"/>
    <mergeCell ref="BFD11:BFD12"/>
    <mergeCell ref="BFE11:BFE12"/>
    <mergeCell ref="BFF11:BFF12"/>
    <mergeCell ref="BFG11:BFG12"/>
    <mergeCell ref="BFH11:BFH12"/>
    <mergeCell ref="BFI11:BFI12"/>
    <mergeCell ref="BEX11:BEX12"/>
    <mergeCell ref="BEY11:BEY12"/>
    <mergeCell ref="BEZ11:BEZ12"/>
    <mergeCell ref="BFA11:BFA12"/>
    <mergeCell ref="BFB11:BFB12"/>
    <mergeCell ref="BFC11:BFC12"/>
    <mergeCell ref="BER11:BER12"/>
    <mergeCell ref="BES11:BES12"/>
    <mergeCell ref="BET11:BET12"/>
    <mergeCell ref="BEU11:BEU12"/>
    <mergeCell ref="BEV11:BEV12"/>
    <mergeCell ref="BEW11:BEW12"/>
    <mergeCell ref="BEL11:BEL12"/>
    <mergeCell ref="BEM11:BEM12"/>
    <mergeCell ref="BEN11:BEN12"/>
    <mergeCell ref="BEO11:BEO12"/>
    <mergeCell ref="BEP11:BEP12"/>
    <mergeCell ref="BEQ11:BEQ12"/>
    <mergeCell ref="BEF11:BEF12"/>
    <mergeCell ref="BEG11:BEG12"/>
    <mergeCell ref="BEH11:BEH12"/>
    <mergeCell ref="BEI11:BEI12"/>
    <mergeCell ref="BEJ11:BEJ12"/>
    <mergeCell ref="BEK11:BEK12"/>
    <mergeCell ref="BDZ11:BDZ12"/>
    <mergeCell ref="BEA11:BEA12"/>
    <mergeCell ref="BEB11:BEB12"/>
    <mergeCell ref="BEC11:BEC12"/>
    <mergeCell ref="BED11:BED12"/>
    <mergeCell ref="BEE11:BEE12"/>
    <mergeCell ref="BDT11:BDT12"/>
    <mergeCell ref="BDU11:BDU12"/>
    <mergeCell ref="BDV11:BDV12"/>
    <mergeCell ref="BDW11:BDW12"/>
    <mergeCell ref="BDX11:BDX12"/>
    <mergeCell ref="BDY11:BDY12"/>
    <mergeCell ref="BDN11:BDN12"/>
    <mergeCell ref="BDO11:BDO12"/>
    <mergeCell ref="BDP11:BDP12"/>
    <mergeCell ref="BDQ11:BDQ12"/>
    <mergeCell ref="BDR11:BDR12"/>
    <mergeCell ref="BDS11:BDS12"/>
    <mergeCell ref="BDH11:BDH12"/>
    <mergeCell ref="BDI11:BDI12"/>
    <mergeCell ref="BDJ11:BDJ12"/>
    <mergeCell ref="BDK11:BDK12"/>
    <mergeCell ref="BDL11:BDL12"/>
    <mergeCell ref="BDM11:BDM12"/>
    <mergeCell ref="BDB11:BDB12"/>
    <mergeCell ref="BDC11:BDC12"/>
    <mergeCell ref="BDD11:BDD12"/>
    <mergeCell ref="BDE11:BDE12"/>
    <mergeCell ref="BDF11:BDF12"/>
    <mergeCell ref="BDG11:BDG12"/>
    <mergeCell ref="BCV11:BCV12"/>
    <mergeCell ref="BCW11:BCW12"/>
    <mergeCell ref="BCX11:BCX12"/>
    <mergeCell ref="BCY11:BCY12"/>
    <mergeCell ref="BCZ11:BCZ12"/>
    <mergeCell ref="BDA11:BDA12"/>
    <mergeCell ref="BCP11:BCP12"/>
    <mergeCell ref="BCQ11:BCQ12"/>
    <mergeCell ref="BCR11:BCR12"/>
    <mergeCell ref="BCS11:BCS12"/>
    <mergeCell ref="BCT11:BCT12"/>
    <mergeCell ref="BCU11:BCU12"/>
    <mergeCell ref="BCJ11:BCJ12"/>
    <mergeCell ref="BCK11:BCK12"/>
    <mergeCell ref="BCL11:BCL12"/>
    <mergeCell ref="BCM11:BCM12"/>
    <mergeCell ref="BCN11:BCN12"/>
    <mergeCell ref="BCO11:BCO12"/>
    <mergeCell ref="BCD11:BCD12"/>
    <mergeCell ref="BCE11:BCE12"/>
    <mergeCell ref="BCF11:BCF12"/>
    <mergeCell ref="BCG11:BCG12"/>
    <mergeCell ref="BCH11:BCH12"/>
    <mergeCell ref="BCI11:BCI12"/>
    <mergeCell ref="BBX11:BBX12"/>
    <mergeCell ref="BBY11:BBY12"/>
    <mergeCell ref="BBZ11:BBZ12"/>
    <mergeCell ref="BCA11:BCA12"/>
    <mergeCell ref="BCB11:BCB12"/>
    <mergeCell ref="BCC11:BCC12"/>
    <mergeCell ref="BBR11:BBR12"/>
    <mergeCell ref="BBS11:BBS12"/>
    <mergeCell ref="BBT11:BBT12"/>
    <mergeCell ref="BBU11:BBU12"/>
    <mergeCell ref="BBV11:BBV12"/>
    <mergeCell ref="BBW11:BBW12"/>
    <mergeCell ref="BBL11:BBL12"/>
    <mergeCell ref="BBM11:BBM12"/>
    <mergeCell ref="BBN11:BBN12"/>
    <mergeCell ref="BBO11:BBO12"/>
    <mergeCell ref="BBP11:BBP12"/>
    <mergeCell ref="BBQ11:BBQ12"/>
    <mergeCell ref="BBF11:BBF12"/>
    <mergeCell ref="BBG11:BBG12"/>
    <mergeCell ref="BBH11:BBH12"/>
    <mergeCell ref="BBI11:BBI12"/>
    <mergeCell ref="BBJ11:BBJ12"/>
    <mergeCell ref="BBK11:BBK12"/>
    <mergeCell ref="BAZ11:BAZ12"/>
    <mergeCell ref="BBA11:BBA12"/>
    <mergeCell ref="BBB11:BBB12"/>
    <mergeCell ref="BBC11:BBC12"/>
    <mergeCell ref="BBD11:BBD12"/>
    <mergeCell ref="BBE11:BBE12"/>
    <mergeCell ref="BAT11:BAT12"/>
    <mergeCell ref="BAU11:BAU12"/>
    <mergeCell ref="BAV11:BAV12"/>
    <mergeCell ref="BAW11:BAW12"/>
    <mergeCell ref="BAX11:BAX12"/>
    <mergeCell ref="BAY11:BAY12"/>
    <mergeCell ref="BAN11:BAN12"/>
    <mergeCell ref="BAO11:BAO12"/>
    <mergeCell ref="BAP11:BAP12"/>
    <mergeCell ref="BAQ11:BAQ12"/>
    <mergeCell ref="BAR11:BAR12"/>
    <mergeCell ref="BAS11:BAS12"/>
    <mergeCell ref="BAH11:BAH12"/>
    <mergeCell ref="BAI11:BAI12"/>
    <mergeCell ref="BAJ11:BAJ12"/>
    <mergeCell ref="BAK11:BAK12"/>
    <mergeCell ref="BAL11:BAL12"/>
    <mergeCell ref="BAM11:BAM12"/>
    <mergeCell ref="BAB11:BAB12"/>
    <mergeCell ref="BAC11:BAC12"/>
    <mergeCell ref="BAD11:BAD12"/>
    <mergeCell ref="BAE11:BAE12"/>
    <mergeCell ref="BAF11:BAF12"/>
    <mergeCell ref="BAG11:BAG12"/>
    <mergeCell ref="AZV11:AZV12"/>
    <mergeCell ref="AZW11:AZW12"/>
    <mergeCell ref="AZX11:AZX12"/>
    <mergeCell ref="AZY11:AZY12"/>
    <mergeCell ref="AZZ11:AZZ12"/>
    <mergeCell ref="BAA11:BAA12"/>
    <mergeCell ref="AZP11:AZP12"/>
    <mergeCell ref="AZQ11:AZQ12"/>
    <mergeCell ref="AZR11:AZR12"/>
    <mergeCell ref="AZS11:AZS12"/>
    <mergeCell ref="AZT11:AZT12"/>
    <mergeCell ref="AZU11:AZU12"/>
    <mergeCell ref="AZJ11:AZJ12"/>
    <mergeCell ref="AZK11:AZK12"/>
    <mergeCell ref="AZL11:AZL12"/>
    <mergeCell ref="AZM11:AZM12"/>
    <mergeCell ref="AZN11:AZN12"/>
    <mergeCell ref="AZO11:AZO12"/>
    <mergeCell ref="AZD11:AZD12"/>
    <mergeCell ref="AZE11:AZE12"/>
    <mergeCell ref="AZF11:AZF12"/>
    <mergeCell ref="AZG11:AZG12"/>
    <mergeCell ref="AZH11:AZH12"/>
    <mergeCell ref="AZI11:AZI12"/>
    <mergeCell ref="AYX11:AYX12"/>
    <mergeCell ref="AYY11:AYY12"/>
    <mergeCell ref="AYZ11:AYZ12"/>
    <mergeCell ref="AZA11:AZA12"/>
    <mergeCell ref="AZB11:AZB12"/>
    <mergeCell ref="AZC11:AZC12"/>
    <mergeCell ref="AYR11:AYR12"/>
    <mergeCell ref="AYS11:AYS12"/>
    <mergeCell ref="AYT11:AYT12"/>
    <mergeCell ref="AYU11:AYU12"/>
    <mergeCell ref="AYV11:AYV12"/>
    <mergeCell ref="AYW11:AYW12"/>
    <mergeCell ref="AYL11:AYL12"/>
    <mergeCell ref="AYM11:AYM12"/>
    <mergeCell ref="AYN11:AYN12"/>
    <mergeCell ref="AYO11:AYO12"/>
    <mergeCell ref="AYP11:AYP12"/>
    <mergeCell ref="AYQ11:AYQ12"/>
    <mergeCell ref="AYF11:AYF12"/>
    <mergeCell ref="AYG11:AYG12"/>
    <mergeCell ref="AYH11:AYH12"/>
    <mergeCell ref="AYI11:AYI12"/>
    <mergeCell ref="AYJ11:AYJ12"/>
    <mergeCell ref="AYK11:AYK12"/>
    <mergeCell ref="AXZ11:AXZ12"/>
    <mergeCell ref="AYA11:AYA12"/>
    <mergeCell ref="AYB11:AYB12"/>
    <mergeCell ref="AYC11:AYC12"/>
    <mergeCell ref="AYD11:AYD12"/>
    <mergeCell ref="AYE11:AYE12"/>
    <mergeCell ref="AXT11:AXT12"/>
    <mergeCell ref="AXU11:AXU12"/>
    <mergeCell ref="AXV11:AXV12"/>
    <mergeCell ref="AXW11:AXW12"/>
    <mergeCell ref="AXX11:AXX12"/>
    <mergeCell ref="AXY11:AXY12"/>
    <mergeCell ref="AXN11:AXN12"/>
    <mergeCell ref="AXO11:AXO12"/>
    <mergeCell ref="AXP11:AXP12"/>
    <mergeCell ref="AXQ11:AXQ12"/>
    <mergeCell ref="AXR11:AXR12"/>
    <mergeCell ref="AXS11:AXS12"/>
    <mergeCell ref="AXH11:AXH12"/>
    <mergeCell ref="AXI11:AXI12"/>
    <mergeCell ref="AXJ11:AXJ12"/>
    <mergeCell ref="AXK11:AXK12"/>
    <mergeCell ref="AXL11:AXL12"/>
    <mergeCell ref="AXM11:AXM12"/>
    <mergeCell ref="AXB11:AXB12"/>
    <mergeCell ref="AXC11:AXC12"/>
    <mergeCell ref="AXD11:AXD12"/>
    <mergeCell ref="AXE11:AXE12"/>
    <mergeCell ref="AXF11:AXF12"/>
    <mergeCell ref="AXG11:AXG12"/>
    <mergeCell ref="AWV11:AWV12"/>
    <mergeCell ref="AWW11:AWW12"/>
    <mergeCell ref="AWX11:AWX12"/>
    <mergeCell ref="AWY11:AWY12"/>
    <mergeCell ref="AWZ11:AWZ12"/>
    <mergeCell ref="AXA11:AXA12"/>
    <mergeCell ref="AWP11:AWP12"/>
    <mergeCell ref="AWQ11:AWQ12"/>
    <mergeCell ref="AWR11:AWR12"/>
    <mergeCell ref="AWS11:AWS12"/>
    <mergeCell ref="AWT11:AWT12"/>
    <mergeCell ref="AWU11:AWU12"/>
    <mergeCell ref="AWJ11:AWJ12"/>
    <mergeCell ref="AWK11:AWK12"/>
    <mergeCell ref="AWL11:AWL12"/>
    <mergeCell ref="AWM11:AWM12"/>
    <mergeCell ref="AWN11:AWN12"/>
    <mergeCell ref="AWO11:AWO12"/>
    <mergeCell ref="AWD11:AWD12"/>
    <mergeCell ref="AWE11:AWE12"/>
    <mergeCell ref="AWF11:AWF12"/>
    <mergeCell ref="AWG11:AWG12"/>
    <mergeCell ref="AWH11:AWH12"/>
    <mergeCell ref="AWI11:AWI12"/>
    <mergeCell ref="AVX11:AVX12"/>
    <mergeCell ref="AVY11:AVY12"/>
    <mergeCell ref="AVZ11:AVZ12"/>
    <mergeCell ref="AWA11:AWA12"/>
    <mergeCell ref="AWB11:AWB12"/>
    <mergeCell ref="AWC11:AWC12"/>
    <mergeCell ref="AVR11:AVR12"/>
    <mergeCell ref="AVS11:AVS12"/>
    <mergeCell ref="AVT11:AVT12"/>
    <mergeCell ref="AVU11:AVU12"/>
    <mergeCell ref="AVV11:AVV12"/>
    <mergeCell ref="AVW11:AVW12"/>
    <mergeCell ref="AVL11:AVL12"/>
    <mergeCell ref="AVM11:AVM12"/>
    <mergeCell ref="AVN11:AVN12"/>
    <mergeCell ref="AVO11:AVO12"/>
    <mergeCell ref="AVP11:AVP12"/>
    <mergeCell ref="AVQ11:AVQ12"/>
    <mergeCell ref="AVF11:AVF12"/>
    <mergeCell ref="AVG11:AVG12"/>
    <mergeCell ref="AVH11:AVH12"/>
    <mergeCell ref="AVI11:AVI12"/>
    <mergeCell ref="AVJ11:AVJ12"/>
    <mergeCell ref="AVK11:AVK12"/>
    <mergeCell ref="AUZ11:AUZ12"/>
    <mergeCell ref="AVA11:AVA12"/>
    <mergeCell ref="AVB11:AVB12"/>
    <mergeCell ref="AVC11:AVC12"/>
    <mergeCell ref="AVD11:AVD12"/>
    <mergeCell ref="AVE11:AVE12"/>
    <mergeCell ref="AUT11:AUT12"/>
    <mergeCell ref="AUU11:AUU12"/>
    <mergeCell ref="AUV11:AUV12"/>
    <mergeCell ref="AUW11:AUW12"/>
    <mergeCell ref="AUX11:AUX12"/>
    <mergeCell ref="AUY11:AUY12"/>
    <mergeCell ref="AUN11:AUN12"/>
    <mergeCell ref="AUO11:AUO12"/>
    <mergeCell ref="AUP11:AUP12"/>
    <mergeCell ref="AUQ11:AUQ12"/>
    <mergeCell ref="AUR11:AUR12"/>
    <mergeCell ref="AUS11:AUS12"/>
    <mergeCell ref="AUH11:AUH12"/>
    <mergeCell ref="AUI11:AUI12"/>
    <mergeCell ref="AUJ11:AUJ12"/>
    <mergeCell ref="AUK11:AUK12"/>
    <mergeCell ref="AUL11:AUL12"/>
    <mergeCell ref="AUM11:AUM12"/>
    <mergeCell ref="AUB11:AUB12"/>
    <mergeCell ref="AUC11:AUC12"/>
    <mergeCell ref="AUD11:AUD12"/>
    <mergeCell ref="AUE11:AUE12"/>
    <mergeCell ref="AUF11:AUF12"/>
    <mergeCell ref="AUG11:AUG12"/>
    <mergeCell ref="ATV11:ATV12"/>
    <mergeCell ref="ATW11:ATW12"/>
    <mergeCell ref="ATX11:ATX12"/>
    <mergeCell ref="ATY11:ATY12"/>
    <mergeCell ref="ATZ11:ATZ12"/>
    <mergeCell ref="AUA11:AUA12"/>
    <mergeCell ref="ATP11:ATP12"/>
    <mergeCell ref="ATQ11:ATQ12"/>
    <mergeCell ref="ATR11:ATR12"/>
    <mergeCell ref="ATS11:ATS12"/>
    <mergeCell ref="ATT11:ATT12"/>
    <mergeCell ref="ATU11:ATU12"/>
    <mergeCell ref="ATJ11:ATJ12"/>
    <mergeCell ref="ATK11:ATK12"/>
    <mergeCell ref="ATL11:ATL12"/>
    <mergeCell ref="ATM11:ATM12"/>
    <mergeCell ref="ATN11:ATN12"/>
    <mergeCell ref="ATO11:ATO12"/>
    <mergeCell ref="ATD11:ATD12"/>
    <mergeCell ref="ATE11:ATE12"/>
    <mergeCell ref="ATF11:ATF12"/>
    <mergeCell ref="ATG11:ATG12"/>
    <mergeCell ref="ATH11:ATH12"/>
    <mergeCell ref="ATI11:ATI12"/>
    <mergeCell ref="ASX11:ASX12"/>
    <mergeCell ref="ASY11:ASY12"/>
    <mergeCell ref="ASZ11:ASZ12"/>
    <mergeCell ref="ATA11:ATA12"/>
    <mergeCell ref="ATB11:ATB12"/>
    <mergeCell ref="ATC11:ATC12"/>
    <mergeCell ref="ASR11:ASR12"/>
    <mergeCell ref="ASS11:ASS12"/>
    <mergeCell ref="AST11:AST12"/>
    <mergeCell ref="ASU11:ASU12"/>
    <mergeCell ref="ASV11:ASV12"/>
    <mergeCell ref="ASW11:ASW12"/>
    <mergeCell ref="ASL11:ASL12"/>
    <mergeCell ref="ASM11:ASM12"/>
    <mergeCell ref="ASN11:ASN12"/>
    <mergeCell ref="ASO11:ASO12"/>
    <mergeCell ref="ASP11:ASP12"/>
    <mergeCell ref="ASQ11:ASQ12"/>
    <mergeCell ref="ASF11:ASF12"/>
    <mergeCell ref="ASG11:ASG12"/>
    <mergeCell ref="ASH11:ASH12"/>
    <mergeCell ref="ASI11:ASI12"/>
    <mergeCell ref="ASJ11:ASJ12"/>
    <mergeCell ref="ASK11:ASK12"/>
    <mergeCell ref="ARZ11:ARZ12"/>
    <mergeCell ref="ASA11:ASA12"/>
    <mergeCell ref="ASB11:ASB12"/>
    <mergeCell ref="ASC11:ASC12"/>
    <mergeCell ref="ASD11:ASD12"/>
    <mergeCell ref="ASE11:ASE12"/>
    <mergeCell ref="ART11:ART12"/>
    <mergeCell ref="ARU11:ARU12"/>
    <mergeCell ref="ARV11:ARV12"/>
    <mergeCell ref="ARW11:ARW12"/>
    <mergeCell ref="ARX11:ARX12"/>
    <mergeCell ref="ARY11:ARY12"/>
    <mergeCell ref="ARN11:ARN12"/>
    <mergeCell ref="ARO11:ARO12"/>
    <mergeCell ref="ARP11:ARP12"/>
    <mergeCell ref="ARQ11:ARQ12"/>
    <mergeCell ref="ARR11:ARR12"/>
    <mergeCell ref="ARS11:ARS12"/>
    <mergeCell ref="ARH11:ARH12"/>
    <mergeCell ref="ARI11:ARI12"/>
    <mergeCell ref="ARJ11:ARJ12"/>
    <mergeCell ref="ARK11:ARK12"/>
    <mergeCell ref="ARL11:ARL12"/>
    <mergeCell ref="ARM11:ARM12"/>
    <mergeCell ref="ARB11:ARB12"/>
    <mergeCell ref="ARC11:ARC12"/>
    <mergeCell ref="ARD11:ARD12"/>
    <mergeCell ref="ARE11:ARE12"/>
    <mergeCell ref="ARF11:ARF12"/>
    <mergeCell ref="ARG11:ARG12"/>
    <mergeCell ref="AQV11:AQV12"/>
    <mergeCell ref="AQW11:AQW12"/>
    <mergeCell ref="AQX11:AQX12"/>
    <mergeCell ref="AQY11:AQY12"/>
    <mergeCell ref="AQZ11:AQZ12"/>
    <mergeCell ref="ARA11:ARA12"/>
    <mergeCell ref="AQP11:AQP12"/>
    <mergeCell ref="AQQ11:AQQ12"/>
    <mergeCell ref="AQR11:AQR12"/>
    <mergeCell ref="AQS11:AQS12"/>
    <mergeCell ref="AQT11:AQT12"/>
    <mergeCell ref="AQU11:AQU12"/>
    <mergeCell ref="AQJ11:AQJ12"/>
    <mergeCell ref="AQK11:AQK12"/>
    <mergeCell ref="AQL11:AQL12"/>
    <mergeCell ref="AQM11:AQM12"/>
    <mergeCell ref="AQN11:AQN12"/>
    <mergeCell ref="AQO11:AQO12"/>
    <mergeCell ref="AQD11:AQD12"/>
    <mergeCell ref="AQE11:AQE12"/>
    <mergeCell ref="AQF11:AQF12"/>
    <mergeCell ref="AQG11:AQG12"/>
    <mergeCell ref="AQH11:AQH12"/>
    <mergeCell ref="AQI11:AQI12"/>
    <mergeCell ref="APX11:APX12"/>
    <mergeCell ref="APY11:APY12"/>
    <mergeCell ref="APZ11:APZ12"/>
    <mergeCell ref="AQA11:AQA12"/>
    <mergeCell ref="AQB11:AQB12"/>
    <mergeCell ref="AQC11:AQC12"/>
    <mergeCell ref="APR11:APR12"/>
    <mergeCell ref="APS11:APS12"/>
    <mergeCell ref="APT11:APT12"/>
    <mergeCell ref="APU11:APU12"/>
    <mergeCell ref="APV11:APV12"/>
    <mergeCell ref="APW11:APW12"/>
    <mergeCell ref="APL11:APL12"/>
    <mergeCell ref="APM11:APM12"/>
    <mergeCell ref="APN11:APN12"/>
    <mergeCell ref="APO11:APO12"/>
    <mergeCell ref="APP11:APP12"/>
    <mergeCell ref="APQ11:APQ12"/>
    <mergeCell ref="APF11:APF12"/>
    <mergeCell ref="APG11:APG12"/>
    <mergeCell ref="APH11:APH12"/>
    <mergeCell ref="API11:API12"/>
    <mergeCell ref="APJ11:APJ12"/>
    <mergeCell ref="APK11:APK12"/>
    <mergeCell ref="AOZ11:AOZ12"/>
    <mergeCell ref="APA11:APA12"/>
    <mergeCell ref="APB11:APB12"/>
    <mergeCell ref="APC11:APC12"/>
    <mergeCell ref="APD11:APD12"/>
    <mergeCell ref="APE11:APE12"/>
    <mergeCell ref="AOT11:AOT12"/>
    <mergeCell ref="AOU11:AOU12"/>
    <mergeCell ref="AOV11:AOV12"/>
    <mergeCell ref="AOW11:AOW12"/>
    <mergeCell ref="AOX11:AOX12"/>
    <mergeCell ref="AOY11:AOY12"/>
    <mergeCell ref="AON11:AON12"/>
    <mergeCell ref="AOO11:AOO12"/>
    <mergeCell ref="AOP11:AOP12"/>
    <mergeCell ref="AOQ11:AOQ12"/>
    <mergeCell ref="AOR11:AOR12"/>
    <mergeCell ref="AOS11:AOS12"/>
    <mergeCell ref="AOH11:AOH12"/>
    <mergeCell ref="AOI11:AOI12"/>
    <mergeCell ref="AOJ11:AOJ12"/>
    <mergeCell ref="AOK11:AOK12"/>
    <mergeCell ref="AOL11:AOL12"/>
    <mergeCell ref="AOM11:AOM12"/>
    <mergeCell ref="AOB11:AOB12"/>
    <mergeCell ref="AOC11:AOC12"/>
    <mergeCell ref="AOD11:AOD12"/>
    <mergeCell ref="AOE11:AOE12"/>
    <mergeCell ref="AOF11:AOF12"/>
    <mergeCell ref="AOG11:AOG12"/>
    <mergeCell ref="ANV11:ANV12"/>
    <mergeCell ref="ANW11:ANW12"/>
    <mergeCell ref="ANX11:ANX12"/>
    <mergeCell ref="ANY11:ANY12"/>
    <mergeCell ref="ANZ11:ANZ12"/>
    <mergeCell ref="AOA11:AOA12"/>
    <mergeCell ref="ANP11:ANP12"/>
    <mergeCell ref="ANQ11:ANQ12"/>
    <mergeCell ref="ANR11:ANR12"/>
    <mergeCell ref="ANS11:ANS12"/>
    <mergeCell ref="ANT11:ANT12"/>
    <mergeCell ref="ANU11:ANU12"/>
    <mergeCell ref="ANJ11:ANJ12"/>
    <mergeCell ref="ANK11:ANK12"/>
    <mergeCell ref="ANL11:ANL12"/>
    <mergeCell ref="ANM11:ANM12"/>
    <mergeCell ref="ANN11:ANN12"/>
    <mergeCell ref="ANO11:ANO12"/>
    <mergeCell ref="AND11:AND12"/>
    <mergeCell ref="ANE11:ANE12"/>
    <mergeCell ref="ANF11:ANF12"/>
    <mergeCell ref="ANG11:ANG12"/>
    <mergeCell ref="ANH11:ANH12"/>
    <mergeCell ref="ANI11:ANI12"/>
    <mergeCell ref="AMX11:AMX12"/>
    <mergeCell ref="AMY11:AMY12"/>
    <mergeCell ref="AMZ11:AMZ12"/>
    <mergeCell ref="ANA11:ANA12"/>
    <mergeCell ref="ANB11:ANB12"/>
    <mergeCell ref="ANC11:ANC12"/>
    <mergeCell ref="AMR11:AMR12"/>
    <mergeCell ref="AMS11:AMS12"/>
    <mergeCell ref="AMT11:AMT12"/>
    <mergeCell ref="AMU11:AMU12"/>
    <mergeCell ref="AMV11:AMV12"/>
    <mergeCell ref="AMW11:AMW12"/>
    <mergeCell ref="AML11:AML12"/>
    <mergeCell ref="AMM11:AMM12"/>
    <mergeCell ref="AMN11:AMN12"/>
    <mergeCell ref="AMO11:AMO12"/>
    <mergeCell ref="AMP11:AMP12"/>
    <mergeCell ref="AMQ11:AMQ12"/>
    <mergeCell ref="AMF11:AMF12"/>
    <mergeCell ref="AMG11:AMG12"/>
    <mergeCell ref="AMH11:AMH12"/>
    <mergeCell ref="AMI11:AMI12"/>
    <mergeCell ref="AMJ11:AMJ12"/>
    <mergeCell ref="AMK11:AMK12"/>
    <mergeCell ref="ALZ11:ALZ12"/>
    <mergeCell ref="AMA11:AMA12"/>
    <mergeCell ref="AMB11:AMB12"/>
    <mergeCell ref="AMC11:AMC12"/>
    <mergeCell ref="AMD11:AMD12"/>
    <mergeCell ref="AME11:AME12"/>
    <mergeCell ref="ALT11:ALT12"/>
    <mergeCell ref="ALU11:ALU12"/>
    <mergeCell ref="ALV11:ALV12"/>
    <mergeCell ref="ALW11:ALW12"/>
    <mergeCell ref="ALX11:ALX12"/>
    <mergeCell ref="ALY11:ALY12"/>
    <mergeCell ref="ALN11:ALN12"/>
    <mergeCell ref="ALO11:ALO12"/>
    <mergeCell ref="ALP11:ALP12"/>
    <mergeCell ref="ALQ11:ALQ12"/>
    <mergeCell ref="ALR11:ALR12"/>
    <mergeCell ref="ALS11:ALS12"/>
    <mergeCell ref="ALH11:ALH12"/>
    <mergeCell ref="ALI11:ALI12"/>
    <mergeCell ref="ALJ11:ALJ12"/>
    <mergeCell ref="ALK11:ALK12"/>
    <mergeCell ref="ALL11:ALL12"/>
    <mergeCell ref="ALM11:ALM12"/>
    <mergeCell ref="ALB11:ALB12"/>
    <mergeCell ref="ALC11:ALC12"/>
    <mergeCell ref="ALD11:ALD12"/>
    <mergeCell ref="ALE11:ALE12"/>
    <mergeCell ref="ALF11:ALF12"/>
    <mergeCell ref="ALG11:ALG12"/>
    <mergeCell ref="AKV11:AKV12"/>
    <mergeCell ref="AKW11:AKW12"/>
    <mergeCell ref="AKX11:AKX12"/>
    <mergeCell ref="AKY11:AKY12"/>
    <mergeCell ref="AKZ11:AKZ12"/>
    <mergeCell ref="ALA11:ALA12"/>
    <mergeCell ref="AKP11:AKP12"/>
    <mergeCell ref="AKQ11:AKQ12"/>
    <mergeCell ref="AKR11:AKR12"/>
    <mergeCell ref="AKS11:AKS12"/>
    <mergeCell ref="AKT11:AKT12"/>
    <mergeCell ref="AKU11:AKU12"/>
    <mergeCell ref="AKJ11:AKJ12"/>
    <mergeCell ref="AKK11:AKK12"/>
    <mergeCell ref="AKL11:AKL12"/>
    <mergeCell ref="AKM11:AKM12"/>
    <mergeCell ref="AKN11:AKN12"/>
    <mergeCell ref="AKO11:AKO12"/>
    <mergeCell ref="AKD11:AKD12"/>
    <mergeCell ref="AKE11:AKE12"/>
    <mergeCell ref="AKF11:AKF12"/>
    <mergeCell ref="AKG11:AKG12"/>
    <mergeCell ref="AKH11:AKH12"/>
    <mergeCell ref="AKI11:AKI12"/>
    <mergeCell ref="AJX11:AJX12"/>
    <mergeCell ref="AJY11:AJY12"/>
    <mergeCell ref="AJZ11:AJZ12"/>
    <mergeCell ref="AKA11:AKA12"/>
    <mergeCell ref="AKB11:AKB12"/>
    <mergeCell ref="AKC11:AKC12"/>
    <mergeCell ref="AJR11:AJR12"/>
    <mergeCell ref="AJS11:AJS12"/>
    <mergeCell ref="AJT11:AJT12"/>
    <mergeCell ref="AJU11:AJU12"/>
    <mergeCell ref="AJV11:AJV12"/>
    <mergeCell ref="AJW11:AJW12"/>
    <mergeCell ref="AJL11:AJL12"/>
    <mergeCell ref="AJM11:AJM12"/>
    <mergeCell ref="AJN11:AJN12"/>
    <mergeCell ref="AJO11:AJO12"/>
    <mergeCell ref="AJP11:AJP12"/>
    <mergeCell ref="AJQ11:AJQ12"/>
    <mergeCell ref="AJF11:AJF12"/>
    <mergeCell ref="AJG11:AJG12"/>
    <mergeCell ref="AJH11:AJH12"/>
    <mergeCell ref="AJI11:AJI12"/>
    <mergeCell ref="AJJ11:AJJ12"/>
    <mergeCell ref="AJK11:AJK12"/>
    <mergeCell ref="AIZ11:AIZ12"/>
    <mergeCell ref="AJA11:AJA12"/>
    <mergeCell ref="AJB11:AJB12"/>
    <mergeCell ref="AJC11:AJC12"/>
    <mergeCell ref="AJD11:AJD12"/>
    <mergeCell ref="AJE11:AJE12"/>
    <mergeCell ref="AIT11:AIT12"/>
    <mergeCell ref="AIU11:AIU12"/>
    <mergeCell ref="AIV11:AIV12"/>
    <mergeCell ref="AIW11:AIW12"/>
    <mergeCell ref="AIX11:AIX12"/>
    <mergeCell ref="AIY11:AIY12"/>
    <mergeCell ref="AIN11:AIN12"/>
    <mergeCell ref="AIO11:AIO12"/>
    <mergeCell ref="AIP11:AIP12"/>
    <mergeCell ref="AIQ11:AIQ12"/>
    <mergeCell ref="AIR11:AIR12"/>
    <mergeCell ref="AIS11:AIS12"/>
    <mergeCell ref="AIH11:AIH12"/>
    <mergeCell ref="AII11:AII12"/>
    <mergeCell ref="AIJ11:AIJ12"/>
    <mergeCell ref="AIK11:AIK12"/>
    <mergeCell ref="AIL11:AIL12"/>
    <mergeCell ref="AIM11:AIM12"/>
    <mergeCell ref="AIB11:AIB12"/>
    <mergeCell ref="AIC11:AIC12"/>
    <mergeCell ref="AID11:AID12"/>
    <mergeCell ref="AIE11:AIE12"/>
    <mergeCell ref="AIF11:AIF12"/>
    <mergeCell ref="AIG11:AIG12"/>
    <mergeCell ref="AHV11:AHV12"/>
    <mergeCell ref="AHW11:AHW12"/>
    <mergeCell ref="AHX11:AHX12"/>
    <mergeCell ref="AHY11:AHY12"/>
    <mergeCell ref="AHZ11:AHZ12"/>
    <mergeCell ref="AIA11:AIA12"/>
    <mergeCell ref="AHP11:AHP12"/>
    <mergeCell ref="AHQ11:AHQ12"/>
    <mergeCell ref="AHR11:AHR12"/>
    <mergeCell ref="AHS11:AHS12"/>
    <mergeCell ref="AHT11:AHT12"/>
    <mergeCell ref="AHU11:AHU12"/>
    <mergeCell ref="AHJ11:AHJ12"/>
    <mergeCell ref="AHK11:AHK12"/>
    <mergeCell ref="AHL11:AHL12"/>
    <mergeCell ref="AHM11:AHM12"/>
    <mergeCell ref="AHN11:AHN12"/>
    <mergeCell ref="AHO11:AHO12"/>
    <mergeCell ref="AHD11:AHD12"/>
    <mergeCell ref="AHE11:AHE12"/>
    <mergeCell ref="AHF11:AHF12"/>
    <mergeCell ref="AHG11:AHG12"/>
    <mergeCell ref="AHH11:AHH12"/>
    <mergeCell ref="AHI11:AHI12"/>
    <mergeCell ref="AGX11:AGX12"/>
    <mergeCell ref="AGY11:AGY12"/>
    <mergeCell ref="AGZ11:AGZ12"/>
    <mergeCell ref="AHA11:AHA12"/>
    <mergeCell ref="AHB11:AHB12"/>
    <mergeCell ref="AHC11:AHC12"/>
    <mergeCell ref="AGR11:AGR12"/>
    <mergeCell ref="AGS11:AGS12"/>
    <mergeCell ref="AGT11:AGT12"/>
    <mergeCell ref="AGU11:AGU12"/>
    <mergeCell ref="AGV11:AGV12"/>
    <mergeCell ref="AGW11:AGW12"/>
    <mergeCell ref="AGL11:AGL12"/>
    <mergeCell ref="AGM11:AGM12"/>
    <mergeCell ref="AGN11:AGN12"/>
    <mergeCell ref="AGO11:AGO12"/>
    <mergeCell ref="AGP11:AGP12"/>
    <mergeCell ref="AGQ11:AGQ12"/>
    <mergeCell ref="AGF11:AGF12"/>
    <mergeCell ref="AGG11:AGG12"/>
    <mergeCell ref="AGH11:AGH12"/>
    <mergeCell ref="AGI11:AGI12"/>
    <mergeCell ref="AGJ11:AGJ12"/>
    <mergeCell ref="AGK11:AGK12"/>
    <mergeCell ref="AFZ11:AFZ12"/>
    <mergeCell ref="AGA11:AGA12"/>
    <mergeCell ref="AGB11:AGB12"/>
    <mergeCell ref="AGC11:AGC12"/>
    <mergeCell ref="AGD11:AGD12"/>
    <mergeCell ref="AGE11:AGE12"/>
    <mergeCell ref="AFT11:AFT12"/>
    <mergeCell ref="AFU11:AFU12"/>
    <mergeCell ref="AFV11:AFV12"/>
    <mergeCell ref="AFW11:AFW12"/>
    <mergeCell ref="AFX11:AFX12"/>
    <mergeCell ref="AFY11:AFY12"/>
    <mergeCell ref="AFN11:AFN12"/>
    <mergeCell ref="AFO11:AFO12"/>
    <mergeCell ref="AFP11:AFP12"/>
    <mergeCell ref="AFQ11:AFQ12"/>
    <mergeCell ref="AFR11:AFR12"/>
    <mergeCell ref="AFS11:AFS12"/>
    <mergeCell ref="AFH11:AFH12"/>
    <mergeCell ref="AFI11:AFI12"/>
    <mergeCell ref="AFJ11:AFJ12"/>
    <mergeCell ref="AFK11:AFK12"/>
    <mergeCell ref="AFL11:AFL12"/>
    <mergeCell ref="AFM11:AFM12"/>
    <mergeCell ref="AFB11:AFB12"/>
    <mergeCell ref="AFC11:AFC12"/>
    <mergeCell ref="AFD11:AFD12"/>
    <mergeCell ref="AFE11:AFE12"/>
    <mergeCell ref="AFF11:AFF12"/>
    <mergeCell ref="AFG11:AFG12"/>
    <mergeCell ref="AEV11:AEV12"/>
    <mergeCell ref="AEW11:AEW12"/>
    <mergeCell ref="AEX11:AEX12"/>
    <mergeCell ref="AEY11:AEY12"/>
    <mergeCell ref="AEZ11:AEZ12"/>
    <mergeCell ref="AFA11:AFA12"/>
    <mergeCell ref="AEP11:AEP12"/>
    <mergeCell ref="AEQ11:AEQ12"/>
    <mergeCell ref="AER11:AER12"/>
    <mergeCell ref="AES11:AES12"/>
    <mergeCell ref="AET11:AET12"/>
    <mergeCell ref="AEU11:AEU12"/>
    <mergeCell ref="AEJ11:AEJ12"/>
    <mergeCell ref="AEK11:AEK12"/>
    <mergeCell ref="AEL11:AEL12"/>
    <mergeCell ref="AEM11:AEM12"/>
    <mergeCell ref="AEN11:AEN12"/>
    <mergeCell ref="AEO11:AEO12"/>
    <mergeCell ref="AED11:AED12"/>
    <mergeCell ref="AEE11:AEE12"/>
    <mergeCell ref="AEF11:AEF12"/>
    <mergeCell ref="AEG11:AEG12"/>
    <mergeCell ref="AEH11:AEH12"/>
    <mergeCell ref="AEI11:AEI12"/>
    <mergeCell ref="ADX11:ADX12"/>
    <mergeCell ref="ADY11:ADY12"/>
    <mergeCell ref="ADZ11:ADZ12"/>
    <mergeCell ref="AEA11:AEA12"/>
    <mergeCell ref="AEB11:AEB12"/>
    <mergeCell ref="AEC11:AEC12"/>
    <mergeCell ref="ADR11:ADR12"/>
    <mergeCell ref="ADS11:ADS12"/>
    <mergeCell ref="ADT11:ADT12"/>
    <mergeCell ref="ADU11:ADU12"/>
    <mergeCell ref="ADV11:ADV12"/>
    <mergeCell ref="ADW11:ADW12"/>
    <mergeCell ref="ADL11:ADL12"/>
    <mergeCell ref="ADM11:ADM12"/>
    <mergeCell ref="ADN11:ADN12"/>
    <mergeCell ref="ADO11:ADO12"/>
    <mergeCell ref="ADP11:ADP12"/>
    <mergeCell ref="ADQ11:ADQ12"/>
    <mergeCell ref="ADF11:ADF12"/>
    <mergeCell ref="ADG11:ADG12"/>
    <mergeCell ref="ADH11:ADH12"/>
    <mergeCell ref="ADI11:ADI12"/>
    <mergeCell ref="ADJ11:ADJ12"/>
    <mergeCell ref="ADK11:ADK12"/>
    <mergeCell ref="ACZ11:ACZ12"/>
    <mergeCell ref="ADA11:ADA12"/>
    <mergeCell ref="ADB11:ADB12"/>
    <mergeCell ref="ADC11:ADC12"/>
    <mergeCell ref="ADD11:ADD12"/>
    <mergeCell ref="ADE11:ADE12"/>
    <mergeCell ref="ACT11:ACT12"/>
    <mergeCell ref="ACU11:ACU12"/>
    <mergeCell ref="ACV11:ACV12"/>
    <mergeCell ref="ACW11:ACW12"/>
    <mergeCell ref="ACX11:ACX12"/>
    <mergeCell ref="ACY11:ACY12"/>
    <mergeCell ref="ACN11:ACN12"/>
    <mergeCell ref="ACO11:ACO12"/>
    <mergeCell ref="ACP11:ACP12"/>
    <mergeCell ref="ACQ11:ACQ12"/>
    <mergeCell ref="ACR11:ACR12"/>
    <mergeCell ref="ACS11:ACS12"/>
    <mergeCell ref="ACH11:ACH12"/>
    <mergeCell ref="ACI11:ACI12"/>
    <mergeCell ref="ACJ11:ACJ12"/>
    <mergeCell ref="ACK11:ACK12"/>
    <mergeCell ref="ACL11:ACL12"/>
    <mergeCell ref="ACM11:ACM12"/>
    <mergeCell ref="ACB11:ACB12"/>
    <mergeCell ref="ACC11:ACC12"/>
    <mergeCell ref="ACD11:ACD12"/>
    <mergeCell ref="ACE11:ACE12"/>
    <mergeCell ref="ACF11:ACF12"/>
    <mergeCell ref="ACG11:ACG12"/>
    <mergeCell ref="ABV11:ABV12"/>
    <mergeCell ref="ABW11:ABW12"/>
    <mergeCell ref="ABX11:ABX12"/>
    <mergeCell ref="ABY11:ABY12"/>
    <mergeCell ref="ABZ11:ABZ12"/>
    <mergeCell ref="ACA11:ACA12"/>
    <mergeCell ref="ABP11:ABP12"/>
    <mergeCell ref="ABQ11:ABQ12"/>
    <mergeCell ref="ABR11:ABR12"/>
    <mergeCell ref="ABS11:ABS12"/>
    <mergeCell ref="ABT11:ABT12"/>
    <mergeCell ref="ABU11:ABU12"/>
    <mergeCell ref="ABJ11:ABJ12"/>
    <mergeCell ref="ABK11:ABK12"/>
    <mergeCell ref="ABL11:ABL12"/>
    <mergeCell ref="ABM11:ABM12"/>
    <mergeCell ref="ABN11:ABN12"/>
    <mergeCell ref="ABO11:ABO12"/>
    <mergeCell ref="ABD11:ABD12"/>
    <mergeCell ref="ABE11:ABE12"/>
    <mergeCell ref="ABF11:ABF12"/>
    <mergeCell ref="ABG11:ABG12"/>
    <mergeCell ref="ABH11:ABH12"/>
    <mergeCell ref="ABI11:ABI12"/>
    <mergeCell ref="AAX11:AAX12"/>
    <mergeCell ref="AAY11:AAY12"/>
    <mergeCell ref="AAZ11:AAZ12"/>
    <mergeCell ref="ABA11:ABA12"/>
    <mergeCell ref="ABB11:ABB12"/>
    <mergeCell ref="ABC11:ABC12"/>
    <mergeCell ref="AAR11:AAR12"/>
    <mergeCell ref="AAS11:AAS12"/>
    <mergeCell ref="AAT11:AAT12"/>
    <mergeCell ref="AAU11:AAU12"/>
    <mergeCell ref="AAV11:AAV12"/>
    <mergeCell ref="AAW11:AAW12"/>
    <mergeCell ref="AAL11:AAL12"/>
    <mergeCell ref="AAM11:AAM12"/>
    <mergeCell ref="AAN11:AAN12"/>
    <mergeCell ref="AAO11:AAO12"/>
    <mergeCell ref="AAP11:AAP12"/>
    <mergeCell ref="AAQ11:AAQ12"/>
    <mergeCell ref="AAF11:AAF12"/>
    <mergeCell ref="AAG11:AAG12"/>
    <mergeCell ref="AAH11:AAH12"/>
    <mergeCell ref="AAI11:AAI12"/>
    <mergeCell ref="AAJ11:AAJ12"/>
    <mergeCell ref="AAK11:AAK12"/>
    <mergeCell ref="ZZ11:ZZ12"/>
    <mergeCell ref="AAA11:AAA12"/>
    <mergeCell ref="AAB11:AAB12"/>
    <mergeCell ref="AAC11:AAC12"/>
    <mergeCell ref="AAD11:AAD12"/>
    <mergeCell ref="AAE11:AAE12"/>
    <mergeCell ref="ZT11:ZT12"/>
    <mergeCell ref="ZU11:ZU12"/>
    <mergeCell ref="ZV11:ZV12"/>
    <mergeCell ref="ZW11:ZW12"/>
    <mergeCell ref="ZX11:ZX12"/>
    <mergeCell ref="ZY11:ZY12"/>
    <mergeCell ref="ZN11:ZN12"/>
    <mergeCell ref="ZO11:ZO12"/>
    <mergeCell ref="ZP11:ZP12"/>
    <mergeCell ref="ZQ11:ZQ12"/>
    <mergeCell ref="ZR11:ZR12"/>
    <mergeCell ref="ZS11:ZS12"/>
    <mergeCell ref="ZH11:ZH12"/>
    <mergeCell ref="ZI11:ZI12"/>
    <mergeCell ref="ZJ11:ZJ12"/>
    <mergeCell ref="ZK11:ZK12"/>
    <mergeCell ref="ZL11:ZL12"/>
    <mergeCell ref="ZM11:ZM12"/>
    <mergeCell ref="ZB11:ZB12"/>
    <mergeCell ref="ZC11:ZC12"/>
    <mergeCell ref="ZD11:ZD12"/>
    <mergeCell ref="ZE11:ZE12"/>
    <mergeCell ref="ZF11:ZF12"/>
    <mergeCell ref="ZG11:ZG12"/>
    <mergeCell ref="YV11:YV12"/>
    <mergeCell ref="YW11:YW12"/>
    <mergeCell ref="YX11:YX12"/>
    <mergeCell ref="YY11:YY12"/>
    <mergeCell ref="YZ11:YZ12"/>
    <mergeCell ref="ZA11:ZA12"/>
    <mergeCell ref="YP11:YP12"/>
    <mergeCell ref="YQ11:YQ12"/>
    <mergeCell ref="YR11:YR12"/>
    <mergeCell ref="YS11:YS12"/>
    <mergeCell ref="YT11:YT12"/>
    <mergeCell ref="YU11:YU12"/>
    <mergeCell ref="YJ11:YJ12"/>
    <mergeCell ref="YK11:YK12"/>
    <mergeCell ref="YL11:YL12"/>
    <mergeCell ref="YM11:YM12"/>
    <mergeCell ref="YN11:YN12"/>
    <mergeCell ref="YO11:YO12"/>
    <mergeCell ref="YD11:YD12"/>
    <mergeCell ref="YE11:YE12"/>
    <mergeCell ref="YF11:YF12"/>
    <mergeCell ref="YG11:YG12"/>
    <mergeCell ref="YH11:YH12"/>
    <mergeCell ref="YI11:YI12"/>
    <mergeCell ref="XX11:XX12"/>
    <mergeCell ref="XY11:XY12"/>
    <mergeCell ref="XZ11:XZ12"/>
    <mergeCell ref="YA11:YA12"/>
    <mergeCell ref="YB11:YB12"/>
    <mergeCell ref="YC11:YC12"/>
    <mergeCell ref="XR11:XR12"/>
    <mergeCell ref="XS11:XS12"/>
    <mergeCell ref="XT11:XT12"/>
    <mergeCell ref="XU11:XU12"/>
    <mergeCell ref="XV11:XV12"/>
    <mergeCell ref="XW11:XW12"/>
    <mergeCell ref="XL11:XL12"/>
    <mergeCell ref="XM11:XM12"/>
    <mergeCell ref="XN11:XN12"/>
    <mergeCell ref="XO11:XO12"/>
    <mergeCell ref="XP11:XP12"/>
    <mergeCell ref="XQ11:XQ12"/>
    <mergeCell ref="XF11:XF12"/>
    <mergeCell ref="XG11:XG12"/>
    <mergeCell ref="XH11:XH12"/>
    <mergeCell ref="XI11:XI12"/>
    <mergeCell ref="XJ11:XJ12"/>
    <mergeCell ref="XK11:XK12"/>
    <mergeCell ref="WZ11:WZ12"/>
    <mergeCell ref="XA11:XA12"/>
    <mergeCell ref="XB11:XB12"/>
    <mergeCell ref="XC11:XC12"/>
    <mergeCell ref="XD11:XD12"/>
    <mergeCell ref="XE11:XE12"/>
    <mergeCell ref="WT11:WT12"/>
    <mergeCell ref="WU11:WU12"/>
    <mergeCell ref="WV11:WV12"/>
    <mergeCell ref="WW11:WW12"/>
    <mergeCell ref="WX11:WX12"/>
    <mergeCell ref="WY11:WY12"/>
    <mergeCell ref="WN11:WN12"/>
    <mergeCell ref="WO11:WO12"/>
    <mergeCell ref="WP11:WP12"/>
    <mergeCell ref="WQ11:WQ12"/>
    <mergeCell ref="WR11:WR12"/>
    <mergeCell ref="WS11:WS12"/>
    <mergeCell ref="WH11:WH12"/>
    <mergeCell ref="WI11:WI12"/>
    <mergeCell ref="WJ11:WJ12"/>
    <mergeCell ref="WK11:WK12"/>
    <mergeCell ref="WL11:WL12"/>
    <mergeCell ref="WM11:WM12"/>
    <mergeCell ref="WB11:WB12"/>
    <mergeCell ref="WC11:WC12"/>
    <mergeCell ref="WD11:WD12"/>
    <mergeCell ref="WE11:WE12"/>
    <mergeCell ref="WF11:WF12"/>
    <mergeCell ref="WG11:WG12"/>
    <mergeCell ref="VV11:VV12"/>
    <mergeCell ref="VW11:VW12"/>
    <mergeCell ref="VX11:VX12"/>
    <mergeCell ref="VY11:VY12"/>
    <mergeCell ref="VZ11:VZ12"/>
    <mergeCell ref="WA11:WA12"/>
    <mergeCell ref="VP11:VP12"/>
    <mergeCell ref="VQ11:VQ12"/>
    <mergeCell ref="VR11:VR12"/>
    <mergeCell ref="VS11:VS12"/>
    <mergeCell ref="VT11:VT12"/>
    <mergeCell ref="VU11:VU12"/>
    <mergeCell ref="VJ11:VJ12"/>
    <mergeCell ref="VK11:VK12"/>
    <mergeCell ref="VL11:VL12"/>
    <mergeCell ref="VM11:VM12"/>
    <mergeCell ref="VN11:VN12"/>
    <mergeCell ref="VO11:VO12"/>
    <mergeCell ref="VD11:VD12"/>
    <mergeCell ref="VE11:VE12"/>
    <mergeCell ref="VF11:VF12"/>
    <mergeCell ref="VG11:VG12"/>
    <mergeCell ref="VH11:VH12"/>
    <mergeCell ref="VI11:VI12"/>
    <mergeCell ref="UX11:UX12"/>
    <mergeCell ref="UY11:UY12"/>
    <mergeCell ref="UZ11:UZ12"/>
    <mergeCell ref="VA11:VA12"/>
    <mergeCell ref="VB11:VB12"/>
    <mergeCell ref="VC11:VC12"/>
    <mergeCell ref="UR11:UR12"/>
    <mergeCell ref="US11:US12"/>
    <mergeCell ref="UT11:UT12"/>
    <mergeCell ref="UU11:UU12"/>
    <mergeCell ref="UV11:UV12"/>
    <mergeCell ref="UW11:UW12"/>
    <mergeCell ref="UL11:UL12"/>
    <mergeCell ref="UM11:UM12"/>
    <mergeCell ref="UN11:UN12"/>
    <mergeCell ref="UO11:UO12"/>
    <mergeCell ref="UP11:UP12"/>
    <mergeCell ref="UQ11:UQ12"/>
    <mergeCell ref="UF11:UF12"/>
    <mergeCell ref="UG11:UG12"/>
    <mergeCell ref="UH11:UH12"/>
    <mergeCell ref="UI11:UI12"/>
    <mergeCell ref="UJ11:UJ12"/>
    <mergeCell ref="UK11:UK12"/>
    <mergeCell ref="TZ11:TZ12"/>
    <mergeCell ref="UA11:UA12"/>
    <mergeCell ref="UB11:UB12"/>
    <mergeCell ref="UC11:UC12"/>
    <mergeCell ref="UD11:UD12"/>
    <mergeCell ref="UE11:UE12"/>
    <mergeCell ref="TT11:TT12"/>
    <mergeCell ref="TU11:TU12"/>
    <mergeCell ref="TV11:TV12"/>
    <mergeCell ref="TW11:TW12"/>
    <mergeCell ref="TX11:TX12"/>
    <mergeCell ref="TY11:TY12"/>
    <mergeCell ref="TN11:TN12"/>
    <mergeCell ref="TO11:TO12"/>
    <mergeCell ref="TP11:TP12"/>
    <mergeCell ref="TQ11:TQ12"/>
    <mergeCell ref="TR11:TR12"/>
    <mergeCell ref="TS11:TS12"/>
    <mergeCell ref="TH11:TH12"/>
    <mergeCell ref="TI11:TI12"/>
    <mergeCell ref="TJ11:TJ12"/>
    <mergeCell ref="TK11:TK12"/>
    <mergeCell ref="TL11:TL12"/>
    <mergeCell ref="TM11:TM12"/>
    <mergeCell ref="TB11:TB12"/>
    <mergeCell ref="TC11:TC12"/>
    <mergeCell ref="TD11:TD12"/>
    <mergeCell ref="TE11:TE12"/>
    <mergeCell ref="TF11:TF12"/>
    <mergeCell ref="TG11:TG12"/>
    <mergeCell ref="SV11:SV12"/>
    <mergeCell ref="SW11:SW12"/>
    <mergeCell ref="SX11:SX12"/>
    <mergeCell ref="SY11:SY12"/>
    <mergeCell ref="SZ11:SZ12"/>
    <mergeCell ref="TA11:TA12"/>
    <mergeCell ref="SP11:SP12"/>
    <mergeCell ref="SQ11:SQ12"/>
    <mergeCell ref="SR11:SR12"/>
    <mergeCell ref="SS11:SS12"/>
    <mergeCell ref="ST11:ST12"/>
    <mergeCell ref="SU11:SU12"/>
    <mergeCell ref="SJ11:SJ12"/>
    <mergeCell ref="SK11:SK12"/>
    <mergeCell ref="SL11:SL12"/>
    <mergeCell ref="SM11:SM12"/>
    <mergeCell ref="SN11:SN12"/>
    <mergeCell ref="SO11:SO12"/>
    <mergeCell ref="SD11:SD12"/>
    <mergeCell ref="SE11:SE12"/>
    <mergeCell ref="SF11:SF12"/>
    <mergeCell ref="SG11:SG12"/>
    <mergeCell ref="SH11:SH12"/>
    <mergeCell ref="SI11:SI12"/>
    <mergeCell ref="RX11:RX12"/>
    <mergeCell ref="RY11:RY12"/>
    <mergeCell ref="RZ11:RZ12"/>
    <mergeCell ref="SA11:SA12"/>
    <mergeCell ref="SB11:SB12"/>
    <mergeCell ref="SC11:SC12"/>
    <mergeCell ref="RR11:RR12"/>
    <mergeCell ref="RS11:RS12"/>
    <mergeCell ref="RT11:RT12"/>
    <mergeCell ref="RU11:RU12"/>
    <mergeCell ref="RV11:RV12"/>
    <mergeCell ref="RW11:RW12"/>
    <mergeCell ref="RL11:RL12"/>
    <mergeCell ref="RM11:RM12"/>
    <mergeCell ref="RN11:RN12"/>
    <mergeCell ref="RO11:RO12"/>
    <mergeCell ref="RP11:RP12"/>
    <mergeCell ref="RQ11:RQ12"/>
    <mergeCell ref="RF11:RF12"/>
    <mergeCell ref="RG11:RG12"/>
    <mergeCell ref="RH11:RH12"/>
    <mergeCell ref="RI11:RI12"/>
    <mergeCell ref="RJ11:RJ12"/>
    <mergeCell ref="RK11:RK12"/>
    <mergeCell ref="QZ11:QZ12"/>
    <mergeCell ref="RA11:RA12"/>
    <mergeCell ref="RB11:RB12"/>
    <mergeCell ref="RC11:RC12"/>
    <mergeCell ref="RD11:RD12"/>
    <mergeCell ref="RE11:RE12"/>
    <mergeCell ref="QT11:QT12"/>
    <mergeCell ref="QU11:QU12"/>
    <mergeCell ref="QV11:QV12"/>
    <mergeCell ref="QW11:QW12"/>
    <mergeCell ref="QX11:QX12"/>
    <mergeCell ref="QY11:QY12"/>
    <mergeCell ref="QN11:QN12"/>
    <mergeCell ref="QO11:QO12"/>
    <mergeCell ref="QP11:QP12"/>
    <mergeCell ref="QQ11:QQ12"/>
    <mergeCell ref="QR11:QR12"/>
    <mergeCell ref="QS11:QS12"/>
    <mergeCell ref="QH11:QH12"/>
    <mergeCell ref="QI11:QI12"/>
    <mergeCell ref="QJ11:QJ12"/>
    <mergeCell ref="QK11:QK12"/>
    <mergeCell ref="QL11:QL12"/>
    <mergeCell ref="QM11:QM12"/>
    <mergeCell ref="QB11:QB12"/>
    <mergeCell ref="QC11:QC12"/>
    <mergeCell ref="QD11:QD12"/>
    <mergeCell ref="QE11:QE12"/>
    <mergeCell ref="QF11:QF12"/>
    <mergeCell ref="QG11:QG12"/>
    <mergeCell ref="PV11:PV12"/>
    <mergeCell ref="PW11:PW12"/>
    <mergeCell ref="PX11:PX12"/>
    <mergeCell ref="PY11:PY12"/>
    <mergeCell ref="PZ11:PZ12"/>
    <mergeCell ref="QA11:QA12"/>
    <mergeCell ref="PP11:PP12"/>
    <mergeCell ref="PQ11:PQ12"/>
    <mergeCell ref="PR11:PR12"/>
    <mergeCell ref="PS11:PS12"/>
    <mergeCell ref="PT11:PT12"/>
    <mergeCell ref="PU11:PU12"/>
    <mergeCell ref="PJ11:PJ12"/>
    <mergeCell ref="PK11:PK12"/>
    <mergeCell ref="PL11:PL12"/>
    <mergeCell ref="PM11:PM12"/>
    <mergeCell ref="PN11:PN12"/>
    <mergeCell ref="PO11:PO12"/>
    <mergeCell ref="PD11:PD12"/>
    <mergeCell ref="PE11:PE12"/>
    <mergeCell ref="PF11:PF12"/>
    <mergeCell ref="PG11:PG12"/>
    <mergeCell ref="PH11:PH12"/>
    <mergeCell ref="PI11:PI12"/>
    <mergeCell ref="OX11:OX12"/>
    <mergeCell ref="OY11:OY12"/>
    <mergeCell ref="OZ11:OZ12"/>
    <mergeCell ref="PA11:PA12"/>
    <mergeCell ref="PB11:PB12"/>
    <mergeCell ref="PC11:PC12"/>
    <mergeCell ref="OR11:OR12"/>
    <mergeCell ref="OS11:OS12"/>
    <mergeCell ref="OT11:OT12"/>
    <mergeCell ref="OU11:OU12"/>
    <mergeCell ref="OV11:OV12"/>
    <mergeCell ref="OW11:OW12"/>
    <mergeCell ref="OL11:OL12"/>
    <mergeCell ref="OM11:OM12"/>
    <mergeCell ref="ON11:ON12"/>
    <mergeCell ref="OO11:OO12"/>
    <mergeCell ref="OP11:OP12"/>
    <mergeCell ref="OQ11:OQ12"/>
    <mergeCell ref="OF11:OF12"/>
    <mergeCell ref="OG11:OG12"/>
    <mergeCell ref="OH11:OH12"/>
    <mergeCell ref="OI11:OI12"/>
    <mergeCell ref="OJ11:OJ12"/>
    <mergeCell ref="OK11:OK12"/>
    <mergeCell ref="NZ11:NZ12"/>
    <mergeCell ref="OA11:OA12"/>
    <mergeCell ref="OB11:OB12"/>
    <mergeCell ref="OC11:OC12"/>
    <mergeCell ref="OD11:OD12"/>
    <mergeCell ref="OE11:OE12"/>
    <mergeCell ref="NT11:NT12"/>
    <mergeCell ref="NU11:NU12"/>
    <mergeCell ref="NV11:NV12"/>
    <mergeCell ref="NW11:NW12"/>
    <mergeCell ref="NX11:NX12"/>
    <mergeCell ref="NY11:NY12"/>
    <mergeCell ref="NN11:NN12"/>
    <mergeCell ref="NO11:NO12"/>
    <mergeCell ref="NP11:NP12"/>
    <mergeCell ref="NQ11:NQ12"/>
    <mergeCell ref="NR11:NR12"/>
    <mergeCell ref="NS11:NS12"/>
    <mergeCell ref="NH11:NH12"/>
    <mergeCell ref="NI11:NI12"/>
    <mergeCell ref="NJ11:NJ12"/>
    <mergeCell ref="NK11:NK12"/>
    <mergeCell ref="NL11:NL12"/>
    <mergeCell ref="NM11:NM12"/>
    <mergeCell ref="NB11:NB12"/>
    <mergeCell ref="NC11:NC12"/>
    <mergeCell ref="ND11:ND12"/>
    <mergeCell ref="NE11:NE12"/>
    <mergeCell ref="NF11:NF12"/>
    <mergeCell ref="NG11:NG12"/>
    <mergeCell ref="MV11:MV12"/>
    <mergeCell ref="MW11:MW12"/>
    <mergeCell ref="MX11:MX12"/>
    <mergeCell ref="MY11:MY12"/>
    <mergeCell ref="MZ11:MZ12"/>
    <mergeCell ref="NA11:NA12"/>
    <mergeCell ref="MP11:MP12"/>
    <mergeCell ref="MQ11:MQ12"/>
    <mergeCell ref="MR11:MR12"/>
    <mergeCell ref="MS11:MS12"/>
    <mergeCell ref="MT11:MT12"/>
    <mergeCell ref="MU11:MU12"/>
    <mergeCell ref="MJ11:MJ12"/>
    <mergeCell ref="MK11:MK12"/>
    <mergeCell ref="ML11:ML12"/>
    <mergeCell ref="MM11:MM12"/>
    <mergeCell ref="MN11:MN12"/>
    <mergeCell ref="MO11:MO12"/>
    <mergeCell ref="MD11:MD12"/>
    <mergeCell ref="ME11:ME12"/>
    <mergeCell ref="MF11:MF12"/>
    <mergeCell ref="MG11:MG12"/>
    <mergeCell ref="MH11:MH12"/>
    <mergeCell ref="MI11:MI12"/>
    <mergeCell ref="LX11:LX12"/>
    <mergeCell ref="LY11:LY12"/>
    <mergeCell ref="LZ11:LZ12"/>
    <mergeCell ref="MA11:MA12"/>
    <mergeCell ref="MB11:MB12"/>
    <mergeCell ref="MC11:MC12"/>
    <mergeCell ref="LR11:LR12"/>
    <mergeCell ref="LS11:LS12"/>
    <mergeCell ref="LT11:LT12"/>
    <mergeCell ref="LU11:LU12"/>
    <mergeCell ref="LV11:LV12"/>
    <mergeCell ref="LW11:LW12"/>
    <mergeCell ref="LL11:LL12"/>
    <mergeCell ref="LM11:LM12"/>
    <mergeCell ref="LN11:LN12"/>
    <mergeCell ref="LO11:LO12"/>
    <mergeCell ref="LP11:LP12"/>
    <mergeCell ref="LQ11:LQ12"/>
    <mergeCell ref="LF11:LF12"/>
    <mergeCell ref="LG11:LG12"/>
    <mergeCell ref="LH11:LH12"/>
    <mergeCell ref="LI11:LI12"/>
    <mergeCell ref="LJ11:LJ12"/>
    <mergeCell ref="LK11:LK12"/>
    <mergeCell ref="KZ11:KZ12"/>
    <mergeCell ref="LA11:LA12"/>
    <mergeCell ref="LB11:LB12"/>
    <mergeCell ref="LC11:LC12"/>
    <mergeCell ref="LD11:LD12"/>
    <mergeCell ref="LE11:LE12"/>
    <mergeCell ref="KT11:KT12"/>
    <mergeCell ref="KU11:KU12"/>
    <mergeCell ref="KV11:KV12"/>
    <mergeCell ref="KW11:KW12"/>
    <mergeCell ref="KX11:KX12"/>
    <mergeCell ref="KY11:KY12"/>
    <mergeCell ref="KN11:KN12"/>
    <mergeCell ref="KO11:KO12"/>
    <mergeCell ref="KP11:KP12"/>
    <mergeCell ref="KQ11:KQ12"/>
    <mergeCell ref="KR11:KR12"/>
    <mergeCell ref="KS11:KS12"/>
    <mergeCell ref="KH11:KH12"/>
    <mergeCell ref="KI11:KI12"/>
    <mergeCell ref="KJ11:KJ12"/>
    <mergeCell ref="KK11:KK12"/>
    <mergeCell ref="KL11:KL12"/>
    <mergeCell ref="KM11:KM12"/>
    <mergeCell ref="KB11:KB12"/>
    <mergeCell ref="KC11:KC12"/>
    <mergeCell ref="KD11:KD12"/>
    <mergeCell ref="KE11:KE12"/>
    <mergeCell ref="KF11:KF12"/>
    <mergeCell ref="KG11:KG12"/>
    <mergeCell ref="JV11:JV12"/>
    <mergeCell ref="JW11:JW12"/>
    <mergeCell ref="JX11:JX12"/>
    <mergeCell ref="JY11:JY12"/>
    <mergeCell ref="JZ11:JZ12"/>
    <mergeCell ref="KA11:KA12"/>
    <mergeCell ref="JP11:JP12"/>
    <mergeCell ref="JQ11:JQ12"/>
    <mergeCell ref="JR11:JR12"/>
    <mergeCell ref="JS11:JS12"/>
    <mergeCell ref="JT11:JT12"/>
    <mergeCell ref="JU11:JU12"/>
    <mergeCell ref="JJ11:JJ12"/>
    <mergeCell ref="JK11:JK12"/>
    <mergeCell ref="JL11:JL12"/>
    <mergeCell ref="JM11:JM12"/>
    <mergeCell ref="JN11:JN12"/>
    <mergeCell ref="JO11:JO12"/>
    <mergeCell ref="JD11:JD12"/>
    <mergeCell ref="JE11:JE12"/>
    <mergeCell ref="JF11:JF12"/>
    <mergeCell ref="JG11:JG12"/>
    <mergeCell ref="JH11:JH12"/>
    <mergeCell ref="JI11:JI12"/>
    <mergeCell ref="IX11:IX12"/>
    <mergeCell ref="IY11:IY12"/>
    <mergeCell ref="IZ11:IZ12"/>
    <mergeCell ref="JA11:JA12"/>
    <mergeCell ref="JB11:JB12"/>
    <mergeCell ref="JC11:JC12"/>
    <mergeCell ref="IR11:IR12"/>
    <mergeCell ref="IS11:IS12"/>
    <mergeCell ref="IT11:IT12"/>
    <mergeCell ref="IU11:IU12"/>
    <mergeCell ref="IV11:IV12"/>
    <mergeCell ref="IW11:IW12"/>
    <mergeCell ref="IL11:IL12"/>
    <mergeCell ref="IM11:IM12"/>
    <mergeCell ref="IN11:IN12"/>
    <mergeCell ref="IO11:IO12"/>
    <mergeCell ref="IP11:IP12"/>
    <mergeCell ref="IQ11:IQ12"/>
    <mergeCell ref="IF11:IF12"/>
    <mergeCell ref="IG11:IG12"/>
    <mergeCell ref="IH11:IH12"/>
    <mergeCell ref="II11:II12"/>
    <mergeCell ref="IJ11:IJ12"/>
    <mergeCell ref="IK11:IK12"/>
    <mergeCell ref="HZ11:HZ12"/>
    <mergeCell ref="IA11:IA12"/>
    <mergeCell ref="IB11:IB12"/>
    <mergeCell ref="IC11:IC12"/>
    <mergeCell ref="ID11:ID12"/>
    <mergeCell ref="IE11:IE12"/>
    <mergeCell ref="HT11:HT12"/>
    <mergeCell ref="HU11:HU12"/>
    <mergeCell ref="HV11:HV12"/>
    <mergeCell ref="HW11:HW12"/>
    <mergeCell ref="HX11:HX12"/>
    <mergeCell ref="HY11:HY12"/>
    <mergeCell ref="HN11:HN12"/>
    <mergeCell ref="HO11:HO12"/>
    <mergeCell ref="HP11:HP12"/>
    <mergeCell ref="HQ11:HQ12"/>
    <mergeCell ref="HR11:HR12"/>
    <mergeCell ref="HS11:HS12"/>
    <mergeCell ref="HH11:HH12"/>
    <mergeCell ref="HI11:HI12"/>
    <mergeCell ref="HJ11:HJ12"/>
    <mergeCell ref="HK11:HK12"/>
    <mergeCell ref="HL11:HL12"/>
    <mergeCell ref="HM11:HM12"/>
    <mergeCell ref="HB11:HB12"/>
    <mergeCell ref="HC11:HC12"/>
    <mergeCell ref="HD11:HD12"/>
    <mergeCell ref="HE11:HE12"/>
    <mergeCell ref="HF11:HF12"/>
    <mergeCell ref="HG11:HG12"/>
    <mergeCell ref="GV11:GV12"/>
    <mergeCell ref="GW11:GW12"/>
    <mergeCell ref="GX11:GX12"/>
    <mergeCell ref="GY11:GY12"/>
    <mergeCell ref="GZ11:GZ12"/>
    <mergeCell ref="HA11:HA12"/>
    <mergeCell ref="GP11:GP12"/>
    <mergeCell ref="GQ11:GQ12"/>
    <mergeCell ref="GR11:GR12"/>
    <mergeCell ref="GS11:GS12"/>
    <mergeCell ref="GT11:GT12"/>
    <mergeCell ref="GU11:GU12"/>
    <mergeCell ref="GJ11:GJ12"/>
    <mergeCell ref="GK11:GK12"/>
    <mergeCell ref="GL11:GL12"/>
    <mergeCell ref="GM11:GM12"/>
    <mergeCell ref="GN11:GN12"/>
    <mergeCell ref="GO11:GO12"/>
    <mergeCell ref="GD11:GD12"/>
    <mergeCell ref="GE11:GE12"/>
    <mergeCell ref="GF11:GF12"/>
    <mergeCell ref="GG11:GG12"/>
    <mergeCell ref="GH11:GH12"/>
    <mergeCell ref="GI11:GI12"/>
    <mergeCell ref="FX11:FX12"/>
    <mergeCell ref="FY11:FY12"/>
    <mergeCell ref="FZ11:FZ12"/>
    <mergeCell ref="GA11:GA12"/>
    <mergeCell ref="GB11:GB12"/>
    <mergeCell ref="GC11:GC12"/>
    <mergeCell ref="FR11:FR12"/>
    <mergeCell ref="FS11:FS12"/>
    <mergeCell ref="FT11:FT12"/>
    <mergeCell ref="FU11:FU12"/>
    <mergeCell ref="FV11:FV12"/>
    <mergeCell ref="FW11:FW12"/>
    <mergeCell ref="FL11:FL12"/>
    <mergeCell ref="FM11:FM12"/>
    <mergeCell ref="FN11:FN12"/>
    <mergeCell ref="FO11:FO12"/>
    <mergeCell ref="FP11:FP12"/>
    <mergeCell ref="FQ11:FQ12"/>
    <mergeCell ref="FF11:FF12"/>
    <mergeCell ref="FG11:FG12"/>
    <mergeCell ref="FH11:FH12"/>
    <mergeCell ref="FI11:FI12"/>
    <mergeCell ref="FJ11:FJ12"/>
    <mergeCell ref="FK11:FK12"/>
    <mergeCell ref="EZ11:EZ12"/>
    <mergeCell ref="FA11:FA12"/>
    <mergeCell ref="FB11:FB12"/>
    <mergeCell ref="FC11:FC12"/>
    <mergeCell ref="FD11:FD12"/>
    <mergeCell ref="FE11:FE12"/>
    <mergeCell ref="ET11:ET12"/>
    <mergeCell ref="EU11:EU12"/>
    <mergeCell ref="EV11:EV12"/>
    <mergeCell ref="EW11:EW12"/>
    <mergeCell ref="EX11:EX12"/>
    <mergeCell ref="EY11:EY12"/>
    <mergeCell ref="EN11:EN12"/>
    <mergeCell ref="EO11:EO12"/>
    <mergeCell ref="EP11:EP12"/>
    <mergeCell ref="EQ11:EQ12"/>
    <mergeCell ref="ER11:ER12"/>
    <mergeCell ref="ES11:ES12"/>
    <mergeCell ref="EH11:EH12"/>
    <mergeCell ref="EI11:EI12"/>
    <mergeCell ref="EJ11:EJ12"/>
    <mergeCell ref="EK11:EK12"/>
    <mergeCell ref="EL11:EL12"/>
    <mergeCell ref="EM11:EM12"/>
    <mergeCell ref="EB11:EB12"/>
    <mergeCell ref="EC11:EC12"/>
    <mergeCell ref="ED11:ED12"/>
    <mergeCell ref="EE11:EE12"/>
    <mergeCell ref="EF11:EF12"/>
    <mergeCell ref="EG11:EG12"/>
    <mergeCell ref="DV11:DV12"/>
    <mergeCell ref="DW11:DW12"/>
    <mergeCell ref="DX11:DX12"/>
    <mergeCell ref="DY11:DY12"/>
    <mergeCell ref="DZ11:DZ12"/>
    <mergeCell ref="EA11:EA12"/>
    <mergeCell ref="DP11:DP12"/>
    <mergeCell ref="DQ11:DQ12"/>
    <mergeCell ref="DR11:DR12"/>
    <mergeCell ref="DS11:DS12"/>
    <mergeCell ref="DT11:DT12"/>
    <mergeCell ref="DU11:DU12"/>
    <mergeCell ref="DJ11:DJ12"/>
    <mergeCell ref="DK11:DK12"/>
    <mergeCell ref="DL11:DL12"/>
    <mergeCell ref="DM11:DM12"/>
    <mergeCell ref="DN11:DN12"/>
    <mergeCell ref="DO11:DO12"/>
    <mergeCell ref="DD11:DD12"/>
    <mergeCell ref="DE11:DE12"/>
    <mergeCell ref="DF11:DF12"/>
    <mergeCell ref="DG11:DG12"/>
    <mergeCell ref="DH11:DH12"/>
    <mergeCell ref="DI11:DI12"/>
    <mergeCell ref="CX11:CX12"/>
    <mergeCell ref="CY11:CY12"/>
    <mergeCell ref="CZ11:CZ12"/>
    <mergeCell ref="DA11:DA12"/>
    <mergeCell ref="DB11:DB12"/>
    <mergeCell ref="DC11:DC12"/>
    <mergeCell ref="CR11:CR12"/>
    <mergeCell ref="CS11:CS12"/>
    <mergeCell ref="CT11:CT12"/>
    <mergeCell ref="CU11:CU12"/>
    <mergeCell ref="CV11:CV12"/>
    <mergeCell ref="CW11:CW12"/>
    <mergeCell ref="CL11:CL12"/>
    <mergeCell ref="CM11:CM12"/>
    <mergeCell ref="CN11:CN12"/>
    <mergeCell ref="CO11:CO12"/>
    <mergeCell ref="CP11:CP12"/>
    <mergeCell ref="CQ11:CQ12"/>
    <mergeCell ref="D1:K1"/>
    <mergeCell ref="CF11:CF12"/>
    <mergeCell ref="CG11:CG12"/>
    <mergeCell ref="CH11:CH12"/>
    <mergeCell ref="CI11:CI12"/>
    <mergeCell ref="CJ11:CJ12"/>
    <mergeCell ref="CK11:CK12"/>
    <mergeCell ref="BZ11:BZ12"/>
    <mergeCell ref="CA11:CA12"/>
    <mergeCell ref="CB11:CB12"/>
    <mergeCell ref="CC11:CC12"/>
    <mergeCell ref="CD11:CD12"/>
    <mergeCell ref="CE11:CE12"/>
    <mergeCell ref="BT11:BT12"/>
    <mergeCell ref="BU11:BU12"/>
    <mergeCell ref="BV11:BV12"/>
    <mergeCell ref="BW11:BW12"/>
    <mergeCell ref="BX11:BX12"/>
    <mergeCell ref="BY11:BY12"/>
    <mergeCell ref="BN11:BN12"/>
    <mergeCell ref="BO11:BO12"/>
    <mergeCell ref="BP11:BP12"/>
    <mergeCell ref="BQ11:BQ12"/>
    <mergeCell ref="BR11:BR12"/>
    <mergeCell ref="BS11:BS12"/>
    <mergeCell ref="BH11:BH12"/>
    <mergeCell ref="BI11:BI12"/>
    <mergeCell ref="BJ11:BJ12"/>
    <mergeCell ref="BK11:BK12"/>
    <mergeCell ref="BL11:BL12"/>
    <mergeCell ref="BM11:BM12"/>
    <mergeCell ref="BB11:BB12"/>
    <mergeCell ref="BC11:BC12"/>
    <mergeCell ref="BD11:BD12"/>
    <mergeCell ref="BE11:BE12"/>
    <mergeCell ref="BF11:BF12"/>
    <mergeCell ref="BG11:BG12"/>
    <mergeCell ref="J4:J6"/>
    <mergeCell ref="L4:L6"/>
    <mergeCell ref="J14:K15"/>
    <mergeCell ref="N11:N12"/>
    <mergeCell ref="O11:O12"/>
    <mergeCell ref="P11:P12"/>
    <mergeCell ref="Q11:Q12"/>
    <mergeCell ref="A9:A10"/>
    <mergeCell ref="A11:A12"/>
    <mergeCell ref="A4:A8"/>
    <mergeCell ref="B4:B6"/>
    <mergeCell ref="C4:C6"/>
    <mergeCell ref="D4:D6"/>
    <mergeCell ref="F4:F6"/>
    <mergeCell ref="H4:H6"/>
    <mergeCell ref="AV11:AV12"/>
    <mergeCell ref="AW11:AW12"/>
    <mergeCell ref="AX11:AX12"/>
    <mergeCell ref="AY11:AY12"/>
    <mergeCell ref="AZ11:AZ12"/>
    <mergeCell ref="BA11:BA12"/>
    <mergeCell ref="AP11:AP12"/>
    <mergeCell ref="AQ11:AQ12"/>
    <mergeCell ref="AR11:AR12"/>
    <mergeCell ref="AS11:AS12"/>
    <mergeCell ref="AT11:AT12"/>
    <mergeCell ref="AU11:AU12"/>
    <mergeCell ref="AJ11:AJ12"/>
    <mergeCell ref="AK11:AK12"/>
    <mergeCell ref="AL11:AL12"/>
    <mergeCell ref="AM11:AM12"/>
    <mergeCell ref="AN11:AN12"/>
    <mergeCell ref="AO11:AO12"/>
    <mergeCell ref="AD11:AD12"/>
    <mergeCell ref="AE11:AE12"/>
    <mergeCell ref="AF11:AF12"/>
    <mergeCell ref="AG11:AG12"/>
    <mergeCell ref="AH11:AH12"/>
    <mergeCell ref="AI11:AI12"/>
    <mergeCell ref="X11:X12"/>
    <mergeCell ref="Y11:Y12"/>
    <mergeCell ref="Z11:Z12"/>
    <mergeCell ref="AA11:AA12"/>
    <mergeCell ref="AB11:AB12"/>
    <mergeCell ref="AC11:AC12"/>
    <mergeCell ref="R11:R12"/>
    <mergeCell ref="S11:S12"/>
    <mergeCell ref="T11:T12"/>
    <mergeCell ref="U11:U12"/>
    <mergeCell ref="V11:V12"/>
    <mergeCell ref="W11:W1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C0054-F629-47BD-B3E0-CD3753C23D49}">
  <dimension ref="A1:AF18"/>
  <sheetViews>
    <sheetView showGridLines="0" zoomScaleNormal="100" workbookViewId="0">
      <pane xSplit="3" ySplit="2" topLeftCell="G3" activePane="bottomRight" state="frozen"/>
      <selection pane="bottomRight" activeCell="I13" sqref="I13"/>
      <selection pane="bottomLeft" activeCell="A3" sqref="A3"/>
      <selection pane="topRight" activeCell="D1" sqref="D1"/>
    </sheetView>
  </sheetViews>
  <sheetFormatPr defaultColWidth="9.140625" defaultRowHeight="15.95"/>
  <cols>
    <col min="1" max="1" width="27.85546875" style="172" bestFit="1" customWidth="1"/>
    <col min="2" max="2" width="37.85546875" style="172" customWidth="1"/>
    <col min="3" max="3" width="10.5703125" style="172" customWidth="1"/>
    <col min="4" max="4" width="37.85546875" style="172" customWidth="1"/>
    <col min="5" max="5" width="13.42578125" style="172" customWidth="1"/>
    <col min="6" max="8" width="15.5703125" style="172" customWidth="1"/>
    <col min="9" max="9" width="20.5703125" style="172" customWidth="1"/>
    <col min="10" max="10" width="10.5703125" style="172" customWidth="1"/>
    <col min="11" max="11" width="20.5703125" style="172" customWidth="1"/>
    <col min="12" max="12" width="10.5703125" style="172" customWidth="1"/>
    <col min="13" max="13" width="20.5703125" style="172" customWidth="1"/>
    <col min="14" max="14" width="10.5703125" style="172" customWidth="1"/>
    <col min="15" max="15" width="20.5703125" style="172" customWidth="1"/>
    <col min="16" max="16" width="10.5703125" style="172" customWidth="1"/>
    <col min="17" max="17" width="20.5703125" style="172" customWidth="1"/>
    <col min="18" max="18" width="10.5703125" style="172" customWidth="1"/>
    <col min="19" max="19" width="20.5703125" style="172" customWidth="1"/>
    <col min="20" max="20" width="10.5703125" style="172" customWidth="1"/>
    <col min="21" max="21" width="20.5703125" style="172" customWidth="1"/>
    <col min="22" max="22" width="10.5703125" style="172" customWidth="1"/>
    <col min="23" max="23" width="20.5703125" style="172" customWidth="1"/>
    <col min="24" max="24" width="10.5703125" style="172" customWidth="1"/>
    <col min="25" max="25" width="20.5703125" style="172" customWidth="1"/>
    <col min="26" max="26" width="10.5703125" style="172" customWidth="1"/>
    <col min="27" max="27" width="20.5703125" style="172" customWidth="1"/>
    <col min="28" max="28" width="10.5703125" style="172" customWidth="1"/>
    <col min="29" max="29" width="20.5703125" style="172" customWidth="1"/>
    <col min="30" max="30" width="10.5703125" style="172" customWidth="1"/>
    <col min="31" max="31" width="20.5703125" style="172" customWidth="1"/>
    <col min="32" max="32" width="10.5703125" style="172" customWidth="1"/>
    <col min="33" max="16384" width="9.140625" style="172"/>
  </cols>
  <sheetData>
    <row r="1" spans="1:32" ht="20.100000000000001" customHeight="1">
      <c r="A1" s="279" t="s">
        <v>42</v>
      </c>
      <c r="B1" s="279" t="s">
        <v>45</v>
      </c>
      <c r="C1" s="280" t="s">
        <v>96</v>
      </c>
      <c r="D1" s="279" t="s">
        <v>97</v>
      </c>
      <c r="E1" s="279" t="s">
        <v>14</v>
      </c>
      <c r="F1" s="279" t="s">
        <v>98</v>
      </c>
      <c r="G1" s="279" t="s">
        <v>99</v>
      </c>
      <c r="H1" s="279" t="s">
        <v>100</v>
      </c>
      <c r="I1" s="268">
        <v>45839</v>
      </c>
      <c r="J1" s="268"/>
      <c r="K1" s="268">
        <v>45870</v>
      </c>
      <c r="L1" s="268"/>
      <c r="M1" s="268">
        <v>45901</v>
      </c>
      <c r="N1" s="268"/>
      <c r="O1" s="268">
        <v>45931</v>
      </c>
      <c r="P1" s="268"/>
      <c r="Q1" s="268">
        <v>45962</v>
      </c>
      <c r="R1" s="268"/>
      <c r="S1" s="268">
        <v>45992</v>
      </c>
      <c r="T1" s="268"/>
      <c r="U1" s="268">
        <v>46023</v>
      </c>
      <c r="V1" s="268"/>
      <c r="W1" s="268">
        <v>46054</v>
      </c>
      <c r="X1" s="268"/>
      <c r="Y1" s="268">
        <v>46082</v>
      </c>
      <c r="Z1" s="268"/>
      <c r="AA1" s="268">
        <v>46113</v>
      </c>
      <c r="AB1" s="268"/>
      <c r="AC1" s="268">
        <v>46143</v>
      </c>
      <c r="AD1" s="268"/>
      <c r="AE1" s="268">
        <v>46174</v>
      </c>
      <c r="AF1" s="268"/>
    </row>
    <row r="2" spans="1:32" ht="20.100000000000001" customHeight="1">
      <c r="A2" s="280"/>
      <c r="B2" s="280"/>
      <c r="C2" s="281"/>
      <c r="D2" s="280"/>
      <c r="E2" s="280"/>
      <c r="F2" s="280"/>
      <c r="G2" s="280"/>
      <c r="H2" s="280"/>
      <c r="I2" s="212" t="s">
        <v>14</v>
      </c>
      <c r="J2" s="212" t="s">
        <v>101</v>
      </c>
      <c r="K2" s="212" t="s">
        <v>14</v>
      </c>
      <c r="L2" s="212" t="s">
        <v>101</v>
      </c>
      <c r="M2" s="212" t="s">
        <v>14</v>
      </c>
      <c r="N2" s="212" t="s">
        <v>101</v>
      </c>
      <c r="O2" s="212" t="s">
        <v>14</v>
      </c>
      <c r="P2" s="212" t="s">
        <v>101</v>
      </c>
      <c r="Q2" s="212" t="s">
        <v>14</v>
      </c>
      <c r="R2" s="212" t="s">
        <v>101</v>
      </c>
      <c r="S2" s="212" t="s">
        <v>14</v>
      </c>
      <c r="T2" s="212" t="s">
        <v>101</v>
      </c>
      <c r="U2" s="212" t="s">
        <v>14</v>
      </c>
      <c r="V2" s="212" t="s">
        <v>101</v>
      </c>
      <c r="W2" s="212" t="s">
        <v>14</v>
      </c>
      <c r="X2" s="212" t="s">
        <v>101</v>
      </c>
      <c r="Y2" s="212" t="s">
        <v>14</v>
      </c>
      <c r="Z2" s="212" t="s">
        <v>101</v>
      </c>
      <c r="AA2" s="212" t="s">
        <v>14</v>
      </c>
      <c r="AB2" s="212" t="s">
        <v>101</v>
      </c>
      <c r="AC2" s="212" t="s">
        <v>14</v>
      </c>
      <c r="AD2" s="212" t="s">
        <v>101</v>
      </c>
      <c r="AE2" s="212" t="s">
        <v>14</v>
      </c>
      <c r="AF2" s="212" t="s">
        <v>101</v>
      </c>
    </row>
    <row r="3" spans="1:32">
      <c r="A3" s="269" t="s">
        <v>48</v>
      </c>
      <c r="B3" s="213" t="s">
        <v>16</v>
      </c>
      <c r="C3" s="239" t="s">
        <v>102</v>
      </c>
      <c r="D3" s="240" t="s">
        <v>103</v>
      </c>
      <c r="E3" s="240" t="s">
        <v>104</v>
      </c>
      <c r="F3" s="235" t="s">
        <v>50</v>
      </c>
      <c r="G3" s="235">
        <v>90</v>
      </c>
      <c r="H3" s="235">
        <v>95</v>
      </c>
      <c r="I3" s="235" t="s">
        <v>105</v>
      </c>
      <c r="J3" s="241">
        <v>89.47</v>
      </c>
      <c r="K3" s="235" t="s">
        <v>106</v>
      </c>
      <c r="L3" s="241">
        <v>100</v>
      </c>
      <c r="M3" s="235" t="s">
        <v>107</v>
      </c>
      <c r="N3" s="241">
        <v>93.75</v>
      </c>
      <c r="O3" s="235" t="s">
        <v>108</v>
      </c>
      <c r="P3" s="241">
        <v>100</v>
      </c>
      <c r="Q3" s="235" t="s">
        <v>109</v>
      </c>
      <c r="R3" s="241">
        <v>100</v>
      </c>
      <c r="S3" s="235" t="s">
        <v>110</v>
      </c>
      <c r="T3" s="241">
        <v>100</v>
      </c>
      <c r="U3" s="235"/>
      <c r="V3" s="241"/>
      <c r="W3" s="235"/>
      <c r="X3" s="241"/>
      <c r="Y3" s="235"/>
      <c r="Z3" s="241"/>
      <c r="AA3" s="235"/>
      <c r="AB3" s="241"/>
      <c r="AC3" s="235"/>
      <c r="AD3" s="241"/>
      <c r="AE3" s="235"/>
      <c r="AF3" s="241"/>
    </row>
    <row r="4" spans="1:32">
      <c r="A4" s="270"/>
      <c r="B4" s="213" t="s">
        <v>17</v>
      </c>
      <c r="C4" s="239" t="s">
        <v>102</v>
      </c>
      <c r="D4" s="240" t="s">
        <v>111</v>
      </c>
      <c r="E4" s="240" t="s">
        <v>104</v>
      </c>
      <c r="F4" s="235" t="s">
        <v>50</v>
      </c>
      <c r="G4" s="235">
        <v>90</v>
      </c>
      <c r="H4" s="235">
        <v>95</v>
      </c>
      <c r="I4" s="235" t="s">
        <v>105</v>
      </c>
      <c r="J4" s="242">
        <v>89.47</v>
      </c>
      <c r="K4" s="235" t="s">
        <v>106</v>
      </c>
      <c r="L4" s="241">
        <v>100</v>
      </c>
      <c r="M4" s="235" t="s">
        <v>107</v>
      </c>
      <c r="N4" s="241">
        <v>81.25</v>
      </c>
      <c r="O4" s="235" t="s">
        <v>108</v>
      </c>
      <c r="P4" s="241">
        <v>100</v>
      </c>
      <c r="Q4" s="235" t="s">
        <v>109</v>
      </c>
      <c r="R4" s="241">
        <v>100</v>
      </c>
      <c r="S4" s="235" t="s">
        <v>110</v>
      </c>
      <c r="T4" s="241">
        <v>100</v>
      </c>
      <c r="U4" s="235"/>
      <c r="V4" s="241"/>
      <c r="W4" s="235"/>
      <c r="X4" s="241"/>
      <c r="Y4" s="235"/>
      <c r="Z4" s="241"/>
      <c r="AA4" s="235"/>
      <c r="AB4" s="241"/>
      <c r="AC4" s="235"/>
      <c r="AD4" s="241"/>
      <c r="AE4" s="235"/>
      <c r="AF4" s="241"/>
    </row>
    <row r="5" spans="1:32">
      <c r="A5" s="271"/>
      <c r="B5" s="213" t="s">
        <v>112</v>
      </c>
      <c r="C5" s="239" t="s">
        <v>102</v>
      </c>
      <c r="D5" s="243" t="s">
        <v>113</v>
      </c>
      <c r="E5" s="240" t="s">
        <v>104</v>
      </c>
      <c r="F5" s="235" t="s">
        <v>50</v>
      </c>
      <c r="G5" s="235">
        <v>90</v>
      </c>
      <c r="H5" s="235">
        <v>92</v>
      </c>
      <c r="I5" s="235" t="s">
        <v>114</v>
      </c>
      <c r="J5" s="241">
        <v>100</v>
      </c>
      <c r="K5" s="235" t="s">
        <v>115</v>
      </c>
      <c r="L5" s="241">
        <v>100</v>
      </c>
      <c r="M5" s="235" t="s">
        <v>116</v>
      </c>
      <c r="N5" s="241">
        <v>90.625</v>
      </c>
      <c r="O5" s="235" t="s">
        <v>117</v>
      </c>
      <c r="P5" s="241">
        <v>97</v>
      </c>
      <c r="Q5" s="235" t="s">
        <v>118</v>
      </c>
      <c r="R5" s="241">
        <v>100</v>
      </c>
      <c r="S5" s="235" t="s">
        <v>119</v>
      </c>
      <c r="T5" s="241">
        <v>100</v>
      </c>
      <c r="U5" s="235"/>
      <c r="V5" s="241"/>
      <c r="W5" s="235"/>
      <c r="X5" s="241"/>
      <c r="Y5" s="235"/>
      <c r="Z5" s="241"/>
      <c r="AA5" s="235"/>
      <c r="AB5" s="241"/>
      <c r="AC5" s="235"/>
      <c r="AD5" s="241"/>
      <c r="AE5" s="235"/>
      <c r="AF5" s="241"/>
    </row>
    <row r="6" spans="1:32">
      <c r="A6" s="272" t="s">
        <v>19</v>
      </c>
      <c r="B6" s="221" t="s">
        <v>120</v>
      </c>
      <c r="C6" s="244" t="s">
        <v>102</v>
      </c>
      <c r="D6" s="243" t="s">
        <v>121</v>
      </c>
      <c r="E6" s="240" t="s">
        <v>104</v>
      </c>
      <c r="F6" s="235" t="s">
        <v>64</v>
      </c>
      <c r="G6" s="235" t="s">
        <v>104</v>
      </c>
      <c r="H6" s="235" t="s">
        <v>104</v>
      </c>
      <c r="I6" s="235" t="s">
        <v>122</v>
      </c>
      <c r="J6" s="241">
        <v>740</v>
      </c>
      <c r="K6" s="235" t="s">
        <v>123</v>
      </c>
      <c r="L6" s="241">
        <v>421</v>
      </c>
      <c r="M6" s="235" t="s">
        <v>124</v>
      </c>
      <c r="N6" s="241">
        <v>533</v>
      </c>
      <c r="O6" s="235" t="s">
        <v>125</v>
      </c>
      <c r="P6" s="241">
        <v>110</v>
      </c>
      <c r="Q6" s="235" t="s">
        <v>126</v>
      </c>
      <c r="R6" s="241">
        <v>554</v>
      </c>
      <c r="S6" s="235" t="s">
        <v>127</v>
      </c>
      <c r="T6" s="241">
        <v>113</v>
      </c>
      <c r="U6" s="235"/>
      <c r="V6" s="241"/>
      <c r="W6" s="235"/>
      <c r="X6" s="241"/>
      <c r="Y6" s="235"/>
      <c r="Z6" s="241"/>
      <c r="AA6" s="235"/>
      <c r="AB6" s="241"/>
      <c r="AC6" s="235"/>
      <c r="AD6" s="241"/>
      <c r="AE6" s="235"/>
      <c r="AF6" s="241"/>
    </row>
    <row r="7" spans="1:32">
      <c r="A7" s="273"/>
      <c r="B7" s="221" t="s">
        <v>128</v>
      </c>
      <c r="C7" s="244" t="s">
        <v>102</v>
      </c>
      <c r="D7" s="243" t="s">
        <v>129</v>
      </c>
      <c r="E7" s="240" t="s">
        <v>104</v>
      </c>
      <c r="F7" s="235" t="s">
        <v>50</v>
      </c>
      <c r="G7" s="235">
        <v>90</v>
      </c>
      <c r="H7" s="235">
        <v>95</v>
      </c>
      <c r="I7" s="235" t="s">
        <v>122</v>
      </c>
      <c r="J7" s="241">
        <v>100</v>
      </c>
      <c r="K7" s="235" t="s">
        <v>123</v>
      </c>
      <c r="L7" s="241">
        <v>100</v>
      </c>
      <c r="M7" s="235" t="s">
        <v>107</v>
      </c>
      <c r="N7" s="241">
        <v>100</v>
      </c>
      <c r="O7" s="235" t="s">
        <v>125</v>
      </c>
      <c r="P7" s="241">
        <v>100</v>
      </c>
      <c r="Q7" s="235" t="s">
        <v>126</v>
      </c>
      <c r="R7" s="241">
        <v>100</v>
      </c>
      <c r="S7" s="235" t="s">
        <v>127</v>
      </c>
      <c r="T7" s="241">
        <v>100</v>
      </c>
      <c r="U7" s="235"/>
      <c r="V7" s="241"/>
      <c r="W7" s="235"/>
      <c r="X7" s="241"/>
      <c r="Y7" s="235"/>
      <c r="Z7" s="241"/>
      <c r="AA7" s="235"/>
      <c r="AB7" s="241"/>
      <c r="AC7" s="235"/>
      <c r="AD7" s="241"/>
      <c r="AE7" s="235"/>
      <c r="AF7" s="241"/>
    </row>
    <row r="8" spans="1:32" ht="20.100000000000001" customHeight="1">
      <c r="A8" s="274" t="s">
        <v>71</v>
      </c>
      <c r="B8" s="223" t="s">
        <v>130</v>
      </c>
      <c r="C8" s="245" t="s">
        <v>131</v>
      </c>
      <c r="D8" s="240" t="s">
        <v>104</v>
      </c>
      <c r="E8" s="240" t="s">
        <v>104</v>
      </c>
      <c r="F8" s="240" t="s">
        <v>104</v>
      </c>
      <c r="G8" s="240" t="s">
        <v>104</v>
      </c>
      <c r="H8" s="240" t="s">
        <v>104</v>
      </c>
      <c r="I8" s="240" t="s">
        <v>104</v>
      </c>
      <c r="J8" s="246" t="s">
        <v>104</v>
      </c>
      <c r="K8" s="240" t="s">
        <v>104</v>
      </c>
      <c r="L8" s="246" t="s">
        <v>104</v>
      </c>
      <c r="M8" s="240" t="s">
        <v>104</v>
      </c>
      <c r="N8" s="246" t="s">
        <v>104</v>
      </c>
      <c r="O8" s="240" t="s">
        <v>104</v>
      </c>
      <c r="P8" s="246" t="s">
        <v>104</v>
      </c>
      <c r="Q8" s="240" t="s">
        <v>104</v>
      </c>
      <c r="R8" s="246" t="s">
        <v>104</v>
      </c>
      <c r="S8" s="240" t="s">
        <v>104</v>
      </c>
      <c r="T8" s="246" t="s">
        <v>104</v>
      </c>
      <c r="U8" s="240" t="s">
        <v>104</v>
      </c>
      <c r="V8" s="246" t="s">
        <v>104</v>
      </c>
      <c r="W8" s="240" t="s">
        <v>104</v>
      </c>
      <c r="X8" s="246" t="s">
        <v>104</v>
      </c>
      <c r="Y8" s="240" t="s">
        <v>104</v>
      </c>
      <c r="Z8" s="246" t="s">
        <v>104</v>
      </c>
      <c r="AA8" s="240" t="s">
        <v>104</v>
      </c>
      <c r="AB8" s="246" t="s">
        <v>104</v>
      </c>
      <c r="AC8" s="240" t="s">
        <v>104</v>
      </c>
      <c r="AD8" s="246" t="s">
        <v>104</v>
      </c>
      <c r="AE8" s="240" t="s">
        <v>104</v>
      </c>
      <c r="AF8" s="246" t="s">
        <v>104</v>
      </c>
    </row>
    <row r="9" spans="1:32">
      <c r="A9" s="275"/>
      <c r="B9" s="223" t="s">
        <v>132</v>
      </c>
      <c r="C9" s="245" t="s">
        <v>102</v>
      </c>
      <c r="D9" s="240" t="s">
        <v>133</v>
      </c>
      <c r="E9" s="240" t="s">
        <v>104</v>
      </c>
      <c r="F9" s="235" t="s">
        <v>73</v>
      </c>
      <c r="G9" s="235">
        <v>90</v>
      </c>
      <c r="H9" s="235">
        <v>90</v>
      </c>
      <c r="I9" s="235" t="s">
        <v>134</v>
      </c>
      <c r="J9" s="241">
        <v>53.8</v>
      </c>
      <c r="K9" s="235" t="s">
        <v>135</v>
      </c>
      <c r="L9" s="241">
        <v>51.5</v>
      </c>
      <c r="M9" s="235" t="s">
        <v>136</v>
      </c>
      <c r="N9" s="241">
        <v>104.3</v>
      </c>
      <c r="O9" s="235" t="s">
        <v>136</v>
      </c>
      <c r="P9" s="241">
        <v>104.3</v>
      </c>
      <c r="Q9" s="235" t="s">
        <v>137</v>
      </c>
      <c r="R9" s="241">
        <v>138</v>
      </c>
      <c r="S9" s="235" t="s">
        <v>138</v>
      </c>
      <c r="T9" s="241">
        <v>39.5</v>
      </c>
      <c r="U9" s="235"/>
      <c r="V9" s="241"/>
      <c r="W9" s="235"/>
      <c r="X9" s="241"/>
      <c r="Y9" s="235"/>
      <c r="Z9" s="241"/>
      <c r="AA9" s="235"/>
      <c r="AB9" s="241"/>
      <c r="AC9" s="235"/>
      <c r="AD9" s="241"/>
      <c r="AE9" s="235"/>
      <c r="AF9" s="241"/>
    </row>
    <row r="10" spans="1:32">
      <c r="A10" s="275"/>
      <c r="B10" s="223" t="s">
        <v>139</v>
      </c>
      <c r="C10" s="245" t="s">
        <v>102</v>
      </c>
      <c r="D10" s="243" t="s">
        <v>140</v>
      </c>
      <c r="E10" s="240" t="s">
        <v>104</v>
      </c>
      <c r="F10" s="235" t="s">
        <v>73</v>
      </c>
      <c r="G10" s="235">
        <v>30</v>
      </c>
      <c r="H10" s="235">
        <v>30</v>
      </c>
      <c r="I10" s="235" t="s">
        <v>105</v>
      </c>
      <c r="J10" s="241">
        <v>46.47</v>
      </c>
      <c r="K10" s="235" t="s">
        <v>141</v>
      </c>
      <c r="L10" s="241">
        <v>10.87</v>
      </c>
      <c r="M10" s="235" t="s">
        <v>106</v>
      </c>
      <c r="N10" s="241">
        <v>9.1999999999999993</v>
      </c>
      <c r="O10" s="235" t="s">
        <v>108</v>
      </c>
      <c r="P10" s="241">
        <v>9.1999999999999993</v>
      </c>
      <c r="Q10" s="235" t="s">
        <v>142</v>
      </c>
      <c r="R10" s="241">
        <v>22.67</v>
      </c>
      <c r="S10" s="235" t="s">
        <v>143</v>
      </c>
      <c r="T10" s="241">
        <v>16.329999999999998</v>
      </c>
      <c r="U10" s="235"/>
      <c r="V10" s="241"/>
      <c r="W10" s="235"/>
      <c r="X10" s="241"/>
      <c r="Y10" s="235"/>
      <c r="Z10" s="241"/>
      <c r="AA10" s="235"/>
      <c r="AB10" s="241"/>
      <c r="AC10" s="235"/>
      <c r="AD10" s="241"/>
      <c r="AE10" s="235"/>
      <c r="AF10" s="241"/>
    </row>
    <row r="11" spans="1:32">
      <c r="A11" s="276"/>
      <c r="B11" s="223" t="s">
        <v>144</v>
      </c>
      <c r="C11" s="245" t="s">
        <v>131</v>
      </c>
      <c r="D11" s="243" t="s">
        <v>104</v>
      </c>
      <c r="E11" s="240" t="s">
        <v>104</v>
      </c>
      <c r="F11" s="235" t="s">
        <v>104</v>
      </c>
      <c r="G11" s="235" t="s">
        <v>104</v>
      </c>
      <c r="H11" s="235" t="s">
        <v>104</v>
      </c>
      <c r="I11" s="240" t="s">
        <v>104</v>
      </c>
      <c r="J11" s="246" t="s">
        <v>104</v>
      </c>
      <c r="K11" s="240" t="s">
        <v>104</v>
      </c>
      <c r="L11" s="246" t="s">
        <v>104</v>
      </c>
      <c r="M11" s="240" t="s">
        <v>104</v>
      </c>
      <c r="N11" s="246" t="s">
        <v>104</v>
      </c>
      <c r="O11" s="240" t="s">
        <v>104</v>
      </c>
      <c r="P11" s="246" t="s">
        <v>104</v>
      </c>
      <c r="Q11" s="240" t="s">
        <v>104</v>
      </c>
      <c r="R11" s="246" t="s">
        <v>104</v>
      </c>
      <c r="S11" s="240" t="s">
        <v>104</v>
      </c>
      <c r="T11" s="246" t="s">
        <v>104</v>
      </c>
      <c r="U11" s="240" t="s">
        <v>104</v>
      </c>
      <c r="V11" s="246" t="s">
        <v>104</v>
      </c>
      <c r="W11" s="240" t="s">
        <v>104</v>
      </c>
      <c r="X11" s="246" t="s">
        <v>104</v>
      </c>
      <c r="Y11" s="240" t="s">
        <v>104</v>
      </c>
      <c r="Z11" s="246" t="s">
        <v>104</v>
      </c>
      <c r="AA11" s="240" t="s">
        <v>104</v>
      </c>
      <c r="AB11" s="246" t="s">
        <v>104</v>
      </c>
      <c r="AC11" s="240" t="s">
        <v>104</v>
      </c>
      <c r="AD11" s="246" t="s">
        <v>104</v>
      </c>
      <c r="AE11" s="240" t="s">
        <v>104</v>
      </c>
      <c r="AF11" s="246" t="s">
        <v>104</v>
      </c>
    </row>
    <row r="12" spans="1:32" s="173" customFormat="1">
      <c r="A12" s="277" t="s">
        <v>84</v>
      </c>
      <c r="B12" s="225" t="s">
        <v>145</v>
      </c>
      <c r="C12" s="247" t="s">
        <v>102</v>
      </c>
      <c r="D12" s="240" t="s">
        <v>146</v>
      </c>
      <c r="E12" s="240" t="s">
        <v>104</v>
      </c>
      <c r="F12" s="235" t="s">
        <v>86</v>
      </c>
      <c r="G12" s="235">
        <v>0.5</v>
      </c>
      <c r="H12" s="235">
        <v>0.5</v>
      </c>
      <c r="I12" s="235" t="s">
        <v>134</v>
      </c>
      <c r="J12" s="241">
        <v>0</v>
      </c>
      <c r="K12" s="235" t="s">
        <v>147</v>
      </c>
      <c r="L12" s="241">
        <f>1/8</f>
        <v>0.125</v>
      </c>
      <c r="M12" s="235" t="s">
        <v>148</v>
      </c>
      <c r="N12" s="241">
        <f>4/24</f>
        <v>0.16666666666666666</v>
      </c>
      <c r="O12" s="235" t="s">
        <v>148</v>
      </c>
      <c r="P12" s="241">
        <f>3/10</f>
        <v>0.3</v>
      </c>
      <c r="Q12" s="235" t="s">
        <v>137</v>
      </c>
      <c r="R12" s="241">
        <v>0.4</v>
      </c>
      <c r="S12" s="235" t="s">
        <v>138</v>
      </c>
      <c r="T12" s="241">
        <v>0</v>
      </c>
      <c r="U12" s="235"/>
      <c r="V12" s="241"/>
      <c r="W12" s="235"/>
      <c r="X12" s="241"/>
      <c r="Y12" s="235"/>
      <c r="Z12" s="241"/>
      <c r="AA12" s="235"/>
      <c r="AB12" s="241"/>
      <c r="AC12" s="235"/>
      <c r="AD12" s="241"/>
      <c r="AE12" s="235"/>
      <c r="AF12" s="241"/>
    </row>
    <row r="13" spans="1:32" s="173" customFormat="1" ht="20.100000000000001" customHeight="1">
      <c r="A13" s="278"/>
      <c r="B13" s="225" t="s">
        <v>30</v>
      </c>
      <c r="C13" s="247" t="s">
        <v>131</v>
      </c>
      <c r="D13" s="243" t="s">
        <v>104</v>
      </c>
      <c r="E13" s="240" t="s">
        <v>104</v>
      </c>
      <c r="F13" s="235" t="s">
        <v>104</v>
      </c>
      <c r="G13" s="235" t="s">
        <v>104</v>
      </c>
      <c r="H13" s="235">
        <v>4</v>
      </c>
      <c r="I13" s="240" t="s">
        <v>104</v>
      </c>
      <c r="J13" s="246" t="s">
        <v>104</v>
      </c>
      <c r="K13" s="240" t="s">
        <v>104</v>
      </c>
      <c r="L13" s="246" t="s">
        <v>104</v>
      </c>
      <c r="M13" s="240" t="s">
        <v>104</v>
      </c>
      <c r="N13" s="246" t="s">
        <v>104</v>
      </c>
      <c r="O13" s="240" t="s">
        <v>104</v>
      </c>
      <c r="P13" s="246" t="s">
        <v>104</v>
      </c>
      <c r="Q13" s="240" t="s">
        <v>104</v>
      </c>
      <c r="R13" s="251">
        <v>3.75</v>
      </c>
      <c r="S13" s="240" t="s">
        <v>104</v>
      </c>
      <c r="T13" s="246" t="s">
        <v>104</v>
      </c>
      <c r="U13" s="240" t="s">
        <v>104</v>
      </c>
      <c r="V13" s="246" t="s">
        <v>104</v>
      </c>
      <c r="W13" s="240" t="s">
        <v>104</v>
      </c>
      <c r="X13" s="246" t="s">
        <v>104</v>
      </c>
      <c r="Y13" s="240" t="s">
        <v>104</v>
      </c>
      <c r="Z13" s="246" t="s">
        <v>104</v>
      </c>
      <c r="AA13" s="240" t="s">
        <v>104</v>
      </c>
      <c r="AB13" s="246" t="s">
        <v>104</v>
      </c>
      <c r="AC13" s="240" t="s">
        <v>104</v>
      </c>
      <c r="AD13" s="246" t="s">
        <v>104</v>
      </c>
      <c r="AE13" s="240" t="s">
        <v>104</v>
      </c>
      <c r="AF13" s="246" t="s">
        <v>104</v>
      </c>
    </row>
    <row r="14" spans="1:32" ht="20.100000000000001" customHeight="1">
      <c r="A14" s="264" t="s">
        <v>90</v>
      </c>
      <c r="B14" s="227" t="s">
        <v>90</v>
      </c>
      <c r="C14" s="248" t="s">
        <v>102</v>
      </c>
      <c r="D14" s="243" t="s">
        <v>91</v>
      </c>
      <c r="E14" s="240" t="s">
        <v>104</v>
      </c>
      <c r="F14" s="235" t="s">
        <v>104</v>
      </c>
      <c r="G14" s="235">
        <v>75</v>
      </c>
      <c r="H14" s="235">
        <v>80</v>
      </c>
      <c r="I14" s="235"/>
      <c r="J14" s="241">
        <v>68.7</v>
      </c>
      <c r="K14" s="249"/>
      <c r="L14" s="241">
        <v>69.790000000000006</v>
      </c>
      <c r="M14" s="249"/>
      <c r="N14" s="241">
        <v>82.85</v>
      </c>
      <c r="O14" s="249"/>
      <c r="P14" s="241">
        <v>74.77</v>
      </c>
      <c r="Q14" s="249"/>
      <c r="R14" s="241">
        <v>90.11</v>
      </c>
      <c r="S14" s="235"/>
      <c r="T14" s="241">
        <v>82.52</v>
      </c>
      <c r="U14" s="235"/>
      <c r="V14" s="241"/>
      <c r="W14" s="235"/>
      <c r="X14" s="241"/>
      <c r="Y14" s="235"/>
      <c r="Z14" s="241"/>
      <c r="AA14" s="235"/>
      <c r="AB14" s="241"/>
      <c r="AC14" s="235"/>
      <c r="AD14" s="241"/>
      <c r="AE14" s="235"/>
      <c r="AF14" s="241"/>
    </row>
    <row r="15" spans="1:32" ht="20.100000000000001" customHeight="1">
      <c r="A15" s="265"/>
      <c r="B15" s="227" t="s">
        <v>149</v>
      </c>
      <c r="C15" s="248" t="s">
        <v>131</v>
      </c>
      <c r="D15" s="243" t="s">
        <v>104</v>
      </c>
      <c r="E15" s="240" t="s">
        <v>104</v>
      </c>
      <c r="F15" s="235" t="s">
        <v>104</v>
      </c>
      <c r="G15" s="235" t="s">
        <v>104</v>
      </c>
      <c r="H15" s="235" t="s">
        <v>104</v>
      </c>
      <c r="I15" s="240"/>
      <c r="J15" s="246">
        <v>0</v>
      </c>
      <c r="K15" s="240" t="s">
        <v>104</v>
      </c>
      <c r="L15" s="246">
        <v>1</v>
      </c>
      <c r="M15" s="240" t="s">
        <v>104</v>
      </c>
      <c r="N15" s="246">
        <v>1</v>
      </c>
      <c r="O15" s="246">
        <v>0</v>
      </c>
      <c r="P15" s="246">
        <v>0</v>
      </c>
      <c r="Q15" s="246">
        <v>0</v>
      </c>
      <c r="R15" s="246">
        <v>0</v>
      </c>
      <c r="S15" s="246">
        <v>0</v>
      </c>
      <c r="T15" s="246">
        <v>0</v>
      </c>
      <c r="U15" s="246">
        <v>0</v>
      </c>
      <c r="V15" s="246">
        <v>0</v>
      </c>
      <c r="W15" s="246">
        <v>0</v>
      </c>
      <c r="X15" s="246">
        <v>0</v>
      </c>
      <c r="Y15" s="246">
        <v>0</v>
      </c>
      <c r="Z15" s="246">
        <v>0</v>
      </c>
      <c r="AA15" s="246">
        <v>0</v>
      </c>
      <c r="AB15" s="246">
        <v>0</v>
      </c>
      <c r="AC15" s="246">
        <v>0</v>
      </c>
      <c r="AD15" s="246">
        <v>0</v>
      </c>
      <c r="AE15" s="246">
        <v>0</v>
      </c>
      <c r="AF15" s="246">
        <v>0</v>
      </c>
    </row>
    <row r="16" spans="1:32">
      <c r="A16" s="266" t="s">
        <v>92</v>
      </c>
      <c r="B16" s="231" t="s">
        <v>150</v>
      </c>
      <c r="C16" s="250" t="s">
        <v>102</v>
      </c>
      <c r="D16" s="243" t="s">
        <v>93</v>
      </c>
      <c r="E16" s="240" t="s">
        <v>104</v>
      </c>
      <c r="F16" s="235" t="s">
        <v>104</v>
      </c>
      <c r="G16" s="235" t="s">
        <v>104</v>
      </c>
      <c r="H16" s="235">
        <v>3</v>
      </c>
      <c r="I16" s="235" t="s">
        <v>94</v>
      </c>
      <c r="J16" s="241">
        <v>3</v>
      </c>
      <c r="K16" s="235"/>
      <c r="L16" s="241"/>
      <c r="M16" s="235"/>
      <c r="N16" s="241"/>
      <c r="O16" s="235"/>
      <c r="P16" s="241"/>
      <c r="Q16" s="235"/>
      <c r="R16" s="241"/>
      <c r="S16" s="235"/>
      <c r="T16" s="241"/>
      <c r="U16" s="235"/>
      <c r="V16" s="241"/>
      <c r="W16" s="235"/>
      <c r="X16" s="241"/>
      <c r="Y16" s="235"/>
      <c r="Z16" s="241"/>
      <c r="AA16" s="235"/>
      <c r="AB16" s="241"/>
      <c r="AC16" s="235"/>
      <c r="AD16" s="241"/>
      <c r="AE16" s="235"/>
      <c r="AF16" s="241"/>
    </row>
    <row r="17" spans="1:32">
      <c r="A17" s="267"/>
      <c r="B17" s="231" t="s">
        <v>37</v>
      </c>
      <c r="C17" s="250" t="s">
        <v>131</v>
      </c>
      <c r="D17" s="243" t="s">
        <v>104</v>
      </c>
      <c r="E17" s="240" t="s">
        <v>104</v>
      </c>
      <c r="F17" s="235" t="s">
        <v>104</v>
      </c>
      <c r="G17" s="235" t="s">
        <v>104</v>
      </c>
      <c r="H17" s="235" t="s">
        <v>104</v>
      </c>
      <c r="I17" s="240" t="s">
        <v>104</v>
      </c>
      <c r="J17" s="246" t="s">
        <v>104</v>
      </c>
      <c r="K17" s="240" t="s">
        <v>104</v>
      </c>
      <c r="L17" s="246" t="s">
        <v>104</v>
      </c>
      <c r="M17" s="240" t="s">
        <v>104</v>
      </c>
      <c r="N17" s="246" t="s">
        <v>104</v>
      </c>
      <c r="O17" s="240" t="s">
        <v>104</v>
      </c>
      <c r="P17" s="246" t="s">
        <v>104</v>
      </c>
      <c r="Q17" s="240" t="s">
        <v>104</v>
      </c>
      <c r="R17" s="246" t="s">
        <v>104</v>
      </c>
      <c r="S17" s="240" t="s">
        <v>104</v>
      </c>
      <c r="T17" s="246" t="s">
        <v>104</v>
      </c>
      <c r="U17" s="240" t="s">
        <v>104</v>
      </c>
      <c r="V17" s="246" t="s">
        <v>104</v>
      </c>
      <c r="W17" s="240" t="s">
        <v>104</v>
      </c>
      <c r="X17" s="246" t="s">
        <v>104</v>
      </c>
      <c r="Y17" s="240" t="s">
        <v>104</v>
      </c>
      <c r="Z17" s="246" t="s">
        <v>104</v>
      </c>
      <c r="AA17" s="240" t="s">
        <v>104</v>
      </c>
      <c r="AB17" s="246" t="s">
        <v>104</v>
      </c>
      <c r="AC17" s="240" t="s">
        <v>104</v>
      </c>
      <c r="AD17" s="246" t="s">
        <v>104</v>
      </c>
      <c r="AE17" s="240" t="s">
        <v>104</v>
      </c>
      <c r="AF17" s="246" t="s">
        <v>104</v>
      </c>
    </row>
    <row r="18" spans="1:32">
      <c r="A18" s="233" t="s">
        <v>38</v>
      </c>
      <c r="B18" s="233" t="s">
        <v>39</v>
      </c>
      <c r="C18" s="208" t="s">
        <v>102</v>
      </c>
      <c r="D18" s="243" t="s">
        <v>104</v>
      </c>
      <c r="E18" s="240" t="s">
        <v>104</v>
      </c>
      <c r="F18" s="235" t="s">
        <v>104</v>
      </c>
      <c r="G18" s="235" t="s">
        <v>104</v>
      </c>
      <c r="H18" s="235" t="s">
        <v>104</v>
      </c>
      <c r="I18" s="235" t="s">
        <v>151</v>
      </c>
      <c r="J18" s="241"/>
      <c r="K18" s="235" t="s">
        <v>151</v>
      </c>
      <c r="L18" s="241"/>
      <c r="M18" s="235" t="s">
        <v>151</v>
      </c>
      <c r="N18" s="241"/>
      <c r="O18" s="235"/>
      <c r="P18" s="241"/>
      <c r="Q18" s="235"/>
      <c r="R18" s="251">
        <v>0</v>
      </c>
      <c r="S18" s="235"/>
      <c r="T18" s="241"/>
      <c r="U18" s="235"/>
      <c r="V18" s="241"/>
      <c r="W18" s="235"/>
      <c r="X18" s="241"/>
      <c r="Y18" s="235"/>
      <c r="Z18" s="241"/>
      <c r="AA18" s="235"/>
      <c r="AB18" s="241"/>
      <c r="AC18" s="235"/>
      <c r="AD18" s="241"/>
      <c r="AE18" s="235"/>
      <c r="AF18" s="241"/>
    </row>
  </sheetData>
  <mergeCells count="26">
    <mergeCell ref="W1:X1"/>
    <mergeCell ref="Y1:Z1"/>
    <mergeCell ref="AA1:AB1"/>
    <mergeCell ref="AC1:AD1"/>
    <mergeCell ref="AE1:AF1"/>
    <mergeCell ref="M1:N1"/>
    <mergeCell ref="O1:P1"/>
    <mergeCell ref="Q1:R1"/>
    <mergeCell ref="S1:T1"/>
    <mergeCell ref="U1:V1"/>
    <mergeCell ref="A12:A13"/>
    <mergeCell ref="A14:A15"/>
    <mergeCell ref="A16:A17"/>
    <mergeCell ref="I1:J1"/>
    <mergeCell ref="K1:L1"/>
    <mergeCell ref="A1:A2"/>
    <mergeCell ref="B1:B2"/>
    <mergeCell ref="H1:H2"/>
    <mergeCell ref="D1:D2"/>
    <mergeCell ref="A3:A5"/>
    <mergeCell ref="A6:A7"/>
    <mergeCell ref="F1:F2"/>
    <mergeCell ref="G1:G2"/>
    <mergeCell ref="E1:E2"/>
    <mergeCell ref="C1:C2"/>
    <mergeCell ref="A8:A11"/>
  </mergeCells>
  <conditionalFormatting sqref="B3:AF18">
    <cfRule type="expression" dxfId="5" priority="1">
      <formula>$C3="No"</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464F6-202F-48D5-B567-8C005699F880}">
  <dimension ref="A1:V16"/>
  <sheetViews>
    <sheetView zoomScaleNormal="100" workbookViewId="0">
      <selection activeCell="D8" sqref="D8"/>
    </sheetView>
  </sheetViews>
  <sheetFormatPr defaultColWidth="8.5703125" defaultRowHeight="15" customHeight="1"/>
  <cols>
    <col min="1" max="1" width="21.5703125" style="1" customWidth="1"/>
    <col min="2" max="2" width="28.5703125" style="1" customWidth="1"/>
    <col min="3" max="3" width="19.5703125" style="1" customWidth="1"/>
    <col min="4" max="4" width="32.140625" style="1" customWidth="1"/>
    <col min="5" max="5" width="12.140625" style="1" bestFit="1" customWidth="1"/>
    <col min="6" max="6" width="19.85546875" style="1" customWidth="1"/>
    <col min="7" max="7" width="12.85546875" style="1" customWidth="1"/>
    <col min="8" max="9" width="19.140625" style="1" hidden="1" customWidth="1"/>
    <col min="10" max="15" width="10.5703125" style="1" customWidth="1"/>
    <col min="16" max="22" width="10.5703125" hidden="1" customWidth="1"/>
  </cols>
  <sheetData>
    <row r="1" spans="1:22" ht="14.45">
      <c r="A1" s="329" t="s">
        <v>5</v>
      </c>
      <c r="B1" s="331" t="s">
        <v>6</v>
      </c>
      <c r="C1" s="331" t="s">
        <v>152</v>
      </c>
      <c r="D1" s="331" t="s">
        <v>153</v>
      </c>
      <c r="E1" s="331" t="s">
        <v>100</v>
      </c>
      <c r="F1" s="343" t="s">
        <v>154</v>
      </c>
      <c r="G1" s="329" t="s">
        <v>155</v>
      </c>
      <c r="H1" s="331" t="s">
        <v>14</v>
      </c>
      <c r="I1" s="174"/>
      <c r="J1" s="333" t="s">
        <v>156</v>
      </c>
      <c r="K1" s="333"/>
      <c r="L1" s="333"/>
      <c r="M1" s="333"/>
      <c r="N1" s="333"/>
      <c r="O1" s="333"/>
      <c r="P1" s="333"/>
      <c r="Q1" s="333"/>
      <c r="R1" s="333"/>
      <c r="S1" s="333"/>
      <c r="T1" s="333"/>
      <c r="U1" s="333"/>
      <c r="V1" s="334"/>
    </row>
    <row r="2" spans="1:22" thickBot="1">
      <c r="A2" s="330"/>
      <c r="B2" s="332"/>
      <c r="C2" s="332"/>
      <c r="D2" s="332"/>
      <c r="E2" s="332"/>
      <c r="F2" s="344"/>
      <c r="G2" s="330"/>
      <c r="H2" s="332"/>
      <c r="I2" s="175"/>
      <c r="J2" s="176" t="s">
        <v>157</v>
      </c>
      <c r="K2" s="177" t="s">
        <v>158</v>
      </c>
      <c r="L2" s="177" t="s">
        <v>159</v>
      </c>
      <c r="M2" s="176" t="s">
        <v>160</v>
      </c>
      <c r="N2" s="176" t="s">
        <v>161</v>
      </c>
      <c r="O2" s="178" t="s">
        <v>162</v>
      </c>
      <c r="P2" s="68" t="s">
        <v>163</v>
      </c>
      <c r="Q2" s="68" t="s">
        <v>164</v>
      </c>
      <c r="R2" s="68" t="s">
        <v>165</v>
      </c>
      <c r="S2" s="68" t="s">
        <v>166</v>
      </c>
      <c r="T2" s="68" t="s">
        <v>167</v>
      </c>
      <c r="U2" s="68" t="s">
        <v>168</v>
      </c>
      <c r="V2" s="69" t="s">
        <v>169</v>
      </c>
    </row>
    <row r="3" spans="1:22" ht="75" customHeight="1" thickBot="1">
      <c r="A3" s="335" t="s">
        <v>15</v>
      </c>
      <c r="B3" s="117" t="s">
        <v>16</v>
      </c>
      <c r="C3" s="179" t="s">
        <v>170</v>
      </c>
      <c r="D3" s="117" t="s">
        <v>171</v>
      </c>
      <c r="E3" s="179"/>
      <c r="F3" s="180">
        <v>0.95</v>
      </c>
      <c r="G3" s="118"/>
      <c r="H3" s="118" t="s">
        <v>172</v>
      </c>
      <c r="I3" s="118"/>
      <c r="J3" s="181">
        <f t="shared" ref="J3:J10" si="0">AVERAGE(K3:O3)</f>
        <v>98.4</v>
      </c>
      <c r="K3" s="182">
        <v>98</v>
      </c>
      <c r="L3" s="182">
        <v>100</v>
      </c>
      <c r="M3" s="182">
        <v>99</v>
      </c>
      <c r="N3" s="182">
        <v>99</v>
      </c>
      <c r="O3" s="182">
        <v>96</v>
      </c>
      <c r="P3" s="70"/>
      <c r="Q3" s="70"/>
      <c r="R3" s="70"/>
      <c r="S3" s="70"/>
      <c r="T3" s="70"/>
      <c r="U3" s="70"/>
      <c r="V3" s="71"/>
    </row>
    <row r="4" spans="1:22" ht="87">
      <c r="A4" s="336"/>
      <c r="B4" s="120" t="s">
        <v>17</v>
      </c>
      <c r="C4" s="117" t="s">
        <v>173</v>
      </c>
      <c r="D4" s="183" t="s">
        <v>174</v>
      </c>
      <c r="E4" s="183"/>
      <c r="F4" s="184">
        <v>0.95</v>
      </c>
      <c r="G4" s="34"/>
      <c r="H4" s="34"/>
      <c r="I4" s="34"/>
      <c r="J4" s="181">
        <f t="shared" si="0"/>
        <v>99.2</v>
      </c>
      <c r="K4" s="181">
        <v>99</v>
      </c>
      <c r="L4" s="182">
        <v>98</v>
      </c>
      <c r="M4" s="182">
        <v>99</v>
      </c>
      <c r="N4" s="94">
        <v>100</v>
      </c>
      <c r="O4" s="94">
        <v>100</v>
      </c>
      <c r="P4" s="72"/>
      <c r="Q4" s="72"/>
      <c r="R4" s="72"/>
      <c r="S4" s="72"/>
      <c r="T4" s="72"/>
      <c r="U4" s="72"/>
      <c r="V4" s="73"/>
    </row>
    <row r="5" spans="1:22" ht="116.45" thickBot="1">
      <c r="A5" s="337"/>
      <c r="B5" s="123" t="s">
        <v>18</v>
      </c>
      <c r="C5" s="123" t="s">
        <v>175</v>
      </c>
      <c r="D5" s="185" t="s">
        <v>176</v>
      </c>
      <c r="E5" s="185"/>
      <c r="F5" s="186">
        <v>0.93</v>
      </c>
      <c r="G5" s="124"/>
      <c r="H5" s="124"/>
      <c r="I5" s="124"/>
      <c r="J5" s="181">
        <f t="shared" si="0"/>
        <v>99.4</v>
      </c>
      <c r="K5" s="181">
        <v>99</v>
      </c>
      <c r="L5" s="182">
        <v>98</v>
      </c>
      <c r="M5" s="182">
        <v>100</v>
      </c>
      <c r="N5" s="182">
        <v>100</v>
      </c>
      <c r="O5" s="94">
        <v>100</v>
      </c>
      <c r="P5" s="74"/>
      <c r="Q5" s="74"/>
      <c r="R5" s="74"/>
      <c r="S5" s="74"/>
      <c r="T5" s="74"/>
      <c r="U5" s="74"/>
      <c r="V5" s="75"/>
    </row>
    <row r="6" spans="1:22" ht="45.6" customHeight="1">
      <c r="A6" s="338" t="s">
        <v>19</v>
      </c>
      <c r="B6" s="187" t="s">
        <v>20</v>
      </c>
      <c r="C6" s="188" t="s">
        <v>177</v>
      </c>
      <c r="D6" s="188" t="s">
        <v>178</v>
      </c>
      <c r="E6" s="189"/>
      <c r="F6" s="189" t="s">
        <v>179</v>
      </c>
      <c r="G6" s="118"/>
      <c r="H6" s="118"/>
      <c r="I6" s="118"/>
      <c r="J6" s="181">
        <f t="shared" si="0"/>
        <v>92.86666666666666</v>
      </c>
      <c r="K6" s="190">
        <v>92.666666666666671</v>
      </c>
      <c r="L6" s="190">
        <v>89.333333333333329</v>
      </c>
      <c r="M6" s="190">
        <v>101</v>
      </c>
      <c r="N6" s="149">
        <v>92.333333333333329</v>
      </c>
      <c r="O6" s="182">
        <v>89</v>
      </c>
      <c r="P6" s="70"/>
      <c r="Q6" s="70"/>
      <c r="R6" s="70"/>
      <c r="S6" s="70"/>
      <c r="T6" s="70"/>
      <c r="U6" s="70"/>
      <c r="V6" s="70"/>
    </row>
    <row r="7" spans="1:22" ht="33" customHeight="1">
      <c r="A7" s="339"/>
      <c r="B7" s="187" t="s">
        <v>21</v>
      </c>
      <c r="C7" s="191" t="s">
        <v>180</v>
      </c>
      <c r="D7" s="191"/>
      <c r="E7" s="192"/>
      <c r="F7" s="192" t="s">
        <v>181</v>
      </c>
      <c r="G7" s="34"/>
      <c r="H7" s="34"/>
      <c r="I7" s="34"/>
      <c r="J7" s="181">
        <f t="shared" si="0"/>
        <v>97.2</v>
      </c>
      <c r="K7" s="193">
        <v>100</v>
      </c>
      <c r="L7" s="193">
        <v>92</v>
      </c>
      <c r="M7" s="193">
        <v>100</v>
      </c>
      <c r="N7" s="94">
        <v>97</v>
      </c>
      <c r="O7" s="94">
        <v>97</v>
      </c>
      <c r="P7" s="72"/>
      <c r="Q7" s="72"/>
      <c r="R7" s="72"/>
      <c r="S7" s="72"/>
      <c r="T7" s="72"/>
      <c r="U7" s="72"/>
      <c r="V7" s="72"/>
    </row>
    <row r="8" spans="1:22" ht="87">
      <c r="A8" s="340" t="s">
        <v>26</v>
      </c>
      <c r="B8" s="194" t="s">
        <v>182</v>
      </c>
      <c r="C8" s="195" t="s">
        <v>183</v>
      </c>
      <c r="D8" s="195" t="s">
        <v>184</v>
      </c>
      <c r="E8" s="196"/>
      <c r="F8" s="196" t="s">
        <v>185</v>
      </c>
      <c r="G8" s="34"/>
      <c r="H8" s="321" t="s">
        <v>186</v>
      </c>
      <c r="I8" s="170"/>
      <c r="J8" s="181">
        <f t="shared" si="0"/>
        <v>0</v>
      </c>
      <c r="K8" s="34">
        <v>0</v>
      </c>
      <c r="L8" s="34">
        <v>0</v>
      </c>
      <c r="M8" s="34">
        <v>0</v>
      </c>
      <c r="N8" s="34">
        <v>0</v>
      </c>
      <c r="O8" s="34">
        <v>0</v>
      </c>
      <c r="P8" s="72"/>
      <c r="Q8" s="72"/>
      <c r="R8" s="72"/>
      <c r="S8" s="72"/>
      <c r="T8" s="72"/>
      <c r="U8" s="72"/>
      <c r="V8" s="72"/>
    </row>
    <row r="9" spans="1:22" ht="87">
      <c r="A9" s="341"/>
      <c r="B9" s="194" t="s">
        <v>187</v>
      </c>
      <c r="C9" s="195" t="s">
        <v>188</v>
      </c>
      <c r="D9" s="195" t="s">
        <v>189</v>
      </c>
      <c r="E9" s="196"/>
      <c r="F9" s="196" t="s">
        <v>190</v>
      </c>
      <c r="G9" s="34"/>
      <c r="H9" s="322"/>
      <c r="I9" s="7"/>
      <c r="J9" s="181">
        <f t="shared" si="0"/>
        <v>0</v>
      </c>
      <c r="K9" s="34">
        <v>0</v>
      </c>
      <c r="L9" s="34">
        <v>0</v>
      </c>
      <c r="M9" s="34">
        <v>0</v>
      </c>
      <c r="N9" s="34">
        <v>0</v>
      </c>
      <c r="O9" s="34">
        <v>0</v>
      </c>
      <c r="P9" s="72"/>
      <c r="Q9" s="72"/>
      <c r="R9" s="72"/>
      <c r="S9" s="72"/>
      <c r="T9" s="72"/>
      <c r="U9" s="72"/>
      <c r="V9" s="72"/>
    </row>
    <row r="10" spans="1:22" ht="72.599999999999994">
      <c r="A10" s="342"/>
      <c r="B10" s="194" t="s">
        <v>144</v>
      </c>
      <c r="C10" s="195" t="s">
        <v>191</v>
      </c>
      <c r="D10" s="195" t="s">
        <v>192</v>
      </c>
      <c r="E10" s="196"/>
      <c r="F10" s="196" t="s">
        <v>193</v>
      </c>
      <c r="G10" s="13"/>
      <c r="H10" s="34"/>
      <c r="I10" s="34"/>
      <c r="J10" s="181">
        <f t="shared" si="0"/>
        <v>0</v>
      </c>
      <c r="K10" s="34">
        <v>0</v>
      </c>
      <c r="L10" s="34">
        <v>0</v>
      </c>
      <c r="M10" s="34">
        <v>0</v>
      </c>
      <c r="N10" s="34">
        <v>0</v>
      </c>
      <c r="O10" s="34">
        <v>0</v>
      </c>
      <c r="P10" s="72"/>
      <c r="Q10" s="72"/>
      <c r="R10" s="72"/>
      <c r="S10" s="72"/>
      <c r="T10" s="72"/>
      <c r="U10" s="72"/>
      <c r="V10" s="72"/>
    </row>
    <row r="11" spans="1:22" ht="57.95">
      <c r="A11" s="171" t="s">
        <v>84</v>
      </c>
      <c r="B11" s="129" t="s">
        <v>30</v>
      </c>
      <c r="C11" s="197" t="s">
        <v>194</v>
      </c>
      <c r="D11" s="197" t="s">
        <v>195</v>
      </c>
      <c r="E11" s="198"/>
      <c r="F11" s="198" t="s">
        <v>196</v>
      </c>
      <c r="G11" s="34"/>
      <c r="H11" s="34"/>
      <c r="I11" s="34"/>
      <c r="J11" s="181">
        <f>SUM(K11:O11)</f>
        <v>4.63</v>
      </c>
      <c r="K11" s="34">
        <v>0</v>
      </c>
      <c r="L11" s="34">
        <v>0</v>
      </c>
      <c r="M11" s="34">
        <v>0</v>
      </c>
      <c r="N11" s="34">
        <v>0</v>
      </c>
      <c r="O11" s="34">
        <v>4.63</v>
      </c>
      <c r="P11" s="72"/>
      <c r="Q11" s="72"/>
      <c r="R11" s="72"/>
      <c r="S11" s="72"/>
      <c r="T11" s="72"/>
      <c r="U11" s="72"/>
      <c r="V11" s="72"/>
    </row>
    <row r="12" spans="1:22" ht="43.5">
      <c r="A12" s="327" t="s">
        <v>31</v>
      </c>
      <c r="B12" s="199" t="s">
        <v>32</v>
      </c>
      <c r="C12" s="200" t="s">
        <v>197</v>
      </c>
      <c r="D12" s="200" t="s">
        <v>198</v>
      </c>
      <c r="E12" s="201"/>
      <c r="F12" s="202">
        <v>0.83499999999999996</v>
      </c>
      <c r="G12" s="34"/>
      <c r="H12" s="34"/>
      <c r="I12" s="34"/>
      <c r="J12" s="181">
        <f>AVERAGE(K12:O12)</f>
        <v>82.56</v>
      </c>
      <c r="K12" s="193">
        <v>87</v>
      </c>
      <c r="L12" s="193">
        <v>79</v>
      </c>
      <c r="M12" s="203">
        <v>83</v>
      </c>
      <c r="N12" s="34">
        <v>76.8</v>
      </c>
      <c r="O12" s="182">
        <v>87</v>
      </c>
      <c r="P12" s="72"/>
      <c r="Q12" s="72"/>
      <c r="R12" s="72"/>
      <c r="S12" s="72"/>
      <c r="T12" s="72"/>
      <c r="U12" s="72"/>
      <c r="V12" s="72"/>
    </row>
    <row r="13" spans="1:22" ht="101.45">
      <c r="A13" s="327"/>
      <c r="B13" s="199" t="s">
        <v>33</v>
      </c>
      <c r="C13" s="200" t="s">
        <v>199</v>
      </c>
      <c r="D13" s="200" t="s">
        <v>200</v>
      </c>
      <c r="E13" s="201"/>
      <c r="F13" s="201" t="s">
        <v>201</v>
      </c>
      <c r="G13" s="34"/>
      <c r="H13" s="34"/>
      <c r="I13" s="34"/>
      <c r="J13" s="181">
        <f>SUM(K13:O13)</f>
        <v>0.4</v>
      </c>
      <c r="K13" s="193">
        <v>0</v>
      </c>
      <c r="L13" s="193">
        <v>0</v>
      </c>
      <c r="M13" s="34">
        <v>0.4</v>
      </c>
      <c r="N13" s="34">
        <v>0</v>
      </c>
      <c r="O13" s="34">
        <v>0</v>
      </c>
      <c r="P13" s="72"/>
      <c r="Q13" s="72"/>
      <c r="R13" s="72"/>
      <c r="S13" s="72"/>
      <c r="T13" s="72"/>
      <c r="U13" s="72"/>
      <c r="V13" s="72"/>
    </row>
    <row r="14" spans="1:22" ht="101.45">
      <c r="A14" s="328" t="s">
        <v>34</v>
      </c>
      <c r="B14" s="130" t="s">
        <v>35</v>
      </c>
      <c r="C14" s="204" t="s">
        <v>202</v>
      </c>
      <c r="D14" s="204" t="s">
        <v>203</v>
      </c>
      <c r="E14" s="205"/>
      <c r="F14" s="205">
        <v>2</v>
      </c>
      <c r="G14" s="34"/>
      <c r="H14" s="34"/>
      <c r="I14" s="34"/>
      <c r="J14" s="181">
        <f t="shared" ref="J14:J16" si="1">AVERAGE(K14:O14)</f>
        <v>0</v>
      </c>
      <c r="K14" s="34">
        <v>0</v>
      </c>
      <c r="L14" s="34">
        <v>0</v>
      </c>
      <c r="M14" s="34">
        <v>0</v>
      </c>
      <c r="N14" s="34">
        <v>0</v>
      </c>
      <c r="O14" s="34">
        <v>0</v>
      </c>
      <c r="P14" s="72"/>
      <c r="Q14" s="72"/>
      <c r="R14" s="72"/>
      <c r="S14" s="72"/>
      <c r="T14" s="72"/>
      <c r="U14" s="72"/>
      <c r="V14" s="72"/>
    </row>
    <row r="15" spans="1:22" ht="57.95">
      <c r="A15" s="328"/>
      <c r="B15" s="130" t="s">
        <v>37</v>
      </c>
      <c r="C15" s="204" t="s">
        <v>204</v>
      </c>
      <c r="D15" s="204" t="s">
        <v>205</v>
      </c>
      <c r="E15" s="205"/>
      <c r="F15" s="205">
        <v>2</v>
      </c>
      <c r="G15" s="34"/>
      <c r="H15" s="34"/>
      <c r="I15" s="34"/>
      <c r="J15" s="181">
        <f t="shared" si="1"/>
        <v>0</v>
      </c>
      <c r="K15" s="34">
        <v>0</v>
      </c>
      <c r="L15" s="34">
        <v>0</v>
      </c>
      <c r="M15" s="34">
        <v>0</v>
      </c>
      <c r="N15" s="34">
        <v>0</v>
      </c>
      <c r="O15" s="34">
        <v>0</v>
      </c>
      <c r="P15" s="72"/>
      <c r="Q15" s="72"/>
      <c r="R15" s="72"/>
      <c r="S15" s="72"/>
      <c r="T15" s="72"/>
      <c r="U15" s="72"/>
      <c r="V15" s="72"/>
    </row>
    <row r="16" spans="1:22" ht="159.6">
      <c r="A16" s="20" t="s">
        <v>38</v>
      </c>
      <c r="B16" s="131" t="s">
        <v>39</v>
      </c>
      <c r="C16" s="206" t="s">
        <v>206</v>
      </c>
      <c r="D16" s="206" t="s">
        <v>207</v>
      </c>
      <c r="E16" s="207"/>
      <c r="F16" s="207">
        <v>4</v>
      </c>
      <c r="G16" s="34"/>
      <c r="H16" s="34"/>
      <c r="I16" s="34"/>
      <c r="J16" s="181">
        <f t="shared" si="1"/>
        <v>0</v>
      </c>
      <c r="K16" s="34">
        <v>0</v>
      </c>
      <c r="L16" s="34">
        <v>0</v>
      </c>
      <c r="M16" s="34">
        <v>0</v>
      </c>
      <c r="N16" s="34">
        <v>0</v>
      </c>
      <c r="O16" s="34">
        <v>0</v>
      </c>
      <c r="P16" s="72"/>
      <c r="Q16" s="72"/>
      <c r="R16" s="72"/>
      <c r="S16" s="72"/>
      <c r="T16" s="72"/>
      <c r="U16" s="72"/>
      <c r="V16" s="72"/>
    </row>
  </sheetData>
  <mergeCells count="15">
    <mergeCell ref="A12:A13"/>
    <mergeCell ref="A14:A15"/>
    <mergeCell ref="G1:G2"/>
    <mergeCell ref="H1:H2"/>
    <mergeCell ref="J1:V1"/>
    <mergeCell ref="A3:A5"/>
    <mergeCell ref="A6:A7"/>
    <mergeCell ref="A8:A10"/>
    <mergeCell ref="H8:H9"/>
    <mergeCell ref="A1:A2"/>
    <mergeCell ref="B1:B2"/>
    <mergeCell ref="C1:C2"/>
    <mergeCell ref="D1:D2"/>
    <mergeCell ref="E1:E2"/>
    <mergeCell ref="F1:F2"/>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F8C42-D33C-461A-8429-D9896359F976}">
  <dimension ref="A1:AG18"/>
  <sheetViews>
    <sheetView showGridLines="0" zoomScale="80" zoomScaleNormal="80" workbookViewId="0">
      <pane xSplit="3" ySplit="2" topLeftCell="G7" activePane="bottomRight" state="frozen"/>
      <selection pane="bottomRight" activeCell="K3" sqref="A3:XFD7"/>
      <selection pane="bottomLeft" activeCell="A3" sqref="A3"/>
      <selection pane="topRight" activeCell="D1" sqref="D1"/>
    </sheetView>
  </sheetViews>
  <sheetFormatPr defaultColWidth="9.140625" defaultRowHeight="15.95"/>
  <cols>
    <col min="1" max="1" width="27.85546875" style="172" bestFit="1" customWidth="1"/>
    <col min="2" max="2" width="37.85546875" style="172" customWidth="1"/>
    <col min="3" max="3" width="10.5703125" style="172" customWidth="1"/>
    <col min="4" max="4" width="50.5703125" style="172" customWidth="1"/>
    <col min="5" max="5" width="37.85546875" style="172" customWidth="1"/>
    <col min="6" max="6" width="15.5703125" style="172" customWidth="1"/>
    <col min="7" max="7" width="35.5703125" style="172" customWidth="1"/>
    <col min="8" max="9" width="15.5703125" style="172" customWidth="1"/>
    <col min="10" max="10" width="20.5703125" style="172" hidden="1" customWidth="1"/>
    <col min="11" max="11" width="10.5703125" style="172" customWidth="1"/>
    <col min="12" max="12" width="20.5703125" style="172" hidden="1" customWidth="1"/>
    <col min="13" max="13" width="10.5703125" style="172" customWidth="1"/>
    <col min="14" max="14" width="20.5703125" style="172" hidden="1" customWidth="1"/>
    <col min="15" max="15" width="10.5703125" style="172" customWidth="1"/>
    <col min="16" max="16" width="20.5703125" style="172" hidden="1" customWidth="1"/>
    <col min="17" max="17" width="10.5703125" style="172" customWidth="1"/>
    <col min="18" max="18" width="20.5703125" style="172" hidden="1" customWidth="1"/>
    <col min="19" max="19" width="10.5703125" style="172" customWidth="1"/>
    <col min="20" max="20" width="20.5703125" style="172" hidden="1" customWidth="1"/>
    <col min="21" max="21" width="10.5703125" style="172" customWidth="1"/>
    <col min="22" max="22" width="20.5703125" style="172" hidden="1" customWidth="1"/>
    <col min="23" max="23" width="10.5703125" style="172" hidden="1" customWidth="1"/>
    <col min="24" max="24" width="20.5703125" style="172" hidden="1" customWidth="1"/>
    <col min="25" max="25" width="10.5703125" style="172" hidden="1" customWidth="1"/>
    <col min="26" max="26" width="20.5703125" style="172" hidden="1" customWidth="1"/>
    <col min="27" max="27" width="10.5703125" style="172" hidden="1" customWidth="1"/>
    <col min="28" max="28" width="20.5703125" style="172" hidden="1" customWidth="1"/>
    <col min="29" max="29" width="10.5703125" style="172" hidden="1" customWidth="1"/>
    <col min="30" max="30" width="20.5703125" style="172" hidden="1" customWidth="1"/>
    <col min="31" max="31" width="10.5703125" style="172" hidden="1" customWidth="1"/>
    <col min="32" max="32" width="20.5703125" style="172" hidden="1" customWidth="1"/>
    <col min="33" max="33" width="10.5703125" style="172" hidden="1" customWidth="1"/>
    <col min="34" max="16384" width="9.140625" style="172"/>
  </cols>
  <sheetData>
    <row r="1" spans="1:33" ht="20.100000000000001" customHeight="1">
      <c r="A1" s="279" t="s">
        <v>42</v>
      </c>
      <c r="B1" s="279" t="s">
        <v>45</v>
      </c>
      <c r="C1" s="280" t="s">
        <v>96</v>
      </c>
      <c r="D1" s="279" t="s">
        <v>97</v>
      </c>
      <c r="E1" s="279" t="s">
        <v>14</v>
      </c>
      <c r="F1" s="279" t="s">
        <v>98</v>
      </c>
      <c r="G1" s="279" t="s">
        <v>99</v>
      </c>
      <c r="H1" s="279" t="s">
        <v>100</v>
      </c>
      <c r="I1" s="210" t="s">
        <v>7</v>
      </c>
      <c r="J1" s="268">
        <v>45839</v>
      </c>
      <c r="K1" s="268"/>
      <c r="L1" s="268">
        <v>45870</v>
      </c>
      <c r="M1" s="268"/>
      <c r="N1" s="268">
        <v>45901</v>
      </c>
      <c r="O1" s="268"/>
      <c r="P1" s="268">
        <v>45931</v>
      </c>
      <c r="Q1" s="268"/>
      <c r="R1" s="268">
        <v>45962</v>
      </c>
      <c r="S1" s="268"/>
      <c r="T1" s="268">
        <v>45992</v>
      </c>
      <c r="U1" s="268"/>
      <c r="V1" s="268">
        <v>46023</v>
      </c>
      <c r="W1" s="268"/>
      <c r="X1" s="268">
        <v>46054</v>
      </c>
      <c r="Y1" s="268"/>
      <c r="Z1" s="268">
        <v>46082</v>
      </c>
      <c r="AA1" s="268"/>
      <c r="AB1" s="268">
        <v>46113</v>
      </c>
      <c r="AC1" s="268"/>
      <c r="AD1" s="268">
        <v>46143</v>
      </c>
      <c r="AE1" s="268"/>
      <c r="AF1" s="268">
        <v>46174</v>
      </c>
      <c r="AG1" s="268"/>
    </row>
    <row r="2" spans="1:33" ht="20.100000000000001" customHeight="1">
      <c r="A2" s="280"/>
      <c r="B2" s="280"/>
      <c r="C2" s="281"/>
      <c r="D2" s="280"/>
      <c r="E2" s="280"/>
      <c r="F2" s="280"/>
      <c r="G2" s="280"/>
      <c r="H2" s="280"/>
      <c r="I2" s="211" t="s">
        <v>7</v>
      </c>
      <c r="J2" s="212" t="s">
        <v>14</v>
      </c>
      <c r="K2" s="212" t="s">
        <v>101</v>
      </c>
      <c r="L2" s="212" t="s">
        <v>14</v>
      </c>
      <c r="M2" s="212" t="s">
        <v>101</v>
      </c>
      <c r="N2" s="212" t="s">
        <v>14</v>
      </c>
      <c r="O2" s="212" t="s">
        <v>101</v>
      </c>
      <c r="P2" s="212" t="s">
        <v>14</v>
      </c>
      <c r="Q2" s="212" t="s">
        <v>101</v>
      </c>
      <c r="R2" s="212" t="s">
        <v>14</v>
      </c>
      <c r="S2" s="212" t="s">
        <v>101</v>
      </c>
      <c r="T2" s="212" t="s">
        <v>14</v>
      </c>
      <c r="U2" s="212" t="s">
        <v>101</v>
      </c>
      <c r="V2" s="212" t="s">
        <v>14</v>
      </c>
      <c r="W2" s="212" t="s">
        <v>101</v>
      </c>
      <c r="X2" s="212" t="s">
        <v>14</v>
      </c>
      <c r="Y2" s="212" t="s">
        <v>101</v>
      </c>
      <c r="Z2" s="212" t="s">
        <v>14</v>
      </c>
      <c r="AA2" s="212" t="s">
        <v>101</v>
      </c>
      <c r="AB2" s="212" t="s">
        <v>14</v>
      </c>
      <c r="AC2" s="212" t="s">
        <v>101</v>
      </c>
      <c r="AD2" s="212" t="s">
        <v>14</v>
      </c>
      <c r="AE2" s="212" t="s">
        <v>101</v>
      </c>
      <c r="AF2" s="212" t="s">
        <v>14</v>
      </c>
      <c r="AG2" s="212" t="s">
        <v>101</v>
      </c>
    </row>
    <row r="3" spans="1:33">
      <c r="A3" s="269" t="s">
        <v>48</v>
      </c>
      <c r="B3" s="213" t="s">
        <v>16</v>
      </c>
      <c r="C3" s="214" t="s">
        <v>102</v>
      </c>
      <c r="D3" s="215" t="s">
        <v>208</v>
      </c>
      <c r="E3" s="215" t="s">
        <v>171</v>
      </c>
      <c r="F3" s="216"/>
      <c r="G3" s="235">
        <v>90</v>
      </c>
      <c r="H3" s="235">
        <v>95</v>
      </c>
      <c r="I3" s="238">
        <f t="shared" ref="I3:I10" si="0">AVERAGE(K3:U3)</f>
        <v>98.5</v>
      </c>
      <c r="J3" s="216"/>
      <c r="K3" s="219">
        <v>98</v>
      </c>
      <c r="L3" s="216"/>
      <c r="M3" s="219">
        <v>100</v>
      </c>
      <c r="N3" s="216"/>
      <c r="O3" s="219">
        <v>99</v>
      </c>
      <c r="P3" s="216"/>
      <c r="Q3" s="219">
        <v>99</v>
      </c>
      <c r="R3" s="216"/>
      <c r="S3" s="219">
        <v>96</v>
      </c>
      <c r="T3" s="216"/>
      <c r="U3" s="219">
        <v>99</v>
      </c>
      <c r="V3" s="216"/>
      <c r="W3" s="219"/>
      <c r="X3" s="216"/>
      <c r="Y3" s="219"/>
      <c r="Z3" s="216"/>
      <c r="AA3" s="219"/>
      <c r="AB3" s="216"/>
      <c r="AC3" s="219"/>
      <c r="AD3" s="216"/>
      <c r="AE3" s="219"/>
      <c r="AF3" s="216"/>
      <c r="AG3" s="219"/>
    </row>
    <row r="4" spans="1:33">
      <c r="A4" s="270"/>
      <c r="B4" s="213" t="s">
        <v>17</v>
      </c>
      <c r="C4" s="214" t="s">
        <v>102</v>
      </c>
      <c r="D4" s="215" t="s">
        <v>208</v>
      </c>
      <c r="E4" s="215" t="s">
        <v>174</v>
      </c>
      <c r="F4" s="216"/>
      <c r="G4" s="235">
        <v>90</v>
      </c>
      <c r="H4" s="235">
        <v>95</v>
      </c>
      <c r="I4" s="238">
        <f t="shared" si="0"/>
        <v>98.833333333333329</v>
      </c>
      <c r="J4" s="216"/>
      <c r="K4" s="220">
        <v>99</v>
      </c>
      <c r="L4" s="216"/>
      <c r="M4" s="219">
        <v>98</v>
      </c>
      <c r="N4" s="216"/>
      <c r="O4" s="219">
        <v>99</v>
      </c>
      <c r="P4" s="216"/>
      <c r="Q4" s="219">
        <v>100</v>
      </c>
      <c r="R4" s="216"/>
      <c r="S4" s="219">
        <v>100</v>
      </c>
      <c r="T4" s="216"/>
      <c r="U4" s="219">
        <v>97</v>
      </c>
      <c r="V4" s="216"/>
      <c r="W4" s="219"/>
      <c r="X4" s="216"/>
      <c r="Y4" s="219"/>
      <c r="Z4" s="216"/>
      <c r="AA4" s="219"/>
      <c r="AB4" s="216"/>
      <c r="AC4" s="219"/>
      <c r="AD4" s="216"/>
      <c r="AE4" s="219"/>
      <c r="AF4" s="216"/>
      <c r="AG4" s="219"/>
    </row>
    <row r="5" spans="1:33">
      <c r="A5" s="271"/>
      <c r="B5" s="213" t="s">
        <v>112</v>
      </c>
      <c r="C5" s="214" t="s">
        <v>102</v>
      </c>
      <c r="D5" s="216" t="s">
        <v>175</v>
      </c>
      <c r="E5" s="215" t="s">
        <v>176</v>
      </c>
      <c r="F5" s="216"/>
      <c r="G5" s="235">
        <v>90</v>
      </c>
      <c r="H5" s="235">
        <v>92</v>
      </c>
      <c r="I5" s="238">
        <f t="shared" si="0"/>
        <v>99.833333333333329</v>
      </c>
      <c r="J5" s="216"/>
      <c r="K5" s="219">
        <v>99</v>
      </c>
      <c r="L5" s="216"/>
      <c r="M5" s="219">
        <v>100</v>
      </c>
      <c r="N5" s="216"/>
      <c r="O5" s="219">
        <v>100</v>
      </c>
      <c r="P5" s="216"/>
      <c r="Q5" s="219">
        <v>100</v>
      </c>
      <c r="R5" s="216"/>
      <c r="S5" s="219">
        <v>100</v>
      </c>
      <c r="T5" s="216"/>
      <c r="U5" s="219">
        <v>100</v>
      </c>
      <c r="V5" s="216"/>
      <c r="W5" s="219"/>
      <c r="X5" s="216"/>
      <c r="Y5" s="219"/>
      <c r="Z5" s="216"/>
      <c r="AA5" s="219"/>
      <c r="AB5" s="216"/>
      <c r="AC5" s="219"/>
      <c r="AD5" s="216"/>
      <c r="AE5" s="219"/>
      <c r="AF5" s="216"/>
      <c r="AG5" s="219"/>
    </row>
    <row r="6" spans="1:33">
      <c r="A6" s="272" t="s">
        <v>19</v>
      </c>
      <c r="B6" s="221" t="s">
        <v>20</v>
      </c>
      <c r="C6" s="222" t="s">
        <v>102</v>
      </c>
      <c r="D6" s="216" t="s">
        <v>177</v>
      </c>
      <c r="E6" s="215" t="s">
        <v>178</v>
      </c>
      <c r="F6" s="216"/>
      <c r="G6" s="215" t="s">
        <v>179</v>
      </c>
      <c r="H6" s="218">
        <v>90</v>
      </c>
      <c r="I6" s="238">
        <f t="shared" si="0"/>
        <v>84.166666666666671</v>
      </c>
      <c r="J6" s="216"/>
      <c r="K6" s="236">
        <v>89</v>
      </c>
      <c r="L6" s="237"/>
      <c r="M6" s="236">
        <v>75</v>
      </c>
      <c r="N6" s="237"/>
      <c r="O6" s="236">
        <v>88</v>
      </c>
      <c r="P6" s="237"/>
      <c r="Q6" s="236">
        <v>88</v>
      </c>
      <c r="R6" s="216"/>
      <c r="S6" s="219">
        <v>89</v>
      </c>
      <c r="T6" s="216"/>
      <c r="U6" s="219">
        <v>76</v>
      </c>
      <c r="V6" s="216"/>
      <c r="W6" s="219"/>
      <c r="X6" s="216"/>
      <c r="Y6" s="219"/>
      <c r="Z6" s="216"/>
      <c r="AA6" s="219"/>
      <c r="AB6" s="216"/>
      <c r="AC6" s="219"/>
      <c r="AD6" s="216"/>
      <c r="AE6" s="219"/>
      <c r="AF6" s="216"/>
      <c r="AG6" s="219"/>
    </row>
    <row r="7" spans="1:33">
      <c r="A7" s="273"/>
      <c r="B7" s="221" t="s">
        <v>21</v>
      </c>
      <c r="C7" s="222" t="s">
        <v>102</v>
      </c>
      <c r="D7" s="216" t="s">
        <v>180</v>
      </c>
      <c r="E7" s="215" t="s">
        <v>104</v>
      </c>
      <c r="F7" s="216"/>
      <c r="G7" s="215" t="s">
        <v>181</v>
      </c>
      <c r="H7" s="218">
        <v>95</v>
      </c>
      <c r="I7" s="238">
        <f t="shared" si="0"/>
        <v>97.666666666666671</v>
      </c>
      <c r="J7" s="216"/>
      <c r="K7" s="219">
        <v>100</v>
      </c>
      <c r="L7" s="216"/>
      <c r="M7" s="219">
        <v>92</v>
      </c>
      <c r="N7" s="216"/>
      <c r="O7" s="219">
        <v>100</v>
      </c>
      <c r="P7" s="216"/>
      <c r="Q7" s="219">
        <v>97</v>
      </c>
      <c r="R7" s="216"/>
      <c r="S7" s="219">
        <v>97</v>
      </c>
      <c r="T7" s="216"/>
      <c r="U7" s="219">
        <v>100</v>
      </c>
      <c r="V7" s="216"/>
      <c r="W7" s="219"/>
      <c r="X7" s="216"/>
      <c r="Y7" s="219"/>
      <c r="Z7" s="216"/>
      <c r="AA7" s="219"/>
      <c r="AB7" s="216"/>
      <c r="AC7" s="219"/>
      <c r="AD7" s="216"/>
      <c r="AE7" s="219"/>
      <c r="AF7" s="216"/>
      <c r="AG7" s="219"/>
    </row>
    <row r="8" spans="1:33">
      <c r="A8" s="274" t="s">
        <v>71</v>
      </c>
      <c r="B8" s="223" t="s">
        <v>182</v>
      </c>
      <c r="C8" s="224" t="s">
        <v>102</v>
      </c>
      <c r="D8" s="215" t="s">
        <v>183</v>
      </c>
      <c r="E8" s="215" t="s">
        <v>184</v>
      </c>
      <c r="F8" s="216"/>
      <c r="G8" s="215" t="s">
        <v>185</v>
      </c>
      <c r="H8" s="216" t="s">
        <v>104</v>
      </c>
      <c r="I8" s="238">
        <f t="shared" si="0"/>
        <v>0</v>
      </c>
      <c r="J8" s="216"/>
      <c r="K8" s="219">
        <v>0</v>
      </c>
      <c r="L8" s="216"/>
      <c r="M8" s="219">
        <v>0</v>
      </c>
      <c r="N8" s="216"/>
      <c r="O8" s="219">
        <v>0</v>
      </c>
      <c r="P8" s="216"/>
      <c r="Q8" s="219">
        <v>0</v>
      </c>
      <c r="R8" s="216"/>
      <c r="S8" s="219">
        <v>0</v>
      </c>
      <c r="T8" s="216"/>
      <c r="U8" s="219">
        <v>0</v>
      </c>
      <c r="V8" s="216"/>
      <c r="W8" s="219"/>
      <c r="X8" s="216"/>
      <c r="Y8" s="219"/>
      <c r="Z8" s="216"/>
      <c r="AA8" s="219"/>
      <c r="AB8" s="216"/>
      <c r="AC8" s="219"/>
      <c r="AD8" s="216"/>
      <c r="AE8" s="219"/>
      <c r="AF8" s="216"/>
      <c r="AG8" s="219"/>
    </row>
    <row r="9" spans="1:33">
      <c r="A9" s="275"/>
      <c r="B9" s="223" t="s">
        <v>132</v>
      </c>
      <c r="C9" s="224" t="s">
        <v>102</v>
      </c>
      <c r="D9" s="215" t="s">
        <v>188</v>
      </c>
      <c r="E9" s="215" t="s">
        <v>189</v>
      </c>
      <c r="F9" s="216"/>
      <c r="G9" s="215" t="s">
        <v>190</v>
      </c>
      <c r="H9" s="216" t="s">
        <v>104</v>
      </c>
      <c r="I9" s="238">
        <f t="shared" si="0"/>
        <v>0</v>
      </c>
      <c r="J9" s="216"/>
      <c r="K9" s="219">
        <v>0</v>
      </c>
      <c r="L9" s="216"/>
      <c r="M9" s="219">
        <v>0</v>
      </c>
      <c r="N9" s="216"/>
      <c r="O9" s="219">
        <v>0</v>
      </c>
      <c r="P9" s="216"/>
      <c r="Q9" s="219">
        <v>0</v>
      </c>
      <c r="R9" s="216"/>
      <c r="S9" s="219">
        <v>0</v>
      </c>
      <c r="T9" s="216"/>
      <c r="U9" s="219">
        <v>0</v>
      </c>
      <c r="V9" s="216"/>
      <c r="W9" s="219"/>
      <c r="X9" s="216"/>
      <c r="Y9" s="219"/>
      <c r="Z9" s="216"/>
      <c r="AA9" s="219"/>
      <c r="AB9" s="216"/>
      <c r="AC9" s="219"/>
      <c r="AD9" s="216"/>
      <c r="AE9" s="219"/>
      <c r="AF9" s="216"/>
      <c r="AG9" s="219"/>
    </row>
    <row r="10" spans="1:33">
      <c r="A10" s="275"/>
      <c r="B10" s="223" t="s">
        <v>144</v>
      </c>
      <c r="C10" s="224" t="s">
        <v>102</v>
      </c>
      <c r="D10" s="215" t="s">
        <v>191</v>
      </c>
      <c r="E10" s="215" t="s">
        <v>192</v>
      </c>
      <c r="F10" s="216"/>
      <c r="G10" s="216" t="s">
        <v>193</v>
      </c>
      <c r="H10" s="216" t="s">
        <v>104</v>
      </c>
      <c r="I10" s="238">
        <f t="shared" si="0"/>
        <v>0</v>
      </c>
      <c r="J10" s="216"/>
      <c r="K10" s="219">
        <v>0</v>
      </c>
      <c r="L10" s="216"/>
      <c r="M10" s="219">
        <v>0</v>
      </c>
      <c r="N10" s="216"/>
      <c r="O10" s="219">
        <v>0</v>
      </c>
      <c r="P10" s="216"/>
      <c r="Q10" s="219">
        <v>0</v>
      </c>
      <c r="R10" s="216"/>
      <c r="S10" s="219">
        <v>0</v>
      </c>
      <c r="T10" s="216"/>
      <c r="U10" s="219">
        <v>0</v>
      </c>
      <c r="V10" s="216"/>
      <c r="W10" s="219"/>
      <c r="X10" s="216"/>
      <c r="Y10" s="219"/>
      <c r="Z10" s="216"/>
      <c r="AA10" s="219"/>
      <c r="AB10" s="216"/>
      <c r="AC10" s="219"/>
      <c r="AD10" s="216"/>
      <c r="AE10" s="219"/>
      <c r="AF10" s="216"/>
      <c r="AG10" s="219"/>
    </row>
    <row r="11" spans="1:33" ht="20.100000000000001" customHeight="1">
      <c r="A11" s="276"/>
      <c r="B11" s="223" t="s">
        <v>139</v>
      </c>
      <c r="C11" s="224" t="s">
        <v>131</v>
      </c>
      <c r="D11" s="215" t="s">
        <v>104</v>
      </c>
      <c r="E11" s="215" t="s">
        <v>104</v>
      </c>
      <c r="F11" s="215" t="s">
        <v>104</v>
      </c>
      <c r="G11" s="215" t="s">
        <v>104</v>
      </c>
      <c r="H11" s="215" t="s">
        <v>104</v>
      </c>
      <c r="I11" s="215"/>
      <c r="J11" s="216"/>
      <c r="K11" s="215" t="s">
        <v>104</v>
      </c>
      <c r="L11" s="216"/>
      <c r="M11" s="215" t="s">
        <v>104</v>
      </c>
      <c r="N11" s="216"/>
      <c r="O11" s="215" t="s">
        <v>104</v>
      </c>
      <c r="P11" s="216"/>
      <c r="Q11" s="215" t="s">
        <v>104</v>
      </c>
      <c r="R11" s="216"/>
      <c r="S11" s="215" t="s">
        <v>104</v>
      </c>
      <c r="T11" s="215"/>
      <c r="U11" s="215" t="s">
        <v>104</v>
      </c>
      <c r="V11" s="215"/>
      <c r="W11" s="215" t="s">
        <v>104</v>
      </c>
      <c r="X11" s="215"/>
      <c r="Y11" s="215" t="s">
        <v>104</v>
      </c>
      <c r="Z11" s="215"/>
      <c r="AA11" s="215" t="s">
        <v>104</v>
      </c>
      <c r="AB11" s="215"/>
      <c r="AC11" s="215" t="s">
        <v>104</v>
      </c>
      <c r="AD11" s="215"/>
      <c r="AE11" s="215" t="s">
        <v>104</v>
      </c>
      <c r="AF11" s="215"/>
      <c r="AG11" s="215" t="s">
        <v>104</v>
      </c>
    </row>
    <row r="12" spans="1:33" s="173" customFormat="1" ht="20.100000000000001" customHeight="1">
      <c r="A12" s="277" t="s">
        <v>84</v>
      </c>
      <c r="B12" s="225" t="s">
        <v>145</v>
      </c>
      <c r="C12" s="226" t="s">
        <v>131</v>
      </c>
      <c r="D12" s="215" t="s">
        <v>104</v>
      </c>
      <c r="E12" s="215" t="s">
        <v>104</v>
      </c>
      <c r="F12" s="215" t="s">
        <v>104</v>
      </c>
      <c r="G12" s="215" t="s">
        <v>104</v>
      </c>
      <c r="H12" s="215" t="s">
        <v>104</v>
      </c>
      <c r="I12" s="215"/>
      <c r="J12" s="216"/>
      <c r="K12" s="215" t="s">
        <v>104</v>
      </c>
      <c r="L12" s="216"/>
      <c r="M12" s="215" t="s">
        <v>104</v>
      </c>
      <c r="N12" s="216"/>
      <c r="O12" s="215" t="s">
        <v>104</v>
      </c>
      <c r="P12" s="216"/>
      <c r="Q12" s="215" t="s">
        <v>104</v>
      </c>
      <c r="R12" s="216"/>
      <c r="S12" s="215" t="s">
        <v>104</v>
      </c>
      <c r="T12" s="215"/>
      <c r="U12" s="215" t="s">
        <v>104</v>
      </c>
      <c r="V12" s="215"/>
      <c r="W12" s="215" t="s">
        <v>104</v>
      </c>
      <c r="X12" s="215"/>
      <c r="Y12" s="215" t="s">
        <v>104</v>
      </c>
      <c r="Z12" s="215"/>
      <c r="AA12" s="215" t="s">
        <v>104</v>
      </c>
      <c r="AB12" s="215"/>
      <c r="AC12" s="215" t="s">
        <v>104</v>
      </c>
      <c r="AD12" s="215"/>
      <c r="AE12" s="215" t="s">
        <v>104</v>
      </c>
      <c r="AF12" s="215"/>
      <c r="AG12" s="215" t="s">
        <v>104</v>
      </c>
    </row>
    <row r="13" spans="1:33" s="173" customFormat="1">
      <c r="A13" s="278"/>
      <c r="B13" s="225" t="s">
        <v>30</v>
      </c>
      <c r="C13" s="226" t="s">
        <v>102</v>
      </c>
      <c r="D13" s="215" t="s">
        <v>194</v>
      </c>
      <c r="E13" s="215" t="s">
        <v>196</v>
      </c>
      <c r="F13" s="216"/>
      <c r="G13" s="215" t="s">
        <v>196</v>
      </c>
      <c r="H13" s="218">
        <v>4</v>
      </c>
      <c r="I13" s="238">
        <f>AVERAGE(K13:U13)</f>
        <v>0.92599999999999993</v>
      </c>
      <c r="J13" s="216"/>
      <c r="K13" s="219">
        <v>0</v>
      </c>
      <c r="L13" s="216"/>
      <c r="M13" s="219">
        <v>0</v>
      </c>
      <c r="N13" s="216"/>
      <c r="O13" s="219">
        <v>0</v>
      </c>
      <c r="P13" s="216"/>
      <c r="Q13" s="219">
        <v>0</v>
      </c>
      <c r="R13" s="216"/>
      <c r="S13" s="219">
        <v>4.63</v>
      </c>
      <c r="T13" s="216"/>
      <c r="U13" s="219"/>
      <c r="V13" s="216"/>
      <c r="W13" s="219"/>
      <c r="X13" s="216"/>
      <c r="Y13" s="219"/>
      <c r="Z13" s="216"/>
      <c r="AA13" s="219"/>
      <c r="AB13" s="216"/>
      <c r="AC13" s="219"/>
      <c r="AD13" s="216"/>
      <c r="AE13" s="219"/>
      <c r="AF13" s="216"/>
      <c r="AG13" s="219"/>
    </row>
    <row r="14" spans="1:33">
      <c r="A14" s="264" t="s">
        <v>90</v>
      </c>
      <c r="B14" s="227" t="s">
        <v>90</v>
      </c>
      <c r="C14" s="228" t="s">
        <v>102</v>
      </c>
      <c r="D14" s="216" t="s">
        <v>197</v>
      </c>
      <c r="E14" s="215" t="s">
        <v>198</v>
      </c>
      <c r="F14" s="216"/>
      <c r="G14" s="229">
        <v>0.75</v>
      </c>
      <c r="H14" s="229">
        <v>0.83499999999999996</v>
      </c>
      <c r="I14" s="238">
        <f>AVERAGE(K14:U14)</f>
        <v>81.644999999999996</v>
      </c>
      <c r="J14" s="216"/>
      <c r="K14" s="219">
        <v>90.85</v>
      </c>
      <c r="L14" s="216"/>
      <c r="M14" s="219">
        <v>83.09</v>
      </c>
      <c r="N14" s="216"/>
      <c r="O14" s="219">
        <v>85.87</v>
      </c>
      <c r="P14" s="216"/>
      <c r="Q14" s="219">
        <v>73.27</v>
      </c>
      <c r="R14" s="216"/>
      <c r="S14" s="219">
        <v>83.32</v>
      </c>
      <c r="T14" s="216"/>
      <c r="U14" s="219">
        <v>73.47</v>
      </c>
      <c r="V14" s="216"/>
      <c r="W14" s="219"/>
      <c r="X14" s="216"/>
      <c r="Y14" s="219"/>
      <c r="Z14" s="216"/>
      <c r="AA14" s="219"/>
      <c r="AB14" s="216"/>
      <c r="AC14" s="219"/>
      <c r="AD14" s="216"/>
      <c r="AE14" s="219"/>
      <c r="AF14" s="216"/>
      <c r="AG14" s="219"/>
    </row>
    <row r="15" spans="1:33">
      <c r="A15" s="265"/>
      <c r="B15" s="227" t="s">
        <v>149</v>
      </c>
      <c r="C15" s="228" t="s">
        <v>102</v>
      </c>
      <c r="D15" s="216" t="s">
        <v>199</v>
      </c>
      <c r="E15" s="215" t="s">
        <v>200</v>
      </c>
      <c r="F15" s="216"/>
      <c r="G15" s="230" t="s">
        <v>201</v>
      </c>
      <c r="H15" s="218"/>
      <c r="I15" s="238">
        <f>SUM(K15:S15)</f>
        <v>4</v>
      </c>
      <c r="J15" s="216"/>
      <c r="K15" s="219">
        <v>0</v>
      </c>
      <c r="L15" s="216"/>
      <c r="M15" s="219">
        <v>0</v>
      </c>
      <c r="N15" s="216"/>
      <c r="O15" s="219">
        <v>4</v>
      </c>
      <c r="P15" s="216"/>
      <c r="Q15" s="219">
        <v>0</v>
      </c>
      <c r="R15" s="216"/>
      <c r="S15" s="219">
        <v>0</v>
      </c>
      <c r="T15" s="216"/>
      <c r="U15" s="219"/>
      <c r="V15" s="216"/>
      <c r="W15" s="219"/>
      <c r="X15" s="216"/>
      <c r="Y15" s="219"/>
      <c r="Z15" s="216"/>
      <c r="AA15" s="219"/>
      <c r="AB15" s="216"/>
      <c r="AC15" s="219"/>
      <c r="AD15" s="216"/>
      <c r="AE15" s="219"/>
      <c r="AF15" s="216"/>
      <c r="AG15" s="219"/>
    </row>
    <row r="16" spans="1:33">
      <c r="A16" s="266" t="s">
        <v>34</v>
      </c>
      <c r="B16" s="231" t="s">
        <v>150</v>
      </c>
      <c r="C16" s="232" t="s">
        <v>102</v>
      </c>
      <c r="D16" s="216" t="s">
        <v>93</v>
      </c>
      <c r="E16" s="215" t="s">
        <v>203</v>
      </c>
      <c r="F16" s="216"/>
      <c r="G16" s="230">
        <v>2</v>
      </c>
      <c r="H16" s="218">
        <v>3</v>
      </c>
      <c r="I16" s="238">
        <f t="shared" ref="I16:I18" si="1">SUM(K16:S16)</f>
        <v>0</v>
      </c>
      <c r="J16" s="216"/>
      <c r="K16" s="219">
        <v>0</v>
      </c>
      <c r="L16" s="216"/>
      <c r="M16" s="219">
        <v>0</v>
      </c>
      <c r="N16" s="216"/>
      <c r="O16" s="219">
        <v>0</v>
      </c>
      <c r="P16" s="216"/>
      <c r="Q16" s="219">
        <v>0</v>
      </c>
      <c r="R16" s="216"/>
      <c r="S16" s="219">
        <v>0</v>
      </c>
      <c r="T16" s="216"/>
      <c r="U16" s="219"/>
      <c r="V16" s="216"/>
      <c r="W16" s="219"/>
      <c r="X16" s="216"/>
      <c r="Y16" s="219"/>
      <c r="Z16" s="216"/>
      <c r="AA16" s="219"/>
      <c r="AB16" s="216"/>
      <c r="AC16" s="219"/>
      <c r="AD16" s="216"/>
      <c r="AE16" s="219"/>
      <c r="AF16" s="216"/>
      <c r="AG16" s="219"/>
    </row>
    <row r="17" spans="1:33">
      <c r="A17" s="267"/>
      <c r="B17" s="231" t="s">
        <v>37</v>
      </c>
      <c r="C17" s="232" t="s">
        <v>102</v>
      </c>
      <c r="D17" s="216" t="s">
        <v>204</v>
      </c>
      <c r="E17" s="215" t="s">
        <v>205</v>
      </c>
      <c r="F17" s="216"/>
      <c r="G17" s="230">
        <v>2</v>
      </c>
      <c r="H17" s="218">
        <v>2</v>
      </c>
      <c r="I17" s="238">
        <f t="shared" si="1"/>
        <v>0</v>
      </c>
      <c r="J17" s="216"/>
      <c r="K17" s="219">
        <v>0</v>
      </c>
      <c r="L17" s="216"/>
      <c r="M17" s="219">
        <v>0</v>
      </c>
      <c r="N17" s="216"/>
      <c r="O17" s="219">
        <v>0</v>
      </c>
      <c r="P17" s="216"/>
      <c r="Q17" s="219">
        <v>0</v>
      </c>
      <c r="R17" s="216"/>
      <c r="S17" s="219">
        <v>0</v>
      </c>
      <c r="T17" s="216"/>
      <c r="U17" s="219"/>
      <c r="V17" s="216"/>
      <c r="W17" s="219"/>
      <c r="X17" s="216"/>
      <c r="Y17" s="219"/>
      <c r="Z17" s="216"/>
      <c r="AA17" s="219"/>
      <c r="AB17" s="216"/>
      <c r="AC17" s="219"/>
      <c r="AD17" s="216"/>
      <c r="AE17" s="219"/>
      <c r="AF17" s="216"/>
      <c r="AG17" s="219"/>
    </row>
    <row r="18" spans="1:33">
      <c r="A18" s="233" t="s">
        <v>38</v>
      </c>
      <c r="B18" s="233" t="s">
        <v>39</v>
      </c>
      <c r="C18" s="209" t="s">
        <v>102</v>
      </c>
      <c r="D18" s="216" t="s">
        <v>206</v>
      </c>
      <c r="E18" s="215" t="s">
        <v>207</v>
      </c>
      <c r="F18" s="216"/>
      <c r="G18" s="230">
        <v>4</v>
      </c>
      <c r="H18" s="218"/>
      <c r="I18" s="238">
        <f t="shared" si="1"/>
        <v>0</v>
      </c>
      <c r="J18" s="216"/>
      <c r="K18" s="219">
        <v>0</v>
      </c>
      <c r="L18" s="216"/>
      <c r="M18" s="219">
        <v>0</v>
      </c>
      <c r="N18" s="216"/>
      <c r="O18" s="219">
        <v>0</v>
      </c>
      <c r="P18" s="216"/>
      <c r="Q18" s="219">
        <v>0</v>
      </c>
      <c r="R18" s="216"/>
      <c r="S18" s="218">
        <v>0</v>
      </c>
      <c r="T18" s="216"/>
      <c r="U18" s="219"/>
      <c r="V18" s="216"/>
      <c r="W18" s="219"/>
      <c r="X18" s="216"/>
      <c r="Y18" s="219"/>
      <c r="Z18" s="216"/>
      <c r="AA18" s="219"/>
      <c r="AB18" s="216"/>
      <c r="AC18" s="219"/>
      <c r="AD18" s="216"/>
      <c r="AE18" s="219"/>
      <c r="AF18" s="216"/>
      <c r="AG18" s="219"/>
    </row>
  </sheetData>
  <mergeCells count="26">
    <mergeCell ref="AD1:AE1"/>
    <mergeCell ref="AF1:AG1"/>
    <mergeCell ref="A8:A11"/>
    <mergeCell ref="E1:E2"/>
    <mergeCell ref="C1:C2"/>
    <mergeCell ref="J1:K1"/>
    <mergeCell ref="L1:M1"/>
    <mergeCell ref="N1:O1"/>
    <mergeCell ref="P1:Q1"/>
    <mergeCell ref="H1:H2"/>
    <mergeCell ref="A3:A5"/>
    <mergeCell ref="A6:A7"/>
    <mergeCell ref="R1:S1"/>
    <mergeCell ref="T1:U1"/>
    <mergeCell ref="V1:W1"/>
    <mergeCell ref="A1:A2"/>
    <mergeCell ref="A14:A15"/>
    <mergeCell ref="A16:A17"/>
    <mergeCell ref="X1:Y1"/>
    <mergeCell ref="Z1:AA1"/>
    <mergeCell ref="AB1:AC1"/>
    <mergeCell ref="A12:A13"/>
    <mergeCell ref="B1:B2"/>
    <mergeCell ref="D1:D2"/>
    <mergeCell ref="F1:F2"/>
    <mergeCell ref="G1:G2"/>
  </mergeCells>
  <conditionalFormatting sqref="B3:F5 J3:AG10 B6:H10 B11:AG12 B13:H18 J13:AG18">
    <cfRule type="expression" dxfId="4" priority="10">
      <formula>$C3="No"</formula>
    </cfRule>
  </conditionalFormatting>
  <conditionalFormatting sqref="G3:I5">
    <cfRule type="expression" dxfId="3" priority="9">
      <formula>$C3="No"</formula>
    </cfRule>
  </conditionalFormatting>
  <conditionalFormatting sqref="I6:I10">
    <cfRule type="expression" dxfId="2" priority="4">
      <formula>$C6="No"</formula>
    </cfRule>
  </conditionalFormatting>
  <conditionalFormatting sqref="I13:I18">
    <cfRule type="expression" dxfId="1" priority="1">
      <formula>$C13="No"</formula>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A445D-2B13-4328-8C7F-3DC55EF250DD}">
  <dimension ref="A1:U24"/>
  <sheetViews>
    <sheetView zoomScaleNormal="100" workbookViewId="0">
      <pane xSplit="4" ySplit="2" topLeftCell="H3" activePane="bottomRight" state="frozen"/>
      <selection pane="bottomRight" activeCell="H1" sqref="H1:H2"/>
      <selection pane="bottomLeft" activeCell="A3" sqref="A3"/>
      <selection pane="topRight" activeCell="E1" sqref="E1"/>
    </sheetView>
  </sheetViews>
  <sheetFormatPr defaultColWidth="8.5703125" defaultRowHeight="15.6" customHeight="1"/>
  <cols>
    <col min="1" max="1" width="22.85546875" style="50" customWidth="1"/>
    <col min="2" max="2" width="39.5703125" style="50" customWidth="1"/>
    <col min="3" max="3" width="25.42578125" style="50" customWidth="1"/>
    <col min="4" max="4" width="54.42578125" style="50" customWidth="1"/>
    <col min="5" max="5" width="12" style="50" bestFit="1" customWidth="1"/>
    <col min="6" max="6" width="15.42578125" style="50" customWidth="1"/>
    <col min="7" max="7" width="13.42578125" style="50" customWidth="1"/>
    <col min="8" max="8" width="16" style="50" customWidth="1"/>
    <col min="9" max="14" width="11" style="50" customWidth="1"/>
    <col min="15" max="21" width="11" style="50" hidden="1" customWidth="1"/>
    <col min="22" max="22" width="0" style="50" hidden="1" customWidth="1"/>
    <col min="23" max="16384" width="8.5703125" style="50"/>
  </cols>
  <sheetData>
    <row r="1" spans="1:21" ht="16.5" thickBot="1">
      <c r="A1" s="347" t="s">
        <v>5</v>
      </c>
      <c r="B1" s="348" t="s">
        <v>6</v>
      </c>
      <c r="C1" s="348" t="s">
        <v>152</v>
      </c>
      <c r="D1" s="348" t="s">
        <v>153</v>
      </c>
      <c r="E1" s="348" t="s">
        <v>100</v>
      </c>
      <c r="F1" s="349" t="s">
        <v>154</v>
      </c>
      <c r="G1" s="347" t="s">
        <v>155</v>
      </c>
      <c r="H1" s="348" t="s">
        <v>14</v>
      </c>
      <c r="I1" s="345" t="s">
        <v>156</v>
      </c>
      <c r="J1" s="345"/>
      <c r="K1" s="345"/>
      <c r="L1" s="345"/>
      <c r="M1" s="345"/>
      <c r="N1" s="345"/>
      <c r="O1" s="345"/>
      <c r="P1" s="345"/>
      <c r="Q1" s="345"/>
      <c r="R1" s="345"/>
      <c r="S1" s="345"/>
      <c r="T1" s="345"/>
      <c r="U1" s="345"/>
    </row>
    <row r="2" spans="1:21" ht="16.5" thickBot="1">
      <c r="A2" s="347"/>
      <c r="B2" s="348"/>
      <c r="C2" s="348"/>
      <c r="D2" s="348"/>
      <c r="E2" s="348"/>
      <c r="F2" s="349"/>
      <c r="G2" s="347"/>
      <c r="H2" s="348"/>
      <c r="I2" s="51" t="s">
        <v>157</v>
      </c>
      <c r="J2" s="52" t="s">
        <v>158</v>
      </c>
      <c r="K2" s="52" t="s">
        <v>159</v>
      </c>
      <c r="L2" s="51" t="s">
        <v>160</v>
      </c>
      <c r="M2" s="51" t="s">
        <v>161</v>
      </c>
      <c r="N2" s="143" t="s">
        <v>162</v>
      </c>
      <c r="O2" s="51" t="s">
        <v>163</v>
      </c>
      <c r="P2" s="51" t="s">
        <v>164</v>
      </c>
      <c r="Q2" s="51" t="s">
        <v>165</v>
      </c>
      <c r="R2" s="51" t="s">
        <v>166</v>
      </c>
      <c r="S2" s="51" t="s">
        <v>167</v>
      </c>
      <c r="T2" s="51" t="s">
        <v>168</v>
      </c>
      <c r="U2" s="53" t="s">
        <v>169</v>
      </c>
    </row>
    <row r="3" spans="1:21" s="58" customFormat="1" ht="16.5" thickBot="1">
      <c r="A3" s="293" t="s">
        <v>15</v>
      </c>
      <c r="B3" s="38" t="s">
        <v>16</v>
      </c>
      <c r="C3" s="38" t="s">
        <v>209</v>
      </c>
      <c r="D3" s="38" t="s">
        <v>210</v>
      </c>
      <c r="E3" s="54">
        <v>0.95</v>
      </c>
      <c r="F3" s="38" t="s">
        <v>211</v>
      </c>
      <c r="G3" s="55" t="s">
        <v>212</v>
      </c>
      <c r="H3" s="56"/>
      <c r="I3" s="87">
        <f>AVERAGE(J3:N3)</f>
        <v>100</v>
      </c>
      <c r="J3" s="86">
        <v>100</v>
      </c>
      <c r="K3" s="86">
        <v>100</v>
      </c>
      <c r="L3" s="86">
        <v>100</v>
      </c>
      <c r="M3" s="86">
        <v>100</v>
      </c>
      <c r="N3" s="86">
        <v>100</v>
      </c>
      <c r="O3" s="56"/>
      <c r="P3" s="56"/>
      <c r="Q3" s="56"/>
      <c r="R3" s="56"/>
      <c r="S3" s="56"/>
      <c r="T3" s="56"/>
      <c r="U3" s="57"/>
    </row>
    <row r="4" spans="1:21" s="58" customFormat="1" ht="16.5" thickBot="1">
      <c r="A4" s="293"/>
      <c r="B4" s="38" t="s">
        <v>17</v>
      </c>
      <c r="C4" s="38" t="s">
        <v>213</v>
      </c>
      <c r="D4" s="38" t="s">
        <v>214</v>
      </c>
      <c r="E4" s="54">
        <v>0.95</v>
      </c>
      <c r="F4" s="38" t="s">
        <v>215</v>
      </c>
      <c r="G4" s="59" t="s">
        <v>216</v>
      </c>
      <c r="H4" s="59"/>
      <c r="I4" s="87">
        <f t="shared" ref="I4:I8" si="0">AVERAGE(J4:N4)</f>
        <v>93</v>
      </c>
      <c r="J4" s="86">
        <v>93</v>
      </c>
      <c r="K4" s="86">
        <v>94</v>
      </c>
      <c r="L4" s="86">
        <v>89</v>
      </c>
      <c r="M4" s="86">
        <v>96</v>
      </c>
      <c r="N4" s="86">
        <v>93</v>
      </c>
      <c r="O4" s="59"/>
      <c r="P4" s="59"/>
      <c r="Q4" s="59"/>
      <c r="R4" s="59"/>
      <c r="S4" s="59"/>
      <c r="T4" s="59"/>
      <c r="U4" s="60"/>
    </row>
    <row r="5" spans="1:21" s="58" customFormat="1" ht="16.5" thickBot="1">
      <c r="A5" s="293"/>
      <c r="B5" s="39" t="s">
        <v>18</v>
      </c>
      <c r="C5" s="39" t="s">
        <v>217</v>
      </c>
      <c r="D5" s="39" t="s">
        <v>218</v>
      </c>
      <c r="E5" s="61">
        <v>0.95</v>
      </c>
      <c r="F5" s="39" t="s">
        <v>215</v>
      </c>
      <c r="G5" s="55" t="s">
        <v>212</v>
      </c>
      <c r="H5" s="55"/>
      <c r="I5" s="87">
        <f t="shared" si="0"/>
        <v>100</v>
      </c>
      <c r="J5" s="86">
        <v>100</v>
      </c>
      <c r="K5" s="86">
        <v>100</v>
      </c>
      <c r="L5" s="86">
        <v>100</v>
      </c>
      <c r="M5" s="86">
        <v>100</v>
      </c>
      <c r="N5" s="86">
        <v>100</v>
      </c>
      <c r="O5" s="55"/>
      <c r="P5" s="55"/>
      <c r="Q5" s="55"/>
      <c r="R5" s="55"/>
      <c r="S5" s="55"/>
      <c r="T5" s="55"/>
      <c r="U5" s="62"/>
    </row>
    <row r="6" spans="1:21" s="58" customFormat="1" ht="15.95">
      <c r="A6" s="346" t="s">
        <v>19</v>
      </c>
      <c r="B6" s="40" t="s">
        <v>20</v>
      </c>
      <c r="C6" s="40" t="s">
        <v>177</v>
      </c>
      <c r="D6" s="40" t="s">
        <v>178</v>
      </c>
      <c r="E6" s="63">
        <v>0.9</v>
      </c>
      <c r="F6" s="40" t="s">
        <v>179</v>
      </c>
      <c r="G6" s="56" t="s">
        <v>212</v>
      </c>
      <c r="H6" s="56"/>
      <c r="I6" s="87">
        <f t="shared" si="0"/>
        <v>112</v>
      </c>
      <c r="J6" s="86">
        <v>95</v>
      </c>
      <c r="K6" s="86">
        <v>133</v>
      </c>
      <c r="L6" s="86">
        <v>115</v>
      </c>
      <c r="M6" s="86">
        <v>105</v>
      </c>
      <c r="N6" s="86">
        <v>112</v>
      </c>
      <c r="O6" s="56"/>
      <c r="P6" s="56"/>
      <c r="Q6" s="56"/>
      <c r="R6" s="56"/>
      <c r="S6" s="56"/>
      <c r="T6" s="56"/>
      <c r="U6" s="56"/>
    </row>
    <row r="7" spans="1:21" s="58" customFormat="1" ht="16.5" thickBot="1">
      <c r="A7" s="346"/>
      <c r="B7" s="41" t="s">
        <v>21</v>
      </c>
      <c r="C7" s="41" t="s">
        <v>180</v>
      </c>
      <c r="D7" s="41" t="s">
        <v>219</v>
      </c>
      <c r="E7" s="63">
        <v>0.98</v>
      </c>
      <c r="F7" s="41" t="s">
        <v>181</v>
      </c>
      <c r="G7" s="55" t="s">
        <v>212</v>
      </c>
      <c r="H7" s="59"/>
      <c r="I7" s="87">
        <f t="shared" si="0"/>
        <v>100</v>
      </c>
      <c r="J7" s="86">
        <v>100</v>
      </c>
      <c r="K7" s="86">
        <v>100</v>
      </c>
      <c r="L7" s="86">
        <v>100</v>
      </c>
      <c r="M7" s="86">
        <v>100</v>
      </c>
      <c r="N7" s="86">
        <v>100</v>
      </c>
      <c r="O7" s="59"/>
      <c r="P7" s="59"/>
      <c r="Q7" s="59"/>
      <c r="R7" s="59"/>
      <c r="S7" s="59"/>
      <c r="T7" s="59"/>
      <c r="U7" s="59"/>
    </row>
    <row r="8" spans="1:21" s="58" customFormat="1" ht="15.95">
      <c r="A8" s="42" t="s">
        <v>26</v>
      </c>
      <c r="B8" s="43" t="s">
        <v>182</v>
      </c>
      <c r="C8" s="43" t="s">
        <v>182</v>
      </c>
      <c r="D8" s="43" t="s">
        <v>220</v>
      </c>
      <c r="E8" s="43" t="s">
        <v>221</v>
      </c>
      <c r="F8" s="43" t="s">
        <v>185</v>
      </c>
      <c r="G8" s="59" t="s">
        <v>212</v>
      </c>
      <c r="H8" s="59" t="s">
        <v>222</v>
      </c>
      <c r="I8" s="87">
        <f t="shared" si="0"/>
        <v>83.2</v>
      </c>
      <c r="J8" s="59">
        <v>73</v>
      </c>
      <c r="K8" s="59">
        <v>99</v>
      </c>
      <c r="L8" s="59">
        <v>103</v>
      </c>
      <c r="M8" s="59">
        <v>46</v>
      </c>
      <c r="N8" s="59">
        <v>95</v>
      </c>
      <c r="O8" s="59"/>
      <c r="P8" s="59"/>
      <c r="Q8" s="59"/>
      <c r="R8" s="59"/>
      <c r="S8" s="59"/>
      <c r="T8" s="59"/>
      <c r="U8" s="59"/>
    </row>
    <row r="9" spans="1:21" s="58" customFormat="1" ht="15.75" hidden="1" customHeight="1">
      <c r="A9" s="294" t="s">
        <v>28</v>
      </c>
      <c r="B9" s="44" t="s">
        <v>223</v>
      </c>
      <c r="C9" s="44" t="s">
        <v>224</v>
      </c>
      <c r="D9" s="44" t="s">
        <v>225</v>
      </c>
      <c r="E9" s="64">
        <v>0.1</v>
      </c>
      <c r="F9" s="44" t="s">
        <v>226</v>
      </c>
      <c r="G9" s="59"/>
      <c r="H9" s="59"/>
      <c r="I9" s="87" t="e">
        <f t="shared" ref="I9" si="1">AVERAGE(J9:M9)</f>
        <v>#DIV/0!</v>
      </c>
      <c r="J9" s="59"/>
      <c r="K9" s="59"/>
      <c r="L9" s="59"/>
      <c r="M9" s="59"/>
      <c r="N9" s="59"/>
      <c r="O9" s="59"/>
      <c r="P9" s="59"/>
      <c r="Q9" s="59"/>
      <c r="R9" s="59"/>
      <c r="S9" s="59"/>
      <c r="T9" s="59"/>
      <c r="U9" s="59"/>
    </row>
    <row r="10" spans="1:21" s="58" customFormat="1" ht="15.95">
      <c r="A10" s="294"/>
      <c r="B10" s="44" t="s">
        <v>30</v>
      </c>
      <c r="C10" s="44" t="s">
        <v>194</v>
      </c>
      <c r="D10" s="44" t="s">
        <v>195</v>
      </c>
      <c r="E10" s="44" t="s">
        <v>221</v>
      </c>
      <c r="F10" s="44" t="s">
        <v>196</v>
      </c>
      <c r="G10" s="59" t="s">
        <v>227</v>
      </c>
      <c r="H10" s="59"/>
      <c r="I10" s="87">
        <f t="shared" ref="I10:I15" si="2">AVERAGE(J10:N10)</f>
        <v>0</v>
      </c>
      <c r="J10" s="59">
        <v>0</v>
      </c>
      <c r="K10" s="59">
        <v>0</v>
      </c>
      <c r="L10" s="59">
        <v>0</v>
      </c>
      <c r="M10" s="59">
        <v>0</v>
      </c>
      <c r="N10" s="59">
        <v>0</v>
      </c>
      <c r="O10" s="59"/>
      <c r="P10" s="59"/>
      <c r="Q10" s="59"/>
      <c r="R10" s="59"/>
      <c r="S10" s="59"/>
      <c r="T10" s="59"/>
      <c r="U10" s="59"/>
    </row>
    <row r="11" spans="1:21" s="58" customFormat="1" ht="15.95">
      <c r="A11" s="289" t="s">
        <v>31</v>
      </c>
      <c r="B11" s="45" t="s">
        <v>32</v>
      </c>
      <c r="C11" s="45" t="s">
        <v>197</v>
      </c>
      <c r="D11" s="45"/>
      <c r="E11" s="65">
        <v>0.78</v>
      </c>
      <c r="F11" s="45" t="s">
        <v>228</v>
      </c>
      <c r="G11" s="59" t="s">
        <v>216</v>
      </c>
      <c r="H11" s="59"/>
      <c r="I11" s="87">
        <f t="shared" si="2"/>
        <v>75.400000000000006</v>
      </c>
      <c r="J11" s="87">
        <v>87</v>
      </c>
      <c r="K11" s="87">
        <v>77</v>
      </c>
      <c r="L11" s="87">
        <v>72</v>
      </c>
      <c r="M11" s="87">
        <v>61</v>
      </c>
      <c r="N11" s="87">
        <v>80</v>
      </c>
      <c r="O11" s="59"/>
      <c r="P11" s="59"/>
      <c r="Q11" s="59"/>
      <c r="R11" s="59"/>
      <c r="S11" s="59"/>
      <c r="T11" s="59"/>
      <c r="U11" s="59"/>
    </row>
    <row r="12" spans="1:21" s="58" customFormat="1" ht="15.95">
      <c r="A12" s="289"/>
      <c r="B12" s="45" t="s">
        <v>33</v>
      </c>
      <c r="C12" s="45" t="s">
        <v>199</v>
      </c>
      <c r="D12" s="45"/>
      <c r="E12" s="65">
        <v>0.1</v>
      </c>
      <c r="F12" s="45" t="s">
        <v>201</v>
      </c>
      <c r="G12" s="59" t="s">
        <v>212</v>
      </c>
      <c r="H12" s="59" t="s">
        <v>229</v>
      </c>
      <c r="I12" s="87">
        <f t="shared" si="2"/>
        <v>0</v>
      </c>
      <c r="J12" s="59">
        <v>0</v>
      </c>
      <c r="K12" s="59">
        <v>0</v>
      </c>
      <c r="L12" s="59">
        <v>0</v>
      </c>
      <c r="M12" s="59">
        <v>0</v>
      </c>
      <c r="N12" s="59">
        <v>0</v>
      </c>
      <c r="O12" s="59"/>
      <c r="P12" s="59"/>
      <c r="Q12" s="59"/>
      <c r="R12" s="59"/>
      <c r="S12" s="59"/>
      <c r="T12" s="59"/>
      <c r="U12" s="59"/>
    </row>
    <row r="13" spans="1:21" s="58" customFormat="1" ht="15.95">
      <c r="A13" s="290" t="s">
        <v>34</v>
      </c>
      <c r="B13" s="46" t="s">
        <v>35</v>
      </c>
      <c r="C13" s="46" t="s">
        <v>202</v>
      </c>
      <c r="D13" s="46"/>
      <c r="E13" s="46">
        <v>4</v>
      </c>
      <c r="F13" s="46" t="s">
        <v>230</v>
      </c>
      <c r="G13" s="59" t="s">
        <v>212</v>
      </c>
      <c r="H13" s="59" t="s">
        <v>231</v>
      </c>
      <c r="I13" s="87">
        <f t="shared" si="2"/>
        <v>1.6</v>
      </c>
      <c r="J13" s="59">
        <v>3</v>
      </c>
      <c r="K13" s="59">
        <v>3</v>
      </c>
      <c r="L13" s="59">
        <v>2</v>
      </c>
      <c r="M13" s="59">
        <v>0</v>
      </c>
      <c r="N13" s="59">
        <v>0</v>
      </c>
      <c r="O13" s="59"/>
      <c r="P13" s="59"/>
      <c r="Q13" s="59"/>
      <c r="R13" s="59"/>
      <c r="S13" s="59"/>
      <c r="T13" s="59"/>
      <c r="U13" s="59"/>
    </row>
    <row r="14" spans="1:21" s="58" customFormat="1" ht="15.95">
      <c r="A14" s="290"/>
      <c r="B14" s="46" t="s">
        <v>37</v>
      </c>
      <c r="C14" s="46" t="s">
        <v>204</v>
      </c>
      <c r="D14" s="46"/>
      <c r="E14" s="46">
        <v>1</v>
      </c>
      <c r="F14" s="46" t="s">
        <v>232</v>
      </c>
      <c r="G14" s="59"/>
      <c r="H14" s="59"/>
      <c r="I14" s="87">
        <f t="shared" si="2"/>
        <v>0</v>
      </c>
      <c r="J14" s="59">
        <v>0</v>
      </c>
      <c r="K14" s="59">
        <v>0</v>
      </c>
      <c r="L14" s="59">
        <v>0</v>
      </c>
      <c r="M14" s="59">
        <v>0</v>
      </c>
      <c r="N14" s="59">
        <v>0</v>
      </c>
      <c r="O14" s="59"/>
      <c r="P14" s="59"/>
      <c r="Q14" s="59"/>
      <c r="R14" s="59"/>
      <c r="S14" s="59"/>
      <c r="T14" s="59"/>
      <c r="U14" s="59"/>
    </row>
    <row r="15" spans="1:21" s="58" customFormat="1" ht="15.95">
      <c r="A15" s="47" t="s">
        <v>38</v>
      </c>
      <c r="B15" s="48" t="s">
        <v>39</v>
      </c>
      <c r="C15" s="48" t="s">
        <v>206</v>
      </c>
      <c r="D15" s="48"/>
      <c r="E15" s="48"/>
      <c r="F15" s="48"/>
      <c r="G15" s="59"/>
      <c r="H15" s="59" t="s">
        <v>233</v>
      </c>
      <c r="I15" s="87">
        <f t="shared" si="2"/>
        <v>0.8</v>
      </c>
      <c r="J15" s="59">
        <v>0</v>
      </c>
      <c r="K15" s="59">
        <v>0</v>
      </c>
      <c r="L15" s="59">
        <v>0</v>
      </c>
      <c r="M15" s="59">
        <v>0</v>
      </c>
      <c r="N15" s="59">
        <v>4</v>
      </c>
      <c r="O15" s="59"/>
      <c r="P15" s="59"/>
      <c r="Q15" s="59"/>
      <c r="R15" s="59"/>
      <c r="S15" s="59"/>
      <c r="T15" s="59"/>
      <c r="U15" s="59"/>
    </row>
    <row r="16" spans="1:21" ht="15.95"/>
    <row r="17" spans="1:4" ht="15.95"/>
    <row r="18" spans="1:4" ht="15.95">
      <c r="A18" s="350"/>
      <c r="B18" s="350"/>
      <c r="C18" s="350"/>
      <c r="D18" s="66"/>
    </row>
    <row r="19" spans="1:4" ht="15.95">
      <c r="A19" s="67"/>
    </row>
    <row r="20" spans="1:4" ht="15.95">
      <c r="A20" s="67"/>
    </row>
    <row r="21" spans="1:4" ht="15.95">
      <c r="A21" s="67"/>
    </row>
    <row r="22" spans="1:4" ht="15.95">
      <c r="A22" s="67"/>
    </row>
    <row r="23" spans="1:4" ht="15.95">
      <c r="A23" s="67"/>
    </row>
    <row r="24" spans="1:4" ht="15.95">
      <c r="A24" s="67"/>
    </row>
  </sheetData>
  <mergeCells count="15">
    <mergeCell ref="A11:A12"/>
    <mergeCell ref="A13:A14"/>
    <mergeCell ref="A18:C18"/>
    <mergeCell ref="G1:G2"/>
    <mergeCell ref="H1:H2"/>
    <mergeCell ref="I1:U1"/>
    <mergeCell ref="A3:A5"/>
    <mergeCell ref="A6:A7"/>
    <mergeCell ref="A9:A10"/>
    <mergeCell ref="A1:A2"/>
    <mergeCell ref="B1:B2"/>
    <mergeCell ref="C1:C2"/>
    <mergeCell ref="D1:D2"/>
    <mergeCell ref="E1:E2"/>
    <mergeCell ref="F1:F2"/>
  </mergeCell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B40D3-6B78-4754-990C-17340FE8825D}">
  <dimension ref="A1:AG18"/>
  <sheetViews>
    <sheetView showGridLines="0" tabSelected="1" zoomScale="94" zoomScaleNormal="94" workbookViewId="0">
      <pane xSplit="3" ySplit="2" topLeftCell="K3" activePane="bottomRight" state="frozen"/>
      <selection pane="bottomRight" activeCell="AE5" sqref="AE5"/>
      <selection pane="bottomLeft" activeCell="A3" sqref="A3"/>
      <selection pane="topRight" activeCell="D1" sqref="D1"/>
    </sheetView>
  </sheetViews>
  <sheetFormatPr defaultColWidth="9.140625" defaultRowHeight="15.95"/>
  <cols>
    <col min="1" max="1" width="27.85546875" style="172" bestFit="1" customWidth="1"/>
    <col min="2" max="2" width="37.85546875" style="172" customWidth="1"/>
    <col min="3" max="3" width="10.5703125" style="172" customWidth="1"/>
    <col min="4" max="4" width="50.5703125" style="172" customWidth="1"/>
    <col min="5" max="5" width="40.5703125" style="172" customWidth="1"/>
    <col min="6" max="6" width="15.5703125" style="172" customWidth="1"/>
    <col min="7" max="7" width="35.5703125" style="172" customWidth="1"/>
    <col min="8" max="9" width="15.5703125" style="172" customWidth="1"/>
    <col min="10" max="10" width="20.5703125" style="172" hidden="1" customWidth="1"/>
    <col min="11" max="11" width="10.5703125" style="172" customWidth="1"/>
    <col min="12" max="12" width="20.5703125" style="172" hidden="1" customWidth="1"/>
    <col min="13" max="13" width="10.5703125" style="172" customWidth="1"/>
    <col min="14" max="14" width="20.5703125" style="172" hidden="1" customWidth="1"/>
    <col min="15" max="15" width="10.5703125" style="172" customWidth="1"/>
    <col min="16" max="16" width="20.5703125" style="172" hidden="1" customWidth="1"/>
    <col min="17" max="17" width="10.5703125" style="172" customWidth="1"/>
    <col min="18" max="18" width="20.5703125" style="172" hidden="1" customWidth="1"/>
    <col min="19" max="19" width="10.5703125" style="172" customWidth="1"/>
    <col min="20" max="20" width="20.5703125" style="172" hidden="1" customWidth="1"/>
    <col min="21" max="21" width="10.5703125" style="172" customWidth="1"/>
    <col min="22" max="22" width="20.5703125" style="172" hidden="1" customWidth="1"/>
    <col min="23" max="23" width="10.5703125" style="172" customWidth="1"/>
    <col min="24" max="24" width="20.5703125" style="172" hidden="1" customWidth="1"/>
    <col min="25" max="25" width="10.5703125" style="172" customWidth="1"/>
    <col min="26" max="26" width="20.5703125" style="172" hidden="1" customWidth="1"/>
    <col min="27" max="27" width="10.5703125" style="172" customWidth="1"/>
    <col min="28" max="28" width="20.5703125" style="172" hidden="1" customWidth="1"/>
    <col min="29" max="29" width="10.5703125" style="172" customWidth="1"/>
    <col min="30" max="30" width="20.5703125" style="172" hidden="1" customWidth="1"/>
    <col min="31" max="31" width="10.5703125" style="172" customWidth="1"/>
    <col min="32" max="32" width="20.5703125" style="172" hidden="1" customWidth="1"/>
    <col min="33" max="33" width="10.5703125" style="172" customWidth="1"/>
    <col min="34" max="16384" width="9.140625" style="172"/>
  </cols>
  <sheetData>
    <row r="1" spans="1:33" ht="20.100000000000001" customHeight="1">
      <c r="A1" s="279" t="s">
        <v>42</v>
      </c>
      <c r="B1" s="279" t="s">
        <v>45</v>
      </c>
      <c r="C1" s="280" t="s">
        <v>96</v>
      </c>
      <c r="D1" s="279" t="s">
        <v>97</v>
      </c>
      <c r="E1" s="279" t="s">
        <v>14</v>
      </c>
      <c r="F1" s="279" t="s">
        <v>98</v>
      </c>
      <c r="G1" s="279" t="s">
        <v>99</v>
      </c>
      <c r="H1" s="279" t="s">
        <v>100</v>
      </c>
      <c r="I1" s="210"/>
      <c r="J1" s="268">
        <v>45839</v>
      </c>
      <c r="K1" s="268"/>
      <c r="L1" s="268">
        <v>45870</v>
      </c>
      <c r="M1" s="268"/>
      <c r="N1" s="268">
        <v>45901</v>
      </c>
      <c r="O1" s="268"/>
      <c r="P1" s="268">
        <v>45931</v>
      </c>
      <c r="Q1" s="268"/>
      <c r="R1" s="268">
        <v>45962</v>
      </c>
      <c r="S1" s="268"/>
      <c r="T1" s="268">
        <v>45992</v>
      </c>
      <c r="U1" s="268"/>
      <c r="V1" s="268">
        <v>46023</v>
      </c>
      <c r="W1" s="268"/>
      <c r="X1" s="268">
        <v>46054</v>
      </c>
      <c r="Y1" s="268"/>
      <c r="Z1" s="268">
        <v>46082</v>
      </c>
      <c r="AA1" s="268"/>
      <c r="AB1" s="268">
        <v>46113</v>
      </c>
      <c r="AC1" s="268"/>
      <c r="AD1" s="268">
        <v>46143</v>
      </c>
      <c r="AE1" s="268"/>
      <c r="AF1" s="268">
        <v>46174</v>
      </c>
      <c r="AG1" s="268"/>
    </row>
    <row r="2" spans="1:33" ht="20.100000000000001" customHeight="1">
      <c r="A2" s="280"/>
      <c r="B2" s="280"/>
      <c r="C2" s="281"/>
      <c r="D2" s="280"/>
      <c r="E2" s="280"/>
      <c r="F2" s="280"/>
      <c r="G2" s="280"/>
      <c r="H2" s="280"/>
      <c r="I2" s="211" t="s">
        <v>7</v>
      </c>
      <c r="J2" s="212" t="s">
        <v>14</v>
      </c>
      <c r="K2" s="212" t="s">
        <v>101</v>
      </c>
      <c r="L2" s="212" t="s">
        <v>14</v>
      </c>
      <c r="M2" s="212" t="s">
        <v>101</v>
      </c>
      <c r="N2" s="212" t="s">
        <v>14</v>
      </c>
      <c r="O2" s="212" t="s">
        <v>101</v>
      </c>
      <c r="P2" s="212" t="s">
        <v>14</v>
      </c>
      <c r="Q2" s="212" t="s">
        <v>101</v>
      </c>
      <c r="R2" s="212" t="s">
        <v>14</v>
      </c>
      <c r="S2" s="212" t="s">
        <v>101</v>
      </c>
      <c r="T2" s="212" t="s">
        <v>14</v>
      </c>
      <c r="U2" s="212" t="s">
        <v>101</v>
      </c>
      <c r="V2" s="212" t="s">
        <v>14</v>
      </c>
      <c r="W2" s="212" t="s">
        <v>101</v>
      </c>
      <c r="X2" s="212" t="s">
        <v>14</v>
      </c>
      <c r="Y2" s="212" t="s">
        <v>101</v>
      </c>
      <c r="Z2" s="212" t="s">
        <v>14</v>
      </c>
      <c r="AA2" s="212" t="s">
        <v>101</v>
      </c>
      <c r="AB2" s="212" t="s">
        <v>14</v>
      </c>
      <c r="AC2" s="212" t="s">
        <v>101</v>
      </c>
      <c r="AD2" s="212" t="s">
        <v>14</v>
      </c>
      <c r="AE2" s="212" t="s">
        <v>101</v>
      </c>
      <c r="AF2" s="212" t="s">
        <v>14</v>
      </c>
      <c r="AG2" s="212" t="s">
        <v>101</v>
      </c>
    </row>
    <row r="3" spans="1:33">
      <c r="A3" s="269" t="s">
        <v>48</v>
      </c>
      <c r="B3" s="213" t="s">
        <v>16</v>
      </c>
      <c r="C3" s="214" t="s">
        <v>102</v>
      </c>
      <c r="D3" s="215" t="s">
        <v>209</v>
      </c>
      <c r="E3" s="215" t="s">
        <v>210</v>
      </c>
      <c r="F3" s="216"/>
      <c r="G3" s="217">
        <v>0.9</v>
      </c>
      <c r="H3" s="218">
        <v>95</v>
      </c>
      <c r="I3" s="218">
        <f t="shared" ref="I3:I8" ca="1" si="0">AVERAGEIF(K3:AA3,"&lt;&gt;0",K3:U3)</f>
        <v>100</v>
      </c>
      <c r="J3" s="216"/>
      <c r="K3" s="219">
        <v>100</v>
      </c>
      <c r="L3" s="216"/>
      <c r="M3" s="219">
        <v>100</v>
      </c>
      <c r="N3" s="216"/>
      <c r="O3" s="219">
        <v>100</v>
      </c>
      <c r="P3" s="216"/>
      <c r="Q3" s="219">
        <v>100</v>
      </c>
      <c r="R3" s="216"/>
      <c r="S3" s="219">
        <v>100</v>
      </c>
      <c r="T3" s="216"/>
      <c r="U3" s="219">
        <v>100</v>
      </c>
      <c r="V3" s="216"/>
      <c r="W3" s="219">
        <v>100</v>
      </c>
      <c r="X3" s="216"/>
      <c r="Y3" s="219">
        <v>100</v>
      </c>
      <c r="Z3" s="216"/>
      <c r="AA3" s="219">
        <v>100</v>
      </c>
      <c r="AB3" s="216"/>
      <c r="AC3" s="219">
        <v>100</v>
      </c>
      <c r="AD3" s="216"/>
      <c r="AE3" s="219">
        <v>100</v>
      </c>
      <c r="AF3" s="216"/>
      <c r="AG3" s="219"/>
    </row>
    <row r="4" spans="1:33">
      <c r="A4" s="270"/>
      <c r="B4" s="213" t="s">
        <v>17</v>
      </c>
      <c r="C4" s="214" t="s">
        <v>102</v>
      </c>
      <c r="D4" s="215" t="s">
        <v>213</v>
      </c>
      <c r="E4" s="215" t="s">
        <v>214</v>
      </c>
      <c r="F4" s="216"/>
      <c r="G4" s="217">
        <v>0.9</v>
      </c>
      <c r="H4" s="218">
        <v>95</v>
      </c>
      <c r="I4" s="218">
        <f ca="1">AVERAGEIF(K4:AE4,"&lt;&gt;0",K4:U4)</f>
        <v>95.090909090909093</v>
      </c>
      <c r="J4" s="216"/>
      <c r="K4" s="220">
        <v>93</v>
      </c>
      <c r="L4" s="216"/>
      <c r="M4" s="219">
        <v>94</v>
      </c>
      <c r="N4" s="216"/>
      <c r="O4" s="219">
        <v>89</v>
      </c>
      <c r="P4" s="216"/>
      <c r="Q4" s="219">
        <v>96</v>
      </c>
      <c r="R4" s="216"/>
      <c r="S4" s="219">
        <v>93</v>
      </c>
      <c r="T4" s="216"/>
      <c r="U4" s="219">
        <v>96</v>
      </c>
      <c r="V4" s="216"/>
      <c r="W4" s="219">
        <v>93</v>
      </c>
      <c r="X4" s="216"/>
      <c r="Y4" s="219">
        <v>96</v>
      </c>
      <c r="Z4" s="216"/>
      <c r="AA4" s="219">
        <v>98</v>
      </c>
      <c r="AB4" s="216"/>
      <c r="AC4" s="219">
        <v>100</v>
      </c>
      <c r="AD4" s="216"/>
      <c r="AE4" s="219">
        <v>98</v>
      </c>
      <c r="AF4" s="216"/>
      <c r="AG4" s="219"/>
    </row>
    <row r="5" spans="1:33">
      <c r="A5" s="271"/>
      <c r="B5" s="213" t="s">
        <v>112</v>
      </c>
      <c r="C5" s="214" t="s">
        <v>102</v>
      </c>
      <c r="D5" s="216" t="s">
        <v>217</v>
      </c>
      <c r="E5" s="215" t="s">
        <v>218</v>
      </c>
      <c r="F5" s="216"/>
      <c r="G5" s="217">
        <v>0.9</v>
      </c>
      <c r="H5" s="218">
        <v>92</v>
      </c>
      <c r="I5" s="218">
        <f t="shared" ca="1" si="0"/>
        <v>100</v>
      </c>
      <c r="J5" s="216"/>
      <c r="K5" s="219">
        <v>100</v>
      </c>
      <c r="L5" s="216"/>
      <c r="M5" s="219">
        <v>100</v>
      </c>
      <c r="N5" s="216"/>
      <c r="O5" s="219">
        <v>100</v>
      </c>
      <c r="P5" s="216"/>
      <c r="Q5" s="219">
        <v>100</v>
      </c>
      <c r="R5" s="216"/>
      <c r="S5" s="219">
        <v>100</v>
      </c>
      <c r="T5" s="216"/>
      <c r="U5" s="219">
        <v>100</v>
      </c>
      <c r="V5" s="216"/>
      <c r="W5" s="219">
        <v>100</v>
      </c>
      <c r="X5" s="216"/>
      <c r="Y5" s="219">
        <v>100</v>
      </c>
      <c r="Z5" s="216"/>
      <c r="AA5" s="219">
        <v>100</v>
      </c>
      <c r="AB5" s="216"/>
      <c r="AC5" s="219">
        <v>100</v>
      </c>
      <c r="AD5" s="216"/>
      <c r="AE5" s="219">
        <v>100</v>
      </c>
      <c r="AF5" s="216"/>
      <c r="AG5" s="219"/>
    </row>
    <row r="6" spans="1:33">
      <c r="A6" s="272" t="s">
        <v>19</v>
      </c>
      <c r="B6" s="221" t="s">
        <v>120</v>
      </c>
      <c r="C6" s="222" t="s">
        <v>102</v>
      </c>
      <c r="D6" s="216" t="s">
        <v>177</v>
      </c>
      <c r="E6" s="215" t="s">
        <v>178</v>
      </c>
      <c r="F6" s="216"/>
      <c r="G6" s="215"/>
      <c r="H6" s="218"/>
      <c r="I6" s="218">
        <f ca="1">AVERAGEIF(K6:AE6,"&lt;&gt;0",K6:U6)</f>
        <v>120.45454545454545</v>
      </c>
      <c r="J6" s="216"/>
      <c r="K6" s="219">
        <v>95</v>
      </c>
      <c r="L6" s="216"/>
      <c r="M6" s="219">
        <v>133</v>
      </c>
      <c r="N6" s="216"/>
      <c r="O6" s="219">
        <v>115</v>
      </c>
      <c r="P6" s="216"/>
      <c r="Q6" s="219">
        <v>105</v>
      </c>
      <c r="R6" s="216"/>
      <c r="S6" s="219">
        <v>112</v>
      </c>
      <c r="T6" s="216"/>
      <c r="U6" s="219">
        <v>113</v>
      </c>
      <c r="V6" s="216"/>
      <c r="W6" s="219">
        <v>109</v>
      </c>
      <c r="X6" s="216"/>
      <c r="Y6" s="219">
        <v>115</v>
      </c>
      <c r="Z6" s="216"/>
      <c r="AA6" s="219">
        <v>162</v>
      </c>
      <c r="AB6" s="216"/>
      <c r="AC6" s="219">
        <v>155</v>
      </c>
      <c r="AD6" s="216"/>
      <c r="AE6" s="219">
        <v>111</v>
      </c>
      <c r="AF6" s="216"/>
      <c r="AG6" s="219"/>
    </row>
    <row r="7" spans="1:33">
      <c r="A7" s="273"/>
      <c r="B7" s="221" t="s">
        <v>128</v>
      </c>
      <c r="C7" s="222" t="s">
        <v>102</v>
      </c>
      <c r="D7" s="216" t="s">
        <v>180</v>
      </c>
      <c r="E7" s="215" t="s">
        <v>219</v>
      </c>
      <c r="F7" s="216"/>
      <c r="G7" s="215">
        <v>90</v>
      </c>
      <c r="H7" s="218">
        <v>95</v>
      </c>
      <c r="I7" s="218">
        <f ca="1">AVERAGEIF(K7:AE7,"&lt;&gt;0",K7:U7)</f>
        <v>100</v>
      </c>
      <c r="J7" s="216"/>
      <c r="K7" s="219">
        <v>100</v>
      </c>
      <c r="L7" s="216"/>
      <c r="M7" s="219">
        <v>100</v>
      </c>
      <c r="N7" s="216"/>
      <c r="O7" s="219">
        <v>100</v>
      </c>
      <c r="P7" s="216"/>
      <c r="Q7" s="219">
        <v>100</v>
      </c>
      <c r="R7" s="216"/>
      <c r="S7" s="219">
        <v>100</v>
      </c>
      <c r="T7" s="216"/>
      <c r="U7" s="219">
        <v>100</v>
      </c>
      <c r="V7" s="216"/>
      <c r="W7" s="219">
        <v>100</v>
      </c>
      <c r="X7" s="216"/>
      <c r="Y7" s="219">
        <v>100</v>
      </c>
      <c r="Z7" s="216"/>
      <c r="AA7" s="219">
        <v>100</v>
      </c>
      <c r="AB7" s="216"/>
      <c r="AC7" s="219">
        <v>100</v>
      </c>
      <c r="AD7" s="216"/>
      <c r="AE7" s="219">
        <v>100</v>
      </c>
      <c r="AF7" s="216"/>
      <c r="AG7" s="219"/>
    </row>
    <row r="8" spans="1:33">
      <c r="A8" s="274" t="s">
        <v>71</v>
      </c>
      <c r="B8" s="223" t="s">
        <v>182</v>
      </c>
      <c r="C8" s="224" t="s">
        <v>102</v>
      </c>
      <c r="D8" s="215" t="s">
        <v>182</v>
      </c>
      <c r="E8" s="215" t="s">
        <v>220</v>
      </c>
      <c r="F8" s="216"/>
      <c r="G8" s="215" t="s">
        <v>104</v>
      </c>
      <c r="H8" s="215" t="s">
        <v>104</v>
      </c>
      <c r="I8" s="218">
        <f ca="1">AVERAGEIF(K8:AE8,"&lt;&gt;0",K8:U8)</f>
        <v>83.2</v>
      </c>
      <c r="J8" s="216"/>
      <c r="K8" s="219">
        <v>73</v>
      </c>
      <c r="L8" s="216"/>
      <c r="M8" s="219">
        <v>99</v>
      </c>
      <c r="N8" s="216"/>
      <c r="O8" s="219">
        <v>103</v>
      </c>
      <c r="P8" s="216"/>
      <c r="Q8" s="219">
        <v>46</v>
      </c>
      <c r="R8" s="216"/>
      <c r="S8" s="219">
        <v>95</v>
      </c>
      <c r="T8" s="216"/>
      <c r="U8" s="219">
        <v>0</v>
      </c>
      <c r="V8" s="216"/>
      <c r="W8" s="219">
        <v>0</v>
      </c>
      <c r="X8" s="216"/>
      <c r="Y8" s="219">
        <v>0</v>
      </c>
      <c r="Z8" s="216"/>
      <c r="AA8" s="219">
        <v>0</v>
      </c>
      <c r="AB8" s="216"/>
      <c r="AC8" s="219">
        <v>0</v>
      </c>
      <c r="AD8" s="216"/>
      <c r="AE8" s="219">
        <v>0</v>
      </c>
      <c r="AF8" s="216"/>
      <c r="AG8" s="219"/>
    </row>
    <row r="9" spans="1:33" ht="20.100000000000001" customHeight="1">
      <c r="A9" s="275"/>
      <c r="B9" s="223" t="s">
        <v>132</v>
      </c>
      <c r="C9" s="224" t="s">
        <v>131</v>
      </c>
      <c r="D9" s="215"/>
      <c r="E9" s="215"/>
      <c r="F9" s="215"/>
      <c r="G9" s="215"/>
      <c r="H9" s="215"/>
      <c r="I9" s="215"/>
      <c r="J9" s="216"/>
      <c r="K9" s="215"/>
      <c r="L9" s="216"/>
      <c r="M9" s="215"/>
      <c r="N9" s="216"/>
      <c r="O9" s="215"/>
      <c r="P9" s="216"/>
      <c r="Q9" s="215"/>
      <c r="R9" s="216"/>
      <c r="S9" s="215"/>
      <c r="T9" s="215"/>
      <c r="U9" s="215"/>
      <c r="V9" s="215"/>
      <c r="W9" s="215"/>
      <c r="X9" s="215"/>
      <c r="Y9" s="215"/>
      <c r="Z9" s="215"/>
      <c r="AA9" s="215"/>
      <c r="AB9" s="215"/>
      <c r="AC9" s="215"/>
      <c r="AD9" s="215"/>
      <c r="AE9" s="215"/>
      <c r="AF9" s="215"/>
      <c r="AG9" s="215"/>
    </row>
    <row r="10" spans="1:33">
      <c r="A10" s="275"/>
      <c r="B10" s="223" t="s">
        <v>144</v>
      </c>
      <c r="C10" s="224" t="s">
        <v>131</v>
      </c>
      <c r="D10" s="215"/>
      <c r="E10" s="215"/>
      <c r="F10" s="215"/>
      <c r="G10" s="215"/>
      <c r="H10" s="215"/>
      <c r="I10" s="215"/>
      <c r="J10" s="216"/>
      <c r="K10" s="215"/>
      <c r="L10" s="216"/>
      <c r="M10" s="215"/>
      <c r="N10" s="216"/>
      <c r="O10" s="215"/>
      <c r="P10" s="216"/>
      <c r="Q10" s="215"/>
      <c r="R10" s="216"/>
      <c r="S10" s="215"/>
      <c r="T10" s="215"/>
      <c r="U10" s="215"/>
      <c r="V10" s="215"/>
      <c r="W10" s="215"/>
      <c r="X10" s="215"/>
      <c r="Y10" s="215"/>
      <c r="Z10" s="215"/>
      <c r="AA10" s="215"/>
      <c r="AB10" s="215"/>
      <c r="AC10" s="215"/>
      <c r="AD10" s="215"/>
      <c r="AE10" s="215"/>
      <c r="AF10" s="215"/>
      <c r="AG10" s="215"/>
    </row>
    <row r="11" spans="1:33" ht="20.100000000000001" customHeight="1">
      <c r="A11" s="276"/>
      <c r="B11" s="223" t="s">
        <v>139</v>
      </c>
      <c r="C11" s="224" t="s">
        <v>131</v>
      </c>
      <c r="D11" s="215"/>
      <c r="E11" s="215"/>
      <c r="F11" s="215"/>
      <c r="G11" s="215"/>
      <c r="H11" s="215"/>
      <c r="I11" s="215"/>
      <c r="J11" s="216"/>
      <c r="K11" s="215"/>
      <c r="L11" s="216"/>
      <c r="M11" s="215"/>
      <c r="N11" s="216"/>
      <c r="O11" s="215"/>
      <c r="P11" s="216"/>
      <c r="Q11" s="215"/>
      <c r="R11" s="216"/>
      <c r="S11" s="215"/>
      <c r="T11" s="215"/>
      <c r="U11" s="215"/>
      <c r="V11" s="215"/>
      <c r="W11" s="215"/>
      <c r="X11" s="215"/>
      <c r="Y11" s="215"/>
      <c r="Z11" s="215"/>
      <c r="AA11" s="215"/>
      <c r="AB11" s="215"/>
      <c r="AC11" s="215"/>
      <c r="AD11" s="215"/>
      <c r="AE11" s="215"/>
      <c r="AF11" s="215"/>
      <c r="AG11" s="215"/>
    </row>
    <row r="12" spans="1:33" s="173" customFormat="1" ht="20.100000000000001" customHeight="1">
      <c r="A12" s="277" t="s">
        <v>84</v>
      </c>
      <c r="B12" s="225" t="s">
        <v>145</v>
      </c>
      <c r="C12" s="226" t="s">
        <v>131</v>
      </c>
      <c r="D12" s="215"/>
      <c r="E12" s="215"/>
      <c r="F12" s="215"/>
      <c r="G12" s="215"/>
      <c r="H12" s="215"/>
      <c r="I12" s="215"/>
      <c r="J12" s="216"/>
      <c r="K12" s="215"/>
      <c r="L12" s="216"/>
      <c r="M12" s="215"/>
      <c r="N12" s="216"/>
      <c r="O12" s="215"/>
      <c r="P12" s="216"/>
      <c r="Q12" s="215"/>
      <c r="R12" s="216"/>
      <c r="S12" s="215"/>
      <c r="T12" s="215"/>
      <c r="U12" s="215"/>
      <c r="V12" s="215"/>
      <c r="W12" s="215"/>
      <c r="X12" s="215"/>
      <c r="Y12" s="215"/>
      <c r="Z12" s="215"/>
      <c r="AA12" s="215"/>
      <c r="AB12" s="215"/>
      <c r="AC12" s="215"/>
      <c r="AD12" s="215"/>
      <c r="AE12" s="215"/>
      <c r="AF12" s="215"/>
      <c r="AG12" s="215"/>
    </row>
    <row r="13" spans="1:33" s="173" customFormat="1" ht="20.100000000000001" customHeight="1">
      <c r="A13" s="278"/>
      <c r="B13" s="225" t="s">
        <v>30</v>
      </c>
      <c r="C13" s="226" t="s">
        <v>102</v>
      </c>
      <c r="D13" s="215" t="s">
        <v>194</v>
      </c>
      <c r="E13" s="215" t="s">
        <v>195</v>
      </c>
      <c r="F13" s="216"/>
      <c r="G13" s="215">
        <v>4</v>
      </c>
      <c r="H13" s="215">
        <v>4</v>
      </c>
      <c r="I13" s="234">
        <f>SUM(K13:AG13)</f>
        <v>4</v>
      </c>
      <c r="J13" s="216"/>
      <c r="K13" s="219">
        <v>0</v>
      </c>
      <c r="L13" s="216"/>
      <c r="M13" s="219">
        <v>0</v>
      </c>
      <c r="N13" s="216"/>
      <c r="O13" s="219">
        <v>0</v>
      </c>
      <c r="P13" s="216"/>
      <c r="Q13" s="219">
        <v>0</v>
      </c>
      <c r="R13" s="216"/>
      <c r="S13" s="218">
        <v>4</v>
      </c>
      <c r="T13" s="216"/>
      <c r="U13" s="219">
        <v>0</v>
      </c>
      <c r="V13" s="216"/>
      <c r="W13" s="219">
        <v>0</v>
      </c>
      <c r="X13" s="216"/>
      <c r="Y13" s="219">
        <v>0</v>
      </c>
      <c r="Z13" s="216"/>
      <c r="AA13" s="219">
        <v>0</v>
      </c>
      <c r="AB13" s="216"/>
      <c r="AC13" s="219">
        <v>0</v>
      </c>
      <c r="AD13" s="216"/>
      <c r="AE13" s="219">
        <v>0</v>
      </c>
      <c r="AF13" s="216"/>
      <c r="AG13" s="219"/>
    </row>
    <row r="14" spans="1:33">
      <c r="A14" s="264" t="s">
        <v>90</v>
      </c>
      <c r="B14" s="227" t="s">
        <v>90</v>
      </c>
      <c r="C14" s="228" t="s">
        <v>102</v>
      </c>
      <c r="D14" s="216" t="s">
        <v>197</v>
      </c>
      <c r="E14" s="215" t="s">
        <v>104</v>
      </c>
      <c r="F14" s="216"/>
      <c r="G14" s="229">
        <v>0.75</v>
      </c>
      <c r="H14" s="218">
        <v>78</v>
      </c>
      <c r="I14" s="218">
        <f ca="1">AVERAGEIF(K14:AG14,"&lt;&gt;0",K14:U14)</f>
        <v>76.923636363636362</v>
      </c>
      <c r="J14" s="216"/>
      <c r="K14" s="219">
        <v>87</v>
      </c>
      <c r="L14" s="216"/>
      <c r="M14" s="219">
        <v>77</v>
      </c>
      <c r="N14" s="216"/>
      <c r="O14" s="219">
        <v>72</v>
      </c>
      <c r="P14" s="216"/>
      <c r="Q14" s="219">
        <v>61</v>
      </c>
      <c r="R14" s="216"/>
      <c r="S14" s="219">
        <v>80</v>
      </c>
      <c r="T14" s="216"/>
      <c r="U14" s="219">
        <v>72</v>
      </c>
      <c r="V14" s="216"/>
      <c r="W14" s="219">
        <v>66.37</v>
      </c>
      <c r="X14" s="216"/>
      <c r="Y14" s="219">
        <v>80.64</v>
      </c>
      <c r="Z14" s="216"/>
      <c r="AA14" s="219">
        <v>83.73</v>
      </c>
      <c r="AB14" s="216"/>
      <c r="AC14" s="219">
        <v>80.42</v>
      </c>
      <c r="AD14" s="216"/>
      <c r="AE14" s="219">
        <v>86</v>
      </c>
      <c r="AF14" s="216"/>
      <c r="AG14" s="219"/>
    </row>
    <row r="15" spans="1:33">
      <c r="A15" s="265"/>
      <c r="B15" s="227" t="s">
        <v>149</v>
      </c>
      <c r="C15" s="228" t="s">
        <v>102</v>
      </c>
      <c r="D15" s="216" t="s">
        <v>199</v>
      </c>
      <c r="E15" s="215" t="s">
        <v>104</v>
      </c>
      <c r="F15" s="216"/>
      <c r="G15" s="230" t="s">
        <v>234</v>
      </c>
      <c r="H15" s="230" t="s">
        <v>235</v>
      </c>
      <c r="I15" s="234">
        <f>SUM(K15:U15)</f>
        <v>0</v>
      </c>
      <c r="J15" s="216"/>
      <c r="K15" s="219">
        <v>0</v>
      </c>
      <c r="L15" s="216"/>
      <c r="M15" s="219">
        <v>0</v>
      </c>
      <c r="N15" s="216"/>
      <c r="O15" s="219">
        <v>0</v>
      </c>
      <c r="P15" s="216"/>
      <c r="Q15" s="219">
        <v>0</v>
      </c>
      <c r="R15" s="216"/>
      <c r="S15" s="219">
        <v>0</v>
      </c>
      <c r="T15" s="219">
        <v>0</v>
      </c>
      <c r="U15" s="219">
        <v>0</v>
      </c>
      <c r="V15" s="219">
        <v>0</v>
      </c>
      <c r="W15" s="219">
        <v>0</v>
      </c>
      <c r="X15" s="219">
        <v>0</v>
      </c>
      <c r="Y15" s="219">
        <v>0</v>
      </c>
      <c r="Z15" s="216"/>
      <c r="AA15" s="219">
        <v>0</v>
      </c>
      <c r="AB15" s="216"/>
      <c r="AC15" s="219">
        <v>0</v>
      </c>
      <c r="AD15" s="216"/>
      <c r="AE15" s="219">
        <v>0</v>
      </c>
      <c r="AF15" s="216"/>
      <c r="AG15" s="219"/>
    </row>
    <row r="16" spans="1:33">
      <c r="A16" s="266" t="s">
        <v>34</v>
      </c>
      <c r="B16" s="231" t="s">
        <v>150</v>
      </c>
      <c r="C16" s="232" t="s">
        <v>102</v>
      </c>
      <c r="D16" s="216" t="s">
        <v>202</v>
      </c>
      <c r="E16" s="215" t="s">
        <v>104</v>
      </c>
      <c r="F16" s="216"/>
      <c r="G16" s="230">
        <v>2</v>
      </c>
      <c r="H16" s="218">
        <v>3</v>
      </c>
      <c r="I16" s="234">
        <f>SUM(K16:AG16)</f>
        <v>8</v>
      </c>
      <c r="J16" s="216"/>
      <c r="K16" s="219">
        <v>3</v>
      </c>
      <c r="L16" s="216"/>
      <c r="M16" s="219">
        <v>3</v>
      </c>
      <c r="N16" s="216"/>
      <c r="O16" s="219">
        <v>2</v>
      </c>
      <c r="P16" s="216"/>
      <c r="Q16" s="219">
        <v>0</v>
      </c>
      <c r="R16" s="216"/>
      <c r="S16" s="219">
        <v>0</v>
      </c>
      <c r="T16" s="219">
        <v>0</v>
      </c>
      <c r="U16" s="219">
        <v>0</v>
      </c>
      <c r="V16" s="219">
        <v>0</v>
      </c>
      <c r="W16" s="219">
        <v>0</v>
      </c>
      <c r="X16" s="219">
        <v>0</v>
      </c>
      <c r="Y16" s="219">
        <v>0</v>
      </c>
      <c r="Z16" s="216"/>
      <c r="AA16" s="219">
        <v>0</v>
      </c>
      <c r="AB16" s="216"/>
      <c r="AC16" s="219">
        <v>0</v>
      </c>
      <c r="AD16" s="216"/>
      <c r="AE16" s="219">
        <v>0</v>
      </c>
      <c r="AF16" s="216"/>
      <c r="AG16" s="219"/>
    </row>
    <row r="17" spans="1:33">
      <c r="A17" s="267"/>
      <c r="B17" s="231" t="s">
        <v>37</v>
      </c>
      <c r="C17" s="232" t="s">
        <v>102</v>
      </c>
      <c r="D17" s="216" t="s">
        <v>204</v>
      </c>
      <c r="E17" s="215" t="s">
        <v>104</v>
      </c>
      <c r="F17" s="216"/>
      <c r="G17" s="230">
        <v>2</v>
      </c>
      <c r="H17" s="218">
        <v>3</v>
      </c>
      <c r="I17" s="234">
        <f>SUM(K17:U17)</f>
        <v>0</v>
      </c>
      <c r="J17" s="216"/>
      <c r="K17" s="219">
        <v>0</v>
      </c>
      <c r="L17" s="216"/>
      <c r="M17" s="219">
        <v>0</v>
      </c>
      <c r="N17" s="216"/>
      <c r="O17" s="219">
        <v>0</v>
      </c>
      <c r="P17" s="216"/>
      <c r="Q17" s="219">
        <v>0</v>
      </c>
      <c r="R17" s="216"/>
      <c r="S17" s="219">
        <v>0</v>
      </c>
      <c r="T17" s="219">
        <v>0</v>
      </c>
      <c r="U17" s="219">
        <v>0</v>
      </c>
      <c r="V17" s="219">
        <v>0</v>
      </c>
      <c r="W17" s="219">
        <v>0</v>
      </c>
      <c r="X17" s="219">
        <v>0</v>
      </c>
      <c r="Y17" s="219">
        <v>0</v>
      </c>
      <c r="Z17" s="216"/>
      <c r="AA17" s="219">
        <v>0</v>
      </c>
      <c r="AB17" s="216"/>
      <c r="AC17" s="219">
        <v>0</v>
      </c>
      <c r="AD17" s="216"/>
      <c r="AE17" s="219">
        <v>0</v>
      </c>
      <c r="AF17" s="216"/>
      <c r="AG17" s="219"/>
    </row>
    <row r="18" spans="1:33">
      <c r="A18" s="233" t="s">
        <v>38</v>
      </c>
      <c r="B18" s="233" t="s">
        <v>39</v>
      </c>
      <c r="C18" s="209" t="s">
        <v>102</v>
      </c>
      <c r="D18" s="216" t="s">
        <v>206</v>
      </c>
      <c r="E18" s="215" t="s">
        <v>104</v>
      </c>
      <c r="F18" s="216"/>
      <c r="G18" s="230"/>
      <c r="H18" s="218"/>
      <c r="I18" s="234">
        <f>SUM(K18:U18)</f>
        <v>0</v>
      </c>
      <c r="J18" s="216"/>
      <c r="K18" s="219">
        <v>0</v>
      </c>
      <c r="L18" s="216"/>
      <c r="M18" s="219">
        <v>0</v>
      </c>
      <c r="N18" s="216"/>
      <c r="O18" s="219">
        <v>0</v>
      </c>
      <c r="P18" s="216"/>
      <c r="Q18" s="219">
        <v>0</v>
      </c>
      <c r="R18" s="216"/>
      <c r="S18" s="218">
        <v>0</v>
      </c>
      <c r="T18" s="218">
        <v>0</v>
      </c>
      <c r="U18" s="218">
        <v>0</v>
      </c>
      <c r="V18" s="218">
        <v>0</v>
      </c>
      <c r="W18" s="218">
        <v>0</v>
      </c>
      <c r="X18" s="218">
        <v>0</v>
      </c>
      <c r="Y18" s="218">
        <v>0</v>
      </c>
      <c r="Z18" s="218">
        <v>0</v>
      </c>
      <c r="AA18" s="219">
        <v>0</v>
      </c>
      <c r="AB18" s="216"/>
      <c r="AC18" s="219">
        <v>0</v>
      </c>
      <c r="AD18" s="216"/>
      <c r="AE18" s="219">
        <v>0</v>
      </c>
      <c r="AF18" s="216"/>
      <c r="AG18" s="219"/>
    </row>
  </sheetData>
  <mergeCells count="26">
    <mergeCell ref="J1:K1"/>
    <mergeCell ref="L1:M1"/>
    <mergeCell ref="N1:O1"/>
    <mergeCell ref="P1:Q1"/>
    <mergeCell ref="A1:A2"/>
    <mergeCell ref="B1:B2"/>
    <mergeCell ref="C1:C2"/>
    <mergeCell ref="D1:D2"/>
    <mergeCell ref="E1:E2"/>
    <mergeCell ref="F1:F2"/>
    <mergeCell ref="A14:A15"/>
    <mergeCell ref="A16:A17"/>
    <mergeCell ref="AD1:AE1"/>
    <mergeCell ref="AF1:AG1"/>
    <mergeCell ref="A3:A5"/>
    <mergeCell ref="A6:A7"/>
    <mergeCell ref="A8:A11"/>
    <mergeCell ref="A12:A13"/>
    <mergeCell ref="R1:S1"/>
    <mergeCell ref="T1:U1"/>
    <mergeCell ref="V1:W1"/>
    <mergeCell ref="X1:Y1"/>
    <mergeCell ref="Z1:AA1"/>
    <mergeCell ref="AB1:AC1"/>
    <mergeCell ref="G1:G2"/>
    <mergeCell ref="H1:H2"/>
  </mergeCells>
  <conditionalFormatting sqref="B3:AG18">
    <cfRule type="expression" dxfId="0" priority="1">
      <formula>$C3="No"</formula>
    </cfRule>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E4007-A9C7-4AE1-86BF-D580838AAF41}">
  <dimension ref="A1:O15"/>
  <sheetViews>
    <sheetView workbookViewId="0">
      <pane xSplit="1" topLeftCell="H1" activePane="topRight" state="frozen"/>
      <selection pane="topRight" activeCell="O7" sqref="O7"/>
    </sheetView>
  </sheetViews>
  <sheetFormatPr defaultRowHeight="14.45"/>
  <cols>
    <col min="1" max="1" width="53.42578125" bestFit="1" customWidth="1"/>
    <col min="2" max="2" width="37.85546875" customWidth="1"/>
    <col min="3" max="3" width="12.85546875" customWidth="1"/>
    <col min="4" max="4" width="17.5703125" bestFit="1" customWidth="1"/>
    <col min="5" max="5" width="14.5703125" customWidth="1"/>
    <col min="6" max="6" width="17.5703125" customWidth="1"/>
    <col min="7" max="7" width="12" bestFit="1" customWidth="1"/>
    <col min="8" max="8" width="16.42578125" bestFit="1" customWidth="1"/>
    <col min="9" max="9" width="13.5703125" customWidth="1"/>
    <col min="10" max="10" width="16.42578125" bestFit="1" customWidth="1"/>
    <col min="11" max="11" width="8.5703125" bestFit="1" customWidth="1"/>
    <col min="12" max="12" width="16.42578125" bestFit="1" customWidth="1"/>
    <col min="13" max="13" width="8.5703125" bestFit="1" customWidth="1"/>
    <col min="14" max="14" width="16.42578125" bestFit="1" customWidth="1"/>
  </cols>
  <sheetData>
    <row r="1" spans="1:15" ht="15.95">
      <c r="A1" s="97" t="s">
        <v>42</v>
      </c>
      <c r="B1" s="97" t="s">
        <v>43</v>
      </c>
      <c r="C1" s="97" t="s">
        <v>44</v>
      </c>
      <c r="D1" s="357" t="s">
        <v>45</v>
      </c>
      <c r="E1" s="358"/>
      <c r="F1" s="358"/>
      <c r="G1" s="358"/>
      <c r="H1" s="358"/>
      <c r="I1" s="358"/>
      <c r="J1" s="358"/>
      <c r="K1" s="358"/>
      <c r="L1" s="358"/>
      <c r="M1" s="358"/>
      <c r="N1" s="358"/>
      <c r="O1" s="359"/>
    </row>
    <row r="2" spans="1:15" ht="15.95">
      <c r="A2" s="97"/>
      <c r="B2" s="97"/>
      <c r="C2" s="97"/>
      <c r="D2" s="98">
        <v>45839</v>
      </c>
      <c r="E2" s="98"/>
      <c r="F2" s="99">
        <v>45870</v>
      </c>
      <c r="G2" s="100"/>
      <c r="H2" s="99">
        <v>45901</v>
      </c>
      <c r="I2" s="100"/>
      <c r="J2" s="98">
        <v>45955</v>
      </c>
      <c r="K2" s="98"/>
      <c r="L2" s="99">
        <v>45986</v>
      </c>
      <c r="M2" s="100"/>
      <c r="N2" s="99">
        <v>46016</v>
      </c>
      <c r="O2" s="100"/>
    </row>
    <row r="3" spans="1:15" ht="15.95">
      <c r="A3" s="97"/>
      <c r="B3" s="97"/>
      <c r="C3" s="97"/>
      <c r="D3" s="139" t="s">
        <v>236</v>
      </c>
      <c r="E3" s="139" t="s">
        <v>47</v>
      </c>
      <c r="F3" s="139" t="s">
        <v>236</v>
      </c>
      <c r="G3" s="139" t="s">
        <v>47</v>
      </c>
      <c r="H3" s="139" t="s">
        <v>236</v>
      </c>
      <c r="I3" s="139" t="s">
        <v>47</v>
      </c>
      <c r="J3" s="139" t="s">
        <v>236</v>
      </c>
      <c r="K3" s="139" t="s">
        <v>47</v>
      </c>
      <c r="L3" s="139" t="s">
        <v>236</v>
      </c>
      <c r="M3" s="139" t="s">
        <v>47</v>
      </c>
      <c r="N3" s="139" t="s">
        <v>236</v>
      </c>
      <c r="O3" s="139" t="s">
        <v>47</v>
      </c>
    </row>
    <row r="4" spans="1:15">
      <c r="A4" s="304" t="s">
        <v>237</v>
      </c>
      <c r="B4" s="360" t="s">
        <v>238</v>
      </c>
      <c r="C4" s="304" t="s">
        <v>50</v>
      </c>
      <c r="D4" s="304">
        <v>40</v>
      </c>
      <c r="E4" s="304">
        <v>95</v>
      </c>
      <c r="F4" s="304">
        <v>59</v>
      </c>
      <c r="G4" s="304">
        <v>100</v>
      </c>
      <c r="H4" s="304">
        <v>48</v>
      </c>
      <c r="I4" s="304">
        <v>97</v>
      </c>
      <c r="J4" s="304">
        <v>51</v>
      </c>
      <c r="K4" s="304">
        <v>100</v>
      </c>
      <c r="L4" s="308">
        <v>39</v>
      </c>
      <c r="M4" s="308">
        <v>97</v>
      </c>
      <c r="N4" s="304">
        <v>44</v>
      </c>
      <c r="O4" s="304">
        <v>100</v>
      </c>
    </row>
    <row r="5" spans="1:15">
      <c r="A5" s="306"/>
      <c r="B5" s="316"/>
      <c r="C5" s="306"/>
      <c r="D5" s="306"/>
      <c r="E5" s="306"/>
      <c r="F5" s="306"/>
      <c r="G5" s="306"/>
      <c r="H5" s="306"/>
      <c r="I5" s="306"/>
      <c r="J5" s="306"/>
      <c r="K5" s="306"/>
      <c r="L5" s="309"/>
      <c r="M5" s="309"/>
      <c r="N5" s="306"/>
      <c r="O5" s="306"/>
    </row>
    <row r="6" spans="1:15">
      <c r="A6" s="306"/>
      <c r="B6" s="316"/>
      <c r="C6" s="305"/>
      <c r="D6" s="305"/>
      <c r="E6" s="305"/>
      <c r="F6" s="305"/>
      <c r="G6" s="305"/>
      <c r="H6" s="305"/>
      <c r="I6" s="305"/>
      <c r="J6" s="305"/>
      <c r="K6" s="305"/>
      <c r="L6" s="310"/>
      <c r="M6" s="310"/>
      <c r="N6" s="305"/>
      <c r="O6" s="305"/>
    </row>
    <row r="7" spans="1:15" ht="44.25" customHeight="1">
      <c r="A7" s="306"/>
      <c r="B7" s="140" t="s">
        <v>239</v>
      </c>
      <c r="C7" s="106" t="s">
        <v>50</v>
      </c>
      <c r="D7" s="106">
        <v>40</v>
      </c>
      <c r="E7" s="140">
        <v>97.5</v>
      </c>
      <c r="F7" s="106">
        <v>59</v>
      </c>
      <c r="G7" s="106">
        <v>100</v>
      </c>
      <c r="H7" s="106">
        <v>48</v>
      </c>
      <c r="I7" s="106">
        <v>97</v>
      </c>
      <c r="J7" s="106">
        <v>51</v>
      </c>
      <c r="K7" s="140">
        <v>100</v>
      </c>
      <c r="L7" s="24">
        <v>39</v>
      </c>
      <c r="M7" s="24">
        <v>97</v>
      </c>
      <c r="N7" s="106">
        <v>44</v>
      </c>
      <c r="O7" s="106">
        <v>100</v>
      </c>
    </row>
    <row r="8" spans="1:15" ht="54.75" customHeight="1">
      <c r="A8" s="141" t="s">
        <v>19</v>
      </c>
      <c r="B8" s="141" t="s">
        <v>240</v>
      </c>
      <c r="C8" s="141" t="s">
        <v>50</v>
      </c>
      <c r="D8" s="141">
        <v>40</v>
      </c>
      <c r="E8" s="141">
        <v>92.5</v>
      </c>
      <c r="F8" s="141">
        <v>59</v>
      </c>
      <c r="G8" s="141">
        <v>98.3</v>
      </c>
      <c r="H8" s="141">
        <v>48</v>
      </c>
      <c r="I8" s="141">
        <v>97</v>
      </c>
      <c r="J8" s="141">
        <v>51</v>
      </c>
      <c r="K8" s="141">
        <v>100</v>
      </c>
      <c r="L8" s="26">
        <v>39</v>
      </c>
      <c r="M8" s="13">
        <v>94</v>
      </c>
      <c r="N8" s="105">
        <v>44</v>
      </c>
      <c r="O8" s="28">
        <v>97</v>
      </c>
    </row>
    <row r="9" spans="1:15">
      <c r="A9" s="316" t="s">
        <v>90</v>
      </c>
      <c r="B9" s="316" t="s">
        <v>241</v>
      </c>
      <c r="C9" s="316"/>
      <c r="D9" s="316"/>
      <c r="E9" s="316">
        <v>59.44</v>
      </c>
      <c r="F9" s="316"/>
      <c r="G9" s="316">
        <v>30.21</v>
      </c>
      <c r="H9" s="316"/>
      <c r="I9" s="316">
        <v>37.5</v>
      </c>
      <c r="J9" s="316"/>
      <c r="K9" s="316">
        <v>36.96</v>
      </c>
      <c r="L9" s="316"/>
      <c r="M9" s="316">
        <v>43.75</v>
      </c>
      <c r="N9" s="316"/>
      <c r="O9" s="316">
        <v>56.94</v>
      </c>
    </row>
    <row r="10" spans="1:15">
      <c r="A10" s="316" t="s">
        <v>92</v>
      </c>
      <c r="B10" s="316"/>
      <c r="C10" s="316"/>
      <c r="D10" s="316"/>
      <c r="E10" s="316"/>
      <c r="F10" s="316"/>
      <c r="G10" s="316"/>
      <c r="H10" s="316"/>
      <c r="I10" s="316"/>
      <c r="J10" s="316"/>
      <c r="K10" s="316"/>
      <c r="L10" s="316"/>
      <c r="M10" s="316"/>
      <c r="N10" s="316"/>
      <c r="O10" s="316"/>
    </row>
    <row r="11" spans="1:15" ht="15" customHeight="1">
      <c r="A11" s="316" t="s">
        <v>92</v>
      </c>
      <c r="B11" s="315" t="s">
        <v>242</v>
      </c>
      <c r="C11" s="315"/>
      <c r="D11" s="351"/>
      <c r="E11" s="352"/>
      <c r="F11" s="352"/>
      <c r="G11" s="352"/>
      <c r="H11" s="352"/>
      <c r="I11" s="353"/>
    </row>
    <row r="12" spans="1:15">
      <c r="A12" s="316"/>
      <c r="B12" s="315"/>
      <c r="C12" s="315"/>
      <c r="D12" s="354"/>
      <c r="E12" s="355"/>
      <c r="F12" s="355"/>
      <c r="G12" s="355"/>
      <c r="H12" s="355"/>
      <c r="I12" s="356"/>
    </row>
    <row r="15" spans="1:15" ht="15" customHeight="1"/>
  </sheetData>
  <mergeCells count="35">
    <mergeCell ref="N4:N6"/>
    <mergeCell ref="O4:O6"/>
    <mergeCell ref="D1:O1"/>
    <mergeCell ref="A4:A7"/>
    <mergeCell ref="B4:B6"/>
    <mergeCell ref="C4:C6"/>
    <mergeCell ref="D4:D6"/>
    <mergeCell ref="E4:E6"/>
    <mergeCell ref="F4:F6"/>
    <mergeCell ref="G4:G6"/>
    <mergeCell ref="H4:H6"/>
    <mergeCell ref="I4:I6"/>
    <mergeCell ref="J4:J6"/>
    <mergeCell ref="K4:K6"/>
    <mergeCell ref="L4:L6"/>
    <mergeCell ref="M4:M6"/>
    <mergeCell ref="A11:A12"/>
    <mergeCell ref="B11:B12"/>
    <mergeCell ref="C11:C12"/>
    <mergeCell ref="D11:I12"/>
    <mergeCell ref="G9:G10"/>
    <mergeCell ref="H9:H10"/>
    <mergeCell ref="I9:I10"/>
    <mergeCell ref="A9:A10"/>
    <mergeCell ref="B9:B10"/>
    <mergeCell ref="C9:C10"/>
    <mergeCell ref="D9:D10"/>
    <mergeCell ref="E9:E10"/>
    <mergeCell ref="F9:F10"/>
    <mergeCell ref="O9:O10"/>
    <mergeCell ref="L9:L10"/>
    <mergeCell ref="M9:M10"/>
    <mergeCell ref="J9:J10"/>
    <mergeCell ref="K9:K10"/>
    <mergeCell ref="N9:N10"/>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4AAAE-52CE-48BD-8C38-A4593B24AE6F}">
  <dimension ref="A1:U13"/>
  <sheetViews>
    <sheetView zoomScale="90" zoomScaleNormal="90" workbookViewId="0">
      <pane xSplit="1" ySplit="2" topLeftCell="B8" activePane="bottomRight" state="frozen"/>
      <selection pane="bottomRight" activeCell="I13" sqref="I13"/>
      <selection pane="bottomLeft" activeCell="C3" sqref="C3"/>
      <selection pane="topRight" activeCell="C3" sqref="C3"/>
    </sheetView>
  </sheetViews>
  <sheetFormatPr defaultColWidth="8.5703125" defaultRowHeight="14.45"/>
  <cols>
    <col min="1" max="1" width="25.5703125" style="1" customWidth="1"/>
    <col min="2" max="2" width="30.5703125" style="21" customWidth="1"/>
    <col min="3" max="3" width="35.85546875" style="21" customWidth="1"/>
    <col min="4" max="4" width="15.5703125" style="21" hidden="1" customWidth="1"/>
    <col min="5" max="5" width="14.140625" style="21" customWidth="1"/>
    <col min="6" max="6" width="19.5703125" style="21" hidden="1" customWidth="1"/>
    <col min="7" max="7" width="12.85546875" style="21" hidden="1" customWidth="1"/>
    <col min="8" max="8" width="13.140625" style="1" customWidth="1"/>
    <col min="9" max="15" width="10.5703125" style="1" customWidth="1"/>
    <col min="16" max="21" width="10.5703125" style="1" hidden="1" customWidth="1"/>
    <col min="22" max="16384" width="8.5703125" style="1"/>
  </cols>
  <sheetData>
    <row r="1" spans="1:21" ht="29.1" customHeight="1">
      <c r="A1" s="361" t="s">
        <v>5</v>
      </c>
      <c r="B1" s="363" t="s">
        <v>6</v>
      </c>
      <c r="C1" s="363" t="s">
        <v>152</v>
      </c>
      <c r="D1" s="365" t="s">
        <v>97</v>
      </c>
      <c r="E1" s="363" t="s">
        <v>100</v>
      </c>
      <c r="F1" s="373" t="s">
        <v>154</v>
      </c>
      <c r="G1" s="361" t="s">
        <v>155</v>
      </c>
      <c r="H1" s="363" t="s">
        <v>14</v>
      </c>
      <c r="I1" s="368" t="s">
        <v>156</v>
      </c>
      <c r="J1" s="368"/>
      <c r="K1" s="368"/>
      <c r="L1" s="368"/>
      <c r="M1" s="368"/>
      <c r="N1" s="368"/>
      <c r="O1" s="368"/>
      <c r="P1" s="368"/>
      <c r="Q1" s="368"/>
      <c r="R1" s="368"/>
      <c r="S1" s="368"/>
      <c r="T1" s="368"/>
      <c r="U1" s="369"/>
    </row>
    <row r="2" spans="1:21" ht="17.100000000000001" customHeight="1" thickBot="1">
      <c r="A2" s="362"/>
      <c r="B2" s="364"/>
      <c r="C2" s="364"/>
      <c r="D2" s="366"/>
      <c r="E2" s="364"/>
      <c r="F2" s="374"/>
      <c r="G2" s="367"/>
      <c r="H2" s="364"/>
      <c r="I2" s="2" t="s">
        <v>157</v>
      </c>
      <c r="J2" s="3" t="s">
        <v>158</v>
      </c>
      <c r="K2" s="3" t="s">
        <v>159</v>
      </c>
      <c r="L2" s="2" t="s">
        <v>160</v>
      </c>
      <c r="M2" s="2" t="s">
        <v>161</v>
      </c>
      <c r="N2" s="144" t="s">
        <v>162</v>
      </c>
      <c r="O2" s="2" t="s">
        <v>163</v>
      </c>
      <c r="P2" s="2" t="s">
        <v>164</v>
      </c>
      <c r="Q2" s="2" t="s">
        <v>165</v>
      </c>
      <c r="R2" s="2" t="s">
        <v>166</v>
      </c>
      <c r="S2" s="2" t="s">
        <v>167</v>
      </c>
      <c r="T2" s="2" t="s">
        <v>168</v>
      </c>
      <c r="U2" s="4" t="s">
        <v>169</v>
      </c>
    </row>
    <row r="3" spans="1:21" ht="38.1" customHeight="1">
      <c r="A3" s="375" t="s">
        <v>15</v>
      </c>
      <c r="B3" s="5" t="s">
        <v>243</v>
      </c>
      <c r="C3" s="5" t="s">
        <v>244</v>
      </c>
      <c r="D3" s="5" t="s">
        <v>245</v>
      </c>
      <c r="E3" s="6">
        <v>0.9</v>
      </c>
      <c r="F3" s="5" t="s">
        <v>246</v>
      </c>
      <c r="G3" s="7"/>
      <c r="H3" s="8"/>
      <c r="I3" s="114">
        <f t="shared" ref="I3:I9" si="0">AVERAGEIFS(J3:O3,J3:O3,"&lt;&gt;0")</f>
        <v>70.5</v>
      </c>
      <c r="J3" s="112">
        <v>75</v>
      </c>
      <c r="K3" s="112">
        <v>75</v>
      </c>
      <c r="L3" s="112">
        <v>75</v>
      </c>
      <c r="M3" s="112">
        <v>66</v>
      </c>
      <c r="N3" s="112">
        <v>66</v>
      </c>
      <c r="O3" s="112">
        <v>66</v>
      </c>
      <c r="P3" s="7"/>
      <c r="Q3" s="7"/>
      <c r="R3" s="7"/>
      <c r="S3" s="7"/>
      <c r="T3" s="7"/>
      <c r="U3" s="9"/>
    </row>
    <row r="4" spans="1:21" ht="43.5">
      <c r="A4" s="376"/>
      <c r="B4" s="10" t="s">
        <v>16</v>
      </c>
      <c r="C4" s="10" t="s">
        <v>209</v>
      </c>
      <c r="D4" s="10" t="s">
        <v>245</v>
      </c>
      <c r="E4" s="11">
        <v>0.95</v>
      </c>
      <c r="F4" s="11" t="s">
        <v>211</v>
      </c>
      <c r="G4" s="7"/>
      <c r="H4" s="8"/>
      <c r="I4" s="114">
        <f t="shared" si="0"/>
        <v>91.166666666666671</v>
      </c>
      <c r="J4" s="112">
        <v>100</v>
      </c>
      <c r="K4" s="112">
        <v>95</v>
      </c>
      <c r="L4" s="112">
        <v>85</v>
      </c>
      <c r="M4" s="112">
        <v>88</v>
      </c>
      <c r="N4" s="112">
        <v>88</v>
      </c>
      <c r="O4" s="7">
        <v>91</v>
      </c>
      <c r="P4" s="7"/>
      <c r="Q4" s="7"/>
      <c r="R4" s="7"/>
      <c r="S4" s="7"/>
      <c r="T4" s="7"/>
      <c r="U4" s="9"/>
    </row>
    <row r="5" spans="1:21" ht="43.5">
      <c r="A5" s="377"/>
      <c r="B5" s="10" t="s">
        <v>17</v>
      </c>
      <c r="C5" s="10" t="s">
        <v>213</v>
      </c>
      <c r="D5" s="10" t="s">
        <v>245</v>
      </c>
      <c r="E5" s="11">
        <v>0.95</v>
      </c>
      <c r="F5" s="11" t="s">
        <v>215</v>
      </c>
      <c r="G5" s="7"/>
      <c r="H5" s="8"/>
      <c r="I5" s="114">
        <f t="shared" si="0"/>
        <v>93.333333333333329</v>
      </c>
      <c r="J5" s="132">
        <v>94</v>
      </c>
      <c r="K5" s="132">
        <v>95</v>
      </c>
      <c r="L5" s="132">
        <v>100</v>
      </c>
      <c r="M5" s="132">
        <v>88</v>
      </c>
      <c r="N5" s="132">
        <v>88</v>
      </c>
      <c r="O5" s="7">
        <v>95</v>
      </c>
      <c r="P5" s="7"/>
      <c r="Q5" s="7"/>
      <c r="R5" s="7"/>
      <c r="S5" s="7"/>
      <c r="T5" s="7"/>
      <c r="U5" s="142"/>
    </row>
    <row r="6" spans="1:21" ht="37.5" customHeight="1">
      <c r="A6" s="15" t="s">
        <v>19</v>
      </c>
      <c r="B6" s="12" t="s">
        <v>247</v>
      </c>
      <c r="C6" s="12" t="s">
        <v>248</v>
      </c>
      <c r="D6" s="12" t="s">
        <v>245</v>
      </c>
      <c r="E6" s="12" t="s">
        <v>249</v>
      </c>
      <c r="F6" s="12" t="s">
        <v>250</v>
      </c>
      <c r="G6" s="13"/>
      <c r="H6" s="14"/>
      <c r="I6" s="114">
        <f t="shared" si="0"/>
        <v>96.5</v>
      </c>
      <c r="J6" s="112">
        <v>94</v>
      </c>
      <c r="K6" s="112">
        <v>93</v>
      </c>
      <c r="L6" s="112">
        <v>99</v>
      </c>
      <c r="M6" s="112">
        <v>98</v>
      </c>
      <c r="N6" s="13">
        <v>97</v>
      </c>
      <c r="O6" s="13">
        <v>98</v>
      </c>
      <c r="P6" s="13"/>
      <c r="Q6" s="13"/>
      <c r="R6" s="13"/>
      <c r="S6" s="13"/>
      <c r="T6" s="13"/>
      <c r="U6" s="13"/>
    </row>
    <row r="7" spans="1:21" ht="37.5" customHeight="1">
      <c r="A7" s="370" t="s">
        <v>84</v>
      </c>
      <c r="B7" s="16" t="s">
        <v>251</v>
      </c>
      <c r="C7" s="16" t="s">
        <v>252</v>
      </c>
      <c r="D7" s="16" t="s">
        <v>245</v>
      </c>
      <c r="E7" s="16" t="s">
        <v>253</v>
      </c>
      <c r="F7" s="16" t="s">
        <v>254</v>
      </c>
      <c r="G7" s="13"/>
      <c r="H7" s="14"/>
      <c r="I7" s="114">
        <f t="shared" si="0"/>
        <v>99.5</v>
      </c>
      <c r="J7" s="112">
        <v>100</v>
      </c>
      <c r="K7" s="112">
        <v>97</v>
      </c>
      <c r="L7" s="112">
        <v>100</v>
      </c>
      <c r="M7" s="112">
        <v>100</v>
      </c>
      <c r="N7" s="112">
        <v>100</v>
      </c>
      <c r="O7" s="112">
        <v>100</v>
      </c>
      <c r="P7" s="13"/>
      <c r="Q7" s="13"/>
      <c r="R7" s="13"/>
      <c r="S7" s="13"/>
      <c r="T7" s="13"/>
      <c r="U7" s="13"/>
    </row>
    <row r="8" spans="1:21" ht="37.5" customHeight="1">
      <c r="A8" s="371"/>
      <c r="B8" s="16" t="s">
        <v>255</v>
      </c>
      <c r="C8" s="16" t="s">
        <v>256</v>
      </c>
      <c r="D8" s="16" t="s">
        <v>245</v>
      </c>
      <c r="E8" s="17">
        <v>0.99</v>
      </c>
      <c r="F8" s="16" t="s">
        <v>257</v>
      </c>
      <c r="G8" s="13"/>
      <c r="H8" s="14"/>
      <c r="I8" s="114">
        <f t="shared" si="0"/>
        <v>99.666666666666671</v>
      </c>
      <c r="J8" s="112">
        <v>100</v>
      </c>
      <c r="K8" s="112">
        <v>100</v>
      </c>
      <c r="L8" s="112">
        <v>100</v>
      </c>
      <c r="M8" s="113">
        <v>98</v>
      </c>
      <c r="N8" s="112">
        <v>100</v>
      </c>
      <c r="O8" s="112">
        <v>100</v>
      </c>
      <c r="P8" s="13"/>
      <c r="Q8" s="13"/>
      <c r="R8" s="13"/>
      <c r="S8" s="13"/>
      <c r="T8" s="13"/>
      <c r="U8" s="13"/>
    </row>
    <row r="9" spans="1:21" ht="29.1">
      <c r="A9" s="371"/>
      <c r="B9" s="16" t="s">
        <v>258</v>
      </c>
      <c r="C9" s="16" t="s">
        <v>259</v>
      </c>
      <c r="D9" s="16" t="s">
        <v>245</v>
      </c>
      <c r="E9" s="17" t="s">
        <v>260</v>
      </c>
      <c r="F9" s="16" t="s">
        <v>261</v>
      </c>
      <c r="G9" s="13"/>
      <c r="H9" s="14"/>
      <c r="I9" s="114">
        <f t="shared" si="0"/>
        <v>85</v>
      </c>
      <c r="J9" s="113" t="s">
        <v>221</v>
      </c>
      <c r="K9" s="113" t="s">
        <v>221</v>
      </c>
      <c r="L9" s="113" t="s">
        <v>221</v>
      </c>
      <c r="M9" s="113" t="s">
        <v>221</v>
      </c>
      <c r="N9" s="113">
        <v>85</v>
      </c>
      <c r="O9" s="113">
        <v>85</v>
      </c>
      <c r="P9" s="13"/>
      <c r="Q9" s="13"/>
      <c r="R9" s="13"/>
      <c r="S9" s="13"/>
      <c r="T9" s="13"/>
      <c r="U9" s="13"/>
    </row>
    <row r="10" spans="1:21" ht="21.95" customHeight="1">
      <c r="A10" s="372"/>
      <c r="B10" s="16" t="s">
        <v>262</v>
      </c>
      <c r="C10" s="16" t="s">
        <v>263</v>
      </c>
      <c r="D10" s="16" t="s">
        <v>245</v>
      </c>
      <c r="E10" s="17">
        <v>1</v>
      </c>
      <c r="F10" s="17">
        <v>1</v>
      </c>
      <c r="G10" s="13"/>
      <c r="H10" s="14"/>
      <c r="I10" s="114">
        <f>IFERROR(AVERAGE(J10:O10),0)</f>
        <v>0</v>
      </c>
      <c r="J10" s="113" t="s">
        <v>221</v>
      </c>
      <c r="K10" s="113" t="s">
        <v>221</v>
      </c>
      <c r="L10" s="113" t="s">
        <v>221</v>
      </c>
      <c r="M10" s="113" t="s">
        <v>221</v>
      </c>
      <c r="N10" s="113" t="s">
        <v>221</v>
      </c>
      <c r="O10" s="13"/>
      <c r="P10" s="13"/>
      <c r="Q10" s="13"/>
      <c r="R10" s="13"/>
      <c r="S10" s="13"/>
      <c r="T10" s="13"/>
      <c r="U10" s="13"/>
    </row>
    <row r="11" spans="1:21" ht="57.95">
      <c r="A11" s="328" t="s">
        <v>34</v>
      </c>
      <c r="B11" s="18" t="s">
        <v>264</v>
      </c>
      <c r="C11" s="18" t="s">
        <v>265</v>
      </c>
      <c r="D11" s="18" t="s">
        <v>266</v>
      </c>
      <c r="E11" s="18" t="s">
        <v>267</v>
      </c>
      <c r="F11" s="18" t="s">
        <v>268</v>
      </c>
      <c r="G11" s="7"/>
      <c r="H11" s="14"/>
      <c r="I11" s="114">
        <f>SUM(J11:O11)</f>
        <v>3</v>
      </c>
      <c r="J11" s="113"/>
      <c r="K11" s="113">
        <v>1</v>
      </c>
      <c r="L11" s="113">
        <v>1</v>
      </c>
      <c r="M11" s="113">
        <v>1</v>
      </c>
      <c r="N11" s="13"/>
      <c r="O11" s="13"/>
      <c r="P11" s="13"/>
      <c r="Q11" s="13"/>
      <c r="R11" s="13"/>
      <c r="S11" s="13"/>
      <c r="T11" s="13"/>
      <c r="U11" s="13"/>
    </row>
    <row r="12" spans="1:21" ht="38.450000000000003" customHeight="1">
      <c r="A12" s="328"/>
      <c r="B12" s="18" t="s">
        <v>37</v>
      </c>
      <c r="C12" s="18" t="s">
        <v>204</v>
      </c>
      <c r="D12" s="19" t="s">
        <v>245</v>
      </c>
      <c r="E12" s="19" t="s">
        <v>269</v>
      </c>
      <c r="F12" s="19" t="s">
        <v>270</v>
      </c>
      <c r="G12" s="13"/>
      <c r="H12" s="14"/>
      <c r="I12" s="114">
        <f>SUM(J12:O12)</f>
        <v>3</v>
      </c>
      <c r="J12" s="113"/>
      <c r="K12" s="113">
        <v>1</v>
      </c>
      <c r="L12" s="113">
        <v>1</v>
      </c>
      <c r="M12" s="113">
        <v>1</v>
      </c>
      <c r="N12" s="13"/>
      <c r="O12" s="13"/>
      <c r="P12" s="13"/>
      <c r="Q12" s="13"/>
      <c r="R12" s="13"/>
      <c r="S12" s="13"/>
      <c r="T12" s="13"/>
      <c r="U12" s="13"/>
    </row>
    <row r="13" spans="1:21" ht="72.599999999999994">
      <c r="A13" s="20" t="s">
        <v>38</v>
      </c>
      <c r="B13" s="20" t="s">
        <v>39</v>
      </c>
      <c r="C13" s="20" t="s">
        <v>206</v>
      </c>
      <c r="D13" s="20" t="s">
        <v>266</v>
      </c>
      <c r="E13" s="20" t="s">
        <v>271</v>
      </c>
      <c r="F13" s="20" t="s">
        <v>272</v>
      </c>
      <c r="G13" s="13"/>
      <c r="H13" s="14"/>
      <c r="I13" s="114">
        <f>SUM(J13:O13)</f>
        <v>3.75</v>
      </c>
      <c r="J13" s="113"/>
      <c r="K13" s="113"/>
      <c r="L13" s="113"/>
      <c r="M13" s="113"/>
      <c r="N13" s="13">
        <v>3.75</v>
      </c>
      <c r="O13" s="13"/>
      <c r="P13" s="13"/>
      <c r="Q13" s="13"/>
      <c r="R13" s="13"/>
      <c r="S13" s="13"/>
      <c r="T13" s="13"/>
      <c r="U13" s="13"/>
    </row>
  </sheetData>
  <autoFilter ref="A1:U2" xr:uid="{1CD60A47-DECD-4D0C-80EF-3221B29EA9F3}">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autoFilter>
  <mergeCells count="12">
    <mergeCell ref="G1:G2"/>
    <mergeCell ref="H1:H2"/>
    <mergeCell ref="I1:U1"/>
    <mergeCell ref="A7:A10"/>
    <mergeCell ref="E1:E2"/>
    <mergeCell ref="F1:F2"/>
    <mergeCell ref="A3:A5"/>
    <mergeCell ref="A11:A12"/>
    <mergeCell ref="A1:A2"/>
    <mergeCell ref="B1:B2"/>
    <mergeCell ref="C1:C2"/>
    <mergeCell ref="D1:D2"/>
  </mergeCells>
  <pageMargins left="0.7" right="0.7" top="0.75" bottom="0.75" header="0.3" footer="0.3"/>
  <pageSetup orientation="portrait"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80E0D-CF52-4A81-806E-82B7C4E129ED}">
  <dimension ref="A1:T10"/>
  <sheetViews>
    <sheetView zoomScaleNormal="100" workbookViewId="0">
      <pane xSplit="3" ySplit="2" topLeftCell="G7" activePane="bottomRight" state="frozen"/>
      <selection pane="bottomRight" activeCell="N9" sqref="N9"/>
      <selection pane="bottomLeft" activeCell="A3" sqref="A3"/>
      <selection pane="topRight" activeCell="D1" sqref="D1"/>
    </sheetView>
  </sheetViews>
  <sheetFormatPr defaultColWidth="8.5703125" defaultRowHeight="14.45"/>
  <cols>
    <col min="1" max="1" width="23.42578125" style="115" customWidth="1"/>
    <col min="2" max="2" width="28.5703125" style="76" customWidth="1"/>
    <col min="3" max="3" width="39.5703125" style="76" customWidth="1"/>
    <col min="4" max="4" width="12" style="115" customWidth="1"/>
    <col min="5" max="5" width="36.140625" style="76" customWidth="1"/>
    <col min="6" max="6" width="12.85546875" style="1" customWidth="1"/>
    <col min="7" max="7" width="19.140625" style="1" customWidth="1"/>
    <col min="8" max="14" width="10.5703125" style="1" customWidth="1"/>
    <col min="15" max="20" width="10.5703125" style="1" hidden="1" customWidth="1"/>
    <col min="21" max="16384" width="8.5703125" style="1"/>
  </cols>
  <sheetData>
    <row r="1" spans="1:20" s="115" customFormat="1" ht="29.1" customHeight="1">
      <c r="A1" s="361" t="s">
        <v>5</v>
      </c>
      <c r="B1" s="363" t="s">
        <v>6</v>
      </c>
      <c r="C1" s="363" t="s">
        <v>152</v>
      </c>
      <c r="D1" s="363" t="s">
        <v>100</v>
      </c>
      <c r="E1" s="373" t="s">
        <v>154</v>
      </c>
      <c r="F1" s="361" t="s">
        <v>155</v>
      </c>
      <c r="G1" s="363" t="s">
        <v>14</v>
      </c>
      <c r="H1" s="378" t="s">
        <v>156</v>
      </c>
      <c r="I1" s="378"/>
      <c r="J1" s="378"/>
      <c r="K1" s="378"/>
      <c r="L1" s="378"/>
      <c r="M1" s="378"/>
      <c r="N1" s="378"/>
      <c r="O1" s="378"/>
      <c r="P1" s="378"/>
      <c r="Q1" s="378"/>
      <c r="R1" s="378"/>
      <c r="S1" s="378"/>
      <c r="T1" s="379"/>
    </row>
    <row r="2" spans="1:20" s="115" customFormat="1" ht="17.100000000000001" customHeight="1" thickBot="1">
      <c r="A2" s="367"/>
      <c r="B2" s="364"/>
      <c r="C2" s="364"/>
      <c r="D2" s="364"/>
      <c r="E2" s="374"/>
      <c r="F2" s="367"/>
      <c r="G2" s="364"/>
      <c r="H2" s="2" t="s">
        <v>157</v>
      </c>
      <c r="I2" s="3" t="s">
        <v>158</v>
      </c>
      <c r="J2" s="3" t="s">
        <v>159</v>
      </c>
      <c r="K2" s="2" t="s">
        <v>160</v>
      </c>
      <c r="L2" s="2" t="s">
        <v>161</v>
      </c>
      <c r="M2" s="144" t="s">
        <v>162</v>
      </c>
      <c r="N2" s="2" t="s">
        <v>163</v>
      </c>
      <c r="O2" s="2" t="s">
        <v>164</v>
      </c>
      <c r="P2" s="2" t="s">
        <v>165</v>
      </c>
      <c r="Q2" s="2" t="s">
        <v>166</v>
      </c>
      <c r="R2" s="2" t="s">
        <v>167</v>
      </c>
      <c r="S2" s="2" t="s">
        <v>168</v>
      </c>
      <c r="T2" s="4" t="s">
        <v>169</v>
      </c>
    </row>
    <row r="3" spans="1:20" ht="48.95" customHeight="1">
      <c r="A3" s="335" t="s">
        <v>15</v>
      </c>
      <c r="B3" s="116" t="s">
        <v>16</v>
      </c>
      <c r="C3" s="116" t="s">
        <v>209</v>
      </c>
      <c r="D3" s="117"/>
      <c r="E3" s="116" t="s">
        <v>211</v>
      </c>
      <c r="F3" s="118"/>
      <c r="G3" s="118"/>
      <c r="H3" s="149">
        <f t="shared" ref="H3:H6" si="0">AVERAGE(I3:N3)</f>
        <v>96.666666666666671</v>
      </c>
      <c r="I3" s="112">
        <v>100</v>
      </c>
      <c r="J3" s="112">
        <v>96</v>
      </c>
      <c r="K3" s="112">
        <v>92</v>
      </c>
      <c r="L3" s="112">
        <v>92</v>
      </c>
      <c r="M3" s="112">
        <v>100</v>
      </c>
      <c r="N3" s="112">
        <v>100</v>
      </c>
      <c r="O3" s="118"/>
      <c r="P3" s="118"/>
      <c r="Q3" s="118"/>
      <c r="R3" s="118"/>
      <c r="S3" s="118"/>
      <c r="T3" s="119"/>
    </row>
    <row r="4" spans="1:20" ht="48.95" customHeight="1">
      <c r="A4" s="336"/>
      <c r="B4" s="12" t="s">
        <v>17</v>
      </c>
      <c r="C4" s="12" t="s">
        <v>213</v>
      </c>
      <c r="D4" s="120"/>
      <c r="E4" s="12" t="s">
        <v>215</v>
      </c>
      <c r="F4" s="34"/>
      <c r="G4" s="34"/>
      <c r="H4" s="149">
        <f t="shared" si="0"/>
        <v>92.5</v>
      </c>
      <c r="I4" s="112">
        <v>90</v>
      </c>
      <c r="J4" s="132">
        <v>96</v>
      </c>
      <c r="K4" s="132">
        <v>96</v>
      </c>
      <c r="L4" s="112">
        <v>92</v>
      </c>
      <c r="M4" s="112">
        <v>88</v>
      </c>
      <c r="N4" s="112">
        <v>93</v>
      </c>
      <c r="O4" s="34"/>
      <c r="P4" s="34"/>
      <c r="Q4" s="34"/>
      <c r="R4" s="34"/>
      <c r="S4" s="34"/>
      <c r="T4" s="121"/>
    </row>
    <row r="5" spans="1:20" ht="52.5" customHeight="1" thickBot="1">
      <c r="A5" s="337"/>
      <c r="B5" s="122" t="s">
        <v>18</v>
      </c>
      <c r="C5" s="122" t="s">
        <v>217</v>
      </c>
      <c r="D5" s="123"/>
      <c r="E5" s="122" t="s">
        <v>215</v>
      </c>
      <c r="F5" s="124"/>
      <c r="G5" s="124"/>
      <c r="H5" s="149">
        <f t="shared" si="0"/>
        <v>100</v>
      </c>
      <c r="I5" s="112">
        <v>100</v>
      </c>
      <c r="J5" s="133">
        <v>100</v>
      </c>
      <c r="K5" s="133">
        <v>100</v>
      </c>
      <c r="L5" s="133">
        <v>100</v>
      </c>
      <c r="M5" s="133">
        <v>100</v>
      </c>
      <c r="N5" s="133">
        <v>100</v>
      </c>
      <c r="O5" s="124"/>
      <c r="P5" s="124"/>
      <c r="Q5" s="124"/>
      <c r="R5" s="124"/>
      <c r="S5" s="124"/>
      <c r="T5" s="125"/>
    </row>
    <row r="6" spans="1:20" ht="51.95" customHeight="1" thickBot="1">
      <c r="A6" s="126" t="s">
        <v>19</v>
      </c>
      <c r="B6" s="127" t="s">
        <v>21</v>
      </c>
      <c r="C6" s="127" t="s">
        <v>273</v>
      </c>
      <c r="D6" s="128"/>
      <c r="E6" s="127" t="s">
        <v>181</v>
      </c>
      <c r="F6" s="34"/>
      <c r="G6" s="34"/>
      <c r="H6" s="149">
        <f t="shared" si="0"/>
        <v>100</v>
      </c>
      <c r="I6" s="112">
        <v>100</v>
      </c>
      <c r="J6" s="133">
        <v>100</v>
      </c>
      <c r="K6" s="133">
        <v>100</v>
      </c>
      <c r="L6" s="133">
        <v>100</v>
      </c>
      <c r="M6" s="133">
        <v>100</v>
      </c>
      <c r="N6" s="133">
        <v>100</v>
      </c>
      <c r="O6" s="34"/>
      <c r="P6" s="34"/>
      <c r="Q6" s="34"/>
      <c r="R6" s="34"/>
      <c r="S6" s="34"/>
      <c r="T6" s="34"/>
    </row>
    <row r="7" spans="1:20" ht="37.5" customHeight="1">
      <c r="A7" s="16" t="s">
        <v>28</v>
      </c>
      <c r="B7" s="16" t="s">
        <v>30</v>
      </c>
      <c r="C7" s="16" t="s">
        <v>194</v>
      </c>
      <c r="D7" s="129"/>
      <c r="E7" s="16" t="s">
        <v>196</v>
      </c>
      <c r="F7" s="34"/>
      <c r="G7" s="34"/>
      <c r="H7" s="149">
        <f>IFERROR(AVERAGE(I7:M7),0)</f>
        <v>0</v>
      </c>
      <c r="I7" s="148" t="s">
        <v>221</v>
      </c>
      <c r="J7" s="148" t="s">
        <v>221</v>
      </c>
      <c r="K7" s="148" t="s">
        <v>221</v>
      </c>
      <c r="L7" s="148" t="s">
        <v>221</v>
      </c>
      <c r="M7" s="148" t="s">
        <v>221</v>
      </c>
      <c r="N7" s="148" t="s">
        <v>221</v>
      </c>
      <c r="O7" s="34"/>
      <c r="P7" s="34"/>
      <c r="Q7" s="34"/>
      <c r="R7" s="34"/>
      <c r="S7" s="34"/>
      <c r="T7" s="34"/>
    </row>
    <row r="8" spans="1:20" ht="74.099999999999994" customHeight="1">
      <c r="A8" s="328" t="s">
        <v>34</v>
      </c>
      <c r="B8" s="18" t="s">
        <v>35</v>
      </c>
      <c r="C8" s="18" t="s">
        <v>202</v>
      </c>
      <c r="D8" s="130"/>
      <c r="E8" s="18"/>
      <c r="F8" s="34"/>
      <c r="G8" s="34"/>
      <c r="H8" s="34">
        <f>SUM(I8:N8)</f>
        <v>1</v>
      </c>
      <c r="I8" s="13"/>
      <c r="J8" s="13">
        <v>1</v>
      </c>
      <c r="K8" s="13"/>
      <c r="L8" s="13"/>
      <c r="M8" s="13"/>
      <c r="N8" s="13"/>
      <c r="O8" s="34"/>
      <c r="P8" s="34"/>
      <c r="Q8" s="34"/>
      <c r="R8" s="34"/>
      <c r="S8" s="34"/>
      <c r="T8" s="34"/>
    </row>
    <row r="9" spans="1:20" ht="38.1" customHeight="1">
      <c r="A9" s="328"/>
      <c r="B9" s="18" t="s">
        <v>37</v>
      </c>
      <c r="C9" s="18" t="s">
        <v>204</v>
      </c>
      <c r="D9" s="130"/>
      <c r="E9" s="18"/>
      <c r="F9" s="34"/>
      <c r="G9" s="34"/>
      <c r="H9" s="34">
        <f>SUM(I9:N9)</f>
        <v>1</v>
      </c>
      <c r="I9" s="13"/>
      <c r="J9" s="13">
        <v>1</v>
      </c>
      <c r="K9" s="13"/>
      <c r="L9" s="13"/>
      <c r="M9" s="13"/>
      <c r="N9" s="13"/>
      <c r="O9" s="34"/>
      <c r="P9" s="34"/>
      <c r="Q9" s="34"/>
      <c r="R9" s="34"/>
      <c r="S9" s="34"/>
      <c r="T9" s="34"/>
    </row>
    <row r="10" spans="1:20" ht="88.5" customHeight="1">
      <c r="A10" s="20" t="s">
        <v>38</v>
      </c>
      <c r="B10" s="20" t="s">
        <v>39</v>
      </c>
      <c r="C10" s="20" t="s">
        <v>206</v>
      </c>
      <c r="D10" s="131"/>
      <c r="E10" s="20"/>
      <c r="F10" s="34"/>
      <c r="G10" s="34"/>
      <c r="H10" s="149">
        <f>AVERAGE(I10:N10)</f>
        <v>3.75</v>
      </c>
      <c r="I10" s="13"/>
      <c r="J10" s="147"/>
      <c r="K10" s="147"/>
      <c r="L10" s="34"/>
      <c r="M10" s="34">
        <v>3.75</v>
      </c>
      <c r="N10" s="34"/>
      <c r="O10" s="34"/>
      <c r="P10" s="34"/>
      <c r="Q10" s="34"/>
      <c r="R10" s="34"/>
      <c r="S10" s="34"/>
      <c r="T10" s="34"/>
    </row>
  </sheetData>
  <autoFilter ref="A1:T2" xr:uid="{3D780E0D-CF52-4A81-806E-82B7C4E129ED}">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autoFilter>
  <mergeCells count="10">
    <mergeCell ref="F1:F2"/>
    <mergeCell ref="G1:G2"/>
    <mergeCell ref="H1:T1"/>
    <mergeCell ref="A3:A5"/>
    <mergeCell ref="A8:A9"/>
    <mergeCell ref="A1:A2"/>
    <mergeCell ref="B1:B2"/>
    <mergeCell ref="C1:C2"/>
    <mergeCell ref="D1:D2"/>
    <mergeCell ref="E1:E2"/>
  </mergeCells>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B15C4-51C3-4291-B8DA-8A778F1DC850}">
  <dimension ref="B3:F21"/>
  <sheetViews>
    <sheetView topLeftCell="A3" workbookViewId="0">
      <selection activeCell="C4" sqref="C4"/>
    </sheetView>
  </sheetViews>
  <sheetFormatPr defaultRowHeight="14.45"/>
  <cols>
    <col min="2" max="2" width="22.42578125" bestFit="1" customWidth="1"/>
    <col min="3" max="3" width="20.5703125" bestFit="1" customWidth="1"/>
    <col min="4" max="4" width="22" bestFit="1" customWidth="1"/>
    <col min="5" max="5" width="18.5703125" bestFit="1" customWidth="1"/>
    <col min="6" max="6" width="13.140625" bestFit="1" customWidth="1"/>
  </cols>
  <sheetData>
    <row r="3" spans="2:6" s="31" customFormat="1" ht="17.45" customHeight="1">
      <c r="B3" s="31" t="s">
        <v>274</v>
      </c>
      <c r="C3" s="27" t="s">
        <v>275</v>
      </c>
      <c r="D3" s="27" t="s">
        <v>276</v>
      </c>
      <c r="E3" s="27" t="s">
        <v>277</v>
      </c>
      <c r="F3" s="27" t="s">
        <v>278</v>
      </c>
    </row>
    <row r="4" spans="2:6" s="31" customFormat="1" ht="17.45" customHeight="1">
      <c r="B4" s="32" t="s">
        <v>279</v>
      </c>
      <c r="C4" s="27">
        <v>17</v>
      </c>
      <c r="D4" s="33">
        <v>1</v>
      </c>
      <c r="E4" s="33">
        <v>0.88235294117647056</v>
      </c>
      <c r="F4" s="33">
        <v>1</v>
      </c>
    </row>
    <row r="5" spans="2:6" s="31" customFormat="1" ht="17.45" customHeight="1">
      <c r="B5" s="32" t="s">
        <v>280</v>
      </c>
      <c r="C5" s="27">
        <v>24</v>
      </c>
      <c r="D5" s="33">
        <v>0.95833333333333337</v>
      </c>
      <c r="E5" s="33">
        <v>0.91666666666666663</v>
      </c>
      <c r="F5" s="33">
        <v>1</v>
      </c>
    </row>
    <row r="6" spans="2:6" s="31" customFormat="1" ht="17.45" customHeight="1">
      <c r="B6" s="32" t="s">
        <v>281</v>
      </c>
      <c r="C6" s="27">
        <v>18</v>
      </c>
      <c r="D6" s="33">
        <v>0.94444444444444442</v>
      </c>
      <c r="E6" s="33">
        <v>1</v>
      </c>
      <c r="F6" s="33">
        <v>1</v>
      </c>
    </row>
    <row r="7" spans="2:6" ht="18.600000000000001" customHeight="1">
      <c r="B7" s="32" t="s">
        <v>282</v>
      </c>
      <c r="C7" s="27">
        <v>59</v>
      </c>
      <c r="D7" s="33">
        <v>0.96610169491525422</v>
      </c>
      <c r="E7" s="33">
        <v>0.93220338983050843</v>
      </c>
      <c r="F7" s="33">
        <v>1</v>
      </c>
    </row>
    <row r="8" spans="2:6" ht="18.600000000000001" customHeight="1"/>
    <row r="9" spans="2:6" ht="18.600000000000001" customHeight="1">
      <c r="B9" s="78" t="s">
        <v>274</v>
      </c>
      <c r="C9" s="79" t="s">
        <v>275</v>
      </c>
      <c r="D9" s="79" t="s">
        <v>276</v>
      </c>
      <c r="E9" s="79" t="s">
        <v>277</v>
      </c>
      <c r="F9" s="79" t="s">
        <v>278</v>
      </c>
    </row>
    <row r="10" spans="2:6">
      <c r="B10" s="80" t="s">
        <v>279</v>
      </c>
      <c r="C10" s="81">
        <v>17</v>
      </c>
      <c r="D10" s="84">
        <v>100</v>
      </c>
      <c r="E10" s="84">
        <v>88.235294117647101</v>
      </c>
      <c r="F10" s="84">
        <v>100</v>
      </c>
    </row>
    <row r="11" spans="2:6">
      <c r="B11" s="80" t="s">
        <v>280</v>
      </c>
      <c r="C11" s="81">
        <v>24</v>
      </c>
      <c r="D11" s="84">
        <v>95.8333333333333</v>
      </c>
      <c r="E11" s="84">
        <v>91.6666666666667</v>
      </c>
      <c r="F11" s="84">
        <v>100</v>
      </c>
    </row>
    <row r="12" spans="2:6">
      <c r="B12" s="80" t="s">
        <v>281</v>
      </c>
      <c r="C12" s="81">
        <v>18</v>
      </c>
      <c r="D12" s="84">
        <v>94.4444444444444</v>
      </c>
      <c r="E12" s="84">
        <v>100</v>
      </c>
      <c r="F12" s="84">
        <v>100</v>
      </c>
    </row>
    <row r="13" spans="2:6">
      <c r="B13" s="82" t="s">
        <v>282</v>
      </c>
      <c r="C13" s="83">
        <v>59</v>
      </c>
      <c r="D13" s="85">
        <v>96.610169491525397</v>
      </c>
      <c r="E13" s="85">
        <v>93.220338983050794</v>
      </c>
      <c r="F13" s="85">
        <v>100</v>
      </c>
    </row>
    <row r="15" spans="2:6">
      <c r="B15" s="134" t="s">
        <v>283</v>
      </c>
      <c r="C15" s="134" t="s">
        <v>284</v>
      </c>
      <c r="D15" s="134" t="s">
        <v>276</v>
      </c>
      <c r="E15" s="134" t="s">
        <v>277</v>
      </c>
      <c r="F15" s="79" t="s">
        <v>278</v>
      </c>
    </row>
    <row r="16" spans="2:6">
      <c r="B16" s="135" t="s">
        <v>285</v>
      </c>
      <c r="C16">
        <v>3</v>
      </c>
      <c r="D16" s="108">
        <v>1</v>
      </c>
      <c r="E16" s="108">
        <v>1</v>
      </c>
      <c r="F16" s="108">
        <v>1</v>
      </c>
    </row>
    <row r="17" spans="2:6">
      <c r="B17" s="135" t="s">
        <v>286</v>
      </c>
      <c r="C17">
        <v>2</v>
      </c>
      <c r="D17" s="108">
        <v>1</v>
      </c>
      <c r="E17" s="108">
        <v>1</v>
      </c>
      <c r="F17" s="108">
        <v>1</v>
      </c>
    </row>
    <row r="18" spans="2:6">
      <c r="B18" s="135" t="s">
        <v>287</v>
      </c>
      <c r="C18">
        <v>3</v>
      </c>
      <c r="D18" s="108">
        <v>0.66666666666666663</v>
      </c>
      <c r="E18" s="108">
        <v>1</v>
      </c>
      <c r="F18" s="108">
        <v>1</v>
      </c>
    </row>
    <row r="19" spans="2:6">
      <c r="B19" s="135" t="s">
        <v>288</v>
      </c>
      <c r="C19">
        <v>3</v>
      </c>
      <c r="D19" s="108">
        <v>1</v>
      </c>
      <c r="E19" s="108">
        <v>0.66666666666666663</v>
      </c>
      <c r="F19" s="108">
        <v>1</v>
      </c>
    </row>
    <row r="20" spans="2:6">
      <c r="B20" s="135" t="s">
        <v>289</v>
      </c>
      <c r="C20">
        <v>1</v>
      </c>
      <c r="D20" s="108">
        <v>1</v>
      </c>
      <c r="E20" s="108">
        <v>1</v>
      </c>
      <c r="F20" s="108">
        <v>1</v>
      </c>
    </row>
    <row r="21" spans="2:6">
      <c r="B21" s="136" t="s">
        <v>282</v>
      </c>
      <c r="C21" s="137">
        <v>12</v>
      </c>
      <c r="D21" s="138">
        <v>92</v>
      </c>
      <c r="E21" s="138">
        <v>91.66</v>
      </c>
      <c r="F21" s="138">
        <v>100</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EB39C8D314A3D4784C64F2A70783654" ma:contentTypeVersion="19" ma:contentTypeDescription="Create a new document." ma:contentTypeScope="" ma:versionID="cf263f0ecac3ff19057823347ae8c0b7">
  <xsd:schema xmlns:xsd="http://www.w3.org/2001/XMLSchema" xmlns:xs="http://www.w3.org/2001/XMLSchema" xmlns:p="http://schemas.microsoft.com/office/2006/metadata/properties" xmlns:ns3="1f07333a-3ad7-4a92-a354-671d868a0f46" xmlns:ns4="a9bb8ead-05e8-4aa7-9784-449c3931533a" targetNamespace="http://schemas.microsoft.com/office/2006/metadata/properties" ma:root="true" ma:fieldsID="a60f0778f33c6bb6bcb2256a3b98af35" ns3:_="" ns4:_="">
    <xsd:import namespace="1f07333a-3ad7-4a92-a354-671d868a0f46"/>
    <xsd:import namespace="a9bb8ead-05e8-4aa7-9784-449c3931533a"/>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OCR" minOccurs="0"/>
                <xsd:element ref="ns4:MediaServiceDateTaken" minOccurs="0"/>
                <xsd:element ref="ns4:MediaLengthInSeconds" minOccurs="0"/>
                <xsd:element ref="ns4:_activity" minOccurs="0"/>
                <xsd:element ref="ns4:MediaServiceObjectDetectorVersions" minOccurs="0"/>
                <xsd:element ref="ns4:MediaServiceSystemTags" minOccurs="0"/>
                <xsd:element ref="ns4:MediaServiceSearchProperties" minOccurs="0"/>
                <xsd:element ref="ns4:MediaServiceLocation" minOccurs="0"/>
                <xsd:element ref="ns4: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07333a-3ad7-4a92-a354-671d868a0f46"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9bb8ead-05e8-4aa7-9784-449c3931533a"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DateTaken" ma:index="19" nillable="true" ma:displayName="MediaServiceDateTaken" ma:descriptio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_activity" ma:index="21" nillable="true" ma:displayName="_activity" ma:hidden="true" ma:internalName="_activity">
      <xsd:simpleType>
        <xsd:restriction base="dms:Note"/>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ystemTags" ma:index="23" nillable="true" ma:displayName="MediaServiceSystemTags" ma:hidden="true" ma:internalName="MediaServiceSystemTags" ma:readOnly="true">
      <xsd:simpleType>
        <xsd:restriction base="dms:Note"/>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description="" ma:indexed="true" ma:internalName="MediaServiceLocation"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a9bb8ead-05e8-4aa7-9784-449c3931533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6CC2EF1-A9F0-44D1-ACEA-69C33C6195E9}"/>
</file>

<file path=customXml/itemProps2.xml><?xml version="1.0" encoding="utf-8"?>
<ds:datastoreItem xmlns:ds="http://schemas.openxmlformats.org/officeDocument/2006/customXml" ds:itemID="{62456FF8-E57D-4346-8003-A388BA00CB41}"/>
</file>

<file path=customXml/itemProps3.xml><?xml version="1.0" encoding="utf-8"?>
<ds:datastoreItem xmlns:ds="http://schemas.openxmlformats.org/officeDocument/2006/customXml" ds:itemID="{FB03BFB8-9E14-4B94-AE0E-7FF851E4BDC9}"/>
</file>

<file path=docProps/app.xml><?xml version="1.0" encoding="utf-8"?>
<Properties xmlns="http://schemas.openxmlformats.org/officeDocument/2006/extended-properties" xmlns:vt="http://schemas.openxmlformats.org/officeDocument/2006/docPropsVTypes">
  <Application>Microsoft Excel Online</Application>
  <Manager/>
  <Company>BI Worldwide</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Sakthi Ravi</dc:creator>
  <cp:keywords/>
  <dc:description/>
  <cp:lastModifiedBy>Muruganandham Jayapal</cp:lastModifiedBy>
  <cp:revision/>
  <dcterms:created xsi:type="dcterms:W3CDTF">2025-10-26T10:09:03Z</dcterms:created>
  <dcterms:modified xsi:type="dcterms:W3CDTF">2026-06-07T16:09:42Z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0x0101003EB39C8D314A3D4784C64F2A70783654</vt:lpwstr>
  </property>
</Properties>
</file>