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biworldwide-my.sharepoint.com/personal/hemanth_kannan_biworldwide_com/Documents/GTS/CS/FY 27/"/>
    </mc:Choice>
  </mc:AlternateContent>
  <xr:revisionPtr revIDLastSave="310" documentId="11_F25DC773A252ABDACC1048C9191D51A25ADE58ED" xr6:coauthVersionLast="47" xr6:coauthVersionMax="47" xr10:uidLastSave="{23DEEF8D-EE4A-4980-90DF-7B2BEBA68A49}"/>
  <bookViews>
    <workbookView xWindow="-108" yWindow="-108" windowWidth="23256" windowHeight="12456" activeTab="1" xr2:uid="{00000000-000D-0000-FFFF-FFFF00000000}"/>
  </bookViews>
  <sheets>
    <sheet name="FY 26 Current" sheetId="3" r:id="rId1"/>
    <sheet name="FY 27 Planning" sheetId="1" r:id="rId2"/>
    <sheet name="Pivote" sheetId="4" r:id="rId3"/>
  </sheets>
  <externalReferences>
    <externalReference r:id="rId4"/>
    <externalReference r:id="rId5"/>
  </externalReferences>
  <definedNames>
    <definedName name="_xlnm._FilterDatabase" localSheetId="0" hidden="1">'FY 26 Current'!$A$1:$P$70</definedName>
    <definedName name="_xlnm._FilterDatabase" localSheetId="1" hidden="1">'FY 27 Planning'!$B$1:$L$67</definedName>
    <definedName name="elements">[1]rate!$A$2:$A$58</definedName>
    <definedName name="Holidays">[2]Configs!$B$8:$B$18</definedName>
    <definedName name="List_Developers" localSheetId="0">[2]!ResourceTable[Name]</definedName>
    <definedName name="List_Developers">[2]!ResourceTable[Name]</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9" i="3" l="1"/>
  <c r="G119" i="3"/>
  <c r="F119" i="3"/>
  <c r="I118" i="3"/>
  <c r="I117" i="3"/>
  <c r="I116" i="3"/>
  <c r="I115" i="3"/>
  <c r="I114" i="3"/>
  <c r="I113" i="3"/>
  <c r="I112" i="3"/>
  <c r="I111" i="3"/>
  <c r="I110" i="3"/>
  <c r="I109" i="3"/>
  <c r="I108" i="3"/>
  <c r="I107" i="3"/>
  <c r="I106" i="3"/>
  <c r="I105" i="3"/>
  <c r="I104" i="3"/>
  <c r="D89" i="3"/>
  <c r="C89" i="3"/>
  <c r="H83" i="3"/>
  <c r="D83" i="3"/>
  <c r="C83" i="3"/>
  <c r="H77" i="3"/>
  <c r="G77" i="3"/>
  <c r="I77" i="3" s="1"/>
  <c r="J77" i="3" s="1"/>
  <c r="D77" i="3"/>
  <c r="C77" i="3"/>
  <c r="C86" i="3" s="1"/>
  <c r="H76" i="3"/>
  <c r="D91" i="3" s="1"/>
  <c r="G76" i="3"/>
  <c r="C91" i="3" s="1"/>
  <c r="D76" i="3"/>
  <c r="C76" i="3"/>
  <c r="H75" i="3"/>
  <c r="D90" i="3" s="1"/>
  <c r="G75" i="3"/>
  <c r="D75" i="3"/>
  <c r="C75" i="3"/>
  <c r="C84" i="3" s="1"/>
  <c r="M37" i="3"/>
  <c r="M70" i="3" s="1"/>
  <c r="M34" i="3"/>
  <c r="M20" i="3"/>
  <c r="M9" i="3"/>
  <c r="I119" i="3" l="1"/>
  <c r="C96" i="3" s="1"/>
  <c r="C97" i="3" s="1"/>
  <c r="I75" i="3"/>
  <c r="J75" i="3" s="1"/>
  <c r="D78" i="3"/>
  <c r="C78" i="3"/>
  <c r="G78" i="3"/>
  <c r="C90" i="3"/>
  <c r="C92" i="3" s="1"/>
  <c r="H91" i="3"/>
  <c r="E91" i="3"/>
  <c r="D92" i="3"/>
  <c r="E75" i="3"/>
  <c r="F75" i="3" s="1"/>
  <c r="I76" i="3"/>
  <c r="J76" i="3" s="1"/>
  <c r="H78" i="3"/>
  <c r="E77" i="3"/>
  <c r="C85" i="3"/>
  <c r="E76" i="3"/>
  <c r="F76" i="3" s="1"/>
  <c r="C87" i="3" l="1"/>
  <c r="I78" i="3"/>
  <c r="H92" i="3"/>
  <c r="E90" i="3"/>
  <c r="E92" i="3" s="1"/>
  <c r="C98" i="3" s="1"/>
  <c r="C100" i="3" s="1"/>
  <c r="E78" i="3"/>
  <c r="H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tc={3408AA6A-7A2C-485F-8F71-7F1E1032120B}</author>
    <author>tc={AABD39DA-B2C1-4CFF-94D2-2A3E31F6C39D}</author>
    <author>tc={C8D3F55D-8C08-45A2-9DC0-18F5A4F2E572}</author>
    <author>tc={2178FD00-BD5B-4BEC-BBE3-C58732C672AE}</author>
  </authors>
  <commentList>
    <comment ref="I33" authorId="0" shapeId="0" xr:uid="{3408AA6A-7A2C-485F-8F71-7F1E103212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@Hemanth Kannan Release management u have already mentioned in row42, why do we need release management again?</t>
      </text>
    </comment>
    <comment ref="I49" authorId="1" shapeId="0" xr:uid="{AABD39DA-B2C1-4CFF-94D2-2A3E31F6C39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@Hemanth Kannan This is very generic to me, and looks like this overlaps with other items already mentioned.</t>
      </text>
    </comment>
    <comment ref="I53" authorId="2" shapeId="0" xr:uid="{C8D3F55D-8C08-45A2-9DC0-18F5A4F2E57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@Hemanth Kannan Release management u have already mentioned in row42, why do we need release management again?</t>
      </text>
    </comment>
    <comment ref="I54" authorId="3" shapeId="0" xr:uid="{2178FD00-BD5B-4BEC-BBE3-C58732C672A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@Hemanth Kannan for the items included in core product budget for H2 do you really foresee 396 hrs for work package development? Note: I am creating Release Notes so you don’t need to consider that.</t>
      </text>
    </comment>
  </commentList>
</comments>
</file>

<file path=xl/sharedStrings.xml><?xml version="1.0" encoding="utf-8"?>
<sst xmlns="http://schemas.openxmlformats.org/spreadsheetml/2006/main" count="1404" uniqueCount="339">
  <si>
    <t>Priority</t>
  </si>
  <si>
    <t>Include</t>
  </si>
  <si>
    <t>Project</t>
  </si>
  <si>
    <t>Category</t>
  </si>
  <si>
    <t>Hours</t>
  </si>
  <si>
    <t>Title</t>
  </si>
  <si>
    <t>Description</t>
  </si>
  <si>
    <t>Critical</t>
  </si>
  <si>
    <t>Yes</t>
  </si>
  <si>
    <t>CS 2.0</t>
  </si>
  <si>
    <t>Tech Maintenance</t>
  </si>
  <si>
    <t>Next.js 16.x LTS Upgrade for Admin Console and Platform Web Apps</t>
  </si>
  <si>
    <t>Upgrade Next.js to Version 16.x LTS (Admin &amp; Platform) - 14.X is already outdated and 15.x is reaching end of life by 21/Oct/2026</t>
  </si>
  <si>
    <t>High</t>
  </si>
  <si>
    <t>GitLab DAST Enablement for Web Application and Admin Console</t>
  </si>
  <si>
    <t>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t>
  </si>
  <si>
    <t>Yearly External VAPT for Web Application</t>
  </si>
  <si>
    <t>Perform VAPT for web application as per planned schedule - Perform yearly external VAPT for the Web Application by coordinating with the external security team, providing required access and application details, reviewing reported findings, fixing applicable vulnerabilities, and supporting retesting and closure of identified issues.</t>
  </si>
  <si>
    <t>Yearly External VAPT for Mobile Application</t>
  </si>
  <si>
    <t>Perform VAPT for mobile application as per planned schedule - Perform yearly external VAPT for both iOS and Android mobile applications by coordinating with the external security team, sharing required app builds and test access, reviewing reported findings, fixing applicable vulnerabilities, and supporting retesting and closure of identified issues.</t>
  </si>
  <si>
    <t>Disaster Recovery Drill and Runbook Execution</t>
  </si>
  <si>
    <t>Perform Disaster Recovery activity as per planned schedule - Perform the scheduled Disaster Recovery activity in the London region by executing the approved DR runbook, validating infrastructure, application, and data availability, coordinating failover/failback activities, documenting observations, and updating the runbook based on the exercise findings.</t>
  </si>
  <si>
    <t>Release Governance, Code Merge and Deployment Control</t>
  </si>
  <si>
    <t>Standardize the code merge and release management process by improving version control, conflict handling, release planning, approvals, deployment tracking, rollback governance, and client-specific patch management. This will strengthen engineering governance, reduce release risks, and improve operational control across releases.</t>
  </si>
  <si>
    <t>Performance Testing, Tuning and Test Suite Management</t>
  </si>
  <si>
    <t>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
Note: Reduced this effort considering the release maangement will also go to the respective features</t>
  </si>
  <si>
    <t>HIgh</t>
  </si>
  <si>
    <t>Code Refactoring, Dependency Upgrades and Deprecated Code Removal</t>
  </si>
  <si>
    <t>Improve code quality and maintainability by refactoring existing code, upgrading outdated dependencies, and removing deprecated or unused code/components. This helps reduce technical debt, improve system stability, support security compliance, and keep the application aligned with current technology standards.</t>
  </si>
  <si>
    <t>Application Issue Fixes and Remediation</t>
  </si>
  <si>
    <t>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t>
  </si>
  <si>
    <t>Cloud Usage Chargeback Model, Monthly Tenant-Level Allocation</t>
  </si>
  <si>
    <t>Cloud Usage Charge back model (Monthly) - Prepare monthly tenant-level cloud usage chargeback by collecting cloud consumption data, applying agreed allocation rules, validating usage/cost anomalies, and publishing the monthly chargeback summary for each tenant.</t>
  </si>
  <si>
    <t>Infrastructure and Application Monitoring for EKS Platform</t>
  </si>
  <si>
    <t>Infrastructure and Application Monitoring - Monitor the AWS EKS-based infrastructure and application ecosystem using Grafana and related monitoring tools. This includes tracking cluster health, service availability, resource usage, application performance, API response times, worker status, error trends, and alerts, along with coordinating corrective actions to maintain platform stability and availability.</t>
  </si>
  <si>
    <t>DevOps Management, Improvements and Pipeline Monitoring</t>
  </si>
  <si>
    <t>Devops Management/Improvement/Monitoring - Manage and improve the existing DevOps setup by enhancing CI/CD pipelines, adding new deployment workflows, optimizing automation, monitoring pipeline health, troubleshooting deployment issues, and supporting DevOps changes required for new services, environments, and platform upgrades.</t>
  </si>
  <si>
    <t>Release Management, Regression Testing and Test Automation</t>
  </si>
  <si>
    <t>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
Note: Reduced this effort considering the release maangement will also go to the respective features, for the delivery customization this will be part of the delivery budget</t>
  </si>
  <si>
    <t>SAST Vulnerability Fixes Based on GitLab Security Findings</t>
  </si>
  <si>
    <t>SAST Fixes - As per the GitLab analysis results - Review and fix SAST vulnerabilities reported through GitLab security scans for the existing codebase. Although new vulnerabilities are controlled through MR-level gates, additional findings may arise from updated scan rules, new CVEs, dependency changes, or existing code risks. This includes validation, prioritization, remediation, retesting, and closure tracking in GitLab.</t>
  </si>
  <si>
    <t>Monthly Library Upgrade Assessment and Remediation Across Services</t>
  </si>
  <si>
    <t>Perform monthly scheduled library and package upgrade assessment across 20+ services, including web apps, Node.js services, workers, and .NET services. This includes identifying available upgrades, assessing security and compatibility impact, handling breaking changes, applying required fixes, validating builds, and supporting regression/release readiness.</t>
  </si>
  <si>
    <t>Internal VAPT - Half-Yearly Penetration Testing and Fixes</t>
  </si>
  <si>
    <t>Perform half-yearly internal VAPT between yearly external VAPT cycles to proactively identify and fix security issues. This includes internal penetration testing, finding validation, severity-based prioritization, remediation, retesting support, and closure tracking.</t>
  </si>
  <si>
    <t>Release Based Feature Documentation</t>
  </si>
  <si>
    <t>Create release based feature documentation covering new features, functional changes, configuration steps, usage flows, dependencies, screenshots, and known limitations. This will support delivery, QA, support, product, and implementation teams in understanding and adopting each release</t>
  </si>
  <si>
    <t>Achievo Mobile App Upgrades and Store Policy Compliance Updates</t>
  </si>
  <si>
    <t>Perform Achievo mobile app upgrades and store-specific policy updates for iOS and Android. This includes updating SDKs, dependencies, build tools, privacy/permission declarations, App Store and Play Store compliance requirements, testing, build validation, and supporting app submission/review activities.</t>
  </si>
  <si>
    <t>Kubernetes Resource Optimization</t>
  </si>
  <si>
    <t>Review EKS resource requests/limits, autoscaling, pod disruption budgets, node utilization, and cost/performance tuning.</t>
  </si>
  <si>
    <t>Tech Enhancements</t>
  </si>
  <si>
    <t>Table-Specific Metadata Model Storage Enhancement</t>
  </si>
  <si>
    <t>Enhance the existing metadata model storage by separating the currently combined JSON structure into table-specific JSON structures. This will improve metadata maintainability, support table level configuration flexibility, reduce complexity, and make future schema or configuration changes easier to manage.</t>
  </si>
  <si>
    <t>System Wide AWS Redis Caching Layer Enablement</t>
  </si>
  <si>
    <t>Extend the existing AWS Redis caching layer, currently used for fraud related processing, to support other time-consuming queries across the system. This will include identifying high-latency and frequently executed queries, defining suitable cache keys and expiry rules, implementing cache read/write logic, and validating performance improvements. The enhancement will help reduce database load, improve response time, and increase overall platform scalability.</t>
  </si>
  <si>
    <t>Medium</t>
  </si>
  <si>
    <t>No</t>
  </si>
  <si>
    <t>Form Builder Decoupling into Standalone NPM Package</t>
  </si>
  <si>
    <t>Decouple the existing Form Builder from the Next.js codebase and convert it into a standalone reusable NPM package. This will improve modularity, enable reuse across multiple applications, reduce dependency on the main codebase, simplify maintenance, and support independent versioning and release management for Form Builder changes.</t>
  </si>
  <si>
    <t>Architecture Proposal: Core + Extension Model for Participant Portals</t>
  </si>
  <si>
    <t>Define a Core + Extension architecture model for Participant Portals to separate common product capabilities from client-specific customizations. This will help reduce the effort required to apply latest product changes across multiple delivery deployments, minimize the risk of overriding existing client-specific features, and improve maintainability, upgradeability, and release consistency across implementations.</t>
  </si>
  <si>
    <t>Scalable File Upload Processing Enhancement</t>
  </si>
  <si>
    <t>Enhance the existing file upload processing architecture to handle large files with more than 100,000 records. This will address the current single-pod stateful processing limitation by improving scalability, reliability, and fault tolerance for high-volume uploads</t>
  </si>
  <si>
    <t>Configuration Migration Tool Enhancement</t>
  </si>
  <si>
    <t>Enhance the existing Configuration Migration Tool to improve automation, reliability, and control while moving configuration changes across environments and client deployments. This will reduce manual deployment effort, minimize migration errors, improve tenant/environment consistency, and support faster, more governed configuration rollouts.</t>
  </si>
  <si>
    <t>Workflow Engine Observability and Traceability Enhancements</t>
  </si>
  <si>
    <t>Improve the Workflow Engine with better logging, monitoring, and traceability capabilities. This will help track workflow execution, identify failures faster, improve operational visibility, simplify troubleshooting, and strengthen overall engine reliability and supportability.</t>
  </si>
  <si>
    <t>Command and Query Engine Enhancement with GraphQL Evaluation</t>
  </si>
  <si>
    <t>Enhance the Command and Query Engine by evaluating GraphQL-like querying capabilities and optimizing command/query handling. This will improve technical product capability by supporting more flexible data retrieval, better query control, optimized execution, and clearer separation between write operations and read operations. The activity will also include evaluating whether GraphQL is suitable for the platform based on performance, security, complexity, maintainability, and tenant-specific metadata requirements.</t>
  </si>
  <si>
    <t>View Builder Governance and Performance Enhancement</t>
  </si>
  <si>
    <t>Enhance the existing View Builder to improve usability, performance, and governance. This includes introducing controls to manage excessive view creation, optimizing view execution, improving user experience, defining limits or approval rules where required, and reducing the risk of performance issues caused by unmanaged or duplicate user-created views.</t>
  </si>
  <si>
    <t>Metadata Services Governance and Validation Enhancements</t>
  </si>
  <si>
    <t>Enhance Metadata Services with improved sequence creation, schema validation, and governance controls. This will strengthen metadata platform capability by ensuring consistent metadata structures, reducing configuration errors, improving data/model integrity, and supporting better control over metadata-driven application behaviour</t>
  </si>
  <si>
    <t>File Upload Module Stabilization and Validation Enhancements</t>
  </si>
  <si>
    <t>Enhance the existing File Upload Module with improved validation, tracking, retry handling, and stabilization capabilities. This will improve upload reliability, reduce processing failures, provide better visibility into upload status, support controlled reprocessing, and strengthen the overall stability of file-based data ingestion.</t>
  </si>
  <si>
    <t>Connector Specific Property Model Enhancement</t>
  </si>
  <si>
    <t>Enhance the connector module to support connector specific attached properties based on each connector’s behaviour and configuration needs. This will improve flexibility, reduce dependency on a fixed JSON structure, and make the connector framework more adaptable for different integration types.</t>
  </si>
  <si>
    <t>Application Health Monitoring Dashboard</t>
  </si>
  <si>
    <t>Build an in-application health monitoring page to provide visibility into the status of key services outside Grafana. This will help product, support, and operations teams quickly monitor service availability, dependency health, API status, worker status, and critical system indicators directly from the application.</t>
  </si>
  <si>
    <t>AWS Secrets Manager Enforcement for Service Credentials</t>
  </si>
  <si>
    <t>Enforce AWS Secrets Manager usage for all service credentials and remove any plain-text or insecure storage of credentials from configuration files, environment variables, deployment scripts, and service-level settings. This will improve credential security, strengthen governance, reduce secret exposure risk, and align services with secure configuration management practices.</t>
  </si>
  <si>
    <t>Type</t>
  </si>
  <si>
    <t>Budget</t>
  </si>
  <si>
    <t>Remarks</t>
  </si>
  <si>
    <t>Maintenance</t>
  </si>
  <si>
    <t>Total</t>
  </si>
  <si>
    <t>Team</t>
  </si>
  <si>
    <t>Planned Budget</t>
  </si>
  <si>
    <t>Est. Maturity</t>
  </si>
  <si>
    <t>Product</t>
  </si>
  <si>
    <t>Task Name</t>
  </si>
  <si>
    <t>Comments</t>
  </si>
  <si>
    <t>Assigned To</t>
  </si>
  <si>
    <t>Status</t>
  </si>
  <si>
    <t>Effort (Hours)</t>
  </si>
  <si>
    <t>Milestone</t>
  </si>
  <si>
    <t>Release</t>
  </si>
  <si>
    <t>Team-1</t>
  </si>
  <si>
    <t>CS 1.0</t>
  </si>
  <si>
    <t>Planned</t>
  </si>
  <si>
    <t>Briks</t>
  </si>
  <si>
    <t>Briks Migration - as it is from Nackle Infra to Phoenix Infra</t>
  </si>
  <si>
    <t>Only deploying all the compoennts from Nackel Infra to Phoenix Infra (Only minor/no tech changes are included here)</t>
  </si>
  <si>
    <t>Jawahar, Manikandaprabhu</t>
  </si>
  <si>
    <t>Completed</t>
  </si>
  <si>
    <t>Q3</t>
  </si>
  <si>
    <t>April</t>
  </si>
  <si>
    <t>Upgraded the briks API, Admin and deployed the applucation in Phoenix PPRD (Mumbai) and Prod (Dubin)</t>
  </si>
  <si>
    <t xml:space="preserve">Briks Mandatory Tech Upgrades
</t>
  </si>
  <si>
    <t>Mandatory Upgrade
- Angular to Angular 21 - The current version is below 15 which increases complexity (120)
- Document DB is in version 3.6 which is out of support from couple years and the plan for upgrade getting postponsed over other features this is a mandatory upgrade. Along with this AWS will move the 3.6 version to extended support wchich will incure double the cost of existing infra
- Upgrading the  document db to 5+ version will have breaking changes and this need to be taken care (160)
- Current .Net version is 6.0 we need to upgrade this to 8.0 or 10.0 (40)</t>
  </si>
  <si>
    <t>Completed - Upgrade for Angular, .NET, DocumentDB. Performance improvement fix is still pending (160 hours)</t>
  </si>
  <si>
    <t>Core</t>
  </si>
  <si>
    <t xml:space="preserve">Moving from the existing on prem strongmail to strongmail cloud. 
</t>
  </si>
  <si>
    <t>Moving from the existing on prem strongmail to strongmail cloud. 
- Build an option in core product to integrate with the cloud API</t>
  </si>
  <si>
    <t>February</t>
  </si>
  <si>
    <t>Moving from the existing on prem strongmail to strongmail cloud.
- Handover the patch to delivery team</t>
  </si>
  <si>
    <t>Replace the US bank integration from Partnerservices with Rewards Hub</t>
  </si>
  <si>
    <t>Replace the US bank integration from Partnerservices with Rewards Hub
- Balance points
- Deposit
- Enrollment
- Account Summary
- Catalogue SSO!!!
- Applyng and verifyng will be taken care by the delivery team (Not included in this estimate)</t>
  </si>
  <si>
    <t>Patch is given to the delivery team. Delivery team testing is in progress</t>
  </si>
  <si>
    <t>OTP Service</t>
  </si>
  <si>
    <t>OTP Service Migration - as it is from Nackle Infra to Phoenix Infra</t>
  </si>
  <si>
    <t>Only deploying all the compoennts from Nackle Infra to Phoenix Infra (Only minor/no tech changes are included here)</t>
  </si>
  <si>
    <t>Jawahar, Ramanathan</t>
  </si>
  <si>
    <t xml:space="preserve">Migrated to Phoenix eco system. Pheonix already using this service. For 1.x patch is given to the delivery team </t>
  </si>
  <si>
    <t>Coupon Service</t>
  </si>
  <si>
    <t>Coupon Service Migration - as it is from Nackle Infra to Phoenix Infra</t>
  </si>
  <si>
    <t xml:space="preserve">Additional </t>
  </si>
  <si>
    <t>Briks Migration - as it is from Nackle Infra to Dedicate GM Infra</t>
  </si>
  <si>
    <t>Host the Briks replica in the Canada region and the primary requirement is from GM Canada</t>
  </si>
  <si>
    <t>Pending</t>
  </si>
  <si>
    <t>Q4</t>
  </si>
  <si>
    <t>Pending decission from delivery team and the Canada team</t>
  </si>
  <si>
    <t>Performance improvement fix is still pending (160 hours)</t>
  </si>
  <si>
    <t>Performance Engineering fixes for Briks Serivce(Benchmark to be given)</t>
  </si>
  <si>
    <t>GM is highly using this service, and there is a expectation for high volume of participants in January</t>
  </si>
  <si>
    <t>This will be taken after the pefromance related fixes are completed</t>
  </si>
  <si>
    <t>Integrate the email validation service for Channel Smart 1.0</t>
  </si>
  <si>
    <t>Handle the self registration and bulk load scneario</t>
  </si>
  <si>
    <t xml:space="preserve">We might not be able to work on this in Q4. This requires vendor identification and approval from business related to the cost. </t>
  </si>
  <si>
    <t>Build Unsubscribe feature for all the promotional emails</t>
  </si>
  <si>
    <t>Business requirement need to be confirmed</t>
  </si>
  <si>
    <t>Support for Delivery team</t>
  </si>
  <si>
    <t xml:space="preserve">CS 1.0 (Defect Fix for Critical or High Defects for ongoing clients) </t>
  </si>
  <si>
    <t>Delivery support on High/critical defects(40 Hours Per month)</t>
  </si>
  <si>
    <t>Mani</t>
  </si>
  <si>
    <t>In-Progress</t>
  </si>
  <si>
    <t>In Progress, based on the need</t>
  </si>
  <si>
    <t>Additional</t>
  </si>
  <si>
    <t>Feature</t>
  </si>
  <si>
    <t>Phoenix</t>
  </si>
  <si>
    <t>Cash + Wallet + Compliance - Integration patch for CS 1.0</t>
  </si>
  <si>
    <t>H2 Plan</t>
  </si>
  <si>
    <t>Team-2</t>
  </si>
  <si>
    <t>Fraud Management Implementation</t>
  </si>
  <si>
    <t xml:space="preserve">Fraud Management Implementation - Planned implementation </t>
  </si>
  <si>
    <t>March</t>
  </si>
  <si>
    <t>Delivered and Deployed in Production and ready for tenants to use</t>
  </si>
  <si>
    <t>Cloud Usage Charge back model - Setup the chargeback model</t>
  </si>
  <si>
    <t>Cloud Usage Charge back model - Setup the chargeback model, to get the tenant specific usage details</t>
  </si>
  <si>
    <t>All</t>
  </si>
  <si>
    <t>Phoenix API Gateway(Kong) - Implementation for delivery qa and loreal</t>
  </si>
  <si>
    <t>We have enabled the Kong gateway for qa, pprd and prd. Still need to work on the delivery qa environment and the china pprd and prd</t>
  </si>
  <si>
    <t>External VAPT - Cordination and Issue Fixes</t>
  </si>
  <si>
    <t>N/A</t>
  </si>
  <si>
    <t>Completed and the clean Report is shared after the fixes</t>
  </si>
  <si>
    <t>Issues &amp; Bug Fixes</t>
  </si>
  <si>
    <t>Core product &amp; Mobile</t>
  </si>
  <si>
    <t>Enhancement</t>
  </si>
  <si>
    <t>Replace the US bank integration from Cashier with Rewards Hub</t>
  </si>
  <si>
    <t>Replace the US bank integration from Cashier with Rewards Hub
- Balance points
- Deposit
- Enrollment
- Account Summary
- Catalogue SSO!!!</t>
  </si>
  <si>
    <t>Completed the development activities</t>
  </si>
  <si>
    <t>Application &amp; Infra Monitoring &amp; Maintenance</t>
  </si>
  <si>
    <t>Continuous monitoring of Infrastructure &amp; maintenance</t>
  </si>
  <si>
    <t>Phoenix - Cookie Compliance &amp; Google Analytics</t>
  </si>
  <si>
    <t>Implementing a configurable google analytics basic id
Cookie popup &amp; concent acceptance implementation, integrate with the existing cms feature, handle both anonymous and authorized scenario. Handle the non mandatory cookies based on the configuration</t>
  </si>
  <si>
    <t>Ramanathan</t>
  </si>
  <si>
    <t>Development is completed, testing is pending. This was a Q4 task as the developer was available bought onluy the development acitvity to Q3. Total effort ws 120, out of 40 spend here and the 80 will be used in Q4</t>
  </si>
  <si>
    <t>Cloud Usage Charge back model (Monthly) - 4x6</t>
  </si>
  <si>
    <t xml:space="preserve">This will be the manual effort required, until we have the metering feature built as part of the phoenix admin or different unique system </t>
  </si>
  <si>
    <t>Monthly activity, Total 24 hours, adding 12 hours here and 12 for Q4</t>
  </si>
  <si>
    <t>Release Management Activities - Regression Testing &amp; Automation</t>
  </si>
  <si>
    <t>Regression tests, test suite management, add / remove fixtures, automation</t>
  </si>
  <si>
    <t>Feature Documentation(12X6)</t>
  </si>
  <si>
    <t>Create documentation for each release</t>
  </si>
  <si>
    <t>12 X 3 months</t>
  </si>
  <si>
    <t xml:space="preserve">UK Bank Dataflux Integration </t>
  </si>
  <si>
    <t>Initially, we integrated with an older version of the UK bank API. A standardized and optimized version is now available and has been tested across all aspects. The existing integration is only a temporary solution. As more clients using the UK bank API go into production, the current integration will become riskier.</t>
  </si>
  <si>
    <t>Ramanathan, Gowtham</t>
  </si>
  <si>
    <t xml:space="preserve">Performance Benchmarking for Phoenix </t>
  </si>
  <si>
    <t>InProgress</t>
  </si>
  <si>
    <t>QA and Development support need to work on</t>
  </si>
  <si>
    <t>Build Unsubscribe feature for all the promotional emails
Build the unsubscribe part of the template itself</t>
  </si>
  <si>
    <t>Evaluate and Migrate CMS Functionality from Strapi to Native Page Builder</t>
  </si>
  <si>
    <t>Including Media Library
Strapi was introduced during the initial phase of Phoenix development. Subsequently, we implemented a page builder and enhanced it with additional features. While Strapi is a good solution, considering the capabilities already available in the existing page builder and the additional effort required to set up and maintain Strapi, it is highly recommended to retire Strapi and migrate the remaining Strapi-dependent features directly into Phoenix.</t>
  </si>
  <si>
    <t>Admin report for bank account creation and failure in Admin Platform</t>
  </si>
  <si>
    <t>This is to increase the operation efficiency by providing a detailed report for the admin user to view the bank account creation status</t>
  </si>
  <si>
    <t>Low</t>
  </si>
  <si>
    <t>Connect Genee with Databricks - Databricks as one of the datasource</t>
  </si>
  <si>
    <t xml:space="preserve">This will be the manual effort required, until we have the metering feature built as part of the phoenix admin or different unique system 
</t>
  </si>
  <si>
    <t>June</t>
  </si>
  <si>
    <t>Monthly activity, original 24, adding 12 here,, 12 added for Q3</t>
  </si>
  <si>
    <t>Cloud Usage Charge back model additional field requirements to strengthen the chargeback model</t>
  </si>
  <si>
    <t>There are a few missing fields in the tenant configuration that are mandatory for generating region-specific monthly billing
April 29: HK - Tenant WP to be updated with Region specific chargeback notification
June 6: HK - Dev Team to analyse the requirement this week</t>
  </si>
  <si>
    <t>This need to be planned as per the requirement in last week of March 26</t>
  </si>
  <si>
    <t>SAST Fixes - As per the GitLab analysis results</t>
  </si>
  <si>
    <t>There are large number of issues which need to be triaged to mark as "to be fixed" or "false positive" - This is one of the security requirement
April 24: May 8 onwards SAST Fix are to be in progress
June 6: HK - Critical issues fixed. High Defect fix in progress</t>
  </si>
  <si>
    <t>Total 1350 hours, in Q3 this hours is already utilized, keeping 800 alne here</t>
  </si>
  <si>
    <t>Incident Management / Downtime recovery</t>
  </si>
  <si>
    <t>Handling unexpected incidents like system downtimes or severe bugs affecting tenants. Monthly 4 hours</t>
  </si>
  <si>
    <t xml:space="preserve">Periodic updates (Phoenix - Platform, Admin, Services Site Upgrades (Monthly) </t>
  </si>
  <si>
    <t>We have 20+ service including the web apps, nodejs services, workers and .Net services. We need to plan for a monthly scheduled upgrade activity which will verify for any upgrade for the libraries.. And some of the library upgrades might have breaking changes as well. 12 X 6</t>
  </si>
  <si>
    <t>Technology refresh</t>
  </si>
  <si>
    <t>Mandatory adoption of newer tools and frameworks
Phoenix - Platform Site Upgrades (Onetime) To 16.x
Admin - Platform Site Upgrades (Onetime) To 16.x</t>
  </si>
  <si>
    <t>Orginal 600, considering 100 per month moved 300 to Q3. As there is no budget the available 300 moved to Issues &amp; Bug fixes</t>
  </si>
  <si>
    <t>Delivery Support</t>
  </si>
  <si>
    <t>Support delivery teams on request, on need basis</t>
  </si>
  <si>
    <t>Orignal 240, this is modified to zero as there is no budget</t>
  </si>
  <si>
    <t>Documentation</t>
  </si>
  <si>
    <t>Work Package Updates to Sync up as per the feature development</t>
  </si>
  <si>
    <t>On need basis - For support</t>
  </si>
  <si>
    <t>Achievo</t>
  </si>
  <si>
    <t>Achievo - Android 16 Upgrade</t>
  </si>
  <si>
    <t>Achievo - Android 16 Upgrade. Need to pick this for estimation in March</t>
  </si>
  <si>
    <t>July</t>
  </si>
  <si>
    <t>Achievo - iOS Updates</t>
  </si>
  <si>
    <t>Replace the US bank integration from Cashier with Rewards Hub - Balance points, Deposit, Enrollment, Account Summary, Catalogue SSO!!!</t>
  </si>
  <si>
    <t>QA and Development support need to work on. Keeping 180 hours which is remaining here as the development is tracked combined for 1.x and 2.x</t>
  </si>
  <si>
    <t>Journey Builder - Requirements Building</t>
  </si>
  <si>
    <t>Journey Builder Requirements. Build the work package, Design and estimate based on the work package</t>
  </si>
  <si>
    <t>Integrate Phoenix with Bunch Ball - Requirement Building</t>
  </si>
  <si>
    <t>Bunch Ball Integration. Understand the bunch ball system, Understand the integration requirment, Build the work package</t>
  </si>
  <si>
    <t xml:space="preserve">Build a game engine - Requirements </t>
  </si>
  <si>
    <t xml:space="preserve">Pending the Confirmation from UK team </t>
  </si>
  <si>
    <t>Core + Extension Model for Participant Portals</t>
  </si>
  <si>
    <t>Core + Extension Model for Participant Portals
(Estimation to be finalized based on above POC and Scoped WP)</t>
  </si>
  <si>
    <t>June 6: HK - Major work to be done in Mobile. To be taken post June release</t>
  </si>
  <si>
    <t>Building a theme library for the participant portal</t>
  </si>
  <si>
    <t>Social Media Integration - Requirement Building</t>
  </si>
  <si>
    <t>Enhancement in Uploads to have a pre-validation node for any file preprocessing</t>
  </si>
  <si>
    <t>June 6: HK - Development near complete, QA to test it this week, Part of June release.</t>
  </si>
  <si>
    <t>R&amp;D For Next year roadmap</t>
  </si>
  <si>
    <t>New UI for platform portal</t>
  </si>
  <si>
    <t>BRD Composer</t>
  </si>
  <si>
    <t>Cash + Wallet + Compliance - Withon Phoenix</t>
  </si>
  <si>
    <t>Team-3</t>
  </si>
  <si>
    <t>Communication connector which can support the Whatsapp and Wechat communicaton bi direction</t>
  </si>
  <si>
    <t>CS1.0</t>
  </si>
  <si>
    <t>CS2.0</t>
  </si>
  <si>
    <t>Average</t>
  </si>
  <si>
    <t>Resource</t>
  </si>
  <si>
    <t>Per Day</t>
  </si>
  <si>
    <t>Available Days</t>
  </si>
  <si>
    <t>Per Month</t>
  </si>
  <si>
    <t>Months</t>
  </si>
  <si>
    <t>Name</t>
  </si>
  <si>
    <t>Role</t>
  </si>
  <si>
    <t>Hourly Rate</t>
  </si>
  <si>
    <t>Max Availability</t>
  </si>
  <si>
    <t>Team 1</t>
  </si>
  <si>
    <t>Team 2</t>
  </si>
  <si>
    <t>LK</t>
  </si>
  <si>
    <t>Developer</t>
  </si>
  <si>
    <t>Ram</t>
  </si>
  <si>
    <t>Jawahar</t>
  </si>
  <si>
    <t>QA Tester</t>
  </si>
  <si>
    <t>MJ</t>
  </si>
  <si>
    <t>Saravana K</t>
  </si>
  <si>
    <t>Gautham</t>
  </si>
  <si>
    <t>Sharukhan</t>
  </si>
  <si>
    <t>Kadar</t>
  </si>
  <si>
    <t>Ruthrakkanth</t>
  </si>
  <si>
    <t>Kishore T</t>
  </si>
  <si>
    <t>Shriguru</t>
  </si>
  <si>
    <t>Rubendran</t>
  </si>
  <si>
    <t>Kamesh</t>
  </si>
  <si>
    <t>Preethi</t>
  </si>
  <si>
    <t>Quarter</t>
  </si>
  <si>
    <t>Q1, Q2, Q3, Q4</t>
  </si>
  <si>
    <t>Q1</t>
  </si>
  <si>
    <t>Q2</t>
  </si>
  <si>
    <t>Q1,Q2</t>
  </si>
  <si>
    <t xml:space="preserve">With the latest change
Performance Benchmarking Test Execution
Fixes to improve the performance as per the findings
File upload beoyond 100k records to be optimised(TVS File Upload Issue)
June 4: HK- Current Performance benchmak completed, Improvements suggestions taken into consideration. </t>
  </si>
  <si>
    <t xml:space="preserve">June 15: HK - SAST Enabled, All Critical Defects Fixed, Team working on fixing the High Defects. </t>
  </si>
  <si>
    <t>June 6: HK - To be picked up by June 10th(Ruben engaged in Delivery currently)
June 15: HK - To be picked up in July since cannot be part of Jule 25th release.</t>
  </si>
  <si>
    <t xml:space="preserve">In Progress with Roshni. </t>
  </si>
  <si>
    <t xml:space="preserve">June 6: HK - Development near complete, QA to test it this week, Part of June release.
June 15: HK - QA Testing in progress for Webapps, Mobile minor changes in progress, ETA - 19th for Achievo. </t>
  </si>
  <si>
    <t xml:space="preserve">Delivery Team to take over. 
April 8: Ashok to work on WBS with understanding and resourse splits. 
June 15th: HK - Development activity started, Expected ETA Mid July for Phase 1.
</t>
  </si>
  <si>
    <t>Aug</t>
  </si>
  <si>
    <t>Row Labels</t>
  </si>
  <si>
    <t>Sum of Hours</t>
  </si>
  <si>
    <t>Grand Total</t>
  </si>
  <si>
    <t>Activity</t>
  </si>
  <si>
    <t>New Feature</t>
  </si>
  <si>
    <t>Shutting down BRIKS service from Nackle</t>
  </si>
  <si>
    <t xml:space="preserve">Pending action to completely remove BRIKS services from Nackle ecosystem </t>
  </si>
  <si>
    <t>FY 27 Q1</t>
  </si>
  <si>
    <t>ERP Connerctor Service</t>
  </si>
  <si>
    <t>Planning is completed
June 4: Benchmark Completed, Fixes in progress
Jun 17 : Final report yet to prepared</t>
  </si>
  <si>
    <t>Backlog</t>
  </si>
  <si>
    <t xml:space="preserve">Journey Builder </t>
  </si>
  <si>
    <t>Phase 1 - ORCHESTRATE - Build the Engine</t>
  </si>
  <si>
    <t>Phase 2 - GUIDE with Recommendations</t>
  </si>
  <si>
    <t>Phase 3 - PREDICT with Intelligence</t>
  </si>
  <si>
    <t xml:space="preserve">Insights Agent </t>
  </si>
  <si>
    <t>Phase 1 - ANSWER &amp; GUIDE</t>
  </si>
  <si>
    <t>Phase 2 - EXPLAIN &amp; DIAGNOSE</t>
  </si>
  <si>
    <t>Phase 3 - PREDICT &amp; OPTIMISE</t>
  </si>
  <si>
    <t>CS 2.0 Data</t>
  </si>
  <si>
    <t>AI-Powered Claim Validation</t>
  </si>
  <si>
    <t>Introduce AI-assisted claim validation capabilities leveraging intelligent document processing to automate claim ingestion, extraction, validation, routing, and continuous learning. Strategic FY27 initiative under evaluation.</t>
  </si>
  <si>
    <t>MDF Budget Management &amp; Incentivization</t>
  </si>
  <si>
    <t>Develop end-to-end MDF request, approval, budget allocation, campaign setup, and incentive distribution capabilities to improve fund utilization and business outcome tracking. Strategic FY27 initiative under evaluation.</t>
  </si>
  <si>
    <t>AI Display Audit &amp; Compliance Management</t>
  </si>
  <si>
    <t>Implement AI-powered image analysis to automate display compliance audits, validate merchandising standards, and improve audit scalability, accuracy, and efficiency. Strategic FY27 initiative under evaluation.</t>
  </si>
  <si>
    <t>Organization-Centric Loyalty Journey</t>
  </si>
  <si>
    <t>Enable partner organizations to participate in loyalty and incentive programs through organization onboarding, governance controls, centralized reward management, and organization-led participation models. Strategic FY27 initiative under evaluation.</t>
  </si>
  <si>
    <t>Social Advocacy &amp; Partner Influence Platform</t>
  </si>
  <si>
    <t>Enable partners to share approved brand content, track engagement and attribution, and participate in incentive-driven advocacy programs that extend brand reach and influence. Strategic FY27 initiative under evaluation.</t>
  </si>
  <si>
    <t>Partner Referral &amp; Growth Engine</t>
  </si>
  <si>
    <t>Establish a referral ecosystem with attribution tracking, milestone-based rewards, referral analytics, and conversion visibility to support partner-led acquisition and network-driven growth. Strategic FY27 initiative under evaluation.</t>
  </si>
  <si>
    <t>AI-Powered Audience Segmentation</t>
  </si>
  <si>
    <t>Enable business users to create audience segments using natural language queries across transactional, behavioral, and engagement data, improving campaign targeting and intervention effectiveness. Strategic FY27 initiative under evaluation.</t>
  </si>
  <si>
    <t>Achievo Mobile Experience Modernization</t>
  </si>
  <si>
    <t>Modernize Achievo with mobile-native capabilities including push notifications, voice-assisted discovery, enhanced UX, QR-enabled interactions, gamification, and AI-assisted workflows to increase engagement and participation. Strategic FY27 initiative under evaluation.</t>
  </si>
  <si>
    <t>Embedded Gamification Experiences</t>
  </si>
  <si>
    <t>Introduce contextual, embedded gaming experiences within partner journeys to increase engagement, accelerate reward cycles, encourage repeat interactions, and improve program participation. Strategic FY27 initiative under evaluation.</t>
  </si>
  <si>
    <t>AI-Powered Journey Intelligence Platform</t>
  </si>
  <si>
    <t>Build AI agents, predictive models, and intelligence datasets that power personalized recommendations, next-best actions, engagement insights, and behavioral analytics across partner journeys.</t>
  </si>
  <si>
    <t>Data &amp; Intelligence Foundation Modernization</t>
  </si>
  <si>
    <t>Establish a unified intelligence platform integrating behavioral, communication, marketplace, and web analytics data to support AI, reporting, and decision intelligence.</t>
  </si>
  <si>
    <t>Promotion Optimization &amp; Decision Intelligence</t>
  </si>
  <si>
    <t>Deliver promotion simulation, ROI forecasting, budget optimization, and data-driven program management capabilities to improve campaign effectiveness and business outcomes.</t>
  </si>
  <si>
    <t>Partner Intelligence &amp; Fraud Analytics Suite</t>
  </si>
  <si>
    <t>Enhance Partner360 and Program360 with predictive insights, opportunity intelligence, advanced fraud detection, anomaly monitoring, and adaptive risk scoring.</t>
  </si>
  <si>
    <t>CS 2.0 Core</t>
  </si>
  <si>
    <t>CS 2.0 Achievo</t>
  </si>
  <si>
    <t>TBD</t>
  </si>
  <si>
    <t>Insight Agent Requirements Building and POC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</si>
</sst>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7" formatCode="&quot;$&quot;#,##0.00_);\(&quot;$&quot;#,##0.00\)"/>
    <numFmt numFmtId="44" formatCode="_(&quot;$&quot;* #,##0.00_);_(&quot;$&quot;* \(#,##0.00\);_(&quot;$&quot;* &quot;-&quot;??_);_(@_)"/>
  </numFmts>
  <fonts count="10" x14ac:knownFonts="1">
    <font>
      <sz val="11"/>
      <color theme="1"/>
      <name val="Calibri"/>
      <family val="2"/>
      <scheme val="minor"/>
    </font>
    <font>
      <sz val="11"/>
      <color theme="1"/>
      <name val="Calibri"/>
      <family val="2"/>
      <scheme val="minor"/>
    </font>
    <font>
      <b/>
      <sz val="11"/>
      <color theme="3"/>
      <name val="Calibri"/>
      <family val="2"/>
      <scheme val="minor"/>
    </font>
    <font>
      <b/>
      <sz val="11"/>
      <color theme="1"/>
      <name val="Calibri"/>
      <family val="2"/>
      <scheme val="minor"/>
    </font>
    <font>
      <b/>
      <sz val="11"/>
      <color theme="0" tint="-4.9989318521683403E-2"/>
      <name val="Calibri"/>
      <family val="2"/>
      <scheme val="minor"/>
    </font>
    <font>
      <b/>
      <sz val="11"/>
      <color theme="0"/>
      <name val="Segoe UI"/>
      <family val="2"/>
    </font>
    <font>
      <sz val="11"/>
      <color theme="1"/>
      <name val="Segoe UI"/>
      <family val="2"/>
    </font>
    <font>
      <b/>
      <sz val="11"/>
      <color theme="1"/>
      <name val="Segoe UI"/>
      <family val="2"/>
    </font>
    <font>
      <sz val="11"/>
      <name val="Segoe UI"/>
      <family val="2"/>
    </font>
    <font>
      <b/>
      <sz val="11"/>
      <color theme="3"/>
      <name val="Segoe UI"/>
      <family val="2"/>
    </font>
  </fonts>
  <fills count="9">
    <fill>
      <patternFill patternType="none"/>
    </fill>
    <fill>
      <patternFill patternType="gray125"/>
    </fill>
    <fill>
      <patternFill patternType="solid">
        <fgColor rgb="FF111827"/>
        <bgColor indexed="64"/>
      </patternFill>
    </fill>
    <fill>
      <patternFill patternType="solid">
        <fgColor rgb="FF20374C"/>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0"/>
        <bgColor indexed="64"/>
      </patternFill>
    </fill>
  </fills>
  <borders count="7">
    <border>
      <left/>
      <right/>
      <top/>
      <bottom/>
      <diagonal/>
    </border>
    <border>
      <left/>
      <right/>
      <top/>
      <bottom style="medium">
        <color theme="4" tint="0.39997558519241921"/>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thin">
        <color rgb="FFD9D9D9"/>
      </top>
      <bottom style="thin">
        <color rgb="FFD9D9D9"/>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s>
  <cellStyleXfs count="4">
    <xf numFmtId="0" fontId="0" fillId="0" borderId="0"/>
    <xf numFmtId="44" fontId="1" fillId="0" borderId="0" applyFont="0" applyFill="0" applyBorder="0" applyAlignment="0" applyProtection="0"/>
    <xf numFmtId="0" fontId="2" fillId="0" borderId="1" applyNumberFormat="0" applyFill="0" applyAlignment="0" applyProtection="0"/>
    <xf numFmtId="0" fontId="3" fillId="0" borderId="2" applyNumberFormat="0" applyFill="0" applyAlignment="0" applyProtection="0"/>
  </cellStyleXfs>
  <cellXfs count="72">
    <xf numFmtId="0" fontId="0" fillId="0" borderId="0" xfId="0"/>
    <xf numFmtId="0" fontId="0" fillId="0" borderId="0" xfId="0" applyAlignment="1">
      <alignment horizontal="left"/>
    </xf>
    <xf numFmtId="0" fontId="0" fillId="0" borderId="0" xfId="0" applyAlignment="1">
      <alignment horizontal="left" vertical="center"/>
    </xf>
    <xf numFmtId="0" fontId="5" fillId="3" borderId="4" xfId="2" applyFont="1" applyFill="1" applyBorder="1" applyAlignment="1" applyProtection="1">
      <alignment horizontal="left" vertical="center" indent="1"/>
      <protection locked="0"/>
    </xf>
    <xf numFmtId="0" fontId="5" fillId="3" borderId="4" xfId="2" applyFont="1" applyFill="1" applyBorder="1" applyAlignment="1" applyProtection="1">
      <alignment horizontal="left" vertical="center" wrapText="1" indent="1"/>
      <protection locked="0"/>
    </xf>
    <xf numFmtId="0" fontId="6" fillId="0" borderId="0" xfId="0" applyFont="1" applyAlignment="1">
      <alignment horizontal="left" vertical="top" indent="1"/>
    </xf>
    <xf numFmtId="0" fontId="6" fillId="4" borderId="3" xfId="0" applyFont="1" applyFill="1" applyBorder="1" applyAlignment="1">
      <alignment horizontal="center" vertical="top"/>
    </xf>
    <xf numFmtId="0" fontId="6" fillId="4" borderId="3" xfId="0" applyFont="1" applyFill="1" applyBorder="1" applyAlignment="1">
      <alignment horizontal="left" vertical="top" indent="1"/>
    </xf>
    <xf numFmtId="0" fontId="6" fillId="4" borderId="3" xfId="0" applyFont="1" applyFill="1" applyBorder="1" applyAlignment="1">
      <alignment horizontal="left" vertical="top" wrapText="1" indent="1"/>
    </xf>
    <xf numFmtId="0" fontId="6" fillId="4" borderId="3" xfId="0" applyFont="1" applyFill="1" applyBorder="1" applyAlignment="1">
      <alignment horizontal="right" vertical="top" indent="1"/>
    </xf>
    <xf numFmtId="0" fontId="7" fillId="0" borderId="2" xfId="3" applyFont="1" applyFill="1" applyAlignment="1">
      <alignment horizontal="center" vertical="top"/>
    </xf>
    <xf numFmtId="0" fontId="7" fillId="0" borderId="2" xfId="3" applyFont="1" applyFill="1" applyAlignment="1">
      <alignment horizontal="left" vertical="top" indent="1"/>
    </xf>
    <xf numFmtId="0" fontId="7" fillId="0" borderId="2" xfId="3" applyFont="1" applyFill="1" applyAlignment="1">
      <alignment horizontal="left" vertical="top" wrapText="1" indent="1"/>
    </xf>
    <xf numFmtId="0" fontId="7" fillId="0" borderId="2" xfId="3" applyFont="1" applyFill="1" applyAlignment="1">
      <alignment horizontal="right" vertical="top" indent="1"/>
    </xf>
    <xf numFmtId="0" fontId="7" fillId="5" borderId="2" xfId="3" applyFont="1" applyFill="1" applyAlignment="1">
      <alignment horizontal="left" vertical="top" indent="1"/>
    </xf>
    <xf numFmtId="0" fontId="7" fillId="5" borderId="2" xfId="3" applyFont="1" applyFill="1" applyAlignment="1">
      <alignment horizontal="left" vertical="top" wrapText="1" indent="1"/>
    </xf>
    <xf numFmtId="0" fontId="7" fillId="5" borderId="2" xfId="3" applyFont="1" applyFill="1" applyAlignment="1">
      <alignment horizontal="right" vertical="top" indent="1"/>
    </xf>
    <xf numFmtId="0" fontId="7" fillId="5" borderId="2" xfId="3" applyFont="1" applyFill="1" applyAlignment="1">
      <alignment horizontal="center" vertical="top"/>
    </xf>
    <xf numFmtId="0" fontId="6" fillId="0" borderId="3" xfId="0" applyFont="1" applyBorder="1" applyAlignment="1">
      <alignment horizontal="center" vertical="top"/>
    </xf>
    <xf numFmtId="0" fontId="6" fillId="0" borderId="3" xfId="0" applyFont="1" applyBorder="1" applyAlignment="1">
      <alignment horizontal="left" vertical="top" indent="1"/>
    </xf>
    <xf numFmtId="0" fontId="6" fillId="0" borderId="3" xfId="0" applyFont="1" applyBorder="1" applyAlignment="1">
      <alignment horizontal="left" vertical="top" wrapText="1" indent="1"/>
    </xf>
    <xf numFmtId="0" fontId="6" fillId="0" borderId="3" xfId="0" applyFont="1" applyBorder="1" applyAlignment="1">
      <alignment horizontal="right" vertical="top" indent="1"/>
    </xf>
    <xf numFmtId="0" fontId="6" fillId="0" borderId="3" xfId="0" applyFont="1" applyBorder="1" applyAlignment="1">
      <alignment horizontal="center" vertical="top" wrapText="1"/>
    </xf>
    <xf numFmtId="0" fontId="7" fillId="0" borderId="2" xfId="3" applyFont="1" applyAlignment="1">
      <alignment horizontal="center" vertical="top"/>
    </xf>
    <xf numFmtId="0" fontId="7" fillId="0" borderId="2" xfId="3" applyFont="1" applyAlignment="1">
      <alignment horizontal="left" vertical="top" indent="1"/>
    </xf>
    <xf numFmtId="0" fontId="7" fillId="0" borderId="2" xfId="3" applyFont="1" applyAlignment="1">
      <alignment horizontal="left" vertical="top" wrapText="1" indent="1"/>
    </xf>
    <xf numFmtId="0" fontId="7" fillId="0" borderId="2" xfId="3" applyFont="1" applyAlignment="1">
      <alignment horizontal="right" vertical="top" indent="1"/>
    </xf>
    <xf numFmtId="0" fontId="6" fillId="5" borderId="3" xfId="0" applyFont="1" applyFill="1" applyBorder="1" applyAlignment="1">
      <alignment horizontal="left" vertical="top" indent="1"/>
    </xf>
    <xf numFmtId="0" fontId="6" fillId="5" borderId="3" xfId="0" applyFont="1" applyFill="1" applyBorder="1" applyAlignment="1">
      <alignment horizontal="left" vertical="top" wrapText="1" indent="1"/>
    </xf>
    <xf numFmtId="0" fontId="6" fillId="5" borderId="3" xfId="0" applyFont="1" applyFill="1" applyBorder="1" applyAlignment="1">
      <alignment horizontal="center" vertical="top"/>
    </xf>
    <xf numFmtId="0" fontId="8" fillId="4" borderId="3" xfId="0" applyFont="1" applyFill="1" applyBorder="1" applyAlignment="1">
      <alignment horizontal="right" vertical="top" indent="1"/>
    </xf>
    <xf numFmtId="0" fontId="6" fillId="6" borderId="3" xfId="0" applyFont="1" applyFill="1" applyBorder="1" applyAlignment="1">
      <alignment horizontal="left" vertical="top" wrapText="1" indent="1"/>
    </xf>
    <xf numFmtId="0" fontId="6" fillId="7" borderId="3" xfId="0" applyFont="1" applyFill="1" applyBorder="1" applyAlignment="1">
      <alignment horizontal="left" vertical="top" indent="1"/>
    </xf>
    <xf numFmtId="0" fontId="6" fillId="7" borderId="3" xfId="0" applyFont="1" applyFill="1" applyBorder="1" applyAlignment="1">
      <alignment horizontal="left" vertical="top" wrapText="1" indent="1"/>
    </xf>
    <xf numFmtId="0" fontId="8" fillId="0" borderId="3" xfId="0" applyFont="1" applyBorder="1" applyAlignment="1">
      <alignment horizontal="right" vertical="top" indent="1"/>
    </xf>
    <xf numFmtId="2" fontId="6" fillId="0" borderId="3" xfId="0" applyNumberFormat="1" applyFont="1" applyBorder="1" applyAlignment="1">
      <alignment horizontal="left" vertical="top" indent="1"/>
    </xf>
    <xf numFmtId="0" fontId="6" fillId="0" borderId="0" xfId="0" applyFont="1"/>
    <xf numFmtId="0" fontId="6" fillId="0" borderId="0" xfId="0" applyFont="1" applyAlignment="1">
      <alignment horizontal="left" wrapText="1" indent="1"/>
    </xf>
    <xf numFmtId="0" fontId="6" fillId="0" borderId="0" xfId="0" applyFont="1" applyAlignment="1">
      <alignment horizontal="left" vertical="top" wrapText="1" indent="1"/>
    </xf>
    <xf numFmtId="0" fontId="6" fillId="0" borderId="0" xfId="0" applyFont="1" applyAlignment="1">
      <alignment horizontal="center" vertical="top"/>
    </xf>
    <xf numFmtId="0" fontId="6" fillId="0" borderId="0" xfId="0" applyFont="1" applyAlignment="1">
      <alignment horizontal="right" vertical="top" indent="2"/>
    </xf>
    <xf numFmtId="0" fontId="7" fillId="0" borderId="2" xfId="3" applyFont="1" applyAlignment="1">
      <alignment horizontal="right" vertical="top" indent="2"/>
    </xf>
    <xf numFmtId="0" fontId="7" fillId="0" borderId="0" xfId="0" applyFont="1" applyAlignment="1">
      <alignment horizontal="center" vertical="top"/>
    </xf>
    <xf numFmtId="0" fontId="7" fillId="0" borderId="0" xfId="0" applyFont="1" applyAlignment="1">
      <alignment horizontal="left" vertical="top" indent="1"/>
    </xf>
    <xf numFmtId="1" fontId="6" fillId="0" borderId="3" xfId="0" applyNumberFormat="1" applyFont="1" applyBorder="1" applyAlignment="1">
      <alignment horizontal="left" vertical="top" indent="1"/>
    </xf>
    <xf numFmtId="0" fontId="5" fillId="3" borderId="5" xfId="2" applyFont="1" applyFill="1" applyBorder="1" applyAlignment="1">
      <alignment horizontal="left" vertical="center" indent="1"/>
    </xf>
    <xf numFmtId="0" fontId="5" fillId="3" borderId="6" xfId="2" applyFont="1" applyFill="1" applyBorder="1" applyAlignment="1">
      <alignment horizontal="left" vertical="center" indent="1"/>
    </xf>
    <xf numFmtId="0" fontId="8" fillId="0" borderId="3" xfId="0" applyFont="1" applyBorder="1" applyAlignment="1">
      <alignment horizontal="left" vertical="center" indent="1"/>
    </xf>
    <xf numFmtId="0" fontId="6" fillId="0" borderId="3" xfId="0" applyFont="1" applyBorder="1" applyAlignment="1">
      <alignment horizontal="left" vertical="center" indent="1"/>
    </xf>
    <xf numFmtId="7" fontId="6" fillId="0" borderId="3" xfId="1" applyNumberFormat="1" applyFont="1" applyBorder="1" applyAlignment="1">
      <alignment horizontal="right" vertical="center" indent="1"/>
    </xf>
    <xf numFmtId="10" fontId="6" fillId="0" borderId="3" xfId="1" applyNumberFormat="1" applyFont="1" applyBorder="1" applyAlignment="1">
      <alignment horizontal="right" vertical="center" indent="1"/>
    </xf>
    <xf numFmtId="0" fontId="6" fillId="0" borderId="3" xfId="0" applyFont="1" applyBorder="1" applyAlignment="1">
      <alignment vertical="center" wrapText="1"/>
    </xf>
    <xf numFmtId="0" fontId="6" fillId="8" borderId="3" xfId="0" applyFont="1" applyFill="1" applyBorder="1" applyAlignment="1">
      <alignment horizontal="center" vertical="top"/>
    </xf>
    <xf numFmtId="0" fontId="6" fillId="8" borderId="3" xfId="0" applyFont="1" applyFill="1" applyBorder="1" applyAlignment="1">
      <alignment horizontal="left" vertical="top" indent="1"/>
    </xf>
    <xf numFmtId="0" fontId="6" fillId="8" borderId="3" xfId="0" applyFont="1" applyFill="1" applyBorder="1" applyAlignment="1">
      <alignment horizontal="left" vertical="top" wrapText="1" indent="1"/>
    </xf>
    <xf numFmtId="0" fontId="6" fillId="8" borderId="3" xfId="0" applyFont="1" applyFill="1" applyBorder="1" applyAlignment="1">
      <alignment horizontal="right" vertical="top" indent="1"/>
    </xf>
    <xf numFmtId="0" fontId="6" fillId="8" borderId="0" xfId="0" applyFont="1" applyFill="1" applyAlignment="1">
      <alignment horizontal="left" vertical="top" indent="1"/>
    </xf>
    <xf numFmtId="0" fontId="0" fillId="0" borderId="0" xfId="0" pivotButton="1"/>
    <xf numFmtId="0" fontId="0" fillId="0" borderId="0" xfId="0" applyAlignment="1">
      <alignment horizontal="left" indent="1"/>
    </xf>
    <xf numFmtId="0" fontId="0" fillId="8" borderId="0" xfId="0" applyFill="1" applyAlignment="1">
      <alignment horizontal="left" vertical="center"/>
    </xf>
    <xf numFmtId="0" fontId="0" fillId="8" borderId="0" xfId="0" applyFill="1"/>
    <xf numFmtId="0" fontId="9" fillId="0" borderId="1" xfId="2" applyFont="1" applyAlignment="1">
      <alignment horizontal="center" vertical="top"/>
    </xf>
    <xf numFmtId="0" fontId="0" fillId="0" borderId="0" xfId="0" applyAlignment="1">
      <alignment wrapText="1"/>
    </xf>
    <xf numFmtId="0" fontId="0" fillId="0" borderId="3" xfId="0" applyBorder="1"/>
    <xf numFmtId="0" fontId="4" fillId="2" borderId="3" xfId="0" applyFont="1" applyFill="1" applyBorder="1" applyAlignment="1">
      <alignment horizontal="left" vertical="center"/>
    </xf>
    <xf numFmtId="0" fontId="4" fillId="2" borderId="3" xfId="0" applyFont="1" applyFill="1" applyBorder="1" applyAlignment="1">
      <alignment horizontal="left" vertical="top" wrapText="1"/>
    </xf>
    <xf numFmtId="0" fontId="0" fillId="8" borderId="3" xfId="0" applyFill="1" applyBorder="1"/>
    <xf numFmtId="0" fontId="0" fillId="8" borderId="3" xfId="0" applyFill="1" applyBorder="1" applyAlignment="1">
      <alignment horizontal="left" vertical="center"/>
    </xf>
    <xf numFmtId="0" fontId="0" fillId="8" borderId="3" xfId="0" applyFill="1" applyBorder="1" applyAlignment="1">
      <alignment horizontal="left" vertical="center" wrapText="1"/>
    </xf>
    <xf numFmtId="0" fontId="0" fillId="8" borderId="3" xfId="0" applyFill="1" applyBorder="1" applyAlignment="1">
      <alignment wrapText="1"/>
    </xf>
    <xf numFmtId="0" fontId="0" fillId="8" borderId="3" xfId="0" applyFill="1" applyBorder="1" applyAlignment="1">
      <alignment vertical="center" wrapText="1"/>
    </xf>
    <xf numFmtId="0" fontId="0" fillId="8" borderId="3" xfId="0" applyFill="1" applyBorder="1" applyAlignment="1">
      <alignment horizontal="left" vertical="top" wrapText="1"/>
    </xf>
  </cellXfs>
  <cellStyles count="4">
    <cellStyle name="Currency" xfId="1" builtinId="4"/>
    <cellStyle name="Heading 3" xfId="2" builtinId="18"/>
    <cellStyle name="Normal" xfId="0" builtinId="0"/>
    <cellStyle name="Total" xfId="3" builtinId="25"/>
  </cellStyles>
  <dxfs count="12">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color auto="1"/>
      </font>
      <fill>
        <patternFill>
          <bgColor theme="5" tint="0.79998168889431442"/>
        </patternFill>
      </fill>
      <border>
        <left style="thin">
          <color theme="5" tint="-0.499984740745262"/>
        </left>
        <right style="thin">
          <color theme="5" tint="-0.499984740745262"/>
        </right>
        <top style="thin">
          <color theme="5" tint="-0.499984740745262"/>
        </top>
        <bottom style="thin">
          <color theme="5" tint="-0.499984740745262"/>
        </bottom>
      </border>
    </dxf>
    <dxf>
      <font>
        <b/>
        <i val="0"/>
        <color rgb="FF1F4E78"/>
      </font>
      <fill>
        <patternFill>
          <bgColor rgb="FFDDEBF7"/>
        </patternFill>
      </fill>
      <border>
        <left/>
        <right/>
        <top style="thin">
          <color theme="9" tint="0.39994506668294322"/>
        </top>
        <bottom style="thin">
          <color theme="9" tint="0.39994506668294322"/>
        </bottom>
      </border>
    </dxf>
    <dxf>
      <font>
        <b/>
        <i val="0"/>
        <color rgb="FF595959"/>
      </font>
      <fill>
        <patternFill>
          <bgColor rgb="FFF2F2F2"/>
        </patternFill>
      </fill>
      <border>
        <left/>
        <right/>
        <top style="thin">
          <color theme="9" tint="0.39994506668294322"/>
        </top>
        <bottom style="thin">
          <color theme="9" tint="0.39994506668294322"/>
        </bottom>
      </border>
    </dxf>
    <dxf>
      <font>
        <b/>
        <i val="0"/>
        <color rgb="FF0B3D2E"/>
      </font>
      <fill>
        <patternFill>
          <bgColor rgb="FFE2EFDA"/>
        </patternFill>
      </fill>
      <border>
        <left/>
        <right/>
        <top style="thin">
          <color theme="9" tint="0.39994506668294322"/>
        </top>
        <bottom style="thin">
          <color theme="9" tint="0.39994506668294322"/>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microsoft.com/office/2017/10/relationships/person" Target="persons/perso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documenttasks/documenttask1.xml><?xml version="1.0" encoding="utf-8"?>
<Tasks xmlns="http://schemas.microsoft.com/office/tasks/2019/documenttasks">
  <Task id="{83F2E24A-F147-4740-8E4C-B9F8AD3D4EE2}">
    <Anchor>
      <Comment id="{3408AA6A-7A2C-485F-8F71-7F1E1032120B}"/>
    </Anchor>
    <History>
      <Event time="2025-12-19T05:38:02.49" id="{FD2C3EFC-EA93-4998-9D54-BBF259003C09}">
        <Attribution userId="S::Roshni.Kumar@biworldwide.com::76d88258-516a-44e4-8a40-12f2d51dc12c" userName="Roshni Kumar" userProvider="AD"/>
        <Anchor>
          <Comment id="{3408AA6A-7A2C-485F-8F71-7F1E1032120B}"/>
        </Anchor>
        <Create/>
      </Event>
      <Event time="2025-12-19T05:38:02.49" id="{65BABA5C-0449-4857-B187-3519A776A654}">
        <Attribution userId="S::Roshni.Kumar@biworldwide.com::76d88258-516a-44e4-8a40-12f2d51dc12c" userName="Roshni Kumar" userProvider="AD"/>
        <Anchor>
          <Comment id="{3408AA6A-7A2C-485F-8F71-7F1E1032120B}"/>
        </Anchor>
        <Assign userId="S::Hemanth.Kannan@biworldwide.com::b2365473-fc9c-40f1-935e-0b2074ab6cff" userName="Hemanth Kannan" userProvider="AD"/>
      </Event>
      <Event time="2025-12-19T05:38:02.49" id="{1E63933D-4C56-4A4D-B84F-50AF5687A758}">
        <Attribution userId="S::Roshni.Kumar@biworldwide.com::76d88258-516a-44e4-8a40-12f2d51dc12c" userName="Roshni Kumar" userProvider="AD"/>
        <Anchor>
          <Comment id="{3408AA6A-7A2C-485F-8F71-7F1E1032120B}"/>
        </Anchor>
        <SetTitle title="@Hemanth Kannan Release management u have already mentioned in row42, why do we need release management again?"/>
      </Event>
    </History>
  </Task>
  <Task id="{A0F90383-0D95-4950-BECE-B94D14A605CC}">
    <Anchor>
      <Comment id="{C8D3F55D-8C08-45A2-9DC0-18F5A4F2E572}"/>
    </Anchor>
    <History>
      <Event time="2025-12-19T05:38:02.49" id="{FD2C3EFC-EA93-4998-9D54-BBF259003C09}">
        <Attribution userId="S::Roshni.Kumar@biworldwide.com::76d88258-516a-44e4-8a40-12f2d51dc12c" userName="Roshni Kumar" userProvider="AD"/>
        <Anchor>
          <Comment id="{C8D3F55D-8C08-45A2-9DC0-18F5A4F2E572}"/>
        </Anchor>
        <Create/>
      </Event>
      <Event time="2025-12-19T05:38:02.49" id="{65BABA5C-0449-4857-B187-3519A776A654}">
        <Attribution userId="S::Roshni.Kumar@biworldwide.com::76d88258-516a-44e4-8a40-12f2d51dc12c" userName="Roshni Kumar" userProvider="AD"/>
        <Anchor>
          <Comment id="{C8D3F55D-8C08-45A2-9DC0-18F5A4F2E572}"/>
        </Anchor>
        <Assign userId="S::Hemanth.Kannan@biworldwide.com::b2365473-fc9c-40f1-935e-0b2074ab6cff" userName="Hemanth Kannan" userProvider="AD"/>
      </Event>
      <Event time="2025-12-19T05:38:02.49" id="{1E63933D-4C56-4A4D-B84F-50AF5687A758}">
        <Attribution userId="S::Roshni.Kumar@biworldwide.com::76d88258-516a-44e4-8a40-12f2d51dc12c" userName="Roshni Kumar" userProvider="AD"/>
        <Anchor>
          <Comment id="{C8D3F55D-8C08-45A2-9DC0-18F5A4F2E572}"/>
        </Anchor>
        <SetTitle title="@Hemanth Kannan Release management u have already mentioned in row42, why do we need release management again?"/>
      </Event>
    </History>
  </Task>
  <Task id="{67FE49A1-D633-4384-B62C-1F8AD2525F27}">
    <Anchor>
      <Comment id="{2178FD00-BD5B-4BEC-BBE3-C58732C672AE}"/>
    </Anchor>
    <History>
      <Event time="2025-12-19T05:39:35.68" id="{D33D2B78-9C4E-4240-99B3-9D2693A8DC52}">
        <Attribution userId="S::Roshni.Kumar@biworldwide.com::76d88258-516a-44e4-8a40-12f2d51dc12c" userName="Roshni Kumar" userProvider="AD"/>
        <Anchor>
          <Comment id="{2178FD00-BD5B-4BEC-BBE3-C58732C672AE}"/>
        </Anchor>
        <Create/>
      </Event>
      <Event time="2025-12-19T05:39:35.68" id="{3DEDFD07-36FF-4E4C-95B0-D9F8F95B7DC0}">
        <Attribution userId="S::Roshni.Kumar@biworldwide.com::76d88258-516a-44e4-8a40-12f2d51dc12c" userName="Roshni Kumar" userProvider="AD"/>
        <Anchor>
          <Comment id="{2178FD00-BD5B-4BEC-BBE3-C58732C672AE}"/>
        </Anchor>
        <Assign userId="S::Hemanth.Kannan@biworldwide.com::b2365473-fc9c-40f1-935e-0b2074ab6cff" userName="Hemanth Kannan" userProvider="AD"/>
      </Event>
      <Event time="2025-12-19T05:39:35.68" id="{99A43EAC-E861-490F-BEBD-A5D81AE95C63}">
        <Attribution userId="S::Roshni.Kumar@biworldwide.com::76d88258-516a-44e4-8a40-12f2d51dc12c" userName="Roshni Kumar" userProvider="AD"/>
        <Anchor>
          <Comment id="{2178FD00-BD5B-4BEC-BBE3-C58732C672AE}"/>
        </Anchor>
        <SetTitle title="@Hemanth Kannan for the items included in core product budget for H2 do you really foresee 396 hrs for work package development? Note: I am creating Release Notes so you don’t need to consider that."/>
      </Event>
    </History>
  </Task>
  <Task id="{E661EAD4-2483-4789-B5DB-3E12B675918F}">
    <Anchor>
      <Comment id="{AABD39DA-B2C1-4CFF-94D2-2A3E31F6C39D}"/>
    </Anchor>
    <History>
      <Event time="2025-12-19T05:34:34.82" id="{71F943E4-7A85-421C-A6D1-6E54CF4A8CE5}">
        <Attribution userId="S::Roshni.Kumar@biworldwide.com::76d88258-516a-44e4-8a40-12f2d51dc12c" userName="Roshni Kumar" userProvider="AD"/>
        <Anchor>
          <Comment id="{AABD39DA-B2C1-4CFF-94D2-2A3E31F6C39D}"/>
        </Anchor>
        <Create/>
      </Event>
      <Event time="2025-12-19T05:34:34.82" id="{749C1528-A14A-4C14-9A47-6D7929748657}">
        <Attribution userId="S::Roshni.Kumar@biworldwide.com::76d88258-516a-44e4-8a40-12f2d51dc12c" userName="Roshni Kumar" userProvider="AD"/>
        <Anchor>
          <Comment id="{AABD39DA-B2C1-4CFF-94D2-2A3E31F6C39D}"/>
        </Anchor>
        <Assign userId="S::Hemanth.Kannan@biworldwide.com::b2365473-fc9c-40f1-935e-0b2074ab6cff" userName="Hemanth Kannan" userProvider="AD"/>
      </Event>
      <Event time="2025-12-19T05:34:34.82" id="{0847D14A-C7A6-46EF-B122-E3F10F7021CB}">
        <Attribution userId="S::Roshni.Kumar@biworldwide.com::76d88258-516a-44e4-8a40-12f2d51dc12c" userName="Roshni Kumar" userProvider="AD"/>
        <Anchor>
          <Comment id="{AABD39DA-B2C1-4CFF-94D2-2A3E31F6C39D}"/>
        </Anchor>
        <SetTitle title="@Hemanth Kannan This is very generic to me, and looks like this overlaps with other items already mentioned."/>
      </Event>
    </History>
  </Task>
</Task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rinivas\AppData\Local\Microsoft\Windows\INetCache\Content.Outlook\OFUF08CW\Creative_Tracker_March_2021_Channel_Smart.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uruganandham_jayapal_biworldwide_com/Documents/01%20Planning/CS/Phoenix/2026/Phoenix-H2-Plan-v1.0.xlsx" TargetMode="External"/><Relationship Id="rId2" Type="http://schemas.openxmlformats.org/officeDocument/2006/relationships/externalLinkPath" Target="https://biworldwide-my.sharepoint.com/personal/muruganandham_jayapal_biworldwide_com/Documents/01%20Planning/CS/Phoenix/2026/Phoenix-H2-Plan-v1.0.xlsx" TargetMode="External"/><Relationship Id="rId1" Type="http://schemas.openxmlformats.org/officeDocument/2006/relationships/externalLinkPath" Target="/personal/muruganandham_jayapal_biworldwide_com/Documents/01%20Planning/CS/Phoenix/2026/Phoenix-H2-Plan-v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
      <sheetName val="March21"/>
    </sheetNames>
    <sheetDataSet>
      <sheetData sheetId="0">
        <row r="2">
          <cell r="A2" t="str">
            <v>eDM (Design &amp; HTML)</v>
          </cell>
        </row>
        <row r="3">
          <cell r="A3" t="str">
            <v>eDM (Design)</v>
          </cell>
        </row>
        <row r="4">
          <cell r="A4" t="str">
            <v>Online Banner (Static)</v>
          </cell>
        </row>
        <row r="5">
          <cell r="A5" t="str">
            <v>Online Banner Gif (3 Frames)</v>
          </cell>
        </row>
        <row r="6">
          <cell r="A6" t="str">
            <v>Social media creative</v>
          </cell>
        </row>
        <row r="7">
          <cell r="A7" t="str">
            <v xml:space="preserve">Infographics/case study - Simple </v>
          </cell>
        </row>
        <row r="8">
          <cell r="A8" t="str">
            <v xml:space="preserve">Infographics/case study - Complex </v>
          </cell>
        </row>
        <row r="9">
          <cell r="A9" t="str">
            <v>Whitepaper (Content &amp; Design) per page</v>
          </cell>
        </row>
        <row r="10">
          <cell r="A10" t="str">
            <v>Whitepaper (Design upto 4 pages)</v>
          </cell>
        </row>
        <row r="11">
          <cell r="A11" t="str">
            <v>Website Design Template (Home Page + 1 Inside Page, including Copy &amp; Html)</v>
          </cell>
        </row>
        <row r="12">
          <cell r="A12" t="str">
            <v>Additional Web Page (per page design + copy + html)</v>
          </cell>
        </row>
        <row r="13">
          <cell r="A13" t="str">
            <v>Webpage-Pop ups</v>
          </cell>
        </row>
        <row r="14">
          <cell r="A14" t="str">
            <v>Dashboard charts per page</v>
          </cell>
        </row>
        <row r="15">
          <cell r="A15" t="str">
            <v>Flowchart</v>
          </cell>
        </row>
        <row r="16">
          <cell r="A16" t="str">
            <v>eNewsletter (Design) (like Coolopedia)</v>
          </cell>
        </row>
        <row r="17">
          <cell r="A17" t="str">
            <v>Additional  newsletter pages per page</v>
          </cell>
        </row>
        <row r="18">
          <cell r="A18" t="str">
            <v>Program Concept &amp; Branding (Program Brand Name, Program Theme, Program Logo)</v>
          </cell>
        </row>
        <row r="19">
          <cell r="A19" t="str">
            <v>Logo + Program Name</v>
          </cell>
        </row>
        <row r="20">
          <cell r="A20" t="str">
            <v xml:space="preserve">Logo </v>
          </cell>
        </row>
        <row r="21">
          <cell r="A21" t="str">
            <v>Email signature</v>
          </cell>
        </row>
        <row r="22">
          <cell r="A22" t="str">
            <v xml:space="preserve">Stamp design </v>
          </cell>
        </row>
        <row r="23">
          <cell r="A23" t="str">
            <v>Letterhead</v>
          </cell>
        </row>
        <row r="24">
          <cell r="A24" t="str">
            <v>Signange</v>
          </cell>
        </row>
        <row r="25">
          <cell r="A25" t="str">
            <v>Thank You card/Invitation card/Greeting card</v>
          </cell>
        </row>
        <row r="26">
          <cell r="A26" t="str">
            <v>Envelope</v>
          </cell>
        </row>
        <row r="27">
          <cell r="A27" t="str">
            <v>Window Envelope</v>
          </cell>
        </row>
        <row r="28">
          <cell r="A28" t="str">
            <v>Membership Card</v>
          </cell>
        </row>
        <row r="29">
          <cell r="A29" t="str">
            <v xml:space="preserve">Diary </v>
          </cell>
        </row>
        <row r="30">
          <cell r="A30" t="str">
            <v>PPT Main slide design</v>
          </cell>
        </row>
        <row r="31">
          <cell r="A31" t="str">
            <v>PPT slide (Design &amp; Copy) per slide*</v>
          </cell>
        </row>
        <row r="32">
          <cell r="A32" t="str">
            <v>Booth backdrop design &amp; content*</v>
          </cell>
        </row>
        <row r="33">
          <cell r="A33" t="str">
            <v>AV (script, Visual creation, animation, voice over &amp; editing) upto 2 mins*</v>
          </cell>
        </row>
        <row r="34">
          <cell r="A34" t="str">
            <v>Brochure 2 Page (4 sides), single fold, upto A4 page size)*</v>
          </cell>
        </row>
        <row r="35">
          <cell r="A35" t="str">
            <v>Rewards Catalogue brochure (max 8-12 pages in total)</v>
          </cell>
        </row>
        <row r="36">
          <cell r="A36" t="str">
            <v>Leaflet</v>
          </cell>
        </row>
        <row r="37">
          <cell r="A37" t="str">
            <v>Deskeepers (single fold)</v>
          </cell>
        </row>
        <row r="38">
          <cell r="A38" t="str">
            <v xml:space="preserve">Letter </v>
          </cell>
        </row>
        <row r="39">
          <cell r="A39" t="str">
            <v>Poster</v>
          </cell>
        </row>
        <row r="40">
          <cell r="A40" t="str">
            <v>Banner</v>
          </cell>
        </row>
        <row r="41">
          <cell r="A41" t="str">
            <v xml:space="preserve">Certificate </v>
          </cell>
        </row>
        <row r="42">
          <cell r="A42" t="str">
            <v>Dangler</v>
          </cell>
        </row>
        <row r="43">
          <cell r="A43" t="str">
            <v>Sticker/Wobbler</v>
          </cell>
        </row>
        <row r="44">
          <cell r="A44" t="str">
            <v>Standee</v>
          </cell>
        </row>
        <row r="45">
          <cell r="A45" t="str">
            <v xml:space="preserve">Tent Card </v>
          </cell>
        </row>
        <row r="46">
          <cell r="A46" t="str">
            <v>Trophy Design</v>
          </cell>
        </row>
        <row r="47">
          <cell r="A47" t="str">
            <v>Scratch Card</v>
          </cell>
        </row>
        <row r="48">
          <cell r="A48" t="str">
            <v>T Shirt Branding</v>
          </cell>
        </row>
        <row r="49">
          <cell r="A49" t="str">
            <v>Mug branding</v>
          </cell>
        </row>
        <row r="50">
          <cell r="A50" t="str">
            <v>DM Box*</v>
          </cell>
        </row>
        <row r="51">
          <cell r="A51" t="str">
            <v>Selfie Props</v>
          </cell>
        </row>
        <row r="52">
          <cell r="A52" t="str">
            <v>Badge icon</v>
          </cell>
        </row>
        <row r="53">
          <cell r="A53" t="str">
            <v>Registration Form</v>
          </cell>
        </row>
        <row r="54">
          <cell r="A54" t="str">
            <v>Client specific passion pack vouchers (logo + experience copy edits)*</v>
          </cell>
        </row>
        <row r="55">
          <cell r="A55" t="str">
            <v>Image resize (Per image)</v>
          </cell>
        </row>
        <row r="56">
          <cell r="A56" t="str">
            <v>Placing logo + minor copy edits*</v>
          </cell>
        </row>
        <row r="57">
          <cell r="A57" t="str">
            <v>Adaptation charges*</v>
          </cell>
        </row>
        <row r="58">
          <cell r="A58" t="str">
            <v>Iteration (more than 2 iterations will be charged)</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2 Working Sheet (2)"/>
      <sheetName val="H2 Working Sheet"/>
      <sheetName val="Billing Data"/>
      <sheetName val="Fortnight Status"/>
      <sheetName val="IntelSuite - Summary"/>
      <sheetName val="Plan-Working"/>
      <sheetName val="Plan-2526-Q4"/>
      <sheetName val="Plan-2627"/>
      <sheetName val="Sheet7"/>
      <sheetName val="Budget-old-remove"/>
      <sheetName val="Budget"/>
      <sheetName val="Plan"/>
      <sheetName val="LeaveTracker"/>
      <sheetName val="ResourceMaster"/>
      <sheetName val="TaskTracker"/>
      <sheetName val="SprintOverview"/>
      <sheetName val="ResourceHeatmap"/>
      <sheetName val="Configs"/>
      <sheetName val="Sheet2"/>
      <sheetName val="Sheet1"/>
      <sheetName val="Sheet4"/>
      <sheetName val="Workshop 26 MOM"/>
      <sheetName val="Core-Maintenance"/>
      <sheetName val="Phoenix-H2-Plan-v1.0"/>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ow r="8">
          <cell r="B8">
            <v>46023</v>
          </cell>
        </row>
        <row r="9">
          <cell r="B9">
            <v>46037</v>
          </cell>
        </row>
        <row r="10">
          <cell r="B10">
            <v>46048</v>
          </cell>
        </row>
        <row r="11">
          <cell r="B11">
            <v>46112</v>
          </cell>
        </row>
        <row r="12">
          <cell r="B12">
            <v>46126</v>
          </cell>
        </row>
        <row r="13">
          <cell r="B13">
            <v>46143</v>
          </cell>
        </row>
        <row r="14">
          <cell r="B14">
            <v>46249</v>
          </cell>
        </row>
        <row r="15">
          <cell r="B15">
            <v>46296</v>
          </cell>
        </row>
        <row r="16">
          <cell r="B16">
            <v>46297</v>
          </cell>
        </row>
        <row r="17">
          <cell r="B17">
            <v>46316</v>
          </cell>
        </row>
        <row r="18">
          <cell r="B18">
            <v>46381</v>
          </cell>
        </row>
      </sheetData>
      <sheetData sheetId="18" refreshError="1"/>
      <sheetData sheetId="19" refreshError="1"/>
      <sheetData sheetId="20" refreshError="1"/>
      <sheetData sheetId="21" refreshError="1"/>
      <sheetData sheetId="22" refreshError="1"/>
      <sheetData sheetId="23" refreshError="1"/>
    </sheetDataSet>
  </externalBook>
</externalLink>
</file>

<file path=xl/persons/person.xml><?xml version="1.0" encoding="utf-8"?>
<personList xmlns="http://schemas.microsoft.com/office/spreadsheetml/2018/threadedcomments" xmlns:x="http://schemas.openxmlformats.org/spreadsheetml/2006/main">
  <person displayName="Hemanth Kannan" id="{A536A141-DC82-4CCB-B33A-91DDA12C5F12}" userId="Hemanth.Kannan@biworldwide.com" providerId="PeoplePicker"/>
  <person displayName="Roshni Kumar" id="{9FD05714-B6EF-4326-AF72-E4139CEA5B04}" userId="S::Roshni.Kumar@biworldwide.com::76d88258-516a-44e4-8a40-12f2d51dc12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manth Kannan" refreshedDate="46195.430502314812" createdVersion="8" refreshedVersion="8" minRefreshableVersion="3" recordCount="33" xr:uid="{FE484B25-ABC2-4FB9-8AB1-2B9C8A5FDFA2}">
  <cacheSource type="worksheet">
    <worksheetSource ref="B1:I34" sheet="FY 27 Planning"/>
  </cacheSource>
  <cacheFields count="8">
    <cacheField name="Priority" numFmtId="0">
      <sharedItems/>
    </cacheField>
    <cacheField name="Include" numFmtId="0">
      <sharedItems/>
    </cacheField>
    <cacheField name="Project" numFmtId="0">
      <sharedItems/>
    </cacheField>
    <cacheField name="Category" numFmtId="0">
      <sharedItems/>
    </cacheField>
    <cacheField name="Quarter" numFmtId="0">
      <sharedItems count="6">
        <s v="Q1"/>
        <s v="Q2"/>
        <s v="TBD"/>
        <s v="Q1, Q2, Q3, Q4"/>
        <s v="Q1,Q2"/>
        <s v="Q3"/>
      </sharedItems>
    </cacheField>
    <cacheField name="Hours" numFmtId="0">
      <sharedItems containsString="0" containsBlank="1" containsNumber="1" containsInteger="1" minValue="40" maxValue="1680"/>
    </cacheField>
    <cacheField name="Title" numFmtId="0">
      <sharedItems count="54">
        <s v="Shutting down BRIKS service from Nackle"/>
        <s v="Integrate the email validation service for Channel Smart 1.0"/>
        <s v="Build Unsubscribe feature for all the promotional emails"/>
        <s v="Cash + Wallet + Compliance - Integration patch for CS 1.0"/>
        <s v="ERP Connerctor Service"/>
        <s v="Technology refresh"/>
        <s v="Build a game engine - Requirements "/>
        <s v="New UI for platform portal"/>
        <s v="BRD Composer"/>
        <s v="Communication connector which can support the Whatsapp and Wechat communicaton bi direction"/>
        <s v="AI-Powered Claim Validation"/>
        <s v="MDF Budget Management &amp; Incentivization"/>
        <s v="AI Display Audit &amp; Compliance Management"/>
        <s v="Organization-Centric Loyalty Journey"/>
        <s v="Social Advocacy &amp; Partner Influence Platform"/>
        <s v="Partner Referral &amp; Growth Engine"/>
        <s v="AI-Powered Audience Segmentation"/>
        <s v="Embedded Gamification Experiences"/>
        <s v="Achievo - Android 16 Upgrade"/>
        <s v="Achievo - iOS Updates"/>
        <s v="Achievo Mobile Experience Modernization"/>
        <s v="Application Issue Fixes and Remediation"/>
        <s v="GitLab DAST Enablement for Web Application and Admin Console"/>
        <s v="Release Management, Regression Testing and Test Automation"/>
        <s v="Architecture Proposal: Core + Extension Model for Participant Portals"/>
        <s v="File Upload Module Stabilization and Validation Enhancements"/>
        <s v="Release Governance, Code Merge and Deployment Control"/>
        <s v="Performance Testing, Tuning and Test Suite Management"/>
        <s v="Code Refactoring, Dependency Upgrades and Deprecated Code Removal"/>
        <s v="Achievo Mobile App Upgrades and Store Policy Compliance Updates"/>
        <s v="Next.js 16.x LTS Upgrade for Admin Console and Platform Web Apps"/>
        <s v="Yearly External VAPT for Web Application"/>
        <s v="Scalable File Upload Processing Enhancement"/>
        <s v="AWS Secrets Manager Enforcement for Service Credentials" u="1"/>
        <s v="DevOps Management, Improvements and Pipeline Monitoring" u="1"/>
        <s v="Release Based Feature Documentation" u="1"/>
        <s v="SAST Vulnerability Fixes Based on GitLab Security Findings" u="1"/>
        <s v="Monthly Library Upgrade Assessment and Remediation Across Services" u="1"/>
        <s v="Kubernetes Resource Optimization" u="1"/>
        <s v="Yearly External VAPT for Mobile Application" u="1"/>
        <s v="Table-Specific Metadata Model Storage Enhancement" u="1"/>
        <s v="System Wide AWS Redis Caching Layer Enablement" u="1"/>
        <s v="Form Builder Decoupling into Standalone NPM Package" u="1"/>
        <s v="Internal VAPT - Half-Yearly Penetration Testing and Fixes" u="1"/>
        <s v="Infrastructure and Application Monitoring for EKS Platform" u="1"/>
        <s v="Configuration Migration Tool Enhancement" u="1"/>
        <s v="Workflow Engine Observability and Traceability Enhancements" u="1"/>
        <s v="Command and Query Engine Enhancement with GraphQL Evaluation" u="1"/>
        <s v="View Builder Governance and Performance Enhancement" u="1"/>
        <s v="Metadata Services Governance and Validation Enhancements" u="1"/>
        <s v="Cloud Usage Chargeback Model, Monthly Tenant-Level Allocation" u="1"/>
        <s v="Connector Specific Property Model Enhancement" u="1"/>
        <s v="Application Health Monitoring Dashboard" u="1"/>
        <s v="Disaster Recovery Drill and Runbook Execution" u="1"/>
      </sharedItems>
    </cacheField>
    <cacheField name="Descriptio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
  <r>
    <s v="High"/>
    <s v="Yes"/>
    <s v="CS 1.0"/>
    <s v="Maintenance"/>
    <x v="0"/>
    <n v="40"/>
    <x v="0"/>
    <s v="Pending action to completely remove BRIKS services from Nackle ecosystem "/>
  </r>
  <r>
    <s v="High"/>
    <s v="Yes"/>
    <s v="CS 1.0"/>
    <s v="Maintenance"/>
    <x v="0"/>
    <n v="40"/>
    <x v="1"/>
    <s v="Handle the self registration and bulk load scneario"/>
  </r>
  <r>
    <s v="High"/>
    <s v="Yes"/>
    <s v="CS 1.0"/>
    <s v="Maintenance"/>
    <x v="0"/>
    <n v="60"/>
    <x v="2"/>
    <s v="Build Unsubscribe feature for all the promotional emails"/>
  </r>
  <r>
    <s v="High"/>
    <s v="Yes"/>
    <s v="CS 1.0"/>
    <s v="Feature"/>
    <x v="0"/>
    <n v="200"/>
    <x v="3"/>
    <m/>
  </r>
  <r>
    <s v="High"/>
    <s v="Yes"/>
    <s v="CS 2.0"/>
    <s v="New Feature"/>
    <x v="0"/>
    <n v="350"/>
    <x v="4"/>
    <m/>
  </r>
  <r>
    <s v="High"/>
    <s v="Yes"/>
    <s v="CS 2.0"/>
    <s v="Maintenance"/>
    <x v="0"/>
    <n v="80"/>
    <x v="5"/>
    <s v="Mandatory adoption of newer tools and frameworks_x000a_Phoenix - Platform Site Upgrades (Onetime) To 16.x_x000a_Admin - Platform Site Upgrades (Onetime) To 16.x"/>
  </r>
  <r>
    <s v="High"/>
    <s v="Yes"/>
    <s v="CS 2.0"/>
    <s v="Feature"/>
    <x v="0"/>
    <n v="60"/>
    <x v="6"/>
    <s v="N/A"/>
  </r>
  <r>
    <s v="High"/>
    <s v="Yes"/>
    <s v="CS 2.0"/>
    <s v="Enhancement"/>
    <x v="0"/>
    <n v="160"/>
    <x v="7"/>
    <m/>
  </r>
  <r>
    <s v="High"/>
    <s v="Yes"/>
    <s v="CS 2.0"/>
    <s v="Feature"/>
    <x v="0"/>
    <n v="300"/>
    <x v="8"/>
    <s v="BRD Composer"/>
  </r>
  <r>
    <s v="High"/>
    <s v="Yes"/>
    <s v="CS 2.0"/>
    <s v="Feature"/>
    <x v="0"/>
    <n v="600"/>
    <x v="9"/>
    <m/>
  </r>
  <r>
    <s v="High"/>
    <s v="Yes"/>
    <s v="CS 2.0"/>
    <s v="Feature"/>
    <x v="1"/>
    <m/>
    <x v="10"/>
    <s v="Introduce AI-assisted claim validation capabilities leveraging intelligent document processing to automate claim ingestion, extraction, validation, routing, and continuous learning. Strategic FY27 initiative under evaluation."/>
  </r>
  <r>
    <s v="High"/>
    <s v="Pending"/>
    <s v="CS 2.0"/>
    <s v="Feature"/>
    <x v="2"/>
    <m/>
    <x v="11"/>
    <s v="Develop end-to-end MDF request, approval, budget allocation, campaign setup, and incentive distribution capabilities to improve fund utilization and business outcome tracking. Strategic FY27 initiative under evaluation."/>
  </r>
  <r>
    <s v="High"/>
    <s v="Pending"/>
    <s v="CS 2.0"/>
    <s v="Feature"/>
    <x v="2"/>
    <m/>
    <x v="12"/>
    <s v="Implement AI-powered image analysis to automate display compliance audits, validate merchandising standards, and improve audit scalability, accuracy, and efficiency. Strategic FY27 initiative under evaluation."/>
  </r>
  <r>
    <s v="High"/>
    <s v="Pending"/>
    <s v="CS 2.0"/>
    <s v="Feature"/>
    <x v="2"/>
    <m/>
    <x v="13"/>
    <s v="Enable partner organizations to participate in loyalty and incentive programs through organization onboarding, governance controls, centralized reward management, and organization-led participation models. Strategic FY27 initiative under evaluation."/>
  </r>
  <r>
    <s v="High"/>
    <s v="Pending"/>
    <s v="CS 2.0"/>
    <s v="Feature"/>
    <x v="2"/>
    <m/>
    <x v="14"/>
    <s v="Enable partners to share approved brand content, track engagement and attribution, and participate in incentive-driven advocacy programs that extend brand reach and influence. Strategic FY27 initiative under evaluation."/>
  </r>
  <r>
    <s v="High"/>
    <s v="Pending"/>
    <s v="CS 2.0"/>
    <s v="Feature"/>
    <x v="2"/>
    <m/>
    <x v="15"/>
    <s v="Establish a referral ecosystem with attribution tracking, milestone-based rewards, referral analytics, and conversion visibility to support partner-led acquisition and network-driven growth. Strategic FY27 initiative under evaluation."/>
  </r>
  <r>
    <s v="High"/>
    <s v="Pending"/>
    <s v="CS 2.0"/>
    <s v="Feature"/>
    <x v="2"/>
    <m/>
    <x v="16"/>
    <s v="Enable business users to create audience segments using natural language queries across transactional, behavioral, and engagement data, improving campaign targeting and intervention effectiveness. Strategic FY27 initiative under evaluation."/>
  </r>
  <r>
    <s v="High"/>
    <s v="Pending"/>
    <s v="CS 2.0"/>
    <s v="Feature"/>
    <x v="2"/>
    <m/>
    <x v="17"/>
    <s v="Introduce contextual, embedded gaming experiences within partner journeys to increase engagement, accelerate reward cycles, encourage repeat interactions, and improve program participation. Strategic FY27 initiative under evaluation."/>
  </r>
  <r>
    <s v="High"/>
    <s v="Yes"/>
    <s v="CS 2.0 Achievo"/>
    <s v="Maintenance"/>
    <x v="0"/>
    <n v="40"/>
    <x v="18"/>
    <s v="Achievo - Android 16 Upgrade. Need to pick this for estimation in March"/>
  </r>
  <r>
    <s v="High"/>
    <s v="Yes"/>
    <s v="CS 2.0 Achievo"/>
    <s v="Maintenance"/>
    <x v="0"/>
    <n v="40"/>
    <x v="19"/>
    <s v="N/A"/>
  </r>
  <r>
    <s v="High"/>
    <s v="Pending"/>
    <s v="CS 2.0 Achievo"/>
    <s v="Feature"/>
    <x v="2"/>
    <m/>
    <x v="20"/>
    <s v="Modernize Achievo with mobile-native capabilities including push notifications, voice-assisted discovery, enhanced UX, QR-enabled interactions, gamification, and AI-assisted workflows to increase engagement and participation. Strategic FY27 initiative under evaluation."/>
  </r>
  <r>
    <s v="Critical"/>
    <s v="Yes"/>
    <s v="CS 2.0 Core"/>
    <s v="Tech Maintenance"/>
    <x v="3"/>
    <n v="1680"/>
    <x v="21"/>
    <s v="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
  </r>
  <r>
    <s v="High"/>
    <s v="Yes"/>
    <s v="CS 2.0 Core"/>
    <s v="Tech Maintenance"/>
    <x v="3"/>
    <n v="160"/>
    <x v="22"/>
    <s v="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
  </r>
  <r>
    <s v="Critical"/>
    <s v="Yes"/>
    <s v="CS 2.0 Core"/>
    <s v="Tech Maintenance"/>
    <x v="3"/>
    <n v="600"/>
    <x v="23"/>
    <s v="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_x000a_Note: Reduced this effort considering the release maangement will also go to the respective features, for the delivery customization this will be part of the delivery budget"/>
  </r>
  <r>
    <s v="Critical"/>
    <s v="Yes"/>
    <s v="CS 2.0 Core"/>
    <s v="Tech Enhancements"/>
    <x v="0"/>
    <n v="600"/>
    <x v="24"/>
    <s v="Define a Core + Extension architecture model for Participant Portals to separate common product capabilities from client-specific customizations. This will help reduce the effort required to apply latest product changes across multiple delivery deployments, minimize the risk of overriding existing client-specific features, and improve maintainability, upgradeability, and release consistency across implementations."/>
  </r>
  <r>
    <s v="Critical"/>
    <s v="Yes"/>
    <s v="CS 2.0 Core"/>
    <s v="Tech Enhancements"/>
    <x v="0"/>
    <n v="600"/>
    <x v="25"/>
    <s v="Enhance the existing File Upload Module with improved validation, tracking, retry handling, and stabilization capabilities. This will improve upload reliability, reduce processing failures, provide better visibility into upload status, support controlled reprocessing, and strengthen the overall stability of file-based data ingestion."/>
  </r>
  <r>
    <s v="High"/>
    <s v="Yes"/>
    <s v="CS 2.0 Core"/>
    <s v="Tech Maintenance"/>
    <x v="0"/>
    <n v="220"/>
    <x v="26"/>
    <s v="Standardize the code merge and release management process by improving version control, conflict handling, release planning, approvals, deployment tracking, rollback governance, and client-specific patch management. This will strengthen engineering governance, reduce release risks, and improve operational control across releases."/>
  </r>
  <r>
    <s v="High"/>
    <s v="Yes"/>
    <s v="CS 2.0 Core"/>
    <s v="Tech Maintenance"/>
    <x v="4"/>
    <n v="600"/>
    <x v="27"/>
    <s v="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_x000a_Note: Reduced this effort considering the release maangement will also go to the respective features"/>
  </r>
  <r>
    <s v="High"/>
    <s v="Yes"/>
    <s v="CS 2.0 Core"/>
    <s v="Tech Maintenance"/>
    <x v="1"/>
    <n v="240"/>
    <x v="28"/>
    <s v="Improve code quality and maintainability by refactoring existing code, upgrading outdated dependencies, and removing deprecated or unused code/components. This helps reduce technical debt, improve system stability, support security compliance, and keep the application aligned with current technology standards."/>
  </r>
  <r>
    <s v="Critical"/>
    <s v="Yes"/>
    <s v="CS 2.0 Core"/>
    <s v="Tech Maintenance"/>
    <x v="0"/>
    <n v="320"/>
    <x v="29"/>
    <s v="Perform Achievo mobile app upgrades and store-specific policy updates for iOS and Android. This includes updating SDKs, dependencies, build tools, privacy/permission declarations, App Store and Play Store compliance requirements, testing, build validation, and supporting app submission/review activities."/>
  </r>
  <r>
    <s v="Critical"/>
    <s v="Yes"/>
    <s v="CS 2.0 Core"/>
    <s v="Tech Maintenance"/>
    <x v="0"/>
    <n v="220"/>
    <x v="30"/>
    <s v="Upgrade Next.js to Version 16.x LTS (Admin &amp; Platform) - 14.X is already outdated and 15.x is reaching end of life by 21/Oct/2026"/>
  </r>
  <r>
    <s v="Critical"/>
    <s v="Yes"/>
    <s v="CS 2.0 Core"/>
    <s v="Tech Maintenance"/>
    <x v="5"/>
    <n v="220"/>
    <x v="31"/>
    <s v="Perform VAPT for web application as per planned schedule - Perform yearly external VAPT for the Web Application by coordinating with the external security team, providing required access and application details, reviewing reported findings, fixing applicable vulnerabilities, and supporting retesting and closure of identified issues."/>
  </r>
  <r>
    <s v="Critical"/>
    <s v="Yes"/>
    <s v="CS 2.0 Core"/>
    <s v="Tech Enhancements"/>
    <x v="0"/>
    <n v="180"/>
    <x v="32"/>
    <s v="Enhance the existing file upload processing architecture to handle large files with more than 100,000 records. This will address the current single-pod stateful processing limitation by improving scalability, reliability, and fault tolerance for high-volume upload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C24058-8DF8-4592-A2D9-CAA3406101E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9" firstHeaderRow="1" firstDataRow="1" firstDataCol="1"/>
  <pivotFields count="8">
    <pivotField showAll="0"/>
    <pivotField showAll="0"/>
    <pivotField showAll="0"/>
    <pivotField showAll="0"/>
    <pivotField axis="axisRow" showAll="0">
      <items count="7">
        <item x="0"/>
        <item x="3"/>
        <item sd="0" x="4"/>
        <item sd="0" x="1"/>
        <item sd="0" x="5"/>
        <item x="2"/>
        <item t="default" sd="0"/>
      </items>
    </pivotField>
    <pivotField dataField="1" showAll="0"/>
    <pivotField axis="axisRow" showAll="0">
      <items count="55">
        <item x="29"/>
        <item m="1" x="52"/>
        <item x="21"/>
        <item x="24"/>
        <item m="1" x="33"/>
        <item m="1" x="50"/>
        <item x="28"/>
        <item m="1" x="47"/>
        <item m="1" x="45"/>
        <item m="1" x="51"/>
        <item m="1" x="34"/>
        <item m="1" x="53"/>
        <item x="25"/>
        <item m="1" x="42"/>
        <item x="22"/>
        <item m="1" x="44"/>
        <item m="1" x="43"/>
        <item m="1" x="38"/>
        <item m="1" x="49"/>
        <item m="1" x="37"/>
        <item x="30"/>
        <item x="27"/>
        <item m="1" x="35"/>
        <item x="26"/>
        <item x="23"/>
        <item m="1" x="36"/>
        <item x="32"/>
        <item m="1" x="41"/>
        <item m="1" x="40"/>
        <item m="1" x="48"/>
        <item m="1" x="46"/>
        <item m="1" x="39"/>
        <item x="31"/>
        <item x="0"/>
        <item x="1"/>
        <item x="2"/>
        <item x="3"/>
        <item x="4"/>
        <item x="5"/>
        <item x="6"/>
        <item x="7"/>
        <item x="8"/>
        <item x="9"/>
        <item x="10"/>
        <item x="11"/>
        <item x="12"/>
        <item x="13"/>
        <item x="14"/>
        <item x="15"/>
        <item x="16"/>
        <item x="17"/>
        <item x="18"/>
        <item x="19"/>
        <item x="20"/>
        <item t="default"/>
      </items>
    </pivotField>
    <pivotField showAll="0"/>
  </pivotFields>
  <rowFields count="2">
    <field x="4"/>
    <field x="6"/>
  </rowFields>
  <rowItems count="36">
    <i>
      <x/>
    </i>
    <i r="1">
      <x/>
    </i>
    <i r="1">
      <x v="3"/>
    </i>
    <i r="1">
      <x v="12"/>
    </i>
    <i r="1">
      <x v="20"/>
    </i>
    <i r="1">
      <x v="23"/>
    </i>
    <i r="1">
      <x v="26"/>
    </i>
    <i r="1">
      <x v="33"/>
    </i>
    <i r="1">
      <x v="34"/>
    </i>
    <i r="1">
      <x v="35"/>
    </i>
    <i r="1">
      <x v="36"/>
    </i>
    <i r="1">
      <x v="37"/>
    </i>
    <i r="1">
      <x v="38"/>
    </i>
    <i r="1">
      <x v="39"/>
    </i>
    <i r="1">
      <x v="40"/>
    </i>
    <i r="1">
      <x v="41"/>
    </i>
    <i r="1">
      <x v="42"/>
    </i>
    <i r="1">
      <x v="51"/>
    </i>
    <i r="1">
      <x v="52"/>
    </i>
    <i>
      <x v="1"/>
    </i>
    <i r="1">
      <x v="2"/>
    </i>
    <i r="1">
      <x v="14"/>
    </i>
    <i r="1">
      <x v="24"/>
    </i>
    <i>
      <x v="2"/>
    </i>
    <i>
      <x v="3"/>
    </i>
    <i>
      <x v="4"/>
    </i>
    <i>
      <x v="5"/>
    </i>
    <i r="1">
      <x v="44"/>
    </i>
    <i r="1">
      <x v="45"/>
    </i>
    <i r="1">
      <x v="46"/>
    </i>
    <i r="1">
      <x v="47"/>
    </i>
    <i r="1">
      <x v="48"/>
    </i>
    <i r="1">
      <x v="49"/>
    </i>
    <i r="1">
      <x v="50"/>
    </i>
    <i r="1">
      <x v="53"/>
    </i>
    <i t="grand">
      <x/>
    </i>
  </rowItems>
  <colItems count="1">
    <i/>
  </colItems>
  <dataFields count="1">
    <dataField name="Sum of Hours"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3" dT="2025-12-19T05:38:02.49" personId="{9FD05714-B6EF-4326-AF72-E4139CEA5B04}" id="{3408AA6A-7A2C-485F-8F71-7F1E1032120B}">
    <text>@Hemanth Kannan Release management u have already mentioned in row42, why do we need release management again?</text>
    <mentions>
      <mention mentionpersonId="{A536A141-DC82-4CCB-B33A-91DDA12C5F12}" mentionId="{F7419C0C-7686-4129-87CC-E1D095ABD2D1}" startIndex="0" length="15"/>
    </mentions>
  </threadedComment>
  <threadedComment ref="I49" dT="2025-12-19T05:34:34.82" personId="{9FD05714-B6EF-4326-AF72-E4139CEA5B04}" id="{AABD39DA-B2C1-4CFF-94D2-2A3E31F6C39D}">
    <text>@Hemanth Kannan This is very generic to me, and looks like this overlaps with other items already mentioned.</text>
    <mentions>
      <mention mentionpersonId="{A536A141-DC82-4CCB-B33A-91DDA12C5F12}" mentionId="{8EE4183A-BE16-460E-A733-076BEA1880DF}" startIndex="0" length="15"/>
    </mentions>
  </threadedComment>
  <threadedComment ref="I53" dT="2025-12-19T05:38:02.49" personId="{9FD05714-B6EF-4326-AF72-E4139CEA5B04}" id="{C8D3F55D-8C08-45A2-9DC0-18F5A4F2E572}">
    <text>@Hemanth Kannan Release management u have already mentioned in row42, why do we need release management again?</text>
    <mentions>
      <mention mentionpersonId="{A536A141-DC82-4CCB-B33A-91DDA12C5F12}" mentionId="{3F248B77-1D3D-41AE-B61A-1BB80FCCC7DD}" startIndex="0" length="15"/>
    </mentions>
  </threadedComment>
  <threadedComment ref="I54" dT="2025-12-19T05:39:35.68" personId="{9FD05714-B6EF-4326-AF72-E4139CEA5B04}" id="{2178FD00-BD5B-4BEC-BBE3-C58732C672AE}">
    <text>@Hemanth Kannan for the items included in core product budget for H2 do you really foresee 396 hrs for work package development? Note: I am creating Release Notes so you don’t need to consider that.</text>
    <mentions>
      <mention mentionpersonId="{A536A141-DC82-4CCB-B33A-91DDA12C5F12}" mentionId="{7C3D526F-D558-4509-8E90-5886F05DC48A}" startIndex="0" length="15"/>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96816-E0C4-4B2E-A39A-536C1B7A478E}">
  <sheetPr filterMode="1"/>
  <dimension ref="A1:P121"/>
  <sheetViews>
    <sheetView topLeftCell="D1" zoomScale="85" zoomScaleNormal="70" workbookViewId="0">
      <pane ySplit="1" topLeftCell="A44" activePane="bottomLeft" state="frozen"/>
      <selection activeCell="O1" sqref="O1"/>
      <selection pane="bottomLeft" activeCell="P1" sqref="P1"/>
    </sheetView>
  </sheetViews>
  <sheetFormatPr defaultColWidth="12.5546875" defaultRowHeight="16.8" x14ac:dyDescent="0.3"/>
  <cols>
    <col min="1" max="1" width="5.44140625" style="5" customWidth="1"/>
    <col min="2" max="2" width="7.5546875" style="5" customWidth="1"/>
    <col min="3" max="3" width="9.109375" style="5" customWidth="1"/>
    <col min="4" max="4" width="10" style="5" customWidth="1"/>
    <col min="5" max="5" width="17.88671875" style="5" hidden="1" customWidth="1"/>
    <col min="6" max="6" width="14.88671875" style="5" customWidth="1"/>
    <col min="7" max="7" width="10.5546875" style="5" hidden="1" customWidth="1"/>
    <col min="8" max="8" width="10.44140625" style="5" hidden="1" customWidth="1"/>
    <col min="9" max="9" width="47.109375" style="38" customWidth="1"/>
    <col min="10" max="10" width="79.5546875" style="38" customWidth="1"/>
    <col min="11" max="11" width="16.5546875" style="5" hidden="1" customWidth="1"/>
    <col min="12" max="12" width="12.109375" style="5" customWidth="1"/>
    <col min="13" max="13" width="6.88671875" style="5" customWidth="1"/>
    <col min="14" max="14" width="10.44140625" style="5" bestFit="1" customWidth="1"/>
    <col min="15" max="15" width="10.44140625" style="5" customWidth="1"/>
    <col min="16" max="16" width="57.44140625" style="5" customWidth="1"/>
    <col min="17" max="16384" width="12.5546875" style="5"/>
  </cols>
  <sheetData>
    <row r="1" spans="1:16" ht="20.25" customHeight="1" x14ac:dyDescent="0.3">
      <c r="A1" s="3" t="s">
        <v>1</v>
      </c>
      <c r="B1" s="3" t="s">
        <v>87</v>
      </c>
      <c r="C1" s="3" t="s">
        <v>83</v>
      </c>
      <c r="D1" s="3" t="s">
        <v>88</v>
      </c>
      <c r="E1" s="3" t="s">
        <v>89</v>
      </c>
      <c r="F1" s="3" t="s">
        <v>82</v>
      </c>
      <c r="G1" s="3" t="s">
        <v>90</v>
      </c>
      <c r="H1" s="3" t="s">
        <v>0</v>
      </c>
      <c r="I1" s="3" t="s">
        <v>91</v>
      </c>
      <c r="J1" s="4" t="s">
        <v>92</v>
      </c>
      <c r="K1" s="3" t="s">
        <v>93</v>
      </c>
      <c r="L1" s="3" t="s">
        <v>94</v>
      </c>
      <c r="M1" s="3" t="s">
        <v>95</v>
      </c>
      <c r="N1" s="3" t="s">
        <v>96</v>
      </c>
      <c r="O1" s="3" t="s">
        <v>97</v>
      </c>
      <c r="P1" s="3" t="s">
        <v>84</v>
      </c>
    </row>
    <row r="2" spans="1:16" ht="50.4" hidden="1" x14ac:dyDescent="0.3">
      <c r="A2" s="6" t="s">
        <v>8</v>
      </c>
      <c r="B2" s="7" t="s">
        <v>98</v>
      </c>
      <c r="C2" s="7" t="s">
        <v>99</v>
      </c>
      <c r="D2" s="7" t="s">
        <v>100</v>
      </c>
      <c r="E2" s="7" t="s">
        <v>13</v>
      </c>
      <c r="F2" s="7" t="s">
        <v>85</v>
      </c>
      <c r="G2" s="7" t="s">
        <v>101</v>
      </c>
      <c r="H2" s="7" t="s">
        <v>13</v>
      </c>
      <c r="I2" s="8" t="s">
        <v>102</v>
      </c>
      <c r="J2" s="8" t="s">
        <v>103</v>
      </c>
      <c r="K2" s="8" t="s">
        <v>104</v>
      </c>
      <c r="L2" s="7" t="s">
        <v>105</v>
      </c>
      <c r="M2" s="9">
        <v>400</v>
      </c>
      <c r="N2" s="6" t="s">
        <v>106</v>
      </c>
      <c r="O2" s="6" t="s">
        <v>107</v>
      </c>
      <c r="P2" s="8" t="s">
        <v>108</v>
      </c>
    </row>
    <row r="3" spans="1:16" ht="168" hidden="1" x14ac:dyDescent="0.3">
      <c r="A3" s="6" t="s">
        <v>8</v>
      </c>
      <c r="B3" s="7" t="s">
        <v>98</v>
      </c>
      <c r="C3" s="7" t="s">
        <v>99</v>
      </c>
      <c r="D3" s="7" t="s">
        <v>100</v>
      </c>
      <c r="E3" s="7" t="s">
        <v>13</v>
      </c>
      <c r="F3" s="7" t="s">
        <v>85</v>
      </c>
      <c r="G3" s="7" t="s">
        <v>101</v>
      </c>
      <c r="H3" s="7" t="s">
        <v>7</v>
      </c>
      <c r="I3" s="8" t="s">
        <v>109</v>
      </c>
      <c r="J3" s="8" t="s">
        <v>110</v>
      </c>
      <c r="K3" s="8"/>
      <c r="L3" s="7" t="s">
        <v>105</v>
      </c>
      <c r="M3" s="9">
        <v>290</v>
      </c>
      <c r="N3" s="6" t="s">
        <v>106</v>
      </c>
      <c r="O3" s="6" t="s">
        <v>107</v>
      </c>
      <c r="P3" s="8" t="s">
        <v>111</v>
      </c>
    </row>
    <row r="4" spans="1:16" ht="50.4" hidden="1" x14ac:dyDescent="0.3">
      <c r="A4" s="6" t="s">
        <v>8</v>
      </c>
      <c r="B4" s="7" t="s">
        <v>98</v>
      </c>
      <c r="C4" s="7" t="s">
        <v>99</v>
      </c>
      <c r="D4" s="7" t="s">
        <v>100</v>
      </c>
      <c r="E4" s="7" t="s">
        <v>13</v>
      </c>
      <c r="F4" s="7" t="s">
        <v>85</v>
      </c>
      <c r="G4" s="7" t="s">
        <v>112</v>
      </c>
      <c r="H4" s="7" t="s">
        <v>13</v>
      </c>
      <c r="I4" s="8" t="s">
        <v>113</v>
      </c>
      <c r="J4" s="8" t="s">
        <v>114</v>
      </c>
      <c r="K4" s="8"/>
      <c r="L4" s="7" t="s">
        <v>105</v>
      </c>
      <c r="M4" s="9">
        <v>80</v>
      </c>
      <c r="N4" s="6" t="s">
        <v>106</v>
      </c>
      <c r="O4" s="6" t="s">
        <v>115</v>
      </c>
      <c r="P4" s="7"/>
    </row>
    <row r="5" spans="1:16" ht="50.4" hidden="1" x14ac:dyDescent="0.3">
      <c r="A5" s="6" t="s">
        <v>8</v>
      </c>
      <c r="B5" s="7" t="s">
        <v>98</v>
      </c>
      <c r="C5" s="7" t="s">
        <v>99</v>
      </c>
      <c r="D5" s="7" t="s">
        <v>100</v>
      </c>
      <c r="E5" s="7" t="s">
        <v>13</v>
      </c>
      <c r="F5" s="7" t="s">
        <v>85</v>
      </c>
      <c r="G5" s="7" t="s">
        <v>112</v>
      </c>
      <c r="H5" s="7" t="s">
        <v>13</v>
      </c>
      <c r="I5" s="8" t="s">
        <v>113</v>
      </c>
      <c r="J5" s="8" t="s">
        <v>116</v>
      </c>
      <c r="K5" s="8"/>
      <c r="L5" s="7" t="s">
        <v>105</v>
      </c>
      <c r="M5" s="9">
        <v>20</v>
      </c>
      <c r="N5" s="6" t="s">
        <v>106</v>
      </c>
      <c r="O5" s="6" t="s">
        <v>115</v>
      </c>
      <c r="P5" s="7"/>
    </row>
    <row r="6" spans="1:16" ht="134.4" hidden="1" x14ac:dyDescent="0.3">
      <c r="A6" s="6" t="s">
        <v>8</v>
      </c>
      <c r="B6" s="7" t="s">
        <v>98</v>
      </c>
      <c r="C6" s="7" t="s">
        <v>99</v>
      </c>
      <c r="D6" s="7" t="s">
        <v>100</v>
      </c>
      <c r="E6" s="7" t="s">
        <v>13</v>
      </c>
      <c r="F6" s="7" t="s">
        <v>85</v>
      </c>
      <c r="G6" s="7" t="s">
        <v>112</v>
      </c>
      <c r="H6" s="7" t="s">
        <v>56</v>
      </c>
      <c r="I6" s="8" t="s">
        <v>117</v>
      </c>
      <c r="J6" s="8" t="s">
        <v>118</v>
      </c>
      <c r="K6" s="8"/>
      <c r="L6" s="7" t="s">
        <v>105</v>
      </c>
      <c r="M6" s="9">
        <v>220</v>
      </c>
      <c r="N6" s="6" t="s">
        <v>106</v>
      </c>
      <c r="O6" s="6" t="s">
        <v>107</v>
      </c>
      <c r="P6" s="8" t="s">
        <v>119</v>
      </c>
    </row>
    <row r="7" spans="1:16" ht="33.6" hidden="1" x14ac:dyDescent="0.3">
      <c r="A7" s="6" t="s">
        <v>8</v>
      </c>
      <c r="B7" s="7" t="s">
        <v>98</v>
      </c>
      <c r="C7" s="7" t="s">
        <v>99</v>
      </c>
      <c r="D7" s="7" t="s">
        <v>100</v>
      </c>
      <c r="E7" s="7" t="s">
        <v>13</v>
      </c>
      <c r="F7" s="7" t="s">
        <v>85</v>
      </c>
      <c r="G7" s="7" t="s">
        <v>120</v>
      </c>
      <c r="H7" s="7" t="s">
        <v>13</v>
      </c>
      <c r="I7" s="8" t="s">
        <v>121</v>
      </c>
      <c r="J7" s="8" t="s">
        <v>122</v>
      </c>
      <c r="K7" s="8" t="s">
        <v>123</v>
      </c>
      <c r="L7" s="7" t="s">
        <v>105</v>
      </c>
      <c r="M7" s="9">
        <v>120</v>
      </c>
      <c r="N7" s="6" t="s">
        <v>106</v>
      </c>
      <c r="O7" s="6" t="s">
        <v>107</v>
      </c>
      <c r="P7" s="8" t="s">
        <v>124</v>
      </c>
    </row>
    <row r="8" spans="1:16" ht="33.6" hidden="1" x14ac:dyDescent="0.3">
      <c r="A8" s="6" t="s">
        <v>8</v>
      </c>
      <c r="B8" s="7" t="s">
        <v>98</v>
      </c>
      <c r="C8" s="7" t="s">
        <v>99</v>
      </c>
      <c r="D8" s="7" t="s">
        <v>100</v>
      </c>
      <c r="E8" s="7" t="s">
        <v>13</v>
      </c>
      <c r="F8" s="7" t="s">
        <v>85</v>
      </c>
      <c r="G8" s="7" t="s">
        <v>125</v>
      </c>
      <c r="H8" s="7" t="s">
        <v>13</v>
      </c>
      <c r="I8" s="8" t="s">
        <v>126</v>
      </c>
      <c r="J8" s="8" t="s">
        <v>103</v>
      </c>
      <c r="K8" s="8" t="s">
        <v>123</v>
      </c>
      <c r="L8" s="7" t="s">
        <v>105</v>
      </c>
      <c r="M8" s="9">
        <v>120</v>
      </c>
      <c r="N8" s="6" t="s">
        <v>106</v>
      </c>
      <c r="O8" s="6" t="s">
        <v>107</v>
      </c>
      <c r="P8" s="8" t="s">
        <v>124</v>
      </c>
    </row>
    <row r="9" spans="1:16" ht="17.399999999999999" hidden="1" thickBot="1" x14ac:dyDescent="0.35">
      <c r="A9" s="10"/>
      <c r="B9" s="11"/>
      <c r="C9" s="11"/>
      <c r="D9" s="11"/>
      <c r="E9" s="11"/>
      <c r="F9" s="11"/>
      <c r="G9" s="11"/>
      <c r="H9" s="11"/>
      <c r="I9" s="12"/>
      <c r="J9" s="12"/>
      <c r="K9" s="12"/>
      <c r="L9" s="11"/>
      <c r="M9" s="13">
        <f>SUM(M2:M8)</f>
        <v>1250</v>
      </c>
      <c r="N9" s="10"/>
      <c r="O9" s="10"/>
      <c r="P9" s="12"/>
    </row>
    <row r="10" spans="1:16" ht="17.399999999999999" hidden="1" thickBot="1" x14ac:dyDescent="0.35">
      <c r="A10" s="14"/>
      <c r="B10" s="14"/>
      <c r="C10" s="14"/>
      <c r="D10" s="14"/>
      <c r="E10" s="14"/>
      <c r="F10" s="14"/>
      <c r="G10" s="14"/>
      <c r="H10" s="14"/>
      <c r="I10" s="15"/>
      <c r="J10" s="15"/>
      <c r="K10" s="15"/>
      <c r="L10" s="14"/>
      <c r="M10" s="16"/>
      <c r="N10" s="17"/>
      <c r="O10" s="17"/>
      <c r="P10" s="15"/>
    </row>
    <row r="11" spans="1:16" ht="33.6" hidden="1" x14ac:dyDescent="0.3">
      <c r="A11" s="18" t="s">
        <v>8</v>
      </c>
      <c r="B11" s="19" t="s">
        <v>98</v>
      </c>
      <c r="C11" s="19" t="s">
        <v>99</v>
      </c>
      <c r="D11" s="19" t="s">
        <v>127</v>
      </c>
      <c r="E11" s="19" t="s">
        <v>13</v>
      </c>
      <c r="F11" s="19" t="s">
        <v>85</v>
      </c>
      <c r="G11" s="19" t="s">
        <v>101</v>
      </c>
      <c r="H11" s="19" t="s">
        <v>13</v>
      </c>
      <c r="I11" s="20" t="s">
        <v>128</v>
      </c>
      <c r="J11" s="20" t="s">
        <v>129</v>
      </c>
      <c r="K11" s="20"/>
      <c r="L11" s="19" t="s">
        <v>146</v>
      </c>
      <c r="M11" s="21">
        <v>120</v>
      </c>
      <c r="N11" s="18" t="s">
        <v>131</v>
      </c>
      <c r="O11" s="22" t="s">
        <v>107</v>
      </c>
      <c r="P11" s="20" t="s">
        <v>132</v>
      </c>
    </row>
    <row r="12" spans="1:16" hidden="1" x14ac:dyDescent="0.3">
      <c r="A12" s="18"/>
      <c r="B12" s="19"/>
      <c r="C12" s="19"/>
      <c r="D12" s="19"/>
      <c r="E12" s="19"/>
      <c r="F12" s="19" t="s">
        <v>85</v>
      </c>
      <c r="G12" s="19"/>
      <c r="H12" s="19"/>
      <c r="I12" s="20" t="s">
        <v>294</v>
      </c>
      <c r="J12" s="20" t="s">
        <v>295</v>
      </c>
      <c r="K12" s="20"/>
      <c r="L12" s="19" t="s">
        <v>130</v>
      </c>
      <c r="M12" s="21">
        <v>40</v>
      </c>
      <c r="N12" s="18" t="s">
        <v>296</v>
      </c>
      <c r="O12" s="22" t="s">
        <v>224</v>
      </c>
      <c r="P12" s="20"/>
    </row>
    <row r="13" spans="1:16" ht="33.6" hidden="1" x14ac:dyDescent="0.3">
      <c r="A13" s="18" t="s">
        <v>8</v>
      </c>
      <c r="B13" s="19" t="s">
        <v>98</v>
      </c>
      <c r="C13" s="19" t="s">
        <v>99</v>
      </c>
      <c r="D13" s="19" t="s">
        <v>100</v>
      </c>
      <c r="E13" s="19" t="s">
        <v>13</v>
      </c>
      <c r="F13" s="19" t="s">
        <v>85</v>
      </c>
      <c r="G13" s="19" t="s">
        <v>101</v>
      </c>
      <c r="H13" s="19" t="s">
        <v>7</v>
      </c>
      <c r="I13" s="20" t="s">
        <v>109</v>
      </c>
      <c r="J13" s="20"/>
      <c r="K13" s="20"/>
      <c r="L13" s="19" t="s">
        <v>105</v>
      </c>
      <c r="M13" s="21">
        <v>160</v>
      </c>
      <c r="N13" s="18" t="s">
        <v>131</v>
      </c>
      <c r="O13" s="18" t="s">
        <v>107</v>
      </c>
      <c r="P13" s="20" t="s">
        <v>133</v>
      </c>
    </row>
    <row r="14" spans="1:16" ht="33.6" hidden="1" x14ac:dyDescent="0.3">
      <c r="A14" s="18" t="s">
        <v>8</v>
      </c>
      <c r="B14" s="19" t="s">
        <v>98</v>
      </c>
      <c r="C14" s="19" t="s">
        <v>99</v>
      </c>
      <c r="D14" s="19" t="s">
        <v>100</v>
      </c>
      <c r="E14" s="19" t="s">
        <v>56</v>
      </c>
      <c r="F14" s="19" t="s">
        <v>85</v>
      </c>
      <c r="G14" s="19" t="s">
        <v>101</v>
      </c>
      <c r="H14" s="19" t="s">
        <v>56</v>
      </c>
      <c r="I14" s="20" t="s">
        <v>134</v>
      </c>
      <c r="J14" s="20" t="s">
        <v>135</v>
      </c>
      <c r="K14" s="20"/>
      <c r="L14" s="19" t="s">
        <v>130</v>
      </c>
      <c r="M14" s="21">
        <v>50</v>
      </c>
      <c r="N14" s="18" t="s">
        <v>131</v>
      </c>
      <c r="O14" s="18" t="s">
        <v>107</v>
      </c>
      <c r="P14" s="20" t="s">
        <v>136</v>
      </c>
    </row>
    <row r="15" spans="1:16" ht="50.4" hidden="1" x14ac:dyDescent="0.3">
      <c r="A15" s="18" t="s">
        <v>8</v>
      </c>
      <c r="B15" s="19" t="s">
        <v>98</v>
      </c>
      <c r="C15" s="19" t="s">
        <v>99</v>
      </c>
      <c r="D15" s="19" t="s">
        <v>100</v>
      </c>
      <c r="E15" s="19" t="s">
        <v>56</v>
      </c>
      <c r="F15" s="19" t="s">
        <v>85</v>
      </c>
      <c r="G15" s="19" t="s">
        <v>112</v>
      </c>
      <c r="H15" s="19" t="s">
        <v>13</v>
      </c>
      <c r="I15" s="20" t="s">
        <v>137</v>
      </c>
      <c r="J15" s="20" t="s">
        <v>138</v>
      </c>
      <c r="K15" s="20"/>
      <c r="L15" s="19" t="s">
        <v>130</v>
      </c>
      <c r="M15" s="21">
        <v>40</v>
      </c>
      <c r="N15" s="18" t="s">
        <v>131</v>
      </c>
      <c r="O15" s="22" t="s">
        <v>224</v>
      </c>
      <c r="P15" s="20" t="s">
        <v>139</v>
      </c>
    </row>
    <row r="16" spans="1:16" ht="33.6" hidden="1" x14ac:dyDescent="0.3">
      <c r="A16" s="18" t="s">
        <v>8</v>
      </c>
      <c r="B16" s="19" t="s">
        <v>98</v>
      </c>
      <c r="C16" s="19" t="s">
        <v>99</v>
      </c>
      <c r="D16" s="19" t="s">
        <v>100</v>
      </c>
      <c r="E16" s="19" t="s">
        <v>13</v>
      </c>
      <c r="F16" s="19" t="s">
        <v>85</v>
      </c>
      <c r="G16" s="19" t="s">
        <v>112</v>
      </c>
      <c r="H16" s="19" t="s">
        <v>13</v>
      </c>
      <c r="I16" s="20" t="s">
        <v>140</v>
      </c>
      <c r="J16" s="20" t="s">
        <v>140</v>
      </c>
      <c r="K16" s="20"/>
      <c r="L16" s="19" t="s">
        <v>130</v>
      </c>
      <c r="M16" s="21">
        <v>60</v>
      </c>
      <c r="N16" s="18" t="s">
        <v>131</v>
      </c>
      <c r="O16" s="22" t="s">
        <v>224</v>
      </c>
      <c r="P16" s="20" t="s">
        <v>141</v>
      </c>
    </row>
    <row r="17" spans="1:16" ht="134.4" hidden="1" x14ac:dyDescent="0.3">
      <c r="A17" s="18" t="s">
        <v>8</v>
      </c>
      <c r="B17" s="19" t="s">
        <v>98</v>
      </c>
      <c r="C17" s="19" t="s">
        <v>99</v>
      </c>
      <c r="D17" s="19" t="s">
        <v>100</v>
      </c>
      <c r="E17" s="19" t="s">
        <v>13</v>
      </c>
      <c r="F17" s="19" t="s">
        <v>85</v>
      </c>
      <c r="G17" s="19" t="s">
        <v>112</v>
      </c>
      <c r="H17" s="19" t="s">
        <v>56</v>
      </c>
      <c r="I17" s="20" t="s">
        <v>117</v>
      </c>
      <c r="J17" s="20" t="s">
        <v>118</v>
      </c>
      <c r="K17" s="20"/>
      <c r="L17" s="19" t="s">
        <v>105</v>
      </c>
      <c r="M17" s="21">
        <v>40</v>
      </c>
      <c r="N17" s="18" t="s">
        <v>131</v>
      </c>
      <c r="O17" s="18" t="s">
        <v>107</v>
      </c>
      <c r="P17" s="20" t="s">
        <v>142</v>
      </c>
    </row>
    <row r="18" spans="1:16" ht="33.6" x14ac:dyDescent="0.3">
      <c r="A18" s="18" t="s">
        <v>8</v>
      </c>
      <c r="B18" s="19" t="s">
        <v>98</v>
      </c>
      <c r="C18" s="19" t="s">
        <v>99</v>
      </c>
      <c r="D18" s="19" t="s">
        <v>100</v>
      </c>
      <c r="E18" s="19" t="s">
        <v>13</v>
      </c>
      <c r="F18" s="19" t="s">
        <v>85</v>
      </c>
      <c r="G18" s="19" t="s">
        <v>112</v>
      </c>
      <c r="H18" s="19" t="s">
        <v>13</v>
      </c>
      <c r="I18" s="20" t="s">
        <v>143</v>
      </c>
      <c r="J18" s="20" t="s">
        <v>144</v>
      </c>
      <c r="K18" s="20" t="s">
        <v>145</v>
      </c>
      <c r="L18" s="19" t="s">
        <v>105</v>
      </c>
      <c r="M18" s="21">
        <v>150</v>
      </c>
      <c r="N18" s="18" t="s">
        <v>131</v>
      </c>
      <c r="O18" s="18" t="s">
        <v>200</v>
      </c>
      <c r="P18" s="19" t="s">
        <v>147</v>
      </c>
    </row>
    <row r="19" spans="1:16" ht="33.6" hidden="1" x14ac:dyDescent="0.3">
      <c r="A19" s="18" t="s">
        <v>8</v>
      </c>
      <c r="B19" s="19" t="s">
        <v>98</v>
      </c>
      <c r="C19" s="19" t="s">
        <v>99</v>
      </c>
      <c r="D19" s="19" t="s">
        <v>148</v>
      </c>
      <c r="E19" s="19" t="s">
        <v>13</v>
      </c>
      <c r="F19" s="19" t="s">
        <v>149</v>
      </c>
      <c r="G19" s="19" t="s">
        <v>150</v>
      </c>
      <c r="H19" s="19" t="s">
        <v>13</v>
      </c>
      <c r="I19" s="20" t="s">
        <v>151</v>
      </c>
      <c r="J19" s="20"/>
      <c r="K19" s="19"/>
      <c r="L19" s="19" t="s">
        <v>130</v>
      </c>
      <c r="M19" s="21">
        <v>200</v>
      </c>
      <c r="N19" s="18" t="s">
        <v>131</v>
      </c>
      <c r="O19" s="22" t="s">
        <v>224</v>
      </c>
      <c r="P19" s="19"/>
    </row>
    <row r="20" spans="1:16" ht="17.399999999999999" hidden="1" thickBot="1" x14ac:dyDescent="0.35">
      <c r="A20" s="23"/>
      <c r="B20" s="24"/>
      <c r="C20" s="24"/>
      <c r="D20" s="24"/>
      <c r="E20" s="24"/>
      <c r="F20" s="24"/>
      <c r="G20" s="24"/>
      <c r="H20" s="24"/>
      <c r="I20" s="25"/>
      <c r="J20" s="25"/>
      <c r="K20" s="12"/>
      <c r="L20" s="24"/>
      <c r="M20" s="26">
        <f>SUM(M11:M19)</f>
        <v>860</v>
      </c>
      <c r="N20" s="23"/>
      <c r="O20" s="23"/>
      <c r="P20" s="24"/>
    </row>
    <row r="21" spans="1:16" hidden="1" x14ac:dyDescent="0.3">
      <c r="A21" s="27"/>
      <c r="B21" s="27"/>
      <c r="C21" s="27"/>
      <c r="D21" s="27"/>
      <c r="E21" s="27"/>
      <c r="F21" s="27"/>
      <c r="G21" s="27"/>
      <c r="H21" s="27"/>
      <c r="I21" s="27"/>
      <c r="J21" s="28"/>
      <c r="K21" s="27"/>
      <c r="L21" s="27"/>
      <c r="M21" s="27"/>
      <c r="N21" s="29"/>
      <c r="O21" s="29"/>
      <c r="P21" s="27"/>
    </row>
    <row r="22" spans="1:16" hidden="1" x14ac:dyDescent="0.3">
      <c r="A22" s="3" t="s">
        <v>152</v>
      </c>
      <c r="B22" s="3" t="s">
        <v>87</v>
      </c>
      <c r="C22" s="3" t="s">
        <v>83</v>
      </c>
      <c r="D22" s="3" t="s">
        <v>88</v>
      </c>
      <c r="E22" s="3" t="s">
        <v>89</v>
      </c>
      <c r="F22" s="3" t="s">
        <v>82</v>
      </c>
      <c r="G22" s="3" t="s">
        <v>90</v>
      </c>
      <c r="H22" s="3" t="s">
        <v>0</v>
      </c>
      <c r="I22" s="3" t="s">
        <v>91</v>
      </c>
      <c r="J22" s="4" t="s">
        <v>92</v>
      </c>
      <c r="K22" s="3" t="s">
        <v>93</v>
      </c>
      <c r="L22" s="3" t="s">
        <v>94</v>
      </c>
      <c r="M22" s="3" t="s">
        <v>95</v>
      </c>
      <c r="N22" s="3" t="s">
        <v>96</v>
      </c>
      <c r="O22" s="3" t="s">
        <v>97</v>
      </c>
      <c r="P22" s="3" t="s">
        <v>84</v>
      </c>
    </row>
    <row r="23" spans="1:16" ht="33.6" hidden="1" x14ac:dyDescent="0.3">
      <c r="A23" s="6" t="s">
        <v>8</v>
      </c>
      <c r="B23" s="7" t="s">
        <v>153</v>
      </c>
      <c r="C23" s="7" t="s">
        <v>9</v>
      </c>
      <c r="D23" s="7" t="s">
        <v>100</v>
      </c>
      <c r="E23" s="7" t="s">
        <v>13</v>
      </c>
      <c r="F23" s="7" t="s">
        <v>149</v>
      </c>
      <c r="G23" s="7" t="s">
        <v>150</v>
      </c>
      <c r="H23" s="7" t="s">
        <v>13</v>
      </c>
      <c r="I23" s="8" t="s">
        <v>154</v>
      </c>
      <c r="J23" s="8" t="s">
        <v>155</v>
      </c>
      <c r="K23" s="8"/>
      <c r="L23" s="7" t="s">
        <v>105</v>
      </c>
      <c r="M23" s="9">
        <v>840</v>
      </c>
      <c r="N23" s="6" t="s">
        <v>106</v>
      </c>
      <c r="O23" s="6" t="s">
        <v>156</v>
      </c>
      <c r="P23" s="8" t="s">
        <v>157</v>
      </c>
    </row>
    <row r="24" spans="1:16" ht="33.6" hidden="1" x14ac:dyDescent="0.3">
      <c r="A24" s="6" t="s">
        <v>8</v>
      </c>
      <c r="B24" s="7" t="s">
        <v>98</v>
      </c>
      <c r="C24" s="7" t="s">
        <v>9</v>
      </c>
      <c r="D24" s="7" t="s">
        <v>100</v>
      </c>
      <c r="E24" s="7" t="s">
        <v>13</v>
      </c>
      <c r="F24" s="7" t="s">
        <v>85</v>
      </c>
      <c r="G24" s="7" t="s">
        <v>150</v>
      </c>
      <c r="H24" s="7" t="s">
        <v>13</v>
      </c>
      <c r="I24" s="8" t="s">
        <v>158</v>
      </c>
      <c r="J24" s="8" t="s">
        <v>159</v>
      </c>
      <c r="K24" s="8"/>
      <c r="L24" s="7" t="s">
        <v>105</v>
      </c>
      <c r="M24" s="9">
        <v>16</v>
      </c>
      <c r="N24" s="6" t="s">
        <v>106</v>
      </c>
      <c r="O24" s="6" t="s">
        <v>160</v>
      </c>
      <c r="P24" s="7"/>
    </row>
    <row r="25" spans="1:16" ht="33.6" hidden="1" x14ac:dyDescent="0.3">
      <c r="A25" s="6" t="s">
        <v>8</v>
      </c>
      <c r="B25" s="7" t="s">
        <v>98</v>
      </c>
      <c r="C25" s="7" t="s">
        <v>9</v>
      </c>
      <c r="D25" s="7" t="s">
        <v>100</v>
      </c>
      <c r="E25" s="7" t="s">
        <v>13</v>
      </c>
      <c r="F25" s="7" t="s">
        <v>85</v>
      </c>
      <c r="G25" s="7" t="s">
        <v>150</v>
      </c>
      <c r="H25" s="7" t="s">
        <v>13</v>
      </c>
      <c r="I25" s="8" t="s">
        <v>161</v>
      </c>
      <c r="J25" s="8" t="s">
        <v>162</v>
      </c>
      <c r="K25" s="8"/>
      <c r="L25" s="7" t="s">
        <v>105</v>
      </c>
      <c r="M25" s="9">
        <v>20</v>
      </c>
      <c r="N25" s="6" t="s">
        <v>106</v>
      </c>
      <c r="O25" s="6" t="s">
        <v>156</v>
      </c>
      <c r="P25" s="7"/>
    </row>
    <row r="26" spans="1:16" hidden="1" x14ac:dyDescent="0.3">
      <c r="A26" s="6" t="s">
        <v>8</v>
      </c>
      <c r="B26" s="7" t="s">
        <v>98</v>
      </c>
      <c r="C26" s="7" t="s">
        <v>9</v>
      </c>
      <c r="D26" s="7" t="s">
        <v>100</v>
      </c>
      <c r="E26" s="7" t="s">
        <v>13</v>
      </c>
      <c r="F26" s="7" t="s">
        <v>85</v>
      </c>
      <c r="G26" s="7" t="s">
        <v>150</v>
      </c>
      <c r="H26" s="7" t="s">
        <v>13</v>
      </c>
      <c r="I26" s="8" t="s">
        <v>163</v>
      </c>
      <c r="J26" s="8" t="s">
        <v>164</v>
      </c>
      <c r="K26" s="8"/>
      <c r="L26" s="7" t="s">
        <v>105</v>
      </c>
      <c r="M26" s="9">
        <v>240</v>
      </c>
      <c r="N26" s="6" t="s">
        <v>106</v>
      </c>
      <c r="O26" s="6" t="s">
        <v>156</v>
      </c>
      <c r="P26" s="8" t="s">
        <v>165</v>
      </c>
    </row>
    <row r="27" spans="1:16" hidden="1" x14ac:dyDescent="0.3">
      <c r="A27" s="6" t="s">
        <v>8</v>
      </c>
      <c r="B27" s="7" t="s">
        <v>98</v>
      </c>
      <c r="C27" s="7" t="s">
        <v>9</v>
      </c>
      <c r="D27" s="7" t="s">
        <v>100</v>
      </c>
      <c r="E27" s="7" t="s">
        <v>13</v>
      </c>
      <c r="F27" s="7" t="s">
        <v>85</v>
      </c>
      <c r="G27" s="7" t="s">
        <v>150</v>
      </c>
      <c r="H27" s="7" t="s">
        <v>13</v>
      </c>
      <c r="I27" s="8" t="s">
        <v>166</v>
      </c>
      <c r="J27" s="8" t="s">
        <v>167</v>
      </c>
      <c r="K27" s="8"/>
      <c r="L27" s="7" t="s">
        <v>105</v>
      </c>
      <c r="M27" s="30">
        <v>1350</v>
      </c>
      <c r="N27" s="6" t="s">
        <v>106</v>
      </c>
      <c r="O27" s="6" t="s">
        <v>160</v>
      </c>
      <c r="P27" s="7"/>
    </row>
    <row r="28" spans="1:16" ht="100.8" hidden="1" x14ac:dyDescent="0.3">
      <c r="A28" s="6" t="s">
        <v>8</v>
      </c>
      <c r="B28" s="7" t="s">
        <v>98</v>
      </c>
      <c r="C28" s="7" t="s">
        <v>9</v>
      </c>
      <c r="D28" s="7" t="s">
        <v>100</v>
      </c>
      <c r="E28" s="7" t="s">
        <v>13</v>
      </c>
      <c r="F28" s="7" t="s">
        <v>168</v>
      </c>
      <c r="G28" s="7" t="s">
        <v>150</v>
      </c>
      <c r="H28" s="7" t="s">
        <v>56</v>
      </c>
      <c r="I28" s="8" t="s">
        <v>169</v>
      </c>
      <c r="J28" s="8" t="s">
        <v>170</v>
      </c>
      <c r="K28" s="8"/>
      <c r="L28" s="7" t="s">
        <v>105</v>
      </c>
      <c r="M28" s="9">
        <v>220</v>
      </c>
      <c r="N28" s="6" t="s">
        <v>106</v>
      </c>
      <c r="O28" s="6" t="s">
        <v>107</v>
      </c>
      <c r="P28" s="7" t="s">
        <v>171</v>
      </c>
    </row>
    <row r="29" spans="1:16" hidden="1" x14ac:dyDescent="0.3">
      <c r="A29" s="6" t="s">
        <v>8</v>
      </c>
      <c r="B29" s="7" t="s">
        <v>98</v>
      </c>
      <c r="C29" s="7" t="s">
        <v>9</v>
      </c>
      <c r="D29" s="7" t="s">
        <v>100</v>
      </c>
      <c r="E29" s="7" t="s">
        <v>13</v>
      </c>
      <c r="F29" s="7" t="s">
        <v>85</v>
      </c>
      <c r="G29" s="7" t="s">
        <v>150</v>
      </c>
      <c r="H29" s="7" t="s">
        <v>13</v>
      </c>
      <c r="I29" s="8" t="s">
        <v>172</v>
      </c>
      <c r="J29" s="8" t="s">
        <v>173</v>
      </c>
      <c r="K29" s="8"/>
      <c r="L29" s="7" t="s">
        <v>105</v>
      </c>
      <c r="M29" s="9">
        <v>80</v>
      </c>
      <c r="N29" s="6" t="s">
        <v>106</v>
      </c>
      <c r="O29" s="6" t="s">
        <v>160</v>
      </c>
      <c r="P29" s="7"/>
    </row>
    <row r="30" spans="1:16" ht="67.2" hidden="1" x14ac:dyDescent="0.3">
      <c r="A30" s="6" t="s">
        <v>8</v>
      </c>
      <c r="B30" s="7" t="s">
        <v>98</v>
      </c>
      <c r="C30" s="7" t="s">
        <v>9</v>
      </c>
      <c r="D30" s="7" t="s">
        <v>100</v>
      </c>
      <c r="E30" s="7" t="s">
        <v>13</v>
      </c>
      <c r="F30" s="7" t="s">
        <v>149</v>
      </c>
      <c r="G30" s="7" t="s">
        <v>150</v>
      </c>
      <c r="H30" s="7" t="s">
        <v>13</v>
      </c>
      <c r="I30" s="8" t="s">
        <v>174</v>
      </c>
      <c r="J30" s="8" t="s">
        <v>175</v>
      </c>
      <c r="K30" s="8" t="s">
        <v>176</v>
      </c>
      <c r="L30" s="7" t="s">
        <v>105</v>
      </c>
      <c r="M30" s="9">
        <v>40</v>
      </c>
      <c r="N30" s="6" t="s">
        <v>106</v>
      </c>
      <c r="O30" s="6" t="s">
        <v>107</v>
      </c>
      <c r="P30" s="8" t="s">
        <v>177</v>
      </c>
    </row>
    <row r="31" spans="1:16" ht="33.6" hidden="1" x14ac:dyDescent="0.3">
      <c r="A31" s="6" t="s">
        <v>8</v>
      </c>
      <c r="B31" s="7" t="s">
        <v>98</v>
      </c>
      <c r="C31" s="7" t="s">
        <v>9</v>
      </c>
      <c r="D31" s="7" t="s">
        <v>100</v>
      </c>
      <c r="E31" s="7" t="s">
        <v>13</v>
      </c>
      <c r="F31" s="7" t="s">
        <v>85</v>
      </c>
      <c r="G31" s="7" t="s">
        <v>150</v>
      </c>
      <c r="H31" s="7" t="s">
        <v>13</v>
      </c>
      <c r="I31" s="8" t="s">
        <v>178</v>
      </c>
      <c r="J31" s="8" t="s">
        <v>179</v>
      </c>
      <c r="K31" s="8"/>
      <c r="L31" s="7" t="s">
        <v>105</v>
      </c>
      <c r="M31" s="9">
        <v>12</v>
      </c>
      <c r="N31" s="6" t="s">
        <v>106</v>
      </c>
      <c r="O31" s="6"/>
      <c r="P31" s="8" t="s">
        <v>180</v>
      </c>
    </row>
    <row r="32" spans="1:16" ht="33.6" hidden="1" x14ac:dyDescent="0.3">
      <c r="A32" s="6" t="s">
        <v>8</v>
      </c>
      <c r="B32" s="7" t="s">
        <v>98</v>
      </c>
      <c r="C32" s="7" t="s">
        <v>9</v>
      </c>
      <c r="D32" s="7" t="s">
        <v>100</v>
      </c>
      <c r="E32" s="7" t="s">
        <v>13</v>
      </c>
      <c r="F32" s="7" t="s">
        <v>85</v>
      </c>
      <c r="G32" s="7" t="s">
        <v>150</v>
      </c>
      <c r="H32" s="7" t="s">
        <v>13</v>
      </c>
      <c r="I32" s="8" t="s">
        <v>181</v>
      </c>
      <c r="J32" s="8" t="s">
        <v>182</v>
      </c>
      <c r="K32" s="8"/>
      <c r="L32" s="7" t="s">
        <v>105</v>
      </c>
      <c r="M32" s="9">
        <v>300</v>
      </c>
      <c r="N32" s="6" t="s">
        <v>106</v>
      </c>
      <c r="O32" s="6"/>
      <c r="P32" s="7"/>
    </row>
    <row r="33" spans="1:16" hidden="1" x14ac:dyDescent="0.3">
      <c r="A33" s="6" t="s">
        <v>8</v>
      </c>
      <c r="B33" s="7" t="s">
        <v>98</v>
      </c>
      <c r="C33" s="7" t="s">
        <v>9</v>
      </c>
      <c r="D33" s="7" t="s">
        <v>100</v>
      </c>
      <c r="E33" s="7" t="s">
        <v>13</v>
      </c>
      <c r="F33" s="7" t="s">
        <v>85</v>
      </c>
      <c r="G33" s="7" t="s">
        <v>150</v>
      </c>
      <c r="H33" s="7" t="s">
        <v>13</v>
      </c>
      <c r="I33" s="8" t="s">
        <v>183</v>
      </c>
      <c r="J33" s="8" t="s">
        <v>184</v>
      </c>
      <c r="K33" s="8"/>
      <c r="L33" s="7" t="s">
        <v>105</v>
      </c>
      <c r="M33" s="9">
        <v>36</v>
      </c>
      <c r="N33" s="6" t="s">
        <v>106</v>
      </c>
      <c r="O33" s="6"/>
      <c r="P33" s="7" t="s">
        <v>185</v>
      </c>
    </row>
    <row r="34" spans="1:16" ht="17.399999999999999" hidden="1" thickBot="1" x14ac:dyDescent="0.35">
      <c r="A34" s="10"/>
      <c r="B34" s="11"/>
      <c r="C34" s="11"/>
      <c r="D34" s="11"/>
      <c r="E34" s="11"/>
      <c r="F34" s="11"/>
      <c r="G34" s="11"/>
      <c r="H34" s="11"/>
      <c r="I34" s="12"/>
      <c r="J34" s="12"/>
      <c r="K34" s="12"/>
      <c r="L34" s="11"/>
      <c r="M34" s="13">
        <f>SUM(M23:M33)</f>
        <v>3154</v>
      </c>
      <c r="N34" s="10"/>
      <c r="O34" s="10"/>
      <c r="P34" s="12"/>
    </row>
    <row r="35" spans="1:16" hidden="1" x14ac:dyDescent="0.3">
      <c r="A35" s="27"/>
      <c r="B35" s="27"/>
      <c r="C35" s="27"/>
      <c r="D35" s="27"/>
      <c r="E35" s="27"/>
      <c r="F35" s="27"/>
      <c r="G35" s="27"/>
      <c r="H35" s="27"/>
      <c r="I35" s="27" t="s">
        <v>292</v>
      </c>
      <c r="J35" s="28" t="s">
        <v>92</v>
      </c>
      <c r="K35" s="27"/>
      <c r="L35" s="27"/>
      <c r="M35" s="27"/>
      <c r="N35" s="29"/>
      <c r="O35" s="29"/>
      <c r="P35" s="27"/>
    </row>
    <row r="36" spans="1:16" ht="67.2" hidden="1" x14ac:dyDescent="0.3">
      <c r="A36" s="18" t="s">
        <v>8</v>
      </c>
      <c r="B36" s="19" t="s">
        <v>98</v>
      </c>
      <c r="C36" s="19" t="s">
        <v>9</v>
      </c>
      <c r="D36" s="19" t="s">
        <v>100</v>
      </c>
      <c r="E36" s="19" t="s">
        <v>13</v>
      </c>
      <c r="F36" s="19" t="s">
        <v>168</v>
      </c>
      <c r="G36" s="19" t="s">
        <v>150</v>
      </c>
      <c r="H36" s="19" t="s">
        <v>7</v>
      </c>
      <c r="I36" s="20" t="s">
        <v>186</v>
      </c>
      <c r="J36" s="20" t="s">
        <v>187</v>
      </c>
      <c r="K36" s="20" t="s">
        <v>188</v>
      </c>
      <c r="L36" s="19" t="s">
        <v>105</v>
      </c>
      <c r="M36" s="21">
        <v>220</v>
      </c>
      <c r="N36" s="18" t="s">
        <v>131</v>
      </c>
      <c r="O36" s="18" t="s">
        <v>107</v>
      </c>
      <c r="P36" s="19"/>
    </row>
    <row r="37" spans="1:16" ht="100.8" x14ac:dyDescent="0.3">
      <c r="A37" s="18" t="s">
        <v>8</v>
      </c>
      <c r="B37" s="19" t="s">
        <v>98</v>
      </c>
      <c r="C37" s="19" t="s">
        <v>9</v>
      </c>
      <c r="D37" s="19" t="s">
        <v>100</v>
      </c>
      <c r="E37" s="19" t="s">
        <v>13</v>
      </c>
      <c r="F37" s="19" t="s">
        <v>149</v>
      </c>
      <c r="G37" s="19" t="s">
        <v>150</v>
      </c>
      <c r="H37" s="19" t="s">
        <v>13</v>
      </c>
      <c r="I37" s="20" t="s">
        <v>189</v>
      </c>
      <c r="J37" s="20" t="s">
        <v>282</v>
      </c>
      <c r="K37" s="20"/>
      <c r="L37" s="19" t="s">
        <v>105</v>
      </c>
      <c r="M37" s="21">
        <f>100+250</f>
        <v>350</v>
      </c>
      <c r="N37" s="18" t="s">
        <v>131</v>
      </c>
      <c r="O37" s="18" t="s">
        <v>200</v>
      </c>
      <c r="P37" s="20" t="s">
        <v>298</v>
      </c>
    </row>
    <row r="38" spans="1:16" ht="67.2" hidden="1" x14ac:dyDescent="0.3">
      <c r="A38" s="18" t="s">
        <v>8</v>
      </c>
      <c r="B38" s="19" t="s">
        <v>98</v>
      </c>
      <c r="C38" s="19" t="s">
        <v>9</v>
      </c>
      <c r="D38" s="19" t="s">
        <v>100</v>
      </c>
      <c r="E38" s="19" t="s">
        <v>13</v>
      </c>
      <c r="F38" s="19" t="s">
        <v>149</v>
      </c>
      <c r="G38" s="19" t="s">
        <v>150</v>
      </c>
      <c r="H38" s="19" t="s">
        <v>13</v>
      </c>
      <c r="I38" s="20" t="s">
        <v>174</v>
      </c>
      <c r="J38" s="20" t="s">
        <v>175</v>
      </c>
      <c r="K38" s="20"/>
      <c r="L38" s="19" t="s">
        <v>105</v>
      </c>
      <c r="M38" s="21">
        <v>80</v>
      </c>
      <c r="N38" s="18" t="s">
        <v>131</v>
      </c>
      <c r="O38" s="18" t="s">
        <v>107</v>
      </c>
      <c r="P38" s="20" t="s">
        <v>191</v>
      </c>
    </row>
    <row r="39" spans="1:16" ht="33.6" hidden="1" x14ac:dyDescent="0.3">
      <c r="A39" s="18" t="s">
        <v>57</v>
      </c>
      <c r="B39" s="19" t="s">
        <v>98</v>
      </c>
      <c r="C39" s="19" t="s">
        <v>9</v>
      </c>
      <c r="D39" s="19" t="s">
        <v>100</v>
      </c>
      <c r="E39" s="19" t="s">
        <v>13</v>
      </c>
      <c r="F39" s="19" t="s">
        <v>149</v>
      </c>
      <c r="G39" s="19" t="s">
        <v>150</v>
      </c>
      <c r="H39" s="19" t="s">
        <v>13</v>
      </c>
      <c r="I39" s="20" t="s">
        <v>140</v>
      </c>
      <c r="J39" s="31" t="s">
        <v>192</v>
      </c>
      <c r="K39" s="20"/>
      <c r="L39" s="19" t="s">
        <v>130</v>
      </c>
      <c r="M39" s="21">
        <v>60</v>
      </c>
      <c r="N39" s="18" t="s">
        <v>131</v>
      </c>
      <c r="O39" s="18"/>
      <c r="P39" s="20" t="s">
        <v>141</v>
      </c>
    </row>
    <row r="40" spans="1:16" ht="117.6" hidden="1" x14ac:dyDescent="0.3">
      <c r="A40" s="18" t="s">
        <v>8</v>
      </c>
      <c r="B40" s="19" t="s">
        <v>98</v>
      </c>
      <c r="C40" s="19" t="s">
        <v>9</v>
      </c>
      <c r="D40" s="19" t="s">
        <v>100</v>
      </c>
      <c r="E40" s="19" t="s">
        <v>13</v>
      </c>
      <c r="F40" s="19" t="s">
        <v>168</v>
      </c>
      <c r="G40" s="19" t="s">
        <v>150</v>
      </c>
      <c r="H40" s="19" t="s">
        <v>13</v>
      </c>
      <c r="I40" s="20" t="s">
        <v>193</v>
      </c>
      <c r="J40" s="20" t="s">
        <v>194</v>
      </c>
      <c r="K40" s="20"/>
      <c r="L40" s="19" t="s">
        <v>105</v>
      </c>
      <c r="M40" s="21">
        <v>200</v>
      </c>
      <c r="N40" s="18" t="s">
        <v>131</v>
      </c>
      <c r="O40" s="18" t="s">
        <v>107</v>
      </c>
      <c r="P40" s="19" t="s">
        <v>100</v>
      </c>
    </row>
    <row r="41" spans="1:16" ht="33.6" hidden="1" x14ac:dyDescent="0.3">
      <c r="A41" s="18" t="s">
        <v>8</v>
      </c>
      <c r="B41" s="19" t="s">
        <v>98</v>
      </c>
      <c r="C41" s="19" t="s">
        <v>9</v>
      </c>
      <c r="D41" s="19" t="s">
        <v>100</v>
      </c>
      <c r="E41" s="19" t="s">
        <v>13</v>
      </c>
      <c r="F41" s="19" t="s">
        <v>168</v>
      </c>
      <c r="G41" s="19" t="s">
        <v>150</v>
      </c>
      <c r="H41" s="19" t="s">
        <v>13</v>
      </c>
      <c r="I41" s="20" t="s">
        <v>195</v>
      </c>
      <c r="J41" s="20" t="s">
        <v>196</v>
      </c>
      <c r="K41" s="20"/>
      <c r="L41" s="19" t="s">
        <v>105</v>
      </c>
      <c r="M41" s="21">
        <v>40</v>
      </c>
      <c r="N41" s="18" t="s">
        <v>131</v>
      </c>
      <c r="O41" s="18" t="s">
        <v>107</v>
      </c>
      <c r="P41" s="19" t="s">
        <v>100</v>
      </c>
    </row>
    <row r="42" spans="1:16" ht="33.6" hidden="1" x14ac:dyDescent="0.3">
      <c r="A42" s="18" t="s">
        <v>57</v>
      </c>
      <c r="B42" s="19" t="s">
        <v>98</v>
      </c>
      <c r="C42" s="19" t="s">
        <v>9</v>
      </c>
      <c r="D42" s="19" t="s">
        <v>100</v>
      </c>
      <c r="E42" s="19" t="s">
        <v>197</v>
      </c>
      <c r="F42" s="19" t="s">
        <v>168</v>
      </c>
      <c r="G42" s="19" t="s">
        <v>150</v>
      </c>
      <c r="H42" s="19" t="s">
        <v>13</v>
      </c>
      <c r="I42" s="20" t="s">
        <v>198</v>
      </c>
      <c r="J42" s="20"/>
      <c r="K42" s="20"/>
      <c r="L42" s="19" t="s">
        <v>130</v>
      </c>
      <c r="M42" s="21">
        <v>100</v>
      </c>
      <c r="N42" s="18" t="s">
        <v>131</v>
      </c>
      <c r="O42" s="18"/>
      <c r="P42" s="20" t="s">
        <v>141</v>
      </c>
    </row>
    <row r="43" spans="1:16" ht="50.4" x14ac:dyDescent="0.3">
      <c r="A43" s="18" t="s">
        <v>8</v>
      </c>
      <c r="B43" s="19" t="s">
        <v>98</v>
      </c>
      <c r="C43" s="19" t="s">
        <v>9</v>
      </c>
      <c r="D43" s="19" t="s">
        <v>100</v>
      </c>
      <c r="E43" s="19" t="s">
        <v>13</v>
      </c>
      <c r="F43" s="19" t="s">
        <v>85</v>
      </c>
      <c r="G43" s="19" t="s">
        <v>150</v>
      </c>
      <c r="H43" s="19" t="s">
        <v>13</v>
      </c>
      <c r="I43" s="20" t="s">
        <v>178</v>
      </c>
      <c r="J43" s="20" t="s">
        <v>199</v>
      </c>
      <c r="K43" s="20"/>
      <c r="L43" s="19" t="s">
        <v>190</v>
      </c>
      <c r="M43" s="21">
        <v>12</v>
      </c>
      <c r="N43" s="18" t="s">
        <v>131</v>
      </c>
      <c r="O43" s="18" t="s">
        <v>200</v>
      </c>
      <c r="P43" s="20" t="s">
        <v>201</v>
      </c>
    </row>
    <row r="44" spans="1:16" ht="67.2" x14ac:dyDescent="0.3">
      <c r="A44" s="18" t="s">
        <v>8</v>
      </c>
      <c r="B44" s="19" t="s">
        <v>98</v>
      </c>
      <c r="C44" s="19" t="s">
        <v>9</v>
      </c>
      <c r="D44" s="19" t="s">
        <v>100</v>
      </c>
      <c r="E44" s="19" t="s">
        <v>13</v>
      </c>
      <c r="F44" s="19" t="s">
        <v>85</v>
      </c>
      <c r="G44" s="19" t="s">
        <v>150</v>
      </c>
      <c r="H44" s="19" t="s">
        <v>13</v>
      </c>
      <c r="I44" s="20" t="s">
        <v>202</v>
      </c>
      <c r="J44" s="20" t="s">
        <v>203</v>
      </c>
      <c r="K44" s="20"/>
      <c r="L44" s="19" t="s">
        <v>190</v>
      </c>
      <c r="M44" s="21">
        <v>40</v>
      </c>
      <c r="N44" s="18" t="s">
        <v>131</v>
      </c>
      <c r="O44" s="18" t="s">
        <v>200</v>
      </c>
      <c r="P44" s="20" t="s">
        <v>204</v>
      </c>
    </row>
    <row r="45" spans="1:16" s="56" customFormat="1" ht="67.2" x14ac:dyDescent="0.3">
      <c r="A45" s="52" t="s">
        <v>8</v>
      </c>
      <c r="B45" s="53" t="s">
        <v>98</v>
      </c>
      <c r="C45" s="53" t="s">
        <v>9</v>
      </c>
      <c r="D45" s="53" t="s">
        <v>100</v>
      </c>
      <c r="E45" s="19" t="s">
        <v>13</v>
      </c>
      <c r="F45" s="53" t="s">
        <v>85</v>
      </c>
      <c r="G45" s="19" t="s">
        <v>150</v>
      </c>
      <c r="H45" s="19" t="s">
        <v>13</v>
      </c>
      <c r="I45" s="54" t="s">
        <v>205</v>
      </c>
      <c r="J45" s="54" t="s">
        <v>206</v>
      </c>
      <c r="K45" s="20"/>
      <c r="L45" s="53" t="s">
        <v>190</v>
      </c>
      <c r="M45" s="55">
        <v>200</v>
      </c>
      <c r="N45" s="52" t="s">
        <v>131</v>
      </c>
      <c r="O45" s="52" t="s">
        <v>200</v>
      </c>
      <c r="P45" s="53" t="s">
        <v>283</v>
      </c>
    </row>
    <row r="46" spans="1:16" ht="33.6" x14ac:dyDescent="0.3">
      <c r="A46" s="18" t="s">
        <v>8</v>
      </c>
      <c r="B46" s="19" t="s">
        <v>98</v>
      </c>
      <c r="C46" s="19" t="s">
        <v>9</v>
      </c>
      <c r="D46" s="19" t="s">
        <v>100</v>
      </c>
      <c r="E46" s="19" t="s">
        <v>13</v>
      </c>
      <c r="F46" s="19" t="s">
        <v>85</v>
      </c>
      <c r="G46" s="19" t="s">
        <v>150</v>
      </c>
      <c r="H46" s="19" t="s">
        <v>13</v>
      </c>
      <c r="I46" s="20" t="s">
        <v>166</v>
      </c>
      <c r="J46" s="20" t="s">
        <v>167</v>
      </c>
      <c r="K46" s="20"/>
      <c r="L46" s="19" t="s">
        <v>190</v>
      </c>
      <c r="M46" s="34">
        <v>900</v>
      </c>
      <c r="N46" s="18" t="s">
        <v>131</v>
      </c>
      <c r="O46" s="52" t="s">
        <v>200</v>
      </c>
      <c r="P46" s="20" t="s">
        <v>207</v>
      </c>
    </row>
    <row r="47" spans="1:16" ht="33.6" hidden="1" x14ac:dyDescent="0.3">
      <c r="A47" s="18" t="s">
        <v>57</v>
      </c>
      <c r="B47" s="19" t="s">
        <v>98</v>
      </c>
      <c r="C47" s="19" t="s">
        <v>9</v>
      </c>
      <c r="D47" s="19" t="s">
        <v>100</v>
      </c>
      <c r="E47" s="19" t="s">
        <v>13</v>
      </c>
      <c r="F47" s="19" t="s">
        <v>85</v>
      </c>
      <c r="G47" s="19" t="s">
        <v>150</v>
      </c>
      <c r="H47" s="19" t="s">
        <v>13</v>
      </c>
      <c r="I47" s="20" t="s">
        <v>208</v>
      </c>
      <c r="J47" s="20" t="s">
        <v>209</v>
      </c>
      <c r="K47" s="20"/>
      <c r="L47" s="19" t="s">
        <v>130</v>
      </c>
      <c r="M47" s="21">
        <v>24</v>
      </c>
      <c r="N47" s="18" t="s">
        <v>131</v>
      </c>
      <c r="O47" s="18"/>
      <c r="P47" s="19"/>
    </row>
    <row r="48" spans="1:16" x14ac:dyDescent="0.3">
      <c r="A48" s="18" t="s">
        <v>8</v>
      </c>
      <c r="B48" s="19" t="s">
        <v>98</v>
      </c>
      <c r="C48" s="19" t="s">
        <v>9</v>
      </c>
      <c r="D48" s="19" t="s">
        <v>100</v>
      </c>
      <c r="E48" s="19" t="s">
        <v>13</v>
      </c>
      <c r="F48" s="19" t="s">
        <v>85</v>
      </c>
      <c r="G48" s="19" t="s">
        <v>150</v>
      </c>
      <c r="H48" s="19" t="s">
        <v>13</v>
      </c>
      <c r="I48" s="20" t="s">
        <v>172</v>
      </c>
      <c r="J48" s="20" t="s">
        <v>173</v>
      </c>
      <c r="K48" s="20"/>
      <c r="L48" s="19" t="s">
        <v>190</v>
      </c>
      <c r="M48" s="21">
        <v>80</v>
      </c>
      <c r="N48" s="18" t="s">
        <v>131</v>
      </c>
      <c r="O48" s="52" t="s">
        <v>200</v>
      </c>
      <c r="P48" s="19"/>
    </row>
    <row r="49" spans="1:16" ht="67.2" x14ac:dyDescent="0.3">
      <c r="A49" s="18" t="s">
        <v>8</v>
      </c>
      <c r="B49" s="19" t="s">
        <v>98</v>
      </c>
      <c r="C49" s="19" t="s">
        <v>9</v>
      </c>
      <c r="D49" s="19" t="s">
        <v>100</v>
      </c>
      <c r="E49" s="19" t="s">
        <v>13</v>
      </c>
      <c r="F49" s="19" t="s">
        <v>85</v>
      </c>
      <c r="G49" s="19" t="s">
        <v>150</v>
      </c>
      <c r="H49" s="19" t="s">
        <v>13</v>
      </c>
      <c r="I49" s="20" t="s">
        <v>210</v>
      </c>
      <c r="J49" s="20" t="s">
        <v>211</v>
      </c>
      <c r="K49" s="20"/>
      <c r="L49" s="19" t="s">
        <v>190</v>
      </c>
      <c r="M49" s="21">
        <v>60</v>
      </c>
      <c r="N49" s="18" t="s">
        <v>131</v>
      </c>
      <c r="O49" s="52" t="s">
        <v>200</v>
      </c>
      <c r="P49" s="19"/>
    </row>
    <row r="50" spans="1:16" ht="50.4" hidden="1" x14ac:dyDescent="0.3">
      <c r="A50" s="18" t="s">
        <v>8</v>
      </c>
      <c r="B50" s="19" t="s">
        <v>98</v>
      </c>
      <c r="C50" s="19" t="s">
        <v>9</v>
      </c>
      <c r="D50" s="19" t="s">
        <v>100</v>
      </c>
      <c r="E50" s="19" t="s">
        <v>13</v>
      </c>
      <c r="F50" s="19" t="s">
        <v>85</v>
      </c>
      <c r="G50" s="19" t="s">
        <v>150</v>
      </c>
      <c r="H50" s="19" t="s">
        <v>13</v>
      </c>
      <c r="I50" s="20" t="s">
        <v>212</v>
      </c>
      <c r="J50" s="20" t="s">
        <v>213</v>
      </c>
      <c r="K50" s="20"/>
      <c r="L50" s="19" t="s">
        <v>130</v>
      </c>
      <c r="M50" s="21">
        <v>80</v>
      </c>
      <c r="N50" s="18" t="s">
        <v>131</v>
      </c>
      <c r="O50" s="18" t="s">
        <v>224</v>
      </c>
      <c r="P50" s="19"/>
    </row>
    <row r="51" spans="1:16" ht="50.4" x14ac:dyDescent="0.3">
      <c r="A51" s="18" t="s">
        <v>8</v>
      </c>
      <c r="B51" s="19" t="s">
        <v>98</v>
      </c>
      <c r="C51" s="19" t="s">
        <v>9</v>
      </c>
      <c r="D51" s="19" t="s">
        <v>100</v>
      </c>
      <c r="E51" s="19" t="s">
        <v>13</v>
      </c>
      <c r="F51" s="19" t="s">
        <v>85</v>
      </c>
      <c r="G51" s="19" t="s">
        <v>150</v>
      </c>
      <c r="H51" s="19" t="s">
        <v>13</v>
      </c>
      <c r="I51" s="20" t="s">
        <v>181</v>
      </c>
      <c r="J51" s="20" t="s">
        <v>182</v>
      </c>
      <c r="K51" s="20"/>
      <c r="L51" s="19" t="s">
        <v>130</v>
      </c>
      <c r="M51" s="21">
        <v>0</v>
      </c>
      <c r="N51" s="18" t="s">
        <v>131</v>
      </c>
      <c r="O51" s="18" t="s">
        <v>200</v>
      </c>
      <c r="P51" s="20" t="s">
        <v>214</v>
      </c>
    </row>
    <row r="52" spans="1:16" x14ac:dyDescent="0.3">
      <c r="A52" s="18" t="s">
        <v>8</v>
      </c>
      <c r="B52" s="19" t="s">
        <v>98</v>
      </c>
      <c r="C52" s="19" t="s">
        <v>9</v>
      </c>
      <c r="D52" s="19" t="s">
        <v>100</v>
      </c>
      <c r="E52" s="19" t="s">
        <v>13</v>
      </c>
      <c r="F52" s="19" t="s">
        <v>85</v>
      </c>
      <c r="G52" s="19" t="s">
        <v>150</v>
      </c>
      <c r="H52" s="19" t="s">
        <v>13</v>
      </c>
      <c r="I52" s="20" t="s">
        <v>215</v>
      </c>
      <c r="J52" s="20" t="s">
        <v>216</v>
      </c>
      <c r="K52" s="20"/>
      <c r="L52" s="19" t="s">
        <v>130</v>
      </c>
      <c r="M52" s="21">
        <v>0</v>
      </c>
      <c r="N52" s="18" t="s">
        <v>131</v>
      </c>
      <c r="O52" s="18" t="s">
        <v>200</v>
      </c>
      <c r="P52" s="19" t="s">
        <v>217</v>
      </c>
    </row>
    <row r="53" spans="1:16" x14ac:dyDescent="0.3">
      <c r="A53" s="18" t="s">
        <v>8</v>
      </c>
      <c r="B53" s="19" t="s">
        <v>98</v>
      </c>
      <c r="C53" s="19" t="s">
        <v>9</v>
      </c>
      <c r="D53" s="19" t="s">
        <v>100</v>
      </c>
      <c r="E53" s="19" t="s">
        <v>13</v>
      </c>
      <c r="F53" s="19" t="s">
        <v>85</v>
      </c>
      <c r="G53" s="19" t="s">
        <v>150</v>
      </c>
      <c r="H53" s="19" t="s">
        <v>13</v>
      </c>
      <c r="I53" s="20" t="s">
        <v>183</v>
      </c>
      <c r="J53" s="20" t="s">
        <v>184</v>
      </c>
      <c r="K53" s="20"/>
      <c r="L53" s="19" t="s">
        <v>190</v>
      </c>
      <c r="M53" s="21">
        <v>72</v>
      </c>
      <c r="N53" s="18" t="s">
        <v>131</v>
      </c>
      <c r="O53" s="18" t="s">
        <v>200</v>
      </c>
      <c r="P53" s="19"/>
    </row>
    <row r="54" spans="1:16" ht="33.6" hidden="1" x14ac:dyDescent="0.3">
      <c r="A54" s="18" t="s">
        <v>57</v>
      </c>
      <c r="B54" s="19" t="s">
        <v>98</v>
      </c>
      <c r="C54" s="19" t="s">
        <v>9</v>
      </c>
      <c r="D54" s="19" t="s">
        <v>100</v>
      </c>
      <c r="E54" s="19" t="s">
        <v>13</v>
      </c>
      <c r="F54" s="19" t="s">
        <v>85</v>
      </c>
      <c r="G54" s="19" t="s">
        <v>218</v>
      </c>
      <c r="H54" s="19" t="s">
        <v>13</v>
      </c>
      <c r="I54" s="20" t="s">
        <v>219</v>
      </c>
      <c r="J54" s="20" t="s">
        <v>220</v>
      </c>
      <c r="K54" s="20"/>
      <c r="L54" s="19" t="s">
        <v>130</v>
      </c>
      <c r="M54" s="21">
        <v>100</v>
      </c>
      <c r="N54" s="18" t="s">
        <v>131</v>
      </c>
      <c r="O54" s="18"/>
      <c r="P54" s="19"/>
    </row>
    <row r="55" spans="1:16" ht="67.2" hidden="1" x14ac:dyDescent="0.3">
      <c r="A55" s="18" t="s">
        <v>8</v>
      </c>
      <c r="B55" s="19" t="s">
        <v>98</v>
      </c>
      <c r="C55" s="19" t="s">
        <v>9</v>
      </c>
      <c r="D55" s="19" t="s">
        <v>100</v>
      </c>
      <c r="E55" s="19" t="s">
        <v>13</v>
      </c>
      <c r="F55" s="19" t="s">
        <v>85</v>
      </c>
      <c r="G55" s="19" t="s">
        <v>221</v>
      </c>
      <c r="H55" s="19" t="s">
        <v>13</v>
      </c>
      <c r="I55" s="20" t="s">
        <v>222</v>
      </c>
      <c r="J55" s="20" t="s">
        <v>223</v>
      </c>
      <c r="K55" s="20"/>
      <c r="L55" s="19" t="s">
        <v>130</v>
      </c>
      <c r="M55" s="21">
        <v>40</v>
      </c>
      <c r="N55" s="18" t="s">
        <v>131</v>
      </c>
      <c r="O55" s="18" t="s">
        <v>224</v>
      </c>
      <c r="P55" s="20" t="s">
        <v>284</v>
      </c>
    </row>
    <row r="56" spans="1:16" hidden="1" x14ac:dyDescent="0.3">
      <c r="A56" s="18" t="s">
        <v>8</v>
      </c>
      <c r="B56" s="19" t="s">
        <v>98</v>
      </c>
      <c r="C56" s="19" t="s">
        <v>9</v>
      </c>
      <c r="D56" s="19" t="s">
        <v>100</v>
      </c>
      <c r="E56" s="19" t="s">
        <v>13</v>
      </c>
      <c r="F56" s="19" t="s">
        <v>85</v>
      </c>
      <c r="G56" s="19" t="s">
        <v>221</v>
      </c>
      <c r="H56" s="19" t="s">
        <v>13</v>
      </c>
      <c r="I56" s="20" t="s">
        <v>225</v>
      </c>
      <c r="J56" s="20" t="s">
        <v>164</v>
      </c>
      <c r="K56" s="20"/>
      <c r="L56" s="19" t="s">
        <v>130</v>
      </c>
      <c r="M56" s="21">
        <v>40</v>
      </c>
      <c r="N56" s="18" t="s">
        <v>131</v>
      </c>
      <c r="O56" s="18" t="s">
        <v>224</v>
      </c>
      <c r="P56" s="19"/>
    </row>
    <row r="57" spans="1:16" ht="50.4" hidden="1" x14ac:dyDescent="0.3">
      <c r="A57" s="18" t="s">
        <v>8</v>
      </c>
      <c r="B57" s="19" t="s">
        <v>98</v>
      </c>
      <c r="C57" s="19" t="s">
        <v>9</v>
      </c>
      <c r="D57" s="19" t="s">
        <v>100</v>
      </c>
      <c r="E57" s="19" t="s">
        <v>13</v>
      </c>
      <c r="F57" s="19" t="s">
        <v>168</v>
      </c>
      <c r="G57" s="19" t="s">
        <v>150</v>
      </c>
      <c r="H57" s="19" t="s">
        <v>56</v>
      </c>
      <c r="I57" s="20" t="s">
        <v>169</v>
      </c>
      <c r="J57" s="20" t="s">
        <v>226</v>
      </c>
      <c r="K57" s="20"/>
      <c r="L57" s="19" t="s">
        <v>105</v>
      </c>
      <c r="M57" s="21">
        <v>180</v>
      </c>
      <c r="N57" s="18" t="s">
        <v>131</v>
      </c>
      <c r="O57" s="18" t="s">
        <v>107</v>
      </c>
      <c r="P57" s="20" t="s">
        <v>227</v>
      </c>
    </row>
    <row r="58" spans="1:16" ht="33.6" x14ac:dyDescent="0.3">
      <c r="A58" s="18" t="s">
        <v>8</v>
      </c>
      <c r="B58" s="19" t="s">
        <v>98</v>
      </c>
      <c r="C58" s="19" t="s">
        <v>9</v>
      </c>
      <c r="D58" s="19" t="s">
        <v>127</v>
      </c>
      <c r="E58" s="19" t="s">
        <v>197</v>
      </c>
      <c r="F58" s="19" t="s">
        <v>149</v>
      </c>
      <c r="G58" s="19" t="s">
        <v>150</v>
      </c>
      <c r="H58" s="19" t="s">
        <v>56</v>
      </c>
      <c r="I58" s="20" t="s">
        <v>228</v>
      </c>
      <c r="J58" s="20" t="s">
        <v>229</v>
      </c>
      <c r="K58" s="20"/>
      <c r="L58" s="19" t="s">
        <v>190</v>
      </c>
      <c r="M58" s="21">
        <v>80</v>
      </c>
      <c r="N58" s="18" t="s">
        <v>131</v>
      </c>
      <c r="O58" s="18" t="s">
        <v>200</v>
      </c>
      <c r="P58" s="19" t="s">
        <v>285</v>
      </c>
    </row>
    <row r="59" spans="1:16" ht="33.6" hidden="1" x14ac:dyDescent="0.3">
      <c r="A59" s="18" t="s">
        <v>57</v>
      </c>
      <c r="B59" s="19" t="s">
        <v>98</v>
      </c>
      <c r="C59" s="19" t="s">
        <v>9</v>
      </c>
      <c r="D59" s="19" t="s">
        <v>127</v>
      </c>
      <c r="E59" s="19" t="s">
        <v>197</v>
      </c>
      <c r="F59" s="19" t="s">
        <v>149</v>
      </c>
      <c r="G59" s="19" t="s">
        <v>150</v>
      </c>
      <c r="H59" s="19" t="s">
        <v>56</v>
      </c>
      <c r="I59" s="20" t="s">
        <v>230</v>
      </c>
      <c r="J59" s="20" t="s">
        <v>231</v>
      </c>
      <c r="K59" s="20"/>
      <c r="L59" s="19" t="s">
        <v>130</v>
      </c>
      <c r="M59" s="21">
        <v>80</v>
      </c>
      <c r="N59" s="18" t="s">
        <v>131</v>
      </c>
      <c r="O59" s="18"/>
      <c r="P59" s="19"/>
    </row>
    <row r="60" spans="1:16" hidden="1" x14ac:dyDescent="0.3">
      <c r="A60" s="18" t="s">
        <v>8</v>
      </c>
      <c r="B60" s="19" t="s">
        <v>98</v>
      </c>
      <c r="C60" s="19" t="s">
        <v>9</v>
      </c>
      <c r="D60" s="19" t="s">
        <v>127</v>
      </c>
      <c r="E60" s="19" t="s">
        <v>56</v>
      </c>
      <c r="F60" s="19" t="s">
        <v>149</v>
      </c>
      <c r="G60" s="19" t="s">
        <v>150</v>
      </c>
      <c r="H60" s="19" t="s">
        <v>56</v>
      </c>
      <c r="I60" s="20" t="s">
        <v>232</v>
      </c>
      <c r="J60" s="20" t="s">
        <v>164</v>
      </c>
      <c r="K60" s="20"/>
      <c r="L60" s="19" t="s">
        <v>130</v>
      </c>
      <c r="M60" s="21">
        <v>60</v>
      </c>
      <c r="N60" s="18" t="s">
        <v>131</v>
      </c>
      <c r="O60" s="18" t="s">
        <v>224</v>
      </c>
      <c r="P60" s="20" t="s">
        <v>233</v>
      </c>
    </row>
    <row r="61" spans="1:16" ht="33.6" hidden="1" x14ac:dyDescent="0.3">
      <c r="A61" s="18" t="s">
        <v>57</v>
      </c>
      <c r="B61" s="19" t="s">
        <v>98</v>
      </c>
      <c r="C61" s="19" t="s">
        <v>9</v>
      </c>
      <c r="D61" s="19" t="s">
        <v>127</v>
      </c>
      <c r="E61" s="19" t="s">
        <v>197</v>
      </c>
      <c r="F61" s="19" t="s">
        <v>85</v>
      </c>
      <c r="G61" s="19" t="s">
        <v>150</v>
      </c>
      <c r="H61" s="19" t="s">
        <v>56</v>
      </c>
      <c r="I61" s="20" t="s">
        <v>234</v>
      </c>
      <c r="J61" s="20" t="s">
        <v>235</v>
      </c>
      <c r="K61" s="19"/>
      <c r="L61" s="19" t="s">
        <v>299</v>
      </c>
      <c r="M61" s="21">
        <v>600</v>
      </c>
      <c r="N61" s="18" t="s">
        <v>131</v>
      </c>
      <c r="O61" s="18" t="s">
        <v>288</v>
      </c>
      <c r="P61" s="19" t="s">
        <v>236</v>
      </c>
    </row>
    <row r="62" spans="1:16" hidden="1" x14ac:dyDescent="0.3">
      <c r="A62" s="18" t="s">
        <v>57</v>
      </c>
      <c r="B62" s="19" t="s">
        <v>98</v>
      </c>
      <c r="C62" s="19" t="s">
        <v>9</v>
      </c>
      <c r="D62" s="19" t="s">
        <v>127</v>
      </c>
      <c r="E62" s="19" t="s">
        <v>197</v>
      </c>
      <c r="F62" s="19" t="s">
        <v>149</v>
      </c>
      <c r="G62" s="19" t="s">
        <v>150</v>
      </c>
      <c r="H62" s="19" t="s">
        <v>56</v>
      </c>
      <c r="I62" s="20" t="s">
        <v>237</v>
      </c>
      <c r="J62" s="20" t="s">
        <v>237</v>
      </c>
      <c r="K62" s="19"/>
      <c r="L62" s="19" t="s">
        <v>130</v>
      </c>
      <c r="M62" s="21">
        <v>400</v>
      </c>
      <c r="N62" s="18" t="s">
        <v>131</v>
      </c>
      <c r="O62" s="18"/>
      <c r="P62" s="19"/>
    </row>
    <row r="63" spans="1:16" hidden="1" x14ac:dyDescent="0.3">
      <c r="A63" s="18" t="s">
        <v>57</v>
      </c>
      <c r="B63" s="19" t="s">
        <v>98</v>
      </c>
      <c r="C63" s="19" t="s">
        <v>9</v>
      </c>
      <c r="D63" s="19" t="s">
        <v>127</v>
      </c>
      <c r="E63" s="19" t="s">
        <v>197</v>
      </c>
      <c r="F63" s="19" t="s">
        <v>149</v>
      </c>
      <c r="G63" s="19" t="s">
        <v>150</v>
      </c>
      <c r="H63" s="19" t="s">
        <v>56</v>
      </c>
      <c r="I63" s="20" t="s">
        <v>238</v>
      </c>
      <c r="J63" s="20"/>
      <c r="K63" s="19"/>
      <c r="L63" s="19" t="s">
        <v>130</v>
      </c>
      <c r="M63" s="21">
        <v>60</v>
      </c>
      <c r="N63" s="18" t="s">
        <v>131</v>
      </c>
      <c r="O63" s="18"/>
      <c r="P63" s="19"/>
    </row>
    <row r="64" spans="1:16" ht="33.6" x14ac:dyDescent="0.3">
      <c r="A64" s="18" t="s">
        <v>8</v>
      </c>
      <c r="B64" s="19" t="s">
        <v>98</v>
      </c>
      <c r="C64" s="19" t="s">
        <v>9</v>
      </c>
      <c r="D64" s="19" t="s">
        <v>100</v>
      </c>
      <c r="E64" s="19" t="s">
        <v>13</v>
      </c>
      <c r="F64" s="19" t="s">
        <v>168</v>
      </c>
      <c r="G64" s="19" t="s">
        <v>150</v>
      </c>
      <c r="H64" s="19" t="s">
        <v>13</v>
      </c>
      <c r="I64" s="20" t="s">
        <v>239</v>
      </c>
      <c r="J64" s="20"/>
      <c r="K64" s="19"/>
      <c r="L64" s="19" t="s">
        <v>190</v>
      </c>
      <c r="M64" s="21">
        <v>120</v>
      </c>
      <c r="N64" s="18" t="s">
        <v>131</v>
      </c>
      <c r="O64" s="18" t="s">
        <v>200</v>
      </c>
      <c r="P64" s="19" t="s">
        <v>240</v>
      </c>
    </row>
    <row r="65" spans="1:16" hidden="1" x14ac:dyDescent="0.3">
      <c r="A65" s="18" t="s">
        <v>57</v>
      </c>
      <c r="B65" s="19" t="s">
        <v>98</v>
      </c>
      <c r="C65" s="19" t="s">
        <v>9</v>
      </c>
      <c r="D65" s="19" t="s">
        <v>100</v>
      </c>
      <c r="E65" s="19" t="s">
        <v>13</v>
      </c>
      <c r="F65" s="19" t="s">
        <v>168</v>
      </c>
      <c r="G65" s="19" t="s">
        <v>150</v>
      </c>
      <c r="H65" s="19" t="s">
        <v>13</v>
      </c>
      <c r="I65" s="20" t="s">
        <v>241</v>
      </c>
      <c r="J65" s="20"/>
      <c r="K65" s="19"/>
      <c r="L65" s="19" t="s">
        <v>130</v>
      </c>
      <c r="M65" s="21">
        <v>240</v>
      </c>
      <c r="N65" s="18" t="s">
        <v>131</v>
      </c>
      <c r="O65" s="18"/>
      <c r="P65" s="19"/>
    </row>
    <row r="66" spans="1:16" hidden="1" x14ac:dyDescent="0.3">
      <c r="A66" s="18" t="s">
        <v>8</v>
      </c>
      <c r="B66" s="19" t="s">
        <v>98</v>
      </c>
      <c r="C66" s="19" t="s">
        <v>9</v>
      </c>
      <c r="D66" s="19" t="s">
        <v>100</v>
      </c>
      <c r="E66" s="19" t="s">
        <v>13</v>
      </c>
      <c r="F66" s="19" t="s">
        <v>168</v>
      </c>
      <c r="G66" s="19" t="s">
        <v>150</v>
      </c>
      <c r="H66" s="19" t="s">
        <v>13</v>
      </c>
      <c r="I66" s="20" t="s">
        <v>242</v>
      </c>
      <c r="J66" s="20"/>
      <c r="K66" s="19"/>
      <c r="L66" s="19" t="s">
        <v>130</v>
      </c>
      <c r="M66" s="21">
        <v>160</v>
      </c>
      <c r="N66" s="18" t="s">
        <v>131</v>
      </c>
      <c r="O66" s="52" t="s">
        <v>224</v>
      </c>
      <c r="P66" s="19"/>
    </row>
    <row r="67" spans="1:16" hidden="1" x14ac:dyDescent="0.3">
      <c r="A67" s="18" t="s">
        <v>8</v>
      </c>
      <c r="B67" s="19" t="s">
        <v>98</v>
      </c>
      <c r="C67" s="19" t="s">
        <v>9</v>
      </c>
      <c r="D67" s="19" t="s">
        <v>127</v>
      </c>
      <c r="E67" s="19" t="s">
        <v>13</v>
      </c>
      <c r="F67" s="19" t="s">
        <v>149</v>
      </c>
      <c r="G67" s="19" t="s">
        <v>150</v>
      </c>
      <c r="H67" s="19" t="s">
        <v>13</v>
      </c>
      <c r="I67" s="20" t="s">
        <v>243</v>
      </c>
      <c r="J67" s="20" t="s">
        <v>243</v>
      </c>
      <c r="K67" s="19"/>
      <c r="L67" s="19" t="s">
        <v>130</v>
      </c>
      <c r="M67" s="21">
        <v>300</v>
      </c>
      <c r="N67" s="18" t="s">
        <v>131</v>
      </c>
      <c r="O67" s="52" t="s">
        <v>224</v>
      </c>
      <c r="P67" s="19"/>
    </row>
    <row r="68" spans="1:16" ht="67.2" x14ac:dyDescent="0.3">
      <c r="A68" s="18" t="s">
        <v>8</v>
      </c>
      <c r="B68" s="19" t="s">
        <v>153</v>
      </c>
      <c r="C68" s="19" t="s">
        <v>9</v>
      </c>
      <c r="D68" s="19" t="s">
        <v>148</v>
      </c>
      <c r="E68" s="19" t="s">
        <v>13</v>
      </c>
      <c r="F68" s="19" t="s">
        <v>149</v>
      </c>
      <c r="G68" s="19" t="s">
        <v>150</v>
      </c>
      <c r="H68" s="19" t="s">
        <v>13</v>
      </c>
      <c r="I68" s="20" t="s">
        <v>244</v>
      </c>
      <c r="J68" s="20"/>
      <c r="K68" s="19"/>
      <c r="L68" s="19" t="s">
        <v>200</v>
      </c>
      <c r="M68" s="21">
        <v>1800</v>
      </c>
      <c r="N68" s="18" t="s">
        <v>131</v>
      </c>
      <c r="O68" s="18" t="s">
        <v>200</v>
      </c>
      <c r="P68" s="20" t="s">
        <v>286</v>
      </c>
    </row>
    <row r="69" spans="1:16" s="56" customFormat="1" ht="100.8" hidden="1" x14ac:dyDescent="0.3">
      <c r="A69" s="52" t="s">
        <v>8</v>
      </c>
      <c r="B69" s="53" t="s">
        <v>245</v>
      </c>
      <c r="C69" s="53" t="s">
        <v>9</v>
      </c>
      <c r="D69" s="53" t="s">
        <v>148</v>
      </c>
      <c r="E69" s="19" t="s">
        <v>13</v>
      </c>
      <c r="F69" s="53" t="s">
        <v>149</v>
      </c>
      <c r="G69" s="19" t="s">
        <v>150</v>
      </c>
      <c r="H69" s="19" t="s">
        <v>13</v>
      </c>
      <c r="I69" s="54" t="s">
        <v>246</v>
      </c>
      <c r="J69" s="54"/>
      <c r="K69" s="35"/>
      <c r="L69" s="53" t="s">
        <v>190</v>
      </c>
      <c r="M69" s="55">
        <v>600</v>
      </c>
      <c r="N69" s="52" t="s">
        <v>131</v>
      </c>
      <c r="O69" s="52" t="s">
        <v>224</v>
      </c>
      <c r="P69" s="54" t="s">
        <v>287</v>
      </c>
    </row>
    <row r="70" spans="1:16" ht="17.399999999999999" hidden="1" thickBot="1" x14ac:dyDescent="0.35">
      <c r="A70" s="23"/>
      <c r="B70" s="24"/>
      <c r="C70" s="24"/>
      <c r="D70" s="24"/>
      <c r="E70" s="24"/>
      <c r="F70" s="24"/>
      <c r="G70" s="24"/>
      <c r="H70" s="24"/>
      <c r="I70" s="25"/>
      <c r="J70" s="25"/>
      <c r="K70" s="25"/>
      <c r="L70" s="24"/>
      <c r="M70" s="26">
        <f>SUM(M36:M69)</f>
        <v>7378</v>
      </c>
      <c r="N70" s="23"/>
      <c r="O70" s="23"/>
      <c r="P70" s="25"/>
    </row>
    <row r="71" spans="1:16" x14ac:dyDescent="0.4">
      <c r="G71" s="36"/>
      <c r="H71" s="36"/>
      <c r="I71" s="36"/>
      <c r="J71" s="37"/>
    </row>
    <row r="73" spans="1:16" ht="17.399999999999999" thickBot="1" x14ac:dyDescent="0.35">
      <c r="C73" s="61" t="s">
        <v>106</v>
      </c>
      <c r="D73" s="61"/>
      <c r="E73" s="61"/>
      <c r="G73" s="61" t="s">
        <v>131</v>
      </c>
      <c r="H73" s="61"/>
      <c r="I73" s="61"/>
    </row>
    <row r="74" spans="1:16" x14ac:dyDescent="0.3">
      <c r="C74" s="39" t="s">
        <v>247</v>
      </c>
      <c r="D74" s="39" t="s">
        <v>248</v>
      </c>
      <c r="E74" s="5" t="s">
        <v>86</v>
      </c>
      <c r="G74" s="39" t="s">
        <v>247</v>
      </c>
      <c r="H74" s="39" t="s">
        <v>248</v>
      </c>
      <c r="I74" s="5"/>
    </row>
    <row r="75" spans="1:16" x14ac:dyDescent="0.3">
      <c r="B75" s="5" t="s">
        <v>98</v>
      </c>
      <c r="C75" s="40">
        <f>SUMIFS(M2:M69,B2:B69,"Team-1",N2:N69,"Q3",C2:C69,"CS 1.0")</f>
        <v>1250</v>
      </c>
      <c r="D75" s="40">
        <f>SUMIFS(M2:M69,B2:B69,"Team-1",N2:N69,"Q3",C2:C69,"CS 2.0")</f>
        <v>2314</v>
      </c>
      <c r="E75" s="5">
        <f>SUM(C75:D75)</f>
        <v>3564</v>
      </c>
      <c r="F75" s="38">
        <f>E75/150/3</f>
        <v>7.9200000000000008</v>
      </c>
      <c r="G75" s="40">
        <f>SUMIFS(M2:M69,B2:B69,"Team-1",N2:N69,"Q4",C2:C69,"CS 1.0")</f>
        <v>820</v>
      </c>
      <c r="H75" s="40">
        <f>SUMIFS(M2:M69,B2:B69,"Team-1",N2:N69,"Q4",C2:C69,"CS 2.0",A2:A69,"Yes")</f>
        <v>3314</v>
      </c>
      <c r="I75" s="5">
        <f>SUM(G75:H75)</f>
        <v>4134</v>
      </c>
      <c r="J75" s="38">
        <f>I75/150/3</f>
        <v>9.1866666666666656</v>
      </c>
    </row>
    <row r="76" spans="1:16" x14ac:dyDescent="0.3">
      <c r="B76" s="5" t="s">
        <v>153</v>
      </c>
      <c r="C76" s="40">
        <f>SUMIFS(M2:M69,B2:B69,"Team-2",N2:N69,"Q3",C2:C69,"CS 1.0")</f>
        <v>0</v>
      </c>
      <c r="D76" s="40">
        <f>SUMIFS(M2:M69,B2:B69,"Team-2",N2:N69,"Q3",C2:C69,"CS 2.0")</f>
        <v>840</v>
      </c>
      <c r="E76" s="5">
        <f>SUM(C76:D76)</f>
        <v>840</v>
      </c>
      <c r="F76" s="38">
        <f>E76/150/3</f>
        <v>1.8666666666666665</v>
      </c>
      <c r="G76" s="40">
        <f>SUMIFS(M2:M69,B2:B69,"Team-2",N2:N69,"Q4",C2:C69,"CS 1.0")</f>
        <v>0</v>
      </c>
      <c r="H76" s="40">
        <f>SUMIFS(M2:M69,B2:B69,"Team-2",N2:N69,"Q4",C2:C69,"CS 2.0")</f>
        <v>1800</v>
      </c>
      <c r="I76" s="5">
        <f>SUM(G76:H76)</f>
        <v>1800</v>
      </c>
      <c r="J76" s="38">
        <f>I76/150/3</f>
        <v>4</v>
      </c>
    </row>
    <row r="77" spans="1:16" x14ac:dyDescent="0.3">
      <c r="B77" s="5" t="s">
        <v>245</v>
      </c>
      <c r="C77" s="40">
        <f>SUMIFS(M2:M69,B2:B69,"Team-3",N2:N69,"Q3",C2:C69,"CS 1.0")</f>
        <v>0</v>
      </c>
      <c r="D77" s="40">
        <f>SUMIFS(M2:M69,B2:B69,"Team-3",N2:N69,"Q3",C2:C69,"CS 2.0")</f>
        <v>0</v>
      </c>
      <c r="E77" s="5">
        <f>SUM(C77:D77)</f>
        <v>0</v>
      </c>
      <c r="G77" s="40">
        <f>SUMIFS(M2:M69,B2:B69,"Team-3",N2:N69,"Q4",C2:C69,"CS 1.0")</f>
        <v>0</v>
      </c>
      <c r="H77" s="40">
        <f>SUMIFS(M2:M69,B2:B69,"Team-3",N2:N69,"Q4",C2:C69,"CS 2.0")</f>
        <v>600</v>
      </c>
      <c r="I77" s="5">
        <f>SUM(G77:H77)</f>
        <v>600</v>
      </c>
      <c r="J77" s="38">
        <f>I77/150/3</f>
        <v>1.3333333333333333</v>
      </c>
    </row>
    <row r="78" spans="1:16" ht="17.399999999999999" thickBot="1" x14ac:dyDescent="0.35">
      <c r="C78" s="41">
        <f>SUM(C75:C77)</f>
        <v>1250</v>
      </c>
      <c r="D78" s="41">
        <f t="shared" ref="D78" si="0">SUM(D75:D77)</f>
        <v>3154</v>
      </c>
      <c r="E78" s="41">
        <f>SUM(C78:D78)</f>
        <v>4404</v>
      </c>
      <c r="G78" s="41">
        <f>SUM(G75:G77)</f>
        <v>820</v>
      </c>
      <c r="H78" s="41">
        <f>SUM(H75:H77)</f>
        <v>5714</v>
      </c>
      <c r="I78" s="41">
        <f>SUM(G78:H78)</f>
        <v>6534</v>
      </c>
    </row>
    <row r="79" spans="1:16" ht="17.399999999999999" thickTop="1" x14ac:dyDescent="0.3"/>
    <row r="82" spans="2:8" ht="17.399999999999999" thickBot="1" x14ac:dyDescent="0.35">
      <c r="C82" s="61" t="s">
        <v>106</v>
      </c>
      <c r="D82" s="61"/>
      <c r="E82" s="61"/>
    </row>
    <row r="83" spans="2:8" x14ac:dyDescent="0.3">
      <c r="C83" s="39" t="str">
        <f>C74</f>
        <v>CS1.0</v>
      </c>
      <c r="D83" s="39" t="str">
        <f>D74</f>
        <v>CS2.0</v>
      </c>
      <c r="E83" s="5" t="s">
        <v>86</v>
      </c>
      <c r="H83" s="5">
        <f>F74</f>
        <v>0</v>
      </c>
    </row>
    <row r="84" spans="2:8" x14ac:dyDescent="0.3">
      <c r="B84" s="5" t="s">
        <v>98</v>
      </c>
      <c r="C84" s="39">
        <f>C75</f>
        <v>1250</v>
      </c>
      <c r="D84" s="40">
        <v>1846</v>
      </c>
      <c r="E84" s="5">
        <v>3096</v>
      </c>
    </row>
    <row r="85" spans="2:8" x14ac:dyDescent="0.3">
      <c r="B85" s="5" t="s">
        <v>153</v>
      </c>
      <c r="C85" s="39">
        <f>C76</f>
        <v>0</v>
      </c>
      <c r="D85" s="40">
        <v>840</v>
      </c>
      <c r="E85" s="5">
        <v>840</v>
      </c>
    </row>
    <row r="86" spans="2:8" x14ac:dyDescent="0.3">
      <c r="B86" s="5" t="s">
        <v>245</v>
      </c>
      <c r="C86" s="39">
        <f>C77</f>
        <v>0</v>
      </c>
      <c r="D86" s="40">
        <v>0</v>
      </c>
      <c r="E86" s="5">
        <v>0</v>
      </c>
    </row>
    <row r="87" spans="2:8" ht="17.399999999999999" thickBot="1" x14ac:dyDescent="0.35">
      <c r="C87" s="39">
        <f>C78</f>
        <v>1250</v>
      </c>
      <c r="D87" s="41">
        <v>2686</v>
      </c>
      <c r="E87" s="41">
        <v>3936</v>
      </c>
    </row>
    <row r="88" spans="2:8" ht="18" thickTop="1" thickBot="1" x14ac:dyDescent="0.35">
      <c r="C88" s="61" t="s">
        <v>131</v>
      </c>
      <c r="D88" s="61"/>
      <c r="E88" s="61"/>
    </row>
    <row r="89" spans="2:8" x14ac:dyDescent="0.3">
      <c r="C89" s="42" t="str">
        <f t="shared" ref="C89:D91" si="1">G74</f>
        <v>CS1.0</v>
      </c>
      <c r="D89" s="42" t="str">
        <f t="shared" si="1"/>
        <v>CS2.0</v>
      </c>
      <c r="E89" s="43" t="s">
        <v>86</v>
      </c>
      <c r="F89" s="43"/>
      <c r="G89" s="43"/>
      <c r="H89" s="43" t="s">
        <v>86</v>
      </c>
    </row>
    <row r="90" spans="2:8" x14ac:dyDescent="0.3">
      <c r="C90" s="42">
        <f t="shared" si="1"/>
        <v>820</v>
      </c>
      <c r="D90" s="42">
        <f t="shared" si="1"/>
        <v>3314</v>
      </c>
      <c r="E90" s="5">
        <f>D90+C90</f>
        <v>4134</v>
      </c>
      <c r="H90" s="5">
        <f>D90+C90</f>
        <v>4134</v>
      </c>
    </row>
    <row r="91" spans="2:8" x14ac:dyDescent="0.3">
      <c r="C91" s="42">
        <f t="shared" si="1"/>
        <v>0</v>
      </c>
      <c r="D91" s="42">
        <f t="shared" si="1"/>
        <v>1800</v>
      </c>
      <c r="E91" s="5">
        <f>D91+C91</f>
        <v>1800</v>
      </c>
      <c r="H91" s="5">
        <f>D91+C91</f>
        <v>1800</v>
      </c>
    </row>
    <row r="92" spans="2:8" x14ac:dyDescent="0.3">
      <c r="C92" s="42">
        <f>SUM(C90:C91)</f>
        <v>820</v>
      </c>
      <c r="D92" s="42">
        <f>SUM(D90:D91)</f>
        <v>5114</v>
      </c>
      <c r="E92" s="43">
        <f>SUM(E90:E91)</f>
        <v>5934</v>
      </c>
      <c r="H92" s="43">
        <f>D92+C92</f>
        <v>5934</v>
      </c>
    </row>
    <row r="95" spans="2:8" x14ac:dyDescent="0.3">
      <c r="B95" s="19" t="s">
        <v>249</v>
      </c>
      <c r="C95" s="19">
        <v>7.25</v>
      </c>
    </row>
    <row r="96" spans="2:8" x14ac:dyDescent="0.3">
      <c r="B96" s="19" t="s">
        <v>250</v>
      </c>
      <c r="C96" s="19">
        <f>I119</f>
        <v>13.5</v>
      </c>
    </row>
    <row r="97" spans="2:12" x14ac:dyDescent="0.3">
      <c r="B97" s="19" t="s">
        <v>251</v>
      </c>
      <c r="C97" s="19">
        <f>C96*C95</f>
        <v>97.875</v>
      </c>
    </row>
    <row r="98" spans="2:12" x14ac:dyDescent="0.3">
      <c r="B98" s="19" t="s">
        <v>252</v>
      </c>
      <c r="C98" s="44">
        <f>E92/C97</f>
        <v>60.628352490421456</v>
      </c>
    </row>
    <row r="99" spans="2:12" x14ac:dyDescent="0.3">
      <c r="B99" s="19" t="s">
        <v>253</v>
      </c>
      <c r="C99" s="19">
        <v>22</v>
      </c>
    </row>
    <row r="100" spans="2:12" x14ac:dyDescent="0.3">
      <c r="B100" s="19" t="s">
        <v>254</v>
      </c>
      <c r="C100" s="19">
        <f>C98/C99</f>
        <v>2.7558342041100663</v>
      </c>
      <c r="K100" s="38"/>
      <c r="L100" s="38"/>
    </row>
    <row r="101" spans="2:12" x14ac:dyDescent="0.3">
      <c r="K101" s="38"/>
      <c r="L101" s="38"/>
    </row>
    <row r="102" spans="2:12" x14ac:dyDescent="0.3">
      <c r="K102" s="38"/>
      <c r="L102" s="38"/>
    </row>
    <row r="103" spans="2:12" x14ac:dyDescent="0.3">
      <c r="B103" s="45" t="s">
        <v>255</v>
      </c>
      <c r="C103" s="45" t="s">
        <v>256</v>
      </c>
      <c r="D103" s="45" t="s">
        <v>257</v>
      </c>
      <c r="E103" s="46" t="s">
        <v>258</v>
      </c>
      <c r="F103" s="45" t="s">
        <v>221</v>
      </c>
      <c r="G103" s="45" t="s">
        <v>259</v>
      </c>
      <c r="H103" s="45" t="s">
        <v>260</v>
      </c>
      <c r="I103" s="45" t="s">
        <v>112</v>
      </c>
      <c r="K103" s="38"/>
      <c r="L103" s="38"/>
    </row>
    <row r="104" spans="2:12" x14ac:dyDescent="0.3">
      <c r="B104" s="47" t="s">
        <v>261</v>
      </c>
      <c r="C104" s="48" t="s">
        <v>262</v>
      </c>
      <c r="D104" s="49">
        <v>37</v>
      </c>
      <c r="E104" s="50">
        <v>0.5</v>
      </c>
      <c r="F104" s="48"/>
      <c r="G104" s="51">
        <v>0.25</v>
      </c>
      <c r="H104" s="51"/>
      <c r="I104" s="48">
        <f t="shared" ref="I104:I118" si="2">SUM(F104:H104)</f>
        <v>0.25</v>
      </c>
      <c r="K104" s="38"/>
      <c r="L104" s="38"/>
    </row>
    <row r="105" spans="2:12" x14ac:dyDescent="0.3">
      <c r="B105" s="47" t="s">
        <v>263</v>
      </c>
      <c r="C105" s="48" t="s">
        <v>262</v>
      </c>
      <c r="D105" s="49">
        <v>37</v>
      </c>
      <c r="E105" s="50">
        <v>1</v>
      </c>
      <c r="F105" s="48"/>
      <c r="G105" s="51">
        <v>0</v>
      </c>
      <c r="H105" s="51">
        <v>1</v>
      </c>
      <c r="I105" s="48">
        <f t="shared" si="2"/>
        <v>1</v>
      </c>
      <c r="K105" s="38"/>
      <c r="L105" s="38"/>
    </row>
    <row r="106" spans="2:12" x14ac:dyDescent="0.3">
      <c r="B106" s="47" t="s">
        <v>264</v>
      </c>
      <c r="C106" s="48" t="s">
        <v>265</v>
      </c>
      <c r="D106" s="49">
        <v>37</v>
      </c>
      <c r="E106" s="50">
        <v>1</v>
      </c>
      <c r="F106" s="48"/>
      <c r="G106" s="51">
        <v>0.5</v>
      </c>
      <c r="H106" s="51">
        <v>0.5</v>
      </c>
      <c r="I106" s="48">
        <f t="shared" si="2"/>
        <v>1</v>
      </c>
      <c r="K106" s="38"/>
      <c r="L106" s="38"/>
    </row>
    <row r="107" spans="2:12" x14ac:dyDescent="0.3">
      <c r="B107" s="47" t="s">
        <v>266</v>
      </c>
      <c r="C107" s="48" t="s">
        <v>262</v>
      </c>
      <c r="D107" s="49">
        <v>37</v>
      </c>
      <c r="E107" s="50">
        <v>1</v>
      </c>
      <c r="F107" s="48"/>
      <c r="G107" s="51">
        <v>1</v>
      </c>
      <c r="H107" s="51"/>
      <c r="I107" s="48">
        <f t="shared" si="2"/>
        <v>1</v>
      </c>
      <c r="K107" s="38"/>
      <c r="L107" s="38"/>
    </row>
    <row r="108" spans="2:12" x14ac:dyDescent="0.3">
      <c r="B108" s="47" t="s">
        <v>267</v>
      </c>
      <c r="C108" s="48" t="s">
        <v>262</v>
      </c>
      <c r="D108" s="49">
        <v>37</v>
      </c>
      <c r="E108" s="50">
        <v>1</v>
      </c>
      <c r="F108" s="48"/>
      <c r="G108" s="51">
        <v>1</v>
      </c>
      <c r="H108" s="51"/>
      <c r="I108" s="48">
        <f t="shared" si="2"/>
        <v>1</v>
      </c>
      <c r="K108" s="38"/>
      <c r="L108" s="38"/>
    </row>
    <row r="109" spans="2:12" x14ac:dyDescent="0.3">
      <c r="B109" s="47" t="s">
        <v>145</v>
      </c>
      <c r="C109" s="48" t="s">
        <v>262</v>
      </c>
      <c r="D109" s="49">
        <v>37</v>
      </c>
      <c r="E109" s="50">
        <v>1</v>
      </c>
      <c r="F109" s="48"/>
      <c r="G109" s="51">
        <v>1</v>
      </c>
      <c r="H109" s="51"/>
      <c r="I109" s="48">
        <f t="shared" si="2"/>
        <v>1</v>
      </c>
      <c r="K109" s="38"/>
      <c r="L109" s="38"/>
    </row>
    <row r="110" spans="2:12" x14ac:dyDescent="0.3">
      <c r="B110" s="47" t="s">
        <v>268</v>
      </c>
      <c r="C110" s="48" t="s">
        <v>262</v>
      </c>
      <c r="D110" s="49">
        <v>37</v>
      </c>
      <c r="E110" s="50">
        <v>1</v>
      </c>
      <c r="F110" s="48"/>
      <c r="G110" s="51">
        <v>1</v>
      </c>
      <c r="H110" s="51"/>
      <c r="I110" s="48">
        <f t="shared" si="2"/>
        <v>1</v>
      </c>
      <c r="K110" s="38"/>
      <c r="L110" s="38"/>
    </row>
    <row r="111" spans="2:12" x14ac:dyDescent="0.3">
      <c r="B111" s="47" t="s">
        <v>269</v>
      </c>
      <c r="C111" s="48" t="s">
        <v>262</v>
      </c>
      <c r="D111" s="49">
        <v>37</v>
      </c>
      <c r="E111" s="50">
        <v>1</v>
      </c>
      <c r="F111" s="48"/>
      <c r="G111" s="51">
        <v>0.5</v>
      </c>
      <c r="H111" s="51">
        <v>0.5</v>
      </c>
      <c r="I111" s="48">
        <f t="shared" si="2"/>
        <v>1</v>
      </c>
      <c r="K111" s="38"/>
      <c r="L111" s="38"/>
    </row>
    <row r="112" spans="2:12" x14ac:dyDescent="0.3">
      <c r="B112" s="47" t="s">
        <v>270</v>
      </c>
      <c r="C112" s="48" t="s">
        <v>262</v>
      </c>
      <c r="D112" s="49">
        <v>37</v>
      </c>
      <c r="E112" s="50">
        <v>1</v>
      </c>
      <c r="F112" s="48"/>
      <c r="G112" s="51">
        <v>1</v>
      </c>
      <c r="H112" s="51"/>
      <c r="I112" s="48">
        <f t="shared" si="2"/>
        <v>1</v>
      </c>
      <c r="K112" s="38"/>
      <c r="L112" s="38"/>
    </row>
    <row r="113" spans="2:12" x14ac:dyDescent="0.3">
      <c r="B113" s="47" t="s">
        <v>271</v>
      </c>
      <c r="C113" s="48" t="s">
        <v>262</v>
      </c>
      <c r="D113" s="49">
        <v>37</v>
      </c>
      <c r="E113" s="50">
        <v>1</v>
      </c>
      <c r="F113" s="48"/>
      <c r="G113" s="51">
        <v>1</v>
      </c>
      <c r="H113" s="51"/>
      <c r="I113" s="48">
        <f t="shared" si="2"/>
        <v>1</v>
      </c>
      <c r="K113" s="38"/>
      <c r="L113" s="38"/>
    </row>
    <row r="114" spans="2:12" x14ac:dyDescent="0.3">
      <c r="B114" s="47" t="s">
        <v>272</v>
      </c>
      <c r="C114" s="48" t="s">
        <v>262</v>
      </c>
      <c r="D114" s="49">
        <v>37</v>
      </c>
      <c r="E114" s="50">
        <v>1</v>
      </c>
      <c r="F114" s="48"/>
      <c r="G114" s="51">
        <v>1</v>
      </c>
      <c r="H114" s="51"/>
      <c r="I114" s="48">
        <f t="shared" si="2"/>
        <v>1</v>
      </c>
      <c r="K114" s="38"/>
      <c r="L114" s="38"/>
    </row>
    <row r="115" spans="2:12" x14ac:dyDescent="0.3">
      <c r="B115" s="47" t="s">
        <v>273</v>
      </c>
      <c r="C115" s="48" t="s">
        <v>262</v>
      </c>
      <c r="D115" s="49">
        <v>37</v>
      </c>
      <c r="E115" s="50">
        <v>1</v>
      </c>
      <c r="F115" s="48">
        <v>0.25</v>
      </c>
      <c r="G115" s="48"/>
      <c r="H115" s="51"/>
      <c r="I115" s="48">
        <f t="shared" si="2"/>
        <v>0.25</v>
      </c>
      <c r="K115" s="38"/>
      <c r="L115" s="38"/>
    </row>
    <row r="116" spans="2:12" x14ac:dyDescent="0.3">
      <c r="B116" s="47" t="s">
        <v>274</v>
      </c>
      <c r="C116" s="48" t="s">
        <v>262</v>
      </c>
      <c r="D116" s="49">
        <v>37</v>
      </c>
      <c r="E116" s="50">
        <v>1</v>
      </c>
      <c r="F116" s="48">
        <v>0.75</v>
      </c>
      <c r="G116" s="48">
        <v>0.25</v>
      </c>
      <c r="H116" s="51"/>
      <c r="I116" s="48">
        <f t="shared" si="2"/>
        <v>1</v>
      </c>
      <c r="K116" s="38"/>
      <c r="L116" s="38"/>
    </row>
    <row r="117" spans="2:12" x14ac:dyDescent="0.3">
      <c r="B117" s="47" t="s">
        <v>275</v>
      </c>
      <c r="C117" s="48" t="s">
        <v>262</v>
      </c>
      <c r="D117" s="49">
        <v>37</v>
      </c>
      <c r="E117" s="50">
        <v>1</v>
      </c>
      <c r="F117" s="48"/>
      <c r="G117" s="48"/>
      <c r="H117" s="51">
        <v>1</v>
      </c>
      <c r="I117" s="48">
        <f t="shared" si="2"/>
        <v>1</v>
      </c>
      <c r="K117" s="38"/>
      <c r="L117" s="38"/>
    </row>
    <row r="118" spans="2:12" x14ac:dyDescent="0.3">
      <c r="B118" s="47" t="s">
        <v>276</v>
      </c>
      <c r="C118" s="48" t="s">
        <v>262</v>
      </c>
      <c r="D118" s="49">
        <v>37</v>
      </c>
      <c r="E118" s="50">
        <v>1</v>
      </c>
      <c r="F118" s="48"/>
      <c r="G118" s="48"/>
      <c r="H118" s="51">
        <v>1</v>
      </c>
      <c r="I118" s="48">
        <f t="shared" si="2"/>
        <v>1</v>
      </c>
      <c r="K118" s="38"/>
      <c r="L118" s="38"/>
    </row>
    <row r="119" spans="2:12" x14ac:dyDescent="0.3">
      <c r="B119" s="32"/>
      <c r="C119" s="32"/>
      <c r="D119" s="32"/>
      <c r="E119" s="32"/>
      <c r="F119" s="33">
        <f>SUM(F104:F118)</f>
        <v>1</v>
      </c>
      <c r="G119" s="33">
        <f>SUM(G104:G118)</f>
        <v>8.5</v>
      </c>
      <c r="H119" s="33">
        <f>SUM(H104:H118)</f>
        <v>4</v>
      </c>
      <c r="I119" s="33">
        <f>SUM(I104:I118)</f>
        <v>13.5</v>
      </c>
      <c r="K119" s="38"/>
      <c r="L119" s="38"/>
    </row>
    <row r="120" spans="2:12" x14ac:dyDescent="0.4">
      <c r="J120" s="37"/>
      <c r="K120" s="36"/>
      <c r="L120" s="36"/>
    </row>
    <row r="121" spans="2:12" x14ac:dyDescent="0.4">
      <c r="J121" s="37"/>
      <c r="K121" s="36"/>
      <c r="L121" s="36"/>
    </row>
  </sheetData>
  <autoFilter ref="A1:P70" xr:uid="{3F196816-E0C4-4B2E-A39A-536C1B7A478E}">
    <filterColumn colId="14">
      <filters>
        <filter val="June"/>
      </filters>
    </filterColumn>
  </autoFilter>
  <mergeCells count="4">
    <mergeCell ref="C73:E73"/>
    <mergeCell ref="G73:I73"/>
    <mergeCell ref="C82:E82"/>
    <mergeCell ref="C88:E88"/>
  </mergeCells>
  <conditionalFormatting sqref="A1:P1 A22:P22">
    <cfRule type="expression" dxfId="11" priority="6">
      <formula>$F1="Completed"</formula>
    </cfRule>
    <cfRule type="expression" dxfId="10" priority="7">
      <formula>$F1="Not Started"</formula>
    </cfRule>
    <cfRule type="expression" dxfId="9" priority="8">
      <formula>$F1="In Progress"</formula>
    </cfRule>
  </conditionalFormatting>
  <conditionalFormatting sqref="A1:P70">
    <cfRule type="expression" dxfId="8" priority="9">
      <formula>$A1="No"</formula>
    </cfRule>
  </conditionalFormatting>
  <conditionalFormatting sqref="B95:C95">
    <cfRule type="expression" dxfId="7" priority="10">
      <formula>$A94="No"</formula>
    </cfRule>
  </conditionalFormatting>
  <conditionalFormatting sqref="B96:C96">
    <cfRule type="expression" dxfId="6" priority="11">
      <formula>$A97="No"</formula>
    </cfRule>
  </conditionalFormatting>
  <conditionalFormatting sqref="C88 C89:D91">
    <cfRule type="expression" dxfId="5" priority="3">
      <formula>$A82="No"</formula>
    </cfRule>
  </conditionalFormatting>
  <conditionalFormatting sqref="C92:E92">
    <cfRule type="expression" dxfId="4" priority="12">
      <formula>$A87="No"</formula>
    </cfRule>
  </conditionalFormatting>
  <conditionalFormatting sqref="E78">
    <cfRule type="expression" dxfId="3" priority="4">
      <formula>$A78="No"</formula>
    </cfRule>
  </conditionalFormatting>
  <conditionalFormatting sqref="E87">
    <cfRule type="expression" dxfId="2" priority="2">
      <formula>$A87="No"</formula>
    </cfRule>
  </conditionalFormatting>
  <conditionalFormatting sqref="F75:F76">
    <cfRule type="expression" dxfId="1" priority="1">
      <formula>$A75="No"</formula>
    </cfRule>
  </conditionalFormatting>
  <conditionalFormatting sqref="I78">
    <cfRule type="expression" dxfId="0" priority="5">
      <formula>$A78="No"</formula>
    </cfRule>
  </conditionalFormatting>
  <dataValidations count="1">
    <dataValidation type="list" allowBlank="1" showInputMessage="1" showErrorMessage="1" sqref="A2:A9 A11:A20 A36:A52 A23:A32 A34 A54:A70" xr:uid="{780A0690-B3B8-42E4-9039-3824984C12D7}">
      <formula1>"Yes,No"</formula1>
    </dataValidation>
  </dataValidations>
  <pageMargins left="0.7" right="0.7" top="0.75" bottom="0.75" header="0.3" footer="0.3"/>
  <pageSetup orientation="portrait" horizontalDpi="360" verticalDpi="36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67"/>
  <sheetViews>
    <sheetView tabSelected="1" workbookViewId="0">
      <selection activeCell="B1" sqref="B1:I67"/>
    </sheetView>
  </sheetViews>
  <sheetFormatPr defaultColWidth="33.44140625" defaultRowHeight="14.4" x14ac:dyDescent="0.3"/>
  <cols>
    <col min="1" max="1" width="3.44140625" customWidth="1"/>
    <col min="2" max="2" width="7.6640625" style="2" bestFit="1" customWidth="1"/>
    <col min="3" max="3" width="7.21875" style="2" bestFit="1" customWidth="1"/>
    <col min="4" max="4" width="12.88671875" style="2" bestFit="1" customWidth="1"/>
    <col min="5" max="5" width="17.44140625" style="2" bestFit="1" customWidth="1"/>
    <col min="6" max="6" width="13.109375" style="2" hidden="1" customWidth="1"/>
    <col min="7" max="7" width="5.88671875" style="2" hidden="1" customWidth="1"/>
    <col min="8" max="8" width="57.5546875" style="2" customWidth="1"/>
    <col min="9" max="9" width="81.21875" style="62" customWidth="1"/>
    <col min="10" max="10" width="3.33203125" bestFit="1" customWidth="1"/>
    <col min="11" max="11" width="4.6640625" bestFit="1" customWidth="1"/>
    <col min="12" max="12" width="21" bestFit="1" customWidth="1"/>
  </cols>
  <sheetData>
    <row r="1" spans="1:9" x14ac:dyDescent="0.3">
      <c r="A1" s="63"/>
      <c r="B1" s="64" t="s">
        <v>0</v>
      </c>
      <c r="C1" s="64" t="s">
        <v>1</v>
      </c>
      <c r="D1" s="64" t="s">
        <v>2</v>
      </c>
      <c r="E1" s="64" t="s">
        <v>3</v>
      </c>
      <c r="F1" s="64" t="s">
        <v>277</v>
      </c>
      <c r="G1" s="64" t="s">
        <v>4</v>
      </c>
      <c r="H1" s="64" t="s">
        <v>5</v>
      </c>
      <c r="I1" s="65" t="s">
        <v>6</v>
      </c>
    </row>
    <row r="2" spans="1:9" s="60" customFormat="1" hidden="1" x14ac:dyDescent="0.3">
      <c r="A2" s="66"/>
      <c r="B2" s="67" t="s">
        <v>13</v>
      </c>
      <c r="C2" s="67" t="s">
        <v>8</v>
      </c>
      <c r="D2" s="67" t="s">
        <v>99</v>
      </c>
      <c r="E2" s="67" t="s">
        <v>85</v>
      </c>
      <c r="F2" s="67" t="s">
        <v>279</v>
      </c>
      <c r="G2" s="67">
        <v>40</v>
      </c>
      <c r="H2" s="67" t="s">
        <v>294</v>
      </c>
      <c r="I2" s="68" t="s">
        <v>295</v>
      </c>
    </row>
    <row r="3" spans="1:9" s="60" customFormat="1" hidden="1" x14ac:dyDescent="0.3">
      <c r="A3" s="66"/>
      <c r="B3" s="67" t="s">
        <v>13</v>
      </c>
      <c r="C3" s="67" t="s">
        <v>8</v>
      </c>
      <c r="D3" s="67" t="s">
        <v>99</v>
      </c>
      <c r="E3" s="67" t="s">
        <v>85</v>
      </c>
      <c r="F3" s="67" t="s">
        <v>279</v>
      </c>
      <c r="G3" s="67">
        <v>40</v>
      </c>
      <c r="H3" s="67" t="s">
        <v>137</v>
      </c>
      <c r="I3" s="68" t="s">
        <v>138</v>
      </c>
    </row>
    <row r="4" spans="1:9" s="60" customFormat="1" hidden="1" x14ac:dyDescent="0.3">
      <c r="A4" s="66"/>
      <c r="B4" s="67" t="s">
        <v>13</v>
      </c>
      <c r="C4" s="67" t="s">
        <v>8</v>
      </c>
      <c r="D4" s="67" t="s">
        <v>99</v>
      </c>
      <c r="E4" s="67" t="s">
        <v>85</v>
      </c>
      <c r="F4" s="67" t="s">
        <v>279</v>
      </c>
      <c r="G4" s="67">
        <v>60</v>
      </c>
      <c r="H4" s="67" t="s">
        <v>140</v>
      </c>
      <c r="I4" s="68" t="s">
        <v>140</v>
      </c>
    </row>
    <row r="5" spans="1:9" s="60" customFormat="1" hidden="1" x14ac:dyDescent="0.3">
      <c r="A5" s="66"/>
      <c r="B5" s="67" t="s">
        <v>13</v>
      </c>
      <c r="C5" s="67" t="s">
        <v>8</v>
      </c>
      <c r="D5" s="67" t="s">
        <v>99</v>
      </c>
      <c r="E5" s="67" t="s">
        <v>149</v>
      </c>
      <c r="F5" s="67" t="s">
        <v>279</v>
      </c>
      <c r="G5" s="67">
        <v>200</v>
      </c>
      <c r="H5" s="67" t="s">
        <v>151</v>
      </c>
      <c r="I5" s="68"/>
    </row>
    <row r="6" spans="1:9" s="60" customFormat="1" hidden="1" x14ac:dyDescent="0.3">
      <c r="A6" s="66"/>
      <c r="B6" s="67" t="s">
        <v>13</v>
      </c>
      <c r="C6" s="67" t="s">
        <v>8</v>
      </c>
      <c r="D6" s="67" t="s">
        <v>9</v>
      </c>
      <c r="E6" s="67" t="s">
        <v>293</v>
      </c>
      <c r="F6" s="67" t="s">
        <v>279</v>
      </c>
      <c r="G6" s="67">
        <v>350</v>
      </c>
      <c r="H6" s="67" t="s">
        <v>297</v>
      </c>
      <c r="I6" s="69"/>
    </row>
    <row r="7" spans="1:9" s="60" customFormat="1" ht="43.2" hidden="1" x14ac:dyDescent="0.3">
      <c r="A7" s="66"/>
      <c r="B7" s="67" t="s">
        <v>13</v>
      </c>
      <c r="C7" s="67" t="s">
        <v>8</v>
      </c>
      <c r="D7" s="67" t="s">
        <v>9</v>
      </c>
      <c r="E7" s="67" t="s">
        <v>85</v>
      </c>
      <c r="F7" s="67" t="s">
        <v>279</v>
      </c>
      <c r="G7" s="67">
        <v>80</v>
      </c>
      <c r="H7" s="67" t="s">
        <v>212</v>
      </c>
      <c r="I7" s="68" t="s">
        <v>213</v>
      </c>
    </row>
    <row r="8" spans="1:9" s="60" customFormat="1" hidden="1" x14ac:dyDescent="0.3">
      <c r="A8" s="66"/>
      <c r="B8" s="67" t="s">
        <v>13</v>
      </c>
      <c r="C8" s="67" t="s">
        <v>8</v>
      </c>
      <c r="D8" s="67" t="s">
        <v>9</v>
      </c>
      <c r="E8" s="67" t="s">
        <v>149</v>
      </c>
      <c r="F8" s="67" t="s">
        <v>279</v>
      </c>
      <c r="G8" s="67">
        <v>60</v>
      </c>
      <c r="H8" s="67" t="s">
        <v>232</v>
      </c>
      <c r="I8" s="68" t="s">
        <v>164</v>
      </c>
    </row>
    <row r="9" spans="1:9" s="60" customFormat="1" hidden="1" x14ac:dyDescent="0.3">
      <c r="A9" s="66"/>
      <c r="B9" s="67" t="s">
        <v>13</v>
      </c>
      <c r="C9" s="67" t="s">
        <v>8</v>
      </c>
      <c r="D9" s="67" t="s">
        <v>9</v>
      </c>
      <c r="E9" s="67" t="s">
        <v>168</v>
      </c>
      <c r="F9" s="67" t="s">
        <v>279</v>
      </c>
      <c r="G9" s="67">
        <v>160</v>
      </c>
      <c r="H9" s="67" t="s">
        <v>242</v>
      </c>
      <c r="I9" s="68"/>
    </row>
    <row r="10" spans="1:9" s="60" customFormat="1" hidden="1" x14ac:dyDescent="0.3">
      <c r="A10" s="66"/>
      <c r="B10" s="67" t="s">
        <v>13</v>
      </c>
      <c r="C10" s="67" t="s">
        <v>8</v>
      </c>
      <c r="D10" s="67" t="s">
        <v>9</v>
      </c>
      <c r="E10" s="67" t="s">
        <v>149</v>
      </c>
      <c r="F10" s="67" t="s">
        <v>279</v>
      </c>
      <c r="G10" s="67">
        <v>300</v>
      </c>
      <c r="H10" s="67" t="s">
        <v>243</v>
      </c>
      <c r="I10" s="68" t="s">
        <v>243</v>
      </c>
    </row>
    <row r="11" spans="1:9" s="60" customFormat="1" hidden="1" x14ac:dyDescent="0.3">
      <c r="A11" s="66"/>
      <c r="B11" s="67" t="s">
        <v>13</v>
      </c>
      <c r="C11" s="67" t="s">
        <v>8</v>
      </c>
      <c r="D11" s="67" t="s">
        <v>9</v>
      </c>
      <c r="E11" s="67" t="s">
        <v>149</v>
      </c>
      <c r="F11" s="67" t="s">
        <v>279</v>
      </c>
      <c r="G11" s="67">
        <v>600</v>
      </c>
      <c r="H11" s="67" t="s">
        <v>246</v>
      </c>
      <c r="I11" s="68"/>
    </row>
    <row r="12" spans="1:9" s="60" customFormat="1" ht="43.2" hidden="1" x14ac:dyDescent="0.3">
      <c r="A12" s="66"/>
      <c r="B12" s="67" t="s">
        <v>13</v>
      </c>
      <c r="C12" s="67" t="s">
        <v>8</v>
      </c>
      <c r="D12" s="67" t="s">
        <v>9</v>
      </c>
      <c r="E12" s="67" t="s">
        <v>149</v>
      </c>
      <c r="F12" s="67" t="s">
        <v>280</v>
      </c>
      <c r="G12" s="67"/>
      <c r="H12" s="70" t="s">
        <v>309</v>
      </c>
      <c r="I12" s="70" t="s">
        <v>310</v>
      </c>
    </row>
    <row r="13" spans="1:9" s="60" customFormat="1" ht="43.2" hidden="1" x14ac:dyDescent="0.3">
      <c r="A13" s="66"/>
      <c r="B13" s="67" t="s">
        <v>13</v>
      </c>
      <c r="C13" s="67" t="s">
        <v>130</v>
      </c>
      <c r="D13" s="67" t="s">
        <v>9</v>
      </c>
      <c r="E13" s="67" t="s">
        <v>149</v>
      </c>
      <c r="F13" s="67" t="s">
        <v>337</v>
      </c>
      <c r="G13" s="67"/>
      <c r="H13" s="70" t="s">
        <v>311</v>
      </c>
      <c r="I13" s="70" t="s">
        <v>312</v>
      </c>
    </row>
    <row r="14" spans="1:9" s="60" customFormat="1" ht="43.2" hidden="1" x14ac:dyDescent="0.3">
      <c r="A14" s="66"/>
      <c r="B14" s="67" t="s">
        <v>13</v>
      </c>
      <c r="C14" s="67" t="s">
        <v>130</v>
      </c>
      <c r="D14" s="67" t="s">
        <v>9</v>
      </c>
      <c r="E14" s="67" t="s">
        <v>149</v>
      </c>
      <c r="F14" s="67" t="s">
        <v>337</v>
      </c>
      <c r="G14" s="67"/>
      <c r="H14" s="70" t="s">
        <v>313</v>
      </c>
      <c r="I14" s="70" t="s">
        <v>314</v>
      </c>
    </row>
    <row r="15" spans="1:9" s="60" customFormat="1" ht="43.2" hidden="1" x14ac:dyDescent="0.3">
      <c r="A15" s="66"/>
      <c r="B15" s="67" t="s">
        <v>13</v>
      </c>
      <c r="C15" s="67" t="s">
        <v>130</v>
      </c>
      <c r="D15" s="67" t="s">
        <v>9</v>
      </c>
      <c r="E15" s="67" t="s">
        <v>149</v>
      </c>
      <c r="F15" s="67" t="s">
        <v>337</v>
      </c>
      <c r="G15" s="67"/>
      <c r="H15" s="70" t="s">
        <v>315</v>
      </c>
      <c r="I15" s="70" t="s">
        <v>316</v>
      </c>
    </row>
    <row r="16" spans="1:9" s="60" customFormat="1" ht="43.2" hidden="1" x14ac:dyDescent="0.3">
      <c r="A16" s="66"/>
      <c r="B16" s="67" t="s">
        <v>13</v>
      </c>
      <c r="C16" s="67" t="s">
        <v>130</v>
      </c>
      <c r="D16" s="67" t="s">
        <v>9</v>
      </c>
      <c r="E16" s="67" t="s">
        <v>149</v>
      </c>
      <c r="F16" s="67" t="s">
        <v>337</v>
      </c>
      <c r="G16" s="67"/>
      <c r="H16" s="70" t="s">
        <v>317</v>
      </c>
      <c r="I16" s="70" t="s">
        <v>318</v>
      </c>
    </row>
    <row r="17" spans="1:9" s="60" customFormat="1" ht="43.2" hidden="1" x14ac:dyDescent="0.3">
      <c r="A17" s="66"/>
      <c r="B17" s="67" t="s">
        <v>13</v>
      </c>
      <c r="C17" s="67" t="s">
        <v>130</v>
      </c>
      <c r="D17" s="67" t="s">
        <v>9</v>
      </c>
      <c r="E17" s="67" t="s">
        <v>149</v>
      </c>
      <c r="F17" s="67" t="s">
        <v>337</v>
      </c>
      <c r="G17" s="67"/>
      <c r="H17" s="70" t="s">
        <v>319</v>
      </c>
      <c r="I17" s="70" t="s">
        <v>320</v>
      </c>
    </row>
    <row r="18" spans="1:9" s="60" customFormat="1" ht="43.2" hidden="1" x14ac:dyDescent="0.3">
      <c r="A18" s="66"/>
      <c r="B18" s="67" t="s">
        <v>13</v>
      </c>
      <c r="C18" s="67" t="s">
        <v>130</v>
      </c>
      <c r="D18" s="67" t="s">
        <v>9</v>
      </c>
      <c r="E18" s="67" t="s">
        <v>149</v>
      </c>
      <c r="F18" s="67" t="s">
        <v>337</v>
      </c>
      <c r="G18" s="67"/>
      <c r="H18" s="70" t="s">
        <v>321</v>
      </c>
      <c r="I18" s="70" t="s">
        <v>322</v>
      </c>
    </row>
    <row r="19" spans="1:9" s="60" customFormat="1" ht="43.2" hidden="1" x14ac:dyDescent="0.3">
      <c r="A19" s="66"/>
      <c r="B19" s="67" t="s">
        <v>13</v>
      </c>
      <c r="C19" s="67" t="s">
        <v>130</v>
      </c>
      <c r="D19" s="67" t="s">
        <v>9</v>
      </c>
      <c r="E19" s="67" t="s">
        <v>149</v>
      </c>
      <c r="F19" s="67" t="s">
        <v>337</v>
      </c>
      <c r="G19" s="67"/>
      <c r="H19" s="70" t="s">
        <v>325</v>
      </c>
      <c r="I19" s="70" t="s">
        <v>326</v>
      </c>
    </row>
    <row r="20" spans="1:9" s="60" customFormat="1" hidden="1" x14ac:dyDescent="0.3">
      <c r="A20" s="66"/>
      <c r="B20" s="67" t="s">
        <v>13</v>
      </c>
      <c r="C20" s="67" t="s">
        <v>8</v>
      </c>
      <c r="D20" s="67" t="s">
        <v>336</v>
      </c>
      <c r="E20" s="67" t="s">
        <v>85</v>
      </c>
      <c r="F20" s="67" t="s">
        <v>279</v>
      </c>
      <c r="G20" s="67">
        <v>40</v>
      </c>
      <c r="H20" s="67" t="s">
        <v>222</v>
      </c>
      <c r="I20" s="68" t="s">
        <v>223</v>
      </c>
    </row>
    <row r="21" spans="1:9" s="60" customFormat="1" hidden="1" x14ac:dyDescent="0.3">
      <c r="A21" s="66"/>
      <c r="B21" s="67" t="s">
        <v>13</v>
      </c>
      <c r="C21" s="67" t="s">
        <v>8</v>
      </c>
      <c r="D21" s="67" t="s">
        <v>336</v>
      </c>
      <c r="E21" s="67" t="s">
        <v>85</v>
      </c>
      <c r="F21" s="67" t="s">
        <v>279</v>
      </c>
      <c r="G21" s="67">
        <v>40</v>
      </c>
      <c r="H21" s="67" t="s">
        <v>225</v>
      </c>
      <c r="I21" s="68" t="s">
        <v>164</v>
      </c>
    </row>
    <row r="22" spans="1:9" s="60" customFormat="1" ht="43.2" hidden="1" x14ac:dyDescent="0.3">
      <c r="A22" s="66"/>
      <c r="B22" s="67" t="s">
        <v>13</v>
      </c>
      <c r="C22" s="67" t="s">
        <v>130</v>
      </c>
      <c r="D22" s="67" t="s">
        <v>336</v>
      </c>
      <c r="E22" s="67" t="s">
        <v>149</v>
      </c>
      <c r="F22" s="67" t="s">
        <v>337</v>
      </c>
      <c r="G22" s="67"/>
      <c r="H22" s="70" t="s">
        <v>323</v>
      </c>
      <c r="I22" s="70" t="s">
        <v>324</v>
      </c>
    </row>
    <row r="23" spans="1:9" s="60" customFormat="1" ht="57.6" hidden="1" x14ac:dyDescent="0.3">
      <c r="A23" s="66"/>
      <c r="B23" s="67" t="s">
        <v>7</v>
      </c>
      <c r="C23" s="67" t="s">
        <v>8</v>
      </c>
      <c r="D23" s="67" t="s">
        <v>335</v>
      </c>
      <c r="E23" s="67" t="s">
        <v>10</v>
      </c>
      <c r="F23" s="67" t="s">
        <v>278</v>
      </c>
      <c r="G23" s="67">
        <v>1680</v>
      </c>
      <c r="H23" s="67" t="s">
        <v>29</v>
      </c>
      <c r="I23" s="71" t="s">
        <v>30</v>
      </c>
    </row>
    <row r="24" spans="1:9" s="60" customFormat="1" ht="57.6" hidden="1" x14ac:dyDescent="0.3">
      <c r="A24" s="66"/>
      <c r="B24" s="67" t="s">
        <v>13</v>
      </c>
      <c r="C24" s="67" t="s">
        <v>8</v>
      </c>
      <c r="D24" s="67" t="s">
        <v>335</v>
      </c>
      <c r="E24" s="67" t="s">
        <v>10</v>
      </c>
      <c r="F24" s="67" t="s">
        <v>278</v>
      </c>
      <c r="G24" s="67">
        <v>160</v>
      </c>
      <c r="H24" s="68" t="s">
        <v>14</v>
      </c>
      <c r="I24" s="71" t="s">
        <v>15</v>
      </c>
    </row>
    <row r="25" spans="1:9" s="60" customFormat="1" ht="86.4" hidden="1" x14ac:dyDescent="0.3">
      <c r="A25" s="66"/>
      <c r="B25" s="67" t="s">
        <v>7</v>
      </c>
      <c r="C25" s="67" t="s">
        <v>8</v>
      </c>
      <c r="D25" s="67" t="s">
        <v>335</v>
      </c>
      <c r="E25" s="67" t="s">
        <v>10</v>
      </c>
      <c r="F25" s="67" t="s">
        <v>278</v>
      </c>
      <c r="G25" s="67">
        <v>600</v>
      </c>
      <c r="H25" s="68" t="s">
        <v>37</v>
      </c>
      <c r="I25" s="71" t="s">
        <v>38</v>
      </c>
    </row>
    <row r="26" spans="1:9" s="60" customFormat="1" ht="72" hidden="1" x14ac:dyDescent="0.3">
      <c r="A26" s="66"/>
      <c r="B26" s="67" t="s">
        <v>7</v>
      </c>
      <c r="C26" s="67" t="s">
        <v>8</v>
      </c>
      <c r="D26" s="67" t="s">
        <v>335</v>
      </c>
      <c r="E26" s="67" t="s">
        <v>51</v>
      </c>
      <c r="F26" s="67" t="s">
        <v>279</v>
      </c>
      <c r="G26" s="67">
        <v>600</v>
      </c>
      <c r="H26" s="67" t="s">
        <v>60</v>
      </c>
      <c r="I26" s="71" t="s">
        <v>61</v>
      </c>
    </row>
    <row r="27" spans="1:9" s="60" customFormat="1" ht="57.6" hidden="1" x14ac:dyDescent="0.3">
      <c r="A27" s="66"/>
      <c r="B27" s="67" t="s">
        <v>7</v>
      </c>
      <c r="C27" s="67" t="s">
        <v>8</v>
      </c>
      <c r="D27" s="67" t="s">
        <v>335</v>
      </c>
      <c r="E27" s="67" t="s">
        <v>51</v>
      </c>
      <c r="F27" s="67" t="s">
        <v>279</v>
      </c>
      <c r="G27" s="67">
        <v>600</v>
      </c>
      <c r="H27" s="68" t="s">
        <v>74</v>
      </c>
      <c r="I27" s="71" t="s">
        <v>75</v>
      </c>
    </row>
    <row r="28" spans="1:9" s="60" customFormat="1" ht="57.6" hidden="1" x14ac:dyDescent="0.3">
      <c r="A28" s="66"/>
      <c r="B28" s="67" t="s">
        <v>13</v>
      </c>
      <c r="C28" s="67" t="s">
        <v>8</v>
      </c>
      <c r="D28" s="67" t="s">
        <v>335</v>
      </c>
      <c r="E28" s="67" t="s">
        <v>10</v>
      </c>
      <c r="F28" s="67" t="s">
        <v>279</v>
      </c>
      <c r="G28" s="67">
        <v>220</v>
      </c>
      <c r="H28" s="68" t="s">
        <v>22</v>
      </c>
      <c r="I28" s="71" t="s">
        <v>23</v>
      </c>
    </row>
    <row r="29" spans="1:9" s="60" customFormat="1" ht="100.8" hidden="1" x14ac:dyDescent="0.3">
      <c r="A29" s="66"/>
      <c r="B29" s="67" t="s">
        <v>13</v>
      </c>
      <c r="C29" s="67" t="s">
        <v>8</v>
      </c>
      <c r="D29" s="67" t="s">
        <v>335</v>
      </c>
      <c r="E29" s="67" t="s">
        <v>10</v>
      </c>
      <c r="F29" s="67" t="s">
        <v>281</v>
      </c>
      <c r="G29" s="67">
        <v>600</v>
      </c>
      <c r="H29" s="68" t="s">
        <v>24</v>
      </c>
      <c r="I29" s="71" t="s">
        <v>25</v>
      </c>
    </row>
    <row r="30" spans="1:9" s="60" customFormat="1" ht="57.6" hidden="1" x14ac:dyDescent="0.3">
      <c r="A30" s="66"/>
      <c r="B30" s="67" t="s">
        <v>26</v>
      </c>
      <c r="C30" s="67" t="s">
        <v>8</v>
      </c>
      <c r="D30" s="67" t="s">
        <v>335</v>
      </c>
      <c r="E30" s="67" t="s">
        <v>10</v>
      </c>
      <c r="F30" s="67" t="s">
        <v>280</v>
      </c>
      <c r="G30" s="67">
        <v>240</v>
      </c>
      <c r="H30" s="68" t="s">
        <v>27</v>
      </c>
      <c r="I30" s="71" t="s">
        <v>28</v>
      </c>
    </row>
    <row r="31" spans="1:9" s="60" customFormat="1" ht="57.6" hidden="1" x14ac:dyDescent="0.3">
      <c r="A31" s="66"/>
      <c r="B31" s="67" t="s">
        <v>7</v>
      </c>
      <c r="C31" s="67" t="s">
        <v>8</v>
      </c>
      <c r="D31" s="67" t="s">
        <v>335</v>
      </c>
      <c r="E31" s="67" t="s">
        <v>10</v>
      </c>
      <c r="F31" s="67" t="s">
        <v>279</v>
      </c>
      <c r="G31" s="67">
        <v>320</v>
      </c>
      <c r="H31" s="67" t="s">
        <v>47</v>
      </c>
      <c r="I31" s="71" t="s">
        <v>48</v>
      </c>
    </row>
    <row r="32" spans="1:9" s="60" customFormat="1" ht="28.8" hidden="1" x14ac:dyDescent="0.3">
      <c r="A32" s="66"/>
      <c r="B32" s="67" t="s">
        <v>7</v>
      </c>
      <c r="C32" s="67" t="s">
        <v>8</v>
      </c>
      <c r="D32" s="67" t="s">
        <v>335</v>
      </c>
      <c r="E32" s="67" t="s">
        <v>10</v>
      </c>
      <c r="F32" s="67" t="s">
        <v>279</v>
      </c>
      <c r="G32" s="67">
        <v>220</v>
      </c>
      <c r="H32" s="68" t="s">
        <v>11</v>
      </c>
      <c r="I32" s="71" t="s">
        <v>12</v>
      </c>
    </row>
    <row r="33" spans="1:12" s="60" customFormat="1" ht="57.6" hidden="1" x14ac:dyDescent="0.3">
      <c r="A33" s="66"/>
      <c r="B33" s="67" t="s">
        <v>7</v>
      </c>
      <c r="C33" s="67" t="s">
        <v>8</v>
      </c>
      <c r="D33" s="67" t="s">
        <v>335</v>
      </c>
      <c r="E33" s="67" t="s">
        <v>10</v>
      </c>
      <c r="F33" s="67" t="s">
        <v>106</v>
      </c>
      <c r="G33" s="67">
        <v>220</v>
      </c>
      <c r="H33" s="67" t="s">
        <v>16</v>
      </c>
      <c r="I33" s="71" t="s">
        <v>17</v>
      </c>
    </row>
    <row r="34" spans="1:12" s="60" customFormat="1" ht="43.2" hidden="1" x14ac:dyDescent="0.3">
      <c r="A34" s="66"/>
      <c r="B34" s="67" t="s">
        <v>7</v>
      </c>
      <c r="C34" s="67" t="s">
        <v>8</v>
      </c>
      <c r="D34" s="67" t="s">
        <v>335</v>
      </c>
      <c r="E34" s="67" t="s">
        <v>51</v>
      </c>
      <c r="F34" s="67" t="s">
        <v>279</v>
      </c>
      <c r="G34" s="67">
        <v>180</v>
      </c>
      <c r="H34" s="67" t="s">
        <v>62</v>
      </c>
      <c r="I34" s="71" t="s">
        <v>63</v>
      </c>
    </row>
    <row r="35" spans="1:12" s="59" customFormat="1" ht="57.6" hidden="1" x14ac:dyDescent="0.3">
      <c r="A35" s="67"/>
      <c r="B35" s="67" t="s">
        <v>7</v>
      </c>
      <c r="C35" s="67" t="s">
        <v>8</v>
      </c>
      <c r="D35" s="67" t="s">
        <v>335</v>
      </c>
      <c r="E35" s="67" t="s">
        <v>51</v>
      </c>
      <c r="F35" s="67" t="s">
        <v>279</v>
      </c>
      <c r="G35" s="67">
        <v>160</v>
      </c>
      <c r="H35" s="68" t="s">
        <v>80</v>
      </c>
      <c r="I35" s="71" t="s">
        <v>81</v>
      </c>
      <c r="J35" s="60"/>
      <c r="K35" s="60"/>
      <c r="L35" s="60"/>
    </row>
    <row r="36" spans="1:12" s="60" customFormat="1" ht="57.6" hidden="1" x14ac:dyDescent="0.3">
      <c r="A36" s="66"/>
      <c r="B36" s="67" t="s">
        <v>7</v>
      </c>
      <c r="C36" s="67" t="s">
        <v>8</v>
      </c>
      <c r="D36" s="67" t="s">
        <v>335</v>
      </c>
      <c r="E36" s="67" t="s">
        <v>10</v>
      </c>
      <c r="F36" s="67" t="s">
        <v>278</v>
      </c>
      <c r="G36" s="67">
        <v>144</v>
      </c>
      <c r="H36" s="68" t="s">
        <v>35</v>
      </c>
      <c r="I36" s="71" t="s">
        <v>36</v>
      </c>
    </row>
    <row r="37" spans="1:12" s="60" customFormat="1" ht="57.6" hidden="1" x14ac:dyDescent="0.3">
      <c r="A37" s="66"/>
      <c r="B37" s="67" t="s">
        <v>7</v>
      </c>
      <c r="C37" s="67" t="s">
        <v>8</v>
      </c>
      <c r="D37" s="67" t="s">
        <v>335</v>
      </c>
      <c r="E37" s="67" t="s">
        <v>10</v>
      </c>
      <c r="F37" s="67" t="s">
        <v>278</v>
      </c>
      <c r="G37" s="67">
        <v>144</v>
      </c>
      <c r="H37" s="67" t="s">
        <v>45</v>
      </c>
      <c r="I37" s="71" t="s">
        <v>46</v>
      </c>
    </row>
    <row r="38" spans="1:12" s="60" customFormat="1" ht="72" hidden="1" x14ac:dyDescent="0.3">
      <c r="A38" s="66"/>
      <c r="B38" s="67" t="s">
        <v>7</v>
      </c>
      <c r="C38" s="67" t="s">
        <v>8</v>
      </c>
      <c r="D38" s="67" t="s">
        <v>335</v>
      </c>
      <c r="E38" s="67" t="s">
        <v>10</v>
      </c>
      <c r="F38" s="67" t="s">
        <v>279</v>
      </c>
      <c r="G38" s="67">
        <v>120</v>
      </c>
      <c r="H38" s="68" t="s">
        <v>39</v>
      </c>
      <c r="I38" s="71" t="s">
        <v>40</v>
      </c>
    </row>
    <row r="39" spans="1:12" s="60" customFormat="1" ht="57.6" hidden="1" x14ac:dyDescent="0.3">
      <c r="A39" s="66"/>
      <c r="B39" s="67" t="s">
        <v>7</v>
      </c>
      <c r="C39" s="67" t="s">
        <v>8</v>
      </c>
      <c r="D39" s="67" t="s">
        <v>335</v>
      </c>
      <c r="E39" s="67" t="s">
        <v>10</v>
      </c>
      <c r="F39" s="67" t="s">
        <v>278</v>
      </c>
      <c r="G39" s="67">
        <v>120</v>
      </c>
      <c r="H39" s="68" t="s">
        <v>41</v>
      </c>
      <c r="I39" s="71" t="s">
        <v>42</v>
      </c>
    </row>
    <row r="40" spans="1:12" s="60" customFormat="1" ht="28.8" hidden="1" x14ac:dyDescent="0.3">
      <c r="A40" s="66"/>
      <c r="B40" s="67" t="s">
        <v>7</v>
      </c>
      <c r="C40" s="67" t="s">
        <v>8</v>
      </c>
      <c r="D40" s="67" t="s">
        <v>335</v>
      </c>
      <c r="E40" s="67" t="s">
        <v>10</v>
      </c>
      <c r="F40" s="67" t="s">
        <v>279</v>
      </c>
      <c r="G40" s="67">
        <v>120</v>
      </c>
      <c r="H40" s="68" t="s">
        <v>49</v>
      </c>
      <c r="I40" s="71" t="s">
        <v>50</v>
      </c>
    </row>
    <row r="41" spans="1:12" s="60" customFormat="1" ht="57.6" hidden="1" x14ac:dyDescent="0.3">
      <c r="A41" s="66"/>
      <c r="B41" s="67" t="s">
        <v>7</v>
      </c>
      <c r="C41" s="67" t="s">
        <v>8</v>
      </c>
      <c r="D41" s="67" t="s">
        <v>335</v>
      </c>
      <c r="E41" s="67" t="s">
        <v>10</v>
      </c>
      <c r="F41" s="67" t="s">
        <v>106</v>
      </c>
      <c r="G41" s="67">
        <v>100</v>
      </c>
      <c r="H41" s="67" t="s">
        <v>18</v>
      </c>
      <c r="I41" s="71" t="s">
        <v>19</v>
      </c>
    </row>
    <row r="42" spans="1:12" s="60" customFormat="1" ht="57.6" hidden="1" x14ac:dyDescent="0.3">
      <c r="A42" s="66"/>
      <c r="B42" s="67" t="s">
        <v>13</v>
      </c>
      <c r="C42" s="67" t="s">
        <v>8</v>
      </c>
      <c r="D42" s="67" t="s">
        <v>335</v>
      </c>
      <c r="E42" s="67" t="s">
        <v>51</v>
      </c>
      <c r="F42" s="67" t="s">
        <v>280</v>
      </c>
      <c r="G42" s="67">
        <v>180</v>
      </c>
      <c r="H42" s="67" t="s">
        <v>52</v>
      </c>
      <c r="I42" s="71" t="s">
        <v>53</v>
      </c>
    </row>
    <row r="43" spans="1:12" s="60" customFormat="1" ht="86.4" hidden="1" x14ac:dyDescent="0.3">
      <c r="A43" s="66"/>
      <c r="B43" s="67" t="s">
        <v>13</v>
      </c>
      <c r="C43" s="67" t="s">
        <v>8</v>
      </c>
      <c r="D43" s="67" t="s">
        <v>335</v>
      </c>
      <c r="E43" s="67" t="s">
        <v>51</v>
      </c>
      <c r="F43" s="67" t="s">
        <v>280</v>
      </c>
      <c r="G43" s="67">
        <v>160</v>
      </c>
      <c r="H43" s="67" t="s">
        <v>54</v>
      </c>
      <c r="I43" s="71" t="s">
        <v>55</v>
      </c>
    </row>
    <row r="44" spans="1:12" s="60" customFormat="1" ht="57.6" hidden="1" x14ac:dyDescent="0.3">
      <c r="A44" s="66"/>
      <c r="B44" s="67" t="s">
        <v>56</v>
      </c>
      <c r="C44" s="67" t="s">
        <v>57</v>
      </c>
      <c r="D44" s="67" t="s">
        <v>335</v>
      </c>
      <c r="E44" s="67" t="s">
        <v>51</v>
      </c>
      <c r="F44" s="67" t="s">
        <v>106</v>
      </c>
      <c r="G44" s="67">
        <v>140</v>
      </c>
      <c r="H44" s="68" t="s">
        <v>58</v>
      </c>
      <c r="I44" s="71" t="s">
        <v>59</v>
      </c>
    </row>
    <row r="45" spans="1:12" s="60" customFormat="1" ht="43.2" hidden="1" x14ac:dyDescent="0.3">
      <c r="A45" s="66"/>
      <c r="B45" s="67" t="s">
        <v>7</v>
      </c>
      <c r="C45" s="67" t="s">
        <v>8</v>
      </c>
      <c r="D45" s="67" t="s">
        <v>335</v>
      </c>
      <c r="E45" s="67" t="s">
        <v>10</v>
      </c>
      <c r="F45" s="67" t="s">
        <v>279</v>
      </c>
      <c r="G45" s="67">
        <v>100</v>
      </c>
      <c r="H45" s="67" t="s">
        <v>43</v>
      </c>
      <c r="I45" s="71" t="s">
        <v>44</v>
      </c>
    </row>
    <row r="46" spans="1:12" s="60" customFormat="1" ht="72" hidden="1" x14ac:dyDescent="0.3">
      <c r="A46" s="66"/>
      <c r="B46" s="67" t="s">
        <v>7</v>
      </c>
      <c r="C46" s="67" t="s">
        <v>8</v>
      </c>
      <c r="D46" s="67" t="s">
        <v>335</v>
      </c>
      <c r="E46" s="67" t="s">
        <v>10</v>
      </c>
      <c r="F46" s="67" t="s">
        <v>279</v>
      </c>
      <c r="G46" s="67">
        <v>96</v>
      </c>
      <c r="H46" s="68" t="s">
        <v>33</v>
      </c>
      <c r="I46" s="71" t="s">
        <v>34</v>
      </c>
    </row>
    <row r="47" spans="1:12" s="60" customFormat="1" ht="57.6" hidden="1" x14ac:dyDescent="0.3">
      <c r="A47" s="66"/>
      <c r="B47" s="67" t="s">
        <v>13</v>
      </c>
      <c r="C47" s="67" t="s">
        <v>8</v>
      </c>
      <c r="D47" s="67" t="s">
        <v>335</v>
      </c>
      <c r="E47" s="67" t="s">
        <v>51</v>
      </c>
      <c r="F47" s="67" t="s">
        <v>279</v>
      </c>
      <c r="G47" s="67">
        <v>240</v>
      </c>
      <c r="H47" s="67" t="s">
        <v>64</v>
      </c>
      <c r="I47" s="71" t="s">
        <v>65</v>
      </c>
    </row>
    <row r="48" spans="1:12" s="60" customFormat="1" ht="43.2" hidden="1" x14ac:dyDescent="0.3">
      <c r="A48" s="66"/>
      <c r="B48" s="67" t="s">
        <v>13</v>
      </c>
      <c r="C48" s="67" t="s">
        <v>8</v>
      </c>
      <c r="D48" s="67" t="s">
        <v>335</v>
      </c>
      <c r="E48" s="67" t="s">
        <v>51</v>
      </c>
      <c r="F48" s="67" t="s">
        <v>280</v>
      </c>
      <c r="G48" s="67">
        <v>160</v>
      </c>
      <c r="H48" s="67" t="s">
        <v>66</v>
      </c>
      <c r="I48" s="71" t="s">
        <v>67</v>
      </c>
    </row>
    <row r="49" spans="1:12" s="60" customFormat="1" ht="86.4" hidden="1" x14ac:dyDescent="0.3">
      <c r="A49" s="66"/>
      <c r="B49" s="67" t="s">
        <v>13</v>
      </c>
      <c r="C49" s="67" t="s">
        <v>8</v>
      </c>
      <c r="D49" s="67" t="s">
        <v>335</v>
      </c>
      <c r="E49" s="67" t="s">
        <v>51</v>
      </c>
      <c r="F49" s="67" t="s">
        <v>280</v>
      </c>
      <c r="G49" s="67">
        <v>240</v>
      </c>
      <c r="H49" s="68" t="s">
        <v>68</v>
      </c>
      <c r="I49" s="71" t="s">
        <v>69</v>
      </c>
    </row>
    <row r="50" spans="1:12" s="60" customFormat="1" ht="57.6" hidden="1" x14ac:dyDescent="0.3">
      <c r="A50" s="66"/>
      <c r="B50" s="67" t="s">
        <v>56</v>
      </c>
      <c r="C50" s="67" t="s">
        <v>8</v>
      </c>
      <c r="D50" s="67" t="s">
        <v>335</v>
      </c>
      <c r="E50" s="67" t="s">
        <v>51</v>
      </c>
      <c r="F50" s="67" t="s">
        <v>106</v>
      </c>
      <c r="G50" s="67">
        <v>280</v>
      </c>
      <c r="H50" s="68" t="s">
        <v>70</v>
      </c>
      <c r="I50" s="71" t="s">
        <v>71</v>
      </c>
    </row>
    <row r="51" spans="1:12" s="60" customFormat="1" ht="57.6" hidden="1" x14ac:dyDescent="0.3">
      <c r="A51" s="66"/>
      <c r="B51" s="67" t="s">
        <v>13</v>
      </c>
      <c r="C51" s="67" t="s">
        <v>8</v>
      </c>
      <c r="D51" s="67" t="s">
        <v>335</v>
      </c>
      <c r="E51" s="67" t="s">
        <v>51</v>
      </c>
      <c r="F51" s="67" t="s">
        <v>280</v>
      </c>
      <c r="G51" s="67">
        <v>220</v>
      </c>
      <c r="H51" s="68" t="s">
        <v>72</v>
      </c>
      <c r="I51" s="71" t="s">
        <v>73</v>
      </c>
    </row>
    <row r="52" spans="1:12" s="60" customFormat="1" ht="43.2" hidden="1" x14ac:dyDescent="0.3">
      <c r="A52" s="66"/>
      <c r="B52" s="67" t="s">
        <v>7</v>
      </c>
      <c r="C52" s="67" t="s">
        <v>8</v>
      </c>
      <c r="D52" s="67" t="s">
        <v>335</v>
      </c>
      <c r="E52" s="67" t="s">
        <v>10</v>
      </c>
      <c r="F52" s="67" t="s">
        <v>278</v>
      </c>
      <c r="G52" s="67">
        <v>48</v>
      </c>
      <c r="H52" s="68" t="s">
        <v>31</v>
      </c>
      <c r="I52" s="71" t="s">
        <v>32</v>
      </c>
    </row>
    <row r="53" spans="1:12" s="60" customFormat="1" ht="57.6" hidden="1" x14ac:dyDescent="0.3">
      <c r="A53" s="66"/>
      <c r="B53" s="67" t="s">
        <v>13</v>
      </c>
      <c r="C53" s="67" t="s">
        <v>8</v>
      </c>
      <c r="D53" s="67" t="s">
        <v>335</v>
      </c>
      <c r="E53" s="67" t="s">
        <v>51</v>
      </c>
      <c r="F53" s="67" t="s">
        <v>280</v>
      </c>
      <c r="G53" s="67">
        <v>160</v>
      </c>
      <c r="H53" s="67" t="s">
        <v>76</v>
      </c>
      <c r="I53" s="71" t="s">
        <v>77</v>
      </c>
    </row>
    <row r="54" spans="1:12" s="60" customFormat="1" ht="57.6" hidden="1" x14ac:dyDescent="0.3">
      <c r="A54" s="66"/>
      <c r="B54" s="67" t="s">
        <v>56</v>
      </c>
      <c r="C54" s="67" t="s">
        <v>57</v>
      </c>
      <c r="D54" s="67" t="s">
        <v>335</v>
      </c>
      <c r="E54" s="67" t="s">
        <v>51</v>
      </c>
      <c r="F54" s="67" t="s">
        <v>106</v>
      </c>
      <c r="G54" s="67">
        <v>300</v>
      </c>
      <c r="H54" s="67" t="s">
        <v>78</v>
      </c>
      <c r="I54" s="71" t="s">
        <v>79</v>
      </c>
    </row>
    <row r="55" spans="1:12" s="60" customFormat="1" ht="57.6" hidden="1" x14ac:dyDescent="0.3">
      <c r="A55" s="66"/>
      <c r="B55" s="67" t="s">
        <v>7</v>
      </c>
      <c r="C55" s="67" t="s">
        <v>8</v>
      </c>
      <c r="D55" s="67" t="s">
        <v>335</v>
      </c>
      <c r="E55" s="67" t="s">
        <v>10</v>
      </c>
      <c r="F55" s="67" t="s">
        <v>280</v>
      </c>
      <c r="G55" s="67">
        <v>40</v>
      </c>
      <c r="H55" s="67" t="s">
        <v>20</v>
      </c>
      <c r="I55" s="71" t="s">
        <v>21</v>
      </c>
    </row>
    <row r="56" spans="1:12" s="60" customFormat="1" ht="28.8" x14ac:dyDescent="0.3">
      <c r="A56" s="66"/>
      <c r="B56" s="67" t="s">
        <v>13</v>
      </c>
      <c r="C56" s="67" t="s">
        <v>8</v>
      </c>
      <c r="D56" s="67" t="s">
        <v>308</v>
      </c>
      <c r="E56" s="67" t="s">
        <v>293</v>
      </c>
      <c r="F56" s="67"/>
      <c r="G56" s="67"/>
      <c r="H56" s="67" t="s">
        <v>228</v>
      </c>
      <c r="I56" s="68" t="s">
        <v>229</v>
      </c>
      <c r="J56" s="59" t="s">
        <v>131</v>
      </c>
      <c r="K56" s="59" t="s">
        <v>200</v>
      </c>
      <c r="L56" s="59" t="s">
        <v>285</v>
      </c>
    </row>
    <row r="57" spans="1:12" s="60" customFormat="1" x14ac:dyDescent="0.3">
      <c r="A57" s="66"/>
      <c r="B57" s="67" t="s">
        <v>13</v>
      </c>
      <c r="C57" s="67" t="s">
        <v>8</v>
      </c>
      <c r="D57" s="67" t="s">
        <v>308</v>
      </c>
      <c r="E57" s="67" t="s">
        <v>293</v>
      </c>
      <c r="F57" s="67"/>
      <c r="G57" s="67"/>
      <c r="H57" s="67" t="s">
        <v>338</v>
      </c>
      <c r="I57" s="69"/>
    </row>
    <row r="58" spans="1:12" s="60" customFormat="1" x14ac:dyDescent="0.3">
      <c r="A58" s="66"/>
      <c r="B58" s="67" t="s">
        <v>13</v>
      </c>
      <c r="C58" s="67" t="s">
        <v>8</v>
      </c>
      <c r="D58" s="67" t="s">
        <v>308</v>
      </c>
      <c r="E58" s="67" t="s">
        <v>149</v>
      </c>
      <c r="F58" s="67"/>
      <c r="G58" s="67"/>
      <c r="H58" s="67" t="s">
        <v>300</v>
      </c>
      <c r="I58" s="68" t="s">
        <v>301</v>
      </c>
    </row>
    <row r="59" spans="1:12" s="60" customFormat="1" x14ac:dyDescent="0.3">
      <c r="A59" s="66"/>
      <c r="B59" s="67" t="s">
        <v>13</v>
      </c>
      <c r="C59" s="67" t="s">
        <v>8</v>
      </c>
      <c r="D59" s="67" t="s">
        <v>308</v>
      </c>
      <c r="E59" s="67" t="s">
        <v>149</v>
      </c>
      <c r="F59" s="67"/>
      <c r="G59" s="67"/>
      <c r="H59" s="67" t="s">
        <v>300</v>
      </c>
      <c r="I59" s="68" t="s">
        <v>302</v>
      </c>
    </row>
    <row r="60" spans="1:12" s="60" customFormat="1" x14ac:dyDescent="0.3">
      <c r="A60" s="66"/>
      <c r="B60" s="67" t="s">
        <v>13</v>
      </c>
      <c r="C60" s="67" t="s">
        <v>8</v>
      </c>
      <c r="D60" s="67" t="s">
        <v>308</v>
      </c>
      <c r="E60" s="67" t="s">
        <v>149</v>
      </c>
      <c r="F60" s="67"/>
      <c r="G60" s="67"/>
      <c r="H60" s="67" t="s">
        <v>300</v>
      </c>
      <c r="I60" s="68" t="s">
        <v>303</v>
      </c>
    </row>
    <row r="61" spans="1:12" s="60" customFormat="1" x14ac:dyDescent="0.3">
      <c r="A61" s="66"/>
      <c r="B61" s="67" t="s">
        <v>13</v>
      </c>
      <c r="C61" s="67" t="s">
        <v>8</v>
      </c>
      <c r="D61" s="67" t="s">
        <v>308</v>
      </c>
      <c r="E61" s="67" t="s">
        <v>149</v>
      </c>
      <c r="F61" s="67"/>
      <c r="G61" s="67"/>
      <c r="H61" s="67" t="s">
        <v>304</v>
      </c>
      <c r="I61" s="68" t="s">
        <v>305</v>
      </c>
    </row>
    <row r="62" spans="1:12" s="60" customFormat="1" x14ac:dyDescent="0.3">
      <c r="A62" s="66"/>
      <c r="B62" s="67" t="s">
        <v>13</v>
      </c>
      <c r="C62" s="67" t="s">
        <v>8</v>
      </c>
      <c r="D62" s="67" t="s">
        <v>308</v>
      </c>
      <c r="E62" s="67" t="s">
        <v>149</v>
      </c>
      <c r="F62" s="67"/>
      <c r="G62" s="67"/>
      <c r="H62" s="67" t="s">
        <v>304</v>
      </c>
      <c r="I62" s="68" t="s">
        <v>306</v>
      </c>
    </row>
    <row r="63" spans="1:12" s="60" customFormat="1" x14ac:dyDescent="0.3">
      <c r="A63" s="66"/>
      <c r="B63" s="67" t="s">
        <v>13</v>
      </c>
      <c r="C63" s="67" t="s">
        <v>8</v>
      </c>
      <c r="D63" s="67" t="s">
        <v>308</v>
      </c>
      <c r="E63" s="67" t="s">
        <v>149</v>
      </c>
      <c r="F63" s="67"/>
      <c r="G63" s="67"/>
      <c r="H63" s="67" t="s">
        <v>304</v>
      </c>
      <c r="I63" s="68" t="s">
        <v>307</v>
      </c>
    </row>
    <row r="64" spans="1:12" s="60" customFormat="1" ht="43.2" x14ac:dyDescent="0.3">
      <c r="A64" s="66"/>
      <c r="B64" s="67" t="s">
        <v>13</v>
      </c>
      <c r="C64" s="67" t="s">
        <v>8</v>
      </c>
      <c r="D64" s="67" t="s">
        <v>308</v>
      </c>
      <c r="E64" s="67" t="s">
        <v>149</v>
      </c>
      <c r="F64" s="67" t="s">
        <v>337</v>
      </c>
      <c r="G64" s="67"/>
      <c r="H64" s="70" t="s">
        <v>327</v>
      </c>
      <c r="I64" s="70" t="s">
        <v>328</v>
      </c>
    </row>
    <row r="65" spans="1:9" s="60" customFormat="1" ht="28.8" x14ac:dyDescent="0.3">
      <c r="A65" s="66"/>
      <c r="B65" s="67" t="s">
        <v>13</v>
      </c>
      <c r="C65" s="67" t="s">
        <v>8</v>
      </c>
      <c r="D65" s="67" t="s">
        <v>308</v>
      </c>
      <c r="E65" s="67" t="s">
        <v>149</v>
      </c>
      <c r="F65" s="67" t="s">
        <v>337</v>
      </c>
      <c r="G65" s="67"/>
      <c r="H65" s="70" t="s">
        <v>329</v>
      </c>
      <c r="I65" s="70" t="s">
        <v>330</v>
      </c>
    </row>
    <row r="66" spans="1:9" s="60" customFormat="1" ht="28.8" x14ac:dyDescent="0.3">
      <c r="A66" s="66"/>
      <c r="B66" s="67" t="s">
        <v>13</v>
      </c>
      <c r="C66" s="67" t="s">
        <v>8</v>
      </c>
      <c r="D66" s="67" t="s">
        <v>308</v>
      </c>
      <c r="E66" s="67" t="s">
        <v>149</v>
      </c>
      <c r="F66" s="67" t="s">
        <v>337</v>
      </c>
      <c r="G66" s="67"/>
      <c r="H66" s="70" t="s">
        <v>331</v>
      </c>
      <c r="I66" s="70" t="s">
        <v>332</v>
      </c>
    </row>
    <row r="67" spans="1:9" s="60" customFormat="1" ht="28.8" x14ac:dyDescent="0.3">
      <c r="A67" s="66"/>
      <c r="B67" s="67" t="s">
        <v>13</v>
      </c>
      <c r="C67" s="67" t="s">
        <v>8</v>
      </c>
      <c r="D67" s="67" t="s">
        <v>308</v>
      </c>
      <c r="E67" s="67" t="s">
        <v>149</v>
      </c>
      <c r="F67" s="67" t="s">
        <v>337</v>
      </c>
      <c r="G67" s="67"/>
      <c r="H67" s="70" t="s">
        <v>333</v>
      </c>
      <c r="I67" s="70" t="s">
        <v>334</v>
      </c>
    </row>
  </sheetData>
  <autoFilter ref="B1:L67" xr:uid="{00000000-0001-0000-0000-000000000000}">
    <filterColumn colId="2">
      <filters>
        <filter val="CS 2.0 Data"/>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9C1DA-0593-4474-8253-FD3855F1F137}">
  <dimension ref="A3:B39"/>
  <sheetViews>
    <sheetView topLeftCell="A7" workbookViewId="0">
      <selection activeCell="A20" sqref="A20"/>
    </sheetView>
  </sheetViews>
  <sheetFormatPr defaultRowHeight="14.4" x14ac:dyDescent="0.3"/>
  <cols>
    <col min="1" max="1" width="88.109375" bestFit="1" customWidth="1"/>
    <col min="2" max="2" width="12.33203125" bestFit="1" customWidth="1"/>
    <col min="3" max="3" width="13.44140625" bestFit="1" customWidth="1"/>
    <col min="4" max="4" width="6.109375" bestFit="1" customWidth="1"/>
    <col min="5" max="6" width="5" bestFit="1" customWidth="1"/>
    <col min="7" max="7" width="10.88671875" bestFit="1" customWidth="1"/>
  </cols>
  <sheetData>
    <row r="3" spans="1:2" x14ac:dyDescent="0.3">
      <c r="A3" s="57" t="s">
        <v>289</v>
      </c>
      <c r="B3" t="s">
        <v>290</v>
      </c>
    </row>
    <row r="4" spans="1:2" x14ac:dyDescent="0.3">
      <c r="A4" s="1" t="s">
        <v>279</v>
      </c>
      <c r="B4">
        <v>4110</v>
      </c>
    </row>
    <row r="5" spans="1:2" x14ac:dyDescent="0.3">
      <c r="A5" s="58" t="s">
        <v>47</v>
      </c>
      <c r="B5">
        <v>320</v>
      </c>
    </row>
    <row r="6" spans="1:2" x14ac:dyDescent="0.3">
      <c r="A6" s="58" t="s">
        <v>60</v>
      </c>
      <c r="B6">
        <v>600</v>
      </c>
    </row>
    <row r="7" spans="1:2" x14ac:dyDescent="0.3">
      <c r="A7" s="58" t="s">
        <v>74</v>
      </c>
      <c r="B7">
        <v>600</v>
      </c>
    </row>
    <row r="8" spans="1:2" x14ac:dyDescent="0.3">
      <c r="A8" s="58" t="s">
        <v>11</v>
      </c>
      <c r="B8">
        <v>220</v>
      </c>
    </row>
    <row r="9" spans="1:2" x14ac:dyDescent="0.3">
      <c r="A9" s="58" t="s">
        <v>22</v>
      </c>
      <c r="B9">
        <v>220</v>
      </c>
    </row>
    <row r="10" spans="1:2" x14ac:dyDescent="0.3">
      <c r="A10" s="58" t="s">
        <v>62</v>
      </c>
      <c r="B10">
        <v>180</v>
      </c>
    </row>
    <row r="11" spans="1:2" x14ac:dyDescent="0.3">
      <c r="A11" s="58" t="s">
        <v>294</v>
      </c>
      <c r="B11">
        <v>40</v>
      </c>
    </row>
    <row r="12" spans="1:2" x14ac:dyDescent="0.3">
      <c r="A12" s="58" t="s">
        <v>137</v>
      </c>
      <c r="B12">
        <v>40</v>
      </c>
    </row>
    <row r="13" spans="1:2" x14ac:dyDescent="0.3">
      <c r="A13" s="58" t="s">
        <v>140</v>
      </c>
      <c r="B13">
        <v>60</v>
      </c>
    </row>
    <row r="14" spans="1:2" x14ac:dyDescent="0.3">
      <c r="A14" s="58" t="s">
        <v>151</v>
      </c>
      <c r="B14">
        <v>200</v>
      </c>
    </row>
    <row r="15" spans="1:2" x14ac:dyDescent="0.3">
      <c r="A15" s="58" t="s">
        <v>297</v>
      </c>
      <c r="B15">
        <v>350</v>
      </c>
    </row>
    <row r="16" spans="1:2" x14ac:dyDescent="0.3">
      <c r="A16" s="58" t="s">
        <v>212</v>
      </c>
      <c r="B16">
        <v>80</v>
      </c>
    </row>
    <row r="17" spans="1:2" x14ac:dyDescent="0.3">
      <c r="A17" s="58" t="s">
        <v>232</v>
      </c>
      <c r="B17">
        <v>60</v>
      </c>
    </row>
    <row r="18" spans="1:2" x14ac:dyDescent="0.3">
      <c r="A18" s="58" t="s">
        <v>242</v>
      </c>
      <c r="B18">
        <v>160</v>
      </c>
    </row>
    <row r="19" spans="1:2" x14ac:dyDescent="0.3">
      <c r="A19" s="58" t="s">
        <v>243</v>
      </c>
      <c r="B19">
        <v>300</v>
      </c>
    </row>
    <row r="20" spans="1:2" x14ac:dyDescent="0.3">
      <c r="A20" s="58" t="s">
        <v>246</v>
      </c>
      <c r="B20">
        <v>600</v>
      </c>
    </row>
    <row r="21" spans="1:2" x14ac:dyDescent="0.3">
      <c r="A21" s="58" t="s">
        <v>222</v>
      </c>
      <c r="B21">
        <v>40</v>
      </c>
    </row>
    <row r="22" spans="1:2" x14ac:dyDescent="0.3">
      <c r="A22" s="58" t="s">
        <v>225</v>
      </c>
      <c r="B22">
        <v>40</v>
      </c>
    </row>
    <row r="23" spans="1:2" x14ac:dyDescent="0.3">
      <c r="A23" s="1" t="s">
        <v>278</v>
      </c>
      <c r="B23">
        <v>2440</v>
      </c>
    </row>
    <row r="24" spans="1:2" x14ac:dyDescent="0.3">
      <c r="A24" s="58" t="s">
        <v>29</v>
      </c>
      <c r="B24">
        <v>1680</v>
      </c>
    </row>
    <row r="25" spans="1:2" x14ac:dyDescent="0.3">
      <c r="A25" s="58" t="s">
        <v>14</v>
      </c>
      <c r="B25">
        <v>160</v>
      </c>
    </row>
    <row r="26" spans="1:2" x14ac:dyDescent="0.3">
      <c r="A26" s="58" t="s">
        <v>37</v>
      </c>
      <c r="B26">
        <v>600</v>
      </c>
    </row>
    <row r="27" spans="1:2" x14ac:dyDescent="0.3">
      <c r="A27" s="1" t="s">
        <v>281</v>
      </c>
      <c r="B27">
        <v>600</v>
      </c>
    </row>
    <row r="28" spans="1:2" x14ac:dyDescent="0.3">
      <c r="A28" s="1" t="s">
        <v>280</v>
      </c>
      <c r="B28">
        <v>240</v>
      </c>
    </row>
    <row r="29" spans="1:2" x14ac:dyDescent="0.3">
      <c r="A29" s="1" t="s">
        <v>106</v>
      </c>
      <c r="B29">
        <v>220</v>
      </c>
    </row>
    <row r="30" spans="1:2" x14ac:dyDescent="0.3">
      <c r="A30" s="1" t="s">
        <v>337</v>
      </c>
    </row>
    <row r="31" spans="1:2" x14ac:dyDescent="0.3">
      <c r="A31" s="58" t="s">
        <v>311</v>
      </c>
    </row>
    <row r="32" spans="1:2" x14ac:dyDescent="0.3">
      <c r="A32" s="58" t="s">
        <v>313</v>
      </c>
    </row>
    <row r="33" spans="1:2" x14ac:dyDescent="0.3">
      <c r="A33" s="58" t="s">
        <v>315</v>
      </c>
    </row>
    <row r="34" spans="1:2" x14ac:dyDescent="0.3">
      <c r="A34" s="58" t="s">
        <v>317</v>
      </c>
    </row>
    <row r="35" spans="1:2" x14ac:dyDescent="0.3">
      <c r="A35" s="58" t="s">
        <v>319</v>
      </c>
    </row>
    <row r="36" spans="1:2" x14ac:dyDescent="0.3">
      <c r="A36" s="58" t="s">
        <v>321</v>
      </c>
    </row>
    <row r="37" spans="1:2" x14ac:dyDescent="0.3">
      <c r="A37" s="58" t="s">
        <v>325</v>
      </c>
    </row>
    <row r="38" spans="1:2" x14ac:dyDescent="0.3">
      <c r="A38" s="58" t="s">
        <v>323</v>
      </c>
    </row>
    <row r="39" spans="1:2" x14ac:dyDescent="0.3">
      <c r="A39" s="1" t="s">
        <v>291</v>
      </c>
      <c r="B39">
        <v>7610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FY 26 Current</vt:lpstr>
      <vt:lpstr>FY 27 Planning</vt:lpstr>
      <vt:lpstr>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Hemanth Kannan</dc:creator>
  <cp:lastModifiedBy>Hemanth Kannan</cp:lastModifiedBy>
  <dcterms:created xsi:type="dcterms:W3CDTF">2015-06-05T18:17:20Z</dcterms:created>
  <dcterms:modified xsi:type="dcterms:W3CDTF">2026-06-25T09:15:21Z</dcterms:modified>
</cp:coreProperties>
</file>