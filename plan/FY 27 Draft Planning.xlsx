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biworldwide-my.sharepoint.com/personal/hemanth_kannan_biworldwide_com/Documents/GTS/CS/FY 27/"/>
    </mc:Choice>
  </mc:AlternateContent>
  <xr:revisionPtr revIDLastSave="1031" documentId="11_F25DC773A252ABDACC1048C9191D51A25ADE58ED" xr6:coauthVersionLast="47" xr6:coauthVersionMax="47" xr10:uidLastSave="{5CAFE56D-378E-6547-BA02-8F565536101C}"/>
  <bookViews>
    <workbookView xWindow="0" yWindow="600" windowWidth="28800" windowHeight="15600" tabRatio="517" activeTab="7" xr2:uid="{00000000-000D-0000-FFFF-FFFF00000000}"/>
  </bookViews>
  <sheets>
    <sheet name="Pivote FY26 Billing" sheetId="8" r:id="rId1"/>
    <sheet name="FY26 Billing" sheetId="7" r:id="rId2"/>
    <sheet name="Sheet2" sheetId="12" r:id="rId3"/>
    <sheet name="FY 26 Current" sheetId="3" r:id="rId4"/>
    <sheet name="FY 27 Planning" sheetId="1" r:id="rId5"/>
    <sheet name="FY27 Budget" sheetId="10" r:id="rId6"/>
    <sheet name="Pivote" sheetId="4" r:id="rId7"/>
    <sheet name="FY27 V1" sheetId="5" r:id="rId8"/>
  </sheets>
  <externalReferences>
    <externalReference r:id="rId9"/>
    <externalReference r:id="rId10"/>
  </externalReferences>
  <definedNames>
    <definedName name="_xlnm._FilterDatabase" localSheetId="3" hidden="1">'FY 26 Current'!$A$1:$P$70</definedName>
    <definedName name="_xlnm._FilterDatabase" localSheetId="4" hidden="1">'FY 27 Planning'!$B$1:$L$67</definedName>
    <definedName name="_xlnm._FilterDatabase" localSheetId="1" hidden="1">'FY26 Billing'!$A$1:$P$3714</definedName>
    <definedName name="_xlnm._FilterDatabase" localSheetId="7" hidden="1">'FY27 V1'!$A$1:$M$111</definedName>
    <definedName name="elements">[1]rate!$A$2:$A$58</definedName>
    <definedName name="Holidays">[2]Configs!$B$8:$B$18</definedName>
    <definedName name="List_Developers" localSheetId="3">[2]!ResourceTable[Name]</definedName>
    <definedName name="List_Developers">[2]!ResourceTable[Name]</definedName>
  </definedNames>
  <calcPr calcId="191029"/>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2" l="1"/>
  <c r="C10" i="12"/>
  <c r="C11" i="12"/>
  <c r="C12" i="12"/>
  <c r="C13" i="12"/>
  <c r="C14" i="12"/>
  <c r="C8" i="12"/>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H2345" i="7"/>
  <c r="H2346" i="7"/>
  <c r="H2347" i="7"/>
  <c r="H2348" i="7"/>
  <c r="H2349" i="7"/>
  <c r="H2350" i="7"/>
  <c r="H2351" i="7"/>
  <c r="H2352" i="7"/>
  <c r="H2353" i="7"/>
  <c r="H2354" i="7"/>
  <c r="H2355" i="7"/>
  <c r="H2356" i="7"/>
  <c r="H2357" i="7"/>
  <c r="H2358" i="7"/>
  <c r="H2359" i="7"/>
  <c r="H2360" i="7"/>
  <c r="H2361" i="7"/>
  <c r="H2362" i="7"/>
  <c r="H2363" i="7"/>
  <c r="H2364" i="7"/>
  <c r="H2365" i="7"/>
  <c r="H2366" i="7"/>
  <c r="H2367" i="7"/>
  <c r="H2368" i="7"/>
  <c r="H2369" i="7"/>
  <c r="H2370" i="7"/>
  <c r="H2371" i="7"/>
  <c r="H2372" i="7"/>
  <c r="H2373" i="7"/>
  <c r="H2374" i="7"/>
  <c r="H2375" i="7"/>
  <c r="H2376" i="7"/>
  <c r="H2377" i="7"/>
  <c r="H2378" i="7"/>
  <c r="H2379" i="7"/>
  <c r="H2380" i="7"/>
  <c r="H2381" i="7"/>
  <c r="H2382" i="7"/>
  <c r="H2383" i="7"/>
  <c r="H2384" i="7"/>
  <c r="H2385" i="7"/>
  <c r="H2386" i="7"/>
  <c r="H2387" i="7"/>
  <c r="H2388" i="7"/>
  <c r="H2389" i="7"/>
  <c r="H2390" i="7"/>
  <c r="H2391" i="7"/>
  <c r="H2392" i="7"/>
  <c r="H2393" i="7"/>
  <c r="H2394" i="7"/>
  <c r="H2395" i="7"/>
  <c r="H2396" i="7"/>
  <c r="H2397" i="7"/>
  <c r="H2398" i="7"/>
  <c r="H2399" i="7"/>
  <c r="H2400" i="7"/>
  <c r="H2401" i="7"/>
  <c r="H2402" i="7"/>
  <c r="H2403" i="7"/>
  <c r="H2404" i="7"/>
  <c r="H2405" i="7"/>
  <c r="H2406" i="7"/>
  <c r="H2407" i="7"/>
  <c r="H2408" i="7"/>
  <c r="H2409" i="7"/>
  <c r="H2410" i="7"/>
  <c r="H2411" i="7"/>
  <c r="H2412" i="7"/>
  <c r="H2413" i="7"/>
  <c r="H2414" i="7"/>
  <c r="H2415" i="7"/>
  <c r="H2416" i="7"/>
  <c r="H2417" i="7"/>
  <c r="H2418" i="7"/>
  <c r="H2419" i="7"/>
  <c r="H2420" i="7"/>
  <c r="H2421" i="7"/>
  <c r="H2422" i="7"/>
  <c r="H2423" i="7"/>
  <c r="H2424" i="7"/>
  <c r="H2425" i="7"/>
  <c r="H2426" i="7"/>
  <c r="H2427" i="7"/>
  <c r="H2428" i="7"/>
  <c r="H2429" i="7"/>
  <c r="H2430" i="7"/>
  <c r="H2431" i="7"/>
  <c r="H2432" i="7"/>
  <c r="H2433" i="7"/>
  <c r="H2434" i="7"/>
  <c r="H2435" i="7"/>
  <c r="H2436" i="7"/>
  <c r="H2437" i="7"/>
  <c r="H2438" i="7"/>
  <c r="H2439" i="7"/>
  <c r="H2440" i="7"/>
  <c r="H2441" i="7"/>
  <c r="H2442" i="7"/>
  <c r="H2443" i="7"/>
  <c r="H2444" i="7"/>
  <c r="H2445" i="7"/>
  <c r="H2446" i="7"/>
  <c r="H2447" i="7"/>
  <c r="H2448" i="7"/>
  <c r="H2449" i="7"/>
  <c r="H2450" i="7"/>
  <c r="H2451" i="7"/>
  <c r="H2452" i="7"/>
  <c r="H2453" i="7"/>
  <c r="H2454" i="7"/>
  <c r="H2455" i="7"/>
  <c r="H2456" i="7"/>
  <c r="H2457" i="7"/>
  <c r="H2458" i="7"/>
  <c r="H2459" i="7"/>
  <c r="H2460" i="7"/>
  <c r="H2461" i="7"/>
  <c r="H2462" i="7"/>
  <c r="H2463" i="7"/>
  <c r="H2464" i="7"/>
  <c r="H2465" i="7"/>
  <c r="H2466" i="7"/>
  <c r="H2467" i="7"/>
  <c r="H2468" i="7"/>
  <c r="H2469" i="7"/>
  <c r="H2470" i="7"/>
  <c r="H2471" i="7"/>
  <c r="H2472" i="7"/>
  <c r="H2473" i="7"/>
  <c r="H2474" i="7"/>
  <c r="H2475" i="7"/>
  <c r="H2476" i="7"/>
  <c r="H2477" i="7"/>
  <c r="H2478" i="7"/>
  <c r="H2479" i="7"/>
  <c r="H2480" i="7"/>
  <c r="H2481" i="7"/>
  <c r="H2482" i="7"/>
  <c r="H2483" i="7"/>
  <c r="H2484" i="7"/>
  <c r="H2485" i="7"/>
  <c r="H2486" i="7"/>
  <c r="H2487" i="7"/>
  <c r="H2488" i="7"/>
  <c r="H2489" i="7"/>
  <c r="H2490" i="7"/>
  <c r="H2491" i="7"/>
  <c r="H2492" i="7"/>
  <c r="H2493" i="7"/>
  <c r="H2494" i="7"/>
  <c r="H2495" i="7"/>
  <c r="H2496" i="7"/>
  <c r="H2497" i="7"/>
  <c r="H2498" i="7"/>
  <c r="H2499" i="7"/>
  <c r="H2500" i="7"/>
  <c r="H2501" i="7"/>
  <c r="H2502" i="7"/>
  <c r="H2503" i="7"/>
  <c r="H2504" i="7"/>
  <c r="H2505" i="7"/>
  <c r="H2506" i="7"/>
  <c r="H2507" i="7"/>
  <c r="H2508" i="7"/>
  <c r="H2509" i="7"/>
  <c r="H2510" i="7"/>
  <c r="H2511" i="7"/>
  <c r="H2512" i="7"/>
  <c r="H2513" i="7"/>
  <c r="H2514" i="7"/>
  <c r="H2515" i="7"/>
  <c r="H2516" i="7"/>
  <c r="H2517" i="7"/>
  <c r="H2518" i="7"/>
  <c r="H2519" i="7"/>
  <c r="H2520" i="7"/>
  <c r="H2521" i="7"/>
  <c r="H2522" i="7"/>
  <c r="H2523" i="7"/>
  <c r="H2524" i="7"/>
  <c r="H2525" i="7"/>
  <c r="H2526" i="7"/>
  <c r="H2527" i="7"/>
  <c r="H2528" i="7"/>
  <c r="H2529" i="7"/>
  <c r="H2530" i="7"/>
  <c r="H2531" i="7"/>
  <c r="H2532" i="7"/>
  <c r="H2533" i="7"/>
  <c r="H2534" i="7"/>
  <c r="H2535" i="7"/>
  <c r="H2536" i="7"/>
  <c r="H2537" i="7"/>
  <c r="H2538" i="7"/>
  <c r="H2539" i="7"/>
  <c r="H2540" i="7"/>
  <c r="H2541" i="7"/>
  <c r="H2542" i="7"/>
  <c r="H2543" i="7"/>
  <c r="H2544" i="7"/>
  <c r="H2545" i="7"/>
  <c r="H2546" i="7"/>
  <c r="H2547" i="7"/>
  <c r="H2548" i="7"/>
  <c r="H2549" i="7"/>
  <c r="H2550" i="7"/>
  <c r="H2551" i="7"/>
  <c r="H2552" i="7"/>
  <c r="H2553" i="7"/>
  <c r="H2554" i="7"/>
  <c r="H2555" i="7"/>
  <c r="H2556" i="7"/>
  <c r="H2557" i="7"/>
  <c r="H2558" i="7"/>
  <c r="H2559" i="7"/>
  <c r="H2560" i="7"/>
  <c r="H2561" i="7"/>
  <c r="H2562" i="7"/>
  <c r="H2563" i="7"/>
  <c r="H2564" i="7"/>
  <c r="H2565" i="7"/>
  <c r="H2566" i="7"/>
  <c r="H2567" i="7"/>
  <c r="H2568" i="7"/>
  <c r="H2569" i="7"/>
  <c r="H2570" i="7"/>
  <c r="H2571" i="7"/>
  <c r="H2572" i="7"/>
  <c r="H2573" i="7"/>
  <c r="H2574" i="7"/>
  <c r="H2575" i="7"/>
  <c r="H2576" i="7"/>
  <c r="H2577" i="7"/>
  <c r="H2578" i="7"/>
  <c r="H2579" i="7"/>
  <c r="H2580" i="7"/>
  <c r="H2581" i="7"/>
  <c r="H2582" i="7"/>
  <c r="H2583" i="7"/>
  <c r="H2584" i="7"/>
  <c r="H2585" i="7"/>
  <c r="H2586" i="7"/>
  <c r="H2587" i="7"/>
  <c r="H2588" i="7"/>
  <c r="H2589" i="7"/>
  <c r="H2590" i="7"/>
  <c r="H2591" i="7"/>
  <c r="H2592" i="7"/>
  <c r="H2593" i="7"/>
  <c r="H2594" i="7"/>
  <c r="H2595" i="7"/>
  <c r="H2596" i="7"/>
  <c r="H2597" i="7"/>
  <c r="H2598" i="7"/>
  <c r="H2599" i="7"/>
  <c r="H2600" i="7"/>
  <c r="H2601" i="7"/>
  <c r="H2602" i="7"/>
  <c r="H2603" i="7"/>
  <c r="H2604" i="7"/>
  <c r="H2605" i="7"/>
  <c r="H2606" i="7"/>
  <c r="H2607" i="7"/>
  <c r="H2608" i="7"/>
  <c r="H2609" i="7"/>
  <c r="H2610" i="7"/>
  <c r="H2611" i="7"/>
  <c r="H2612" i="7"/>
  <c r="H2613" i="7"/>
  <c r="H2614" i="7"/>
  <c r="H2615" i="7"/>
  <c r="H2616" i="7"/>
  <c r="H2617" i="7"/>
  <c r="H2618" i="7"/>
  <c r="H2619" i="7"/>
  <c r="H2620" i="7"/>
  <c r="H2621" i="7"/>
  <c r="H2622" i="7"/>
  <c r="H2623" i="7"/>
  <c r="H2624" i="7"/>
  <c r="H2625" i="7"/>
  <c r="H2626" i="7"/>
  <c r="H2627" i="7"/>
  <c r="H2628" i="7"/>
  <c r="H2629" i="7"/>
  <c r="H2630" i="7"/>
  <c r="H2631" i="7"/>
  <c r="H2632" i="7"/>
  <c r="H2633" i="7"/>
  <c r="H2634" i="7"/>
  <c r="H2635" i="7"/>
  <c r="H2636" i="7"/>
  <c r="H2637" i="7"/>
  <c r="H2638" i="7"/>
  <c r="H2639" i="7"/>
  <c r="H2640" i="7"/>
  <c r="H2641" i="7"/>
  <c r="H2642" i="7"/>
  <c r="H2643" i="7"/>
  <c r="H2644" i="7"/>
  <c r="H2645" i="7"/>
  <c r="H2646" i="7"/>
  <c r="H2647" i="7"/>
  <c r="H2648" i="7"/>
  <c r="H2649" i="7"/>
  <c r="H2650" i="7"/>
  <c r="H2651" i="7"/>
  <c r="H2652" i="7"/>
  <c r="H2653" i="7"/>
  <c r="H2654" i="7"/>
  <c r="H2655" i="7"/>
  <c r="H2656" i="7"/>
  <c r="H2657" i="7"/>
  <c r="H2658" i="7"/>
  <c r="H2659" i="7"/>
  <c r="H2660" i="7"/>
  <c r="H2661" i="7"/>
  <c r="H2662" i="7"/>
  <c r="H2663" i="7"/>
  <c r="H2664" i="7"/>
  <c r="H2665" i="7"/>
  <c r="H2666" i="7"/>
  <c r="H2667" i="7"/>
  <c r="H2668" i="7"/>
  <c r="H2669" i="7"/>
  <c r="H2670" i="7"/>
  <c r="H2671" i="7"/>
  <c r="H2672" i="7"/>
  <c r="H2673" i="7"/>
  <c r="H2674" i="7"/>
  <c r="H2675" i="7"/>
  <c r="H2676" i="7"/>
  <c r="H2677" i="7"/>
  <c r="H2678" i="7"/>
  <c r="H2679" i="7"/>
  <c r="H2680" i="7"/>
  <c r="H2681" i="7"/>
  <c r="H2682" i="7"/>
  <c r="H2683" i="7"/>
  <c r="H2684" i="7"/>
  <c r="H2685" i="7"/>
  <c r="H2686" i="7"/>
  <c r="H2687" i="7"/>
  <c r="H2688" i="7"/>
  <c r="H2689" i="7"/>
  <c r="H2690" i="7"/>
  <c r="H2691" i="7"/>
  <c r="H2692" i="7"/>
  <c r="H2693" i="7"/>
  <c r="H2694" i="7"/>
  <c r="H2695" i="7"/>
  <c r="H2696" i="7"/>
  <c r="H2697" i="7"/>
  <c r="H2698" i="7"/>
  <c r="H2699" i="7"/>
  <c r="H2700" i="7"/>
  <c r="H2701" i="7"/>
  <c r="H2702" i="7"/>
  <c r="H2703" i="7"/>
  <c r="H2704" i="7"/>
  <c r="H2705" i="7"/>
  <c r="H2706" i="7"/>
  <c r="H2707" i="7"/>
  <c r="H2708" i="7"/>
  <c r="H2709" i="7"/>
  <c r="H2710" i="7"/>
  <c r="H2711" i="7"/>
  <c r="H2712" i="7"/>
  <c r="H2713" i="7"/>
  <c r="H2714" i="7"/>
  <c r="H2715" i="7"/>
  <c r="H2716" i="7"/>
  <c r="H2717" i="7"/>
  <c r="H2718" i="7"/>
  <c r="H2719" i="7"/>
  <c r="H2720" i="7"/>
  <c r="H2721" i="7"/>
  <c r="H2722" i="7"/>
  <c r="H2723" i="7"/>
  <c r="H2724" i="7"/>
  <c r="H2725" i="7"/>
  <c r="H2726" i="7"/>
  <c r="H2727" i="7"/>
  <c r="H2728" i="7"/>
  <c r="H2729" i="7"/>
  <c r="H2730" i="7"/>
  <c r="H2731" i="7"/>
  <c r="H2732" i="7"/>
  <c r="H2733" i="7"/>
  <c r="H2734" i="7"/>
  <c r="H2735" i="7"/>
  <c r="H2736" i="7"/>
  <c r="H2737" i="7"/>
  <c r="H2738" i="7"/>
  <c r="H2739" i="7"/>
  <c r="H2740" i="7"/>
  <c r="H2741" i="7"/>
  <c r="H2742" i="7"/>
  <c r="H2743" i="7"/>
  <c r="H2744" i="7"/>
  <c r="H2745" i="7"/>
  <c r="H2746" i="7"/>
  <c r="H2747" i="7"/>
  <c r="H2748" i="7"/>
  <c r="H2749" i="7"/>
  <c r="H2750" i="7"/>
  <c r="H2751" i="7"/>
  <c r="H2752" i="7"/>
  <c r="H2753" i="7"/>
  <c r="H2754" i="7"/>
  <c r="H2755" i="7"/>
  <c r="H2756" i="7"/>
  <c r="H2757" i="7"/>
  <c r="H2758" i="7"/>
  <c r="H2759" i="7"/>
  <c r="H2760" i="7"/>
  <c r="H2761" i="7"/>
  <c r="H2762" i="7"/>
  <c r="H2763" i="7"/>
  <c r="H2764" i="7"/>
  <c r="H2765" i="7"/>
  <c r="H2766" i="7"/>
  <c r="H2767" i="7"/>
  <c r="H2768" i="7"/>
  <c r="H2769" i="7"/>
  <c r="H2770" i="7"/>
  <c r="H2771" i="7"/>
  <c r="H2772" i="7"/>
  <c r="H2773" i="7"/>
  <c r="H2774" i="7"/>
  <c r="H2775" i="7"/>
  <c r="H2776" i="7"/>
  <c r="H2777" i="7"/>
  <c r="H2778" i="7"/>
  <c r="H2779" i="7"/>
  <c r="H2780" i="7"/>
  <c r="H2781" i="7"/>
  <c r="H2782" i="7"/>
  <c r="H2783" i="7"/>
  <c r="H2784" i="7"/>
  <c r="H2785" i="7"/>
  <c r="H2786" i="7"/>
  <c r="H2787" i="7"/>
  <c r="H2788" i="7"/>
  <c r="H2789" i="7"/>
  <c r="H2790" i="7"/>
  <c r="H2791" i="7"/>
  <c r="H2792" i="7"/>
  <c r="H2793" i="7"/>
  <c r="H2794" i="7"/>
  <c r="H2795" i="7"/>
  <c r="H2796" i="7"/>
  <c r="H2797" i="7"/>
  <c r="H2798" i="7"/>
  <c r="H2799" i="7"/>
  <c r="H2800" i="7"/>
  <c r="H2801" i="7"/>
  <c r="H2802" i="7"/>
  <c r="H2803" i="7"/>
  <c r="H2804" i="7"/>
  <c r="H2805" i="7"/>
  <c r="H2806" i="7"/>
  <c r="H2807" i="7"/>
  <c r="H2808" i="7"/>
  <c r="H2809" i="7"/>
  <c r="H2810" i="7"/>
  <c r="H2811" i="7"/>
  <c r="H2812" i="7"/>
  <c r="H2813" i="7"/>
  <c r="H2814" i="7"/>
  <c r="H2815" i="7"/>
  <c r="H2816" i="7"/>
  <c r="H2817" i="7"/>
  <c r="H2818" i="7"/>
  <c r="H2819" i="7"/>
  <c r="H2820" i="7"/>
  <c r="H2821" i="7"/>
  <c r="H2822" i="7"/>
  <c r="H2823" i="7"/>
  <c r="H2824" i="7"/>
  <c r="H2825" i="7"/>
  <c r="H2826" i="7"/>
  <c r="H2827" i="7"/>
  <c r="H2828" i="7"/>
  <c r="H2829" i="7"/>
  <c r="H2830" i="7"/>
  <c r="H2831" i="7"/>
  <c r="H2832" i="7"/>
  <c r="H2833" i="7"/>
  <c r="H2834" i="7"/>
  <c r="H2835" i="7"/>
  <c r="H2836" i="7"/>
  <c r="H2837" i="7"/>
  <c r="H2838" i="7"/>
  <c r="H2839" i="7"/>
  <c r="H2840" i="7"/>
  <c r="H2841" i="7"/>
  <c r="H2842" i="7"/>
  <c r="H2843" i="7"/>
  <c r="H2844" i="7"/>
  <c r="H2845" i="7"/>
  <c r="H2846" i="7"/>
  <c r="H2847" i="7"/>
  <c r="H2848" i="7"/>
  <c r="H2849" i="7"/>
  <c r="H2850" i="7"/>
  <c r="H2851" i="7"/>
  <c r="H2852" i="7"/>
  <c r="H2853" i="7"/>
  <c r="H2854" i="7"/>
  <c r="H2855" i="7"/>
  <c r="H2856" i="7"/>
  <c r="H2857" i="7"/>
  <c r="H2858" i="7"/>
  <c r="H2859" i="7"/>
  <c r="H2860" i="7"/>
  <c r="H2861" i="7"/>
  <c r="H2862" i="7"/>
  <c r="H2863" i="7"/>
  <c r="H2864" i="7"/>
  <c r="H2865" i="7"/>
  <c r="H2866" i="7"/>
  <c r="H2867" i="7"/>
  <c r="H2868" i="7"/>
  <c r="H2869" i="7"/>
  <c r="H2870" i="7"/>
  <c r="H2871" i="7"/>
  <c r="H2872" i="7"/>
  <c r="H2873" i="7"/>
  <c r="H2874" i="7"/>
  <c r="H2875" i="7"/>
  <c r="H2876" i="7"/>
  <c r="H2877" i="7"/>
  <c r="H2878" i="7"/>
  <c r="H2879" i="7"/>
  <c r="H2880" i="7"/>
  <c r="H2881" i="7"/>
  <c r="H2882" i="7"/>
  <c r="H2883" i="7"/>
  <c r="H2884" i="7"/>
  <c r="H2885" i="7"/>
  <c r="H2886" i="7"/>
  <c r="H2887" i="7"/>
  <c r="H2888" i="7"/>
  <c r="H2889" i="7"/>
  <c r="H2890" i="7"/>
  <c r="H2891" i="7"/>
  <c r="H2892" i="7"/>
  <c r="H2893" i="7"/>
  <c r="H2894" i="7"/>
  <c r="H2895" i="7"/>
  <c r="H2896" i="7"/>
  <c r="H2897" i="7"/>
  <c r="H2898" i="7"/>
  <c r="H2899" i="7"/>
  <c r="H2900" i="7"/>
  <c r="H2901" i="7"/>
  <c r="H2902" i="7"/>
  <c r="H2903" i="7"/>
  <c r="H2904" i="7"/>
  <c r="H2905" i="7"/>
  <c r="H2906" i="7"/>
  <c r="H2907" i="7"/>
  <c r="H2908" i="7"/>
  <c r="H2909" i="7"/>
  <c r="H2910" i="7"/>
  <c r="H2911" i="7"/>
  <c r="H2912" i="7"/>
  <c r="H2913" i="7"/>
  <c r="H2914" i="7"/>
  <c r="H2915" i="7"/>
  <c r="H2916" i="7"/>
  <c r="H2917" i="7"/>
  <c r="H2918" i="7"/>
  <c r="H2919" i="7"/>
  <c r="H2920" i="7"/>
  <c r="H2921" i="7"/>
  <c r="H2922" i="7"/>
  <c r="H2923" i="7"/>
  <c r="H2924" i="7"/>
  <c r="H2925" i="7"/>
  <c r="H2926" i="7"/>
  <c r="H2927" i="7"/>
  <c r="H2928" i="7"/>
  <c r="H2929" i="7"/>
  <c r="H2930" i="7"/>
  <c r="H2931" i="7"/>
  <c r="H2932" i="7"/>
  <c r="H2933" i="7"/>
  <c r="H2934" i="7"/>
  <c r="H2935" i="7"/>
  <c r="H2936" i="7"/>
  <c r="H2937" i="7"/>
  <c r="H2938" i="7"/>
  <c r="H2939" i="7"/>
  <c r="H2940" i="7"/>
  <c r="H2941" i="7"/>
  <c r="H2942" i="7"/>
  <c r="H2943" i="7"/>
  <c r="H2944" i="7"/>
  <c r="H2945" i="7"/>
  <c r="H2946" i="7"/>
  <c r="H2947" i="7"/>
  <c r="H2948" i="7"/>
  <c r="H2949" i="7"/>
  <c r="H2950" i="7"/>
  <c r="H2951" i="7"/>
  <c r="H2952" i="7"/>
  <c r="H2953" i="7"/>
  <c r="H2954" i="7"/>
  <c r="H2955" i="7"/>
  <c r="H2956" i="7"/>
  <c r="H2957" i="7"/>
  <c r="H2958" i="7"/>
  <c r="H2959" i="7"/>
  <c r="H2960" i="7"/>
  <c r="H2961" i="7"/>
  <c r="H2962" i="7"/>
  <c r="H2963" i="7"/>
  <c r="H2964" i="7"/>
  <c r="H2965" i="7"/>
  <c r="H2966" i="7"/>
  <c r="H2967" i="7"/>
  <c r="H2968" i="7"/>
  <c r="H2969" i="7"/>
  <c r="H2970" i="7"/>
  <c r="H2971" i="7"/>
  <c r="H2972" i="7"/>
  <c r="H2973" i="7"/>
  <c r="H2974" i="7"/>
  <c r="H2975" i="7"/>
  <c r="H2976" i="7"/>
  <c r="H2977" i="7"/>
  <c r="H2978" i="7"/>
  <c r="H2979" i="7"/>
  <c r="H2980" i="7"/>
  <c r="H2981" i="7"/>
  <c r="H2982" i="7"/>
  <c r="H2983" i="7"/>
  <c r="H2984" i="7"/>
  <c r="H2985" i="7"/>
  <c r="H2986" i="7"/>
  <c r="H2987" i="7"/>
  <c r="H2988" i="7"/>
  <c r="H2989" i="7"/>
  <c r="H2990" i="7"/>
  <c r="H2991" i="7"/>
  <c r="H2992" i="7"/>
  <c r="H2993" i="7"/>
  <c r="H2994" i="7"/>
  <c r="H2995" i="7"/>
  <c r="H2996" i="7"/>
  <c r="H2997" i="7"/>
  <c r="H2998" i="7"/>
  <c r="H2999" i="7"/>
  <c r="H3000" i="7"/>
  <c r="H3001" i="7"/>
  <c r="H3002" i="7"/>
  <c r="H3003" i="7"/>
  <c r="H3004" i="7"/>
  <c r="H3005" i="7"/>
  <c r="H3006" i="7"/>
  <c r="H3007" i="7"/>
  <c r="H3008" i="7"/>
  <c r="H3009" i="7"/>
  <c r="H3010" i="7"/>
  <c r="H3011" i="7"/>
  <c r="H3012" i="7"/>
  <c r="H3013" i="7"/>
  <c r="H3014" i="7"/>
  <c r="H3015" i="7"/>
  <c r="H3016" i="7"/>
  <c r="H3017" i="7"/>
  <c r="H3018" i="7"/>
  <c r="H3019" i="7"/>
  <c r="H3020" i="7"/>
  <c r="H3021" i="7"/>
  <c r="H3022" i="7"/>
  <c r="H3023" i="7"/>
  <c r="H3024" i="7"/>
  <c r="H3025" i="7"/>
  <c r="H3026" i="7"/>
  <c r="H3027" i="7"/>
  <c r="H3028" i="7"/>
  <c r="H3029" i="7"/>
  <c r="H3030" i="7"/>
  <c r="H3031" i="7"/>
  <c r="H3032" i="7"/>
  <c r="H3033" i="7"/>
  <c r="H3034" i="7"/>
  <c r="H3035" i="7"/>
  <c r="H3036" i="7"/>
  <c r="H3037" i="7"/>
  <c r="H3038" i="7"/>
  <c r="H3039" i="7"/>
  <c r="H3040" i="7"/>
  <c r="H3041" i="7"/>
  <c r="H3042" i="7"/>
  <c r="H3043" i="7"/>
  <c r="H3044" i="7"/>
  <c r="H3045" i="7"/>
  <c r="H3046" i="7"/>
  <c r="H3047" i="7"/>
  <c r="H3048" i="7"/>
  <c r="H3049" i="7"/>
  <c r="H3050" i="7"/>
  <c r="H3051" i="7"/>
  <c r="H3052" i="7"/>
  <c r="H3053" i="7"/>
  <c r="H3054" i="7"/>
  <c r="H3055" i="7"/>
  <c r="H3056" i="7"/>
  <c r="H3057" i="7"/>
  <c r="H3058" i="7"/>
  <c r="H3059" i="7"/>
  <c r="H3060" i="7"/>
  <c r="H3061" i="7"/>
  <c r="H3062" i="7"/>
  <c r="H3063" i="7"/>
  <c r="H3064" i="7"/>
  <c r="H3065" i="7"/>
  <c r="H3066" i="7"/>
  <c r="H3067" i="7"/>
  <c r="H3068" i="7"/>
  <c r="H3069" i="7"/>
  <c r="H3070" i="7"/>
  <c r="H3071" i="7"/>
  <c r="H3072" i="7"/>
  <c r="H3073" i="7"/>
  <c r="H3074" i="7"/>
  <c r="H3075" i="7"/>
  <c r="H3076" i="7"/>
  <c r="H3077" i="7"/>
  <c r="H3078" i="7"/>
  <c r="H3079" i="7"/>
  <c r="H3080" i="7"/>
  <c r="H3081" i="7"/>
  <c r="H3082" i="7"/>
  <c r="H3083" i="7"/>
  <c r="H3084" i="7"/>
  <c r="H3085" i="7"/>
  <c r="H3086" i="7"/>
  <c r="H3087" i="7"/>
  <c r="H3088" i="7"/>
  <c r="H3089" i="7"/>
  <c r="H3090" i="7"/>
  <c r="H3091" i="7"/>
  <c r="H3092" i="7"/>
  <c r="H3093" i="7"/>
  <c r="H3094" i="7"/>
  <c r="H3095" i="7"/>
  <c r="H3096" i="7"/>
  <c r="H3097" i="7"/>
  <c r="H3098" i="7"/>
  <c r="H3099" i="7"/>
  <c r="H3100" i="7"/>
  <c r="H3101" i="7"/>
  <c r="H3102" i="7"/>
  <c r="H3103" i="7"/>
  <c r="H3104" i="7"/>
  <c r="H3105" i="7"/>
  <c r="H3106" i="7"/>
  <c r="H3107" i="7"/>
  <c r="H3108" i="7"/>
  <c r="H3109" i="7"/>
  <c r="H3110" i="7"/>
  <c r="H3111" i="7"/>
  <c r="H3112" i="7"/>
  <c r="H3113" i="7"/>
  <c r="H3114" i="7"/>
  <c r="H3115" i="7"/>
  <c r="H3116" i="7"/>
  <c r="H3117" i="7"/>
  <c r="H3118" i="7"/>
  <c r="H3119" i="7"/>
  <c r="H3120" i="7"/>
  <c r="H3121" i="7"/>
  <c r="H3122" i="7"/>
  <c r="H3123" i="7"/>
  <c r="H3124" i="7"/>
  <c r="H3125" i="7"/>
  <c r="H3126" i="7"/>
  <c r="H3127" i="7"/>
  <c r="H3128" i="7"/>
  <c r="H3129" i="7"/>
  <c r="H3130" i="7"/>
  <c r="H3131" i="7"/>
  <c r="H3132" i="7"/>
  <c r="H3133" i="7"/>
  <c r="H3134" i="7"/>
  <c r="H3135" i="7"/>
  <c r="H3136" i="7"/>
  <c r="H3137" i="7"/>
  <c r="H3138" i="7"/>
  <c r="H3139" i="7"/>
  <c r="H3140" i="7"/>
  <c r="H3141" i="7"/>
  <c r="H3142" i="7"/>
  <c r="H3143" i="7"/>
  <c r="H3144" i="7"/>
  <c r="H3145" i="7"/>
  <c r="H3146" i="7"/>
  <c r="H3147" i="7"/>
  <c r="H3148" i="7"/>
  <c r="H3149" i="7"/>
  <c r="H3150" i="7"/>
  <c r="H3151" i="7"/>
  <c r="H3152" i="7"/>
  <c r="H3153" i="7"/>
  <c r="H3154" i="7"/>
  <c r="H3155" i="7"/>
  <c r="H3156" i="7"/>
  <c r="H3157" i="7"/>
  <c r="H3158" i="7"/>
  <c r="H3159" i="7"/>
  <c r="H3160" i="7"/>
  <c r="H3161" i="7"/>
  <c r="H3162" i="7"/>
  <c r="H3163" i="7"/>
  <c r="H3164" i="7"/>
  <c r="H3165" i="7"/>
  <c r="H3166" i="7"/>
  <c r="H3167" i="7"/>
  <c r="H3168" i="7"/>
  <c r="H3169" i="7"/>
  <c r="H3170" i="7"/>
  <c r="H3171" i="7"/>
  <c r="H3172" i="7"/>
  <c r="H3173" i="7"/>
  <c r="H3174" i="7"/>
  <c r="H3175" i="7"/>
  <c r="H3176" i="7"/>
  <c r="H3177" i="7"/>
  <c r="H3178" i="7"/>
  <c r="H3179" i="7"/>
  <c r="H3180" i="7"/>
  <c r="H3181" i="7"/>
  <c r="H3182" i="7"/>
  <c r="H3183" i="7"/>
  <c r="H3184" i="7"/>
  <c r="H3185" i="7"/>
  <c r="H3186" i="7"/>
  <c r="H3187" i="7"/>
  <c r="H3188" i="7"/>
  <c r="H3189" i="7"/>
  <c r="H3190" i="7"/>
  <c r="H3191" i="7"/>
  <c r="H3192" i="7"/>
  <c r="H3193" i="7"/>
  <c r="H3194" i="7"/>
  <c r="H3195" i="7"/>
  <c r="H3196" i="7"/>
  <c r="H3197" i="7"/>
  <c r="H3198" i="7"/>
  <c r="H3199" i="7"/>
  <c r="H3200" i="7"/>
  <c r="H3201" i="7"/>
  <c r="H3202" i="7"/>
  <c r="H3203" i="7"/>
  <c r="H3204" i="7"/>
  <c r="H3205" i="7"/>
  <c r="H3206" i="7"/>
  <c r="H3207" i="7"/>
  <c r="H3208" i="7"/>
  <c r="H3209" i="7"/>
  <c r="H3210" i="7"/>
  <c r="H3211" i="7"/>
  <c r="H3212" i="7"/>
  <c r="H3213" i="7"/>
  <c r="H3214" i="7"/>
  <c r="H3215" i="7"/>
  <c r="H3216" i="7"/>
  <c r="H3217" i="7"/>
  <c r="H3218" i="7"/>
  <c r="H3219" i="7"/>
  <c r="H3220" i="7"/>
  <c r="H3221" i="7"/>
  <c r="H3222" i="7"/>
  <c r="H3223" i="7"/>
  <c r="H3224" i="7"/>
  <c r="H3225" i="7"/>
  <c r="H3226" i="7"/>
  <c r="H3227" i="7"/>
  <c r="H3228" i="7"/>
  <c r="H3229" i="7"/>
  <c r="H3230" i="7"/>
  <c r="H3231" i="7"/>
  <c r="H3232" i="7"/>
  <c r="H3233" i="7"/>
  <c r="H3234" i="7"/>
  <c r="H3235" i="7"/>
  <c r="H3236" i="7"/>
  <c r="H3237" i="7"/>
  <c r="H3238" i="7"/>
  <c r="H3239" i="7"/>
  <c r="H3240" i="7"/>
  <c r="H3241" i="7"/>
  <c r="H3242" i="7"/>
  <c r="H3243" i="7"/>
  <c r="H3244" i="7"/>
  <c r="H3245" i="7"/>
  <c r="H3246" i="7"/>
  <c r="H3247" i="7"/>
  <c r="H3248" i="7"/>
  <c r="H3249" i="7"/>
  <c r="H3250" i="7"/>
  <c r="H3251" i="7"/>
  <c r="H3252" i="7"/>
  <c r="H3253" i="7"/>
  <c r="H3254" i="7"/>
  <c r="H3255" i="7"/>
  <c r="H3256" i="7"/>
  <c r="H3257" i="7"/>
  <c r="H3258" i="7"/>
  <c r="H3259" i="7"/>
  <c r="H3260" i="7"/>
  <c r="H3261" i="7"/>
  <c r="H3262" i="7"/>
  <c r="H3263" i="7"/>
  <c r="H3264" i="7"/>
  <c r="H3265" i="7"/>
  <c r="H3266" i="7"/>
  <c r="H3267" i="7"/>
  <c r="H3268" i="7"/>
  <c r="H3269" i="7"/>
  <c r="H3270" i="7"/>
  <c r="H3271" i="7"/>
  <c r="H3272" i="7"/>
  <c r="H3273" i="7"/>
  <c r="H3274" i="7"/>
  <c r="H3275" i="7"/>
  <c r="H3276" i="7"/>
  <c r="H3277" i="7"/>
  <c r="H3278" i="7"/>
  <c r="H3279" i="7"/>
  <c r="H3280" i="7"/>
  <c r="H3281" i="7"/>
  <c r="H3282" i="7"/>
  <c r="H3283" i="7"/>
  <c r="H3284" i="7"/>
  <c r="H3285" i="7"/>
  <c r="H3286" i="7"/>
  <c r="H3287" i="7"/>
  <c r="H3288" i="7"/>
  <c r="H3289" i="7"/>
  <c r="H3290" i="7"/>
  <c r="H3291" i="7"/>
  <c r="H3292" i="7"/>
  <c r="H3293" i="7"/>
  <c r="H3294" i="7"/>
  <c r="H3295" i="7"/>
  <c r="H3296" i="7"/>
  <c r="H3297" i="7"/>
  <c r="H3298" i="7"/>
  <c r="H3299" i="7"/>
  <c r="H3300" i="7"/>
  <c r="H3301" i="7"/>
  <c r="H3302" i="7"/>
  <c r="H3303" i="7"/>
  <c r="H3304" i="7"/>
  <c r="H3305" i="7"/>
  <c r="H3306" i="7"/>
  <c r="H3307" i="7"/>
  <c r="H3308" i="7"/>
  <c r="H3309" i="7"/>
  <c r="H3310" i="7"/>
  <c r="H3311" i="7"/>
  <c r="H3312" i="7"/>
  <c r="H3313" i="7"/>
  <c r="H3314" i="7"/>
  <c r="H3315" i="7"/>
  <c r="H3316" i="7"/>
  <c r="H3317" i="7"/>
  <c r="H3318" i="7"/>
  <c r="H3319" i="7"/>
  <c r="H3320" i="7"/>
  <c r="H3321" i="7"/>
  <c r="H3322" i="7"/>
  <c r="H3323" i="7"/>
  <c r="H3324" i="7"/>
  <c r="H3325" i="7"/>
  <c r="H3326" i="7"/>
  <c r="H3327" i="7"/>
  <c r="H3328" i="7"/>
  <c r="H3329" i="7"/>
  <c r="H3330" i="7"/>
  <c r="H3331" i="7"/>
  <c r="H3332" i="7"/>
  <c r="H3333" i="7"/>
  <c r="H3334" i="7"/>
  <c r="H3335" i="7"/>
  <c r="H3336" i="7"/>
  <c r="H3337" i="7"/>
  <c r="H3338" i="7"/>
  <c r="H3339" i="7"/>
  <c r="H3340" i="7"/>
  <c r="H3341" i="7"/>
  <c r="H3342" i="7"/>
  <c r="H3343" i="7"/>
  <c r="H3344" i="7"/>
  <c r="H3345" i="7"/>
  <c r="H3346" i="7"/>
  <c r="H3347" i="7"/>
  <c r="H3348" i="7"/>
  <c r="H3349" i="7"/>
  <c r="H3350" i="7"/>
  <c r="H3351" i="7"/>
  <c r="H3352" i="7"/>
  <c r="H3353" i="7"/>
  <c r="H3354" i="7"/>
  <c r="H3355" i="7"/>
  <c r="H3356" i="7"/>
  <c r="H3357" i="7"/>
  <c r="H3358" i="7"/>
  <c r="H3359" i="7"/>
  <c r="H3360" i="7"/>
  <c r="H3361" i="7"/>
  <c r="H3362" i="7"/>
  <c r="H3363" i="7"/>
  <c r="H3364" i="7"/>
  <c r="H3365" i="7"/>
  <c r="H3366" i="7"/>
  <c r="H3367" i="7"/>
  <c r="H3368" i="7"/>
  <c r="H3369" i="7"/>
  <c r="H3370" i="7"/>
  <c r="H3371" i="7"/>
  <c r="H3372" i="7"/>
  <c r="H3373" i="7"/>
  <c r="H3374" i="7"/>
  <c r="H3375" i="7"/>
  <c r="H3376" i="7"/>
  <c r="H3377" i="7"/>
  <c r="H3378" i="7"/>
  <c r="H3379" i="7"/>
  <c r="H3380" i="7"/>
  <c r="H3381" i="7"/>
  <c r="H3382" i="7"/>
  <c r="H3383" i="7"/>
  <c r="H3384" i="7"/>
  <c r="H3385" i="7"/>
  <c r="H3386" i="7"/>
  <c r="H3387" i="7"/>
  <c r="H3388" i="7"/>
  <c r="H3389" i="7"/>
  <c r="H3390" i="7"/>
  <c r="H3391" i="7"/>
  <c r="H3392" i="7"/>
  <c r="H3393" i="7"/>
  <c r="H3394" i="7"/>
  <c r="H3395" i="7"/>
  <c r="H3396" i="7"/>
  <c r="H3397" i="7"/>
  <c r="H3398" i="7"/>
  <c r="H3399" i="7"/>
  <c r="H3400" i="7"/>
  <c r="H3401" i="7"/>
  <c r="H3402" i="7"/>
  <c r="H3403" i="7"/>
  <c r="H3404" i="7"/>
  <c r="H3405" i="7"/>
  <c r="H3406" i="7"/>
  <c r="H3407" i="7"/>
  <c r="H3408" i="7"/>
  <c r="H3409" i="7"/>
  <c r="H3410" i="7"/>
  <c r="H3411" i="7"/>
  <c r="H3412" i="7"/>
  <c r="H3413" i="7"/>
  <c r="H3414" i="7"/>
  <c r="H3415" i="7"/>
  <c r="H3416" i="7"/>
  <c r="H3417" i="7"/>
  <c r="H3418" i="7"/>
  <c r="H3419" i="7"/>
  <c r="H3420" i="7"/>
  <c r="H3421" i="7"/>
  <c r="H3422" i="7"/>
  <c r="H3423" i="7"/>
  <c r="H3424" i="7"/>
  <c r="H3425" i="7"/>
  <c r="H3426" i="7"/>
  <c r="H3427" i="7"/>
  <c r="H3428" i="7"/>
  <c r="H3429" i="7"/>
  <c r="H3430" i="7"/>
  <c r="H3431" i="7"/>
  <c r="H3432" i="7"/>
  <c r="H3433" i="7"/>
  <c r="H3434" i="7"/>
  <c r="H3435" i="7"/>
  <c r="H3436" i="7"/>
  <c r="H3437" i="7"/>
  <c r="H3438" i="7"/>
  <c r="H3439" i="7"/>
  <c r="H3440" i="7"/>
  <c r="H3441" i="7"/>
  <c r="H3442" i="7"/>
  <c r="H3443" i="7"/>
  <c r="H3444" i="7"/>
  <c r="H3445" i="7"/>
  <c r="H3446" i="7"/>
  <c r="H3447" i="7"/>
  <c r="H3448" i="7"/>
  <c r="H3449" i="7"/>
  <c r="H3450" i="7"/>
  <c r="H3451" i="7"/>
  <c r="H3452" i="7"/>
  <c r="H3453" i="7"/>
  <c r="H3454" i="7"/>
  <c r="H3455" i="7"/>
  <c r="H3456" i="7"/>
  <c r="H3457" i="7"/>
  <c r="H3458" i="7"/>
  <c r="H3459" i="7"/>
  <c r="H3460" i="7"/>
  <c r="H3461" i="7"/>
  <c r="H3462" i="7"/>
  <c r="H3463" i="7"/>
  <c r="H3464" i="7"/>
  <c r="H3465" i="7"/>
  <c r="H3466" i="7"/>
  <c r="H3467" i="7"/>
  <c r="H3468" i="7"/>
  <c r="H3469" i="7"/>
  <c r="H3470" i="7"/>
  <c r="H3471" i="7"/>
  <c r="H3472" i="7"/>
  <c r="H3473" i="7"/>
  <c r="H3474" i="7"/>
  <c r="H3475" i="7"/>
  <c r="H3476" i="7"/>
  <c r="H3477" i="7"/>
  <c r="H3478" i="7"/>
  <c r="H3479" i="7"/>
  <c r="H3480" i="7"/>
  <c r="H3481" i="7"/>
  <c r="H3482" i="7"/>
  <c r="H3483" i="7"/>
  <c r="H3484" i="7"/>
  <c r="H3485" i="7"/>
  <c r="H3486" i="7"/>
  <c r="H3487" i="7"/>
  <c r="H3488" i="7"/>
  <c r="H3489" i="7"/>
  <c r="H3490" i="7"/>
  <c r="H3491" i="7"/>
  <c r="H3492" i="7"/>
  <c r="H3493" i="7"/>
  <c r="H3494" i="7"/>
  <c r="H3495" i="7"/>
  <c r="H3496" i="7"/>
  <c r="H3497" i="7"/>
  <c r="H3498" i="7"/>
  <c r="H3499" i="7"/>
  <c r="H3500" i="7"/>
  <c r="H3501" i="7"/>
  <c r="H3502" i="7"/>
  <c r="H3503" i="7"/>
  <c r="H3504" i="7"/>
  <c r="H3505" i="7"/>
  <c r="H3506" i="7"/>
  <c r="H3507" i="7"/>
  <c r="H3508" i="7"/>
  <c r="H3509" i="7"/>
  <c r="H3510" i="7"/>
  <c r="H3511" i="7"/>
  <c r="H3512" i="7"/>
  <c r="H3513" i="7"/>
  <c r="H3514" i="7"/>
  <c r="H3515" i="7"/>
  <c r="H3516" i="7"/>
  <c r="H3517" i="7"/>
  <c r="H3518" i="7"/>
  <c r="H3519" i="7"/>
  <c r="H3520" i="7"/>
  <c r="H3521" i="7"/>
  <c r="H3522" i="7"/>
  <c r="H3523" i="7"/>
  <c r="H3524" i="7"/>
  <c r="H3525" i="7"/>
  <c r="H3526" i="7"/>
  <c r="H3527" i="7"/>
  <c r="H3528" i="7"/>
  <c r="H3529" i="7"/>
  <c r="H3530" i="7"/>
  <c r="H3531" i="7"/>
  <c r="H3532" i="7"/>
  <c r="H3533" i="7"/>
  <c r="H3534" i="7"/>
  <c r="H3535" i="7"/>
  <c r="H3536" i="7"/>
  <c r="H3537" i="7"/>
  <c r="H3538" i="7"/>
  <c r="H3539" i="7"/>
  <c r="H3540" i="7"/>
  <c r="H3541" i="7"/>
  <c r="H3542" i="7"/>
  <c r="H3543" i="7"/>
  <c r="H3544" i="7"/>
  <c r="H3545" i="7"/>
  <c r="H3546" i="7"/>
  <c r="H3547" i="7"/>
  <c r="H3548" i="7"/>
  <c r="H3549" i="7"/>
  <c r="H3550" i="7"/>
  <c r="H3551" i="7"/>
  <c r="H3552" i="7"/>
  <c r="H3553" i="7"/>
  <c r="H3554" i="7"/>
  <c r="H3555" i="7"/>
  <c r="H3556" i="7"/>
  <c r="H3557" i="7"/>
  <c r="H3558" i="7"/>
  <c r="H3559" i="7"/>
  <c r="H3560" i="7"/>
  <c r="H3561" i="7"/>
  <c r="H3562" i="7"/>
  <c r="H3563" i="7"/>
  <c r="H3564" i="7"/>
  <c r="H3565" i="7"/>
  <c r="H3566" i="7"/>
  <c r="H3567" i="7"/>
  <c r="H3568" i="7"/>
  <c r="H3569" i="7"/>
  <c r="H3570" i="7"/>
  <c r="H3571" i="7"/>
  <c r="H3572" i="7"/>
  <c r="H3573" i="7"/>
  <c r="H3574" i="7"/>
  <c r="H3575" i="7"/>
  <c r="H3576" i="7"/>
  <c r="H3577" i="7"/>
  <c r="H3578" i="7"/>
  <c r="H3579" i="7"/>
  <c r="H3580" i="7"/>
  <c r="H3581" i="7"/>
  <c r="H3582" i="7"/>
  <c r="H3583" i="7"/>
  <c r="H3584" i="7"/>
  <c r="H3585" i="7"/>
  <c r="H3586" i="7"/>
  <c r="H3587" i="7"/>
  <c r="H3588" i="7"/>
  <c r="H3589" i="7"/>
  <c r="H3590" i="7"/>
  <c r="H3591" i="7"/>
  <c r="H3592" i="7"/>
  <c r="H3593" i="7"/>
  <c r="H3594" i="7"/>
  <c r="H3595" i="7"/>
  <c r="H3596" i="7"/>
  <c r="H3597" i="7"/>
  <c r="H3598" i="7"/>
  <c r="H3599" i="7"/>
  <c r="H3600" i="7"/>
  <c r="H3601" i="7"/>
  <c r="H3602" i="7"/>
  <c r="H3603" i="7"/>
  <c r="H3604" i="7"/>
  <c r="H3605" i="7"/>
  <c r="H3606" i="7"/>
  <c r="H3607" i="7"/>
  <c r="H3608" i="7"/>
  <c r="H3609" i="7"/>
  <c r="H3610" i="7"/>
  <c r="H3611" i="7"/>
  <c r="H3612" i="7"/>
  <c r="H3613" i="7"/>
  <c r="H3614" i="7"/>
  <c r="H3615" i="7"/>
  <c r="H3616" i="7"/>
  <c r="H3617" i="7"/>
  <c r="H3618" i="7"/>
  <c r="H3619" i="7"/>
  <c r="H3620" i="7"/>
  <c r="H3621" i="7"/>
  <c r="H3622" i="7"/>
  <c r="H3623" i="7"/>
  <c r="H3624" i="7"/>
  <c r="H3625" i="7"/>
  <c r="H3626" i="7"/>
  <c r="H3627" i="7"/>
  <c r="H3628" i="7"/>
  <c r="H3629" i="7"/>
  <c r="H3630" i="7"/>
  <c r="H3631" i="7"/>
  <c r="H3632" i="7"/>
  <c r="H3633" i="7"/>
  <c r="H3634" i="7"/>
  <c r="H3635" i="7"/>
  <c r="H3636" i="7"/>
  <c r="H3637" i="7"/>
  <c r="H3638" i="7"/>
  <c r="H3639" i="7"/>
  <c r="H3640" i="7"/>
  <c r="H3641" i="7"/>
  <c r="H3642" i="7"/>
  <c r="H3643" i="7"/>
  <c r="H3644" i="7"/>
  <c r="H3645" i="7"/>
  <c r="H3646" i="7"/>
  <c r="H3647" i="7"/>
  <c r="H3648" i="7"/>
  <c r="H3649" i="7"/>
  <c r="H3650" i="7"/>
  <c r="H3651" i="7"/>
  <c r="H3652" i="7"/>
  <c r="H3653" i="7"/>
  <c r="H3654" i="7"/>
  <c r="H3655" i="7"/>
  <c r="H3656" i="7"/>
  <c r="H3657" i="7"/>
  <c r="H3658" i="7"/>
  <c r="H3659" i="7"/>
  <c r="H3660" i="7"/>
  <c r="H3661" i="7"/>
  <c r="H3662" i="7"/>
  <c r="H3663" i="7"/>
  <c r="H3664" i="7"/>
  <c r="H3665" i="7"/>
  <c r="H3666" i="7"/>
  <c r="H3667" i="7"/>
  <c r="H3668" i="7"/>
  <c r="H3669" i="7"/>
  <c r="H3670" i="7"/>
  <c r="H3671" i="7"/>
  <c r="H3672" i="7"/>
  <c r="H3673" i="7"/>
  <c r="H3674" i="7"/>
  <c r="H3675" i="7"/>
  <c r="H3676" i="7"/>
  <c r="H3677" i="7"/>
  <c r="H3678" i="7"/>
  <c r="H3679" i="7"/>
  <c r="H3680" i="7"/>
  <c r="H3681" i="7"/>
  <c r="H3682" i="7"/>
  <c r="H3683" i="7"/>
  <c r="H3684" i="7"/>
  <c r="H3685" i="7"/>
  <c r="H3686" i="7"/>
  <c r="H3687" i="7"/>
  <c r="H3688" i="7"/>
  <c r="H3689" i="7"/>
  <c r="H3690" i="7"/>
  <c r="H3691" i="7"/>
  <c r="H3692" i="7"/>
  <c r="H3693" i="7"/>
  <c r="H3694" i="7"/>
  <c r="H3695" i="7"/>
  <c r="H3696" i="7"/>
  <c r="H3697" i="7"/>
  <c r="H3698" i="7"/>
  <c r="H3699" i="7"/>
  <c r="H3700" i="7"/>
  <c r="H3701" i="7"/>
  <c r="H3702" i="7"/>
  <c r="H3703" i="7"/>
  <c r="H3704" i="7"/>
  <c r="H3705" i="7"/>
  <c r="H3706" i="7"/>
  <c r="H3707" i="7"/>
  <c r="H3708" i="7"/>
  <c r="H3709" i="7"/>
  <c r="H3710" i="7"/>
  <c r="H3711" i="7"/>
  <c r="H3712" i="7"/>
  <c r="H3713" i="7"/>
  <c r="H3714" i="7"/>
  <c r="H2" i="7"/>
  <c r="H119" i="3"/>
  <c r="G119" i="3"/>
  <c r="F119" i="3"/>
  <c r="I118" i="3"/>
  <c r="I117" i="3"/>
  <c r="I116" i="3"/>
  <c r="I115" i="3"/>
  <c r="I114" i="3"/>
  <c r="I113" i="3"/>
  <c r="I112" i="3"/>
  <c r="I111" i="3"/>
  <c r="I110" i="3"/>
  <c r="I109" i="3"/>
  <c r="I108" i="3"/>
  <c r="I107" i="3"/>
  <c r="I106" i="3"/>
  <c r="I105" i="3"/>
  <c r="I104" i="3"/>
  <c r="D89" i="3"/>
  <c r="C89" i="3"/>
  <c r="H83" i="3"/>
  <c r="D83" i="3"/>
  <c r="C83" i="3"/>
  <c r="H77" i="3"/>
  <c r="G77" i="3"/>
  <c r="I77" i="3" s="1"/>
  <c r="J77" i="3" s="1"/>
  <c r="D77" i="3"/>
  <c r="C77" i="3"/>
  <c r="C86" i="3" s="1"/>
  <c r="H76" i="3"/>
  <c r="D91" i="3" s="1"/>
  <c r="G76" i="3"/>
  <c r="C91" i="3" s="1"/>
  <c r="D76" i="3"/>
  <c r="C76" i="3"/>
  <c r="H75" i="3"/>
  <c r="D90" i="3" s="1"/>
  <c r="G75" i="3"/>
  <c r="D75" i="3"/>
  <c r="C75" i="3"/>
  <c r="C84" i="3" s="1"/>
  <c r="M37" i="3"/>
  <c r="M70" i="3" s="1"/>
  <c r="M34" i="3"/>
  <c r="M20" i="3"/>
  <c r="M9" i="3"/>
  <c r="I119" i="3" l="1"/>
  <c r="C96" i="3" s="1"/>
  <c r="C97" i="3" s="1"/>
  <c r="I75" i="3"/>
  <c r="J75" i="3" s="1"/>
  <c r="D78" i="3"/>
  <c r="C78" i="3"/>
  <c r="G78" i="3"/>
  <c r="C90" i="3"/>
  <c r="C92" i="3" s="1"/>
  <c r="H91" i="3"/>
  <c r="E91" i="3"/>
  <c r="D92" i="3"/>
  <c r="E75" i="3"/>
  <c r="F75" i="3" s="1"/>
  <c r="I76" i="3"/>
  <c r="J76" i="3" s="1"/>
  <c r="H78" i="3"/>
  <c r="E77" i="3"/>
  <c r="C85" i="3"/>
  <c r="E76" i="3"/>
  <c r="F76" i="3" s="1"/>
  <c r="C87" i="3" l="1"/>
  <c r="I78" i="3"/>
  <c r="H92" i="3"/>
  <c r="E90" i="3"/>
  <c r="E92" i="3" s="1"/>
  <c r="C98" i="3" s="1"/>
  <c r="C100" i="3" s="1"/>
  <c r="E78" i="3"/>
  <c r="H9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tc={3408AA6A-7A2C-485F-8F71-7F1E1032120B}</author>
    <author>tc={AABD39DA-B2C1-4CFF-94D2-2A3E31F6C39D}</author>
    <author>tc={C8D3F55D-8C08-45A2-9DC0-18F5A4F2E572}</author>
    <author>tc={2178FD00-BD5B-4BEC-BBE3-C58732C672AE}</author>
  </authors>
  <commentList>
    <comment ref="I33" authorId="0" shapeId="0" xr:uid="{3408AA6A-7A2C-485F-8F71-7F1E103212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@Hemanth Kannan Release management u have already mentioned in row42, why do we need release management again?</t>
      </text>
    </comment>
    <comment ref="I49" authorId="1" shapeId="0" xr:uid="{AABD39DA-B2C1-4CFF-94D2-2A3E31F6C3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@Hemanth Kannan This is very generic to me, and looks like this overlaps with other items already mentioned.</t>
      </text>
    </comment>
    <comment ref="I53" authorId="2" shapeId="0" xr:uid="{C8D3F55D-8C08-45A2-9DC0-18F5A4F2E57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@Hemanth Kannan Release management u have already mentioned in row42, why do we need release management again?</t>
      </text>
    </comment>
    <comment ref="I54" authorId="3" shapeId="0" xr:uid="{2178FD00-BD5B-4BEC-BBE3-C58732C672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@Hemanth Kannan for the items included in core product budget for H2 do you really foresee 396 hrs for work package development? Note: I am creating Release Notes so you don’t need to consider that.</t>
      </text>
    </comment>
  </commentList>
</comments>
</file>

<file path=xl/sharedStrings.xml><?xml version="1.0" encoding="utf-8"?>
<sst xmlns="http://schemas.openxmlformats.org/spreadsheetml/2006/main" count="31833" uniqueCount="588">
  <si>
    <t>Priority</t>
  </si>
  <si>
    <t>Include</t>
  </si>
  <si>
    <t>Project</t>
  </si>
  <si>
    <t>Category</t>
  </si>
  <si>
    <t>Hours</t>
  </si>
  <si>
    <t>Title</t>
  </si>
  <si>
    <t>Description</t>
  </si>
  <si>
    <t>Critical</t>
  </si>
  <si>
    <t>Yes</t>
  </si>
  <si>
    <t>CS 2.0</t>
  </si>
  <si>
    <t>Tech Maintenance</t>
  </si>
  <si>
    <t>Next.js 16.x LTS Upgrade for Admin Console and Platform Web Apps</t>
  </si>
  <si>
    <t>Upgrade Next.js to Version 16.x LTS (Admin &amp; Platform) - 14.X is already outdated and 15.x is reaching end of life by 21/Oct/2026</t>
  </si>
  <si>
    <t>High</t>
  </si>
  <si>
    <t>GitLab DAST Enablement for Web Application and Admin Console</t>
  </si>
  <si>
    <t>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t>
  </si>
  <si>
    <t>Yearly External VAPT for Web Application</t>
  </si>
  <si>
    <t>Perform VAPT for web application as per planned schedule - Perform yearly external VAPT for the Web Application by coordinating with the external security team, providing required access and application details, reviewing reported findings, fixing applicable vulnerabilities, and supporting retesting and closure of identified issues.</t>
  </si>
  <si>
    <t>Yearly External VAPT for Mobile Application</t>
  </si>
  <si>
    <t>Perform VAPT for mobile application as per planned schedule - Perform yearly external VAPT for both iOS and Android mobile applications by coordinating with the external security team, sharing required app builds and test access, reviewing reported findings, fixing applicable vulnerabilities, and supporting retesting and closure of identified issues.</t>
  </si>
  <si>
    <t>Disaster Recovery Drill and Runbook Execution</t>
  </si>
  <si>
    <t>Perform Disaster Recovery activity as per planned schedule - Perform the scheduled Disaster Recovery activity in the London region by executing the approved DR runbook, validating infrastructure, application, and data availability, coordinating failover/failback activities, documenting observations, and updating the runbook based on the exercise findings.</t>
  </si>
  <si>
    <t>Release Governance, Code Merge and Deployment Control</t>
  </si>
  <si>
    <t>Standardize the code merge and release management process by improving version control, conflict handling, release planning, approvals, deployment tracking, rollback governance, and client-specific patch management. This will strengthen engineering governance, reduce release risks, and improve operational control across releases.</t>
  </si>
  <si>
    <t>Performance Testing, Tuning and Test Suite Management</t>
  </si>
  <si>
    <t>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
Note: Reduced this effort considering the release maangement will also go to the respective features</t>
  </si>
  <si>
    <t>HIgh</t>
  </si>
  <si>
    <t>Code Refactoring, Dependency Upgrades and Deprecated Code Removal</t>
  </si>
  <si>
    <t>Improve code quality and maintainability by refactoring existing code, upgrading outdated dependencies, and removing deprecated or unused code/components. This helps reduce technical debt, improve system stability, support security compliance, and keep the application aligned with current technology standards.</t>
  </si>
  <si>
    <t>Application Issue Fixes and Remediation</t>
  </si>
  <si>
    <t>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t>
  </si>
  <si>
    <t>Cloud Usage Chargeback Model, Monthly Tenant-Level Allocation</t>
  </si>
  <si>
    <t>Cloud Usage Charge back model (Monthly) - Prepare monthly tenant-level cloud usage chargeback by collecting cloud consumption data, applying agreed allocation rules, validating usage/cost anomalies, and publishing the monthly chargeback summary for each tenant.</t>
  </si>
  <si>
    <t>Infrastructure and Application Monitoring for EKS Platform</t>
  </si>
  <si>
    <t>Infrastructure and Application Monitoring - Monitor the AWS EKS-based infrastructure and application ecosystem using Grafana and related monitoring tools. This includes tracking cluster health, service availability, resource usage, application performance, API response times, worker status, error trends, and alerts, along with coordinating corrective actions to maintain platform stability and availability.</t>
  </si>
  <si>
    <t>DevOps Management, Improvements and Pipeline Monitoring</t>
  </si>
  <si>
    <t>Devops Management/Improvement/Monitoring - Manage and improve the existing DevOps setup by enhancing CI/CD pipelines, adding new deployment workflows, optimizing automation, monitoring pipeline health, troubleshooting deployment issues, and supporting DevOps changes required for new services, environments, and platform upgrades.</t>
  </si>
  <si>
    <t>Release Management, Regression Testing and Test Automation</t>
  </si>
  <si>
    <t>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
Note: Reduced this effort considering the release maangement will also go to the respective features, for the delivery customization this will be part of the delivery budget</t>
  </si>
  <si>
    <t>SAST Vulnerability Fixes Based on GitLab Security Findings</t>
  </si>
  <si>
    <t>SAST Fixes - As per the GitLab analysis results - Review and fix SAST vulnerabilities reported through GitLab security scans for the existing codebase. Although new vulnerabilities are controlled through MR-level gates, additional findings may arise from updated scan rules, new CVEs, dependency changes, or existing code risks. This includes validation, prioritization, remediation, retesting, and closure tracking in GitLab.</t>
  </si>
  <si>
    <t>Monthly Library Upgrade Assessment and Remediation Across Services</t>
  </si>
  <si>
    <t>Perform monthly scheduled library and package upgrade assessment across 20+ services, including web apps, Node.js services, workers, and .NET services. This includes identifying available upgrades, assessing security and compatibility impact, handling breaking changes, applying required fixes, validating builds, and supporting regression/release readiness.</t>
  </si>
  <si>
    <t>Internal VAPT - Half-Yearly Penetration Testing and Fixes</t>
  </si>
  <si>
    <t>Perform half-yearly internal VAPT between yearly external VAPT cycles to proactively identify and fix security issues. This includes internal penetration testing, finding validation, severity-based prioritization, remediation, retesting support, and closure tracking.</t>
  </si>
  <si>
    <t>Release Based Feature Documentation</t>
  </si>
  <si>
    <t>Create release based feature documentation covering new features, functional changes, configuration steps, usage flows, dependencies, screenshots, and known limitations. This will support delivery, QA, support, product, and implementation teams in understanding and adopting each release</t>
  </si>
  <si>
    <t>Achievo Mobile App Upgrades and Store Policy Compliance Updates</t>
  </si>
  <si>
    <t>Perform Achievo mobile app upgrades and store-specific policy updates for iOS and Android. This includes updating SDKs, dependencies, build tools, privacy/permission declarations, App Store and Play Store compliance requirements, testing, build validation, and supporting app submission/review activities.</t>
  </si>
  <si>
    <t>Kubernetes Resource Optimization</t>
  </si>
  <si>
    <t>Review EKS resource requests/limits, autoscaling, pod disruption budgets, node utilization, and cost/performance tuning.</t>
  </si>
  <si>
    <t>Tech Enhancements</t>
  </si>
  <si>
    <t>Table-Specific Metadata Model Storage Enhancement</t>
  </si>
  <si>
    <t>Enhance the existing metadata model storage by separating the currently combined JSON structure into table-specific JSON structures. This will improve metadata maintainability, support table level configuration flexibility, reduce complexity, and make future schema or configuration changes easier to manage.</t>
  </si>
  <si>
    <t>System Wide AWS Redis Caching Layer Enablement</t>
  </si>
  <si>
    <t>Extend the existing AWS Redis caching layer, currently used for fraud related processing, to support other time-consuming queries across the system. This will include identifying high-latency and frequently executed queries, defining suitable cache keys and expiry rules, implementing cache read/write logic, and validating performance improvements. The enhancement will help reduce database load, improve response time, and increase overall platform scalability.</t>
  </si>
  <si>
    <t>Medium</t>
  </si>
  <si>
    <t>No</t>
  </si>
  <si>
    <t>Form Builder Decoupling into Standalone NPM Package</t>
  </si>
  <si>
    <t>Decouple the existing Form Builder from the Next.js codebase and convert it into a standalone reusable NPM package. This will improve modularity, enable reuse across multiple applications, reduce dependency on the main codebase, simplify maintenance, and support independent versioning and release management for Form Builder changes.</t>
  </si>
  <si>
    <t>Architecture Proposal: Core + Extension Model for Participant Portals</t>
  </si>
  <si>
    <t>Define a Core + Extension architecture model for Participant Portals to separate common product capabilities from client-specific customizations. This will help reduce the effort required to apply latest product changes across multiple delivery deployments, minimize the risk of overriding existing client-specific features, and improve maintainability, upgradeability, and release consistency across implementations.</t>
  </si>
  <si>
    <t>Scalable File Upload Processing Enhancement</t>
  </si>
  <si>
    <t>Enhance the existing file upload processing architecture to handle large files with more than 100,000 records. This will address the current single-pod stateful processing limitation by improving scalability, reliability, and fault tolerance for high-volume uploads</t>
  </si>
  <si>
    <t>Configuration Migration Tool Enhancement</t>
  </si>
  <si>
    <t>Enhance the existing Configuration Migration Tool to improve automation, reliability, and control while moving configuration changes across environments and client deployments. This will reduce manual deployment effort, minimize migration errors, improve tenant/environment consistency, and support faster, more governed configuration rollouts.</t>
  </si>
  <si>
    <t>Workflow Engine Observability and Traceability Enhancements</t>
  </si>
  <si>
    <t>Improve the Workflow Engine with better logging, monitoring, and traceability capabilities. This will help track workflow execution, identify failures faster, improve operational visibility, simplify troubleshooting, and strengthen overall engine reliability and supportability.</t>
  </si>
  <si>
    <t>Command and Query Engine Enhancement with GraphQL Evaluation</t>
  </si>
  <si>
    <t>Enhance the Command and Query Engine by evaluating GraphQL-like querying capabilities and optimizing command/query handling. This will improve technical product capability by supporting more flexible data retrieval, better query control, optimized execution, and clearer separation between write operations and read operations. The activity will also include evaluating whether GraphQL is suitable for the platform based on performance, security, complexity, maintainability, and tenant-specific metadata requirements.</t>
  </si>
  <si>
    <t>View Builder Governance and Performance Enhancement</t>
  </si>
  <si>
    <t>Enhance the existing View Builder to improve usability, performance, and governance. This includes introducing controls to manage excessive view creation, optimizing view execution, improving user experience, defining limits or approval rules where required, and reducing the risk of performance issues caused by unmanaged or duplicate user-created views.</t>
  </si>
  <si>
    <t>Metadata Services Governance and Validation Enhancements</t>
  </si>
  <si>
    <t>Enhance Metadata Services with improved sequence creation, schema validation, and governance controls. This will strengthen metadata platform capability by ensuring consistent metadata structures, reducing configuration errors, improving data/model integrity, and supporting better control over metadata-driven application behaviour</t>
  </si>
  <si>
    <t>File Upload Module Stabilization and Validation Enhancements</t>
  </si>
  <si>
    <t>Enhance the existing File Upload Module with improved validation, tracking, retry handling, and stabilization capabilities. This will improve upload reliability, reduce processing failures, provide better visibility into upload status, support controlled reprocessing, and strengthen the overall stability of file-based data ingestion.</t>
  </si>
  <si>
    <t>Connector Specific Property Model Enhancement</t>
  </si>
  <si>
    <t>Enhance the connector module to support connector specific attached properties based on each connector’s behaviour and configuration needs. This will improve flexibility, reduce dependency on a fixed JSON structure, and make the connector framework more adaptable for different integration types.</t>
  </si>
  <si>
    <t>Application Health Monitoring Dashboard</t>
  </si>
  <si>
    <t>Build an in-application health monitoring page to provide visibility into the status of key services outside Grafana. This will help product, support, and operations teams quickly monitor service availability, dependency health, API status, worker status, and critical system indicators directly from the application.</t>
  </si>
  <si>
    <t>AWS Secrets Manager Enforcement for Service Credentials</t>
  </si>
  <si>
    <t>Enforce AWS Secrets Manager usage for all service credentials and remove any plain-text or insecure storage of credentials from configuration files, environment variables, deployment scripts, and service-level settings. This will improve credential security, strengthen governance, reduce secret exposure risk, and align services with secure configuration management practices.</t>
  </si>
  <si>
    <t>Type</t>
  </si>
  <si>
    <t>Budget</t>
  </si>
  <si>
    <t>Remarks</t>
  </si>
  <si>
    <t>Maintenance</t>
  </si>
  <si>
    <t>Total</t>
  </si>
  <si>
    <t>Team</t>
  </si>
  <si>
    <t>Planned Budget</t>
  </si>
  <si>
    <t>Est. Maturity</t>
  </si>
  <si>
    <t>Product</t>
  </si>
  <si>
    <t>Task Name</t>
  </si>
  <si>
    <t>Comments</t>
  </si>
  <si>
    <t>Assigned To</t>
  </si>
  <si>
    <t>Status</t>
  </si>
  <si>
    <t>Effort (Hours)</t>
  </si>
  <si>
    <t>Milestone</t>
  </si>
  <si>
    <t>Release</t>
  </si>
  <si>
    <t>Team-1</t>
  </si>
  <si>
    <t>CS 1.0</t>
  </si>
  <si>
    <t>Planned</t>
  </si>
  <si>
    <t>Briks</t>
  </si>
  <si>
    <t>Briks Migration - as it is from Nackle Infra to Phoenix Infra</t>
  </si>
  <si>
    <t>Only deploying all the compoennts from Nackel Infra to Phoenix Infra (Only minor/no tech changes are included here)</t>
  </si>
  <si>
    <t>Jawahar, Manikandaprabhu</t>
  </si>
  <si>
    <t>Completed</t>
  </si>
  <si>
    <t>Q3</t>
  </si>
  <si>
    <t>April</t>
  </si>
  <si>
    <t>Upgraded the briks API, Admin and deployed the applucation in Phoenix PPRD (Mumbai) and Prod (Dubin)</t>
  </si>
  <si>
    <t xml:space="preserve">Briks Mandatory Tech Upgrades
</t>
  </si>
  <si>
    <t>Mandatory Upgrade
- Angular to Angular 21 - The current version is below 15 which increases complexity (120)
- Document DB is in version 3.6 which is out of support from couple years and the plan for upgrade getting postponsed over other features this is a mandatory upgrade. Along with this AWS will move the 3.6 version to extended support wchich will incure double the cost of existing infra
- Upgrading the  document db to 5+ version will have breaking changes and this need to be taken care (160)
- Current .Net version is 6.0 we need to upgrade this to 8.0 or 10.0 (40)</t>
  </si>
  <si>
    <t>Completed - Upgrade for Angular, .NET, DocumentDB. Performance improvement fix is still pending (160 hours)</t>
  </si>
  <si>
    <t>Core</t>
  </si>
  <si>
    <t xml:space="preserve">Moving from the existing on prem strongmail to strongmail cloud. 
</t>
  </si>
  <si>
    <t>Moving from the existing on prem strongmail to strongmail cloud. 
- Build an option in core product to integrate with the cloud API</t>
  </si>
  <si>
    <t>February</t>
  </si>
  <si>
    <t>Moving from the existing on prem strongmail to strongmail cloud.
- Handover the patch to delivery team</t>
  </si>
  <si>
    <t>Replace the US bank integration from Partnerservices with Rewards Hub</t>
  </si>
  <si>
    <t>Replace the US bank integration from Partnerservices with Rewards Hub
- Balance points
- Deposit
- Enrollment
- Account Summary
- Catalogue SSO!!!
- Applyng and verifyng will be taken care by the delivery team (Not included in this estimate)</t>
  </si>
  <si>
    <t>Patch is given to the delivery team. Delivery team testing is in progress</t>
  </si>
  <si>
    <t>OTP Service</t>
  </si>
  <si>
    <t>OTP Service Migration - as it is from Nackle Infra to Phoenix Infra</t>
  </si>
  <si>
    <t>Only deploying all the compoennts from Nackle Infra to Phoenix Infra (Only minor/no tech changes are included here)</t>
  </si>
  <si>
    <t>Jawahar, Ramanathan</t>
  </si>
  <si>
    <t xml:space="preserve">Migrated to Phoenix eco system. Pheonix already using this service. For 1.x patch is given to the delivery team </t>
  </si>
  <si>
    <t>Coupon Service</t>
  </si>
  <si>
    <t>Coupon Service Migration - as it is from Nackle Infra to Phoenix Infra</t>
  </si>
  <si>
    <t xml:space="preserve">Additional </t>
  </si>
  <si>
    <t>Briks Migration - as it is from Nackle Infra to Dedicate GM Infra</t>
  </si>
  <si>
    <t>Host the Briks replica in the Canada region and the primary requirement is from GM Canada</t>
  </si>
  <si>
    <t>Pending</t>
  </si>
  <si>
    <t>Q4</t>
  </si>
  <si>
    <t>Pending decission from delivery team and the Canada team</t>
  </si>
  <si>
    <t>Performance improvement fix is still pending (160 hours)</t>
  </si>
  <si>
    <t>Performance Engineering fixes for Briks Serivce(Benchmark to be given)</t>
  </si>
  <si>
    <t>GM is highly using this service, and there is a expectation for high volume of participants in January</t>
  </si>
  <si>
    <t>This will be taken after the pefromance related fixes are completed</t>
  </si>
  <si>
    <t>Integrate the email validation service for Channel Smart 1.0</t>
  </si>
  <si>
    <t>Handle the self registration and bulk load scneario</t>
  </si>
  <si>
    <t xml:space="preserve">We might not be able to work on this in Q4. This requires vendor identification and approval from business related to the cost. </t>
  </si>
  <si>
    <t>Build Unsubscribe feature for all the promotional emails</t>
  </si>
  <si>
    <t>Business requirement need to be confirmed</t>
  </si>
  <si>
    <t>Support for Delivery team</t>
  </si>
  <si>
    <t xml:space="preserve">CS 1.0 (Defect Fix for Critical or High Defects for ongoing clients) </t>
  </si>
  <si>
    <t>Delivery support on High/critical defects(40 Hours Per month)</t>
  </si>
  <si>
    <t>Mani</t>
  </si>
  <si>
    <t>In-Progress</t>
  </si>
  <si>
    <t>In Progress, based on the need</t>
  </si>
  <si>
    <t>Additional</t>
  </si>
  <si>
    <t>Feature</t>
  </si>
  <si>
    <t>Phoenix</t>
  </si>
  <si>
    <t>Cash + Wallet + Compliance - Integration patch for CS 1.0</t>
  </si>
  <si>
    <t>H2 Plan</t>
  </si>
  <si>
    <t>Team-2</t>
  </si>
  <si>
    <t>Fraud Management Implementation</t>
  </si>
  <si>
    <t xml:space="preserve">Fraud Management Implementation - Planned implementation </t>
  </si>
  <si>
    <t>March</t>
  </si>
  <si>
    <t>Delivered and Deployed in Production and ready for tenants to use</t>
  </si>
  <si>
    <t>Cloud Usage Charge back model - Setup the chargeback model</t>
  </si>
  <si>
    <t>Cloud Usage Charge back model - Setup the chargeback model, to get the tenant specific usage details</t>
  </si>
  <si>
    <t>All</t>
  </si>
  <si>
    <t>Phoenix API Gateway(Kong) - Implementation for delivery qa and loreal</t>
  </si>
  <si>
    <t>We have enabled the Kong gateway for qa, pprd and prd. Still need to work on the delivery qa environment and the china pprd and prd</t>
  </si>
  <si>
    <t>External VAPT - Cordination and Issue Fixes</t>
  </si>
  <si>
    <t>N/A</t>
  </si>
  <si>
    <t>Completed and the clean Report is shared after the fixes</t>
  </si>
  <si>
    <t>Issues &amp; Bug Fixes</t>
  </si>
  <si>
    <t>Core product &amp; Mobile</t>
  </si>
  <si>
    <t>Enhancement</t>
  </si>
  <si>
    <t>Replace the US bank integration from Cashier with Rewards Hub</t>
  </si>
  <si>
    <t>Replace the US bank integration from Cashier with Rewards Hub
- Balance points
- Deposit
- Enrollment
- Account Summary
- Catalogue SSO!!!</t>
  </si>
  <si>
    <t>Completed the development activities</t>
  </si>
  <si>
    <t>Application &amp; Infra Monitoring &amp; Maintenance</t>
  </si>
  <si>
    <t>Continuous monitoring of Infrastructure &amp; maintenance</t>
  </si>
  <si>
    <t>Phoenix - Cookie Compliance &amp; Google Analytics</t>
  </si>
  <si>
    <t>Implementing a configurable google analytics basic id
Cookie popup &amp; concent acceptance implementation, integrate with the existing cms feature, handle both anonymous and authorized scenario. Handle the non mandatory cookies based on the configuration</t>
  </si>
  <si>
    <t>Ramanathan</t>
  </si>
  <si>
    <t>Development is completed, testing is pending. This was a Q4 task as the developer was available bought onluy the development acitvity to Q3. Total effort ws 120, out of 40 spend here and the 80 will be used in Q4</t>
  </si>
  <si>
    <t>Cloud Usage Charge back model (Monthly) - 4x6</t>
  </si>
  <si>
    <t xml:space="preserve">This will be the manual effort required, until we have the metering feature built as part of the phoenix admin or different unique system </t>
  </si>
  <si>
    <t>Monthly activity, Total 24 hours, adding 12 hours here and 12 for Q4</t>
  </si>
  <si>
    <t>Release Management Activities - Regression Testing &amp; Automation</t>
  </si>
  <si>
    <t>Regression tests, test suite management, add / remove fixtures, automation</t>
  </si>
  <si>
    <t>Feature Documentation(12X6)</t>
  </si>
  <si>
    <t>Create documentation for each release</t>
  </si>
  <si>
    <t>12 X 3 months</t>
  </si>
  <si>
    <t xml:space="preserve">UK Bank Dataflux Integration </t>
  </si>
  <si>
    <t>Initially, we integrated with an older version of the UK bank API. A standardized and optimized version is now available and has been tested across all aspects. The existing integration is only a temporary solution. As more clients using the UK bank API go into production, the current integration will become riskier.</t>
  </si>
  <si>
    <t>Ramanathan, Gowtham</t>
  </si>
  <si>
    <t xml:space="preserve">Performance Benchmarking for Phoenix </t>
  </si>
  <si>
    <t>InProgress</t>
  </si>
  <si>
    <t>QA and Development support need to work on</t>
  </si>
  <si>
    <t>Build Unsubscribe feature for all the promotional emails
Build the unsubscribe part of the template itself</t>
  </si>
  <si>
    <t>Evaluate and Migrate CMS Functionality from Strapi to Native Page Builder</t>
  </si>
  <si>
    <t>Including Media Library
Strapi was introduced during the initial phase of Phoenix development. Subsequently, we implemented a page builder and enhanced it with additional features. While Strapi is a good solution, considering the capabilities already available in the existing page builder and the additional effort required to set up and maintain Strapi, it is highly recommended to retire Strapi and migrate the remaining Strapi-dependent features directly into Phoenix.</t>
  </si>
  <si>
    <t>Admin report for bank account creation and failure in Admin Platform</t>
  </si>
  <si>
    <t>This is to increase the operation efficiency by providing a detailed report for the admin user to view the bank account creation status</t>
  </si>
  <si>
    <t>Low</t>
  </si>
  <si>
    <t>Connect Genee with Databricks - Databricks as one of the datasource</t>
  </si>
  <si>
    <t xml:space="preserve">This will be the manual effort required, until we have the metering feature built as part of the phoenix admin or different unique system 
</t>
  </si>
  <si>
    <t>June</t>
  </si>
  <si>
    <t>Monthly activity, original 24, adding 12 here,, 12 added for Q3</t>
  </si>
  <si>
    <t>Cloud Usage Charge back model additional field requirements to strengthen the chargeback model</t>
  </si>
  <si>
    <t>There are a few missing fields in the tenant configuration that are mandatory for generating region-specific monthly billing
April 29: HK - Tenant WP to be updated with Region specific chargeback notification
June 6: HK - Dev Team to analyse the requirement this week</t>
  </si>
  <si>
    <t>This need to be planned as per the requirement in last week of March 26</t>
  </si>
  <si>
    <t>SAST Fixes - As per the GitLab analysis results</t>
  </si>
  <si>
    <t>There are large number of issues which need to be triaged to mark as "to be fixed" or "false positive" - This is one of the security requirement
April 24: May 8 onwards SAST Fix are to be in progress
June 6: HK - Critical issues fixed. High Defect fix in progress</t>
  </si>
  <si>
    <t>Total 1350 hours, in Q3 this hours is already utilized, keeping 800 alne here</t>
  </si>
  <si>
    <t>Incident Management / Downtime recovery</t>
  </si>
  <si>
    <t>Handling unexpected incidents like system downtimes or severe bugs affecting tenants. Monthly 4 hours</t>
  </si>
  <si>
    <t xml:space="preserve">Periodic updates (Phoenix - Platform, Admin, Services Site Upgrades (Monthly) </t>
  </si>
  <si>
    <t>We have 20+ service including the web apps, nodejs services, workers and .Net services. We need to plan for a monthly scheduled upgrade activity which will verify for any upgrade for the libraries.. And some of the library upgrades might have breaking changes as well. 12 X 6</t>
  </si>
  <si>
    <t>Technology refresh</t>
  </si>
  <si>
    <t>Mandatory adoption of newer tools and frameworks
Phoenix - Platform Site Upgrades (Onetime) To 16.x
Admin - Platform Site Upgrades (Onetime) To 16.x</t>
  </si>
  <si>
    <t>Orginal 600, considering 100 per month moved 300 to Q3. As there is no budget the available 300 moved to Issues &amp; Bug fixes</t>
  </si>
  <si>
    <t>Delivery Support</t>
  </si>
  <si>
    <t>Support delivery teams on request, on need basis</t>
  </si>
  <si>
    <t>Orignal 240, this is modified to zero as there is no budget</t>
  </si>
  <si>
    <t>Documentation</t>
  </si>
  <si>
    <t>Work Package Updates to Sync up as per the feature development</t>
  </si>
  <si>
    <t>On need basis - For support</t>
  </si>
  <si>
    <t>Achievo</t>
  </si>
  <si>
    <t>Achievo - Android 16 Upgrade</t>
  </si>
  <si>
    <t>Achievo - Android 16 Upgrade. Need to pick this for estimation in March</t>
  </si>
  <si>
    <t>July</t>
  </si>
  <si>
    <t>Achievo - iOS Updates</t>
  </si>
  <si>
    <t>Replace the US bank integration from Cashier with Rewards Hub - Balance points, Deposit, Enrollment, Account Summary, Catalogue SSO!!!</t>
  </si>
  <si>
    <t>QA and Development support need to work on. Keeping 180 hours which is remaining here as the development is tracked combined for 1.x and 2.x</t>
  </si>
  <si>
    <t>Journey Builder - Requirements Building</t>
  </si>
  <si>
    <t>Journey Builder Requirements. Build the work package, Design and estimate based on the work package</t>
  </si>
  <si>
    <t>Integrate Phoenix with Bunch Ball - Requirement Building</t>
  </si>
  <si>
    <t>Bunch Ball Integration. Understand the bunch ball system, Understand the integration requirment, Build the work package</t>
  </si>
  <si>
    <t xml:space="preserve">Build a game engine - Requirements </t>
  </si>
  <si>
    <t xml:space="preserve">Pending the Confirmation from UK team </t>
  </si>
  <si>
    <t>Core + Extension Model for Participant Portals</t>
  </si>
  <si>
    <t>Core + Extension Model for Participant Portals
(Estimation to be finalized based on above POC and Scoped WP)</t>
  </si>
  <si>
    <t>June 6: HK - Major work to be done in Mobile. To be taken post June release</t>
  </si>
  <si>
    <t>Building a theme library for the participant portal</t>
  </si>
  <si>
    <t>Social Media Integration - Requirement Building</t>
  </si>
  <si>
    <t>Enhancement in Uploads to have a pre-validation node for any file preprocessing</t>
  </si>
  <si>
    <t>June 6: HK - Development near complete, QA to test it this week, Part of June release.</t>
  </si>
  <si>
    <t>R&amp;D For Next year roadmap</t>
  </si>
  <si>
    <t>New UI for platform portal</t>
  </si>
  <si>
    <t>BRD Composer</t>
  </si>
  <si>
    <t>Cash + Wallet + Compliance - Withon Phoenix</t>
  </si>
  <si>
    <t>Team-3</t>
  </si>
  <si>
    <t>Communication connector which can support the Whatsapp and Wechat communicaton bi direction</t>
  </si>
  <si>
    <t>CS1.0</t>
  </si>
  <si>
    <t>CS2.0</t>
  </si>
  <si>
    <t>Average</t>
  </si>
  <si>
    <t>Resource</t>
  </si>
  <si>
    <t>Per Day</t>
  </si>
  <si>
    <t>Available Days</t>
  </si>
  <si>
    <t>Per Month</t>
  </si>
  <si>
    <t>Months</t>
  </si>
  <si>
    <t>Name</t>
  </si>
  <si>
    <t>Role</t>
  </si>
  <si>
    <t>Hourly Rate</t>
  </si>
  <si>
    <t>Max Availability</t>
  </si>
  <si>
    <t>Team 1</t>
  </si>
  <si>
    <t>Team 2</t>
  </si>
  <si>
    <t>LK</t>
  </si>
  <si>
    <t>Developer</t>
  </si>
  <si>
    <t>Ram</t>
  </si>
  <si>
    <t>Jawahar</t>
  </si>
  <si>
    <t>QA Tester</t>
  </si>
  <si>
    <t>MJ</t>
  </si>
  <si>
    <t>Saravana K</t>
  </si>
  <si>
    <t>Gautham</t>
  </si>
  <si>
    <t>Sharukhan</t>
  </si>
  <si>
    <t>Kadar</t>
  </si>
  <si>
    <t>Ruthrakkanth</t>
  </si>
  <si>
    <t>Kishore T</t>
  </si>
  <si>
    <t>Shriguru</t>
  </si>
  <si>
    <t>Rubendran</t>
  </si>
  <si>
    <t>Kamesh</t>
  </si>
  <si>
    <t>Preethi</t>
  </si>
  <si>
    <t>Quarter</t>
  </si>
  <si>
    <t>Q1, Q2, Q3, Q4</t>
  </si>
  <si>
    <t>Q1</t>
  </si>
  <si>
    <t>Q2</t>
  </si>
  <si>
    <t>Q1,Q2</t>
  </si>
  <si>
    <t xml:space="preserve">With the latest change
Performance Benchmarking Test Execution
Fixes to improve the performance as per the findings
File upload beoyond 100k records to be optimised(TVS File Upload Issue)
June 4: HK- Current Performance benchmak completed, Improvements suggestions taken into consideration. </t>
  </si>
  <si>
    <t xml:space="preserve">June 15: HK - SAST Enabled, All Critical Defects Fixed, Team working on fixing the High Defects. </t>
  </si>
  <si>
    <t>June 6: HK - To be picked up by June 10th(Ruben engaged in Delivery currently)
June 15: HK - To be picked up in July since cannot be part of Jule 25th release.</t>
  </si>
  <si>
    <t xml:space="preserve">In Progress with Roshni. </t>
  </si>
  <si>
    <t xml:space="preserve">June 6: HK - Development near complete, QA to test it this week, Part of June release.
June 15: HK - QA Testing in progress for Webapps, Mobile minor changes in progress, ETA - 19th for Achievo. </t>
  </si>
  <si>
    <t xml:space="preserve">Delivery Team to take over. 
April 8: Ashok to work on WBS with understanding and resourse splits. 
June 15th: HK - Development activity started, Expected ETA Mid July for Phase 1.
</t>
  </si>
  <si>
    <t>Aug</t>
  </si>
  <si>
    <t>Row Labels</t>
  </si>
  <si>
    <t>Sum of Hours</t>
  </si>
  <si>
    <t>Grand Total</t>
  </si>
  <si>
    <t>Activity</t>
  </si>
  <si>
    <t>New Feature</t>
  </si>
  <si>
    <t>Shutting down BRIKS service from Nackle</t>
  </si>
  <si>
    <t xml:space="preserve">Pending action to completely remove BRIKS services from Nackle ecosystem </t>
  </si>
  <si>
    <t>FY 27 Q1</t>
  </si>
  <si>
    <t>ERP Connerctor Service</t>
  </si>
  <si>
    <t>Planning is completed
June 4: Benchmark Completed, Fixes in progress
Jun 17 : Final report yet to prepared</t>
  </si>
  <si>
    <t>Backlog</t>
  </si>
  <si>
    <t xml:space="preserve">Journey Builder </t>
  </si>
  <si>
    <t>Phase 1 - ORCHESTRATE - Build the Engine</t>
  </si>
  <si>
    <t>Phase 2 - GUIDE with Recommendations</t>
  </si>
  <si>
    <t>Phase 3 - PREDICT with Intelligence</t>
  </si>
  <si>
    <t xml:space="preserve">Insights Agent </t>
  </si>
  <si>
    <t>Phase 1 - ANSWER &amp; GUIDE</t>
  </si>
  <si>
    <t>Phase 2 - EXPLAIN &amp; DIAGNOSE</t>
  </si>
  <si>
    <t>Phase 3 - PREDICT &amp; OPTIMISE</t>
  </si>
  <si>
    <t>CS 2.0 Data</t>
  </si>
  <si>
    <t>AI-Powered Claim Validation</t>
  </si>
  <si>
    <t>Introduce AI-assisted claim validation capabilities leveraging intelligent document processing to automate claim ingestion, extraction, validation, routing, and continuous learning. Strategic FY27 initiative under evaluation.</t>
  </si>
  <si>
    <t>MDF Budget Management &amp; Incentivization</t>
  </si>
  <si>
    <t>Develop end-to-end MDF request, approval, budget allocation, campaign setup, and incentive distribution capabilities to improve fund utilization and business outcome tracking. Strategic FY27 initiative under evaluation.</t>
  </si>
  <si>
    <t>AI Display Audit &amp; Compliance Management</t>
  </si>
  <si>
    <t>Implement AI-powered image analysis to automate display compliance audits, validate merchandising standards, and improve audit scalability, accuracy, and efficiency. Strategic FY27 initiative under evaluation.</t>
  </si>
  <si>
    <t>Organization-Centric Loyalty Journey</t>
  </si>
  <si>
    <t>Enable partner organizations to participate in loyalty and incentive programs through organization onboarding, governance controls, centralized reward management, and organization-led participation models. Strategic FY27 initiative under evaluation.</t>
  </si>
  <si>
    <t>Social Advocacy &amp; Partner Influence Platform</t>
  </si>
  <si>
    <t>Enable partners to share approved brand content, track engagement and attribution, and participate in incentive-driven advocacy programs that extend brand reach and influence. Strategic FY27 initiative under evaluation.</t>
  </si>
  <si>
    <t>Partner Referral &amp; Growth Engine</t>
  </si>
  <si>
    <t>Establish a referral ecosystem with attribution tracking, milestone-based rewards, referral analytics, and conversion visibility to support partner-led acquisition and network-driven growth. Strategic FY27 initiative under evaluation.</t>
  </si>
  <si>
    <t>AI-Powered Audience Segmentation</t>
  </si>
  <si>
    <t>Enable business users to create audience segments using natural language queries across transactional, behavioral, and engagement data, improving campaign targeting and intervention effectiveness. Strategic FY27 initiative under evaluation.</t>
  </si>
  <si>
    <t>Achievo Mobile Experience Modernization</t>
  </si>
  <si>
    <t>Modernize Achievo with mobile-native capabilities including push notifications, voice-assisted discovery, enhanced UX, QR-enabled interactions, gamification, and AI-assisted workflows to increase engagement and participation. Strategic FY27 initiative under evaluation.</t>
  </si>
  <si>
    <t>Embedded Gamification Experiences</t>
  </si>
  <si>
    <t>Introduce contextual, embedded gaming experiences within partner journeys to increase engagement, accelerate reward cycles, encourage repeat interactions, and improve program participation. Strategic FY27 initiative under evaluation.</t>
  </si>
  <si>
    <t>AI-Powered Journey Intelligence Platform</t>
  </si>
  <si>
    <t>Build AI agents, predictive models, and intelligence datasets that power personalized recommendations, next-best actions, engagement insights, and behavioral analytics across partner journeys.</t>
  </si>
  <si>
    <t>Data &amp; Intelligence Foundation Modernization</t>
  </si>
  <si>
    <t>Establish a unified intelligence platform integrating behavioral, communication, marketplace, and web analytics data to support AI, reporting, and decision intelligence.</t>
  </si>
  <si>
    <t>Promotion Optimization &amp; Decision Intelligence</t>
  </si>
  <si>
    <t>Deliver promotion simulation, ROI forecasting, budget optimization, and data-driven program management capabilities to improve campaign effectiveness and business outcomes.</t>
  </si>
  <si>
    <t>Partner Intelligence &amp; Fraud Analytics Suite</t>
  </si>
  <si>
    <t>Enhance Partner360 and Program360 with predictive insights, opportunity intelligence, advanced fraud detection, anomaly monitoring, and adaptive risk scoring.</t>
  </si>
  <si>
    <t>CS 2.0 Core</t>
  </si>
  <si>
    <t>CS 2.0 Achievo</t>
  </si>
  <si>
    <t>TBD</t>
  </si>
  <si>
    <t>Insight Agent Requirements Building and POC Closure</t>
  </si>
  <si>
    <t>Acctg Date</t>
  </si>
  <si>
    <t>ID</t>
  </si>
  <si>
    <t>Amount</t>
  </si>
  <si>
    <t>Trans Date</t>
  </si>
  <si>
    <t>Quantity</t>
  </si>
  <si>
    <t>Month</t>
  </si>
  <si>
    <t>Reporting Director</t>
  </si>
  <si>
    <t>Right ( Should be Past special value )</t>
  </si>
  <si>
    <t>Right</t>
  </si>
  <si>
    <t>Platform Operations</t>
  </si>
  <si>
    <t>ARUN KONETI</t>
  </si>
  <si>
    <t>FY26-CS 2.0 Maintenance</t>
  </si>
  <si>
    <t>01224169</t>
  </si>
  <si>
    <t>VAPT Support &amp; Fixes</t>
  </si>
  <si>
    <t>IA1830</t>
  </si>
  <si>
    <t>Raj,Gowtham</t>
  </si>
  <si>
    <t>Junior</t>
  </si>
  <si>
    <t>HEMANTH KANNAN</t>
  </si>
  <si>
    <t>IA1421</t>
  </si>
  <si>
    <t>Jayapal,Muruganandham</t>
  </si>
  <si>
    <t>Engg Manager</t>
  </si>
  <si>
    <t>IA1690</t>
  </si>
  <si>
    <t>Duraisamy,Manikandaprabu</t>
  </si>
  <si>
    <t>IA1771</t>
  </si>
  <si>
    <t>anandanshanmugam,kamesh</t>
  </si>
  <si>
    <t>IA1394</t>
  </si>
  <si>
    <t>Baskar,Shriguru</t>
  </si>
  <si>
    <t>Niche Lead</t>
  </si>
  <si>
    <t>Lead Developer</t>
  </si>
  <si>
    <t xml:space="preserve">AJITH RAJAN </t>
  </si>
  <si>
    <t>SRIDHAR KAMALAKKANNAN</t>
  </si>
  <si>
    <t>IA1642</t>
  </si>
  <si>
    <t>GOVINDHASAMY,RUBENDRAN</t>
  </si>
  <si>
    <t>IA1789</t>
  </si>
  <si>
    <t>Sharukhan,Mohammed</t>
  </si>
  <si>
    <t>Niche Senior Developer</t>
  </si>
  <si>
    <t>Data</t>
  </si>
  <si>
    <t>IA1692</t>
  </si>
  <si>
    <t>Gunasekaran,Kishore</t>
  </si>
  <si>
    <t>IA1619</t>
  </si>
  <si>
    <t>Sathiyaseelan,Paul Prasanth</t>
  </si>
  <si>
    <t>Moorthy,Sivakumar</t>
  </si>
  <si>
    <t>IA1699</t>
  </si>
  <si>
    <t>Naik,Nandivardhana</t>
  </si>
  <si>
    <t>Kunhiraman,Lakshmikanth</t>
  </si>
  <si>
    <t>Enterprise Architect</t>
  </si>
  <si>
    <t>IA1744</t>
  </si>
  <si>
    <t>RAVI,RAJPRABHU</t>
  </si>
  <si>
    <t>IA1450</t>
  </si>
  <si>
    <t>Selvam,Kadarkarai</t>
  </si>
  <si>
    <t>IA1378</t>
  </si>
  <si>
    <t>Vasanthakumar,Shashikiran</t>
  </si>
  <si>
    <t>Venugopal,Ganesh</t>
  </si>
  <si>
    <t>IA1559</t>
  </si>
  <si>
    <t>Jesuarulsamy,Arockia Jenitha</t>
  </si>
  <si>
    <t>Rengaswamy,Nagarajan</t>
  </si>
  <si>
    <t>IA1757</t>
  </si>
  <si>
    <t>Thirunavukkarasu,Kishore</t>
  </si>
  <si>
    <t>Ramaraja,Ashok</t>
  </si>
  <si>
    <t>IA1430</t>
  </si>
  <si>
    <t>Subburajan,Jawahar</t>
  </si>
  <si>
    <t>IA1594</t>
  </si>
  <si>
    <t>Pazhanithamarai,Subha</t>
  </si>
  <si>
    <t>IA1746</t>
  </si>
  <si>
    <t>Anand,Aditi</t>
  </si>
  <si>
    <t>IA1793</t>
  </si>
  <si>
    <t>Subramanian,Ruthrakkanth</t>
  </si>
  <si>
    <t>IA1831</t>
  </si>
  <si>
    <t>Veluru,Preethi</t>
  </si>
  <si>
    <t>IA1806</t>
  </si>
  <si>
    <t>Chakravarthy,Deepak</t>
  </si>
  <si>
    <t>IA1765</t>
  </si>
  <si>
    <t>Kumar,Saravana</t>
  </si>
  <si>
    <t>IA1809</t>
  </si>
  <si>
    <t>Marimuthu,Rajakumaran</t>
  </si>
  <si>
    <t>IA1750</t>
  </si>
  <si>
    <t>Sankarasubbu,RAMANATHAN</t>
  </si>
  <si>
    <t>FY25-Channel Smart 2.0-Phoenix</t>
  </si>
  <si>
    <t>01187549</t>
  </si>
  <si>
    <t>Dynamic Tiering</t>
  </si>
  <si>
    <t>01171670</t>
  </si>
  <si>
    <t>Phoenix QA – Defect Testing</t>
  </si>
  <si>
    <t>01192806</t>
  </si>
  <si>
    <t>Defect Fixes</t>
  </si>
  <si>
    <t>FY26-CS 2.0 New Features</t>
  </si>
  <si>
    <t>01192795</t>
  </si>
  <si>
    <t>FY25 - Channel Smart 2.1 - Pho</t>
  </si>
  <si>
    <t>01160430</t>
  </si>
  <si>
    <t>Analysis – Technology</t>
  </si>
  <si>
    <t>01160432</t>
  </si>
  <si>
    <t>Analysis – Functional Improvem</t>
  </si>
  <si>
    <t>01175892</t>
  </si>
  <si>
    <t>Phoenix KT Activities</t>
  </si>
  <si>
    <t>01170692</t>
  </si>
  <si>
    <t>Automation Scripts Update</t>
  </si>
  <si>
    <t>01171709</t>
  </si>
  <si>
    <t>Admin Guide Documentation</t>
  </si>
  <si>
    <t>01171671</t>
  </si>
  <si>
    <t>UAT – Stake Holders Support</t>
  </si>
  <si>
    <t>FY26-CS 1.X Maintenance</t>
  </si>
  <si>
    <t>01192790</t>
  </si>
  <si>
    <t>Nackle Migration</t>
  </si>
  <si>
    <t>01192793</t>
  </si>
  <si>
    <t>Q4 - Maintenance</t>
  </si>
  <si>
    <t>FY26-CS 2.0 Enhancements</t>
  </si>
  <si>
    <t>01195209</t>
  </si>
  <si>
    <t>Achievo SDK</t>
  </si>
  <si>
    <t>01199831</t>
  </si>
  <si>
    <t>Rewards Hub Changes(CS 1.0)</t>
  </si>
  <si>
    <t>01199833</t>
  </si>
  <si>
    <t>Release Management Activities</t>
  </si>
  <si>
    <t>01199836</t>
  </si>
  <si>
    <t>Core Product Issues</t>
  </si>
  <si>
    <t>01199841</t>
  </si>
  <si>
    <t>Configuration Migration</t>
  </si>
  <si>
    <t>01199839</t>
  </si>
  <si>
    <t>Fraud Management for Phoenix</t>
  </si>
  <si>
    <t>01199842</t>
  </si>
  <si>
    <t>FY26-CS 2.0 Governance</t>
  </si>
  <si>
    <t>01199847</t>
  </si>
  <si>
    <t>CS 1.0 and 2.0 - Others</t>
  </si>
  <si>
    <t>01192808</t>
  </si>
  <si>
    <t>Sprint Meetings</t>
  </si>
  <si>
    <t>FY26-CS 2.0-Documentation</t>
  </si>
  <si>
    <t>01192794</t>
  </si>
  <si>
    <t>01192807</t>
  </si>
  <si>
    <t>01192791</t>
  </si>
  <si>
    <t>Coupon Performance Improvement</t>
  </si>
  <si>
    <t>01199830</t>
  </si>
  <si>
    <t>Performance Improvements</t>
  </si>
  <si>
    <t>01199846</t>
  </si>
  <si>
    <t>Delivery Support - Governance</t>
  </si>
  <si>
    <t>01192792</t>
  </si>
  <si>
    <t>Q3 - Maintenance</t>
  </si>
  <si>
    <t>01192801</t>
  </si>
  <si>
    <t>01192805</t>
  </si>
  <si>
    <t>Technology Upgrades</t>
  </si>
  <si>
    <t>01192796</t>
  </si>
  <si>
    <t>01195389</t>
  </si>
  <si>
    <t>Achievo Offline Features</t>
  </si>
  <si>
    <t>01199835</t>
  </si>
  <si>
    <t>Rewards Hub Changes(CS 2.0)</t>
  </si>
  <si>
    <t>01199838</t>
  </si>
  <si>
    <t>01199843</t>
  </si>
  <si>
    <t>01199844</t>
  </si>
  <si>
    <t>01199845</t>
  </si>
  <si>
    <t>Core Product Governance</t>
  </si>
  <si>
    <t>01192799</t>
  </si>
  <si>
    <t>01192800</t>
  </si>
  <si>
    <t>01229629</t>
  </si>
  <si>
    <t>Wallet Feature – Development</t>
  </si>
  <si>
    <t>01213989</t>
  </si>
  <si>
    <t>FY26-CS 2.0 IN-Maintenance</t>
  </si>
  <si>
    <t>01230073</t>
  </si>
  <si>
    <t>Integration Service in Phoenix</t>
  </si>
  <si>
    <t>01230074</t>
  </si>
  <si>
    <t>Regression and Release Testing</t>
  </si>
  <si>
    <t>01230471</t>
  </si>
  <si>
    <t>Phoenix Performance Testing</t>
  </si>
  <si>
    <t>01230072</t>
  </si>
  <si>
    <t>Phoenix Specific Changes</t>
  </si>
  <si>
    <t>01235469</t>
  </si>
  <si>
    <t>CS 2.0 FY 26 New Features</t>
  </si>
  <si>
    <t>PID</t>
  </si>
  <si>
    <t>(blank)</t>
  </si>
  <si>
    <t>Column Labels</t>
  </si>
  <si>
    <t>Sum of Amount</t>
  </si>
  <si>
    <t>LXP (Dev,QA, Documentation)</t>
  </si>
  <si>
    <t>Enhancements(Q1, Q2, Q3, Q4)</t>
  </si>
  <si>
    <t>Feb</t>
  </si>
  <si>
    <t>Mar</t>
  </si>
  <si>
    <t>Apr</t>
  </si>
  <si>
    <t>Jul</t>
  </si>
  <si>
    <t>Sep</t>
  </si>
  <si>
    <t>Oct</t>
  </si>
  <si>
    <t>Nov</t>
  </si>
  <si>
    <t>Dec</t>
  </si>
  <si>
    <t>Jan</t>
  </si>
  <si>
    <t>May</t>
  </si>
  <si>
    <t>Jun</t>
  </si>
  <si>
    <t>Mob</t>
  </si>
  <si>
    <t>Phase 1 - ORCHESTRATE - Build the Engine
  Low-code journey canvas with drag-and-drop trigger, wait, and condition logic.
  Automated actions across communication, incentives, and learning interventions.
  Omni-channel response tracking with automated follow-up sequencing.
  Extend journeys with Agent Node that invoke specialised AI agents for contextual decisioning and message personalization.</t>
  </si>
  <si>
    <t>Phase 2 - GUIDE with Recommendations
  Journey Builder framework powers Earn Advisor to continuously guide partners towards the highest-value earning actions.
  A Next-Best-Action Agent evaluates partner context across sales patterns, behaviours and program participation signals.
  Identifies and ranks high-value opportunities - including product mix gaps, cross-sell opportunities and time-sensitive incentives.
  Agent presents prioritised actions back to Journey Builder to enable contextual interventions.</t>
  </si>
  <si>
    <t>Phase 3 - PREDICT with Intelligence
  Build prediction agents that continuously analyse participant context across partner performance, behaviours and engagement patterns.
  Generate explainable outcome predictions - such as churn risk, activation likelihood, target shortfalls and tier progression risk.
  Return prediction confidence, key drivers &amp; recommended interventions rather than standalone scores.
  Present predicted outcomes to Journey Builder to enable contextual interventions.</t>
  </si>
  <si>
    <t>Shutting Down Coupon/OTP Services</t>
  </si>
  <si>
    <t>Y</t>
  </si>
  <si>
    <t>FY27 Budget July'26 to June'27 - Channel Smart</t>
  </si>
  <si>
    <t>Channel Smart 2.0</t>
  </si>
  <si>
    <t>CS 2.0 New Features</t>
  </si>
  <si>
    <t>Capex</t>
  </si>
  <si>
    <t>CS 2.0 Functional Enhancements</t>
  </si>
  <si>
    <t>CS 2.0 Tech Enhancements</t>
  </si>
  <si>
    <t>CS 2.0 Tech Maintenance</t>
  </si>
  <si>
    <t>Expense</t>
  </si>
  <si>
    <t>1.0 Maintenance</t>
  </si>
  <si>
    <t>Sub Total</t>
  </si>
  <si>
    <t>FY27 Budget July'26 to June'27 - Partner Intel Suite</t>
  </si>
  <si>
    <t>Partner Intellingence Suite</t>
  </si>
  <si>
    <t>New Feature  (Agentic features related to insight and journey builder)</t>
  </si>
  <si>
    <t xml:space="preserve">Achievo - Android 16 Upgrade. </t>
  </si>
  <si>
    <t xml:space="preserve">Achievo - UI/UX Improvements </t>
  </si>
  <si>
    <t>UI/UX improvements based on External recommendations</t>
  </si>
  <si>
    <t>Overall Mobile Performance Improvements</t>
  </si>
  <si>
    <t>Achievo - Mobile Performance Improvement.(Analysis)</t>
  </si>
  <si>
    <t>Achievo - Mobile Performance Improvement.(Implementation)</t>
  </si>
  <si>
    <t>Overall Mobile Performance Recommendations</t>
  </si>
  <si>
    <t>Integrating the Cash/Wallet/Compliance to Existing 1.0 Customers</t>
  </si>
  <si>
    <t>FY27-CS 2.0 Maintenance</t>
  </si>
  <si>
    <t>FY27-CS 2.0 New Features</t>
  </si>
  <si>
    <t>FY27-CS 1.X Maintenance</t>
  </si>
  <si>
    <t>FY27-CS 2.0 Enhancements</t>
  </si>
  <si>
    <t>FY27-CS 2.0 Governance</t>
  </si>
  <si>
    <t>FY27-CS 2.0-Documentation</t>
  </si>
  <si>
    <t>CS 1.0 Maintenance</t>
  </si>
  <si>
    <t>FY27-</t>
  </si>
  <si>
    <t>PIS Maintenance</t>
  </si>
  <si>
    <t>PIS New Feature</t>
  </si>
  <si>
    <t>Testing  and Any support needed(Ensure all existing application 1X and 2.0 work as expected)</t>
  </si>
  <si>
    <t>Existing Product Backlog and Delivery Priority Items as needed to be added to Core Product</t>
  </si>
  <si>
    <t>Need to work with Roshni to identify Priority items to be taken into Core</t>
  </si>
  <si>
    <t>Fix for Critical Performance Issue(Claims, File Upload)</t>
  </si>
  <si>
    <t xml:space="preserve">Top 10 recommendations and Performance Fix to be applied for the existing high priority issues. </t>
  </si>
  <si>
    <t>Build Unsubscribe feature for all the promotional emails(Roshni to check)</t>
  </si>
  <si>
    <t>Integrate the email validation service for Channel Smart 1.0(Roshni to check)</t>
  </si>
  <si>
    <t>Integrate the email validation service for Channel Smart 2.0(Roshni to check)</t>
  </si>
  <si>
    <t>ERP Connerctor Service(Saleforce)</t>
  </si>
  <si>
    <t>Timeline</t>
  </si>
  <si>
    <t>Build Pipeline for Achievo to be updated</t>
  </si>
  <si>
    <t>Assignee</t>
  </si>
  <si>
    <t>Siva</t>
  </si>
  <si>
    <t>FY27-CS 2.0 Tech Maintenance</t>
  </si>
  <si>
    <t>FY27-CS 1.0 Maintenance</t>
  </si>
  <si>
    <t>FY27-PIS Maintenance</t>
  </si>
  <si>
    <t>FY27-PIS New Feature</t>
  </si>
  <si>
    <t>FY27-CS 2.0 Funct Enhance</t>
  </si>
  <si>
    <t>FY27-CS 2.0 Tech Enhance</t>
  </si>
  <si>
    <t>Funct Enhance</t>
  </si>
  <si>
    <t>New Features</t>
  </si>
  <si>
    <t>Tech Enhance</t>
  </si>
  <si>
    <t>Split</t>
  </si>
  <si>
    <t>File Upload Module Stabilization and Validation Enhancements
(Check if it can be moved to Q2)</t>
  </si>
  <si>
    <t>Kadarkarai</t>
  </si>
  <si>
    <t>Remove the duplicate test cases. With new tuskr api, update the tuskr connector to accept external id and create a provision for updating the test case. Migrate the existing test cases to have the external id</t>
  </si>
  <si>
    <t>Mobile Automation POC</t>
  </si>
  <si>
    <t>Find and confirm on the Mobile automation and come up with the POC</t>
  </si>
  <si>
    <t>Completing the mobile Automation for the basic features including login, self registration, invoice claim, coupon claim, verify invoice claim history, verify coupon claim history, Verify the profile page</t>
  </si>
  <si>
    <t>Automating the main features for mobile</t>
  </si>
  <si>
    <t>Update Tuskr Connector and Remove duplicate</t>
  </si>
  <si>
    <t>Audit Findings remediation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</si>
</sst>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quot;$&quot;#,##0.00_);\(&quot;$&quot;#,##0.00\)"/>
    <numFmt numFmtId="166" formatCode="_(&quot;$&quot;* #,##0.00_);_(&quot;$&quot;* \(#,##0.00\);_(&quot;$&quot;* &quot;-&quot;??_);_(@_)"/>
    <numFmt numFmtId="167" formatCode="_ * #,##0.00_ ;_ * \-#,##0.00_ ;_ * &quot;-&quot;??_ ;_ @_ "/>
  </numFmts>
  <fonts count="15"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b/>
      <sz val="11"/>
      <color theme="0" tint="-4.9989318521683403E-2"/>
      <name val="Calibri"/>
      <family val="2"/>
      <scheme val="minor"/>
    </font>
    <font>
      <b/>
      <sz val="11"/>
      <color theme="0"/>
      <name val="Segoe UI"/>
      <family val="2"/>
    </font>
    <font>
      <sz val="11"/>
      <color theme="1"/>
      <name val="Segoe UI"/>
      <family val="2"/>
    </font>
    <font>
      <b/>
      <sz val="11"/>
      <color theme="1"/>
      <name val="Segoe UI"/>
      <family val="2"/>
    </font>
    <font>
      <sz val="11"/>
      <name val="Segoe UI"/>
      <family val="2"/>
    </font>
    <font>
      <b/>
      <sz val="11"/>
      <color theme="3"/>
      <name val="Segoe UI"/>
      <family val="2"/>
    </font>
    <font>
      <sz val="11"/>
      <color rgb="FFFF0000"/>
      <name val="Calibri"/>
      <family val="2"/>
      <scheme val="minor"/>
    </font>
    <font>
      <b/>
      <i/>
      <sz val="11"/>
      <color theme="0" tint="-4.9989318521683403E-2"/>
      <name val="Calibri"/>
      <family val="2"/>
      <scheme val="minor"/>
    </font>
    <font>
      <b/>
      <i/>
      <sz val="11"/>
      <color theme="1"/>
      <name val="Calibri"/>
      <family val="2"/>
      <scheme val="minor"/>
    </font>
    <font>
      <i/>
      <sz val="11"/>
      <color theme="1"/>
      <name val="Calibri"/>
      <family val="2"/>
      <scheme val="minor"/>
    </font>
    <font>
      <b/>
      <i/>
      <sz val="11"/>
      <color rgb="FF0F172A"/>
      <name val="Calibri"/>
      <family val="2"/>
      <scheme val="minor"/>
    </font>
  </fonts>
  <fills count="13">
    <fill>
      <patternFill patternType="none"/>
    </fill>
    <fill>
      <patternFill patternType="gray125"/>
    </fill>
    <fill>
      <patternFill patternType="solid">
        <fgColor rgb="FF111827"/>
        <bgColor indexed="64"/>
      </patternFill>
    </fill>
    <fill>
      <patternFill patternType="solid">
        <fgColor rgb="FF20374C"/>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E0F2FE"/>
        <bgColor indexed="64"/>
      </patternFill>
    </fill>
    <fill>
      <patternFill patternType="solid">
        <fgColor rgb="FFCFE8F3"/>
        <bgColor indexed="64"/>
      </patternFill>
    </fill>
  </fills>
  <borders count="10">
    <border>
      <left/>
      <right/>
      <top/>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rgb="FFD9D9D9"/>
      </top>
      <bottom style="thin">
        <color rgb="FFD9D9D9"/>
      </bottom>
      <diagonal/>
    </border>
    <border>
      <left style="thin">
        <color rgb="FFE7E6E6"/>
      </left>
      <right style="thin">
        <color rgb="FFE7E6E6"/>
      </right>
      <top style="thin">
        <color rgb="FFE7E6E6"/>
      </top>
      <bottom/>
      <diagonal/>
    </border>
    <border>
      <left style="thin">
        <color rgb="FFE7E6E6"/>
      </left>
      <right/>
      <top style="thin">
        <color rgb="FFE7E6E6"/>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5">
    <xf numFmtId="0" fontId="0" fillId="0" borderId="0"/>
    <xf numFmtId="166"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167" fontId="1" fillId="0" borderId="0" applyFont="0" applyFill="0" applyBorder="0" applyAlignment="0" applyProtection="0"/>
  </cellStyleXfs>
  <cellXfs count="102">
    <xf numFmtId="0" fontId="0" fillId="0" borderId="0" xfId="0"/>
    <xf numFmtId="0" fontId="0" fillId="0" borderId="0" xfId="0" applyAlignment="1">
      <alignment horizontal="left"/>
    </xf>
    <xf numFmtId="0" fontId="0" fillId="0" borderId="0" xfId="0" applyAlignment="1">
      <alignment horizontal="left" vertical="center"/>
    </xf>
    <xf numFmtId="0" fontId="5" fillId="3" borderId="4" xfId="2" applyFont="1" applyFill="1" applyBorder="1" applyAlignment="1" applyProtection="1">
      <alignment horizontal="left" vertical="center" indent="1"/>
      <protection locked="0"/>
    </xf>
    <xf numFmtId="0" fontId="5" fillId="3" borderId="4" xfId="2" applyFont="1" applyFill="1" applyBorder="1" applyAlignment="1" applyProtection="1">
      <alignment horizontal="left" vertical="center" wrapText="1" indent="1"/>
      <protection locked="0"/>
    </xf>
    <xf numFmtId="0" fontId="6" fillId="0" borderId="0" xfId="0" applyFont="1" applyAlignment="1">
      <alignment horizontal="left" vertical="top" indent="1"/>
    </xf>
    <xf numFmtId="0" fontId="6" fillId="4" borderId="3" xfId="0" applyFont="1" applyFill="1" applyBorder="1" applyAlignment="1">
      <alignment horizontal="center" vertical="top"/>
    </xf>
    <xf numFmtId="0" fontId="6" fillId="4" borderId="3" xfId="0" applyFont="1" applyFill="1" applyBorder="1" applyAlignment="1">
      <alignment horizontal="left" vertical="top" indent="1"/>
    </xf>
    <xf numFmtId="0" fontId="6" fillId="4" borderId="3" xfId="0" applyFont="1" applyFill="1" applyBorder="1" applyAlignment="1">
      <alignment horizontal="left" vertical="top" wrapText="1" indent="1"/>
    </xf>
    <xf numFmtId="0" fontId="6" fillId="4" borderId="3" xfId="0" applyFont="1" applyFill="1" applyBorder="1" applyAlignment="1">
      <alignment horizontal="right" vertical="top" indent="1"/>
    </xf>
    <xf numFmtId="0" fontId="7" fillId="0" borderId="2" xfId="3" applyFont="1" applyFill="1" applyAlignment="1">
      <alignment horizontal="center" vertical="top"/>
    </xf>
    <xf numFmtId="0" fontId="7" fillId="0" borderId="2" xfId="3" applyFont="1" applyFill="1" applyAlignment="1">
      <alignment horizontal="left" vertical="top" indent="1"/>
    </xf>
    <xf numFmtId="0" fontId="7" fillId="0" borderId="2" xfId="3" applyFont="1" applyFill="1" applyAlignment="1">
      <alignment horizontal="left" vertical="top" wrapText="1" indent="1"/>
    </xf>
    <xf numFmtId="0" fontId="7" fillId="0" borderId="2" xfId="3" applyFont="1" applyFill="1" applyAlignment="1">
      <alignment horizontal="right" vertical="top" indent="1"/>
    </xf>
    <xf numFmtId="0" fontId="7" fillId="5" borderId="2" xfId="3" applyFont="1" applyFill="1" applyAlignment="1">
      <alignment horizontal="left" vertical="top" indent="1"/>
    </xf>
    <xf numFmtId="0" fontId="7" fillId="5" borderId="2" xfId="3" applyFont="1" applyFill="1" applyAlignment="1">
      <alignment horizontal="left" vertical="top" wrapText="1" indent="1"/>
    </xf>
    <xf numFmtId="0" fontId="7" fillId="5" borderId="2" xfId="3" applyFont="1" applyFill="1" applyAlignment="1">
      <alignment horizontal="right" vertical="top" indent="1"/>
    </xf>
    <xf numFmtId="0" fontId="7" fillId="5" borderId="2" xfId="3" applyFont="1" applyFill="1" applyAlignment="1">
      <alignment horizontal="center" vertical="top"/>
    </xf>
    <xf numFmtId="0" fontId="6" fillId="0" borderId="3" xfId="0" applyFont="1" applyBorder="1" applyAlignment="1">
      <alignment horizontal="center" vertical="top"/>
    </xf>
    <xf numFmtId="0" fontId="6" fillId="0" borderId="3" xfId="0" applyFont="1" applyBorder="1" applyAlignment="1">
      <alignment horizontal="left" vertical="top" indent="1"/>
    </xf>
    <xf numFmtId="0" fontId="6" fillId="0" borderId="3" xfId="0" applyFont="1" applyBorder="1" applyAlignment="1">
      <alignment horizontal="left" vertical="top" wrapText="1" indent="1"/>
    </xf>
    <xf numFmtId="0" fontId="6" fillId="0" borderId="3" xfId="0" applyFont="1" applyBorder="1" applyAlignment="1">
      <alignment horizontal="right" vertical="top" indent="1"/>
    </xf>
    <xf numFmtId="0" fontId="6" fillId="0" borderId="3" xfId="0" applyFont="1" applyBorder="1" applyAlignment="1">
      <alignment horizontal="center" vertical="top" wrapText="1"/>
    </xf>
    <xf numFmtId="0" fontId="7" fillId="0" borderId="2" xfId="3" applyFont="1" applyAlignment="1">
      <alignment horizontal="center" vertical="top"/>
    </xf>
    <xf numFmtId="0" fontId="7" fillId="0" borderId="2" xfId="3" applyFont="1" applyAlignment="1">
      <alignment horizontal="left" vertical="top" indent="1"/>
    </xf>
    <xf numFmtId="0" fontId="7" fillId="0" borderId="2" xfId="3" applyFont="1" applyAlignment="1">
      <alignment horizontal="left" vertical="top" wrapText="1" indent="1"/>
    </xf>
    <xf numFmtId="0" fontId="7" fillId="0" borderId="2" xfId="3" applyFont="1" applyAlignment="1">
      <alignment horizontal="right" vertical="top" indent="1"/>
    </xf>
    <xf numFmtId="0" fontId="6" fillId="5" borderId="3" xfId="0" applyFont="1" applyFill="1" applyBorder="1" applyAlignment="1">
      <alignment horizontal="left" vertical="top" indent="1"/>
    </xf>
    <xf numFmtId="0" fontId="6" fillId="5" borderId="3" xfId="0" applyFont="1" applyFill="1" applyBorder="1" applyAlignment="1">
      <alignment horizontal="left" vertical="top" wrapText="1" indent="1"/>
    </xf>
    <xf numFmtId="0" fontId="6" fillId="5" borderId="3" xfId="0" applyFont="1" applyFill="1" applyBorder="1" applyAlignment="1">
      <alignment horizontal="center" vertical="top"/>
    </xf>
    <xf numFmtId="0" fontId="8" fillId="4" borderId="3" xfId="0" applyFont="1" applyFill="1" applyBorder="1" applyAlignment="1">
      <alignment horizontal="right" vertical="top" indent="1"/>
    </xf>
    <xf numFmtId="0" fontId="6" fillId="6" borderId="3" xfId="0" applyFont="1" applyFill="1" applyBorder="1" applyAlignment="1">
      <alignment horizontal="left" vertical="top" wrapText="1" indent="1"/>
    </xf>
    <xf numFmtId="0" fontId="6" fillId="7" borderId="3" xfId="0" applyFont="1" applyFill="1" applyBorder="1" applyAlignment="1">
      <alignment horizontal="left" vertical="top" indent="1"/>
    </xf>
    <xf numFmtId="0" fontId="6" fillId="7" borderId="3" xfId="0" applyFont="1" applyFill="1" applyBorder="1" applyAlignment="1">
      <alignment horizontal="left" vertical="top" wrapText="1" indent="1"/>
    </xf>
    <xf numFmtId="0" fontId="8" fillId="0" borderId="3" xfId="0" applyFont="1" applyBorder="1" applyAlignment="1">
      <alignment horizontal="right" vertical="top" indent="1"/>
    </xf>
    <xf numFmtId="2" fontId="6" fillId="0" borderId="3" xfId="0" applyNumberFormat="1" applyFont="1" applyBorder="1" applyAlignment="1">
      <alignment horizontal="left" vertical="top" indent="1"/>
    </xf>
    <xf numFmtId="0" fontId="6" fillId="0" borderId="0" xfId="0" applyFont="1"/>
    <xf numFmtId="0" fontId="6" fillId="0" borderId="0" xfId="0" applyFont="1" applyAlignment="1">
      <alignment horizontal="left" wrapText="1" indent="1"/>
    </xf>
    <xf numFmtId="0" fontId="6" fillId="0" borderId="0" xfId="0" applyFont="1" applyAlignment="1">
      <alignment horizontal="left" vertical="top" wrapText="1" indent="1"/>
    </xf>
    <xf numFmtId="0" fontId="6" fillId="0" borderId="0" xfId="0" applyFont="1" applyAlignment="1">
      <alignment horizontal="center" vertical="top"/>
    </xf>
    <xf numFmtId="0" fontId="6" fillId="0" borderId="0" xfId="0" applyFont="1" applyAlignment="1">
      <alignment horizontal="right" vertical="top" indent="2"/>
    </xf>
    <xf numFmtId="0" fontId="7" fillId="0" borderId="2" xfId="3" applyFont="1" applyAlignment="1">
      <alignment horizontal="right" vertical="top" indent="2"/>
    </xf>
    <xf numFmtId="0" fontId="7" fillId="0" borderId="0" xfId="0" applyFont="1" applyAlignment="1">
      <alignment horizontal="center" vertical="top"/>
    </xf>
    <xf numFmtId="0" fontId="7" fillId="0" borderId="0" xfId="0" applyFont="1" applyAlignment="1">
      <alignment horizontal="left" vertical="top" indent="1"/>
    </xf>
    <xf numFmtId="1" fontId="6" fillId="0" borderId="3" xfId="0" applyNumberFormat="1" applyFont="1" applyBorder="1" applyAlignment="1">
      <alignment horizontal="left" vertical="top" indent="1"/>
    </xf>
    <xf numFmtId="0" fontId="5" fillId="3" borderId="5" xfId="2" applyFont="1" applyFill="1" applyBorder="1" applyAlignment="1">
      <alignment horizontal="left" vertical="center" indent="1"/>
    </xf>
    <xf numFmtId="0" fontId="5" fillId="3" borderId="6" xfId="2" applyFont="1" applyFill="1" applyBorder="1" applyAlignment="1">
      <alignment horizontal="left" vertical="center" indent="1"/>
    </xf>
    <xf numFmtId="0" fontId="8" fillId="0" borderId="3" xfId="0" applyFont="1" applyBorder="1" applyAlignment="1">
      <alignment horizontal="left" vertical="center" indent="1"/>
    </xf>
    <xf numFmtId="0" fontId="6" fillId="0" borderId="3" xfId="0" applyFont="1" applyBorder="1" applyAlignment="1">
      <alignment horizontal="left" vertical="center" indent="1"/>
    </xf>
    <xf numFmtId="165" fontId="6" fillId="0" borderId="3" xfId="1" applyNumberFormat="1" applyFont="1" applyBorder="1" applyAlignment="1">
      <alignment horizontal="right" vertical="center" indent="1"/>
    </xf>
    <xf numFmtId="10" fontId="6" fillId="0" borderId="3" xfId="1" applyNumberFormat="1" applyFont="1" applyBorder="1" applyAlignment="1">
      <alignment horizontal="right" vertical="center" indent="1"/>
    </xf>
    <xf numFmtId="0" fontId="6" fillId="0" borderId="3" xfId="0" applyFont="1" applyBorder="1" applyAlignment="1">
      <alignment vertical="center" wrapText="1"/>
    </xf>
    <xf numFmtId="0" fontId="6" fillId="8" borderId="3" xfId="0" applyFont="1" applyFill="1" applyBorder="1" applyAlignment="1">
      <alignment horizontal="center" vertical="top"/>
    </xf>
    <xf numFmtId="0" fontId="6" fillId="8" borderId="3" xfId="0" applyFont="1" applyFill="1" applyBorder="1" applyAlignment="1">
      <alignment horizontal="left" vertical="top" indent="1"/>
    </xf>
    <xf numFmtId="0" fontId="6" fillId="8" borderId="3" xfId="0" applyFont="1" applyFill="1" applyBorder="1" applyAlignment="1">
      <alignment horizontal="left" vertical="top" wrapText="1" indent="1"/>
    </xf>
    <xf numFmtId="0" fontId="6" fillId="8" borderId="3" xfId="0" applyFont="1" applyFill="1" applyBorder="1" applyAlignment="1">
      <alignment horizontal="right" vertical="top" indent="1"/>
    </xf>
    <xf numFmtId="0" fontId="6" fillId="8" borderId="0" xfId="0" applyFont="1" applyFill="1" applyAlignment="1">
      <alignment horizontal="left" vertical="top" indent="1"/>
    </xf>
    <xf numFmtId="0" fontId="0" fillId="0" borderId="0" xfId="0" pivotButton="1"/>
    <xf numFmtId="0" fontId="0" fillId="0" borderId="0" xfId="0" applyAlignment="1">
      <alignment horizontal="left" indent="1"/>
    </xf>
    <xf numFmtId="0" fontId="0" fillId="8" borderId="0" xfId="0" applyFill="1" applyAlignment="1">
      <alignment horizontal="left" vertical="center"/>
    </xf>
    <xf numFmtId="0" fontId="0" fillId="8" borderId="0" xfId="0" applyFill="1"/>
    <xf numFmtId="0" fontId="0" fillId="0" borderId="0" xfId="0" applyAlignment="1">
      <alignment wrapText="1"/>
    </xf>
    <xf numFmtId="0" fontId="0" fillId="0" borderId="3" xfId="0" applyBorder="1"/>
    <xf numFmtId="0" fontId="4" fillId="2" borderId="3" xfId="0" applyFont="1" applyFill="1" applyBorder="1" applyAlignment="1">
      <alignment horizontal="left" vertical="center"/>
    </xf>
    <xf numFmtId="0" fontId="4" fillId="2" borderId="3" xfId="0" applyFont="1" applyFill="1" applyBorder="1" applyAlignment="1">
      <alignment horizontal="left" vertical="top" wrapText="1"/>
    </xf>
    <xf numFmtId="0" fontId="0" fillId="8" borderId="3" xfId="0" applyFill="1" applyBorder="1"/>
    <xf numFmtId="0" fontId="0" fillId="8" borderId="3" xfId="0" applyFill="1" applyBorder="1" applyAlignment="1">
      <alignment horizontal="left" vertical="center"/>
    </xf>
    <xf numFmtId="0" fontId="0" fillId="8" borderId="3" xfId="0" applyFill="1" applyBorder="1" applyAlignment="1">
      <alignment horizontal="left" vertical="center" wrapText="1"/>
    </xf>
    <xf numFmtId="0" fontId="0" fillId="8" borderId="3" xfId="0" applyFill="1" applyBorder="1" applyAlignment="1">
      <alignment wrapText="1"/>
    </xf>
    <xf numFmtId="0" fontId="0" fillId="8" borderId="3" xfId="0" applyFill="1" applyBorder="1" applyAlignment="1">
      <alignment vertical="center" wrapText="1"/>
    </xf>
    <xf numFmtId="0" fontId="0" fillId="8" borderId="3" xfId="0" applyFill="1" applyBorder="1" applyAlignment="1">
      <alignment horizontal="left" vertical="top" wrapText="1"/>
    </xf>
    <xf numFmtId="0" fontId="0" fillId="9" borderId="0" xfId="0" applyFill="1"/>
    <xf numFmtId="0" fontId="10" fillId="9" borderId="0" xfId="0" applyFont="1" applyFill="1"/>
    <xf numFmtId="0" fontId="0" fillId="0" borderId="0" xfId="0" quotePrefix="1"/>
    <xf numFmtId="14" fontId="0" fillId="0" borderId="0" xfId="0" applyNumberFormat="1"/>
    <xf numFmtId="1" fontId="0" fillId="0" borderId="0" xfId="0" applyNumberFormat="1"/>
    <xf numFmtId="0" fontId="13" fillId="0" borderId="7" xfId="0" applyFont="1" applyBorder="1" applyAlignment="1">
      <alignment horizontal="left" wrapText="1" indent="1"/>
    </xf>
    <xf numFmtId="0" fontId="13" fillId="0" borderId="8" xfId="0" applyFont="1" applyBorder="1" applyAlignment="1">
      <alignment horizontal="left" indent="1"/>
    </xf>
    <xf numFmtId="0" fontId="13" fillId="0" borderId="0" xfId="0" applyFont="1" applyAlignment="1">
      <alignment horizontal="left" wrapText="1" indent="1"/>
    </xf>
    <xf numFmtId="0" fontId="11" fillId="2" borderId="3" xfId="0" applyFont="1" applyFill="1" applyBorder="1" applyAlignment="1">
      <alignment horizontal="left" indent="1"/>
    </xf>
    <xf numFmtId="0" fontId="12" fillId="10" borderId="3" xfId="0" applyFont="1" applyFill="1" applyBorder="1" applyAlignment="1">
      <alignment horizontal="left" indent="1"/>
    </xf>
    <xf numFmtId="0" fontId="13" fillId="0" borderId="3" xfId="0" applyFont="1" applyBorder="1" applyAlignment="1">
      <alignment horizontal="left" indent="1"/>
    </xf>
    <xf numFmtId="0" fontId="13" fillId="0" borderId="3" xfId="0" applyFont="1" applyBorder="1" applyAlignment="1">
      <alignment horizontal="left" wrapText="1" indent="1"/>
    </xf>
    <xf numFmtId="164" fontId="13" fillId="0" borderId="3" xfId="4" applyNumberFormat="1" applyFont="1" applyBorder="1" applyAlignment="1">
      <alignment horizontal="right"/>
    </xf>
    <xf numFmtId="37" fontId="13" fillId="0" borderId="3" xfId="0" applyNumberFormat="1" applyFont="1" applyBorder="1"/>
    <xf numFmtId="9" fontId="0" fillId="0" borderId="3" xfId="0" applyNumberFormat="1" applyBorder="1"/>
    <xf numFmtId="164" fontId="13" fillId="0" borderId="3" xfId="4" applyNumberFormat="1" applyFont="1" applyFill="1" applyBorder="1" applyAlignment="1">
      <alignment horizontal="right"/>
    </xf>
    <xf numFmtId="0" fontId="14" fillId="11" borderId="3" xfId="3" applyFont="1" applyFill="1" applyBorder="1" applyAlignment="1">
      <alignment horizontal="right" indent="1"/>
    </xf>
    <xf numFmtId="164" fontId="14" fillId="11" borderId="3" xfId="3" applyNumberFormat="1" applyFont="1" applyFill="1" applyBorder="1" applyAlignment="1">
      <alignment horizontal="right"/>
    </xf>
    <xf numFmtId="37" fontId="14" fillId="11" borderId="3" xfId="3" applyNumberFormat="1" applyFont="1" applyFill="1" applyBorder="1" applyAlignment="1">
      <alignment horizontal="right" indent="1"/>
    </xf>
    <xf numFmtId="0" fontId="3" fillId="12" borderId="3" xfId="3" applyFill="1" applyBorder="1" applyAlignment="1">
      <alignment horizontal="right" indent="1"/>
    </xf>
    <xf numFmtId="0" fontId="0" fillId="7" borderId="3" xfId="0" applyFill="1" applyBorder="1" applyAlignment="1">
      <alignment horizontal="left" vertical="center"/>
    </xf>
    <xf numFmtId="0" fontId="0" fillId="7" borderId="0" xfId="0" applyFill="1"/>
    <xf numFmtId="0" fontId="0" fillId="7" borderId="3" xfId="0" applyFill="1" applyBorder="1" applyAlignment="1">
      <alignment horizontal="left" vertical="center" wrapText="1"/>
    </xf>
    <xf numFmtId="0" fontId="0" fillId="7" borderId="3" xfId="0" applyFill="1" applyBorder="1" applyAlignment="1">
      <alignment horizontal="left" vertical="top" wrapText="1"/>
    </xf>
    <xf numFmtId="0" fontId="0" fillId="8" borderId="9" xfId="0" applyFill="1" applyBorder="1" applyAlignment="1">
      <alignment horizontal="left" vertical="center"/>
    </xf>
    <xf numFmtId="0" fontId="0" fillId="8" borderId="9" xfId="0" applyFill="1" applyBorder="1" applyAlignment="1">
      <alignment vertical="center" wrapText="1"/>
    </xf>
    <xf numFmtId="0" fontId="0" fillId="0" borderId="3" xfId="0" applyBorder="1" applyAlignment="1">
      <alignment wrapText="1"/>
    </xf>
    <xf numFmtId="0" fontId="0" fillId="0" borderId="3" xfId="0" applyBorder="1" applyAlignment="1">
      <alignment horizontal="left"/>
    </xf>
    <xf numFmtId="0" fontId="0" fillId="7" borderId="3" xfId="0" applyFill="1" applyBorder="1" applyAlignment="1">
      <alignment vertical="center" wrapText="1"/>
    </xf>
    <xf numFmtId="0" fontId="0" fillId="7" borderId="3" xfId="0" applyFill="1" applyBorder="1"/>
    <xf numFmtId="0" fontId="9" fillId="0" borderId="1" xfId="2" applyFont="1" applyAlignment="1">
      <alignment horizontal="center" vertical="top"/>
    </xf>
  </cellXfs>
  <cellStyles count="5">
    <cellStyle name="Comma" xfId="4" builtinId="3"/>
    <cellStyle name="Currency" xfId="1" builtinId="4"/>
    <cellStyle name="Heading 3" xfId="2" builtinId="18"/>
    <cellStyle name="Normal" xfId="0" builtinId="0"/>
    <cellStyle name="Total" xfId="3" builtinId="25"/>
  </cellStyles>
  <dxfs count="12">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color auto="1"/>
      </font>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b/>
        <i val="0"/>
        <color rgb="FF1F4E78"/>
      </font>
      <fill>
        <patternFill>
          <bgColor rgb="FFDDEBF7"/>
        </patternFill>
      </fill>
      <border>
        <left/>
        <right/>
        <top style="thin">
          <color theme="9" tint="0.39994506668294322"/>
        </top>
        <bottom style="thin">
          <color theme="9" tint="0.39994506668294322"/>
        </bottom>
      </border>
    </dxf>
    <dxf>
      <font>
        <b/>
        <i val="0"/>
        <color rgb="FF595959"/>
      </font>
      <fill>
        <patternFill>
          <bgColor rgb="FFF2F2F2"/>
        </patternFill>
      </fill>
      <border>
        <left/>
        <right/>
        <top style="thin">
          <color theme="9" tint="0.39994506668294322"/>
        </top>
        <bottom style="thin">
          <color theme="9" tint="0.39994506668294322"/>
        </bottom>
      </border>
    </dxf>
    <dxf>
      <font>
        <b/>
        <i val="0"/>
        <color rgb="FF0B3D2E"/>
      </font>
      <fill>
        <patternFill>
          <bgColor rgb="FFE2EFDA"/>
        </patternFill>
      </fill>
      <border>
        <left/>
        <right/>
        <top style="thin">
          <color theme="9" tint="0.39994506668294322"/>
        </top>
        <bottom style="thin">
          <color theme="9" tint="0.3999450666829432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ocumenttasks/documenttask1.xml><?xml version="1.0" encoding="utf-8"?>
<Tasks xmlns="http://schemas.microsoft.com/office/tasks/2019/documenttasks">
  <Task id="{83F2E24A-F147-4740-8E4C-B9F8AD3D4EE2}">
    <Anchor>
      <Comment id="{3408AA6A-7A2C-485F-8F71-7F1E1032120B}"/>
    </Anchor>
    <History>
      <Event time="2025-12-19T05:38:02.49" id="{FD2C3EFC-EA93-4998-9D54-BBF259003C09}">
        <Attribution userId="S::Roshni.Kumar@biworldwide.com::76d88258-516a-44e4-8a40-12f2d51dc12c" userName="Roshni Kumar" userProvider="AD"/>
        <Anchor>
          <Comment id="{3408AA6A-7A2C-485F-8F71-7F1E1032120B}"/>
        </Anchor>
        <Create/>
      </Event>
      <Event time="2025-12-19T05:38:02.49" id="{65BABA5C-0449-4857-B187-3519A776A654}">
        <Attribution userId="S::Roshni.Kumar@biworldwide.com::76d88258-516a-44e4-8a40-12f2d51dc12c" userName="Roshni Kumar" userProvider="AD"/>
        <Anchor>
          <Comment id="{3408AA6A-7A2C-485F-8F71-7F1E1032120B}"/>
        </Anchor>
        <Assign userId="S::Hemanth.Kannan@biworldwide.com::b2365473-fc9c-40f1-935e-0b2074ab6cff" userName="Hemanth Kannan" userProvider="AD"/>
      </Event>
      <Event time="2025-12-19T05:38:02.49" id="{1E63933D-4C56-4A4D-B84F-50AF5687A758}">
        <Attribution userId="S::Roshni.Kumar@biworldwide.com::76d88258-516a-44e4-8a40-12f2d51dc12c" userName="Roshni Kumar" userProvider="AD"/>
        <Anchor>
          <Comment id="{3408AA6A-7A2C-485F-8F71-7F1E1032120B}"/>
        </Anchor>
        <SetTitle title="@Hemanth Kannan Release management u have already mentioned in row42, why do we need release management again?"/>
      </Event>
    </History>
  </Task>
  <Task id="{A0F90383-0D95-4950-BECE-B94D14A605CC}">
    <Anchor>
      <Comment id="{C8D3F55D-8C08-45A2-9DC0-18F5A4F2E572}"/>
    </Anchor>
    <History>
      <Event time="2025-12-19T05:38:02.49" id="{FD2C3EFC-EA93-4998-9D54-BBF259003C09}">
        <Attribution userId="S::Roshni.Kumar@biworldwide.com::76d88258-516a-44e4-8a40-12f2d51dc12c" userName="Roshni Kumar" userProvider="AD"/>
        <Anchor>
          <Comment id="{C8D3F55D-8C08-45A2-9DC0-18F5A4F2E572}"/>
        </Anchor>
        <Create/>
      </Event>
      <Event time="2025-12-19T05:38:02.49" id="{65BABA5C-0449-4857-B187-3519A776A654}">
        <Attribution userId="S::Roshni.Kumar@biworldwide.com::76d88258-516a-44e4-8a40-12f2d51dc12c" userName="Roshni Kumar" userProvider="AD"/>
        <Anchor>
          <Comment id="{C8D3F55D-8C08-45A2-9DC0-18F5A4F2E572}"/>
        </Anchor>
        <Assign userId="S::Hemanth.Kannan@biworldwide.com::b2365473-fc9c-40f1-935e-0b2074ab6cff" userName="Hemanth Kannan" userProvider="AD"/>
      </Event>
      <Event time="2025-12-19T05:38:02.49" id="{1E63933D-4C56-4A4D-B84F-50AF5687A758}">
        <Attribution userId="S::Roshni.Kumar@biworldwide.com::76d88258-516a-44e4-8a40-12f2d51dc12c" userName="Roshni Kumar" userProvider="AD"/>
        <Anchor>
          <Comment id="{C8D3F55D-8C08-45A2-9DC0-18F5A4F2E572}"/>
        </Anchor>
        <SetTitle title="@Hemanth Kannan Release management u have already mentioned in row42, why do we need release management again?"/>
      </Event>
    </History>
  </Task>
  <Task id="{67FE49A1-D633-4384-B62C-1F8AD2525F27}">
    <Anchor>
      <Comment id="{2178FD00-BD5B-4BEC-BBE3-C58732C672AE}"/>
    </Anchor>
    <History>
      <Event time="2025-12-19T05:39:35.68" id="{D33D2B78-9C4E-4240-99B3-9D2693A8DC52}">
        <Attribution userId="S::Roshni.Kumar@biworldwide.com::76d88258-516a-44e4-8a40-12f2d51dc12c" userName="Roshni Kumar" userProvider="AD"/>
        <Anchor>
          <Comment id="{2178FD00-BD5B-4BEC-BBE3-C58732C672AE}"/>
        </Anchor>
        <Create/>
      </Event>
      <Event time="2025-12-19T05:39:35.68" id="{3DEDFD07-36FF-4E4C-95B0-D9F8F95B7DC0}">
        <Attribution userId="S::Roshni.Kumar@biworldwide.com::76d88258-516a-44e4-8a40-12f2d51dc12c" userName="Roshni Kumar" userProvider="AD"/>
        <Anchor>
          <Comment id="{2178FD00-BD5B-4BEC-BBE3-C58732C672AE}"/>
        </Anchor>
        <Assign userId="S::Hemanth.Kannan@biworldwide.com::b2365473-fc9c-40f1-935e-0b2074ab6cff" userName="Hemanth Kannan" userProvider="AD"/>
      </Event>
      <Event time="2025-12-19T05:39:35.68" id="{99A43EAC-E861-490F-BEBD-A5D81AE95C63}">
        <Attribution userId="S::Roshni.Kumar@biworldwide.com::76d88258-516a-44e4-8a40-12f2d51dc12c" userName="Roshni Kumar" userProvider="AD"/>
        <Anchor>
          <Comment id="{2178FD00-BD5B-4BEC-BBE3-C58732C672AE}"/>
        </Anchor>
        <SetTitle title="@Hemanth Kannan for the items included in core product budget for H2 do you really foresee 396 hrs for work package development? Note: I am creating Release Notes so you don’t need to consider that."/>
      </Event>
    </History>
  </Task>
  <Task id="{E661EAD4-2483-4789-B5DB-3E12B675918F}">
    <Anchor>
      <Comment id="{AABD39DA-B2C1-4CFF-94D2-2A3E31F6C39D}"/>
    </Anchor>
    <History>
      <Event time="2025-12-19T05:34:34.82" id="{71F943E4-7A85-421C-A6D1-6E54CF4A8CE5}">
        <Attribution userId="S::Roshni.Kumar@biworldwide.com::76d88258-516a-44e4-8a40-12f2d51dc12c" userName="Roshni Kumar" userProvider="AD"/>
        <Anchor>
          <Comment id="{AABD39DA-B2C1-4CFF-94D2-2A3E31F6C39D}"/>
        </Anchor>
        <Create/>
      </Event>
      <Event time="2025-12-19T05:34:34.82" id="{749C1528-A14A-4C14-9A47-6D7929748657}">
        <Attribution userId="S::Roshni.Kumar@biworldwide.com::76d88258-516a-44e4-8a40-12f2d51dc12c" userName="Roshni Kumar" userProvider="AD"/>
        <Anchor>
          <Comment id="{AABD39DA-B2C1-4CFF-94D2-2A3E31F6C39D}"/>
        </Anchor>
        <Assign userId="S::Hemanth.Kannan@biworldwide.com::b2365473-fc9c-40f1-935e-0b2074ab6cff" userName="Hemanth Kannan" userProvider="AD"/>
      </Event>
      <Event time="2025-12-19T05:34:34.82" id="{0847D14A-C7A6-46EF-B122-E3F10F7021CB}">
        <Attribution userId="S::Roshni.Kumar@biworldwide.com::76d88258-516a-44e4-8a40-12f2d51dc12c" userName="Roshni Kumar" userProvider="AD"/>
        <Anchor>
          <Comment id="{AABD39DA-B2C1-4CFF-94D2-2A3E31F6C39D}"/>
        </Anchor>
        <SetTitle title="@Hemanth Kannan This is very generic to me, and looks like this overlaps with other items already mentioned."/>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rinivas/AppData/Local/Microsoft/Windows/INetCache/Content.Outlook/OFUF08CW/Creative_Tracker_March_2021_Channel_Smar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uruganandham_jayapal_biworldwide_com/Documents/01%20Planning/CS/Phoenix/2026/Phoenix-H2-Plan-v1.0.xlsx" TargetMode="External"/><Relationship Id="rId2" Type="http://schemas.openxmlformats.org/officeDocument/2006/relationships/externalLinkPath" Target="https://biworldwide-my.sharepoint.com/personal/muruganandham_jayapal_biworldwide_com/Documents/01%20Planning/CS/Phoenix/2026/Phoenix-H2-Plan-v1.0.xlsx" TargetMode="External"/><Relationship Id="rId1" Type="http://schemas.openxmlformats.org/officeDocument/2006/relationships/externalLinkPath" Target="/personal/muruganandham_jayapal_biworldwide_com/Documents/01%20Planning/CS/Phoenix/2026/Phoenix-H2-Plan-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March21"/>
    </sheetNames>
    <sheetDataSet>
      <sheetData sheetId="0">
        <row r="2">
          <cell r="A2" t="str">
            <v>eDM (Design &amp; HTML)</v>
          </cell>
        </row>
        <row r="3">
          <cell r="A3" t="str">
            <v>eDM (Design)</v>
          </cell>
        </row>
        <row r="4">
          <cell r="A4" t="str">
            <v>Online Banner (Static)</v>
          </cell>
        </row>
        <row r="5">
          <cell r="A5" t="str">
            <v>Online Banner Gif (3 Frames)</v>
          </cell>
        </row>
        <row r="6">
          <cell r="A6" t="str">
            <v>Social media creative</v>
          </cell>
        </row>
        <row r="7">
          <cell r="A7" t="str">
            <v xml:space="preserve">Infographics/case study - Simple </v>
          </cell>
        </row>
        <row r="8">
          <cell r="A8" t="str">
            <v xml:space="preserve">Infographics/case study - Complex </v>
          </cell>
        </row>
        <row r="9">
          <cell r="A9" t="str">
            <v>Whitepaper (Content &amp; Design) per page</v>
          </cell>
        </row>
        <row r="10">
          <cell r="A10" t="str">
            <v>Whitepaper (Design upto 4 pages)</v>
          </cell>
        </row>
        <row r="11">
          <cell r="A11" t="str">
            <v>Website Design Template (Home Page + 1 Inside Page, including Copy &amp; Html)</v>
          </cell>
        </row>
        <row r="12">
          <cell r="A12" t="str">
            <v>Additional Web Page (per page design + copy + html)</v>
          </cell>
        </row>
        <row r="13">
          <cell r="A13" t="str">
            <v>Webpage-Pop ups</v>
          </cell>
        </row>
        <row r="14">
          <cell r="A14" t="str">
            <v>Dashboard charts per page</v>
          </cell>
        </row>
        <row r="15">
          <cell r="A15" t="str">
            <v>Flowchart</v>
          </cell>
        </row>
        <row r="16">
          <cell r="A16" t="str">
            <v>eNewsletter (Design) (like Coolopedia)</v>
          </cell>
        </row>
        <row r="17">
          <cell r="A17" t="str">
            <v>Additional  newsletter pages per page</v>
          </cell>
        </row>
        <row r="18">
          <cell r="A18" t="str">
            <v>Program Concept &amp; Branding (Program Brand Name, Program Theme, Program Logo)</v>
          </cell>
        </row>
        <row r="19">
          <cell r="A19" t="str">
            <v>Logo + Program Name</v>
          </cell>
        </row>
        <row r="20">
          <cell r="A20" t="str">
            <v xml:space="preserve">Logo </v>
          </cell>
        </row>
        <row r="21">
          <cell r="A21" t="str">
            <v>Email signature</v>
          </cell>
        </row>
        <row r="22">
          <cell r="A22" t="str">
            <v xml:space="preserve">Stamp design </v>
          </cell>
        </row>
        <row r="23">
          <cell r="A23" t="str">
            <v>Letterhead</v>
          </cell>
        </row>
        <row r="24">
          <cell r="A24" t="str">
            <v>Signange</v>
          </cell>
        </row>
        <row r="25">
          <cell r="A25" t="str">
            <v>Thank You card/Invitation card/Greeting card</v>
          </cell>
        </row>
        <row r="26">
          <cell r="A26" t="str">
            <v>Envelope</v>
          </cell>
        </row>
        <row r="27">
          <cell r="A27" t="str">
            <v>Window Envelope</v>
          </cell>
        </row>
        <row r="28">
          <cell r="A28" t="str">
            <v>Membership Card</v>
          </cell>
        </row>
        <row r="29">
          <cell r="A29" t="str">
            <v xml:space="preserve">Diary </v>
          </cell>
        </row>
        <row r="30">
          <cell r="A30" t="str">
            <v>PPT Main slide design</v>
          </cell>
        </row>
        <row r="31">
          <cell r="A31" t="str">
            <v>PPT slide (Design &amp; Copy) per slide*</v>
          </cell>
        </row>
        <row r="32">
          <cell r="A32" t="str">
            <v>Booth backdrop design &amp; content*</v>
          </cell>
        </row>
        <row r="33">
          <cell r="A33" t="str">
            <v>AV (script, Visual creation, animation, voice over &amp; editing) upto 2 mins*</v>
          </cell>
        </row>
        <row r="34">
          <cell r="A34" t="str">
            <v>Brochure 2 Page (4 sides), single fold, upto A4 page size)*</v>
          </cell>
        </row>
        <row r="35">
          <cell r="A35" t="str">
            <v>Rewards Catalogue brochure (max 8-12 pages in total)</v>
          </cell>
        </row>
        <row r="36">
          <cell r="A36" t="str">
            <v>Leaflet</v>
          </cell>
        </row>
        <row r="37">
          <cell r="A37" t="str">
            <v>Deskeepers (single fold)</v>
          </cell>
        </row>
        <row r="38">
          <cell r="A38" t="str">
            <v xml:space="preserve">Letter </v>
          </cell>
        </row>
        <row r="39">
          <cell r="A39" t="str">
            <v>Poster</v>
          </cell>
        </row>
        <row r="40">
          <cell r="A40" t="str">
            <v>Banner</v>
          </cell>
        </row>
        <row r="41">
          <cell r="A41" t="str">
            <v xml:space="preserve">Certificate </v>
          </cell>
        </row>
        <row r="42">
          <cell r="A42" t="str">
            <v>Dangler</v>
          </cell>
        </row>
        <row r="43">
          <cell r="A43" t="str">
            <v>Sticker/Wobbler</v>
          </cell>
        </row>
        <row r="44">
          <cell r="A44" t="str">
            <v>Standee</v>
          </cell>
        </row>
        <row r="45">
          <cell r="A45" t="str">
            <v xml:space="preserve">Tent Card </v>
          </cell>
        </row>
        <row r="46">
          <cell r="A46" t="str">
            <v>Trophy Design</v>
          </cell>
        </row>
        <row r="47">
          <cell r="A47" t="str">
            <v>Scratch Card</v>
          </cell>
        </row>
        <row r="48">
          <cell r="A48" t="str">
            <v>T Shirt Branding</v>
          </cell>
        </row>
        <row r="49">
          <cell r="A49" t="str">
            <v>Mug branding</v>
          </cell>
        </row>
        <row r="50">
          <cell r="A50" t="str">
            <v>DM Box*</v>
          </cell>
        </row>
        <row r="51">
          <cell r="A51" t="str">
            <v>Selfie Props</v>
          </cell>
        </row>
        <row r="52">
          <cell r="A52" t="str">
            <v>Badge icon</v>
          </cell>
        </row>
        <row r="53">
          <cell r="A53" t="str">
            <v>Registration Form</v>
          </cell>
        </row>
        <row r="54">
          <cell r="A54" t="str">
            <v>Client specific passion pack vouchers (logo + experience copy edits)*</v>
          </cell>
        </row>
        <row r="55">
          <cell r="A55" t="str">
            <v>Image resize (Per image)</v>
          </cell>
        </row>
        <row r="56">
          <cell r="A56" t="str">
            <v>Placing logo + minor copy edits*</v>
          </cell>
        </row>
        <row r="57">
          <cell r="A57" t="str">
            <v>Adaptation charges*</v>
          </cell>
        </row>
        <row r="58">
          <cell r="A58" t="str">
            <v>Iteration (more than 2 iterations will be charged)</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2 Working Sheet (2)"/>
      <sheetName val="H2 Working Sheet"/>
      <sheetName val="Billing Data"/>
      <sheetName val="Fortnight Status"/>
      <sheetName val="IntelSuite - Summary"/>
      <sheetName val="Plan-Working"/>
      <sheetName val="Plan-2526-Q4"/>
      <sheetName val="Plan-2627"/>
      <sheetName val="Sheet7"/>
      <sheetName val="Budget-old-remove"/>
      <sheetName val="Budget"/>
      <sheetName val="Plan"/>
      <sheetName val="LeaveTracker"/>
      <sheetName val="ResourceMaster"/>
      <sheetName val="TaskTracker"/>
      <sheetName val="SprintOverview"/>
      <sheetName val="ResourceHeatmap"/>
      <sheetName val="Configs"/>
      <sheetName val="Sheet2"/>
      <sheetName val="Sheet1"/>
      <sheetName val="Sheet4"/>
      <sheetName val="Workshop 26 MOM"/>
      <sheetName val="Core-Maintenance"/>
      <sheetName val="Phoenix-H2-Plan-v1.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ow r="8">
          <cell r="B8">
            <v>46023</v>
          </cell>
        </row>
        <row r="9">
          <cell r="B9">
            <v>46037</v>
          </cell>
        </row>
        <row r="10">
          <cell r="B10">
            <v>46048</v>
          </cell>
        </row>
        <row r="11">
          <cell r="B11">
            <v>46112</v>
          </cell>
        </row>
        <row r="12">
          <cell r="B12">
            <v>46126</v>
          </cell>
        </row>
        <row r="13">
          <cell r="B13">
            <v>46143</v>
          </cell>
        </row>
        <row r="14">
          <cell r="B14">
            <v>46249</v>
          </cell>
        </row>
        <row r="15">
          <cell r="B15">
            <v>46296</v>
          </cell>
        </row>
        <row r="16">
          <cell r="B16">
            <v>46297</v>
          </cell>
        </row>
        <row r="17">
          <cell r="B17">
            <v>46316</v>
          </cell>
        </row>
        <row r="18">
          <cell r="B18">
            <v>46381</v>
          </cell>
        </row>
      </sheetData>
      <sheetData sheetId="18" refreshError="1"/>
      <sheetData sheetId="19" refreshError="1"/>
      <sheetData sheetId="20" refreshError="1"/>
      <sheetData sheetId="21" refreshError="1"/>
      <sheetData sheetId="22" refreshError="1"/>
      <sheetData sheetId="23" refreshError="1"/>
    </sheetDataSet>
  </externalBook>
</externalLink>
</file>

<file path=xl/persons/person.xml><?xml version="1.0" encoding="utf-8"?>
<personList xmlns="http://schemas.microsoft.com/office/spreadsheetml/2018/threadedcomments" xmlns:x="http://schemas.openxmlformats.org/spreadsheetml/2006/main">
  <person displayName="Hemanth Kannan" id="{A536A141-DC82-4CCB-B33A-91DDA12C5F12}" userId="Hemanth.Kannan@biworldwide.com" providerId="PeoplePicker"/>
  <person displayName="Roshni Kumar" id="{9FD05714-B6EF-4326-AF72-E4139CEA5B04}" userId="S::Roshni.Kumar@biworldwide.com::76d88258-516a-44e4-8a40-12f2d51dc1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h Kannan" refreshedDate="46195.430502314812" createdVersion="8" refreshedVersion="8" minRefreshableVersion="3" recordCount="33" xr:uid="{FE484B25-ABC2-4FB9-8AB1-2B9C8A5FDFA2}">
  <cacheSource type="worksheet">
    <worksheetSource ref="B1:I34" sheet="FY 27 Planning"/>
  </cacheSource>
  <cacheFields count="8">
    <cacheField name="Priority" numFmtId="0">
      <sharedItems/>
    </cacheField>
    <cacheField name="Include" numFmtId="0">
      <sharedItems/>
    </cacheField>
    <cacheField name="Project" numFmtId="0">
      <sharedItems/>
    </cacheField>
    <cacheField name="Category" numFmtId="0">
      <sharedItems/>
    </cacheField>
    <cacheField name="Quarter" numFmtId="0">
      <sharedItems count="6">
        <s v="Q1"/>
        <s v="Q2"/>
        <s v="TBD"/>
        <s v="Q1, Q2, Q3, Q4"/>
        <s v="Q1,Q2"/>
        <s v="Q3"/>
      </sharedItems>
    </cacheField>
    <cacheField name="Hours" numFmtId="0">
      <sharedItems containsString="0" containsBlank="1" containsNumber="1" containsInteger="1" minValue="40" maxValue="1680"/>
    </cacheField>
    <cacheField name="Title" numFmtId="0">
      <sharedItems count="54">
        <s v="Shutting down BRIKS service from Nackle"/>
        <s v="Integrate the email validation service for Channel Smart 1.0"/>
        <s v="Build Unsubscribe feature for all the promotional emails"/>
        <s v="Cash + Wallet + Compliance - Integration patch for CS 1.0"/>
        <s v="ERP Connerctor Service"/>
        <s v="Technology refresh"/>
        <s v="Build a game engine - Requirements "/>
        <s v="New UI for platform portal"/>
        <s v="BRD Composer"/>
        <s v="Communication connector which can support the Whatsapp and Wechat communicaton bi direction"/>
        <s v="AI-Powered Claim Validation"/>
        <s v="MDF Budget Management &amp; Incentivization"/>
        <s v="AI Display Audit &amp; Compliance Management"/>
        <s v="Organization-Centric Loyalty Journey"/>
        <s v="Social Advocacy &amp; Partner Influence Platform"/>
        <s v="Partner Referral &amp; Growth Engine"/>
        <s v="AI-Powered Audience Segmentation"/>
        <s v="Embedded Gamification Experiences"/>
        <s v="Achievo - Android 16 Upgrade"/>
        <s v="Achievo - iOS Updates"/>
        <s v="Achievo Mobile Experience Modernization"/>
        <s v="Application Issue Fixes and Remediation"/>
        <s v="GitLab DAST Enablement for Web Application and Admin Console"/>
        <s v="Release Management, Regression Testing and Test Automation"/>
        <s v="Architecture Proposal: Core + Extension Model for Participant Portals"/>
        <s v="File Upload Module Stabilization and Validation Enhancements"/>
        <s v="Release Governance, Code Merge and Deployment Control"/>
        <s v="Performance Testing, Tuning and Test Suite Management"/>
        <s v="Code Refactoring, Dependency Upgrades and Deprecated Code Removal"/>
        <s v="Achievo Mobile App Upgrades and Store Policy Compliance Updates"/>
        <s v="Next.js 16.x LTS Upgrade for Admin Console and Platform Web Apps"/>
        <s v="Yearly External VAPT for Web Application"/>
        <s v="Scalable File Upload Processing Enhancement"/>
        <s v="AWS Secrets Manager Enforcement for Service Credentials" u="1"/>
        <s v="DevOps Management, Improvements and Pipeline Monitoring" u="1"/>
        <s v="Release Based Feature Documentation" u="1"/>
        <s v="SAST Vulnerability Fixes Based on GitLab Security Findings" u="1"/>
        <s v="Monthly Library Upgrade Assessment and Remediation Across Services" u="1"/>
        <s v="Kubernetes Resource Optimization" u="1"/>
        <s v="Yearly External VAPT for Mobile Application" u="1"/>
        <s v="Table-Specific Metadata Model Storage Enhancement" u="1"/>
        <s v="System Wide AWS Redis Caching Layer Enablement" u="1"/>
        <s v="Form Builder Decoupling into Standalone NPM Package" u="1"/>
        <s v="Internal VAPT - Half-Yearly Penetration Testing and Fixes" u="1"/>
        <s v="Infrastructure and Application Monitoring for EKS Platform" u="1"/>
        <s v="Configuration Migration Tool Enhancement" u="1"/>
        <s v="Workflow Engine Observability and Traceability Enhancements" u="1"/>
        <s v="Command and Query Engine Enhancement with GraphQL Evaluation" u="1"/>
        <s v="View Builder Governance and Performance Enhancement" u="1"/>
        <s v="Metadata Services Governance and Validation Enhancements" u="1"/>
        <s v="Cloud Usage Chargeback Model, Monthly Tenant-Level Allocation" u="1"/>
        <s v="Connector Specific Property Model Enhancement" u="1"/>
        <s v="Application Health Monitoring Dashboard" u="1"/>
        <s v="Disaster Recovery Drill and Runbook Execution" u="1"/>
      </sharedItems>
    </cacheField>
    <cacheField name="Descriptio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h Kannan" refreshedDate="46201.759062152778" createdVersion="8" refreshedVersion="8" minRefreshableVersion="3" recordCount="3714" xr:uid="{73015DF2-D94F-4E22-BC27-4A1E897A6022}">
  <cacheSource type="worksheet">
    <worksheetSource ref="A1:L1048576" sheet="FY26 Billing"/>
  </cacheSource>
  <cacheFields count="12">
    <cacheField name="Project" numFmtId="0">
      <sharedItems containsString="0" containsBlank="1" containsNumber="1" containsInteger="1" minValue="66194" maxValue="68097"/>
    </cacheField>
    <cacheField name="PID" numFmtId="0">
      <sharedItems containsBlank="1" count="10">
        <s v="FY26-CS 2.0 Maintenance"/>
        <s v="FY25-Channel Smart 2.0-Phoenix"/>
        <s v="FY26-CS 2.0 New Features"/>
        <s v="FY25 - Channel Smart 2.1 - Pho"/>
        <s v="FY26-CS 1.X Maintenance"/>
        <s v="FY26-CS 2.0 Enhancements"/>
        <s v="FY26-CS 2.0 Governance"/>
        <s v="FY26-CS 2.0-Documentation"/>
        <s v="FY26-CS 2.0 IN-Maintenance"/>
        <m/>
      </sharedItems>
    </cacheField>
    <cacheField name="Activity" numFmtId="0">
      <sharedItems containsBlank="1"/>
    </cacheField>
    <cacheField name="Activity2" numFmtId="0">
      <sharedItems containsBlank="1" count="49">
        <s v="VAPT Support &amp; Fixes"/>
        <s v="Dynamic Tiering"/>
        <s v="Phoenix QA – Defect Testing"/>
        <s v="Defect Fixes"/>
        <s v="LXP (Dev,QA, Documentation)"/>
        <s v="Analysis – Technology"/>
        <s v="Analysis – Functional Improvem"/>
        <s v="Phoenix KT Activities"/>
        <s v="Automation Scripts Update"/>
        <s v="Admin Guide Documentation"/>
        <s v="UAT – Stake Holders Support"/>
        <s v="Nackle Migration"/>
        <s v="Q4 - Maintenance"/>
        <s v="Achievo SDK"/>
        <s v="Rewards Hub Changes(CS 1.0)"/>
        <s v="Release Management Activities"/>
        <s v="Core Product Issues"/>
        <s v="Configuration Migration"/>
        <s v="Fraud Management for Phoenix"/>
        <s v="Enhancements(Q1, Q2, Q3, Q4)"/>
        <s v="CS 1.0 and 2.0 - Others"/>
        <s v="Sprint Meetings"/>
        <s v="Documentation"/>
        <s v="Delivery Support"/>
        <s v="Coupon Performance Improvement"/>
        <s v="Performance Improvements"/>
        <s v="Delivery Support - Governance"/>
        <s v="Q3 - Maintenance"/>
        <s v="Technology Upgrades"/>
        <s v="Achievo Offline Features"/>
        <s v="Rewards Hub Changes(CS 2.0)"/>
        <s v="Core Product Governance"/>
        <s v="Wallet Feature – Development"/>
        <s v="Integration Service in Phoenix"/>
        <s v="Regression and Release Testing"/>
        <s v="Phoenix Performance Testing"/>
        <s v="Phoenix Specific Changes"/>
        <s v="CS 2.0 FY 26 New Features"/>
        <m/>
        <s v="Q1 - Planned Enhancements" u="1"/>
        <s v="Q4 - Enhancements" u="1"/>
        <s v="Q2 - Planned Enhancements" u="1"/>
        <s v="Q3 - Planned Enhancements" u="1"/>
        <s v="Q2 - Enhancements" u="1"/>
        <s v="Q3 - Enhancements" u="1"/>
        <s v="LXP Dev" u="1"/>
        <s v="LXP QA" u="1"/>
        <s v="LXP" u="1"/>
        <s v="LXP Documentation" u="1"/>
      </sharedItems>
    </cacheField>
    <cacheField name="Acctg Date" numFmtId="0">
      <sharedItems containsNonDate="0" containsDate="1" containsString="0" containsBlank="1" minDate="2025-07-01T00:00:00" maxDate="2026-06-13T00:00:00"/>
    </cacheField>
    <cacheField name="ID" numFmtId="0">
      <sharedItems containsBlank="1" containsMixedTypes="1" containsNumber="1" containsInteger="1" minValue="6319" maxValue="6994"/>
    </cacheField>
    <cacheField name="Name" numFmtId="0">
      <sharedItems containsBlank="1"/>
    </cacheField>
    <cacheField name="Amount" numFmtId="1">
      <sharedItems containsString="0" containsBlank="1" containsNumber="1" minValue="-346.81374159610095" maxValue="346.81374159610095"/>
    </cacheField>
    <cacheField name="Trans Date" numFmtId="0">
      <sharedItems containsNonDate="0" containsDate="1" containsString="0" containsBlank="1" minDate="2025-07-01T00:00:00" maxDate="2026-06-13T00:00:00"/>
    </cacheField>
    <cacheField name="Quantity" numFmtId="0">
      <sharedItems containsString="0" containsBlank="1" containsNumber="1" minValue="-10" maxValue="10"/>
    </cacheField>
    <cacheField name="Month" numFmtId="0">
      <sharedItems containsBlank="1" count="25">
        <s v="Feb"/>
        <s v="Mar"/>
        <s v="Apr"/>
        <s v="Jul"/>
        <s v="Aug"/>
        <s v="Sep"/>
        <s v="Oct"/>
        <s v="Nov"/>
        <s v="Dec"/>
        <s v="Jan"/>
        <s v="May"/>
        <s v="Jun"/>
        <m/>
        <s v="2026 02" u="1"/>
        <s v="2026 03" u="1"/>
        <s v="2026 04" u="1"/>
        <s v="2025 07" u="1"/>
        <s v="2025 08" u="1"/>
        <s v="2025 09" u="1"/>
        <s v="2025 10" u="1"/>
        <s v="2025 11" u="1"/>
        <s v="2025 12" u="1"/>
        <s v="2026 01" u="1"/>
        <s v="2026 05" u="1"/>
        <s v="2026 06" u="1"/>
      </sharedItems>
    </cacheField>
    <cacheField name="Rol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s v="High"/>
    <s v="Yes"/>
    <s v="CS 1.0"/>
    <s v="Maintenance"/>
    <x v="0"/>
    <n v="40"/>
    <x v="0"/>
    <s v="Pending action to completely remove BRIKS services from Nackle ecosystem "/>
  </r>
  <r>
    <s v="High"/>
    <s v="Yes"/>
    <s v="CS 1.0"/>
    <s v="Maintenance"/>
    <x v="0"/>
    <n v="40"/>
    <x v="1"/>
    <s v="Handle the self registration and bulk load scneario"/>
  </r>
  <r>
    <s v="High"/>
    <s v="Yes"/>
    <s v="CS 1.0"/>
    <s v="Maintenance"/>
    <x v="0"/>
    <n v="60"/>
    <x v="2"/>
    <s v="Build Unsubscribe feature for all the promotional emails"/>
  </r>
  <r>
    <s v="High"/>
    <s v="Yes"/>
    <s v="CS 1.0"/>
    <s v="Feature"/>
    <x v="0"/>
    <n v="200"/>
    <x v="3"/>
    <m/>
  </r>
  <r>
    <s v="High"/>
    <s v="Yes"/>
    <s v="CS 2.0"/>
    <s v="New Feature"/>
    <x v="0"/>
    <n v="350"/>
    <x v="4"/>
    <m/>
  </r>
  <r>
    <s v="High"/>
    <s v="Yes"/>
    <s v="CS 2.0"/>
    <s v="Maintenance"/>
    <x v="0"/>
    <n v="80"/>
    <x v="5"/>
    <s v="Mandatory adoption of newer tools and frameworks_x000a_Phoenix - Platform Site Upgrades (Onetime) To 16.x_x000a_Admin - Platform Site Upgrades (Onetime) To 16.x"/>
  </r>
  <r>
    <s v="High"/>
    <s v="Yes"/>
    <s v="CS 2.0"/>
    <s v="Feature"/>
    <x v="0"/>
    <n v="60"/>
    <x v="6"/>
    <s v="N/A"/>
  </r>
  <r>
    <s v="High"/>
    <s v="Yes"/>
    <s v="CS 2.0"/>
    <s v="Enhancement"/>
    <x v="0"/>
    <n v="160"/>
    <x v="7"/>
    <m/>
  </r>
  <r>
    <s v="High"/>
    <s v="Yes"/>
    <s v="CS 2.0"/>
    <s v="Feature"/>
    <x v="0"/>
    <n v="300"/>
    <x v="8"/>
    <s v="BRD Composer"/>
  </r>
  <r>
    <s v="High"/>
    <s v="Yes"/>
    <s v="CS 2.0"/>
    <s v="Feature"/>
    <x v="0"/>
    <n v="600"/>
    <x v="9"/>
    <m/>
  </r>
  <r>
    <s v="High"/>
    <s v="Yes"/>
    <s v="CS 2.0"/>
    <s v="Feature"/>
    <x v="1"/>
    <m/>
    <x v="10"/>
    <s v="Introduce AI-assisted claim validation capabilities leveraging intelligent document processing to automate claim ingestion, extraction, validation, routing, and continuous learning. Strategic FY27 initiative under evaluation."/>
  </r>
  <r>
    <s v="High"/>
    <s v="Pending"/>
    <s v="CS 2.0"/>
    <s v="Feature"/>
    <x v="2"/>
    <m/>
    <x v="11"/>
    <s v="Develop end-to-end MDF request, approval, budget allocation, campaign setup, and incentive distribution capabilities to improve fund utilization and business outcome tracking. Strategic FY27 initiative under evaluation."/>
  </r>
  <r>
    <s v="High"/>
    <s v="Pending"/>
    <s v="CS 2.0"/>
    <s v="Feature"/>
    <x v="2"/>
    <m/>
    <x v="12"/>
    <s v="Implement AI-powered image analysis to automate display compliance audits, validate merchandising standards, and improve audit scalability, accuracy, and efficiency. Strategic FY27 initiative under evaluation."/>
  </r>
  <r>
    <s v="High"/>
    <s v="Pending"/>
    <s v="CS 2.0"/>
    <s v="Feature"/>
    <x v="2"/>
    <m/>
    <x v="13"/>
    <s v="Enable partner organizations to participate in loyalty and incentive programs through organization onboarding, governance controls, centralized reward management, and organization-led participation models. Strategic FY27 initiative under evaluation."/>
  </r>
  <r>
    <s v="High"/>
    <s v="Pending"/>
    <s v="CS 2.0"/>
    <s v="Feature"/>
    <x v="2"/>
    <m/>
    <x v="14"/>
    <s v="Enable partners to share approved brand content, track engagement and attribution, and participate in incentive-driven advocacy programs that extend brand reach and influence. Strategic FY27 initiative under evaluation."/>
  </r>
  <r>
    <s v="High"/>
    <s v="Pending"/>
    <s v="CS 2.0"/>
    <s v="Feature"/>
    <x v="2"/>
    <m/>
    <x v="15"/>
    <s v="Establish a referral ecosystem with attribution tracking, milestone-based rewards, referral analytics, and conversion visibility to support partner-led acquisition and network-driven growth. Strategic FY27 initiative under evaluation."/>
  </r>
  <r>
    <s v="High"/>
    <s v="Pending"/>
    <s v="CS 2.0"/>
    <s v="Feature"/>
    <x v="2"/>
    <m/>
    <x v="16"/>
    <s v="Enable business users to create audience segments using natural language queries across transactional, behavioral, and engagement data, improving campaign targeting and intervention effectiveness. Strategic FY27 initiative under evaluation."/>
  </r>
  <r>
    <s v="High"/>
    <s v="Pending"/>
    <s v="CS 2.0"/>
    <s v="Feature"/>
    <x v="2"/>
    <m/>
    <x v="17"/>
    <s v="Introduce contextual, embedded gaming experiences within partner journeys to increase engagement, accelerate reward cycles, encourage repeat interactions, and improve program participation. Strategic FY27 initiative under evaluation."/>
  </r>
  <r>
    <s v="High"/>
    <s v="Yes"/>
    <s v="CS 2.0 Achievo"/>
    <s v="Maintenance"/>
    <x v="0"/>
    <n v="40"/>
    <x v="18"/>
    <s v="Achievo - Android 16 Upgrade. Need to pick this for estimation in March"/>
  </r>
  <r>
    <s v="High"/>
    <s v="Yes"/>
    <s v="CS 2.0 Achievo"/>
    <s v="Maintenance"/>
    <x v="0"/>
    <n v="40"/>
    <x v="19"/>
    <s v="N/A"/>
  </r>
  <r>
    <s v="High"/>
    <s v="Pending"/>
    <s v="CS 2.0 Achievo"/>
    <s v="Feature"/>
    <x v="2"/>
    <m/>
    <x v="20"/>
    <s v="Modernize Achievo with mobile-native capabilities including push notifications, voice-assisted discovery, enhanced UX, QR-enabled interactions, gamification, and AI-assisted workflows to increase engagement and participation. Strategic FY27 initiative under evaluation."/>
  </r>
  <r>
    <s v="Critical"/>
    <s v="Yes"/>
    <s v="CS 2.0 Core"/>
    <s v="Tech Maintenance"/>
    <x v="3"/>
    <n v="1680"/>
    <x v="21"/>
    <s v="Issue Fixes - Analyse and fix application issues reported by delivery, internal, QA, or support teams outside planned feature implementation. This includes root cause analysis, required code/configuration fixes, validation, retesting support, and release through the planned delivery process."/>
  </r>
  <r>
    <s v="High"/>
    <s v="Yes"/>
    <s v="CS 2.0 Core"/>
    <s v="Tech Maintenance"/>
    <x v="3"/>
    <n v="160"/>
    <x v="22"/>
    <s v="Enable DAST for all the deployable services - Enable GitLab DAST for the Web Application and Admin Console to perform runtime vulnerability scanning as part of the GitLab DevSecOps pipeline. This will help identify security issues in deployed application flows and improve release-level security validation"/>
  </r>
  <r>
    <s v="Critical"/>
    <s v="Yes"/>
    <s v="CS 2.0 Core"/>
    <s v="Tech Maintenance"/>
    <x v="3"/>
    <n v="600"/>
    <x v="23"/>
    <s v="Release Management Activities - Regression Testing &amp; Automation - Manage release activities, coordinate deployments, perform regression testing, maintain automation scripts, validate fixes, support release sign-off, and monitor post-release stability. This includes improving regression automation coverage to reduce manual effort and improve release quality._x000a_Note: Reduced this effort considering the release maangement will also go to the respective features, for the delivery customization this will be part of the delivery budget"/>
  </r>
  <r>
    <s v="Critical"/>
    <s v="Yes"/>
    <s v="CS 2.0 Core"/>
    <s v="Tech Enhancements"/>
    <x v="0"/>
    <n v="600"/>
    <x v="24"/>
    <s v="Define a Core + Extension architecture model for Participant Portals to separate common product capabilities from client-specific customizations. This will help reduce the effort required to apply latest product changes across multiple delivery deployments, minimize the risk of overriding existing client-specific features, and improve maintainability, upgradeability, and release consistency across implementations."/>
  </r>
  <r>
    <s v="Critical"/>
    <s v="Yes"/>
    <s v="CS 2.0 Core"/>
    <s v="Tech Enhancements"/>
    <x v="0"/>
    <n v="600"/>
    <x v="25"/>
    <s v="Enhance the existing File Upload Module with improved validation, tracking, retry handling, and stabilization capabilities. This will improve upload reliability, reduce processing failures, provide better visibility into upload status, support controlled reprocessing, and strengthen the overall stability of file-based data ingestion."/>
  </r>
  <r>
    <s v="High"/>
    <s v="Yes"/>
    <s v="CS 2.0 Core"/>
    <s v="Tech Maintenance"/>
    <x v="0"/>
    <n v="220"/>
    <x v="26"/>
    <s v="Standardize the code merge and release management process by improving version control, conflict handling, release planning, approvals, deployment tracking, rollback governance, and client-specific patch management. This will strengthen engineering governance, reduce release risks, and improve operational control across releases."/>
  </r>
  <r>
    <s v="High"/>
    <s v="Yes"/>
    <s v="CS 2.0 Core"/>
    <s v="Tech Maintenance"/>
    <x v="4"/>
    <n v="600"/>
    <x v="27"/>
    <s v="Perform performance testing as per the planned test schedule, followed by performance fine-tuning, regression testing, test suite maintenance, fixture updates, and automation improvements. This includes adding or removing test fixtures, maintaining test scripts, validating performance improvements, and ensuring the test suite remains aligned with application changes._x000a_Note: Reduced this effort considering the release maangement will also go to the respective features"/>
  </r>
  <r>
    <s v="High"/>
    <s v="Yes"/>
    <s v="CS 2.0 Core"/>
    <s v="Tech Maintenance"/>
    <x v="1"/>
    <n v="240"/>
    <x v="28"/>
    <s v="Improve code quality and maintainability by refactoring existing code, upgrading outdated dependencies, and removing deprecated or unused code/components. This helps reduce technical debt, improve system stability, support security compliance, and keep the application aligned with current technology standards."/>
  </r>
  <r>
    <s v="Critical"/>
    <s v="Yes"/>
    <s v="CS 2.0 Core"/>
    <s v="Tech Maintenance"/>
    <x v="0"/>
    <n v="320"/>
    <x v="29"/>
    <s v="Perform Achievo mobile app upgrades and store-specific policy updates for iOS and Android. This includes updating SDKs, dependencies, build tools, privacy/permission declarations, App Store and Play Store compliance requirements, testing, build validation, and supporting app submission/review activities."/>
  </r>
  <r>
    <s v="Critical"/>
    <s v="Yes"/>
    <s v="CS 2.0 Core"/>
    <s v="Tech Maintenance"/>
    <x v="0"/>
    <n v="220"/>
    <x v="30"/>
    <s v="Upgrade Next.js to Version 16.x LTS (Admin &amp; Platform) - 14.X is already outdated and 15.x is reaching end of life by 21/Oct/2026"/>
  </r>
  <r>
    <s v="Critical"/>
    <s v="Yes"/>
    <s v="CS 2.0 Core"/>
    <s v="Tech Maintenance"/>
    <x v="5"/>
    <n v="220"/>
    <x v="31"/>
    <s v="Perform VAPT for web application as per planned schedule - Perform yearly external VAPT for the Web Application by coordinating with the external security team, providing required access and application details, reviewing reported findings, fixing applicable vulnerabilities, and supporting retesting and closure of identified issues."/>
  </r>
  <r>
    <s v="Critical"/>
    <s v="Yes"/>
    <s v="CS 2.0 Core"/>
    <s v="Tech Enhancements"/>
    <x v="0"/>
    <n v="180"/>
    <x v="32"/>
    <s v="Enhance the existing file upload processing architecture to handle large files with more than 100,000 records. This will address the current single-pod stateful processing limitation by improving scalability, reliability, and fault tolerance for high-volume upload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4">
  <r>
    <n v="67262"/>
    <x v="0"/>
    <s v="01224169"/>
    <x v="0"/>
    <d v="2026-02-09T00:00:00"/>
    <s v="IA1830"/>
    <s v="Raj,Gowtham"/>
    <n v="208.08824495766055"/>
    <d v="2026-02-09T00:00:00"/>
    <n v="6"/>
    <x v="0"/>
    <s v="Junior"/>
  </r>
  <r>
    <n v="67262"/>
    <x v="0"/>
    <s v="01224169"/>
    <x v="0"/>
    <d v="2026-02-09T00:00:00"/>
    <s v="IA1421"/>
    <s v="Jayapal,Muruganandham"/>
    <n v="138.72549663844038"/>
    <d v="2026-02-09T00:00:00"/>
    <n v="4"/>
    <x v="0"/>
    <s v="Engg Manager"/>
  </r>
  <r>
    <n v="67262"/>
    <x v="0"/>
    <s v="01224169"/>
    <x v="0"/>
    <d v="2026-02-10T00:00:00"/>
    <s v="IA1830"/>
    <s v="Raj,Gowtham"/>
    <n v="138.72549663844038"/>
    <d v="2026-02-10T00:00:00"/>
    <n v="4"/>
    <x v="0"/>
    <s v="Junior"/>
  </r>
  <r>
    <n v="67262"/>
    <x v="0"/>
    <s v="01224169"/>
    <x v="0"/>
    <d v="2026-02-10T00:00:00"/>
    <s v="IA1421"/>
    <s v="Jayapal,Muruganandham"/>
    <n v="138.72549663844038"/>
    <d v="2026-02-10T00:00:00"/>
    <n v="4"/>
    <x v="0"/>
    <s v="Engg Manager"/>
  </r>
  <r>
    <n v="67262"/>
    <x v="0"/>
    <s v="01224169"/>
    <x v="0"/>
    <d v="2026-02-11T00:00:00"/>
    <s v="IA1690"/>
    <s v="Duraisamy,Manikandaprabu"/>
    <n v="242.76961911727065"/>
    <d v="2026-02-11T00:00:00"/>
    <n v="7"/>
    <x v="0"/>
    <s v="Developer"/>
  </r>
  <r>
    <n v="67262"/>
    <x v="0"/>
    <s v="01224169"/>
    <x v="0"/>
    <d v="2026-02-11T00:00:00"/>
    <s v="IA1421"/>
    <s v="Jayapal,Muruganandham"/>
    <n v="138.72549663844038"/>
    <d v="2026-02-11T00:00:00"/>
    <n v="4"/>
    <x v="0"/>
    <s v="Engg Manager"/>
  </r>
  <r>
    <n v="67262"/>
    <x v="0"/>
    <s v="01224169"/>
    <x v="0"/>
    <d v="2026-02-12T00:00:00"/>
    <s v="IA1690"/>
    <s v="Duraisamy,Manikandaprabu"/>
    <n v="242.76961911727065"/>
    <d v="2026-02-12T00:00:00"/>
    <n v="7"/>
    <x v="0"/>
    <s v="Developer"/>
  </r>
  <r>
    <n v="67262"/>
    <x v="0"/>
    <s v="01224169"/>
    <x v="0"/>
    <d v="2026-02-12T00:00:00"/>
    <s v="IA1421"/>
    <s v="Jayapal,Muruganandham"/>
    <n v="138.72549663844038"/>
    <d v="2026-02-12T00:00:00"/>
    <n v="4"/>
    <x v="0"/>
    <s v="Engg Manager"/>
  </r>
  <r>
    <n v="67262"/>
    <x v="0"/>
    <s v="01224169"/>
    <x v="0"/>
    <d v="2026-02-13T00:00:00"/>
    <s v="IA1690"/>
    <s v="Duraisamy,Manikandaprabu"/>
    <n v="138.72549663844038"/>
    <d v="2026-02-13T00:00:00"/>
    <n v="4"/>
    <x v="0"/>
    <s v="Developer"/>
  </r>
  <r>
    <n v="67262"/>
    <x v="0"/>
    <s v="01224169"/>
    <x v="0"/>
    <d v="2026-02-13T00:00:00"/>
    <s v="IA1421"/>
    <s v="Jayapal,Muruganandham"/>
    <n v="138.72549663844038"/>
    <d v="2026-02-13T00:00:00"/>
    <n v="4"/>
    <x v="0"/>
    <s v="Engg Manager"/>
  </r>
  <r>
    <n v="67262"/>
    <x v="0"/>
    <s v="01224169"/>
    <x v="0"/>
    <d v="2026-02-14T00:00:00"/>
    <s v="IA1421"/>
    <s v="Jayapal,Muruganandham"/>
    <n v="138.72549663844038"/>
    <d v="2026-02-14T00:00:00"/>
    <n v="4"/>
    <x v="0"/>
    <s v="Engg Manager"/>
  </r>
  <r>
    <n v="67262"/>
    <x v="0"/>
    <s v="01224169"/>
    <x v="0"/>
    <d v="2026-02-16T00:00:00"/>
    <s v="IA1421"/>
    <s v="Jayapal,Muruganandham"/>
    <n v="69.362748319220188"/>
    <d v="2026-02-16T00:00:00"/>
    <n v="2"/>
    <x v="0"/>
    <s v="Engg Manager"/>
  </r>
  <r>
    <n v="67262"/>
    <x v="0"/>
    <s v="01224169"/>
    <x v="0"/>
    <d v="2026-02-17T00:00:00"/>
    <s v="IA1421"/>
    <s v="Jayapal,Muruganandham"/>
    <n v="69.362748319220188"/>
    <d v="2026-02-17T00:00:00"/>
    <n v="2"/>
    <x v="0"/>
    <s v="Engg Manager"/>
  </r>
  <r>
    <n v="67262"/>
    <x v="0"/>
    <s v="01224169"/>
    <x v="0"/>
    <d v="2026-02-18T00:00:00"/>
    <s v="IA1421"/>
    <s v="Jayapal,Muruganandham"/>
    <n v="69.362748319220188"/>
    <d v="2026-02-18T00:00:00"/>
    <n v="2"/>
    <x v="0"/>
    <s v="Engg Manager"/>
  </r>
  <r>
    <n v="67262"/>
    <x v="0"/>
    <s v="01224169"/>
    <x v="0"/>
    <d v="2026-02-19T00:00:00"/>
    <s v="IA1421"/>
    <s v="Jayapal,Muruganandham"/>
    <n v="69.362748319220188"/>
    <d v="2026-02-19T00:00:00"/>
    <n v="2"/>
    <x v="0"/>
    <s v="Engg Manager"/>
  </r>
  <r>
    <n v="67262"/>
    <x v="0"/>
    <s v="01224169"/>
    <x v="0"/>
    <d v="2026-02-21T00:00:00"/>
    <s v="IA1421"/>
    <s v="Jayapal,Muruganandham"/>
    <n v="208.08824495766055"/>
    <d v="2026-02-21T00:00:00"/>
    <n v="6"/>
    <x v="0"/>
    <s v="Engg Manager"/>
  </r>
  <r>
    <n v="67262"/>
    <x v="0"/>
    <s v="01224169"/>
    <x v="0"/>
    <d v="2026-02-21T00:00:00"/>
    <s v="IA1421"/>
    <s v="Jayapal,Muruganandham"/>
    <n v="-208.08824495766055"/>
    <d v="2026-02-21T00:00:00"/>
    <n v="-6"/>
    <x v="0"/>
    <s v="Engg Manager"/>
  </r>
  <r>
    <n v="67262"/>
    <x v="0"/>
    <s v="01224169"/>
    <x v="0"/>
    <d v="2026-02-23T00:00:00"/>
    <s v="IA1421"/>
    <s v="Jayapal,Muruganandham"/>
    <n v="104.04412247883027"/>
    <d v="2026-02-23T00:00:00"/>
    <n v="3"/>
    <x v="0"/>
    <s v="Engg Manager"/>
  </r>
  <r>
    <n v="67262"/>
    <x v="0"/>
    <s v="01224169"/>
    <x v="0"/>
    <d v="2026-02-24T00:00:00"/>
    <s v="IA1421"/>
    <s v="Jayapal,Muruganandham"/>
    <n v="104.04412247883027"/>
    <d v="2026-02-24T00:00:00"/>
    <n v="3"/>
    <x v="0"/>
    <s v="Engg Manager"/>
  </r>
  <r>
    <n v="67262"/>
    <x v="0"/>
    <s v="01224169"/>
    <x v="0"/>
    <d v="2026-02-25T00:00:00"/>
    <s v="IA1421"/>
    <s v="Jayapal,Muruganandham"/>
    <n v="104.04412247883027"/>
    <d v="2026-02-25T00:00:00"/>
    <n v="3"/>
    <x v="0"/>
    <s v="Engg Manager"/>
  </r>
  <r>
    <n v="67262"/>
    <x v="0"/>
    <s v="01224169"/>
    <x v="0"/>
    <d v="2026-02-26T00:00:00"/>
    <s v="IA1690"/>
    <s v="Duraisamy,Manikandaprabu"/>
    <n v="277.45099327688075"/>
    <d v="2026-02-26T00:00:00"/>
    <n v="8"/>
    <x v="0"/>
    <s v="Developer"/>
  </r>
  <r>
    <n v="67262"/>
    <x v="0"/>
    <s v="01224169"/>
    <x v="0"/>
    <d v="2026-02-27T00:00:00"/>
    <s v="IA1421"/>
    <s v="Jayapal,Muruganandham"/>
    <n v="104.04412247883027"/>
    <d v="2026-02-27T00:00:00"/>
    <n v="3"/>
    <x v="0"/>
    <s v="Engg Manager"/>
  </r>
  <r>
    <n v="67262"/>
    <x v="0"/>
    <s v="01224169"/>
    <x v="0"/>
    <d v="2026-03-02T00:00:00"/>
    <s v="IA1771"/>
    <s v="anandanshanmugam,kamesh"/>
    <n v="277.45099327688075"/>
    <d v="2026-03-02T00:00:00"/>
    <n v="8"/>
    <x v="1"/>
    <s v="Junior"/>
  </r>
  <r>
    <n v="67262"/>
    <x v="0"/>
    <s v="01224169"/>
    <x v="0"/>
    <d v="2026-03-02T00:00:00"/>
    <s v="IA1830"/>
    <s v="Raj,Gowtham"/>
    <n v="242.76961911727065"/>
    <d v="2026-03-02T00:00:00"/>
    <n v="7"/>
    <x v="1"/>
    <s v="Junior"/>
  </r>
  <r>
    <n v="67262"/>
    <x v="0"/>
    <s v="01224169"/>
    <x v="0"/>
    <d v="2026-03-02T00:00:00"/>
    <s v="IA1421"/>
    <s v="Jayapal,Muruganandham"/>
    <n v="69.362748319220188"/>
    <d v="2026-03-02T00:00:00"/>
    <n v="2"/>
    <x v="1"/>
    <s v="Engg Manager"/>
  </r>
  <r>
    <n v="67262"/>
    <x v="0"/>
    <s v="01224169"/>
    <x v="0"/>
    <d v="2026-03-03T00:00:00"/>
    <s v="IA1771"/>
    <s v="anandanshanmugam,kamesh"/>
    <n v="277.45099327688075"/>
    <d v="2026-03-03T00:00:00"/>
    <n v="8"/>
    <x v="1"/>
    <s v="Junior"/>
  </r>
  <r>
    <n v="67262"/>
    <x v="0"/>
    <s v="01224169"/>
    <x v="0"/>
    <d v="2026-03-03T00:00:00"/>
    <s v="IA1421"/>
    <s v="Jayapal,Muruganandham"/>
    <n v="69.362748319220188"/>
    <d v="2026-03-03T00:00:00"/>
    <n v="2"/>
    <x v="1"/>
    <s v="Engg Manager"/>
  </r>
  <r>
    <n v="67262"/>
    <x v="0"/>
    <s v="01224169"/>
    <x v="0"/>
    <d v="2026-03-09T00:00:00"/>
    <s v="IA1421"/>
    <s v="Jayapal,Muruganandham"/>
    <n v="156.06618371824541"/>
    <d v="2026-03-09T00:00:00"/>
    <n v="4.5"/>
    <x v="1"/>
    <s v="Engg Manager"/>
  </r>
  <r>
    <n v="67262"/>
    <x v="0"/>
    <s v="01224169"/>
    <x v="0"/>
    <d v="2026-03-30T00:00:00"/>
    <s v="IA1394"/>
    <s v="Baskar,Shriguru"/>
    <n v="277.45099327688075"/>
    <d v="2026-03-30T00:00:00"/>
    <n v="8"/>
    <x v="1"/>
    <s v="Niche Lead"/>
  </r>
  <r>
    <n v="67262"/>
    <x v="0"/>
    <s v="01224169"/>
    <x v="0"/>
    <d v="2026-03-31T00:00:00"/>
    <s v="IA1394"/>
    <s v="Baskar,Shriguru"/>
    <n v="277.45099327688075"/>
    <d v="2026-03-31T00:00:00"/>
    <n v="8"/>
    <x v="1"/>
    <s v="Niche Lead"/>
  </r>
  <r>
    <n v="67262"/>
    <x v="0"/>
    <s v="01224169"/>
    <x v="0"/>
    <d v="2026-03-31T00:00:00"/>
    <s v="IA1830"/>
    <s v="Raj,Gowtham"/>
    <n v="242.76961911727065"/>
    <d v="2026-03-31T00:00:00"/>
    <n v="7"/>
    <x v="1"/>
    <s v="Junior"/>
  </r>
  <r>
    <n v="67262"/>
    <x v="0"/>
    <s v="01224169"/>
    <x v="0"/>
    <d v="2026-04-01T00:00:00"/>
    <s v="IA1394"/>
    <s v="Baskar,Shriguru"/>
    <n v="277.45099327688075"/>
    <d v="2026-04-01T00:00:00"/>
    <n v="8"/>
    <x v="2"/>
    <s v="Niche Lead"/>
  </r>
  <r>
    <n v="67262"/>
    <x v="0"/>
    <s v="01224169"/>
    <x v="0"/>
    <d v="2026-04-02T00:00:00"/>
    <s v="IA1394"/>
    <s v="Baskar,Shriguru"/>
    <n v="277.45099327688075"/>
    <d v="2026-04-02T00:00:00"/>
    <n v="8"/>
    <x v="2"/>
    <s v="Niche Lead"/>
  </r>
  <r>
    <n v="67262"/>
    <x v="0"/>
    <s v="01224169"/>
    <x v="0"/>
    <d v="2026-04-03T00:00:00"/>
    <s v="IA1394"/>
    <s v="Baskar,Shriguru"/>
    <n v="277.45099327688075"/>
    <d v="2026-04-03T00:00:00"/>
    <n v="8"/>
    <x v="2"/>
    <s v="Niche Lead"/>
  </r>
  <r>
    <n v="66194"/>
    <x v="1"/>
    <s v="01187549"/>
    <x v="1"/>
    <d v="2025-07-01T00:00:00"/>
    <s v="IA1750"/>
    <s v="Sankarasubbu,RAMANATHAN"/>
    <n v="242.76961911727065"/>
    <d v="2025-07-01T00:00:00"/>
    <n v="7"/>
    <x v="3"/>
    <s v="Developer"/>
  </r>
  <r>
    <n v="66434"/>
    <x v="1"/>
    <s v="01171670"/>
    <x v="2"/>
    <d v="2025-07-02T00:00:00"/>
    <s v="IA1750"/>
    <s v="Sankarasubbu,RAMANATHAN"/>
    <n v="242.76961911727065"/>
    <d v="2025-07-02T00:00:00"/>
    <n v="7"/>
    <x v="3"/>
    <s v="Developer"/>
  </r>
  <r>
    <n v="66194"/>
    <x v="1"/>
    <s v="01187549"/>
    <x v="1"/>
    <d v="2025-07-03T00:00:00"/>
    <s v="IA1750"/>
    <s v="Sankarasubbu,RAMANATHAN"/>
    <n v="242.76961911727065"/>
    <d v="2025-07-03T00:00:00"/>
    <n v="7"/>
    <x v="3"/>
    <s v="Developer"/>
  </r>
  <r>
    <n v="66194"/>
    <x v="1"/>
    <s v="01187549"/>
    <x v="1"/>
    <d v="2025-07-04T00:00:00"/>
    <s v="IA1750"/>
    <s v="Sankarasubbu,RAMANATHAN"/>
    <n v="242.76961911727065"/>
    <d v="2025-07-04T00:00:00"/>
    <n v="7"/>
    <x v="3"/>
    <s v="Developer"/>
  </r>
  <r>
    <n v="67262"/>
    <x v="0"/>
    <s v="01192806"/>
    <x v="3"/>
    <d v="2025-07-07T00:00:00"/>
    <s v="IA1750"/>
    <s v="Sankarasubbu,RAMANATHAN"/>
    <n v="242.76961911727065"/>
    <d v="2025-07-07T00:00:00"/>
    <n v="7"/>
    <x v="3"/>
    <s v="Developer"/>
  </r>
  <r>
    <n v="67262"/>
    <x v="0"/>
    <s v="01192806"/>
    <x v="3"/>
    <d v="2025-07-08T00:00:00"/>
    <s v="IA1750"/>
    <s v="Sankarasubbu,RAMANATHAN"/>
    <n v="242.76961911727065"/>
    <d v="2025-07-08T00:00:00"/>
    <n v="7"/>
    <x v="3"/>
    <s v="Developer"/>
  </r>
  <r>
    <n v="67262"/>
    <x v="0"/>
    <s v="01192806"/>
    <x v="3"/>
    <d v="2025-07-09T00:00:00"/>
    <s v="IA1750"/>
    <s v="Sankarasubbu,RAMANATHAN"/>
    <n v="242.76961911727065"/>
    <d v="2025-07-09T00:00:00"/>
    <n v="7"/>
    <x v="3"/>
    <s v="Developer"/>
  </r>
  <r>
    <n v="67262"/>
    <x v="0"/>
    <s v="01192806"/>
    <x v="3"/>
    <d v="2025-07-10T00:00:00"/>
    <s v="IA1750"/>
    <s v="Sankarasubbu,RAMANATHAN"/>
    <n v="242.76961911727065"/>
    <d v="2025-07-10T00:00:00"/>
    <n v="7"/>
    <x v="3"/>
    <s v="Developer"/>
  </r>
  <r>
    <n v="67262"/>
    <x v="0"/>
    <s v="01192806"/>
    <x v="3"/>
    <d v="2025-07-11T00:00:00"/>
    <s v="IA1750"/>
    <s v="Sankarasubbu,RAMANATHAN"/>
    <n v="208.08824495766055"/>
    <d v="2025-07-11T00:00:00"/>
    <n v="6"/>
    <x v="3"/>
    <s v="Developer"/>
  </r>
  <r>
    <n v="67262"/>
    <x v="0"/>
    <s v="01192806"/>
    <x v="3"/>
    <d v="2025-07-14T00:00:00"/>
    <s v="IA1750"/>
    <s v="Sankarasubbu,RAMANATHAN"/>
    <n v="242.76961911727065"/>
    <d v="2025-07-14T00:00:00"/>
    <n v="7"/>
    <x v="3"/>
    <s v="Developer"/>
  </r>
  <r>
    <n v="67262"/>
    <x v="0"/>
    <s v="01192806"/>
    <x v="3"/>
    <d v="2025-07-15T00:00:00"/>
    <s v="IA1750"/>
    <s v="Sankarasubbu,RAMANATHAN"/>
    <n v="242.76961911727065"/>
    <d v="2025-07-15T00:00:00"/>
    <n v="7"/>
    <x v="3"/>
    <s v="Developer"/>
  </r>
  <r>
    <n v="67262"/>
    <x v="0"/>
    <s v="01192806"/>
    <x v="3"/>
    <d v="2025-07-16T00:00:00"/>
    <s v="IA1750"/>
    <s v="Sankarasubbu,RAMANATHAN"/>
    <n v="242.76961911727065"/>
    <d v="2025-07-16T00:00:00"/>
    <n v="7"/>
    <x v="3"/>
    <s v="Developer"/>
  </r>
  <r>
    <n v="67262"/>
    <x v="0"/>
    <s v="01192806"/>
    <x v="3"/>
    <d v="2025-07-17T00:00:00"/>
    <s v="IA1750"/>
    <s v="Sankarasubbu,RAMANATHAN"/>
    <n v="242.76961911727065"/>
    <d v="2025-07-17T00:00:00"/>
    <n v="7"/>
    <x v="3"/>
    <s v="Developer"/>
  </r>
  <r>
    <n v="67262"/>
    <x v="0"/>
    <s v="01192806"/>
    <x v="3"/>
    <d v="2025-07-18T00:00:00"/>
    <s v="IA1750"/>
    <s v="Sankarasubbu,RAMANATHAN"/>
    <n v="242.76961911727065"/>
    <d v="2025-07-18T00:00:00"/>
    <n v="7"/>
    <x v="3"/>
    <s v="Developer"/>
  </r>
  <r>
    <n v="67262"/>
    <x v="0"/>
    <s v="01192806"/>
    <x v="3"/>
    <d v="2025-07-21T00:00:00"/>
    <s v="IA1750"/>
    <s v="Sankarasubbu,RAMANATHAN"/>
    <n v="242.76961911727065"/>
    <d v="2025-07-21T00:00:00"/>
    <n v="7"/>
    <x v="3"/>
    <s v="Developer"/>
  </r>
  <r>
    <n v="67262"/>
    <x v="0"/>
    <s v="01192806"/>
    <x v="3"/>
    <d v="2025-07-22T00:00:00"/>
    <s v="IA1750"/>
    <s v="Sankarasubbu,RAMANATHAN"/>
    <n v="242.76961911727065"/>
    <d v="2025-07-22T00:00:00"/>
    <n v="7"/>
    <x v="3"/>
    <s v="Developer"/>
  </r>
  <r>
    <n v="67262"/>
    <x v="0"/>
    <s v="01192806"/>
    <x v="3"/>
    <d v="2025-07-23T00:00:00"/>
    <s v="IA1750"/>
    <s v="Sankarasubbu,RAMANATHAN"/>
    <n v="242.76961911727065"/>
    <d v="2025-07-23T00:00:00"/>
    <n v="7"/>
    <x v="3"/>
    <s v="Developer"/>
  </r>
  <r>
    <n v="67262"/>
    <x v="0"/>
    <s v="01192806"/>
    <x v="3"/>
    <d v="2025-07-24T00:00:00"/>
    <s v="IA1750"/>
    <s v="Sankarasubbu,RAMANATHAN"/>
    <n v="208.08824495766055"/>
    <d v="2025-07-24T00:00:00"/>
    <n v="6"/>
    <x v="3"/>
    <s v="Developer"/>
  </r>
  <r>
    <n v="67262"/>
    <x v="0"/>
    <s v="01192806"/>
    <x v="3"/>
    <d v="2025-07-25T00:00:00"/>
    <s v="IA1750"/>
    <s v="Sankarasubbu,RAMANATHAN"/>
    <n v="242.76961911727065"/>
    <d v="2025-07-25T00:00:00"/>
    <n v="7"/>
    <x v="3"/>
    <s v="Developer"/>
  </r>
  <r>
    <n v="67262"/>
    <x v="0"/>
    <s v="01192806"/>
    <x v="3"/>
    <d v="2025-07-28T00:00:00"/>
    <s v="IA1750"/>
    <s v="Sankarasubbu,RAMANATHAN"/>
    <n v="208.08824495766055"/>
    <d v="2025-07-28T00:00:00"/>
    <n v="6"/>
    <x v="3"/>
    <s v="Developer"/>
  </r>
  <r>
    <n v="67262"/>
    <x v="0"/>
    <s v="01192806"/>
    <x v="3"/>
    <d v="2025-07-29T00:00:00"/>
    <s v="IA1750"/>
    <s v="Sankarasubbu,RAMANATHAN"/>
    <n v="208.08824495766055"/>
    <d v="2025-07-29T00:00:00"/>
    <n v="6"/>
    <x v="3"/>
    <s v="Developer"/>
  </r>
  <r>
    <n v="67262"/>
    <x v="0"/>
    <s v="01192806"/>
    <x v="3"/>
    <d v="2025-07-30T00:00:00"/>
    <s v="IA1750"/>
    <s v="Sankarasubbu,RAMANATHAN"/>
    <n v="208.08824495766055"/>
    <d v="2025-07-30T00:00:00"/>
    <n v="6"/>
    <x v="3"/>
    <s v="Developer"/>
  </r>
  <r>
    <n v="67262"/>
    <x v="0"/>
    <s v="01192806"/>
    <x v="3"/>
    <d v="2025-07-31T00:00:00"/>
    <s v="IA1750"/>
    <s v="Sankarasubbu,RAMANATHAN"/>
    <n v="208.08824495766055"/>
    <d v="2025-07-31T00:00:00"/>
    <n v="6"/>
    <x v="3"/>
    <s v="Developer"/>
  </r>
  <r>
    <n v="67262"/>
    <x v="0"/>
    <s v="01192806"/>
    <x v="3"/>
    <d v="2025-08-01T00:00:00"/>
    <s v="IA1750"/>
    <s v="Sankarasubbu,RAMANATHAN"/>
    <n v="208.08824495766055"/>
    <d v="2025-08-01T00:00:00"/>
    <n v="6"/>
    <x v="4"/>
    <s v="Developer"/>
  </r>
  <r>
    <n v="67262"/>
    <x v="0"/>
    <s v="01192806"/>
    <x v="3"/>
    <d v="2025-08-04T00:00:00"/>
    <s v="IA1750"/>
    <s v="Sankarasubbu,RAMANATHAN"/>
    <n v="208.08824495766055"/>
    <d v="2025-08-04T00:00:00"/>
    <n v="6"/>
    <x v="4"/>
    <s v="Developer"/>
  </r>
  <r>
    <n v="67262"/>
    <x v="0"/>
    <s v="01192806"/>
    <x v="3"/>
    <d v="2025-08-05T00:00:00"/>
    <s v="IA1750"/>
    <s v="Sankarasubbu,RAMANATHAN"/>
    <n v="208.08824495766055"/>
    <d v="2025-08-05T00:00:00"/>
    <n v="6"/>
    <x v="4"/>
    <s v="Developer"/>
  </r>
  <r>
    <n v="67262"/>
    <x v="0"/>
    <s v="01192806"/>
    <x v="3"/>
    <d v="2025-08-06T00:00:00"/>
    <s v="IA1750"/>
    <s v="Sankarasubbu,RAMANATHAN"/>
    <n v="208.08824495766055"/>
    <d v="2025-08-06T00:00:00"/>
    <n v="6"/>
    <x v="4"/>
    <s v="Developer"/>
  </r>
  <r>
    <n v="67262"/>
    <x v="0"/>
    <s v="01192806"/>
    <x v="3"/>
    <d v="2025-08-07T00:00:00"/>
    <s v="IA1750"/>
    <s v="Sankarasubbu,RAMANATHAN"/>
    <n v="208.08824495766055"/>
    <d v="2025-08-07T00:00:00"/>
    <n v="6"/>
    <x v="4"/>
    <s v="Developer"/>
  </r>
  <r>
    <n v="67262"/>
    <x v="0"/>
    <s v="01192806"/>
    <x v="3"/>
    <d v="2025-08-08T00:00:00"/>
    <s v="IA1750"/>
    <s v="Sankarasubbu,RAMANATHAN"/>
    <n v="208.08824495766055"/>
    <d v="2025-08-08T00:00:00"/>
    <n v="6"/>
    <x v="4"/>
    <s v="Developer"/>
  </r>
  <r>
    <n v="67262"/>
    <x v="0"/>
    <s v="01192806"/>
    <x v="3"/>
    <d v="2025-08-11T00:00:00"/>
    <s v="IA1750"/>
    <s v="Sankarasubbu,RAMANATHAN"/>
    <n v="242.76961911727065"/>
    <d v="2025-08-11T00:00:00"/>
    <n v="7"/>
    <x v="4"/>
    <s v="Developer"/>
  </r>
  <r>
    <n v="67262"/>
    <x v="0"/>
    <s v="01192806"/>
    <x v="3"/>
    <d v="2025-08-12T00:00:00"/>
    <s v="IA1750"/>
    <s v="Sankarasubbu,RAMANATHAN"/>
    <n v="242.76961911727065"/>
    <d v="2025-08-12T00:00:00"/>
    <n v="7"/>
    <x v="4"/>
    <s v="Developer"/>
  </r>
  <r>
    <n v="67262"/>
    <x v="0"/>
    <s v="01192806"/>
    <x v="3"/>
    <d v="2025-08-13T00:00:00"/>
    <s v="IA1750"/>
    <s v="Sankarasubbu,RAMANATHAN"/>
    <n v="242.76961911727065"/>
    <d v="2025-08-13T00:00:00"/>
    <n v="7"/>
    <x v="4"/>
    <s v="Developer"/>
  </r>
  <r>
    <n v="67262"/>
    <x v="0"/>
    <s v="01192806"/>
    <x v="3"/>
    <d v="2025-08-14T00:00:00"/>
    <s v="IA1750"/>
    <s v="Sankarasubbu,RAMANATHAN"/>
    <n v="242.76961911727065"/>
    <d v="2025-08-14T00:00:00"/>
    <n v="7"/>
    <x v="4"/>
    <s v="Developer"/>
  </r>
  <r>
    <n v="67262"/>
    <x v="0"/>
    <s v="01192806"/>
    <x v="3"/>
    <d v="2025-08-18T00:00:00"/>
    <s v="IA1750"/>
    <s v="Sankarasubbu,RAMANATHAN"/>
    <n v="242.76961911727065"/>
    <d v="2025-08-18T00:00:00"/>
    <n v="7"/>
    <x v="4"/>
    <s v="Developer"/>
  </r>
  <r>
    <n v="67262"/>
    <x v="0"/>
    <s v="01192806"/>
    <x v="3"/>
    <d v="2025-08-19T00:00:00"/>
    <s v="IA1750"/>
    <s v="Sankarasubbu,RAMANATHAN"/>
    <n v="242.76961911727065"/>
    <d v="2025-08-19T00:00:00"/>
    <n v="7"/>
    <x v="4"/>
    <s v="Developer"/>
  </r>
  <r>
    <n v="67262"/>
    <x v="0"/>
    <s v="01192806"/>
    <x v="3"/>
    <d v="2025-08-20T00:00:00"/>
    <s v="IA1750"/>
    <s v="Sankarasubbu,RAMANATHAN"/>
    <n v="242.76961911727065"/>
    <d v="2025-08-20T00:00:00"/>
    <n v="7"/>
    <x v="4"/>
    <s v="Developer"/>
  </r>
  <r>
    <n v="67262"/>
    <x v="0"/>
    <s v="01192806"/>
    <x v="3"/>
    <d v="2025-08-21T00:00:00"/>
    <s v="IA1750"/>
    <s v="Sankarasubbu,RAMANATHAN"/>
    <n v="242.76961911727065"/>
    <d v="2025-08-21T00:00:00"/>
    <n v="7"/>
    <x v="4"/>
    <s v="Developer"/>
  </r>
  <r>
    <n v="67262"/>
    <x v="0"/>
    <s v="01192806"/>
    <x v="3"/>
    <d v="2025-08-22T00:00:00"/>
    <s v="IA1750"/>
    <s v="Sankarasubbu,RAMANATHAN"/>
    <n v="242.76961911727065"/>
    <d v="2025-08-22T00:00:00"/>
    <n v="7"/>
    <x v="4"/>
    <s v="Developer"/>
  </r>
  <r>
    <n v="67262"/>
    <x v="0"/>
    <s v="01192806"/>
    <x v="3"/>
    <d v="2025-08-25T00:00:00"/>
    <s v="IA1750"/>
    <s v="Sankarasubbu,RAMANATHAN"/>
    <n v="242.76961911727065"/>
    <d v="2025-08-25T00:00:00"/>
    <n v="7"/>
    <x v="4"/>
    <s v="Developer"/>
  </r>
  <r>
    <n v="67262"/>
    <x v="0"/>
    <s v="01192806"/>
    <x v="3"/>
    <d v="2025-08-26T00:00:00"/>
    <s v="IA1750"/>
    <s v="Sankarasubbu,RAMANATHAN"/>
    <n v="242.76961911727065"/>
    <d v="2025-08-26T00:00:00"/>
    <n v="7"/>
    <x v="4"/>
    <s v="Developer"/>
  </r>
  <r>
    <n v="67262"/>
    <x v="0"/>
    <s v="01192806"/>
    <x v="3"/>
    <d v="2025-08-27T00:00:00"/>
    <s v="IA1750"/>
    <s v="Sankarasubbu,RAMANATHAN"/>
    <n v="242.76961911727065"/>
    <d v="2025-08-27T00:00:00"/>
    <n v="7"/>
    <x v="4"/>
    <s v="Developer"/>
  </r>
  <r>
    <n v="67262"/>
    <x v="0"/>
    <s v="01192806"/>
    <x v="3"/>
    <d v="2025-08-28T00:00:00"/>
    <s v="IA1750"/>
    <s v="Sankarasubbu,RAMANATHAN"/>
    <n v="242.76961911727065"/>
    <d v="2025-08-28T00:00:00"/>
    <n v="7"/>
    <x v="4"/>
    <s v="Developer"/>
  </r>
  <r>
    <n v="67262"/>
    <x v="0"/>
    <s v="01192806"/>
    <x v="3"/>
    <d v="2025-08-29T00:00:00"/>
    <s v="IA1750"/>
    <s v="Sankarasubbu,RAMANATHAN"/>
    <n v="242.76961911727065"/>
    <d v="2025-08-29T00:00:00"/>
    <n v="7"/>
    <x v="4"/>
    <s v="Developer"/>
  </r>
  <r>
    <n v="67262"/>
    <x v="0"/>
    <s v="01192806"/>
    <x v="3"/>
    <d v="2025-09-01T00:00:00"/>
    <s v="IA1750"/>
    <s v="Sankarasubbu,RAMANATHAN"/>
    <n v="242.76961911727065"/>
    <d v="2025-09-01T00:00:00"/>
    <n v="7"/>
    <x v="5"/>
    <s v="Developer"/>
  </r>
  <r>
    <n v="67262"/>
    <x v="0"/>
    <s v="01192806"/>
    <x v="3"/>
    <d v="2025-09-02T00:00:00"/>
    <s v="IA1750"/>
    <s v="Sankarasubbu,RAMANATHAN"/>
    <n v="208.08824495766055"/>
    <d v="2025-09-02T00:00:00"/>
    <n v="6"/>
    <x v="5"/>
    <s v="Developer"/>
  </r>
  <r>
    <n v="67262"/>
    <x v="0"/>
    <s v="01192806"/>
    <x v="3"/>
    <d v="2025-09-03T00:00:00"/>
    <s v="IA1750"/>
    <s v="Sankarasubbu,RAMANATHAN"/>
    <n v="208.08824495766055"/>
    <d v="2025-09-03T00:00:00"/>
    <n v="6"/>
    <x v="5"/>
    <s v="Developer"/>
  </r>
  <r>
    <n v="67262"/>
    <x v="0"/>
    <s v="01192806"/>
    <x v="3"/>
    <d v="2025-09-04T00:00:00"/>
    <s v="IA1750"/>
    <s v="Sankarasubbu,RAMANATHAN"/>
    <n v="208.08824495766055"/>
    <d v="2025-09-04T00:00:00"/>
    <n v="6"/>
    <x v="5"/>
    <s v="Developer"/>
  </r>
  <r>
    <n v="67260"/>
    <x v="2"/>
    <s v="01192795"/>
    <x v="4"/>
    <d v="2025-09-05T00:00:00"/>
    <s v="IA1750"/>
    <s v="Sankarasubbu,RAMANATHAN"/>
    <n v="208.08824495766055"/>
    <d v="2025-09-05T00:00:00"/>
    <n v="6"/>
    <x v="5"/>
    <s v="Developer"/>
  </r>
  <r>
    <n v="67260"/>
    <x v="2"/>
    <s v="01192795"/>
    <x v="4"/>
    <d v="2025-09-08T00:00:00"/>
    <s v="IA1750"/>
    <s v="Sankarasubbu,RAMANATHAN"/>
    <n v="242.76961911727065"/>
    <d v="2025-09-08T00:00:00"/>
    <n v="7"/>
    <x v="5"/>
    <s v="Developer"/>
  </r>
  <r>
    <n v="67260"/>
    <x v="2"/>
    <s v="01192795"/>
    <x v="4"/>
    <d v="2025-09-09T00:00:00"/>
    <s v="IA1750"/>
    <s v="Sankarasubbu,RAMANATHAN"/>
    <n v="242.76961911727065"/>
    <d v="2025-09-09T00:00:00"/>
    <n v="7"/>
    <x v="5"/>
    <s v="Developer"/>
  </r>
  <r>
    <n v="67262"/>
    <x v="0"/>
    <s v="01192806"/>
    <x v="3"/>
    <d v="2025-09-10T00:00:00"/>
    <s v="IA1750"/>
    <s v="Sankarasubbu,RAMANATHAN"/>
    <n v="242.76961911727065"/>
    <d v="2025-09-10T00:00:00"/>
    <n v="7"/>
    <x v="5"/>
    <s v="Developer"/>
  </r>
  <r>
    <n v="67262"/>
    <x v="0"/>
    <s v="01192806"/>
    <x v="3"/>
    <d v="2025-09-11T00:00:00"/>
    <s v="IA1750"/>
    <s v="Sankarasubbu,RAMANATHAN"/>
    <n v="242.76961911727065"/>
    <d v="2025-09-11T00:00:00"/>
    <n v="7"/>
    <x v="5"/>
    <s v="Developer"/>
  </r>
  <r>
    <n v="67262"/>
    <x v="0"/>
    <s v="01192806"/>
    <x v="3"/>
    <d v="2025-09-12T00:00:00"/>
    <s v="IA1750"/>
    <s v="Sankarasubbu,RAMANATHAN"/>
    <n v="242.76961911727065"/>
    <d v="2025-09-12T00:00:00"/>
    <n v="7"/>
    <x v="5"/>
    <s v="Developer"/>
  </r>
  <r>
    <n v="67262"/>
    <x v="0"/>
    <s v="01192806"/>
    <x v="3"/>
    <d v="2025-09-13T00:00:00"/>
    <s v="IA1750"/>
    <s v="Sankarasubbu,RAMANATHAN"/>
    <n v="242.76961911727065"/>
    <d v="2025-09-13T00:00:00"/>
    <n v="7"/>
    <x v="5"/>
    <s v="Developer"/>
  </r>
  <r>
    <n v="67262"/>
    <x v="0"/>
    <s v="01192806"/>
    <x v="3"/>
    <d v="2025-09-15T00:00:00"/>
    <s v="IA1750"/>
    <s v="Sankarasubbu,RAMANATHAN"/>
    <n v="242.76961911727065"/>
    <d v="2025-09-15T00:00:00"/>
    <n v="7"/>
    <x v="5"/>
    <s v="Developer"/>
  </r>
  <r>
    <n v="67262"/>
    <x v="0"/>
    <s v="01192806"/>
    <x v="3"/>
    <d v="2025-09-16T00:00:00"/>
    <s v="IA1750"/>
    <s v="Sankarasubbu,RAMANATHAN"/>
    <n v="242.76961911727065"/>
    <d v="2025-09-16T00:00:00"/>
    <n v="7"/>
    <x v="5"/>
    <s v="Developer"/>
  </r>
  <r>
    <n v="67262"/>
    <x v="0"/>
    <s v="01192806"/>
    <x v="3"/>
    <d v="2025-09-17T00:00:00"/>
    <s v="IA1750"/>
    <s v="Sankarasubbu,RAMANATHAN"/>
    <n v="242.76961911727065"/>
    <d v="2025-09-17T00:00:00"/>
    <n v="7"/>
    <x v="5"/>
    <s v="Developer"/>
  </r>
  <r>
    <n v="67262"/>
    <x v="0"/>
    <s v="01192806"/>
    <x v="3"/>
    <d v="2025-09-18T00:00:00"/>
    <s v="IA1750"/>
    <s v="Sankarasubbu,RAMANATHAN"/>
    <n v="242.76961911727065"/>
    <d v="2025-09-18T00:00:00"/>
    <n v="7"/>
    <x v="5"/>
    <s v="Developer"/>
  </r>
  <r>
    <n v="67262"/>
    <x v="0"/>
    <s v="01192806"/>
    <x v="3"/>
    <d v="2025-09-19T00:00:00"/>
    <s v="IA1750"/>
    <s v="Sankarasubbu,RAMANATHAN"/>
    <n v="208.08824495766055"/>
    <d v="2025-09-19T00:00:00"/>
    <n v="6"/>
    <x v="5"/>
    <s v="Developer"/>
  </r>
  <r>
    <n v="67262"/>
    <x v="0"/>
    <s v="01192806"/>
    <x v="3"/>
    <d v="2025-09-22T00:00:00"/>
    <s v="IA1750"/>
    <s v="Sankarasubbu,RAMANATHAN"/>
    <n v="242.76961911727065"/>
    <d v="2025-09-22T00:00:00"/>
    <n v="7"/>
    <x v="5"/>
    <s v="Developer"/>
  </r>
  <r>
    <n v="67260"/>
    <x v="2"/>
    <s v="01192795"/>
    <x v="4"/>
    <d v="2025-09-23T00:00:00"/>
    <s v="IA1750"/>
    <s v="Sankarasubbu,RAMANATHAN"/>
    <n v="138.72549663844038"/>
    <d v="2025-09-23T00:00:00"/>
    <n v="4"/>
    <x v="5"/>
    <s v="Developer"/>
  </r>
  <r>
    <n v="67262"/>
    <x v="0"/>
    <s v="01192806"/>
    <x v="3"/>
    <d v="2025-09-23T00:00:00"/>
    <s v="IA1750"/>
    <s v="Sankarasubbu,RAMANATHAN"/>
    <n v="104.04412247883027"/>
    <d v="2025-09-23T00:00:00"/>
    <n v="3"/>
    <x v="5"/>
    <s v="Developer"/>
  </r>
  <r>
    <n v="67262"/>
    <x v="0"/>
    <s v="01192806"/>
    <x v="3"/>
    <d v="2025-09-24T00:00:00"/>
    <s v="IA1750"/>
    <s v="Sankarasubbu,RAMANATHAN"/>
    <n v="242.76961911727065"/>
    <d v="2025-09-24T00:00:00"/>
    <n v="7"/>
    <x v="5"/>
    <s v="Developer"/>
  </r>
  <r>
    <n v="67262"/>
    <x v="0"/>
    <s v="01192806"/>
    <x v="3"/>
    <d v="2025-09-25T00:00:00"/>
    <s v="IA1750"/>
    <s v="Sankarasubbu,RAMANATHAN"/>
    <n v="242.76961911727065"/>
    <d v="2025-09-25T00:00:00"/>
    <n v="7"/>
    <x v="5"/>
    <s v="Developer"/>
  </r>
  <r>
    <n v="67260"/>
    <x v="2"/>
    <s v="01192795"/>
    <x v="4"/>
    <d v="2025-09-26T00:00:00"/>
    <s v="IA1750"/>
    <s v="Sankarasubbu,RAMANATHAN"/>
    <n v="242.76961911727065"/>
    <d v="2025-09-26T00:00:00"/>
    <n v="7"/>
    <x v="5"/>
    <s v="Developer"/>
  </r>
  <r>
    <n v="67262"/>
    <x v="0"/>
    <s v="01192806"/>
    <x v="3"/>
    <d v="2025-09-27T00:00:00"/>
    <s v="IA1750"/>
    <s v="Sankarasubbu,RAMANATHAN"/>
    <n v="242.76961911727065"/>
    <d v="2025-09-27T00:00:00"/>
    <n v="7"/>
    <x v="5"/>
    <s v="Developer"/>
  </r>
  <r>
    <n v="67262"/>
    <x v="0"/>
    <s v="01192806"/>
    <x v="3"/>
    <d v="2025-09-29T00:00:00"/>
    <s v="IA1750"/>
    <s v="Sankarasubbu,RAMANATHAN"/>
    <n v="208.08824495766055"/>
    <d v="2025-09-29T00:00:00"/>
    <n v="6"/>
    <x v="5"/>
    <s v="Developer"/>
  </r>
  <r>
    <n v="67262"/>
    <x v="0"/>
    <s v="01192806"/>
    <x v="3"/>
    <d v="2025-09-30T00:00:00"/>
    <s v="IA1750"/>
    <s v="Sankarasubbu,RAMANATHAN"/>
    <n v="242.76961911727065"/>
    <d v="2025-09-30T00:00:00"/>
    <n v="7"/>
    <x v="5"/>
    <s v="Developer"/>
  </r>
  <r>
    <n v="67262"/>
    <x v="0"/>
    <s v="01192806"/>
    <x v="3"/>
    <d v="2025-10-03T00:00:00"/>
    <s v="IA1750"/>
    <s v="Sankarasubbu,RAMANATHAN"/>
    <n v="242.76961911727065"/>
    <d v="2025-10-03T00:00:00"/>
    <n v="7"/>
    <x v="6"/>
    <s v="Developer"/>
  </r>
  <r>
    <n v="67262"/>
    <x v="0"/>
    <s v="01192806"/>
    <x v="3"/>
    <d v="2025-10-06T00:00:00"/>
    <s v="IA1750"/>
    <s v="Sankarasubbu,RAMANATHAN"/>
    <n v="242.76961911727065"/>
    <d v="2025-10-06T00:00:00"/>
    <n v="7"/>
    <x v="6"/>
    <s v="Developer"/>
  </r>
  <r>
    <n v="67262"/>
    <x v="0"/>
    <s v="01192806"/>
    <x v="3"/>
    <d v="2025-10-07T00:00:00"/>
    <s v="IA1750"/>
    <s v="Sankarasubbu,RAMANATHAN"/>
    <n v="242.76961911727065"/>
    <d v="2025-10-07T00:00:00"/>
    <n v="7"/>
    <x v="6"/>
    <s v="Developer"/>
  </r>
  <r>
    <n v="67260"/>
    <x v="2"/>
    <s v="01192795"/>
    <x v="4"/>
    <d v="2025-10-08T00:00:00"/>
    <s v="IA1750"/>
    <s v="Sankarasubbu,RAMANATHAN"/>
    <n v="242.76961911727065"/>
    <d v="2025-10-08T00:00:00"/>
    <n v="7"/>
    <x v="6"/>
    <s v="Developer"/>
  </r>
  <r>
    <n v="67260"/>
    <x v="2"/>
    <s v="01192795"/>
    <x v="4"/>
    <d v="2025-10-09T00:00:00"/>
    <s v="IA1750"/>
    <s v="Sankarasubbu,RAMANATHAN"/>
    <n v="242.76961911727065"/>
    <d v="2025-10-09T00:00:00"/>
    <n v="7"/>
    <x v="6"/>
    <s v="Developer"/>
  </r>
  <r>
    <n v="67260"/>
    <x v="2"/>
    <s v="01192795"/>
    <x v="4"/>
    <d v="2025-10-10T00:00:00"/>
    <s v="IA1750"/>
    <s v="Sankarasubbu,RAMANATHAN"/>
    <n v="242.76961911727065"/>
    <d v="2025-10-10T00:00:00"/>
    <n v="7"/>
    <x v="6"/>
    <s v="Developer"/>
  </r>
  <r>
    <n v="67262"/>
    <x v="0"/>
    <s v="01192806"/>
    <x v="3"/>
    <d v="2025-10-13T00:00:00"/>
    <s v="IA1750"/>
    <s v="Sankarasubbu,RAMANATHAN"/>
    <n v="225.42893203746561"/>
    <d v="2025-10-13T00:00:00"/>
    <n v="6.5"/>
    <x v="6"/>
    <s v="Developer"/>
  </r>
  <r>
    <n v="67260"/>
    <x v="2"/>
    <s v="01192795"/>
    <x v="4"/>
    <d v="2025-10-14T00:00:00"/>
    <s v="IA1750"/>
    <s v="Sankarasubbu,RAMANATHAN"/>
    <n v="225.42893203746561"/>
    <d v="2025-10-14T00:00:00"/>
    <n v="6.5"/>
    <x v="6"/>
    <s v="Developer"/>
  </r>
  <r>
    <n v="67260"/>
    <x v="2"/>
    <s v="01192795"/>
    <x v="4"/>
    <d v="2025-10-15T00:00:00"/>
    <s v="IA1750"/>
    <s v="Sankarasubbu,RAMANATHAN"/>
    <n v="225.42893203746561"/>
    <d v="2025-10-15T00:00:00"/>
    <n v="6.5"/>
    <x v="6"/>
    <s v="Developer"/>
  </r>
  <r>
    <n v="67260"/>
    <x v="2"/>
    <s v="01192795"/>
    <x v="4"/>
    <d v="2025-10-16T00:00:00"/>
    <s v="IA1750"/>
    <s v="Sankarasubbu,RAMANATHAN"/>
    <n v="225.42893203746561"/>
    <d v="2025-10-16T00:00:00"/>
    <n v="6.5"/>
    <x v="6"/>
    <s v="Developer"/>
  </r>
  <r>
    <n v="67260"/>
    <x v="2"/>
    <s v="01192795"/>
    <x v="4"/>
    <d v="2025-10-17T00:00:00"/>
    <s v="IA1750"/>
    <s v="Sankarasubbu,RAMANATHAN"/>
    <n v="138.72549663844038"/>
    <d v="2025-10-17T00:00:00"/>
    <n v="4"/>
    <x v="6"/>
    <s v="Developer"/>
  </r>
  <r>
    <n v="67262"/>
    <x v="0"/>
    <s v="01192806"/>
    <x v="3"/>
    <d v="2025-10-17T00:00:00"/>
    <s v="IA1750"/>
    <s v="Sankarasubbu,RAMANATHAN"/>
    <n v="86.703435399025238"/>
    <d v="2025-10-17T00:00:00"/>
    <n v="2.5"/>
    <x v="6"/>
    <s v="Developer"/>
  </r>
  <r>
    <n v="66637"/>
    <x v="3"/>
    <s v="01160430"/>
    <x v="5"/>
    <d v="2025-07-01T00:00:00"/>
    <n v="6833"/>
    <s v="Kunhiraman,Lakshmikanth"/>
    <n v="104.04412247883027"/>
    <d v="2025-07-01T00:00:00"/>
    <n v="3"/>
    <x v="3"/>
    <s v="Enterprise Architect"/>
  </r>
  <r>
    <n v="66637"/>
    <x v="3"/>
    <s v="01160430"/>
    <x v="5"/>
    <d v="2025-07-02T00:00:00"/>
    <n v="6833"/>
    <s v="Kunhiraman,Lakshmikanth"/>
    <n v="104.04412247883027"/>
    <d v="2025-07-02T00:00:00"/>
    <n v="3"/>
    <x v="3"/>
    <s v="Enterprise Architect"/>
  </r>
  <r>
    <n v="66637"/>
    <x v="3"/>
    <s v="01160430"/>
    <x v="5"/>
    <d v="2025-07-04T00:00:00"/>
    <n v="6833"/>
    <s v="Kunhiraman,Lakshmikanth"/>
    <n v="104.04412247883027"/>
    <d v="2025-07-04T00:00:00"/>
    <n v="3"/>
    <x v="3"/>
    <s v="Enterprise Architect"/>
  </r>
  <r>
    <n v="66637"/>
    <x v="3"/>
    <s v="01160430"/>
    <x v="5"/>
    <d v="2025-07-07T00:00:00"/>
    <n v="6833"/>
    <s v="Kunhiraman,Lakshmikanth"/>
    <n v="34.681374159610094"/>
    <d v="2025-07-07T00:00:00"/>
    <n v="1"/>
    <x v="3"/>
    <s v="Enterprise Architect"/>
  </r>
  <r>
    <n v="66637"/>
    <x v="3"/>
    <s v="01160430"/>
    <x v="5"/>
    <d v="2025-07-08T00:00:00"/>
    <n v="6833"/>
    <s v="Kunhiraman,Lakshmikanth"/>
    <n v="34.681374159610094"/>
    <d v="2025-07-08T00:00:00"/>
    <n v="1"/>
    <x v="3"/>
    <s v="Enterprise Architect"/>
  </r>
  <r>
    <n v="66637"/>
    <x v="3"/>
    <s v="01160430"/>
    <x v="5"/>
    <d v="2025-07-09T00:00:00"/>
    <n v="6833"/>
    <s v="Kunhiraman,Lakshmikanth"/>
    <n v="34.681374159610094"/>
    <d v="2025-07-09T00:00:00"/>
    <n v="1"/>
    <x v="3"/>
    <s v="Enterprise Architect"/>
  </r>
  <r>
    <n v="66637"/>
    <x v="3"/>
    <s v="01160430"/>
    <x v="5"/>
    <d v="2025-07-10T00:00:00"/>
    <n v="6833"/>
    <s v="Kunhiraman,Lakshmikanth"/>
    <n v="34.681374159610094"/>
    <d v="2025-07-10T00:00:00"/>
    <n v="1"/>
    <x v="3"/>
    <s v="Enterprise Architect"/>
  </r>
  <r>
    <n v="66637"/>
    <x v="3"/>
    <s v="01160430"/>
    <x v="5"/>
    <d v="2025-07-11T00:00:00"/>
    <n v="6833"/>
    <s v="Kunhiraman,Lakshmikanth"/>
    <n v="34.681374159610094"/>
    <d v="2025-07-11T00:00:00"/>
    <n v="1"/>
    <x v="3"/>
    <s v="Enterprise Architect"/>
  </r>
  <r>
    <n v="66637"/>
    <x v="3"/>
    <s v="01160430"/>
    <x v="5"/>
    <d v="2025-07-14T00:00:00"/>
    <n v="6833"/>
    <s v="Kunhiraman,Lakshmikanth"/>
    <n v="34.681374159610094"/>
    <d v="2025-07-14T00:00:00"/>
    <n v="1"/>
    <x v="3"/>
    <s v="Enterprise Architect"/>
  </r>
  <r>
    <n v="66637"/>
    <x v="3"/>
    <s v="01160430"/>
    <x v="5"/>
    <d v="2025-07-15T00:00:00"/>
    <n v="6833"/>
    <s v="Kunhiraman,Lakshmikanth"/>
    <n v="34.681374159610094"/>
    <d v="2025-07-15T00:00:00"/>
    <n v="1"/>
    <x v="3"/>
    <s v="Enterprise Architect"/>
  </r>
  <r>
    <n v="66637"/>
    <x v="3"/>
    <s v="01160430"/>
    <x v="5"/>
    <d v="2025-07-16T00:00:00"/>
    <n v="6833"/>
    <s v="Kunhiraman,Lakshmikanth"/>
    <n v="34.681374159610094"/>
    <d v="2025-07-16T00:00:00"/>
    <n v="1"/>
    <x v="3"/>
    <s v="Enterprise Architect"/>
  </r>
  <r>
    <n v="66637"/>
    <x v="3"/>
    <s v="01160430"/>
    <x v="5"/>
    <d v="2025-07-17T00:00:00"/>
    <n v="6833"/>
    <s v="Kunhiraman,Lakshmikanth"/>
    <n v="34.681374159610094"/>
    <d v="2025-07-17T00:00:00"/>
    <n v="1"/>
    <x v="3"/>
    <s v="Enterprise Architect"/>
  </r>
  <r>
    <n v="66637"/>
    <x v="3"/>
    <s v="01160430"/>
    <x v="5"/>
    <d v="2025-07-18T00:00:00"/>
    <n v="6833"/>
    <s v="Kunhiraman,Lakshmikanth"/>
    <n v="34.681374159610094"/>
    <d v="2025-07-18T00:00:00"/>
    <n v="1"/>
    <x v="3"/>
    <s v="Enterprise Architect"/>
  </r>
  <r>
    <n v="66637"/>
    <x v="3"/>
    <s v="01160430"/>
    <x v="5"/>
    <d v="2025-07-23T00:00:00"/>
    <n v="6833"/>
    <s v="Kunhiraman,Lakshmikanth"/>
    <n v="69.362748319220188"/>
    <d v="2025-07-23T00:00:00"/>
    <n v="2"/>
    <x v="3"/>
    <s v="Enterprise Architect"/>
  </r>
  <r>
    <n v="66637"/>
    <x v="3"/>
    <s v="01160430"/>
    <x v="5"/>
    <d v="2025-08-07T00:00:00"/>
    <n v="6833"/>
    <s v="Kunhiraman,Lakshmikanth"/>
    <n v="17.340687079805047"/>
    <d v="2025-08-07T00:00:00"/>
    <n v="0.5"/>
    <x v="4"/>
    <s v="Enterprise Architect"/>
  </r>
  <r>
    <n v="66637"/>
    <x v="3"/>
    <s v="01160430"/>
    <x v="5"/>
    <d v="2025-08-08T00:00:00"/>
    <n v="6833"/>
    <s v="Kunhiraman,Lakshmikanth"/>
    <n v="34.681374159610094"/>
    <d v="2025-08-08T00:00:00"/>
    <n v="1"/>
    <x v="4"/>
    <s v="Enterprise Architect"/>
  </r>
  <r>
    <n v="66637"/>
    <x v="3"/>
    <s v="01160430"/>
    <x v="5"/>
    <d v="2025-10-22T00:00:00"/>
    <n v="6833"/>
    <s v="Kunhiraman,Lakshmikanth"/>
    <n v="69.362748319220188"/>
    <d v="2025-10-22T00:00:00"/>
    <n v="2"/>
    <x v="6"/>
    <s v="Enterprise Architect"/>
  </r>
  <r>
    <n v="66637"/>
    <x v="3"/>
    <s v="01160430"/>
    <x v="5"/>
    <d v="2025-10-23T00:00:00"/>
    <n v="6833"/>
    <s v="Kunhiraman,Lakshmikanth"/>
    <n v="69.362748319220188"/>
    <d v="2025-10-23T00:00:00"/>
    <n v="2"/>
    <x v="6"/>
    <s v="Enterprise Architect"/>
  </r>
  <r>
    <n v="66637"/>
    <x v="3"/>
    <s v="01160430"/>
    <x v="5"/>
    <d v="2025-10-24T00:00:00"/>
    <n v="6833"/>
    <s v="Kunhiraman,Lakshmikanth"/>
    <n v="69.362748319220188"/>
    <d v="2025-10-24T00:00:00"/>
    <n v="2"/>
    <x v="6"/>
    <s v="Enterprise Architect"/>
  </r>
  <r>
    <n v="66637"/>
    <x v="3"/>
    <s v="01160430"/>
    <x v="5"/>
    <d v="2025-10-29T00:00:00"/>
    <n v="6833"/>
    <s v="Kunhiraman,Lakshmikanth"/>
    <n v="52.022061239415137"/>
    <d v="2025-10-29T00:00:00"/>
    <n v="1.5"/>
    <x v="6"/>
    <s v="Enterprise Architect"/>
  </r>
  <r>
    <n v="66637"/>
    <x v="3"/>
    <s v="01160430"/>
    <x v="5"/>
    <d v="2025-10-30T00:00:00"/>
    <n v="6833"/>
    <s v="Kunhiraman,Lakshmikanth"/>
    <n v="34.681374159610094"/>
    <d v="2025-10-30T00:00:00"/>
    <n v="1"/>
    <x v="6"/>
    <s v="Enterprise Architect"/>
  </r>
  <r>
    <n v="66637"/>
    <x v="3"/>
    <s v="01160430"/>
    <x v="5"/>
    <d v="2025-10-31T00:00:00"/>
    <n v="6833"/>
    <s v="Kunhiraman,Lakshmikanth"/>
    <n v="69.362748319220188"/>
    <d v="2025-10-31T00:00:00"/>
    <n v="2"/>
    <x v="6"/>
    <s v="Enterprise Architect"/>
  </r>
  <r>
    <n v="66637"/>
    <x v="3"/>
    <s v="01160430"/>
    <x v="5"/>
    <d v="2025-11-03T00:00:00"/>
    <n v="6833"/>
    <s v="Kunhiraman,Lakshmikanth"/>
    <n v="104.04412247883027"/>
    <d v="2025-11-03T00:00:00"/>
    <n v="3"/>
    <x v="7"/>
    <s v="Enterprise Architect"/>
  </r>
  <r>
    <n v="66637"/>
    <x v="3"/>
    <s v="01160430"/>
    <x v="5"/>
    <d v="2025-11-04T00:00:00"/>
    <n v="6833"/>
    <s v="Kunhiraman,Lakshmikanth"/>
    <n v="69.362748319220188"/>
    <d v="2025-11-04T00:00:00"/>
    <n v="2"/>
    <x v="7"/>
    <s v="Enterprise Architect"/>
  </r>
  <r>
    <n v="66637"/>
    <x v="3"/>
    <s v="01160430"/>
    <x v="5"/>
    <d v="2025-11-05T00:00:00"/>
    <n v="6833"/>
    <s v="Kunhiraman,Lakshmikanth"/>
    <n v="69.362748319220188"/>
    <d v="2025-11-05T00:00:00"/>
    <n v="2"/>
    <x v="7"/>
    <s v="Enterprise Architect"/>
  </r>
  <r>
    <n v="66637"/>
    <x v="3"/>
    <s v="01160430"/>
    <x v="5"/>
    <d v="2025-11-06T00:00:00"/>
    <n v="6833"/>
    <s v="Kunhiraman,Lakshmikanth"/>
    <n v="34.681374159610094"/>
    <d v="2025-11-06T00:00:00"/>
    <n v="1"/>
    <x v="7"/>
    <s v="Enterprise Architect"/>
  </r>
  <r>
    <n v="66637"/>
    <x v="3"/>
    <s v="01160430"/>
    <x v="5"/>
    <d v="2025-11-07T00:00:00"/>
    <n v="6833"/>
    <s v="Kunhiraman,Lakshmikanth"/>
    <n v="34.681374159610094"/>
    <d v="2025-11-07T00:00:00"/>
    <n v="1"/>
    <x v="7"/>
    <s v="Enterprise Architect"/>
  </r>
  <r>
    <n v="66637"/>
    <x v="3"/>
    <s v="01160430"/>
    <x v="5"/>
    <d v="2025-11-17T00:00:00"/>
    <n v="6833"/>
    <s v="Kunhiraman,Lakshmikanth"/>
    <n v="52.022061239415137"/>
    <d v="2025-11-17T00:00:00"/>
    <n v="1.5"/>
    <x v="7"/>
    <s v="Enterprise Architect"/>
  </r>
  <r>
    <n v="66637"/>
    <x v="3"/>
    <s v="01160430"/>
    <x v="5"/>
    <d v="2025-12-01T00:00:00"/>
    <n v="6833"/>
    <s v="Kunhiraman,Lakshmikanth"/>
    <n v="104.04412247883027"/>
    <d v="2025-12-01T00:00:00"/>
    <n v="3"/>
    <x v="8"/>
    <s v="Enterprise Architect"/>
  </r>
  <r>
    <n v="66637"/>
    <x v="3"/>
    <s v="01160430"/>
    <x v="5"/>
    <d v="2025-12-02T00:00:00"/>
    <n v="6833"/>
    <s v="Kunhiraman,Lakshmikanth"/>
    <n v="104.04412247883027"/>
    <d v="2025-12-02T00:00:00"/>
    <n v="3"/>
    <x v="8"/>
    <s v="Enterprise Architect"/>
  </r>
  <r>
    <n v="66637"/>
    <x v="3"/>
    <s v="01160430"/>
    <x v="5"/>
    <d v="2025-12-08T00:00:00"/>
    <n v="6833"/>
    <s v="Kunhiraman,Lakshmikanth"/>
    <n v="86.703435399025238"/>
    <d v="2025-12-08T00:00:00"/>
    <n v="2.5"/>
    <x v="8"/>
    <s v="Enterprise Architect"/>
  </r>
  <r>
    <n v="66637"/>
    <x v="3"/>
    <s v="01160430"/>
    <x v="5"/>
    <d v="2025-12-09T00:00:00"/>
    <n v="6833"/>
    <s v="Kunhiraman,Lakshmikanth"/>
    <n v="86.703435399025238"/>
    <d v="2025-12-09T00:00:00"/>
    <n v="2.5"/>
    <x v="8"/>
    <s v="Enterprise Architect"/>
  </r>
  <r>
    <n v="66637"/>
    <x v="3"/>
    <s v="01160430"/>
    <x v="5"/>
    <d v="2025-12-10T00:00:00"/>
    <n v="6833"/>
    <s v="Kunhiraman,Lakshmikanth"/>
    <n v="104.04412247883027"/>
    <d v="2025-12-10T00:00:00"/>
    <n v="3"/>
    <x v="8"/>
    <s v="Enterprise Architect"/>
  </r>
  <r>
    <n v="66637"/>
    <x v="3"/>
    <s v="01160430"/>
    <x v="5"/>
    <d v="2025-12-11T00:00:00"/>
    <n v="6833"/>
    <s v="Kunhiraman,Lakshmikanth"/>
    <n v="104.04412247883027"/>
    <d v="2025-12-11T00:00:00"/>
    <n v="3"/>
    <x v="8"/>
    <s v="Enterprise Architect"/>
  </r>
  <r>
    <n v="66637"/>
    <x v="3"/>
    <s v="01160430"/>
    <x v="5"/>
    <d v="2026-01-19T00:00:00"/>
    <n v="6833"/>
    <s v="Kunhiraman,Lakshmikanth"/>
    <n v="69.362748319220188"/>
    <d v="2026-01-19T00:00:00"/>
    <n v="2"/>
    <x v="9"/>
    <s v="Enterprise Architect"/>
  </r>
  <r>
    <n v="66637"/>
    <x v="3"/>
    <s v="01160430"/>
    <x v="5"/>
    <d v="2026-01-20T00:00:00"/>
    <n v="6833"/>
    <s v="Kunhiraman,Lakshmikanth"/>
    <n v="69.362748319220188"/>
    <d v="2026-01-20T00:00:00"/>
    <n v="2"/>
    <x v="9"/>
    <s v="Enterprise Architect"/>
  </r>
  <r>
    <n v="66637"/>
    <x v="3"/>
    <s v="01160430"/>
    <x v="5"/>
    <d v="2026-01-21T00:00:00"/>
    <n v="6833"/>
    <s v="Kunhiraman,Lakshmikanth"/>
    <n v="34.681374159610094"/>
    <d v="2026-01-21T00:00:00"/>
    <n v="1"/>
    <x v="9"/>
    <s v="Enterprise Architect"/>
  </r>
  <r>
    <n v="66637"/>
    <x v="3"/>
    <s v="01160430"/>
    <x v="5"/>
    <d v="2026-01-22T00:00:00"/>
    <n v="6833"/>
    <s v="Kunhiraman,Lakshmikanth"/>
    <n v="34.681374159610094"/>
    <d v="2026-01-22T00:00:00"/>
    <n v="1"/>
    <x v="9"/>
    <s v="Enterprise Architect"/>
  </r>
  <r>
    <n v="66637"/>
    <x v="3"/>
    <s v="01160430"/>
    <x v="5"/>
    <d v="2026-02-02T00:00:00"/>
    <n v="6833"/>
    <s v="Kunhiraman,Lakshmikanth"/>
    <n v="69.362748319220188"/>
    <d v="2026-02-02T00:00:00"/>
    <n v="2"/>
    <x v="0"/>
    <s v="Enterprise Architect"/>
  </r>
  <r>
    <n v="66637"/>
    <x v="3"/>
    <s v="01160430"/>
    <x v="5"/>
    <d v="2026-02-03T00:00:00"/>
    <n v="6833"/>
    <s v="Kunhiraman,Lakshmikanth"/>
    <n v="69.362748319220188"/>
    <d v="2026-02-03T00:00:00"/>
    <n v="2"/>
    <x v="0"/>
    <s v="Enterprise Architect"/>
  </r>
  <r>
    <n v="66637"/>
    <x v="3"/>
    <s v="01160430"/>
    <x v="5"/>
    <d v="2026-02-04T00:00:00"/>
    <n v="6833"/>
    <s v="Kunhiraman,Lakshmikanth"/>
    <n v="104.04412247883027"/>
    <d v="2026-02-04T00:00:00"/>
    <n v="3"/>
    <x v="0"/>
    <s v="Enterprise Architect"/>
  </r>
  <r>
    <n v="66637"/>
    <x v="3"/>
    <s v="01160430"/>
    <x v="5"/>
    <d v="2026-02-05T00:00:00"/>
    <n v="6833"/>
    <s v="Kunhiraman,Lakshmikanth"/>
    <n v="69.362748319220188"/>
    <d v="2026-02-05T00:00:00"/>
    <n v="2"/>
    <x v="0"/>
    <s v="Enterprise Architect"/>
  </r>
  <r>
    <n v="66637"/>
    <x v="3"/>
    <s v="01160430"/>
    <x v="5"/>
    <d v="2026-02-06T00:00:00"/>
    <n v="6833"/>
    <s v="Kunhiraman,Lakshmikanth"/>
    <n v="121.38480955863533"/>
    <d v="2026-02-06T00:00:00"/>
    <n v="3.5"/>
    <x v="0"/>
    <s v="Enterprise Architect"/>
  </r>
  <r>
    <n v="66637"/>
    <x v="3"/>
    <s v="01160430"/>
    <x v="5"/>
    <d v="2026-02-09T00:00:00"/>
    <n v="6833"/>
    <s v="Kunhiraman,Lakshmikanth"/>
    <n v="104.04412247883027"/>
    <d v="2026-02-09T00:00:00"/>
    <n v="3"/>
    <x v="0"/>
    <s v="Enterprise Architect"/>
  </r>
  <r>
    <n v="66637"/>
    <x v="3"/>
    <s v="01160430"/>
    <x v="5"/>
    <d v="2026-02-10T00:00:00"/>
    <n v="6833"/>
    <s v="Kunhiraman,Lakshmikanth"/>
    <n v="104.04412247883027"/>
    <d v="2026-02-10T00:00:00"/>
    <n v="3"/>
    <x v="0"/>
    <s v="Enterprise Architect"/>
  </r>
  <r>
    <n v="66637"/>
    <x v="3"/>
    <s v="01160430"/>
    <x v="5"/>
    <d v="2026-02-11T00:00:00"/>
    <n v="6833"/>
    <s v="Kunhiraman,Lakshmikanth"/>
    <n v="138.72549663844038"/>
    <d v="2026-02-11T00:00:00"/>
    <n v="4"/>
    <x v="0"/>
    <s v="Enterprise Architect"/>
  </r>
  <r>
    <n v="66637"/>
    <x v="3"/>
    <s v="01160430"/>
    <x v="5"/>
    <d v="2026-02-12T00:00:00"/>
    <n v="6833"/>
    <s v="Kunhiraman,Lakshmikanth"/>
    <n v="86.703435399025238"/>
    <d v="2026-02-12T00:00:00"/>
    <n v="2.5"/>
    <x v="0"/>
    <s v="Enterprise Architect"/>
  </r>
  <r>
    <n v="66637"/>
    <x v="3"/>
    <s v="01160430"/>
    <x v="5"/>
    <d v="2026-02-13T00:00:00"/>
    <n v="6833"/>
    <s v="Kunhiraman,Lakshmikanth"/>
    <n v="86.703435399025238"/>
    <d v="2026-02-13T00:00:00"/>
    <n v="2.5"/>
    <x v="0"/>
    <s v="Enterprise Architect"/>
  </r>
  <r>
    <n v="66637"/>
    <x v="3"/>
    <s v="01160430"/>
    <x v="5"/>
    <d v="2026-02-16T00:00:00"/>
    <n v="6833"/>
    <s v="Kunhiraman,Lakshmikanth"/>
    <n v="138.72549663844038"/>
    <d v="2026-02-16T00:00:00"/>
    <n v="4"/>
    <x v="0"/>
    <s v="Enterprise Architect"/>
  </r>
  <r>
    <n v="66637"/>
    <x v="3"/>
    <s v="01160430"/>
    <x v="5"/>
    <d v="2026-02-17T00:00:00"/>
    <n v="6833"/>
    <s v="Kunhiraman,Lakshmikanth"/>
    <n v="138.72549663844038"/>
    <d v="2026-02-17T00:00:00"/>
    <n v="4"/>
    <x v="0"/>
    <s v="Enterprise Architect"/>
  </r>
  <r>
    <n v="66637"/>
    <x v="3"/>
    <s v="01160430"/>
    <x v="5"/>
    <d v="2026-02-18T00:00:00"/>
    <n v="6833"/>
    <s v="Kunhiraman,Lakshmikanth"/>
    <n v="138.72549663844038"/>
    <d v="2026-02-18T00:00:00"/>
    <n v="4"/>
    <x v="0"/>
    <s v="Enterprise Architect"/>
  </r>
  <r>
    <n v="66637"/>
    <x v="3"/>
    <s v="01160430"/>
    <x v="5"/>
    <d v="2026-02-19T00:00:00"/>
    <n v="6833"/>
    <s v="Kunhiraman,Lakshmikanth"/>
    <n v="138.72549663844038"/>
    <d v="2026-02-19T00:00:00"/>
    <n v="4"/>
    <x v="0"/>
    <s v="Enterprise Architect"/>
  </r>
  <r>
    <n v="66637"/>
    <x v="3"/>
    <s v="01160430"/>
    <x v="5"/>
    <d v="2026-02-20T00:00:00"/>
    <n v="6833"/>
    <s v="Kunhiraman,Lakshmikanth"/>
    <n v="138.72549663844038"/>
    <d v="2026-02-20T00:00:00"/>
    <n v="4"/>
    <x v="0"/>
    <s v="Enterprise Architect"/>
  </r>
  <r>
    <n v="66637"/>
    <x v="3"/>
    <s v="01160430"/>
    <x v="5"/>
    <d v="2026-03-23T00:00:00"/>
    <n v="6833"/>
    <s v="Kunhiraman,Lakshmikanth"/>
    <n v="69.362748319220188"/>
    <d v="2026-03-23T00:00:00"/>
    <n v="2"/>
    <x v="1"/>
    <s v="Enterprise Architect"/>
  </r>
  <r>
    <n v="66637"/>
    <x v="3"/>
    <s v="01160430"/>
    <x v="5"/>
    <d v="2026-03-24T00:00:00"/>
    <n v="6833"/>
    <s v="Kunhiraman,Lakshmikanth"/>
    <n v="69.362748319220188"/>
    <d v="2026-03-24T00:00:00"/>
    <n v="2"/>
    <x v="1"/>
    <s v="Enterprise Architect"/>
  </r>
  <r>
    <n v="66637"/>
    <x v="3"/>
    <s v="01160430"/>
    <x v="5"/>
    <d v="2026-03-25T00:00:00"/>
    <n v="6833"/>
    <s v="Kunhiraman,Lakshmikanth"/>
    <n v="69.362748319220188"/>
    <d v="2026-03-25T00:00:00"/>
    <n v="2"/>
    <x v="1"/>
    <s v="Enterprise Architect"/>
  </r>
  <r>
    <n v="66637"/>
    <x v="3"/>
    <s v="01160430"/>
    <x v="5"/>
    <d v="2026-03-26T00:00:00"/>
    <n v="6833"/>
    <s v="Kunhiraman,Lakshmikanth"/>
    <n v="69.362748319220188"/>
    <d v="2026-03-26T00:00:00"/>
    <n v="2"/>
    <x v="1"/>
    <s v="Enterprise Architect"/>
  </r>
  <r>
    <n v="66637"/>
    <x v="3"/>
    <s v="01160430"/>
    <x v="5"/>
    <d v="2026-03-27T00:00:00"/>
    <n v="6833"/>
    <s v="Kunhiraman,Lakshmikanth"/>
    <n v="69.362748319220188"/>
    <d v="2026-03-27T00:00:00"/>
    <n v="2"/>
    <x v="1"/>
    <s v="Enterprise Architect"/>
  </r>
  <r>
    <n v="66637"/>
    <x v="3"/>
    <s v="01160430"/>
    <x v="5"/>
    <d v="2026-03-30T00:00:00"/>
    <n v="6833"/>
    <s v="Kunhiraman,Lakshmikanth"/>
    <n v="138.72549663844038"/>
    <d v="2026-03-30T00:00:00"/>
    <n v="4"/>
    <x v="1"/>
    <s v="Enterprise Architect"/>
  </r>
  <r>
    <n v="66637"/>
    <x v="3"/>
    <s v="01160430"/>
    <x v="5"/>
    <d v="2026-03-31T00:00:00"/>
    <n v="6833"/>
    <s v="Kunhiraman,Lakshmikanth"/>
    <n v="138.72549663844038"/>
    <d v="2026-03-31T00:00:00"/>
    <n v="4"/>
    <x v="1"/>
    <s v="Enterprise Architect"/>
  </r>
  <r>
    <n v="66637"/>
    <x v="3"/>
    <s v="01160430"/>
    <x v="5"/>
    <d v="2026-04-01T00:00:00"/>
    <n v="6833"/>
    <s v="Kunhiraman,Lakshmikanth"/>
    <n v="138.72549663844038"/>
    <d v="2026-04-01T00:00:00"/>
    <n v="4"/>
    <x v="2"/>
    <s v="Enterprise Architect"/>
  </r>
  <r>
    <n v="66637"/>
    <x v="3"/>
    <s v="01160430"/>
    <x v="5"/>
    <d v="2026-04-02T00:00:00"/>
    <n v="6833"/>
    <s v="Kunhiraman,Lakshmikanth"/>
    <n v="138.72549663844038"/>
    <d v="2026-04-02T00:00:00"/>
    <n v="4"/>
    <x v="2"/>
    <s v="Enterprise Architect"/>
  </r>
  <r>
    <n v="66637"/>
    <x v="3"/>
    <s v="01160430"/>
    <x v="5"/>
    <d v="2026-04-03T00:00:00"/>
    <n v="6833"/>
    <s v="Kunhiraman,Lakshmikanth"/>
    <n v="138.72549663844038"/>
    <d v="2026-04-03T00:00:00"/>
    <n v="4"/>
    <x v="2"/>
    <s v="Enterprise Architect"/>
  </r>
  <r>
    <n v="66637"/>
    <x v="3"/>
    <s v="01160430"/>
    <x v="5"/>
    <d v="2026-04-06T00:00:00"/>
    <n v="6833"/>
    <s v="Kunhiraman,Lakshmikanth"/>
    <n v="138.72549663844038"/>
    <d v="2026-04-06T00:00:00"/>
    <n v="4"/>
    <x v="2"/>
    <s v="Enterprise Architect"/>
  </r>
  <r>
    <n v="66637"/>
    <x v="3"/>
    <s v="01160430"/>
    <x v="5"/>
    <d v="2026-04-07T00:00:00"/>
    <n v="6833"/>
    <s v="Kunhiraman,Lakshmikanth"/>
    <n v="138.72549663844038"/>
    <d v="2026-04-07T00:00:00"/>
    <n v="4"/>
    <x v="2"/>
    <s v="Enterprise Architect"/>
  </r>
  <r>
    <n v="66637"/>
    <x v="3"/>
    <s v="01160430"/>
    <x v="5"/>
    <d v="2026-04-08T00:00:00"/>
    <n v="6833"/>
    <s v="Kunhiraman,Lakshmikanth"/>
    <n v="138.72549663844038"/>
    <d v="2026-04-08T00:00:00"/>
    <n v="4"/>
    <x v="2"/>
    <s v="Enterprise Architect"/>
  </r>
  <r>
    <n v="66637"/>
    <x v="3"/>
    <s v="01160430"/>
    <x v="5"/>
    <d v="2026-04-09T00:00:00"/>
    <n v="6833"/>
    <s v="Kunhiraman,Lakshmikanth"/>
    <n v="69.362748319220188"/>
    <d v="2026-04-09T00:00:00"/>
    <n v="2"/>
    <x v="2"/>
    <s v="Enterprise Architect"/>
  </r>
  <r>
    <n v="66637"/>
    <x v="3"/>
    <s v="01160430"/>
    <x v="5"/>
    <d v="2026-04-10T00:00:00"/>
    <n v="6833"/>
    <s v="Kunhiraman,Lakshmikanth"/>
    <n v="138.72549663844038"/>
    <d v="2026-04-10T00:00:00"/>
    <n v="4"/>
    <x v="2"/>
    <s v="Enterprise Architect"/>
  </r>
  <r>
    <n v="66637"/>
    <x v="3"/>
    <s v="01160430"/>
    <x v="5"/>
    <d v="2026-04-13T00:00:00"/>
    <n v="6833"/>
    <s v="Kunhiraman,Lakshmikanth"/>
    <n v="138.72549663844038"/>
    <d v="2026-04-13T00:00:00"/>
    <n v="4"/>
    <x v="2"/>
    <s v="Enterprise Architect"/>
  </r>
  <r>
    <n v="66637"/>
    <x v="3"/>
    <s v="01160430"/>
    <x v="5"/>
    <d v="2026-04-14T00:00:00"/>
    <n v="6833"/>
    <s v="Kunhiraman,Lakshmikanth"/>
    <n v="138.72549663844038"/>
    <d v="2026-04-14T00:00:00"/>
    <n v="4"/>
    <x v="2"/>
    <s v="Enterprise Architect"/>
  </r>
  <r>
    <n v="66637"/>
    <x v="3"/>
    <s v="01160430"/>
    <x v="5"/>
    <d v="2026-04-16T00:00:00"/>
    <n v="6833"/>
    <s v="Kunhiraman,Lakshmikanth"/>
    <n v="138.72549663844038"/>
    <d v="2026-04-16T00:00:00"/>
    <n v="4"/>
    <x v="2"/>
    <s v="Enterprise Architect"/>
  </r>
  <r>
    <n v="66637"/>
    <x v="3"/>
    <s v="01160430"/>
    <x v="5"/>
    <d v="2026-04-17T00:00:00"/>
    <n v="6833"/>
    <s v="Kunhiraman,Lakshmikanth"/>
    <n v="138.72549663844038"/>
    <d v="2026-04-17T00:00:00"/>
    <n v="4"/>
    <x v="2"/>
    <s v="Enterprise Architect"/>
  </r>
  <r>
    <n v="66637"/>
    <x v="3"/>
    <s v="01160430"/>
    <x v="5"/>
    <d v="2026-04-20T00:00:00"/>
    <n v="6833"/>
    <s v="Kunhiraman,Lakshmikanth"/>
    <n v="104.04412247883027"/>
    <d v="2026-04-20T00:00:00"/>
    <n v="3"/>
    <x v="2"/>
    <s v="Enterprise Architect"/>
  </r>
  <r>
    <n v="66637"/>
    <x v="3"/>
    <s v="01160430"/>
    <x v="5"/>
    <d v="2026-04-21T00:00:00"/>
    <n v="6833"/>
    <s v="Kunhiraman,Lakshmikanth"/>
    <n v="104.04412247883027"/>
    <d v="2026-04-21T00:00:00"/>
    <n v="3"/>
    <x v="2"/>
    <s v="Enterprise Architect"/>
  </r>
  <r>
    <n v="66637"/>
    <x v="3"/>
    <s v="01160430"/>
    <x v="5"/>
    <d v="2026-04-22T00:00:00"/>
    <n v="6833"/>
    <s v="Kunhiraman,Lakshmikanth"/>
    <n v="104.04412247883027"/>
    <d v="2026-04-22T00:00:00"/>
    <n v="3"/>
    <x v="2"/>
    <s v="Enterprise Architect"/>
  </r>
  <r>
    <n v="66637"/>
    <x v="3"/>
    <s v="01160430"/>
    <x v="5"/>
    <d v="2026-04-23T00:00:00"/>
    <n v="6833"/>
    <s v="Kunhiraman,Lakshmikanth"/>
    <n v="104.04412247883027"/>
    <d v="2026-04-23T00:00:00"/>
    <n v="3"/>
    <x v="2"/>
    <s v="Enterprise Architect"/>
  </r>
  <r>
    <n v="66637"/>
    <x v="3"/>
    <s v="01160430"/>
    <x v="5"/>
    <d v="2026-04-24T00:00:00"/>
    <n v="6833"/>
    <s v="Kunhiraman,Lakshmikanth"/>
    <n v="104.04412247883027"/>
    <d v="2026-04-24T00:00:00"/>
    <n v="3"/>
    <x v="2"/>
    <s v="Enterprise Architect"/>
  </r>
  <r>
    <n v="66637"/>
    <x v="3"/>
    <s v="01160430"/>
    <x v="5"/>
    <d v="2026-04-27T00:00:00"/>
    <n v="6833"/>
    <s v="Kunhiraman,Lakshmikanth"/>
    <n v="138.72549663844038"/>
    <d v="2026-04-27T00:00:00"/>
    <n v="4"/>
    <x v="2"/>
    <s v="Enterprise Architect"/>
  </r>
  <r>
    <n v="66637"/>
    <x v="3"/>
    <s v="01160430"/>
    <x v="5"/>
    <d v="2026-04-28T00:00:00"/>
    <n v="6833"/>
    <s v="Kunhiraman,Lakshmikanth"/>
    <n v="138.72549663844038"/>
    <d v="2026-04-28T00:00:00"/>
    <n v="4"/>
    <x v="2"/>
    <s v="Enterprise Architect"/>
  </r>
  <r>
    <n v="66637"/>
    <x v="3"/>
    <s v="01160430"/>
    <x v="5"/>
    <d v="2026-04-29T00:00:00"/>
    <n v="6833"/>
    <s v="Kunhiraman,Lakshmikanth"/>
    <n v="138.72549663844038"/>
    <d v="2026-04-29T00:00:00"/>
    <n v="4"/>
    <x v="2"/>
    <s v="Enterprise Architect"/>
  </r>
  <r>
    <n v="66637"/>
    <x v="3"/>
    <s v="01160430"/>
    <x v="5"/>
    <d v="2026-05-05T00:00:00"/>
    <n v="6833"/>
    <s v="Kunhiraman,Lakshmikanth"/>
    <n v="138.72549663844038"/>
    <d v="2026-05-05T00:00:00"/>
    <n v="4"/>
    <x v="10"/>
    <s v="Enterprise Architect"/>
  </r>
  <r>
    <n v="66637"/>
    <x v="3"/>
    <s v="01160430"/>
    <x v="5"/>
    <d v="2026-05-06T00:00:00"/>
    <n v="6833"/>
    <s v="Kunhiraman,Lakshmikanth"/>
    <n v="138.72549663844038"/>
    <d v="2026-05-06T00:00:00"/>
    <n v="4"/>
    <x v="10"/>
    <s v="Enterprise Architect"/>
  </r>
  <r>
    <n v="66637"/>
    <x v="3"/>
    <s v="01160430"/>
    <x v="5"/>
    <d v="2026-05-07T00:00:00"/>
    <n v="6833"/>
    <s v="Kunhiraman,Lakshmikanth"/>
    <n v="138.72549663844038"/>
    <d v="2026-05-07T00:00:00"/>
    <n v="4"/>
    <x v="10"/>
    <s v="Enterprise Architect"/>
  </r>
  <r>
    <n v="66637"/>
    <x v="3"/>
    <s v="01160430"/>
    <x v="5"/>
    <d v="2026-05-08T00:00:00"/>
    <n v="6833"/>
    <s v="Kunhiraman,Lakshmikanth"/>
    <n v="138.72549663844038"/>
    <d v="2026-05-08T00:00:00"/>
    <n v="4"/>
    <x v="10"/>
    <s v="Enterprise Architect"/>
  </r>
  <r>
    <n v="66637"/>
    <x v="3"/>
    <s v="01160430"/>
    <x v="5"/>
    <d v="2026-05-11T00:00:00"/>
    <n v="6833"/>
    <s v="Kunhiraman,Lakshmikanth"/>
    <n v="138.72549663844038"/>
    <d v="2026-05-11T00:00:00"/>
    <n v="4"/>
    <x v="10"/>
    <s v="Enterprise Architect"/>
  </r>
  <r>
    <n v="66637"/>
    <x v="3"/>
    <s v="01160430"/>
    <x v="5"/>
    <d v="2026-05-12T00:00:00"/>
    <n v="6833"/>
    <s v="Kunhiraman,Lakshmikanth"/>
    <n v="138.72549663844038"/>
    <d v="2026-05-12T00:00:00"/>
    <n v="4"/>
    <x v="10"/>
    <s v="Enterprise Architect"/>
  </r>
  <r>
    <n v="66637"/>
    <x v="3"/>
    <s v="01160430"/>
    <x v="5"/>
    <d v="2026-05-13T00:00:00"/>
    <n v="6833"/>
    <s v="Kunhiraman,Lakshmikanth"/>
    <n v="138.72549663844038"/>
    <d v="2026-05-13T00:00:00"/>
    <n v="4"/>
    <x v="10"/>
    <s v="Enterprise Architect"/>
  </r>
  <r>
    <n v="66637"/>
    <x v="3"/>
    <s v="01160430"/>
    <x v="5"/>
    <d v="2026-05-14T00:00:00"/>
    <n v="6833"/>
    <s v="Kunhiraman,Lakshmikanth"/>
    <n v="138.72549663844038"/>
    <d v="2026-05-14T00:00:00"/>
    <n v="4"/>
    <x v="10"/>
    <s v="Enterprise Architect"/>
  </r>
  <r>
    <n v="66637"/>
    <x v="3"/>
    <s v="01160430"/>
    <x v="5"/>
    <d v="2026-05-15T00:00:00"/>
    <n v="6833"/>
    <s v="Kunhiraman,Lakshmikanth"/>
    <n v="138.72549663844038"/>
    <d v="2026-05-15T00:00:00"/>
    <n v="4"/>
    <x v="10"/>
    <s v="Enterprise Architect"/>
  </r>
  <r>
    <n v="66637"/>
    <x v="3"/>
    <s v="01160430"/>
    <x v="5"/>
    <d v="2026-05-18T00:00:00"/>
    <n v="6833"/>
    <s v="Kunhiraman,Lakshmikanth"/>
    <n v="138.72549663844038"/>
    <d v="2026-05-18T00:00:00"/>
    <n v="4"/>
    <x v="10"/>
    <s v="Enterprise Architect"/>
  </r>
  <r>
    <n v="66637"/>
    <x v="3"/>
    <s v="01160430"/>
    <x v="5"/>
    <d v="2026-05-19T00:00:00"/>
    <n v="6833"/>
    <s v="Kunhiraman,Lakshmikanth"/>
    <n v="138.72549663844038"/>
    <d v="2026-05-19T00:00:00"/>
    <n v="4"/>
    <x v="10"/>
    <s v="Enterprise Architect"/>
  </r>
  <r>
    <n v="66637"/>
    <x v="3"/>
    <s v="01160430"/>
    <x v="5"/>
    <d v="2026-05-20T00:00:00"/>
    <n v="6833"/>
    <s v="Kunhiraman,Lakshmikanth"/>
    <n v="138.72549663844038"/>
    <d v="2026-05-20T00:00:00"/>
    <n v="4"/>
    <x v="10"/>
    <s v="Enterprise Architect"/>
  </r>
  <r>
    <n v="66637"/>
    <x v="3"/>
    <s v="01160430"/>
    <x v="5"/>
    <d v="2026-05-21T00:00:00"/>
    <n v="6833"/>
    <s v="Kunhiraman,Lakshmikanth"/>
    <n v="138.72549663844038"/>
    <d v="2026-05-21T00:00:00"/>
    <n v="4"/>
    <x v="10"/>
    <s v="Enterprise Architect"/>
  </r>
  <r>
    <n v="66637"/>
    <x v="3"/>
    <s v="01160430"/>
    <x v="5"/>
    <d v="2026-05-22T00:00:00"/>
    <n v="6833"/>
    <s v="Kunhiraman,Lakshmikanth"/>
    <n v="138.72549663844038"/>
    <d v="2026-05-22T00:00:00"/>
    <n v="4"/>
    <x v="10"/>
    <s v="Enterprise Architect"/>
  </r>
  <r>
    <n v="66637"/>
    <x v="3"/>
    <s v="01160430"/>
    <x v="5"/>
    <d v="2026-05-25T00:00:00"/>
    <n v="6833"/>
    <s v="Kunhiraman,Lakshmikanth"/>
    <n v="138.72549663844038"/>
    <d v="2026-05-25T00:00:00"/>
    <n v="4"/>
    <x v="10"/>
    <s v="Enterprise Architect"/>
  </r>
  <r>
    <n v="66637"/>
    <x v="3"/>
    <s v="01160430"/>
    <x v="5"/>
    <d v="2026-05-26T00:00:00"/>
    <n v="6833"/>
    <s v="Kunhiraman,Lakshmikanth"/>
    <n v="138.72549663844038"/>
    <d v="2026-05-26T00:00:00"/>
    <n v="4"/>
    <x v="10"/>
    <s v="Enterprise Architect"/>
  </r>
  <r>
    <n v="66637"/>
    <x v="3"/>
    <s v="01160430"/>
    <x v="5"/>
    <d v="2026-05-27T00:00:00"/>
    <n v="6833"/>
    <s v="Kunhiraman,Lakshmikanth"/>
    <n v="138.72549663844038"/>
    <d v="2026-05-27T00:00:00"/>
    <n v="4"/>
    <x v="10"/>
    <s v="Enterprise Architect"/>
  </r>
  <r>
    <n v="66637"/>
    <x v="3"/>
    <s v="01160430"/>
    <x v="5"/>
    <d v="2026-05-28T00:00:00"/>
    <n v="6833"/>
    <s v="Kunhiraman,Lakshmikanth"/>
    <n v="138.72549663844038"/>
    <d v="2026-05-28T00:00:00"/>
    <n v="4"/>
    <x v="10"/>
    <s v="Enterprise Architect"/>
  </r>
  <r>
    <n v="66637"/>
    <x v="3"/>
    <s v="01160430"/>
    <x v="5"/>
    <d v="2026-05-29T00:00:00"/>
    <n v="6833"/>
    <s v="Kunhiraman,Lakshmikanth"/>
    <n v="138.72549663844038"/>
    <d v="2026-05-29T00:00:00"/>
    <n v="4"/>
    <x v="10"/>
    <s v="Enterprise Architect"/>
  </r>
  <r>
    <n v="66637"/>
    <x v="3"/>
    <s v="01160430"/>
    <x v="5"/>
    <d v="2026-06-01T00:00:00"/>
    <n v="6833"/>
    <s v="Kunhiraman,Lakshmikanth"/>
    <n v="138.72549663844038"/>
    <d v="2026-06-01T00:00:00"/>
    <n v="4"/>
    <x v="11"/>
    <s v="Enterprise Architect"/>
  </r>
  <r>
    <n v="66637"/>
    <x v="3"/>
    <s v="01160430"/>
    <x v="5"/>
    <d v="2026-06-02T00:00:00"/>
    <n v="6833"/>
    <s v="Kunhiraman,Lakshmikanth"/>
    <n v="138.72549663844038"/>
    <d v="2026-06-02T00:00:00"/>
    <n v="4"/>
    <x v="11"/>
    <s v="Enterprise Architect"/>
  </r>
  <r>
    <n v="66637"/>
    <x v="3"/>
    <s v="01160430"/>
    <x v="5"/>
    <d v="2026-06-03T00:00:00"/>
    <n v="6833"/>
    <s v="Kunhiraman,Lakshmikanth"/>
    <n v="138.72549663844038"/>
    <d v="2026-06-03T00:00:00"/>
    <n v="4"/>
    <x v="11"/>
    <s v="Enterprise Architect"/>
  </r>
  <r>
    <n v="66637"/>
    <x v="3"/>
    <s v="01160430"/>
    <x v="5"/>
    <d v="2026-06-04T00:00:00"/>
    <n v="6833"/>
    <s v="Kunhiraman,Lakshmikanth"/>
    <n v="138.72549663844038"/>
    <d v="2026-06-04T00:00:00"/>
    <n v="4"/>
    <x v="11"/>
    <s v="Enterprise Architect"/>
  </r>
  <r>
    <n v="66637"/>
    <x v="3"/>
    <s v="01160430"/>
    <x v="5"/>
    <d v="2026-06-05T00:00:00"/>
    <n v="6833"/>
    <s v="Kunhiraman,Lakshmikanth"/>
    <n v="138.72549663844038"/>
    <d v="2026-06-05T00:00:00"/>
    <n v="4"/>
    <x v="11"/>
    <s v="Enterprise Architect"/>
  </r>
  <r>
    <n v="66637"/>
    <x v="3"/>
    <s v="01160432"/>
    <x v="6"/>
    <d v="2025-08-11T00:00:00"/>
    <n v="6833"/>
    <s v="Kunhiraman,Lakshmikanth"/>
    <n v="34.681374159610094"/>
    <d v="2025-08-11T00:00:00"/>
    <n v="1"/>
    <x v="4"/>
    <s v="Enterprise Architect"/>
  </r>
  <r>
    <n v="66637"/>
    <x v="3"/>
    <s v="01160432"/>
    <x v="6"/>
    <d v="2025-08-12T00:00:00"/>
    <n v="6833"/>
    <s v="Kunhiraman,Lakshmikanth"/>
    <n v="34.681374159610094"/>
    <d v="2025-08-12T00:00:00"/>
    <n v="1"/>
    <x v="4"/>
    <s v="Enterprise Architect"/>
  </r>
  <r>
    <n v="66637"/>
    <x v="3"/>
    <s v="01160432"/>
    <x v="6"/>
    <d v="2025-08-13T00:00:00"/>
    <n v="6833"/>
    <s v="Kunhiraman,Lakshmikanth"/>
    <n v="34.681374159610094"/>
    <d v="2025-08-13T00:00:00"/>
    <n v="1"/>
    <x v="4"/>
    <s v="Enterprise Architect"/>
  </r>
  <r>
    <n v="66637"/>
    <x v="3"/>
    <s v="01160432"/>
    <x v="6"/>
    <d v="2025-08-14T00:00:00"/>
    <n v="6833"/>
    <s v="Kunhiraman,Lakshmikanth"/>
    <n v="69.362748319220188"/>
    <d v="2025-08-14T00:00:00"/>
    <n v="2"/>
    <x v="4"/>
    <s v="Enterprise Architect"/>
  </r>
  <r>
    <n v="66637"/>
    <x v="3"/>
    <s v="01160432"/>
    <x v="6"/>
    <d v="2025-11-10T00:00:00"/>
    <n v="6833"/>
    <s v="Kunhiraman,Lakshmikanth"/>
    <n v="104.04412247883027"/>
    <d v="2025-11-10T00:00:00"/>
    <n v="3"/>
    <x v="7"/>
    <s v="Enterprise Architect"/>
  </r>
  <r>
    <n v="66637"/>
    <x v="3"/>
    <s v="01160432"/>
    <x v="6"/>
    <d v="2025-11-11T00:00:00"/>
    <n v="6833"/>
    <s v="Kunhiraman,Lakshmikanth"/>
    <n v="69.362748319220188"/>
    <d v="2025-11-11T00:00:00"/>
    <n v="2"/>
    <x v="7"/>
    <s v="Enterprise Architect"/>
  </r>
  <r>
    <n v="66637"/>
    <x v="3"/>
    <s v="01160432"/>
    <x v="6"/>
    <d v="2025-11-12T00:00:00"/>
    <n v="6833"/>
    <s v="Kunhiraman,Lakshmikanth"/>
    <n v="69.362748319220188"/>
    <d v="2025-11-12T00:00:00"/>
    <n v="2"/>
    <x v="7"/>
    <s v="Enterprise Architect"/>
  </r>
  <r>
    <n v="66637"/>
    <x v="3"/>
    <s v="01160432"/>
    <x v="6"/>
    <d v="2025-11-14T00:00:00"/>
    <n v="6833"/>
    <s v="Kunhiraman,Lakshmikanth"/>
    <n v="69.362748319220188"/>
    <d v="2025-11-14T00:00:00"/>
    <n v="2"/>
    <x v="7"/>
    <s v="Enterprise Architect"/>
  </r>
  <r>
    <n v="66637"/>
    <x v="3"/>
    <s v="01160432"/>
    <x v="6"/>
    <d v="2025-11-17T00:00:00"/>
    <n v="6833"/>
    <s v="Kunhiraman,Lakshmikanth"/>
    <n v="34.681374159610094"/>
    <d v="2025-11-17T00:00:00"/>
    <n v="1"/>
    <x v="7"/>
    <s v="Enterprise Architect"/>
  </r>
  <r>
    <n v="66637"/>
    <x v="3"/>
    <s v="01160432"/>
    <x v="6"/>
    <d v="2025-11-18T00:00:00"/>
    <n v="6833"/>
    <s v="Kunhiraman,Lakshmikanth"/>
    <n v="86.703435399025238"/>
    <d v="2025-11-18T00:00:00"/>
    <n v="2.5"/>
    <x v="7"/>
    <s v="Enterprise Architect"/>
  </r>
  <r>
    <n v="66637"/>
    <x v="3"/>
    <s v="01160432"/>
    <x v="6"/>
    <d v="2025-11-19T00:00:00"/>
    <n v="6833"/>
    <s v="Kunhiraman,Lakshmikanth"/>
    <n v="52.022061239415137"/>
    <d v="2025-11-19T00:00:00"/>
    <n v="1.5"/>
    <x v="7"/>
    <s v="Enterprise Architect"/>
  </r>
  <r>
    <n v="66637"/>
    <x v="3"/>
    <s v="01160432"/>
    <x v="6"/>
    <d v="2025-11-20T00:00:00"/>
    <n v="6833"/>
    <s v="Kunhiraman,Lakshmikanth"/>
    <n v="34.681374159610094"/>
    <d v="2025-11-20T00:00:00"/>
    <n v="1"/>
    <x v="7"/>
    <s v="Enterprise Architect"/>
  </r>
  <r>
    <n v="66637"/>
    <x v="3"/>
    <s v="01160432"/>
    <x v="6"/>
    <d v="2025-11-21T00:00:00"/>
    <n v="6833"/>
    <s v="Kunhiraman,Lakshmikanth"/>
    <n v="34.681374159610094"/>
    <d v="2025-11-21T00:00:00"/>
    <n v="1"/>
    <x v="7"/>
    <s v="Enterprise Architect"/>
  </r>
  <r>
    <n v="66637"/>
    <x v="3"/>
    <s v="01160432"/>
    <x v="6"/>
    <d v="2025-11-24T00:00:00"/>
    <n v="6833"/>
    <s v="Kunhiraman,Lakshmikanth"/>
    <n v="34.681374159610094"/>
    <d v="2025-11-24T00:00:00"/>
    <n v="1"/>
    <x v="7"/>
    <s v="Enterprise Architect"/>
  </r>
  <r>
    <n v="66637"/>
    <x v="3"/>
    <s v="01160432"/>
    <x v="6"/>
    <d v="2025-11-25T00:00:00"/>
    <n v="6833"/>
    <s v="Kunhiraman,Lakshmikanth"/>
    <n v="34.681374159610094"/>
    <d v="2025-11-25T00:00:00"/>
    <n v="1"/>
    <x v="7"/>
    <s v="Enterprise Architect"/>
  </r>
  <r>
    <n v="66637"/>
    <x v="3"/>
    <s v="01160432"/>
    <x v="6"/>
    <d v="2025-11-26T00:00:00"/>
    <n v="6833"/>
    <s v="Kunhiraman,Lakshmikanth"/>
    <n v="34.681374159610094"/>
    <d v="2025-11-26T00:00:00"/>
    <n v="1"/>
    <x v="7"/>
    <s v="Enterprise Architect"/>
  </r>
  <r>
    <n v="66637"/>
    <x v="3"/>
    <s v="01160432"/>
    <x v="6"/>
    <d v="2025-11-27T00:00:00"/>
    <n v="6833"/>
    <s v="Kunhiraman,Lakshmikanth"/>
    <n v="104.04412247883027"/>
    <d v="2025-11-27T00:00:00"/>
    <n v="3"/>
    <x v="7"/>
    <s v="Enterprise Architect"/>
  </r>
  <r>
    <n v="66637"/>
    <x v="3"/>
    <s v="01160432"/>
    <x v="6"/>
    <d v="2025-11-28T00:00:00"/>
    <n v="6833"/>
    <s v="Kunhiraman,Lakshmikanth"/>
    <n v="69.362748319220188"/>
    <d v="2025-11-28T00:00:00"/>
    <n v="2"/>
    <x v="7"/>
    <s v="Enterprise Architect"/>
  </r>
  <r>
    <n v="66637"/>
    <x v="3"/>
    <s v="01160432"/>
    <x v="6"/>
    <d v="2026-01-05T00:00:00"/>
    <n v="6833"/>
    <s v="Kunhiraman,Lakshmikanth"/>
    <n v="34.681374159610094"/>
    <d v="2026-01-05T00:00:00"/>
    <n v="1"/>
    <x v="9"/>
    <s v="Enterprise Architect"/>
  </r>
  <r>
    <n v="66637"/>
    <x v="3"/>
    <s v="01160432"/>
    <x v="6"/>
    <d v="2026-01-08T00:00:00"/>
    <n v="6833"/>
    <s v="Kunhiraman,Lakshmikanth"/>
    <n v="34.681374159610094"/>
    <d v="2026-01-08T00:00:00"/>
    <n v="1"/>
    <x v="9"/>
    <s v="Enterprise Architect"/>
  </r>
  <r>
    <n v="66637"/>
    <x v="3"/>
    <s v="01160432"/>
    <x v="6"/>
    <d v="2026-01-09T00:00:00"/>
    <n v="6833"/>
    <s v="Kunhiraman,Lakshmikanth"/>
    <n v="34.681374159610094"/>
    <d v="2026-01-09T00:00:00"/>
    <n v="1"/>
    <x v="9"/>
    <s v="Enterprise Architect"/>
  </r>
  <r>
    <n v="66637"/>
    <x v="3"/>
    <s v="01160432"/>
    <x v="6"/>
    <d v="2026-01-27T00:00:00"/>
    <n v="6833"/>
    <s v="Kunhiraman,Lakshmikanth"/>
    <n v="104.04412247883027"/>
    <d v="2026-01-27T00:00:00"/>
    <n v="3"/>
    <x v="9"/>
    <s v="Enterprise Architect"/>
  </r>
  <r>
    <n v="66637"/>
    <x v="3"/>
    <s v="01160432"/>
    <x v="6"/>
    <d v="2026-01-28T00:00:00"/>
    <n v="6833"/>
    <s v="Kunhiraman,Lakshmikanth"/>
    <n v="69.362748319220188"/>
    <d v="2026-01-28T00:00:00"/>
    <n v="2"/>
    <x v="9"/>
    <s v="Enterprise Architect"/>
  </r>
  <r>
    <n v="66637"/>
    <x v="3"/>
    <s v="01160432"/>
    <x v="6"/>
    <d v="2026-01-29T00:00:00"/>
    <n v="6833"/>
    <s v="Kunhiraman,Lakshmikanth"/>
    <n v="69.362748319220188"/>
    <d v="2026-01-29T00:00:00"/>
    <n v="2"/>
    <x v="9"/>
    <s v="Enterprise Architect"/>
  </r>
  <r>
    <n v="66637"/>
    <x v="3"/>
    <s v="01160432"/>
    <x v="6"/>
    <d v="2026-01-30T00:00:00"/>
    <n v="6833"/>
    <s v="Kunhiraman,Lakshmikanth"/>
    <n v="104.04412247883027"/>
    <d v="2026-01-30T00:00:00"/>
    <n v="3"/>
    <x v="9"/>
    <s v="Enterprise Architect"/>
  </r>
  <r>
    <n v="66637"/>
    <x v="3"/>
    <s v="01160432"/>
    <x v="6"/>
    <d v="2026-02-02T00:00:00"/>
    <n v="6833"/>
    <s v="Kunhiraman,Lakshmikanth"/>
    <n v="104.04412247883027"/>
    <d v="2026-02-02T00:00:00"/>
    <n v="3"/>
    <x v="0"/>
    <s v="Enterprise Architect"/>
  </r>
  <r>
    <n v="66637"/>
    <x v="3"/>
    <s v="01160432"/>
    <x v="6"/>
    <d v="2026-02-03T00:00:00"/>
    <n v="6833"/>
    <s v="Kunhiraman,Lakshmikanth"/>
    <n v="69.362748319220188"/>
    <d v="2026-02-03T00:00:00"/>
    <n v="2"/>
    <x v="0"/>
    <s v="Enterprise Architect"/>
  </r>
  <r>
    <n v="66637"/>
    <x v="3"/>
    <s v="01160432"/>
    <x v="6"/>
    <d v="2026-02-04T00:00:00"/>
    <n v="6833"/>
    <s v="Kunhiraman,Lakshmikanth"/>
    <n v="69.362748319220188"/>
    <d v="2026-02-04T00:00:00"/>
    <n v="2"/>
    <x v="0"/>
    <s v="Enterprise Architect"/>
  </r>
  <r>
    <n v="66637"/>
    <x v="3"/>
    <s v="01160432"/>
    <x v="6"/>
    <d v="2026-02-05T00:00:00"/>
    <n v="6833"/>
    <s v="Kunhiraman,Lakshmikanth"/>
    <n v="69.362748319220188"/>
    <d v="2026-02-05T00:00:00"/>
    <n v="2"/>
    <x v="0"/>
    <s v="Enterprise Architect"/>
  </r>
  <r>
    <n v="66637"/>
    <x v="3"/>
    <s v="01160432"/>
    <x v="6"/>
    <d v="2026-02-06T00:00:00"/>
    <n v="6833"/>
    <s v="Kunhiraman,Lakshmikanth"/>
    <n v="69.362748319220188"/>
    <d v="2026-02-06T00:00:00"/>
    <n v="2"/>
    <x v="0"/>
    <s v="Enterprise Architect"/>
  </r>
  <r>
    <n v="66637"/>
    <x v="3"/>
    <s v="01160432"/>
    <x v="6"/>
    <d v="2026-02-23T00:00:00"/>
    <n v="6833"/>
    <s v="Kunhiraman,Lakshmikanth"/>
    <n v="138.72549663844038"/>
    <d v="2026-02-23T00:00:00"/>
    <n v="4"/>
    <x v="0"/>
    <s v="Enterprise Architect"/>
  </r>
  <r>
    <n v="66637"/>
    <x v="3"/>
    <s v="01160432"/>
    <x v="6"/>
    <d v="2026-02-24T00:00:00"/>
    <n v="6833"/>
    <s v="Kunhiraman,Lakshmikanth"/>
    <n v="138.72549663844038"/>
    <d v="2026-02-24T00:00:00"/>
    <n v="4"/>
    <x v="0"/>
    <s v="Enterprise Architect"/>
  </r>
  <r>
    <n v="66637"/>
    <x v="3"/>
    <s v="01160432"/>
    <x v="6"/>
    <d v="2026-02-25T00:00:00"/>
    <n v="6833"/>
    <s v="Kunhiraman,Lakshmikanth"/>
    <n v="138.72549663844038"/>
    <d v="2026-02-25T00:00:00"/>
    <n v="4"/>
    <x v="0"/>
    <s v="Enterprise Architect"/>
  </r>
  <r>
    <n v="66637"/>
    <x v="3"/>
    <s v="01160432"/>
    <x v="6"/>
    <d v="2026-02-26T00:00:00"/>
    <n v="6833"/>
    <s v="Kunhiraman,Lakshmikanth"/>
    <n v="138.72549663844038"/>
    <d v="2026-02-26T00:00:00"/>
    <n v="4"/>
    <x v="0"/>
    <s v="Enterprise Architect"/>
  </r>
  <r>
    <n v="66637"/>
    <x v="3"/>
    <s v="01160432"/>
    <x v="6"/>
    <d v="2026-02-27T00:00:00"/>
    <n v="6833"/>
    <s v="Kunhiraman,Lakshmikanth"/>
    <n v="138.72549663844038"/>
    <d v="2026-02-27T00:00:00"/>
    <n v="4"/>
    <x v="0"/>
    <s v="Enterprise Architect"/>
  </r>
  <r>
    <n v="66637"/>
    <x v="3"/>
    <s v="01160432"/>
    <x v="6"/>
    <d v="2026-03-02T00:00:00"/>
    <n v="6833"/>
    <s v="Kunhiraman,Lakshmikanth"/>
    <n v="104.04412247883027"/>
    <d v="2026-03-02T00:00:00"/>
    <n v="3"/>
    <x v="1"/>
    <s v="Enterprise Architect"/>
  </r>
  <r>
    <n v="66637"/>
    <x v="3"/>
    <s v="01160432"/>
    <x v="6"/>
    <d v="2026-03-03T00:00:00"/>
    <n v="6833"/>
    <s v="Kunhiraman,Lakshmikanth"/>
    <n v="104.04412247883027"/>
    <d v="2026-03-03T00:00:00"/>
    <n v="3"/>
    <x v="1"/>
    <s v="Enterprise Architect"/>
  </r>
  <r>
    <n v="66637"/>
    <x v="3"/>
    <s v="01160432"/>
    <x v="6"/>
    <d v="2026-03-04T00:00:00"/>
    <n v="6833"/>
    <s v="Kunhiraman,Lakshmikanth"/>
    <n v="104.04412247883027"/>
    <d v="2026-03-04T00:00:00"/>
    <n v="3"/>
    <x v="1"/>
    <s v="Enterprise Architect"/>
  </r>
  <r>
    <n v="66637"/>
    <x v="3"/>
    <s v="01160432"/>
    <x v="6"/>
    <d v="2026-03-05T00:00:00"/>
    <n v="6833"/>
    <s v="Kunhiraman,Lakshmikanth"/>
    <n v="104.04412247883027"/>
    <d v="2026-03-05T00:00:00"/>
    <n v="3"/>
    <x v="1"/>
    <s v="Enterprise Architect"/>
  </r>
  <r>
    <n v="66637"/>
    <x v="3"/>
    <s v="01160432"/>
    <x v="6"/>
    <d v="2026-03-06T00:00:00"/>
    <n v="6833"/>
    <s v="Kunhiraman,Lakshmikanth"/>
    <n v="104.04412247883027"/>
    <d v="2026-03-06T00:00:00"/>
    <n v="3"/>
    <x v="1"/>
    <s v="Enterprise Architect"/>
  </r>
  <r>
    <n v="66637"/>
    <x v="3"/>
    <s v="01160432"/>
    <x v="6"/>
    <d v="2026-03-09T00:00:00"/>
    <n v="6833"/>
    <s v="Kunhiraman,Lakshmikanth"/>
    <n v="104.04412247883027"/>
    <d v="2026-03-09T00:00:00"/>
    <n v="3"/>
    <x v="1"/>
    <s v="Enterprise Architect"/>
  </r>
  <r>
    <n v="66637"/>
    <x v="3"/>
    <s v="01160432"/>
    <x v="6"/>
    <d v="2026-03-10T00:00:00"/>
    <n v="6833"/>
    <s v="Kunhiraman,Lakshmikanth"/>
    <n v="104.04412247883027"/>
    <d v="2026-03-10T00:00:00"/>
    <n v="3"/>
    <x v="1"/>
    <s v="Enterprise Architect"/>
  </r>
  <r>
    <n v="66637"/>
    <x v="3"/>
    <s v="01160432"/>
    <x v="6"/>
    <d v="2026-03-11T00:00:00"/>
    <n v="6833"/>
    <s v="Kunhiraman,Lakshmikanth"/>
    <n v="104.04412247883027"/>
    <d v="2026-03-11T00:00:00"/>
    <n v="3"/>
    <x v="1"/>
    <s v="Enterprise Architect"/>
  </r>
  <r>
    <n v="66637"/>
    <x v="3"/>
    <s v="01160432"/>
    <x v="6"/>
    <d v="2026-03-12T00:00:00"/>
    <n v="6833"/>
    <s v="Kunhiraman,Lakshmikanth"/>
    <n v="104.04412247883027"/>
    <d v="2026-03-12T00:00:00"/>
    <n v="3"/>
    <x v="1"/>
    <s v="Enterprise Architect"/>
  </r>
  <r>
    <n v="66637"/>
    <x v="3"/>
    <s v="01160432"/>
    <x v="6"/>
    <d v="2026-03-16T00:00:00"/>
    <n v="6833"/>
    <s v="Kunhiraman,Lakshmikanth"/>
    <n v="208.08824495766055"/>
    <d v="2026-03-16T00:00:00"/>
    <n v="6"/>
    <x v="1"/>
    <s v="Enterprise Architect"/>
  </r>
  <r>
    <n v="66637"/>
    <x v="3"/>
    <s v="01160432"/>
    <x v="6"/>
    <d v="2026-03-17T00:00:00"/>
    <n v="6833"/>
    <s v="Kunhiraman,Lakshmikanth"/>
    <n v="208.08824495766055"/>
    <d v="2026-03-17T00:00:00"/>
    <n v="6"/>
    <x v="1"/>
    <s v="Enterprise Architect"/>
  </r>
  <r>
    <n v="66637"/>
    <x v="3"/>
    <s v="01160432"/>
    <x v="6"/>
    <d v="2026-03-18T00:00:00"/>
    <n v="6833"/>
    <s v="Kunhiraman,Lakshmikanth"/>
    <n v="208.08824495766055"/>
    <d v="2026-03-18T00:00:00"/>
    <n v="6"/>
    <x v="1"/>
    <s v="Enterprise Architect"/>
  </r>
  <r>
    <n v="66637"/>
    <x v="3"/>
    <s v="01160432"/>
    <x v="6"/>
    <d v="2026-03-19T00:00:00"/>
    <n v="6833"/>
    <s v="Kunhiraman,Lakshmikanth"/>
    <n v="208.08824495766055"/>
    <d v="2026-03-19T00:00:00"/>
    <n v="6"/>
    <x v="1"/>
    <s v="Enterprise Architect"/>
  </r>
  <r>
    <n v="66637"/>
    <x v="3"/>
    <s v="01160432"/>
    <x v="6"/>
    <d v="2026-03-23T00:00:00"/>
    <n v="6833"/>
    <s v="Kunhiraman,Lakshmikanth"/>
    <n v="34.681374159610094"/>
    <d v="2026-03-23T00:00:00"/>
    <n v="1"/>
    <x v="1"/>
    <s v="Enterprise Architect"/>
  </r>
  <r>
    <n v="66637"/>
    <x v="3"/>
    <s v="01160432"/>
    <x v="6"/>
    <d v="2026-03-24T00:00:00"/>
    <n v="6833"/>
    <s v="Kunhiraman,Lakshmikanth"/>
    <n v="34.681374159610094"/>
    <d v="2026-03-24T00:00:00"/>
    <n v="1"/>
    <x v="1"/>
    <s v="Enterprise Architect"/>
  </r>
  <r>
    <n v="66637"/>
    <x v="3"/>
    <s v="01160432"/>
    <x v="6"/>
    <d v="2026-03-25T00:00:00"/>
    <n v="6833"/>
    <s v="Kunhiraman,Lakshmikanth"/>
    <n v="34.681374159610094"/>
    <d v="2026-03-25T00:00:00"/>
    <n v="1"/>
    <x v="1"/>
    <s v="Enterprise Architect"/>
  </r>
  <r>
    <n v="66637"/>
    <x v="3"/>
    <s v="01160432"/>
    <x v="6"/>
    <d v="2026-03-26T00:00:00"/>
    <n v="6833"/>
    <s v="Kunhiraman,Lakshmikanth"/>
    <n v="34.681374159610094"/>
    <d v="2026-03-26T00:00:00"/>
    <n v="1"/>
    <x v="1"/>
    <s v="Enterprise Architect"/>
  </r>
  <r>
    <n v="66637"/>
    <x v="3"/>
    <s v="01160432"/>
    <x v="6"/>
    <d v="2026-03-27T00:00:00"/>
    <n v="6833"/>
    <s v="Kunhiraman,Lakshmikanth"/>
    <n v="34.681374159610094"/>
    <d v="2026-03-27T00:00:00"/>
    <n v="1"/>
    <x v="1"/>
    <s v="Enterprise Architect"/>
  </r>
  <r>
    <n v="66434"/>
    <x v="1"/>
    <s v="01175892"/>
    <x v="7"/>
    <d v="2025-07-01T00:00:00"/>
    <s v="IA1830"/>
    <s v="Raj,Gowtham"/>
    <n v="104.04412247883027"/>
    <d v="2025-07-01T00:00:00"/>
    <n v="3"/>
    <x v="3"/>
    <s v="Junior"/>
  </r>
  <r>
    <n v="66434"/>
    <x v="1"/>
    <s v="01175892"/>
    <x v="7"/>
    <d v="2025-07-03T00:00:00"/>
    <s v="IA1690"/>
    <s v="Duraisamy,Manikandaprabu"/>
    <n v="34.681374159610094"/>
    <d v="2025-07-03T00:00:00"/>
    <n v="1"/>
    <x v="3"/>
    <s v="Developer"/>
  </r>
  <r>
    <n v="66434"/>
    <x v="1"/>
    <s v="01175892"/>
    <x v="7"/>
    <d v="2025-07-03T00:00:00"/>
    <s v="IA1830"/>
    <s v="Raj,Gowtham"/>
    <n v="104.04412247883027"/>
    <d v="2025-07-03T00:00:00"/>
    <n v="3"/>
    <x v="3"/>
    <s v="Junior"/>
  </r>
  <r>
    <n v="66434"/>
    <x v="1"/>
    <s v="01175892"/>
    <x v="7"/>
    <d v="2025-07-04T00:00:00"/>
    <s v="IA1690"/>
    <s v="Duraisamy,Manikandaprabu"/>
    <n v="34.681374159610094"/>
    <d v="2025-07-04T00:00:00"/>
    <n v="1"/>
    <x v="3"/>
    <s v="Developer"/>
  </r>
  <r>
    <n v="66434"/>
    <x v="1"/>
    <s v="01175892"/>
    <x v="7"/>
    <d v="2025-07-04T00:00:00"/>
    <s v="IA1830"/>
    <s v="Raj,Gowtham"/>
    <n v="104.04412247883027"/>
    <d v="2025-07-04T00:00:00"/>
    <n v="3"/>
    <x v="3"/>
    <s v="Junior"/>
  </r>
  <r>
    <n v="66434"/>
    <x v="1"/>
    <s v="01170692"/>
    <x v="8"/>
    <d v="2025-07-01T00:00:00"/>
    <s v="IA1450"/>
    <s v="Selvam,Kadarkarai"/>
    <n v="104.04412247883027"/>
    <d v="2025-07-01T00:00:00"/>
    <n v="3"/>
    <x v="3"/>
    <s v="Lead Developer"/>
  </r>
  <r>
    <n v="66434"/>
    <x v="1"/>
    <s v="01170692"/>
    <x v="8"/>
    <d v="2025-07-01T00:00:00"/>
    <s v="IA1757"/>
    <s v="Thirunavukkarasu,Kishore"/>
    <n v="277.45099327688075"/>
    <d v="2025-07-01T00:00:00"/>
    <n v="8"/>
    <x v="3"/>
    <s v="Developer"/>
  </r>
  <r>
    <n v="66434"/>
    <x v="1"/>
    <s v="01170692"/>
    <x v="8"/>
    <d v="2025-07-02T00:00:00"/>
    <s v="IA1692"/>
    <s v="Gunasekaran,Kishore"/>
    <n v="34.681374159610094"/>
    <d v="2025-07-02T00:00:00"/>
    <n v="1"/>
    <x v="3"/>
    <s v="Developer"/>
  </r>
  <r>
    <n v="66434"/>
    <x v="1"/>
    <s v="01170692"/>
    <x v="8"/>
    <d v="2025-07-02T00:00:00"/>
    <s v="IA1793"/>
    <s v="Subramanian,Ruthrakkanth"/>
    <n v="34.681374159610094"/>
    <d v="2025-07-02T00:00:00"/>
    <n v="1"/>
    <x v="3"/>
    <s v="Developer"/>
  </r>
  <r>
    <n v="66434"/>
    <x v="1"/>
    <s v="01170692"/>
    <x v="8"/>
    <d v="2025-07-03T00:00:00"/>
    <s v="IA1692"/>
    <s v="Gunasekaran,Kishore"/>
    <n v="34.681374159610094"/>
    <d v="2025-07-03T00:00:00"/>
    <n v="1"/>
    <x v="3"/>
    <s v="Developer"/>
  </r>
  <r>
    <n v="66434"/>
    <x v="1"/>
    <s v="01171709"/>
    <x v="9"/>
    <d v="2025-07-01T00:00:00"/>
    <s v="IA1789"/>
    <s v="Sharukhan,Mohammed"/>
    <n v="156.06618371824541"/>
    <d v="2025-07-01T00:00:00"/>
    <n v="4.5"/>
    <x v="3"/>
    <s v="Platform Operations"/>
  </r>
  <r>
    <n v="66434"/>
    <x v="1"/>
    <s v="01171709"/>
    <x v="9"/>
    <d v="2025-07-02T00:00:00"/>
    <s v="IA1789"/>
    <s v="Sharukhan,Mohammed"/>
    <n v="156.06618371824541"/>
    <d v="2025-07-02T00:00:00"/>
    <n v="4.5"/>
    <x v="3"/>
    <s v="Platform Operations"/>
  </r>
  <r>
    <n v="66434"/>
    <x v="1"/>
    <s v="01171709"/>
    <x v="9"/>
    <d v="2025-07-03T00:00:00"/>
    <s v="IA1789"/>
    <s v="Sharukhan,Mohammed"/>
    <n v="156.06618371824541"/>
    <d v="2025-07-03T00:00:00"/>
    <n v="4.5"/>
    <x v="3"/>
    <s v="Platform Operations"/>
  </r>
  <r>
    <n v="66434"/>
    <x v="1"/>
    <s v="01171709"/>
    <x v="9"/>
    <d v="2025-07-04T00:00:00"/>
    <s v="IA1789"/>
    <s v="Sharukhan,Mohammed"/>
    <n v="156.06618371824541"/>
    <d v="2025-07-04T00:00:00"/>
    <n v="4.5"/>
    <x v="3"/>
    <s v="Platform Operations"/>
  </r>
  <r>
    <n v="66434"/>
    <x v="1"/>
    <s v="01171671"/>
    <x v="10"/>
    <d v="2025-07-02T00:00:00"/>
    <s v="IA1450"/>
    <s v="Selvam,Kadarkarai"/>
    <n v="208.08824495766055"/>
    <d v="2025-07-02T00:00:00"/>
    <n v="6"/>
    <x v="3"/>
    <s v="Lead Developer"/>
  </r>
  <r>
    <n v="66434"/>
    <x v="1"/>
    <s v="01171671"/>
    <x v="10"/>
    <d v="2025-07-03T00:00:00"/>
    <s v="IA1450"/>
    <s v="Selvam,Kadarkarai"/>
    <n v="104.04412247883027"/>
    <d v="2025-07-03T00:00:00"/>
    <n v="3"/>
    <x v="3"/>
    <s v="Lead Developer"/>
  </r>
  <r>
    <n v="66434"/>
    <x v="1"/>
    <s v="01171671"/>
    <x v="10"/>
    <d v="2025-07-03T00:00:00"/>
    <s v="IA1757"/>
    <s v="Thirunavukkarasu,Kishore"/>
    <n v="34.681374159610094"/>
    <d v="2025-07-03T00:00:00"/>
    <n v="1"/>
    <x v="3"/>
    <s v="Developer"/>
  </r>
  <r>
    <n v="66434"/>
    <x v="1"/>
    <s v="01171671"/>
    <x v="10"/>
    <d v="2025-07-04T00:00:00"/>
    <s v="IA1692"/>
    <s v="Gunasekaran,Kishore"/>
    <n v="138.72549663844038"/>
    <d v="2025-07-04T00:00:00"/>
    <n v="4"/>
    <x v="3"/>
    <s v="Developer"/>
  </r>
  <r>
    <n v="66434"/>
    <x v="1"/>
    <s v="01171670"/>
    <x v="2"/>
    <d v="2025-07-01T00:00:00"/>
    <s v="IA1690"/>
    <s v="Duraisamy,Manikandaprabu"/>
    <n v="138.72549663844038"/>
    <d v="2025-07-01T00:00:00"/>
    <n v="4"/>
    <x v="3"/>
    <s v="Developer"/>
  </r>
  <r>
    <n v="66434"/>
    <x v="1"/>
    <s v="01171670"/>
    <x v="2"/>
    <d v="2025-07-01T00:00:00"/>
    <s v="IA1830"/>
    <s v="Raj,Gowtham"/>
    <n v="104.04412247883027"/>
    <d v="2025-07-01T00:00:00"/>
    <n v="3"/>
    <x v="3"/>
    <s v="Junior"/>
  </r>
  <r>
    <n v="66434"/>
    <x v="1"/>
    <s v="01171670"/>
    <x v="2"/>
    <d v="2025-07-01T00:00:00"/>
    <s v="IA1421"/>
    <s v="Jayapal,Muruganandham"/>
    <n v="104.04412247883027"/>
    <d v="2025-07-01T00:00:00"/>
    <n v="3"/>
    <x v="3"/>
    <s v="Engg Manager"/>
  </r>
  <r>
    <n v="66434"/>
    <x v="1"/>
    <s v="01171670"/>
    <x v="2"/>
    <d v="2025-07-02T00:00:00"/>
    <s v="IA1421"/>
    <s v="Jayapal,Muruganandham"/>
    <n v="104.04412247883027"/>
    <d v="2025-07-02T00:00:00"/>
    <n v="3"/>
    <x v="3"/>
    <s v="Engg Manager"/>
  </r>
  <r>
    <n v="67260"/>
    <x v="2"/>
    <s v="01192795"/>
    <x v="4"/>
    <d v="2025-10-20T00:00:00"/>
    <s v="IA1750"/>
    <s v="Sankarasubbu,RAMANATHAN"/>
    <n v="242.76961911727065"/>
    <d v="2025-10-20T00:00:00"/>
    <n v="7"/>
    <x v="6"/>
    <s v="Developer"/>
  </r>
  <r>
    <n v="66434"/>
    <x v="1"/>
    <s v="01171670"/>
    <x v="2"/>
    <d v="2025-07-03T00:00:00"/>
    <s v="IA1690"/>
    <s v="Duraisamy,Manikandaprabu"/>
    <n v="208.08824495766055"/>
    <d v="2025-07-03T00:00:00"/>
    <n v="6"/>
    <x v="3"/>
    <s v="Developer"/>
  </r>
  <r>
    <n v="66434"/>
    <x v="1"/>
    <s v="01171670"/>
    <x v="2"/>
    <d v="2025-07-03T00:00:00"/>
    <s v="IA1450"/>
    <s v="Selvam,Kadarkarai"/>
    <n v="69.362748319220188"/>
    <d v="2025-07-03T00:00:00"/>
    <n v="2"/>
    <x v="3"/>
    <s v="Lead Developer"/>
  </r>
  <r>
    <n v="66434"/>
    <x v="1"/>
    <s v="01171670"/>
    <x v="2"/>
    <d v="2025-07-03T00:00:00"/>
    <s v="IA1830"/>
    <s v="Raj,Gowtham"/>
    <n v="138.72549663844038"/>
    <d v="2025-07-03T00:00:00"/>
    <n v="4"/>
    <x v="3"/>
    <s v="Junior"/>
  </r>
  <r>
    <n v="66434"/>
    <x v="1"/>
    <s v="01171670"/>
    <x v="2"/>
    <d v="2025-07-03T00:00:00"/>
    <s v="IA1421"/>
    <s v="Jayapal,Muruganandham"/>
    <n v="104.04412247883027"/>
    <d v="2025-07-03T00:00:00"/>
    <n v="3"/>
    <x v="3"/>
    <s v="Engg Manager"/>
  </r>
  <r>
    <n v="66434"/>
    <x v="1"/>
    <s v="01171670"/>
    <x v="2"/>
    <d v="2025-07-03T00:00:00"/>
    <s v="IA1793"/>
    <s v="Subramanian,Ruthrakkanth"/>
    <n v="242.76961911727065"/>
    <d v="2025-07-03T00:00:00"/>
    <n v="7"/>
    <x v="3"/>
    <s v="Developer"/>
  </r>
  <r>
    <n v="66434"/>
    <x v="1"/>
    <s v="01171670"/>
    <x v="2"/>
    <d v="2025-07-04T00:00:00"/>
    <s v="IA1690"/>
    <s v="Duraisamy,Manikandaprabu"/>
    <n v="208.08824495766055"/>
    <d v="2025-07-04T00:00:00"/>
    <n v="6"/>
    <x v="3"/>
    <s v="Developer"/>
  </r>
  <r>
    <n v="66434"/>
    <x v="1"/>
    <s v="01171670"/>
    <x v="2"/>
    <d v="2025-07-04T00:00:00"/>
    <s v="IA1450"/>
    <s v="Selvam,Kadarkarai"/>
    <n v="69.362748319220188"/>
    <d v="2025-07-04T00:00:00"/>
    <n v="2"/>
    <x v="3"/>
    <s v="Lead Developer"/>
  </r>
  <r>
    <n v="66434"/>
    <x v="1"/>
    <s v="01171670"/>
    <x v="2"/>
    <d v="2025-07-04T00:00:00"/>
    <s v="IA1765"/>
    <s v="Kumar,Saravana"/>
    <n v="242.76961911727065"/>
    <d v="2025-07-04T00:00:00"/>
    <n v="7"/>
    <x v="3"/>
    <s v="Developer"/>
  </r>
  <r>
    <n v="66434"/>
    <x v="1"/>
    <s v="01171670"/>
    <x v="2"/>
    <d v="2025-07-04T00:00:00"/>
    <s v="IA1830"/>
    <s v="Raj,Gowtham"/>
    <n v="138.72549663844038"/>
    <d v="2025-07-04T00:00:00"/>
    <n v="4"/>
    <x v="3"/>
    <s v="Junior"/>
  </r>
  <r>
    <n v="66434"/>
    <x v="1"/>
    <s v="01171670"/>
    <x v="2"/>
    <d v="2025-07-04T00:00:00"/>
    <s v="IA1421"/>
    <s v="Jayapal,Muruganandham"/>
    <n v="104.04412247883027"/>
    <d v="2025-07-04T00:00:00"/>
    <n v="3"/>
    <x v="3"/>
    <s v="Engg Manager"/>
  </r>
  <r>
    <n v="66434"/>
    <x v="1"/>
    <s v="01171670"/>
    <x v="2"/>
    <d v="2025-07-04T00:00:00"/>
    <s v="IA1757"/>
    <s v="Thirunavukkarasu,Kishore"/>
    <n v="138.72549663844038"/>
    <d v="2025-07-04T00:00:00"/>
    <n v="4"/>
    <x v="3"/>
    <s v="Developer"/>
  </r>
  <r>
    <n v="67258"/>
    <x v="4"/>
    <s v="01192790"/>
    <x v="11"/>
    <d v="2025-07-07T00:00:00"/>
    <s v="IA1450"/>
    <s v="Selvam,Kadarkarai"/>
    <n v="242.76961911727065"/>
    <d v="2025-07-07T00:00:00"/>
    <n v="7"/>
    <x v="3"/>
    <s v="Lead Developer"/>
  </r>
  <r>
    <n v="67258"/>
    <x v="4"/>
    <s v="01192790"/>
    <x v="11"/>
    <d v="2025-07-07T00:00:00"/>
    <s v="IA1394"/>
    <s v="Baskar,Shriguru"/>
    <n v="69.362748319220188"/>
    <d v="2025-07-07T00:00:00"/>
    <n v="2"/>
    <x v="3"/>
    <s v="Niche Lead"/>
  </r>
  <r>
    <n v="67258"/>
    <x v="4"/>
    <s v="01192790"/>
    <x v="11"/>
    <d v="2025-07-08T00:00:00"/>
    <s v="IA1450"/>
    <s v="Selvam,Kadarkarai"/>
    <n v="242.76961911727065"/>
    <d v="2025-07-08T00:00:00"/>
    <n v="7"/>
    <x v="3"/>
    <s v="Lead Developer"/>
  </r>
  <r>
    <n v="67258"/>
    <x v="4"/>
    <s v="01192790"/>
    <x v="11"/>
    <d v="2025-07-08T00:00:00"/>
    <s v="IA1394"/>
    <s v="Baskar,Shriguru"/>
    <n v="104.04412247883027"/>
    <d v="2025-07-08T00:00:00"/>
    <n v="3"/>
    <x v="3"/>
    <s v="Niche Lead"/>
  </r>
  <r>
    <n v="67258"/>
    <x v="4"/>
    <s v="01192790"/>
    <x v="11"/>
    <d v="2025-07-09T00:00:00"/>
    <s v="IA1771"/>
    <s v="anandanshanmugam,kamesh"/>
    <n v="138.72549663844038"/>
    <d v="2025-07-09T00:00:00"/>
    <n v="4"/>
    <x v="3"/>
    <s v="Junior"/>
  </r>
  <r>
    <n v="67258"/>
    <x v="4"/>
    <s v="01192790"/>
    <x v="11"/>
    <d v="2025-07-09T00:00:00"/>
    <s v="IA1450"/>
    <s v="Selvam,Kadarkarai"/>
    <n v="242.76961911727065"/>
    <d v="2025-07-09T00:00:00"/>
    <n v="7"/>
    <x v="3"/>
    <s v="Lead Developer"/>
  </r>
  <r>
    <n v="67258"/>
    <x v="4"/>
    <s v="01192790"/>
    <x v="11"/>
    <d v="2025-07-09T00:00:00"/>
    <s v="IA1394"/>
    <s v="Baskar,Shriguru"/>
    <n v="104.04412247883027"/>
    <d v="2025-07-09T00:00:00"/>
    <n v="3"/>
    <x v="3"/>
    <s v="Niche Lead"/>
  </r>
  <r>
    <n v="67258"/>
    <x v="4"/>
    <s v="01192790"/>
    <x v="11"/>
    <d v="2025-07-10T00:00:00"/>
    <s v="IA1642"/>
    <s v="GOVINDHASAMY,RUBENDRAN"/>
    <n v="69.362748319220188"/>
    <d v="2025-07-10T00:00:00"/>
    <n v="2"/>
    <x v="3"/>
    <s v="Developer"/>
  </r>
  <r>
    <n v="67258"/>
    <x v="4"/>
    <s v="01192790"/>
    <x v="11"/>
    <d v="2025-07-10T00:00:00"/>
    <s v="IA1771"/>
    <s v="anandanshanmugam,kamesh"/>
    <n v="208.08824495766055"/>
    <d v="2025-07-10T00:00:00"/>
    <n v="6"/>
    <x v="3"/>
    <s v="Junior"/>
  </r>
  <r>
    <n v="67258"/>
    <x v="4"/>
    <s v="01192790"/>
    <x v="11"/>
    <d v="2025-07-10T00:00:00"/>
    <s v="IA1450"/>
    <s v="Selvam,Kadarkarai"/>
    <n v="277.45099327688075"/>
    <d v="2025-07-10T00:00:00"/>
    <n v="8"/>
    <x v="3"/>
    <s v="Lead Developer"/>
  </r>
  <r>
    <n v="67258"/>
    <x v="4"/>
    <s v="01192790"/>
    <x v="11"/>
    <d v="2025-07-11T00:00:00"/>
    <s v="IA1642"/>
    <s v="GOVINDHASAMY,RUBENDRAN"/>
    <n v="208.08824495766055"/>
    <d v="2025-07-11T00:00:00"/>
    <n v="6"/>
    <x v="3"/>
    <s v="Developer"/>
  </r>
  <r>
    <n v="67258"/>
    <x v="4"/>
    <s v="01192790"/>
    <x v="11"/>
    <d v="2025-07-11T00:00:00"/>
    <s v="IA1771"/>
    <s v="anandanshanmugam,kamesh"/>
    <n v="208.08824495766055"/>
    <d v="2025-07-11T00:00:00"/>
    <n v="6"/>
    <x v="3"/>
    <s v="Junior"/>
  </r>
  <r>
    <n v="67258"/>
    <x v="4"/>
    <s v="01192790"/>
    <x v="11"/>
    <d v="2025-07-11T00:00:00"/>
    <s v="IA1450"/>
    <s v="Selvam,Kadarkarai"/>
    <n v="242.76961911727065"/>
    <d v="2025-07-11T00:00:00"/>
    <n v="7"/>
    <x v="3"/>
    <s v="Lead Developer"/>
  </r>
  <r>
    <n v="67258"/>
    <x v="4"/>
    <s v="01192790"/>
    <x v="11"/>
    <d v="2025-07-14T00:00:00"/>
    <s v="IA1793"/>
    <s v="Subramanian,Ruthrakkanth"/>
    <n v="138.72549663844038"/>
    <d v="2025-07-14T00:00:00"/>
    <n v="4"/>
    <x v="3"/>
    <s v="Developer"/>
  </r>
  <r>
    <n v="67258"/>
    <x v="4"/>
    <s v="01192790"/>
    <x v="11"/>
    <d v="2025-07-15T00:00:00"/>
    <s v="IA1793"/>
    <s v="Subramanian,Ruthrakkanth"/>
    <n v="208.08824495766055"/>
    <d v="2025-07-15T00:00:00"/>
    <n v="6"/>
    <x v="3"/>
    <s v="Developer"/>
  </r>
  <r>
    <n v="67258"/>
    <x v="4"/>
    <s v="01192790"/>
    <x v="11"/>
    <d v="2025-07-14T00:00:00"/>
    <s v="IA1692"/>
    <s v="Gunasekaran,Kishore"/>
    <n v="208.08824495766055"/>
    <d v="2025-07-14T00:00:00"/>
    <n v="6"/>
    <x v="3"/>
    <s v="Developer"/>
  </r>
  <r>
    <n v="67258"/>
    <x v="4"/>
    <s v="01192790"/>
    <x v="11"/>
    <d v="2025-07-14T00:00:00"/>
    <s v="IA1450"/>
    <s v="Selvam,Kadarkarai"/>
    <n v="242.76961911727065"/>
    <d v="2025-07-14T00:00:00"/>
    <n v="7"/>
    <x v="3"/>
    <s v="Lead Developer"/>
  </r>
  <r>
    <n v="67258"/>
    <x v="4"/>
    <s v="01192790"/>
    <x v="11"/>
    <d v="2025-07-15T00:00:00"/>
    <s v="IA1692"/>
    <s v="Gunasekaran,Kishore"/>
    <n v="208.08824495766055"/>
    <d v="2025-07-15T00:00:00"/>
    <n v="6"/>
    <x v="3"/>
    <s v="Developer"/>
  </r>
  <r>
    <n v="67258"/>
    <x v="4"/>
    <s v="01192790"/>
    <x v="11"/>
    <d v="2025-07-15T00:00:00"/>
    <s v="IA1450"/>
    <s v="Selvam,Kadarkarai"/>
    <n v="242.76961911727065"/>
    <d v="2025-07-15T00:00:00"/>
    <n v="7"/>
    <x v="3"/>
    <s v="Lead Developer"/>
  </r>
  <r>
    <n v="67258"/>
    <x v="4"/>
    <s v="01192790"/>
    <x v="11"/>
    <d v="2025-07-16T00:00:00"/>
    <s v="IA1757"/>
    <s v="Thirunavukkarasu,Kishore"/>
    <n v="138.72549663844038"/>
    <d v="2025-07-16T00:00:00"/>
    <n v="4"/>
    <x v="3"/>
    <s v="Developer"/>
  </r>
  <r>
    <n v="67258"/>
    <x v="4"/>
    <s v="01192790"/>
    <x v="11"/>
    <d v="2025-07-16T00:00:00"/>
    <s v="IA1450"/>
    <s v="Selvam,Kadarkarai"/>
    <n v="242.76961911727065"/>
    <d v="2025-07-16T00:00:00"/>
    <n v="7"/>
    <x v="3"/>
    <s v="Lead Developer"/>
  </r>
  <r>
    <n v="67258"/>
    <x v="4"/>
    <s v="01192790"/>
    <x v="11"/>
    <d v="2025-07-17T00:00:00"/>
    <s v="IA1757"/>
    <s v="Thirunavukkarasu,Kishore"/>
    <n v="208.08824495766055"/>
    <d v="2025-07-17T00:00:00"/>
    <n v="6"/>
    <x v="3"/>
    <s v="Developer"/>
  </r>
  <r>
    <n v="67258"/>
    <x v="4"/>
    <s v="01192790"/>
    <x v="11"/>
    <d v="2025-07-17T00:00:00"/>
    <s v="IA1450"/>
    <s v="Selvam,Kadarkarai"/>
    <n v="242.76961911727065"/>
    <d v="2025-07-17T00:00:00"/>
    <n v="7"/>
    <x v="3"/>
    <s v="Lead Developer"/>
  </r>
  <r>
    <n v="67258"/>
    <x v="4"/>
    <s v="01192790"/>
    <x v="11"/>
    <d v="2025-07-18T00:00:00"/>
    <s v="IA1757"/>
    <s v="Thirunavukkarasu,Kishore"/>
    <n v="208.08824495766055"/>
    <d v="2025-07-18T00:00:00"/>
    <n v="6"/>
    <x v="3"/>
    <s v="Developer"/>
  </r>
  <r>
    <n v="67258"/>
    <x v="4"/>
    <s v="01192790"/>
    <x v="11"/>
    <d v="2025-07-18T00:00:00"/>
    <s v="IA1450"/>
    <s v="Selvam,Kadarkarai"/>
    <n v="208.08824495766055"/>
    <d v="2025-07-18T00:00:00"/>
    <n v="6"/>
    <x v="3"/>
    <s v="Lead Developer"/>
  </r>
  <r>
    <n v="67258"/>
    <x v="4"/>
    <s v="01192790"/>
    <x v="11"/>
    <d v="2025-07-21T00:00:00"/>
    <s v="IA1594"/>
    <s v="Pazhanithamarai,Subha"/>
    <n v="277.45099327688075"/>
    <d v="2025-07-21T00:00:00"/>
    <n v="8"/>
    <x v="3"/>
    <s v="Developer"/>
  </r>
  <r>
    <n v="67258"/>
    <x v="4"/>
    <s v="01192790"/>
    <x v="11"/>
    <d v="2025-07-21T00:00:00"/>
    <s v="IA1450"/>
    <s v="Selvam,Kadarkarai"/>
    <n v="208.08824495766055"/>
    <d v="2025-07-21T00:00:00"/>
    <n v="6"/>
    <x v="3"/>
    <s v="Lead Developer"/>
  </r>
  <r>
    <n v="67258"/>
    <x v="4"/>
    <s v="01192790"/>
    <x v="11"/>
    <d v="2025-07-21T00:00:00"/>
    <s v="IA1757"/>
    <s v="Thirunavukkarasu,Kishore"/>
    <n v="208.08824495766055"/>
    <d v="2025-07-21T00:00:00"/>
    <n v="6"/>
    <x v="3"/>
    <s v="Developer"/>
  </r>
  <r>
    <n v="67258"/>
    <x v="4"/>
    <s v="01192790"/>
    <x v="11"/>
    <d v="2025-07-22T00:00:00"/>
    <s v="IA1594"/>
    <s v="Pazhanithamarai,Subha"/>
    <n v="277.45099327688075"/>
    <d v="2025-07-22T00:00:00"/>
    <n v="8"/>
    <x v="3"/>
    <s v="Developer"/>
  </r>
  <r>
    <n v="67258"/>
    <x v="4"/>
    <s v="01192790"/>
    <x v="11"/>
    <d v="2025-07-22T00:00:00"/>
    <s v="IA1450"/>
    <s v="Selvam,Kadarkarai"/>
    <n v="104.04412247883027"/>
    <d v="2025-07-22T00:00:00"/>
    <n v="3"/>
    <x v="3"/>
    <s v="Lead Developer"/>
  </r>
  <r>
    <n v="67258"/>
    <x v="4"/>
    <s v="01192790"/>
    <x v="11"/>
    <d v="2025-07-23T00:00:00"/>
    <s v="IA1594"/>
    <s v="Pazhanithamarai,Subha"/>
    <n v="138.72549663844038"/>
    <d v="2025-07-23T00:00:00"/>
    <n v="4"/>
    <x v="3"/>
    <s v="Developer"/>
  </r>
  <r>
    <n v="67258"/>
    <x v="4"/>
    <s v="01192790"/>
    <x v="11"/>
    <d v="2025-07-23T00:00:00"/>
    <s v="IA1450"/>
    <s v="Selvam,Kadarkarai"/>
    <n v="138.72549663844038"/>
    <d v="2025-07-23T00:00:00"/>
    <n v="4"/>
    <x v="3"/>
    <s v="Lead Developer"/>
  </r>
  <r>
    <n v="67258"/>
    <x v="4"/>
    <s v="01192790"/>
    <x v="11"/>
    <d v="2025-07-24T00:00:00"/>
    <s v="IA1450"/>
    <s v="Selvam,Kadarkarai"/>
    <n v="242.76961911727065"/>
    <d v="2025-07-24T00:00:00"/>
    <n v="7"/>
    <x v="3"/>
    <s v="Lead Developer"/>
  </r>
  <r>
    <n v="67258"/>
    <x v="4"/>
    <s v="01192790"/>
    <x v="11"/>
    <d v="2025-07-25T00:00:00"/>
    <s v="IA1594"/>
    <s v="Pazhanithamarai,Subha"/>
    <n v="138.72549663844038"/>
    <d v="2025-07-25T00:00:00"/>
    <n v="4"/>
    <x v="3"/>
    <s v="Developer"/>
  </r>
  <r>
    <n v="67258"/>
    <x v="4"/>
    <s v="01192790"/>
    <x v="11"/>
    <d v="2025-07-25T00:00:00"/>
    <s v="IA1450"/>
    <s v="Selvam,Kadarkarai"/>
    <n v="242.76961911727065"/>
    <d v="2025-07-25T00:00:00"/>
    <n v="7"/>
    <x v="3"/>
    <s v="Lead Developer"/>
  </r>
  <r>
    <n v="67258"/>
    <x v="4"/>
    <s v="01192790"/>
    <x v="11"/>
    <d v="2025-07-28T00:00:00"/>
    <s v="IA1699"/>
    <s v="Naik,Nandivardhana"/>
    <n v="173.40687079805048"/>
    <d v="2025-07-28T00:00:00"/>
    <n v="5"/>
    <x v="3"/>
    <s v="Developer"/>
  </r>
  <r>
    <n v="67258"/>
    <x v="4"/>
    <s v="01192790"/>
    <x v="11"/>
    <d v="2025-07-29T00:00:00"/>
    <s v="IA1699"/>
    <s v="Naik,Nandivardhana"/>
    <n v="173.40687079805048"/>
    <d v="2025-07-29T00:00:00"/>
    <n v="5"/>
    <x v="3"/>
    <s v="Developer"/>
  </r>
  <r>
    <n v="67258"/>
    <x v="4"/>
    <s v="01192790"/>
    <x v="11"/>
    <d v="2025-07-30T00:00:00"/>
    <s v="IA1699"/>
    <s v="Naik,Nandivardhana"/>
    <n v="173.40687079805048"/>
    <d v="2025-07-30T00:00:00"/>
    <n v="5"/>
    <x v="3"/>
    <s v="Developer"/>
  </r>
  <r>
    <n v="67258"/>
    <x v="4"/>
    <s v="01192790"/>
    <x v="11"/>
    <d v="2025-07-31T00:00:00"/>
    <s v="IA1699"/>
    <s v="Naik,Nandivardhana"/>
    <n v="173.40687079805048"/>
    <d v="2025-07-31T00:00:00"/>
    <n v="5"/>
    <x v="3"/>
    <s v="Developer"/>
  </r>
  <r>
    <n v="67258"/>
    <x v="4"/>
    <s v="01192790"/>
    <x v="11"/>
    <d v="2025-08-01T00:00:00"/>
    <s v="IA1430"/>
    <s v="Subburajan,Jawahar"/>
    <n v="208.08824495766055"/>
    <d v="2025-08-01T00:00:00"/>
    <n v="6"/>
    <x v="4"/>
    <s v="Lead Developer"/>
  </r>
  <r>
    <n v="67258"/>
    <x v="4"/>
    <s v="01192790"/>
    <x v="11"/>
    <d v="2025-08-01T00:00:00"/>
    <s v="IA1699"/>
    <s v="Naik,Nandivardhana"/>
    <n v="173.40687079805048"/>
    <d v="2025-08-01T00:00:00"/>
    <n v="5"/>
    <x v="4"/>
    <s v="Developer"/>
  </r>
  <r>
    <n v="67258"/>
    <x v="4"/>
    <s v="01192790"/>
    <x v="11"/>
    <d v="2025-07-31T00:00:00"/>
    <s v="IA1430"/>
    <s v="Subburajan,Jawahar"/>
    <n v="208.08824495766055"/>
    <d v="2025-07-31T00:00:00"/>
    <n v="6"/>
    <x v="3"/>
    <s v="Lead Developer"/>
  </r>
  <r>
    <n v="67258"/>
    <x v="4"/>
    <s v="01192790"/>
    <x v="11"/>
    <d v="2025-08-04T00:00:00"/>
    <s v="IA1699"/>
    <s v="Naik,Nandivardhana"/>
    <n v="173.40687079805048"/>
    <d v="2025-08-04T00:00:00"/>
    <n v="5"/>
    <x v="4"/>
    <s v="Developer"/>
  </r>
  <r>
    <n v="67258"/>
    <x v="4"/>
    <s v="01192790"/>
    <x v="11"/>
    <d v="2025-08-05T00:00:00"/>
    <s v="IA1699"/>
    <s v="Naik,Nandivardhana"/>
    <n v="173.40687079805048"/>
    <d v="2025-08-05T00:00:00"/>
    <n v="5"/>
    <x v="4"/>
    <s v="Developer"/>
  </r>
  <r>
    <n v="67258"/>
    <x v="4"/>
    <s v="01192790"/>
    <x v="11"/>
    <d v="2025-08-06T00:00:00"/>
    <s v="IA1699"/>
    <s v="Naik,Nandivardhana"/>
    <n v="173.40687079805048"/>
    <d v="2025-08-06T00:00:00"/>
    <n v="5"/>
    <x v="4"/>
    <s v="Developer"/>
  </r>
  <r>
    <n v="67258"/>
    <x v="4"/>
    <s v="01192790"/>
    <x v="11"/>
    <d v="2025-08-07T00:00:00"/>
    <s v="IA1699"/>
    <s v="Naik,Nandivardhana"/>
    <n v="173.40687079805048"/>
    <d v="2025-08-07T00:00:00"/>
    <n v="5"/>
    <x v="4"/>
    <s v="Developer"/>
  </r>
  <r>
    <n v="67258"/>
    <x v="4"/>
    <s v="01192790"/>
    <x v="11"/>
    <d v="2025-08-08T00:00:00"/>
    <s v="IA1699"/>
    <s v="Naik,Nandivardhana"/>
    <n v="173.40687079805048"/>
    <d v="2025-08-08T00:00:00"/>
    <n v="5"/>
    <x v="4"/>
    <s v="Developer"/>
  </r>
  <r>
    <n v="67258"/>
    <x v="4"/>
    <s v="01192790"/>
    <x v="11"/>
    <d v="2026-02-14T00:00:00"/>
    <s v="IA1690"/>
    <s v="Duraisamy,Manikandaprabu"/>
    <n v="277.45099327688075"/>
    <d v="2026-02-14T00:00:00"/>
    <n v="8"/>
    <x v="0"/>
    <s v="Developer"/>
  </r>
  <r>
    <n v="67258"/>
    <x v="4"/>
    <s v="01192790"/>
    <x v="11"/>
    <d v="2026-02-16T00:00:00"/>
    <s v="IA1690"/>
    <s v="Duraisamy,Manikandaprabu"/>
    <n v="277.45099327688075"/>
    <d v="2026-02-16T00:00:00"/>
    <n v="8"/>
    <x v="0"/>
    <s v="Developer"/>
  </r>
  <r>
    <n v="67258"/>
    <x v="4"/>
    <s v="01192790"/>
    <x v="11"/>
    <d v="2026-02-16T00:00:00"/>
    <s v="IA1831"/>
    <s v="Veluru,Preethi"/>
    <n v="277.45099327688075"/>
    <d v="2026-02-16T00:00:00"/>
    <n v="8"/>
    <x v="0"/>
    <s v="Junior"/>
  </r>
  <r>
    <n v="67258"/>
    <x v="4"/>
    <s v="01192790"/>
    <x v="11"/>
    <d v="2026-02-17T00:00:00"/>
    <s v="IA1690"/>
    <s v="Duraisamy,Manikandaprabu"/>
    <n v="277.45099327688075"/>
    <d v="2026-02-17T00:00:00"/>
    <n v="8"/>
    <x v="0"/>
    <s v="Developer"/>
  </r>
  <r>
    <n v="67258"/>
    <x v="4"/>
    <s v="01192790"/>
    <x v="11"/>
    <d v="2026-02-17T00:00:00"/>
    <s v="IA1831"/>
    <s v="Veluru,Preethi"/>
    <n v="277.45099327688075"/>
    <d v="2026-02-17T00:00:00"/>
    <n v="8"/>
    <x v="0"/>
    <s v="Junior"/>
  </r>
  <r>
    <n v="67258"/>
    <x v="4"/>
    <s v="01192790"/>
    <x v="11"/>
    <d v="2026-02-18T00:00:00"/>
    <s v="IA1831"/>
    <s v="Veluru,Preethi"/>
    <n v="277.45099327688075"/>
    <d v="2026-02-18T00:00:00"/>
    <n v="8"/>
    <x v="0"/>
    <s v="Junior"/>
  </r>
  <r>
    <n v="67258"/>
    <x v="4"/>
    <s v="01192790"/>
    <x v="11"/>
    <d v="2026-02-19T00:00:00"/>
    <s v="IA1690"/>
    <s v="Duraisamy,Manikandaprabu"/>
    <n v="277.45099327688075"/>
    <d v="2026-02-19T00:00:00"/>
    <n v="8"/>
    <x v="0"/>
    <s v="Developer"/>
  </r>
  <r>
    <n v="67258"/>
    <x v="4"/>
    <s v="01192790"/>
    <x v="11"/>
    <d v="2026-02-19T00:00:00"/>
    <s v="IA1831"/>
    <s v="Veluru,Preethi"/>
    <n v="277.45099327688075"/>
    <d v="2026-02-19T00:00:00"/>
    <n v="8"/>
    <x v="0"/>
    <s v="Junior"/>
  </r>
  <r>
    <n v="67258"/>
    <x v="4"/>
    <s v="01192790"/>
    <x v="11"/>
    <d v="2026-02-23T00:00:00"/>
    <s v="IA1430"/>
    <s v="Subburajan,Jawahar"/>
    <n v="242.76961911727065"/>
    <d v="2026-02-23T00:00:00"/>
    <n v="7"/>
    <x v="0"/>
    <s v="Lead Developer"/>
  </r>
  <r>
    <n v="67258"/>
    <x v="4"/>
    <s v="01192790"/>
    <x v="11"/>
    <d v="2026-02-23T00:00:00"/>
    <s v="IA1421"/>
    <s v="Jayapal,Muruganandham"/>
    <n v="173.40687079805048"/>
    <d v="2026-02-23T00:00:00"/>
    <n v="5"/>
    <x v="0"/>
    <s v="Engg Manager"/>
  </r>
  <r>
    <n v="67258"/>
    <x v="4"/>
    <s v="01192790"/>
    <x v="11"/>
    <d v="2026-02-23T00:00:00"/>
    <s v="IA1690"/>
    <s v="Duraisamy,Manikandaprabu"/>
    <n v="277.45099327688075"/>
    <d v="2026-02-23T00:00:00"/>
    <n v="8"/>
    <x v="0"/>
    <s v="Developer"/>
  </r>
  <r>
    <n v="67258"/>
    <x v="4"/>
    <s v="01192790"/>
    <x v="11"/>
    <d v="2026-02-24T00:00:00"/>
    <s v="IA1430"/>
    <s v="Subburajan,Jawahar"/>
    <n v="242.76961911727065"/>
    <d v="2026-02-24T00:00:00"/>
    <n v="7"/>
    <x v="0"/>
    <s v="Lead Developer"/>
  </r>
  <r>
    <n v="67258"/>
    <x v="4"/>
    <s v="01192790"/>
    <x v="11"/>
    <d v="2026-02-24T00:00:00"/>
    <s v="IA1421"/>
    <s v="Jayapal,Muruganandham"/>
    <n v="173.40687079805048"/>
    <d v="2026-02-24T00:00:00"/>
    <n v="5"/>
    <x v="0"/>
    <s v="Engg Manager"/>
  </r>
  <r>
    <n v="67258"/>
    <x v="4"/>
    <s v="01192790"/>
    <x v="11"/>
    <d v="2026-02-24T00:00:00"/>
    <s v="IA1690"/>
    <s v="Duraisamy,Manikandaprabu"/>
    <n v="277.45099327688075"/>
    <d v="2026-02-24T00:00:00"/>
    <n v="8"/>
    <x v="0"/>
    <s v="Developer"/>
  </r>
  <r>
    <n v="67258"/>
    <x v="4"/>
    <s v="01192790"/>
    <x v="11"/>
    <d v="2026-02-25T00:00:00"/>
    <s v="IA1430"/>
    <s v="Subburajan,Jawahar"/>
    <n v="242.76961911727065"/>
    <d v="2026-02-25T00:00:00"/>
    <n v="7"/>
    <x v="0"/>
    <s v="Lead Developer"/>
  </r>
  <r>
    <n v="67258"/>
    <x v="4"/>
    <s v="01192790"/>
    <x v="11"/>
    <d v="2026-02-25T00:00:00"/>
    <s v="IA1421"/>
    <s v="Jayapal,Muruganandham"/>
    <n v="173.40687079805048"/>
    <d v="2026-02-25T00:00:00"/>
    <n v="5"/>
    <x v="0"/>
    <s v="Engg Manager"/>
  </r>
  <r>
    <n v="67258"/>
    <x v="4"/>
    <s v="01192790"/>
    <x v="11"/>
    <d v="2026-02-25T00:00:00"/>
    <s v="IA1690"/>
    <s v="Duraisamy,Manikandaprabu"/>
    <n v="277.45099327688075"/>
    <d v="2026-02-25T00:00:00"/>
    <n v="8"/>
    <x v="0"/>
    <s v="Developer"/>
  </r>
  <r>
    <n v="67258"/>
    <x v="4"/>
    <s v="01192790"/>
    <x v="11"/>
    <d v="2026-02-27T00:00:00"/>
    <s v="IA1421"/>
    <s v="Jayapal,Muruganandham"/>
    <n v="173.40687079805048"/>
    <d v="2026-02-27T00:00:00"/>
    <n v="5"/>
    <x v="0"/>
    <s v="Engg Manager"/>
  </r>
  <r>
    <n v="67258"/>
    <x v="4"/>
    <s v="01192790"/>
    <x v="11"/>
    <d v="2026-02-27T00:00:00"/>
    <s v="IA1690"/>
    <s v="Duraisamy,Manikandaprabu"/>
    <n v="277.45099327688075"/>
    <d v="2026-02-27T00:00:00"/>
    <n v="8"/>
    <x v="0"/>
    <s v="Developer"/>
  </r>
  <r>
    <n v="67258"/>
    <x v="4"/>
    <s v="01192790"/>
    <x v="11"/>
    <d v="2026-03-02T00:00:00"/>
    <s v="IA1421"/>
    <s v="Jayapal,Muruganandham"/>
    <n v="138.72549663844038"/>
    <d v="2026-03-02T00:00:00"/>
    <n v="4"/>
    <x v="1"/>
    <s v="Engg Manager"/>
  </r>
  <r>
    <n v="67258"/>
    <x v="4"/>
    <s v="01192790"/>
    <x v="11"/>
    <d v="2026-03-02T00:00:00"/>
    <s v="IA1690"/>
    <s v="Duraisamy,Manikandaprabu"/>
    <n v="277.45099327688075"/>
    <d v="2026-03-02T00:00:00"/>
    <n v="8"/>
    <x v="1"/>
    <s v="Developer"/>
  </r>
  <r>
    <n v="67258"/>
    <x v="4"/>
    <s v="01192790"/>
    <x v="11"/>
    <d v="2026-03-03T00:00:00"/>
    <s v="IA1421"/>
    <s v="Jayapal,Muruganandham"/>
    <n v="138.72549663844038"/>
    <d v="2026-03-03T00:00:00"/>
    <n v="4"/>
    <x v="1"/>
    <s v="Engg Manager"/>
  </r>
  <r>
    <n v="67258"/>
    <x v="4"/>
    <s v="01192790"/>
    <x v="11"/>
    <d v="2026-03-03T00:00:00"/>
    <s v="IA1690"/>
    <s v="Duraisamy,Manikandaprabu"/>
    <n v="277.45099327688075"/>
    <d v="2026-03-03T00:00:00"/>
    <n v="8"/>
    <x v="1"/>
    <s v="Developer"/>
  </r>
  <r>
    <n v="67258"/>
    <x v="4"/>
    <s v="01192790"/>
    <x v="11"/>
    <d v="2026-03-04T00:00:00"/>
    <s v="IA1421"/>
    <s v="Jayapal,Muruganandham"/>
    <n v="138.72549663844038"/>
    <d v="2026-03-04T00:00:00"/>
    <n v="4"/>
    <x v="1"/>
    <s v="Engg Manager"/>
  </r>
  <r>
    <n v="67258"/>
    <x v="4"/>
    <s v="01192790"/>
    <x v="11"/>
    <d v="2026-03-04T00:00:00"/>
    <s v="IA1690"/>
    <s v="Duraisamy,Manikandaprabu"/>
    <n v="277.45099327688075"/>
    <d v="2026-03-04T00:00:00"/>
    <n v="8"/>
    <x v="1"/>
    <s v="Developer"/>
  </r>
  <r>
    <n v="67258"/>
    <x v="4"/>
    <s v="01192790"/>
    <x v="11"/>
    <d v="2026-03-05T00:00:00"/>
    <s v="IA1421"/>
    <s v="Jayapal,Muruganandham"/>
    <n v="138.72549663844038"/>
    <d v="2026-03-05T00:00:00"/>
    <n v="4"/>
    <x v="1"/>
    <s v="Engg Manager"/>
  </r>
  <r>
    <n v="67258"/>
    <x v="4"/>
    <s v="01192790"/>
    <x v="11"/>
    <d v="2026-03-05T00:00:00"/>
    <s v="IA1690"/>
    <s v="Duraisamy,Manikandaprabu"/>
    <n v="277.45099327688075"/>
    <d v="2026-03-05T00:00:00"/>
    <n v="8"/>
    <x v="1"/>
    <s v="Developer"/>
  </r>
  <r>
    <n v="67258"/>
    <x v="4"/>
    <s v="01192790"/>
    <x v="11"/>
    <d v="2026-03-06T00:00:00"/>
    <s v="IA1421"/>
    <s v="Jayapal,Muruganandham"/>
    <n v="138.72549663844038"/>
    <d v="2026-03-06T00:00:00"/>
    <n v="4"/>
    <x v="1"/>
    <s v="Engg Manager"/>
  </r>
  <r>
    <n v="67258"/>
    <x v="4"/>
    <s v="01192790"/>
    <x v="11"/>
    <d v="2026-03-06T00:00:00"/>
    <s v="IA1690"/>
    <s v="Duraisamy,Manikandaprabu"/>
    <n v="277.45099327688075"/>
    <d v="2026-03-06T00:00:00"/>
    <n v="8"/>
    <x v="1"/>
    <s v="Developer"/>
  </r>
  <r>
    <n v="67258"/>
    <x v="4"/>
    <s v="01192790"/>
    <x v="11"/>
    <d v="2026-03-09T00:00:00"/>
    <s v="IA1690"/>
    <s v="Duraisamy,Manikandaprabu"/>
    <n v="277.45099327688075"/>
    <d v="2026-03-09T00:00:00"/>
    <n v="8"/>
    <x v="1"/>
    <s v="Developer"/>
  </r>
  <r>
    <n v="67258"/>
    <x v="4"/>
    <s v="01192790"/>
    <x v="11"/>
    <d v="2026-03-10T00:00:00"/>
    <s v="IA1690"/>
    <s v="Duraisamy,Manikandaprabu"/>
    <n v="277.45099327688075"/>
    <d v="2026-03-10T00:00:00"/>
    <n v="8"/>
    <x v="1"/>
    <s v="Developer"/>
  </r>
  <r>
    <n v="67258"/>
    <x v="4"/>
    <s v="01192790"/>
    <x v="11"/>
    <d v="2026-03-10T00:00:00"/>
    <s v="IA1421"/>
    <s v="Jayapal,Muruganandham"/>
    <n v="242.76961911727065"/>
    <d v="2026-03-10T00:00:00"/>
    <n v="7"/>
    <x v="1"/>
    <s v="Engg Manager"/>
  </r>
  <r>
    <n v="67258"/>
    <x v="4"/>
    <s v="01192790"/>
    <x v="11"/>
    <d v="2026-03-11T00:00:00"/>
    <s v="IA1690"/>
    <s v="Duraisamy,Manikandaprabu"/>
    <n v="277.45099327688075"/>
    <d v="2026-03-11T00:00:00"/>
    <n v="8"/>
    <x v="1"/>
    <s v="Developer"/>
  </r>
  <r>
    <n v="67258"/>
    <x v="4"/>
    <s v="01192790"/>
    <x v="11"/>
    <d v="2026-03-11T00:00:00"/>
    <s v="IA1421"/>
    <s v="Jayapal,Muruganandham"/>
    <n v="242.76961911727065"/>
    <d v="2026-03-11T00:00:00"/>
    <n v="7"/>
    <x v="1"/>
    <s v="Engg Manager"/>
  </r>
  <r>
    <n v="67258"/>
    <x v="4"/>
    <s v="01192790"/>
    <x v="11"/>
    <d v="2026-03-12T00:00:00"/>
    <s v="IA1690"/>
    <s v="Duraisamy,Manikandaprabu"/>
    <n v="277.45099327688075"/>
    <d v="2026-03-12T00:00:00"/>
    <n v="8"/>
    <x v="1"/>
    <s v="Developer"/>
  </r>
  <r>
    <n v="67258"/>
    <x v="4"/>
    <s v="01192790"/>
    <x v="11"/>
    <d v="2026-03-12T00:00:00"/>
    <s v="IA1421"/>
    <s v="Jayapal,Muruganandham"/>
    <n v="242.76961911727065"/>
    <d v="2026-03-12T00:00:00"/>
    <n v="7"/>
    <x v="1"/>
    <s v="Engg Manager"/>
  </r>
  <r>
    <n v="67258"/>
    <x v="4"/>
    <s v="01192790"/>
    <x v="11"/>
    <d v="2026-03-13T00:00:00"/>
    <s v="IA1421"/>
    <s v="Jayapal,Muruganandham"/>
    <n v="242.76961911727065"/>
    <d v="2026-03-13T00:00:00"/>
    <n v="7"/>
    <x v="1"/>
    <s v="Engg Manager"/>
  </r>
  <r>
    <n v="67258"/>
    <x v="4"/>
    <s v="01192790"/>
    <x v="11"/>
    <d v="2026-03-16T00:00:00"/>
    <s v="IA1421"/>
    <s v="Jayapal,Muruganandham"/>
    <n v="69.362748319220188"/>
    <d v="2026-03-16T00:00:00"/>
    <n v="2"/>
    <x v="1"/>
    <s v="Engg Manager"/>
  </r>
  <r>
    <n v="67258"/>
    <x v="4"/>
    <s v="01192790"/>
    <x v="11"/>
    <d v="2026-03-17T00:00:00"/>
    <s v="IA1690"/>
    <s v="Duraisamy,Manikandaprabu"/>
    <n v="277.45099327688075"/>
    <d v="2026-03-17T00:00:00"/>
    <n v="8"/>
    <x v="1"/>
    <s v="Developer"/>
  </r>
  <r>
    <n v="67258"/>
    <x v="4"/>
    <s v="01192790"/>
    <x v="11"/>
    <d v="2026-03-17T00:00:00"/>
    <s v="IA1421"/>
    <s v="Jayapal,Muruganandham"/>
    <n v="69.362748319220188"/>
    <d v="2026-03-17T00:00:00"/>
    <n v="2"/>
    <x v="1"/>
    <s v="Engg Manager"/>
  </r>
  <r>
    <n v="67258"/>
    <x v="4"/>
    <s v="01192790"/>
    <x v="11"/>
    <d v="2026-03-18T00:00:00"/>
    <s v="IA1690"/>
    <s v="Duraisamy,Manikandaprabu"/>
    <n v="277.45099327688075"/>
    <d v="2026-03-18T00:00:00"/>
    <n v="8"/>
    <x v="1"/>
    <s v="Developer"/>
  </r>
  <r>
    <n v="67258"/>
    <x v="4"/>
    <s v="01192790"/>
    <x v="11"/>
    <d v="2026-03-18T00:00:00"/>
    <s v="IA1430"/>
    <s v="Subburajan,Jawahar"/>
    <n v="277.45099327688075"/>
    <d v="2026-03-18T00:00:00"/>
    <n v="8"/>
    <x v="1"/>
    <s v="Lead Developer"/>
  </r>
  <r>
    <n v="67258"/>
    <x v="4"/>
    <s v="01192790"/>
    <x v="11"/>
    <d v="2026-03-18T00:00:00"/>
    <s v="IA1421"/>
    <s v="Jayapal,Muruganandham"/>
    <n v="69.362748319220188"/>
    <d v="2026-03-18T00:00:00"/>
    <n v="2"/>
    <x v="1"/>
    <s v="Engg Manager"/>
  </r>
  <r>
    <n v="67258"/>
    <x v="4"/>
    <s v="01192790"/>
    <x v="11"/>
    <d v="2026-03-19T00:00:00"/>
    <s v="IA1690"/>
    <s v="Duraisamy,Manikandaprabu"/>
    <n v="277.45099327688075"/>
    <d v="2026-03-19T00:00:00"/>
    <n v="8"/>
    <x v="1"/>
    <s v="Developer"/>
  </r>
  <r>
    <n v="67258"/>
    <x v="4"/>
    <s v="01192790"/>
    <x v="11"/>
    <d v="2026-03-19T00:00:00"/>
    <s v="IA1430"/>
    <s v="Subburajan,Jawahar"/>
    <n v="277.45099327688075"/>
    <d v="2026-03-19T00:00:00"/>
    <n v="8"/>
    <x v="1"/>
    <s v="Lead Developer"/>
  </r>
  <r>
    <n v="67258"/>
    <x v="4"/>
    <s v="01192790"/>
    <x v="11"/>
    <d v="2026-03-19T00:00:00"/>
    <s v="IA1421"/>
    <s v="Jayapal,Muruganandham"/>
    <n v="69.362748319220188"/>
    <d v="2026-03-19T00:00:00"/>
    <n v="2"/>
    <x v="1"/>
    <s v="Engg Manager"/>
  </r>
  <r>
    <n v="67258"/>
    <x v="4"/>
    <s v="01192790"/>
    <x v="11"/>
    <d v="2026-03-20T00:00:00"/>
    <s v="IA1421"/>
    <s v="Jayapal,Muruganandham"/>
    <n v="-69.362748319220188"/>
    <d v="2026-03-20T00:00:00"/>
    <n v="-2"/>
    <x v="1"/>
    <s v="Engg Manager"/>
  </r>
  <r>
    <n v="67258"/>
    <x v="4"/>
    <s v="01192790"/>
    <x v="11"/>
    <d v="2026-03-20T00:00:00"/>
    <s v="IA1421"/>
    <s v="Jayapal,Muruganandham"/>
    <n v="69.362748319220188"/>
    <d v="2026-03-20T00:00:00"/>
    <n v="2"/>
    <x v="1"/>
    <s v="Engg Manager"/>
  </r>
  <r>
    <n v="67258"/>
    <x v="4"/>
    <s v="01192790"/>
    <x v="11"/>
    <d v="2026-03-23T00:00:00"/>
    <s v="IA1690"/>
    <s v="Duraisamy,Manikandaprabu"/>
    <n v="277.45099327688075"/>
    <d v="2026-03-23T00:00:00"/>
    <n v="8"/>
    <x v="1"/>
    <s v="Developer"/>
  </r>
  <r>
    <n v="67258"/>
    <x v="4"/>
    <s v="01192790"/>
    <x v="11"/>
    <d v="2026-03-23T00:00:00"/>
    <s v="IA1421"/>
    <s v="Jayapal,Muruganandham"/>
    <n v="208.08824495766055"/>
    <d v="2026-03-23T00:00:00"/>
    <n v="6"/>
    <x v="1"/>
    <s v="Engg Manager"/>
  </r>
  <r>
    <n v="67258"/>
    <x v="4"/>
    <s v="01192790"/>
    <x v="11"/>
    <d v="2026-03-24T00:00:00"/>
    <s v="IA1690"/>
    <s v="Duraisamy,Manikandaprabu"/>
    <n v="277.45099327688075"/>
    <d v="2026-03-24T00:00:00"/>
    <n v="8"/>
    <x v="1"/>
    <s v="Developer"/>
  </r>
  <r>
    <n v="67258"/>
    <x v="4"/>
    <s v="01192790"/>
    <x v="11"/>
    <d v="2026-03-24T00:00:00"/>
    <s v="IA1421"/>
    <s v="Jayapal,Muruganandham"/>
    <n v="208.08824495766055"/>
    <d v="2026-03-24T00:00:00"/>
    <n v="6"/>
    <x v="1"/>
    <s v="Engg Manager"/>
  </r>
  <r>
    <n v="67258"/>
    <x v="4"/>
    <s v="01192790"/>
    <x v="11"/>
    <d v="2026-03-25T00:00:00"/>
    <s v="IA1421"/>
    <s v="Jayapal,Muruganandham"/>
    <n v="208.08824495766055"/>
    <d v="2026-03-25T00:00:00"/>
    <n v="6"/>
    <x v="1"/>
    <s v="Engg Manager"/>
  </r>
  <r>
    <n v="67258"/>
    <x v="4"/>
    <s v="01192790"/>
    <x v="11"/>
    <d v="2026-03-26T00:00:00"/>
    <s v="IA1421"/>
    <s v="Jayapal,Muruganandham"/>
    <n v="208.08824495766055"/>
    <d v="2026-03-26T00:00:00"/>
    <n v="6"/>
    <x v="1"/>
    <s v="Engg Manager"/>
  </r>
  <r>
    <n v="67258"/>
    <x v="4"/>
    <s v="01192790"/>
    <x v="11"/>
    <d v="2026-03-30T00:00:00"/>
    <s v="IA1421"/>
    <s v="Jayapal,Muruganandham"/>
    <n v="138.72549663844038"/>
    <d v="2026-03-30T00:00:00"/>
    <n v="4"/>
    <x v="1"/>
    <s v="Engg Manager"/>
  </r>
  <r>
    <n v="67258"/>
    <x v="4"/>
    <s v="01192790"/>
    <x v="11"/>
    <d v="2026-03-31T00:00:00"/>
    <s v="IA1421"/>
    <s v="Jayapal,Muruganandham"/>
    <n v="138.72549663844038"/>
    <d v="2026-03-31T00:00:00"/>
    <n v="4"/>
    <x v="1"/>
    <s v="Engg Manager"/>
  </r>
  <r>
    <n v="67258"/>
    <x v="4"/>
    <s v="01192790"/>
    <x v="11"/>
    <d v="2026-04-01T00:00:00"/>
    <s v="IA1421"/>
    <s v="Jayapal,Muruganandham"/>
    <n v="138.72549663844038"/>
    <d v="2026-04-01T00:00:00"/>
    <n v="4"/>
    <x v="2"/>
    <s v="Engg Manager"/>
  </r>
  <r>
    <n v="67258"/>
    <x v="4"/>
    <s v="01192790"/>
    <x v="11"/>
    <d v="2026-04-02T00:00:00"/>
    <s v="IA1421"/>
    <s v="Jayapal,Muruganandham"/>
    <n v="138.72549663844038"/>
    <d v="2026-04-02T00:00:00"/>
    <n v="4"/>
    <x v="2"/>
    <s v="Engg Manager"/>
  </r>
  <r>
    <n v="67258"/>
    <x v="4"/>
    <s v="01192790"/>
    <x v="11"/>
    <d v="2026-04-02T00:00:00"/>
    <s v="IA1690"/>
    <s v="Duraisamy,Manikandaprabu"/>
    <n v="277.45099327688075"/>
    <d v="2026-04-02T00:00:00"/>
    <n v="8"/>
    <x v="2"/>
    <s v="Developer"/>
  </r>
  <r>
    <n v="67258"/>
    <x v="4"/>
    <s v="01192790"/>
    <x v="11"/>
    <d v="2026-04-06T00:00:00"/>
    <s v="IA1690"/>
    <s v="Duraisamy,Manikandaprabu"/>
    <n v="277.45099327688075"/>
    <d v="2026-04-06T00:00:00"/>
    <n v="8"/>
    <x v="2"/>
    <s v="Developer"/>
  </r>
  <r>
    <n v="67258"/>
    <x v="4"/>
    <s v="01192790"/>
    <x v="11"/>
    <d v="2026-04-06T00:00:00"/>
    <s v="IA1421"/>
    <s v="Jayapal,Muruganandham"/>
    <n v="104.04412247883027"/>
    <d v="2026-04-06T00:00:00"/>
    <n v="3"/>
    <x v="2"/>
    <s v="Engg Manager"/>
  </r>
  <r>
    <n v="67258"/>
    <x v="4"/>
    <s v="01192790"/>
    <x v="11"/>
    <d v="2026-04-07T00:00:00"/>
    <s v="IA1690"/>
    <s v="Duraisamy,Manikandaprabu"/>
    <n v="277.45099327688075"/>
    <d v="2026-04-07T00:00:00"/>
    <n v="8"/>
    <x v="2"/>
    <s v="Developer"/>
  </r>
  <r>
    <n v="67258"/>
    <x v="4"/>
    <s v="01192790"/>
    <x v="11"/>
    <d v="2026-04-07T00:00:00"/>
    <s v="IA1421"/>
    <s v="Jayapal,Muruganandham"/>
    <n v="104.04412247883027"/>
    <d v="2026-04-07T00:00:00"/>
    <n v="3"/>
    <x v="2"/>
    <s v="Engg Manager"/>
  </r>
  <r>
    <n v="67258"/>
    <x v="4"/>
    <s v="01192790"/>
    <x v="11"/>
    <d v="2026-04-08T00:00:00"/>
    <s v="IA1690"/>
    <s v="Duraisamy,Manikandaprabu"/>
    <n v="277.45099327688075"/>
    <d v="2026-04-08T00:00:00"/>
    <n v="8"/>
    <x v="2"/>
    <s v="Developer"/>
  </r>
  <r>
    <n v="67258"/>
    <x v="4"/>
    <s v="01192790"/>
    <x v="11"/>
    <d v="2026-04-08T00:00:00"/>
    <s v="IA1421"/>
    <s v="Jayapal,Muruganandham"/>
    <n v="104.04412247883027"/>
    <d v="2026-04-08T00:00:00"/>
    <n v="3"/>
    <x v="2"/>
    <s v="Engg Manager"/>
  </r>
  <r>
    <n v="67258"/>
    <x v="4"/>
    <s v="01192790"/>
    <x v="11"/>
    <d v="2026-04-09T00:00:00"/>
    <s v="IA1421"/>
    <s v="Jayapal,Muruganandham"/>
    <n v="104.04412247883027"/>
    <d v="2026-04-09T00:00:00"/>
    <n v="3"/>
    <x v="2"/>
    <s v="Engg Manager"/>
  </r>
  <r>
    <n v="67258"/>
    <x v="4"/>
    <s v="01192790"/>
    <x v="11"/>
    <d v="2026-04-10T00:00:00"/>
    <s v="IA1690"/>
    <s v="Duraisamy,Manikandaprabu"/>
    <n v="277.45099327688075"/>
    <d v="2026-04-10T00:00:00"/>
    <n v="8"/>
    <x v="2"/>
    <s v="Developer"/>
  </r>
  <r>
    <n v="67258"/>
    <x v="4"/>
    <s v="01192790"/>
    <x v="11"/>
    <d v="2026-04-10T00:00:00"/>
    <s v="IA1421"/>
    <s v="Jayapal,Muruganandham"/>
    <n v="104.04412247883027"/>
    <d v="2026-04-10T00:00:00"/>
    <n v="3"/>
    <x v="2"/>
    <s v="Engg Manager"/>
  </r>
  <r>
    <n v="67258"/>
    <x v="4"/>
    <s v="01192790"/>
    <x v="11"/>
    <d v="2026-04-13T00:00:00"/>
    <s v="IA1690"/>
    <s v="Duraisamy,Manikandaprabu"/>
    <n v="277.45099327688075"/>
    <d v="2026-04-13T00:00:00"/>
    <n v="8"/>
    <x v="2"/>
    <s v="Developer"/>
  </r>
  <r>
    <n v="67258"/>
    <x v="4"/>
    <s v="01192790"/>
    <x v="11"/>
    <d v="2026-04-13T00:00:00"/>
    <s v="IA1421"/>
    <s v="Jayapal,Muruganandham"/>
    <n v="138.72549663844038"/>
    <d v="2026-04-13T00:00:00"/>
    <n v="4"/>
    <x v="2"/>
    <s v="Engg Manager"/>
  </r>
  <r>
    <n v="67258"/>
    <x v="4"/>
    <s v="01192790"/>
    <x v="11"/>
    <d v="2026-04-15T00:00:00"/>
    <s v="IA1421"/>
    <s v="Jayapal,Muruganandham"/>
    <n v="138.72549663844038"/>
    <d v="2026-04-15T00:00:00"/>
    <n v="4"/>
    <x v="2"/>
    <s v="Engg Manager"/>
  </r>
  <r>
    <n v="67258"/>
    <x v="4"/>
    <s v="01192790"/>
    <x v="11"/>
    <d v="2026-04-15T00:00:00"/>
    <s v="IA1690"/>
    <s v="Duraisamy,Manikandaprabu"/>
    <n v="277.45099327688075"/>
    <d v="2026-04-15T00:00:00"/>
    <n v="8"/>
    <x v="2"/>
    <s v="Developer"/>
  </r>
  <r>
    <n v="67258"/>
    <x v="4"/>
    <s v="01192790"/>
    <x v="11"/>
    <d v="2026-04-16T00:00:00"/>
    <s v="IA1690"/>
    <s v="Duraisamy,Manikandaprabu"/>
    <n v="277.45099327688075"/>
    <d v="2026-04-16T00:00:00"/>
    <n v="8"/>
    <x v="2"/>
    <s v="Developer"/>
  </r>
  <r>
    <n v="67258"/>
    <x v="4"/>
    <s v="01192790"/>
    <x v="11"/>
    <d v="2026-04-20T00:00:00"/>
    <s v="IA1690"/>
    <s v="Duraisamy,Manikandaprabu"/>
    <n v="277.45099327688075"/>
    <d v="2026-04-20T00:00:00"/>
    <n v="8"/>
    <x v="2"/>
    <s v="Developer"/>
  </r>
  <r>
    <n v="67258"/>
    <x v="4"/>
    <s v="01192790"/>
    <x v="11"/>
    <d v="2026-05-11T00:00:00"/>
    <s v="IA1690"/>
    <s v="Duraisamy,Manikandaprabu"/>
    <n v="277.45099327688075"/>
    <d v="2026-05-11T00:00:00"/>
    <n v="8"/>
    <x v="10"/>
    <s v="Developer"/>
  </r>
  <r>
    <n v="67258"/>
    <x v="4"/>
    <s v="01192790"/>
    <x v="11"/>
    <d v="2026-05-12T00:00:00"/>
    <s v="IA1690"/>
    <s v="Duraisamy,Manikandaprabu"/>
    <n v="277.45099327688075"/>
    <d v="2026-05-12T00:00:00"/>
    <n v="8"/>
    <x v="10"/>
    <s v="Developer"/>
  </r>
  <r>
    <n v="67258"/>
    <x v="4"/>
    <s v="01192790"/>
    <x v="11"/>
    <d v="2026-05-13T00:00:00"/>
    <s v="IA1690"/>
    <s v="Duraisamy,Manikandaprabu"/>
    <n v="277.45099327688075"/>
    <d v="2026-05-13T00:00:00"/>
    <n v="8"/>
    <x v="10"/>
    <s v="Developer"/>
  </r>
  <r>
    <n v="67258"/>
    <x v="4"/>
    <s v="01192790"/>
    <x v="11"/>
    <d v="2026-05-14T00:00:00"/>
    <s v="IA1690"/>
    <s v="Duraisamy,Manikandaprabu"/>
    <n v="277.45099327688075"/>
    <d v="2026-05-14T00:00:00"/>
    <n v="8"/>
    <x v="10"/>
    <s v="Developer"/>
  </r>
  <r>
    <n v="67258"/>
    <x v="4"/>
    <s v="01192790"/>
    <x v="11"/>
    <d v="2026-05-15T00:00:00"/>
    <s v="IA1690"/>
    <s v="Duraisamy,Manikandaprabu"/>
    <n v="277.45099327688075"/>
    <d v="2026-05-15T00:00:00"/>
    <n v="8"/>
    <x v="10"/>
    <s v="Developer"/>
  </r>
  <r>
    <n v="67258"/>
    <x v="4"/>
    <s v="01192790"/>
    <x v="11"/>
    <d v="2026-05-16T00:00:00"/>
    <s v="IA1690"/>
    <s v="Duraisamy,Manikandaprabu"/>
    <n v="277.45099327688075"/>
    <d v="2026-05-16T00:00:00"/>
    <n v="8"/>
    <x v="10"/>
    <s v="Developer"/>
  </r>
  <r>
    <n v="67258"/>
    <x v="4"/>
    <s v="01192790"/>
    <x v="11"/>
    <d v="2026-05-25T00:00:00"/>
    <s v="IA1690"/>
    <s v="Duraisamy,Manikandaprabu"/>
    <n v="69.362748319220188"/>
    <d v="2026-05-25T00:00:00"/>
    <n v="2"/>
    <x v="10"/>
    <s v="Developer"/>
  </r>
  <r>
    <n v="67258"/>
    <x v="4"/>
    <s v="01192790"/>
    <x v="11"/>
    <d v="2026-05-26T00:00:00"/>
    <s v="IA1690"/>
    <s v="Duraisamy,Manikandaprabu"/>
    <n v="277.45099327688075"/>
    <d v="2026-05-26T00:00:00"/>
    <n v="8"/>
    <x v="10"/>
    <s v="Developer"/>
  </r>
  <r>
    <n v="67258"/>
    <x v="4"/>
    <s v="01192790"/>
    <x v="11"/>
    <d v="2026-05-27T00:00:00"/>
    <s v="IA1690"/>
    <s v="Duraisamy,Manikandaprabu"/>
    <n v="277.45099327688075"/>
    <d v="2026-05-27T00:00:00"/>
    <n v="8"/>
    <x v="10"/>
    <s v="Developer"/>
  </r>
  <r>
    <n v="67258"/>
    <x v="4"/>
    <s v="01192790"/>
    <x v="11"/>
    <d v="2026-05-28T00:00:00"/>
    <s v="IA1690"/>
    <s v="Duraisamy,Manikandaprabu"/>
    <n v="277.45099327688075"/>
    <d v="2026-05-28T00:00:00"/>
    <n v="8"/>
    <x v="10"/>
    <s v="Developer"/>
  </r>
  <r>
    <n v="67258"/>
    <x v="4"/>
    <s v="01192790"/>
    <x v="11"/>
    <d v="2026-05-29T00:00:00"/>
    <s v="IA1690"/>
    <s v="Duraisamy,Manikandaprabu"/>
    <n v="277.45099327688075"/>
    <d v="2026-05-29T00:00:00"/>
    <n v="8"/>
    <x v="10"/>
    <s v="Developer"/>
  </r>
  <r>
    <n v="67258"/>
    <x v="4"/>
    <s v="01192793"/>
    <x v="12"/>
    <d v="2026-04-27T00:00:00"/>
    <s v="IA1757"/>
    <s v="Thirunavukkarasu,Kishore"/>
    <n v="242.76961911727065"/>
    <d v="2026-04-27T00:00:00"/>
    <n v="7"/>
    <x v="2"/>
    <s v="Developer"/>
  </r>
  <r>
    <n v="67258"/>
    <x v="4"/>
    <s v="01192793"/>
    <x v="12"/>
    <d v="2026-04-27T00:00:00"/>
    <s v="IA1421"/>
    <s v="Jayapal,Muruganandham"/>
    <n v="277.45099327688075"/>
    <d v="2026-04-27T00:00:00"/>
    <n v="8"/>
    <x v="2"/>
    <s v="Engg Manager"/>
  </r>
  <r>
    <n v="67258"/>
    <x v="4"/>
    <s v="01192793"/>
    <x v="12"/>
    <d v="2026-04-28T00:00:00"/>
    <s v="IA1757"/>
    <s v="Thirunavukkarasu,Kishore"/>
    <n v="242.76961911727065"/>
    <d v="2026-04-28T00:00:00"/>
    <n v="7"/>
    <x v="2"/>
    <s v="Developer"/>
  </r>
  <r>
    <n v="67258"/>
    <x v="4"/>
    <s v="01192793"/>
    <x v="12"/>
    <d v="2026-04-28T00:00:00"/>
    <s v="IA1421"/>
    <s v="Jayapal,Muruganandham"/>
    <n v="277.45099327688075"/>
    <d v="2026-04-28T00:00:00"/>
    <n v="8"/>
    <x v="2"/>
    <s v="Engg Manager"/>
  </r>
  <r>
    <n v="67258"/>
    <x v="4"/>
    <s v="01192793"/>
    <x v="12"/>
    <d v="2026-04-29T00:00:00"/>
    <s v="IA1757"/>
    <s v="Thirunavukkarasu,Kishore"/>
    <n v="242.76961911727065"/>
    <d v="2026-04-29T00:00:00"/>
    <n v="7"/>
    <x v="2"/>
    <s v="Developer"/>
  </r>
  <r>
    <n v="67258"/>
    <x v="4"/>
    <s v="01192793"/>
    <x v="12"/>
    <d v="2026-04-29T00:00:00"/>
    <s v="IA1421"/>
    <s v="Jayapal,Muruganandham"/>
    <n v="277.45099327688075"/>
    <d v="2026-04-29T00:00:00"/>
    <n v="8"/>
    <x v="2"/>
    <s v="Engg Manager"/>
  </r>
  <r>
    <n v="67258"/>
    <x v="4"/>
    <s v="01192793"/>
    <x v="12"/>
    <d v="2026-04-29T00:00:00"/>
    <s v="IA1830"/>
    <s v="Raj,Gowtham"/>
    <n v="138.72549663844038"/>
    <d v="2026-04-29T00:00:00"/>
    <n v="4"/>
    <x v="2"/>
    <s v="Junior"/>
  </r>
  <r>
    <n v="67258"/>
    <x v="4"/>
    <s v="01192793"/>
    <x v="12"/>
    <d v="2026-04-30T00:00:00"/>
    <s v="IA1757"/>
    <s v="Thirunavukkarasu,Kishore"/>
    <n v="242.76961911727065"/>
    <d v="2026-04-30T00:00:00"/>
    <n v="7"/>
    <x v="2"/>
    <s v="Developer"/>
  </r>
  <r>
    <n v="67258"/>
    <x v="4"/>
    <s v="01192793"/>
    <x v="12"/>
    <d v="2026-04-30T00:00:00"/>
    <s v="IA1421"/>
    <s v="Jayapal,Muruganandham"/>
    <n v="277.45099327688075"/>
    <d v="2026-04-30T00:00:00"/>
    <n v="8"/>
    <x v="2"/>
    <s v="Engg Manager"/>
  </r>
  <r>
    <n v="67258"/>
    <x v="4"/>
    <s v="01192793"/>
    <x v="12"/>
    <d v="2026-05-01T00:00:00"/>
    <s v="IA1757"/>
    <s v="Thirunavukkarasu,Kishore"/>
    <n v="-242.76961911727065"/>
    <d v="2026-05-01T00:00:00"/>
    <n v="-7"/>
    <x v="10"/>
    <s v="Developer"/>
  </r>
  <r>
    <n v="67258"/>
    <x v="4"/>
    <s v="01192793"/>
    <x v="12"/>
    <d v="2026-05-01T00:00:00"/>
    <s v="IA1757"/>
    <s v="Thirunavukkarasu,Kishore"/>
    <n v="242.76961911727065"/>
    <d v="2026-05-01T00:00:00"/>
    <n v="7"/>
    <x v="10"/>
    <s v="Developer"/>
  </r>
  <r>
    <n v="67258"/>
    <x v="4"/>
    <s v="01192793"/>
    <x v="12"/>
    <d v="2026-05-04T00:00:00"/>
    <s v="IA1421"/>
    <s v="Jayapal,Muruganandham"/>
    <n v="277.45099327688075"/>
    <d v="2026-05-04T00:00:00"/>
    <n v="8"/>
    <x v="10"/>
    <s v="Engg Manager"/>
  </r>
  <r>
    <n v="67258"/>
    <x v="4"/>
    <s v="01192793"/>
    <x v="12"/>
    <d v="2026-05-04T00:00:00"/>
    <s v="IA1757"/>
    <s v="Thirunavukkarasu,Kishore"/>
    <n v="242.76961911727065"/>
    <d v="2026-05-04T00:00:00"/>
    <n v="7"/>
    <x v="10"/>
    <s v="Developer"/>
  </r>
  <r>
    <n v="67258"/>
    <x v="4"/>
    <s v="01192793"/>
    <x v="12"/>
    <d v="2026-05-05T00:00:00"/>
    <s v="IA1757"/>
    <s v="Thirunavukkarasu,Kishore"/>
    <n v="242.76961911727065"/>
    <d v="2026-05-05T00:00:00"/>
    <n v="7"/>
    <x v="10"/>
    <s v="Developer"/>
  </r>
  <r>
    <n v="67258"/>
    <x v="4"/>
    <s v="01192793"/>
    <x v="12"/>
    <d v="2026-05-05T00:00:00"/>
    <s v="IA1421"/>
    <s v="Jayapal,Muruganandham"/>
    <n v="277.45099327688075"/>
    <d v="2026-05-05T00:00:00"/>
    <n v="8"/>
    <x v="10"/>
    <s v="Engg Manager"/>
  </r>
  <r>
    <n v="67258"/>
    <x v="4"/>
    <s v="01192793"/>
    <x v="12"/>
    <d v="2026-05-06T00:00:00"/>
    <s v="IA1757"/>
    <s v="Thirunavukkarasu,Kishore"/>
    <n v="242.76961911727065"/>
    <d v="2026-05-06T00:00:00"/>
    <n v="7"/>
    <x v="10"/>
    <s v="Developer"/>
  </r>
  <r>
    <n v="67258"/>
    <x v="4"/>
    <s v="01192793"/>
    <x v="12"/>
    <d v="2026-05-06T00:00:00"/>
    <s v="IA1421"/>
    <s v="Jayapal,Muruganandham"/>
    <n v="277.45099327688075"/>
    <d v="2026-05-06T00:00:00"/>
    <n v="8"/>
    <x v="10"/>
    <s v="Engg Manager"/>
  </r>
  <r>
    <n v="67258"/>
    <x v="4"/>
    <s v="01192793"/>
    <x v="12"/>
    <d v="2026-05-07T00:00:00"/>
    <s v="IA1757"/>
    <s v="Thirunavukkarasu,Kishore"/>
    <n v="242.76961911727065"/>
    <d v="2026-05-07T00:00:00"/>
    <n v="7"/>
    <x v="10"/>
    <s v="Developer"/>
  </r>
  <r>
    <n v="67258"/>
    <x v="4"/>
    <s v="01192793"/>
    <x v="12"/>
    <d v="2026-05-07T00:00:00"/>
    <s v="IA1421"/>
    <s v="Jayapal,Muruganandham"/>
    <n v="277.45099327688075"/>
    <d v="2026-05-07T00:00:00"/>
    <n v="8"/>
    <x v="10"/>
    <s v="Engg Manager"/>
  </r>
  <r>
    <n v="67258"/>
    <x v="4"/>
    <s v="01192793"/>
    <x v="12"/>
    <d v="2026-05-08T00:00:00"/>
    <s v="IA1757"/>
    <s v="Thirunavukkarasu,Kishore"/>
    <n v="242.76961911727065"/>
    <d v="2026-05-08T00:00:00"/>
    <n v="7"/>
    <x v="10"/>
    <s v="Developer"/>
  </r>
  <r>
    <n v="67258"/>
    <x v="4"/>
    <s v="01192793"/>
    <x v="12"/>
    <d v="2026-05-08T00:00:00"/>
    <s v="IA1421"/>
    <s v="Jayapal,Muruganandham"/>
    <n v="277.45099327688075"/>
    <d v="2026-05-08T00:00:00"/>
    <n v="8"/>
    <x v="10"/>
    <s v="Engg Manager"/>
  </r>
  <r>
    <n v="67258"/>
    <x v="4"/>
    <s v="01192793"/>
    <x v="12"/>
    <d v="2026-05-11T00:00:00"/>
    <s v="IA1421"/>
    <s v="Jayapal,Muruganandham"/>
    <n v="277.45099327688075"/>
    <d v="2026-05-11T00:00:00"/>
    <n v="8"/>
    <x v="10"/>
    <s v="Engg Manager"/>
  </r>
  <r>
    <n v="67258"/>
    <x v="4"/>
    <s v="01192793"/>
    <x v="12"/>
    <d v="2026-05-12T00:00:00"/>
    <s v="IA1421"/>
    <s v="Jayapal,Muruganandham"/>
    <n v="277.45099327688075"/>
    <d v="2026-05-12T00:00:00"/>
    <n v="8"/>
    <x v="10"/>
    <s v="Engg Manager"/>
  </r>
  <r>
    <n v="67258"/>
    <x v="4"/>
    <s v="01192793"/>
    <x v="12"/>
    <d v="2026-05-13T00:00:00"/>
    <s v="IA1421"/>
    <s v="Jayapal,Muruganandham"/>
    <n v="277.45099327688075"/>
    <d v="2026-05-13T00:00:00"/>
    <n v="8"/>
    <x v="10"/>
    <s v="Engg Manager"/>
  </r>
  <r>
    <n v="67258"/>
    <x v="4"/>
    <s v="01192793"/>
    <x v="12"/>
    <d v="2026-05-14T00:00:00"/>
    <s v="IA1421"/>
    <s v="Jayapal,Muruganandham"/>
    <n v="277.45099327688075"/>
    <d v="2026-05-14T00:00:00"/>
    <n v="8"/>
    <x v="10"/>
    <s v="Engg Manager"/>
  </r>
  <r>
    <n v="67258"/>
    <x v="4"/>
    <s v="01192793"/>
    <x v="12"/>
    <d v="2026-05-15T00:00:00"/>
    <s v="IA1421"/>
    <s v="Jayapal,Muruganandham"/>
    <n v="277.45099327688075"/>
    <d v="2026-05-15T00:00:00"/>
    <n v="8"/>
    <x v="10"/>
    <s v="Engg Manager"/>
  </r>
  <r>
    <n v="67258"/>
    <x v="4"/>
    <s v="01192793"/>
    <x v="12"/>
    <d v="2026-05-18T00:00:00"/>
    <s v="IA1421"/>
    <s v="Jayapal,Muruganandham"/>
    <n v="242.76961911727065"/>
    <d v="2026-05-18T00:00:00"/>
    <n v="7"/>
    <x v="10"/>
    <s v="Engg Manager"/>
  </r>
  <r>
    <n v="67258"/>
    <x v="4"/>
    <s v="01192793"/>
    <x v="12"/>
    <d v="2026-05-19T00:00:00"/>
    <s v="IA1421"/>
    <s v="Jayapal,Muruganandham"/>
    <n v="277.45099327688075"/>
    <d v="2026-05-19T00:00:00"/>
    <n v="8"/>
    <x v="10"/>
    <s v="Engg Manager"/>
  </r>
  <r>
    <n v="67258"/>
    <x v="4"/>
    <s v="01192793"/>
    <x v="12"/>
    <d v="2026-05-20T00:00:00"/>
    <s v="IA1421"/>
    <s v="Jayapal,Muruganandham"/>
    <n v="277.45099327688075"/>
    <d v="2026-05-20T00:00:00"/>
    <n v="8"/>
    <x v="10"/>
    <s v="Engg Manager"/>
  </r>
  <r>
    <n v="67258"/>
    <x v="4"/>
    <s v="01192793"/>
    <x v="12"/>
    <d v="2026-05-21T00:00:00"/>
    <s v="IA1421"/>
    <s v="Jayapal,Muruganandham"/>
    <n v="277.45099327688075"/>
    <d v="2026-05-21T00:00:00"/>
    <n v="8"/>
    <x v="10"/>
    <s v="Engg Manager"/>
  </r>
  <r>
    <n v="67258"/>
    <x v="4"/>
    <s v="01192793"/>
    <x v="12"/>
    <d v="2026-05-22T00:00:00"/>
    <s v="IA1421"/>
    <s v="Jayapal,Muruganandham"/>
    <n v="277.45099327688075"/>
    <d v="2026-05-22T00:00:00"/>
    <n v="8"/>
    <x v="10"/>
    <s v="Engg Manager"/>
  </r>
  <r>
    <n v="67261"/>
    <x v="5"/>
    <s v="01195209"/>
    <x v="13"/>
    <d v="2025-07-15T00:00:00"/>
    <s v="IA1771"/>
    <s v="anandanshanmugam,kamesh"/>
    <n v="208.08824495766055"/>
    <d v="2025-07-15T00:00:00"/>
    <n v="6"/>
    <x v="3"/>
    <s v="Junior"/>
  </r>
  <r>
    <n v="67261"/>
    <x v="5"/>
    <s v="01195209"/>
    <x v="13"/>
    <d v="2025-07-16T00:00:00"/>
    <s v="IA1771"/>
    <s v="anandanshanmugam,kamesh"/>
    <n v="208.08824495766055"/>
    <d v="2025-07-16T00:00:00"/>
    <n v="6"/>
    <x v="3"/>
    <s v="Junior"/>
  </r>
  <r>
    <n v="67261"/>
    <x v="5"/>
    <s v="01195209"/>
    <x v="13"/>
    <d v="2025-07-17T00:00:00"/>
    <s v="IA1771"/>
    <s v="anandanshanmugam,kamesh"/>
    <n v="208.08824495766055"/>
    <d v="2025-07-17T00:00:00"/>
    <n v="6"/>
    <x v="3"/>
    <s v="Junior"/>
  </r>
  <r>
    <n v="67261"/>
    <x v="5"/>
    <s v="01195209"/>
    <x v="13"/>
    <d v="2025-07-18T00:00:00"/>
    <s v="IA1771"/>
    <s v="anandanshanmugam,kamesh"/>
    <n v="208.08824495766055"/>
    <d v="2025-07-18T00:00:00"/>
    <n v="6"/>
    <x v="3"/>
    <s v="Junior"/>
  </r>
  <r>
    <n v="67261"/>
    <x v="5"/>
    <s v="01195209"/>
    <x v="13"/>
    <d v="2025-07-21T00:00:00"/>
    <s v="IA1771"/>
    <s v="anandanshanmugam,kamesh"/>
    <n v="208.08824495766055"/>
    <d v="2025-07-21T00:00:00"/>
    <n v="6"/>
    <x v="3"/>
    <s v="Junior"/>
  </r>
  <r>
    <n v="67261"/>
    <x v="5"/>
    <s v="01195209"/>
    <x v="13"/>
    <d v="2025-07-22T00:00:00"/>
    <s v="IA1771"/>
    <s v="anandanshanmugam,kamesh"/>
    <n v="208.08824495766055"/>
    <d v="2025-07-22T00:00:00"/>
    <n v="6"/>
    <x v="3"/>
    <s v="Junior"/>
  </r>
  <r>
    <n v="67261"/>
    <x v="5"/>
    <s v="01195209"/>
    <x v="13"/>
    <d v="2025-07-23T00:00:00"/>
    <s v="IA1771"/>
    <s v="anandanshanmugam,kamesh"/>
    <n v="208.08824495766055"/>
    <d v="2025-07-23T00:00:00"/>
    <n v="6"/>
    <x v="3"/>
    <s v="Junior"/>
  </r>
  <r>
    <n v="67261"/>
    <x v="5"/>
    <s v="01195209"/>
    <x v="13"/>
    <d v="2025-07-24T00:00:00"/>
    <s v="IA1771"/>
    <s v="anandanshanmugam,kamesh"/>
    <n v="208.08824495766055"/>
    <d v="2025-07-24T00:00:00"/>
    <n v="6"/>
    <x v="3"/>
    <s v="Junior"/>
  </r>
  <r>
    <n v="67261"/>
    <x v="5"/>
    <s v="01195209"/>
    <x v="13"/>
    <d v="2025-07-25T00:00:00"/>
    <s v="IA1771"/>
    <s v="anandanshanmugam,kamesh"/>
    <n v="208.08824495766055"/>
    <d v="2025-07-25T00:00:00"/>
    <n v="6"/>
    <x v="3"/>
    <s v="Junior"/>
  </r>
  <r>
    <n v="67261"/>
    <x v="5"/>
    <s v="01195209"/>
    <x v="13"/>
    <d v="2025-07-28T00:00:00"/>
    <s v="IA1771"/>
    <s v="anandanshanmugam,kamesh"/>
    <n v="208.08824495766055"/>
    <d v="2025-07-28T00:00:00"/>
    <n v="6"/>
    <x v="3"/>
    <s v="Junior"/>
  </r>
  <r>
    <n v="67261"/>
    <x v="5"/>
    <s v="01195209"/>
    <x v="13"/>
    <d v="2025-07-29T00:00:00"/>
    <s v="IA1771"/>
    <s v="anandanshanmugam,kamesh"/>
    <n v="208.08824495766055"/>
    <d v="2025-07-29T00:00:00"/>
    <n v="6"/>
    <x v="3"/>
    <s v="Junior"/>
  </r>
  <r>
    <n v="67261"/>
    <x v="5"/>
    <s v="01195209"/>
    <x v="13"/>
    <d v="2025-07-30T00:00:00"/>
    <s v="IA1771"/>
    <s v="anandanshanmugam,kamesh"/>
    <n v="208.08824495766055"/>
    <d v="2025-07-30T00:00:00"/>
    <n v="6"/>
    <x v="3"/>
    <s v="Junior"/>
  </r>
  <r>
    <n v="67261"/>
    <x v="5"/>
    <s v="01195209"/>
    <x v="13"/>
    <d v="2025-07-31T00:00:00"/>
    <s v="IA1771"/>
    <s v="anandanshanmugam,kamesh"/>
    <n v="208.08824495766055"/>
    <d v="2025-07-31T00:00:00"/>
    <n v="6"/>
    <x v="3"/>
    <s v="Junior"/>
  </r>
  <r>
    <n v="67258"/>
    <x v="4"/>
    <s v="01199831"/>
    <x v="14"/>
    <d v="2026-03-16T00:00:00"/>
    <s v="IA1430"/>
    <s v="Subburajan,Jawahar"/>
    <n v="277.45099327688075"/>
    <d v="2026-03-16T00:00:00"/>
    <n v="8"/>
    <x v="1"/>
    <s v="Lead Developer"/>
  </r>
  <r>
    <n v="67258"/>
    <x v="4"/>
    <s v="01199831"/>
    <x v="14"/>
    <d v="2026-03-17T00:00:00"/>
    <s v="IA1806"/>
    <s v="Chakravarthy,Deepak"/>
    <n v="277.45099327688075"/>
    <d v="2026-03-17T00:00:00"/>
    <n v="8"/>
    <x v="1"/>
    <s v="Developer"/>
  </r>
  <r>
    <n v="67258"/>
    <x v="4"/>
    <s v="01199831"/>
    <x v="14"/>
    <d v="2026-03-17T00:00:00"/>
    <s v="IA1430"/>
    <s v="Subburajan,Jawahar"/>
    <n v="277.45099327688075"/>
    <d v="2026-03-17T00:00:00"/>
    <n v="8"/>
    <x v="1"/>
    <s v="Lead Developer"/>
  </r>
  <r>
    <n v="67258"/>
    <x v="4"/>
    <s v="01199831"/>
    <x v="14"/>
    <d v="2026-03-18T00:00:00"/>
    <s v="IA1806"/>
    <s v="Chakravarthy,Deepak"/>
    <n v="277.45099327688075"/>
    <d v="2026-03-18T00:00:00"/>
    <n v="8"/>
    <x v="1"/>
    <s v="Developer"/>
  </r>
  <r>
    <n v="67258"/>
    <x v="4"/>
    <s v="01199831"/>
    <x v="14"/>
    <d v="2026-04-08T00:00:00"/>
    <s v="IA1806"/>
    <s v="Chakravarthy,Deepak"/>
    <n v="138.72549663844038"/>
    <d v="2026-04-08T00:00:00"/>
    <n v="4"/>
    <x v="2"/>
    <s v="Developer"/>
  </r>
  <r>
    <n v="67258"/>
    <x v="4"/>
    <s v="01199831"/>
    <x v="14"/>
    <d v="2026-04-09T00:00:00"/>
    <s v="IA1806"/>
    <s v="Chakravarthy,Deepak"/>
    <n v="277.45099327688075"/>
    <d v="2026-04-09T00:00:00"/>
    <n v="8"/>
    <x v="2"/>
    <s v="Developer"/>
  </r>
  <r>
    <n v="67258"/>
    <x v="4"/>
    <s v="01199831"/>
    <x v="14"/>
    <d v="2026-04-10T00:00:00"/>
    <s v="IA1806"/>
    <s v="Chakravarthy,Deepak"/>
    <n v="208.08824495766055"/>
    <d v="2026-04-10T00:00:00"/>
    <n v="6"/>
    <x v="2"/>
    <s v="Developer"/>
  </r>
  <r>
    <n v="67262"/>
    <x v="0"/>
    <s v="01199833"/>
    <x v="15"/>
    <d v="2026-01-05T00:00:00"/>
    <s v="IA1421"/>
    <s v="Jayapal,Muruganandham"/>
    <n v="69.362748319220188"/>
    <d v="2026-01-05T00:00:00"/>
    <n v="2"/>
    <x v="9"/>
    <s v="Engg Manager"/>
  </r>
  <r>
    <n v="67262"/>
    <x v="0"/>
    <s v="01199833"/>
    <x v="15"/>
    <d v="2026-01-06T00:00:00"/>
    <s v="IA1421"/>
    <s v="Jayapal,Muruganandham"/>
    <n v="69.362748319220188"/>
    <d v="2026-01-06T00:00:00"/>
    <n v="2"/>
    <x v="9"/>
    <s v="Engg Manager"/>
  </r>
  <r>
    <n v="67262"/>
    <x v="0"/>
    <s v="01199833"/>
    <x v="15"/>
    <d v="2026-01-07T00:00:00"/>
    <s v="IA1421"/>
    <s v="Jayapal,Muruganandham"/>
    <n v="69.362748319220188"/>
    <d v="2026-01-07T00:00:00"/>
    <n v="2"/>
    <x v="9"/>
    <s v="Engg Manager"/>
  </r>
  <r>
    <n v="67262"/>
    <x v="0"/>
    <s v="01199833"/>
    <x v="15"/>
    <d v="2026-01-08T00:00:00"/>
    <s v="IA1421"/>
    <s v="Jayapal,Muruganandham"/>
    <n v="69.362748319220188"/>
    <d v="2026-01-08T00:00:00"/>
    <n v="2"/>
    <x v="9"/>
    <s v="Engg Manager"/>
  </r>
  <r>
    <n v="67262"/>
    <x v="0"/>
    <s v="01199833"/>
    <x v="15"/>
    <d v="2026-01-09T00:00:00"/>
    <s v="IA1765"/>
    <s v="Kumar,Saravana"/>
    <n v="208.08824495766055"/>
    <d v="2026-01-09T00:00:00"/>
    <n v="6"/>
    <x v="9"/>
    <s v="Developer"/>
  </r>
  <r>
    <n v="67262"/>
    <x v="0"/>
    <s v="01199833"/>
    <x v="15"/>
    <d v="2026-01-09T00:00:00"/>
    <s v="IA1421"/>
    <s v="Jayapal,Muruganandham"/>
    <n v="69.362748319220188"/>
    <d v="2026-01-09T00:00:00"/>
    <n v="2"/>
    <x v="9"/>
    <s v="Engg Manager"/>
  </r>
  <r>
    <n v="67262"/>
    <x v="0"/>
    <s v="01199833"/>
    <x v="15"/>
    <d v="2026-01-09T00:00:00"/>
    <s v="IA1789"/>
    <s v="Sharukhan,Mohammed"/>
    <n v="208.08824495766055"/>
    <d v="2026-01-09T00:00:00"/>
    <n v="6"/>
    <x v="9"/>
    <s v="Platform Operations"/>
  </r>
  <r>
    <n v="67262"/>
    <x v="0"/>
    <s v="01199833"/>
    <x v="15"/>
    <d v="2026-03-03T00:00:00"/>
    <s v="IA1765"/>
    <s v="Kumar,Saravana"/>
    <n v="242.76961911727065"/>
    <d v="2026-03-03T00:00:00"/>
    <n v="7"/>
    <x v="1"/>
    <s v="Developer"/>
  </r>
  <r>
    <n v="67262"/>
    <x v="0"/>
    <s v="01199833"/>
    <x v="15"/>
    <d v="2026-03-04T00:00:00"/>
    <s v="IA1421"/>
    <s v="Jayapal,Muruganandham"/>
    <n v="138.72549663844038"/>
    <d v="2026-03-04T00:00:00"/>
    <n v="4"/>
    <x v="1"/>
    <s v="Engg Manager"/>
  </r>
  <r>
    <n v="67262"/>
    <x v="0"/>
    <s v="01199833"/>
    <x v="15"/>
    <d v="2026-03-05T00:00:00"/>
    <s v="IA1421"/>
    <s v="Jayapal,Muruganandham"/>
    <n v="138.72549663844038"/>
    <d v="2026-03-05T00:00:00"/>
    <n v="4"/>
    <x v="1"/>
    <s v="Engg Manager"/>
  </r>
  <r>
    <n v="67262"/>
    <x v="0"/>
    <s v="01199833"/>
    <x v="15"/>
    <d v="2026-03-06T00:00:00"/>
    <s v="IA1421"/>
    <s v="Jayapal,Muruganandham"/>
    <n v="138.72549663844038"/>
    <d v="2026-03-06T00:00:00"/>
    <n v="4"/>
    <x v="1"/>
    <s v="Engg Manager"/>
  </r>
  <r>
    <n v="67262"/>
    <x v="0"/>
    <s v="01199833"/>
    <x v="15"/>
    <d v="2026-03-10T00:00:00"/>
    <s v="IA1421"/>
    <s v="Jayapal,Muruganandham"/>
    <n v="34.681374159610094"/>
    <d v="2026-03-10T00:00:00"/>
    <n v="1"/>
    <x v="1"/>
    <s v="Engg Manager"/>
  </r>
  <r>
    <n v="67262"/>
    <x v="0"/>
    <s v="01199833"/>
    <x v="15"/>
    <d v="2026-03-11T00:00:00"/>
    <s v="IA1421"/>
    <s v="Jayapal,Muruganandham"/>
    <n v="34.681374159610094"/>
    <d v="2026-03-11T00:00:00"/>
    <n v="1"/>
    <x v="1"/>
    <s v="Engg Manager"/>
  </r>
  <r>
    <n v="67262"/>
    <x v="0"/>
    <s v="01199833"/>
    <x v="15"/>
    <d v="2026-03-12T00:00:00"/>
    <s v="IA1421"/>
    <s v="Jayapal,Muruganandham"/>
    <n v="34.681374159610094"/>
    <d v="2026-03-12T00:00:00"/>
    <n v="1"/>
    <x v="1"/>
    <s v="Engg Manager"/>
  </r>
  <r>
    <n v="67262"/>
    <x v="0"/>
    <s v="01199833"/>
    <x v="15"/>
    <d v="2026-03-13T00:00:00"/>
    <s v="IA1421"/>
    <s v="Jayapal,Muruganandham"/>
    <n v="34.681374159610094"/>
    <d v="2026-03-13T00:00:00"/>
    <n v="1"/>
    <x v="1"/>
    <s v="Engg Manager"/>
  </r>
  <r>
    <n v="67262"/>
    <x v="0"/>
    <s v="01199833"/>
    <x v="15"/>
    <d v="2026-03-27T00:00:00"/>
    <s v="IA1421"/>
    <s v="Jayapal,Muruganandham"/>
    <n v="208.08824495766055"/>
    <d v="2026-03-27T00:00:00"/>
    <n v="6"/>
    <x v="1"/>
    <s v="Engg Manager"/>
  </r>
  <r>
    <n v="67262"/>
    <x v="0"/>
    <s v="01199833"/>
    <x v="15"/>
    <d v="2026-04-08T00:00:00"/>
    <s v="IA1765"/>
    <s v="Kumar,Saravana"/>
    <n v="277.45099327688075"/>
    <d v="2026-04-08T00:00:00"/>
    <n v="8"/>
    <x v="2"/>
    <s v="Developer"/>
  </r>
  <r>
    <n v="67262"/>
    <x v="0"/>
    <s v="01199833"/>
    <x v="15"/>
    <d v="2026-04-09T00:00:00"/>
    <s v="IA1765"/>
    <s v="Kumar,Saravana"/>
    <n v="277.45099327688075"/>
    <d v="2026-04-09T00:00:00"/>
    <n v="8"/>
    <x v="2"/>
    <s v="Developer"/>
  </r>
  <r>
    <n v="67262"/>
    <x v="0"/>
    <s v="01199833"/>
    <x v="15"/>
    <d v="2026-04-10T00:00:00"/>
    <s v="IA1765"/>
    <s v="Kumar,Saravana"/>
    <n v="277.45099327688075"/>
    <d v="2026-04-10T00:00:00"/>
    <n v="8"/>
    <x v="2"/>
    <s v="Developer"/>
  </r>
  <r>
    <n v="67262"/>
    <x v="0"/>
    <s v="01199833"/>
    <x v="15"/>
    <d v="2026-04-13T00:00:00"/>
    <s v="IA1421"/>
    <s v="Jayapal,Muruganandham"/>
    <n v="69.362748319220188"/>
    <d v="2026-04-13T00:00:00"/>
    <n v="2"/>
    <x v="2"/>
    <s v="Engg Manager"/>
  </r>
  <r>
    <n v="67262"/>
    <x v="0"/>
    <s v="01199833"/>
    <x v="15"/>
    <d v="2026-04-15T00:00:00"/>
    <s v="IA1421"/>
    <s v="Jayapal,Muruganandham"/>
    <n v="69.362748319220188"/>
    <d v="2026-04-15T00:00:00"/>
    <n v="2"/>
    <x v="2"/>
    <s v="Engg Manager"/>
  </r>
  <r>
    <n v="67262"/>
    <x v="0"/>
    <s v="01199833"/>
    <x v="15"/>
    <d v="2026-04-20T00:00:00"/>
    <s v="IA1421"/>
    <s v="Jayapal,Muruganandham"/>
    <n v="69.362748319220188"/>
    <d v="2026-04-20T00:00:00"/>
    <n v="2"/>
    <x v="2"/>
    <s v="Engg Manager"/>
  </r>
  <r>
    <n v="67262"/>
    <x v="0"/>
    <s v="01199833"/>
    <x v="15"/>
    <d v="2026-04-21T00:00:00"/>
    <s v="IA1765"/>
    <s v="Kumar,Saravana"/>
    <n v="277.45099327688075"/>
    <d v="2026-04-21T00:00:00"/>
    <n v="8"/>
    <x v="2"/>
    <s v="Developer"/>
  </r>
  <r>
    <n v="67262"/>
    <x v="0"/>
    <s v="01199833"/>
    <x v="15"/>
    <d v="2026-04-21T00:00:00"/>
    <s v="IA1421"/>
    <s v="Jayapal,Muruganandham"/>
    <n v="69.362748319220188"/>
    <d v="2026-04-21T00:00:00"/>
    <n v="2"/>
    <x v="2"/>
    <s v="Engg Manager"/>
  </r>
  <r>
    <n v="67262"/>
    <x v="0"/>
    <s v="01199833"/>
    <x v="15"/>
    <d v="2026-04-22T00:00:00"/>
    <s v="IA1765"/>
    <s v="Kumar,Saravana"/>
    <n v="277.45099327688075"/>
    <d v="2026-04-22T00:00:00"/>
    <n v="8"/>
    <x v="2"/>
    <s v="Developer"/>
  </r>
  <r>
    <n v="67262"/>
    <x v="0"/>
    <s v="01199833"/>
    <x v="15"/>
    <d v="2026-04-22T00:00:00"/>
    <s v="IA1421"/>
    <s v="Jayapal,Muruganandham"/>
    <n v="69.362748319220188"/>
    <d v="2026-04-22T00:00:00"/>
    <n v="2"/>
    <x v="2"/>
    <s v="Engg Manager"/>
  </r>
  <r>
    <n v="67262"/>
    <x v="0"/>
    <s v="01199833"/>
    <x v="15"/>
    <d v="2026-04-23T00:00:00"/>
    <s v="IA1765"/>
    <s v="Kumar,Saravana"/>
    <n v="277.45099327688075"/>
    <d v="2026-04-23T00:00:00"/>
    <n v="8"/>
    <x v="2"/>
    <s v="Developer"/>
  </r>
  <r>
    <n v="67262"/>
    <x v="0"/>
    <s v="01199833"/>
    <x v="15"/>
    <d v="2026-04-23T00:00:00"/>
    <s v="IA1421"/>
    <s v="Jayapal,Muruganandham"/>
    <n v="69.362748319220188"/>
    <d v="2026-04-23T00:00:00"/>
    <n v="2"/>
    <x v="2"/>
    <s v="Engg Manager"/>
  </r>
  <r>
    <n v="67262"/>
    <x v="0"/>
    <s v="01199833"/>
    <x v="15"/>
    <d v="2026-04-24T00:00:00"/>
    <s v="IA1421"/>
    <s v="Jayapal,Muruganandham"/>
    <n v="69.362748319220188"/>
    <d v="2026-04-24T00:00:00"/>
    <n v="2"/>
    <x v="2"/>
    <s v="Engg Manager"/>
  </r>
  <r>
    <n v="67262"/>
    <x v="0"/>
    <s v="01199833"/>
    <x v="15"/>
    <d v="2026-06-03T00:00:00"/>
    <s v="IA1765"/>
    <s v="Kumar,Saravana"/>
    <n v="277.45099327688075"/>
    <d v="2026-06-03T00:00:00"/>
    <n v="8"/>
    <x v="11"/>
    <s v="Developer"/>
  </r>
  <r>
    <n v="67262"/>
    <x v="0"/>
    <s v="01199833"/>
    <x v="15"/>
    <d v="2026-06-04T00:00:00"/>
    <s v="IA1765"/>
    <s v="Kumar,Saravana"/>
    <n v="277.45099327688075"/>
    <d v="2026-06-04T00:00:00"/>
    <n v="8"/>
    <x v="11"/>
    <s v="Developer"/>
  </r>
  <r>
    <n v="67262"/>
    <x v="0"/>
    <s v="01199833"/>
    <x v="15"/>
    <d v="2026-06-08T00:00:00"/>
    <s v="IA1765"/>
    <s v="Kumar,Saravana"/>
    <n v="277.45099327688075"/>
    <d v="2026-06-08T00:00:00"/>
    <n v="8"/>
    <x v="11"/>
    <s v="Developer"/>
  </r>
  <r>
    <n v="67262"/>
    <x v="0"/>
    <s v="01199833"/>
    <x v="15"/>
    <d v="2026-06-10T00:00:00"/>
    <s v="IA1765"/>
    <s v="Kumar,Saravana"/>
    <n v="277.45099327688075"/>
    <d v="2026-06-10T00:00:00"/>
    <n v="8"/>
    <x v="11"/>
    <s v="Developer"/>
  </r>
  <r>
    <n v="67262"/>
    <x v="0"/>
    <s v="01199833"/>
    <x v="15"/>
    <d v="2026-06-11T00:00:00"/>
    <s v="IA1765"/>
    <s v="Kumar,Saravana"/>
    <n v="277.45099327688075"/>
    <d v="2026-06-11T00:00:00"/>
    <n v="8"/>
    <x v="11"/>
    <s v="Developer"/>
  </r>
  <r>
    <n v="67262"/>
    <x v="0"/>
    <s v="01199836"/>
    <x v="16"/>
    <d v="2025-09-08T00:00:00"/>
    <s v="IA1421"/>
    <s v="Jayapal,Muruganandham"/>
    <n v="34.681374159610094"/>
    <d v="2025-09-08T00:00:00"/>
    <n v="1"/>
    <x v="5"/>
    <s v="Engg Manager"/>
  </r>
  <r>
    <n v="67262"/>
    <x v="0"/>
    <s v="01199836"/>
    <x v="16"/>
    <d v="2025-09-09T00:00:00"/>
    <s v="IA1421"/>
    <s v="Jayapal,Muruganandham"/>
    <n v="34.681374159610094"/>
    <d v="2025-09-09T00:00:00"/>
    <n v="1"/>
    <x v="5"/>
    <s v="Engg Manager"/>
  </r>
  <r>
    <n v="67262"/>
    <x v="0"/>
    <s v="01199836"/>
    <x v="16"/>
    <d v="2025-09-10T00:00:00"/>
    <s v="IA1421"/>
    <s v="Jayapal,Muruganandham"/>
    <n v="34.681374159610094"/>
    <d v="2025-09-10T00:00:00"/>
    <n v="1"/>
    <x v="5"/>
    <s v="Engg Manager"/>
  </r>
  <r>
    <n v="67262"/>
    <x v="0"/>
    <s v="01199836"/>
    <x v="16"/>
    <d v="2025-09-11T00:00:00"/>
    <s v="IA1421"/>
    <s v="Jayapal,Muruganandham"/>
    <n v="34.681374159610094"/>
    <d v="2025-09-11T00:00:00"/>
    <n v="1"/>
    <x v="5"/>
    <s v="Engg Manager"/>
  </r>
  <r>
    <n v="67262"/>
    <x v="0"/>
    <s v="01199836"/>
    <x v="16"/>
    <d v="2025-09-12T00:00:00"/>
    <s v="IA1421"/>
    <s v="Jayapal,Muruganandham"/>
    <n v="34.681374159610094"/>
    <d v="2025-09-12T00:00:00"/>
    <n v="1"/>
    <x v="5"/>
    <s v="Engg Manager"/>
  </r>
  <r>
    <n v="67261"/>
    <x v="5"/>
    <s v="01199841"/>
    <x v="17"/>
    <d v="2025-09-15T00:00:00"/>
    <s v="IA1690"/>
    <s v="Duraisamy,Manikandaprabu"/>
    <n v="138.72549663844038"/>
    <d v="2025-09-15T00:00:00"/>
    <n v="4"/>
    <x v="5"/>
    <s v="Developer"/>
  </r>
  <r>
    <n v="67261"/>
    <x v="5"/>
    <s v="01199841"/>
    <x v="17"/>
    <d v="2025-09-16T00:00:00"/>
    <s v="IA1690"/>
    <s v="Duraisamy,Manikandaprabu"/>
    <n v="242.76961911727065"/>
    <d v="2025-09-16T00:00:00"/>
    <n v="7"/>
    <x v="5"/>
    <s v="Developer"/>
  </r>
  <r>
    <n v="67261"/>
    <x v="5"/>
    <s v="01199841"/>
    <x v="17"/>
    <d v="2025-09-17T00:00:00"/>
    <s v="IA1690"/>
    <s v="Duraisamy,Manikandaprabu"/>
    <n v="242.76961911727065"/>
    <d v="2025-09-17T00:00:00"/>
    <n v="7"/>
    <x v="5"/>
    <s v="Developer"/>
  </r>
  <r>
    <n v="67261"/>
    <x v="5"/>
    <s v="01199841"/>
    <x v="17"/>
    <d v="2025-09-18T00:00:00"/>
    <s v="IA1690"/>
    <s v="Duraisamy,Manikandaprabu"/>
    <n v="208.08824495766055"/>
    <d v="2025-09-18T00:00:00"/>
    <n v="6"/>
    <x v="5"/>
    <s v="Developer"/>
  </r>
  <r>
    <n v="67261"/>
    <x v="5"/>
    <s v="01199841"/>
    <x v="17"/>
    <d v="2025-09-22T00:00:00"/>
    <s v="IA1690"/>
    <s v="Duraisamy,Manikandaprabu"/>
    <n v="242.76961911727065"/>
    <d v="2025-09-22T00:00:00"/>
    <n v="7"/>
    <x v="5"/>
    <s v="Developer"/>
  </r>
  <r>
    <n v="67261"/>
    <x v="5"/>
    <s v="01199841"/>
    <x v="17"/>
    <d v="2025-09-23T00:00:00"/>
    <s v="IA1690"/>
    <s v="Duraisamy,Manikandaprabu"/>
    <n v="242.76961911727065"/>
    <d v="2025-09-23T00:00:00"/>
    <n v="7"/>
    <x v="5"/>
    <s v="Developer"/>
  </r>
  <r>
    <n v="67261"/>
    <x v="5"/>
    <s v="01199841"/>
    <x v="17"/>
    <d v="2025-09-24T00:00:00"/>
    <s v="IA1690"/>
    <s v="Duraisamy,Manikandaprabu"/>
    <n v="69.362748319220188"/>
    <d v="2025-09-24T00:00:00"/>
    <n v="2"/>
    <x v="5"/>
    <s v="Developer"/>
  </r>
  <r>
    <n v="67261"/>
    <x v="5"/>
    <s v="01199841"/>
    <x v="17"/>
    <d v="2026-01-13T00:00:00"/>
    <s v="IA1690"/>
    <s v="Duraisamy,Manikandaprabu"/>
    <n v="277.45099327688075"/>
    <d v="2026-01-13T00:00:00"/>
    <n v="8"/>
    <x v="9"/>
    <s v="Developer"/>
  </r>
  <r>
    <n v="67260"/>
    <x v="2"/>
    <s v="01199839"/>
    <x v="18"/>
    <d v="2025-12-01T00:00:00"/>
    <s v="IA1765"/>
    <s v="Kumar,Saravana"/>
    <n v="242.76961911727065"/>
    <d v="2025-12-01T00:00:00"/>
    <n v="7"/>
    <x v="8"/>
    <s v="Developer"/>
  </r>
  <r>
    <n v="67260"/>
    <x v="2"/>
    <s v="01199839"/>
    <x v="18"/>
    <d v="2025-12-02T00:00:00"/>
    <s v="IA1765"/>
    <s v="Kumar,Saravana"/>
    <n v="242.76961911727065"/>
    <d v="2025-12-02T00:00:00"/>
    <n v="7"/>
    <x v="8"/>
    <s v="Developer"/>
  </r>
  <r>
    <n v="67260"/>
    <x v="2"/>
    <s v="01199839"/>
    <x v="18"/>
    <d v="2025-12-03T00:00:00"/>
    <s v="IA1765"/>
    <s v="Kumar,Saravana"/>
    <n v="225.42893203746561"/>
    <d v="2025-12-03T00:00:00"/>
    <n v="6.5"/>
    <x v="8"/>
    <s v="Developer"/>
  </r>
  <r>
    <n v="67260"/>
    <x v="2"/>
    <s v="01199839"/>
    <x v="18"/>
    <d v="2025-12-03T00:00:00"/>
    <s v="IA1430"/>
    <s v="Subburajan,Jawahar"/>
    <n v="242.76961911727065"/>
    <d v="2025-12-03T00:00:00"/>
    <n v="7"/>
    <x v="8"/>
    <s v="Lead Developer"/>
  </r>
  <r>
    <n v="67260"/>
    <x v="2"/>
    <s v="01199839"/>
    <x v="18"/>
    <d v="2025-12-04T00:00:00"/>
    <s v="IA1765"/>
    <s v="Kumar,Saravana"/>
    <n v="277.45099327688075"/>
    <d v="2025-12-04T00:00:00"/>
    <n v="8"/>
    <x v="8"/>
    <s v="Developer"/>
  </r>
  <r>
    <n v="67260"/>
    <x v="2"/>
    <s v="01199839"/>
    <x v="18"/>
    <d v="2025-12-04T00:00:00"/>
    <s v="IA1430"/>
    <s v="Subburajan,Jawahar"/>
    <n v="242.76961911727065"/>
    <d v="2025-12-04T00:00:00"/>
    <n v="7"/>
    <x v="8"/>
    <s v="Lead Developer"/>
  </r>
  <r>
    <n v="67260"/>
    <x v="2"/>
    <s v="01199839"/>
    <x v="18"/>
    <d v="2025-12-05T00:00:00"/>
    <s v="IA1765"/>
    <s v="Kumar,Saravana"/>
    <n v="242.76961911727065"/>
    <d v="2025-12-05T00:00:00"/>
    <n v="7"/>
    <x v="8"/>
    <s v="Developer"/>
  </r>
  <r>
    <n v="67260"/>
    <x v="2"/>
    <s v="01199839"/>
    <x v="18"/>
    <d v="2025-12-05T00:00:00"/>
    <s v="IA1430"/>
    <s v="Subburajan,Jawahar"/>
    <n v="242.76961911727065"/>
    <d v="2025-12-05T00:00:00"/>
    <n v="7"/>
    <x v="8"/>
    <s v="Lead Developer"/>
  </r>
  <r>
    <n v="67260"/>
    <x v="2"/>
    <s v="01199839"/>
    <x v="18"/>
    <d v="2025-12-08T00:00:00"/>
    <s v="IA1421"/>
    <s v="Jayapal,Muruganandham"/>
    <n v="69.362748319220188"/>
    <d v="2025-12-08T00:00:00"/>
    <n v="2"/>
    <x v="8"/>
    <s v="Engg Manager"/>
  </r>
  <r>
    <n v="67260"/>
    <x v="2"/>
    <s v="01199839"/>
    <x v="18"/>
    <d v="2025-12-08T00:00:00"/>
    <s v="IA1765"/>
    <s v="Kumar,Saravana"/>
    <n v="277.45099327688075"/>
    <d v="2025-12-08T00:00:00"/>
    <n v="8"/>
    <x v="8"/>
    <s v="Developer"/>
  </r>
  <r>
    <n v="67260"/>
    <x v="2"/>
    <s v="01199839"/>
    <x v="18"/>
    <d v="2025-12-09T00:00:00"/>
    <s v="IA1421"/>
    <s v="Jayapal,Muruganandham"/>
    <n v="69.362748319220188"/>
    <d v="2025-12-09T00:00:00"/>
    <n v="2"/>
    <x v="8"/>
    <s v="Engg Manager"/>
  </r>
  <r>
    <n v="67260"/>
    <x v="2"/>
    <s v="01199839"/>
    <x v="18"/>
    <d v="2025-12-09T00:00:00"/>
    <s v="IA1765"/>
    <s v="Kumar,Saravana"/>
    <n v="277.45099327688075"/>
    <d v="2025-12-09T00:00:00"/>
    <n v="8"/>
    <x v="8"/>
    <s v="Developer"/>
  </r>
  <r>
    <n v="67260"/>
    <x v="2"/>
    <s v="01199839"/>
    <x v="18"/>
    <d v="2025-12-10T00:00:00"/>
    <s v="IA1421"/>
    <s v="Jayapal,Muruganandham"/>
    <n v="69.362748319220188"/>
    <d v="2025-12-10T00:00:00"/>
    <n v="2"/>
    <x v="8"/>
    <s v="Engg Manager"/>
  </r>
  <r>
    <n v="67260"/>
    <x v="2"/>
    <s v="01199839"/>
    <x v="18"/>
    <d v="2025-12-11T00:00:00"/>
    <s v="IA1421"/>
    <s v="Jayapal,Muruganandham"/>
    <n v="69.362748319220188"/>
    <d v="2025-12-11T00:00:00"/>
    <n v="2"/>
    <x v="8"/>
    <s v="Engg Manager"/>
  </r>
  <r>
    <n v="67260"/>
    <x v="2"/>
    <s v="01199839"/>
    <x v="18"/>
    <d v="2025-12-12T00:00:00"/>
    <s v="IA1421"/>
    <s v="Jayapal,Muruganandham"/>
    <n v="69.362748319220188"/>
    <d v="2025-12-12T00:00:00"/>
    <n v="2"/>
    <x v="8"/>
    <s v="Engg Manager"/>
  </r>
  <r>
    <n v="67260"/>
    <x v="2"/>
    <s v="01199839"/>
    <x v="18"/>
    <d v="2025-12-15T00:00:00"/>
    <s v="IA1430"/>
    <s v="Subburajan,Jawahar"/>
    <n v="242.76961911727065"/>
    <d v="2025-12-15T00:00:00"/>
    <n v="7"/>
    <x v="8"/>
    <s v="Lead Developer"/>
  </r>
  <r>
    <n v="67260"/>
    <x v="2"/>
    <s v="01199839"/>
    <x v="18"/>
    <d v="2025-12-16T00:00:00"/>
    <s v="IA1430"/>
    <s v="Subburajan,Jawahar"/>
    <n v="242.76961911727065"/>
    <d v="2025-12-16T00:00:00"/>
    <n v="7"/>
    <x v="8"/>
    <s v="Lead Developer"/>
  </r>
  <r>
    <n v="67260"/>
    <x v="2"/>
    <s v="01192795"/>
    <x v="4"/>
    <d v="2025-10-23T00:00:00"/>
    <s v="IA1750"/>
    <s v="Sankarasubbu,RAMANATHAN"/>
    <n v="242.76961911727065"/>
    <d v="2025-10-23T00:00:00"/>
    <n v="7"/>
    <x v="6"/>
    <s v="Developer"/>
  </r>
  <r>
    <n v="67260"/>
    <x v="2"/>
    <s v="01199839"/>
    <x v="18"/>
    <d v="2025-12-17T00:00:00"/>
    <s v="IA1765"/>
    <s v="Kumar,Saravana"/>
    <n v="34.681374159610094"/>
    <d v="2025-12-17T00:00:00"/>
    <n v="1"/>
    <x v="8"/>
    <s v="Developer"/>
  </r>
  <r>
    <n v="67260"/>
    <x v="2"/>
    <s v="01199839"/>
    <x v="18"/>
    <d v="2025-12-17T00:00:00"/>
    <s v="IA1430"/>
    <s v="Subburajan,Jawahar"/>
    <n v="242.76961911727065"/>
    <d v="2025-12-17T00:00:00"/>
    <n v="7"/>
    <x v="8"/>
    <s v="Lead Developer"/>
  </r>
  <r>
    <n v="67260"/>
    <x v="2"/>
    <s v="01199839"/>
    <x v="18"/>
    <d v="2025-12-18T00:00:00"/>
    <s v="IA1765"/>
    <s v="Kumar,Saravana"/>
    <n v="34.681374159610094"/>
    <d v="2025-12-18T00:00:00"/>
    <n v="1"/>
    <x v="8"/>
    <s v="Developer"/>
  </r>
  <r>
    <n v="67260"/>
    <x v="2"/>
    <s v="01199839"/>
    <x v="18"/>
    <d v="2025-12-18T00:00:00"/>
    <s v="IA1430"/>
    <s v="Subburajan,Jawahar"/>
    <n v="242.76961911727065"/>
    <d v="2025-12-18T00:00:00"/>
    <n v="7"/>
    <x v="8"/>
    <s v="Lead Developer"/>
  </r>
  <r>
    <n v="67260"/>
    <x v="2"/>
    <s v="01192795"/>
    <x v="4"/>
    <d v="2025-10-24T00:00:00"/>
    <s v="IA1750"/>
    <s v="Sankarasubbu,RAMANATHAN"/>
    <n v="242.76961911727065"/>
    <d v="2025-10-24T00:00:00"/>
    <n v="7"/>
    <x v="6"/>
    <s v="Developer"/>
  </r>
  <r>
    <n v="67260"/>
    <x v="2"/>
    <s v="01199839"/>
    <x v="18"/>
    <d v="2025-12-19T00:00:00"/>
    <s v="IA1430"/>
    <s v="Subburajan,Jawahar"/>
    <n v="242.76961911727065"/>
    <d v="2025-12-19T00:00:00"/>
    <n v="7"/>
    <x v="8"/>
    <s v="Lead Developer"/>
  </r>
  <r>
    <n v="67260"/>
    <x v="2"/>
    <s v="01199839"/>
    <x v="18"/>
    <d v="2025-12-23T00:00:00"/>
    <s v="IA1430"/>
    <s v="Subburajan,Jawahar"/>
    <n v="242.76961911727065"/>
    <d v="2025-12-23T00:00:00"/>
    <n v="7"/>
    <x v="8"/>
    <s v="Lead Developer"/>
  </r>
  <r>
    <n v="67260"/>
    <x v="2"/>
    <s v="01199839"/>
    <x v="18"/>
    <d v="2025-12-23T00:00:00"/>
    <s v="IA1771"/>
    <s v="anandanshanmugam,kamesh"/>
    <n v="138.72549663844038"/>
    <d v="2025-12-23T00:00:00"/>
    <n v="4"/>
    <x v="8"/>
    <s v="Junior"/>
  </r>
  <r>
    <n v="67260"/>
    <x v="2"/>
    <s v="01192795"/>
    <x v="4"/>
    <d v="2025-10-27T00:00:00"/>
    <s v="IA1750"/>
    <s v="Sankarasubbu,RAMANATHAN"/>
    <n v="242.76961911727065"/>
    <d v="2025-10-27T00:00:00"/>
    <n v="7"/>
    <x v="6"/>
    <s v="Developer"/>
  </r>
  <r>
    <n v="67260"/>
    <x v="2"/>
    <s v="01199839"/>
    <x v="18"/>
    <d v="2025-12-24T00:00:00"/>
    <s v="IA1831"/>
    <s v="Veluru,Preethi"/>
    <n v="138.72549663844038"/>
    <d v="2025-12-24T00:00:00"/>
    <n v="4"/>
    <x v="8"/>
    <s v="Junior"/>
  </r>
  <r>
    <n v="67260"/>
    <x v="2"/>
    <s v="01199839"/>
    <x v="18"/>
    <d v="2025-12-24T00:00:00"/>
    <s v="IA1430"/>
    <s v="Subburajan,Jawahar"/>
    <n v="242.76961911727065"/>
    <d v="2025-12-24T00:00:00"/>
    <n v="7"/>
    <x v="8"/>
    <s v="Lead Developer"/>
  </r>
  <r>
    <n v="67260"/>
    <x v="2"/>
    <s v="01199839"/>
    <x v="18"/>
    <d v="2025-12-24T00:00:00"/>
    <s v="IA1771"/>
    <s v="anandanshanmugam,kamesh"/>
    <n v="208.08824495766055"/>
    <d v="2025-12-24T00:00:00"/>
    <n v="6"/>
    <x v="8"/>
    <s v="Junior"/>
  </r>
  <r>
    <n v="67260"/>
    <x v="2"/>
    <s v="01199839"/>
    <x v="18"/>
    <d v="2025-12-26T00:00:00"/>
    <s v="IA1831"/>
    <s v="Veluru,Preethi"/>
    <n v="138.72549663844038"/>
    <d v="2025-12-26T00:00:00"/>
    <n v="4"/>
    <x v="8"/>
    <s v="Junior"/>
  </r>
  <r>
    <n v="67260"/>
    <x v="2"/>
    <s v="01199839"/>
    <x v="18"/>
    <d v="2025-12-26T00:00:00"/>
    <s v="IA1430"/>
    <s v="Subburajan,Jawahar"/>
    <n v="242.76961911727065"/>
    <d v="2025-12-26T00:00:00"/>
    <n v="7"/>
    <x v="8"/>
    <s v="Lead Developer"/>
  </r>
  <r>
    <n v="67260"/>
    <x v="2"/>
    <s v="01199839"/>
    <x v="18"/>
    <d v="2025-12-26T00:00:00"/>
    <s v="IA1771"/>
    <s v="anandanshanmugam,kamesh"/>
    <n v="277.45099327688075"/>
    <d v="2025-12-26T00:00:00"/>
    <n v="8"/>
    <x v="8"/>
    <s v="Junior"/>
  </r>
  <r>
    <n v="67260"/>
    <x v="2"/>
    <s v="01199839"/>
    <x v="18"/>
    <d v="2025-12-29T00:00:00"/>
    <s v="IA1771"/>
    <s v="anandanshanmugam,kamesh"/>
    <n v="277.45099327688075"/>
    <d v="2025-12-29T00:00:00"/>
    <n v="8"/>
    <x v="8"/>
    <s v="Junior"/>
  </r>
  <r>
    <n v="67260"/>
    <x v="2"/>
    <s v="01199839"/>
    <x v="18"/>
    <d v="2025-12-29T00:00:00"/>
    <s v="IA1831"/>
    <s v="Veluru,Preethi"/>
    <n v="138.72549663844038"/>
    <d v="2025-12-29T00:00:00"/>
    <n v="4"/>
    <x v="8"/>
    <s v="Junior"/>
  </r>
  <r>
    <n v="67260"/>
    <x v="2"/>
    <s v="01199839"/>
    <x v="18"/>
    <d v="2025-12-29T00:00:00"/>
    <s v="IA1450"/>
    <s v="Selvam,Kadarkarai"/>
    <n v="242.76961911727065"/>
    <d v="2025-12-29T00:00:00"/>
    <n v="7"/>
    <x v="8"/>
    <s v="Lead Developer"/>
  </r>
  <r>
    <n v="67260"/>
    <x v="2"/>
    <s v="01199839"/>
    <x v="18"/>
    <d v="2025-12-29T00:00:00"/>
    <s v="IA1421"/>
    <s v="Jayapal,Muruganandham"/>
    <n v="138.72549663844038"/>
    <d v="2025-12-29T00:00:00"/>
    <n v="4"/>
    <x v="8"/>
    <s v="Engg Manager"/>
  </r>
  <r>
    <n v="67260"/>
    <x v="2"/>
    <s v="01199839"/>
    <x v="18"/>
    <d v="2025-12-29T00:00:00"/>
    <s v="IA1430"/>
    <s v="Subburajan,Jawahar"/>
    <n v="242.76961911727065"/>
    <d v="2025-12-29T00:00:00"/>
    <n v="7"/>
    <x v="8"/>
    <s v="Lead Developer"/>
  </r>
  <r>
    <n v="67260"/>
    <x v="2"/>
    <s v="01199839"/>
    <x v="18"/>
    <d v="2025-12-30T00:00:00"/>
    <s v="IA1831"/>
    <s v="Veluru,Preethi"/>
    <n v="138.72549663844038"/>
    <d v="2025-12-30T00:00:00"/>
    <n v="4"/>
    <x v="8"/>
    <s v="Junior"/>
  </r>
  <r>
    <n v="67260"/>
    <x v="2"/>
    <s v="01199839"/>
    <x v="18"/>
    <d v="2025-12-30T00:00:00"/>
    <s v="IA1450"/>
    <s v="Selvam,Kadarkarai"/>
    <n v="242.76961911727065"/>
    <d v="2025-12-30T00:00:00"/>
    <n v="7"/>
    <x v="8"/>
    <s v="Lead Developer"/>
  </r>
  <r>
    <n v="67260"/>
    <x v="2"/>
    <s v="01199839"/>
    <x v="18"/>
    <d v="2025-12-30T00:00:00"/>
    <s v="IA1421"/>
    <s v="Jayapal,Muruganandham"/>
    <n v="138.72549663844038"/>
    <d v="2025-12-30T00:00:00"/>
    <n v="4"/>
    <x v="8"/>
    <s v="Engg Manager"/>
  </r>
  <r>
    <n v="67260"/>
    <x v="2"/>
    <s v="01199839"/>
    <x v="18"/>
    <d v="2025-12-30T00:00:00"/>
    <s v="IA1430"/>
    <s v="Subburajan,Jawahar"/>
    <n v="242.76961911727065"/>
    <d v="2025-12-30T00:00:00"/>
    <n v="7"/>
    <x v="8"/>
    <s v="Lead Developer"/>
  </r>
  <r>
    <n v="67260"/>
    <x v="2"/>
    <s v="01199839"/>
    <x v="18"/>
    <d v="2025-12-31T00:00:00"/>
    <s v="IA1421"/>
    <s v="Jayapal,Muruganandham"/>
    <n v="138.72549663844038"/>
    <d v="2025-12-31T00:00:00"/>
    <n v="4"/>
    <x v="8"/>
    <s v="Engg Manager"/>
  </r>
  <r>
    <n v="67260"/>
    <x v="2"/>
    <s v="01199839"/>
    <x v="18"/>
    <d v="2025-12-31T00:00:00"/>
    <s v="IA1430"/>
    <s v="Subburajan,Jawahar"/>
    <n v="242.76961911727065"/>
    <d v="2025-12-31T00:00:00"/>
    <n v="7"/>
    <x v="8"/>
    <s v="Lead Developer"/>
  </r>
  <r>
    <n v="67260"/>
    <x v="2"/>
    <s v="01199839"/>
    <x v="18"/>
    <d v="2026-01-02T00:00:00"/>
    <s v="IA1771"/>
    <s v="anandanshanmugam,kamesh"/>
    <n v="277.45099327688075"/>
    <d v="2026-01-02T00:00:00"/>
    <n v="8"/>
    <x v="9"/>
    <s v="Junior"/>
  </r>
  <r>
    <n v="67260"/>
    <x v="2"/>
    <s v="01199839"/>
    <x v="18"/>
    <d v="2026-01-02T00:00:00"/>
    <s v="IA1421"/>
    <s v="Jayapal,Muruganandham"/>
    <n v="138.72549663844038"/>
    <d v="2026-01-02T00:00:00"/>
    <n v="4"/>
    <x v="9"/>
    <s v="Engg Manager"/>
  </r>
  <r>
    <n v="67260"/>
    <x v="2"/>
    <s v="01199839"/>
    <x v="18"/>
    <d v="2026-01-02T00:00:00"/>
    <s v="IA1430"/>
    <s v="Subburajan,Jawahar"/>
    <n v="242.76961911727065"/>
    <d v="2026-01-02T00:00:00"/>
    <n v="7"/>
    <x v="9"/>
    <s v="Lead Developer"/>
  </r>
  <r>
    <n v="67260"/>
    <x v="2"/>
    <s v="01199839"/>
    <x v="18"/>
    <d v="2026-01-05T00:00:00"/>
    <s v="IA1831"/>
    <s v="Veluru,Preethi"/>
    <n v="208.08824495766055"/>
    <d v="2026-01-05T00:00:00"/>
    <n v="6"/>
    <x v="9"/>
    <s v="Junior"/>
  </r>
  <r>
    <n v="67260"/>
    <x v="2"/>
    <s v="01199839"/>
    <x v="18"/>
    <d v="2026-01-05T00:00:00"/>
    <s v="IA1430"/>
    <s v="Subburajan,Jawahar"/>
    <n v="242.76961911727065"/>
    <d v="2026-01-05T00:00:00"/>
    <n v="7"/>
    <x v="9"/>
    <s v="Lead Developer"/>
  </r>
  <r>
    <n v="67260"/>
    <x v="2"/>
    <s v="01199839"/>
    <x v="18"/>
    <d v="2026-01-05T00:00:00"/>
    <s v="IA1421"/>
    <s v="Jayapal,Muruganandham"/>
    <n v="138.72549663844038"/>
    <d v="2026-01-05T00:00:00"/>
    <n v="4"/>
    <x v="9"/>
    <s v="Engg Manager"/>
  </r>
  <r>
    <n v="67260"/>
    <x v="2"/>
    <s v="01199839"/>
    <x v="18"/>
    <d v="2026-01-05T00:00:00"/>
    <s v="IA1771"/>
    <s v="anandanshanmugam,kamesh"/>
    <n v="277.45099327688075"/>
    <d v="2026-01-05T00:00:00"/>
    <n v="8"/>
    <x v="9"/>
    <s v="Junior"/>
  </r>
  <r>
    <n v="67260"/>
    <x v="2"/>
    <s v="01199839"/>
    <x v="18"/>
    <d v="2026-01-06T00:00:00"/>
    <s v="IA1831"/>
    <s v="Veluru,Preethi"/>
    <n v="208.08824495766055"/>
    <d v="2026-01-06T00:00:00"/>
    <n v="6"/>
    <x v="9"/>
    <s v="Junior"/>
  </r>
  <r>
    <n v="67260"/>
    <x v="2"/>
    <s v="01199839"/>
    <x v="18"/>
    <d v="2026-01-06T00:00:00"/>
    <s v="IA1430"/>
    <s v="Subburajan,Jawahar"/>
    <n v="242.76961911727065"/>
    <d v="2026-01-06T00:00:00"/>
    <n v="7"/>
    <x v="9"/>
    <s v="Lead Developer"/>
  </r>
  <r>
    <n v="67260"/>
    <x v="2"/>
    <s v="01199839"/>
    <x v="18"/>
    <d v="2026-01-06T00:00:00"/>
    <s v="IA1793"/>
    <s v="Subramanian,Ruthrakkanth"/>
    <n v="69.362748319220188"/>
    <d v="2026-01-06T00:00:00"/>
    <n v="2"/>
    <x v="9"/>
    <s v="Developer"/>
  </r>
  <r>
    <n v="67260"/>
    <x v="2"/>
    <s v="01192795"/>
    <x v="4"/>
    <d v="2025-10-28T00:00:00"/>
    <s v="IA1750"/>
    <s v="Sankarasubbu,RAMANATHAN"/>
    <n v="242.76961911727065"/>
    <d v="2025-10-28T00:00:00"/>
    <n v="7"/>
    <x v="6"/>
    <s v="Developer"/>
  </r>
  <r>
    <n v="67260"/>
    <x v="2"/>
    <s v="01199839"/>
    <x v="18"/>
    <d v="2026-01-06T00:00:00"/>
    <s v="IA1421"/>
    <s v="Jayapal,Muruganandham"/>
    <n v="138.72549663844038"/>
    <d v="2026-01-06T00:00:00"/>
    <n v="4"/>
    <x v="9"/>
    <s v="Engg Manager"/>
  </r>
  <r>
    <n v="67260"/>
    <x v="2"/>
    <s v="01199839"/>
    <x v="18"/>
    <d v="2026-01-07T00:00:00"/>
    <s v="IA1831"/>
    <s v="Veluru,Preethi"/>
    <n v="208.08824495766055"/>
    <d v="2026-01-07T00:00:00"/>
    <n v="6"/>
    <x v="9"/>
    <s v="Junior"/>
  </r>
  <r>
    <n v="67260"/>
    <x v="2"/>
    <s v="01199839"/>
    <x v="18"/>
    <d v="2026-01-07T00:00:00"/>
    <s v="IA1430"/>
    <s v="Subburajan,Jawahar"/>
    <n v="208.08824495766055"/>
    <d v="2026-01-07T00:00:00"/>
    <n v="6"/>
    <x v="9"/>
    <s v="Lead Developer"/>
  </r>
  <r>
    <n v="67260"/>
    <x v="2"/>
    <s v="01199839"/>
    <x v="18"/>
    <d v="2026-01-07T00:00:00"/>
    <s v="IA1793"/>
    <s v="Subramanian,Ruthrakkanth"/>
    <n v="242.76961911727065"/>
    <d v="2026-01-07T00:00:00"/>
    <n v="7"/>
    <x v="9"/>
    <s v="Developer"/>
  </r>
  <r>
    <n v="67260"/>
    <x v="2"/>
    <s v="01199839"/>
    <x v="18"/>
    <d v="2026-01-07T00:00:00"/>
    <s v="IA1421"/>
    <s v="Jayapal,Muruganandham"/>
    <n v="138.72549663844038"/>
    <d v="2026-01-07T00:00:00"/>
    <n v="4"/>
    <x v="9"/>
    <s v="Engg Manager"/>
  </r>
  <r>
    <n v="67260"/>
    <x v="2"/>
    <s v="01199839"/>
    <x v="18"/>
    <d v="2026-01-07T00:00:00"/>
    <s v="IA1771"/>
    <s v="anandanshanmugam,kamesh"/>
    <n v="277.45099327688075"/>
    <d v="2026-01-07T00:00:00"/>
    <n v="8"/>
    <x v="9"/>
    <s v="Junior"/>
  </r>
  <r>
    <n v="67260"/>
    <x v="2"/>
    <s v="01199839"/>
    <x v="18"/>
    <d v="2026-01-08T00:00:00"/>
    <s v="IA1831"/>
    <s v="Veluru,Preethi"/>
    <n v="208.08824495766055"/>
    <d v="2026-01-08T00:00:00"/>
    <n v="6"/>
    <x v="9"/>
    <s v="Junior"/>
  </r>
  <r>
    <n v="67260"/>
    <x v="2"/>
    <s v="01199839"/>
    <x v="18"/>
    <d v="2026-01-08T00:00:00"/>
    <s v="IA1430"/>
    <s v="Subburajan,Jawahar"/>
    <n v="208.08824495766055"/>
    <d v="2026-01-08T00:00:00"/>
    <n v="6"/>
    <x v="9"/>
    <s v="Lead Developer"/>
  </r>
  <r>
    <n v="67260"/>
    <x v="2"/>
    <s v="01199839"/>
    <x v="18"/>
    <d v="2026-01-08T00:00:00"/>
    <s v="IA1793"/>
    <s v="Subramanian,Ruthrakkanth"/>
    <n v="104.04412247883027"/>
    <d v="2026-01-08T00:00:00"/>
    <n v="3"/>
    <x v="9"/>
    <s v="Developer"/>
  </r>
  <r>
    <n v="67260"/>
    <x v="2"/>
    <s v="01192795"/>
    <x v="4"/>
    <d v="2025-10-29T00:00:00"/>
    <s v="IA1750"/>
    <s v="Sankarasubbu,RAMANATHAN"/>
    <n v="242.76961911727065"/>
    <d v="2025-10-29T00:00:00"/>
    <n v="7"/>
    <x v="6"/>
    <s v="Developer"/>
  </r>
  <r>
    <n v="67260"/>
    <x v="2"/>
    <s v="01199839"/>
    <x v="18"/>
    <d v="2026-01-08T00:00:00"/>
    <s v="IA1421"/>
    <s v="Jayapal,Muruganandham"/>
    <n v="138.72549663844038"/>
    <d v="2026-01-08T00:00:00"/>
    <n v="4"/>
    <x v="9"/>
    <s v="Engg Manager"/>
  </r>
  <r>
    <n v="67260"/>
    <x v="2"/>
    <s v="01199839"/>
    <x v="18"/>
    <d v="2026-01-08T00:00:00"/>
    <s v="IA1771"/>
    <s v="anandanshanmugam,kamesh"/>
    <n v="277.45099327688075"/>
    <d v="2026-01-08T00:00:00"/>
    <n v="8"/>
    <x v="9"/>
    <s v="Junior"/>
  </r>
  <r>
    <n v="67260"/>
    <x v="2"/>
    <s v="01199839"/>
    <x v="18"/>
    <d v="2026-01-09T00:00:00"/>
    <s v="IA1831"/>
    <s v="Veluru,Preethi"/>
    <n v="208.08824495766055"/>
    <d v="2026-01-09T00:00:00"/>
    <n v="6"/>
    <x v="9"/>
    <s v="Junior"/>
  </r>
  <r>
    <n v="67260"/>
    <x v="2"/>
    <s v="01199839"/>
    <x v="18"/>
    <d v="2026-01-09T00:00:00"/>
    <s v="IA1430"/>
    <s v="Subburajan,Jawahar"/>
    <n v="208.08824495766055"/>
    <d v="2026-01-09T00:00:00"/>
    <n v="6"/>
    <x v="9"/>
    <s v="Lead Developer"/>
  </r>
  <r>
    <n v="67260"/>
    <x v="2"/>
    <s v="01199839"/>
    <x v="18"/>
    <d v="2026-01-09T00:00:00"/>
    <s v="IA1421"/>
    <s v="Jayapal,Muruganandham"/>
    <n v="138.72549663844038"/>
    <d v="2026-01-09T00:00:00"/>
    <n v="4"/>
    <x v="9"/>
    <s v="Engg Manager"/>
  </r>
  <r>
    <n v="67260"/>
    <x v="2"/>
    <s v="01199839"/>
    <x v="18"/>
    <d v="2026-01-09T00:00:00"/>
    <s v="IA1771"/>
    <s v="anandanshanmugam,kamesh"/>
    <n v="277.45099327688075"/>
    <d v="2026-01-09T00:00:00"/>
    <n v="8"/>
    <x v="9"/>
    <s v="Junior"/>
  </r>
  <r>
    <n v="67260"/>
    <x v="2"/>
    <s v="01199839"/>
    <x v="18"/>
    <d v="2026-01-12T00:00:00"/>
    <s v="IA1831"/>
    <s v="Veluru,Preethi"/>
    <n v="208.08824495766055"/>
    <d v="2026-01-12T00:00:00"/>
    <n v="6"/>
    <x v="9"/>
    <s v="Junior"/>
  </r>
  <r>
    <n v="67260"/>
    <x v="2"/>
    <s v="01199839"/>
    <x v="18"/>
    <d v="2026-01-12T00:00:00"/>
    <s v="IA1771"/>
    <s v="anandanshanmugam,kamesh"/>
    <n v="277.45099327688075"/>
    <d v="2026-01-12T00:00:00"/>
    <n v="8"/>
    <x v="9"/>
    <s v="Junior"/>
  </r>
  <r>
    <n v="67260"/>
    <x v="2"/>
    <s v="01199839"/>
    <x v="18"/>
    <d v="2026-01-12T00:00:00"/>
    <s v="IA1430"/>
    <s v="Subburajan,Jawahar"/>
    <n v="242.76961911727065"/>
    <d v="2026-01-12T00:00:00"/>
    <n v="7"/>
    <x v="9"/>
    <s v="Lead Developer"/>
  </r>
  <r>
    <n v="67260"/>
    <x v="2"/>
    <s v="01192795"/>
    <x v="4"/>
    <d v="2025-11-03T00:00:00"/>
    <s v="IA1750"/>
    <s v="Sankarasubbu,RAMANATHAN"/>
    <n v="242.76961911727065"/>
    <d v="2025-11-03T00:00:00"/>
    <n v="7"/>
    <x v="7"/>
    <s v="Developer"/>
  </r>
  <r>
    <n v="67260"/>
    <x v="2"/>
    <s v="01199839"/>
    <x v="18"/>
    <d v="2026-01-12T00:00:00"/>
    <s v="IA1421"/>
    <s v="Jayapal,Muruganandham"/>
    <n v="138.72549663844038"/>
    <d v="2026-01-12T00:00:00"/>
    <n v="4"/>
    <x v="9"/>
    <s v="Engg Manager"/>
  </r>
  <r>
    <n v="67260"/>
    <x v="2"/>
    <s v="01199839"/>
    <x v="18"/>
    <d v="2026-01-13T00:00:00"/>
    <s v="IA1831"/>
    <s v="Veluru,Preethi"/>
    <n v="208.08824495766055"/>
    <d v="2026-01-13T00:00:00"/>
    <n v="6"/>
    <x v="9"/>
    <s v="Junior"/>
  </r>
  <r>
    <n v="67260"/>
    <x v="2"/>
    <s v="01199839"/>
    <x v="18"/>
    <d v="2026-01-13T00:00:00"/>
    <s v="IA1771"/>
    <s v="anandanshanmugam,kamesh"/>
    <n v="277.45099327688075"/>
    <d v="2026-01-13T00:00:00"/>
    <n v="8"/>
    <x v="9"/>
    <s v="Junior"/>
  </r>
  <r>
    <n v="67260"/>
    <x v="2"/>
    <s v="01199839"/>
    <x v="18"/>
    <d v="2026-01-13T00:00:00"/>
    <s v="IA1430"/>
    <s v="Subburajan,Jawahar"/>
    <n v="242.76961911727065"/>
    <d v="2026-01-13T00:00:00"/>
    <n v="7"/>
    <x v="9"/>
    <s v="Lead Developer"/>
  </r>
  <r>
    <n v="67260"/>
    <x v="2"/>
    <s v="01199839"/>
    <x v="18"/>
    <d v="2026-01-13T00:00:00"/>
    <s v="IA1450"/>
    <s v="Selvam,Kadarkarai"/>
    <n v="277.45099327688075"/>
    <d v="2026-01-13T00:00:00"/>
    <n v="8"/>
    <x v="9"/>
    <s v="Lead Developer"/>
  </r>
  <r>
    <n v="67260"/>
    <x v="2"/>
    <s v="01192795"/>
    <x v="4"/>
    <d v="2025-11-03T00:00:00"/>
    <s v="IA1750"/>
    <s v="Sankarasubbu,RAMANATHAN"/>
    <n v="-242.76961911727065"/>
    <d v="2025-11-03T00:00:00"/>
    <n v="-7"/>
    <x v="7"/>
    <s v="Developer"/>
  </r>
  <r>
    <n v="67260"/>
    <x v="2"/>
    <s v="01199839"/>
    <x v="18"/>
    <d v="2026-01-13T00:00:00"/>
    <s v="IA1421"/>
    <s v="Jayapal,Muruganandham"/>
    <n v="138.72549663844038"/>
    <d v="2026-01-13T00:00:00"/>
    <n v="4"/>
    <x v="9"/>
    <s v="Engg Manager"/>
  </r>
  <r>
    <n v="67260"/>
    <x v="2"/>
    <s v="01199839"/>
    <x v="18"/>
    <d v="2026-01-14T00:00:00"/>
    <s v="IA1831"/>
    <s v="Veluru,Preethi"/>
    <n v="208.08824495766055"/>
    <d v="2026-01-14T00:00:00"/>
    <n v="6"/>
    <x v="9"/>
    <s v="Junior"/>
  </r>
  <r>
    <n v="67260"/>
    <x v="2"/>
    <s v="01199839"/>
    <x v="18"/>
    <d v="2026-01-14T00:00:00"/>
    <s v="IA1771"/>
    <s v="anandanshanmugam,kamesh"/>
    <n v="277.45099327688075"/>
    <d v="2026-01-14T00:00:00"/>
    <n v="8"/>
    <x v="9"/>
    <s v="Junior"/>
  </r>
  <r>
    <n v="67260"/>
    <x v="2"/>
    <s v="01199839"/>
    <x v="18"/>
    <d v="2026-01-14T00:00:00"/>
    <s v="IA1690"/>
    <s v="Duraisamy,Manikandaprabu"/>
    <n v="277.45099327688075"/>
    <d v="2026-01-14T00:00:00"/>
    <n v="8"/>
    <x v="9"/>
    <s v="Developer"/>
  </r>
  <r>
    <n v="67260"/>
    <x v="2"/>
    <s v="01199839"/>
    <x v="18"/>
    <d v="2026-01-14T00:00:00"/>
    <s v="IA1430"/>
    <s v="Subburajan,Jawahar"/>
    <n v="242.76961911727065"/>
    <d v="2026-01-14T00:00:00"/>
    <n v="7"/>
    <x v="9"/>
    <s v="Lead Developer"/>
  </r>
  <r>
    <n v="67260"/>
    <x v="2"/>
    <s v="01199839"/>
    <x v="18"/>
    <d v="2026-01-14T00:00:00"/>
    <s v="IA1450"/>
    <s v="Selvam,Kadarkarai"/>
    <n v="277.45099327688075"/>
    <d v="2026-01-14T00:00:00"/>
    <n v="8"/>
    <x v="9"/>
    <s v="Lead Developer"/>
  </r>
  <r>
    <n v="67260"/>
    <x v="2"/>
    <s v="01199839"/>
    <x v="18"/>
    <d v="2026-01-14T00:00:00"/>
    <s v="IA1421"/>
    <s v="Jayapal,Muruganandham"/>
    <n v="138.72549663844038"/>
    <d v="2026-01-14T00:00:00"/>
    <n v="4"/>
    <x v="9"/>
    <s v="Engg Manager"/>
  </r>
  <r>
    <n v="67260"/>
    <x v="2"/>
    <s v="01199839"/>
    <x v="18"/>
    <d v="2026-01-15T00:00:00"/>
    <s v="IA1771"/>
    <s v="anandanshanmugam,kamesh"/>
    <n v="277.45099327688075"/>
    <d v="2026-01-15T00:00:00"/>
    <n v="8"/>
    <x v="9"/>
    <s v="Junior"/>
  </r>
  <r>
    <n v="67260"/>
    <x v="2"/>
    <s v="01199839"/>
    <x v="18"/>
    <d v="2026-01-15T00:00:00"/>
    <s v="IA1421"/>
    <s v="Jayapal,Muruganandham"/>
    <n v="138.72549663844038"/>
    <d v="2026-01-15T00:00:00"/>
    <n v="4"/>
    <x v="9"/>
    <s v="Engg Manager"/>
  </r>
  <r>
    <n v="67260"/>
    <x v="2"/>
    <s v="01199839"/>
    <x v="18"/>
    <d v="2026-01-15T00:00:00"/>
    <s v="IA1771"/>
    <s v="anandanshanmugam,kamesh"/>
    <n v="-277.45099327688075"/>
    <d v="2026-01-15T00:00:00"/>
    <n v="-8"/>
    <x v="9"/>
    <s v="Junior"/>
  </r>
  <r>
    <n v="67260"/>
    <x v="2"/>
    <s v="01199839"/>
    <x v="18"/>
    <d v="2026-01-16T00:00:00"/>
    <s v="IA1831"/>
    <s v="Veluru,Preethi"/>
    <n v="208.08824495766055"/>
    <d v="2026-01-16T00:00:00"/>
    <n v="6"/>
    <x v="9"/>
    <s v="Junior"/>
  </r>
  <r>
    <n v="67260"/>
    <x v="2"/>
    <s v="01199839"/>
    <x v="18"/>
    <d v="2026-01-16T00:00:00"/>
    <s v="IA1771"/>
    <s v="anandanshanmugam,kamesh"/>
    <n v="277.45099327688075"/>
    <d v="2026-01-16T00:00:00"/>
    <n v="8"/>
    <x v="9"/>
    <s v="Junior"/>
  </r>
  <r>
    <n v="67260"/>
    <x v="2"/>
    <s v="01199839"/>
    <x v="18"/>
    <d v="2026-01-16T00:00:00"/>
    <s v="IA1793"/>
    <s v="Subramanian,Ruthrakkanth"/>
    <n v="190.74755787785551"/>
    <d v="2026-01-16T00:00:00"/>
    <n v="5.5"/>
    <x v="9"/>
    <s v="Developer"/>
  </r>
  <r>
    <n v="67260"/>
    <x v="2"/>
    <s v="01192795"/>
    <x v="4"/>
    <d v="2025-11-03T00:00:00"/>
    <s v="IA1750"/>
    <s v="Sankarasubbu,RAMANATHAN"/>
    <n v="312.13236743649082"/>
    <d v="2025-11-03T00:00:00"/>
    <n v="9"/>
    <x v="7"/>
    <s v="Developer"/>
  </r>
  <r>
    <n v="67260"/>
    <x v="2"/>
    <s v="01199839"/>
    <x v="18"/>
    <d v="2026-01-15T00:00:00"/>
    <s v="IA1421"/>
    <s v="Jayapal,Muruganandham"/>
    <n v="-138.72549663844038"/>
    <d v="2026-01-15T00:00:00"/>
    <n v="-4"/>
    <x v="9"/>
    <s v="Engg Manager"/>
  </r>
  <r>
    <n v="67260"/>
    <x v="2"/>
    <s v="01199839"/>
    <x v="18"/>
    <d v="2026-01-19T00:00:00"/>
    <s v="IA1793"/>
    <s v="Subramanian,Ruthrakkanth"/>
    <n v="242.76961911727065"/>
    <d v="2026-01-19T00:00:00"/>
    <n v="7"/>
    <x v="9"/>
    <s v="Developer"/>
  </r>
  <r>
    <n v="67260"/>
    <x v="2"/>
    <s v="01199839"/>
    <x v="18"/>
    <d v="2026-01-19T00:00:00"/>
    <s v="IA1771"/>
    <s v="anandanshanmugam,kamesh"/>
    <n v="277.45099327688075"/>
    <d v="2026-01-19T00:00:00"/>
    <n v="8"/>
    <x v="9"/>
    <s v="Junior"/>
  </r>
  <r>
    <n v="67260"/>
    <x v="2"/>
    <s v="01199839"/>
    <x v="18"/>
    <d v="2026-01-20T00:00:00"/>
    <s v="IA1771"/>
    <s v="anandanshanmugam,kamesh"/>
    <n v="277.45099327688075"/>
    <d v="2026-01-20T00:00:00"/>
    <n v="8"/>
    <x v="9"/>
    <s v="Junior"/>
  </r>
  <r>
    <n v="67260"/>
    <x v="2"/>
    <s v="01199839"/>
    <x v="18"/>
    <d v="2026-01-20T00:00:00"/>
    <s v="IA1765"/>
    <s v="Kumar,Saravana"/>
    <n v="242.76961911727065"/>
    <d v="2026-01-20T00:00:00"/>
    <n v="7"/>
    <x v="9"/>
    <s v="Developer"/>
  </r>
  <r>
    <n v="67260"/>
    <x v="2"/>
    <s v="01199839"/>
    <x v="18"/>
    <d v="2026-01-20T00:00:00"/>
    <s v="IA1793"/>
    <s v="Subramanian,Ruthrakkanth"/>
    <n v="242.76961911727065"/>
    <d v="2026-01-20T00:00:00"/>
    <n v="7"/>
    <x v="9"/>
    <s v="Developer"/>
  </r>
  <r>
    <n v="67260"/>
    <x v="2"/>
    <s v="01192795"/>
    <x v="4"/>
    <d v="2025-11-04T00:00:00"/>
    <s v="IA1750"/>
    <s v="Sankarasubbu,RAMANATHAN"/>
    <n v="242.76961911727065"/>
    <d v="2025-11-04T00:00:00"/>
    <n v="7"/>
    <x v="7"/>
    <s v="Developer"/>
  </r>
  <r>
    <n v="67260"/>
    <x v="2"/>
    <s v="01199839"/>
    <x v="18"/>
    <d v="2026-01-21T00:00:00"/>
    <s v="IA1831"/>
    <s v="Veluru,Preethi"/>
    <n v="104.04412247883027"/>
    <d v="2026-01-21T00:00:00"/>
    <n v="3"/>
    <x v="9"/>
    <s v="Junior"/>
  </r>
  <r>
    <n v="67260"/>
    <x v="2"/>
    <s v="01199839"/>
    <x v="18"/>
    <d v="2026-01-21T00:00:00"/>
    <s v="IA1771"/>
    <s v="anandanshanmugam,kamesh"/>
    <n v="277.45099327688075"/>
    <d v="2026-01-21T00:00:00"/>
    <n v="8"/>
    <x v="9"/>
    <s v="Junior"/>
  </r>
  <r>
    <n v="67260"/>
    <x v="2"/>
    <s v="01199839"/>
    <x v="18"/>
    <d v="2026-01-21T00:00:00"/>
    <s v="IA1421"/>
    <s v="Jayapal,Muruganandham"/>
    <n v="138.72549663844038"/>
    <d v="2026-01-21T00:00:00"/>
    <n v="4"/>
    <x v="9"/>
    <s v="Engg Manager"/>
  </r>
  <r>
    <n v="67260"/>
    <x v="2"/>
    <s v="01199839"/>
    <x v="18"/>
    <d v="2026-01-21T00:00:00"/>
    <s v="IA1690"/>
    <s v="Duraisamy,Manikandaprabu"/>
    <n v="69.362748319220188"/>
    <d v="2026-01-21T00:00:00"/>
    <n v="2"/>
    <x v="9"/>
    <s v="Developer"/>
  </r>
  <r>
    <n v="67260"/>
    <x v="2"/>
    <s v="01199839"/>
    <x v="18"/>
    <d v="2026-01-22T00:00:00"/>
    <s v="IA1831"/>
    <s v="Veluru,Preethi"/>
    <n v="104.04412247883027"/>
    <d v="2026-01-22T00:00:00"/>
    <n v="3"/>
    <x v="9"/>
    <s v="Junior"/>
  </r>
  <r>
    <n v="67260"/>
    <x v="2"/>
    <s v="01199839"/>
    <x v="18"/>
    <d v="2026-01-22T00:00:00"/>
    <s v="IA1771"/>
    <s v="anandanshanmugam,kamesh"/>
    <n v="277.45099327688075"/>
    <d v="2026-01-22T00:00:00"/>
    <n v="8"/>
    <x v="9"/>
    <s v="Junior"/>
  </r>
  <r>
    <n v="67260"/>
    <x v="2"/>
    <s v="01199839"/>
    <x v="18"/>
    <d v="2026-01-22T00:00:00"/>
    <s v="IA1421"/>
    <s v="Jayapal,Muruganandham"/>
    <n v="138.72549663844038"/>
    <d v="2026-01-22T00:00:00"/>
    <n v="4"/>
    <x v="9"/>
    <s v="Engg Manager"/>
  </r>
  <r>
    <n v="67260"/>
    <x v="2"/>
    <s v="01199839"/>
    <x v="18"/>
    <d v="2026-01-22T00:00:00"/>
    <s v="IA1690"/>
    <s v="Duraisamy,Manikandaprabu"/>
    <n v="242.76961911727065"/>
    <d v="2026-01-22T00:00:00"/>
    <n v="7"/>
    <x v="9"/>
    <s v="Developer"/>
  </r>
  <r>
    <n v="67260"/>
    <x v="2"/>
    <s v="01199839"/>
    <x v="18"/>
    <d v="2026-01-22T00:00:00"/>
    <s v="IA1793"/>
    <s v="Subramanian,Ruthrakkanth"/>
    <n v="242.76961911727065"/>
    <d v="2026-01-22T00:00:00"/>
    <n v="7"/>
    <x v="9"/>
    <s v="Developer"/>
  </r>
  <r>
    <n v="67260"/>
    <x v="2"/>
    <s v="01192795"/>
    <x v="4"/>
    <d v="2025-11-04T00:00:00"/>
    <s v="IA1750"/>
    <s v="Sankarasubbu,RAMANATHAN"/>
    <n v="-242.76961911727065"/>
    <d v="2025-11-04T00:00:00"/>
    <n v="-7"/>
    <x v="7"/>
    <s v="Developer"/>
  </r>
  <r>
    <n v="67260"/>
    <x v="2"/>
    <s v="01199839"/>
    <x v="18"/>
    <d v="2026-01-23T00:00:00"/>
    <s v="IA1771"/>
    <s v="anandanshanmugam,kamesh"/>
    <n v="277.45099327688075"/>
    <d v="2026-01-23T00:00:00"/>
    <n v="8"/>
    <x v="9"/>
    <s v="Junior"/>
  </r>
  <r>
    <n v="67260"/>
    <x v="2"/>
    <s v="01199839"/>
    <x v="18"/>
    <d v="2026-01-23T00:00:00"/>
    <s v="IA1421"/>
    <s v="Jayapal,Muruganandham"/>
    <n v="138.72549663844038"/>
    <d v="2026-01-23T00:00:00"/>
    <n v="4"/>
    <x v="9"/>
    <s v="Engg Manager"/>
  </r>
  <r>
    <n v="67260"/>
    <x v="2"/>
    <s v="01199839"/>
    <x v="18"/>
    <d v="2026-01-23T00:00:00"/>
    <s v="IA1690"/>
    <s v="Duraisamy,Manikandaprabu"/>
    <n v="34.681374159610094"/>
    <d v="2026-01-23T00:00:00"/>
    <n v="1"/>
    <x v="9"/>
    <s v="Developer"/>
  </r>
  <r>
    <n v="67260"/>
    <x v="2"/>
    <s v="01199839"/>
    <x v="18"/>
    <d v="2026-01-23T00:00:00"/>
    <s v="IA1793"/>
    <s v="Subramanian,Ruthrakkanth"/>
    <n v="242.76961911727065"/>
    <d v="2026-01-23T00:00:00"/>
    <n v="7"/>
    <x v="9"/>
    <s v="Developer"/>
  </r>
  <r>
    <n v="67260"/>
    <x v="2"/>
    <s v="01192795"/>
    <x v="4"/>
    <d v="2025-11-04T00:00:00"/>
    <s v="IA1750"/>
    <s v="Sankarasubbu,RAMANATHAN"/>
    <n v="312.13236743649082"/>
    <d v="2025-11-04T00:00:00"/>
    <n v="9"/>
    <x v="7"/>
    <s v="Developer"/>
  </r>
  <r>
    <n v="67260"/>
    <x v="2"/>
    <s v="01199839"/>
    <x v="18"/>
    <d v="2026-01-23T00:00:00"/>
    <s v="IA1450"/>
    <s v="Selvam,Kadarkarai"/>
    <n v="208.08824495766055"/>
    <d v="2026-01-23T00:00:00"/>
    <n v="6"/>
    <x v="9"/>
    <s v="Lead Developer"/>
  </r>
  <r>
    <n v="67260"/>
    <x v="2"/>
    <s v="01199839"/>
    <x v="18"/>
    <d v="2026-01-24T00:00:00"/>
    <s v="IA1793"/>
    <s v="Subramanian,Ruthrakkanth"/>
    <n v="86.703435399025238"/>
    <d v="2026-01-24T00:00:00"/>
    <n v="2.5"/>
    <x v="9"/>
    <s v="Developer"/>
  </r>
  <r>
    <n v="67260"/>
    <x v="2"/>
    <s v="01199839"/>
    <x v="18"/>
    <d v="2026-01-25T00:00:00"/>
    <s v="IA1771"/>
    <s v="anandanshanmugam,kamesh"/>
    <n v="138.72549663844038"/>
    <d v="2026-01-25T00:00:00"/>
    <n v="4"/>
    <x v="9"/>
    <s v="Junior"/>
  </r>
  <r>
    <n v="67260"/>
    <x v="2"/>
    <s v="01199839"/>
    <x v="18"/>
    <d v="2026-01-27T00:00:00"/>
    <s v="IA1450"/>
    <s v="Selvam,Kadarkarai"/>
    <n v="104.04412247883027"/>
    <d v="2026-01-27T00:00:00"/>
    <n v="3"/>
    <x v="9"/>
    <s v="Lead Developer"/>
  </r>
  <r>
    <n v="67260"/>
    <x v="2"/>
    <s v="01199839"/>
    <x v="18"/>
    <d v="2026-01-27T00:00:00"/>
    <s v="IA1771"/>
    <s v="anandanshanmugam,kamesh"/>
    <n v="242.76961911727065"/>
    <d v="2026-01-27T00:00:00"/>
    <n v="7"/>
    <x v="9"/>
    <s v="Junior"/>
  </r>
  <r>
    <n v="67260"/>
    <x v="2"/>
    <s v="01199839"/>
    <x v="18"/>
    <d v="2026-01-27T00:00:00"/>
    <s v="IA1793"/>
    <s v="Subramanian,Ruthrakkanth"/>
    <n v="242.76961911727065"/>
    <d v="2026-01-27T00:00:00"/>
    <n v="7"/>
    <x v="9"/>
    <s v="Developer"/>
  </r>
  <r>
    <n v="67260"/>
    <x v="2"/>
    <s v="01199839"/>
    <x v="18"/>
    <d v="2026-01-28T00:00:00"/>
    <s v="IA1642"/>
    <s v="GOVINDHASAMY,RUBENDRAN"/>
    <n v="138.72549663844038"/>
    <d v="2026-01-28T00:00:00"/>
    <n v="4"/>
    <x v="9"/>
    <s v="Developer"/>
  </r>
  <r>
    <n v="67260"/>
    <x v="2"/>
    <s v="01192795"/>
    <x v="4"/>
    <d v="2025-11-05T00:00:00"/>
    <s v="IA1750"/>
    <s v="Sankarasubbu,RAMANATHAN"/>
    <n v="242.76961911727065"/>
    <d v="2025-11-05T00:00:00"/>
    <n v="7"/>
    <x v="7"/>
    <s v="Developer"/>
  </r>
  <r>
    <n v="67260"/>
    <x v="2"/>
    <s v="01199839"/>
    <x v="18"/>
    <d v="2026-01-28T00:00:00"/>
    <s v="IA1771"/>
    <s v="anandanshanmugam,kamesh"/>
    <n v="242.76961911727065"/>
    <d v="2026-01-28T00:00:00"/>
    <n v="7"/>
    <x v="9"/>
    <s v="Junior"/>
  </r>
  <r>
    <n v="67260"/>
    <x v="2"/>
    <s v="01199839"/>
    <x v="18"/>
    <d v="2026-01-28T00:00:00"/>
    <s v="IA1793"/>
    <s v="Subramanian,Ruthrakkanth"/>
    <n v="242.76961911727065"/>
    <d v="2026-01-28T00:00:00"/>
    <n v="7"/>
    <x v="9"/>
    <s v="Developer"/>
  </r>
  <r>
    <n v="67260"/>
    <x v="2"/>
    <s v="01199839"/>
    <x v="18"/>
    <d v="2026-01-28T00:00:00"/>
    <s v="IA1421"/>
    <s v="Jayapal,Muruganandham"/>
    <n v="208.08824495766055"/>
    <d v="2026-01-28T00:00:00"/>
    <n v="6"/>
    <x v="9"/>
    <s v="Engg Manager"/>
  </r>
  <r>
    <n v="67260"/>
    <x v="2"/>
    <s v="01199839"/>
    <x v="18"/>
    <d v="2026-01-29T00:00:00"/>
    <s v="IA1642"/>
    <s v="GOVINDHASAMY,RUBENDRAN"/>
    <n v="277.45099327688075"/>
    <d v="2026-01-29T00:00:00"/>
    <n v="8"/>
    <x v="9"/>
    <s v="Developer"/>
  </r>
  <r>
    <n v="67260"/>
    <x v="2"/>
    <s v="01192795"/>
    <x v="4"/>
    <d v="2025-11-05T00:00:00"/>
    <s v="IA1750"/>
    <s v="Sankarasubbu,RAMANATHAN"/>
    <n v="-242.76961911727065"/>
    <d v="2025-11-05T00:00:00"/>
    <n v="-7"/>
    <x v="7"/>
    <s v="Developer"/>
  </r>
  <r>
    <n v="67260"/>
    <x v="2"/>
    <s v="01199839"/>
    <x v="18"/>
    <d v="2026-01-29T00:00:00"/>
    <s v="IA1771"/>
    <s v="anandanshanmugam,kamesh"/>
    <n v="242.76961911727065"/>
    <d v="2026-01-29T00:00:00"/>
    <n v="7"/>
    <x v="9"/>
    <s v="Junior"/>
  </r>
  <r>
    <n v="67260"/>
    <x v="2"/>
    <s v="01199839"/>
    <x v="18"/>
    <d v="2026-01-29T00:00:00"/>
    <s v="IA1793"/>
    <s v="Subramanian,Ruthrakkanth"/>
    <n v="242.76961911727065"/>
    <d v="2026-01-29T00:00:00"/>
    <n v="7"/>
    <x v="9"/>
    <s v="Developer"/>
  </r>
  <r>
    <n v="67260"/>
    <x v="2"/>
    <s v="01199839"/>
    <x v="18"/>
    <d v="2026-01-29T00:00:00"/>
    <s v="IA1421"/>
    <s v="Jayapal,Muruganandham"/>
    <n v="208.08824495766055"/>
    <d v="2026-01-29T00:00:00"/>
    <n v="6"/>
    <x v="9"/>
    <s v="Engg Manager"/>
  </r>
  <r>
    <n v="67260"/>
    <x v="2"/>
    <s v="01199839"/>
    <x v="18"/>
    <d v="2026-01-30T00:00:00"/>
    <s v="IA1450"/>
    <s v="Selvam,Kadarkarai"/>
    <n v="242.76961911727065"/>
    <d v="2026-01-30T00:00:00"/>
    <n v="7"/>
    <x v="9"/>
    <s v="Lead Developer"/>
  </r>
  <r>
    <n v="67260"/>
    <x v="2"/>
    <s v="01199839"/>
    <x v="18"/>
    <d v="2026-01-30T00:00:00"/>
    <s v="IA1642"/>
    <s v="GOVINDHASAMY,RUBENDRAN"/>
    <n v="277.45099327688075"/>
    <d v="2026-01-30T00:00:00"/>
    <n v="8"/>
    <x v="9"/>
    <s v="Developer"/>
  </r>
  <r>
    <n v="67260"/>
    <x v="2"/>
    <s v="01199839"/>
    <x v="18"/>
    <d v="2026-01-30T00:00:00"/>
    <s v="IA1771"/>
    <s v="anandanshanmugam,kamesh"/>
    <n v="242.76961911727065"/>
    <d v="2026-01-30T00:00:00"/>
    <n v="7"/>
    <x v="9"/>
    <s v="Junior"/>
  </r>
  <r>
    <n v="67260"/>
    <x v="2"/>
    <s v="01199839"/>
    <x v="18"/>
    <d v="2026-01-30T00:00:00"/>
    <s v="IA1793"/>
    <s v="Subramanian,Ruthrakkanth"/>
    <n v="242.76961911727065"/>
    <d v="2026-01-30T00:00:00"/>
    <n v="7"/>
    <x v="9"/>
    <s v="Developer"/>
  </r>
  <r>
    <n v="67260"/>
    <x v="2"/>
    <s v="01199839"/>
    <x v="18"/>
    <d v="2026-01-30T00:00:00"/>
    <s v="IA1831"/>
    <s v="Veluru,Preethi"/>
    <n v="277.45099327688075"/>
    <d v="2026-01-30T00:00:00"/>
    <n v="8"/>
    <x v="9"/>
    <s v="Junior"/>
  </r>
  <r>
    <n v="67260"/>
    <x v="2"/>
    <s v="01199839"/>
    <x v="18"/>
    <d v="2026-01-30T00:00:00"/>
    <s v="IA1421"/>
    <s v="Jayapal,Muruganandham"/>
    <n v="208.08824495766055"/>
    <d v="2026-01-30T00:00:00"/>
    <n v="6"/>
    <x v="9"/>
    <s v="Engg Manager"/>
  </r>
  <r>
    <n v="67260"/>
    <x v="2"/>
    <s v="01199839"/>
    <x v="18"/>
    <d v="2026-02-02T00:00:00"/>
    <s v="IA1771"/>
    <s v="anandanshanmugam,kamesh"/>
    <n v="242.76961911727065"/>
    <d v="2026-02-02T00:00:00"/>
    <n v="7"/>
    <x v="0"/>
    <s v="Junior"/>
  </r>
  <r>
    <n v="67260"/>
    <x v="2"/>
    <s v="01199839"/>
    <x v="18"/>
    <d v="2026-02-02T00:00:00"/>
    <s v="IA1793"/>
    <s v="Subramanian,Ruthrakkanth"/>
    <n v="242.76961911727065"/>
    <d v="2026-02-02T00:00:00"/>
    <n v="7"/>
    <x v="0"/>
    <s v="Developer"/>
  </r>
  <r>
    <n v="67260"/>
    <x v="2"/>
    <s v="01199839"/>
    <x v="18"/>
    <d v="2026-02-02T00:00:00"/>
    <s v="IA1421"/>
    <s v="Jayapal,Muruganandham"/>
    <n v="208.08824495766055"/>
    <d v="2026-02-02T00:00:00"/>
    <n v="6"/>
    <x v="0"/>
    <s v="Engg Manager"/>
  </r>
  <r>
    <n v="67260"/>
    <x v="2"/>
    <s v="01199839"/>
    <x v="18"/>
    <d v="2026-02-03T00:00:00"/>
    <s v="IA1771"/>
    <s v="anandanshanmugam,kamesh"/>
    <n v="242.76961911727065"/>
    <d v="2026-02-03T00:00:00"/>
    <n v="7"/>
    <x v="0"/>
    <s v="Junior"/>
  </r>
  <r>
    <n v="67260"/>
    <x v="2"/>
    <s v="01199839"/>
    <x v="18"/>
    <d v="2026-02-03T00:00:00"/>
    <s v="IA1450"/>
    <s v="Selvam,Kadarkarai"/>
    <n v="34.681374159610094"/>
    <d v="2026-02-03T00:00:00"/>
    <n v="1"/>
    <x v="0"/>
    <s v="Lead Developer"/>
  </r>
  <r>
    <n v="67260"/>
    <x v="2"/>
    <s v="01199839"/>
    <x v="18"/>
    <d v="2026-02-03T00:00:00"/>
    <s v="IA1793"/>
    <s v="Subramanian,Ruthrakkanth"/>
    <n v="242.76961911727065"/>
    <d v="2026-02-03T00:00:00"/>
    <n v="7"/>
    <x v="0"/>
    <s v="Developer"/>
  </r>
  <r>
    <n v="67260"/>
    <x v="2"/>
    <s v="01199839"/>
    <x v="18"/>
    <d v="2026-02-03T00:00:00"/>
    <s v="IA1421"/>
    <s v="Jayapal,Muruganandham"/>
    <n v="208.08824495766055"/>
    <d v="2026-02-03T00:00:00"/>
    <n v="6"/>
    <x v="0"/>
    <s v="Engg Manager"/>
  </r>
  <r>
    <n v="67260"/>
    <x v="2"/>
    <s v="01199839"/>
    <x v="18"/>
    <d v="2026-02-04T00:00:00"/>
    <s v="IA1771"/>
    <s v="anandanshanmugam,kamesh"/>
    <n v="242.76961911727065"/>
    <d v="2026-02-04T00:00:00"/>
    <n v="7"/>
    <x v="0"/>
    <s v="Junior"/>
  </r>
  <r>
    <n v="67260"/>
    <x v="2"/>
    <s v="01199839"/>
    <x v="18"/>
    <d v="2026-02-04T00:00:00"/>
    <s v="IA1450"/>
    <s v="Selvam,Kadarkarai"/>
    <n v="242.76961911727065"/>
    <d v="2026-02-04T00:00:00"/>
    <n v="7"/>
    <x v="0"/>
    <s v="Lead Developer"/>
  </r>
  <r>
    <n v="67260"/>
    <x v="2"/>
    <s v="01199839"/>
    <x v="18"/>
    <d v="2026-02-04T00:00:00"/>
    <s v="IA1793"/>
    <s v="Subramanian,Ruthrakkanth"/>
    <n v="242.76961911727065"/>
    <d v="2026-02-04T00:00:00"/>
    <n v="7"/>
    <x v="0"/>
    <s v="Developer"/>
  </r>
  <r>
    <n v="67260"/>
    <x v="2"/>
    <s v="01199839"/>
    <x v="18"/>
    <d v="2026-02-04T00:00:00"/>
    <s v="IA1421"/>
    <s v="Jayapal,Muruganandham"/>
    <n v="208.08824495766055"/>
    <d v="2026-02-04T00:00:00"/>
    <n v="6"/>
    <x v="0"/>
    <s v="Engg Manager"/>
  </r>
  <r>
    <n v="67260"/>
    <x v="2"/>
    <s v="01199839"/>
    <x v="18"/>
    <d v="2026-02-05T00:00:00"/>
    <s v="IA1771"/>
    <s v="anandanshanmugam,kamesh"/>
    <n v="242.76961911727065"/>
    <d v="2026-02-05T00:00:00"/>
    <n v="7"/>
    <x v="0"/>
    <s v="Junior"/>
  </r>
  <r>
    <n v="67260"/>
    <x v="2"/>
    <s v="01199839"/>
    <x v="18"/>
    <d v="2026-02-05T00:00:00"/>
    <s v="IA1450"/>
    <s v="Selvam,Kadarkarai"/>
    <n v="208.08824495766055"/>
    <d v="2026-02-05T00:00:00"/>
    <n v="6"/>
    <x v="0"/>
    <s v="Lead Developer"/>
  </r>
  <r>
    <n v="67260"/>
    <x v="2"/>
    <s v="01199839"/>
    <x v="18"/>
    <d v="2026-02-05T00:00:00"/>
    <s v="IA1793"/>
    <s v="Subramanian,Ruthrakkanth"/>
    <n v="242.76961911727065"/>
    <d v="2026-02-05T00:00:00"/>
    <n v="7"/>
    <x v="0"/>
    <s v="Developer"/>
  </r>
  <r>
    <n v="67260"/>
    <x v="2"/>
    <s v="01199839"/>
    <x v="18"/>
    <d v="2026-02-05T00:00:00"/>
    <s v="IA1421"/>
    <s v="Jayapal,Muruganandham"/>
    <n v="208.08824495766055"/>
    <d v="2026-02-05T00:00:00"/>
    <n v="6"/>
    <x v="0"/>
    <s v="Engg Manager"/>
  </r>
  <r>
    <n v="67260"/>
    <x v="2"/>
    <s v="01199839"/>
    <x v="18"/>
    <d v="2026-02-06T00:00:00"/>
    <s v="IA1771"/>
    <s v="anandanshanmugam,kamesh"/>
    <n v="242.76961911727065"/>
    <d v="2026-02-06T00:00:00"/>
    <n v="7"/>
    <x v="0"/>
    <s v="Junior"/>
  </r>
  <r>
    <n v="67260"/>
    <x v="2"/>
    <s v="01199839"/>
    <x v="18"/>
    <d v="2026-02-06T00:00:00"/>
    <s v="IA1450"/>
    <s v="Selvam,Kadarkarai"/>
    <n v="138.72549663844038"/>
    <d v="2026-02-06T00:00:00"/>
    <n v="4"/>
    <x v="0"/>
    <s v="Lead Developer"/>
  </r>
  <r>
    <n v="67260"/>
    <x v="2"/>
    <s v="01199839"/>
    <x v="18"/>
    <d v="2026-02-06T00:00:00"/>
    <s v="IA1793"/>
    <s v="Subramanian,Ruthrakkanth"/>
    <n v="242.76961911727065"/>
    <d v="2026-02-06T00:00:00"/>
    <n v="7"/>
    <x v="0"/>
    <s v="Developer"/>
  </r>
  <r>
    <n v="67260"/>
    <x v="2"/>
    <s v="01199839"/>
    <x v="18"/>
    <d v="2026-02-06T00:00:00"/>
    <s v="IA1421"/>
    <s v="Jayapal,Muruganandham"/>
    <n v="208.08824495766055"/>
    <d v="2026-02-06T00:00:00"/>
    <n v="6"/>
    <x v="0"/>
    <s v="Engg Manager"/>
  </r>
  <r>
    <n v="67260"/>
    <x v="2"/>
    <s v="01199839"/>
    <x v="18"/>
    <d v="2026-02-09T00:00:00"/>
    <s v="IA1793"/>
    <s v="Subramanian,Ruthrakkanth"/>
    <n v="242.76961911727065"/>
    <d v="2026-02-09T00:00:00"/>
    <n v="7"/>
    <x v="0"/>
    <s v="Developer"/>
  </r>
  <r>
    <n v="67260"/>
    <x v="2"/>
    <s v="01199839"/>
    <x v="18"/>
    <d v="2026-02-09T00:00:00"/>
    <s v="IA1450"/>
    <s v="Selvam,Kadarkarai"/>
    <n v="242.76961911727065"/>
    <d v="2026-02-09T00:00:00"/>
    <n v="7"/>
    <x v="0"/>
    <s v="Lead Developer"/>
  </r>
  <r>
    <n v="67260"/>
    <x v="2"/>
    <s v="01199839"/>
    <x v="18"/>
    <d v="2026-02-09T00:00:00"/>
    <s v="IA1430"/>
    <s v="Subburajan,Jawahar"/>
    <n v="242.76961911727065"/>
    <d v="2026-02-09T00:00:00"/>
    <n v="7"/>
    <x v="0"/>
    <s v="Lead Developer"/>
  </r>
  <r>
    <n v="67260"/>
    <x v="2"/>
    <s v="01199839"/>
    <x v="18"/>
    <d v="2026-02-10T00:00:00"/>
    <s v="IA1771"/>
    <s v="anandanshanmugam,kamesh"/>
    <n v="242.76961911727065"/>
    <d v="2026-02-10T00:00:00"/>
    <n v="7"/>
    <x v="0"/>
    <s v="Junior"/>
  </r>
  <r>
    <n v="67260"/>
    <x v="2"/>
    <s v="01199839"/>
    <x v="18"/>
    <d v="2026-02-10T00:00:00"/>
    <s v="IA1793"/>
    <s v="Subramanian,Ruthrakkanth"/>
    <n v="242.76961911727065"/>
    <d v="2026-02-10T00:00:00"/>
    <n v="7"/>
    <x v="0"/>
    <s v="Developer"/>
  </r>
  <r>
    <n v="67260"/>
    <x v="2"/>
    <s v="01199839"/>
    <x v="18"/>
    <d v="2026-02-10T00:00:00"/>
    <s v="IA1450"/>
    <s v="Selvam,Kadarkarai"/>
    <n v="242.76961911727065"/>
    <d v="2026-02-10T00:00:00"/>
    <n v="7"/>
    <x v="0"/>
    <s v="Lead Developer"/>
  </r>
  <r>
    <n v="67260"/>
    <x v="2"/>
    <s v="01199839"/>
    <x v="18"/>
    <d v="2026-02-11T00:00:00"/>
    <s v="IA1771"/>
    <s v="anandanshanmugam,kamesh"/>
    <n v="242.76961911727065"/>
    <d v="2026-02-11T00:00:00"/>
    <n v="7"/>
    <x v="0"/>
    <s v="Junior"/>
  </r>
  <r>
    <n v="67260"/>
    <x v="2"/>
    <s v="01199839"/>
    <x v="18"/>
    <d v="2026-02-11T00:00:00"/>
    <s v="IA1793"/>
    <s v="Subramanian,Ruthrakkanth"/>
    <n v="242.76961911727065"/>
    <d v="2026-02-11T00:00:00"/>
    <n v="7"/>
    <x v="0"/>
    <s v="Developer"/>
  </r>
  <r>
    <n v="67260"/>
    <x v="2"/>
    <s v="01199839"/>
    <x v="18"/>
    <d v="2026-02-12T00:00:00"/>
    <s v="IA1831"/>
    <s v="Veluru,Preethi"/>
    <n v="138.72549663844038"/>
    <d v="2026-02-12T00:00:00"/>
    <n v="4"/>
    <x v="0"/>
    <s v="Junior"/>
  </r>
  <r>
    <n v="67260"/>
    <x v="2"/>
    <s v="01199839"/>
    <x v="18"/>
    <d v="2026-02-12T00:00:00"/>
    <s v="IA1771"/>
    <s v="anandanshanmugam,kamesh"/>
    <n v="242.76961911727065"/>
    <d v="2026-02-12T00:00:00"/>
    <n v="7"/>
    <x v="0"/>
    <s v="Junior"/>
  </r>
  <r>
    <n v="67260"/>
    <x v="2"/>
    <s v="01199839"/>
    <x v="18"/>
    <d v="2026-02-12T00:00:00"/>
    <s v="IA1793"/>
    <s v="Subramanian,Ruthrakkanth"/>
    <n v="242.76961911727065"/>
    <d v="2026-02-12T00:00:00"/>
    <n v="7"/>
    <x v="0"/>
    <s v="Developer"/>
  </r>
  <r>
    <n v="67260"/>
    <x v="2"/>
    <s v="01199839"/>
    <x v="18"/>
    <d v="2026-02-13T00:00:00"/>
    <s v="IA1771"/>
    <s v="anandanshanmugam,kamesh"/>
    <n v="242.76961911727065"/>
    <d v="2026-02-13T00:00:00"/>
    <n v="7"/>
    <x v="0"/>
    <s v="Junior"/>
  </r>
  <r>
    <n v="67260"/>
    <x v="2"/>
    <s v="01192795"/>
    <x v="4"/>
    <d v="2025-11-05T00:00:00"/>
    <s v="IA1750"/>
    <s v="Sankarasubbu,RAMANATHAN"/>
    <n v="312.13236743649082"/>
    <d v="2025-11-05T00:00:00"/>
    <n v="9"/>
    <x v="7"/>
    <s v="Developer"/>
  </r>
  <r>
    <n v="67260"/>
    <x v="2"/>
    <s v="01199839"/>
    <x v="18"/>
    <d v="2026-02-16T00:00:00"/>
    <s v="IA1430"/>
    <s v="Subburajan,Jawahar"/>
    <n v="277.45099327688075"/>
    <d v="2026-02-16T00:00:00"/>
    <n v="8"/>
    <x v="0"/>
    <s v="Lead Developer"/>
  </r>
  <r>
    <n v="67260"/>
    <x v="2"/>
    <s v="01199839"/>
    <x v="18"/>
    <d v="2026-02-16T00:00:00"/>
    <s v="IA1421"/>
    <s v="Jayapal,Muruganandham"/>
    <n v="138.72549663844038"/>
    <d v="2026-02-16T00:00:00"/>
    <n v="4"/>
    <x v="0"/>
    <s v="Engg Manager"/>
  </r>
  <r>
    <n v="67260"/>
    <x v="2"/>
    <s v="01199839"/>
    <x v="18"/>
    <d v="2026-02-17T00:00:00"/>
    <s v="IA1430"/>
    <s v="Subburajan,Jawahar"/>
    <n v="277.45099327688075"/>
    <d v="2026-02-17T00:00:00"/>
    <n v="8"/>
    <x v="0"/>
    <s v="Lead Developer"/>
  </r>
  <r>
    <n v="67260"/>
    <x v="2"/>
    <s v="01199839"/>
    <x v="18"/>
    <d v="2026-02-17T00:00:00"/>
    <s v="IA1421"/>
    <s v="Jayapal,Muruganandham"/>
    <n v="138.72549663844038"/>
    <d v="2026-02-17T00:00:00"/>
    <n v="4"/>
    <x v="0"/>
    <s v="Engg Manager"/>
  </r>
  <r>
    <n v="67260"/>
    <x v="2"/>
    <s v="01199839"/>
    <x v="18"/>
    <d v="2026-02-18T00:00:00"/>
    <s v="IA1430"/>
    <s v="Subburajan,Jawahar"/>
    <n v="277.45099327688075"/>
    <d v="2026-02-18T00:00:00"/>
    <n v="8"/>
    <x v="0"/>
    <s v="Lead Developer"/>
  </r>
  <r>
    <n v="67260"/>
    <x v="2"/>
    <s v="01199839"/>
    <x v="18"/>
    <d v="2026-02-18T00:00:00"/>
    <s v="IA1421"/>
    <s v="Jayapal,Muruganandham"/>
    <n v="138.72549663844038"/>
    <d v="2026-02-18T00:00:00"/>
    <n v="4"/>
    <x v="0"/>
    <s v="Engg Manager"/>
  </r>
  <r>
    <n v="67260"/>
    <x v="2"/>
    <s v="01192795"/>
    <x v="4"/>
    <d v="2025-11-06T00:00:00"/>
    <s v="IA1750"/>
    <s v="Sankarasubbu,RAMANATHAN"/>
    <n v="242.76961911727065"/>
    <d v="2025-11-06T00:00:00"/>
    <n v="7"/>
    <x v="7"/>
    <s v="Developer"/>
  </r>
  <r>
    <n v="67260"/>
    <x v="2"/>
    <s v="01199839"/>
    <x v="18"/>
    <d v="2026-02-19T00:00:00"/>
    <s v="IA1430"/>
    <s v="Subburajan,Jawahar"/>
    <n v="277.45099327688075"/>
    <d v="2026-02-19T00:00:00"/>
    <n v="8"/>
    <x v="0"/>
    <s v="Lead Developer"/>
  </r>
  <r>
    <n v="67260"/>
    <x v="2"/>
    <s v="01199839"/>
    <x v="18"/>
    <d v="2026-02-19T00:00:00"/>
    <s v="IA1421"/>
    <s v="Jayapal,Muruganandham"/>
    <n v="138.72549663844038"/>
    <d v="2026-02-19T00:00:00"/>
    <n v="4"/>
    <x v="0"/>
    <s v="Engg Manager"/>
  </r>
  <r>
    <n v="67260"/>
    <x v="2"/>
    <s v="01199839"/>
    <x v="18"/>
    <d v="2026-02-25T00:00:00"/>
    <s v="IA1793"/>
    <s v="Subramanian,Ruthrakkanth"/>
    <n v="104.04412247883027"/>
    <d v="2026-02-25T00:00:00"/>
    <n v="3"/>
    <x v="0"/>
    <s v="Developer"/>
  </r>
  <r>
    <n v="67260"/>
    <x v="2"/>
    <s v="01199839"/>
    <x v="18"/>
    <d v="2026-02-26T00:00:00"/>
    <s v="IA1793"/>
    <s v="Subramanian,Ruthrakkanth"/>
    <n v="242.76961911727065"/>
    <d v="2026-02-26T00:00:00"/>
    <n v="7"/>
    <x v="0"/>
    <s v="Developer"/>
  </r>
  <r>
    <n v="67260"/>
    <x v="2"/>
    <s v="01199839"/>
    <x v="18"/>
    <d v="2026-02-27T00:00:00"/>
    <s v="IA1793"/>
    <s v="Subramanian,Ruthrakkanth"/>
    <n v="242.76961911727065"/>
    <d v="2026-02-27T00:00:00"/>
    <n v="7"/>
    <x v="0"/>
    <s v="Developer"/>
  </r>
  <r>
    <n v="67260"/>
    <x v="2"/>
    <s v="01199839"/>
    <x v="18"/>
    <d v="2026-03-02T00:00:00"/>
    <s v="IA1793"/>
    <s v="Subramanian,Ruthrakkanth"/>
    <n v="242.76961911727065"/>
    <d v="2026-03-02T00:00:00"/>
    <n v="7"/>
    <x v="1"/>
    <s v="Developer"/>
  </r>
  <r>
    <n v="67260"/>
    <x v="2"/>
    <s v="01199839"/>
    <x v="18"/>
    <d v="2026-03-04T00:00:00"/>
    <s v="IA1793"/>
    <s v="Subramanian,Ruthrakkanth"/>
    <n v="260.11030619707572"/>
    <d v="2026-03-04T00:00:00"/>
    <n v="7.5"/>
    <x v="1"/>
    <s v="Developer"/>
  </r>
  <r>
    <n v="67260"/>
    <x v="2"/>
    <s v="01199839"/>
    <x v="18"/>
    <d v="2026-03-05T00:00:00"/>
    <s v="IA1793"/>
    <s v="Subramanian,Ruthrakkanth"/>
    <n v="260.11030619707572"/>
    <d v="2026-03-05T00:00:00"/>
    <n v="7.5"/>
    <x v="1"/>
    <s v="Developer"/>
  </r>
  <r>
    <n v="67260"/>
    <x v="2"/>
    <s v="01199839"/>
    <x v="18"/>
    <d v="2026-04-13T00:00:00"/>
    <s v="IA1793"/>
    <s v="Subramanian,Ruthrakkanth"/>
    <n v="69.362748319220188"/>
    <d v="2026-04-13T00:00:00"/>
    <n v="2"/>
    <x v="2"/>
    <s v="Developer"/>
  </r>
  <r>
    <n v="67260"/>
    <x v="2"/>
    <s v="01199839"/>
    <x v="18"/>
    <d v="2026-04-15T00:00:00"/>
    <s v="IA1793"/>
    <s v="Subramanian,Ruthrakkanth"/>
    <n v="208.08824495766055"/>
    <d v="2026-04-15T00:00:00"/>
    <n v="6"/>
    <x v="2"/>
    <s v="Developer"/>
  </r>
  <r>
    <n v="67260"/>
    <x v="2"/>
    <s v="01199839"/>
    <x v="18"/>
    <d v="2026-04-16T00:00:00"/>
    <s v="IA1793"/>
    <s v="Subramanian,Ruthrakkanth"/>
    <n v="260.11030619707572"/>
    <d v="2026-04-16T00:00:00"/>
    <n v="7.5"/>
    <x v="2"/>
    <s v="Developer"/>
  </r>
  <r>
    <n v="67260"/>
    <x v="2"/>
    <s v="01199839"/>
    <x v="18"/>
    <d v="2026-04-20T00:00:00"/>
    <s v="IA1793"/>
    <s v="Subramanian,Ruthrakkanth"/>
    <n v="242.76961911727065"/>
    <d v="2026-04-20T00:00:00"/>
    <n v="7"/>
    <x v="2"/>
    <s v="Developer"/>
  </r>
  <r>
    <n v="67260"/>
    <x v="2"/>
    <s v="01199839"/>
    <x v="18"/>
    <d v="2026-04-21T00:00:00"/>
    <s v="IA1793"/>
    <s v="Subramanian,Ruthrakkanth"/>
    <n v="242.76961911727065"/>
    <d v="2026-04-21T00:00:00"/>
    <n v="7"/>
    <x v="2"/>
    <s v="Developer"/>
  </r>
  <r>
    <n v="67260"/>
    <x v="2"/>
    <s v="01199839"/>
    <x v="18"/>
    <d v="2026-04-22T00:00:00"/>
    <s v="IA1793"/>
    <s v="Subramanian,Ruthrakkanth"/>
    <n v="260.11030619707572"/>
    <d v="2026-04-22T00:00:00"/>
    <n v="7.5"/>
    <x v="2"/>
    <s v="Developer"/>
  </r>
  <r>
    <n v="67260"/>
    <x v="2"/>
    <s v="01199839"/>
    <x v="18"/>
    <d v="2026-04-23T00:00:00"/>
    <s v="IA1793"/>
    <s v="Subramanian,Ruthrakkanth"/>
    <n v="190.74755787785551"/>
    <d v="2026-04-23T00:00:00"/>
    <n v="5.5"/>
    <x v="2"/>
    <s v="Developer"/>
  </r>
  <r>
    <n v="67261"/>
    <x v="5"/>
    <s v="01199842"/>
    <x v="19"/>
    <d v="2025-10-06T00:00:00"/>
    <s v="IA1771"/>
    <s v="anandanshanmugam,kamesh"/>
    <n v="138.72549663844038"/>
    <d v="2025-10-06T00:00:00"/>
    <n v="4"/>
    <x v="6"/>
    <s v="Junior"/>
  </r>
  <r>
    <n v="67261"/>
    <x v="5"/>
    <s v="01199842"/>
    <x v="19"/>
    <d v="2025-10-06T00:00:00"/>
    <s v="IA1642"/>
    <s v="GOVINDHASAMY,RUBENDRAN"/>
    <n v="138.72549663844038"/>
    <d v="2025-10-06T00:00:00"/>
    <n v="4"/>
    <x v="6"/>
    <s v="Developer"/>
  </r>
  <r>
    <n v="67261"/>
    <x v="5"/>
    <s v="01199842"/>
    <x v="19"/>
    <d v="2025-10-07T00:00:00"/>
    <s v="IA1771"/>
    <s v="anandanshanmugam,kamesh"/>
    <n v="138.72549663844038"/>
    <d v="2025-10-07T00:00:00"/>
    <n v="4"/>
    <x v="6"/>
    <s v="Junior"/>
  </r>
  <r>
    <n v="67261"/>
    <x v="5"/>
    <s v="01199842"/>
    <x v="19"/>
    <d v="2025-10-07T00:00:00"/>
    <s v="IA1642"/>
    <s v="GOVINDHASAMY,RUBENDRAN"/>
    <n v="138.72549663844038"/>
    <d v="2025-10-07T00:00:00"/>
    <n v="4"/>
    <x v="6"/>
    <s v="Developer"/>
  </r>
  <r>
    <n v="67261"/>
    <x v="5"/>
    <s v="01199842"/>
    <x v="19"/>
    <d v="2025-10-08T00:00:00"/>
    <s v="IA1771"/>
    <s v="anandanshanmugam,kamesh"/>
    <n v="138.72549663844038"/>
    <d v="2025-10-08T00:00:00"/>
    <n v="4"/>
    <x v="6"/>
    <s v="Junior"/>
  </r>
  <r>
    <n v="67261"/>
    <x v="5"/>
    <s v="01199842"/>
    <x v="19"/>
    <d v="2025-10-08T00:00:00"/>
    <s v="IA1642"/>
    <s v="GOVINDHASAMY,RUBENDRAN"/>
    <n v="138.72549663844038"/>
    <d v="2025-10-08T00:00:00"/>
    <n v="4"/>
    <x v="6"/>
    <s v="Developer"/>
  </r>
  <r>
    <n v="67261"/>
    <x v="5"/>
    <s v="01199842"/>
    <x v="19"/>
    <d v="2025-10-09T00:00:00"/>
    <s v="IA1771"/>
    <s v="anandanshanmugam,kamesh"/>
    <n v="138.72549663844038"/>
    <d v="2025-10-09T00:00:00"/>
    <n v="4"/>
    <x v="6"/>
    <s v="Junior"/>
  </r>
  <r>
    <n v="67261"/>
    <x v="5"/>
    <s v="01199842"/>
    <x v="19"/>
    <d v="2025-10-09T00:00:00"/>
    <s v="IA1642"/>
    <s v="GOVINDHASAMY,RUBENDRAN"/>
    <n v="138.72549663844038"/>
    <d v="2025-10-09T00:00:00"/>
    <n v="4"/>
    <x v="6"/>
    <s v="Developer"/>
  </r>
  <r>
    <n v="67261"/>
    <x v="5"/>
    <s v="01199842"/>
    <x v="19"/>
    <d v="2025-10-10T00:00:00"/>
    <s v="IA1771"/>
    <s v="anandanshanmugam,kamesh"/>
    <n v="138.72549663844038"/>
    <d v="2025-10-10T00:00:00"/>
    <n v="4"/>
    <x v="6"/>
    <s v="Junior"/>
  </r>
  <r>
    <n v="67261"/>
    <x v="5"/>
    <s v="01199842"/>
    <x v="19"/>
    <d v="2025-10-10T00:00:00"/>
    <s v="IA1642"/>
    <s v="GOVINDHASAMY,RUBENDRAN"/>
    <n v="138.72549663844038"/>
    <d v="2025-10-10T00:00:00"/>
    <n v="4"/>
    <x v="6"/>
    <s v="Developer"/>
  </r>
  <r>
    <n v="67263"/>
    <x v="6"/>
    <s v="01199847"/>
    <x v="20"/>
    <d v="2025-10-06T00:00:00"/>
    <s v="IA1421"/>
    <s v="Jayapal,Muruganandham"/>
    <n v="69.362748319220188"/>
    <d v="2025-10-06T00:00:00"/>
    <n v="2"/>
    <x v="6"/>
    <s v="Engg Manager"/>
  </r>
  <r>
    <n v="67263"/>
    <x v="6"/>
    <s v="01199847"/>
    <x v="20"/>
    <d v="2025-10-07T00:00:00"/>
    <s v="IA1421"/>
    <s v="Jayapal,Muruganandham"/>
    <n v="69.362748319220188"/>
    <d v="2025-10-07T00:00:00"/>
    <n v="2"/>
    <x v="6"/>
    <s v="Engg Manager"/>
  </r>
  <r>
    <n v="67263"/>
    <x v="6"/>
    <s v="01199847"/>
    <x v="20"/>
    <d v="2025-10-08T00:00:00"/>
    <s v="IA1421"/>
    <s v="Jayapal,Muruganandham"/>
    <n v="69.362748319220188"/>
    <d v="2025-10-08T00:00:00"/>
    <n v="2"/>
    <x v="6"/>
    <s v="Engg Manager"/>
  </r>
  <r>
    <n v="67263"/>
    <x v="6"/>
    <s v="01199847"/>
    <x v="20"/>
    <d v="2025-10-09T00:00:00"/>
    <s v="IA1421"/>
    <s v="Jayapal,Muruganandham"/>
    <n v="69.362748319220188"/>
    <d v="2025-10-09T00:00:00"/>
    <n v="2"/>
    <x v="6"/>
    <s v="Engg Manager"/>
  </r>
  <r>
    <n v="67263"/>
    <x v="6"/>
    <s v="01199847"/>
    <x v="20"/>
    <d v="2025-10-10T00:00:00"/>
    <s v="IA1421"/>
    <s v="Jayapal,Muruganandham"/>
    <n v="69.362748319220188"/>
    <d v="2025-10-10T00:00:00"/>
    <n v="2"/>
    <x v="6"/>
    <s v="Engg Manager"/>
  </r>
  <r>
    <n v="67263"/>
    <x v="6"/>
    <s v="01199847"/>
    <x v="20"/>
    <d v="2025-11-24T00:00:00"/>
    <n v="6833"/>
    <s v="Kunhiraman,Lakshmikanth"/>
    <n v="34.681374159610094"/>
    <d v="2025-11-24T00:00:00"/>
    <n v="1"/>
    <x v="7"/>
    <s v="Enterprise Architect"/>
  </r>
  <r>
    <n v="67263"/>
    <x v="6"/>
    <s v="01199847"/>
    <x v="20"/>
    <d v="2025-11-25T00:00:00"/>
    <n v="6833"/>
    <s v="Kunhiraman,Lakshmikanth"/>
    <n v="34.681374159610094"/>
    <d v="2025-11-25T00:00:00"/>
    <n v="1"/>
    <x v="7"/>
    <s v="Enterprise Architect"/>
  </r>
  <r>
    <n v="67263"/>
    <x v="6"/>
    <s v="01199847"/>
    <x v="20"/>
    <d v="2025-11-26T00:00:00"/>
    <n v="6833"/>
    <s v="Kunhiraman,Lakshmikanth"/>
    <n v="34.681374159610094"/>
    <d v="2025-11-26T00:00:00"/>
    <n v="1"/>
    <x v="7"/>
    <s v="Enterprise Architect"/>
  </r>
  <r>
    <n v="67263"/>
    <x v="6"/>
    <s v="01199847"/>
    <x v="20"/>
    <d v="2025-11-27T00:00:00"/>
    <n v="6833"/>
    <s v="Kunhiraman,Lakshmikanth"/>
    <n v="34.681374159610094"/>
    <d v="2025-11-27T00:00:00"/>
    <n v="1"/>
    <x v="7"/>
    <s v="Enterprise Architect"/>
  </r>
  <r>
    <n v="67263"/>
    <x v="6"/>
    <s v="01199847"/>
    <x v="20"/>
    <d v="2025-11-28T00:00:00"/>
    <n v="6833"/>
    <s v="Kunhiraman,Lakshmikanth"/>
    <n v="34.681374159610094"/>
    <d v="2025-11-28T00:00:00"/>
    <n v="1"/>
    <x v="7"/>
    <s v="Enterprise Architect"/>
  </r>
  <r>
    <n v="67263"/>
    <x v="6"/>
    <s v="01199847"/>
    <x v="20"/>
    <d v="2025-12-01T00:00:00"/>
    <n v="6833"/>
    <s v="Kunhiraman,Lakshmikanth"/>
    <n v="69.362748319220188"/>
    <d v="2025-12-01T00:00:00"/>
    <n v="2"/>
    <x v="8"/>
    <s v="Enterprise Architect"/>
  </r>
  <r>
    <n v="67263"/>
    <x v="6"/>
    <s v="01199847"/>
    <x v="20"/>
    <d v="2025-12-02T00:00:00"/>
    <n v="6833"/>
    <s v="Kunhiraman,Lakshmikanth"/>
    <n v="69.362748319220188"/>
    <d v="2025-12-02T00:00:00"/>
    <n v="2"/>
    <x v="8"/>
    <s v="Enterprise Architect"/>
  </r>
  <r>
    <n v="67263"/>
    <x v="6"/>
    <s v="01199847"/>
    <x v="20"/>
    <d v="2025-12-03T00:00:00"/>
    <n v="6833"/>
    <s v="Kunhiraman,Lakshmikanth"/>
    <n v="34.681374159610094"/>
    <d v="2025-12-03T00:00:00"/>
    <n v="1"/>
    <x v="8"/>
    <s v="Enterprise Architect"/>
  </r>
  <r>
    <n v="67263"/>
    <x v="6"/>
    <s v="01199847"/>
    <x v="20"/>
    <d v="2026-01-12T00:00:00"/>
    <n v="6833"/>
    <s v="Kunhiraman,Lakshmikanth"/>
    <n v="34.681374159610094"/>
    <d v="2026-01-12T00:00:00"/>
    <n v="1"/>
    <x v="9"/>
    <s v="Enterprise Architect"/>
  </r>
  <r>
    <n v="67263"/>
    <x v="6"/>
    <s v="01199847"/>
    <x v="20"/>
    <d v="2026-01-13T00:00:00"/>
    <n v="6833"/>
    <s v="Kunhiraman,Lakshmikanth"/>
    <n v="34.681374159610094"/>
    <d v="2026-01-13T00:00:00"/>
    <n v="1"/>
    <x v="9"/>
    <s v="Enterprise Architect"/>
  </r>
  <r>
    <n v="67263"/>
    <x v="6"/>
    <s v="01199847"/>
    <x v="20"/>
    <d v="2026-01-14T00:00:00"/>
    <n v="6833"/>
    <s v="Kunhiraman,Lakshmikanth"/>
    <n v="34.681374159610094"/>
    <d v="2026-01-14T00:00:00"/>
    <n v="1"/>
    <x v="9"/>
    <s v="Enterprise Architect"/>
  </r>
  <r>
    <n v="67263"/>
    <x v="6"/>
    <s v="01199847"/>
    <x v="20"/>
    <d v="2026-01-16T00:00:00"/>
    <n v="6833"/>
    <s v="Kunhiraman,Lakshmikanth"/>
    <n v="34.681374159610094"/>
    <d v="2026-01-16T00:00:00"/>
    <n v="1"/>
    <x v="9"/>
    <s v="Enterprise Architect"/>
  </r>
  <r>
    <n v="67263"/>
    <x v="6"/>
    <s v="01199847"/>
    <x v="20"/>
    <d v="2026-02-02T00:00:00"/>
    <n v="6538"/>
    <s v="Moorthy,Sivakumar"/>
    <n v="69.362748319220188"/>
    <d v="2026-02-02T00:00:00"/>
    <n v="2"/>
    <x v="0"/>
    <s v="Engg Manager"/>
  </r>
  <r>
    <n v="67263"/>
    <x v="6"/>
    <s v="01199847"/>
    <x v="20"/>
    <d v="2026-02-03T00:00:00"/>
    <n v="6538"/>
    <s v="Moorthy,Sivakumar"/>
    <n v="69.362748319220188"/>
    <d v="2026-02-03T00:00:00"/>
    <n v="2"/>
    <x v="0"/>
    <s v="Engg Manager"/>
  </r>
  <r>
    <n v="67263"/>
    <x v="6"/>
    <s v="01199847"/>
    <x v="20"/>
    <d v="2026-02-04T00:00:00"/>
    <n v="6538"/>
    <s v="Moorthy,Sivakumar"/>
    <n v="69.362748319220188"/>
    <d v="2026-02-04T00:00:00"/>
    <n v="2"/>
    <x v="0"/>
    <s v="Engg Manager"/>
  </r>
  <r>
    <n v="67263"/>
    <x v="6"/>
    <s v="01199847"/>
    <x v="20"/>
    <d v="2026-02-05T00:00:00"/>
    <n v="6538"/>
    <s v="Moorthy,Sivakumar"/>
    <n v="69.362748319220188"/>
    <d v="2026-02-05T00:00:00"/>
    <n v="2"/>
    <x v="0"/>
    <s v="Engg Manager"/>
  </r>
  <r>
    <n v="67263"/>
    <x v="6"/>
    <s v="01199847"/>
    <x v="20"/>
    <d v="2026-02-06T00:00:00"/>
    <n v="6538"/>
    <s v="Moorthy,Sivakumar"/>
    <n v="69.362748319220188"/>
    <d v="2026-02-06T00:00:00"/>
    <n v="2"/>
    <x v="0"/>
    <s v="Engg Manager"/>
  </r>
  <r>
    <n v="67263"/>
    <x v="6"/>
    <s v="01199847"/>
    <x v="20"/>
    <d v="2026-02-09T00:00:00"/>
    <n v="6538"/>
    <s v="Moorthy,Sivakumar"/>
    <n v="69.362748319220188"/>
    <d v="2026-02-09T00:00:00"/>
    <n v="2"/>
    <x v="0"/>
    <s v="Engg Manager"/>
  </r>
  <r>
    <n v="67263"/>
    <x v="6"/>
    <s v="01199847"/>
    <x v="20"/>
    <d v="2026-02-10T00:00:00"/>
    <n v="6538"/>
    <s v="Moorthy,Sivakumar"/>
    <n v="104.04412247883027"/>
    <d v="2026-02-10T00:00:00"/>
    <n v="3"/>
    <x v="0"/>
    <s v="Engg Manager"/>
  </r>
  <r>
    <n v="67263"/>
    <x v="6"/>
    <s v="01199847"/>
    <x v="20"/>
    <d v="2026-02-11T00:00:00"/>
    <n v="6538"/>
    <s v="Moorthy,Sivakumar"/>
    <n v="69.362748319220188"/>
    <d v="2026-02-11T00:00:00"/>
    <n v="2"/>
    <x v="0"/>
    <s v="Engg Manager"/>
  </r>
  <r>
    <n v="67263"/>
    <x v="6"/>
    <s v="01199847"/>
    <x v="20"/>
    <d v="2026-02-12T00:00:00"/>
    <n v="6538"/>
    <s v="Moorthy,Sivakumar"/>
    <n v="104.04412247883027"/>
    <d v="2026-02-12T00:00:00"/>
    <n v="3"/>
    <x v="0"/>
    <s v="Engg Manager"/>
  </r>
  <r>
    <n v="67263"/>
    <x v="6"/>
    <s v="01199847"/>
    <x v="20"/>
    <d v="2026-02-23T00:00:00"/>
    <n v="6538"/>
    <s v="Moorthy,Sivakumar"/>
    <n v="69.362748319220188"/>
    <d v="2026-02-23T00:00:00"/>
    <n v="2"/>
    <x v="0"/>
    <s v="Engg Manager"/>
  </r>
  <r>
    <n v="67263"/>
    <x v="6"/>
    <s v="01199847"/>
    <x v="20"/>
    <d v="2026-02-24T00:00:00"/>
    <n v="6538"/>
    <s v="Moorthy,Sivakumar"/>
    <n v="69.362748319220188"/>
    <d v="2026-02-24T00:00:00"/>
    <n v="2"/>
    <x v="0"/>
    <s v="Engg Manager"/>
  </r>
  <r>
    <n v="67263"/>
    <x v="6"/>
    <s v="01199847"/>
    <x v="20"/>
    <d v="2026-02-25T00:00:00"/>
    <n v="6538"/>
    <s v="Moorthy,Sivakumar"/>
    <n v="69.362748319220188"/>
    <d v="2026-02-25T00:00:00"/>
    <n v="2"/>
    <x v="0"/>
    <s v="Engg Manager"/>
  </r>
  <r>
    <n v="67263"/>
    <x v="6"/>
    <s v="01199847"/>
    <x v="20"/>
    <d v="2026-02-26T00:00:00"/>
    <n v="6538"/>
    <s v="Moorthy,Sivakumar"/>
    <n v="69.362748319220188"/>
    <d v="2026-02-26T00:00:00"/>
    <n v="2"/>
    <x v="0"/>
    <s v="Engg Manager"/>
  </r>
  <r>
    <n v="67263"/>
    <x v="6"/>
    <s v="01199847"/>
    <x v="20"/>
    <d v="2026-02-27T00:00:00"/>
    <n v="6538"/>
    <s v="Moorthy,Sivakumar"/>
    <n v="69.362748319220188"/>
    <d v="2026-02-27T00:00:00"/>
    <n v="2"/>
    <x v="0"/>
    <s v="Engg Manager"/>
  </r>
  <r>
    <n v="67263"/>
    <x v="6"/>
    <s v="01199847"/>
    <x v="20"/>
    <d v="2026-03-02T00:00:00"/>
    <n v="6538"/>
    <s v="Moorthy,Sivakumar"/>
    <n v="69.362748319220188"/>
    <d v="2026-03-02T00:00:00"/>
    <n v="2"/>
    <x v="1"/>
    <s v="Engg Manager"/>
  </r>
  <r>
    <n v="67263"/>
    <x v="6"/>
    <s v="01199847"/>
    <x v="20"/>
    <d v="2026-03-03T00:00:00"/>
    <n v="6538"/>
    <s v="Moorthy,Sivakumar"/>
    <n v="69.362748319220188"/>
    <d v="2026-03-03T00:00:00"/>
    <n v="2"/>
    <x v="1"/>
    <s v="Engg Manager"/>
  </r>
  <r>
    <n v="67263"/>
    <x v="6"/>
    <s v="01199847"/>
    <x v="20"/>
    <d v="2026-03-04T00:00:00"/>
    <n v="6538"/>
    <s v="Moorthy,Sivakumar"/>
    <n v="69.362748319220188"/>
    <d v="2026-03-04T00:00:00"/>
    <n v="2"/>
    <x v="1"/>
    <s v="Engg Manager"/>
  </r>
  <r>
    <n v="67263"/>
    <x v="6"/>
    <s v="01199847"/>
    <x v="20"/>
    <d v="2026-03-05T00:00:00"/>
    <n v="6538"/>
    <s v="Moorthy,Sivakumar"/>
    <n v="69.362748319220188"/>
    <d v="2026-03-05T00:00:00"/>
    <n v="2"/>
    <x v="1"/>
    <s v="Engg Manager"/>
  </r>
  <r>
    <n v="67263"/>
    <x v="6"/>
    <s v="01199847"/>
    <x v="20"/>
    <d v="2026-03-06T00:00:00"/>
    <n v="6538"/>
    <s v="Moorthy,Sivakumar"/>
    <n v="69.362748319220188"/>
    <d v="2026-03-06T00:00:00"/>
    <n v="2"/>
    <x v="1"/>
    <s v="Engg Manager"/>
  </r>
  <r>
    <n v="67263"/>
    <x v="6"/>
    <s v="01199847"/>
    <x v="20"/>
    <d v="2026-03-09T00:00:00"/>
    <n v="6538"/>
    <s v="Moorthy,Sivakumar"/>
    <n v="69.362748319220188"/>
    <d v="2026-03-09T00:00:00"/>
    <n v="2"/>
    <x v="1"/>
    <s v="Engg Manager"/>
  </r>
  <r>
    <n v="67263"/>
    <x v="6"/>
    <s v="01199847"/>
    <x v="20"/>
    <d v="2026-03-12T00:00:00"/>
    <n v="6538"/>
    <s v="Moorthy,Sivakumar"/>
    <n v="69.362748319220188"/>
    <d v="2026-03-12T00:00:00"/>
    <n v="2"/>
    <x v="1"/>
    <s v="Engg Manager"/>
  </r>
  <r>
    <n v="67263"/>
    <x v="6"/>
    <s v="01199847"/>
    <x v="20"/>
    <d v="2026-03-13T00:00:00"/>
    <n v="6538"/>
    <s v="Moorthy,Sivakumar"/>
    <n v="69.362748319220188"/>
    <d v="2026-03-13T00:00:00"/>
    <n v="2"/>
    <x v="1"/>
    <s v="Engg Manager"/>
  </r>
  <r>
    <n v="67263"/>
    <x v="6"/>
    <s v="01199847"/>
    <x v="20"/>
    <d v="2026-03-16T00:00:00"/>
    <n v="6538"/>
    <s v="Moorthy,Sivakumar"/>
    <n v="69.362748319220188"/>
    <d v="2026-03-16T00:00:00"/>
    <n v="2"/>
    <x v="1"/>
    <s v="Engg Manager"/>
  </r>
  <r>
    <n v="67263"/>
    <x v="6"/>
    <s v="01199847"/>
    <x v="20"/>
    <d v="2026-03-18T00:00:00"/>
    <n v="6538"/>
    <s v="Moorthy,Sivakumar"/>
    <n v="104.04412247883027"/>
    <d v="2026-03-18T00:00:00"/>
    <n v="3"/>
    <x v="1"/>
    <s v="Engg Manager"/>
  </r>
  <r>
    <n v="67263"/>
    <x v="6"/>
    <s v="01199847"/>
    <x v="20"/>
    <d v="2026-03-19T00:00:00"/>
    <n v="6538"/>
    <s v="Moorthy,Sivakumar"/>
    <n v="69.362748319220188"/>
    <d v="2026-03-19T00:00:00"/>
    <n v="2"/>
    <x v="1"/>
    <s v="Engg Manager"/>
  </r>
  <r>
    <n v="67263"/>
    <x v="6"/>
    <s v="01192808"/>
    <x v="21"/>
    <d v="2025-07-07T00:00:00"/>
    <s v="IA1421"/>
    <s v="Jayapal,Muruganandham"/>
    <n v="69.362748319220188"/>
    <d v="2025-07-07T00:00:00"/>
    <n v="2"/>
    <x v="3"/>
    <s v="Engg Manager"/>
  </r>
  <r>
    <n v="67263"/>
    <x v="6"/>
    <s v="01192808"/>
    <x v="21"/>
    <d v="2025-07-08T00:00:00"/>
    <s v="IA1421"/>
    <s v="Jayapal,Muruganandham"/>
    <n v="69.362748319220188"/>
    <d v="2025-07-08T00:00:00"/>
    <n v="2"/>
    <x v="3"/>
    <s v="Engg Manager"/>
  </r>
  <r>
    <n v="67263"/>
    <x v="6"/>
    <s v="01192808"/>
    <x v="21"/>
    <d v="2025-07-09T00:00:00"/>
    <s v="IA1421"/>
    <s v="Jayapal,Muruganandham"/>
    <n v="69.362748319220188"/>
    <d v="2025-07-09T00:00:00"/>
    <n v="2"/>
    <x v="3"/>
    <s v="Engg Manager"/>
  </r>
  <r>
    <n v="67263"/>
    <x v="6"/>
    <s v="01192808"/>
    <x v="21"/>
    <d v="2025-07-10T00:00:00"/>
    <s v="IA1421"/>
    <s v="Jayapal,Muruganandham"/>
    <n v="69.362748319220188"/>
    <d v="2025-07-10T00:00:00"/>
    <n v="2"/>
    <x v="3"/>
    <s v="Engg Manager"/>
  </r>
  <r>
    <n v="67263"/>
    <x v="6"/>
    <s v="01192808"/>
    <x v="21"/>
    <d v="2025-07-11T00:00:00"/>
    <s v="IA1421"/>
    <s v="Jayapal,Muruganandham"/>
    <n v="69.362748319220188"/>
    <d v="2025-07-11T00:00:00"/>
    <n v="2"/>
    <x v="3"/>
    <s v="Engg Manager"/>
  </r>
  <r>
    <n v="67263"/>
    <x v="6"/>
    <s v="01192808"/>
    <x v="21"/>
    <d v="2025-07-14T00:00:00"/>
    <s v="IA1421"/>
    <s v="Jayapal,Muruganandham"/>
    <n v="69.362748319220188"/>
    <d v="2025-07-14T00:00:00"/>
    <n v="2"/>
    <x v="3"/>
    <s v="Engg Manager"/>
  </r>
  <r>
    <n v="67263"/>
    <x v="6"/>
    <s v="01192808"/>
    <x v="21"/>
    <d v="2025-07-15T00:00:00"/>
    <s v="IA1421"/>
    <s v="Jayapal,Muruganandham"/>
    <n v="69.362748319220188"/>
    <d v="2025-07-15T00:00:00"/>
    <n v="2"/>
    <x v="3"/>
    <s v="Engg Manager"/>
  </r>
  <r>
    <n v="67263"/>
    <x v="6"/>
    <s v="01192808"/>
    <x v="21"/>
    <d v="2025-07-16T00:00:00"/>
    <s v="IA1421"/>
    <s v="Jayapal,Muruganandham"/>
    <n v="69.362748319220188"/>
    <d v="2025-07-16T00:00:00"/>
    <n v="2"/>
    <x v="3"/>
    <s v="Engg Manager"/>
  </r>
  <r>
    <n v="67263"/>
    <x v="6"/>
    <s v="01192808"/>
    <x v="21"/>
    <d v="2025-07-17T00:00:00"/>
    <s v="IA1421"/>
    <s v="Jayapal,Muruganandham"/>
    <n v="69.362748319220188"/>
    <d v="2025-07-17T00:00:00"/>
    <n v="2"/>
    <x v="3"/>
    <s v="Engg Manager"/>
  </r>
  <r>
    <n v="67263"/>
    <x v="6"/>
    <s v="01192808"/>
    <x v="21"/>
    <d v="2025-07-18T00:00:00"/>
    <s v="IA1421"/>
    <s v="Jayapal,Muruganandham"/>
    <n v="69.362748319220188"/>
    <d v="2025-07-18T00:00:00"/>
    <n v="2"/>
    <x v="3"/>
    <s v="Engg Manager"/>
  </r>
  <r>
    <n v="67263"/>
    <x v="6"/>
    <s v="01192808"/>
    <x v="21"/>
    <d v="2025-07-21T00:00:00"/>
    <s v="IA1421"/>
    <s v="Jayapal,Muruganandham"/>
    <n v="69.362748319220188"/>
    <d v="2025-07-21T00:00:00"/>
    <n v="2"/>
    <x v="3"/>
    <s v="Engg Manager"/>
  </r>
  <r>
    <n v="67263"/>
    <x v="6"/>
    <s v="01192808"/>
    <x v="21"/>
    <d v="2025-07-22T00:00:00"/>
    <s v="IA1421"/>
    <s v="Jayapal,Muruganandham"/>
    <n v="69.362748319220188"/>
    <d v="2025-07-22T00:00:00"/>
    <n v="2"/>
    <x v="3"/>
    <s v="Engg Manager"/>
  </r>
  <r>
    <n v="67263"/>
    <x v="6"/>
    <s v="01192808"/>
    <x v="21"/>
    <d v="2025-07-22T00:00:00"/>
    <n v="6833"/>
    <s v="Kunhiraman,Lakshmikanth"/>
    <n v="104.04412247883027"/>
    <d v="2025-07-22T00:00:00"/>
    <n v="3"/>
    <x v="3"/>
    <s v="Enterprise Architect"/>
  </r>
  <r>
    <n v="67263"/>
    <x v="6"/>
    <s v="01192808"/>
    <x v="21"/>
    <d v="2025-07-23T00:00:00"/>
    <n v="6833"/>
    <s v="Kunhiraman,Lakshmikanth"/>
    <n v="69.362748319220188"/>
    <d v="2025-07-23T00:00:00"/>
    <n v="2"/>
    <x v="3"/>
    <s v="Enterprise Architect"/>
  </r>
  <r>
    <n v="67263"/>
    <x v="6"/>
    <s v="01192808"/>
    <x v="21"/>
    <d v="2025-07-23T00:00:00"/>
    <s v="IA1421"/>
    <s v="Jayapal,Muruganandham"/>
    <n v="69.362748319220188"/>
    <d v="2025-07-23T00:00:00"/>
    <n v="2"/>
    <x v="3"/>
    <s v="Engg Manager"/>
  </r>
  <r>
    <n v="67263"/>
    <x v="6"/>
    <s v="01192808"/>
    <x v="21"/>
    <d v="2025-07-24T00:00:00"/>
    <n v="6833"/>
    <s v="Kunhiraman,Lakshmikanth"/>
    <n v="104.04412247883027"/>
    <d v="2025-07-24T00:00:00"/>
    <n v="3"/>
    <x v="3"/>
    <s v="Enterprise Architect"/>
  </r>
  <r>
    <n v="67263"/>
    <x v="6"/>
    <s v="01192808"/>
    <x v="21"/>
    <d v="2025-07-24T00:00:00"/>
    <s v="IA1421"/>
    <s v="Jayapal,Muruganandham"/>
    <n v="69.362748319220188"/>
    <d v="2025-07-24T00:00:00"/>
    <n v="2"/>
    <x v="3"/>
    <s v="Engg Manager"/>
  </r>
  <r>
    <n v="67263"/>
    <x v="6"/>
    <s v="01192808"/>
    <x v="21"/>
    <d v="2025-07-25T00:00:00"/>
    <n v="6833"/>
    <s v="Kunhiraman,Lakshmikanth"/>
    <n v="104.04412247883027"/>
    <d v="2025-07-25T00:00:00"/>
    <n v="3"/>
    <x v="3"/>
    <s v="Enterprise Architect"/>
  </r>
  <r>
    <n v="67263"/>
    <x v="6"/>
    <s v="01192808"/>
    <x v="21"/>
    <d v="2025-07-25T00:00:00"/>
    <s v="IA1421"/>
    <s v="Jayapal,Muruganandham"/>
    <n v="69.362748319220188"/>
    <d v="2025-07-25T00:00:00"/>
    <n v="2"/>
    <x v="3"/>
    <s v="Engg Manager"/>
  </r>
  <r>
    <n v="67263"/>
    <x v="6"/>
    <s v="01192808"/>
    <x v="21"/>
    <d v="2025-07-28T00:00:00"/>
    <s v="IA1421"/>
    <s v="Jayapal,Muruganandham"/>
    <n v="69.362748319220188"/>
    <d v="2025-07-28T00:00:00"/>
    <n v="2"/>
    <x v="3"/>
    <s v="Engg Manager"/>
  </r>
  <r>
    <n v="67263"/>
    <x v="6"/>
    <s v="01192808"/>
    <x v="21"/>
    <d v="2025-07-28T00:00:00"/>
    <n v="6833"/>
    <s v="Kunhiraman,Lakshmikanth"/>
    <n v="104.04412247883027"/>
    <d v="2025-07-28T00:00:00"/>
    <n v="3"/>
    <x v="3"/>
    <s v="Enterprise Architect"/>
  </r>
  <r>
    <n v="67263"/>
    <x v="6"/>
    <s v="01192808"/>
    <x v="21"/>
    <d v="2025-07-29T00:00:00"/>
    <s v="IA1421"/>
    <s v="Jayapal,Muruganandham"/>
    <n v="69.362748319220188"/>
    <d v="2025-07-29T00:00:00"/>
    <n v="2"/>
    <x v="3"/>
    <s v="Engg Manager"/>
  </r>
  <r>
    <n v="67263"/>
    <x v="6"/>
    <s v="01192808"/>
    <x v="21"/>
    <d v="2025-07-29T00:00:00"/>
    <n v="6833"/>
    <s v="Kunhiraman,Lakshmikanth"/>
    <n v="104.04412247883027"/>
    <d v="2025-07-29T00:00:00"/>
    <n v="3"/>
    <x v="3"/>
    <s v="Enterprise Architect"/>
  </r>
  <r>
    <n v="67263"/>
    <x v="6"/>
    <s v="01192808"/>
    <x v="21"/>
    <d v="2025-07-30T00:00:00"/>
    <s v="IA1421"/>
    <s v="Jayapal,Muruganandham"/>
    <n v="69.362748319220188"/>
    <d v="2025-07-30T00:00:00"/>
    <n v="2"/>
    <x v="3"/>
    <s v="Engg Manager"/>
  </r>
  <r>
    <n v="67263"/>
    <x v="6"/>
    <s v="01192808"/>
    <x v="21"/>
    <d v="2025-07-30T00:00:00"/>
    <n v="6833"/>
    <s v="Kunhiraman,Lakshmikanth"/>
    <n v="69.362748319220188"/>
    <d v="2025-07-30T00:00:00"/>
    <n v="2"/>
    <x v="3"/>
    <s v="Enterprise Architect"/>
  </r>
  <r>
    <n v="67263"/>
    <x v="6"/>
    <s v="01192808"/>
    <x v="21"/>
    <d v="2025-07-31T00:00:00"/>
    <s v="IA1421"/>
    <s v="Jayapal,Muruganandham"/>
    <n v="69.362748319220188"/>
    <d v="2025-07-31T00:00:00"/>
    <n v="2"/>
    <x v="3"/>
    <s v="Engg Manager"/>
  </r>
  <r>
    <n v="67263"/>
    <x v="6"/>
    <s v="01192808"/>
    <x v="21"/>
    <d v="2025-07-31T00:00:00"/>
    <n v="6833"/>
    <s v="Kunhiraman,Lakshmikanth"/>
    <n v="69.362748319220188"/>
    <d v="2025-07-31T00:00:00"/>
    <n v="2"/>
    <x v="3"/>
    <s v="Enterprise Architect"/>
  </r>
  <r>
    <n v="67263"/>
    <x v="6"/>
    <s v="01192808"/>
    <x v="21"/>
    <d v="2025-08-01T00:00:00"/>
    <n v="6833"/>
    <s v="Kunhiraman,Lakshmikanth"/>
    <n v="104.04412247883027"/>
    <d v="2025-08-01T00:00:00"/>
    <n v="3"/>
    <x v="4"/>
    <s v="Enterprise Architect"/>
  </r>
  <r>
    <n v="67263"/>
    <x v="6"/>
    <s v="01192808"/>
    <x v="21"/>
    <d v="2025-08-01T00:00:00"/>
    <s v="IA1421"/>
    <s v="Jayapal,Muruganandham"/>
    <n v="69.362748319220188"/>
    <d v="2025-08-01T00:00:00"/>
    <n v="2"/>
    <x v="4"/>
    <s v="Engg Manager"/>
  </r>
  <r>
    <n v="67263"/>
    <x v="6"/>
    <s v="01192808"/>
    <x v="21"/>
    <d v="2025-08-04T00:00:00"/>
    <s v="IA1421"/>
    <s v="Jayapal,Muruganandham"/>
    <n v="208.08824495766055"/>
    <d v="2025-08-04T00:00:00"/>
    <n v="6"/>
    <x v="4"/>
    <s v="Engg Manager"/>
  </r>
  <r>
    <n v="67263"/>
    <x v="6"/>
    <s v="01192808"/>
    <x v="21"/>
    <d v="2025-08-04T00:00:00"/>
    <n v="6833"/>
    <s v="Kunhiraman,Lakshmikanth"/>
    <n v="104.04412247883027"/>
    <d v="2025-08-04T00:00:00"/>
    <n v="3"/>
    <x v="4"/>
    <s v="Enterprise Architect"/>
  </r>
  <r>
    <n v="67263"/>
    <x v="6"/>
    <s v="01192808"/>
    <x v="21"/>
    <d v="2025-08-05T00:00:00"/>
    <s v="IA1421"/>
    <s v="Jayapal,Muruganandham"/>
    <n v="208.08824495766055"/>
    <d v="2025-08-05T00:00:00"/>
    <n v="6"/>
    <x v="4"/>
    <s v="Engg Manager"/>
  </r>
  <r>
    <n v="67263"/>
    <x v="6"/>
    <s v="01192808"/>
    <x v="21"/>
    <d v="2025-08-05T00:00:00"/>
    <n v="6833"/>
    <s v="Kunhiraman,Lakshmikanth"/>
    <n v="104.04412247883027"/>
    <d v="2025-08-05T00:00:00"/>
    <n v="3"/>
    <x v="4"/>
    <s v="Enterprise Architect"/>
  </r>
  <r>
    <n v="67263"/>
    <x v="6"/>
    <s v="01192808"/>
    <x v="21"/>
    <d v="2025-08-06T00:00:00"/>
    <s v="IA1421"/>
    <s v="Jayapal,Muruganandham"/>
    <n v="208.08824495766055"/>
    <d v="2025-08-06T00:00:00"/>
    <n v="6"/>
    <x v="4"/>
    <s v="Engg Manager"/>
  </r>
  <r>
    <n v="67263"/>
    <x v="6"/>
    <s v="01192808"/>
    <x v="21"/>
    <d v="2025-08-06T00:00:00"/>
    <n v="6833"/>
    <s v="Kunhiraman,Lakshmikanth"/>
    <n v="104.04412247883027"/>
    <d v="2025-08-06T00:00:00"/>
    <n v="3"/>
    <x v="4"/>
    <s v="Enterprise Architect"/>
  </r>
  <r>
    <n v="67263"/>
    <x v="6"/>
    <s v="01192808"/>
    <x v="21"/>
    <d v="2025-08-07T00:00:00"/>
    <s v="IA1421"/>
    <s v="Jayapal,Muruganandham"/>
    <n v="208.08824495766055"/>
    <d v="2025-08-07T00:00:00"/>
    <n v="6"/>
    <x v="4"/>
    <s v="Engg Manager"/>
  </r>
  <r>
    <n v="67263"/>
    <x v="6"/>
    <s v="01192808"/>
    <x v="21"/>
    <d v="2025-08-07T00:00:00"/>
    <n v="6833"/>
    <s v="Kunhiraman,Lakshmikanth"/>
    <n v="104.04412247883027"/>
    <d v="2025-08-07T00:00:00"/>
    <n v="3"/>
    <x v="4"/>
    <s v="Enterprise Architect"/>
  </r>
  <r>
    <n v="67263"/>
    <x v="6"/>
    <s v="01192808"/>
    <x v="21"/>
    <d v="2025-08-08T00:00:00"/>
    <s v="IA1421"/>
    <s v="Jayapal,Muruganandham"/>
    <n v="208.08824495766055"/>
    <d v="2025-08-08T00:00:00"/>
    <n v="6"/>
    <x v="4"/>
    <s v="Engg Manager"/>
  </r>
  <r>
    <n v="67263"/>
    <x v="6"/>
    <s v="01192808"/>
    <x v="21"/>
    <d v="2025-08-08T00:00:00"/>
    <n v="6833"/>
    <s v="Kunhiraman,Lakshmikanth"/>
    <n v="104.04412247883027"/>
    <d v="2025-08-08T00:00:00"/>
    <n v="3"/>
    <x v="4"/>
    <s v="Enterprise Architect"/>
  </r>
  <r>
    <n v="67263"/>
    <x v="6"/>
    <s v="01192808"/>
    <x v="21"/>
    <d v="2025-08-11T00:00:00"/>
    <n v="6833"/>
    <s v="Kunhiraman,Lakshmikanth"/>
    <n v="69.362748319220188"/>
    <d v="2025-08-11T00:00:00"/>
    <n v="2"/>
    <x v="4"/>
    <s v="Enterprise Architect"/>
  </r>
  <r>
    <n v="67263"/>
    <x v="6"/>
    <s v="01192808"/>
    <x v="21"/>
    <d v="2025-08-11T00:00:00"/>
    <s v="IA1421"/>
    <s v="Jayapal,Muruganandham"/>
    <n v="69.362748319220188"/>
    <d v="2025-08-11T00:00:00"/>
    <n v="2"/>
    <x v="4"/>
    <s v="Engg Manager"/>
  </r>
  <r>
    <n v="67263"/>
    <x v="6"/>
    <s v="01192808"/>
    <x v="21"/>
    <d v="2025-08-12T00:00:00"/>
    <n v="6833"/>
    <s v="Kunhiraman,Lakshmikanth"/>
    <n v="69.362748319220188"/>
    <d v="2025-08-12T00:00:00"/>
    <n v="2"/>
    <x v="4"/>
    <s v="Enterprise Architect"/>
  </r>
  <r>
    <n v="67263"/>
    <x v="6"/>
    <s v="01192808"/>
    <x v="21"/>
    <d v="2025-08-12T00:00:00"/>
    <s v="IA1421"/>
    <s v="Jayapal,Muruganandham"/>
    <n v="69.362748319220188"/>
    <d v="2025-08-12T00:00:00"/>
    <n v="2"/>
    <x v="4"/>
    <s v="Engg Manager"/>
  </r>
  <r>
    <n v="67263"/>
    <x v="6"/>
    <s v="01192808"/>
    <x v="21"/>
    <d v="2025-08-13T00:00:00"/>
    <n v="6833"/>
    <s v="Kunhiraman,Lakshmikanth"/>
    <n v="69.362748319220188"/>
    <d v="2025-08-13T00:00:00"/>
    <n v="2"/>
    <x v="4"/>
    <s v="Enterprise Architect"/>
  </r>
  <r>
    <n v="67263"/>
    <x v="6"/>
    <s v="01192808"/>
    <x v="21"/>
    <d v="2025-08-13T00:00:00"/>
    <s v="IA1421"/>
    <s v="Jayapal,Muruganandham"/>
    <n v="69.362748319220188"/>
    <d v="2025-08-13T00:00:00"/>
    <n v="2"/>
    <x v="4"/>
    <s v="Engg Manager"/>
  </r>
  <r>
    <n v="67263"/>
    <x v="6"/>
    <s v="01192808"/>
    <x v="21"/>
    <d v="2025-08-14T00:00:00"/>
    <s v="IA1421"/>
    <s v="Jayapal,Muruganandham"/>
    <n v="69.362748319220188"/>
    <d v="2025-08-14T00:00:00"/>
    <n v="2"/>
    <x v="4"/>
    <s v="Engg Manager"/>
  </r>
  <r>
    <n v="67263"/>
    <x v="6"/>
    <s v="01192808"/>
    <x v="21"/>
    <d v="2025-08-14T00:00:00"/>
    <n v="6833"/>
    <s v="Kunhiraman,Lakshmikanth"/>
    <n v="69.362748319220188"/>
    <d v="2025-08-14T00:00:00"/>
    <n v="2"/>
    <x v="4"/>
    <s v="Enterprise Architect"/>
  </r>
  <r>
    <n v="67263"/>
    <x v="6"/>
    <s v="01192808"/>
    <x v="21"/>
    <d v="2025-08-18T00:00:00"/>
    <s v="IA1421"/>
    <s v="Jayapal,Muruganandham"/>
    <n v="208.08824495766055"/>
    <d v="2025-08-18T00:00:00"/>
    <n v="6"/>
    <x v="4"/>
    <s v="Engg Manager"/>
  </r>
  <r>
    <n v="67263"/>
    <x v="6"/>
    <s v="01192808"/>
    <x v="21"/>
    <d v="2025-08-18T00:00:00"/>
    <n v="6833"/>
    <s v="Kunhiraman,Lakshmikanth"/>
    <n v="121.38480955863533"/>
    <d v="2025-08-18T00:00:00"/>
    <n v="3.5"/>
    <x v="4"/>
    <s v="Enterprise Architect"/>
  </r>
  <r>
    <n v="67263"/>
    <x v="6"/>
    <s v="01192808"/>
    <x v="21"/>
    <d v="2025-08-19T00:00:00"/>
    <s v="IA1421"/>
    <s v="Jayapal,Muruganandham"/>
    <n v="208.08824495766055"/>
    <d v="2025-08-19T00:00:00"/>
    <n v="6"/>
    <x v="4"/>
    <s v="Engg Manager"/>
  </r>
  <r>
    <n v="67263"/>
    <x v="6"/>
    <s v="01192808"/>
    <x v="21"/>
    <d v="2025-08-19T00:00:00"/>
    <n v="6833"/>
    <s v="Kunhiraman,Lakshmikanth"/>
    <n v="104.04412247883027"/>
    <d v="2025-08-19T00:00:00"/>
    <n v="3"/>
    <x v="4"/>
    <s v="Enterprise Architect"/>
  </r>
  <r>
    <n v="67263"/>
    <x v="6"/>
    <s v="01192808"/>
    <x v="21"/>
    <d v="2025-08-20T00:00:00"/>
    <s v="IA1421"/>
    <s v="Jayapal,Muruganandham"/>
    <n v="208.08824495766055"/>
    <d v="2025-08-20T00:00:00"/>
    <n v="6"/>
    <x v="4"/>
    <s v="Engg Manager"/>
  </r>
  <r>
    <n v="67263"/>
    <x v="6"/>
    <s v="01192808"/>
    <x v="21"/>
    <d v="2025-08-20T00:00:00"/>
    <n v="6833"/>
    <s v="Kunhiraman,Lakshmikanth"/>
    <n v="104.04412247883027"/>
    <d v="2025-08-20T00:00:00"/>
    <n v="3"/>
    <x v="4"/>
    <s v="Enterprise Architect"/>
  </r>
  <r>
    <n v="67263"/>
    <x v="6"/>
    <s v="01192808"/>
    <x v="21"/>
    <d v="2025-08-21T00:00:00"/>
    <s v="IA1421"/>
    <s v="Jayapal,Muruganandham"/>
    <n v="208.08824495766055"/>
    <d v="2025-08-21T00:00:00"/>
    <n v="6"/>
    <x v="4"/>
    <s v="Engg Manager"/>
  </r>
  <r>
    <n v="67263"/>
    <x v="6"/>
    <s v="01192808"/>
    <x v="21"/>
    <d v="2025-08-21T00:00:00"/>
    <n v="6833"/>
    <s v="Kunhiraman,Lakshmikanth"/>
    <n v="104.04412247883027"/>
    <d v="2025-08-21T00:00:00"/>
    <n v="3"/>
    <x v="4"/>
    <s v="Enterprise Architect"/>
  </r>
  <r>
    <n v="67263"/>
    <x v="6"/>
    <s v="01192808"/>
    <x v="21"/>
    <d v="2025-08-22T00:00:00"/>
    <s v="IA1421"/>
    <s v="Jayapal,Muruganandham"/>
    <n v="208.08824495766055"/>
    <d v="2025-08-22T00:00:00"/>
    <n v="6"/>
    <x v="4"/>
    <s v="Engg Manager"/>
  </r>
  <r>
    <n v="67263"/>
    <x v="6"/>
    <s v="01192808"/>
    <x v="21"/>
    <d v="2025-08-22T00:00:00"/>
    <n v="6833"/>
    <s v="Kunhiraman,Lakshmikanth"/>
    <n v="104.04412247883027"/>
    <d v="2025-08-22T00:00:00"/>
    <n v="3"/>
    <x v="4"/>
    <s v="Enterprise Architect"/>
  </r>
  <r>
    <n v="67263"/>
    <x v="6"/>
    <s v="01192808"/>
    <x v="21"/>
    <d v="2025-08-25T00:00:00"/>
    <n v="6833"/>
    <s v="Kunhiraman,Lakshmikanth"/>
    <n v="138.72549663844038"/>
    <d v="2025-08-25T00:00:00"/>
    <n v="4"/>
    <x v="4"/>
    <s v="Enterprise Architect"/>
  </r>
  <r>
    <n v="67263"/>
    <x v="6"/>
    <s v="01192808"/>
    <x v="21"/>
    <d v="2025-08-25T00:00:00"/>
    <s v="IA1421"/>
    <s v="Jayapal,Muruganandham"/>
    <n v="69.362748319220188"/>
    <d v="2025-08-25T00:00:00"/>
    <n v="2"/>
    <x v="4"/>
    <s v="Engg Manager"/>
  </r>
  <r>
    <n v="67263"/>
    <x v="6"/>
    <s v="01192808"/>
    <x v="21"/>
    <d v="2025-08-26T00:00:00"/>
    <n v="6833"/>
    <s v="Kunhiraman,Lakshmikanth"/>
    <n v="138.72549663844038"/>
    <d v="2025-08-26T00:00:00"/>
    <n v="4"/>
    <x v="4"/>
    <s v="Enterprise Architect"/>
  </r>
  <r>
    <n v="67263"/>
    <x v="6"/>
    <s v="01192808"/>
    <x v="21"/>
    <d v="2025-08-26T00:00:00"/>
    <s v="IA1421"/>
    <s v="Jayapal,Muruganandham"/>
    <n v="69.362748319220188"/>
    <d v="2025-08-26T00:00:00"/>
    <n v="2"/>
    <x v="4"/>
    <s v="Engg Manager"/>
  </r>
  <r>
    <n v="67263"/>
    <x v="6"/>
    <s v="01192808"/>
    <x v="21"/>
    <d v="2025-08-27T00:00:00"/>
    <s v="IA1421"/>
    <s v="Jayapal,Muruganandham"/>
    <n v="69.362748319220188"/>
    <d v="2025-08-27T00:00:00"/>
    <n v="2"/>
    <x v="4"/>
    <s v="Engg Manager"/>
  </r>
  <r>
    <n v="67263"/>
    <x v="6"/>
    <s v="01192808"/>
    <x v="21"/>
    <d v="2025-08-28T00:00:00"/>
    <s v="IA1421"/>
    <s v="Jayapal,Muruganandham"/>
    <n v="69.362748319220188"/>
    <d v="2025-08-28T00:00:00"/>
    <n v="2"/>
    <x v="4"/>
    <s v="Engg Manager"/>
  </r>
  <r>
    <n v="67263"/>
    <x v="6"/>
    <s v="01192808"/>
    <x v="21"/>
    <d v="2025-08-29T00:00:00"/>
    <s v="IA1421"/>
    <s v="Jayapal,Muruganandham"/>
    <n v="69.362748319220188"/>
    <d v="2025-08-29T00:00:00"/>
    <n v="2"/>
    <x v="4"/>
    <s v="Engg Manager"/>
  </r>
  <r>
    <n v="67263"/>
    <x v="6"/>
    <s v="01192808"/>
    <x v="21"/>
    <d v="2025-09-01T00:00:00"/>
    <n v="6833"/>
    <s v="Kunhiraman,Lakshmikanth"/>
    <n v="104.04412247883027"/>
    <d v="2025-09-01T00:00:00"/>
    <n v="3"/>
    <x v="5"/>
    <s v="Enterprise Architect"/>
  </r>
  <r>
    <n v="67263"/>
    <x v="6"/>
    <s v="01192808"/>
    <x v="21"/>
    <d v="2025-09-02T00:00:00"/>
    <n v="6833"/>
    <s v="Kunhiraman,Lakshmikanth"/>
    <n v="104.04412247883027"/>
    <d v="2025-09-02T00:00:00"/>
    <n v="3"/>
    <x v="5"/>
    <s v="Enterprise Architect"/>
  </r>
  <r>
    <n v="67263"/>
    <x v="6"/>
    <s v="01192808"/>
    <x v="21"/>
    <d v="2025-09-03T00:00:00"/>
    <n v="6833"/>
    <s v="Kunhiraman,Lakshmikanth"/>
    <n v="104.04412247883027"/>
    <d v="2025-09-03T00:00:00"/>
    <n v="3"/>
    <x v="5"/>
    <s v="Enterprise Architect"/>
  </r>
  <r>
    <n v="67263"/>
    <x v="6"/>
    <s v="01192808"/>
    <x v="21"/>
    <d v="2025-09-04T00:00:00"/>
    <n v="6833"/>
    <s v="Kunhiraman,Lakshmikanth"/>
    <n v="104.04412247883027"/>
    <d v="2025-09-04T00:00:00"/>
    <n v="3"/>
    <x v="5"/>
    <s v="Enterprise Architect"/>
  </r>
  <r>
    <n v="67263"/>
    <x v="6"/>
    <s v="01192808"/>
    <x v="21"/>
    <d v="2025-09-08T00:00:00"/>
    <n v="6833"/>
    <s v="Kunhiraman,Lakshmikanth"/>
    <n v="104.04412247883027"/>
    <d v="2025-09-08T00:00:00"/>
    <n v="3"/>
    <x v="5"/>
    <s v="Enterprise Architect"/>
  </r>
  <r>
    <n v="67263"/>
    <x v="6"/>
    <s v="01192808"/>
    <x v="21"/>
    <d v="2025-09-09T00:00:00"/>
    <n v="6833"/>
    <s v="Kunhiraman,Lakshmikanth"/>
    <n v="104.04412247883027"/>
    <d v="2025-09-09T00:00:00"/>
    <n v="3"/>
    <x v="5"/>
    <s v="Enterprise Architect"/>
  </r>
  <r>
    <n v="67263"/>
    <x v="6"/>
    <s v="01192808"/>
    <x v="21"/>
    <d v="2025-09-10T00:00:00"/>
    <n v="6833"/>
    <s v="Kunhiraman,Lakshmikanth"/>
    <n v="104.04412247883027"/>
    <d v="2025-09-10T00:00:00"/>
    <n v="3"/>
    <x v="5"/>
    <s v="Enterprise Architect"/>
  </r>
  <r>
    <n v="67263"/>
    <x v="6"/>
    <s v="01192808"/>
    <x v="21"/>
    <d v="2025-09-11T00:00:00"/>
    <n v="6833"/>
    <s v="Kunhiraman,Lakshmikanth"/>
    <n v="104.04412247883027"/>
    <d v="2025-09-11T00:00:00"/>
    <n v="3"/>
    <x v="5"/>
    <s v="Enterprise Architect"/>
  </r>
  <r>
    <n v="67263"/>
    <x v="6"/>
    <s v="01192808"/>
    <x v="21"/>
    <d v="2025-09-12T00:00:00"/>
    <n v="6833"/>
    <s v="Kunhiraman,Lakshmikanth"/>
    <n v="104.04412247883027"/>
    <d v="2025-09-12T00:00:00"/>
    <n v="3"/>
    <x v="5"/>
    <s v="Enterprise Architect"/>
  </r>
  <r>
    <n v="67263"/>
    <x v="6"/>
    <s v="01192808"/>
    <x v="21"/>
    <d v="2025-09-15T00:00:00"/>
    <n v="6833"/>
    <s v="Kunhiraman,Lakshmikanth"/>
    <n v="104.04412247883027"/>
    <d v="2025-09-15T00:00:00"/>
    <n v="3"/>
    <x v="5"/>
    <s v="Enterprise Architect"/>
  </r>
  <r>
    <n v="67263"/>
    <x v="6"/>
    <s v="01192808"/>
    <x v="21"/>
    <d v="2025-09-15T00:00:00"/>
    <s v="IA1421"/>
    <s v="Jayapal,Muruganandham"/>
    <n v="69.362748319220188"/>
    <d v="2025-09-15T00:00:00"/>
    <n v="2"/>
    <x v="5"/>
    <s v="Engg Manager"/>
  </r>
  <r>
    <n v="67263"/>
    <x v="6"/>
    <s v="01192808"/>
    <x v="21"/>
    <d v="2025-09-16T00:00:00"/>
    <n v="6833"/>
    <s v="Kunhiraman,Lakshmikanth"/>
    <n v="104.04412247883027"/>
    <d v="2025-09-16T00:00:00"/>
    <n v="3"/>
    <x v="5"/>
    <s v="Enterprise Architect"/>
  </r>
  <r>
    <n v="67263"/>
    <x v="6"/>
    <s v="01192808"/>
    <x v="21"/>
    <d v="2025-09-16T00:00:00"/>
    <s v="IA1421"/>
    <s v="Jayapal,Muruganandham"/>
    <n v="69.362748319220188"/>
    <d v="2025-09-16T00:00:00"/>
    <n v="2"/>
    <x v="5"/>
    <s v="Engg Manager"/>
  </r>
  <r>
    <n v="67263"/>
    <x v="6"/>
    <s v="01192808"/>
    <x v="21"/>
    <d v="2025-09-17T00:00:00"/>
    <n v="6833"/>
    <s v="Kunhiraman,Lakshmikanth"/>
    <n v="104.04412247883027"/>
    <d v="2025-09-17T00:00:00"/>
    <n v="3"/>
    <x v="5"/>
    <s v="Enterprise Architect"/>
  </r>
  <r>
    <n v="67263"/>
    <x v="6"/>
    <s v="01192808"/>
    <x v="21"/>
    <d v="2025-09-17T00:00:00"/>
    <s v="IA1421"/>
    <s v="Jayapal,Muruganandham"/>
    <n v="69.362748319220188"/>
    <d v="2025-09-17T00:00:00"/>
    <n v="2"/>
    <x v="5"/>
    <s v="Engg Manager"/>
  </r>
  <r>
    <n v="67263"/>
    <x v="6"/>
    <s v="01192808"/>
    <x v="21"/>
    <d v="2025-09-18T00:00:00"/>
    <n v="6833"/>
    <s v="Kunhiraman,Lakshmikanth"/>
    <n v="104.04412247883027"/>
    <d v="2025-09-18T00:00:00"/>
    <n v="3"/>
    <x v="5"/>
    <s v="Enterprise Architect"/>
  </r>
  <r>
    <n v="67263"/>
    <x v="6"/>
    <s v="01192808"/>
    <x v="21"/>
    <d v="2025-09-18T00:00:00"/>
    <s v="IA1421"/>
    <s v="Jayapal,Muruganandham"/>
    <n v="69.362748319220188"/>
    <d v="2025-09-18T00:00:00"/>
    <n v="2"/>
    <x v="5"/>
    <s v="Engg Manager"/>
  </r>
  <r>
    <n v="67263"/>
    <x v="6"/>
    <s v="01192808"/>
    <x v="21"/>
    <d v="2025-09-19T00:00:00"/>
    <n v="6833"/>
    <s v="Kunhiraman,Lakshmikanth"/>
    <n v="104.04412247883027"/>
    <d v="2025-09-19T00:00:00"/>
    <n v="3"/>
    <x v="5"/>
    <s v="Enterprise Architect"/>
  </r>
  <r>
    <n v="67263"/>
    <x v="6"/>
    <s v="01192808"/>
    <x v="21"/>
    <d v="2025-09-19T00:00:00"/>
    <s v="IA1421"/>
    <s v="Jayapal,Muruganandham"/>
    <n v="69.362748319220188"/>
    <d v="2025-09-19T00:00:00"/>
    <n v="2"/>
    <x v="5"/>
    <s v="Engg Manager"/>
  </r>
  <r>
    <n v="67263"/>
    <x v="6"/>
    <s v="01192808"/>
    <x v="21"/>
    <d v="2025-09-22T00:00:00"/>
    <n v="6833"/>
    <s v="Kunhiraman,Lakshmikanth"/>
    <n v="69.362748319220188"/>
    <d v="2025-09-22T00:00:00"/>
    <n v="2"/>
    <x v="5"/>
    <s v="Enterprise Architect"/>
  </r>
  <r>
    <n v="67263"/>
    <x v="6"/>
    <s v="01192808"/>
    <x v="21"/>
    <d v="2025-09-22T00:00:00"/>
    <s v="IA1421"/>
    <s v="Jayapal,Muruganandham"/>
    <n v="69.362748319220188"/>
    <d v="2025-09-22T00:00:00"/>
    <n v="2"/>
    <x v="5"/>
    <s v="Engg Manager"/>
  </r>
  <r>
    <n v="67263"/>
    <x v="6"/>
    <s v="01192808"/>
    <x v="21"/>
    <d v="2025-09-23T00:00:00"/>
    <n v="6833"/>
    <s v="Kunhiraman,Lakshmikanth"/>
    <n v="69.362748319220188"/>
    <d v="2025-09-23T00:00:00"/>
    <n v="2"/>
    <x v="5"/>
    <s v="Enterprise Architect"/>
  </r>
  <r>
    <n v="67263"/>
    <x v="6"/>
    <s v="01192808"/>
    <x v="21"/>
    <d v="2025-09-23T00:00:00"/>
    <s v="IA1421"/>
    <s v="Jayapal,Muruganandham"/>
    <n v="69.362748319220188"/>
    <d v="2025-09-23T00:00:00"/>
    <n v="2"/>
    <x v="5"/>
    <s v="Engg Manager"/>
  </r>
  <r>
    <n v="67263"/>
    <x v="6"/>
    <s v="01192808"/>
    <x v="21"/>
    <d v="2025-09-24T00:00:00"/>
    <n v="6833"/>
    <s v="Kunhiraman,Lakshmikanth"/>
    <n v="104.04412247883027"/>
    <d v="2025-09-24T00:00:00"/>
    <n v="3"/>
    <x v="5"/>
    <s v="Enterprise Architect"/>
  </r>
  <r>
    <n v="67263"/>
    <x v="6"/>
    <s v="01192808"/>
    <x v="21"/>
    <d v="2025-09-24T00:00:00"/>
    <s v="IA1421"/>
    <s v="Jayapal,Muruganandham"/>
    <n v="69.362748319220188"/>
    <d v="2025-09-24T00:00:00"/>
    <n v="2"/>
    <x v="5"/>
    <s v="Engg Manager"/>
  </r>
  <r>
    <n v="67263"/>
    <x v="6"/>
    <s v="01192808"/>
    <x v="21"/>
    <d v="2025-09-25T00:00:00"/>
    <n v="6833"/>
    <s v="Kunhiraman,Lakshmikanth"/>
    <n v="69.362748319220188"/>
    <d v="2025-09-25T00:00:00"/>
    <n v="2"/>
    <x v="5"/>
    <s v="Enterprise Architect"/>
  </r>
  <r>
    <n v="67263"/>
    <x v="6"/>
    <s v="01192808"/>
    <x v="21"/>
    <d v="2025-09-25T00:00:00"/>
    <s v="IA1421"/>
    <s v="Jayapal,Muruganandham"/>
    <n v="69.362748319220188"/>
    <d v="2025-09-25T00:00:00"/>
    <n v="2"/>
    <x v="5"/>
    <s v="Engg Manager"/>
  </r>
  <r>
    <n v="67263"/>
    <x v="6"/>
    <s v="01192808"/>
    <x v="21"/>
    <d v="2025-09-26T00:00:00"/>
    <n v="6833"/>
    <s v="Kunhiraman,Lakshmikanth"/>
    <n v="69.362748319220188"/>
    <d v="2025-09-26T00:00:00"/>
    <n v="2"/>
    <x v="5"/>
    <s v="Enterprise Architect"/>
  </r>
  <r>
    <n v="67263"/>
    <x v="6"/>
    <s v="01192808"/>
    <x v="21"/>
    <d v="2025-09-26T00:00:00"/>
    <s v="IA1421"/>
    <s v="Jayapal,Muruganandham"/>
    <n v="69.362748319220188"/>
    <d v="2025-09-26T00:00:00"/>
    <n v="2"/>
    <x v="5"/>
    <s v="Engg Manager"/>
  </r>
  <r>
    <n v="67263"/>
    <x v="6"/>
    <s v="01192808"/>
    <x v="21"/>
    <d v="2025-09-29T00:00:00"/>
    <s v="IA1421"/>
    <s v="Jayapal,Muruganandham"/>
    <n v="69.362748319220188"/>
    <d v="2025-09-29T00:00:00"/>
    <n v="2"/>
    <x v="5"/>
    <s v="Engg Manager"/>
  </r>
  <r>
    <n v="67263"/>
    <x v="6"/>
    <s v="01192808"/>
    <x v="21"/>
    <d v="2025-09-30T00:00:00"/>
    <s v="IA1421"/>
    <s v="Jayapal,Muruganandham"/>
    <n v="69.362748319220188"/>
    <d v="2025-09-30T00:00:00"/>
    <n v="2"/>
    <x v="5"/>
    <s v="Engg Manager"/>
  </r>
  <r>
    <n v="67263"/>
    <x v="6"/>
    <s v="01192808"/>
    <x v="21"/>
    <d v="2025-10-03T00:00:00"/>
    <s v="IA1421"/>
    <s v="Jayapal,Muruganandham"/>
    <n v="69.362748319220188"/>
    <d v="2025-10-03T00:00:00"/>
    <n v="2"/>
    <x v="6"/>
    <s v="Engg Manager"/>
  </r>
  <r>
    <n v="67263"/>
    <x v="6"/>
    <s v="01192808"/>
    <x v="21"/>
    <d v="2025-10-06T00:00:00"/>
    <s v="IA1421"/>
    <s v="Jayapal,Muruganandham"/>
    <n v="69.362748319220188"/>
    <d v="2025-10-06T00:00:00"/>
    <n v="2"/>
    <x v="6"/>
    <s v="Engg Manager"/>
  </r>
  <r>
    <n v="67263"/>
    <x v="6"/>
    <s v="01192808"/>
    <x v="21"/>
    <d v="2025-10-07T00:00:00"/>
    <s v="IA1421"/>
    <s v="Jayapal,Muruganandham"/>
    <n v="69.362748319220188"/>
    <d v="2025-10-07T00:00:00"/>
    <n v="2"/>
    <x v="6"/>
    <s v="Engg Manager"/>
  </r>
  <r>
    <n v="67263"/>
    <x v="6"/>
    <s v="01192808"/>
    <x v="21"/>
    <d v="2025-10-08T00:00:00"/>
    <s v="IA1421"/>
    <s v="Jayapal,Muruganandham"/>
    <n v="69.362748319220188"/>
    <d v="2025-10-08T00:00:00"/>
    <n v="2"/>
    <x v="6"/>
    <s v="Engg Manager"/>
  </r>
  <r>
    <n v="67263"/>
    <x v="6"/>
    <s v="01192808"/>
    <x v="21"/>
    <d v="2025-10-09T00:00:00"/>
    <s v="IA1421"/>
    <s v="Jayapal,Muruganandham"/>
    <n v="69.362748319220188"/>
    <d v="2025-10-09T00:00:00"/>
    <n v="2"/>
    <x v="6"/>
    <s v="Engg Manager"/>
  </r>
  <r>
    <n v="67263"/>
    <x v="6"/>
    <s v="01192808"/>
    <x v="21"/>
    <d v="2025-10-10T00:00:00"/>
    <s v="IA1421"/>
    <s v="Jayapal,Muruganandham"/>
    <n v="69.362748319220188"/>
    <d v="2025-10-10T00:00:00"/>
    <n v="2"/>
    <x v="6"/>
    <s v="Engg Manager"/>
  </r>
  <r>
    <n v="67263"/>
    <x v="6"/>
    <s v="01192808"/>
    <x v="21"/>
    <d v="2025-10-10T00:00:00"/>
    <n v="6833"/>
    <s v="Kunhiraman,Lakshmikanth"/>
    <n v="104.04412247883027"/>
    <d v="2025-10-10T00:00:00"/>
    <n v="3"/>
    <x v="6"/>
    <s v="Enterprise Architect"/>
  </r>
  <r>
    <n v="67263"/>
    <x v="6"/>
    <s v="01192808"/>
    <x v="21"/>
    <d v="2025-10-13T00:00:00"/>
    <n v="6833"/>
    <s v="Kunhiraman,Lakshmikanth"/>
    <n v="138.72549663844038"/>
    <d v="2025-10-13T00:00:00"/>
    <n v="4"/>
    <x v="6"/>
    <s v="Enterprise Architect"/>
  </r>
  <r>
    <n v="67263"/>
    <x v="6"/>
    <s v="01192808"/>
    <x v="21"/>
    <d v="2025-10-13T00:00:00"/>
    <s v="IA1421"/>
    <s v="Jayapal,Muruganandham"/>
    <n v="69.362748319220188"/>
    <d v="2025-10-13T00:00:00"/>
    <n v="2"/>
    <x v="6"/>
    <s v="Engg Manager"/>
  </r>
  <r>
    <n v="67263"/>
    <x v="6"/>
    <s v="01192808"/>
    <x v="21"/>
    <d v="2025-10-14T00:00:00"/>
    <n v="6833"/>
    <s v="Kunhiraman,Lakshmikanth"/>
    <n v="138.72549663844038"/>
    <d v="2025-10-14T00:00:00"/>
    <n v="4"/>
    <x v="6"/>
    <s v="Enterprise Architect"/>
  </r>
  <r>
    <n v="67263"/>
    <x v="6"/>
    <s v="01192808"/>
    <x v="21"/>
    <d v="2025-10-14T00:00:00"/>
    <s v="IA1421"/>
    <s v="Jayapal,Muruganandham"/>
    <n v="69.362748319220188"/>
    <d v="2025-10-14T00:00:00"/>
    <n v="2"/>
    <x v="6"/>
    <s v="Engg Manager"/>
  </r>
  <r>
    <n v="67263"/>
    <x v="6"/>
    <s v="01192808"/>
    <x v="21"/>
    <d v="2025-10-15T00:00:00"/>
    <n v="6833"/>
    <s v="Kunhiraman,Lakshmikanth"/>
    <n v="138.72549663844038"/>
    <d v="2025-10-15T00:00:00"/>
    <n v="4"/>
    <x v="6"/>
    <s v="Enterprise Architect"/>
  </r>
  <r>
    <n v="67263"/>
    <x v="6"/>
    <s v="01192808"/>
    <x v="21"/>
    <d v="2025-10-15T00:00:00"/>
    <s v="IA1421"/>
    <s v="Jayapal,Muruganandham"/>
    <n v="69.362748319220188"/>
    <d v="2025-10-15T00:00:00"/>
    <n v="2"/>
    <x v="6"/>
    <s v="Engg Manager"/>
  </r>
  <r>
    <n v="67263"/>
    <x v="6"/>
    <s v="01192808"/>
    <x v="21"/>
    <d v="2025-10-16T00:00:00"/>
    <n v="6833"/>
    <s v="Kunhiraman,Lakshmikanth"/>
    <n v="138.72549663844038"/>
    <d v="2025-10-16T00:00:00"/>
    <n v="4"/>
    <x v="6"/>
    <s v="Enterprise Architect"/>
  </r>
  <r>
    <n v="67263"/>
    <x v="6"/>
    <s v="01192808"/>
    <x v="21"/>
    <d v="2025-10-16T00:00:00"/>
    <s v="IA1421"/>
    <s v="Jayapal,Muruganandham"/>
    <n v="69.362748319220188"/>
    <d v="2025-10-16T00:00:00"/>
    <n v="2"/>
    <x v="6"/>
    <s v="Engg Manager"/>
  </r>
  <r>
    <n v="67263"/>
    <x v="6"/>
    <s v="01192808"/>
    <x v="21"/>
    <d v="2025-10-17T00:00:00"/>
    <n v="6833"/>
    <s v="Kunhiraman,Lakshmikanth"/>
    <n v="138.72549663844038"/>
    <d v="2025-10-17T00:00:00"/>
    <n v="4"/>
    <x v="6"/>
    <s v="Enterprise Architect"/>
  </r>
  <r>
    <n v="67263"/>
    <x v="6"/>
    <s v="01192808"/>
    <x v="21"/>
    <d v="2025-10-17T00:00:00"/>
    <s v="IA1421"/>
    <s v="Jayapal,Muruganandham"/>
    <n v="69.362748319220188"/>
    <d v="2025-10-17T00:00:00"/>
    <n v="2"/>
    <x v="6"/>
    <s v="Engg Manager"/>
  </r>
  <r>
    <n v="67263"/>
    <x v="6"/>
    <s v="01192808"/>
    <x v="21"/>
    <d v="2025-10-20T00:00:00"/>
    <s v="IA1421"/>
    <s v="Jayapal,Muruganandham"/>
    <n v="34.681374159610094"/>
    <d v="2025-10-20T00:00:00"/>
    <n v="1"/>
    <x v="6"/>
    <s v="Engg Manager"/>
  </r>
  <r>
    <n v="67263"/>
    <x v="6"/>
    <s v="01192808"/>
    <x v="21"/>
    <d v="2025-10-22T00:00:00"/>
    <s v="IA1421"/>
    <s v="Jayapal,Muruganandham"/>
    <n v="34.681374159610094"/>
    <d v="2025-10-22T00:00:00"/>
    <n v="1"/>
    <x v="6"/>
    <s v="Engg Manager"/>
  </r>
  <r>
    <n v="67263"/>
    <x v="6"/>
    <s v="01192808"/>
    <x v="21"/>
    <d v="2025-10-22T00:00:00"/>
    <n v="6833"/>
    <s v="Kunhiraman,Lakshmikanth"/>
    <n v="34.681374159610094"/>
    <d v="2025-10-22T00:00:00"/>
    <n v="1"/>
    <x v="6"/>
    <s v="Enterprise Architect"/>
  </r>
  <r>
    <n v="67263"/>
    <x v="6"/>
    <s v="01192808"/>
    <x v="21"/>
    <d v="2025-10-23T00:00:00"/>
    <s v="IA1421"/>
    <s v="Jayapal,Muruganandham"/>
    <n v="34.681374159610094"/>
    <d v="2025-10-23T00:00:00"/>
    <n v="1"/>
    <x v="6"/>
    <s v="Engg Manager"/>
  </r>
  <r>
    <n v="67263"/>
    <x v="6"/>
    <s v="01192808"/>
    <x v="21"/>
    <d v="2025-10-23T00:00:00"/>
    <n v="6833"/>
    <s v="Kunhiraman,Lakshmikanth"/>
    <n v="34.681374159610094"/>
    <d v="2025-10-23T00:00:00"/>
    <n v="1"/>
    <x v="6"/>
    <s v="Enterprise Architect"/>
  </r>
  <r>
    <n v="67263"/>
    <x v="6"/>
    <s v="01192808"/>
    <x v="21"/>
    <d v="2025-10-24T00:00:00"/>
    <s v="IA1421"/>
    <s v="Jayapal,Muruganandham"/>
    <n v="34.681374159610094"/>
    <d v="2025-10-24T00:00:00"/>
    <n v="1"/>
    <x v="6"/>
    <s v="Engg Manager"/>
  </r>
  <r>
    <n v="67263"/>
    <x v="6"/>
    <s v="01192808"/>
    <x v="21"/>
    <d v="2025-10-24T00:00:00"/>
    <n v="6833"/>
    <s v="Kunhiraman,Lakshmikanth"/>
    <n v="34.681374159610094"/>
    <d v="2025-10-24T00:00:00"/>
    <n v="1"/>
    <x v="6"/>
    <s v="Enterprise Architect"/>
  </r>
  <r>
    <n v="67263"/>
    <x v="6"/>
    <s v="01192808"/>
    <x v="21"/>
    <d v="2025-10-27T00:00:00"/>
    <s v="IA1421"/>
    <s v="Jayapal,Muruganandham"/>
    <n v="34.681374159610094"/>
    <d v="2025-10-27T00:00:00"/>
    <n v="1"/>
    <x v="6"/>
    <s v="Engg Manager"/>
  </r>
  <r>
    <n v="67263"/>
    <x v="6"/>
    <s v="01192808"/>
    <x v="21"/>
    <d v="2025-10-27T00:00:00"/>
    <n v="6833"/>
    <s v="Kunhiraman,Lakshmikanth"/>
    <n v="69.362748319220188"/>
    <d v="2025-10-27T00:00:00"/>
    <n v="2"/>
    <x v="6"/>
    <s v="Enterprise Architect"/>
  </r>
  <r>
    <n v="67263"/>
    <x v="6"/>
    <s v="01192808"/>
    <x v="21"/>
    <d v="2025-10-28T00:00:00"/>
    <s v="IA1421"/>
    <s v="Jayapal,Muruganandham"/>
    <n v="34.681374159610094"/>
    <d v="2025-10-28T00:00:00"/>
    <n v="1"/>
    <x v="6"/>
    <s v="Engg Manager"/>
  </r>
  <r>
    <n v="67263"/>
    <x v="6"/>
    <s v="01192808"/>
    <x v="21"/>
    <d v="2025-10-28T00:00:00"/>
    <n v="6833"/>
    <s v="Kunhiraman,Lakshmikanth"/>
    <n v="69.362748319220188"/>
    <d v="2025-10-28T00:00:00"/>
    <n v="2"/>
    <x v="6"/>
    <s v="Enterprise Architect"/>
  </r>
  <r>
    <n v="67263"/>
    <x v="6"/>
    <s v="01192808"/>
    <x v="21"/>
    <d v="2025-10-29T00:00:00"/>
    <s v="IA1421"/>
    <s v="Jayapal,Muruganandham"/>
    <n v="34.681374159610094"/>
    <d v="2025-10-29T00:00:00"/>
    <n v="1"/>
    <x v="6"/>
    <s v="Engg Manager"/>
  </r>
  <r>
    <n v="67263"/>
    <x v="6"/>
    <s v="01192808"/>
    <x v="21"/>
    <d v="2025-10-29T00:00:00"/>
    <n v="6833"/>
    <s v="Kunhiraman,Lakshmikanth"/>
    <n v="34.681374159610094"/>
    <d v="2025-10-29T00:00:00"/>
    <n v="1"/>
    <x v="6"/>
    <s v="Enterprise Architect"/>
  </r>
  <r>
    <n v="67263"/>
    <x v="6"/>
    <s v="01192808"/>
    <x v="21"/>
    <d v="2025-10-30T00:00:00"/>
    <s v="IA1421"/>
    <s v="Jayapal,Muruganandham"/>
    <n v="34.681374159610094"/>
    <d v="2025-10-30T00:00:00"/>
    <n v="1"/>
    <x v="6"/>
    <s v="Engg Manager"/>
  </r>
  <r>
    <n v="67263"/>
    <x v="6"/>
    <s v="01192808"/>
    <x v="21"/>
    <d v="2025-10-31T00:00:00"/>
    <s v="IA1421"/>
    <s v="Jayapal,Muruganandham"/>
    <n v="34.681374159610094"/>
    <d v="2025-10-31T00:00:00"/>
    <n v="1"/>
    <x v="6"/>
    <s v="Engg Manager"/>
  </r>
  <r>
    <n v="67263"/>
    <x v="6"/>
    <s v="01192808"/>
    <x v="21"/>
    <d v="2025-10-30T00:00:00"/>
    <n v="6833"/>
    <s v="Kunhiraman,Lakshmikanth"/>
    <n v="34.681374159610094"/>
    <d v="2025-10-30T00:00:00"/>
    <n v="1"/>
    <x v="6"/>
    <s v="Enterprise Architect"/>
  </r>
  <r>
    <n v="67263"/>
    <x v="6"/>
    <s v="01192808"/>
    <x v="21"/>
    <d v="2025-10-31T00:00:00"/>
    <n v="6833"/>
    <s v="Kunhiraman,Lakshmikanth"/>
    <n v="69.362748319220188"/>
    <d v="2025-10-31T00:00:00"/>
    <n v="2"/>
    <x v="6"/>
    <s v="Enterprise Architect"/>
  </r>
  <r>
    <n v="67263"/>
    <x v="6"/>
    <s v="01192808"/>
    <x v="21"/>
    <d v="2025-11-03T00:00:00"/>
    <n v="6833"/>
    <s v="Kunhiraman,Lakshmikanth"/>
    <n v="34.681374159610094"/>
    <d v="2025-11-03T00:00:00"/>
    <n v="1"/>
    <x v="7"/>
    <s v="Enterprise Architect"/>
  </r>
  <r>
    <n v="67263"/>
    <x v="6"/>
    <s v="01192808"/>
    <x v="21"/>
    <d v="2025-11-03T00:00:00"/>
    <s v="IA1421"/>
    <s v="Jayapal,Muruganandham"/>
    <n v="34.681374159610094"/>
    <d v="2025-11-03T00:00:00"/>
    <n v="1"/>
    <x v="7"/>
    <s v="Engg Manager"/>
  </r>
  <r>
    <n v="67263"/>
    <x v="6"/>
    <s v="01192808"/>
    <x v="21"/>
    <d v="2025-11-04T00:00:00"/>
    <n v="6833"/>
    <s v="Kunhiraman,Lakshmikanth"/>
    <n v="34.681374159610094"/>
    <d v="2025-11-04T00:00:00"/>
    <n v="1"/>
    <x v="7"/>
    <s v="Enterprise Architect"/>
  </r>
  <r>
    <n v="67263"/>
    <x v="6"/>
    <s v="01192808"/>
    <x v="21"/>
    <d v="2025-11-04T00:00:00"/>
    <s v="IA1421"/>
    <s v="Jayapal,Muruganandham"/>
    <n v="34.681374159610094"/>
    <d v="2025-11-04T00:00:00"/>
    <n v="1"/>
    <x v="7"/>
    <s v="Engg Manager"/>
  </r>
  <r>
    <n v="67263"/>
    <x v="6"/>
    <s v="01192808"/>
    <x v="21"/>
    <d v="2025-11-05T00:00:00"/>
    <n v="6833"/>
    <s v="Kunhiraman,Lakshmikanth"/>
    <n v="34.681374159610094"/>
    <d v="2025-11-05T00:00:00"/>
    <n v="1"/>
    <x v="7"/>
    <s v="Enterprise Architect"/>
  </r>
  <r>
    <n v="67263"/>
    <x v="6"/>
    <s v="01192808"/>
    <x v="21"/>
    <d v="2025-11-05T00:00:00"/>
    <s v="IA1421"/>
    <s v="Jayapal,Muruganandham"/>
    <n v="34.681374159610094"/>
    <d v="2025-11-05T00:00:00"/>
    <n v="1"/>
    <x v="7"/>
    <s v="Engg Manager"/>
  </r>
  <r>
    <n v="67263"/>
    <x v="6"/>
    <s v="01192808"/>
    <x v="21"/>
    <d v="2025-11-06T00:00:00"/>
    <n v="6833"/>
    <s v="Kunhiraman,Lakshmikanth"/>
    <n v="34.681374159610094"/>
    <d v="2025-11-06T00:00:00"/>
    <n v="1"/>
    <x v="7"/>
    <s v="Enterprise Architect"/>
  </r>
  <r>
    <n v="67263"/>
    <x v="6"/>
    <s v="01192808"/>
    <x v="21"/>
    <d v="2025-11-06T00:00:00"/>
    <s v="IA1421"/>
    <s v="Jayapal,Muruganandham"/>
    <n v="34.681374159610094"/>
    <d v="2025-11-06T00:00:00"/>
    <n v="1"/>
    <x v="7"/>
    <s v="Engg Manager"/>
  </r>
  <r>
    <n v="67263"/>
    <x v="6"/>
    <s v="01192808"/>
    <x v="21"/>
    <d v="2025-11-07T00:00:00"/>
    <n v="6833"/>
    <s v="Kunhiraman,Lakshmikanth"/>
    <n v="34.681374159610094"/>
    <d v="2025-11-07T00:00:00"/>
    <n v="1"/>
    <x v="7"/>
    <s v="Enterprise Architect"/>
  </r>
  <r>
    <n v="67263"/>
    <x v="6"/>
    <s v="01192808"/>
    <x v="21"/>
    <d v="2025-11-07T00:00:00"/>
    <s v="IA1421"/>
    <s v="Jayapal,Muruganandham"/>
    <n v="34.681374159610094"/>
    <d v="2025-11-07T00:00:00"/>
    <n v="1"/>
    <x v="7"/>
    <s v="Engg Manager"/>
  </r>
  <r>
    <n v="67263"/>
    <x v="6"/>
    <s v="01192808"/>
    <x v="21"/>
    <d v="2025-11-10T00:00:00"/>
    <n v="6833"/>
    <s v="Kunhiraman,Lakshmikanth"/>
    <n v="34.681374159610094"/>
    <d v="2025-11-10T00:00:00"/>
    <n v="1"/>
    <x v="7"/>
    <s v="Enterprise Architect"/>
  </r>
  <r>
    <n v="67263"/>
    <x v="6"/>
    <s v="01192808"/>
    <x v="21"/>
    <d v="2025-11-11T00:00:00"/>
    <n v="6833"/>
    <s v="Kunhiraman,Lakshmikanth"/>
    <n v="34.681374159610094"/>
    <d v="2025-11-11T00:00:00"/>
    <n v="1"/>
    <x v="7"/>
    <s v="Enterprise Architect"/>
  </r>
  <r>
    <n v="67263"/>
    <x v="6"/>
    <s v="01192808"/>
    <x v="21"/>
    <d v="2025-11-12T00:00:00"/>
    <n v="6833"/>
    <s v="Kunhiraman,Lakshmikanth"/>
    <n v="69.362748319220188"/>
    <d v="2025-11-12T00:00:00"/>
    <n v="2"/>
    <x v="7"/>
    <s v="Enterprise Architect"/>
  </r>
  <r>
    <n v="67263"/>
    <x v="6"/>
    <s v="01192808"/>
    <x v="21"/>
    <d v="2025-11-14T00:00:00"/>
    <n v="6833"/>
    <s v="Kunhiraman,Lakshmikanth"/>
    <n v="34.681374159610094"/>
    <d v="2025-11-14T00:00:00"/>
    <n v="1"/>
    <x v="7"/>
    <s v="Enterprise Architect"/>
  </r>
  <r>
    <n v="67263"/>
    <x v="6"/>
    <s v="01192808"/>
    <x v="21"/>
    <d v="2025-11-17T00:00:00"/>
    <n v="6833"/>
    <s v="Kunhiraman,Lakshmikanth"/>
    <n v="69.362748319220188"/>
    <d v="2025-11-17T00:00:00"/>
    <n v="2"/>
    <x v="7"/>
    <s v="Enterprise Architect"/>
  </r>
  <r>
    <n v="67263"/>
    <x v="6"/>
    <s v="01192808"/>
    <x v="21"/>
    <d v="2025-11-18T00:00:00"/>
    <n v="6833"/>
    <s v="Kunhiraman,Lakshmikanth"/>
    <n v="69.362748319220188"/>
    <d v="2025-11-18T00:00:00"/>
    <n v="2"/>
    <x v="7"/>
    <s v="Enterprise Architect"/>
  </r>
  <r>
    <n v="67263"/>
    <x v="6"/>
    <s v="01192808"/>
    <x v="21"/>
    <d v="2025-11-19T00:00:00"/>
    <n v="6833"/>
    <s v="Kunhiraman,Lakshmikanth"/>
    <n v="69.362748319220188"/>
    <d v="2025-11-19T00:00:00"/>
    <n v="2"/>
    <x v="7"/>
    <s v="Enterprise Architect"/>
  </r>
  <r>
    <n v="67263"/>
    <x v="6"/>
    <s v="01192808"/>
    <x v="21"/>
    <d v="2025-11-20T00:00:00"/>
    <n v="6833"/>
    <s v="Kunhiraman,Lakshmikanth"/>
    <n v="69.362748319220188"/>
    <d v="2025-11-20T00:00:00"/>
    <n v="2"/>
    <x v="7"/>
    <s v="Enterprise Architect"/>
  </r>
  <r>
    <n v="67263"/>
    <x v="6"/>
    <s v="01192808"/>
    <x v="21"/>
    <d v="2025-11-21T00:00:00"/>
    <n v="6833"/>
    <s v="Kunhiraman,Lakshmikanth"/>
    <n v="69.362748319220188"/>
    <d v="2025-11-21T00:00:00"/>
    <n v="2"/>
    <x v="7"/>
    <s v="Enterprise Architect"/>
  </r>
  <r>
    <n v="67263"/>
    <x v="6"/>
    <s v="01192808"/>
    <x v="21"/>
    <d v="2025-11-24T00:00:00"/>
    <n v="6833"/>
    <s v="Kunhiraman,Lakshmikanth"/>
    <n v="69.362748319220188"/>
    <d v="2025-11-24T00:00:00"/>
    <n v="2"/>
    <x v="7"/>
    <s v="Enterprise Architect"/>
  </r>
  <r>
    <n v="67263"/>
    <x v="6"/>
    <s v="01192808"/>
    <x v="21"/>
    <d v="2025-11-25T00:00:00"/>
    <n v="6833"/>
    <s v="Kunhiraman,Lakshmikanth"/>
    <n v="34.681374159610094"/>
    <d v="2025-11-25T00:00:00"/>
    <n v="1"/>
    <x v="7"/>
    <s v="Enterprise Architect"/>
  </r>
  <r>
    <n v="67263"/>
    <x v="6"/>
    <s v="01192808"/>
    <x v="21"/>
    <d v="2025-11-26T00:00:00"/>
    <n v="6833"/>
    <s v="Kunhiraman,Lakshmikanth"/>
    <n v="34.681374159610094"/>
    <d v="2025-11-26T00:00:00"/>
    <n v="1"/>
    <x v="7"/>
    <s v="Enterprise Architect"/>
  </r>
  <r>
    <n v="67263"/>
    <x v="6"/>
    <s v="01192808"/>
    <x v="21"/>
    <d v="2025-11-27T00:00:00"/>
    <n v="6833"/>
    <s v="Kunhiraman,Lakshmikanth"/>
    <n v="34.681374159610094"/>
    <d v="2025-11-27T00:00:00"/>
    <n v="1"/>
    <x v="7"/>
    <s v="Enterprise Architect"/>
  </r>
  <r>
    <n v="67263"/>
    <x v="6"/>
    <s v="01192808"/>
    <x v="21"/>
    <d v="2025-11-28T00:00:00"/>
    <n v="6833"/>
    <s v="Kunhiraman,Lakshmikanth"/>
    <n v="34.681374159610094"/>
    <d v="2025-11-28T00:00:00"/>
    <n v="1"/>
    <x v="7"/>
    <s v="Enterprise Architect"/>
  </r>
  <r>
    <n v="67263"/>
    <x v="6"/>
    <s v="01192808"/>
    <x v="21"/>
    <d v="2025-12-01T00:00:00"/>
    <s v="IA1421"/>
    <s v="Jayapal,Muruganandham"/>
    <n v="34.681374159610094"/>
    <d v="2025-12-01T00:00:00"/>
    <n v="1"/>
    <x v="8"/>
    <s v="Engg Manager"/>
  </r>
  <r>
    <n v="67263"/>
    <x v="6"/>
    <s v="01192808"/>
    <x v="21"/>
    <d v="2025-12-02T00:00:00"/>
    <s v="IA1421"/>
    <s v="Jayapal,Muruganandham"/>
    <n v="34.681374159610094"/>
    <d v="2025-12-02T00:00:00"/>
    <n v="1"/>
    <x v="8"/>
    <s v="Engg Manager"/>
  </r>
  <r>
    <n v="67263"/>
    <x v="6"/>
    <s v="01192808"/>
    <x v="21"/>
    <d v="2025-12-03T00:00:00"/>
    <s v="IA1421"/>
    <s v="Jayapal,Muruganandham"/>
    <n v="34.681374159610094"/>
    <d v="2025-12-03T00:00:00"/>
    <n v="1"/>
    <x v="8"/>
    <s v="Engg Manager"/>
  </r>
  <r>
    <n v="67263"/>
    <x v="6"/>
    <s v="01192808"/>
    <x v="21"/>
    <d v="2025-12-08T00:00:00"/>
    <n v="6833"/>
    <s v="Kunhiraman,Lakshmikanth"/>
    <n v="69.362748319220188"/>
    <d v="2025-12-08T00:00:00"/>
    <n v="2"/>
    <x v="8"/>
    <s v="Enterprise Architect"/>
  </r>
  <r>
    <n v="67263"/>
    <x v="6"/>
    <s v="01192808"/>
    <x v="21"/>
    <d v="2025-12-08T00:00:00"/>
    <s v="IA1421"/>
    <s v="Jayapal,Muruganandham"/>
    <n v="34.681374159610094"/>
    <d v="2025-12-08T00:00:00"/>
    <n v="1"/>
    <x v="8"/>
    <s v="Engg Manager"/>
  </r>
  <r>
    <n v="67263"/>
    <x v="6"/>
    <s v="01192808"/>
    <x v="21"/>
    <d v="2025-12-09T00:00:00"/>
    <n v="6833"/>
    <s v="Kunhiraman,Lakshmikanth"/>
    <n v="69.362748319220188"/>
    <d v="2025-12-09T00:00:00"/>
    <n v="2"/>
    <x v="8"/>
    <s v="Enterprise Architect"/>
  </r>
  <r>
    <n v="67263"/>
    <x v="6"/>
    <s v="01192808"/>
    <x v="21"/>
    <d v="2025-12-09T00:00:00"/>
    <s v="IA1421"/>
    <s v="Jayapal,Muruganandham"/>
    <n v="34.681374159610094"/>
    <d v="2025-12-09T00:00:00"/>
    <n v="1"/>
    <x v="8"/>
    <s v="Engg Manager"/>
  </r>
  <r>
    <n v="67263"/>
    <x v="6"/>
    <s v="01192808"/>
    <x v="21"/>
    <d v="2025-12-10T00:00:00"/>
    <n v="6833"/>
    <s v="Kunhiraman,Lakshmikanth"/>
    <n v="69.362748319220188"/>
    <d v="2025-12-10T00:00:00"/>
    <n v="2"/>
    <x v="8"/>
    <s v="Enterprise Architect"/>
  </r>
  <r>
    <n v="67263"/>
    <x v="6"/>
    <s v="01192808"/>
    <x v="21"/>
    <d v="2025-12-10T00:00:00"/>
    <s v="IA1421"/>
    <s v="Jayapal,Muruganandham"/>
    <n v="34.681374159610094"/>
    <d v="2025-12-10T00:00:00"/>
    <n v="1"/>
    <x v="8"/>
    <s v="Engg Manager"/>
  </r>
  <r>
    <n v="67263"/>
    <x v="6"/>
    <s v="01192808"/>
    <x v="21"/>
    <d v="2025-12-11T00:00:00"/>
    <n v="6833"/>
    <s v="Kunhiraman,Lakshmikanth"/>
    <n v="69.362748319220188"/>
    <d v="2025-12-11T00:00:00"/>
    <n v="2"/>
    <x v="8"/>
    <s v="Enterprise Architect"/>
  </r>
  <r>
    <n v="67263"/>
    <x v="6"/>
    <s v="01192808"/>
    <x v="21"/>
    <d v="2025-12-11T00:00:00"/>
    <s v="IA1421"/>
    <s v="Jayapal,Muruganandham"/>
    <n v="34.681374159610094"/>
    <d v="2025-12-11T00:00:00"/>
    <n v="1"/>
    <x v="8"/>
    <s v="Engg Manager"/>
  </r>
  <r>
    <n v="67263"/>
    <x v="6"/>
    <s v="01192808"/>
    <x v="21"/>
    <d v="2025-12-12T00:00:00"/>
    <n v="6833"/>
    <s v="Kunhiraman,Lakshmikanth"/>
    <n v="69.362748319220188"/>
    <d v="2025-12-12T00:00:00"/>
    <n v="2"/>
    <x v="8"/>
    <s v="Enterprise Architect"/>
  </r>
  <r>
    <n v="67263"/>
    <x v="6"/>
    <s v="01192808"/>
    <x v="21"/>
    <d v="2025-12-12T00:00:00"/>
    <s v="IA1421"/>
    <s v="Jayapal,Muruganandham"/>
    <n v="34.681374159610094"/>
    <d v="2025-12-12T00:00:00"/>
    <n v="1"/>
    <x v="8"/>
    <s v="Engg Manager"/>
  </r>
  <r>
    <n v="67263"/>
    <x v="6"/>
    <s v="01192808"/>
    <x v="21"/>
    <d v="2025-12-12T00:00:00"/>
    <s v="IA1421"/>
    <s v="Jayapal,Muruganandham"/>
    <n v="-34.681374159610094"/>
    <d v="2025-12-12T00:00:00"/>
    <n v="-1"/>
    <x v="8"/>
    <s v="Engg Manager"/>
  </r>
  <r>
    <n v="67263"/>
    <x v="6"/>
    <s v="01192808"/>
    <x v="21"/>
    <d v="2025-12-22T00:00:00"/>
    <n v="6833"/>
    <s v="Kunhiraman,Lakshmikanth"/>
    <n v="69.362748319220188"/>
    <d v="2025-12-22T00:00:00"/>
    <n v="2"/>
    <x v="8"/>
    <s v="Enterprise Architect"/>
  </r>
  <r>
    <n v="67263"/>
    <x v="6"/>
    <s v="01192808"/>
    <x v="21"/>
    <d v="2025-12-22T00:00:00"/>
    <s v="IA1421"/>
    <s v="Jayapal,Muruganandham"/>
    <n v="34.681374159610094"/>
    <d v="2025-12-22T00:00:00"/>
    <n v="1"/>
    <x v="8"/>
    <s v="Engg Manager"/>
  </r>
  <r>
    <n v="67263"/>
    <x v="6"/>
    <s v="01192808"/>
    <x v="21"/>
    <d v="2025-12-23T00:00:00"/>
    <n v="6833"/>
    <s v="Kunhiraman,Lakshmikanth"/>
    <n v="69.362748319220188"/>
    <d v="2025-12-23T00:00:00"/>
    <n v="2"/>
    <x v="8"/>
    <s v="Enterprise Architect"/>
  </r>
  <r>
    <n v="67263"/>
    <x v="6"/>
    <s v="01192808"/>
    <x v="21"/>
    <d v="2025-12-23T00:00:00"/>
    <s v="IA1421"/>
    <s v="Jayapal,Muruganandham"/>
    <n v="34.681374159610094"/>
    <d v="2025-12-23T00:00:00"/>
    <n v="1"/>
    <x v="8"/>
    <s v="Engg Manager"/>
  </r>
  <r>
    <n v="67263"/>
    <x v="6"/>
    <s v="01192808"/>
    <x v="21"/>
    <d v="2025-12-24T00:00:00"/>
    <n v="6833"/>
    <s v="Kunhiraman,Lakshmikanth"/>
    <n v="69.362748319220188"/>
    <d v="2025-12-24T00:00:00"/>
    <n v="2"/>
    <x v="8"/>
    <s v="Enterprise Architect"/>
  </r>
  <r>
    <n v="67263"/>
    <x v="6"/>
    <s v="01192808"/>
    <x v="21"/>
    <d v="2025-12-24T00:00:00"/>
    <s v="IA1421"/>
    <s v="Jayapal,Muruganandham"/>
    <n v="34.681374159610094"/>
    <d v="2025-12-24T00:00:00"/>
    <n v="1"/>
    <x v="8"/>
    <s v="Engg Manager"/>
  </r>
  <r>
    <n v="67263"/>
    <x v="6"/>
    <s v="01192808"/>
    <x v="21"/>
    <d v="2025-12-26T00:00:00"/>
    <s v="IA1421"/>
    <s v="Jayapal,Muruganandham"/>
    <n v="34.681374159610094"/>
    <d v="2025-12-26T00:00:00"/>
    <n v="1"/>
    <x v="8"/>
    <s v="Engg Manager"/>
  </r>
  <r>
    <n v="67263"/>
    <x v="6"/>
    <s v="01192808"/>
    <x v="21"/>
    <d v="2025-12-29T00:00:00"/>
    <s v="IA1421"/>
    <s v="Jayapal,Muruganandham"/>
    <n v="69.362748319220188"/>
    <d v="2025-12-29T00:00:00"/>
    <n v="2"/>
    <x v="8"/>
    <s v="Engg Manager"/>
  </r>
  <r>
    <n v="67263"/>
    <x v="6"/>
    <s v="01192808"/>
    <x v="21"/>
    <d v="2025-12-30T00:00:00"/>
    <s v="IA1421"/>
    <s v="Jayapal,Muruganandham"/>
    <n v="69.362748319220188"/>
    <d v="2025-12-30T00:00:00"/>
    <n v="2"/>
    <x v="8"/>
    <s v="Engg Manager"/>
  </r>
  <r>
    <n v="67263"/>
    <x v="6"/>
    <s v="01192808"/>
    <x v="21"/>
    <d v="2025-12-31T00:00:00"/>
    <s v="IA1421"/>
    <s v="Jayapal,Muruganandham"/>
    <n v="69.362748319220188"/>
    <d v="2025-12-31T00:00:00"/>
    <n v="2"/>
    <x v="8"/>
    <s v="Engg Manager"/>
  </r>
  <r>
    <n v="67263"/>
    <x v="6"/>
    <s v="01192808"/>
    <x v="21"/>
    <d v="2026-01-02T00:00:00"/>
    <s v="IA1421"/>
    <s v="Jayapal,Muruganandham"/>
    <n v="69.362748319220188"/>
    <d v="2026-01-02T00:00:00"/>
    <n v="2"/>
    <x v="9"/>
    <s v="Engg Manager"/>
  </r>
  <r>
    <n v="67263"/>
    <x v="6"/>
    <s v="01192808"/>
    <x v="21"/>
    <d v="2026-01-05T00:00:00"/>
    <n v="6833"/>
    <s v="Kunhiraman,Lakshmikanth"/>
    <n v="69.362748319220188"/>
    <d v="2026-01-05T00:00:00"/>
    <n v="2"/>
    <x v="9"/>
    <s v="Enterprise Architect"/>
  </r>
  <r>
    <n v="67263"/>
    <x v="6"/>
    <s v="01192808"/>
    <x v="21"/>
    <d v="2026-01-08T00:00:00"/>
    <n v="6833"/>
    <s v="Kunhiraman,Lakshmikanth"/>
    <n v="69.362748319220188"/>
    <d v="2026-01-08T00:00:00"/>
    <n v="2"/>
    <x v="9"/>
    <s v="Enterprise Architect"/>
  </r>
  <r>
    <n v="67263"/>
    <x v="6"/>
    <s v="01192808"/>
    <x v="21"/>
    <d v="2026-01-09T00:00:00"/>
    <n v="6833"/>
    <s v="Kunhiraman,Lakshmikanth"/>
    <n v="69.362748319220188"/>
    <d v="2026-01-09T00:00:00"/>
    <n v="2"/>
    <x v="9"/>
    <s v="Enterprise Architect"/>
  </r>
  <r>
    <n v="67263"/>
    <x v="6"/>
    <s v="01192808"/>
    <x v="21"/>
    <d v="2026-01-12T00:00:00"/>
    <n v="6833"/>
    <s v="Kunhiraman,Lakshmikanth"/>
    <n v="69.362748319220188"/>
    <d v="2026-01-12T00:00:00"/>
    <n v="2"/>
    <x v="9"/>
    <s v="Enterprise Architect"/>
  </r>
  <r>
    <n v="67263"/>
    <x v="6"/>
    <s v="01192808"/>
    <x v="21"/>
    <d v="2026-01-13T00:00:00"/>
    <n v="6833"/>
    <s v="Kunhiraman,Lakshmikanth"/>
    <n v="69.362748319220188"/>
    <d v="2026-01-13T00:00:00"/>
    <n v="2"/>
    <x v="9"/>
    <s v="Enterprise Architect"/>
  </r>
  <r>
    <n v="67263"/>
    <x v="6"/>
    <s v="01192808"/>
    <x v="21"/>
    <d v="2026-01-14T00:00:00"/>
    <n v="6833"/>
    <s v="Kunhiraman,Lakshmikanth"/>
    <n v="69.362748319220188"/>
    <d v="2026-01-14T00:00:00"/>
    <n v="2"/>
    <x v="9"/>
    <s v="Enterprise Architect"/>
  </r>
  <r>
    <n v="67263"/>
    <x v="6"/>
    <s v="01192808"/>
    <x v="21"/>
    <d v="2026-01-16T00:00:00"/>
    <n v="6833"/>
    <s v="Kunhiraman,Lakshmikanth"/>
    <n v="69.362748319220188"/>
    <d v="2026-01-16T00:00:00"/>
    <n v="2"/>
    <x v="9"/>
    <s v="Enterprise Architect"/>
  </r>
  <r>
    <n v="67263"/>
    <x v="6"/>
    <s v="01192808"/>
    <x v="21"/>
    <d v="2026-01-19T00:00:00"/>
    <n v="6833"/>
    <s v="Kunhiraman,Lakshmikanth"/>
    <n v="69.362748319220188"/>
    <d v="2026-01-19T00:00:00"/>
    <n v="2"/>
    <x v="9"/>
    <s v="Enterprise Architect"/>
  </r>
  <r>
    <n v="67263"/>
    <x v="6"/>
    <s v="01192808"/>
    <x v="21"/>
    <d v="2026-01-20T00:00:00"/>
    <n v="6833"/>
    <s v="Kunhiraman,Lakshmikanth"/>
    <n v="69.362748319220188"/>
    <d v="2026-01-20T00:00:00"/>
    <n v="2"/>
    <x v="9"/>
    <s v="Enterprise Architect"/>
  </r>
  <r>
    <n v="67263"/>
    <x v="6"/>
    <s v="01192808"/>
    <x v="21"/>
    <d v="2026-01-21T00:00:00"/>
    <n v="6833"/>
    <s v="Kunhiraman,Lakshmikanth"/>
    <n v="69.362748319220188"/>
    <d v="2026-01-21T00:00:00"/>
    <n v="2"/>
    <x v="9"/>
    <s v="Enterprise Architect"/>
  </r>
  <r>
    <n v="67263"/>
    <x v="6"/>
    <s v="01192808"/>
    <x v="21"/>
    <d v="2026-01-22T00:00:00"/>
    <n v="6833"/>
    <s v="Kunhiraman,Lakshmikanth"/>
    <n v="69.362748319220188"/>
    <d v="2026-01-22T00:00:00"/>
    <n v="2"/>
    <x v="9"/>
    <s v="Enterprise Architect"/>
  </r>
  <r>
    <n v="67263"/>
    <x v="6"/>
    <s v="01192808"/>
    <x v="21"/>
    <d v="2026-01-23T00:00:00"/>
    <n v="6833"/>
    <s v="Kunhiraman,Lakshmikanth"/>
    <n v="69.362748319220188"/>
    <d v="2026-01-23T00:00:00"/>
    <n v="2"/>
    <x v="9"/>
    <s v="Enterprise Architect"/>
  </r>
  <r>
    <n v="67263"/>
    <x v="6"/>
    <s v="01192808"/>
    <x v="21"/>
    <d v="2026-01-27T00:00:00"/>
    <n v="6833"/>
    <s v="Kunhiraman,Lakshmikanth"/>
    <n v="34.681374159610094"/>
    <d v="2026-01-27T00:00:00"/>
    <n v="1"/>
    <x v="9"/>
    <s v="Enterprise Architect"/>
  </r>
  <r>
    <n v="67263"/>
    <x v="6"/>
    <s v="01192808"/>
    <x v="21"/>
    <d v="2026-01-28T00:00:00"/>
    <n v="6833"/>
    <s v="Kunhiraman,Lakshmikanth"/>
    <n v="34.681374159610094"/>
    <d v="2026-01-28T00:00:00"/>
    <n v="1"/>
    <x v="9"/>
    <s v="Enterprise Architect"/>
  </r>
  <r>
    <n v="67263"/>
    <x v="6"/>
    <s v="01192808"/>
    <x v="21"/>
    <d v="2026-01-29T00:00:00"/>
    <n v="6833"/>
    <s v="Kunhiraman,Lakshmikanth"/>
    <n v="34.681374159610094"/>
    <d v="2026-01-29T00:00:00"/>
    <n v="1"/>
    <x v="9"/>
    <s v="Enterprise Architect"/>
  </r>
  <r>
    <n v="67263"/>
    <x v="6"/>
    <s v="01192808"/>
    <x v="21"/>
    <d v="2026-01-30T00:00:00"/>
    <n v="6833"/>
    <s v="Kunhiraman,Lakshmikanth"/>
    <n v="34.681374159610094"/>
    <d v="2026-01-30T00:00:00"/>
    <n v="1"/>
    <x v="9"/>
    <s v="Enterprise Architect"/>
  </r>
  <r>
    <n v="67263"/>
    <x v="6"/>
    <s v="01192808"/>
    <x v="21"/>
    <d v="2026-02-02T00:00:00"/>
    <n v="6833"/>
    <s v="Kunhiraman,Lakshmikanth"/>
    <n v="52.022061239415137"/>
    <d v="2026-02-02T00:00:00"/>
    <n v="1.5"/>
    <x v="0"/>
    <s v="Enterprise Architect"/>
  </r>
  <r>
    <n v="67263"/>
    <x v="6"/>
    <s v="01192808"/>
    <x v="21"/>
    <d v="2026-02-03T00:00:00"/>
    <n v="6833"/>
    <s v="Kunhiraman,Lakshmikanth"/>
    <n v="34.681374159610094"/>
    <d v="2026-02-03T00:00:00"/>
    <n v="1"/>
    <x v="0"/>
    <s v="Enterprise Architect"/>
  </r>
  <r>
    <n v="67263"/>
    <x v="6"/>
    <s v="01192808"/>
    <x v="21"/>
    <d v="2026-02-04T00:00:00"/>
    <n v="6833"/>
    <s v="Kunhiraman,Lakshmikanth"/>
    <n v="34.681374159610094"/>
    <d v="2026-02-04T00:00:00"/>
    <n v="1"/>
    <x v="0"/>
    <s v="Enterprise Architect"/>
  </r>
  <r>
    <n v="67263"/>
    <x v="6"/>
    <s v="01192808"/>
    <x v="21"/>
    <d v="2026-02-05T00:00:00"/>
    <n v="6833"/>
    <s v="Kunhiraman,Lakshmikanth"/>
    <n v="34.681374159610094"/>
    <d v="2026-02-05T00:00:00"/>
    <n v="1"/>
    <x v="0"/>
    <s v="Enterprise Architect"/>
  </r>
  <r>
    <n v="67263"/>
    <x v="6"/>
    <s v="01192808"/>
    <x v="21"/>
    <d v="2026-02-06T00:00:00"/>
    <n v="6833"/>
    <s v="Kunhiraman,Lakshmikanth"/>
    <n v="34.681374159610094"/>
    <d v="2026-02-06T00:00:00"/>
    <n v="1"/>
    <x v="0"/>
    <s v="Enterprise Architect"/>
  </r>
  <r>
    <n v="67263"/>
    <x v="6"/>
    <s v="01192808"/>
    <x v="21"/>
    <d v="2026-02-09T00:00:00"/>
    <n v="6833"/>
    <s v="Kunhiraman,Lakshmikanth"/>
    <n v="69.362748319220188"/>
    <d v="2026-02-09T00:00:00"/>
    <n v="2"/>
    <x v="0"/>
    <s v="Enterprise Architect"/>
  </r>
  <r>
    <n v="67263"/>
    <x v="6"/>
    <s v="01192808"/>
    <x v="21"/>
    <d v="2026-02-11T00:00:00"/>
    <n v="6833"/>
    <s v="Kunhiraman,Lakshmikanth"/>
    <n v="69.362748319220188"/>
    <d v="2026-02-11T00:00:00"/>
    <n v="2"/>
    <x v="0"/>
    <s v="Enterprise Architect"/>
  </r>
  <r>
    <n v="67263"/>
    <x v="6"/>
    <s v="01192808"/>
    <x v="21"/>
    <d v="2026-02-12T00:00:00"/>
    <n v="6833"/>
    <s v="Kunhiraman,Lakshmikanth"/>
    <n v="69.362748319220188"/>
    <d v="2026-02-12T00:00:00"/>
    <n v="2"/>
    <x v="0"/>
    <s v="Enterprise Architect"/>
  </r>
  <r>
    <n v="67263"/>
    <x v="6"/>
    <s v="01192808"/>
    <x v="21"/>
    <d v="2026-02-13T00:00:00"/>
    <n v="6833"/>
    <s v="Kunhiraman,Lakshmikanth"/>
    <n v="69.362748319220188"/>
    <d v="2026-02-13T00:00:00"/>
    <n v="2"/>
    <x v="0"/>
    <s v="Enterprise Architect"/>
  </r>
  <r>
    <n v="67263"/>
    <x v="6"/>
    <s v="01192808"/>
    <x v="21"/>
    <d v="2026-02-16T00:00:00"/>
    <n v="6833"/>
    <s v="Kunhiraman,Lakshmikanth"/>
    <n v="34.681374159610094"/>
    <d v="2026-02-16T00:00:00"/>
    <n v="1"/>
    <x v="0"/>
    <s v="Enterprise Architect"/>
  </r>
  <r>
    <n v="67263"/>
    <x v="6"/>
    <s v="01192808"/>
    <x v="21"/>
    <d v="2026-02-17T00:00:00"/>
    <n v="6833"/>
    <s v="Kunhiraman,Lakshmikanth"/>
    <n v="34.681374159610094"/>
    <d v="2026-02-17T00:00:00"/>
    <n v="1"/>
    <x v="0"/>
    <s v="Enterprise Architect"/>
  </r>
  <r>
    <n v="67263"/>
    <x v="6"/>
    <s v="01192808"/>
    <x v="21"/>
    <d v="2026-02-18T00:00:00"/>
    <n v="6833"/>
    <s v="Kunhiraman,Lakshmikanth"/>
    <n v="34.681374159610094"/>
    <d v="2026-02-18T00:00:00"/>
    <n v="1"/>
    <x v="0"/>
    <s v="Enterprise Architect"/>
  </r>
  <r>
    <n v="67263"/>
    <x v="6"/>
    <s v="01192808"/>
    <x v="21"/>
    <d v="2026-02-19T00:00:00"/>
    <n v="6833"/>
    <s v="Kunhiraman,Lakshmikanth"/>
    <n v="34.681374159610094"/>
    <d v="2026-02-19T00:00:00"/>
    <n v="1"/>
    <x v="0"/>
    <s v="Enterprise Architect"/>
  </r>
  <r>
    <n v="67263"/>
    <x v="6"/>
    <s v="01192808"/>
    <x v="21"/>
    <d v="2026-02-20T00:00:00"/>
    <n v="6833"/>
    <s v="Kunhiraman,Lakshmikanth"/>
    <n v="34.681374159610094"/>
    <d v="2026-02-20T00:00:00"/>
    <n v="1"/>
    <x v="0"/>
    <s v="Enterprise Architect"/>
  </r>
  <r>
    <n v="67263"/>
    <x v="6"/>
    <s v="01192808"/>
    <x v="21"/>
    <d v="2026-03-02T00:00:00"/>
    <n v="6833"/>
    <s v="Kunhiraman,Lakshmikanth"/>
    <n v="69.362748319220188"/>
    <d v="2026-03-02T00:00:00"/>
    <n v="2"/>
    <x v="1"/>
    <s v="Enterprise Architect"/>
  </r>
  <r>
    <n v="67263"/>
    <x v="6"/>
    <s v="01192808"/>
    <x v="21"/>
    <d v="2026-03-03T00:00:00"/>
    <n v="6833"/>
    <s v="Kunhiraman,Lakshmikanth"/>
    <n v="69.362748319220188"/>
    <d v="2026-03-03T00:00:00"/>
    <n v="2"/>
    <x v="1"/>
    <s v="Enterprise Architect"/>
  </r>
  <r>
    <n v="67263"/>
    <x v="6"/>
    <s v="01192808"/>
    <x v="21"/>
    <d v="2026-03-04T00:00:00"/>
    <n v="6833"/>
    <s v="Kunhiraman,Lakshmikanth"/>
    <n v="69.362748319220188"/>
    <d v="2026-03-04T00:00:00"/>
    <n v="2"/>
    <x v="1"/>
    <s v="Enterprise Architect"/>
  </r>
  <r>
    <n v="67263"/>
    <x v="6"/>
    <s v="01192808"/>
    <x v="21"/>
    <d v="2026-03-05T00:00:00"/>
    <n v="6833"/>
    <s v="Kunhiraman,Lakshmikanth"/>
    <n v="69.362748319220188"/>
    <d v="2026-03-05T00:00:00"/>
    <n v="2"/>
    <x v="1"/>
    <s v="Enterprise Architect"/>
  </r>
  <r>
    <n v="67263"/>
    <x v="6"/>
    <s v="01192808"/>
    <x v="21"/>
    <d v="2026-03-06T00:00:00"/>
    <n v="6833"/>
    <s v="Kunhiraman,Lakshmikanth"/>
    <n v="69.362748319220188"/>
    <d v="2026-03-06T00:00:00"/>
    <n v="2"/>
    <x v="1"/>
    <s v="Enterprise Architect"/>
  </r>
  <r>
    <n v="67263"/>
    <x v="6"/>
    <s v="01192808"/>
    <x v="21"/>
    <d v="2026-03-09T00:00:00"/>
    <n v="6833"/>
    <s v="Kunhiraman,Lakshmikanth"/>
    <n v="69.362748319220188"/>
    <d v="2026-03-09T00:00:00"/>
    <n v="2"/>
    <x v="1"/>
    <s v="Enterprise Architect"/>
  </r>
  <r>
    <n v="67263"/>
    <x v="6"/>
    <s v="01192808"/>
    <x v="21"/>
    <d v="2026-03-10T00:00:00"/>
    <n v="6833"/>
    <s v="Kunhiraman,Lakshmikanth"/>
    <n v="69.362748319220188"/>
    <d v="2026-03-10T00:00:00"/>
    <n v="2"/>
    <x v="1"/>
    <s v="Enterprise Architect"/>
  </r>
  <r>
    <n v="67263"/>
    <x v="6"/>
    <s v="01192808"/>
    <x v="21"/>
    <d v="2026-03-11T00:00:00"/>
    <n v="6833"/>
    <s v="Kunhiraman,Lakshmikanth"/>
    <n v="69.362748319220188"/>
    <d v="2026-03-11T00:00:00"/>
    <n v="2"/>
    <x v="1"/>
    <s v="Enterprise Architect"/>
  </r>
  <r>
    <n v="67263"/>
    <x v="6"/>
    <s v="01192808"/>
    <x v="21"/>
    <d v="2026-03-12T00:00:00"/>
    <n v="6833"/>
    <s v="Kunhiraman,Lakshmikanth"/>
    <n v="69.362748319220188"/>
    <d v="2026-03-12T00:00:00"/>
    <n v="2"/>
    <x v="1"/>
    <s v="Enterprise Architect"/>
  </r>
  <r>
    <n v="67259"/>
    <x v="7"/>
    <s v="01192794"/>
    <x v="22"/>
    <d v="2025-07-07T00:00:00"/>
    <s v="IA1789"/>
    <s v="Sharukhan,Mohammed"/>
    <n v="208.08824495766055"/>
    <d v="2025-07-07T00:00:00"/>
    <n v="6"/>
    <x v="3"/>
    <s v="Platform Operations"/>
  </r>
  <r>
    <n v="67259"/>
    <x v="7"/>
    <s v="01192794"/>
    <x v="22"/>
    <d v="2025-07-08T00:00:00"/>
    <s v="IA1789"/>
    <s v="Sharukhan,Mohammed"/>
    <n v="208.08824495766055"/>
    <d v="2025-07-08T00:00:00"/>
    <n v="6"/>
    <x v="3"/>
    <s v="Platform Operations"/>
  </r>
  <r>
    <n v="67259"/>
    <x v="7"/>
    <s v="01192794"/>
    <x v="22"/>
    <d v="2025-07-09T00:00:00"/>
    <s v="IA1789"/>
    <s v="Sharukhan,Mohammed"/>
    <n v="208.08824495766055"/>
    <d v="2025-07-09T00:00:00"/>
    <n v="6"/>
    <x v="3"/>
    <s v="Platform Operations"/>
  </r>
  <r>
    <n v="67259"/>
    <x v="7"/>
    <s v="01192794"/>
    <x v="22"/>
    <d v="2025-07-10T00:00:00"/>
    <s v="IA1789"/>
    <s v="Sharukhan,Mohammed"/>
    <n v="208.08824495766055"/>
    <d v="2025-07-10T00:00:00"/>
    <n v="6"/>
    <x v="3"/>
    <s v="Platform Operations"/>
  </r>
  <r>
    <n v="67259"/>
    <x v="7"/>
    <s v="01192794"/>
    <x v="22"/>
    <d v="2025-07-11T00:00:00"/>
    <s v="IA1789"/>
    <s v="Sharukhan,Mohammed"/>
    <n v="208.08824495766055"/>
    <d v="2025-07-11T00:00:00"/>
    <n v="6"/>
    <x v="3"/>
    <s v="Platform Operations"/>
  </r>
  <r>
    <n v="67259"/>
    <x v="7"/>
    <s v="01192794"/>
    <x v="22"/>
    <d v="2025-07-14T00:00:00"/>
    <s v="IA1789"/>
    <s v="Sharukhan,Mohammed"/>
    <n v="173.40687079805048"/>
    <d v="2025-07-14T00:00:00"/>
    <n v="5"/>
    <x v="3"/>
    <s v="Platform Operations"/>
  </r>
  <r>
    <n v="67259"/>
    <x v="7"/>
    <s v="01192794"/>
    <x v="22"/>
    <d v="2025-07-15T00:00:00"/>
    <s v="IA1789"/>
    <s v="Sharukhan,Mohammed"/>
    <n v="173.40687079805048"/>
    <d v="2025-07-15T00:00:00"/>
    <n v="5"/>
    <x v="3"/>
    <s v="Platform Operations"/>
  </r>
  <r>
    <n v="67259"/>
    <x v="7"/>
    <s v="01192794"/>
    <x v="22"/>
    <d v="2025-07-16T00:00:00"/>
    <s v="IA1789"/>
    <s v="Sharukhan,Mohammed"/>
    <n v="173.40687079805048"/>
    <d v="2025-07-16T00:00:00"/>
    <n v="5"/>
    <x v="3"/>
    <s v="Platform Operations"/>
  </r>
  <r>
    <n v="67259"/>
    <x v="7"/>
    <s v="01192794"/>
    <x v="22"/>
    <d v="2025-07-17T00:00:00"/>
    <s v="IA1789"/>
    <s v="Sharukhan,Mohammed"/>
    <n v="173.40687079805048"/>
    <d v="2025-07-17T00:00:00"/>
    <n v="5"/>
    <x v="3"/>
    <s v="Platform Operations"/>
  </r>
  <r>
    <n v="67259"/>
    <x v="7"/>
    <s v="01192794"/>
    <x v="22"/>
    <d v="2025-07-21T00:00:00"/>
    <s v="IA1789"/>
    <s v="Sharukhan,Mohammed"/>
    <n v="208.08824495766055"/>
    <d v="2025-07-21T00:00:00"/>
    <n v="6"/>
    <x v="3"/>
    <s v="Platform Operations"/>
  </r>
  <r>
    <n v="67259"/>
    <x v="7"/>
    <s v="01192794"/>
    <x v="22"/>
    <d v="2025-07-22T00:00:00"/>
    <s v="IA1789"/>
    <s v="Sharukhan,Mohammed"/>
    <n v="208.08824495766055"/>
    <d v="2025-07-22T00:00:00"/>
    <n v="6"/>
    <x v="3"/>
    <s v="Platform Operations"/>
  </r>
  <r>
    <n v="67259"/>
    <x v="7"/>
    <s v="01192794"/>
    <x v="22"/>
    <d v="2025-07-23T00:00:00"/>
    <s v="IA1789"/>
    <s v="Sharukhan,Mohammed"/>
    <n v="208.08824495766055"/>
    <d v="2025-07-23T00:00:00"/>
    <n v="6"/>
    <x v="3"/>
    <s v="Platform Operations"/>
  </r>
  <r>
    <n v="67259"/>
    <x v="7"/>
    <s v="01192794"/>
    <x v="22"/>
    <d v="2025-07-24T00:00:00"/>
    <s v="IA1789"/>
    <s v="Sharukhan,Mohammed"/>
    <n v="208.08824495766055"/>
    <d v="2025-07-24T00:00:00"/>
    <n v="6"/>
    <x v="3"/>
    <s v="Platform Operations"/>
  </r>
  <r>
    <n v="67259"/>
    <x v="7"/>
    <s v="01192794"/>
    <x v="22"/>
    <d v="2025-07-25T00:00:00"/>
    <s v="IA1789"/>
    <s v="Sharukhan,Mohammed"/>
    <n v="208.08824495766055"/>
    <d v="2025-07-25T00:00:00"/>
    <n v="6"/>
    <x v="3"/>
    <s v="Platform Operations"/>
  </r>
  <r>
    <n v="67259"/>
    <x v="7"/>
    <s v="01192794"/>
    <x v="22"/>
    <d v="2025-07-28T00:00:00"/>
    <s v="IA1789"/>
    <s v="Sharukhan,Mohammed"/>
    <n v="208.08824495766055"/>
    <d v="2025-07-28T00:00:00"/>
    <n v="6"/>
    <x v="3"/>
    <s v="Platform Operations"/>
  </r>
  <r>
    <n v="67259"/>
    <x v="7"/>
    <s v="01192794"/>
    <x v="22"/>
    <d v="2025-07-29T00:00:00"/>
    <s v="IA1789"/>
    <s v="Sharukhan,Mohammed"/>
    <n v="208.08824495766055"/>
    <d v="2025-07-29T00:00:00"/>
    <n v="6"/>
    <x v="3"/>
    <s v="Platform Operations"/>
  </r>
  <r>
    <n v="67259"/>
    <x v="7"/>
    <s v="01192794"/>
    <x v="22"/>
    <d v="2025-07-30T00:00:00"/>
    <s v="IA1789"/>
    <s v="Sharukhan,Mohammed"/>
    <n v="208.08824495766055"/>
    <d v="2025-07-30T00:00:00"/>
    <n v="6"/>
    <x v="3"/>
    <s v="Platform Operations"/>
  </r>
  <r>
    <n v="67259"/>
    <x v="7"/>
    <s v="01192794"/>
    <x v="22"/>
    <d v="2025-07-31T00:00:00"/>
    <s v="IA1789"/>
    <s v="Sharukhan,Mohammed"/>
    <n v="208.08824495766055"/>
    <d v="2025-07-31T00:00:00"/>
    <n v="6"/>
    <x v="3"/>
    <s v="Platform Operations"/>
  </r>
  <r>
    <n v="67259"/>
    <x v="7"/>
    <s v="01192794"/>
    <x v="22"/>
    <d v="2025-08-01T00:00:00"/>
    <s v="IA1789"/>
    <s v="Sharukhan,Mohammed"/>
    <n v="208.08824495766055"/>
    <d v="2025-08-01T00:00:00"/>
    <n v="6"/>
    <x v="4"/>
    <s v="Platform Operations"/>
  </r>
  <r>
    <n v="67259"/>
    <x v="7"/>
    <s v="01192794"/>
    <x v="22"/>
    <d v="2025-08-04T00:00:00"/>
    <s v="IA1789"/>
    <s v="Sharukhan,Mohammed"/>
    <n v="208.08824495766055"/>
    <d v="2025-08-04T00:00:00"/>
    <n v="6"/>
    <x v="4"/>
    <s v="Platform Operations"/>
  </r>
  <r>
    <n v="67259"/>
    <x v="7"/>
    <s v="01192794"/>
    <x v="22"/>
    <d v="2025-08-05T00:00:00"/>
    <s v="IA1789"/>
    <s v="Sharukhan,Mohammed"/>
    <n v="208.08824495766055"/>
    <d v="2025-08-05T00:00:00"/>
    <n v="6"/>
    <x v="4"/>
    <s v="Platform Operations"/>
  </r>
  <r>
    <n v="67259"/>
    <x v="7"/>
    <s v="01192794"/>
    <x v="22"/>
    <d v="2025-08-06T00:00:00"/>
    <s v="IA1789"/>
    <s v="Sharukhan,Mohammed"/>
    <n v="208.08824495766055"/>
    <d v="2025-08-06T00:00:00"/>
    <n v="6"/>
    <x v="4"/>
    <s v="Platform Operations"/>
  </r>
  <r>
    <n v="67259"/>
    <x v="7"/>
    <s v="01192794"/>
    <x v="22"/>
    <d v="2025-08-07T00:00:00"/>
    <s v="IA1789"/>
    <s v="Sharukhan,Mohammed"/>
    <n v="208.08824495766055"/>
    <d v="2025-08-07T00:00:00"/>
    <n v="6"/>
    <x v="4"/>
    <s v="Platform Operations"/>
  </r>
  <r>
    <n v="67259"/>
    <x v="7"/>
    <s v="01192794"/>
    <x v="22"/>
    <d v="2025-08-08T00:00:00"/>
    <s v="IA1789"/>
    <s v="Sharukhan,Mohammed"/>
    <n v="208.08824495766055"/>
    <d v="2025-08-08T00:00:00"/>
    <n v="6"/>
    <x v="4"/>
    <s v="Platform Operations"/>
  </r>
  <r>
    <n v="67259"/>
    <x v="7"/>
    <s v="01192794"/>
    <x v="22"/>
    <d v="2025-08-11T00:00:00"/>
    <s v="IA1789"/>
    <s v="Sharukhan,Mohammed"/>
    <n v="208.08824495766055"/>
    <d v="2025-08-11T00:00:00"/>
    <n v="6"/>
    <x v="4"/>
    <s v="Platform Operations"/>
  </r>
  <r>
    <n v="67259"/>
    <x v="7"/>
    <s v="01192794"/>
    <x v="22"/>
    <d v="2025-08-12T00:00:00"/>
    <s v="IA1789"/>
    <s v="Sharukhan,Mohammed"/>
    <n v="208.08824495766055"/>
    <d v="2025-08-12T00:00:00"/>
    <n v="6"/>
    <x v="4"/>
    <s v="Platform Operations"/>
  </r>
  <r>
    <n v="67259"/>
    <x v="7"/>
    <s v="01192794"/>
    <x v="22"/>
    <d v="2025-08-13T00:00:00"/>
    <s v="IA1789"/>
    <s v="Sharukhan,Mohammed"/>
    <n v="208.08824495766055"/>
    <d v="2025-08-13T00:00:00"/>
    <n v="6"/>
    <x v="4"/>
    <s v="Platform Operations"/>
  </r>
  <r>
    <n v="67259"/>
    <x v="7"/>
    <s v="01192794"/>
    <x v="22"/>
    <d v="2025-08-14T00:00:00"/>
    <s v="IA1789"/>
    <s v="Sharukhan,Mohammed"/>
    <n v="208.08824495766055"/>
    <d v="2025-08-14T00:00:00"/>
    <n v="6"/>
    <x v="4"/>
    <s v="Platform Operations"/>
  </r>
  <r>
    <n v="67259"/>
    <x v="7"/>
    <s v="01192794"/>
    <x v="22"/>
    <d v="2025-08-18T00:00:00"/>
    <s v="IA1789"/>
    <s v="Sharukhan,Mohammed"/>
    <n v="208.08824495766055"/>
    <d v="2025-08-18T00:00:00"/>
    <n v="6"/>
    <x v="4"/>
    <s v="Platform Operations"/>
  </r>
  <r>
    <n v="67259"/>
    <x v="7"/>
    <s v="01192794"/>
    <x v="22"/>
    <d v="2025-08-19T00:00:00"/>
    <s v="IA1789"/>
    <s v="Sharukhan,Mohammed"/>
    <n v="208.08824495766055"/>
    <d v="2025-08-19T00:00:00"/>
    <n v="6"/>
    <x v="4"/>
    <s v="Platform Operations"/>
  </r>
  <r>
    <n v="67259"/>
    <x v="7"/>
    <s v="01192794"/>
    <x v="22"/>
    <d v="2025-08-20T00:00:00"/>
    <s v="IA1789"/>
    <s v="Sharukhan,Mohammed"/>
    <n v="208.08824495766055"/>
    <d v="2025-08-20T00:00:00"/>
    <n v="6"/>
    <x v="4"/>
    <s v="Platform Operations"/>
  </r>
  <r>
    <n v="67259"/>
    <x v="7"/>
    <s v="01192794"/>
    <x v="22"/>
    <d v="2025-08-21T00:00:00"/>
    <s v="IA1789"/>
    <s v="Sharukhan,Mohammed"/>
    <n v="208.08824495766055"/>
    <d v="2025-08-21T00:00:00"/>
    <n v="6"/>
    <x v="4"/>
    <s v="Platform Operations"/>
  </r>
  <r>
    <n v="67259"/>
    <x v="7"/>
    <s v="01192794"/>
    <x v="22"/>
    <d v="2025-08-22T00:00:00"/>
    <s v="IA1789"/>
    <s v="Sharukhan,Mohammed"/>
    <n v="208.08824495766055"/>
    <d v="2025-08-22T00:00:00"/>
    <n v="6"/>
    <x v="4"/>
    <s v="Platform Operations"/>
  </r>
  <r>
    <n v="67259"/>
    <x v="7"/>
    <s v="01192794"/>
    <x v="22"/>
    <d v="2025-08-25T00:00:00"/>
    <s v="IA1789"/>
    <s v="Sharukhan,Mohammed"/>
    <n v="208.08824495766055"/>
    <d v="2025-08-25T00:00:00"/>
    <n v="6"/>
    <x v="4"/>
    <s v="Platform Operations"/>
  </r>
  <r>
    <n v="67259"/>
    <x v="7"/>
    <s v="01192794"/>
    <x v="22"/>
    <d v="2025-08-26T00:00:00"/>
    <s v="IA1789"/>
    <s v="Sharukhan,Mohammed"/>
    <n v="208.08824495766055"/>
    <d v="2025-08-26T00:00:00"/>
    <n v="6"/>
    <x v="4"/>
    <s v="Platform Operations"/>
  </r>
  <r>
    <n v="67259"/>
    <x v="7"/>
    <s v="01192794"/>
    <x v="22"/>
    <d v="2025-08-27T00:00:00"/>
    <s v="IA1789"/>
    <s v="Sharukhan,Mohammed"/>
    <n v="208.08824495766055"/>
    <d v="2025-08-27T00:00:00"/>
    <n v="6"/>
    <x v="4"/>
    <s v="Platform Operations"/>
  </r>
  <r>
    <n v="67259"/>
    <x v="7"/>
    <s v="01192794"/>
    <x v="22"/>
    <d v="2025-08-28T00:00:00"/>
    <s v="IA1789"/>
    <s v="Sharukhan,Mohammed"/>
    <n v="208.08824495766055"/>
    <d v="2025-08-28T00:00:00"/>
    <n v="6"/>
    <x v="4"/>
    <s v="Platform Operations"/>
  </r>
  <r>
    <n v="67259"/>
    <x v="7"/>
    <s v="01192794"/>
    <x v="22"/>
    <d v="2025-09-01T00:00:00"/>
    <s v="IA1789"/>
    <s v="Sharukhan,Mohammed"/>
    <n v="173.40687079805048"/>
    <d v="2025-09-01T00:00:00"/>
    <n v="5"/>
    <x v="5"/>
    <s v="Platform Operations"/>
  </r>
  <r>
    <n v="67259"/>
    <x v="7"/>
    <s v="01192794"/>
    <x v="22"/>
    <d v="2025-09-02T00:00:00"/>
    <s v="IA1789"/>
    <s v="Sharukhan,Mohammed"/>
    <n v="173.40687079805048"/>
    <d v="2025-09-02T00:00:00"/>
    <n v="5"/>
    <x v="5"/>
    <s v="Platform Operations"/>
  </r>
  <r>
    <n v="67259"/>
    <x v="7"/>
    <s v="01192794"/>
    <x v="22"/>
    <d v="2025-09-03T00:00:00"/>
    <s v="IA1789"/>
    <s v="Sharukhan,Mohammed"/>
    <n v="173.40687079805048"/>
    <d v="2025-09-03T00:00:00"/>
    <n v="5"/>
    <x v="5"/>
    <s v="Platform Operations"/>
  </r>
  <r>
    <n v="67259"/>
    <x v="7"/>
    <s v="01192794"/>
    <x v="22"/>
    <d v="2025-09-04T00:00:00"/>
    <s v="IA1789"/>
    <s v="Sharukhan,Mohammed"/>
    <n v="173.40687079805048"/>
    <d v="2025-09-04T00:00:00"/>
    <n v="5"/>
    <x v="5"/>
    <s v="Platform Operations"/>
  </r>
  <r>
    <n v="67259"/>
    <x v="7"/>
    <s v="01192794"/>
    <x v="22"/>
    <d v="2025-09-05T00:00:00"/>
    <s v="IA1789"/>
    <s v="Sharukhan,Mohammed"/>
    <n v="173.40687079805048"/>
    <d v="2025-09-05T00:00:00"/>
    <n v="5"/>
    <x v="5"/>
    <s v="Platform Operations"/>
  </r>
  <r>
    <n v="67259"/>
    <x v="7"/>
    <s v="01192794"/>
    <x v="22"/>
    <d v="2025-09-08T00:00:00"/>
    <s v="IA1789"/>
    <s v="Sharukhan,Mohammed"/>
    <n v="173.40687079805048"/>
    <d v="2025-09-08T00:00:00"/>
    <n v="5"/>
    <x v="5"/>
    <s v="Platform Operations"/>
  </r>
  <r>
    <n v="67259"/>
    <x v="7"/>
    <s v="01192794"/>
    <x v="22"/>
    <d v="2025-09-09T00:00:00"/>
    <s v="IA1789"/>
    <s v="Sharukhan,Mohammed"/>
    <n v="173.40687079805048"/>
    <d v="2025-09-09T00:00:00"/>
    <n v="5"/>
    <x v="5"/>
    <s v="Platform Operations"/>
  </r>
  <r>
    <n v="67259"/>
    <x v="7"/>
    <s v="01192794"/>
    <x v="22"/>
    <d v="2025-09-10T00:00:00"/>
    <s v="IA1789"/>
    <s v="Sharukhan,Mohammed"/>
    <n v="173.40687079805048"/>
    <d v="2025-09-10T00:00:00"/>
    <n v="5"/>
    <x v="5"/>
    <s v="Platform Operations"/>
  </r>
  <r>
    <n v="67259"/>
    <x v="7"/>
    <s v="01192794"/>
    <x v="22"/>
    <d v="2025-09-11T00:00:00"/>
    <s v="IA1789"/>
    <s v="Sharukhan,Mohammed"/>
    <n v="173.40687079805048"/>
    <d v="2025-09-11T00:00:00"/>
    <n v="5"/>
    <x v="5"/>
    <s v="Platform Operations"/>
  </r>
  <r>
    <n v="67259"/>
    <x v="7"/>
    <s v="01192794"/>
    <x v="22"/>
    <d v="2025-09-12T00:00:00"/>
    <s v="IA1789"/>
    <s v="Sharukhan,Mohammed"/>
    <n v="173.40687079805048"/>
    <d v="2025-09-12T00:00:00"/>
    <n v="5"/>
    <x v="5"/>
    <s v="Platform Operations"/>
  </r>
  <r>
    <n v="67259"/>
    <x v="7"/>
    <s v="01192794"/>
    <x v="22"/>
    <d v="2025-09-15T00:00:00"/>
    <s v="IA1789"/>
    <s v="Sharukhan,Mohammed"/>
    <n v="173.40687079805048"/>
    <d v="2025-09-15T00:00:00"/>
    <n v="5"/>
    <x v="5"/>
    <s v="Platform Operations"/>
  </r>
  <r>
    <n v="67259"/>
    <x v="7"/>
    <s v="01192794"/>
    <x v="22"/>
    <d v="2025-09-16T00:00:00"/>
    <s v="IA1789"/>
    <s v="Sharukhan,Mohammed"/>
    <n v="173.40687079805048"/>
    <d v="2025-09-16T00:00:00"/>
    <n v="5"/>
    <x v="5"/>
    <s v="Platform Operations"/>
  </r>
  <r>
    <n v="67259"/>
    <x v="7"/>
    <s v="01192794"/>
    <x v="22"/>
    <d v="2025-09-17T00:00:00"/>
    <s v="IA1789"/>
    <s v="Sharukhan,Mohammed"/>
    <n v="173.40687079805048"/>
    <d v="2025-09-17T00:00:00"/>
    <n v="5"/>
    <x v="5"/>
    <s v="Platform Operations"/>
  </r>
  <r>
    <n v="67259"/>
    <x v="7"/>
    <s v="01192794"/>
    <x v="22"/>
    <d v="2025-09-18T00:00:00"/>
    <s v="IA1789"/>
    <s v="Sharukhan,Mohammed"/>
    <n v="173.40687079805048"/>
    <d v="2025-09-18T00:00:00"/>
    <n v="5"/>
    <x v="5"/>
    <s v="Platform Operations"/>
  </r>
  <r>
    <n v="67259"/>
    <x v="7"/>
    <s v="01192794"/>
    <x v="22"/>
    <d v="2025-09-19T00:00:00"/>
    <s v="IA1789"/>
    <s v="Sharukhan,Mohammed"/>
    <n v="173.40687079805048"/>
    <d v="2025-09-19T00:00:00"/>
    <n v="5"/>
    <x v="5"/>
    <s v="Platform Operations"/>
  </r>
  <r>
    <n v="67259"/>
    <x v="7"/>
    <s v="01192794"/>
    <x v="22"/>
    <d v="2025-09-22T00:00:00"/>
    <s v="IA1789"/>
    <s v="Sharukhan,Mohammed"/>
    <n v="173.40687079805048"/>
    <d v="2025-09-22T00:00:00"/>
    <n v="5"/>
    <x v="5"/>
    <s v="Platform Operations"/>
  </r>
  <r>
    <n v="67259"/>
    <x v="7"/>
    <s v="01192794"/>
    <x v="22"/>
    <d v="2025-09-23T00:00:00"/>
    <s v="IA1789"/>
    <s v="Sharukhan,Mohammed"/>
    <n v="173.40687079805048"/>
    <d v="2025-09-23T00:00:00"/>
    <n v="5"/>
    <x v="5"/>
    <s v="Platform Operations"/>
  </r>
  <r>
    <n v="67259"/>
    <x v="7"/>
    <s v="01192794"/>
    <x v="22"/>
    <d v="2025-09-24T00:00:00"/>
    <s v="IA1789"/>
    <s v="Sharukhan,Mohammed"/>
    <n v="173.40687079805048"/>
    <d v="2025-09-24T00:00:00"/>
    <n v="5"/>
    <x v="5"/>
    <s v="Platform Operations"/>
  </r>
  <r>
    <n v="67259"/>
    <x v="7"/>
    <s v="01192794"/>
    <x v="22"/>
    <d v="2025-09-25T00:00:00"/>
    <s v="IA1789"/>
    <s v="Sharukhan,Mohammed"/>
    <n v="173.40687079805048"/>
    <d v="2025-09-25T00:00:00"/>
    <n v="5"/>
    <x v="5"/>
    <s v="Platform Operations"/>
  </r>
  <r>
    <n v="67259"/>
    <x v="7"/>
    <s v="01192794"/>
    <x v="22"/>
    <d v="2025-09-26T00:00:00"/>
    <s v="IA1789"/>
    <s v="Sharukhan,Mohammed"/>
    <n v="173.40687079805048"/>
    <d v="2025-09-26T00:00:00"/>
    <n v="5"/>
    <x v="5"/>
    <s v="Platform Operations"/>
  </r>
  <r>
    <n v="67259"/>
    <x v="7"/>
    <s v="01192794"/>
    <x v="22"/>
    <d v="2025-09-29T00:00:00"/>
    <s v="IA1789"/>
    <s v="Sharukhan,Mohammed"/>
    <n v="173.40687079805048"/>
    <d v="2025-09-29T00:00:00"/>
    <n v="5"/>
    <x v="5"/>
    <s v="Platform Operations"/>
  </r>
  <r>
    <n v="67259"/>
    <x v="7"/>
    <s v="01192794"/>
    <x v="22"/>
    <d v="2025-09-30T00:00:00"/>
    <s v="IA1789"/>
    <s v="Sharukhan,Mohammed"/>
    <n v="104.04412247883027"/>
    <d v="2025-09-30T00:00:00"/>
    <n v="3"/>
    <x v="5"/>
    <s v="Platform Operations"/>
  </r>
  <r>
    <n v="67259"/>
    <x v="7"/>
    <s v="01192794"/>
    <x v="22"/>
    <d v="2025-10-03T00:00:00"/>
    <s v="IA1789"/>
    <s v="Sharukhan,Mohammed"/>
    <n v="173.40687079805048"/>
    <d v="2025-10-03T00:00:00"/>
    <n v="5"/>
    <x v="6"/>
    <s v="Platform Operations"/>
  </r>
  <r>
    <n v="67259"/>
    <x v="7"/>
    <s v="01192794"/>
    <x v="22"/>
    <d v="2025-10-06T00:00:00"/>
    <s v="IA1789"/>
    <s v="Sharukhan,Mohammed"/>
    <n v="173.40687079805048"/>
    <d v="2025-10-06T00:00:00"/>
    <n v="5"/>
    <x v="6"/>
    <s v="Platform Operations"/>
  </r>
  <r>
    <n v="67259"/>
    <x v="7"/>
    <s v="01192794"/>
    <x v="22"/>
    <d v="2025-10-07T00:00:00"/>
    <s v="IA1789"/>
    <s v="Sharukhan,Mohammed"/>
    <n v="138.72549663844038"/>
    <d v="2025-10-07T00:00:00"/>
    <n v="4"/>
    <x v="6"/>
    <s v="Platform Operations"/>
  </r>
  <r>
    <n v="67259"/>
    <x v="7"/>
    <s v="01192794"/>
    <x v="22"/>
    <d v="2025-10-08T00:00:00"/>
    <s v="IA1789"/>
    <s v="Sharukhan,Mohammed"/>
    <n v="173.40687079805048"/>
    <d v="2025-10-08T00:00:00"/>
    <n v="5"/>
    <x v="6"/>
    <s v="Platform Operations"/>
  </r>
  <r>
    <n v="67259"/>
    <x v="7"/>
    <s v="01192794"/>
    <x v="22"/>
    <d v="2025-10-09T00:00:00"/>
    <s v="IA1789"/>
    <s v="Sharukhan,Mohammed"/>
    <n v="138.72549663844038"/>
    <d v="2025-10-09T00:00:00"/>
    <n v="4"/>
    <x v="6"/>
    <s v="Platform Operations"/>
  </r>
  <r>
    <n v="67259"/>
    <x v="7"/>
    <s v="01192794"/>
    <x v="22"/>
    <d v="2025-10-10T00:00:00"/>
    <s v="IA1789"/>
    <s v="Sharukhan,Mohammed"/>
    <n v="173.40687079805048"/>
    <d v="2025-10-10T00:00:00"/>
    <n v="5"/>
    <x v="6"/>
    <s v="Platform Operations"/>
  </r>
  <r>
    <n v="67259"/>
    <x v="7"/>
    <s v="01192794"/>
    <x v="22"/>
    <d v="2025-10-13T00:00:00"/>
    <s v="IA1789"/>
    <s v="Sharukhan,Mohammed"/>
    <n v="138.72549663844038"/>
    <d v="2025-10-13T00:00:00"/>
    <n v="4"/>
    <x v="6"/>
    <s v="Platform Operations"/>
  </r>
  <r>
    <n v="67259"/>
    <x v="7"/>
    <s v="01192794"/>
    <x v="22"/>
    <d v="2025-10-14T00:00:00"/>
    <s v="IA1789"/>
    <s v="Sharukhan,Mohammed"/>
    <n v="138.72549663844038"/>
    <d v="2025-10-14T00:00:00"/>
    <n v="4"/>
    <x v="6"/>
    <s v="Platform Operations"/>
  </r>
  <r>
    <n v="67259"/>
    <x v="7"/>
    <s v="01192794"/>
    <x v="22"/>
    <d v="2025-10-15T00:00:00"/>
    <s v="IA1789"/>
    <s v="Sharukhan,Mohammed"/>
    <n v="138.72549663844038"/>
    <d v="2025-10-15T00:00:00"/>
    <n v="4"/>
    <x v="6"/>
    <s v="Platform Operations"/>
  </r>
  <r>
    <n v="67259"/>
    <x v="7"/>
    <s v="01192794"/>
    <x v="22"/>
    <d v="2025-10-16T00:00:00"/>
    <s v="IA1789"/>
    <s v="Sharukhan,Mohammed"/>
    <n v="138.72549663844038"/>
    <d v="2025-10-16T00:00:00"/>
    <n v="4"/>
    <x v="6"/>
    <s v="Platform Operations"/>
  </r>
  <r>
    <n v="67259"/>
    <x v="7"/>
    <s v="01192794"/>
    <x v="22"/>
    <d v="2025-10-17T00:00:00"/>
    <s v="IA1789"/>
    <s v="Sharukhan,Mohammed"/>
    <n v="138.72549663844038"/>
    <d v="2025-10-17T00:00:00"/>
    <n v="4"/>
    <x v="6"/>
    <s v="Platform Operations"/>
  </r>
  <r>
    <n v="67259"/>
    <x v="7"/>
    <s v="01192794"/>
    <x v="22"/>
    <d v="2025-10-22T00:00:00"/>
    <s v="IA1789"/>
    <s v="Sharukhan,Mohammed"/>
    <n v="173.40687079805048"/>
    <d v="2025-10-22T00:00:00"/>
    <n v="5"/>
    <x v="6"/>
    <s v="Platform Operations"/>
  </r>
  <r>
    <n v="67259"/>
    <x v="7"/>
    <s v="01192794"/>
    <x v="22"/>
    <d v="2025-10-23T00:00:00"/>
    <s v="IA1789"/>
    <s v="Sharukhan,Mohammed"/>
    <n v="173.40687079805048"/>
    <d v="2025-10-23T00:00:00"/>
    <n v="5"/>
    <x v="6"/>
    <s v="Platform Operations"/>
  </r>
  <r>
    <n v="67259"/>
    <x v="7"/>
    <s v="01192794"/>
    <x v="22"/>
    <d v="2025-10-24T00:00:00"/>
    <s v="IA1789"/>
    <s v="Sharukhan,Mohammed"/>
    <n v="173.40687079805048"/>
    <d v="2025-10-24T00:00:00"/>
    <n v="5"/>
    <x v="6"/>
    <s v="Platform Operations"/>
  </r>
  <r>
    <n v="67259"/>
    <x v="7"/>
    <s v="01192794"/>
    <x v="22"/>
    <d v="2025-10-27T00:00:00"/>
    <s v="IA1789"/>
    <s v="Sharukhan,Mohammed"/>
    <n v="173.40687079805048"/>
    <d v="2025-10-27T00:00:00"/>
    <n v="5"/>
    <x v="6"/>
    <s v="Platform Operations"/>
  </r>
  <r>
    <n v="67259"/>
    <x v="7"/>
    <s v="01192794"/>
    <x v="22"/>
    <d v="2025-10-28T00:00:00"/>
    <s v="IA1789"/>
    <s v="Sharukhan,Mohammed"/>
    <n v="173.40687079805048"/>
    <d v="2025-10-28T00:00:00"/>
    <n v="5"/>
    <x v="6"/>
    <s v="Platform Operations"/>
  </r>
  <r>
    <n v="67259"/>
    <x v="7"/>
    <s v="01192794"/>
    <x v="22"/>
    <d v="2025-10-29T00:00:00"/>
    <s v="IA1789"/>
    <s v="Sharukhan,Mohammed"/>
    <n v="173.40687079805048"/>
    <d v="2025-10-29T00:00:00"/>
    <n v="5"/>
    <x v="6"/>
    <s v="Platform Operations"/>
  </r>
  <r>
    <n v="67259"/>
    <x v="7"/>
    <s v="01192794"/>
    <x v="22"/>
    <d v="2025-10-30T00:00:00"/>
    <s v="IA1789"/>
    <s v="Sharukhan,Mohammed"/>
    <n v="173.40687079805048"/>
    <d v="2025-10-30T00:00:00"/>
    <n v="5"/>
    <x v="6"/>
    <s v="Platform Operations"/>
  </r>
  <r>
    <n v="67259"/>
    <x v="7"/>
    <s v="01192794"/>
    <x v="22"/>
    <d v="2025-10-31T00:00:00"/>
    <s v="IA1789"/>
    <s v="Sharukhan,Mohammed"/>
    <n v="173.40687079805048"/>
    <d v="2025-10-31T00:00:00"/>
    <n v="5"/>
    <x v="6"/>
    <s v="Platform Operations"/>
  </r>
  <r>
    <n v="67259"/>
    <x v="7"/>
    <s v="01192794"/>
    <x v="22"/>
    <d v="2025-11-03T00:00:00"/>
    <s v="IA1789"/>
    <s v="Sharukhan,Mohammed"/>
    <n v="173.40687079805048"/>
    <d v="2025-11-03T00:00:00"/>
    <n v="5"/>
    <x v="7"/>
    <s v="Platform Operations"/>
  </r>
  <r>
    <n v="67259"/>
    <x v="7"/>
    <s v="01192794"/>
    <x v="22"/>
    <d v="2025-11-03T00:00:00"/>
    <s v="IA1789"/>
    <s v="Sharukhan,Mohammed"/>
    <n v="-173.40687079805048"/>
    <d v="2025-11-03T00:00:00"/>
    <n v="-5"/>
    <x v="7"/>
    <s v="Platform Operations"/>
  </r>
  <r>
    <n v="67259"/>
    <x v="7"/>
    <s v="01192794"/>
    <x v="22"/>
    <d v="2025-11-03T00:00:00"/>
    <s v="IA1789"/>
    <s v="Sharukhan,Mohammed"/>
    <n v="208.08824495766055"/>
    <d v="2025-11-03T00:00:00"/>
    <n v="6"/>
    <x v="7"/>
    <s v="Platform Operations"/>
  </r>
  <r>
    <n v="67259"/>
    <x v="7"/>
    <s v="01192794"/>
    <x v="22"/>
    <d v="2025-11-04T00:00:00"/>
    <s v="IA1789"/>
    <s v="Sharukhan,Mohammed"/>
    <n v="173.40687079805048"/>
    <d v="2025-11-04T00:00:00"/>
    <n v="5"/>
    <x v="7"/>
    <s v="Platform Operations"/>
  </r>
  <r>
    <n v="67259"/>
    <x v="7"/>
    <s v="01192794"/>
    <x v="22"/>
    <d v="2025-11-04T00:00:00"/>
    <s v="IA1789"/>
    <s v="Sharukhan,Mohammed"/>
    <n v="-173.40687079805048"/>
    <d v="2025-11-04T00:00:00"/>
    <n v="-5"/>
    <x v="7"/>
    <s v="Platform Operations"/>
  </r>
  <r>
    <n v="67259"/>
    <x v="7"/>
    <s v="01192794"/>
    <x v="22"/>
    <d v="2025-11-04T00:00:00"/>
    <s v="IA1789"/>
    <s v="Sharukhan,Mohammed"/>
    <n v="208.08824495766055"/>
    <d v="2025-11-04T00:00:00"/>
    <n v="6"/>
    <x v="7"/>
    <s v="Platform Operations"/>
  </r>
  <r>
    <n v="67259"/>
    <x v="7"/>
    <s v="01192794"/>
    <x v="22"/>
    <d v="2025-11-05T00:00:00"/>
    <s v="IA1789"/>
    <s v="Sharukhan,Mohammed"/>
    <n v="173.40687079805048"/>
    <d v="2025-11-05T00:00:00"/>
    <n v="5"/>
    <x v="7"/>
    <s v="Platform Operations"/>
  </r>
  <r>
    <n v="67259"/>
    <x v="7"/>
    <s v="01192794"/>
    <x v="22"/>
    <d v="2025-11-05T00:00:00"/>
    <s v="IA1789"/>
    <s v="Sharukhan,Mohammed"/>
    <n v="-173.40687079805048"/>
    <d v="2025-11-05T00:00:00"/>
    <n v="-5"/>
    <x v="7"/>
    <s v="Platform Operations"/>
  </r>
  <r>
    <n v="67259"/>
    <x v="7"/>
    <s v="01192794"/>
    <x v="22"/>
    <d v="2025-11-05T00:00:00"/>
    <s v="IA1789"/>
    <s v="Sharukhan,Mohammed"/>
    <n v="208.08824495766055"/>
    <d v="2025-11-05T00:00:00"/>
    <n v="6"/>
    <x v="7"/>
    <s v="Platform Operations"/>
  </r>
  <r>
    <n v="67259"/>
    <x v="7"/>
    <s v="01192794"/>
    <x v="22"/>
    <d v="2025-11-06T00:00:00"/>
    <s v="IA1789"/>
    <s v="Sharukhan,Mohammed"/>
    <n v="173.40687079805048"/>
    <d v="2025-11-06T00:00:00"/>
    <n v="5"/>
    <x v="7"/>
    <s v="Platform Operations"/>
  </r>
  <r>
    <n v="67259"/>
    <x v="7"/>
    <s v="01192794"/>
    <x v="22"/>
    <d v="2025-11-06T00:00:00"/>
    <s v="IA1789"/>
    <s v="Sharukhan,Mohammed"/>
    <n v="-173.40687079805048"/>
    <d v="2025-11-06T00:00:00"/>
    <n v="-5"/>
    <x v="7"/>
    <s v="Platform Operations"/>
  </r>
  <r>
    <n v="67259"/>
    <x v="7"/>
    <s v="01192794"/>
    <x v="22"/>
    <d v="2025-11-06T00:00:00"/>
    <s v="IA1789"/>
    <s v="Sharukhan,Mohammed"/>
    <n v="208.08824495766055"/>
    <d v="2025-11-06T00:00:00"/>
    <n v="6"/>
    <x v="7"/>
    <s v="Platform Operations"/>
  </r>
  <r>
    <n v="67259"/>
    <x v="7"/>
    <s v="01192794"/>
    <x v="22"/>
    <d v="2025-11-07T00:00:00"/>
    <s v="IA1789"/>
    <s v="Sharukhan,Mohammed"/>
    <n v="173.40687079805048"/>
    <d v="2025-11-07T00:00:00"/>
    <n v="5"/>
    <x v="7"/>
    <s v="Platform Operations"/>
  </r>
  <r>
    <n v="67259"/>
    <x v="7"/>
    <s v="01192794"/>
    <x v="22"/>
    <d v="2025-11-07T00:00:00"/>
    <s v="IA1789"/>
    <s v="Sharukhan,Mohammed"/>
    <n v="-173.40687079805048"/>
    <d v="2025-11-07T00:00:00"/>
    <n v="-5"/>
    <x v="7"/>
    <s v="Platform Operations"/>
  </r>
  <r>
    <n v="67259"/>
    <x v="7"/>
    <s v="01192794"/>
    <x v="22"/>
    <d v="2025-11-07T00:00:00"/>
    <s v="IA1789"/>
    <s v="Sharukhan,Mohammed"/>
    <n v="208.08824495766055"/>
    <d v="2025-11-07T00:00:00"/>
    <n v="6"/>
    <x v="7"/>
    <s v="Platform Operations"/>
  </r>
  <r>
    <n v="67259"/>
    <x v="7"/>
    <s v="01192794"/>
    <x v="22"/>
    <d v="2025-11-10T00:00:00"/>
    <s v="IA1789"/>
    <s v="Sharukhan,Mohammed"/>
    <n v="208.08824495766055"/>
    <d v="2025-11-10T00:00:00"/>
    <n v="6"/>
    <x v="7"/>
    <s v="Platform Operations"/>
  </r>
  <r>
    <n v="67259"/>
    <x v="7"/>
    <s v="01192794"/>
    <x v="22"/>
    <d v="2025-11-11T00:00:00"/>
    <s v="IA1789"/>
    <s v="Sharukhan,Mohammed"/>
    <n v="208.08824495766055"/>
    <d v="2025-11-11T00:00:00"/>
    <n v="6"/>
    <x v="7"/>
    <s v="Platform Operations"/>
  </r>
  <r>
    <n v="67259"/>
    <x v="7"/>
    <s v="01192794"/>
    <x v="22"/>
    <d v="2025-11-12T00:00:00"/>
    <s v="IA1789"/>
    <s v="Sharukhan,Mohammed"/>
    <n v="104.04412247883027"/>
    <d v="2025-11-12T00:00:00"/>
    <n v="3"/>
    <x v="7"/>
    <s v="Platform Operations"/>
  </r>
  <r>
    <n v="67259"/>
    <x v="7"/>
    <s v="01192794"/>
    <x v="22"/>
    <d v="2025-11-13T00:00:00"/>
    <s v="IA1789"/>
    <s v="Sharukhan,Mohammed"/>
    <n v="208.08824495766055"/>
    <d v="2025-11-13T00:00:00"/>
    <n v="6"/>
    <x v="7"/>
    <s v="Platform Operations"/>
  </r>
  <r>
    <n v="67259"/>
    <x v="7"/>
    <s v="01192794"/>
    <x v="22"/>
    <d v="2025-11-14T00:00:00"/>
    <s v="IA1789"/>
    <s v="Sharukhan,Mohammed"/>
    <n v="208.08824495766055"/>
    <d v="2025-11-14T00:00:00"/>
    <n v="6"/>
    <x v="7"/>
    <s v="Platform Operations"/>
  </r>
  <r>
    <n v="67259"/>
    <x v="7"/>
    <s v="01192794"/>
    <x v="22"/>
    <d v="2025-12-02T00:00:00"/>
    <s v="IA1789"/>
    <s v="Sharukhan,Mohammed"/>
    <n v="208.08824495766055"/>
    <d v="2025-12-02T00:00:00"/>
    <n v="6"/>
    <x v="8"/>
    <s v="Platform Operations"/>
  </r>
  <r>
    <n v="67259"/>
    <x v="7"/>
    <s v="01192794"/>
    <x v="22"/>
    <d v="2025-12-03T00:00:00"/>
    <s v="IA1789"/>
    <s v="Sharukhan,Mohammed"/>
    <n v="208.08824495766055"/>
    <d v="2025-12-03T00:00:00"/>
    <n v="6"/>
    <x v="8"/>
    <s v="Platform Operations"/>
  </r>
  <r>
    <n v="67259"/>
    <x v="7"/>
    <s v="01192794"/>
    <x v="22"/>
    <d v="2025-12-04T00:00:00"/>
    <s v="IA1789"/>
    <s v="Sharukhan,Mohammed"/>
    <n v="208.08824495766055"/>
    <d v="2025-12-04T00:00:00"/>
    <n v="6"/>
    <x v="8"/>
    <s v="Platform Operations"/>
  </r>
  <r>
    <n v="67259"/>
    <x v="7"/>
    <s v="01192794"/>
    <x v="22"/>
    <d v="2025-12-05T00:00:00"/>
    <s v="IA1789"/>
    <s v="Sharukhan,Mohammed"/>
    <n v="208.08824495766055"/>
    <d v="2025-12-05T00:00:00"/>
    <n v="6"/>
    <x v="8"/>
    <s v="Platform Operations"/>
  </r>
  <r>
    <n v="67259"/>
    <x v="7"/>
    <s v="01192794"/>
    <x v="22"/>
    <d v="2025-12-08T00:00:00"/>
    <s v="IA1789"/>
    <s v="Sharukhan,Mohammed"/>
    <n v="208.08824495766055"/>
    <d v="2025-12-08T00:00:00"/>
    <n v="6"/>
    <x v="8"/>
    <s v="Platform Operations"/>
  </r>
  <r>
    <n v="67259"/>
    <x v="7"/>
    <s v="01192794"/>
    <x v="22"/>
    <d v="2025-12-09T00:00:00"/>
    <s v="IA1789"/>
    <s v="Sharukhan,Mohammed"/>
    <n v="208.08824495766055"/>
    <d v="2025-12-09T00:00:00"/>
    <n v="6"/>
    <x v="8"/>
    <s v="Platform Operations"/>
  </r>
  <r>
    <n v="67259"/>
    <x v="7"/>
    <s v="01192794"/>
    <x v="22"/>
    <d v="2025-12-10T00:00:00"/>
    <s v="IA1789"/>
    <s v="Sharukhan,Mohammed"/>
    <n v="208.08824495766055"/>
    <d v="2025-12-10T00:00:00"/>
    <n v="6"/>
    <x v="8"/>
    <s v="Platform Operations"/>
  </r>
  <r>
    <n v="67259"/>
    <x v="7"/>
    <s v="01192794"/>
    <x v="22"/>
    <d v="2025-12-11T00:00:00"/>
    <s v="IA1789"/>
    <s v="Sharukhan,Mohammed"/>
    <n v="208.08824495766055"/>
    <d v="2025-12-11T00:00:00"/>
    <n v="6"/>
    <x v="8"/>
    <s v="Platform Operations"/>
  </r>
  <r>
    <n v="67259"/>
    <x v="7"/>
    <s v="01192794"/>
    <x v="22"/>
    <d v="2025-12-12T00:00:00"/>
    <s v="IA1789"/>
    <s v="Sharukhan,Mohammed"/>
    <n v="208.08824495766055"/>
    <d v="2025-12-12T00:00:00"/>
    <n v="6"/>
    <x v="8"/>
    <s v="Platform Operations"/>
  </r>
  <r>
    <n v="67259"/>
    <x v="7"/>
    <s v="01192794"/>
    <x v="22"/>
    <d v="2026-01-05T00:00:00"/>
    <s v="IA1789"/>
    <s v="Sharukhan,Mohammed"/>
    <n v="138.72549663844038"/>
    <d v="2026-01-05T00:00:00"/>
    <n v="4"/>
    <x v="9"/>
    <s v="Platform Operations"/>
  </r>
  <r>
    <n v="67259"/>
    <x v="7"/>
    <s v="01192794"/>
    <x v="22"/>
    <d v="2026-01-06T00:00:00"/>
    <s v="IA1789"/>
    <s v="Sharukhan,Mohammed"/>
    <n v="138.72549663844038"/>
    <d v="2026-01-06T00:00:00"/>
    <n v="4"/>
    <x v="9"/>
    <s v="Platform Operations"/>
  </r>
  <r>
    <n v="67259"/>
    <x v="7"/>
    <s v="01192794"/>
    <x v="22"/>
    <d v="2026-01-07T00:00:00"/>
    <s v="IA1789"/>
    <s v="Sharukhan,Mohammed"/>
    <n v="138.72549663844038"/>
    <d v="2026-01-07T00:00:00"/>
    <n v="4"/>
    <x v="9"/>
    <s v="Platform Operations"/>
  </r>
  <r>
    <n v="67259"/>
    <x v="7"/>
    <s v="01192794"/>
    <x v="22"/>
    <d v="2026-01-08T00:00:00"/>
    <s v="IA1789"/>
    <s v="Sharukhan,Mohammed"/>
    <n v="138.72549663844038"/>
    <d v="2026-01-08T00:00:00"/>
    <n v="4"/>
    <x v="9"/>
    <s v="Platform Operations"/>
  </r>
  <r>
    <n v="67259"/>
    <x v="7"/>
    <s v="01192794"/>
    <x v="22"/>
    <d v="2026-01-12T00:00:00"/>
    <s v="IA1789"/>
    <s v="Sharukhan,Mohammed"/>
    <n v="138.72549663844038"/>
    <d v="2026-01-12T00:00:00"/>
    <n v="4"/>
    <x v="9"/>
    <s v="Platform Operations"/>
  </r>
  <r>
    <n v="67259"/>
    <x v="7"/>
    <s v="01192794"/>
    <x v="22"/>
    <d v="2026-01-13T00:00:00"/>
    <s v="IA1789"/>
    <s v="Sharukhan,Mohammed"/>
    <n v="138.72549663844038"/>
    <d v="2026-01-13T00:00:00"/>
    <n v="4"/>
    <x v="9"/>
    <s v="Platform Operations"/>
  </r>
  <r>
    <n v="67259"/>
    <x v="7"/>
    <s v="01192794"/>
    <x v="22"/>
    <d v="2026-01-14T00:00:00"/>
    <s v="IA1789"/>
    <s v="Sharukhan,Mohammed"/>
    <n v="138.72549663844038"/>
    <d v="2026-01-14T00:00:00"/>
    <n v="4"/>
    <x v="9"/>
    <s v="Platform Operations"/>
  </r>
  <r>
    <n v="67259"/>
    <x v="7"/>
    <s v="01192794"/>
    <x v="22"/>
    <d v="2026-01-19T00:00:00"/>
    <s v="IA1789"/>
    <s v="Sharukhan,Mohammed"/>
    <n v="138.72549663844038"/>
    <d v="2026-01-19T00:00:00"/>
    <n v="4"/>
    <x v="9"/>
    <s v="Platform Operations"/>
  </r>
  <r>
    <n v="67259"/>
    <x v="7"/>
    <s v="01192794"/>
    <x v="22"/>
    <d v="2026-01-20T00:00:00"/>
    <s v="IA1789"/>
    <s v="Sharukhan,Mohammed"/>
    <n v="138.72549663844038"/>
    <d v="2026-01-20T00:00:00"/>
    <n v="4"/>
    <x v="9"/>
    <s v="Platform Operations"/>
  </r>
  <r>
    <n v="67259"/>
    <x v="7"/>
    <s v="01192794"/>
    <x v="22"/>
    <d v="2026-01-21T00:00:00"/>
    <s v="IA1789"/>
    <s v="Sharukhan,Mohammed"/>
    <n v="138.72549663844038"/>
    <d v="2026-01-21T00:00:00"/>
    <n v="4"/>
    <x v="9"/>
    <s v="Platform Operations"/>
  </r>
  <r>
    <n v="67259"/>
    <x v="7"/>
    <s v="01192794"/>
    <x v="22"/>
    <d v="2026-01-22T00:00:00"/>
    <s v="IA1789"/>
    <s v="Sharukhan,Mohammed"/>
    <n v="138.72549663844038"/>
    <d v="2026-01-22T00:00:00"/>
    <n v="4"/>
    <x v="9"/>
    <s v="Platform Operations"/>
  </r>
  <r>
    <n v="67259"/>
    <x v="7"/>
    <s v="01192794"/>
    <x v="22"/>
    <d v="2026-01-23T00:00:00"/>
    <s v="IA1789"/>
    <s v="Sharukhan,Mohammed"/>
    <n v="138.72549663844038"/>
    <d v="2026-01-23T00:00:00"/>
    <n v="4"/>
    <x v="9"/>
    <s v="Platform Operations"/>
  </r>
  <r>
    <n v="67259"/>
    <x v="7"/>
    <s v="01192794"/>
    <x v="22"/>
    <d v="2026-01-27T00:00:00"/>
    <s v="IA1789"/>
    <s v="Sharukhan,Mohammed"/>
    <n v="138.72549663844038"/>
    <d v="2026-01-27T00:00:00"/>
    <n v="4"/>
    <x v="9"/>
    <s v="Platform Operations"/>
  </r>
  <r>
    <n v="67259"/>
    <x v="7"/>
    <s v="01192794"/>
    <x v="22"/>
    <d v="2026-01-28T00:00:00"/>
    <s v="IA1789"/>
    <s v="Sharukhan,Mohammed"/>
    <n v="138.72549663844038"/>
    <d v="2026-01-28T00:00:00"/>
    <n v="4"/>
    <x v="9"/>
    <s v="Platform Operations"/>
  </r>
  <r>
    <n v="67259"/>
    <x v="7"/>
    <s v="01192794"/>
    <x v="22"/>
    <d v="2026-01-29T00:00:00"/>
    <s v="IA1789"/>
    <s v="Sharukhan,Mohammed"/>
    <n v="138.72549663844038"/>
    <d v="2026-01-29T00:00:00"/>
    <n v="4"/>
    <x v="9"/>
    <s v="Platform Operations"/>
  </r>
  <r>
    <n v="67259"/>
    <x v="7"/>
    <s v="01192794"/>
    <x v="22"/>
    <d v="2026-01-30T00:00:00"/>
    <s v="IA1789"/>
    <s v="Sharukhan,Mohammed"/>
    <n v="138.72549663844038"/>
    <d v="2026-01-30T00:00:00"/>
    <n v="4"/>
    <x v="9"/>
    <s v="Platform Operations"/>
  </r>
  <r>
    <n v="67259"/>
    <x v="7"/>
    <s v="01192794"/>
    <x v="22"/>
    <d v="2026-02-02T00:00:00"/>
    <s v="IA1789"/>
    <s v="Sharukhan,Mohammed"/>
    <n v="208.08824495766055"/>
    <d v="2026-02-02T00:00:00"/>
    <n v="6"/>
    <x v="0"/>
    <s v="Platform Operations"/>
  </r>
  <r>
    <n v="67259"/>
    <x v="7"/>
    <s v="01192794"/>
    <x v="22"/>
    <d v="2026-02-03T00:00:00"/>
    <s v="IA1789"/>
    <s v="Sharukhan,Mohammed"/>
    <n v="208.08824495766055"/>
    <d v="2026-02-03T00:00:00"/>
    <n v="6"/>
    <x v="0"/>
    <s v="Platform Operations"/>
  </r>
  <r>
    <n v="67259"/>
    <x v="7"/>
    <s v="01192794"/>
    <x v="22"/>
    <d v="2026-02-04T00:00:00"/>
    <s v="IA1789"/>
    <s v="Sharukhan,Mohammed"/>
    <n v="208.08824495766055"/>
    <d v="2026-02-04T00:00:00"/>
    <n v="6"/>
    <x v="0"/>
    <s v="Platform Operations"/>
  </r>
  <r>
    <n v="67259"/>
    <x v="7"/>
    <s v="01192794"/>
    <x v="22"/>
    <d v="2026-02-05T00:00:00"/>
    <s v="IA1789"/>
    <s v="Sharukhan,Mohammed"/>
    <n v="208.08824495766055"/>
    <d v="2026-02-05T00:00:00"/>
    <n v="6"/>
    <x v="0"/>
    <s v="Platform Operations"/>
  </r>
  <r>
    <n v="67259"/>
    <x v="7"/>
    <s v="01192794"/>
    <x v="22"/>
    <d v="2026-02-06T00:00:00"/>
    <s v="IA1789"/>
    <s v="Sharukhan,Mohammed"/>
    <n v="208.08824495766055"/>
    <d v="2026-02-06T00:00:00"/>
    <n v="6"/>
    <x v="0"/>
    <s v="Platform Operations"/>
  </r>
  <r>
    <n v="67259"/>
    <x v="7"/>
    <s v="01192794"/>
    <x v="22"/>
    <d v="2026-02-09T00:00:00"/>
    <s v="IA1789"/>
    <s v="Sharukhan,Mohammed"/>
    <n v="138.72549663844038"/>
    <d v="2026-02-09T00:00:00"/>
    <n v="4"/>
    <x v="0"/>
    <s v="Platform Operations"/>
  </r>
  <r>
    <n v="67259"/>
    <x v="7"/>
    <s v="01192794"/>
    <x v="22"/>
    <d v="2026-02-10T00:00:00"/>
    <s v="IA1789"/>
    <s v="Sharukhan,Mohammed"/>
    <n v="138.72549663844038"/>
    <d v="2026-02-10T00:00:00"/>
    <n v="4"/>
    <x v="0"/>
    <s v="Platform Operations"/>
  </r>
  <r>
    <n v="67259"/>
    <x v="7"/>
    <s v="01192794"/>
    <x v="22"/>
    <d v="2026-02-11T00:00:00"/>
    <s v="IA1789"/>
    <s v="Sharukhan,Mohammed"/>
    <n v="138.72549663844038"/>
    <d v="2026-02-11T00:00:00"/>
    <n v="4"/>
    <x v="0"/>
    <s v="Platform Operations"/>
  </r>
  <r>
    <n v="67259"/>
    <x v="7"/>
    <s v="01192794"/>
    <x v="22"/>
    <d v="2026-02-12T00:00:00"/>
    <s v="IA1789"/>
    <s v="Sharukhan,Mohammed"/>
    <n v="138.72549663844038"/>
    <d v="2026-02-12T00:00:00"/>
    <n v="4"/>
    <x v="0"/>
    <s v="Platform Operations"/>
  </r>
  <r>
    <n v="67259"/>
    <x v="7"/>
    <s v="01192794"/>
    <x v="22"/>
    <d v="2026-02-13T00:00:00"/>
    <s v="IA1789"/>
    <s v="Sharukhan,Mohammed"/>
    <n v="138.72549663844038"/>
    <d v="2026-02-13T00:00:00"/>
    <n v="4"/>
    <x v="0"/>
    <s v="Platform Operations"/>
  </r>
  <r>
    <n v="67259"/>
    <x v="7"/>
    <s v="01192794"/>
    <x v="22"/>
    <d v="2026-02-16T00:00:00"/>
    <s v="IA1789"/>
    <s v="Sharukhan,Mohammed"/>
    <n v="208.08824495766055"/>
    <d v="2026-02-16T00:00:00"/>
    <n v="6"/>
    <x v="0"/>
    <s v="Platform Operations"/>
  </r>
  <r>
    <n v="67259"/>
    <x v="7"/>
    <s v="01192794"/>
    <x v="22"/>
    <d v="2026-02-17T00:00:00"/>
    <s v="IA1789"/>
    <s v="Sharukhan,Mohammed"/>
    <n v="208.08824495766055"/>
    <d v="2026-02-17T00:00:00"/>
    <n v="6"/>
    <x v="0"/>
    <s v="Platform Operations"/>
  </r>
  <r>
    <n v="67259"/>
    <x v="7"/>
    <s v="01192794"/>
    <x v="22"/>
    <d v="2026-02-18T00:00:00"/>
    <s v="IA1789"/>
    <s v="Sharukhan,Mohammed"/>
    <n v="208.08824495766055"/>
    <d v="2026-02-18T00:00:00"/>
    <n v="6"/>
    <x v="0"/>
    <s v="Platform Operations"/>
  </r>
  <r>
    <n v="67259"/>
    <x v="7"/>
    <s v="01192794"/>
    <x v="22"/>
    <d v="2026-02-19T00:00:00"/>
    <s v="IA1789"/>
    <s v="Sharukhan,Mohammed"/>
    <n v="138.72549663844038"/>
    <d v="2026-02-19T00:00:00"/>
    <n v="4"/>
    <x v="0"/>
    <s v="Platform Operations"/>
  </r>
  <r>
    <n v="67259"/>
    <x v="7"/>
    <s v="01192794"/>
    <x v="22"/>
    <d v="2026-02-20T00:00:00"/>
    <s v="IA1789"/>
    <s v="Sharukhan,Mohammed"/>
    <n v="138.72549663844038"/>
    <d v="2026-02-20T00:00:00"/>
    <n v="4"/>
    <x v="0"/>
    <s v="Platform Operations"/>
  </r>
  <r>
    <n v="67259"/>
    <x v="7"/>
    <s v="01192794"/>
    <x v="22"/>
    <d v="2026-02-23T00:00:00"/>
    <s v="IA1789"/>
    <s v="Sharukhan,Mohammed"/>
    <n v="138.72549663844038"/>
    <d v="2026-02-23T00:00:00"/>
    <n v="4"/>
    <x v="0"/>
    <s v="Platform Operations"/>
  </r>
  <r>
    <n v="67259"/>
    <x v="7"/>
    <s v="01192794"/>
    <x v="22"/>
    <d v="2026-02-24T00:00:00"/>
    <s v="IA1789"/>
    <s v="Sharukhan,Mohammed"/>
    <n v="208.08824495766055"/>
    <d v="2026-02-24T00:00:00"/>
    <n v="6"/>
    <x v="0"/>
    <s v="Platform Operations"/>
  </r>
  <r>
    <n v="67259"/>
    <x v="7"/>
    <s v="01192794"/>
    <x v="22"/>
    <d v="2026-02-25T00:00:00"/>
    <s v="IA1789"/>
    <s v="Sharukhan,Mohammed"/>
    <n v="138.72549663844038"/>
    <d v="2026-02-25T00:00:00"/>
    <n v="4"/>
    <x v="0"/>
    <s v="Platform Operations"/>
  </r>
  <r>
    <n v="67259"/>
    <x v="7"/>
    <s v="01192794"/>
    <x v="22"/>
    <d v="2026-02-26T00:00:00"/>
    <s v="IA1789"/>
    <s v="Sharukhan,Mohammed"/>
    <n v="138.72549663844038"/>
    <d v="2026-02-26T00:00:00"/>
    <n v="4"/>
    <x v="0"/>
    <s v="Platform Operations"/>
  </r>
  <r>
    <n v="67259"/>
    <x v="7"/>
    <s v="01192794"/>
    <x v="22"/>
    <d v="2026-03-02T00:00:00"/>
    <s v="IA1789"/>
    <s v="Sharukhan,Mohammed"/>
    <n v="173.40687079805048"/>
    <d v="2026-03-02T00:00:00"/>
    <n v="5"/>
    <x v="1"/>
    <s v="Platform Operations"/>
  </r>
  <r>
    <n v="67259"/>
    <x v="7"/>
    <s v="01192794"/>
    <x v="22"/>
    <d v="2026-03-03T00:00:00"/>
    <s v="IA1789"/>
    <s v="Sharukhan,Mohammed"/>
    <n v="173.40687079805048"/>
    <d v="2026-03-03T00:00:00"/>
    <n v="5"/>
    <x v="1"/>
    <s v="Platform Operations"/>
  </r>
  <r>
    <n v="67259"/>
    <x v="7"/>
    <s v="01192794"/>
    <x v="22"/>
    <d v="2026-03-04T00:00:00"/>
    <s v="IA1789"/>
    <s v="Sharukhan,Mohammed"/>
    <n v="173.40687079805048"/>
    <d v="2026-03-04T00:00:00"/>
    <n v="5"/>
    <x v="1"/>
    <s v="Platform Operations"/>
  </r>
  <r>
    <n v="67259"/>
    <x v="7"/>
    <s v="01192794"/>
    <x v="22"/>
    <d v="2026-03-05T00:00:00"/>
    <s v="IA1789"/>
    <s v="Sharukhan,Mohammed"/>
    <n v="173.40687079805048"/>
    <d v="2026-03-05T00:00:00"/>
    <n v="5"/>
    <x v="1"/>
    <s v="Platform Operations"/>
  </r>
  <r>
    <n v="67259"/>
    <x v="7"/>
    <s v="01192794"/>
    <x v="22"/>
    <d v="2026-03-06T00:00:00"/>
    <s v="IA1789"/>
    <s v="Sharukhan,Mohammed"/>
    <n v="173.40687079805048"/>
    <d v="2026-03-06T00:00:00"/>
    <n v="5"/>
    <x v="1"/>
    <s v="Platform Operations"/>
  </r>
  <r>
    <n v="67259"/>
    <x v="7"/>
    <s v="01192794"/>
    <x v="22"/>
    <d v="2026-03-09T00:00:00"/>
    <s v="IA1789"/>
    <s v="Sharukhan,Mohammed"/>
    <n v="173.40687079805048"/>
    <d v="2026-03-09T00:00:00"/>
    <n v="5"/>
    <x v="1"/>
    <s v="Platform Operations"/>
  </r>
  <r>
    <n v="67259"/>
    <x v="7"/>
    <s v="01192794"/>
    <x v="22"/>
    <d v="2026-03-10T00:00:00"/>
    <s v="IA1789"/>
    <s v="Sharukhan,Mohammed"/>
    <n v="173.40687079805048"/>
    <d v="2026-03-10T00:00:00"/>
    <n v="5"/>
    <x v="1"/>
    <s v="Platform Operations"/>
  </r>
  <r>
    <n v="67259"/>
    <x v="7"/>
    <s v="01192794"/>
    <x v="22"/>
    <d v="2026-03-11T00:00:00"/>
    <s v="IA1789"/>
    <s v="Sharukhan,Mohammed"/>
    <n v="173.40687079805048"/>
    <d v="2026-03-11T00:00:00"/>
    <n v="5"/>
    <x v="1"/>
    <s v="Platform Operations"/>
  </r>
  <r>
    <n v="67259"/>
    <x v="7"/>
    <s v="01192794"/>
    <x v="22"/>
    <d v="2026-03-12T00:00:00"/>
    <s v="IA1789"/>
    <s v="Sharukhan,Mohammed"/>
    <n v="173.40687079805048"/>
    <d v="2026-03-12T00:00:00"/>
    <n v="5"/>
    <x v="1"/>
    <s v="Platform Operations"/>
  </r>
  <r>
    <n v="67259"/>
    <x v="7"/>
    <s v="01192794"/>
    <x v="22"/>
    <d v="2026-03-13T00:00:00"/>
    <s v="IA1789"/>
    <s v="Sharukhan,Mohammed"/>
    <n v="173.40687079805048"/>
    <d v="2026-03-13T00:00:00"/>
    <n v="5"/>
    <x v="1"/>
    <s v="Platform Operations"/>
  </r>
  <r>
    <n v="67259"/>
    <x v="7"/>
    <s v="01192794"/>
    <x v="22"/>
    <d v="2026-03-16T00:00:00"/>
    <s v="IA1789"/>
    <s v="Sharukhan,Mohammed"/>
    <n v="173.40687079805048"/>
    <d v="2026-03-16T00:00:00"/>
    <n v="5"/>
    <x v="1"/>
    <s v="Platform Operations"/>
  </r>
  <r>
    <n v="67259"/>
    <x v="7"/>
    <s v="01192794"/>
    <x v="22"/>
    <d v="2026-03-17T00:00:00"/>
    <s v="IA1789"/>
    <s v="Sharukhan,Mohammed"/>
    <n v="173.40687079805048"/>
    <d v="2026-03-17T00:00:00"/>
    <n v="5"/>
    <x v="1"/>
    <s v="Platform Operations"/>
  </r>
  <r>
    <n v="67259"/>
    <x v="7"/>
    <s v="01192794"/>
    <x v="22"/>
    <d v="2026-03-18T00:00:00"/>
    <s v="IA1789"/>
    <s v="Sharukhan,Mohammed"/>
    <n v="173.40687079805048"/>
    <d v="2026-03-18T00:00:00"/>
    <n v="5"/>
    <x v="1"/>
    <s v="Platform Operations"/>
  </r>
  <r>
    <n v="67259"/>
    <x v="7"/>
    <s v="01192794"/>
    <x v="22"/>
    <d v="2026-03-23T00:00:00"/>
    <s v="IA1789"/>
    <s v="Sharukhan,Mohammed"/>
    <n v="208.08824495766055"/>
    <d v="2026-03-23T00:00:00"/>
    <n v="6"/>
    <x v="1"/>
    <s v="Platform Operations"/>
  </r>
  <r>
    <n v="67259"/>
    <x v="7"/>
    <s v="01192794"/>
    <x v="22"/>
    <d v="2026-03-24T00:00:00"/>
    <s v="IA1789"/>
    <s v="Sharukhan,Mohammed"/>
    <n v="208.08824495766055"/>
    <d v="2026-03-24T00:00:00"/>
    <n v="6"/>
    <x v="1"/>
    <s v="Platform Operations"/>
  </r>
  <r>
    <n v="67259"/>
    <x v="7"/>
    <s v="01192794"/>
    <x v="22"/>
    <d v="2026-03-25T00:00:00"/>
    <s v="IA1789"/>
    <s v="Sharukhan,Mohammed"/>
    <n v="208.08824495766055"/>
    <d v="2026-03-25T00:00:00"/>
    <n v="6"/>
    <x v="1"/>
    <s v="Platform Operations"/>
  </r>
  <r>
    <n v="67259"/>
    <x v="7"/>
    <s v="01192794"/>
    <x v="22"/>
    <d v="2026-03-26T00:00:00"/>
    <s v="IA1789"/>
    <s v="Sharukhan,Mohammed"/>
    <n v="208.08824495766055"/>
    <d v="2026-03-26T00:00:00"/>
    <n v="6"/>
    <x v="1"/>
    <s v="Platform Operations"/>
  </r>
  <r>
    <n v="67259"/>
    <x v="7"/>
    <s v="01192794"/>
    <x v="22"/>
    <d v="2026-03-27T00:00:00"/>
    <s v="IA1789"/>
    <s v="Sharukhan,Mohammed"/>
    <n v="208.08824495766055"/>
    <d v="2026-03-27T00:00:00"/>
    <n v="6"/>
    <x v="1"/>
    <s v="Platform Operations"/>
  </r>
  <r>
    <n v="67259"/>
    <x v="7"/>
    <s v="01192794"/>
    <x v="22"/>
    <d v="2026-03-30T00:00:00"/>
    <s v="IA1789"/>
    <s v="Sharukhan,Mohammed"/>
    <n v="138.72549663844038"/>
    <d v="2026-03-30T00:00:00"/>
    <n v="4"/>
    <x v="1"/>
    <s v="Platform Operations"/>
  </r>
  <r>
    <n v="67259"/>
    <x v="7"/>
    <s v="01192794"/>
    <x v="22"/>
    <d v="2026-03-31T00:00:00"/>
    <s v="IA1789"/>
    <s v="Sharukhan,Mohammed"/>
    <n v="138.72549663844038"/>
    <d v="2026-03-31T00:00:00"/>
    <n v="4"/>
    <x v="1"/>
    <s v="Platform Operations"/>
  </r>
  <r>
    <n v="67259"/>
    <x v="7"/>
    <s v="01192794"/>
    <x v="22"/>
    <d v="2026-04-01T00:00:00"/>
    <s v="IA1789"/>
    <s v="Sharukhan,Mohammed"/>
    <n v="138.72549663844038"/>
    <d v="2026-04-01T00:00:00"/>
    <n v="4"/>
    <x v="2"/>
    <s v="Platform Operations"/>
  </r>
  <r>
    <n v="67259"/>
    <x v="7"/>
    <s v="01192794"/>
    <x v="22"/>
    <d v="2026-04-02T00:00:00"/>
    <s v="IA1789"/>
    <s v="Sharukhan,Mohammed"/>
    <n v="138.72549663844038"/>
    <d v="2026-04-02T00:00:00"/>
    <n v="4"/>
    <x v="2"/>
    <s v="Platform Operations"/>
  </r>
  <r>
    <n v="67259"/>
    <x v="7"/>
    <s v="01192794"/>
    <x v="22"/>
    <d v="2026-04-06T00:00:00"/>
    <s v="IA1789"/>
    <s v="Sharukhan,Mohammed"/>
    <n v="173.40687079805048"/>
    <d v="2026-04-06T00:00:00"/>
    <n v="5"/>
    <x v="2"/>
    <s v="Platform Operations"/>
  </r>
  <r>
    <n v="67259"/>
    <x v="7"/>
    <s v="01192794"/>
    <x v="22"/>
    <d v="2026-04-07T00:00:00"/>
    <s v="IA1789"/>
    <s v="Sharukhan,Mohammed"/>
    <n v="173.40687079805048"/>
    <d v="2026-04-07T00:00:00"/>
    <n v="5"/>
    <x v="2"/>
    <s v="Platform Operations"/>
  </r>
  <r>
    <n v="67259"/>
    <x v="7"/>
    <s v="01192794"/>
    <x v="22"/>
    <d v="2026-04-08T00:00:00"/>
    <s v="IA1789"/>
    <s v="Sharukhan,Mohammed"/>
    <n v="173.40687079805048"/>
    <d v="2026-04-08T00:00:00"/>
    <n v="5"/>
    <x v="2"/>
    <s v="Platform Operations"/>
  </r>
  <r>
    <n v="67259"/>
    <x v="7"/>
    <s v="01192794"/>
    <x v="22"/>
    <d v="2026-04-09T00:00:00"/>
    <s v="IA1789"/>
    <s v="Sharukhan,Mohammed"/>
    <n v="173.40687079805048"/>
    <d v="2026-04-09T00:00:00"/>
    <n v="5"/>
    <x v="2"/>
    <s v="Platform Operations"/>
  </r>
  <r>
    <n v="67259"/>
    <x v="7"/>
    <s v="01192794"/>
    <x v="22"/>
    <d v="2026-04-10T00:00:00"/>
    <s v="IA1789"/>
    <s v="Sharukhan,Mohammed"/>
    <n v="104.04412247883027"/>
    <d v="2026-04-10T00:00:00"/>
    <n v="3"/>
    <x v="2"/>
    <s v="Platform Operations"/>
  </r>
  <r>
    <n v="67259"/>
    <x v="7"/>
    <s v="01192794"/>
    <x v="22"/>
    <d v="2026-04-13T00:00:00"/>
    <s v="IA1789"/>
    <s v="Sharukhan,Mohammed"/>
    <n v="242.76961911727065"/>
    <d v="2026-04-13T00:00:00"/>
    <n v="7"/>
    <x v="2"/>
    <s v="Platform Operations"/>
  </r>
  <r>
    <n v="67259"/>
    <x v="7"/>
    <s v="01192794"/>
    <x v="22"/>
    <d v="2026-04-15T00:00:00"/>
    <s v="IA1789"/>
    <s v="Sharukhan,Mohammed"/>
    <n v="242.76961911727065"/>
    <d v="2026-04-15T00:00:00"/>
    <n v="7"/>
    <x v="2"/>
    <s v="Platform Operations"/>
  </r>
  <r>
    <n v="67259"/>
    <x v="7"/>
    <s v="01192794"/>
    <x v="22"/>
    <d v="2026-04-16T00:00:00"/>
    <s v="IA1789"/>
    <s v="Sharukhan,Mohammed"/>
    <n v="242.76961911727065"/>
    <d v="2026-04-16T00:00:00"/>
    <n v="7"/>
    <x v="2"/>
    <s v="Platform Operations"/>
  </r>
  <r>
    <n v="67259"/>
    <x v="7"/>
    <s v="01192794"/>
    <x v="22"/>
    <d v="2026-04-20T00:00:00"/>
    <s v="IA1789"/>
    <s v="Sharukhan,Mohammed"/>
    <n v="242.76961911727065"/>
    <d v="2026-04-20T00:00:00"/>
    <n v="7"/>
    <x v="2"/>
    <s v="Platform Operations"/>
  </r>
  <r>
    <n v="67259"/>
    <x v="7"/>
    <s v="01192794"/>
    <x v="22"/>
    <d v="2026-04-21T00:00:00"/>
    <s v="IA1789"/>
    <s v="Sharukhan,Mohammed"/>
    <n v="242.76961911727065"/>
    <d v="2026-04-21T00:00:00"/>
    <n v="7"/>
    <x v="2"/>
    <s v="Platform Operations"/>
  </r>
  <r>
    <n v="67259"/>
    <x v="7"/>
    <s v="01192794"/>
    <x v="22"/>
    <d v="2026-04-22T00:00:00"/>
    <s v="IA1789"/>
    <s v="Sharukhan,Mohammed"/>
    <n v="242.76961911727065"/>
    <d v="2026-04-22T00:00:00"/>
    <n v="7"/>
    <x v="2"/>
    <s v="Platform Operations"/>
  </r>
  <r>
    <n v="67259"/>
    <x v="7"/>
    <s v="01192794"/>
    <x v="22"/>
    <d v="2026-04-23T00:00:00"/>
    <s v="IA1789"/>
    <s v="Sharukhan,Mohammed"/>
    <n v="242.76961911727065"/>
    <d v="2026-04-23T00:00:00"/>
    <n v="7"/>
    <x v="2"/>
    <s v="Platform Operations"/>
  </r>
  <r>
    <n v="67259"/>
    <x v="7"/>
    <s v="01192794"/>
    <x v="22"/>
    <d v="2026-04-24T00:00:00"/>
    <s v="IA1789"/>
    <s v="Sharukhan,Mohammed"/>
    <n v="242.76961911727065"/>
    <d v="2026-04-24T00:00:00"/>
    <n v="7"/>
    <x v="2"/>
    <s v="Platform Operations"/>
  </r>
  <r>
    <n v="67259"/>
    <x v="7"/>
    <s v="01192794"/>
    <x v="22"/>
    <d v="2026-04-27T00:00:00"/>
    <s v="IA1789"/>
    <s v="Sharukhan,Mohammed"/>
    <n v="277.45099327688075"/>
    <d v="2026-04-27T00:00:00"/>
    <n v="8"/>
    <x v="2"/>
    <s v="Platform Operations"/>
  </r>
  <r>
    <n v="67259"/>
    <x v="7"/>
    <s v="01192794"/>
    <x v="22"/>
    <d v="2026-04-28T00:00:00"/>
    <s v="IA1789"/>
    <s v="Sharukhan,Mohammed"/>
    <n v="277.45099327688075"/>
    <d v="2026-04-28T00:00:00"/>
    <n v="8"/>
    <x v="2"/>
    <s v="Platform Operations"/>
  </r>
  <r>
    <n v="67259"/>
    <x v="7"/>
    <s v="01192794"/>
    <x v="22"/>
    <d v="2026-04-29T00:00:00"/>
    <s v="IA1789"/>
    <s v="Sharukhan,Mohammed"/>
    <n v="277.45099327688075"/>
    <d v="2026-04-29T00:00:00"/>
    <n v="8"/>
    <x v="2"/>
    <s v="Platform Operations"/>
  </r>
  <r>
    <n v="67259"/>
    <x v="7"/>
    <s v="01192794"/>
    <x v="22"/>
    <d v="2026-04-30T00:00:00"/>
    <s v="IA1789"/>
    <s v="Sharukhan,Mohammed"/>
    <n v="277.45099327688075"/>
    <d v="2026-04-30T00:00:00"/>
    <n v="8"/>
    <x v="2"/>
    <s v="Platform Operations"/>
  </r>
  <r>
    <n v="67259"/>
    <x v="7"/>
    <s v="01192794"/>
    <x v="22"/>
    <d v="2026-05-05T00:00:00"/>
    <s v="IA1789"/>
    <s v="Sharukhan,Mohammed"/>
    <n v="242.76961911727065"/>
    <d v="2026-05-05T00:00:00"/>
    <n v="7"/>
    <x v="10"/>
    <s v="Platform Operations"/>
  </r>
  <r>
    <n v="67259"/>
    <x v="7"/>
    <s v="01192794"/>
    <x v="22"/>
    <d v="2026-05-06T00:00:00"/>
    <s v="IA1789"/>
    <s v="Sharukhan,Mohammed"/>
    <n v="242.76961911727065"/>
    <d v="2026-05-06T00:00:00"/>
    <n v="7"/>
    <x v="10"/>
    <s v="Platform Operations"/>
  </r>
  <r>
    <n v="67259"/>
    <x v="7"/>
    <s v="01192794"/>
    <x v="22"/>
    <d v="2026-05-07T00:00:00"/>
    <s v="IA1789"/>
    <s v="Sharukhan,Mohammed"/>
    <n v="242.76961911727065"/>
    <d v="2026-05-07T00:00:00"/>
    <n v="7"/>
    <x v="10"/>
    <s v="Platform Operations"/>
  </r>
  <r>
    <n v="67259"/>
    <x v="7"/>
    <s v="01192794"/>
    <x v="22"/>
    <d v="2026-05-08T00:00:00"/>
    <s v="IA1789"/>
    <s v="Sharukhan,Mohammed"/>
    <n v="242.76961911727065"/>
    <d v="2026-05-08T00:00:00"/>
    <n v="7"/>
    <x v="10"/>
    <s v="Platform Operations"/>
  </r>
  <r>
    <n v="67259"/>
    <x v="7"/>
    <s v="01192794"/>
    <x v="22"/>
    <d v="2026-05-11T00:00:00"/>
    <s v="IA1789"/>
    <s v="Sharukhan,Mohammed"/>
    <n v="242.76961911727065"/>
    <d v="2026-05-11T00:00:00"/>
    <n v="7"/>
    <x v="10"/>
    <s v="Platform Operations"/>
  </r>
  <r>
    <n v="67259"/>
    <x v="7"/>
    <s v="01192794"/>
    <x v="22"/>
    <d v="2026-05-12T00:00:00"/>
    <s v="IA1789"/>
    <s v="Sharukhan,Mohammed"/>
    <n v="242.76961911727065"/>
    <d v="2026-05-12T00:00:00"/>
    <n v="7"/>
    <x v="10"/>
    <s v="Platform Operations"/>
  </r>
  <r>
    <n v="67259"/>
    <x v="7"/>
    <s v="01192794"/>
    <x v="22"/>
    <d v="2026-05-13T00:00:00"/>
    <s v="IA1789"/>
    <s v="Sharukhan,Mohammed"/>
    <n v="242.76961911727065"/>
    <d v="2026-05-13T00:00:00"/>
    <n v="7"/>
    <x v="10"/>
    <s v="Platform Operations"/>
  </r>
  <r>
    <n v="67259"/>
    <x v="7"/>
    <s v="01192794"/>
    <x v="22"/>
    <d v="2026-05-14T00:00:00"/>
    <s v="IA1789"/>
    <s v="Sharukhan,Mohammed"/>
    <n v="242.76961911727065"/>
    <d v="2026-05-14T00:00:00"/>
    <n v="7"/>
    <x v="10"/>
    <s v="Platform Operations"/>
  </r>
  <r>
    <n v="67259"/>
    <x v="7"/>
    <s v="01192794"/>
    <x v="22"/>
    <d v="2026-05-15T00:00:00"/>
    <s v="IA1789"/>
    <s v="Sharukhan,Mohammed"/>
    <n v="242.76961911727065"/>
    <d v="2026-05-15T00:00:00"/>
    <n v="7"/>
    <x v="10"/>
    <s v="Platform Operations"/>
  </r>
  <r>
    <n v="67259"/>
    <x v="7"/>
    <s v="01192794"/>
    <x v="22"/>
    <d v="2026-05-18T00:00:00"/>
    <s v="IA1789"/>
    <s v="Sharukhan,Mohammed"/>
    <n v="242.76961911727065"/>
    <d v="2026-05-18T00:00:00"/>
    <n v="7"/>
    <x v="10"/>
    <s v="Platform Operations"/>
  </r>
  <r>
    <n v="67259"/>
    <x v="7"/>
    <s v="01192794"/>
    <x v="22"/>
    <d v="2026-05-19T00:00:00"/>
    <s v="IA1789"/>
    <s v="Sharukhan,Mohammed"/>
    <n v="242.76961911727065"/>
    <d v="2026-05-19T00:00:00"/>
    <n v="7"/>
    <x v="10"/>
    <s v="Platform Operations"/>
  </r>
  <r>
    <n v="67259"/>
    <x v="7"/>
    <s v="01192794"/>
    <x v="22"/>
    <d v="2026-05-20T00:00:00"/>
    <s v="IA1789"/>
    <s v="Sharukhan,Mohammed"/>
    <n v="242.76961911727065"/>
    <d v="2026-05-20T00:00:00"/>
    <n v="7"/>
    <x v="10"/>
    <s v="Platform Operations"/>
  </r>
  <r>
    <n v="67259"/>
    <x v="7"/>
    <s v="01192794"/>
    <x v="22"/>
    <d v="2026-05-21T00:00:00"/>
    <s v="IA1789"/>
    <s v="Sharukhan,Mohammed"/>
    <n v="242.76961911727065"/>
    <d v="2026-05-21T00:00:00"/>
    <n v="7"/>
    <x v="10"/>
    <s v="Platform Operations"/>
  </r>
  <r>
    <n v="67259"/>
    <x v="7"/>
    <s v="01192794"/>
    <x v="22"/>
    <d v="2026-05-22T00:00:00"/>
    <s v="IA1789"/>
    <s v="Sharukhan,Mohammed"/>
    <n v="242.76961911727065"/>
    <d v="2026-05-22T00:00:00"/>
    <n v="7"/>
    <x v="10"/>
    <s v="Platform Operations"/>
  </r>
  <r>
    <n v="67259"/>
    <x v="7"/>
    <s v="01192794"/>
    <x v="22"/>
    <d v="2026-05-25T00:00:00"/>
    <s v="IA1789"/>
    <s v="Sharukhan,Mohammed"/>
    <n v="242.76961911727065"/>
    <d v="2026-05-25T00:00:00"/>
    <n v="7"/>
    <x v="10"/>
    <s v="Platform Operations"/>
  </r>
  <r>
    <n v="67259"/>
    <x v="7"/>
    <s v="01192794"/>
    <x v="22"/>
    <d v="2026-05-26T00:00:00"/>
    <s v="IA1789"/>
    <s v="Sharukhan,Mohammed"/>
    <n v="242.76961911727065"/>
    <d v="2026-05-26T00:00:00"/>
    <n v="7"/>
    <x v="10"/>
    <s v="Platform Operations"/>
  </r>
  <r>
    <n v="67259"/>
    <x v="7"/>
    <s v="01192794"/>
    <x v="22"/>
    <d v="2026-05-27T00:00:00"/>
    <s v="IA1789"/>
    <s v="Sharukhan,Mohammed"/>
    <n v="104.04412247883027"/>
    <d v="2026-05-27T00:00:00"/>
    <n v="3"/>
    <x v="10"/>
    <s v="Platform Operations"/>
  </r>
  <r>
    <n v="67259"/>
    <x v="7"/>
    <s v="01192794"/>
    <x v="22"/>
    <d v="2026-05-29T00:00:00"/>
    <s v="IA1789"/>
    <s v="Sharukhan,Mohammed"/>
    <n v="242.76961911727065"/>
    <d v="2026-05-29T00:00:00"/>
    <n v="7"/>
    <x v="10"/>
    <s v="Platform Operations"/>
  </r>
  <r>
    <n v="67259"/>
    <x v="7"/>
    <s v="01192794"/>
    <x v="22"/>
    <d v="2026-06-01T00:00:00"/>
    <s v="IA1789"/>
    <s v="Sharukhan,Mohammed"/>
    <n v="242.76961911727065"/>
    <d v="2026-06-01T00:00:00"/>
    <n v="7"/>
    <x v="11"/>
    <s v="Platform Operations"/>
  </r>
  <r>
    <n v="67259"/>
    <x v="7"/>
    <s v="01192794"/>
    <x v="22"/>
    <d v="2026-06-02T00:00:00"/>
    <s v="IA1789"/>
    <s v="Sharukhan,Mohammed"/>
    <n v="242.76961911727065"/>
    <d v="2026-06-02T00:00:00"/>
    <n v="7"/>
    <x v="11"/>
    <s v="Platform Operations"/>
  </r>
  <r>
    <n v="67259"/>
    <x v="7"/>
    <s v="01192794"/>
    <x v="22"/>
    <d v="2026-06-03T00:00:00"/>
    <s v="IA1789"/>
    <s v="Sharukhan,Mohammed"/>
    <n v="242.76961911727065"/>
    <d v="2026-06-03T00:00:00"/>
    <n v="7"/>
    <x v="11"/>
    <s v="Platform Operations"/>
  </r>
  <r>
    <n v="67259"/>
    <x v="7"/>
    <s v="01192794"/>
    <x v="22"/>
    <d v="2026-06-04T00:00:00"/>
    <s v="IA1789"/>
    <s v="Sharukhan,Mohammed"/>
    <n v="242.76961911727065"/>
    <d v="2026-06-04T00:00:00"/>
    <n v="7"/>
    <x v="11"/>
    <s v="Platform Operations"/>
  </r>
  <r>
    <n v="67259"/>
    <x v="7"/>
    <s v="01192794"/>
    <x v="22"/>
    <d v="2026-06-05T00:00:00"/>
    <s v="IA1789"/>
    <s v="Sharukhan,Mohammed"/>
    <n v="242.76961911727065"/>
    <d v="2026-06-05T00:00:00"/>
    <n v="7"/>
    <x v="11"/>
    <s v="Platform Operations"/>
  </r>
  <r>
    <n v="67259"/>
    <x v="7"/>
    <s v="01192794"/>
    <x v="22"/>
    <d v="2026-06-08T00:00:00"/>
    <s v="IA1789"/>
    <s v="Sharukhan,Mohammed"/>
    <n v="242.76961911727065"/>
    <d v="2026-06-08T00:00:00"/>
    <n v="7"/>
    <x v="11"/>
    <s v="Platform Operations"/>
  </r>
  <r>
    <n v="67259"/>
    <x v="7"/>
    <s v="01192794"/>
    <x v="22"/>
    <d v="2026-06-09T00:00:00"/>
    <s v="IA1789"/>
    <s v="Sharukhan,Mohammed"/>
    <n v="242.76961911727065"/>
    <d v="2026-06-09T00:00:00"/>
    <n v="7"/>
    <x v="11"/>
    <s v="Platform Operations"/>
  </r>
  <r>
    <n v="67259"/>
    <x v="7"/>
    <s v="01192794"/>
    <x v="22"/>
    <d v="2026-06-10T00:00:00"/>
    <s v="IA1789"/>
    <s v="Sharukhan,Mohammed"/>
    <n v="242.76961911727065"/>
    <d v="2026-06-10T00:00:00"/>
    <n v="7"/>
    <x v="11"/>
    <s v="Platform Operations"/>
  </r>
  <r>
    <n v="67259"/>
    <x v="7"/>
    <s v="01192794"/>
    <x v="22"/>
    <d v="2026-06-11T00:00:00"/>
    <s v="IA1789"/>
    <s v="Sharukhan,Mohammed"/>
    <n v="242.76961911727065"/>
    <d v="2026-06-11T00:00:00"/>
    <n v="7"/>
    <x v="11"/>
    <s v="Platform Operations"/>
  </r>
  <r>
    <n v="67259"/>
    <x v="7"/>
    <s v="01192794"/>
    <x v="22"/>
    <d v="2026-06-12T00:00:00"/>
    <s v="IA1789"/>
    <s v="Sharukhan,Mohammed"/>
    <n v="242.76961911727065"/>
    <d v="2026-06-12T00:00:00"/>
    <n v="7"/>
    <x v="11"/>
    <s v="Platform Operations"/>
  </r>
  <r>
    <n v="67260"/>
    <x v="2"/>
    <s v="01192795"/>
    <x v="4"/>
    <d v="2025-08-25T00:00:00"/>
    <s v="IA1690"/>
    <s v="Duraisamy,Manikandaprabu"/>
    <n v="242.76961911727065"/>
    <d v="2025-08-25T00:00:00"/>
    <n v="7"/>
    <x v="4"/>
    <s v="Developer"/>
  </r>
  <r>
    <n v="67260"/>
    <x v="2"/>
    <s v="01192795"/>
    <x v="4"/>
    <d v="2025-08-26T00:00:00"/>
    <s v="IA1690"/>
    <s v="Duraisamy,Manikandaprabu"/>
    <n v="208.08824495766055"/>
    <d v="2025-08-26T00:00:00"/>
    <n v="6"/>
    <x v="4"/>
    <s v="Developer"/>
  </r>
  <r>
    <n v="67260"/>
    <x v="2"/>
    <s v="01192795"/>
    <x v="4"/>
    <d v="2025-08-27T00:00:00"/>
    <s v="IA1690"/>
    <s v="Duraisamy,Manikandaprabu"/>
    <n v="69.362748319220188"/>
    <d v="2025-08-27T00:00:00"/>
    <n v="2"/>
    <x v="4"/>
    <s v="Developer"/>
  </r>
  <r>
    <n v="67260"/>
    <x v="2"/>
    <s v="01192795"/>
    <x v="4"/>
    <d v="2025-09-01T00:00:00"/>
    <s v="IA1765"/>
    <s v="Kumar,Saravana"/>
    <n v="208.08824495766055"/>
    <d v="2025-09-01T00:00:00"/>
    <n v="6"/>
    <x v="5"/>
    <s v="Developer"/>
  </r>
  <r>
    <n v="67260"/>
    <x v="2"/>
    <s v="01192795"/>
    <x v="4"/>
    <d v="2025-09-02T00:00:00"/>
    <s v="IA1765"/>
    <s v="Kumar,Saravana"/>
    <n v="208.08824495766055"/>
    <d v="2025-09-02T00:00:00"/>
    <n v="6"/>
    <x v="5"/>
    <s v="Developer"/>
  </r>
  <r>
    <n v="67260"/>
    <x v="2"/>
    <s v="01192795"/>
    <x v="4"/>
    <d v="2025-09-03T00:00:00"/>
    <s v="IA1430"/>
    <s v="Subburajan,Jawahar"/>
    <n v="208.08824495766055"/>
    <d v="2025-09-03T00:00:00"/>
    <n v="6"/>
    <x v="5"/>
    <s v="Lead Developer"/>
  </r>
  <r>
    <n v="67260"/>
    <x v="2"/>
    <s v="01192795"/>
    <x v="4"/>
    <d v="2025-09-04T00:00:00"/>
    <s v="IA1690"/>
    <s v="Duraisamy,Manikandaprabu"/>
    <n v="208.08824495766055"/>
    <d v="2025-09-04T00:00:00"/>
    <n v="6"/>
    <x v="5"/>
    <s v="Developer"/>
  </r>
  <r>
    <n v="67260"/>
    <x v="2"/>
    <s v="01192795"/>
    <x v="4"/>
    <d v="2025-09-04T00:00:00"/>
    <s v="IA1430"/>
    <s v="Subburajan,Jawahar"/>
    <n v="208.08824495766055"/>
    <d v="2025-09-04T00:00:00"/>
    <n v="6"/>
    <x v="5"/>
    <s v="Lead Developer"/>
  </r>
  <r>
    <n v="67260"/>
    <x v="2"/>
    <s v="01192795"/>
    <x v="4"/>
    <d v="2025-11-06T00:00:00"/>
    <s v="IA1750"/>
    <s v="Sankarasubbu,RAMANATHAN"/>
    <n v="-242.76961911727065"/>
    <d v="2025-11-06T00:00:00"/>
    <n v="-7"/>
    <x v="7"/>
    <s v="Developer"/>
  </r>
  <r>
    <n v="67260"/>
    <x v="2"/>
    <s v="01192795"/>
    <x v="4"/>
    <d v="2025-09-05T00:00:00"/>
    <s v="IA1690"/>
    <s v="Duraisamy,Manikandaprabu"/>
    <n v="208.08824495766055"/>
    <d v="2025-09-05T00:00:00"/>
    <n v="6"/>
    <x v="5"/>
    <s v="Developer"/>
  </r>
  <r>
    <n v="67260"/>
    <x v="2"/>
    <s v="01192795"/>
    <x v="4"/>
    <d v="2025-09-05T00:00:00"/>
    <s v="IA1430"/>
    <s v="Subburajan,Jawahar"/>
    <n v="208.08824495766055"/>
    <d v="2025-09-05T00:00:00"/>
    <n v="6"/>
    <x v="5"/>
    <s v="Lead Developer"/>
  </r>
  <r>
    <n v="67260"/>
    <x v="2"/>
    <s v="01192795"/>
    <x v="4"/>
    <d v="2025-09-08T00:00:00"/>
    <s v="IA1690"/>
    <s v="Duraisamy,Manikandaprabu"/>
    <n v="242.76961911727065"/>
    <d v="2025-09-08T00:00:00"/>
    <n v="7"/>
    <x v="5"/>
    <s v="Developer"/>
  </r>
  <r>
    <n v="67260"/>
    <x v="2"/>
    <s v="01192795"/>
    <x v="4"/>
    <d v="2025-09-08T00:00:00"/>
    <s v="IA1430"/>
    <s v="Subburajan,Jawahar"/>
    <n v="208.08824495766055"/>
    <d v="2025-09-08T00:00:00"/>
    <n v="6"/>
    <x v="5"/>
    <s v="Lead Developer"/>
  </r>
  <r>
    <n v="67260"/>
    <x v="2"/>
    <s v="01192795"/>
    <x v="4"/>
    <d v="2025-11-06T00:00:00"/>
    <s v="IA1750"/>
    <s v="Sankarasubbu,RAMANATHAN"/>
    <n v="312.13236743649082"/>
    <d v="2025-11-06T00:00:00"/>
    <n v="9"/>
    <x v="7"/>
    <s v="Developer"/>
  </r>
  <r>
    <n v="67260"/>
    <x v="2"/>
    <s v="01192795"/>
    <x v="4"/>
    <d v="2025-09-09T00:00:00"/>
    <s v="IA1690"/>
    <s v="Duraisamy,Manikandaprabu"/>
    <n v="242.76961911727065"/>
    <d v="2025-09-09T00:00:00"/>
    <n v="7"/>
    <x v="5"/>
    <s v="Developer"/>
  </r>
  <r>
    <n v="67260"/>
    <x v="2"/>
    <s v="01192795"/>
    <x v="4"/>
    <d v="2025-09-09T00:00:00"/>
    <s v="IA1430"/>
    <s v="Subburajan,Jawahar"/>
    <n v="208.08824495766055"/>
    <d v="2025-09-09T00:00:00"/>
    <n v="6"/>
    <x v="5"/>
    <s v="Lead Developer"/>
  </r>
  <r>
    <n v="67260"/>
    <x v="2"/>
    <s v="01192795"/>
    <x v="4"/>
    <d v="2025-09-09T00:00:00"/>
    <s v="IA1765"/>
    <s v="Kumar,Saravana"/>
    <n v="208.08824495766055"/>
    <d v="2025-09-09T00:00:00"/>
    <n v="6"/>
    <x v="5"/>
    <s v="Developer"/>
  </r>
  <r>
    <n v="67260"/>
    <x v="2"/>
    <s v="01192795"/>
    <x v="4"/>
    <d v="2025-09-10T00:00:00"/>
    <s v="IA1765"/>
    <s v="Kumar,Saravana"/>
    <n v="208.08824495766055"/>
    <d v="2025-09-10T00:00:00"/>
    <n v="6"/>
    <x v="5"/>
    <s v="Developer"/>
  </r>
  <r>
    <n v="67260"/>
    <x v="2"/>
    <s v="01192795"/>
    <x v="4"/>
    <d v="2025-09-10T00:00:00"/>
    <s v="IA1690"/>
    <s v="Duraisamy,Manikandaprabu"/>
    <n v="242.76961911727065"/>
    <d v="2025-09-10T00:00:00"/>
    <n v="7"/>
    <x v="5"/>
    <s v="Developer"/>
  </r>
  <r>
    <n v="67260"/>
    <x v="2"/>
    <s v="01192795"/>
    <x v="4"/>
    <d v="2025-09-11T00:00:00"/>
    <s v="IA1765"/>
    <s v="Kumar,Saravana"/>
    <n v="208.08824495766055"/>
    <d v="2025-09-11T00:00:00"/>
    <n v="6"/>
    <x v="5"/>
    <s v="Developer"/>
  </r>
  <r>
    <n v="67260"/>
    <x v="2"/>
    <s v="01192795"/>
    <x v="4"/>
    <d v="2025-09-12T00:00:00"/>
    <s v="IA1765"/>
    <s v="Kumar,Saravana"/>
    <n v="208.08824495766055"/>
    <d v="2025-09-12T00:00:00"/>
    <n v="6"/>
    <x v="5"/>
    <s v="Developer"/>
  </r>
  <r>
    <n v="67260"/>
    <x v="2"/>
    <s v="01192795"/>
    <x v="4"/>
    <d v="2025-09-15T00:00:00"/>
    <s v="IA1765"/>
    <s v="Kumar,Saravana"/>
    <n v="208.08824495766055"/>
    <d v="2025-09-15T00:00:00"/>
    <n v="6"/>
    <x v="5"/>
    <s v="Developer"/>
  </r>
  <r>
    <n v="67260"/>
    <x v="2"/>
    <s v="01192795"/>
    <x v="4"/>
    <d v="2025-09-15T00:00:00"/>
    <s v="IA1421"/>
    <s v="Jayapal,Muruganandham"/>
    <n v="69.362748319220188"/>
    <d v="2025-09-15T00:00:00"/>
    <n v="2"/>
    <x v="5"/>
    <s v="Engg Manager"/>
  </r>
  <r>
    <n v="67260"/>
    <x v="2"/>
    <s v="01192795"/>
    <x v="4"/>
    <d v="2025-09-15T00:00:00"/>
    <s v="IA1430"/>
    <s v="Subburajan,Jawahar"/>
    <n v="208.08824495766055"/>
    <d v="2025-09-15T00:00:00"/>
    <n v="6"/>
    <x v="5"/>
    <s v="Lead Developer"/>
  </r>
  <r>
    <n v="67260"/>
    <x v="2"/>
    <s v="01192795"/>
    <x v="4"/>
    <d v="2025-09-16T00:00:00"/>
    <s v="IA1765"/>
    <s v="Kumar,Saravana"/>
    <n v="208.08824495766055"/>
    <d v="2025-09-16T00:00:00"/>
    <n v="6"/>
    <x v="5"/>
    <s v="Developer"/>
  </r>
  <r>
    <n v="67260"/>
    <x v="2"/>
    <s v="01192795"/>
    <x v="4"/>
    <d v="2025-09-16T00:00:00"/>
    <s v="IA1421"/>
    <s v="Jayapal,Muruganandham"/>
    <n v="69.362748319220188"/>
    <d v="2025-09-16T00:00:00"/>
    <n v="2"/>
    <x v="5"/>
    <s v="Engg Manager"/>
  </r>
  <r>
    <n v="67260"/>
    <x v="2"/>
    <s v="01192795"/>
    <x v="4"/>
    <d v="2025-09-16T00:00:00"/>
    <s v="IA1430"/>
    <s v="Subburajan,Jawahar"/>
    <n v="208.08824495766055"/>
    <d v="2025-09-16T00:00:00"/>
    <n v="6"/>
    <x v="5"/>
    <s v="Lead Developer"/>
  </r>
  <r>
    <n v="67260"/>
    <x v="2"/>
    <s v="01192795"/>
    <x v="4"/>
    <d v="2025-09-17T00:00:00"/>
    <s v="IA1765"/>
    <s v="Kumar,Saravana"/>
    <n v="208.08824495766055"/>
    <d v="2025-09-17T00:00:00"/>
    <n v="6"/>
    <x v="5"/>
    <s v="Developer"/>
  </r>
  <r>
    <n v="67260"/>
    <x v="2"/>
    <s v="01192795"/>
    <x v="4"/>
    <d v="2025-09-17T00:00:00"/>
    <s v="IA1421"/>
    <s v="Jayapal,Muruganandham"/>
    <n v="69.362748319220188"/>
    <d v="2025-09-17T00:00:00"/>
    <n v="2"/>
    <x v="5"/>
    <s v="Engg Manager"/>
  </r>
  <r>
    <n v="67260"/>
    <x v="2"/>
    <s v="01192795"/>
    <x v="4"/>
    <d v="2025-09-17T00:00:00"/>
    <s v="IA1430"/>
    <s v="Subburajan,Jawahar"/>
    <n v="208.08824495766055"/>
    <d v="2025-09-17T00:00:00"/>
    <n v="6"/>
    <x v="5"/>
    <s v="Lead Developer"/>
  </r>
  <r>
    <n v="67260"/>
    <x v="2"/>
    <s v="01192795"/>
    <x v="4"/>
    <d v="2025-09-18T00:00:00"/>
    <s v="IA1765"/>
    <s v="Kumar,Saravana"/>
    <n v="208.08824495766055"/>
    <d v="2025-09-18T00:00:00"/>
    <n v="6"/>
    <x v="5"/>
    <s v="Developer"/>
  </r>
  <r>
    <n v="67260"/>
    <x v="2"/>
    <s v="01192795"/>
    <x v="4"/>
    <d v="2025-09-18T00:00:00"/>
    <s v="IA1421"/>
    <s v="Jayapal,Muruganandham"/>
    <n v="69.362748319220188"/>
    <d v="2025-09-18T00:00:00"/>
    <n v="2"/>
    <x v="5"/>
    <s v="Engg Manager"/>
  </r>
  <r>
    <n v="67260"/>
    <x v="2"/>
    <s v="01192795"/>
    <x v="4"/>
    <d v="2025-09-18T00:00:00"/>
    <s v="IA1430"/>
    <s v="Subburajan,Jawahar"/>
    <n v="208.08824495766055"/>
    <d v="2025-09-18T00:00:00"/>
    <n v="6"/>
    <x v="5"/>
    <s v="Lead Developer"/>
  </r>
  <r>
    <n v="67260"/>
    <x v="2"/>
    <s v="01192795"/>
    <x v="4"/>
    <d v="2025-09-19T00:00:00"/>
    <s v="IA1765"/>
    <s v="Kumar,Saravana"/>
    <n v="208.08824495766055"/>
    <d v="2025-09-19T00:00:00"/>
    <n v="6"/>
    <x v="5"/>
    <s v="Developer"/>
  </r>
  <r>
    <n v="67260"/>
    <x v="2"/>
    <s v="01192795"/>
    <x v="4"/>
    <d v="2025-09-19T00:00:00"/>
    <s v="IA1421"/>
    <s v="Jayapal,Muruganandham"/>
    <n v="69.362748319220188"/>
    <d v="2025-09-19T00:00:00"/>
    <n v="2"/>
    <x v="5"/>
    <s v="Engg Manager"/>
  </r>
  <r>
    <n v="67260"/>
    <x v="2"/>
    <s v="01192795"/>
    <x v="4"/>
    <d v="2025-09-22T00:00:00"/>
    <s v="IA1421"/>
    <s v="Jayapal,Muruganandham"/>
    <n v="69.362748319220188"/>
    <d v="2025-09-22T00:00:00"/>
    <n v="2"/>
    <x v="5"/>
    <s v="Engg Manager"/>
  </r>
  <r>
    <n v="67260"/>
    <x v="2"/>
    <s v="01192795"/>
    <x v="4"/>
    <d v="2025-09-23T00:00:00"/>
    <s v="IA1421"/>
    <s v="Jayapal,Muruganandham"/>
    <n v="69.362748319220188"/>
    <d v="2025-09-23T00:00:00"/>
    <n v="2"/>
    <x v="5"/>
    <s v="Engg Manager"/>
  </r>
  <r>
    <n v="67260"/>
    <x v="2"/>
    <s v="01192795"/>
    <x v="4"/>
    <d v="2025-09-23T00:00:00"/>
    <s v="IA1765"/>
    <s v="Kumar,Saravana"/>
    <n v="208.08824495766055"/>
    <d v="2025-09-23T00:00:00"/>
    <n v="6"/>
    <x v="5"/>
    <s v="Developer"/>
  </r>
  <r>
    <n v="67260"/>
    <x v="2"/>
    <s v="01192795"/>
    <x v="4"/>
    <d v="2025-09-24T00:00:00"/>
    <s v="IA1421"/>
    <s v="Jayapal,Muruganandham"/>
    <n v="69.362748319220188"/>
    <d v="2025-09-24T00:00:00"/>
    <n v="2"/>
    <x v="5"/>
    <s v="Engg Manager"/>
  </r>
  <r>
    <n v="67260"/>
    <x v="2"/>
    <s v="01192795"/>
    <x v="4"/>
    <d v="2025-09-24T00:00:00"/>
    <s v="IA1765"/>
    <s v="Kumar,Saravana"/>
    <n v="208.08824495766055"/>
    <d v="2025-09-24T00:00:00"/>
    <n v="6"/>
    <x v="5"/>
    <s v="Developer"/>
  </r>
  <r>
    <n v="67260"/>
    <x v="2"/>
    <s v="01192795"/>
    <x v="4"/>
    <d v="2025-09-25T00:00:00"/>
    <s v="IA1421"/>
    <s v="Jayapal,Muruganandham"/>
    <n v="69.362748319220188"/>
    <d v="2025-09-25T00:00:00"/>
    <n v="2"/>
    <x v="5"/>
    <s v="Engg Manager"/>
  </r>
  <r>
    <n v="67260"/>
    <x v="2"/>
    <s v="01192795"/>
    <x v="4"/>
    <d v="2025-09-25T00:00:00"/>
    <s v="IA1690"/>
    <s v="Duraisamy,Manikandaprabu"/>
    <n v="173.40687079805048"/>
    <d v="2025-09-25T00:00:00"/>
    <n v="5"/>
    <x v="5"/>
    <s v="Developer"/>
  </r>
  <r>
    <n v="67260"/>
    <x v="2"/>
    <s v="01192795"/>
    <x v="4"/>
    <d v="2025-09-26T00:00:00"/>
    <s v="IA1421"/>
    <s v="Jayapal,Muruganandham"/>
    <n v="69.362748319220188"/>
    <d v="2025-09-26T00:00:00"/>
    <n v="2"/>
    <x v="5"/>
    <s v="Engg Manager"/>
  </r>
  <r>
    <n v="67260"/>
    <x v="2"/>
    <s v="01192795"/>
    <x v="4"/>
    <d v="2025-09-26T00:00:00"/>
    <s v="IA1690"/>
    <s v="Duraisamy,Manikandaprabu"/>
    <n v="208.08824495766055"/>
    <d v="2025-09-26T00:00:00"/>
    <n v="6"/>
    <x v="5"/>
    <s v="Developer"/>
  </r>
  <r>
    <n v="67260"/>
    <x v="2"/>
    <s v="01192795"/>
    <x v="4"/>
    <d v="2025-09-29T00:00:00"/>
    <s v="IA1690"/>
    <s v="Duraisamy,Manikandaprabu"/>
    <n v="208.08824495766055"/>
    <d v="2025-09-29T00:00:00"/>
    <n v="6"/>
    <x v="5"/>
    <s v="Developer"/>
  </r>
  <r>
    <n v="67260"/>
    <x v="2"/>
    <s v="01192795"/>
    <x v="4"/>
    <d v="2025-09-29T00:00:00"/>
    <s v="IA1421"/>
    <s v="Jayapal,Muruganandham"/>
    <n v="69.362748319220188"/>
    <d v="2025-09-29T00:00:00"/>
    <n v="2"/>
    <x v="5"/>
    <s v="Engg Manager"/>
  </r>
  <r>
    <n v="67260"/>
    <x v="2"/>
    <s v="01192795"/>
    <x v="4"/>
    <d v="2025-09-30T00:00:00"/>
    <s v="IA1690"/>
    <s v="Duraisamy,Manikandaprabu"/>
    <n v="208.08824495766055"/>
    <d v="2025-09-30T00:00:00"/>
    <n v="6"/>
    <x v="5"/>
    <s v="Developer"/>
  </r>
  <r>
    <n v="67260"/>
    <x v="2"/>
    <s v="01192795"/>
    <x v="4"/>
    <d v="2025-09-30T00:00:00"/>
    <s v="IA1421"/>
    <s v="Jayapal,Muruganandham"/>
    <n v="69.362748319220188"/>
    <d v="2025-09-30T00:00:00"/>
    <n v="2"/>
    <x v="5"/>
    <s v="Engg Manager"/>
  </r>
  <r>
    <n v="67260"/>
    <x v="2"/>
    <s v="01192795"/>
    <x v="4"/>
    <d v="2025-09-30T00:00:00"/>
    <s v="IA1765"/>
    <s v="Kumar,Saravana"/>
    <n v="208.08824495766055"/>
    <d v="2025-09-30T00:00:00"/>
    <n v="6"/>
    <x v="5"/>
    <s v="Developer"/>
  </r>
  <r>
    <n v="67260"/>
    <x v="2"/>
    <s v="01192795"/>
    <x v="4"/>
    <d v="2025-10-03T00:00:00"/>
    <s v="IA1421"/>
    <s v="Jayapal,Muruganandham"/>
    <n v="69.362748319220188"/>
    <d v="2025-10-03T00:00:00"/>
    <n v="2"/>
    <x v="6"/>
    <s v="Engg Manager"/>
  </r>
  <r>
    <n v="67260"/>
    <x v="2"/>
    <s v="01192795"/>
    <x v="4"/>
    <d v="2025-10-06T00:00:00"/>
    <s v="IA1765"/>
    <s v="Kumar,Saravana"/>
    <n v="208.08824495766055"/>
    <d v="2025-10-06T00:00:00"/>
    <n v="6"/>
    <x v="6"/>
    <s v="Developer"/>
  </r>
  <r>
    <n v="67260"/>
    <x v="2"/>
    <s v="01192795"/>
    <x v="4"/>
    <d v="2025-10-07T00:00:00"/>
    <s v="IA1430"/>
    <s v="Subburajan,Jawahar"/>
    <n v="138.72549663844038"/>
    <d v="2025-10-07T00:00:00"/>
    <n v="4"/>
    <x v="6"/>
    <s v="Lead Developer"/>
  </r>
  <r>
    <n v="67260"/>
    <x v="2"/>
    <s v="01192795"/>
    <x v="4"/>
    <d v="2025-10-07T00:00:00"/>
    <s v="IA1765"/>
    <s v="Kumar,Saravana"/>
    <n v="208.08824495766055"/>
    <d v="2025-10-07T00:00:00"/>
    <n v="6"/>
    <x v="6"/>
    <s v="Developer"/>
  </r>
  <r>
    <n v="67260"/>
    <x v="2"/>
    <s v="01192795"/>
    <x v="4"/>
    <d v="2025-11-07T00:00:00"/>
    <s v="IA1750"/>
    <s v="Sankarasubbu,RAMANATHAN"/>
    <n v="208.08824495766055"/>
    <d v="2025-11-07T00:00:00"/>
    <n v="6"/>
    <x v="7"/>
    <s v="Developer"/>
  </r>
  <r>
    <n v="67260"/>
    <x v="2"/>
    <s v="01192795"/>
    <x v="4"/>
    <d v="2025-10-08T00:00:00"/>
    <s v="IA1430"/>
    <s v="Subburajan,Jawahar"/>
    <n v="208.08824495766055"/>
    <d v="2025-10-08T00:00:00"/>
    <n v="6"/>
    <x v="6"/>
    <s v="Lead Developer"/>
  </r>
  <r>
    <n v="67260"/>
    <x v="2"/>
    <s v="01192795"/>
    <x v="4"/>
    <d v="2025-10-08T00:00:00"/>
    <s v="IA1765"/>
    <s v="Kumar,Saravana"/>
    <n v="208.08824495766055"/>
    <d v="2025-10-08T00:00:00"/>
    <n v="6"/>
    <x v="6"/>
    <s v="Developer"/>
  </r>
  <r>
    <n v="67260"/>
    <x v="2"/>
    <s v="01192795"/>
    <x v="4"/>
    <d v="2025-11-07T00:00:00"/>
    <s v="IA1750"/>
    <s v="Sankarasubbu,RAMANATHAN"/>
    <n v="-208.08824495766055"/>
    <d v="2025-11-07T00:00:00"/>
    <n v="-6"/>
    <x v="7"/>
    <s v="Developer"/>
  </r>
  <r>
    <n v="67260"/>
    <x v="2"/>
    <s v="01192795"/>
    <x v="4"/>
    <d v="2025-10-09T00:00:00"/>
    <s v="IA1430"/>
    <s v="Subburajan,Jawahar"/>
    <n v="208.08824495766055"/>
    <d v="2025-10-09T00:00:00"/>
    <n v="6"/>
    <x v="6"/>
    <s v="Lead Developer"/>
  </r>
  <r>
    <n v="67260"/>
    <x v="2"/>
    <s v="01192795"/>
    <x v="4"/>
    <d v="2025-10-09T00:00:00"/>
    <s v="IA1765"/>
    <s v="Kumar,Saravana"/>
    <n v="208.08824495766055"/>
    <d v="2025-10-09T00:00:00"/>
    <n v="6"/>
    <x v="6"/>
    <s v="Developer"/>
  </r>
  <r>
    <n v="67260"/>
    <x v="2"/>
    <s v="01192795"/>
    <x v="4"/>
    <d v="2025-11-07T00:00:00"/>
    <s v="IA1750"/>
    <s v="Sankarasubbu,RAMANATHAN"/>
    <n v="242.76961911727065"/>
    <d v="2025-11-07T00:00:00"/>
    <n v="7"/>
    <x v="7"/>
    <s v="Developer"/>
  </r>
  <r>
    <n v="67260"/>
    <x v="2"/>
    <s v="01192795"/>
    <x v="4"/>
    <d v="2025-10-10T00:00:00"/>
    <s v="IA1430"/>
    <s v="Subburajan,Jawahar"/>
    <n v="208.08824495766055"/>
    <d v="2025-10-10T00:00:00"/>
    <n v="6"/>
    <x v="6"/>
    <s v="Lead Developer"/>
  </r>
  <r>
    <n v="67260"/>
    <x v="2"/>
    <s v="01192795"/>
    <x v="4"/>
    <d v="2025-10-10T00:00:00"/>
    <s v="IA1765"/>
    <s v="Kumar,Saravana"/>
    <n v="208.08824495766055"/>
    <d v="2025-10-10T00:00:00"/>
    <n v="6"/>
    <x v="6"/>
    <s v="Developer"/>
  </r>
  <r>
    <n v="67260"/>
    <x v="2"/>
    <s v="01192795"/>
    <x v="4"/>
    <d v="2025-10-13T00:00:00"/>
    <s v="IA1831"/>
    <s v="Veluru,Preethi"/>
    <n v="104.04412247883027"/>
    <d v="2025-10-13T00:00:00"/>
    <n v="3"/>
    <x v="6"/>
    <s v="Junior"/>
  </r>
  <r>
    <n v="67260"/>
    <x v="2"/>
    <s v="01192795"/>
    <x v="4"/>
    <d v="2025-10-13T00:00:00"/>
    <s v="IA1690"/>
    <s v="Duraisamy,Manikandaprabu"/>
    <n v="208.08824495766055"/>
    <d v="2025-10-13T00:00:00"/>
    <n v="6"/>
    <x v="6"/>
    <s v="Developer"/>
  </r>
  <r>
    <n v="67260"/>
    <x v="2"/>
    <s v="01192795"/>
    <x v="4"/>
    <d v="2025-10-13T00:00:00"/>
    <s v="IA1765"/>
    <s v="Kumar,Saravana"/>
    <n v="208.08824495766055"/>
    <d v="2025-10-13T00:00:00"/>
    <n v="6"/>
    <x v="6"/>
    <s v="Developer"/>
  </r>
  <r>
    <n v="67260"/>
    <x v="2"/>
    <s v="01192795"/>
    <x v="4"/>
    <d v="2025-10-13T00:00:00"/>
    <s v="IA1430"/>
    <s v="Subburajan,Jawahar"/>
    <n v="208.08824495766055"/>
    <d v="2025-10-13T00:00:00"/>
    <n v="6"/>
    <x v="6"/>
    <s v="Lead Developer"/>
  </r>
  <r>
    <n v="67260"/>
    <x v="2"/>
    <s v="01192795"/>
    <x v="4"/>
    <d v="2025-10-13T00:00:00"/>
    <s v="IA1830"/>
    <s v="Raj,Gowtham"/>
    <n v="208.08824495766055"/>
    <d v="2025-10-13T00:00:00"/>
    <n v="6"/>
    <x v="6"/>
    <s v="Junior"/>
  </r>
  <r>
    <n v="67260"/>
    <x v="2"/>
    <s v="01192795"/>
    <x v="4"/>
    <d v="2025-10-13T00:00:00"/>
    <s v="IA1642"/>
    <s v="GOVINDHASAMY,RUBENDRAN"/>
    <n v="104.04412247883027"/>
    <d v="2025-10-13T00:00:00"/>
    <n v="3"/>
    <x v="6"/>
    <s v="Developer"/>
  </r>
  <r>
    <n v="67260"/>
    <x v="2"/>
    <s v="01192795"/>
    <x v="4"/>
    <d v="2025-10-14T00:00:00"/>
    <s v="IA1690"/>
    <s v="Duraisamy,Manikandaprabu"/>
    <n v="208.08824495766055"/>
    <d v="2025-10-14T00:00:00"/>
    <n v="6"/>
    <x v="6"/>
    <s v="Developer"/>
  </r>
  <r>
    <n v="67260"/>
    <x v="2"/>
    <s v="01192795"/>
    <x v="4"/>
    <d v="2025-10-14T00:00:00"/>
    <s v="IA1765"/>
    <s v="Kumar,Saravana"/>
    <n v="208.08824495766055"/>
    <d v="2025-10-14T00:00:00"/>
    <n v="6"/>
    <x v="6"/>
    <s v="Developer"/>
  </r>
  <r>
    <n v="67260"/>
    <x v="2"/>
    <s v="01192795"/>
    <x v="4"/>
    <d v="2025-10-14T00:00:00"/>
    <s v="IA1430"/>
    <s v="Subburajan,Jawahar"/>
    <n v="208.08824495766055"/>
    <d v="2025-10-14T00:00:00"/>
    <n v="6"/>
    <x v="6"/>
    <s v="Lead Developer"/>
  </r>
  <r>
    <n v="67260"/>
    <x v="2"/>
    <s v="01192795"/>
    <x v="4"/>
    <d v="2025-10-13T00:00:00"/>
    <s v="IA1421"/>
    <s v="Jayapal,Muruganandham"/>
    <n v="69.362748319220188"/>
    <d v="2025-10-13T00:00:00"/>
    <n v="2"/>
    <x v="6"/>
    <s v="Engg Manager"/>
  </r>
  <r>
    <n v="67260"/>
    <x v="2"/>
    <s v="01192795"/>
    <x v="4"/>
    <d v="2025-10-14T00:00:00"/>
    <s v="IA1830"/>
    <s v="Raj,Gowtham"/>
    <n v="208.08824495766055"/>
    <d v="2025-10-14T00:00:00"/>
    <n v="6"/>
    <x v="6"/>
    <s v="Junior"/>
  </r>
  <r>
    <n v="67260"/>
    <x v="2"/>
    <s v="01192795"/>
    <x v="4"/>
    <d v="2025-10-14T00:00:00"/>
    <s v="IA1421"/>
    <s v="Jayapal,Muruganandham"/>
    <n v="69.362748319220188"/>
    <d v="2025-10-14T00:00:00"/>
    <n v="2"/>
    <x v="6"/>
    <s v="Engg Manager"/>
  </r>
  <r>
    <n v="67260"/>
    <x v="2"/>
    <s v="01192795"/>
    <x v="4"/>
    <d v="2025-10-15T00:00:00"/>
    <s v="IA1690"/>
    <s v="Duraisamy,Manikandaprabu"/>
    <n v="208.08824495766055"/>
    <d v="2025-10-15T00:00:00"/>
    <n v="6"/>
    <x v="6"/>
    <s v="Developer"/>
  </r>
  <r>
    <n v="67260"/>
    <x v="2"/>
    <s v="01192795"/>
    <x v="4"/>
    <d v="2025-10-15T00:00:00"/>
    <s v="IA1765"/>
    <s v="Kumar,Saravana"/>
    <n v="208.08824495766055"/>
    <d v="2025-10-15T00:00:00"/>
    <n v="6"/>
    <x v="6"/>
    <s v="Developer"/>
  </r>
  <r>
    <n v="67260"/>
    <x v="2"/>
    <s v="01192795"/>
    <x v="4"/>
    <d v="2025-10-15T00:00:00"/>
    <s v="IA1430"/>
    <s v="Subburajan,Jawahar"/>
    <n v="208.08824495766055"/>
    <d v="2025-10-15T00:00:00"/>
    <n v="6"/>
    <x v="6"/>
    <s v="Lead Developer"/>
  </r>
  <r>
    <n v="67260"/>
    <x v="2"/>
    <s v="01192795"/>
    <x v="4"/>
    <d v="2025-11-10T00:00:00"/>
    <s v="IA1750"/>
    <s v="Sankarasubbu,RAMANATHAN"/>
    <n v="121.38480955863533"/>
    <d v="2025-11-10T00:00:00"/>
    <n v="3.5"/>
    <x v="7"/>
    <s v="Developer"/>
  </r>
  <r>
    <n v="67260"/>
    <x v="2"/>
    <s v="01192795"/>
    <x v="4"/>
    <d v="2025-10-15T00:00:00"/>
    <s v="IA1830"/>
    <s v="Raj,Gowtham"/>
    <n v="208.08824495766055"/>
    <d v="2025-10-15T00:00:00"/>
    <n v="6"/>
    <x v="6"/>
    <s v="Junior"/>
  </r>
  <r>
    <n v="67260"/>
    <x v="2"/>
    <s v="01192795"/>
    <x v="4"/>
    <d v="2025-10-15T00:00:00"/>
    <s v="IA1642"/>
    <s v="GOVINDHASAMY,RUBENDRAN"/>
    <n v="69.362748319220188"/>
    <d v="2025-10-15T00:00:00"/>
    <n v="2"/>
    <x v="6"/>
    <s v="Developer"/>
  </r>
  <r>
    <n v="67260"/>
    <x v="2"/>
    <s v="01192795"/>
    <x v="4"/>
    <d v="2025-10-15T00:00:00"/>
    <s v="IA1421"/>
    <s v="Jayapal,Muruganandham"/>
    <n v="69.362748319220188"/>
    <d v="2025-10-15T00:00:00"/>
    <n v="2"/>
    <x v="6"/>
    <s v="Engg Manager"/>
  </r>
  <r>
    <n v="67260"/>
    <x v="2"/>
    <s v="01192795"/>
    <x v="4"/>
    <d v="2025-10-16T00:00:00"/>
    <s v="IA1690"/>
    <s v="Duraisamy,Manikandaprabu"/>
    <n v="208.08824495766055"/>
    <d v="2025-10-16T00:00:00"/>
    <n v="6"/>
    <x v="6"/>
    <s v="Developer"/>
  </r>
  <r>
    <n v="67260"/>
    <x v="2"/>
    <s v="01192795"/>
    <x v="4"/>
    <d v="2025-10-16T00:00:00"/>
    <s v="IA1765"/>
    <s v="Kumar,Saravana"/>
    <n v="208.08824495766055"/>
    <d v="2025-10-16T00:00:00"/>
    <n v="6"/>
    <x v="6"/>
    <s v="Developer"/>
  </r>
  <r>
    <n v="67260"/>
    <x v="2"/>
    <s v="01192795"/>
    <x v="4"/>
    <d v="2025-10-16T00:00:00"/>
    <s v="IA1430"/>
    <s v="Subburajan,Jawahar"/>
    <n v="208.08824495766055"/>
    <d v="2025-10-16T00:00:00"/>
    <n v="6"/>
    <x v="6"/>
    <s v="Lead Developer"/>
  </r>
  <r>
    <n v="67262"/>
    <x v="0"/>
    <s v="01192806"/>
    <x v="3"/>
    <d v="2025-11-10T00:00:00"/>
    <s v="IA1750"/>
    <s v="Sankarasubbu,RAMANATHAN"/>
    <n v="173.40687079805048"/>
    <d v="2025-11-10T00:00:00"/>
    <n v="5"/>
    <x v="7"/>
    <s v="Developer"/>
  </r>
  <r>
    <n v="67260"/>
    <x v="2"/>
    <s v="01192795"/>
    <x v="4"/>
    <d v="2025-10-16T00:00:00"/>
    <s v="IA1830"/>
    <s v="Raj,Gowtham"/>
    <n v="208.08824495766055"/>
    <d v="2025-10-16T00:00:00"/>
    <n v="6"/>
    <x v="6"/>
    <s v="Junior"/>
  </r>
  <r>
    <n v="67260"/>
    <x v="2"/>
    <s v="01192795"/>
    <x v="4"/>
    <d v="2025-10-16T00:00:00"/>
    <s v="IA1642"/>
    <s v="GOVINDHASAMY,RUBENDRAN"/>
    <n v="69.362748319220188"/>
    <d v="2025-10-16T00:00:00"/>
    <n v="2"/>
    <x v="6"/>
    <s v="Developer"/>
  </r>
  <r>
    <n v="67260"/>
    <x v="2"/>
    <s v="01192795"/>
    <x v="4"/>
    <d v="2025-10-16T00:00:00"/>
    <s v="IA1421"/>
    <s v="Jayapal,Muruganandham"/>
    <n v="69.362748319220188"/>
    <d v="2025-10-16T00:00:00"/>
    <n v="2"/>
    <x v="6"/>
    <s v="Engg Manager"/>
  </r>
  <r>
    <n v="67260"/>
    <x v="2"/>
    <s v="01192795"/>
    <x v="4"/>
    <d v="2025-10-17T00:00:00"/>
    <s v="IA1690"/>
    <s v="Duraisamy,Manikandaprabu"/>
    <n v="208.08824495766055"/>
    <d v="2025-10-17T00:00:00"/>
    <n v="6"/>
    <x v="6"/>
    <s v="Developer"/>
  </r>
  <r>
    <n v="67260"/>
    <x v="2"/>
    <s v="01192795"/>
    <x v="4"/>
    <d v="2025-10-17T00:00:00"/>
    <s v="IA1765"/>
    <s v="Kumar,Saravana"/>
    <n v="208.08824495766055"/>
    <d v="2025-10-17T00:00:00"/>
    <n v="6"/>
    <x v="6"/>
    <s v="Developer"/>
  </r>
  <r>
    <n v="67260"/>
    <x v="2"/>
    <s v="01192795"/>
    <x v="4"/>
    <d v="2025-10-17T00:00:00"/>
    <s v="IA1430"/>
    <s v="Subburajan,Jawahar"/>
    <n v="208.08824495766055"/>
    <d v="2025-10-17T00:00:00"/>
    <n v="6"/>
    <x v="6"/>
    <s v="Lead Developer"/>
  </r>
  <r>
    <n v="67260"/>
    <x v="2"/>
    <s v="01192795"/>
    <x v="4"/>
    <d v="2025-10-17T00:00:00"/>
    <s v="IA1830"/>
    <s v="Raj,Gowtham"/>
    <n v="208.08824495766055"/>
    <d v="2025-10-17T00:00:00"/>
    <n v="6"/>
    <x v="6"/>
    <s v="Junior"/>
  </r>
  <r>
    <n v="67260"/>
    <x v="2"/>
    <s v="01192795"/>
    <x v="4"/>
    <d v="2025-10-17T00:00:00"/>
    <s v="IA1421"/>
    <s v="Jayapal,Muruganandham"/>
    <n v="69.362748319220188"/>
    <d v="2025-10-17T00:00:00"/>
    <n v="2"/>
    <x v="6"/>
    <s v="Engg Manager"/>
  </r>
  <r>
    <n v="67260"/>
    <x v="2"/>
    <s v="01192795"/>
    <x v="4"/>
    <d v="2025-10-15T00:00:00"/>
    <s v="IA1394"/>
    <s v="Baskar,Shriguru"/>
    <n v="277.45099327688075"/>
    <d v="2025-10-15T00:00:00"/>
    <n v="8"/>
    <x v="6"/>
    <s v="Niche Lead"/>
  </r>
  <r>
    <n v="67260"/>
    <x v="2"/>
    <s v="01192795"/>
    <x v="4"/>
    <d v="2025-10-20T00:00:00"/>
    <s v="IA1690"/>
    <s v="Duraisamy,Manikandaprabu"/>
    <n v="69.362748319220188"/>
    <d v="2025-10-20T00:00:00"/>
    <n v="2"/>
    <x v="6"/>
    <s v="Developer"/>
  </r>
  <r>
    <n v="67260"/>
    <x v="2"/>
    <s v="01192795"/>
    <x v="4"/>
    <d v="2025-10-20T00:00:00"/>
    <s v="IA1421"/>
    <s v="Jayapal,Muruganandham"/>
    <n v="104.04412247883027"/>
    <d v="2025-10-20T00:00:00"/>
    <n v="3"/>
    <x v="6"/>
    <s v="Engg Manager"/>
  </r>
  <r>
    <n v="67260"/>
    <x v="2"/>
    <s v="01192795"/>
    <x v="4"/>
    <d v="2025-11-11T00:00:00"/>
    <s v="IA1750"/>
    <s v="Sankarasubbu,RAMANATHAN"/>
    <n v="294.79168035668579"/>
    <d v="2025-11-11T00:00:00"/>
    <n v="8.5"/>
    <x v="7"/>
    <s v="Developer"/>
  </r>
  <r>
    <n v="67260"/>
    <x v="2"/>
    <s v="01192795"/>
    <x v="4"/>
    <d v="2025-10-22T00:00:00"/>
    <s v="IA1690"/>
    <s v="Duraisamy,Manikandaprabu"/>
    <n v="69.362748319220188"/>
    <d v="2025-10-22T00:00:00"/>
    <n v="2"/>
    <x v="6"/>
    <s v="Developer"/>
  </r>
  <r>
    <n v="67260"/>
    <x v="2"/>
    <s v="01192795"/>
    <x v="4"/>
    <d v="2025-10-22T00:00:00"/>
    <s v="IA1394"/>
    <s v="Baskar,Shriguru"/>
    <n v="208.08824495766055"/>
    <d v="2025-10-22T00:00:00"/>
    <n v="6"/>
    <x v="6"/>
    <s v="Niche Lead"/>
  </r>
  <r>
    <n v="67260"/>
    <x v="2"/>
    <s v="01192795"/>
    <x v="4"/>
    <d v="2025-10-22T00:00:00"/>
    <s v="IA1421"/>
    <s v="Jayapal,Muruganandham"/>
    <n v="104.04412247883027"/>
    <d v="2025-10-22T00:00:00"/>
    <n v="3"/>
    <x v="6"/>
    <s v="Engg Manager"/>
  </r>
  <r>
    <n v="67260"/>
    <x v="2"/>
    <s v="01192795"/>
    <x v="4"/>
    <d v="2025-10-22T00:00:00"/>
    <s v="IA1642"/>
    <s v="GOVINDHASAMY,RUBENDRAN"/>
    <n v="138.72549663844038"/>
    <d v="2025-10-22T00:00:00"/>
    <n v="4"/>
    <x v="6"/>
    <s v="Developer"/>
  </r>
  <r>
    <n v="67260"/>
    <x v="2"/>
    <s v="01192795"/>
    <x v="4"/>
    <d v="2025-10-22T00:00:00"/>
    <s v="IA1765"/>
    <s v="Kumar,Saravana"/>
    <n v="208.08824495766055"/>
    <d v="2025-10-22T00:00:00"/>
    <n v="6"/>
    <x v="6"/>
    <s v="Developer"/>
  </r>
  <r>
    <n v="67260"/>
    <x v="2"/>
    <s v="01192795"/>
    <x v="4"/>
    <d v="2025-10-23T00:00:00"/>
    <s v="IA1690"/>
    <s v="Duraisamy,Manikandaprabu"/>
    <n v="208.08824495766055"/>
    <d v="2025-10-23T00:00:00"/>
    <n v="6"/>
    <x v="6"/>
    <s v="Developer"/>
  </r>
  <r>
    <n v="67260"/>
    <x v="2"/>
    <s v="01192795"/>
    <x v="4"/>
    <d v="2025-10-23T00:00:00"/>
    <s v="IA1394"/>
    <s v="Baskar,Shriguru"/>
    <n v="208.08824495766055"/>
    <d v="2025-10-23T00:00:00"/>
    <n v="6"/>
    <x v="6"/>
    <s v="Niche Lead"/>
  </r>
  <r>
    <n v="67260"/>
    <x v="2"/>
    <s v="01192795"/>
    <x v="4"/>
    <d v="2025-10-23T00:00:00"/>
    <s v="IA1830"/>
    <s v="Raj,Gowtham"/>
    <n v="208.08824495766055"/>
    <d v="2025-10-23T00:00:00"/>
    <n v="6"/>
    <x v="6"/>
    <s v="Junior"/>
  </r>
  <r>
    <n v="67260"/>
    <x v="2"/>
    <s v="01192795"/>
    <x v="4"/>
    <d v="2025-10-23T00:00:00"/>
    <s v="IA1421"/>
    <s v="Jayapal,Muruganandham"/>
    <n v="104.04412247883027"/>
    <d v="2025-10-23T00:00:00"/>
    <n v="3"/>
    <x v="6"/>
    <s v="Engg Manager"/>
  </r>
  <r>
    <n v="67260"/>
    <x v="2"/>
    <s v="01192795"/>
    <x v="4"/>
    <d v="2025-10-23T00:00:00"/>
    <s v="IA1430"/>
    <s v="Subburajan,Jawahar"/>
    <n v="277.45099327688075"/>
    <d v="2025-10-23T00:00:00"/>
    <n v="8"/>
    <x v="6"/>
    <s v="Lead Developer"/>
  </r>
  <r>
    <n v="67260"/>
    <x v="2"/>
    <s v="01192795"/>
    <x v="4"/>
    <d v="2025-10-23T00:00:00"/>
    <s v="IA1642"/>
    <s v="GOVINDHASAMY,RUBENDRAN"/>
    <n v="138.72549663844038"/>
    <d v="2025-10-23T00:00:00"/>
    <n v="4"/>
    <x v="6"/>
    <s v="Developer"/>
  </r>
  <r>
    <n v="67260"/>
    <x v="2"/>
    <s v="01192795"/>
    <x v="4"/>
    <d v="2025-10-23T00:00:00"/>
    <s v="IA1765"/>
    <s v="Kumar,Saravana"/>
    <n v="208.08824495766055"/>
    <d v="2025-10-23T00:00:00"/>
    <n v="6"/>
    <x v="6"/>
    <s v="Developer"/>
  </r>
  <r>
    <n v="67260"/>
    <x v="2"/>
    <s v="01192795"/>
    <x v="4"/>
    <d v="2025-10-24T00:00:00"/>
    <s v="IA1690"/>
    <s v="Duraisamy,Manikandaprabu"/>
    <n v="208.08824495766055"/>
    <d v="2025-10-24T00:00:00"/>
    <n v="6"/>
    <x v="6"/>
    <s v="Developer"/>
  </r>
  <r>
    <n v="67260"/>
    <x v="2"/>
    <s v="01192795"/>
    <x v="4"/>
    <d v="2025-10-24T00:00:00"/>
    <s v="IA1394"/>
    <s v="Baskar,Shriguru"/>
    <n v="208.08824495766055"/>
    <d v="2025-10-24T00:00:00"/>
    <n v="6"/>
    <x v="6"/>
    <s v="Niche Lead"/>
  </r>
  <r>
    <n v="67260"/>
    <x v="2"/>
    <s v="01192795"/>
    <x v="4"/>
    <d v="2025-10-24T00:00:00"/>
    <s v="IA1830"/>
    <s v="Raj,Gowtham"/>
    <n v="208.08824495766055"/>
    <d v="2025-10-24T00:00:00"/>
    <n v="6"/>
    <x v="6"/>
    <s v="Junior"/>
  </r>
  <r>
    <n v="67260"/>
    <x v="2"/>
    <s v="01192795"/>
    <x v="4"/>
    <d v="2025-10-24T00:00:00"/>
    <s v="IA1421"/>
    <s v="Jayapal,Muruganandham"/>
    <n v="104.04412247883027"/>
    <d v="2025-10-24T00:00:00"/>
    <n v="3"/>
    <x v="6"/>
    <s v="Engg Manager"/>
  </r>
  <r>
    <n v="67260"/>
    <x v="2"/>
    <s v="01192795"/>
    <x v="4"/>
    <d v="2025-11-12T00:00:00"/>
    <s v="IA1750"/>
    <s v="Sankarasubbu,RAMANATHAN"/>
    <n v="294.79168035668579"/>
    <d v="2025-11-12T00:00:00"/>
    <n v="8.5"/>
    <x v="7"/>
    <s v="Developer"/>
  </r>
  <r>
    <n v="67260"/>
    <x v="2"/>
    <s v="01192795"/>
    <x v="4"/>
    <d v="2025-10-24T00:00:00"/>
    <s v="IA1642"/>
    <s v="GOVINDHASAMY,RUBENDRAN"/>
    <n v="138.72549663844038"/>
    <d v="2025-10-24T00:00:00"/>
    <n v="4"/>
    <x v="6"/>
    <s v="Developer"/>
  </r>
  <r>
    <n v="67260"/>
    <x v="2"/>
    <s v="01192795"/>
    <x v="4"/>
    <d v="2025-10-24T00:00:00"/>
    <s v="IA1765"/>
    <s v="Kumar,Saravana"/>
    <n v="208.08824495766055"/>
    <d v="2025-10-24T00:00:00"/>
    <n v="6"/>
    <x v="6"/>
    <s v="Developer"/>
  </r>
  <r>
    <n v="67260"/>
    <x v="2"/>
    <s v="01192795"/>
    <x v="4"/>
    <d v="2025-10-27T00:00:00"/>
    <s v="IA1421"/>
    <s v="Jayapal,Muruganandham"/>
    <n v="104.04412247883027"/>
    <d v="2025-10-27T00:00:00"/>
    <n v="3"/>
    <x v="6"/>
    <s v="Engg Manager"/>
  </r>
  <r>
    <n v="67260"/>
    <x v="2"/>
    <s v="01192795"/>
    <x v="4"/>
    <d v="2025-10-27T00:00:00"/>
    <s v="IA1642"/>
    <s v="GOVINDHASAMY,RUBENDRAN"/>
    <n v="138.72549663844038"/>
    <d v="2025-10-27T00:00:00"/>
    <n v="4"/>
    <x v="6"/>
    <s v="Developer"/>
  </r>
  <r>
    <n v="67260"/>
    <x v="2"/>
    <s v="01192795"/>
    <x v="4"/>
    <d v="2025-10-27T00:00:00"/>
    <s v="IA1430"/>
    <s v="Subburajan,Jawahar"/>
    <n v="208.08824495766055"/>
    <d v="2025-10-27T00:00:00"/>
    <n v="6"/>
    <x v="6"/>
    <s v="Lead Developer"/>
  </r>
  <r>
    <n v="67260"/>
    <x v="2"/>
    <s v="01192795"/>
    <x v="4"/>
    <d v="2025-10-27T00:00:00"/>
    <s v="IA1765"/>
    <s v="Kumar,Saravana"/>
    <n v="208.08824495766055"/>
    <d v="2025-10-27T00:00:00"/>
    <n v="6"/>
    <x v="6"/>
    <s v="Developer"/>
  </r>
  <r>
    <n v="67260"/>
    <x v="2"/>
    <s v="01192795"/>
    <x v="4"/>
    <d v="2025-10-27T00:00:00"/>
    <s v="IA1690"/>
    <s v="Duraisamy,Manikandaprabu"/>
    <n v="242.76961911727065"/>
    <d v="2025-10-27T00:00:00"/>
    <n v="7"/>
    <x v="6"/>
    <s v="Developer"/>
  </r>
  <r>
    <n v="67260"/>
    <x v="2"/>
    <s v="01192795"/>
    <x v="4"/>
    <d v="2025-10-27T00:00:00"/>
    <s v="IA1830"/>
    <s v="Raj,Gowtham"/>
    <n v="104.04412247883027"/>
    <d v="2025-10-27T00:00:00"/>
    <n v="3"/>
    <x v="6"/>
    <s v="Junior"/>
  </r>
  <r>
    <n v="67260"/>
    <x v="2"/>
    <s v="01192795"/>
    <x v="4"/>
    <d v="2025-10-28T00:00:00"/>
    <s v="IA1421"/>
    <s v="Jayapal,Muruganandham"/>
    <n v="104.04412247883027"/>
    <d v="2025-10-28T00:00:00"/>
    <n v="3"/>
    <x v="6"/>
    <s v="Engg Manager"/>
  </r>
  <r>
    <n v="67260"/>
    <x v="2"/>
    <s v="01192795"/>
    <x v="4"/>
    <d v="2025-10-28T00:00:00"/>
    <s v="IA1642"/>
    <s v="GOVINDHASAMY,RUBENDRAN"/>
    <n v="138.72549663844038"/>
    <d v="2025-10-28T00:00:00"/>
    <n v="4"/>
    <x v="6"/>
    <s v="Developer"/>
  </r>
  <r>
    <n v="67260"/>
    <x v="2"/>
    <s v="01192795"/>
    <x v="4"/>
    <d v="2025-10-28T00:00:00"/>
    <s v="IA1430"/>
    <s v="Subburajan,Jawahar"/>
    <n v="208.08824495766055"/>
    <d v="2025-10-28T00:00:00"/>
    <n v="6"/>
    <x v="6"/>
    <s v="Lead Developer"/>
  </r>
  <r>
    <n v="67260"/>
    <x v="2"/>
    <s v="01192795"/>
    <x v="4"/>
    <d v="2025-10-28T00:00:00"/>
    <s v="IA1765"/>
    <s v="Kumar,Saravana"/>
    <n v="208.08824495766055"/>
    <d v="2025-10-28T00:00:00"/>
    <n v="6"/>
    <x v="6"/>
    <s v="Developer"/>
  </r>
  <r>
    <n v="67260"/>
    <x v="2"/>
    <s v="01192795"/>
    <x v="4"/>
    <d v="2025-10-28T00:00:00"/>
    <s v="IA1690"/>
    <s v="Duraisamy,Manikandaprabu"/>
    <n v="242.76961911727065"/>
    <d v="2025-10-28T00:00:00"/>
    <n v="7"/>
    <x v="6"/>
    <s v="Developer"/>
  </r>
  <r>
    <n v="67260"/>
    <x v="2"/>
    <s v="01192795"/>
    <x v="4"/>
    <d v="2025-11-13T00:00:00"/>
    <s v="IA1750"/>
    <s v="Sankarasubbu,RAMANATHAN"/>
    <n v="294.79168035668579"/>
    <d v="2025-11-13T00:00:00"/>
    <n v="8.5"/>
    <x v="7"/>
    <s v="Developer"/>
  </r>
  <r>
    <n v="67260"/>
    <x v="2"/>
    <s v="01192795"/>
    <x v="4"/>
    <d v="2025-10-28T00:00:00"/>
    <s v="IA1830"/>
    <s v="Raj,Gowtham"/>
    <n v="34.681374159610094"/>
    <d v="2025-10-28T00:00:00"/>
    <n v="1"/>
    <x v="6"/>
    <s v="Junior"/>
  </r>
  <r>
    <n v="67260"/>
    <x v="2"/>
    <s v="01192795"/>
    <x v="4"/>
    <d v="2025-10-29T00:00:00"/>
    <s v="IA1421"/>
    <s v="Jayapal,Muruganandham"/>
    <n v="104.04412247883027"/>
    <d v="2025-10-29T00:00:00"/>
    <n v="3"/>
    <x v="6"/>
    <s v="Engg Manager"/>
  </r>
  <r>
    <n v="67260"/>
    <x v="2"/>
    <s v="01192795"/>
    <x v="4"/>
    <d v="2025-10-29T00:00:00"/>
    <s v="IA1642"/>
    <s v="GOVINDHASAMY,RUBENDRAN"/>
    <n v="138.72549663844038"/>
    <d v="2025-10-29T00:00:00"/>
    <n v="4"/>
    <x v="6"/>
    <s v="Developer"/>
  </r>
  <r>
    <n v="67260"/>
    <x v="2"/>
    <s v="01192795"/>
    <x v="4"/>
    <d v="2025-10-29T00:00:00"/>
    <s v="IA1430"/>
    <s v="Subburajan,Jawahar"/>
    <n v="208.08824495766055"/>
    <d v="2025-10-29T00:00:00"/>
    <n v="6"/>
    <x v="6"/>
    <s v="Lead Developer"/>
  </r>
  <r>
    <n v="67260"/>
    <x v="2"/>
    <s v="01192795"/>
    <x v="4"/>
    <d v="2025-10-29T00:00:00"/>
    <s v="IA1765"/>
    <s v="Kumar,Saravana"/>
    <n v="208.08824495766055"/>
    <d v="2025-10-29T00:00:00"/>
    <n v="6"/>
    <x v="6"/>
    <s v="Developer"/>
  </r>
  <r>
    <n v="67260"/>
    <x v="2"/>
    <s v="01192795"/>
    <x v="4"/>
    <d v="2025-10-29T00:00:00"/>
    <s v="IA1690"/>
    <s v="Duraisamy,Manikandaprabu"/>
    <n v="242.76961911727065"/>
    <d v="2025-10-29T00:00:00"/>
    <n v="7"/>
    <x v="6"/>
    <s v="Developer"/>
  </r>
  <r>
    <n v="67260"/>
    <x v="2"/>
    <s v="01192795"/>
    <x v="4"/>
    <d v="2025-10-30T00:00:00"/>
    <s v="IA1421"/>
    <s v="Jayapal,Muruganandham"/>
    <n v="104.04412247883027"/>
    <d v="2025-10-30T00:00:00"/>
    <n v="3"/>
    <x v="6"/>
    <s v="Engg Manager"/>
  </r>
  <r>
    <n v="67260"/>
    <x v="2"/>
    <s v="01192795"/>
    <x v="4"/>
    <d v="2025-10-30T00:00:00"/>
    <s v="IA1642"/>
    <s v="GOVINDHASAMY,RUBENDRAN"/>
    <n v="138.72549663844038"/>
    <d v="2025-10-30T00:00:00"/>
    <n v="4"/>
    <x v="6"/>
    <s v="Developer"/>
  </r>
  <r>
    <n v="67260"/>
    <x v="2"/>
    <s v="01192795"/>
    <x v="4"/>
    <d v="2025-10-30T00:00:00"/>
    <s v="IA1430"/>
    <s v="Subburajan,Jawahar"/>
    <n v="208.08824495766055"/>
    <d v="2025-10-30T00:00:00"/>
    <n v="6"/>
    <x v="6"/>
    <s v="Lead Developer"/>
  </r>
  <r>
    <n v="67260"/>
    <x v="2"/>
    <s v="01192795"/>
    <x v="4"/>
    <d v="2025-10-30T00:00:00"/>
    <s v="IA1765"/>
    <s v="Kumar,Saravana"/>
    <n v="208.08824495766055"/>
    <d v="2025-10-30T00:00:00"/>
    <n v="6"/>
    <x v="6"/>
    <s v="Developer"/>
  </r>
  <r>
    <n v="67260"/>
    <x v="2"/>
    <s v="01192795"/>
    <x v="4"/>
    <d v="2025-10-30T00:00:00"/>
    <s v="IA1690"/>
    <s v="Duraisamy,Manikandaprabu"/>
    <n v="208.08824495766055"/>
    <d v="2025-10-30T00:00:00"/>
    <n v="6"/>
    <x v="6"/>
    <s v="Developer"/>
  </r>
  <r>
    <n v="67260"/>
    <x v="2"/>
    <s v="01192795"/>
    <x v="4"/>
    <d v="2025-10-30T00:00:00"/>
    <s v="IA1830"/>
    <s v="Raj,Gowtham"/>
    <n v="34.681374159610094"/>
    <d v="2025-10-30T00:00:00"/>
    <n v="1"/>
    <x v="6"/>
    <s v="Junior"/>
  </r>
  <r>
    <n v="67260"/>
    <x v="2"/>
    <s v="01192795"/>
    <x v="4"/>
    <d v="2025-10-31T00:00:00"/>
    <s v="IA1421"/>
    <s v="Jayapal,Muruganandham"/>
    <n v="104.04412247883027"/>
    <d v="2025-10-31T00:00:00"/>
    <n v="3"/>
    <x v="6"/>
    <s v="Engg Manager"/>
  </r>
  <r>
    <n v="67260"/>
    <x v="2"/>
    <s v="01192795"/>
    <x v="4"/>
    <d v="2025-10-31T00:00:00"/>
    <s v="IA1642"/>
    <s v="GOVINDHASAMY,RUBENDRAN"/>
    <n v="138.72549663844038"/>
    <d v="2025-10-31T00:00:00"/>
    <n v="4"/>
    <x v="6"/>
    <s v="Developer"/>
  </r>
  <r>
    <n v="67260"/>
    <x v="2"/>
    <s v="01192795"/>
    <x v="4"/>
    <d v="2025-10-31T00:00:00"/>
    <s v="IA1430"/>
    <s v="Subburajan,Jawahar"/>
    <n v="208.08824495766055"/>
    <d v="2025-10-31T00:00:00"/>
    <n v="6"/>
    <x v="6"/>
    <s v="Lead Developer"/>
  </r>
  <r>
    <n v="67260"/>
    <x v="2"/>
    <s v="01192795"/>
    <x v="4"/>
    <d v="2025-10-31T00:00:00"/>
    <s v="IA1765"/>
    <s v="Kumar,Saravana"/>
    <n v="208.08824495766055"/>
    <d v="2025-10-31T00:00:00"/>
    <n v="6"/>
    <x v="6"/>
    <s v="Developer"/>
  </r>
  <r>
    <n v="67260"/>
    <x v="2"/>
    <s v="01192795"/>
    <x v="4"/>
    <d v="2025-10-31T00:00:00"/>
    <s v="IA1690"/>
    <s v="Duraisamy,Manikandaprabu"/>
    <n v="208.08824495766055"/>
    <d v="2025-10-31T00:00:00"/>
    <n v="6"/>
    <x v="6"/>
    <s v="Developer"/>
  </r>
  <r>
    <n v="67260"/>
    <x v="2"/>
    <s v="01192795"/>
    <x v="4"/>
    <d v="2025-11-03T00:00:00"/>
    <s v="IA1690"/>
    <s v="Duraisamy,Manikandaprabu"/>
    <n v="208.08824495766055"/>
    <d v="2025-11-03T00:00:00"/>
    <n v="6"/>
    <x v="7"/>
    <s v="Developer"/>
  </r>
  <r>
    <n v="67260"/>
    <x v="2"/>
    <s v="01192795"/>
    <x v="4"/>
    <d v="2025-11-03T00:00:00"/>
    <s v="IA1765"/>
    <s v="Kumar,Saravana"/>
    <n v="208.08824495766055"/>
    <d v="2025-11-03T00:00:00"/>
    <n v="6"/>
    <x v="7"/>
    <s v="Developer"/>
  </r>
  <r>
    <n v="67260"/>
    <x v="2"/>
    <s v="01192795"/>
    <x v="4"/>
    <d v="2025-11-14T00:00:00"/>
    <s v="IA1750"/>
    <s v="Sankarasubbu,RAMANATHAN"/>
    <n v="294.79168035668579"/>
    <d v="2025-11-14T00:00:00"/>
    <n v="8.5"/>
    <x v="7"/>
    <s v="Developer"/>
  </r>
  <r>
    <n v="67260"/>
    <x v="2"/>
    <s v="01192795"/>
    <x v="4"/>
    <d v="2025-11-03T00:00:00"/>
    <s v="IA1430"/>
    <s v="Subburajan,Jawahar"/>
    <n v="208.08824495766055"/>
    <d v="2025-11-03T00:00:00"/>
    <n v="6"/>
    <x v="7"/>
    <s v="Lead Developer"/>
  </r>
  <r>
    <n v="67260"/>
    <x v="2"/>
    <s v="01192795"/>
    <x v="4"/>
    <d v="2025-11-03T00:00:00"/>
    <s v="IA1421"/>
    <s v="Jayapal,Muruganandham"/>
    <n v="173.40687079805048"/>
    <d v="2025-11-03T00:00:00"/>
    <n v="5"/>
    <x v="7"/>
    <s v="Engg Manager"/>
  </r>
  <r>
    <n v="67260"/>
    <x v="2"/>
    <s v="01192795"/>
    <x v="4"/>
    <d v="2025-11-03T00:00:00"/>
    <s v="IA1690"/>
    <s v="Duraisamy,Manikandaprabu"/>
    <n v="-208.08824495766055"/>
    <d v="2025-11-03T00:00:00"/>
    <n v="-6"/>
    <x v="7"/>
    <s v="Developer"/>
  </r>
  <r>
    <n v="67260"/>
    <x v="2"/>
    <s v="01192795"/>
    <x v="4"/>
    <d v="2025-11-03T00:00:00"/>
    <s v="IA1690"/>
    <s v="Duraisamy,Manikandaprabu"/>
    <n v="277.45099327688075"/>
    <d v="2025-11-03T00:00:00"/>
    <n v="8"/>
    <x v="7"/>
    <s v="Developer"/>
  </r>
  <r>
    <n v="67260"/>
    <x v="2"/>
    <s v="01192795"/>
    <x v="4"/>
    <d v="2025-11-03T00:00:00"/>
    <s v="IA1765"/>
    <s v="Kumar,Saravana"/>
    <n v="-208.08824495766055"/>
    <d v="2025-11-03T00:00:00"/>
    <n v="-6"/>
    <x v="7"/>
    <s v="Developer"/>
  </r>
  <r>
    <n v="67260"/>
    <x v="2"/>
    <s v="01192795"/>
    <x v="4"/>
    <d v="2025-11-03T00:00:00"/>
    <s v="IA1765"/>
    <s v="Kumar,Saravana"/>
    <n v="277.45099327688075"/>
    <d v="2025-11-03T00:00:00"/>
    <n v="8"/>
    <x v="7"/>
    <s v="Developer"/>
  </r>
  <r>
    <n v="67260"/>
    <x v="2"/>
    <s v="01192795"/>
    <x v="4"/>
    <d v="2025-11-03T00:00:00"/>
    <s v="IA1430"/>
    <s v="Subburajan,Jawahar"/>
    <n v="-208.08824495766055"/>
    <d v="2025-11-03T00:00:00"/>
    <n v="-6"/>
    <x v="7"/>
    <s v="Lead Developer"/>
  </r>
  <r>
    <n v="67260"/>
    <x v="2"/>
    <s v="01192795"/>
    <x v="4"/>
    <d v="2025-11-03T00:00:00"/>
    <s v="IA1430"/>
    <s v="Subburajan,Jawahar"/>
    <n v="277.45099327688075"/>
    <d v="2025-11-03T00:00:00"/>
    <n v="8"/>
    <x v="7"/>
    <s v="Lead Developer"/>
  </r>
  <r>
    <n v="67260"/>
    <x v="2"/>
    <s v="01192795"/>
    <x v="4"/>
    <d v="2025-11-03T00:00:00"/>
    <s v="IA1830"/>
    <s v="Raj,Gowtham"/>
    <n v="69.362748319220188"/>
    <d v="2025-11-03T00:00:00"/>
    <n v="2"/>
    <x v="7"/>
    <s v="Junior"/>
  </r>
  <r>
    <n v="67262"/>
    <x v="0"/>
    <s v="01192806"/>
    <x v="3"/>
    <d v="2025-11-19T00:00:00"/>
    <s v="IA1750"/>
    <s v="Sankarasubbu,RAMANATHAN"/>
    <n v="329.47305451629592"/>
    <d v="2025-11-19T00:00:00"/>
    <n v="9.5"/>
    <x v="7"/>
    <s v="Developer"/>
  </r>
  <r>
    <n v="67260"/>
    <x v="2"/>
    <s v="01192795"/>
    <x v="4"/>
    <d v="2025-11-04T00:00:00"/>
    <s v="IA1690"/>
    <s v="Duraisamy,Manikandaprabu"/>
    <n v="208.08824495766055"/>
    <d v="2025-11-04T00:00:00"/>
    <n v="6"/>
    <x v="7"/>
    <s v="Developer"/>
  </r>
  <r>
    <n v="67260"/>
    <x v="2"/>
    <s v="01192795"/>
    <x v="4"/>
    <d v="2025-11-04T00:00:00"/>
    <s v="IA1765"/>
    <s v="Kumar,Saravana"/>
    <n v="208.08824495766055"/>
    <d v="2025-11-04T00:00:00"/>
    <n v="6"/>
    <x v="7"/>
    <s v="Developer"/>
  </r>
  <r>
    <n v="67260"/>
    <x v="2"/>
    <s v="01192795"/>
    <x v="4"/>
    <d v="2025-11-04T00:00:00"/>
    <s v="IA1430"/>
    <s v="Subburajan,Jawahar"/>
    <n v="208.08824495766055"/>
    <d v="2025-11-04T00:00:00"/>
    <n v="6"/>
    <x v="7"/>
    <s v="Lead Developer"/>
  </r>
  <r>
    <n v="67260"/>
    <x v="2"/>
    <s v="01192795"/>
    <x v="4"/>
    <d v="2025-11-04T00:00:00"/>
    <s v="IA1690"/>
    <s v="Duraisamy,Manikandaprabu"/>
    <n v="-208.08824495766055"/>
    <d v="2025-11-04T00:00:00"/>
    <n v="-6"/>
    <x v="7"/>
    <s v="Developer"/>
  </r>
  <r>
    <n v="67260"/>
    <x v="2"/>
    <s v="01192795"/>
    <x v="4"/>
    <d v="2025-11-04T00:00:00"/>
    <s v="IA1690"/>
    <s v="Duraisamy,Manikandaprabu"/>
    <n v="277.45099327688075"/>
    <d v="2025-11-04T00:00:00"/>
    <n v="8"/>
    <x v="7"/>
    <s v="Developer"/>
  </r>
  <r>
    <n v="67260"/>
    <x v="2"/>
    <s v="01192795"/>
    <x v="4"/>
    <d v="2025-11-04T00:00:00"/>
    <s v="IA1765"/>
    <s v="Kumar,Saravana"/>
    <n v="-208.08824495766055"/>
    <d v="2025-11-04T00:00:00"/>
    <n v="-6"/>
    <x v="7"/>
    <s v="Developer"/>
  </r>
  <r>
    <n v="67260"/>
    <x v="2"/>
    <s v="01192795"/>
    <x v="4"/>
    <d v="2025-11-04T00:00:00"/>
    <s v="IA1765"/>
    <s v="Kumar,Saravana"/>
    <n v="277.45099327688075"/>
    <d v="2025-11-04T00:00:00"/>
    <n v="8"/>
    <x v="7"/>
    <s v="Developer"/>
  </r>
  <r>
    <n v="67260"/>
    <x v="2"/>
    <s v="01192795"/>
    <x v="4"/>
    <d v="2025-11-04T00:00:00"/>
    <s v="IA1430"/>
    <s v="Subburajan,Jawahar"/>
    <n v="-208.08824495766055"/>
    <d v="2025-11-04T00:00:00"/>
    <n v="-6"/>
    <x v="7"/>
    <s v="Lead Developer"/>
  </r>
  <r>
    <n v="67260"/>
    <x v="2"/>
    <s v="01192795"/>
    <x v="4"/>
    <d v="2025-11-04T00:00:00"/>
    <s v="IA1430"/>
    <s v="Subburajan,Jawahar"/>
    <n v="277.45099327688075"/>
    <d v="2025-11-04T00:00:00"/>
    <n v="8"/>
    <x v="7"/>
    <s v="Lead Developer"/>
  </r>
  <r>
    <n v="67260"/>
    <x v="2"/>
    <s v="01192795"/>
    <x v="4"/>
    <d v="2025-11-04T00:00:00"/>
    <s v="IA1830"/>
    <s v="Raj,Gowtham"/>
    <n v="69.362748319220188"/>
    <d v="2025-11-04T00:00:00"/>
    <n v="2"/>
    <x v="7"/>
    <s v="Junior"/>
  </r>
  <r>
    <n v="67262"/>
    <x v="0"/>
    <s v="01192806"/>
    <x v="3"/>
    <d v="2025-11-20T00:00:00"/>
    <s v="IA1750"/>
    <s v="Sankarasubbu,RAMANATHAN"/>
    <n v="329.47305451629592"/>
    <d v="2025-11-20T00:00:00"/>
    <n v="9.5"/>
    <x v="7"/>
    <s v="Developer"/>
  </r>
  <r>
    <n v="67260"/>
    <x v="2"/>
    <s v="01192795"/>
    <x v="4"/>
    <d v="2025-11-04T00:00:00"/>
    <s v="IA1642"/>
    <s v="GOVINDHASAMY,RUBENDRAN"/>
    <n v="277.45099327688075"/>
    <d v="2025-11-04T00:00:00"/>
    <n v="8"/>
    <x v="7"/>
    <s v="Developer"/>
  </r>
  <r>
    <n v="67260"/>
    <x v="2"/>
    <s v="01192795"/>
    <x v="4"/>
    <d v="2025-11-04T00:00:00"/>
    <s v="IA1421"/>
    <s v="Jayapal,Muruganandham"/>
    <n v="173.40687079805048"/>
    <d v="2025-11-04T00:00:00"/>
    <n v="5"/>
    <x v="7"/>
    <s v="Engg Manager"/>
  </r>
  <r>
    <n v="67260"/>
    <x v="2"/>
    <s v="01192795"/>
    <x v="4"/>
    <d v="2025-11-05T00:00:00"/>
    <s v="IA1690"/>
    <s v="Duraisamy,Manikandaprabu"/>
    <n v="208.08824495766055"/>
    <d v="2025-11-05T00:00:00"/>
    <n v="6"/>
    <x v="7"/>
    <s v="Developer"/>
  </r>
  <r>
    <n v="67260"/>
    <x v="2"/>
    <s v="01192795"/>
    <x v="4"/>
    <d v="2025-11-05T00:00:00"/>
    <s v="IA1765"/>
    <s v="Kumar,Saravana"/>
    <n v="208.08824495766055"/>
    <d v="2025-11-05T00:00:00"/>
    <n v="6"/>
    <x v="7"/>
    <s v="Developer"/>
  </r>
  <r>
    <n v="67260"/>
    <x v="2"/>
    <s v="01192795"/>
    <x v="4"/>
    <d v="2025-11-05T00:00:00"/>
    <s v="IA1430"/>
    <s v="Subburajan,Jawahar"/>
    <n v="208.08824495766055"/>
    <d v="2025-11-05T00:00:00"/>
    <n v="6"/>
    <x v="7"/>
    <s v="Lead Developer"/>
  </r>
  <r>
    <n v="67262"/>
    <x v="0"/>
    <s v="01192806"/>
    <x v="3"/>
    <d v="2025-11-24T00:00:00"/>
    <s v="IA1750"/>
    <s v="Sankarasubbu,RAMANATHAN"/>
    <n v="294.79168035668579"/>
    <d v="2025-11-24T00:00:00"/>
    <n v="8.5"/>
    <x v="7"/>
    <s v="Developer"/>
  </r>
  <r>
    <n v="67260"/>
    <x v="2"/>
    <s v="01192795"/>
    <x v="4"/>
    <d v="2025-11-05T00:00:00"/>
    <s v="IA1421"/>
    <s v="Jayapal,Muruganandham"/>
    <n v="173.40687079805048"/>
    <d v="2025-11-05T00:00:00"/>
    <n v="5"/>
    <x v="7"/>
    <s v="Engg Manager"/>
  </r>
  <r>
    <n v="67260"/>
    <x v="2"/>
    <s v="01192795"/>
    <x v="4"/>
    <d v="2025-11-05T00:00:00"/>
    <s v="IA1690"/>
    <s v="Duraisamy,Manikandaprabu"/>
    <n v="-208.08824495766055"/>
    <d v="2025-11-05T00:00:00"/>
    <n v="-6"/>
    <x v="7"/>
    <s v="Developer"/>
  </r>
  <r>
    <n v="67260"/>
    <x v="2"/>
    <s v="01192795"/>
    <x v="4"/>
    <d v="2025-11-05T00:00:00"/>
    <s v="IA1690"/>
    <s v="Duraisamy,Manikandaprabu"/>
    <n v="277.45099327688075"/>
    <d v="2025-11-05T00:00:00"/>
    <n v="8"/>
    <x v="7"/>
    <s v="Developer"/>
  </r>
  <r>
    <n v="67260"/>
    <x v="2"/>
    <s v="01192795"/>
    <x v="4"/>
    <d v="2025-11-05T00:00:00"/>
    <s v="IA1765"/>
    <s v="Kumar,Saravana"/>
    <n v="-208.08824495766055"/>
    <d v="2025-11-05T00:00:00"/>
    <n v="-6"/>
    <x v="7"/>
    <s v="Developer"/>
  </r>
  <r>
    <n v="67260"/>
    <x v="2"/>
    <s v="01192795"/>
    <x v="4"/>
    <d v="2025-11-05T00:00:00"/>
    <s v="IA1765"/>
    <s v="Kumar,Saravana"/>
    <n v="277.45099327688075"/>
    <d v="2025-11-05T00:00:00"/>
    <n v="8"/>
    <x v="7"/>
    <s v="Developer"/>
  </r>
  <r>
    <n v="67260"/>
    <x v="2"/>
    <s v="01192795"/>
    <x v="4"/>
    <d v="2025-11-05T00:00:00"/>
    <s v="IA1430"/>
    <s v="Subburajan,Jawahar"/>
    <n v="-208.08824495766055"/>
    <d v="2025-11-05T00:00:00"/>
    <n v="-6"/>
    <x v="7"/>
    <s v="Lead Developer"/>
  </r>
  <r>
    <n v="67260"/>
    <x v="2"/>
    <s v="01192795"/>
    <x v="4"/>
    <d v="2025-11-05T00:00:00"/>
    <s v="IA1430"/>
    <s v="Subburajan,Jawahar"/>
    <n v="277.45099327688075"/>
    <d v="2025-11-05T00:00:00"/>
    <n v="8"/>
    <x v="7"/>
    <s v="Lead Developer"/>
  </r>
  <r>
    <n v="67260"/>
    <x v="2"/>
    <s v="01192795"/>
    <x v="4"/>
    <d v="2025-11-05T00:00:00"/>
    <s v="IA1830"/>
    <s v="Raj,Gowtham"/>
    <n v="69.362748319220188"/>
    <d v="2025-11-05T00:00:00"/>
    <n v="2"/>
    <x v="7"/>
    <s v="Junior"/>
  </r>
  <r>
    <n v="67262"/>
    <x v="0"/>
    <s v="01192806"/>
    <x v="3"/>
    <d v="2025-11-25T00:00:00"/>
    <s v="IA1750"/>
    <s v="Sankarasubbu,RAMANATHAN"/>
    <n v="294.79168035668579"/>
    <d v="2025-11-25T00:00:00"/>
    <n v="8.5"/>
    <x v="7"/>
    <s v="Developer"/>
  </r>
  <r>
    <n v="67260"/>
    <x v="2"/>
    <s v="01192795"/>
    <x v="4"/>
    <d v="2025-11-05T00:00:00"/>
    <s v="IA1642"/>
    <s v="GOVINDHASAMY,RUBENDRAN"/>
    <n v="138.72549663844038"/>
    <d v="2025-11-05T00:00:00"/>
    <n v="4"/>
    <x v="7"/>
    <s v="Developer"/>
  </r>
  <r>
    <n v="67260"/>
    <x v="2"/>
    <s v="01192795"/>
    <x v="4"/>
    <d v="2025-11-06T00:00:00"/>
    <s v="IA1830"/>
    <s v="Raj,Gowtham"/>
    <n v="69.362748319220188"/>
    <d v="2025-11-06T00:00:00"/>
    <n v="2"/>
    <x v="7"/>
    <s v="Junior"/>
  </r>
  <r>
    <n v="67260"/>
    <x v="2"/>
    <s v="01192795"/>
    <x v="4"/>
    <d v="2025-11-06T00:00:00"/>
    <s v="IA1690"/>
    <s v="Duraisamy,Manikandaprabu"/>
    <n v="208.08824495766055"/>
    <d v="2025-11-06T00:00:00"/>
    <n v="6"/>
    <x v="7"/>
    <s v="Developer"/>
  </r>
  <r>
    <n v="67260"/>
    <x v="2"/>
    <s v="01192795"/>
    <x v="4"/>
    <d v="2025-11-06T00:00:00"/>
    <s v="IA1765"/>
    <s v="Kumar,Saravana"/>
    <n v="208.08824495766055"/>
    <d v="2025-11-06T00:00:00"/>
    <n v="6"/>
    <x v="7"/>
    <s v="Developer"/>
  </r>
  <r>
    <n v="67260"/>
    <x v="2"/>
    <s v="01192795"/>
    <x v="4"/>
    <d v="2025-11-06T00:00:00"/>
    <s v="IA1430"/>
    <s v="Subburajan,Jawahar"/>
    <n v="208.08824495766055"/>
    <d v="2025-11-06T00:00:00"/>
    <n v="6"/>
    <x v="7"/>
    <s v="Lead Developer"/>
  </r>
  <r>
    <n v="67260"/>
    <x v="2"/>
    <s v="01192795"/>
    <x v="4"/>
    <d v="2025-11-06T00:00:00"/>
    <s v="IA1421"/>
    <s v="Jayapal,Muruganandham"/>
    <n v="173.40687079805048"/>
    <d v="2025-11-06T00:00:00"/>
    <n v="5"/>
    <x v="7"/>
    <s v="Engg Manager"/>
  </r>
  <r>
    <n v="67260"/>
    <x v="2"/>
    <s v="01192795"/>
    <x v="4"/>
    <d v="2025-11-06T00:00:00"/>
    <s v="IA1690"/>
    <s v="Duraisamy,Manikandaprabu"/>
    <n v="-208.08824495766055"/>
    <d v="2025-11-06T00:00:00"/>
    <n v="-6"/>
    <x v="7"/>
    <s v="Developer"/>
  </r>
  <r>
    <n v="67260"/>
    <x v="2"/>
    <s v="01192795"/>
    <x v="4"/>
    <d v="2025-11-06T00:00:00"/>
    <s v="IA1690"/>
    <s v="Duraisamy,Manikandaprabu"/>
    <n v="277.45099327688075"/>
    <d v="2025-11-06T00:00:00"/>
    <n v="8"/>
    <x v="7"/>
    <s v="Developer"/>
  </r>
  <r>
    <n v="67260"/>
    <x v="2"/>
    <s v="01192795"/>
    <x v="4"/>
    <d v="2025-11-06T00:00:00"/>
    <s v="IA1765"/>
    <s v="Kumar,Saravana"/>
    <n v="-208.08824495766055"/>
    <d v="2025-11-06T00:00:00"/>
    <n v="-6"/>
    <x v="7"/>
    <s v="Developer"/>
  </r>
  <r>
    <n v="67260"/>
    <x v="2"/>
    <s v="01192795"/>
    <x v="4"/>
    <d v="2025-11-06T00:00:00"/>
    <s v="IA1765"/>
    <s v="Kumar,Saravana"/>
    <n v="277.45099327688075"/>
    <d v="2025-11-06T00:00:00"/>
    <n v="8"/>
    <x v="7"/>
    <s v="Developer"/>
  </r>
  <r>
    <n v="67260"/>
    <x v="2"/>
    <s v="01192795"/>
    <x v="4"/>
    <d v="2025-11-06T00:00:00"/>
    <s v="IA1430"/>
    <s v="Subburajan,Jawahar"/>
    <n v="-208.08824495766055"/>
    <d v="2025-11-06T00:00:00"/>
    <n v="-6"/>
    <x v="7"/>
    <s v="Lead Developer"/>
  </r>
  <r>
    <n v="67260"/>
    <x v="2"/>
    <s v="01192795"/>
    <x v="4"/>
    <d v="2025-11-06T00:00:00"/>
    <s v="IA1430"/>
    <s v="Subburajan,Jawahar"/>
    <n v="277.45099327688075"/>
    <d v="2025-11-06T00:00:00"/>
    <n v="8"/>
    <x v="7"/>
    <s v="Lead Developer"/>
  </r>
  <r>
    <n v="67260"/>
    <x v="2"/>
    <s v="01192795"/>
    <x v="4"/>
    <d v="2025-11-06T00:00:00"/>
    <s v="IA1830"/>
    <s v="Raj,Gowtham"/>
    <n v="-69.362748319220188"/>
    <d v="2025-11-06T00:00:00"/>
    <n v="-2"/>
    <x v="7"/>
    <s v="Junior"/>
  </r>
  <r>
    <n v="67260"/>
    <x v="2"/>
    <s v="01192795"/>
    <x v="4"/>
    <d v="2025-11-06T00:00:00"/>
    <s v="IA1830"/>
    <s v="Raj,Gowtham"/>
    <n v="138.72549663844038"/>
    <d v="2025-11-06T00:00:00"/>
    <n v="4"/>
    <x v="7"/>
    <s v="Junior"/>
  </r>
  <r>
    <n v="67262"/>
    <x v="0"/>
    <s v="01192806"/>
    <x v="3"/>
    <d v="2025-11-26T00:00:00"/>
    <s v="IA1750"/>
    <s v="Sankarasubbu,RAMANATHAN"/>
    <n v="294.79168035668579"/>
    <d v="2025-11-26T00:00:00"/>
    <n v="8.5"/>
    <x v="7"/>
    <s v="Developer"/>
  </r>
  <r>
    <n v="67260"/>
    <x v="2"/>
    <s v="01192795"/>
    <x v="4"/>
    <d v="2025-11-06T00:00:00"/>
    <s v="IA1642"/>
    <s v="GOVINDHASAMY,RUBENDRAN"/>
    <n v="242.76961911727065"/>
    <d v="2025-11-06T00:00:00"/>
    <n v="7"/>
    <x v="7"/>
    <s v="Developer"/>
  </r>
  <r>
    <n v="67260"/>
    <x v="2"/>
    <s v="01192795"/>
    <x v="4"/>
    <d v="2025-11-07T00:00:00"/>
    <s v="IA1830"/>
    <s v="Raj,Gowtham"/>
    <n v="138.72549663844038"/>
    <d v="2025-11-07T00:00:00"/>
    <n v="4"/>
    <x v="7"/>
    <s v="Junior"/>
  </r>
  <r>
    <n v="67260"/>
    <x v="2"/>
    <s v="01192795"/>
    <x v="4"/>
    <d v="2025-11-07T00:00:00"/>
    <s v="IA1690"/>
    <s v="Duraisamy,Manikandaprabu"/>
    <n v="208.08824495766055"/>
    <d v="2025-11-07T00:00:00"/>
    <n v="6"/>
    <x v="7"/>
    <s v="Developer"/>
  </r>
  <r>
    <n v="67260"/>
    <x v="2"/>
    <s v="01192795"/>
    <x v="4"/>
    <d v="2025-11-07T00:00:00"/>
    <s v="IA1765"/>
    <s v="Kumar,Saravana"/>
    <n v="208.08824495766055"/>
    <d v="2025-11-07T00:00:00"/>
    <n v="6"/>
    <x v="7"/>
    <s v="Developer"/>
  </r>
  <r>
    <n v="67262"/>
    <x v="0"/>
    <s v="01192806"/>
    <x v="3"/>
    <d v="2025-11-27T00:00:00"/>
    <s v="IA1750"/>
    <s v="Sankarasubbu,RAMANATHAN"/>
    <n v="294.79168035668579"/>
    <d v="2025-11-27T00:00:00"/>
    <n v="8.5"/>
    <x v="7"/>
    <s v="Developer"/>
  </r>
  <r>
    <n v="67260"/>
    <x v="2"/>
    <s v="01192795"/>
    <x v="4"/>
    <d v="2025-11-07T00:00:00"/>
    <s v="IA1421"/>
    <s v="Jayapal,Muruganandham"/>
    <n v="173.40687079805048"/>
    <d v="2025-11-07T00:00:00"/>
    <n v="5"/>
    <x v="7"/>
    <s v="Engg Manager"/>
  </r>
  <r>
    <n v="67260"/>
    <x v="2"/>
    <s v="01192795"/>
    <x v="4"/>
    <d v="2025-11-07T00:00:00"/>
    <s v="IA1690"/>
    <s v="Duraisamy,Manikandaprabu"/>
    <n v="-208.08824495766055"/>
    <d v="2025-11-07T00:00:00"/>
    <n v="-6"/>
    <x v="7"/>
    <s v="Developer"/>
  </r>
  <r>
    <n v="67260"/>
    <x v="2"/>
    <s v="01192795"/>
    <x v="4"/>
    <d v="2025-11-07T00:00:00"/>
    <s v="IA1690"/>
    <s v="Duraisamy,Manikandaprabu"/>
    <n v="277.45099327688075"/>
    <d v="2025-11-07T00:00:00"/>
    <n v="8"/>
    <x v="7"/>
    <s v="Developer"/>
  </r>
  <r>
    <n v="67260"/>
    <x v="2"/>
    <s v="01192795"/>
    <x v="4"/>
    <d v="2025-11-07T00:00:00"/>
    <s v="IA1765"/>
    <s v="Kumar,Saravana"/>
    <n v="-208.08824495766055"/>
    <d v="2025-11-07T00:00:00"/>
    <n v="-6"/>
    <x v="7"/>
    <s v="Developer"/>
  </r>
  <r>
    <n v="67260"/>
    <x v="2"/>
    <s v="01192795"/>
    <x v="4"/>
    <d v="2025-11-07T00:00:00"/>
    <s v="IA1765"/>
    <s v="Kumar,Saravana"/>
    <n v="277.45099327688075"/>
    <d v="2025-11-07T00:00:00"/>
    <n v="8"/>
    <x v="7"/>
    <s v="Developer"/>
  </r>
  <r>
    <n v="67260"/>
    <x v="2"/>
    <s v="01192795"/>
    <x v="4"/>
    <d v="2025-11-07T00:00:00"/>
    <s v="IA1830"/>
    <s v="Raj,Gowtham"/>
    <n v="-138.72549663844038"/>
    <d v="2025-11-07T00:00:00"/>
    <n v="-4"/>
    <x v="7"/>
    <s v="Junior"/>
  </r>
  <r>
    <n v="67260"/>
    <x v="2"/>
    <s v="01192795"/>
    <x v="4"/>
    <d v="2025-11-07T00:00:00"/>
    <s v="IA1830"/>
    <s v="Raj,Gowtham"/>
    <n v="208.08824495766055"/>
    <d v="2025-11-07T00:00:00"/>
    <n v="6"/>
    <x v="7"/>
    <s v="Junior"/>
  </r>
  <r>
    <n v="67262"/>
    <x v="0"/>
    <s v="01192806"/>
    <x v="3"/>
    <d v="2025-12-01T00:00:00"/>
    <s v="IA1750"/>
    <s v="Sankarasubbu,RAMANATHAN"/>
    <n v="294.79168035668579"/>
    <d v="2025-12-01T00:00:00"/>
    <n v="8.5"/>
    <x v="8"/>
    <s v="Developer"/>
  </r>
  <r>
    <n v="67260"/>
    <x v="2"/>
    <s v="01192795"/>
    <x v="4"/>
    <d v="2025-11-07T00:00:00"/>
    <s v="IA1642"/>
    <s v="GOVINDHASAMY,RUBENDRAN"/>
    <n v="277.45099327688075"/>
    <d v="2025-11-07T00:00:00"/>
    <n v="8"/>
    <x v="7"/>
    <s v="Developer"/>
  </r>
  <r>
    <n v="67260"/>
    <x v="2"/>
    <s v="01192795"/>
    <x v="4"/>
    <d v="2025-11-10T00:00:00"/>
    <s v="IA1642"/>
    <s v="GOVINDHASAMY,RUBENDRAN"/>
    <n v="277.45099327688075"/>
    <d v="2025-11-10T00:00:00"/>
    <n v="8"/>
    <x v="7"/>
    <s v="Developer"/>
  </r>
  <r>
    <n v="67260"/>
    <x v="2"/>
    <s v="01192795"/>
    <x v="4"/>
    <d v="2025-11-10T00:00:00"/>
    <s v="IA1831"/>
    <s v="Veluru,Preethi"/>
    <n v="138.72549663844038"/>
    <d v="2025-11-10T00:00:00"/>
    <n v="4"/>
    <x v="7"/>
    <s v="Junior"/>
  </r>
  <r>
    <n v="67260"/>
    <x v="2"/>
    <s v="01192795"/>
    <x v="4"/>
    <d v="2025-11-10T00:00:00"/>
    <s v="IA1430"/>
    <s v="Subburajan,Jawahar"/>
    <n v="277.45099327688075"/>
    <d v="2025-11-10T00:00:00"/>
    <n v="8"/>
    <x v="7"/>
    <s v="Lead Developer"/>
  </r>
  <r>
    <n v="67260"/>
    <x v="2"/>
    <s v="01192795"/>
    <x v="4"/>
    <d v="2025-11-10T00:00:00"/>
    <s v="IA1830"/>
    <s v="Raj,Gowtham"/>
    <n v="208.08824495766055"/>
    <d v="2025-11-10T00:00:00"/>
    <n v="6"/>
    <x v="7"/>
    <s v="Junior"/>
  </r>
  <r>
    <n v="67260"/>
    <x v="2"/>
    <s v="01192795"/>
    <x v="4"/>
    <d v="2025-11-10T00:00:00"/>
    <s v="IA1421"/>
    <s v="Jayapal,Muruganandham"/>
    <n v="208.08824495766055"/>
    <d v="2025-11-10T00:00:00"/>
    <n v="6"/>
    <x v="7"/>
    <s v="Engg Manager"/>
  </r>
  <r>
    <n v="67260"/>
    <x v="2"/>
    <s v="01192795"/>
    <x v="4"/>
    <d v="2025-11-10T00:00:00"/>
    <s v="IA1765"/>
    <s v="Kumar,Saravana"/>
    <n v="277.45099327688075"/>
    <d v="2025-11-10T00:00:00"/>
    <n v="8"/>
    <x v="7"/>
    <s v="Developer"/>
  </r>
  <r>
    <n v="67260"/>
    <x v="2"/>
    <s v="01192795"/>
    <x v="4"/>
    <d v="2025-11-11T00:00:00"/>
    <s v="IA1642"/>
    <s v="GOVINDHASAMY,RUBENDRAN"/>
    <n v="277.45099327688075"/>
    <d v="2025-11-11T00:00:00"/>
    <n v="8"/>
    <x v="7"/>
    <s v="Developer"/>
  </r>
  <r>
    <n v="67260"/>
    <x v="2"/>
    <s v="01192795"/>
    <x v="4"/>
    <d v="2025-11-11T00:00:00"/>
    <s v="IA1831"/>
    <s v="Veluru,Preethi"/>
    <n v="138.72549663844038"/>
    <d v="2025-11-11T00:00:00"/>
    <n v="4"/>
    <x v="7"/>
    <s v="Junior"/>
  </r>
  <r>
    <n v="67260"/>
    <x v="2"/>
    <s v="01192795"/>
    <x v="4"/>
    <d v="2025-11-11T00:00:00"/>
    <s v="IA1690"/>
    <s v="Duraisamy,Manikandaprabu"/>
    <n v="277.45099327688075"/>
    <d v="2025-11-11T00:00:00"/>
    <n v="8"/>
    <x v="7"/>
    <s v="Developer"/>
  </r>
  <r>
    <n v="67260"/>
    <x v="2"/>
    <s v="01192795"/>
    <x v="4"/>
    <d v="2025-11-11T00:00:00"/>
    <s v="IA1430"/>
    <s v="Subburajan,Jawahar"/>
    <n v="277.45099327688075"/>
    <d v="2025-11-11T00:00:00"/>
    <n v="8"/>
    <x v="7"/>
    <s v="Lead Developer"/>
  </r>
  <r>
    <n v="67260"/>
    <x v="2"/>
    <s v="01192795"/>
    <x v="4"/>
    <d v="2025-11-11T00:00:00"/>
    <s v="IA1830"/>
    <s v="Raj,Gowtham"/>
    <n v="138.72549663844038"/>
    <d v="2025-11-11T00:00:00"/>
    <n v="4"/>
    <x v="7"/>
    <s v="Junior"/>
  </r>
  <r>
    <n v="67260"/>
    <x v="2"/>
    <s v="01192795"/>
    <x v="4"/>
    <d v="2025-11-11T00:00:00"/>
    <s v="IA1421"/>
    <s v="Jayapal,Muruganandham"/>
    <n v="208.08824495766055"/>
    <d v="2025-11-11T00:00:00"/>
    <n v="6"/>
    <x v="7"/>
    <s v="Engg Manager"/>
  </r>
  <r>
    <n v="67260"/>
    <x v="2"/>
    <s v="01192795"/>
    <x v="4"/>
    <d v="2025-11-11T00:00:00"/>
    <s v="IA1765"/>
    <s v="Kumar,Saravana"/>
    <n v="277.45099327688075"/>
    <d v="2025-11-11T00:00:00"/>
    <n v="8"/>
    <x v="7"/>
    <s v="Developer"/>
  </r>
  <r>
    <n v="67262"/>
    <x v="0"/>
    <s v="01192806"/>
    <x v="3"/>
    <d v="2025-12-02T00:00:00"/>
    <s v="IA1750"/>
    <s v="Sankarasubbu,RAMANATHAN"/>
    <n v="294.79168035668579"/>
    <d v="2025-12-02T00:00:00"/>
    <n v="8.5"/>
    <x v="8"/>
    <s v="Developer"/>
  </r>
  <r>
    <n v="67260"/>
    <x v="2"/>
    <s v="01192795"/>
    <x v="4"/>
    <d v="2025-11-12T00:00:00"/>
    <s v="IA1642"/>
    <s v="GOVINDHASAMY,RUBENDRAN"/>
    <n v="277.45099327688075"/>
    <d v="2025-11-12T00:00:00"/>
    <n v="8"/>
    <x v="7"/>
    <s v="Developer"/>
  </r>
  <r>
    <n v="67260"/>
    <x v="2"/>
    <s v="01192795"/>
    <x v="4"/>
    <d v="2025-11-12T00:00:00"/>
    <s v="IA1831"/>
    <s v="Veluru,Preethi"/>
    <n v="138.72549663844038"/>
    <d v="2025-11-12T00:00:00"/>
    <n v="4"/>
    <x v="7"/>
    <s v="Junior"/>
  </r>
  <r>
    <n v="67260"/>
    <x v="2"/>
    <s v="01192795"/>
    <x v="4"/>
    <d v="2025-11-12T00:00:00"/>
    <s v="IA1690"/>
    <s v="Duraisamy,Manikandaprabu"/>
    <n v="173.40687079805048"/>
    <d v="2025-11-12T00:00:00"/>
    <n v="5"/>
    <x v="7"/>
    <s v="Developer"/>
  </r>
  <r>
    <n v="67260"/>
    <x v="2"/>
    <s v="01192795"/>
    <x v="4"/>
    <d v="2025-11-12T00:00:00"/>
    <s v="IA1430"/>
    <s v="Subburajan,Jawahar"/>
    <n v="277.45099327688075"/>
    <d v="2025-11-12T00:00:00"/>
    <n v="8"/>
    <x v="7"/>
    <s v="Lead Developer"/>
  </r>
  <r>
    <n v="67260"/>
    <x v="2"/>
    <s v="01192795"/>
    <x v="4"/>
    <d v="2025-11-12T00:00:00"/>
    <s v="IA1830"/>
    <s v="Raj,Gowtham"/>
    <n v="138.72549663844038"/>
    <d v="2025-11-12T00:00:00"/>
    <n v="4"/>
    <x v="7"/>
    <s v="Junior"/>
  </r>
  <r>
    <n v="67260"/>
    <x v="2"/>
    <s v="01192795"/>
    <x v="4"/>
    <d v="2025-11-12T00:00:00"/>
    <s v="IA1421"/>
    <s v="Jayapal,Muruganandham"/>
    <n v="208.08824495766055"/>
    <d v="2025-11-12T00:00:00"/>
    <n v="6"/>
    <x v="7"/>
    <s v="Engg Manager"/>
  </r>
  <r>
    <n v="67260"/>
    <x v="2"/>
    <s v="01192795"/>
    <x v="4"/>
    <d v="2025-11-12T00:00:00"/>
    <s v="IA1765"/>
    <s v="Kumar,Saravana"/>
    <n v="277.45099327688075"/>
    <d v="2025-11-12T00:00:00"/>
    <n v="8"/>
    <x v="7"/>
    <s v="Developer"/>
  </r>
  <r>
    <n v="67260"/>
    <x v="2"/>
    <s v="01192795"/>
    <x v="4"/>
    <d v="2025-11-13T00:00:00"/>
    <s v="IA1642"/>
    <s v="GOVINDHASAMY,RUBENDRAN"/>
    <n v="277.45099327688075"/>
    <d v="2025-11-13T00:00:00"/>
    <n v="8"/>
    <x v="7"/>
    <s v="Developer"/>
  </r>
  <r>
    <n v="67260"/>
    <x v="2"/>
    <s v="01192795"/>
    <x v="4"/>
    <d v="2025-11-13T00:00:00"/>
    <s v="IA1831"/>
    <s v="Veluru,Preethi"/>
    <n v="138.72549663844038"/>
    <d v="2025-11-13T00:00:00"/>
    <n v="4"/>
    <x v="7"/>
    <s v="Junior"/>
  </r>
  <r>
    <n v="67260"/>
    <x v="2"/>
    <s v="01192795"/>
    <x v="4"/>
    <d v="2025-11-13T00:00:00"/>
    <s v="IA1690"/>
    <s v="Duraisamy,Manikandaprabu"/>
    <n v="138.72549663844038"/>
    <d v="2025-11-13T00:00:00"/>
    <n v="4"/>
    <x v="7"/>
    <s v="Developer"/>
  </r>
  <r>
    <n v="67260"/>
    <x v="2"/>
    <s v="01192795"/>
    <x v="4"/>
    <d v="2025-11-13T00:00:00"/>
    <s v="IA1421"/>
    <s v="Jayapal,Muruganandham"/>
    <n v="208.08824495766055"/>
    <d v="2025-11-13T00:00:00"/>
    <n v="6"/>
    <x v="7"/>
    <s v="Engg Manager"/>
  </r>
  <r>
    <n v="67260"/>
    <x v="2"/>
    <s v="01192795"/>
    <x v="4"/>
    <d v="2025-11-13T00:00:00"/>
    <s v="IA1765"/>
    <s v="Kumar,Saravana"/>
    <n v="277.45099327688075"/>
    <d v="2025-11-13T00:00:00"/>
    <n v="8"/>
    <x v="7"/>
    <s v="Developer"/>
  </r>
  <r>
    <n v="67262"/>
    <x v="0"/>
    <s v="01192806"/>
    <x v="3"/>
    <d v="2025-12-03T00:00:00"/>
    <s v="IA1750"/>
    <s v="Sankarasubbu,RAMANATHAN"/>
    <n v="294.79168035668579"/>
    <d v="2025-12-03T00:00:00"/>
    <n v="8.5"/>
    <x v="8"/>
    <s v="Developer"/>
  </r>
  <r>
    <n v="67260"/>
    <x v="2"/>
    <s v="01192795"/>
    <x v="4"/>
    <d v="2025-11-14T00:00:00"/>
    <s v="IA1421"/>
    <s v="Jayapal,Muruganandham"/>
    <n v="208.08824495766055"/>
    <d v="2025-11-14T00:00:00"/>
    <n v="6"/>
    <x v="7"/>
    <s v="Engg Manager"/>
  </r>
  <r>
    <n v="67260"/>
    <x v="2"/>
    <s v="01192795"/>
    <x v="4"/>
    <d v="2025-11-14T00:00:00"/>
    <s v="IA1765"/>
    <s v="Kumar,Saravana"/>
    <n v="277.45099327688075"/>
    <d v="2025-11-14T00:00:00"/>
    <n v="8"/>
    <x v="7"/>
    <s v="Developer"/>
  </r>
  <r>
    <n v="67260"/>
    <x v="2"/>
    <s v="01192795"/>
    <x v="4"/>
    <d v="2025-11-17T00:00:00"/>
    <s v="IA1771"/>
    <s v="anandanshanmugam,kamesh"/>
    <n v="138.72549663844038"/>
    <d v="2025-11-17T00:00:00"/>
    <n v="4"/>
    <x v="7"/>
    <s v="Junior"/>
  </r>
  <r>
    <n v="67260"/>
    <x v="2"/>
    <s v="01192795"/>
    <x v="4"/>
    <d v="2025-11-17T00:00:00"/>
    <s v="IA1642"/>
    <s v="GOVINDHASAMY,RUBENDRAN"/>
    <n v="242.76961911727065"/>
    <d v="2025-11-17T00:00:00"/>
    <n v="7"/>
    <x v="7"/>
    <s v="Developer"/>
  </r>
  <r>
    <n v="67260"/>
    <x v="2"/>
    <s v="01192795"/>
    <x v="4"/>
    <d v="2025-11-17T00:00:00"/>
    <s v="IA1831"/>
    <s v="Veluru,Preethi"/>
    <n v="277.45099327688075"/>
    <d v="2025-11-17T00:00:00"/>
    <n v="8"/>
    <x v="7"/>
    <s v="Junior"/>
  </r>
  <r>
    <n v="67260"/>
    <x v="2"/>
    <s v="01192795"/>
    <x v="4"/>
    <d v="2025-11-17T00:00:00"/>
    <s v="IA1830"/>
    <s v="Raj,Gowtham"/>
    <n v="138.72549663844038"/>
    <d v="2025-11-17T00:00:00"/>
    <n v="4"/>
    <x v="7"/>
    <s v="Junior"/>
  </r>
  <r>
    <n v="67260"/>
    <x v="2"/>
    <s v="01192795"/>
    <x v="4"/>
    <d v="2025-11-17T00:00:00"/>
    <s v="IA1765"/>
    <s v="Kumar,Saravana"/>
    <n v="277.45099327688075"/>
    <d v="2025-11-17T00:00:00"/>
    <n v="8"/>
    <x v="7"/>
    <s v="Developer"/>
  </r>
  <r>
    <n v="67260"/>
    <x v="2"/>
    <s v="01192795"/>
    <x v="4"/>
    <d v="2025-11-17T00:00:00"/>
    <s v="IA1421"/>
    <s v="Jayapal,Muruganandham"/>
    <n v="242.76961911727065"/>
    <d v="2025-11-17T00:00:00"/>
    <n v="7"/>
    <x v="7"/>
    <s v="Engg Manager"/>
  </r>
  <r>
    <n v="67260"/>
    <x v="2"/>
    <s v="01192795"/>
    <x v="4"/>
    <d v="2025-11-18T00:00:00"/>
    <s v="IA1771"/>
    <s v="anandanshanmugam,kamesh"/>
    <n v="138.72549663844038"/>
    <d v="2025-11-18T00:00:00"/>
    <n v="4"/>
    <x v="7"/>
    <s v="Junior"/>
  </r>
  <r>
    <n v="67260"/>
    <x v="2"/>
    <s v="01192795"/>
    <x v="4"/>
    <d v="2025-11-18T00:00:00"/>
    <s v="IA1642"/>
    <s v="GOVINDHASAMY,RUBENDRAN"/>
    <n v="277.45099327688075"/>
    <d v="2025-11-18T00:00:00"/>
    <n v="8"/>
    <x v="7"/>
    <s v="Developer"/>
  </r>
  <r>
    <n v="67260"/>
    <x v="2"/>
    <s v="01192795"/>
    <x v="4"/>
    <d v="2025-11-18T00:00:00"/>
    <s v="IA1690"/>
    <s v="Duraisamy,Manikandaprabu"/>
    <n v="138.72549663844038"/>
    <d v="2025-11-18T00:00:00"/>
    <n v="4"/>
    <x v="7"/>
    <s v="Developer"/>
  </r>
  <r>
    <n v="67260"/>
    <x v="2"/>
    <s v="01192795"/>
    <x v="4"/>
    <d v="2025-11-18T00:00:00"/>
    <s v="IA1430"/>
    <s v="Subburajan,Jawahar"/>
    <n v="242.76961911727065"/>
    <d v="2025-11-18T00:00:00"/>
    <n v="7"/>
    <x v="7"/>
    <s v="Lead Developer"/>
  </r>
  <r>
    <n v="67260"/>
    <x v="2"/>
    <s v="01192795"/>
    <x v="4"/>
    <d v="2025-11-18T00:00:00"/>
    <s v="IA1831"/>
    <s v="Veluru,Preethi"/>
    <n v="208.08824495766055"/>
    <d v="2025-11-18T00:00:00"/>
    <n v="6"/>
    <x v="7"/>
    <s v="Junior"/>
  </r>
  <r>
    <n v="67260"/>
    <x v="2"/>
    <s v="01192795"/>
    <x v="4"/>
    <d v="2025-11-18T00:00:00"/>
    <s v="IA1394"/>
    <s v="Baskar,Shriguru"/>
    <n v="104.04412247883027"/>
    <d v="2025-11-18T00:00:00"/>
    <n v="3"/>
    <x v="7"/>
    <s v="Niche Lead"/>
  </r>
  <r>
    <n v="67260"/>
    <x v="2"/>
    <s v="01192795"/>
    <x v="4"/>
    <d v="2025-11-18T00:00:00"/>
    <s v="IA1830"/>
    <s v="Raj,Gowtham"/>
    <n v="69.362748319220188"/>
    <d v="2025-11-18T00:00:00"/>
    <n v="2"/>
    <x v="7"/>
    <s v="Junior"/>
  </r>
  <r>
    <n v="67260"/>
    <x v="2"/>
    <s v="01192795"/>
    <x v="4"/>
    <d v="2025-11-18T00:00:00"/>
    <s v="IA1765"/>
    <s v="Kumar,Saravana"/>
    <n v="277.45099327688075"/>
    <d v="2025-11-18T00:00:00"/>
    <n v="8"/>
    <x v="7"/>
    <s v="Developer"/>
  </r>
  <r>
    <n v="67260"/>
    <x v="2"/>
    <s v="01192795"/>
    <x v="4"/>
    <d v="2025-11-18T00:00:00"/>
    <s v="IA1421"/>
    <s v="Jayapal,Muruganandham"/>
    <n v="242.76961911727065"/>
    <d v="2025-11-18T00:00:00"/>
    <n v="7"/>
    <x v="7"/>
    <s v="Engg Manager"/>
  </r>
  <r>
    <n v="67260"/>
    <x v="2"/>
    <s v="01192795"/>
    <x v="4"/>
    <d v="2025-11-19T00:00:00"/>
    <s v="IA1642"/>
    <s v="GOVINDHASAMY,RUBENDRAN"/>
    <n v="277.45099327688075"/>
    <d v="2025-11-19T00:00:00"/>
    <n v="8"/>
    <x v="7"/>
    <s v="Developer"/>
  </r>
  <r>
    <n v="67260"/>
    <x v="2"/>
    <s v="01192795"/>
    <x v="4"/>
    <d v="2025-11-19T00:00:00"/>
    <s v="IA1430"/>
    <s v="Subburajan,Jawahar"/>
    <n v="242.76961911727065"/>
    <d v="2025-11-19T00:00:00"/>
    <n v="7"/>
    <x v="7"/>
    <s v="Lead Developer"/>
  </r>
  <r>
    <n v="67260"/>
    <x v="2"/>
    <s v="01192795"/>
    <x v="4"/>
    <d v="2025-11-19T00:00:00"/>
    <s v="IA1831"/>
    <s v="Veluru,Preethi"/>
    <n v="208.08824495766055"/>
    <d v="2025-11-19T00:00:00"/>
    <n v="6"/>
    <x v="7"/>
    <s v="Junior"/>
  </r>
  <r>
    <n v="67260"/>
    <x v="2"/>
    <s v="01192795"/>
    <x v="4"/>
    <d v="2025-11-19T00:00:00"/>
    <s v="IA1394"/>
    <s v="Baskar,Shriguru"/>
    <n v="104.04412247883027"/>
    <d v="2025-11-19T00:00:00"/>
    <n v="3"/>
    <x v="7"/>
    <s v="Niche Lead"/>
  </r>
  <r>
    <n v="67260"/>
    <x v="2"/>
    <s v="01192795"/>
    <x v="4"/>
    <d v="2025-11-19T00:00:00"/>
    <s v="IA1830"/>
    <s v="Raj,Gowtham"/>
    <n v="34.681374159610094"/>
    <d v="2025-11-19T00:00:00"/>
    <n v="1"/>
    <x v="7"/>
    <s v="Junior"/>
  </r>
  <r>
    <n v="67260"/>
    <x v="2"/>
    <s v="01192795"/>
    <x v="4"/>
    <d v="2025-11-19T00:00:00"/>
    <s v="IA1765"/>
    <s v="Kumar,Saravana"/>
    <n v="208.08824495766055"/>
    <d v="2025-11-19T00:00:00"/>
    <n v="6"/>
    <x v="7"/>
    <s v="Developer"/>
  </r>
  <r>
    <n v="67260"/>
    <x v="2"/>
    <s v="01192795"/>
    <x v="4"/>
    <d v="2025-11-19T00:00:00"/>
    <s v="IA1421"/>
    <s v="Jayapal,Muruganandham"/>
    <n v="242.76961911727065"/>
    <d v="2025-11-19T00:00:00"/>
    <n v="7"/>
    <x v="7"/>
    <s v="Engg Manager"/>
  </r>
  <r>
    <n v="67260"/>
    <x v="2"/>
    <s v="01192795"/>
    <x v="4"/>
    <d v="2025-11-20T00:00:00"/>
    <s v="IA1642"/>
    <s v="GOVINDHASAMY,RUBENDRAN"/>
    <n v="242.76961911727065"/>
    <d v="2025-11-20T00:00:00"/>
    <n v="7"/>
    <x v="7"/>
    <s v="Developer"/>
  </r>
  <r>
    <n v="67260"/>
    <x v="2"/>
    <s v="01192795"/>
    <x v="4"/>
    <d v="2025-11-20T00:00:00"/>
    <s v="IA1690"/>
    <s v="Duraisamy,Manikandaprabu"/>
    <n v="138.72549663844038"/>
    <d v="2025-11-20T00:00:00"/>
    <n v="4"/>
    <x v="7"/>
    <s v="Developer"/>
  </r>
  <r>
    <n v="67260"/>
    <x v="2"/>
    <s v="01192795"/>
    <x v="4"/>
    <d v="2025-11-20T00:00:00"/>
    <s v="IA1430"/>
    <s v="Subburajan,Jawahar"/>
    <n v="242.76961911727065"/>
    <d v="2025-11-20T00:00:00"/>
    <n v="7"/>
    <x v="7"/>
    <s v="Lead Developer"/>
  </r>
  <r>
    <n v="67260"/>
    <x v="2"/>
    <s v="01192795"/>
    <x v="4"/>
    <d v="2025-11-20T00:00:00"/>
    <s v="IA1394"/>
    <s v="Baskar,Shriguru"/>
    <n v="104.04412247883027"/>
    <d v="2025-11-20T00:00:00"/>
    <n v="3"/>
    <x v="7"/>
    <s v="Niche Lead"/>
  </r>
  <r>
    <n v="67260"/>
    <x v="2"/>
    <s v="01192795"/>
    <x v="4"/>
    <d v="2025-11-20T00:00:00"/>
    <s v="IA1830"/>
    <s v="Raj,Gowtham"/>
    <n v="173.40687079805048"/>
    <d v="2025-11-20T00:00:00"/>
    <n v="5"/>
    <x v="7"/>
    <s v="Junior"/>
  </r>
  <r>
    <n v="67260"/>
    <x v="2"/>
    <s v="01192795"/>
    <x v="4"/>
    <d v="2025-11-20T00:00:00"/>
    <s v="IA1765"/>
    <s v="Kumar,Saravana"/>
    <n v="208.08824495766055"/>
    <d v="2025-11-20T00:00:00"/>
    <n v="6"/>
    <x v="7"/>
    <s v="Developer"/>
  </r>
  <r>
    <n v="67260"/>
    <x v="2"/>
    <s v="01192795"/>
    <x v="4"/>
    <d v="2025-11-20T00:00:00"/>
    <s v="IA1421"/>
    <s v="Jayapal,Muruganandham"/>
    <n v="242.76961911727065"/>
    <d v="2025-11-20T00:00:00"/>
    <n v="7"/>
    <x v="7"/>
    <s v="Engg Manager"/>
  </r>
  <r>
    <n v="67260"/>
    <x v="2"/>
    <s v="01192795"/>
    <x v="4"/>
    <d v="2025-11-21T00:00:00"/>
    <s v="IA1642"/>
    <s v="GOVINDHASAMY,RUBENDRAN"/>
    <n v="277.45099327688075"/>
    <d v="2025-11-21T00:00:00"/>
    <n v="8"/>
    <x v="7"/>
    <s v="Developer"/>
  </r>
  <r>
    <n v="67260"/>
    <x v="2"/>
    <s v="01192795"/>
    <x v="4"/>
    <d v="2025-11-21T00:00:00"/>
    <s v="IA1430"/>
    <s v="Subburajan,Jawahar"/>
    <n v="208.08824495766055"/>
    <d v="2025-11-21T00:00:00"/>
    <n v="6"/>
    <x v="7"/>
    <s v="Lead Developer"/>
  </r>
  <r>
    <n v="67260"/>
    <x v="2"/>
    <s v="01192795"/>
    <x v="4"/>
    <d v="2025-11-21T00:00:00"/>
    <s v="IA1394"/>
    <s v="Baskar,Shriguru"/>
    <n v="104.04412247883027"/>
    <d v="2025-11-21T00:00:00"/>
    <n v="3"/>
    <x v="7"/>
    <s v="Niche Lead"/>
  </r>
  <r>
    <n v="67260"/>
    <x v="2"/>
    <s v="01192795"/>
    <x v="4"/>
    <d v="2025-11-21T00:00:00"/>
    <s v="IA1830"/>
    <s v="Raj,Gowtham"/>
    <n v="173.40687079805048"/>
    <d v="2025-11-21T00:00:00"/>
    <n v="5"/>
    <x v="7"/>
    <s v="Junior"/>
  </r>
  <r>
    <n v="67260"/>
    <x v="2"/>
    <s v="01192795"/>
    <x v="4"/>
    <d v="2025-11-21T00:00:00"/>
    <s v="IA1765"/>
    <s v="Kumar,Saravana"/>
    <n v="277.45099327688075"/>
    <d v="2025-11-21T00:00:00"/>
    <n v="8"/>
    <x v="7"/>
    <s v="Developer"/>
  </r>
  <r>
    <n v="67260"/>
    <x v="2"/>
    <s v="01192795"/>
    <x v="4"/>
    <d v="2025-11-21T00:00:00"/>
    <s v="IA1421"/>
    <s v="Jayapal,Muruganandham"/>
    <n v="242.76961911727065"/>
    <d v="2025-11-21T00:00:00"/>
    <n v="7"/>
    <x v="7"/>
    <s v="Engg Manager"/>
  </r>
  <r>
    <n v="67260"/>
    <x v="2"/>
    <s v="01192795"/>
    <x v="4"/>
    <d v="2025-11-22T00:00:00"/>
    <s v="IA1394"/>
    <s v="Baskar,Shriguru"/>
    <n v="104.04412247883027"/>
    <d v="2025-11-22T00:00:00"/>
    <n v="3"/>
    <x v="7"/>
    <s v="Niche Lead"/>
  </r>
  <r>
    <n v="67260"/>
    <x v="2"/>
    <s v="01192795"/>
    <x v="4"/>
    <d v="2025-11-24T00:00:00"/>
    <s v="IA1642"/>
    <s v="GOVINDHASAMY,RUBENDRAN"/>
    <n v="277.45099327688075"/>
    <d v="2025-11-24T00:00:00"/>
    <n v="8"/>
    <x v="7"/>
    <s v="Developer"/>
  </r>
  <r>
    <n v="67260"/>
    <x v="2"/>
    <s v="01192795"/>
    <x v="4"/>
    <d v="2025-11-24T00:00:00"/>
    <s v="IA1831"/>
    <s v="Veluru,Preethi"/>
    <n v="138.72549663844038"/>
    <d v="2025-11-24T00:00:00"/>
    <n v="4"/>
    <x v="7"/>
    <s v="Junior"/>
  </r>
  <r>
    <n v="67260"/>
    <x v="2"/>
    <s v="01192795"/>
    <x v="4"/>
    <d v="2025-11-24T00:00:00"/>
    <s v="IA1690"/>
    <s v="Duraisamy,Manikandaprabu"/>
    <n v="104.04412247883027"/>
    <d v="2025-11-24T00:00:00"/>
    <n v="3"/>
    <x v="7"/>
    <s v="Developer"/>
  </r>
  <r>
    <n v="67260"/>
    <x v="2"/>
    <s v="01192795"/>
    <x v="4"/>
    <d v="2025-11-24T00:00:00"/>
    <s v="IA1421"/>
    <s v="Jayapal,Muruganandham"/>
    <n v="242.76961911727065"/>
    <d v="2025-11-24T00:00:00"/>
    <n v="7"/>
    <x v="7"/>
    <s v="Engg Manager"/>
  </r>
  <r>
    <n v="67260"/>
    <x v="2"/>
    <s v="01192795"/>
    <x v="4"/>
    <d v="2025-11-24T00:00:00"/>
    <s v="IA1830"/>
    <s v="Raj,Gowtham"/>
    <n v="34.681374159610094"/>
    <d v="2025-11-24T00:00:00"/>
    <n v="1"/>
    <x v="7"/>
    <s v="Junior"/>
  </r>
  <r>
    <n v="67260"/>
    <x v="2"/>
    <s v="01192795"/>
    <x v="4"/>
    <d v="2025-11-24T00:00:00"/>
    <s v="IA1430"/>
    <s v="Subburajan,Jawahar"/>
    <n v="277.45099327688075"/>
    <d v="2025-11-24T00:00:00"/>
    <n v="8"/>
    <x v="7"/>
    <s v="Lead Developer"/>
  </r>
  <r>
    <n v="67260"/>
    <x v="2"/>
    <s v="01192795"/>
    <x v="4"/>
    <d v="2025-11-24T00:00:00"/>
    <s v="IA1765"/>
    <s v="Kumar,Saravana"/>
    <n v="277.45099327688075"/>
    <d v="2025-11-24T00:00:00"/>
    <n v="8"/>
    <x v="7"/>
    <s v="Developer"/>
  </r>
  <r>
    <n v="67260"/>
    <x v="2"/>
    <s v="01192795"/>
    <x v="4"/>
    <d v="2025-11-25T00:00:00"/>
    <s v="IA1642"/>
    <s v="GOVINDHASAMY,RUBENDRAN"/>
    <n v="277.45099327688075"/>
    <d v="2025-11-25T00:00:00"/>
    <n v="8"/>
    <x v="7"/>
    <s v="Developer"/>
  </r>
  <r>
    <n v="67260"/>
    <x v="2"/>
    <s v="01192795"/>
    <x v="4"/>
    <d v="2025-11-25T00:00:00"/>
    <s v="IA1831"/>
    <s v="Veluru,Preethi"/>
    <n v="138.72549663844038"/>
    <d v="2025-11-25T00:00:00"/>
    <n v="4"/>
    <x v="7"/>
    <s v="Junior"/>
  </r>
  <r>
    <n v="67260"/>
    <x v="2"/>
    <s v="01192795"/>
    <x v="4"/>
    <d v="2025-11-25T00:00:00"/>
    <s v="IA1690"/>
    <s v="Duraisamy,Manikandaprabu"/>
    <n v="138.72549663844038"/>
    <d v="2025-11-25T00:00:00"/>
    <n v="4"/>
    <x v="7"/>
    <s v="Developer"/>
  </r>
  <r>
    <n v="67260"/>
    <x v="2"/>
    <s v="01192795"/>
    <x v="4"/>
    <d v="2025-11-25T00:00:00"/>
    <s v="IA1421"/>
    <s v="Jayapal,Muruganandham"/>
    <n v="242.76961911727065"/>
    <d v="2025-11-25T00:00:00"/>
    <n v="7"/>
    <x v="7"/>
    <s v="Engg Manager"/>
  </r>
  <r>
    <n v="67260"/>
    <x v="2"/>
    <s v="01192795"/>
    <x v="4"/>
    <d v="2025-11-25T00:00:00"/>
    <s v="IA1830"/>
    <s v="Raj,Gowtham"/>
    <n v="34.681374159610094"/>
    <d v="2025-11-25T00:00:00"/>
    <n v="1"/>
    <x v="7"/>
    <s v="Junior"/>
  </r>
  <r>
    <n v="67260"/>
    <x v="2"/>
    <s v="01192795"/>
    <x v="4"/>
    <d v="2025-11-25T00:00:00"/>
    <s v="IA1765"/>
    <s v="Kumar,Saravana"/>
    <n v="242.76961911727065"/>
    <d v="2025-11-25T00:00:00"/>
    <n v="7"/>
    <x v="7"/>
    <s v="Developer"/>
  </r>
  <r>
    <n v="67260"/>
    <x v="2"/>
    <s v="01192795"/>
    <x v="4"/>
    <d v="2025-11-26T00:00:00"/>
    <s v="IA1831"/>
    <s v="Veluru,Preethi"/>
    <n v="138.72549663844038"/>
    <d v="2025-11-26T00:00:00"/>
    <n v="4"/>
    <x v="7"/>
    <s v="Junior"/>
  </r>
  <r>
    <n v="67260"/>
    <x v="2"/>
    <s v="01192795"/>
    <x v="4"/>
    <d v="2025-11-26T00:00:00"/>
    <s v="IA1690"/>
    <s v="Duraisamy,Manikandaprabu"/>
    <n v="277.45099327688075"/>
    <d v="2025-11-26T00:00:00"/>
    <n v="8"/>
    <x v="7"/>
    <s v="Developer"/>
  </r>
  <r>
    <n v="67260"/>
    <x v="2"/>
    <s v="01192795"/>
    <x v="4"/>
    <d v="2025-11-26T00:00:00"/>
    <s v="IA1421"/>
    <s v="Jayapal,Muruganandham"/>
    <n v="242.76961911727065"/>
    <d v="2025-11-26T00:00:00"/>
    <n v="7"/>
    <x v="7"/>
    <s v="Engg Manager"/>
  </r>
  <r>
    <n v="67260"/>
    <x v="2"/>
    <s v="01192795"/>
    <x v="4"/>
    <d v="2025-11-26T00:00:00"/>
    <s v="IA1830"/>
    <s v="Raj,Gowtham"/>
    <n v="138.72549663844038"/>
    <d v="2025-11-26T00:00:00"/>
    <n v="4"/>
    <x v="7"/>
    <s v="Junior"/>
  </r>
  <r>
    <n v="67260"/>
    <x v="2"/>
    <s v="01192795"/>
    <x v="4"/>
    <d v="2025-11-26T00:00:00"/>
    <s v="IA1765"/>
    <s v="Kumar,Saravana"/>
    <n v="277.45099327688075"/>
    <d v="2025-11-26T00:00:00"/>
    <n v="8"/>
    <x v="7"/>
    <s v="Developer"/>
  </r>
  <r>
    <n v="67260"/>
    <x v="2"/>
    <s v="01192795"/>
    <x v="4"/>
    <d v="2025-11-27T00:00:00"/>
    <s v="IA1642"/>
    <s v="GOVINDHASAMY,RUBENDRAN"/>
    <n v="277.45099327688075"/>
    <d v="2025-11-27T00:00:00"/>
    <n v="8"/>
    <x v="7"/>
    <s v="Developer"/>
  </r>
  <r>
    <n v="67260"/>
    <x v="2"/>
    <s v="01192795"/>
    <x v="4"/>
    <d v="2025-11-27T00:00:00"/>
    <s v="IA1690"/>
    <s v="Duraisamy,Manikandaprabu"/>
    <n v="277.45099327688075"/>
    <d v="2025-11-27T00:00:00"/>
    <n v="8"/>
    <x v="7"/>
    <s v="Developer"/>
  </r>
  <r>
    <n v="67260"/>
    <x v="2"/>
    <s v="01192795"/>
    <x v="4"/>
    <d v="2025-11-27T00:00:00"/>
    <s v="IA1421"/>
    <s v="Jayapal,Muruganandham"/>
    <n v="242.76961911727065"/>
    <d v="2025-11-27T00:00:00"/>
    <n v="7"/>
    <x v="7"/>
    <s v="Engg Manager"/>
  </r>
  <r>
    <n v="67260"/>
    <x v="2"/>
    <s v="01192795"/>
    <x v="4"/>
    <d v="2025-11-27T00:00:00"/>
    <s v="IA1830"/>
    <s v="Raj,Gowtham"/>
    <n v="34.681374159610094"/>
    <d v="2025-11-27T00:00:00"/>
    <n v="1"/>
    <x v="7"/>
    <s v="Junior"/>
  </r>
  <r>
    <n v="67260"/>
    <x v="2"/>
    <s v="01192795"/>
    <x v="4"/>
    <d v="2025-11-28T00:00:00"/>
    <s v="IA1642"/>
    <s v="GOVINDHASAMY,RUBENDRAN"/>
    <n v="277.45099327688075"/>
    <d v="2025-11-28T00:00:00"/>
    <n v="8"/>
    <x v="7"/>
    <s v="Developer"/>
  </r>
  <r>
    <n v="67260"/>
    <x v="2"/>
    <s v="01192795"/>
    <x v="4"/>
    <d v="2025-11-28T00:00:00"/>
    <s v="IA1690"/>
    <s v="Duraisamy,Manikandaprabu"/>
    <n v="277.45099327688075"/>
    <d v="2025-11-28T00:00:00"/>
    <n v="8"/>
    <x v="7"/>
    <s v="Developer"/>
  </r>
  <r>
    <n v="67260"/>
    <x v="2"/>
    <s v="01192795"/>
    <x v="4"/>
    <d v="2025-11-28T00:00:00"/>
    <s v="IA1421"/>
    <s v="Jayapal,Muruganandham"/>
    <n v="242.76961911727065"/>
    <d v="2025-11-28T00:00:00"/>
    <n v="7"/>
    <x v="7"/>
    <s v="Engg Manager"/>
  </r>
  <r>
    <n v="67260"/>
    <x v="2"/>
    <s v="01192795"/>
    <x v="4"/>
    <d v="2025-11-28T00:00:00"/>
    <s v="IA1830"/>
    <s v="Raj,Gowtham"/>
    <n v="34.681374159610094"/>
    <d v="2025-11-28T00:00:00"/>
    <n v="1"/>
    <x v="7"/>
    <s v="Junior"/>
  </r>
  <r>
    <n v="67260"/>
    <x v="2"/>
    <s v="01192795"/>
    <x v="4"/>
    <d v="2025-12-01T00:00:00"/>
    <s v="IA1642"/>
    <s v="GOVINDHASAMY,RUBENDRAN"/>
    <n v="277.45099327688075"/>
    <d v="2025-12-01T00:00:00"/>
    <n v="8"/>
    <x v="8"/>
    <s v="Developer"/>
  </r>
  <r>
    <n v="67260"/>
    <x v="2"/>
    <s v="01192795"/>
    <x v="4"/>
    <d v="2025-12-01T00:00:00"/>
    <s v="IA1394"/>
    <s v="Baskar,Shriguru"/>
    <n v="69.362748319220188"/>
    <d v="2025-12-01T00:00:00"/>
    <n v="2"/>
    <x v="8"/>
    <s v="Niche Lead"/>
  </r>
  <r>
    <n v="67260"/>
    <x v="2"/>
    <s v="01192795"/>
    <x v="4"/>
    <d v="2025-12-01T00:00:00"/>
    <s v="IA1421"/>
    <s v="Jayapal,Muruganandham"/>
    <n v="242.76961911727065"/>
    <d v="2025-12-01T00:00:00"/>
    <n v="7"/>
    <x v="8"/>
    <s v="Engg Manager"/>
  </r>
  <r>
    <n v="67260"/>
    <x v="2"/>
    <s v="01192795"/>
    <x v="4"/>
    <d v="2025-12-02T00:00:00"/>
    <s v="IA1642"/>
    <s v="GOVINDHASAMY,RUBENDRAN"/>
    <n v="277.45099327688075"/>
    <d v="2025-12-02T00:00:00"/>
    <n v="8"/>
    <x v="8"/>
    <s v="Developer"/>
  </r>
  <r>
    <n v="67260"/>
    <x v="2"/>
    <s v="01192795"/>
    <x v="4"/>
    <d v="2025-12-02T00:00:00"/>
    <s v="IA1394"/>
    <s v="Baskar,Shriguru"/>
    <n v="69.362748319220188"/>
    <d v="2025-12-02T00:00:00"/>
    <n v="2"/>
    <x v="8"/>
    <s v="Niche Lead"/>
  </r>
  <r>
    <n v="67260"/>
    <x v="2"/>
    <s v="01192795"/>
    <x v="4"/>
    <d v="2025-12-02T00:00:00"/>
    <s v="IA1421"/>
    <s v="Jayapal,Muruganandham"/>
    <n v="242.76961911727065"/>
    <d v="2025-12-02T00:00:00"/>
    <n v="7"/>
    <x v="8"/>
    <s v="Engg Manager"/>
  </r>
  <r>
    <n v="67260"/>
    <x v="2"/>
    <s v="01192795"/>
    <x v="4"/>
    <d v="2025-12-03T00:00:00"/>
    <s v="IA1642"/>
    <s v="GOVINDHASAMY,RUBENDRAN"/>
    <n v="277.45099327688075"/>
    <d v="2025-12-03T00:00:00"/>
    <n v="8"/>
    <x v="8"/>
    <s v="Developer"/>
  </r>
  <r>
    <n v="67260"/>
    <x v="2"/>
    <s v="01192795"/>
    <x v="4"/>
    <d v="2025-12-03T00:00:00"/>
    <s v="IA1394"/>
    <s v="Baskar,Shriguru"/>
    <n v="69.362748319220188"/>
    <d v="2025-12-03T00:00:00"/>
    <n v="2"/>
    <x v="8"/>
    <s v="Niche Lead"/>
  </r>
  <r>
    <n v="67260"/>
    <x v="2"/>
    <s v="01192795"/>
    <x v="4"/>
    <d v="2025-12-03T00:00:00"/>
    <s v="IA1421"/>
    <s v="Jayapal,Muruganandham"/>
    <n v="242.76961911727065"/>
    <d v="2025-12-03T00:00:00"/>
    <n v="7"/>
    <x v="8"/>
    <s v="Engg Manager"/>
  </r>
  <r>
    <n v="67260"/>
    <x v="2"/>
    <s v="01192795"/>
    <x v="4"/>
    <d v="2025-12-04T00:00:00"/>
    <s v="IA1642"/>
    <s v="GOVINDHASAMY,RUBENDRAN"/>
    <n v="277.45099327688075"/>
    <d v="2025-12-04T00:00:00"/>
    <n v="8"/>
    <x v="8"/>
    <s v="Developer"/>
  </r>
  <r>
    <n v="67260"/>
    <x v="2"/>
    <s v="01192795"/>
    <x v="4"/>
    <d v="2025-12-05T00:00:00"/>
    <s v="IA1642"/>
    <s v="GOVINDHASAMY,RUBENDRAN"/>
    <n v="277.45099327688075"/>
    <d v="2025-12-05T00:00:00"/>
    <n v="8"/>
    <x v="8"/>
    <s v="Developer"/>
  </r>
  <r>
    <n v="67260"/>
    <x v="2"/>
    <s v="01192795"/>
    <x v="4"/>
    <d v="2025-12-05T00:00:00"/>
    <s v="IA1690"/>
    <s v="Duraisamy,Manikandaprabu"/>
    <n v="138.72549663844038"/>
    <d v="2025-12-05T00:00:00"/>
    <n v="4"/>
    <x v="8"/>
    <s v="Developer"/>
  </r>
  <r>
    <n v="67260"/>
    <x v="2"/>
    <s v="01192795"/>
    <x v="4"/>
    <d v="2025-12-08T00:00:00"/>
    <s v="IA1642"/>
    <s v="GOVINDHASAMY,RUBENDRAN"/>
    <n v="277.45099327688075"/>
    <d v="2025-12-08T00:00:00"/>
    <n v="8"/>
    <x v="8"/>
    <s v="Developer"/>
  </r>
  <r>
    <n v="67260"/>
    <x v="2"/>
    <s v="01192795"/>
    <x v="4"/>
    <d v="2025-12-09T00:00:00"/>
    <s v="IA1642"/>
    <s v="GOVINDHASAMY,RUBENDRAN"/>
    <n v="277.45099327688075"/>
    <d v="2025-12-09T00:00:00"/>
    <n v="8"/>
    <x v="8"/>
    <s v="Developer"/>
  </r>
  <r>
    <n v="67260"/>
    <x v="2"/>
    <s v="01192795"/>
    <x v="4"/>
    <d v="2025-12-10T00:00:00"/>
    <s v="IA1642"/>
    <s v="GOVINDHASAMY,RUBENDRAN"/>
    <n v="277.45099327688075"/>
    <d v="2025-12-10T00:00:00"/>
    <n v="8"/>
    <x v="8"/>
    <s v="Developer"/>
  </r>
  <r>
    <n v="67260"/>
    <x v="2"/>
    <s v="01192795"/>
    <x v="4"/>
    <d v="2025-12-10T00:00:00"/>
    <s v="IA1430"/>
    <s v="Subburajan,Jawahar"/>
    <n v="242.76961911727065"/>
    <d v="2025-12-10T00:00:00"/>
    <n v="7"/>
    <x v="8"/>
    <s v="Lead Developer"/>
  </r>
  <r>
    <n v="67260"/>
    <x v="2"/>
    <s v="01192795"/>
    <x v="4"/>
    <d v="2025-12-11T00:00:00"/>
    <s v="IA1642"/>
    <s v="GOVINDHASAMY,RUBENDRAN"/>
    <n v="277.45099327688075"/>
    <d v="2025-12-11T00:00:00"/>
    <n v="8"/>
    <x v="8"/>
    <s v="Developer"/>
  </r>
  <r>
    <n v="67260"/>
    <x v="2"/>
    <s v="01192795"/>
    <x v="4"/>
    <d v="2025-12-11T00:00:00"/>
    <s v="IA1430"/>
    <s v="Subburajan,Jawahar"/>
    <n v="242.76961911727065"/>
    <d v="2025-12-11T00:00:00"/>
    <n v="7"/>
    <x v="8"/>
    <s v="Lead Developer"/>
  </r>
  <r>
    <n v="67260"/>
    <x v="2"/>
    <s v="01192795"/>
    <x v="4"/>
    <d v="2025-12-12T00:00:00"/>
    <s v="IA1642"/>
    <s v="GOVINDHASAMY,RUBENDRAN"/>
    <n v="277.45099327688075"/>
    <d v="2025-12-12T00:00:00"/>
    <n v="8"/>
    <x v="8"/>
    <s v="Developer"/>
  </r>
  <r>
    <n v="67260"/>
    <x v="2"/>
    <s v="01192795"/>
    <x v="4"/>
    <d v="2025-12-12T00:00:00"/>
    <s v="IA1430"/>
    <s v="Subburajan,Jawahar"/>
    <n v="242.76961911727065"/>
    <d v="2025-12-12T00:00:00"/>
    <n v="7"/>
    <x v="8"/>
    <s v="Lead Developer"/>
  </r>
  <r>
    <n v="67260"/>
    <x v="2"/>
    <s v="01192795"/>
    <x v="4"/>
    <d v="2026-01-12T00:00:00"/>
    <s v="IA1744"/>
    <s v="RAVI,RAJPRABHU"/>
    <n v="173.40687079805048"/>
    <d v="2026-01-12T00:00:00"/>
    <n v="5"/>
    <x v="9"/>
    <s v="Niche Senior Developer"/>
  </r>
  <r>
    <n v="67260"/>
    <x v="2"/>
    <s v="01192795"/>
    <x v="4"/>
    <d v="2026-01-13T00:00:00"/>
    <s v="IA1744"/>
    <s v="RAVI,RAJPRABHU"/>
    <n v="173.40687079805048"/>
    <d v="2026-01-13T00:00:00"/>
    <n v="5"/>
    <x v="9"/>
    <s v="Niche Senior Developer"/>
  </r>
  <r>
    <n v="67260"/>
    <x v="2"/>
    <s v="01192795"/>
    <x v="4"/>
    <d v="2026-01-14T00:00:00"/>
    <s v="IA1744"/>
    <s v="RAVI,RAJPRABHU"/>
    <n v="173.40687079805048"/>
    <d v="2026-01-14T00:00:00"/>
    <n v="5"/>
    <x v="9"/>
    <s v="Niche Senior Developer"/>
  </r>
  <r>
    <n v="67260"/>
    <x v="2"/>
    <s v="01192795"/>
    <x v="4"/>
    <d v="2026-01-19T00:00:00"/>
    <s v="IA1744"/>
    <s v="RAVI,RAJPRABHU"/>
    <n v="69.362748319220188"/>
    <d v="2026-01-19T00:00:00"/>
    <n v="2"/>
    <x v="9"/>
    <s v="Niche Senior Developer"/>
  </r>
  <r>
    <n v="67260"/>
    <x v="2"/>
    <s v="01192795"/>
    <x v="4"/>
    <d v="2026-01-20T00:00:00"/>
    <s v="IA1744"/>
    <s v="RAVI,RAJPRABHU"/>
    <n v="208.08824495766055"/>
    <d v="2026-01-20T00:00:00"/>
    <n v="6"/>
    <x v="9"/>
    <s v="Niche Senior Developer"/>
  </r>
  <r>
    <n v="67260"/>
    <x v="2"/>
    <s v="01192795"/>
    <x v="4"/>
    <d v="2026-01-21T00:00:00"/>
    <s v="IA1744"/>
    <s v="RAVI,RAJPRABHU"/>
    <n v="208.08824495766055"/>
    <d v="2026-01-21T00:00:00"/>
    <n v="6"/>
    <x v="9"/>
    <s v="Niche Senior Developer"/>
  </r>
  <r>
    <n v="67260"/>
    <x v="2"/>
    <s v="01192795"/>
    <x v="4"/>
    <d v="2026-01-22T00:00:00"/>
    <s v="IA1744"/>
    <s v="RAVI,RAJPRABHU"/>
    <n v="208.08824495766055"/>
    <d v="2026-01-22T00:00:00"/>
    <n v="6"/>
    <x v="9"/>
    <s v="Niche Senior Developer"/>
  </r>
  <r>
    <n v="67260"/>
    <x v="2"/>
    <s v="01192795"/>
    <x v="4"/>
    <d v="2026-01-23T00:00:00"/>
    <s v="IA1744"/>
    <s v="RAVI,RAJPRABHU"/>
    <n v="208.08824495766055"/>
    <d v="2026-01-23T00:00:00"/>
    <n v="6"/>
    <x v="9"/>
    <s v="Niche Senior Developer"/>
  </r>
  <r>
    <n v="67262"/>
    <x v="0"/>
    <s v="01192807"/>
    <x v="23"/>
    <d v="2025-07-07T00:00:00"/>
    <s v="IA1692"/>
    <s v="Gunasekaran,Kishore"/>
    <n v="277.45099327688075"/>
    <d v="2025-07-07T00:00:00"/>
    <n v="8"/>
    <x v="3"/>
    <s v="Developer"/>
  </r>
  <r>
    <n v="67262"/>
    <x v="0"/>
    <s v="01192807"/>
    <x v="23"/>
    <d v="2025-07-07T00:00:00"/>
    <s v="IA1757"/>
    <s v="Thirunavukkarasu,Kishore"/>
    <n v="242.76961911727065"/>
    <d v="2025-07-07T00:00:00"/>
    <n v="7"/>
    <x v="3"/>
    <s v="Developer"/>
  </r>
  <r>
    <n v="67262"/>
    <x v="0"/>
    <s v="01192807"/>
    <x v="23"/>
    <d v="2025-07-07T00:00:00"/>
    <s v="IA1793"/>
    <s v="Subramanian,Ruthrakkanth"/>
    <n v="104.04412247883027"/>
    <d v="2025-07-07T00:00:00"/>
    <n v="3"/>
    <x v="3"/>
    <s v="Developer"/>
  </r>
  <r>
    <n v="67262"/>
    <x v="0"/>
    <s v="01192807"/>
    <x v="23"/>
    <d v="2025-07-08T00:00:00"/>
    <s v="IA1692"/>
    <s v="Gunasekaran,Kishore"/>
    <n v="277.45099327688075"/>
    <d v="2025-07-08T00:00:00"/>
    <n v="8"/>
    <x v="3"/>
    <s v="Developer"/>
  </r>
  <r>
    <n v="67262"/>
    <x v="0"/>
    <s v="01192807"/>
    <x v="23"/>
    <d v="2025-07-08T00:00:00"/>
    <s v="IA1757"/>
    <s v="Thirunavukkarasu,Kishore"/>
    <n v="242.76961911727065"/>
    <d v="2025-07-08T00:00:00"/>
    <n v="7"/>
    <x v="3"/>
    <s v="Developer"/>
  </r>
  <r>
    <n v="67262"/>
    <x v="0"/>
    <s v="01192807"/>
    <x v="23"/>
    <d v="2025-07-08T00:00:00"/>
    <s v="IA1793"/>
    <s v="Subramanian,Ruthrakkanth"/>
    <n v="242.76961911727065"/>
    <d v="2025-07-08T00:00:00"/>
    <n v="7"/>
    <x v="3"/>
    <s v="Developer"/>
  </r>
  <r>
    <n v="67262"/>
    <x v="0"/>
    <s v="01192807"/>
    <x v="23"/>
    <d v="2025-07-08T00:00:00"/>
    <s v="IA1690"/>
    <s v="Duraisamy,Manikandaprabu"/>
    <n v="104.04412247883027"/>
    <d v="2025-07-08T00:00:00"/>
    <n v="3"/>
    <x v="3"/>
    <s v="Developer"/>
  </r>
  <r>
    <n v="67262"/>
    <x v="0"/>
    <s v="01192807"/>
    <x v="23"/>
    <d v="2025-07-09T00:00:00"/>
    <s v="IA1692"/>
    <s v="Gunasekaran,Kishore"/>
    <n v="277.45099327688075"/>
    <d v="2025-07-09T00:00:00"/>
    <n v="8"/>
    <x v="3"/>
    <s v="Developer"/>
  </r>
  <r>
    <n v="67262"/>
    <x v="0"/>
    <s v="01192807"/>
    <x v="23"/>
    <d v="2025-07-09T00:00:00"/>
    <s v="IA1757"/>
    <s v="Thirunavukkarasu,Kishore"/>
    <n v="242.76961911727065"/>
    <d v="2025-07-09T00:00:00"/>
    <n v="7"/>
    <x v="3"/>
    <s v="Developer"/>
  </r>
  <r>
    <n v="67262"/>
    <x v="0"/>
    <s v="01192807"/>
    <x v="23"/>
    <d v="2025-07-09T00:00:00"/>
    <s v="IA1793"/>
    <s v="Subramanian,Ruthrakkanth"/>
    <n v="242.76961911727065"/>
    <d v="2025-07-09T00:00:00"/>
    <n v="7"/>
    <x v="3"/>
    <s v="Developer"/>
  </r>
  <r>
    <n v="67262"/>
    <x v="0"/>
    <s v="01192807"/>
    <x v="23"/>
    <d v="2025-07-09T00:00:00"/>
    <s v="IA1690"/>
    <s v="Duraisamy,Manikandaprabu"/>
    <n v="34.681374159610094"/>
    <d v="2025-07-09T00:00:00"/>
    <n v="1"/>
    <x v="3"/>
    <s v="Developer"/>
  </r>
  <r>
    <n v="67262"/>
    <x v="0"/>
    <s v="01192807"/>
    <x v="23"/>
    <d v="2025-07-10T00:00:00"/>
    <s v="IA1692"/>
    <s v="Gunasekaran,Kishore"/>
    <n v="173.40687079805048"/>
    <d v="2025-07-10T00:00:00"/>
    <n v="5"/>
    <x v="3"/>
    <s v="Developer"/>
  </r>
  <r>
    <n v="67262"/>
    <x v="0"/>
    <s v="01192807"/>
    <x v="23"/>
    <d v="2025-07-10T00:00:00"/>
    <s v="IA1757"/>
    <s v="Thirunavukkarasu,Kishore"/>
    <n v="242.76961911727065"/>
    <d v="2025-07-10T00:00:00"/>
    <n v="7"/>
    <x v="3"/>
    <s v="Developer"/>
  </r>
  <r>
    <n v="67262"/>
    <x v="0"/>
    <s v="01192807"/>
    <x v="23"/>
    <d v="2025-07-10T00:00:00"/>
    <s v="IA1793"/>
    <s v="Subramanian,Ruthrakkanth"/>
    <n v="242.76961911727065"/>
    <d v="2025-07-10T00:00:00"/>
    <n v="7"/>
    <x v="3"/>
    <s v="Developer"/>
  </r>
  <r>
    <n v="67262"/>
    <x v="0"/>
    <s v="01192807"/>
    <x v="23"/>
    <d v="2025-07-11T00:00:00"/>
    <s v="IA1692"/>
    <s v="Gunasekaran,Kishore"/>
    <n v="138.72549663844038"/>
    <d v="2025-07-11T00:00:00"/>
    <n v="4"/>
    <x v="3"/>
    <s v="Developer"/>
  </r>
  <r>
    <n v="67262"/>
    <x v="0"/>
    <s v="01192807"/>
    <x v="23"/>
    <d v="2025-07-11T00:00:00"/>
    <s v="IA1757"/>
    <s v="Thirunavukkarasu,Kishore"/>
    <n v="242.76961911727065"/>
    <d v="2025-07-11T00:00:00"/>
    <n v="7"/>
    <x v="3"/>
    <s v="Developer"/>
  </r>
  <r>
    <n v="67262"/>
    <x v="0"/>
    <s v="01192807"/>
    <x v="23"/>
    <d v="2025-07-11T00:00:00"/>
    <s v="IA1690"/>
    <s v="Duraisamy,Manikandaprabu"/>
    <n v="69.362748319220188"/>
    <d v="2025-07-11T00:00:00"/>
    <n v="2"/>
    <x v="3"/>
    <s v="Developer"/>
  </r>
  <r>
    <n v="67262"/>
    <x v="0"/>
    <s v="01192807"/>
    <x v="23"/>
    <d v="2025-07-14T00:00:00"/>
    <s v="IA1793"/>
    <s v="Subramanian,Ruthrakkanth"/>
    <n v="34.681374159610094"/>
    <d v="2025-07-14T00:00:00"/>
    <n v="1"/>
    <x v="3"/>
    <s v="Developer"/>
  </r>
  <r>
    <n v="67262"/>
    <x v="0"/>
    <s v="01192807"/>
    <x v="23"/>
    <d v="2025-07-15T00:00:00"/>
    <s v="IA1757"/>
    <s v="Thirunavukkarasu,Kishore"/>
    <n v="34.681374159610094"/>
    <d v="2025-07-15T00:00:00"/>
    <n v="1"/>
    <x v="3"/>
    <s v="Developer"/>
  </r>
  <r>
    <n v="67262"/>
    <x v="0"/>
    <s v="01192807"/>
    <x v="23"/>
    <d v="2025-07-16T00:00:00"/>
    <s v="IA1757"/>
    <s v="Thirunavukkarasu,Kishore"/>
    <n v="69.362748319220188"/>
    <d v="2025-07-16T00:00:00"/>
    <n v="2"/>
    <x v="3"/>
    <s v="Developer"/>
  </r>
  <r>
    <n v="67262"/>
    <x v="0"/>
    <s v="01192807"/>
    <x v="23"/>
    <d v="2025-07-16T00:00:00"/>
    <s v="IA1692"/>
    <s v="Gunasekaran,Kishore"/>
    <n v="34.681374159610094"/>
    <d v="2025-07-16T00:00:00"/>
    <n v="1"/>
    <x v="3"/>
    <s v="Developer"/>
  </r>
  <r>
    <n v="67262"/>
    <x v="0"/>
    <s v="01192807"/>
    <x v="23"/>
    <d v="2025-07-17T00:00:00"/>
    <s v="IA1692"/>
    <s v="Gunasekaran,Kishore"/>
    <n v="34.681374159610094"/>
    <d v="2025-07-17T00:00:00"/>
    <n v="1"/>
    <x v="3"/>
    <s v="Developer"/>
  </r>
  <r>
    <n v="67262"/>
    <x v="0"/>
    <s v="01192807"/>
    <x v="23"/>
    <d v="2025-07-18T00:00:00"/>
    <s v="IA1692"/>
    <s v="Gunasekaran,Kishore"/>
    <n v="34.681374159610094"/>
    <d v="2025-07-18T00:00:00"/>
    <n v="1"/>
    <x v="3"/>
    <s v="Developer"/>
  </r>
  <r>
    <n v="67262"/>
    <x v="0"/>
    <s v="01192807"/>
    <x v="23"/>
    <d v="2025-07-21T00:00:00"/>
    <s v="IA1692"/>
    <s v="Gunasekaran,Kishore"/>
    <n v="34.681374159610094"/>
    <d v="2025-07-21T00:00:00"/>
    <n v="1"/>
    <x v="3"/>
    <s v="Developer"/>
  </r>
  <r>
    <n v="67262"/>
    <x v="0"/>
    <s v="01192807"/>
    <x v="23"/>
    <d v="2025-07-22T00:00:00"/>
    <s v="IA1450"/>
    <s v="Selvam,Kadarkarai"/>
    <n v="104.04412247883027"/>
    <d v="2025-07-22T00:00:00"/>
    <n v="3"/>
    <x v="3"/>
    <s v="Lead Developer"/>
  </r>
  <r>
    <n v="67262"/>
    <x v="0"/>
    <s v="01192807"/>
    <x v="23"/>
    <d v="2025-07-22T00:00:00"/>
    <s v="IA1757"/>
    <s v="Thirunavukkarasu,Kishore"/>
    <n v="138.72549663844038"/>
    <d v="2025-07-22T00:00:00"/>
    <n v="4"/>
    <x v="3"/>
    <s v="Developer"/>
  </r>
  <r>
    <n v="67262"/>
    <x v="0"/>
    <s v="01192807"/>
    <x v="23"/>
    <d v="2025-07-23T00:00:00"/>
    <s v="IA1450"/>
    <s v="Selvam,Kadarkarai"/>
    <n v="104.04412247883027"/>
    <d v="2025-07-23T00:00:00"/>
    <n v="3"/>
    <x v="3"/>
    <s v="Lead Developer"/>
  </r>
  <r>
    <n v="67262"/>
    <x v="0"/>
    <s v="01192807"/>
    <x v="23"/>
    <d v="2025-07-23T00:00:00"/>
    <s v="IA1793"/>
    <s v="Subramanian,Ruthrakkanth"/>
    <n v="69.362748319220188"/>
    <d v="2025-07-23T00:00:00"/>
    <n v="2"/>
    <x v="3"/>
    <s v="Developer"/>
  </r>
  <r>
    <n v="67262"/>
    <x v="0"/>
    <s v="01192807"/>
    <x v="23"/>
    <d v="2025-07-23T00:00:00"/>
    <s v="IA1692"/>
    <s v="Gunasekaran,Kishore"/>
    <n v="34.681374159610094"/>
    <d v="2025-07-23T00:00:00"/>
    <n v="1"/>
    <x v="3"/>
    <s v="Developer"/>
  </r>
  <r>
    <n v="67262"/>
    <x v="0"/>
    <s v="01192807"/>
    <x v="23"/>
    <d v="2025-07-28T00:00:00"/>
    <s v="IA1692"/>
    <s v="Gunasekaran,Kishore"/>
    <n v="173.40687079805048"/>
    <d v="2025-07-28T00:00:00"/>
    <n v="5"/>
    <x v="3"/>
    <s v="Developer"/>
  </r>
  <r>
    <n v="67262"/>
    <x v="0"/>
    <s v="01192807"/>
    <x v="23"/>
    <d v="2025-07-28T00:00:00"/>
    <s v="IA1793"/>
    <s v="Subramanian,Ruthrakkanth"/>
    <n v="104.04412247883027"/>
    <d v="2025-07-28T00:00:00"/>
    <n v="3"/>
    <x v="3"/>
    <s v="Developer"/>
  </r>
  <r>
    <n v="67262"/>
    <x v="0"/>
    <s v="01192807"/>
    <x v="23"/>
    <d v="2025-07-28T00:00:00"/>
    <s v="IA1450"/>
    <s v="Selvam,Kadarkarai"/>
    <n v="173.40687079805048"/>
    <d v="2025-07-28T00:00:00"/>
    <n v="5"/>
    <x v="3"/>
    <s v="Lead Developer"/>
  </r>
  <r>
    <n v="67262"/>
    <x v="0"/>
    <s v="01192807"/>
    <x v="23"/>
    <d v="2025-07-29T00:00:00"/>
    <s v="IA1690"/>
    <s v="Duraisamy,Manikandaprabu"/>
    <n v="104.04412247883027"/>
    <d v="2025-07-29T00:00:00"/>
    <n v="3"/>
    <x v="3"/>
    <s v="Developer"/>
  </r>
  <r>
    <n v="67262"/>
    <x v="0"/>
    <s v="01192807"/>
    <x v="23"/>
    <d v="2025-07-29T00:00:00"/>
    <s v="IA1692"/>
    <s v="Gunasekaran,Kishore"/>
    <n v="173.40687079805048"/>
    <d v="2025-07-29T00:00:00"/>
    <n v="5"/>
    <x v="3"/>
    <s v="Developer"/>
  </r>
  <r>
    <n v="67262"/>
    <x v="0"/>
    <s v="01192807"/>
    <x v="23"/>
    <d v="2025-07-29T00:00:00"/>
    <s v="IA1793"/>
    <s v="Subramanian,Ruthrakkanth"/>
    <n v="69.362748319220188"/>
    <d v="2025-07-29T00:00:00"/>
    <n v="2"/>
    <x v="3"/>
    <s v="Developer"/>
  </r>
  <r>
    <n v="67262"/>
    <x v="0"/>
    <s v="01192807"/>
    <x v="23"/>
    <d v="2025-07-29T00:00:00"/>
    <s v="IA1450"/>
    <s v="Selvam,Kadarkarai"/>
    <n v="104.04412247883027"/>
    <d v="2025-07-29T00:00:00"/>
    <n v="3"/>
    <x v="3"/>
    <s v="Lead Developer"/>
  </r>
  <r>
    <n v="67262"/>
    <x v="0"/>
    <s v="01192807"/>
    <x v="23"/>
    <d v="2025-07-29T00:00:00"/>
    <s v="IA1757"/>
    <s v="Thirunavukkarasu,Kishore"/>
    <n v="138.72549663844038"/>
    <d v="2025-07-29T00:00:00"/>
    <n v="4"/>
    <x v="3"/>
    <s v="Developer"/>
  </r>
  <r>
    <n v="67262"/>
    <x v="0"/>
    <s v="01192807"/>
    <x v="23"/>
    <d v="2025-07-30T00:00:00"/>
    <s v="IA1692"/>
    <s v="Gunasekaran,Kishore"/>
    <n v="173.40687079805048"/>
    <d v="2025-07-30T00:00:00"/>
    <n v="5"/>
    <x v="3"/>
    <s v="Developer"/>
  </r>
  <r>
    <n v="67262"/>
    <x v="0"/>
    <s v="01192807"/>
    <x v="23"/>
    <d v="2025-07-30T00:00:00"/>
    <s v="IA1793"/>
    <s v="Subramanian,Ruthrakkanth"/>
    <n v="69.362748319220188"/>
    <d v="2025-07-30T00:00:00"/>
    <n v="2"/>
    <x v="3"/>
    <s v="Developer"/>
  </r>
  <r>
    <n v="67262"/>
    <x v="0"/>
    <s v="01192807"/>
    <x v="23"/>
    <d v="2025-07-30T00:00:00"/>
    <s v="IA1450"/>
    <s v="Selvam,Kadarkarai"/>
    <n v="138.72549663844038"/>
    <d v="2025-07-30T00:00:00"/>
    <n v="4"/>
    <x v="3"/>
    <s v="Lead Developer"/>
  </r>
  <r>
    <n v="67262"/>
    <x v="0"/>
    <s v="01192807"/>
    <x v="23"/>
    <d v="2025-07-30T00:00:00"/>
    <s v="IA1757"/>
    <s v="Thirunavukkarasu,Kishore"/>
    <n v="242.76961911727065"/>
    <d v="2025-07-30T00:00:00"/>
    <n v="7"/>
    <x v="3"/>
    <s v="Developer"/>
  </r>
  <r>
    <n v="67262"/>
    <x v="0"/>
    <s v="01192807"/>
    <x v="23"/>
    <d v="2025-07-31T00:00:00"/>
    <s v="IA1793"/>
    <s v="Subramanian,Ruthrakkanth"/>
    <n v="104.04412247883027"/>
    <d v="2025-07-31T00:00:00"/>
    <n v="3"/>
    <x v="3"/>
    <s v="Developer"/>
  </r>
  <r>
    <n v="67262"/>
    <x v="0"/>
    <s v="01192807"/>
    <x v="23"/>
    <d v="2025-07-31T00:00:00"/>
    <s v="IA1450"/>
    <s v="Selvam,Kadarkarai"/>
    <n v="104.04412247883027"/>
    <d v="2025-07-31T00:00:00"/>
    <n v="3"/>
    <x v="3"/>
    <s v="Lead Developer"/>
  </r>
  <r>
    <n v="67262"/>
    <x v="0"/>
    <s v="01192807"/>
    <x v="23"/>
    <d v="2025-07-31T00:00:00"/>
    <n v="6833"/>
    <s v="Kunhiraman,Lakshmikanth"/>
    <n v="34.681374159610094"/>
    <d v="2025-07-31T00:00:00"/>
    <n v="1"/>
    <x v="3"/>
    <s v="Enterprise Architect"/>
  </r>
  <r>
    <n v="67262"/>
    <x v="0"/>
    <s v="01192807"/>
    <x v="23"/>
    <d v="2025-07-31T00:00:00"/>
    <s v="IA1757"/>
    <s v="Thirunavukkarasu,Kishore"/>
    <n v="34.681374159610094"/>
    <d v="2025-07-31T00:00:00"/>
    <n v="1"/>
    <x v="3"/>
    <s v="Developer"/>
  </r>
  <r>
    <n v="67262"/>
    <x v="0"/>
    <s v="01192807"/>
    <x v="23"/>
    <d v="2025-08-01T00:00:00"/>
    <s v="IA1793"/>
    <s v="Subramanian,Ruthrakkanth"/>
    <n v="104.04412247883027"/>
    <d v="2025-08-01T00:00:00"/>
    <n v="3"/>
    <x v="4"/>
    <s v="Developer"/>
  </r>
  <r>
    <n v="67262"/>
    <x v="0"/>
    <s v="01192807"/>
    <x v="23"/>
    <d v="2025-08-01T00:00:00"/>
    <s v="IA1450"/>
    <s v="Selvam,Kadarkarai"/>
    <n v="173.40687079805048"/>
    <d v="2025-08-01T00:00:00"/>
    <n v="5"/>
    <x v="4"/>
    <s v="Lead Developer"/>
  </r>
  <r>
    <n v="67262"/>
    <x v="0"/>
    <s v="01192807"/>
    <x v="23"/>
    <d v="2025-08-04T00:00:00"/>
    <s v="IA1793"/>
    <s v="Subramanian,Ruthrakkanth"/>
    <n v="69.362748319220188"/>
    <d v="2025-08-04T00:00:00"/>
    <n v="2"/>
    <x v="4"/>
    <s v="Developer"/>
  </r>
  <r>
    <n v="67262"/>
    <x v="0"/>
    <s v="01192807"/>
    <x v="23"/>
    <d v="2025-08-04T00:00:00"/>
    <s v="IA1757"/>
    <s v="Thirunavukkarasu,Kishore"/>
    <n v="34.681374159610094"/>
    <d v="2025-08-04T00:00:00"/>
    <n v="1"/>
    <x v="4"/>
    <s v="Developer"/>
  </r>
  <r>
    <n v="67262"/>
    <x v="0"/>
    <s v="01192807"/>
    <x v="23"/>
    <d v="2025-08-05T00:00:00"/>
    <s v="IA1793"/>
    <s v="Subramanian,Ruthrakkanth"/>
    <n v="104.04412247883027"/>
    <d v="2025-08-05T00:00:00"/>
    <n v="3"/>
    <x v="4"/>
    <s v="Developer"/>
  </r>
  <r>
    <n v="67262"/>
    <x v="0"/>
    <s v="01192807"/>
    <x v="23"/>
    <d v="2025-08-04T00:00:00"/>
    <s v="IA1450"/>
    <s v="Selvam,Kadarkarai"/>
    <n v="138.72549663844038"/>
    <d v="2025-08-04T00:00:00"/>
    <n v="4"/>
    <x v="4"/>
    <s v="Lead Developer"/>
  </r>
  <r>
    <n v="67262"/>
    <x v="0"/>
    <s v="01192807"/>
    <x v="23"/>
    <d v="2025-08-05T00:00:00"/>
    <s v="IA1757"/>
    <s v="Thirunavukkarasu,Kishore"/>
    <n v="34.681374159610094"/>
    <d v="2025-08-05T00:00:00"/>
    <n v="1"/>
    <x v="4"/>
    <s v="Developer"/>
  </r>
  <r>
    <n v="67262"/>
    <x v="0"/>
    <s v="01192807"/>
    <x v="23"/>
    <d v="2025-08-05T00:00:00"/>
    <s v="IA1690"/>
    <s v="Duraisamy,Manikandaprabu"/>
    <n v="242.76961911727065"/>
    <d v="2025-08-05T00:00:00"/>
    <n v="7"/>
    <x v="4"/>
    <s v="Developer"/>
  </r>
  <r>
    <n v="67262"/>
    <x v="0"/>
    <s v="01192807"/>
    <x v="23"/>
    <d v="2025-08-05T00:00:00"/>
    <s v="IA1450"/>
    <s v="Selvam,Kadarkarai"/>
    <n v="173.40687079805048"/>
    <d v="2025-08-05T00:00:00"/>
    <n v="5"/>
    <x v="4"/>
    <s v="Lead Developer"/>
  </r>
  <r>
    <n v="67262"/>
    <x v="0"/>
    <s v="01192807"/>
    <x v="23"/>
    <d v="2025-08-05T00:00:00"/>
    <s v="IA1450"/>
    <s v="Selvam,Kadarkarai"/>
    <n v="69.362748319220188"/>
    <d v="2025-08-05T00:00:00"/>
    <n v="2"/>
    <x v="4"/>
    <s v="Lead Developer"/>
  </r>
  <r>
    <n v="67262"/>
    <x v="0"/>
    <s v="01192807"/>
    <x v="23"/>
    <d v="2025-08-06T00:00:00"/>
    <s v="IA1793"/>
    <s v="Subramanian,Ruthrakkanth"/>
    <n v="104.04412247883027"/>
    <d v="2025-08-06T00:00:00"/>
    <n v="3"/>
    <x v="4"/>
    <s v="Developer"/>
  </r>
  <r>
    <n v="67262"/>
    <x v="0"/>
    <s v="01192807"/>
    <x v="23"/>
    <d v="2025-08-06T00:00:00"/>
    <s v="IA1757"/>
    <s v="Thirunavukkarasu,Kishore"/>
    <n v="242.76961911727065"/>
    <d v="2025-08-06T00:00:00"/>
    <n v="7"/>
    <x v="4"/>
    <s v="Developer"/>
  </r>
  <r>
    <n v="67262"/>
    <x v="0"/>
    <s v="01192807"/>
    <x v="23"/>
    <d v="2025-08-06T00:00:00"/>
    <s v="IA1450"/>
    <s v="Selvam,Kadarkarai"/>
    <n v="173.40687079805048"/>
    <d v="2025-08-06T00:00:00"/>
    <n v="5"/>
    <x v="4"/>
    <s v="Lead Developer"/>
  </r>
  <r>
    <n v="67262"/>
    <x v="0"/>
    <s v="01192807"/>
    <x v="23"/>
    <d v="2025-08-06T00:00:00"/>
    <s v="IA1450"/>
    <s v="Selvam,Kadarkarai"/>
    <n v="69.362748319220188"/>
    <d v="2025-08-06T00:00:00"/>
    <n v="2"/>
    <x v="4"/>
    <s v="Lead Developer"/>
  </r>
  <r>
    <n v="67262"/>
    <x v="0"/>
    <s v="01192807"/>
    <x v="23"/>
    <d v="2025-08-07T00:00:00"/>
    <s v="IA1793"/>
    <s v="Subramanian,Ruthrakkanth"/>
    <n v="104.04412247883027"/>
    <d v="2025-08-07T00:00:00"/>
    <n v="3"/>
    <x v="4"/>
    <s v="Developer"/>
  </r>
  <r>
    <n v="67262"/>
    <x v="0"/>
    <s v="01192807"/>
    <x v="23"/>
    <d v="2025-08-07T00:00:00"/>
    <s v="IA1757"/>
    <s v="Thirunavukkarasu,Kishore"/>
    <n v="242.76961911727065"/>
    <d v="2025-08-07T00:00:00"/>
    <n v="7"/>
    <x v="4"/>
    <s v="Developer"/>
  </r>
  <r>
    <n v="67262"/>
    <x v="0"/>
    <s v="01192807"/>
    <x v="23"/>
    <d v="2025-08-07T00:00:00"/>
    <s v="IA1690"/>
    <s v="Duraisamy,Manikandaprabu"/>
    <n v="69.362748319220188"/>
    <d v="2025-08-07T00:00:00"/>
    <n v="2"/>
    <x v="4"/>
    <s v="Developer"/>
  </r>
  <r>
    <n v="67262"/>
    <x v="0"/>
    <s v="01192807"/>
    <x v="23"/>
    <d v="2025-08-07T00:00:00"/>
    <s v="IA1450"/>
    <s v="Selvam,Kadarkarai"/>
    <n v="138.72549663844038"/>
    <d v="2025-08-07T00:00:00"/>
    <n v="4"/>
    <x v="4"/>
    <s v="Lead Developer"/>
  </r>
  <r>
    <n v="67262"/>
    <x v="0"/>
    <s v="01192807"/>
    <x v="23"/>
    <d v="2025-08-08T00:00:00"/>
    <s v="IA1793"/>
    <s v="Subramanian,Ruthrakkanth"/>
    <n v="104.04412247883027"/>
    <d v="2025-08-08T00:00:00"/>
    <n v="3"/>
    <x v="4"/>
    <s v="Developer"/>
  </r>
  <r>
    <n v="67262"/>
    <x v="0"/>
    <s v="01192807"/>
    <x v="23"/>
    <d v="2025-08-08T00:00:00"/>
    <n v="6833"/>
    <s v="Kunhiraman,Lakshmikanth"/>
    <n v="34.681374159610094"/>
    <d v="2025-08-08T00:00:00"/>
    <n v="1"/>
    <x v="4"/>
    <s v="Enterprise Architect"/>
  </r>
  <r>
    <n v="67262"/>
    <x v="0"/>
    <s v="01192807"/>
    <x v="23"/>
    <d v="2025-08-08T00:00:00"/>
    <s v="IA1757"/>
    <s v="Thirunavukkarasu,Kishore"/>
    <n v="34.681374159610094"/>
    <d v="2025-08-08T00:00:00"/>
    <n v="1"/>
    <x v="4"/>
    <s v="Developer"/>
  </r>
  <r>
    <n v="67262"/>
    <x v="0"/>
    <s v="01192807"/>
    <x v="23"/>
    <d v="2025-08-08T00:00:00"/>
    <s v="IA1450"/>
    <s v="Selvam,Kadarkarai"/>
    <n v="138.72549663844038"/>
    <d v="2025-08-08T00:00:00"/>
    <n v="4"/>
    <x v="4"/>
    <s v="Lead Developer"/>
  </r>
  <r>
    <n v="67262"/>
    <x v="0"/>
    <s v="01192807"/>
    <x v="23"/>
    <d v="2025-08-11T00:00:00"/>
    <s v="IA1450"/>
    <s v="Selvam,Kadarkarai"/>
    <n v="69.362748319220188"/>
    <d v="2025-08-11T00:00:00"/>
    <n v="2"/>
    <x v="4"/>
    <s v="Lead Developer"/>
  </r>
  <r>
    <n v="67262"/>
    <x v="0"/>
    <s v="01192807"/>
    <x v="23"/>
    <d v="2025-08-11T00:00:00"/>
    <s v="IA1690"/>
    <s v="Duraisamy,Manikandaprabu"/>
    <n v="69.362748319220188"/>
    <d v="2025-08-11T00:00:00"/>
    <n v="2"/>
    <x v="4"/>
    <s v="Developer"/>
  </r>
  <r>
    <n v="67262"/>
    <x v="0"/>
    <s v="01192807"/>
    <x v="23"/>
    <d v="2025-08-12T00:00:00"/>
    <s v="IA1793"/>
    <s v="Subramanian,Ruthrakkanth"/>
    <n v="242.76961911727065"/>
    <d v="2025-08-12T00:00:00"/>
    <n v="7"/>
    <x v="4"/>
    <s v="Developer"/>
  </r>
  <r>
    <n v="67262"/>
    <x v="0"/>
    <s v="01192807"/>
    <x v="23"/>
    <d v="2025-08-12T00:00:00"/>
    <s v="IA1450"/>
    <s v="Selvam,Kadarkarai"/>
    <n v="104.04412247883027"/>
    <d v="2025-08-12T00:00:00"/>
    <n v="3"/>
    <x v="4"/>
    <s v="Lead Developer"/>
  </r>
  <r>
    <n v="67262"/>
    <x v="0"/>
    <s v="01192807"/>
    <x v="23"/>
    <d v="2025-08-13T00:00:00"/>
    <s v="IA1757"/>
    <s v="Thirunavukkarasu,Kishore"/>
    <n v="242.76961911727065"/>
    <d v="2025-08-13T00:00:00"/>
    <n v="7"/>
    <x v="4"/>
    <s v="Developer"/>
  </r>
  <r>
    <n v="67262"/>
    <x v="0"/>
    <s v="01192807"/>
    <x v="23"/>
    <d v="2025-08-13T00:00:00"/>
    <s v="IA1450"/>
    <s v="Selvam,Kadarkarai"/>
    <n v="208.08824495766055"/>
    <d v="2025-08-13T00:00:00"/>
    <n v="6"/>
    <x v="4"/>
    <s v="Lead Developer"/>
  </r>
  <r>
    <n v="67262"/>
    <x v="0"/>
    <s v="01192807"/>
    <x v="23"/>
    <d v="2025-08-14T00:00:00"/>
    <s v="IA1757"/>
    <s v="Thirunavukkarasu,Kishore"/>
    <n v="242.76961911727065"/>
    <d v="2025-08-14T00:00:00"/>
    <n v="7"/>
    <x v="4"/>
    <s v="Developer"/>
  </r>
  <r>
    <n v="67262"/>
    <x v="0"/>
    <s v="01192807"/>
    <x v="23"/>
    <d v="2025-08-18T00:00:00"/>
    <s v="IA1450"/>
    <s v="Selvam,Kadarkarai"/>
    <n v="69.362748319220188"/>
    <d v="2025-08-18T00:00:00"/>
    <n v="2"/>
    <x v="4"/>
    <s v="Lead Developer"/>
  </r>
  <r>
    <n v="67262"/>
    <x v="0"/>
    <s v="01192807"/>
    <x v="23"/>
    <d v="2025-08-18T00:00:00"/>
    <s v="IA1690"/>
    <s v="Duraisamy,Manikandaprabu"/>
    <n v="208.08824495766055"/>
    <d v="2025-08-18T00:00:00"/>
    <n v="6"/>
    <x v="4"/>
    <s v="Developer"/>
  </r>
  <r>
    <n v="67262"/>
    <x v="0"/>
    <s v="01192807"/>
    <x v="23"/>
    <d v="2025-08-19T00:00:00"/>
    <s v="IA1450"/>
    <s v="Selvam,Kadarkarai"/>
    <n v="69.362748319220188"/>
    <d v="2025-08-19T00:00:00"/>
    <n v="2"/>
    <x v="4"/>
    <s v="Lead Developer"/>
  </r>
  <r>
    <n v="67262"/>
    <x v="0"/>
    <s v="01192807"/>
    <x v="23"/>
    <d v="2025-08-20T00:00:00"/>
    <s v="IA1450"/>
    <s v="Selvam,Kadarkarai"/>
    <n v="69.362748319220188"/>
    <d v="2025-08-20T00:00:00"/>
    <n v="2"/>
    <x v="4"/>
    <s v="Lead Developer"/>
  </r>
  <r>
    <n v="67262"/>
    <x v="0"/>
    <s v="01192807"/>
    <x v="23"/>
    <d v="2025-08-20T00:00:00"/>
    <s v="IA1690"/>
    <s v="Duraisamy,Manikandaprabu"/>
    <n v="208.08824495766055"/>
    <d v="2025-08-20T00:00:00"/>
    <n v="6"/>
    <x v="4"/>
    <s v="Developer"/>
  </r>
  <r>
    <n v="67262"/>
    <x v="0"/>
    <s v="01192807"/>
    <x v="23"/>
    <d v="2025-08-20T00:00:00"/>
    <s v="IA1793"/>
    <s v="Subramanian,Ruthrakkanth"/>
    <n v="208.08824495766055"/>
    <d v="2025-08-20T00:00:00"/>
    <n v="6"/>
    <x v="4"/>
    <s v="Developer"/>
  </r>
  <r>
    <n v="67262"/>
    <x v="0"/>
    <s v="01192807"/>
    <x v="23"/>
    <d v="2025-08-21T00:00:00"/>
    <s v="IA1450"/>
    <s v="Selvam,Kadarkarai"/>
    <n v="69.362748319220188"/>
    <d v="2025-08-21T00:00:00"/>
    <n v="2"/>
    <x v="4"/>
    <s v="Lead Developer"/>
  </r>
  <r>
    <n v="67262"/>
    <x v="0"/>
    <s v="01192807"/>
    <x v="23"/>
    <d v="2025-08-21T00:00:00"/>
    <s v="IA1690"/>
    <s v="Duraisamy,Manikandaprabu"/>
    <n v="208.08824495766055"/>
    <d v="2025-08-21T00:00:00"/>
    <n v="6"/>
    <x v="4"/>
    <s v="Developer"/>
  </r>
  <r>
    <n v="67262"/>
    <x v="0"/>
    <s v="01192807"/>
    <x v="23"/>
    <d v="2025-08-21T00:00:00"/>
    <s v="IA1793"/>
    <s v="Subramanian,Ruthrakkanth"/>
    <n v="208.08824495766055"/>
    <d v="2025-08-21T00:00:00"/>
    <n v="6"/>
    <x v="4"/>
    <s v="Developer"/>
  </r>
  <r>
    <n v="67262"/>
    <x v="0"/>
    <s v="01192807"/>
    <x v="23"/>
    <d v="2025-08-22T00:00:00"/>
    <s v="IA1450"/>
    <s v="Selvam,Kadarkarai"/>
    <n v="69.362748319220188"/>
    <d v="2025-08-22T00:00:00"/>
    <n v="2"/>
    <x v="4"/>
    <s v="Lead Developer"/>
  </r>
  <r>
    <n v="67262"/>
    <x v="0"/>
    <s v="01192807"/>
    <x v="23"/>
    <d v="2025-08-22T00:00:00"/>
    <s v="IA1690"/>
    <s v="Duraisamy,Manikandaprabu"/>
    <n v="277.45099327688075"/>
    <d v="2025-08-22T00:00:00"/>
    <n v="8"/>
    <x v="4"/>
    <s v="Developer"/>
  </r>
  <r>
    <n v="67262"/>
    <x v="0"/>
    <s v="01192807"/>
    <x v="23"/>
    <d v="2025-08-22T00:00:00"/>
    <s v="IA1793"/>
    <s v="Subramanian,Ruthrakkanth"/>
    <n v="208.08824495766055"/>
    <d v="2025-08-22T00:00:00"/>
    <n v="6"/>
    <x v="4"/>
    <s v="Developer"/>
  </r>
  <r>
    <n v="67262"/>
    <x v="0"/>
    <s v="01192807"/>
    <x v="23"/>
    <d v="2025-08-25T00:00:00"/>
    <s v="IA1450"/>
    <s v="Selvam,Kadarkarai"/>
    <n v="-34.681374159610094"/>
    <d v="2025-08-25T00:00:00"/>
    <n v="-1"/>
    <x v="4"/>
    <s v="Lead Developer"/>
  </r>
  <r>
    <n v="67262"/>
    <x v="0"/>
    <s v="01192807"/>
    <x v="23"/>
    <d v="2025-08-25T00:00:00"/>
    <s v="IA1450"/>
    <s v="Selvam,Kadarkarai"/>
    <n v="34.681374159610094"/>
    <d v="2025-08-25T00:00:00"/>
    <n v="1"/>
    <x v="4"/>
    <s v="Lead Developer"/>
  </r>
  <r>
    <n v="67262"/>
    <x v="0"/>
    <s v="01192807"/>
    <x v="23"/>
    <d v="2025-08-25T00:00:00"/>
    <s v="IA1757"/>
    <s v="Thirunavukkarasu,Kishore"/>
    <n v="208.08824495766055"/>
    <d v="2025-08-25T00:00:00"/>
    <n v="6"/>
    <x v="4"/>
    <s v="Developer"/>
  </r>
  <r>
    <n v="67262"/>
    <x v="0"/>
    <s v="01192807"/>
    <x v="23"/>
    <d v="2025-08-25T00:00:00"/>
    <s v="IA1450"/>
    <s v="Selvam,Kadarkarai"/>
    <n v="34.681374159610094"/>
    <d v="2025-08-25T00:00:00"/>
    <n v="1"/>
    <x v="4"/>
    <s v="Lead Developer"/>
  </r>
  <r>
    <n v="67262"/>
    <x v="0"/>
    <s v="01192807"/>
    <x v="23"/>
    <d v="2025-08-25T00:00:00"/>
    <s v="IA1793"/>
    <s v="Subramanian,Ruthrakkanth"/>
    <n v="208.08824495766055"/>
    <d v="2025-08-25T00:00:00"/>
    <n v="6"/>
    <x v="4"/>
    <s v="Developer"/>
  </r>
  <r>
    <n v="67262"/>
    <x v="0"/>
    <s v="01192807"/>
    <x v="23"/>
    <d v="2025-08-25T00:00:00"/>
    <s v="IA1450"/>
    <s v="Selvam,Kadarkarai"/>
    <n v="-34.681374159610094"/>
    <d v="2025-08-25T00:00:00"/>
    <n v="-1"/>
    <x v="4"/>
    <s v="Lead Developer"/>
  </r>
  <r>
    <n v="67262"/>
    <x v="0"/>
    <s v="01192807"/>
    <x v="23"/>
    <d v="2025-08-25T00:00:00"/>
    <s v="IA1450"/>
    <s v="Selvam,Kadarkarai"/>
    <n v="34.681374159610094"/>
    <d v="2025-08-25T00:00:00"/>
    <n v="1"/>
    <x v="4"/>
    <s v="Lead Developer"/>
  </r>
  <r>
    <n v="67262"/>
    <x v="0"/>
    <s v="01192807"/>
    <x v="23"/>
    <d v="2025-08-26T00:00:00"/>
    <s v="IA1450"/>
    <s v="Selvam,Kadarkarai"/>
    <n v="-34.681374159610094"/>
    <d v="2025-08-26T00:00:00"/>
    <n v="-1"/>
    <x v="4"/>
    <s v="Lead Developer"/>
  </r>
  <r>
    <n v="67262"/>
    <x v="0"/>
    <s v="01192807"/>
    <x v="23"/>
    <d v="2025-08-26T00:00:00"/>
    <s v="IA1450"/>
    <s v="Selvam,Kadarkarai"/>
    <n v="34.681374159610094"/>
    <d v="2025-08-26T00:00:00"/>
    <n v="1"/>
    <x v="4"/>
    <s v="Lead Developer"/>
  </r>
  <r>
    <n v="67262"/>
    <x v="0"/>
    <s v="01192807"/>
    <x v="23"/>
    <d v="2025-08-26T00:00:00"/>
    <s v="IA1757"/>
    <s v="Thirunavukkarasu,Kishore"/>
    <n v="34.681374159610094"/>
    <d v="2025-08-26T00:00:00"/>
    <n v="1"/>
    <x v="4"/>
    <s v="Developer"/>
  </r>
  <r>
    <n v="67262"/>
    <x v="0"/>
    <s v="01192807"/>
    <x v="23"/>
    <d v="2025-08-26T00:00:00"/>
    <s v="IA1450"/>
    <s v="Selvam,Kadarkarai"/>
    <n v="34.681374159610094"/>
    <d v="2025-08-26T00:00:00"/>
    <n v="1"/>
    <x v="4"/>
    <s v="Lead Developer"/>
  </r>
  <r>
    <n v="67262"/>
    <x v="0"/>
    <s v="01192807"/>
    <x v="23"/>
    <d v="2025-08-26T00:00:00"/>
    <s v="IA1793"/>
    <s v="Subramanian,Ruthrakkanth"/>
    <n v="208.08824495766055"/>
    <d v="2025-08-26T00:00:00"/>
    <n v="6"/>
    <x v="4"/>
    <s v="Developer"/>
  </r>
  <r>
    <n v="67262"/>
    <x v="0"/>
    <s v="01192807"/>
    <x v="23"/>
    <d v="2025-08-26T00:00:00"/>
    <s v="IA1450"/>
    <s v="Selvam,Kadarkarai"/>
    <n v="-34.681374159610094"/>
    <d v="2025-08-26T00:00:00"/>
    <n v="-1"/>
    <x v="4"/>
    <s v="Lead Developer"/>
  </r>
  <r>
    <n v="67262"/>
    <x v="0"/>
    <s v="01192807"/>
    <x v="23"/>
    <d v="2025-08-26T00:00:00"/>
    <s v="IA1450"/>
    <s v="Selvam,Kadarkarai"/>
    <n v="34.681374159610094"/>
    <d v="2025-08-26T00:00:00"/>
    <n v="1"/>
    <x v="4"/>
    <s v="Lead Developer"/>
  </r>
  <r>
    <n v="67262"/>
    <x v="0"/>
    <s v="01192807"/>
    <x v="23"/>
    <d v="2025-08-27T00:00:00"/>
    <s v="IA1450"/>
    <s v="Selvam,Kadarkarai"/>
    <n v="-34.681374159610094"/>
    <d v="2025-08-27T00:00:00"/>
    <n v="-1"/>
    <x v="4"/>
    <s v="Lead Developer"/>
  </r>
  <r>
    <n v="67262"/>
    <x v="0"/>
    <s v="01192807"/>
    <x v="23"/>
    <d v="2025-08-27T00:00:00"/>
    <s v="IA1757"/>
    <s v="Thirunavukkarasu,Kishore"/>
    <n v="69.362748319220188"/>
    <d v="2025-08-27T00:00:00"/>
    <n v="2"/>
    <x v="4"/>
    <s v="Developer"/>
  </r>
  <r>
    <n v="67262"/>
    <x v="0"/>
    <s v="01192807"/>
    <x v="23"/>
    <d v="2025-08-27T00:00:00"/>
    <s v="IA1450"/>
    <s v="Selvam,Kadarkarai"/>
    <n v="34.681374159610094"/>
    <d v="2025-08-27T00:00:00"/>
    <n v="1"/>
    <x v="4"/>
    <s v="Lead Developer"/>
  </r>
  <r>
    <n v="67262"/>
    <x v="0"/>
    <s v="01192807"/>
    <x v="23"/>
    <d v="2025-08-27T00:00:00"/>
    <s v="IA1793"/>
    <s v="Subramanian,Ruthrakkanth"/>
    <n v="208.08824495766055"/>
    <d v="2025-08-27T00:00:00"/>
    <n v="6"/>
    <x v="4"/>
    <s v="Developer"/>
  </r>
  <r>
    <n v="67262"/>
    <x v="0"/>
    <s v="01192807"/>
    <x v="23"/>
    <d v="2025-08-28T00:00:00"/>
    <s v="IA1450"/>
    <s v="Selvam,Kadarkarai"/>
    <n v="-242.76961911727065"/>
    <d v="2025-08-28T00:00:00"/>
    <n v="-7"/>
    <x v="4"/>
    <s v="Lead Developer"/>
  </r>
  <r>
    <n v="67262"/>
    <x v="0"/>
    <s v="01192807"/>
    <x v="23"/>
    <d v="2025-08-28T00:00:00"/>
    <s v="IA1450"/>
    <s v="Selvam,Kadarkarai"/>
    <n v="242.76961911727065"/>
    <d v="2025-08-28T00:00:00"/>
    <n v="7"/>
    <x v="4"/>
    <s v="Lead Developer"/>
  </r>
  <r>
    <n v="67262"/>
    <x v="0"/>
    <s v="01192807"/>
    <x v="23"/>
    <d v="2025-08-28T00:00:00"/>
    <s v="IA1757"/>
    <s v="Thirunavukkarasu,Kishore"/>
    <n v="69.362748319220188"/>
    <d v="2025-08-28T00:00:00"/>
    <n v="2"/>
    <x v="4"/>
    <s v="Developer"/>
  </r>
  <r>
    <n v="67262"/>
    <x v="0"/>
    <s v="01192807"/>
    <x v="23"/>
    <d v="2025-08-28T00:00:00"/>
    <s v="IA1450"/>
    <s v="Selvam,Kadarkarai"/>
    <n v="242.76961911727065"/>
    <d v="2025-08-28T00:00:00"/>
    <n v="7"/>
    <x v="4"/>
    <s v="Lead Developer"/>
  </r>
  <r>
    <n v="67262"/>
    <x v="0"/>
    <s v="01192807"/>
    <x v="23"/>
    <d v="2025-08-28T00:00:00"/>
    <s v="IA1793"/>
    <s v="Subramanian,Ruthrakkanth"/>
    <n v="208.08824495766055"/>
    <d v="2025-08-28T00:00:00"/>
    <n v="6"/>
    <x v="4"/>
    <s v="Developer"/>
  </r>
  <r>
    <n v="67262"/>
    <x v="0"/>
    <s v="01192807"/>
    <x v="23"/>
    <d v="2025-08-29T00:00:00"/>
    <s v="IA1450"/>
    <s v="Selvam,Kadarkarai"/>
    <n v="208.08824495766055"/>
    <d v="2025-08-29T00:00:00"/>
    <n v="6"/>
    <x v="4"/>
    <s v="Lead Developer"/>
  </r>
  <r>
    <n v="67262"/>
    <x v="0"/>
    <s v="01192807"/>
    <x v="23"/>
    <d v="2025-08-29T00:00:00"/>
    <s v="IA1450"/>
    <s v="Selvam,Kadarkarai"/>
    <n v="-208.08824495766055"/>
    <d v="2025-08-29T00:00:00"/>
    <n v="-6"/>
    <x v="4"/>
    <s v="Lead Developer"/>
  </r>
  <r>
    <n v="67262"/>
    <x v="0"/>
    <s v="01192807"/>
    <x v="23"/>
    <d v="2025-08-29T00:00:00"/>
    <s v="IA1450"/>
    <s v="Selvam,Kadarkarai"/>
    <n v="208.08824495766055"/>
    <d v="2025-08-29T00:00:00"/>
    <n v="6"/>
    <x v="4"/>
    <s v="Lead Developer"/>
  </r>
  <r>
    <n v="67262"/>
    <x v="0"/>
    <s v="01192807"/>
    <x v="23"/>
    <d v="2025-08-29T00:00:00"/>
    <s v="IA1757"/>
    <s v="Thirunavukkarasu,Kishore"/>
    <n v="69.362748319220188"/>
    <d v="2025-08-29T00:00:00"/>
    <n v="2"/>
    <x v="4"/>
    <s v="Developer"/>
  </r>
  <r>
    <n v="67262"/>
    <x v="0"/>
    <s v="01192807"/>
    <x v="23"/>
    <d v="2025-08-29T00:00:00"/>
    <s v="IA1450"/>
    <s v="Selvam,Kadarkarai"/>
    <n v="208.08824495766055"/>
    <d v="2025-08-29T00:00:00"/>
    <n v="6"/>
    <x v="4"/>
    <s v="Lead Developer"/>
  </r>
  <r>
    <n v="67262"/>
    <x v="0"/>
    <s v="01192807"/>
    <x v="23"/>
    <d v="2025-08-29T00:00:00"/>
    <s v="IA1793"/>
    <s v="Subramanian,Ruthrakkanth"/>
    <n v="208.08824495766055"/>
    <d v="2025-08-29T00:00:00"/>
    <n v="6"/>
    <x v="4"/>
    <s v="Developer"/>
  </r>
  <r>
    <n v="67262"/>
    <x v="0"/>
    <s v="01192807"/>
    <x v="23"/>
    <d v="2025-08-28T00:00:00"/>
    <s v="IA1450"/>
    <s v="Selvam,Kadarkarai"/>
    <n v="-242.76961911727065"/>
    <d v="2025-08-28T00:00:00"/>
    <n v="-7"/>
    <x v="4"/>
    <s v="Lead Developer"/>
  </r>
  <r>
    <n v="67262"/>
    <x v="0"/>
    <s v="01192807"/>
    <x v="23"/>
    <d v="2025-08-28T00:00:00"/>
    <s v="IA1450"/>
    <s v="Selvam,Kadarkarai"/>
    <n v="242.76961911727065"/>
    <d v="2025-08-28T00:00:00"/>
    <n v="7"/>
    <x v="4"/>
    <s v="Lead Developer"/>
  </r>
  <r>
    <n v="67262"/>
    <x v="0"/>
    <s v="01192807"/>
    <x v="23"/>
    <d v="2025-08-29T00:00:00"/>
    <s v="IA1450"/>
    <s v="Selvam,Kadarkarai"/>
    <n v="-208.08824495766055"/>
    <d v="2025-08-29T00:00:00"/>
    <n v="-6"/>
    <x v="4"/>
    <s v="Lead Developer"/>
  </r>
  <r>
    <n v="67262"/>
    <x v="0"/>
    <s v="01192807"/>
    <x v="23"/>
    <d v="2025-09-01T00:00:00"/>
    <s v="IA1793"/>
    <s v="Subramanian,Ruthrakkanth"/>
    <n v="208.08824495766055"/>
    <d v="2025-09-01T00:00:00"/>
    <n v="6"/>
    <x v="5"/>
    <s v="Developer"/>
  </r>
  <r>
    <n v="67262"/>
    <x v="0"/>
    <s v="01192807"/>
    <x v="23"/>
    <d v="2025-09-01T00:00:00"/>
    <s v="IA1450"/>
    <s v="Selvam,Kadarkarai"/>
    <n v="138.72549663844038"/>
    <d v="2025-09-01T00:00:00"/>
    <n v="4"/>
    <x v="5"/>
    <s v="Lead Developer"/>
  </r>
  <r>
    <n v="67262"/>
    <x v="0"/>
    <s v="01192807"/>
    <x v="23"/>
    <d v="2025-09-01T00:00:00"/>
    <s v="IA1690"/>
    <s v="Duraisamy,Manikandaprabu"/>
    <n v="138.72549663844038"/>
    <d v="2025-09-01T00:00:00"/>
    <n v="4"/>
    <x v="5"/>
    <s v="Developer"/>
  </r>
  <r>
    <n v="67262"/>
    <x v="0"/>
    <s v="01192807"/>
    <x v="23"/>
    <d v="2025-09-02T00:00:00"/>
    <s v="IA1793"/>
    <s v="Subramanian,Ruthrakkanth"/>
    <n v="208.08824495766055"/>
    <d v="2025-09-02T00:00:00"/>
    <n v="6"/>
    <x v="5"/>
    <s v="Developer"/>
  </r>
  <r>
    <n v="67262"/>
    <x v="0"/>
    <s v="01192807"/>
    <x v="23"/>
    <d v="2025-09-02T00:00:00"/>
    <s v="IA1450"/>
    <s v="Selvam,Kadarkarai"/>
    <n v="138.72549663844038"/>
    <d v="2025-09-02T00:00:00"/>
    <n v="4"/>
    <x v="5"/>
    <s v="Lead Developer"/>
  </r>
  <r>
    <n v="67262"/>
    <x v="0"/>
    <s v="01192807"/>
    <x v="23"/>
    <d v="2025-09-02T00:00:00"/>
    <s v="IA1690"/>
    <s v="Duraisamy,Manikandaprabu"/>
    <n v="208.08824495766055"/>
    <d v="2025-09-02T00:00:00"/>
    <n v="6"/>
    <x v="5"/>
    <s v="Developer"/>
  </r>
  <r>
    <n v="67262"/>
    <x v="0"/>
    <s v="01192807"/>
    <x v="23"/>
    <d v="2025-09-03T00:00:00"/>
    <s v="IA1690"/>
    <s v="Duraisamy,Manikandaprabu"/>
    <n v="208.08824495766055"/>
    <d v="2025-09-03T00:00:00"/>
    <n v="6"/>
    <x v="5"/>
    <s v="Developer"/>
  </r>
  <r>
    <n v="67262"/>
    <x v="0"/>
    <s v="01192807"/>
    <x v="23"/>
    <d v="2025-09-03T00:00:00"/>
    <s v="IA1793"/>
    <s v="Subramanian,Ruthrakkanth"/>
    <n v="208.08824495766055"/>
    <d v="2025-09-03T00:00:00"/>
    <n v="6"/>
    <x v="5"/>
    <s v="Developer"/>
  </r>
  <r>
    <n v="67262"/>
    <x v="0"/>
    <s v="01192807"/>
    <x v="23"/>
    <d v="2025-09-03T00:00:00"/>
    <s v="IA1450"/>
    <s v="Selvam,Kadarkarai"/>
    <n v="173.40687079805048"/>
    <d v="2025-09-03T00:00:00"/>
    <n v="5"/>
    <x v="5"/>
    <s v="Lead Developer"/>
  </r>
  <r>
    <n v="67262"/>
    <x v="0"/>
    <s v="01192807"/>
    <x v="23"/>
    <d v="2025-09-04T00:00:00"/>
    <s v="IA1793"/>
    <s v="Subramanian,Ruthrakkanth"/>
    <n v="208.08824495766055"/>
    <d v="2025-09-04T00:00:00"/>
    <n v="6"/>
    <x v="5"/>
    <s v="Developer"/>
  </r>
  <r>
    <n v="67262"/>
    <x v="0"/>
    <s v="01192807"/>
    <x v="23"/>
    <d v="2025-09-04T00:00:00"/>
    <s v="IA1450"/>
    <s v="Selvam,Kadarkarai"/>
    <n v="173.40687079805048"/>
    <d v="2025-09-04T00:00:00"/>
    <n v="5"/>
    <x v="5"/>
    <s v="Lead Developer"/>
  </r>
  <r>
    <n v="67262"/>
    <x v="0"/>
    <s v="01192807"/>
    <x v="23"/>
    <d v="2025-09-05T00:00:00"/>
    <s v="IA1793"/>
    <s v="Subramanian,Ruthrakkanth"/>
    <n v="208.08824495766055"/>
    <d v="2025-09-05T00:00:00"/>
    <n v="6"/>
    <x v="5"/>
    <s v="Developer"/>
  </r>
  <r>
    <n v="67262"/>
    <x v="0"/>
    <s v="01192807"/>
    <x v="23"/>
    <d v="2025-09-05T00:00:00"/>
    <s v="IA1450"/>
    <s v="Selvam,Kadarkarai"/>
    <n v="138.72549663844038"/>
    <d v="2025-09-05T00:00:00"/>
    <n v="4"/>
    <x v="5"/>
    <s v="Lead Developer"/>
  </r>
  <r>
    <n v="67262"/>
    <x v="0"/>
    <s v="01192807"/>
    <x v="23"/>
    <d v="2025-09-08T00:00:00"/>
    <s v="IA1450"/>
    <s v="Selvam,Kadarkarai"/>
    <n v="173.40687079805048"/>
    <d v="2025-09-08T00:00:00"/>
    <n v="5"/>
    <x v="5"/>
    <s v="Lead Developer"/>
  </r>
  <r>
    <n v="67262"/>
    <x v="0"/>
    <s v="01192807"/>
    <x v="23"/>
    <d v="2025-09-08T00:00:00"/>
    <s v="IA1793"/>
    <s v="Subramanian,Ruthrakkanth"/>
    <n v="208.08824495766055"/>
    <d v="2025-09-08T00:00:00"/>
    <n v="6"/>
    <x v="5"/>
    <s v="Developer"/>
  </r>
  <r>
    <n v="67262"/>
    <x v="0"/>
    <s v="01192807"/>
    <x v="23"/>
    <d v="2025-09-08T00:00:00"/>
    <s v="IA1757"/>
    <s v="Thirunavukkarasu,Kishore"/>
    <n v="104.04412247883027"/>
    <d v="2025-09-08T00:00:00"/>
    <n v="3"/>
    <x v="5"/>
    <s v="Developer"/>
  </r>
  <r>
    <n v="67262"/>
    <x v="0"/>
    <s v="01192807"/>
    <x v="23"/>
    <d v="2025-09-09T00:00:00"/>
    <s v="IA1450"/>
    <s v="Selvam,Kadarkarai"/>
    <n v="104.04412247883027"/>
    <d v="2025-09-09T00:00:00"/>
    <n v="3"/>
    <x v="5"/>
    <s v="Lead Developer"/>
  </r>
  <r>
    <n v="67262"/>
    <x v="0"/>
    <s v="01192807"/>
    <x v="23"/>
    <d v="2025-09-09T00:00:00"/>
    <s v="IA1793"/>
    <s v="Subramanian,Ruthrakkanth"/>
    <n v="208.08824495766055"/>
    <d v="2025-09-09T00:00:00"/>
    <n v="6"/>
    <x v="5"/>
    <s v="Developer"/>
  </r>
  <r>
    <n v="67262"/>
    <x v="0"/>
    <s v="01192807"/>
    <x v="23"/>
    <d v="2025-09-09T00:00:00"/>
    <s v="IA1757"/>
    <s v="Thirunavukkarasu,Kishore"/>
    <n v="104.04412247883027"/>
    <d v="2025-09-09T00:00:00"/>
    <n v="3"/>
    <x v="5"/>
    <s v="Developer"/>
  </r>
  <r>
    <n v="67262"/>
    <x v="0"/>
    <s v="01192807"/>
    <x v="23"/>
    <d v="2025-09-10T00:00:00"/>
    <s v="IA1793"/>
    <s v="Subramanian,Ruthrakkanth"/>
    <n v="208.08824495766055"/>
    <d v="2025-09-10T00:00:00"/>
    <n v="6"/>
    <x v="5"/>
    <s v="Developer"/>
  </r>
  <r>
    <n v="67262"/>
    <x v="0"/>
    <s v="01192807"/>
    <x v="23"/>
    <d v="2025-09-10T00:00:00"/>
    <s v="IA1757"/>
    <s v="Thirunavukkarasu,Kishore"/>
    <n v="104.04412247883027"/>
    <d v="2025-09-10T00:00:00"/>
    <n v="3"/>
    <x v="5"/>
    <s v="Developer"/>
  </r>
  <r>
    <n v="67262"/>
    <x v="0"/>
    <s v="01192807"/>
    <x v="23"/>
    <d v="2025-09-11T00:00:00"/>
    <s v="IA1450"/>
    <s v="Selvam,Kadarkarai"/>
    <n v="173.40687079805048"/>
    <d v="2025-09-11T00:00:00"/>
    <n v="5"/>
    <x v="5"/>
    <s v="Lead Developer"/>
  </r>
  <r>
    <n v="67262"/>
    <x v="0"/>
    <s v="01192807"/>
    <x v="23"/>
    <d v="2025-09-11T00:00:00"/>
    <s v="IA1793"/>
    <s v="Subramanian,Ruthrakkanth"/>
    <n v="208.08824495766055"/>
    <d v="2025-09-11T00:00:00"/>
    <n v="6"/>
    <x v="5"/>
    <s v="Developer"/>
  </r>
  <r>
    <n v="67262"/>
    <x v="0"/>
    <s v="01192807"/>
    <x v="23"/>
    <d v="2025-09-11T00:00:00"/>
    <s v="IA1757"/>
    <s v="Thirunavukkarasu,Kishore"/>
    <n v="242.76961911727065"/>
    <d v="2025-09-11T00:00:00"/>
    <n v="7"/>
    <x v="5"/>
    <s v="Developer"/>
  </r>
  <r>
    <n v="67262"/>
    <x v="0"/>
    <s v="01192807"/>
    <x v="23"/>
    <d v="2025-09-12T00:00:00"/>
    <s v="IA1450"/>
    <s v="Selvam,Kadarkarai"/>
    <n v="242.76961911727065"/>
    <d v="2025-09-12T00:00:00"/>
    <n v="7"/>
    <x v="5"/>
    <s v="Lead Developer"/>
  </r>
  <r>
    <n v="67262"/>
    <x v="0"/>
    <s v="01192807"/>
    <x v="23"/>
    <d v="2025-09-12T00:00:00"/>
    <s v="IA1793"/>
    <s v="Subramanian,Ruthrakkanth"/>
    <n v="208.08824495766055"/>
    <d v="2025-09-12T00:00:00"/>
    <n v="6"/>
    <x v="5"/>
    <s v="Developer"/>
  </r>
  <r>
    <n v="67262"/>
    <x v="0"/>
    <s v="01192807"/>
    <x v="23"/>
    <d v="2025-09-12T00:00:00"/>
    <s v="IA1757"/>
    <s v="Thirunavukkarasu,Kishore"/>
    <n v="242.76961911727065"/>
    <d v="2025-09-12T00:00:00"/>
    <n v="7"/>
    <x v="5"/>
    <s v="Developer"/>
  </r>
  <r>
    <n v="67262"/>
    <x v="0"/>
    <s v="01192807"/>
    <x v="23"/>
    <d v="2025-09-15T00:00:00"/>
    <s v="IA1690"/>
    <s v="Duraisamy,Manikandaprabu"/>
    <n v="69.362748319220188"/>
    <d v="2025-09-15T00:00:00"/>
    <n v="2"/>
    <x v="5"/>
    <s v="Developer"/>
  </r>
  <r>
    <n v="67262"/>
    <x v="0"/>
    <s v="01192807"/>
    <x v="23"/>
    <d v="2025-09-15T00:00:00"/>
    <s v="IA1793"/>
    <s v="Subramanian,Ruthrakkanth"/>
    <n v="208.08824495766055"/>
    <d v="2025-09-15T00:00:00"/>
    <n v="6"/>
    <x v="5"/>
    <s v="Developer"/>
  </r>
  <r>
    <n v="67262"/>
    <x v="0"/>
    <s v="01192807"/>
    <x v="23"/>
    <d v="2025-09-16T00:00:00"/>
    <s v="IA1793"/>
    <s v="Subramanian,Ruthrakkanth"/>
    <n v="208.08824495766055"/>
    <d v="2025-09-16T00:00:00"/>
    <n v="6"/>
    <x v="5"/>
    <s v="Developer"/>
  </r>
  <r>
    <n v="67262"/>
    <x v="0"/>
    <s v="01192807"/>
    <x v="23"/>
    <d v="2025-09-17T00:00:00"/>
    <s v="IA1793"/>
    <s v="Subramanian,Ruthrakkanth"/>
    <n v="208.08824495766055"/>
    <d v="2025-09-17T00:00:00"/>
    <n v="6"/>
    <x v="5"/>
    <s v="Developer"/>
  </r>
  <r>
    <n v="67262"/>
    <x v="0"/>
    <s v="01192807"/>
    <x v="23"/>
    <d v="2025-09-18T00:00:00"/>
    <s v="IA1793"/>
    <s v="Subramanian,Ruthrakkanth"/>
    <n v="208.08824495766055"/>
    <d v="2025-09-18T00:00:00"/>
    <n v="6"/>
    <x v="5"/>
    <s v="Developer"/>
  </r>
  <r>
    <n v="67262"/>
    <x v="0"/>
    <s v="01192807"/>
    <x v="23"/>
    <d v="2025-09-19T00:00:00"/>
    <s v="IA1793"/>
    <s v="Subramanian,Ruthrakkanth"/>
    <n v="208.08824495766055"/>
    <d v="2025-09-19T00:00:00"/>
    <n v="6"/>
    <x v="5"/>
    <s v="Developer"/>
  </r>
  <r>
    <n v="67262"/>
    <x v="0"/>
    <s v="01192807"/>
    <x v="23"/>
    <d v="2025-09-22T00:00:00"/>
    <s v="IA1450"/>
    <s v="Selvam,Kadarkarai"/>
    <n v="173.40687079805048"/>
    <d v="2025-09-22T00:00:00"/>
    <n v="5"/>
    <x v="5"/>
    <s v="Lead Developer"/>
  </r>
  <r>
    <n v="67262"/>
    <x v="0"/>
    <s v="01192807"/>
    <x v="23"/>
    <d v="2025-09-29T00:00:00"/>
    <s v="IA1793"/>
    <s v="Subramanian,Ruthrakkanth"/>
    <n v="208.08824495766055"/>
    <d v="2025-09-29T00:00:00"/>
    <n v="6"/>
    <x v="5"/>
    <s v="Developer"/>
  </r>
  <r>
    <n v="67262"/>
    <x v="0"/>
    <s v="01192807"/>
    <x v="23"/>
    <d v="2025-10-03T00:00:00"/>
    <s v="IA1793"/>
    <s v="Subramanian,Ruthrakkanth"/>
    <n v="208.08824495766055"/>
    <d v="2025-10-03T00:00:00"/>
    <n v="6"/>
    <x v="6"/>
    <s v="Developer"/>
  </r>
  <r>
    <n v="67262"/>
    <x v="0"/>
    <s v="01192807"/>
    <x v="23"/>
    <d v="2025-10-09T00:00:00"/>
    <s v="IA1450"/>
    <s v="Selvam,Kadarkarai"/>
    <n v="138.72549663844038"/>
    <d v="2025-10-09T00:00:00"/>
    <n v="4"/>
    <x v="6"/>
    <s v="Lead Developer"/>
  </r>
  <r>
    <n v="67262"/>
    <x v="0"/>
    <s v="01192807"/>
    <x v="23"/>
    <d v="2025-10-10T00:00:00"/>
    <s v="IA1450"/>
    <s v="Selvam,Kadarkarai"/>
    <n v="242.76961911727065"/>
    <d v="2025-10-10T00:00:00"/>
    <n v="7"/>
    <x v="6"/>
    <s v="Lead Developer"/>
  </r>
  <r>
    <n v="67262"/>
    <x v="0"/>
    <s v="01192807"/>
    <x v="23"/>
    <d v="2025-10-08T00:00:00"/>
    <s v="IA1690"/>
    <s v="Duraisamy,Manikandaprabu"/>
    <n v="69.362748319220188"/>
    <d v="2025-10-08T00:00:00"/>
    <n v="2"/>
    <x v="6"/>
    <s v="Developer"/>
  </r>
  <r>
    <n v="67262"/>
    <x v="0"/>
    <s v="01192807"/>
    <x v="23"/>
    <d v="2025-10-09T00:00:00"/>
    <s v="IA1690"/>
    <s v="Duraisamy,Manikandaprabu"/>
    <n v="69.362748319220188"/>
    <d v="2025-10-09T00:00:00"/>
    <n v="2"/>
    <x v="6"/>
    <s v="Developer"/>
  </r>
  <r>
    <n v="67262"/>
    <x v="0"/>
    <s v="01192807"/>
    <x v="23"/>
    <d v="2025-10-22T00:00:00"/>
    <s v="IA1450"/>
    <s v="Selvam,Kadarkarai"/>
    <n v="138.72549663844038"/>
    <d v="2025-10-22T00:00:00"/>
    <n v="4"/>
    <x v="6"/>
    <s v="Lead Developer"/>
  </r>
  <r>
    <n v="67262"/>
    <x v="0"/>
    <s v="01192807"/>
    <x v="23"/>
    <d v="2025-10-27T00:00:00"/>
    <s v="IA1757"/>
    <s v="Thirunavukkarasu,Kishore"/>
    <n v="34.681374159610094"/>
    <d v="2025-10-27T00:00:00"/>
    <n v="1"/>
    <x v="6"/>
    <s v="Developer"/>
  </r>
  <r>
    <n v="67262"/>
    <x v="0"/>
    <s v="01192807"/>
    <x v="23"/>
    <d v="2025-10-28T00:00:00"/>
    <s v="IA1450"/>
    <s v="Selvam,Kadarkarai"/>
    <n v="69.362748319220188"/>
    <d v="2025-10-28T00:00:00"/>
    <n v="2"/>
    <x v="6"/>
    <s v="Lead Developer"/>
  </r>
  <r>
    <n v="67262"/>
    <x v="0"/>
    <s v="01192807"/>
    <x v="23"/>
    <d v="2025-10-29T00:00:00"/>
    <s v="IA1793"/>
    <s v="Subramanian,Ruthrakkanth"/>
    <n v="208.08824495766055"/>
    <d v="2025-10-29T00:00:00"/>
    <n v="6"/>
    <x v="6"/>
    <s v="Developer"/>
  </r>
  <r>
    <n v="67262"/>
    <x v="0"/>
    <s v="01192807"/>
    <x v="23"/>
    <d v="2025-10-29T00:00:00"/>
    <s v="IA1757"/>
    <s v="Thirunavukkarasu,Kishore"/>
    <n v="69.362748319220188"/>
    <d v="2025-10-29T00:00:00"/>
    <n v="2"/>
    <x v="6"/>
    <s v="Developer"/>
  </r>
  <r>
    <n v="67262"/>
    <x v="0"/>
    <s v="01192807"/>
    <x v="23"/>
    <d v="2025-10-29T00:00:00"/>
    <s v="IA1450"/>
    <s v="Selvam,Kadarkarai"/>
    <n v="34.681374159610094"/>
    <d v="2025-10-29T00:00:00"/>
    <n v="1"/>
    <x v="6"/>
    <s v="Lead Developer"/>
  </r>
  <r>
    <n v="67262"/>
    <x v="0"/>
    <s v="01192807"/>
    <x v="23"/>
    <d v="2025-10-30T00:00:00"/>
    <s v="IA1450"/>
    <s v="Selvam,Kadarkarai"/>
    <n v="34.681374159610094"/>
    <d v="2025-10-30T00:00:00"/>
    <n v="1"/>
    <x v="6"/>
    <s v="Lead Developer"/>
  </r>
  <r>
    <n v="67262"/>
    <x v="0"/>
    <s v="01192807"/>
    <x v="23"/>
    <d v="2025-10-30T00:00:00"/>
    <s v="IA1757"/>
    <s v="Thirunavukkarasu,Kishore"/>
    <n v="34.681374159610094"/>
    <d v="2025-10-30T00:00:00"/>
    <n v="1"/>
    <x v="6"/>
    <s v="Developer"/>
  </r>
  <r>
    <n v="67262"/>
    <x v="0"/>
    <s v="01192807"/>
    <x v="23"/>
    <d v="2025-10-31T00:00:00"/>
    <s v="IA1757"/>
    <s v="Thirunavukkarasu,Kishore"/>
    <n v="34.681374159610094"/>
    <d v="2025-10-31T00:00:00"/>
    <n v="1"/>
    <x v="6"/>
    <s v="Developer"/>
  </r>
  <r>
    <n v="67262"/>
    <x v="0"/>
    <s v="01192807"/>
    <x v="23"/>
    <d v="2025-11-04T00:00:00"/>
    <s v="IA1757"/>
    <s v="Thirunavukkarasu,Kishore"/>
    <n v="208.08824495766055"/>
    <d v="2025-11-04T00:00:00"/>
    <n v="6"/>
    <x v="7"/>
    <s v="Developer"/>
  </r>
  <r>
    <n v="67262"/>
    <x v="0"/>
    <s v="01192807"/>
    <x v="23"/>
    <d v="2025-11-04T00:00:00"/>
    <s v="IA1450"/>
    <s v="Selvam,Kadarkarai"/>
    <n v="34.681374159610094"/>
    <d v="2025-11-04T00:00:00"/>
    <n v="1"/>
    <x v="7"/>
    <s v="Lead Developer"/>
  </r>
  <r>
    <n v="67262"/>
    <x v="0"/>
    <s v="01192807"/>
    <x v="23"/>
    <d v="2025-11-05T00:00:00"/>
    <s v="IA1757"/>
    <s v="Thirunavukkarasu,Kishore"/>
    <n v="208.08824495766055"/>
    <d v="2025-11-05T00:00:00"/>
    <n v="6"/>
    <x v="7"/>
    <s v="Developer"/>
  </r>
  <r>
    <n v="67262"/>
    <x v="0"/>
    <s v="01192807"/>
    <x v="23"/>
    <d v="2025-11-05T00:00:00"/>
    <s v="IA1450"/>
    <s v="Selvam,Kadarkarai"/>
    <n v="69.362748319220188"/>
    <d v="2025-11-05T00:00:00"/>
    <n v="2"/>
    <x v="7"/>
    <s v="Lead Developer"/>
  </r>
  <r>
    <n v="67262"/>
    <x v="0"/>
    <s v="01192807"/>
    <x v="23"/>
    <d v="2025-11-06T00:00:00"/>
    <s v="IA1450"/>
    <s v="Selvam,Kadarkarai"/>
    <n v="34.681374159610094"/>
    <d v="2025-11-06T00:00:00"/>
    <n v="1"/>
    <x v="7"/>
    <s v="Lead Developer"/>
  </r>
  <r>
    <n v="67262"/>
    <x v="0"/>
    <s v="01192807"/>
    <x v="23"/>
    <d v="2025-11-11T00:00:00"/>
    <s v="IA1450"/>
    <s v="Selvam,Kadarkarai"/>
    <n v="69.362748319220188"/>
    <d v="2025-11-11T00:00:00"/>
    <n v="2"/>
    <x v="7"/>
    <s v="Lead Developer"/>
  </r>
  <r>
    <n v="67262"/>
    <x v="0"/>
    <s v="01192807"/>
    <x v="23"/>
    <d v="2025-11-12T00:00:00"/>
    <s v="IA1450"/>
    <s v="Selvam,Kadarkarai"/>
    <n v="69.362748319220188"/>
    <d v="2025-11-12T00:00:00"/>
    <n v="2"/>
    <x v="7"/>
    <s v="Lead Developer"/>
  </r>
  <r>
    <n v="67262"/>
    <x v="0"/>
    <s v="01192807"/>
    <x v="23"/>
    <d v="2025-11-17T00:00:00"/>
    <s v="IA1450"/>
    <s v="Selvam,Kadarkarai"/>
    <n v="34.681374159610094"/>
    <d v="2025-11-17T00:00:00"/>
    <n v="1"/>
    <x v="7"/>
    <s v="Lead Developer"/>
  </r>
  <r>
    <n v="67262"/>
    <x v="0"/>
    <s v="01192807"/>
    <x v="23"/>
    <d v="2025-11-19T00:00:00"/>
    <s v="IA1450"/>
    <s v="Selvam,Kadarkarai"/>
    <n v="34.681374159610094"/>
    <d v="2025-11-19T00:00:00"/>
    <n v="1"/>
    <x v="7"/>
    <s v="Lead Developer"/>
  </r>
  <r>
    <n v="67262"/>
    <x v="0"/>
    <s v="01192807"/>
    <x v="23"/>
    <d v="2025-11-20T00:00:00"/>
    <s v="IA1450"/>
    <s v="Selvam,Kadarkarai"/>
    <n v="34.681374159610094"/>
    <d v="2025-11-20T00:00:00"/>
    <n v="1"/>
    <x v="7"/>
    <s v="Lead Developer"/>
  </r>
  <r>
    <n v="67262"/>
    <x v="0"/>
    <s v="01192807"/>
    <x v="23"/>
    <d v="2025-11-21T00:00:00"/>
    <s v="IA1690"/>
    <s v="Duraisamy,Manikandaprabu"/>
    <n v="69.362748319220188"/>
    <d v="2025-11-21T00:00:00"/>
    <n v="2"/>
    <x v="7"/>
    <s v="Developer"/>
  </r>
  <r>
    <n v="67262"/>
    <x v="0"/>
    <s v="01192807"/>
    <x v="23"/>
    <d v="2025-11-21T00:00:00"/>
    <s v="IA1450"/>
    <s v="Selvam,Kadarkarai"/>
    <n v="104.04412247883027"/>
    <d v="2025-11-21T00:00:00"/>
    <n v="3"/>
    <x v="7"/>
    <s v="Lead Developer"/>
  </r>
  <r>
    <n v="67262"/>
    <x v="0"/>
    <s v="01192807"/>
    <x v="23"/>
    <d v="2025-11-24T00:00:00"/>
    <s v="IA1450"/>
    <s v="Selvam,Kadarkarai"/>
    <n v="138.72549663844038"/>
    <d v="2025-11-24T00:00:00"/>
    <n v="4"/>
    <x v="7"/>
    <s v="Lead Developer"/>
  </r>
  <r>
    <n v="67262"/>
    <x v="0"/>
    <s v="01192807"/>
    <x v="23"/>
    <d v="2025-11-25T00:00:00"/>
    <s v="IA1450"/>
    <s v="Selvam,Kadarkarai"/>
    <n v="138.72549663844038"/>
    <d v="2025-11-25T00:00:00"/>
    <n v="4"/>
    <x v="7"/>
    <s v="Lead Developer"/>
  </r>
  <r>
    <n v="67262"/>
    <x v="0"/>
    <s v="01192807"/>
    <x v="23"/>
    <d v="2025-11-27T00:00:00"/>
    <s v="IA1450"/>
    <s v="Selvam,Kadarkarai"/>
    <n v="69.362748319220188"/>
    <d v="2025-11-27T00:00:00"/>
    <n v="2"/>
    <x v="7"/>
    <s v="Lead Developer"/>
  </r>
  <r>
    <n v="67262"/>
    <x v="0"/>
    <s v="01192807"/>
    <x v="23"/>
    <d v="2025-12-01T00:00:00"/>
    <s v="IA1450"/>
    <s v="Selvam,Kadarkarai"/>
    <n v="69.362748319220188"/>
    <d v="2025-12-01T00:00:00"/>
    <n v="2"/>
    <x v="8"/>
    <s v="Lead Developer"/>
  </r>
  <r>
    <n v="67262"/>
    <x v="0"/>
    <s v="01192807"/>
    <x v="23"/>
    <d v="2025-12-01T00:00:00"/>
    <s v="IA1793"/>
    <s v="Subramanian,Ruthrakkanth"/>
    <n v="242.76961911727065"/>
    <d v="2025-12-01T00:00:00"/>
    <n v="7"/>
    <x v="8"/>
    <s v="Developer"/>
  </r>
  <r>
    <n v="67262"/>
    <x v="0"/>
    <s v="01192807"/>
    <x v="23"/>
    <d v="2025-12-02T00:00:00"/>
    <s v="IA1793"/>
    <s v="Subramanian,Ruthrakkanth"/>
    <n v="242.76961911727065"/>
    <d v="2025-12-02T00:00:00"/>
    <n v="7"/>
    <x v="8"/>
    <s v="Developer"/>
  </r>
  <r>
    <n v="67262"/>
    <x v="0"/>
    <s v="01192807"/>
    <x v="23"/>
    <d v="2025-12-02T00:00:00"/>
    <s v="IA1450"/>
    <s v="Selvam,Kadarkarai"/>
    <n v="69.362748319220188"/>
    <d v="2025-12-02T00:00:00"/>
    <n v="2"/>
    <x v="8"/>
    <s v="Lead Developer"/>
  </r>
  <r>
    <n v="67262"/>
    <x v="0"/>
    <s v="01192807"/>
    <x v="23"/>
    <d v="2025-12-03T00:00:00"/>
    <s v="IA1690"/>
    <s v="Duraisamy,Manikandaprabu"/>
    <n v="173.40687079805048"/>
    <d v="2025-12-03T00:00:00"/>
    <n v="5"/>
    <x v="8"/>
    <s v="Developer"/>
  </r>
  <r>
    <n v="67262"/>
    <x v="0"/>
    <s v="01192807"/>
    <x v="23"/>
    <d v="2025-12-03T00:00:00"/>
    <s v="IA1793"/>
    <s v="Subramanian,Ruthrakkanth"/>
    <n v="242.76961911727065"/>
    <d v="2025-12-03T00:00:00"/>
    <n v="7"/>
    <x v="8"/>
    <s v="Developer"/>
  </r>
  <r>
    <n v="67262"/>
    <x v="0"/>
    <s v="01192807"/>
    <x v="23"/>
    <d v="2025-12-03T00:00:00"/>
    <s v="IA1450"/>
    <s v="Selvam,Kadarkarai"/>
    <n v="138.72549663844038"/>
    <d v="2025-12-03T00:00:00"/>
    <n v="4"/>
    <x v="8"/>
    <s v="Lead Developer"/>
  </r>
  <r>
    <n v="67262"/>
    <x v="0"/>
    <s v="01192807"/>
    <x v="23"/>
    <d v="2025-12-04T00:00:00"/>
    <s v="IA1793"/>
    <s v="Subramanian,Ruthrakkanth"/>
    <n v="242.76961911727065"/>
    <d v="2025-12-04T00:00:00"/>
    <n v="7"/>
    <x v="8"/>
    <s v="Developer"/>
  </r>
  <r>
    <n v="67262"/>
    <x v="0"/>
    <s v="01192807"/>
    <x v="23"/>
    <d v="2025-12-05T00:00:00"/>
    <s v="IA1690"/>
    <s v="Duraisamy,Manikandaprabu"/>
    <n v="69.362748319220188"/>
    <d v="2025-12-05T00:00:00"/>
    <n v="2"/>
    <x v="8"/>
    <s v="Developer"/>
  </r>
  <r>
    <n v="67262"/>
    <x v="0"/>
    <s v="01192807"/>
    <x v="23"/>
    <d v="2025-12-05T00:00:00"/>
    <s v="IA1793"/>
    <s v="Subramanian,Ruthrakkanth"/>
    <n v="242.76961911727065"/>
    <d v="2025-12-05T00:00:00"/>
    <n v="7"/>
    <x v="8"/>
    <s v="Developer"/>
  </r>
  <r>
    <n v="67262"/>
    <x v="0"/>
    <s v="01192807"/>
    <x v="23"/>
    <d v="2025-12-10T00:00:00"/>
    <s v="IA1690"/>
    <s v="Duraisamy,Manikandaprabu"/>
    <n v="69.362748319220188"/>
    <d v="2025-12-10T00:00:00"/>
    <n v="2"/>
    <x v="8"/>
    <s v="Developer"/>
  </r>
  <r>
    <n v="67262"/>
    <x v="0"/>
    <s v="01192807"/>
    <x v="23"/>
    <d v="2025-12-22T00:00:00"/>
    <s v="IA1793"/>
    <s v="Subramanian,Ruthrakkanth"/>
    <n v="242.76961911727065"/>
    <d v="2025-12-22T00:00:00"/>
    <n v="7"/>
    <x v="8"/>
    <s v="Developer"/>
  </r>
  <r>
    <n v="67262"/>
    <x v="0"/>
    <s v="01192807"/>
    <x v="23"/>
    <d v="2025-12-23T00:00:00"/>
    <s v="IA1793"/>
    <s v="Subramanian,Ruthrakkanth"/>
    <n v="242.76961911727065"/>
    <d v="2025-12-23T00:00:00"/>
    <n v="7"/>
    <x v="8"/>
    <s v="Developer"/>
  </r>
  <r>
    <n v="67262"/>
    <x v="0"/>
    <s v="01192807"/>
    <x v="23"/>
    <d v="2025-12-24T00:00:00"/>
    <s v="IA1793"/>
    <s v="Subramanian,Ruthrakkanth"/>
    <n v="242.76961911727065"/>
    <d v="2025-12-24T00:00:00"/>
    <n v="7"/>
    <x v="8"/>
    <s v="Developer"/>
  </r>
  <r>
    <n v="67262"/>
    <x v="0"/>
    <s v="01192807"/>
    <x v="23"/>
    <d v="2025-12-26T00:00:00"/>
    <s v="IA1793"/>
    <s v="Subramanian,Ruthrakkanth"/>
    <n v="138.72549663844038"/>
    <d v="2025-12-26T00:00:00"/>
    <n v="4"/>
    <x v="8"/>
    <s v="Developer"/>
  </r>
  <r>
    <n v="67262"/>
    <x v="0"/>
    <s v="01192807"/>
    <x v="23"/>
    <d v="2025-12-29T00:00:00"/>
    <s v="IA1793"/>
    <s v="Subramanian,Ruthrakkanth"/>
    <n v="242.76961911727065"/>
    <d v="2025-12-29T00:00:00"/>
    <n v="7"/>
    <x v="8"/>
    <s v="Developer"/>
  </r>
  <r>
    <n v="67262"/>
    <x v="0"/>
    <s v="01192807"/>
    <x v="23"/>
    <d v="2025-12-29T00:00:00"/>
    <s v="IA1450"/>
    <s v="Selvam,Kadarkarai"/>
    <n v="34.681374159610094"/>
    <d v="2025-12-29T00:00:00"/>
    <n v="1"/>
    <x v="8"/>
    <s v="Lead Developer"/>
  </r>
  <r>
    <n v="67262"/>
    <x v="0"/>
    <s v="01192807"/>
    <x v="23"/>
    <d v="2025-12-30T00:00:00"/>
    <s v="IA1793"/>
    <s v="Subramanian,Ruthrakkanth"/>
    <n v="242.76961911727065"/>
    <d v="2025-12-30T00:00:00"/>
    <n v="7"/>
    <x v="8"/>
    <s v="Developer"/>
  </r>
  <r>
    <n v="67262"/>
    <x v="0"/>
    <s v="01192807"/>
    <x v="23"/>
    <d v="2025-12-30T00:00:00"/>
    <s v="IA1450"/>
    <s v="Selvam,Kadarkarai"/>
    <n v="34.681374159610094"/>
    <d v="2025-12-30T00:00:00"/>
    <n v="1"/>
    <x v="8"/>
    <s v="Lead Developer"/>
  </r>
  <r>
    <n v="67262"/>
    <x v="0"/>
    <s v="01192807"/>
    <x v="23"/>
    <d v="2025-12-31T00:00:00"/>
    <s v="IA1793"/>
    <s v="Subramanian,Ruthrakkanth"/>
    <n v="242.76961911727065"/>
    <d v="2025-12-31T00:00:00"/>
    <n v="7"/>
    <x v="8"/>
    <s v="Developer"/>
  </r>
  <r>
    <n v="67262"/>
    <x v="0"/>
    <s v="01192807"/>
    <x v="23"/>
    <d v="2025-12-31T00:00:00"/>
    <s v="IA1450"/>
    <s v="Selvam,Kadarkarai"/>
    <n v="104.04412247883027"/>
    <d v="2025-12-31T00:00:00"/>
    <n v="3"/>
    <x v="8"/>
    <s v="Lead Developer"/>
  </r>
  <r>
    <n v="67262"/>
    <x v="0"/>
    <s v="01192807"/>
    <x v="23"/>
    <d v="2026-01-02T00:00:00"/>
    <s v="IA1793"/>
    <s v="Subramanian,Ruthrakkanth"/>
    <n v="242.76961911727065"/>
    <d v="2026-01-02T00:00:00"/>
    <n v="7"/>
    <x v="9"/>
    <s v="Developer"/>
  </r>
  <r>
    <n v="67262"/>
    <x v="0"/>
    <s v="01192807"/>
    <x v="23"/>
    <d v="2026-01-02T00:00:00"/>
    <s v="IA1450"/>
    <s v="Selvam,Kadarkarai"/>
    <n v="34.681374159610094"/>
    <d v="2026-01-02T00:00:00"/>
    <n v="1"/>
    <x v="9"/>
    <s v="Lead Developer"/>
  </r>
  <r>
    <n v="67262"/>
    <x v="0"/>
    <s v="01192807"/>
    <x v="23"/>
    <d v="2026-01-05T00:00:00"/>
    <s v="IA1450"/>
    <s v="Selvam,Kadarkarai"/>
    <n v="69.362748319220188"/>
    <d v="2026-01-05T00:00:00"/>
    <n v="2"/>
    <x v="9"/>
    <s v="Lead Developer"/>
  </r>
  <r>
    <n v="67262"/>
    <x v="0"/>
    <s v="01192807"/>
    <x v="23"/>
    <d v="2026-01-05T00:00:00"/>
    <s v="IA1793"/>
    <s v="Subramanian,Ruthrakkanth"/>
    <n v="242.76961911727065"/>
    <d v="2026-01-05T00:00:00"/>
    <n v="7"/>
    <x v="9"/>
    <s v="Developer"/>
  </r>
  <r>
    <n v="67262"/>
    <x v="0"/>
    <s v="01192807"/>
    <x v="23"/>
    <d v="2026-01-06T00:00:00"/>
    <s v="IA1793"/>
    <s v="Subramanian,Ruthrakkanth"/>
    <n v="121.38480955863533"/>
    <d v="2026-01-06T00:00:00"/>
    <n v="3.5"/>
    <x v="9"/>
    <s v="Developer"/>
  </r>
  <r>
    <n v="67262"/>
    <x v="0"/>
    <s v="01192807"/>
    <x v="23"/>
    <d v="2026-01-06T00:00:00"/>
    <s v="IA1450"/>
    <s v="Selvam,Kadarkarai"/>
    <n v="208.08824495766055"/>
    <d v="2026-01-06T00:00:00"/>
    <n v="6"/>
    <x v="9"/>
    <s v="Lead Developer"/>
  </r>
  <r>
    <n v="67262"/>
    <x v="0"/>
    <s v="01192807"/>
    <x v="23"/>
    <d v="2026-01-07T00:00:00"/>
    <s v="IA1450"/>
    <s v="Selvam,Kadarkarai"/>
    <n v="208.08824495766055"/>
    <d v="2026-01-07T00:00:00"/>
    <n v="6"/>
    <x v="9"/>
    <s v="Lead Developer"/>
  </r>
  <r>
    <n v="67262"/>
    <x v="0"/>
    <s v="01192807"/>
    <x v="23"/>
    <d v="2026-01-12T00:00:00"/>
    <s v="IA1421"/>
    <s v="Jayapal,Muruganandham"/>
    <n v="69.362748319220188"/>
    <d v="2026-01-12T00:00:00"/>
    <n v="2"/>
    <x v="9"/>
    <s v="Engg Manager"/>
  </r>
  <r>
    <n v="67262"/>
    <x v="0"/>
    <s v="01192807"/>
    <x v="23"/>
    <d v="2026-01-13T00:00:00"/>
    <s v="IA1421"/>
    <s v="Jayapal,Muruganandham"/>
    <n v="69.362748319220188"/>
    <d v="2026-01-13T00:00:00"/>
    <n v="2"/>
    <x v="9"/>
    <s v="Engg Manager"/>
  </r>
  <r>
    <n v="67262"/>
    <x v="0"/>
    <s v="01192807"/>
    <x v="23"/>
    <d v="2026-01-14T00:00:00"/>
    <s v="IA1421"/>
    <s v="Jayapal,Muruganandham"/>
    <n v="69.362748319220188"/>
    <d v="2026-01-14T00:00:00"/>
    <n v="2"/>
    <x v="9"/>
    <s v="Engg Manager"/>
  </r>
  <r>
    <n v="67262"/>
    <x v="0"/>
    <s v="01192807"/>
    <x v="23"/>
    <d v="2026-01-15T00:00:00"/>
    <s v="IA1421"/>
    <s v="Jayapal,Muruganandham"/>
    <n v="69.362748319220188"/>
    <d v="2026-01-15T00:00:00"/>
    <n v="2"/>
    <x v="9"/>
    <s v="Engg Manager"/>
  </r>
  <r>
    <n v="67262"/>
    <x v="0"/>
    <s v="01192807"/>
    <x v="23"/>
    <d v="2026-01-15T00:00:00"/>
    <s v="IA1421"/>
    <s v="Jayapal,Muruganandham"/>
    <n v="-69.362748319220188"/>
    <d v="2026-01-15T00:00:00"/>
    <n v="-2"/>
    <x v="9"/>
    <s v="Engg Manager"/>
  </r>
  <r>
    <n v="67262"/>
    <x v="0"/>
    <s v="01192807"/>
    <x v="23"/>
    <d v="2026-01-19T00:00:00"/>
    <s v="IA1450"/>
    <s v="Selvam,Kadarkarai"/>
    <n v="69.362748319220188"/>
    <d v="2026-01-19T00:00:00"/>
    <n v="2"/>
    <x v="9"/>
    <s v="Lead Developer"/>
  </r>
  <r>
    <n v="67262"/>
    <x v="0"/>
    <s v="01192807"/>
    <x v="23"/>
    <d v="2026-01-20T00:00:00"/>
    <s v="IA1450"/>
    <s v="Selvam,Kadarkarai"/>
    <n v="69.362748319220188"/>
    <d v="2026-01-20T00:00:00"/>
    <n v="2"/>
    <x v="9"/>
    <s v="Lead Developer"/>
  </r>
  <r>
    <n v="67262"/>
    <x v="0"/>
    <s v="01192807"/>
    <x v="23"/>
    <d v="2026-01-21T00:00:00"/>
    <s v="IA1450"/>
    <s v="Selvam,Kadarkarai"/>
    <n v="69.362748319220188"/>
    <d v="2026-01-21T00:00:00"/>
    <n v="2"/>
    <x v="9"/>
    <s v="Lead Developer"/>
  </r>
  <r>
    <n v="67262"/>
    <x v="0"/>
    <s v="01192807"/>
    <x v="23"/>
    <d v="2026-01-27T00:00:00"/>
    <s v="IA1450"/>
    <s v="Selvam,Kadarkarai"/>
    <n v="69.362748319220188"/>
    <d v="2026-01-27T00:00:00"/>
    <n v="2"/>
    <x v="9"/>
    <s v="Lead Developer"/>
  </r>
  <r>
    <n v="67262"/>
    <x v="0"/>
    <s v="01192807"/>
    <x v="23"/>
    <d v="2026-02-03T00:00:00"/>
    <s v="IA1450"/>
    <s v="Selvam,Kadarkarai"/>
    <n v="173.40687079805048"/>
    <d v="2026-02-03T00:00:00"/>
    <n v="5"/>
    <x v="0"/>
    <s v="Lead Developer"/>
  </r>
  <r>
    <n v="67262"/>
    <x v="0"/>
    <s v="01192807"/>
    <x v="23"/>
    <d v="2026-02-06T00:00:00"/>
    <s v="IA1450"/>
    <s v="Selvam,Kadarkarai"/>
    <n v="34.681374159610094"/>
    <d v="2026-02-06T00:00:00"/>
    <n v="1"/>
    <x v="0"/>
    <s v="Lead Developer"/>
  </r>
  <r>
    <n v="67262"/>
    <x v="0"/>
    <s v="01192807"/>
    <x v="23"/>
    <d v="2026-02-12T00:00:00"/>
    <s v="IA1450"/>
    <s v="Selvam,Kadarkarai"/>
    <n v="69.362748319220188"/>
    <d v="2026-02-12T00:00:00"/>
    <n v="2"/>
    <x v="0"/>
    <s v="Lead Developer"/>
  </r>
  <r>
    <n v="67262"/>
    <x v="0"/>
    <s v="01192807"/>
    <x v="23"/>
    <d v="2026-02-13T00:00:00"/>
    <s v="IA1450"/>
    <s v="Selvam,Kadarkarai"/>
    <n v="208.08824495766055"/>
    <d v="2026-02-13T00:00:00"/>
    <n v="6"/>
    <x v="0"/>
    <s v="Lead Developer"/>
  </r>
  <r>
    <n v="67262"/>
    <x v="0"/>
    <s v="01192807"/>
    <x v="23"/>
    <d v="2026-02-16T00:00:00"/>
    <s v="IA1450"/>
    <s v="Selvam,Kadarkarai"/>
    <n v="69.362748319220188"/>
    <d v="2026-02-16T00:00:00"/>
    <n v="2"/>
    <x v="0"/>
    <s v="Lead Developer"/>
  </r>
  <r>
    <n v="67262"/>
    <x v="0"/>
    <s v="01192807"/>
    <x v="23"/>
    <d v="2026-02-16T00:00:00"/>
    <s v="IA1757"/>
    <s v="Thirunavukkarasu,Kishore"/>
    <n v="277.45099327688075"/>
    <d v="2026-02-16T00:00:00"/>
    <n v="8"/>
    <x v="0"/>
    <s v="Developer"/>
  </r>
  <r>
    <n v="67262"/>
    <x v="0"/>
    <s v="01192807"/>
    <x v="23"/>
    <d v="2026-02-17T00:00:00"/>
    <s v="IA1757"/>
    <s v="Thirunavukkarasu,Kishore"/>
    <n v="277.45099327688075"/>
    <d v="2026-02-17T00:00:00"/>
    <n v="8"/>
    <x v="0"/>
    <s v="Developer"/>
  </r>
  <r>
    <n v="67262"/>
    <x v="0"/>
    <s v="01192807"/>
    <x v="23"/>
    <d v="2026-02-17T00:00:00"/>
    <s v="IA1450"/>
    <s v="Selvam,Kadarkarai"/>
    <n v="69.362748319220188"/>
    <d v="2026-02-17T00:00:00"/>
    <n v="2"/>
    <x v="0"/>
    <s v="Lead Developer"/>
  </r>
  <r>
    <n v="67262"/>
    <x v="0"/>
    <s v="01192807"/>
    <x v="23"/>
    <d v="2026-02-18T00:00:00"/>
    <s v="IA1450"/>
    <s v="Selvam,Kadarkarai"/>
    <n v="104.04412247883027"/>
    <d v="2026-02-18T00:00:00"/>
    <n v="3"/>
    <x v="0"/>
    <s v="Lead Developer"/>
  </r>
  <r>
    <n v="67262"/>
    <x v="0"/>
    <s v="01192807"/>
    <x v="23"/>
    <d v="2026-02-18T00:00:00"/>
    <s v="IA1690"/>
    <s v="Duraisamy,Manikandaprabu"/>
    <n v="277.45099327688075"/>
    <d v="2026-02-18T00:00:00"/>
    <n v="8"/>
    <x v="0"/>
    <s v="Developer"/>
  </r>
  <r>
    <n v="67262"/>
    <x v="0"/>
    <s v="01192807"/>
    <x v="23"/>
    <d v="2026-02-19T00:00:00"/>
    <s v="IA1450"/>
    <s v="Selvam,Kadarkarai"/>
    <n v="208.08824495766055"/>
    <d v="2026-02-19T00:00:00"/>
    <n v="6"/>
    <x v="0"/>
    <s v="Lead Developer"/>
  </r>
  <r>
    <n v="67262"/>
    <x v="0"/>
    <s v="01192807"/>
    <x v="23"/>
    <d v="2026-02-23T00:00:00"/>
    <s v="IA1757"/>
    <s v="Thirunavukkarasu,Kishore"/>
    <n v="277.45099327688075"/>
    <d v="2026-02-23T00:00:00"/>
    <n v="8"/>
    <x v="0"/>
    <s v="Developer"/>
  </r>
  <r>
    <n v="67262"/>
    <x v="0"/>
    <s v="01192807"/>
    <x v="23"/>
    <d v="2026-02-23T00:00:00"/>
    <s v="IA1450"/>
    <s v="Selvam,Kadarkarai"/>
    <n v="208.08824495766055"/>
    <d v="2026-02-23T00:00:00"/>
    <n v="6"/>
    <x v="0"/>
    <s v="Lead Developer"/>
  </r>
  <r>
    <n v="67262"/>
    <x v="0"/>
    <s v="01192807"/>
    <x v="23"/>
    <d v="2026-02-24T00:00:00"/>
    <s v="IA1450"/>
    <s v="Selvam,Kadarkarai"/>
    <n v="208.08824495766055"/>
    <d v="2026-02-24T00:00:00"/>
    <n v="6"/>
    <x v="0"/>
    <s v="Lead Developer"/>
  </r>
  <r>
    <n v="67262"/>
    <x v="0"/>
    <s v="01192807"/>
    <x v="23"/>
    <d v="2026-02-25T00:00:00"/>
    <s v="IA1757"/>
    <s v="Thirunavukkarasu,Kishore"/>
    <n v="277.45099327688075"/>
    <d v="2026-02-25T00:00:00"/>
    <n v="8"/>
    <x v="0"/>
    <s v="Developer"/>
  </r>
  <r>
    <n v="67262"/>
    <x v="0"/>
    <s v="01192807"/>
    <x v="23"/>
    <d v="2026-02-26T00:00:00"/>
    <s v="IA1757"/>
    <s v="Thirunavukkarasu,Kishore"/>
    <n v="277.45099327688075"/>
    <d v="2026-02-26T00:00:00"/>
    <n v="8"/>
    <x v="0"/>
    <s v="Developer"/>
  </r>
  <r>
    <n v="67262"/>
    <x v="0"/>
    <s v="01192807"/>
    <x v="23"/>
    <d v="2026-02-27T00:00:00"/>
    <s v="IA1757"/>
    <s v="Thirunavukkarasu,Kishore"/>
    <n v="277.45099327688075"/>
    <d v="2026-02-27T00:00:00"/>
    <n v="8"/>
    <x v="0"/>
    <s v="Developer"/>
  </r>
  <r>
    <n v="67262"/>
    <x v="0"/>
    <s v="01192807"/>
    <x v="23"/>
    <d v="2026-03-02T00:00:00"/>
    <s v="IA1757"/>
    <s v="Thirunavukkarasu,Kishore"/>
    <n v="242.76961911727065"/>
    <d v="2026-03-02T00:00:00"/>
    <n v="7"/>
    <x v="1"/>
    <s v="Developer"/>
  </r>
  <r>
    <n v="67262"/>
    <x v="0"/>
    <s v="01192807"/>
    <x v="23"/>
    <d v="2026-03-02T00:00:00"/>
    <s v="IA1450"/>
    <s v="Selvam,Kadarkarai"/>
    <n v="69.362748319220188"/>
    <d v="2026-03-02T00:00:00"/>
    <n v="2"/>
    <x v="1"/>
    <s v="Lead Developer"/>
  </r>
  <r>
    <n v="67262"/>
    <x v="0"/>
    <s v="01192807"/>
    <x v="23"/>
    <d v="2026-03-03T00:00:00"/>
    <s v="IA1757"/>
    <s v="Thirunavukkarasu,Kishore"/>
    <n v="242.76961911727065"/>
    <d v="2026-03-03T00:00:00"/>
    <n v="7"/>
    <x v="1"/>
    <s v="Developer"/>
  </r>
  <r>
    <n v="67262"/>
    <x v="0"/>
    <s v="01192807"/>
    <x v="23"/>
    <d v="2026-03-03T00:00:00"/>
    <s v="IA1450"/>
    <s v="Selvam,Kadarkarai"/>
    <n v="69.362748319220188"/>
    <d v="2026-03-03T00:00:00"/>
    <n v="2"/>
    <x v="1"/>
    <s v="Lead Developer"/>
  </r>
  <r>
    <n v="67262"/>
    <x v="0"/>
    <s v="01192807"/>
    <x v="23"/>
    <d v="2026-03-04T00:00:00"/>
    <s v="IA1757"/>
    <s v="Thirunavukkarasu,Kishore"/>
    <n v="104.04412247883027"/>
    <d v="2026-03-04T00:00:00"/>
    <n v="3"/>
    <x v="1"/>
    <s v="Developer"/>
  </r>
  <r>
    <n v="67262"/>
    <x v="0"/>
    <s v="01192807"/>
    <x v="23"/>
    <d v="2026-03-04T00:00:00"/>
    <s v="IA1450"/>
    <s v="Selvam,Kadarkarai"/>
    <n v="69.362748319220188"/>
    <d v="2026-03-04T00:00:00"/>
    <n v="2"/>
    <x v="1"/>
    <s v="Lead Developer"/>
  </r>
  <r>
    <n v="67262"/>
    <x v="0"/>
    <s v="01192807"/>
    <x v="23"/>
    <d v="2026-03-05T00:00:00"/>
    <s v="IA1757"/>
    <s v="Thirunavukkarasu,Kishore"/>
    <n v="104.04412247883027"/>
    <d v="2026-03-05T00:00:00"/>
    <n v="3"/>
    <x v="1"/>
    <s v="Developer"/>
  </r>
  <r>
    <n v="67262"/>
    <x v="0"/>
    <s v="01192807"/>
    <x v="23"/>
    <d v="2026-03-05T00:00:00"/>
    <s v="IA1450"/>
    <s v="Selvam,Kadarkarai"/>
    <n v="69.362748319220188"/>
    <d v="2026-03-05T00:00:00"/>
    <n v="2"/>
    <x v="1"/>
    <s v="Lead Developer"/>
  </r>
  <r>
    <n v="67262"/>
    <x v="0"/>
    <s v="01192807"/>
    <x v="23"/>
    <d v="2026-03-06T00:00:00"/>
    <s v="IA1757"/>
    <s v="Thirunavukkarasu,Kishore"/>
    <n v="104.04412247883027"/>
    <d v="2026-03-06T00:00:00"/>
    <n v="3"/>
    <x v="1"/>
    <s v="Developer"/>
  </r>
  <r>
    <n v="67262"/>
    <x v="0"/>
    <s v="01192807"/>
    <x v="23"/>
    <d v="2026-03-09T00:00:00"/>
    <s v="IA1450"/>
    <s v="Selvam,Kadarkarai"/>
    <n v="104.04412247883027"/>
    <d v="2026-03-09T00:00:00"/>
    <n v="3"/>
    <x v="1"/>
    <s v="Lead Developer"/>
  </r>
  <r>
    <n v="67262"/>
    <x v="0"/>
    <s v="01192807"/>
    <x v="23"/>
    <d v="2026-03-10T00:00:00"/>
    <s v="IA1450"/>
    <s v="Selvam,Kadarkarai"/>
    <n v="69.362748319220188"/>
    <d v="2026-03-10T00:00:00"/>
    <n v="2"/>
    <x v="1"/>
    <s v="Lead Developer"/>
  </r>
  <r>
    <n v="67262"/>
    <x v="0"/>
    <s v="01192807"/>
    <x v="23"/>
    <d v="2026-03-11T00:00:00"/>
    <s v="IA1450"/>
    <s v="Selvam,Kadarkarai"/>
    <n v="138.72549663844038"/>
    <d v="2026-03-11T00:00:00"/>
    <n v="4"/>
    <x v="1"/>
    <s v="Lead Developer"/>
  </r>
  <r>
    <n v="67262"/>
    <x v="0"/>
    <s v="01192807"/>
    <x v="23"/>
    <d v="2026-03-12T00:00:00"/>
    <s v="IA1450"/>
    <s v="Selvam,Kadarkarai"/>
    <n v="34.681374159610094"/>
    <d v="2026-03-12T00:00:00"/>
    <n v="1"/>
    <x v="1"/>
    <s v="Lead Developer"/>
  </r>
  <r>
    <n v="67262"/>
    <x v="0"/>
    <s v="01192807"/>
    <x v="23"/>
    <d v="2026-03-13T00:00:00"/>
    <s v="IA1690"/>
    <s v="Duraisamy,Manikandaprabu"/>
    <n v="277.45099327688075"/>
    <d v="2026-03-13T00:00:00"/>
    <n v="8"/>
    <x v="1"/>
    <s v="Developer"/>
  </r>
  <r>
    <n v="67262"/>
    <x v="0"/>
    <s v="01192807"/>
    <x v="23"/>
    <d v="2026-03-16T00:00:00"/>
    <s v="IA1757"/>
    <s v="Thirunavukkarasu,Kishore"/>
    <n v="277.45099327688075"/>
    <d v="2026-03-16T00:00:00"/>
    <n v="8"/>
    <x v="1"/>
    <s v="Developer"/>
  </r>
  <r>
    <n v="67262"/>
    <x v="0"/>
    <s v="01192807"/>
    <x v="23"/>
    <d v="2026-03-16T00:00:00"/>
    <s v="IA1793"/>
    <s v="Subramanian,Ruthrakkanth"/>
    <n v="260.11030619707572"/>
    <d v="2026-03-16T00:00:00"/>
    <n v="7.5"/>
    <x v="1"/>
    <s v="Developer"/>
  </r>
  <r>
    <n v="67262"/>
    <x v="0"/>
    <s v="01192807"/>
    <x v="23"/>
    <d v="2026-03-17T00:00:00"/>
    <s v="IA1793"/>
    <s v="Subramanian,Ruthrakkanth"/>
    <n v="260.11030619707572"/>
    <d v="2026-03-17T00:00:00"/>
    <n v="7.5"/>
    <x v="1"/>
    <s v="Developer"/>
  </r>
  <r>
    <n v="67262"/>
    <x v="0"/>
    <s v="01192807"/>
    <x v="23"/>
    <d v="2026-03-17T00:00:00"/>
    <s v="IA1757"/>
    <s v="Thirunavukkarasu,Kishore"/>
    <n v="138.72549663844038"/>
    <d v="2026-03-17T00:00:00"/>
    <n v="4"/>
    <x v="1"/>
    <s v="Developer"/>
  </r>
  <r>
    <n v="67262"/>
    <x v="0"/>
    <s v="01192807"/>
    <x v="23"/>
    <d v="2026-03-18T00:00:00"/>
    <s v="IA1793"/>
    <s v="Subramanian,Ruthrakkanth"/>
    <n v="242.76961911727065"/>
    <d v="2026-03-18T00:00:00"/>
    <n v="7"/>
    <x v="1"/>
    <s v="Developer"/>
  </r>
  <r>
    <n v="67262"/>
    <x v="0"/>
    <s v="01192807"/>
    <x v="23"/>
    <d v="2026-03-19T00:00:00"/>
    <s v="IA1793"/>
    <s v="Subramanian,Ruthrakkanth"/>
    <n v="242.76961911727065"/>
    <d v="2026-03-19T00:00:00"/>
    <n v="7"/>
    <x v="1"/>
    <s v="Developer"/>
  </r>
  <r>
    <n v="67262"/>
    <x v="0"/>
    <s v="01192807"/>
    <x v="23"/>
    <d v="2026-03-23T00:00:00"/>
    <s v="IA1450"/>
    <s v="Selvam,Kadarkarai"/>
    <n v="69.362748319220188"/>
    <d v="2026-03-23T00:00:00"/>
    <n v="2"/>
    <x v="1"/>
    <s v="Lead Developer"/>
  </r>
  <r>
    <n v="67262"/>
    <x v="0"/>
    <s v="01192807"/>
    <x v="23"/>
    <d v="2026-03-23T00:00:00"/>
    <s v="IA1793"/>
    <s v="Subramanian,Ruthrakkanth"/>
    <n v="260.11030619707572"/>
    <d v="2026-03-23T00:00:00"/>
    <n v="7.5"/>
    <x v="1"/>
    <s v="Developer"/>
  </r>
  <r>
    <n v="67262"/>
    <x v="0"/>
    <s v="01192807"/>
    <x v="23"/>
    <d v="2026-03-23T00:00:00"/>
    <s v="IA1757"/>
    <s v="Thirunavukkarasu,Kishore"/>
    <n v="69.362748319220188"/>
    <d v="2026-03-23T00:00:00"/>
    <n v="2"/>
    <x v="1"/>
    <s v="Developer"/>
  </r>
  <r>
    <n v="67262"/>
    <x v="0"/>
    <s v="01192807"/>
    <x v="23"/>
    <d v="2026-03-24T00:00:00"/>
    <s v="IA1450"/>
    <s v="Selvam,Kadarkarai"/>
    <n v="69.362748319220188"/>
    <d v="2026-03-24T00:00:00"/>
    <n v="2"/>
    <x v="1"/>
    <s v="Lead Developer"/>
  </r>
  <r>
    <n v="67262"/>
    <x v="0"/>
    <s v="01192807"/>
    <x v="23"/>
    <d v="2026-03-24T00:00:00"/>
    <s v="IA1757"/>
    <s v="Thirunavukkarasu,Kishore"/>
    <n v="69.362748319220188"/>
    <d v="2026-03-24T00:00:00"/>
    <n v="2"/>
    <x v="1"/>
    <s v="Developer"/>
  </r>
  <r>
    <n v="67262"/>
    <x v="0"/>
    <s v="01192807"/>
    <x v="23"/>
    <d v="2026-03-25T00:00:00"/>
    <s v="IA1757"/>
    <s v="Thirunavukkarasu,Kishore"/>
    <n v="69.362748319220188"/>
    <d v="2026-03-25T00:00:00"/>
    <n v="2"/>
    <x v="1"/>
    <s v="Developer"/>
  </r>
  <r>
    <n v="67262"/>
    <x v="0"/>
    <s v="01192807"/>
    <x v="23"/>
    <d v="2026-03-26T00:00:00"/>
    <s v="IA1450"/>
    <s v="Selvam,Kadarkarai"/>
    <n v="208.08824495766055"/>
    <d v="2026-03-26T00:00:00"/>
    <n v="6"/>
    <x v="1"/>
    <s v="Lead Developer"/>
  </r>
  <r>
    <n v="67262"/>
    <x v="0"/>
    <s v="01192807"/>
    <x v="23"/>
    <d v="2026-03-26T00:00:00"/>
    <s v="IA1793"/>
    <s v="Subramanian,Ruthrakkanth"/>
    <n v="242.76961911727065"/>
    <d v="2026-03-26T00:00:00"/>
    <n v="7"/>
    <x v="1"/>
    <s v="Developer"/>
  </r>
  <r>
    <n v="67262"/>
    <x v="0"/>
    <s v="01192807"/>
    <x v="23"/>
    <d v="2026-03-26T00:00:00"/>
    <s v="IA1757"/>
    <s v="Thirunavukkarasu,Kishore"/>
    <n v="69.362748319220188"/>
    <d v="2026-03-26T00:00:00"/>
    <n v="2"/>
    <x v="1"/>
    <s v="Developer"/>
  </r>
  <r>
    <n v="67262"/>
    <x v="0"/>
    <s v="01192807"/>
    <x v="23"/>
    <d v="2026-03-27T00:00:00"/>
    <s v="IA1450"/>
    <s v="Selvam,Kadarkarai"/>
    <n v="138.72549663844038"/>
    <d v="2026-03-27T00:00:00"/>
    <n v="4"/>
    <x v="1"/>
    <s v="Lead Developer"/>
  </r>
  <r>
    <n v="67262"/>
    <x v="0"/>
    <s v="01192807"/>
    <x v="23"/>
    <d v="2026-03-27T00:00:00"/>
    <s v="IA1793"/>
    <s v="Subramanian,Ruthrakkanth"/>
    <n v="242.76961911727065"/>
    <d v="2026-03-27T00:00:00"/>
    <n v="7"/>
    <x v="1"/>
    <s v="Developer"/>
  </r>
  <r>
    <n v="67262"/>
    <x v="0"/>
    <s v="01192807"/>
    <x v="23"/>
    <d v="2026-03-27T00:00:00"/>
    <s v="IA1757"/>
    <s v="Thirunavukkarasu,Kishore"/>
    <n v="69.362748319220188"/>
    <d v="2026-03-27T00:00:00"/>
    <n v="2"/>
    <x v="1"/>
    <s v="Developer"/>
  </r>
  <r>
    <n v="67262"/>
    <x v="0"/>
    <s v="01192807"/>
    <x v="23"/>
    <d v="2026-03-30T00:00:00"/>
    <s v="IA1757"/>
    <s v="Thirunavukkarasu,Kishore"/>
    <n v="138.72549663844038"/>
    <d v="2026-03-30T00:00:00"/>
    <n v="4"/>
    <x v="1"/>
    <s v="Developer"/>
  </r>
  <r>
    <n v="67262"/>
    <x v="0"/>
    <s v="01192807"/>
    <x v="23"/>
    <d v="2026-03-31T00:00:00"/>
    <s v="IA1757"/>
    <s v="Thirunavukkarasu,Kishore"/>
    <n v="138.72549663844038"/>
    <d v="2026-03-31T00:00:00"/>
    <n v="4"/>
    <x v="1"/>
    <s v="Developer"/>
  </r>
  <r>
    <n v="67262"/>
    <x v="0"/>
    <s v="01192807"/>
    <x v="23"/>
    <d v="2026-03-30T00:00:00"/>
    <s v="IA1450"/>
    <s v="Selvam,Kadarkarai"/>
    <n v="208.08824495766055"/>
    <d v="2026-03-30T00:00:00"/>
    <n v="6"/>
    <x v="1"/>
    <s v="Lead Developer"/>
  </r>
  <r>
    <n v="67262"/>
    <x v="0"/>
    <s v="01192807"/>
    <x v="23"/>
    <d v="2026-03-31T00:00:00"/>
    <s v="IA1793"/>
    <s v="Subramanian,Ruthrakkanth"/>
    <n v="208.08824495766055"/>
    <d v="2026-03-31T00:00:00"/>
    <n v="6"/>
    <x v="1"/>
    <s v="Developer"/>
  </r>
  <r>
    <n v="67262"/>
    <x v="0"/>
    <s v="01192807"/>
    <x v="23"/>
    <d v="2026-03-31T00:00:00"/>
    <s v="IA1450"/>
    <s v="Selvam,Kadarkarai"/>
    <n v="138.72549663844038"/>
    <d v="2026-03-31T00:00:00"/>
    <n v="4"/>
    <x v="1"/>
    <s v="Lead Developer"/>
  </r>
  <r>
    <n v="67262"/>
    <x v="0"/>
    <s v="01192807"/>
    <x v="23"/>
    <d v="2026-04-01T00:00:00"/>
    <s v="IA1757"/>
    <s v="Thirunavukkarasu,Kishore"/>
    <n v="138.72549663844038"/>
    <d v="2026-04-01T00:00:00"/>
    <n v="4"/>
    <x v="2"/>
    <s v="Developer"/>
  </r>
  <r>
    <n v="67262"/>
    <x v="0"/>
    <s v="01192807"/>
    <x v="23"/>
    <d v="2026-04-01T00:00:00"/>
    <s v="IA1793"/>
    <s v="Subramanian,Ruthrakkanth"/>
    <n v="208.08824495766055"/>
    <d v="2026-04-01T00:00:00"/>
    <n v="6"/>
    <x v="2"/>
    <s v="Developer"/>
  </r>
  <r>
    <n v="67262"/>
    <x v="0"/>
    <s v="01192807"/>
    <x v="23"/>
    <d v="2026-04-01T00:00:00"/>
    <s v="IA1450"/>
    <s v="Selvam,Kadarkarai"/>
    <n v="104.04412247883027"/>
    <d v="2026-04-01T00:00:00"/>
    <n v="3"/>
    <x v="2"/>
    <s v="Lead Developer"/>
  </r>
  <r>
    <n v="67262"/>
    <x v="0"/>
    <s v="01192807"/>
    <x v="23"/>
    <d v="2026-04-02T00:00:00"/>
    <s v="IA1757"/>
    <s v="Thirunavukkarasu,Kishore"/>
    <n v="69.362748319220188"/>
    <d v="2026-04-02T00:00:00"/>
    <n v="2"/>
    <x v="2"/>
    <s v="Developer"/>
  </r>
  <r>
    <n v="67262"/>
    <x v="0"/>
    <s v="01192807"/>
    <x v="23"/>
    <d v="2026-04-02T00:00:00"/>
    <s v="IA1793"/>
    <s v="Subramanian,Ruthrakkanth"/>
    <n v="208.08824495766055"/>
    <d v="2026-04-02T00:00:00"/>
    <n v="6"/>
    <x v="2"/>
    <s v="Developer"/>
  </r>
  <r>
    <n v="67262"/>
    <x v="0"/>
    <s v="01192807"/>
    <x v="23"/>
    <d v="2026-04-02T00:00:00"/>
    <s v="IA1450"/>
    <s v="Selvam,Kadarkarai"/>
    <n v="104.04412247883027"/>
    <d v="2026-04-02T00:00:00"/>
    <n v="3"/>
    <x v="2"/>
    <s v="Lead Developer"/>
  </r>
  <r>
    <n v="67262"/>
    <x v="0"/>
    <s v="01192807"/>
    <x v="23"/>
    <d v="2026-04-03T00:00:00"/>
    <s v="IA1757"/>
    <s v="Thirunavukkarasu,Kishore"/>
    <n v="69.362748319220188"/>
    <d v="2026-04-03T00:00:00"/>
    <n v="2"/>
    <x v="2"/>
    <s v="Developer"/>
  </r>
  <r>
    <n v="67262"/>
    <x v="0"/>
    <s v="01192807"/>
    <x v="23"/>
    <d v="2026-04-06T00:00:00"/>
    <s v="IA1757"/>
    <s v="Thirunavukkarasu,Kishore"/>
    <n v="104.04412247883027"/>
    <d v="2026-04-06T00:00:00"/>
    <n v="3"/>
    <x v="2"/>
    <s v="Developer"/>
  </r>
  <r>
    <n v="67262"/>
    <x v="0"/>
    <s v="01192807"/>
    <x v="23"/>
    <d v="2026-04-06T00:00:00"/>
    <s v="IA1450"/>
    <s v="Selvam,Kadarkarai"/>
    <n v="104.04412247883027"/>
    <d v="2026-04-06T00:00:00"/>
    <n v="3"/>
    <x v="2"/>
    <s v="Lead Developer"/>
  </r>
  <r>
    <n v="67262"/>
    <x v="0"/>
    <s v="01192807"/>
    <x v="23"/>
    <d v="2026-04-07T00:00:00"/>
    <s v="IA1793"/>
    <s v="Subramanian,Ruthrakkanth"/>
    <n v="190.74755787785551"/>
    <d v="2026-04-07T00:00:00"/>
    <n v="5.5"/>
    <x v="2"/>
    <s v="Developer"/>
  </r>
  <r>
    <n v="67262"/>
    <x v="0"/>
    <s v="01192807"/>
    <x v="23"/>
    <d v="2026-04-07T00:00:00"/>
    <s v="IA1757"/>
    <s v="Thirunavukkarasu,Kishore"/>
    <n v="104.04412247883027"/>
    <d v="2026-04-07T00:00:00"/>
    <n v="3"/>
    <x v="2"/>
    <s v="Developer"/>
  </r>
  <r>
    <n v="67262"/>
    <x v="0"/>
    <s v="01192807"/>
    <x v="23"/>
    <d v="2026-04-07T00:00:00"/>
    <s v="IA1450"/>
    <s v="Selvam,Kadarkarai"/>
    <n v="138.72549663844038"/>
    <d v="2026-04-07T00:00:00"/>
    <n v="4"/>
    <x v="2"/>
    <s v="Lead Developer"/>
  </r>
  <r>
    <n v="67262"/>
    <x v="0"/>
    <s v="01192807"/>
    <x v="23"/>
    <d v="2026-04-08T00:00:00"/>
    <s v="IA1793"/>
    <s v="Subramanian,Ruthrakkanth"/>
    <n v="173.40687079805048"/>
    <d v="2026-04-08T00:00:00"/>
    <n v="5"/>
    <x v="2"/>
    <s v="Developer"/>
  </r>
  <r>
    <n v="67262"/>
    <x v="0"/>
    <s v="01192807"/>
    <x v="23"/>
    <d v="2026-04-08T00:00:00"/>
    <s v="IA1757"/>
    <s v="Thirunavukkarasu,Kishore"/>
    <n v="104.04412247883027"/>
    <d v="2026-04-08T00:00:00"/>
    <n v="3"/>
    <x v="2"/>
    <s v="Developer"/>
  </r>
  <r>
    <n v="67262"/>
    <x v="0"/>
    <s v="01192807"/>
    <x v="23"/>
    <d v="2026-04-09T00:00:00"/>
    <s v="IA1757"/>
    <s v="Thirunavukkarasu,Kishore"/>
    <n v="104.04412247883027"/>
    <d v="2026-04-09T00:00:00"/>
    <n v="3"/>
    <x v="2"/>
    <s v="Developer"/>
  </r>
  <r>
    <n v="67262"/>
    <x v="0"/>
    <s v="01192807"/>
    <x v="23"/>
    <d v="2026-04-10T00:00:00"/>
    <s v="IA1793"/>
    <s v="Subramanian,Ruthrakkanth"/>
    <n v="242.76961911727065"/>
    <d v="2026-04-10T00:00:00"/>
    <n v="7"/>
    <x v="2"/>
    <s v="Developer"/>
  </r>
  <r>
    <n v="67262"/>
    <x v="0"/>
    <s v="01192807"/>
    <x v="23"/>
    <d v="2026-04-10T00:00:00"/>
    <s v="IA1757"/>
    <s v="Thirunavukkarasu,Kishore"/>
    <n v="104.04412247883027"/>
    <d v="2026-04-10T00:00:00"/>
    <n v="3"/>
    <x v="2"/>
    <s v="Developer"/>
  </r>
  <r>
    <n v="67262"/>
    <x v="0"/>
    <s v="01192807"/>
    <x v="23"/>
    <d v="2026-04-10T00:00:00"/>
    <s v="IA1450"/>
    <s v="Selvam,Kadarkarai"/>
    <n v="104.04412247883027"/>
    <d v="2026-04-10T00:00:00"/>
    <n v="3"/>
    <x v="2"/>
    <s v="Lead Developer"/>
  </r>
  <r>
    <n v="67262"/>
    <x v="0"/>
    <s v="01192807"/>
    <x v="23"/>
    <d v="2026-04-13T00:00:00"/>
    <s v="IA1757"/>
    <s v="Thirunavukkarasu,Kishore"/>
    <n v="69.362748319220188"/>
    <d v="2026-04-13T00:00:00"/>
    <n v="2"/>
    <x v="2"/>
    <s v="Developer"/>
  </r>
  <r>
    <n v="67262"/>
    <x v="0"/>
    <s v="01192807"/>
    <x v="23"/>
    <d v="2026-04-15T00:00:00"/>
    <s v="IA1757"/>
    <s v="Thirunavukkarasu,Kishore"/>
    <n v="69.362748319220188"/>
    <d v="2026-04-15T00:00:00"/>
    <n v="2"/>
    <x v="2"/>
    <s v="Developer"/>
  </r>
  <r>
    <n v="67262"/>
    <x v="0"/>
    <s v="01192807"/>
    <x v="23"/>
    <d v="2026-04-16T00:00:00"/>
    <s v="IA1757"/>
    <s v="Thirunavukkarasu,Kishore"/>
    <n v="69.362748319220188"/>
    <d v="2026-04-16T00:00:00"/>
    <n v="2"/>
    <x v="2"/>
    <s v="Developer"/>
  </r>
  <r>
    <n v="67262"/>
    <x v="0"/>
    <s v="01192807"/>
    <x v="23"/>
    <d v="2026-04-16T00:00:00"/>
    <s v="IA1450"/>
    <s v="Selvam,Kadarkarai"/>
    <n v="277.45099327688075"/>
    <d v="2026-04-16T00:00:00"/>
    <n v="8"/>
    <x v="2"/>
    <s v="Lead Developer"/>
  </r>
  <r>
    <n v="67262"/>
    <x v="0"/>
    <s v="01192807"/>
    <x v="23"/>
    <d v="2026-04-20T00:00:00"/>
    <s v="IA1757"/>
    <s v="Thirunavukkarasu,Kishore"/>
    <n v="69.362748319220188"/>
    <d v="2026-04-20T00:00:00"/>
    <n v="2"/>
    <x v="2"/>
    <s v="Developer"/>
  </r>
  <r>
    <n v="67262"/>
    <x v="0"/>
    <s v="01192807"/>
    <x v="23"/>
    <d v="2026-04-20T00:00:00"/>
    <s v="IA1450"/>
    <s v="Selvam,Kadarkarai"/>
    <n v="277.45099327688075"/>
    <d v="2026-04-20T00:00:00"/>
    <n v="8"/>
    <x v="2"/>
    <s v="Lead Developer"/>
  </r>
  <r>
    <n v="67262"/>
    <x v="0"/>
    <s v="01192807"/>
    <x v="23"/>
    <d v="2026-04-21T00:00:00"/>
    <s v="IA1757"/>
    <s v="Thirunavukkarasu,Kishore"/>
    <n v="69.362748319220188"/>
    <d v="2026-04-21T00:00:00"/>
    <n v="2"/>
    <x v="2"/>
    <s v="Developer"/>
  </r>
  <r>
    <n v="67262"/>
    <x v="0"/>
    <s v="01192807"/>
    <x v="23"/>
    <d v="2026-04-21T00:00:00"/>
    <s v="IA1450"/>
    <s v="Selvam,Kadarkarai"/>
    <n v="69.362748319220188"/>
    <d v="2026-04-21T00:00:00"/>
    <n v="2"/>
    <x v="2"/>
    <s v="Lead Developer"/>
  </r>
  <r>
    <n v="67262"/>
    <x v="0"/>
    <s v="01192807"/>
    <x v="23"/>
    <d v="2026-04-23T00:00:00"/>
    <s v="IA1757"/>
    <s v="Thirunavukkarasu,Kishore"/>
    <n v="69.362748319220188"/>
    <d v="2026-04-23T00:00:00"/>
    <n v="2"/>
    <x v="2"/>
    <s v="Developer"/>
  </r>
  <r>
    <n v="67262"/>
    <x v="0"/>
    <s v="01192807"/>
    <x v="23"/>
    <d v="2026-04-24T00:00:00"/>
    <s v="IA1757"/>
    <s v="Thirunavukkarasu,Kishore"/>
    <n v="69.362748319220188"/>
    <d v="2026-04-24T00:00:00"/>
    <n v="2"/>
    <x v="2"/>
    <s v="Developer"/>
  </r>
  <r>
    <n v="67262"/>
    <x v="0"/>
    <s v="01192807"/>
    <x v="23"/>
    <d v="2026-04-27T00:00:00"/>
    <s v="IA1450"/>
    <s v="Selvam,Kadarkarai"/>
    <n v="104.04412247883027"/>
    <d v="2026-04-27T00:00:00"/>
    <n v="3"/>
    <x v="2"/>
    <s v="Lead Developer"/>
  </r>
  <r>
    <n v="67262"/>
    <x v="0"/>
    <s v="01192807"/>
    <x v="23"/>
    <d v="2026-04-28T00:00:00"/>
    <s v="IA1450"/>
    <s v="Selvam,Kadarkarai"/>
    <n v="156.06618371824541"/>
    <d v="2026-04-28T00:00:00"/>
    <n v="4.5"/>
    <x v="2"/>
    <s v="Lead Developer"/>
  </r>
  <r>
    <n v="67262"/>
    <x v="0"/>
    <s v="01192807"/>
    <x v="23"/>
    <d v="2026-04-29T00:00:00"/>
    <s v="IA1450"/>
    <s v="Selvam,Kadarkarai"/>
    <n v="69.362748319220188"/>
    <d v="2026-04-29T00:00:00"/>
    <n v="2"/>
    <x v="2"/>
    <s v="Lead Developer"/>
  </r>
  <r>
    <n v="67262"/>
    <x v="0"/>
    <s v="01192807"/>
    <x v="23"/>
    <d v="2026-05-07T00:00:00"/>
    <s v="IA1690"/>
    <s v="Duraisamy,Manikandaprabu"/>
    <n v="277.45099327688075"/>
    <d v="2026-05-07T00:00:00"/>
    <n v="8"/>
    <x v="10"/>
    <s v="Developer"/>
  </r>
  <r>
    <n v="67262"/>
    <x v="0"/>
    <s v="01192807"/>
    <x v="23"/>
    <d v="2026-05-11T00:00:00"/>
    <s v="IA1757"/>
    <s v="Thirunavukkarasu,Kishore"/>
    <n v="69.362748319220188"/>
    <d v="2026-05-11T00:00:00"/>
    <n v="2"/>
    <x v="10"/>
    <s v="Developer"/>
  </r>
  <r>
    <n v="67262"/>
    <x v="0"/>
    <s v="01192807"/>
    <x v="23"/>
    <d v="2026-05-11T00:00:00"/>
    <s v="IA1450"/>
    <s v="Selvam,Kadarkarai"/>
    <n v="69.362748319220188"/>
    <d v="2026-05-11T00:00:00"/>
    <n v="2"/>
    <x v="10"/>
    <s v="Lead Developer"/>
  </r>
  <r>
    <n v="67262"/>
    <x v="0"/>
    <s v="01192807"/>
    <x v="23"/>
    <d v="2026-05-12T00:00:00"/>
    <s v="IA1757"/>
    <s v="Thirunavukkarasu,Kishore"/>
    <n v="69.362748319220188"/>
    <d v="2026-05-12T00:00:00"/>
    <n v="2"/>
    <x v="10"/>
    <s v="Developer"/>
  </r>
  <r>
    <n v="67262"/>
    <x v="0"/>
    <s v="01192807"/>
    <x v="23"/>
    <d v="2026-05-12T00:00:00"/>
    <s v="IA1450"/>
    <s v="Selvam,Kadarkarai"/>
    <n v="34.681374159610094"/>
    <d v="2026-05-12T00:00:00"/>
    <n v="1"/>
    <x v="10"/>
    <s v="Lead Developer"/>
  </r>
  <r>
    <n v="67262"/>
    <x v="0"/>
    <s v="01192807"/>
    <x v="23"/>
    <d v="2026-05-13T00:00:00"/>
    <s v="IA1757"/>
    <s v="Thirunavukkarasu,Kishore"/>
    <n v="69.362748319220188"/>
    <d v="2026-05-13T00:00:00"/>
    <n v="2"/>
    <x v="10"/>
    <s v="Developer"/>
  </r>
  <r>
    <n v="67262"/>
    <x v="0"/>
    <s v="01192807"/>
    <x v="23"/>
    <d v="2026-05-13T00:00:00"/>
    <s v="IA1450"/>
    <s v="Selvam,Kadarkarai"/>
    <n v="34.681374159610094"/>
    <d v="2026-05-13T00:00:00"/>
    <n v="1"/>
    <x v="10"/>
    <s v="Lead Developer"/>
  </r>
  <r>
    <n v="67262"/>
    <x v="0"/>
    <s v="01192807"/>
    <x v="23"/>
    <d v="2026-05-14T00:00:00"/>
    <s v="IA1757"/>
    <s v="Thirunavukkarasu,Kishore"/>
    <n v="69.362748319220188"/>
    <d v="2026-05-14T00:00:00"/>
    <n v="2"/>
    <x v="10"/>
    <s v="Developer"/>
  </r>
  <r>
    <n v="67262"/>
    <x v="0"/>
    <s v="01192807"/>
    <x v="23"/>
    <d v="2026-05-14T00:00:00"/>
    <s v="IA1793"/>
    <s v="Subramanian,Ruthrakkanth"/>
    <n v="260.11030619707572"/>
    <d v="2026-05-14T00:00:00"/>
    <n v="7.5"/>
    <x v="10"/>
    <s v="Developer"/>
  </r>
  <r>
    <n v="67262"/>
    <x v="0"/>
    <s v="01192807"/>
    <x v="23"/>
    <d v="2026-05-14T00:00:00"/>
    <s v="IA1450"/>
    <s v="Selvam,Kadarkarai"/>
    <n v="69.362748319220188"/>
    <d v="2026-05-14T00:00:00"/>
    <n v="2"/>
    <x v="10"/>
    <s v="Lead Developer"/>
  </r>
  <r>
    <n v="67262"/>
    <x v="0"/>
    <s v="01192807"/>
    <x v="23"/>
    <d v="2026-05-15T00:00:00"/>
    <s v="IA1757"/>
    <s v="Thirunavukkarasu,Kishore"/>
    <n v="69.362748319220188"/>
    <d v="2026-05-15T00:00:00"/>
    <n v="2"/>
    <x v="10"/>
    <s v="Developer"/>
  </r>
  <r>
    <n v="67262"/>
    <x v="0"/>
    <s v="01192807"/>
    <x v="23"/>
    <d v="2026-05-15T00:00:00"/>
    <s v="IA1793"/>
    <s v="Subramanian,Ruthrakkanth"/>
    <n v="34.681374159610094"/>
    <d v="2026-05-15T00:00:00"/>
    <n v="1"/>
    <x v="10"/>
    <s v="Developer"/>
  </r>
  <r>
    <n v="67262"/>
    <x v="0"/>
    <s v="01192807"/>
    <x v="23"/>
    <d v="2026-05-15T00:00:00"/>
    <s v="IA1450"/>
    <s v="Selvam,Kadarkarai"/>
    <n v="104.04412247883027"/>
    <d v="2026-05-15T00:00:00"/>
    <n v="3"/>
    <x v="10"/>
    <s v="Lead Developer"/>
  </r>
  <r>
    <n v="67262"/>
    <x v="0"/>
    <s v="01192807"/>
    <x v="23"/>
    <d v="2026-05-18T00:00:00"/>
    <s v="IA1757"/>
    <s v="Thirunavukkarasu,Kishore"/>
    <n v="69.362748319220188"/>
    <d v="2026-05-18T00:00:00"/>
    <n v="2"/>
    <x v="10"/>
    <s v="Developer"/>
  </r>
  <r>
    <n v="67262"/>
    <x v="0"/>
    <s v="01192807"/>
    <x v="23"/>
    <d v="2026-05-19T00:00:00"/>
    <s v="IA1757"/>
    <s v="Thirunavukkarasu,Kishore"/>
    <n v="69.362748319220188"/>
    <d v="2026-05-19T00:00:00"/>
    <n v="2"/>
    <x v="10"/>
    <s v="Developer"/>
  </r>
  <r>
    <n v="67262"/>
    <x v="0"/>
    <s v="01192807"/>
    <x v="23"/>
    <d v="2026-05-19T00:00:00"/>
    <s v="IA1690"/>
    <s v="Duraisamy,Manikandaprabu"/>
    <n v="138.72549663844038"/>
    <d v="2026-05-19T00:00:00"/>
    <n v="4"/>
    <x v="10"/>
    <s v="Developer"/>
  </r>
  <r>
    <n v="67262"/>
    <x v="0"/>
    <s v="01192807"/>
    <x v="23"/>
    <d v="2026-05-20T00:00:00"/>
    <s v="IA1757"/>
    <s v="Thirunavukkarasu,Kishore"/>
    <n v="69.362748319220188"/>
    <d v="2026-05-20T00:00:00"/>
    <n v="2"/>
    <x v="10"/>
    <s v="Developer"/>
  </r>
  <r>
    <n v="67262"/>
    <x v="0"/>
    <s v="01192807"/>
    <x v="23"/>
    <d v="2026-05-19T00:00:00"/>
    <s v="IA1450"/>
    <s v="Selvam,Kadarkarai"/>
    <n v="34.681374159610094"/>
    <d v="2026-05-19T00:00:00"/>
    <n v="1"/>
    <x v="10"/>
    <s v="Lead Developer"/>
  </r>
  <r>
    <n v="67262"/>
    <x v="0"/>
    <s v="01192807"/>
    <x v="23"/>
    <d v="2026-05-20T00:00:00"/>
    <s v="IA1690"/>
    <s v="Duraisamy,Manikandaprabu"/>
    <n v="34.681374159610094"/>
    <d v="2026-05-20T00:00:00"/>
    <n v="1"/>
    <x v="10"/>
    <s v="Developer"/>
  </r>
  <r>
    <n v="67262"/>
    <x v="0"/>
    <s v="01192807"/>
    <x v="23"/>
    <d v="2026-05-21T00:00:00"/>
    <s v="IA1757"/>
    <s v="Thirunavukkarasu,Kishore"/>
    <n v="69.362748319220188"/>
    <d v="2026-05-21T00:00:00"/>
    <n v="2"/>
    <x v="10"/>
    <s v="Developer"/>
  </r>
  <r>
    <n v="67262"/>
    <x v="0"/>
    <s v="01192807"/>
    <x v="23"/>
    <d v="2026-05-21T00:00:00"/>
    <s v="IA1690"/>
    <s v="Duraisamy,Manikandaprabu"/>
    <n v="34.681374159610094"/>
    <d v="2026-05-21T00:00:00"/>
    <n v="1"/>
    <x v="10"/>
    <s v="Developer"/>
  </r>
  <r>
    <n v="67262"/>
    <x v="0"/>
    <s v="01192807"/>
    <x v="23"/>
    <d v="2026-05-22T00:00:00"/>
    <s v="IA1757"/>
    <s v="Thirunavukkarasu,Kishore"/>
    <n v="69.362748319220188"/>
    <d v="2026-05-22T00:00:00"/>
    <n v="2"/>
    <x v="10"/>
    <s v="Developer"/>
  </r>
  <r>
    <n v="67262"/>
    <x v="0"/>
    <s v="01192807"/>
    <x v="23"/>
    <d v="2026-05-22T00:00:00"/>
    <s v="IA1690"/>
    <s v="Duraisamy,Manikandaprabu"/>
    <n v="34.681374159610094"/>
    <d v="2026-05-22T00:00:00"/>
    <n v="1"/>
    <x v="10"/>
    <s v="Developer"/>
  </r>
  <r>
    <n v="67262"/>
    <x v="0"/>
    <s v="01192807"/>
    <x v="23"/>
    <d v="2026-05-22T00:00:00"/>
    <s v="IA1450"/>
    <s v="Selvam,Kadarkarai"/>
    <n v="69.362748319220188"/>
    <d v="2026-05-22T00:00:00"/>
    <n v="2"/>
    <x v="10"/>
    <s v="Lead Developer"/>
  </r>
  <r>
    <n v="67262"/>
    <x v="0"/>
    <s v="01192807"/>
    <x v="23"/>
    <d v="2026-05-25T00:00:00"/>
    <s v="IA1757"/>
    <s v="Thirunavukkarasu,Kishore"/>
    <n v="69.362748319220188"/>
    <d v="2026-05-25T00:00:00"/>
    <n v="2"/>
    <x v="10"/>
    <s v="Developer"/>
  </r>
  <r>
    <n v="67262"/>
    <x v="0"/>
    <s v="01192807"/>
    <x v="23"/>
    <d v="2026-05-25T00:00:00"/>
    <s v="IA1450"/>
    <s v="Selvam,Kadarkarai"/>
    <n v="34.681374159610094"/>
    <d v="2026-05-25T00:00:00"/>
    <n v="1"/>
    <x v="10"/>
    <s v="Lead Developer"/>
  </r>
  <r>
    <n v="67262"/>
    <x v="0"/>
    <s v="01192807"/>
    <x v="23"/>
    <d v="2026-05-26T00:00:00"/>
    <s v="IA1450"/>
    <s v="Selvam,Kadarkarai"/>
    <n v="34.681374159610094"/>
    <d v="2026-05-26T00:00:00"/>
    <n v="1"/>
    <x v="10"/>
    <s v="Lead Developer"/>
  </r>
  <r>
    <n v="67262"/>
    <x v="0"/>
    <s v="01192807"/>
    <x v="23"/>
    <d v="2026-05-28T00:00:00"/>
    <s v="IA1450"/>
    <s v="Selvam,Kadarkarai"/>
    <n v="69.362748319220188"/>
    <d v="2026-05-28T00:00:00"/>
    <n v="2"/>
    <x v="10"/>
    <s v="Lead Developer"/>
  </r>
  <r>
    <n v="67262"/>
    <x v="0"/>
    <s v="01192807"/>
    <x v="23"/>
    <d v="2026-05-29T00:00:00"/>
    <s v="IA1450"/>
    <s v="Selvam,Kadarkarai"/>
    <n v="208.08824495766055"/>
    <d v="2026-05-29T00:00:00"/>
    <n v="6"/>
    <x v="10"/>
    <s v="Lead Developer"/>
  </r>
  <r>
    <n v="67262"/>
    <x v="0"/>
    <s v="01192807"/>
    <x v="23"/>
    <d v="2026-06-01T00:00:00"/>
    <s v="IA1450"/>
    <s v="Selvam,Kadarkarai"/>
    <n v="277.45099327688075"/>
    <d v="2026-06-01T00:00:00"/>
    <n v="8"/>
    <x v="11"/>
    <s v="Lead Developer"/>
  </r>
  <r>
    <n v="67262"/>
    <x v="0"/>
    <s v="01192807"/>
    <x v="23"/>
    <d v="2026-06-04T00:00:00"/>
    <s v="IA1450"/>
    <s v="Selvam,Kadarkarai"/>
    <n v="104.04412247883027"/>
    <d v="2026-06-04T00:00:00"/>
    <n v="3"/>
    <x v="11"/>
    <s v="Lead Developer"/>
  </r>
  <r>
    <n v="67262"/>
    <x v="0"/>
    <s v="01192807"/>
    <x v="23"/>
    <d v="2026-06-05T00:00:00"/>
    <s v="IA1450"/>
    <s v="Selvam,Kadarkarai"/>
    <n v="138.72549663844038"/>
    <d v="2026-06-05T00:00:00"/>
    <n v="4"/>
    <x v="11"/>
    <s v="Lead Developer"/>
  </r>
  <r>
    <n v="67258"/>
    <x v="4"/>
    <s v="01192791"/>
    <x v="24"/>
    <d v="2025-07-28T00:00:00"/>
    <s v="IA1430"/>
    <s v="Subburajan,Jawahar"/>
    <n v="208.08824495766055"/>
    <d v="2025-07-28T00:00:00"/>
    <n v="6"/>
    <x v="3"/>
    <s v="Lead Developer"/>
  </r>
  <r>
    <n v="67258"/>
    <x v="4"/>
    <s v="01192791"/>
    <x v="24"/>
    <d v="2025-07-29T00:00:00"/>
    <s v="IA1430"/>
    <s v="Subburajan,Jawahar"/>
    <n v="208.08824495766055"/>
    <d v="2025-07-29T00:00:00"/>
    <n v="6"/>
    <x v="3"/>
    <s v="Lead Developer"/>
  </r>
  <r>
    <n v="67258"/>
    <x v="4"/>
    <s v="01192791"/>
    <x v="24"/>
    <d v="2025-07-30T00:00:00"/>
    <s v="IA1430"/>
    <s v="Subburajan,Jawahar"/>
    <n v="208.08824495766055"/>
    <d v="2025-07-30T00:00:00"/>
    <n v="6"/>
    <x v="3"/>
    <s v="Lead Developer"/>
  </r>
  <r>
    <n v="67258"/>
    <x v="4"/>
    <s v="01192791"/>
    <x v="24"/>
    <d v="2025-08-04T00:00:00"/>
    <s v="IA1430"/>
    <s v="Subburajan,Jawahar"/>
    <n v="208.08824495766055"/>
    <d v="2025-08-04T00:00:00"/>
    <n v="6"/>
    <x v="4"/>
    <s v="Lead Developer"/>
  </r>
  <r>
    <n v="67258"/>
    <x v="4"/>
    <s v="01199830"/>
    <x v="25"/>
    <d v="2025-10-10T00:00:00"/>
    <s v="IA1690"/>
    <s v="Duraisamy,Manikandaprabu"/>
    <n v="208.08824495766055"/>
    <d v="2025-10-10T00:00:00"/>
    <n v="6"/>
    <x v="6"/>
    <s v="Developer"/>
  </r>
  <r>
    <n v="67258"/>
    <x v="4"/>
    <s v="01199830"/>
    <x v="25"/>
    <d v="2025-10-11T00:00:00"/>
    <s v="IA1690"/>
    <s v="Duraisamy,Manikandaprabu"/>
    <n v="277.45099327688075"/>
    <d v="2025-10-11T00:00:00"/>
    <n v="8"/>
    <x v="6"/>
    <s v="Developer"/>
  </r>
  <r>
    <n v="67258"/>
    <x v="4"/>
    <s v="01199830"/>
    <x v="25"/>
    <d v="2025-10-20T00:00:00"/>
    <s v="IA1690"/>
    <s v="Duraisamy,Manikandaprabu"/>
    <n v="138.72549663844038"/>
    <d v="2025-10-20T00:00:00"/>
    <n v="4"/>
    <x v="6"/>
    <s v="Developer"/>
  </r>
  <r>
    <n v="67258"/>
    <x v="4"/>
    <s v="01199830"/>
    <x v="25"/>
    <d v="2025-11-19T00:00:00"/>
    <s v="IA1690"/>
    <s v="Duraisamy,Manikandaprabu"/>
    <n v="138.72549663844038"/>
    <d v="2025-11-19T00:00:00"/>
    <n v="4"/>
    <x v="7"/>
    <s v="Developer"/>
  </r>
  <r>
    <n v="67258"/>
    <x v="4"/>
    <s v="01199830"/>
    <x v="25"/>
    <d v="2026-03-25T00:00:00"/>
    <s v="IA1690"/>
    <s v="Duraisamy,Manikandaprabu"/>
    <n v="277.45099327688075"/>
    <d v="2026-03-25T00:00:00"/>
    <n v="8"/>
    <x v="1"/>
    <s v="Developer"/>
  </r>
  <r>
    <n v="67258"/>
    <x v="4"/>
    <s v="01199830"/>
    <x v="25"/>
    <d v="2026-03-26T00:00:00"/>
    <s v="IA1690"/>
    <s v="Duraisamy,Manikandaprabu"/>
    <n v="277.45099327688075"/>
    <d v="2026-03-26T00:00:00"/>
    <n v="8"/>
    <x v="1"/>
    <s v="Developer"/>
  </r>
  <r>
    <n v="67258"/>
    <x v="4"/>
    <s v="01199830"/>
    <x v="25"/>
    <d v="2026-03-27T00:00:00"/>
    <s v="IA1690"/>
    <s v="Duraisamy,Manikandaprabu"/>
    <n v="277.45099327688075"/>
    <d v="2026-03-27T00:00:00"/>
    <n v="8"/>
    <x v="1"/>
    <s v="Developer"/>
  </r>
  <r>
    <n v="67258"/>
    <x v="4"/>
    <s v="01199830"/>
    <x v="25"/>
    <d v="2026-03-30T00:00:00"/>
    <s v="IA1690"/>
    <s v="Duraisamy,Manikandaprabu"/>
    <n v="277.45099327688075"/>
    <d v="2026-03-30T00:00:00"/>
    <n v="8"/>
    <x v="1"/>
    <s v="Developer"/>
  </r>
  <r>
    <n v="67258"/>
    <x v="4"/>
    <s v="01199830"/>
    <x v="25"/>
    <d v="2026-03-31T00:00:00"/>
    <s v="IA1690"/>
    <s v="Duraisamy,Manikandaprabu"/>
    <n v="277.45099327688075"/>
    <d v="2026-03-31T00:00:00"/>
    <n v="8"/>
    <x v="1"/>
    <s v="Developer"/>
  </r>
  <r>
    <n v="67258"/>
    <x v="4"/>
    <s v="01199830"/>
    <x v="25"/>
    <d v="2026-04-01T00:00:00"/>
    <s v="IA1690"/>
    <s v="Duraisamy,Manikandaprabu"/>
    <n v="277.45099327688075"/>
    <d v="2026-04-01T00:00:00"/>
    <n v="8"/>
    <x v="2"/>
    <s v="Developer"/>
  </r>
  <r>
    <n v="67258"/>
    <x v="4"/>
    <s v="01199830"/>
    <x v="25"/>
    <d v="2026-04-09T00:00:00"/>
    <s v="IA1690"/>
    <s v="Duraisamy,Manikandaprabu"/>
    <n v="277.45099327688075"/>
    <d v="2026-04-09T00:00:00"/>
    <n v="8"/>
    <x v="2"/>
    <s v="Developer"/>
  </r>
  <r>
    <n v="67258"/>
    <x v="4"/>
    <s v="01199830"/>
    <x v="25"/>
    <d v="2026-04-24T00:00:00"/>
    <s v="IA1690"/>
    <s v="Duraisamy,Manikandaprabu"/>
    <n v="138.72549663844038"/>
    <d v="2026-04-24T00:00:00"/>
    <n v="4"/>
    <x v="2"/>
    <s v="Developer"/>
  </r>
  <r>
    <n v="67263"/>
    <x v="6"/>
    <s v="01199846"/>
    <x v="26"/>
    <d v="2025-08-25T00:00:00"/>
    <s v="IA1421"/>
    <s v="Jayapal,Muruganandham"/>
    <n v="138.72549663844038"/>
    <d v="2025-08-25T00:00:00"/>
    <n v="4"/>
    <x v="4"/>
    <s v="Engg Manager"/>
  </r>
  <r>
    <n v="67263"/>
    <x v="6"/>
    <s v="01199846"/>
    <x v="26"/>
    <d v="2025-08-26T00:00:00"/>
    <s v="IA1421"/>
    <s v="Jayapal,Muruganandham"/>
    <n v="138.72549663844038"/>
    <d v="2025-08-26T00:00:00"/>
    <n v="4"/>
    <x v="4"/>
    <s v="Engg Manager"/>
  </r>
  <r>
    <n v="67263"/>
    <x v="6"/>
    <s v="01199846"/>
    <x v="26"/>
    <d v="2025-08-27T00:00:00"/>
    <s v="IA1421"/>
    <s v="Jayapal,Muruganandham"/>
    <n v="138.72549663844038"/>
    <d v="2025-08-27T00:00:00"/>
    <n v="4"/>
    <x v="4"/>
    <s v="Engg Manager"/>
  </r>
  <r>
    <n v="67263"/>
    <x v="6"/>
    <s v="01199846"/>
    <x v="26"/>
    <d v="2025-08-28T00:00:00"/>
    <s v="IA1421"/>
    <s v="Jayapal,Muruganandham"/>
    <n v="138.72549663844038"/>
    <d v="2025-08-28T00:00:00"/>
    <n v="4"/>
    <x v="4"/>
    <s v="Engg Manager"/>
  </r>
  <r>
    <n v="67263"/>
    <x v="6"/>
    <s v="01199846"/>
    <x v="26"/>
    <d v="2025-08-29T00:00:00"/>
    <s v="IA1421"/>
    <s v="Jayapal,Muruganandham"/>
    <n v="138.72549663844038"/>
    <d v="2025-08-29T00:00:00"/>
    <n v="4"/>
    <x v="4"/>
    <s v="Engg Manager"/>
  </r>
  <r>
    <n v="67263"/>
    <x v="6"/>
    <s v="01199846"/>
    <x v="26"/>
    <d v="2025-09-01T00:00:00"/>
    <s v="IA1421"/>
    <s v="Jayapal,Muruganandham"/>
    <n v="208.08824495766055"/>
    <d v="2025-09-01T00:00:00"/>
    <n v="6"/>
    <x v="5"/>
    <s v="Engg Manager"/>
  </r>
  <r>
    <n v="67263"/>
    <x v="6"/>
    <s v="01199846"/>
    <x v="26"/>
    <d v="2025-09-02T00:00:00"/>
    <s v="IA1421"/>
    <s v="Jayapal,Muruganandham"/>
    <n v="208.08824495766055"/>
    <d v="2025-09-02T00:00:00"/>
    <n v="6"/>
    <x v="5"/>
    <s v="Engg Manager"/>
  </r>
  <r>
    <n v="67263"/>
    <x v="6"/>
    <s v="01199846"/>
    <x v="26"/>
    <d v="2025-09-03T00:00:00"/>
    <s v="IA1421"/>
    <s v="Jayapal,Muruganandham"/>
    <n v="173.40687079805048"/>
    <d v="2025-09-03T00:00:00"/>
    <n v="5"/>
    <x v="5"/>
    <s v="Engg Manager"/>
  </r>
  <r>
    <n v="67263"/>
    <x v="6"/>
    <s v="01199846"/>
    <x v="26"/>
    <d v="2025-09-04T00:00:00"/>
    <s v="IA1421"/>
    <s v="Jayapal,Muruganandham"/>
    <n v="208.08824495766055"/>
    <d v="2025-09-04T00:00:00"/>
    <n v="6"/>
    <x v="5"/>
    <s v="Engg Manager"/>
  </r>
  <r>
    <n v="67263"/>
    <x v="6"/>
    <s v="01199846"/>
    <x v="26"/>
    <d v="2025-09-05T00:00:00"/>
    <s v="IA1421"/>
    <s v="Jayapal,Muruganandham"/>
    <n v="208.08824495766055"/>
    <d v="2025-09-05T00:00:00"/>
    <n v="6"/>
    <x v="5"/>
    <s v="Engg Manager"/>
  </r>
  <r>
    <n v="67263"/>
    <x v="6"/>
    <s v="01199846"/>
    <x v="26"/>
    <d v="2025-09-08T00:00:00"/>
    <s v="IA1421"/>
    <s v="Jayapal,Muruganandham"/>
    <n v="34.681374159610094"/>
    <d v="2025-09-08T00:00:00"/>
    <n v="1"/>
    <x v="5"/>
    <s v="Engg Manager"/>
  </r>
  <r>
    <n v="67263"/>
    <x v="6"/>
    <s v="01199846"/>
    <x v="26"/>
    <d v="2025-09-09T00:00:00"/>
    <s v="IA1421"/>
    <s v="Jayapal,Muruganandham"/>
    <n v="34.681374159610094"/>
    <d v="2025-09-09T00:00:00"/>
    <n v="1"/>
    <x v="5"/>
    <s v="Engg Manager"/>
  </r>
  <r>
    <n v="67263"/>
    <x v="6"/>
    <s v="01199846"/>
    <x v="26"/>
    <d v="2025-09-10T00:00:00"/>
    <s v="IA1421"/>
    <s v="Jayapal,Muruganandham"/>
    <n v="34.681374159610094"/>
    <d v="2025-09-10T00:00:00"/>
    <n v="1"/>
    <x v="5"/>
    <s v="Engg Manager"/>
  </r>
  <r>
    <n v="67263"/>
    <x v="6"/>
    <s v="01199846"/>
    <x v="26"/>
    <d v="2025-09-11T00:00:00"/>
    <s v="IA1421"/>
    <s v="Jayapal,Muruganandham"/>
    <n v="34.681374159610094"/>
    <d v="2025-09-11T00:00:00"/>
    <n v="1"/>
    <x v="5"/>
    <s v="Engg Manager"/>
  </r>
  <r>
    <n v="67263"/>
    <x v="6"/>
    <s v="01199846"/>
    <x v="26"/>
    <d v="2025-09-12T00:00:00"/>
    <s v="IA1421"/>
    <s v="Jayapal,Muruganandham"/>
    <n v="34.681374159610094"/>
    <d v="2025-09-12T00:00:00"/>
    <n v="1"/>
    <x v="5"/>
    <s v="Engg Manager"/>
  </r>
  <r>
    <n v="67263"/>
    <x v="6"/>
    <s v="01199846"/>
    <x v="26"/>
    <d v="2025-11-10T00:00:00"/>
    <s v="IA1421"/>
    <s v="Jayapal,Muruganandham"/>
    <n v="69.362748319220188"/>
    <d v="2025-11-10T00:00:00"/>
    <n v="2"/>
    <x v="7"/>
    <s v="Engg Manager"/>
  </r>
  <r>
    <n v="67263"/>
    <x v="6"/>
    <s v="01199846"/>
    <x v="26"/>
    <d v="2025-11-11T00:00:00"/>
    <s v="IA1421"/>
    <s v="Jayapal,Muruganandham"/>
    <n v="69.362748319220188"/>
    <d v="2025-11-11T00:00:00"/>
    <n v="2"/>
    <x v="7"/>
    <s v="Engg Manager"/>
  </r>
  <r>
    <n v="67263"/>
    <x v="6"/>
    <s v="01199846"/>
    <x v="26"/>
    <d v="2025-11-12T00:00:00"/>
    <s v="IA1421"/>
    <s v="Jayapal,Muruganandham"/>
    <n v="69.362748319220188"/>
    <d v="2025-11-12T00:00:00"/>
    <n v="2"/>
    <x v="7"/>
    <s v="Engg Manager"/>
  </r>
  <r>
    <n v="67263"/>
    <x v="6"/>
    <s v="01199846"/>
    <x v="26"/>
    <d v="2025-11-13T00:00:00"/>
    <s v="IA1421"/>
    <s v="Jayapal,Muruganandham"/>
    <n v="69.362748319220188"/>
    <d v="2025-11-13T00:00:00"/>
    <n v="2"/>
    <x v="7"/>
    <s v="Engg Manager"/>
  </r>
  <r>
    <n v="67263"/>
    <x v="6"/>
    <s v="01199846"/>
    <x v="26"/>
    <d v="2025-11-14T00:00:00"/>
    <s v="IA1421"/>
    <s v="Jayapal,Muruganandham"/>
    <n v="69.362748319220188"/>
    <d v="2025-11-14T00:00:00"/>
    <n v="2"/>
    <x v="7"/>
    <s v="Engg Manager"/>
  </r>
  <r>
    <n v="67263"/>
    <x v="6"/>
    <s v="01199846"/>
    <x v="26"/>
    <d v="2025-12-16T00:00:00"/>
    <s v="IA1421"/>
    <s v="Jayapal,Muruganandham"/>
    <n v="69.362748319220188"/>
    <d v="2025-12-16T00:00:00"/>
    <n v="2"/>
    <x v="8"/>
    <s v="Engg Manager"/>
  </r>
  <r>
    <n v="67263"/>
    <x v="6"/>
    <s v="01199846"/>
    <x v="26"/>
    <d v="2025-12-17T00:00:00"/>
    <s v="IA1421"/>
    <s v="Jayapal,Muruganandham"/>
    <n v="69.362748319220188"/>
    <d v="2025-12-17T00:00:00"/>
    <n v="2"/>
    <x v="8"/>
    <s v="Engg Manager"/>
  </r>
  <r>
    <n v="67263"/>
    <x v="6"/>
    <s v="01199846"/>
    <x v="26"/>
    <d v="2025-12-18T00:00:00"/>
    <s v="IA1421"/>
    <s v="Jayapal,Muruganandham"/>
    <n v="69.362748319220188"/>
    <d v="2025-12-18T00:00:00"/>
    <n v="2"/>
    <x v="8"/>
    <s v="Engg Manager"/>
  </r>
  <r>
    <n v="67263"/>
    <x v="6"/>
    <s v="01199846"/>
    <x v="26"/>
    <d v="2025-12-19T00:00:00"/>
    <s v="IA1421"/>
    <s v="Jayapal,Muruganandham"/>
    <n v="69.362748319220188"/>
    <d v="2025-12-19T00:00:00"/>
    <n v="2"/>
    <x v="8"/>
    <s v="Engg Manager"/>
  </r>
  <r>
    <n v="67263"/>
    <x v="6"/>
    <s v="01199846"/>
    <x v="26"/>
    <d v="2025-12-29T00:00:00"/>
    <s v="IA1421"/>
    <s v="Jayapal,Muruganandham"/>
    <n v="69.362748319220188"/>
    <d v="2025-12-29T00:00:00"/>
    <n v="2"/>
    <x v="8"/>
    <s v="Engg Manager"/>
  </r>
  <r>
    <n v="67263"/>
    <x v="6"/>
    <s v="01199846"/>
    <x v="26"/>
    <d v="2025-12-30T00:00:00"/>
    <s v="IA1421"/>
    <s v="Jayapal,Muruganandham"/>
    <n v="69.362748319220188"/>
    <d v="2025-12-30T00:00:00"/>
    <n v="2"/>
    <x v="8"/>
    <s v="Engg Manager"/>
  </r>
  <r>
    <n v="67263"/>
    <x v="6"/>
    <s v="01199846"/>
    <x v="26"/>
    <d v="2025-12-31T00:00:00"/>
    <s v="IA1421"/>
    <s v="Jayapal,Muruganandham"/>
    <n v="69.362748319220188"/>
    <d v="2025-12-31T00:00:00"/>
    <n v="2"/>
    <x v="8"/>
    <s v="Engg Manager"/>
  </r>
  <r>
    <n v="67263"/>
    <x v="6"/>
    <s v="01199846"/>
    <x v="26"/>
    <d v="2026-01-02T00:00:00"/>
    <s v="IA1421"/>
    <s v="Jayapal,Muruganandham"/>
    <n v="69.362748319220188"/>
    <d v="2026-01-02T00:00:00"/>
    <n v="2"/>
    <x v="9"/>
    <s v="Engg Manager"/>
  </r>
  <r>
    <n v="67263"/>
    <x v="6"/>
    <s v="01199846"/>
    <x v="26"/>
    <d v="2026-02-16T00:00:00"/>
    <s v="IA1421"/>
    <s v="Jayapal,Muruganandham"/>
    <n v="69.362748319220188"/>
    <d v="2026-02-16T00:00:00"/>
    <n v="2"/>
    <x v="0"/>
    <s v="Engg Manager"/>
  </r>
  <r>
    <n v="67263"/>
    <x v="6"/>
    <s v="01199846"/>
    <x v="26"/>
    <d v="2026-02-17T00:00:00"/>
    <s v="IA1421"/>
    <s v="Jayapal,Muruganandham"/>
    <n v="69.362748319220188"/>
    <d v="2026-02-17T00:00:00"/>
    <n v="2"/>
    <x v="0"/>
    <s v="Engg Manager"/>
  </r>
  <r>
    <n v="67263"/>
    <x v="6"/>
    <s v="01199846"/>
    <x v="26"/>
    <d v="2026-02-18T00:00:00"/>
    <s v="IA1421"/>
    <s v="Jayapal,Muruganandham"/>
    <n v="69.362748319220188"/>
    <d v="2026-02-18T00:00:00"/>
    <n v="2"/>
    <x v="0"/>
    <s v="Engg Manager"/>
  </r>
  <r>
    <n v="67263"/>
    <x v="6"/>
    <s v="01199846"/>
    <x v="26"/>
    <d v="2026-02-19T00:00:00"/>
    <s v="IA1421"/>
    <s v="Jayapal,Muruganandham"/>
    <n v="69.362748319220188"/>
    <d v="2026-02-19T00:00:00"/>
    <n v="2"/>
    <x v="0"/>
    <s v="Engg Manager"/>
  </r>
  <r>
    <n v="67263"/>
    <x v="6"/>
    <s v="01199846"/>
    <x v="26"/>
    <d v="2026-02-21T00:00:00"/>
    <s v="IA1421"/>
    <s v="Jayapal,Muruganandham"/>
    <n v="69.362748319220188"/>
    <d v="2026-02-21T00:00:00"/>
    <n v="2"/>
    <x v="0"/>
    <s v="Engg Manager"/>
  </r>
  <r>
    <n v="67263"/>
    <x v="6"/>
    <s v="01199846"/>
    <x v="26"/>
    <d v="2026-02-21T00:00:00"/>
    <s v="IA1421"/>
    <s v="Jayapal,Muruganandham"/>
    <n v="-69.362748319220188"/>
    <d v="2026-02-21T00:00:00"/>
    <n v="-2"/>
    <x v="0"/>
    <s v="Engg Manager"/>
  </r>
  <r>
    <n v="67258"/>
    <x v="4"/>
    <s v="01192792"/>
    <x v="27"/>
    <d v="2026-02-20T00:00:00"/>
    <n v="6319"/>
    <s v="Ramaraja,Ashok"/>
    <n v="69.362748319220188"/>
    <d v="2026-02-20T00:00:00"/>
    <n v="2"/>
    <x v="0"/>
    <s v="Engg Manager"/>
  </r>
  <r>
    <n v="67261"/>
    <x v="5"/>
    <s v="01192801"/>
    <x v="19"/>
    <d v="2026-03-30T00:00:00"/>
    <s v="IA1421"/>
    <s v="Jayapal,Muruganandham"/>
    <n v="69.362748319220188"/>
    <d v="2026-03-30T00:00:00"/>
    <n v="2"/>
    <x v="1"/>
    <s v="Engg Manager"/>
  </r>
  <r>
    <n v="67261"/>
    <x v="5"/>
    <s v="01192801"/>
    <x v="19"/>
    <d v="2026-03-31T00:00:00"/>
    <s v="IA1421"/>
    <s v="Jayapal,Muruganandham"/>
    <n v="69.362748319220188"/>
    <d v="2026-03-31T00:00:00"/>
    <n v="2"/>
    <x v="1"/>
    <s v="Engg Manager"/>
  </r>
  <r>
    <n v="67261"/>
    <x v="5"/>
    <s v="01192801"/>
    <x v="19"/>
    <d v="2026-04-01T00:00:00"/>
    <s v="IA1421"/>
    <s v="Jayapal,Muruganandham"/>
    <n v="69.362748319220188"/>
    <d v="2026-04-01T00:00:00"/>
    <n v="2"/>
    <x v="2"/>
    <s v="Engg Manager"/>
  </r>
  <r>
    <n v="67261"/>
    <x v="5"/>
    <s v="01192801"/>
    <x v="19"/>
    <d v="2026-04-02T00:00:00"/>
    <s v="IA1421"/>
    <s v="Jayapal,Muruganandham"/>
    <n v="69.362748319220188"/>
    <d v="2026-04-02T00:00:00"/>
    <n v="2"/>
    <x v="2"/>
    <s v="Engg Manager"/>
  </r>
  <r>
    <n v="67261"/>
    <x v="5"/>
    <s v="01192801"/>
    <x v="19"/>
    <d v="2026-04-06T00:00:00"/>
    <s v="IA1421"/>
    <s v="Jayapal,Muruganandham"/>
    <n v="104.04412247883027"/>
    <d v="2026-04-06T00:00:00"/>
    <n v="3"/>
    <x v="2"/>
    <s v="Engg Manager"/>
  </r>
  <r>
    <n v="67261"/>
    <x v="5"/>
    <s v="01192801"/>
    <x v="19"/>
    <d v="2026-04-07T00:00:00"/>
    <s v="IA1421"/>
    <s v="Jayapal,Muruganandham"/>
    <n v="104.04412247883027"/>
    <d v="2026-04-07T00:00:00"/>
    <n v="3"/>
    <x v="2"/>
    <s v="Engg Manager"/>
  </r>
  <r>
    <n v="67261"/>
    <x v="5"/>
    <s v="01192801"/>
    <x v="19"/>
    <d v="2026-04-08T00:00:00"/>
    <s v="IA1421"/>
    <s v="Jayapal,Muruganandham"/>
    <n v="104.04412247883027"/>
    <d v="2026-04-08T00:00:00"/>
    <n v="3"/>
    <x v="2"/>
    <s v="Engg Manager"/>
  </r>
  <r>
    <n v="67261"/>
    <x v="5"/>
    <s v="01192801"/>
    <x v="19"/>
    <d v="2026-04-09T00:00:00"/>
    <s v="IA1421"/>
    <s v="Jayapal,Muruganandham"/>
    <n v="104.04412247883027"/>
    <d v="2026-04-09T00:00:00"/>
    <n v="3"/>
    <x v="2"/>
    <s v="Engg Manager"/>
  </r>
  <r>
    <n v="67261"/>
    <x v="5"/>
    <s v="01192801"/>
    <x v="19"/>
    <d v="2026-04-10T00:00:00"/>
    <s v="IA1421"/>
    <s v="Jayapal,Muruganandham"/>
    <n v="104.04412247883027"/>
    <d v="2026-04-10T00:00:00"/>
    <n v="3"/>
    <x v="2"/>
    <s v="Engg Manager"/>
  </r>
  <r>
    <n v="67261"/>
    <x v="5"/>
    <s v="01192801"/>
    <x v="19"/>
    <d v="2026-04-13T00:00:00"/>
    <s v="IA1421"/>
    <s v="Jayapal,Muruganandham"/>
    <n v="69.362748319220188"/>
    <d v="2026-04-13T00:00:00"/>
    <n v="2"/>
    <x v="2"/>
    <s v="Engg Manager"/>
  </r>
  <r>
    <n v="67261"/>
    <x v="5"/>
    <s v="01192801"/>
    <x v="19"/>
    <d v="2026-04-15T00:00:00"/>
    <s v="IA1421"/>
    <s v="Jayapal,Muruganandham"/>
    <n v="69.362748319220188"/>
    <d v="2026-04-15T00:00:00"/>
    <n v="2"/>
    <x v="2"/>
    <s v="Engg Manager"/>
  </r>
  <r>
    <n v="67261"/>
    <x v="5"/>
    <s v="01192801"/>
    <x v="19"/>
    <d v="2026-04-20T00:00:00"/>
    <s v="IA1421"/>
    <s v="Jayapal,Muruganandham"/>
    <n v="173.40687079805048"/>
    <d v="2026-04-20T00:00:00"/>
    <n v="5"/>
    <x v="2"/>
    <s v="Engg Manager"/>
  </r>
  <r>
    <n v="67261"/>
    <x v="5"/>
    <s v="01192801"/>
    <x v="19"/>
    <d v="2026-04-21T00:00:00"/>
    <s v="IA1421"/>
    <s v="Jayapal,Muruganandham"/>
    <n v="208.08824495766055"/>
    <d v="2026-04-21T00:00:00"/>
    <n v="6"/>
    <x v="2"/>
    <s v="Engg Manager"/>
  </r>
  <r>
    <n v="67261"/>
    <x v="5"/>
    <s v="01192801"/>
    <x v="19"/>
    <d v="2026-04-21T00:00:00"/>
    <s v="IA1690"/>
    <s v="Duraisamy,Manikandaprabu"/>
    <n v="277.45099327688075"/>
    <d v="2026-04-21T00:00:00"/>
    <n v="8"/>
    <x v="2"/>
    <s v="Developer"/>
  </r>
  <r>
    <n v="67261"/>
    <x v="5"/>
    <s v="01192801"/>
    <x v="19"/>
    <d v="2026-04-22T00:00:00"/>
    <s v="IA1421"/>
    <s v="Jayapal,Muruganandham"/>
    <n v="208.08824495766055"/>
    <d v="2026-04-22T00:00:00"/>
    <n v="6"/>
    <x v="2"/>
    <s v="Engg Manager"/>
  </r>
  <r>
    <n v="67261"/>
    <x v="5"/>
    <s v="01192801"/>
    <x v="19"/>
    <d v="2026-04-22T00:00:00"/>
    <s v="IA1690"/>
    <s v="Duraisamy,Manikandaprabu"/>
    <n v="277.45099327688075"/>
    <d v="2026-04-22T00:00:00"/>
    <n v="8"/>
    <x v="2"/>
    <s v="Developer"/>
  </r>
  <r>
    <n v="67261"/>
    <x v="5"/>
    <s v="01192801"/>
    <x v="19"/>
    <d v="2026-04-23T00:00:00"/>
    <s v="IA1421"/>
    <s v="Jayapal,Muruganandham"/>
    <n v="208.08824495766055"/>
    <d v="2026-04-23T00:00:00"/>
    <n v="6"/>
    <x v="2"/>
    <s v="Engg Manager"/>
  </r>
  <r>
    <n v="67261"/>
    <x v="5"/>
    <s v="01192801"/>
    <x v="19"/>
    <d v="2026-04-23T00:00:00"/>
    <s v="IA1690"/>
    <s v="Duraisamy,Manikandaprabu"/>
    <n v="277.45099327688075"/>
    <d v="2026-04-23T00:00:00"/>
    <n v="8"/>
    <x v="2"/>
    <s v="Developer"/>
  </r>
  <r>
    <n v="67261"/>
    <x v="5"/>
    <s v="01192801"/>
    <x v="19"/>
    <d v="2026-04-24T00:00:00"/>
    <s v="IA1421"/>
    <s v="Jayapal,Muruganandham"/>
    <n v="208.08824495766055"/>
    <d v="2026-04-24T00:00:00"/>
    <n v="6"/>
    <x v="2"/>
    <s v="Engg Manager"/>
  </r>
  <r>
    <n v="67261"/>
    <x v="5"/>
    <s v="01192801"/>
    <x v="19"/>
    <d v="2026-04-24T00:00:00"/>
    <s v="IA1690"/>
    <s v="Duraisamy,Manikandaprabu"/>
    <n v="138.72549663844038"/>
    <d v="2026-04-24T00:00:00"/>
    <n v="4"/>
    <x v="2"/>
    <s v="Developer"/>
  </r>
  <r>
    <n v="67261"/>
    <x v="5"/>
    <s v="01192801"/>
    <x v="19"/>
    <d v="2026-04-27T00:00:00"/>
    <s v="IA1430"/>
    <s v="Subburajan,Jawahar"/>
    <n v="277.45099327688075"/>
    <d v="2026-04-27T00:00:00"/>
    <n v="8"/>
    <x v="2"/>
    <s v="Lead Developer"/>
  </r>
  <r>
    <n v="67261"/>
    <x v="5"/>
    <s v="01192801"/>
    <x v="19"/>
    <d v="2026-04-27T00:00:00"/>
    <s v="IA1690"/>
    <s v="Duraisamy,Manikandaprabu"/>
    <n v="277.45099327688075"/>
    <d v="2026-04-27T00:00:00"/>
    <n v="8"/>
    <x v="2"/>
    <s v="Developer"/>
  </r>
  <r>
    <n v="67261"/>
    <x v="5"/>
    <s v="01192801"/>
    <x v="19"/>
    <d v="2026-04-28T00:00:00"/>
    <s v="IA1430"/>
    <s v="Subburajan,Jawahar"/>
    <n v="277.45099327688075"/>
    <d v="2026-04-28T00:00:00"/>
    <n v="8"/>
    <x v="2"/>
    <s v="Lead Developer"/>
  </r>
  <r>
    <n v="67261"/>
    <x v="5"/>
    <s v="01192801"/>
    <x v="19"/>
    <d v="2026-04-28T00:00:00"/>
    <s v="IA1690"/>
    <s v="Duraisamy,Manikandaprabu"/>
    <n v="277.45099327688075"/>
    <d v="2026-04-28T00:00:00"/>
    <n v="8"/>
    <x v="2"/>
    <s v="Developer"/>
  </r>
  <r>
    <n v="67261"/>
    <x v="5"/>
    <s v="01192801"/>
    <x v="19"/>
    <d v="2026-04-29T00:00:00"/>
    <s v="IA1430"/>
    <s v="Subburajan,Jawahar"/>
    <n v="277.45099327688075"/>
    <d v="2026-04-29T00:00:00"/>
    <n v="8"/>
    <x v="2"/>
    <s v="Lead Developer"/>
  </r>
  <r>
    <n v="67261"/>
    <x v="5"/>
    <s v="01192801"/>
    <x v="19"/>
    <d v="2026-04-29T00:00:00"/>
    <s v="IA1765"/>
    <s v="Kumar,Saravana"/>
    <n v="277.45099327688075"/>
    <d v="2026-04-29T00:00:00"/>
    <n v="8"/>
    <x v="2"/>
    <s v="Developer"/>
  </r>
  <r>
    <n v="67261"/>
    <x v="5"/>
    <s v="01192801"/>
    <x v="19"/>
    <d v="2026-04-29T00:00:00"/>
    <s v="IA1690"/>
    <s v="Duraisamy,Manikandaprabu"/>
    <n v="277.45099327688075"/>
    <d v="2026-04-29T00:00:00"/>
    <n v="8"/>
    <x v="2"/>
    <s v="Developer"/>
  </r>
  <r>
    <n v="67261"/>
    <x v="5"/>
    <s v="01192801"/>
    <x v="19"/>
    <d v="2026-04-30T00:00:00"/>
    <s v="IA1430"/>
    <s v="Subburajan,Jawahar"/>
    <n v="277.45099327688075"/>
    <d v="2026-04-30T00:00:00"/>
    <n v="8"/>
    <x v="2"/>
    <s v="Lead Developer"/>
  </r>
  <r>
    <n v="67261"/>
    <x v="5"/>
    <s v="01192801"/>
    <x v="19"/>
    <d v="2026-04-30T00:00:00"/>
    <s v="IA1765"/>
    <s v="Kumar,Saravana"/>
    <n v="277.45099327688075"/>
    <d v="2026-04-30T00:00:00"/>
    <n v="8"/>
    <x v="2"/>
    <s v="Developer"/>
  </r>
  <r>
    <n v="67261"/>
    <x v="5"/>
    <s v="01192801"/>
    <x v="19"/>
    <d v="2026-04-30T00:00:00"/>
    <s v="IA1690"/>
    <s v="Duraisamy,Manikandaprabu"/>
    <n v="277.45099327688075"/>
    <d v="2026-04-30T00:00:00"/>
    <n v="8"/>
    <x v="2"/>
    <s v="Developer"/>
  </r>
  <r>
    <n v="67261"/>
    <x v="5"/>
    <s v="01192801"/>
    <x v="19"/>
    <d v="2026-05-04T00:00:00"/>
    <s v="IA1765"/>
    <s v="Kumar,Saravana"/>
    <n v="277.45099327688075"/>
    <d v="2026-05-04T00:00:00"/>
    <n v="8"/>
    <x v="10"/>
    <s v="Developer"/>
  </r>
  <r>
    <n v="67261"/>
    <x v="5"/>
    <s v="01192801"/>
    <x v="19"/>
    <d v="2026-05-04T00:00:00"/>
    <s v="IA1430"/>
    <s v="Subburajan,Jawahar"/>
    <n v="277.45099327688075"/>
    <d v="2026-05-04T00:00:00"/>
    <n v="8"/>
    <x v="10"/>
    <s v="Lead Developer"/>
  </r>
  <r>
    <n v="67261"/>
    <x v="5"/>
    <s v="01192801"/>
    <x v="19"/>
    <d v="2026-05-05T00:00:00"/>
    <s v="IA1765"/>
    <s v="Kumar,Saravana"/>
    <n v="277.45099327688075"/>
    <d v="2026-05-05T00:00:00"/>
    <n v="8"/>
    <x v="10"/>
    <s v="Developer"/>
  </r>
  <r>
    <n v="67261"/>
    <x v="5"/>
    <s v="01192801"/>
    <x v="19"/>
    <d v="2026-05-05T00:00:00"/>
    <s v="IA1830"/>
    <s v="Raj,Gowtham"/>
    <n v="277.45099327688075"/>
    <d v="2026-05-05T00:00:00"/>
    <n v="8"/>
    <x v="10"/>
    <s v="Junior"/>
  </r>
  <r>
    <n v="67261"/>
    <x v="5"/>
    <s v="01192801"/>
    <x v="19"/>
    <d v="2026-05-05T00:00:00"/>
    <s v="IA1430"/>
    <s v="Subburajan,Jawahar"/>
    <n v="277.45099327688075"/>
    <d v="2026-05-05T00:00:00"/>
    <n v="8"/>
    <x v="10"/>
    <s v="Lead Developer"/>
  </r>
  <r>
    <n v="67261"/>
    <x v="5"/>
    <s v="01192801"/>
    <x v="19"/>
    <d v="2026-05-06T00:00:00"/>
    <s v="IA1765"/>
    <s v="Kumar,Saravana"/>
    <n v="277.45099327688075"/>
    <d v="2026-05-06T00:00:00"/>
    <n v="8"/>
    <x v="10"/>
    <s v="Developer"/>
  </r>
  <r>
    <n v="67261"/>
    <x v="5"/>
    <s v="01192801"/>
    <x v="19"/>
    <d v="2026-05-06T00:00:00"/>
    <s v="IA1430"/>
    <s v="Subburajan,Jawahar"/>
    <n v="277.45099327688075"/>
    <d v="2026-05-06T00:00:00"/>
    <n v="8"/>
    <x v="10"/>
    <s v="Lead Developer"/>
  </r>
  <r>
    <n v="67261"/>
    <x v="5"/>
    <s v="01192801"/>
    <x v="19"/>
    <d v="2026-05-06T00:00:00"/>
    <s v="IA1830"/>
    <s v="Raj,Gowtham"/>
    <n v="277.45099327688075"/>
    <d v="2026-05-06T00:00:00"/>
    <n v="8"/>
    <x v="10"/>
    <s v="Junior"/>
  </r>
  <r>
    <n v="67261"/>
    <x v="5"/>
    <s v="01192801"/>
    <x v="19"/>
    <d v="2026-05-07T00:00:00"/>
    <s v="IA1450"/>
    <s v="Selvam,Kadarkarai"/>
    <n v="138.72549663844038"/>
    <d v="2026-05-07T00:00:00"/>
    <n v="4"/>
    <x v="10"/>
    <s v="Lead Developer"/>
  </r>
  <r>
    <n v="67261"/>
    <x v="5"/>
    <s v="01192801"/>
    <x v="19"/>
    <d v="2026-05-07T00:00:00"/>
    <s v="IA1430"/>
    <s v="Subburajan,Jawahar"/>
    <n v="277.45099327688075"/>
    <d v="2026-05-07T00:00:00"/>
    <n v="8"/>
    <x v="10"/>
    <s v="Lead Developer"/>
  </r>
  <r>
    <n v="67261"/>
    <x v="5"/>
    <s v="01192801"/>
    <x v="19"/>
    <d v="2026-05-07T00:00:00"/>
    <s v="IA1830"/>
    <s v="Raj,Gowtham"/>
    <n v="277.45099327688075"/>
    <d v="2026-05-07T00:00:00"/>
    <n v="8"/>
    <x v="10"/>
    <s v="Junior"/>
  </r>
  <r>
    <n v="67261"/>
    <x v="5"/>
    <s v="01192801"/>
    <x v="19"/>
    <d v="2026-05-08T00:00:00"/>
    <s v="IA1765"/>
    <s v="Kumar,Saravana"/>
    <n v="277.45099327688075"/>
    <d v="2026-05-08T00:00:00"/>
    <n v="8"/>
    <x v="10"/>
    <s v="Developer"/>
  </r>
  <r>
    <n v="67261"/>
    <x v="5"/>
    <s v="01192801"/>
    <x v="19"/>
    <d v="2026-05-08T00:00:00"/>
    <s v="IA1830"/>
    <s v="Raj,Gowtham"/>
    <n v="277.45099327688075"/>
    <d v="2026-05-08T00:00:00"/>
    <n v="8"/>
    <x v="10"/>
    <s v="Junior"/>
  </r>
  <r>
    <n v="67261"/>
    <x v="5"/>
    <s v="01192801"/>
    <x v="19"/>
    <d v="2026-05-11T00:00:00"/>
    <s v="IA1430"/>
    <s v="Subburajan,Jawahar"/>
    <n v="277.45099327688075"/>
    <d v="2026-05-11T00:00:00"/>
    <n v="8"/>
    <x v="10"/>
    <s v="Lead Developer"/>
  </r>
  <r>
    <n v="67261"/>
    <x v="5"/>
    <s v="01192801"/>
    <x v="19"/>
    <d v="2026-05-11T00:00:00"/>
    <s v="IA1771"/>
    <s v="anandanshanmugam,kamesh"/>
    <n v="208.08824495766055"/>
    <d v="2026-05-11T00:00:00"/>
    <n v="6"/>
    <x v="10"/>
    <s v="Junior"/>
  </r>
  <r>
    <n v="67261"/>
    <x v="5"/>
    <s v="01192801"/>
    <x v="19"/>
    <d v="2026-05-11T00:00:00"/>
    <s v="IA1450"/>
    <s v="Selvam,Kadarkarai"/>
    <n v="34.681374159610094"/>
    <d v="2026-05-11T00:00:00"/>
    <n v="1"/>
    <x v="10"/>
    <s v="Lead Developer"/>
  </r>
  <r>
    <n v="67261"/>
    <x v="5"/>
    <s v="01192801"/>
    <x v="19"/>
    <d v="2026-05-11T00:00:00"/>
    <s v="IA1830"/>
    <s v="Raj,Gowtham"/>
    <n v="277.45099327688075"/>
    <d v="2026-05-11T00:00:00"/>
    <n v="8"/>
    <x v="10"/>
    <s v="Junior"/>
  </r>
  <r>
    <n v="67261"/>
    <x v="5"/>
    <s v="01192801"/>
    <x v="19"/>
    <d v="2026-05-11T00:00:00"/>
    <s v="IA1765"/>
    <s v="Kumar,Saravana"/>
    <n v="277.45099327688075"/>
    <d v="2026-05-11T00:00:00"/>
    <n v="8"/>
    <x v="10"/>
    <s v="Developer"/>
  </r>
  <r>
    <n v="67261"/>
    <x v="5"/>
    <s v="01192801"/>
    <x v="19"/>
    <d v="2026-05-12T00:00:00"/>
    <s v="IA1430"/>
    <s v="Subburajan,Jawahar"/>
    <n v="277.45099327688075"/>
    <d v="2026-05-12T00:00:00"/>
    <n v="8"/>
    <x v="10"/>
    <s v="Lead Developer"/>
  </r>
  <r>
    <n v="67261"/>
    <x v="5"/>
    <s v="01192801"/>
    <x v="19"/>
    <d v="2026-05-12T00:00:00"/>
    <s v="IA1771"/>
    <s v="anandanshanmugam,kamesh"/>
    <n v="208.08824495766055"/>
    <d v="2026-05-12T00:00:00"/>
    <n v="6"/>
    <x v="10"/>
    <s v="Junior"/>
  </r>
  <r>
    <n v="67261"/>
    <x v="5"/>
    <s v="01192801"/>
    <x v="19"/>
    <d v="2026-05-12T00:00:00"/>
    <s v="IA1450"/>
    <s v="Selvam,Kadarkarai"/>
    <n v="69.362748319220188"/>
    <d v="2026-05-12T00:00:00"/>
    <n v="2"/>
    <x v="10"/>
    <s v="Lead Developer"/>
  </r>
  <r>
    <n v="67261"/>
    <x v="5"/>
    <s v="01192801"/>
    <x v="19"/>
    <d v="2026-05-12T00:00:00"/>
    <s v="IA1830"/>
    <s v="Raj,Gowtham"/>
    <n v="277.45099327688075"/>
    <d v="2026-05-12T00:00:00"/>
    <n v="8"/>
    <x v="10"/>
    <s v="Junior"/>
  </r>
  <r>
    <n v="67261"/>
    <x v="5"/>
    <s v="01192801"/>
    <x v="19"/>
    <d v="2026-05-12T00:00:00"/>
    <s v="IA1765"/>
    <s v="Kumar,Saravana"/>
    <n v="277.45099327688075"/>
    <d v="2026-05-12T00:00:00"/>
    <n v="8"/>
    <x v="10"/>
    <s v="Developer"/>
  </r>
  <r>
    <n v="67261"/>
    <x v="5"/>
    <s v="01192801"/>
    <x v="19"/>
    <d v="2026-05-13T00:00:00"/>
    <s v="IA1430"/>
    <s v="Subburajan,Jawahar"/>
    <n v="277.45099327688075"/>
    <d v="2026-05-13T00:00:00"/>
    <n v="8"/>
    <x v="10"/>
    <s v="Lead Developer"/>
  </r>
  <r>
    <n v="67261"/>
    <x v="5"/>
    <s v="01192801"/>
    <x v="19"/>
    <d v="2026-05-13T00:00:00"/>
    <s v="IA1771"/>
    <s v="anandanshanmugam,kamesh"/>
    <n v="208.08824495766055"/>
    <d v="2026-05-13T00:00:00"/>
    <n v="6"/>
    <x v="10"/>
    <s v="Junior"/>
  </r>
  <r>
    <n v="67261"/>
    <x v="5"/>
    <s v="01192801"/>
    <x v="19"/>
    <d v="2026-05-13T00:00:00"/>
    <s v="IA1450"/>
    <s v="Selvam,Kadarkarai"/>
    <n v="34.681374159610094"/>
    <d v="2026-05-13T00:00:00"/>
    <n v="1"/>
    <x v="10"/>
    <s v="Lead Developer"/>
  </r>
  <r>
    <n v="67261"/>
    <x v="5"/>
    <s v="01192801"/>
    <x v="19"/>
    <d v="2026-05-13T00:00:00"/>
    <s v="IA1830"/>
    <s v="Raj,Gowtham"/>
    <n v="277.45099327688075"/>
    <d v="2026-05-13T00:00:00"/>
    <n v="8"/>
    <x v="10"/>
    <s v="Junior"/>
  </r>
  <r>
    <n v="67261"/>
    <x v="5"/>
    <s v="01192801"/>
    <x v="19"/>
    <d v="2026-05-13T00:00:00"/>
    <s v="IA1765"/>
    <s v="Kumar,Saravana"/>
    <n v="277.45099327688075"/>
    <d v="2026-05-13T00:00:00"/>
    <n v="8"/>
    <x v="10"/>
    <s v="Developer"/>
  </r>
  <r>
    <n v="67261"/>
    <x v="5"/>
    <s v="01192801"/>
    <x v="19"/>
    <d v="2026-05-14T00:00:00"/>
    <s v="IA1430"/>
    <s v="Subburajan,Jawahar"/>
    <n v="277.45099327688075"/>
    <d v="2026-05-14T00:00:00"/>
    <n v="8"/>
    <x v="10"/>
    <s v="Lead Developer"/>
  </r>
  <r>
    <n v="67261"/>
    <x v="5"/>
    <s v="01192801"/>
    <x v="19"/>
    <d v="2026-05-14T00:00:00"/>
    <s v="IA1771"/>
    <s v="anandanshanmugam,kamesh"/>
    <n v="208.08824495766055"/>
    <d v="2026-05-14T00:00:00"/>
    <n v="6"/>
    <x v="10"/>
    <s v="Junior"/>
  </r>
  <r>
    <n v="67261"/>
    <x v="5"/>
    <s v="01192801"/>
    <x v="19"/>
    <d v="2026-05-14T00:00:00"/>
    <s v="IA1450"/>
    <s v="Selvam,Kadarkarai"/>
    <n v="69.362748319220188"/>
    <d v="2026-05-14T00:00:00"/>
    <n v="2"/>
    <x v="10"/>
    <s v="Lead Developer"/>
  </r>
  <r>
    <n v="67261"/>
    <x v="5"/>
    <s v="01192801"/>
    <x v="19"/>
    <d v="2026-05-14T00:00:00"/>
    <s v="IA1830"/>
    <s v="Raj,Gowtham"/>
    <n v="277.45099327688075"/>
    <d v="2026-05-14T00:00:00"/>
    <n v="8"/>
    <x v="10"/>
    <s v="Junior"/>
  </r>
  <r>
    <n v="67261"/>
    <x v="5"/>
    <s v="01192801"/>
    <x v="19"/>
    <d v="2026-05-15T00:00:00"/>
    <s v="IA1430"/>
    <s v="Subburajan,Jawahar"/>
    <n v="277.45099327688075"/>
    <d v="2026-05-15T00:00:00"/>
    <n v="8"/>
    <x v="10"/>
    <s v="Lead Developer"/>
  </r>
  <r>
    <n v="67261"/>
    <x v="5"/>
    <s v="01192801"/>
    <x v="19"/>
    <d v="2026-05-15T00:00:00"/>
    <s v="IA1771"/>
    <s v="anandanshanmugam,kamesh"/>
    <n v="208.08824495766055"/>
    <d v="2026-05-15T00:00:00"/>
    <n v="6"/>
    <x v="10"/>
    <s v="Junior"/>
  </r>
  <r>
    <n v="67261"/>
    <x v="5"/>
    <s v="01192801"/>
    <x v="19"/>
    <d v="2026-05-15T00:00:00"/>
    <s v="IA1830"/>
    <s v="Raj,Gowtham"/>
    <n v="277.45099327688075"/>
    <d v="2026-05-15T00:00:00"/>
    <n v="8"/>
    <x v="10"/>
    <s v="Junior"/>
  </r>
  <r>
    <n v="67261"/>
    <x v="5"/>
    <s v="01192801"/>
    <x v="19"/>
    <d v="2026-05-14T00:00:00"/>
    <s v="IA1765"/>
    <s v="Kumar,Saravana"/>
    <n v="277.45099327688075"/>
    <d v="2026-05-14T00:00:00"/>
    <n v="8"/>
    <x v="10"/>
    <s v="Developer"/>
  </r>
  <r>
    <n v="67261"/>
    <x v="5"/>
    <s v="01192801"/>
    <x v="19"/>
    <d v="2026-05-15T00:00:00"/>
    <s v="IA1765"/>
    <s v="Kumar,Saravana"/>
    <n v="277.45099327688075"/>
    <d v="2026-05-15T00:00:00"/>
    <n v="8"/>
    <x v="10"/>
    <s v="Developer"/>
  </r>
  <r>
    <n v="67261"/>
    <x v="5"/>
    <s v="01192801"/>
    <x v="19"/>
    <d v="2026-05-18T00:00:00"/>
    <s v="IA1765"/>
    <s v="Kumar,Saravana"/>
    <n v="277.45099327688075"/>
    <d v="2026-05-18T00:00:00"/>
    <n v="8"/>
    <x v="10"/>
    <s v="Developer"/>
  </r>
  <r>
    <n v="67261"/>
    <x v="5"/>
    <s v="01192801"/>
    <x v="19"/>
    <d v="2026-05-18T00:00:00"/>
    <s v="IA1430"/>
    <s v="Subburajan,Jawahar"/>
    <n v="242.76961911727065"/>
    <d v="2026-05-18T00:00:00"/>
    <n v="7"/>
    <x v="10"/>
    <s v="Lead Developer"/>
  </r>
  <r>
    <n v="67261"/>
    <x v="5"/>
    <s v="01192801"/>
    <x v="19"/>
    <d v="2026-05-19T00:00:00"/>
    <s v="IA1430"/>
    <s v="Subburajan,Jawahar"/>
    <n v="242.76961911727065"/>
    <d v="2026-05-19T00:00:00"/>
    <n v="7"/>
    <x v="10"/>
    <s v="Lead Developer"/>
  </r>
  <r>
    <n v="67261"/>
    <x v="5"/>
    <s v="01192801"/>
    <x v="19"/>
    <d v="2026-05-19T00:00:00"/>
    <s v="IA1830"/>
    <s v="Raj,Gowtham"/>
    <n v="277.45099327688075"/>
    <d v="2026-05-19T00:00:00"/>
    <n v="8"/>
    <x v="10"/>
    <s v="Junior"/>
  </r>
  <r>
    <n v="67261"/>
    <x v="5"/>
    <s v="01192801"/>
    <x v="19"/>
    <d v="2026-05-19T00:00:00"/>
    <s v="IA1765"/>
    <s v="Kumar,Saravana"/>
    <n v="277.45099327688075"/>
    <d v="2026-05-19T00:00:00"/>
    <n v="8"/>
    <x v="10"/>
    <s v="Developer"/>
  </r>
  <r>
    <n v="67261"/>
    <x v="5"/>
    <s v="01192801"/>
    <x v="19"/>
    <d v="2026-05-19T00:00:00"/>
    <s v="IA1690"/>
    <s v="Duraisamy,Manikandaprabu"/>
    <n v="138.72549663844038"/>
    <d v="2026-05-19T00:00:00"/>
    <n v="4"/>
    <x v="10"/>
    <s v="Developer"/>
  </r>
  <r>
    <n v="67261"/>
    <x v="5"/>
    <s v="01192801"/>
    <x v="19"/>
    <d v="2026-05-20T00:00:00"/>
    <s v="IA1430"/>
    <s v="Subburajan,Jawahar"/>
    <n v="242.76961911727065"/>
    <d v="2026-05-20T00:00:00"/>
    <n v="7"/>
    <x v="10"/>
    <s v="Lead Developer"/>
  </r>
  <r>
    <n v="67261"/>
    <x v="5"/>
    <s v="01192801"/>
    <x v="19"/>
    <d v="2026-05-20T00:00:00"/>
    <s v="IA1830"/>
    <s v="Raj,Gowtham"/>
    <n v="277.45099327688075"/>
    <d v="2026-05-20T00:00:00"/>
    <n v="8"/>
    <x v="10"/>
    <s v="Junior"/>
  </r>
  <r>
    <n v="67261"/>
    <x v="5"/>
    <s v="01192801"/>
    <x v="19"/>
    <d v="2026-05-20T00:00:00"/>
    <s v="IA1765"/>
    <s v="Kumar,Saravana"/>
    <n v="277.45099327688075"/>
    <d v="2026-05-20T00:00:00"/>
    <n v="8"/>
    <x v="10"/>
    <s v="Developer"/>
  </r>
  <r>
    <n v="67261"/>
    <x v="5"/>
    <s v="01192801"/>
    <x v="19"/>
    <d v="2026-05-20T00:00:00"/>
    <s v="IA1690"/>
    <s v="Duraisamy,Manikandaprabu"/>
    <n v="242.76961911727065"/>
    <d v="2026-05-20T00:00:00"/>
    <n v="7"/>
    <x v="10"/>
    <s v="Developer"/>
  </r>
  <r>
    <n v="67261"/>
    <x v="5"/>
    <s v="01192801"/>
    <x v="19"/>
    <d v="2026-05-21T00:00:00"/>
    <s v="IA1430"/>
    <s v="Subburajan,Jawahar"/>
    <n v="242.76961911727065"/>
    <d v="2026-05-21T00:00:00"/>
    <n v="7"/>
    <x v="10"/>
    <s v="Lead Developer"/>
  </r>
  <r>
    <n v="67261"/>
    <x v="5"/>
    <s v="01192801"/>
    <x v="19"/>
    <d v="2026-05-21T00:00:00"/>
    <s v="IA1830"/>
    <s v="Raj,Gowtham"/>
    <n v="277.45099327688075"/>
    <d v="2026-05-21T00:00:00"/>
    <n v="8"/>
    <x v="10"/>
    <s v="Junior"/>
  </r>
  <r>
    <n v="67261"/>
    <x v="5"/>
    <s v="01192801"/>
    <x v="19"/>
    <d v="2026-05-21T00:00:00"/>
    <s v="IA1765"/>
    <s v="Kumar,Saravana"/>
    <n v="277.45099327688075"/>
    <d v="2026-05-21T00:00:00"/>
    <n v="8"/>
    <x v="10"/>
    <s v="Developer"/>
  </r>
  <r>
    <n v="67261"/>
    <x v="5"/>
    <s v="01192801"/>
    <x v="19"/>
    <d v="2026-05-21T00:00:00"/>
    <s v="IA1690"/>
    <s v="Duraisamy,Manikandaprabu"/>
    <n v="242.76961911727065"/>
    <d v="2026-05-21T00:00:00"/>
    <n v="7"/>
    <x v="10"/>
    <s v="Developer"/>
  </r>
  <r>
    <n v="67261"/>
    <x v="5"/>
    <s v="01192801"/>
    <x v="19"/>
    <d v="2026-05-22T00:00:00"/>
    <s v="IA1430"/>
    <s v="Subburajan,Jawahar"/>
    <n v="242.76961911727065"/>
    <d v="2026-05-22T00:00:00"/>
    <n v="7"/>
    <x v="10"/>
    <s v="Lead Developer"/>
  </r>
  <r>
    <n v="67261"/>
    <x v="5"/>
    <s v="01192801"/>
    <x v="19"/>
    <d v="2026-05-22T00:00:00"/>
    <s v="IA1830"/>
    <s v="Raj,Gowtham"/>
    <n v="277.45099327688075"/>
    <d v="2026-05-22T00:00:00"/>
    <n v="8"/>
    <x v="10"/>
    <s v="Junior"/>
  </r>
  <r>
    <n v="67261"/>
    <x v="5"/>
    <s v="01192801"/>
    <x v="19"/>
    <d v="2026-05-22T00:00:00"/>
    <s v="IA1765"/>
    <s v="Kumar,Saravana"/>
    <n v="277.45099327688075"/>
    <d v="2026-05-22T00:00:00"/>
    <n v="8"/>
    <x v="10"/>
    <s v="Developer"/>
  </r>
  <r>
    <n v="67261"/>
    <x v="5"/>
    <s v="01192801"/>
    <x v="19"/>
    <d v="2026-05-22T00:00:00"/>
    <s v="IA1690"/>
    <s v="Duraisamy,Manikandaprabu"/>
    <n v="242.76961911727065"/>
    <d v="2026-05-22T00:00:00"/>
    <n v="7"/>
    <x v="10"/>
    <s v="Developer"/>
  </r>
  <r>
    <n v="67261"/>
    <x v="5"/>
    <s v="01192801"/>
    <x v="19"/>
    <d v="2026-05-25T00:00:00"/>
    <s v="IA1765"/>
    <s v="Kumar,Saravana"/>
    <n v="277.45099327688075"/>
    <d v="2026-05-25T00:00:00"/>
    <n v="8"/>
    <x v="10"/>
    <s v="Developer"/>
  </r>
  <r>
    <n v="67261"/>
    <x v="5"/>
    <s v="01192801"/>
    <x v="19"/>
    <d v="2026-05-25T00:00:00"/>
    <s v="IA1430"/>
    <s v="Subburajan,Jawahar"/>
    <n v="277.45099327688075"/>
    <d v="2026-05-25T00:00:00"/>
    <n v="8"/>
    <x v="10"/>
    <s v="Lead Developer"/>
  </r>
  <r>
    <n v="67261"/>
    <x v="5"/>
    <s v="01192801"/>
    <x v="19"/>
    <d v="2026-05-25T00:00:00"/>
    <s v="IA1830"/>
    <s v="Raj,Gowtham"/>
    <n v="277.45099327688075"/>
    <d v="2026-05-25T00:00:00"/>
    <n v="8"/>
    <x v="10"/>
    <s v="Junior"/>
  </r>
  <r>
    <n v="67261"/>
    <x v="5"/>
    <s v="01192801"/>
    <x v="19"/>
    <d v="2026-05-26T00:00:00"/>
    <s v="IA1765"/>
    <s v="Kumar,Saravana"/>
    <n v="277.45099327688075"/>
    <d v="2026-05-26T00:00:00"/>
    <n v="8"/>
    <x v="10"/>
    <s v="Developer"/>
  </r>
  <r>
    <n v="67261"/>
    <x v="5"/>
    <s v="01192801"/>
    <x v="19"/>
    <d v="2026-05-26T00:00:00"/>
    <s v="IA1430"/>
    <s v="Subburajan,Jawahar"/>
    <n v="277.45099327688075"/>
    <d v="2026-05-26T00:00:00"/>
    <n v="8"/>
    <x v="10"/>
    <s v="Lead Developer"/>
  </r>
  <r>
    <n v="67261"/>
    <x v="5"/>
    <s v="01192801"/>
    <x v="19"/>
    <d v="2026-05-26T00:00:00"/>
    <s v="IA1830"/>
    <s v="Raj,Gowtham"/>
    <n v="277.45099327688075"/>
    <d v="2026-05-26T00:00:00"/>
    <n v="8"/>
    <x v="10"/>
    <s v="Junior"/>
  </r>
  <r>
    <n v="67261"/>
    <x v="5"/>
    <s v="01192801"/>
    <x v="19"/>
    <d v="2026-05-25T00:00:00"/>
    <s v="IA1771"/>
    <s v="anandanshanmugam,kamesh"/>
    <n v="277.45099327688075"/>
    <d v="2026-05-25T00:00:00"/>
    <n v="8"/>
    <x v="10"/>
    <s v="Junior"/>
  </r>
  <r>
    <n v="67261"/>
    <x v="5"/>
    <s v="01192801"/>
    <x v="19"/>
    <d v="2026-05-26T00:00:00"/>
    <s v="IA1771"/>
    <s v="anandanshanmugam,kamesh"/>
    <n v="277.45099327688075"/>
    <d v="2026-05-26T00:00:00"/>
    <n v="8"/>
    <x v="10"/>
    <s v="Junior"/>
  </r>
  <r>
    <n v="67261"/>
    <x v="5"/>
    <s v="01192801"/>
    <x v="19"/>
    <d v="2026-05-27T00:00:00"/>
    <s v="IA1765"/>
    <s v="Kumar,Saravana"/>
    <n v="277.45099327688075"/>
    <d v="2026-05-27T00:00:00"/>
    <n v="8"/>
    <x v="10"/>
    <s v="Developer"/>
  </r>
  <r>
    <n v="67261"/>
    <x v="5"/>
    <s v="01192801"/>
    <x v="19"/>
    <d v="2026-05-27T00:00:00"/>
    <s v="IA1430"/>
    <s v="Subburajan,Jawahar"/>
    <n v="277.45099327688075"/>
    <d v="2026-05-27T00:00:00"/>
    <n v="8"/>
    <x v="10"/>
    <s v="Lead Developer"/>
  </r>
  <r>
    <n v="67261"/>
    <x v="5"/>
    <s v="01192801"/>
    <x v="19"/>
    <d v="2026-05-27T00:00:00"/>
    <s v="IA1830"/>
    <s v="Raj,Gowtham"/>
    <n v="277.45099327688075"/>
    <d v="2026-05-27T00:00:00"/>
    <n v="8"/>
    <x v="10"/>
    <s v="Junior"/>
  </r>
  <r>
    <n v="67261"/>
    <x v="5"/>
    <s v="01192801"/>
    <x v="19"/>
    <d v="2026-05-27T00:00:00"/>
    <s v="IA1771"/>
    <s v="anandanshanmugam,kamesh"/>
    <n v="277.45099327688075"/>
    <d v="2026-05-27T00:00:00"/>
    <n v="8"/>
    <x v="10"/>
    <s v="Junior"/>
  </r>
  <r>
    <n v="67261"/>
    <x v="5"/>
    <s v="01192801"/>
    <x v="19"/>
    <d v="2026-05-28T00:00:00"/>
    <s v="IA1430"/>
    <s v="Subburajan,Jawahar"/>
    <n v="277.45099327688075"/>
    <d v="2026-05-28T00:00:00"/>
    <n v="8"/>
    <x v="10"/>
    <s v="Lead Developer"/>
  </r>
  <r>
    <n v="67261"/>
    <x v="5"/>
    <s v="01192801"/>
    <x v="19"/>
    <d v="2026-05-28T00:00:00"/>
    <s v="IA1830"/>
    <s v="Raj,Gowtham"/>
    <n v="277.45099327688075"/>
    <d v="2026-05-28T00:00:00"/>
    <n v="8"/>
    <x v="10"/>
    <s v="Junior"/>
  </r>
  <r>
    <n v="67261"/>
    <x v="5"/>
    <s v="01192801"/>
    <x v="19"/>
    <d v="2026-05-28T00:00:00"/>
    <s v="IA1765"/>
    <s v="Kumar,Saravana"/>
    <n v="277.45099327688075"/>
    <d v="2026-05-28T00:00:00"/>
    <n v="8"/>
    <x v="10"/>
    <s v="Developer"/>
  </r>
  <r>
    <n v="67261"/>
    <x v="5"/>
    <s v="01192801"/>
    <x v="19"/>
    <d v="2026-05-29T00:00:00"/>
    <s v="IA1830"/>
    <s v="Raj,Gowtham"/>
    <n v="277.45099327688075"/>
    <d v="2026-05-29T00:00:00"/>
    <n v="8"/>
    <x v="10"/>
    <s v="Junior"/>
  </r>
  <r>
    <n v="67261"/>
    <x v="5"/>
    <s v="01192801"/>
    <x v="19"/>
    <d v="2026-06-02T00:00:00"/>
    <s v="IA1765"/>
    <s v="Kumar,Saravana"/>
    <n v="277.45099327688075"/>
    <d v="2026-06-02T00:00:00"/>
    <n v="8"/>
    <x v="11"/>
    <s v="Developer"/>
  </r>
  <r>
    <n v="67261"/>
    <x v="5"/>
    <s v="01192801"/>
    <x v="19"/>
    <d v="2026-06-05T00:00:00"/>
    <s v="IA1765"/>
    <s v="Kumar,Saravana"/>
    <n v="277.45099327688075"/>
    <d v="2026-06-05T00:00:00"/>
    <n v="8"/>
    <x v="11"/>
    <s v="Developer"/>
  </r>
  <r>
    <n v="67262"/>
    <x v="0"/>
    <s v="01192805"/>
    <x v="28"/>
    <d v="2025-07-30T00:00:00"/>
    <n v="6833"/>
    <s v="Kunhiraman,Lakshmikanth"/>
    <n v="34.681374159610094"/>
    <d v="2025-07-30T00:00:00"/>
    <n v="1"/>
    <x v="3"/>
    <s v="Enterprise Architect"/>
  </r>
  <r>
    <n v="67262"/>
    <x v="0"/>
    <s v="01192805"/>
    <x v="28"/>
    <d v="2025-12-15T00:00:00"/>
    <n v="6833"/>
    <s v="Kunhiraman,Lakshmikanth"/>
    <n v="138.72549663844038"/>
    <d v="2025-12-15T00:00:00"/>
    <n v="4"/>
    <x v="8"/>
    <s v="Enterprise Architect"/>
  </r>
  <r>
    <n v="67262"/>
    <x v="0"/>
    <s v="01192805"/>
    <x v="28"/>
    <d v="2025-12-16T00:00:00"/>
    <n v="6833"/>
    <s v="Kunhiraman,Lakshmikanth"/>
    <n v="138.72549663844038"/>
    <d v="2025-12-16T00:00:00"/>
    <n v="4"/>
    <x v="8"/>
    <s v="Enterprise Architect"/>
  </r>
  <r>
    <n v="67262"/>
    <x v="0"/>
    <s v="01192805"/>
    <x v="28"/>
    <d v="2025-12-17T00:00:00"/>
    <n v="6833"/>
    <s v="Kunhiraman,Lakshmikanth"/>
    <n v="138.72549663844038"/>
    <d v="2025-12-17T00:00:00"/>
    <n v="4"/>
    <x v="8"/>
    <s v="Enterprise Architect"/>
  </r>
  <r>
    <n v="67262"/>
    <x v="0"/>
    <s v="01192805"/>
    <x v="28"/>
    <d v="2025-12-18T00:00:00"/>
    <n v="6833"/>
    <s v="Kunhiraman,Lakshmikanth"/>
    <n v="173.40687079805048"/>
    <d v="2025-12-18T00:00:00"/>
    <n v="5"/>
    <x v="8"/>
    <s v="Enterprise Architect"/>
  </r>
  <r>
    <n v="67262"/>
    <x v="0"/>
    <s v="01192805"/>
    <x v="28"/>
    <d v="2025-12-19T00:00:00"/>
    <n v="6833"/>
    <s v="Kunhiraman,Lakshmikanth"/>
    <n v="173.40687079805048"/>
    <d v="2025-12-19T00:00:00"/>
    <n v="5"/>
    <x v="8"/>
    <s v="Enterprise Architect"/>
  </r>
  <r>
    <n v="67262"/>
    <x v="0"/>
    <s v="01192805"/>
    <x v="28"/>
    <d v="2026-01-28T00:00:00"/>
    <s v="IA1421"/>
    <s v="Jayapal,Muruganandham"/>
    <n v="69.362748319220188"/>
    <d v="2026-01-28T00:00:00"/>
    <n v="2"/>
    <x v="9"/>
    <s v="Engg Manager"/>
  </r>
  <r>
    <n v="67262"/>
    <x v="0"/>
    <s v="01192805"/>
    <x v="28"/>
    <d v="2026-01-29T00:00:00"/>
    <s v="IA1421"/>
    <s v="Jayapal,Muruganandham"/>
    <n v="69.362748319220188"/>
    <d v="2026-01-29T00:00:00"/>
    <n v="2"/>
    <x v="9"/>
    <s v="Engg Manager"/>
  </r>
  <r>
    <n v="67262"/>
    <x v="0"/>
    <s v="01192805"/>
    <x v="28"/>
    <d v="2026-01-30T00:00:00"/>
    <s v="IA1421"/>
    <s v="Jayapal,Muruganandham"/>
    <n v="69.362748319220188"/>
    <d v="2026-01-30T00:00:00"/>
    <n v="2"/>
    <x v="9"/>
    <s v="Engg Manager"/>
  </r>
  <r>
    <n v="67260"/>
    <x v="2"/>
    <s v="01192796"/>
    <x v="4"/>
    <d v="2025-09-05T00:00:00"/>
    <s v="IA1450"/>
    <s v="Selvam,Kadarkarai"/>
    <n v="34.681374159610094"/>
    <d v="2025-09-05T00:00:00"/>
    <n v="1"/>
    <x v="5"/>
    <s v="Lead Developer"/>
  </r>
  <r>
    <n v="67260"/>
    <x v="2"/>
    <s v="01192796"/>
    <x v="4"/>
    <d v="2025-09-16T00:00:00"/>
    <s v="IA1450"/>
    <s v="Selvam,Kadarkarai"/>
    <n v="173.40687079805048"/>
    <d v="2025-09-16T00:00:00"/>
    <n v="5"/>
    <x v="5"/>
    <s v="Lead Developer"/>
  </r>
  <r>
    <n v="67260"/>
    <x v="2"/>
    <s v="01192796"/>
    <x v="4"/>
    <d v="2025-09-17T00:00:00"/>
    <s v="IA1450"/>
    <s v="Selvam,Kadarkarai"/>
    <n v="138.72549663844038"/>
    <d v="2025-09-17T00:00:00"/>
    <n v="4"/>
    <x v="5"/>
    <s v="Lead Developer"/>
  </r>
  <r>
    <n v="67260"/>
    <x v="2"/>
    <s v="01192796"/>
    <x v="4"/>
    <d v="2025-09-18T00:00:00"/>
    <s v="IA1450"/>
    <s v="Selvam,Kadarkarai"/>
    <n v="34.681374159610094"/>
    <d v="2025-09-18T00:00:00"/>
    <n v="1"/>
    <x v="5"/>
    <s v="Lead Developer"/>
  </r>
  <r>
    <n v="67260"/>
    <x v="2"/>
    <s v="01192796"/>
    <x v="4"/>
    <d v="2025-09-19T00:00:00"/>
    <s v="IA1450"/>
    <s v="Selvam,Kadarkarai"/>
    <n v="104.04412247883027"/>
    <d v="2025-09-19T00:00:00"/>
    <n v="3"/>
    <x v="5"/>
    <s v="Lead Developer"/>
  </r>
  <r>
    <n v="67260"/>
    <x v="2"/>
    <s v="01192796"/>
    <x v="4"/>
    <d v="2025-10-06T00:00:00"/>
    <s v="IA1450"/>
    <s v="Selvam,Kadarkarai"/>
    <n v="34.681374159610094"/>
    <d v="2025-10-06T00:00:00"/>
    <n v="1"/>
    <x v="6"/>
    <s v="Lead Developer"/>
  </r>
  <r>
    <n v="67260"/>
    <x v="2"/>
    <s v="01192796"/>
    <x v="4"/>
    <d v="2025-10-06T00:00:00"/>
    <s v="IA1757"/>
    <s v="Thirunavukkarasu,Kishore"/>
    <n v="138.72549663844038"/>
    <d v="2025-10-06T00:00:00"/>
    <n v="4"/>
    <x v="6"/>
    <s v="Developer"/>
  </r>
  <r>
    <n v="67260"/>
    <x v="2"/>
    <s v="01192796"/>
    <x v="4"/>
    <d v="2025-10-07T00:00:00"/>
    <s v="IA1757"/>
    <s v="Thirunavukkarasu,Kishore"/>
    <n v="208.08824495766055"/>
    <d v="2025-10-07T00:00:00"/>
    <n v="6"/>
    <x v="6"/>
    <s v="Developer"/>
  </r>
  <r>
    <n v="67260"/>
    <x v="2"/>
    <s v="01192796"/>
    <x v="4"/>
    <d v="2025-10-08T00:00:00"/>
    <s v="IA1757"/>
    <s v="Thirunavukkarasu,Kishore"/>
    <n v="208.08824495766055"/>
    <d v="2025-10-08T00:00:00"/>
    <n v="6"/>
    <x v="6"/>
    <s v="Developer"/>
  </r>
  <r>
    <n v="67260"/>
    <x v="2"/>
    <s v="01192796"/>
    <x v="4"/>
    <d v="2025-10-09T00:00:00"/>
    <s v="IA1757"/>
    <s v="Thirunavukkarasu,Kishore"/>
    <n v="208.08824495766055"/>
    <d v="2025-10-09T00:00:00"/>
    <n v="6"/>
    <x v="6"/>
    <s v="Developer"/>
  </r>
  <r>
    <n v="67260"/>
    <x v="2"/>
    <s v="01192796"/>
    <x v="4"/>
    <d v="2025-10-10T00:00:00"/>
    <s v="IA1757"/>
    <s v="Thirunavukkarasu,Kishore"/>
    <n v="208.08824495766055"/>
    <d v="2025-10-10T00:00:00"/>
    <n v="6"/>
    <x v="6"/>
    <s v="Developer"/>
  </r>
  <r>
    <n v="67260"/>
    <x v="2"/>
    <s v="01192796"/>
    <x v="4"/>
    <d v="2025-10-13T00:00:00"/>
    <s v="IA1757"/>
    <s v="Thirunavukkarasu,Kishore"/>
    <n v="208.08824495766055"/>
    <d v="2025-10-13T00:00:00"/>
    <n v="6"/>
    <x v="6"/>
    <s v="Developer"/>
  </r>
  <r>
    <n v="67260"/>
    <x v="2"/>
    <s v="01192796"/>
    <x v="4"/>
    <d v="2025-10-13T00:00:00"/>
    <s v="IA1450"/>
    <s v="Selvam,Kadarkarai"/>
    <n v="173.40687079805048"/>
    <d v="2025-10-13T00:00:00"/>
    <n v="5"/>
    <x v="6"/>
    <s v="Lead Developer"/>
  </r>
  <r>
    <n v="67260"/>
    <x v="2"/>
    <s v="01192796"/>
    <x v="4"/>
    <d v="2025-10-13T00:00:00"/>
    <s v="IA1793"/>
    <s v="Subramanian,Ruthrakkanth"/>
    <n v="208.08824495766055"/>
    <d v="2025-10-13T00:00:00"/>
    <n v="6"/>
    <x v="6"/>
    <s v="Developer"/>
  </r>
  <r>
    <n v="67260"/>
    <x v="2"/>
    <s v="01192796"/>
    <x v="4"/>
    <d v="2025-10-14T00:00:00"/>
    <s v="IA1757"/>
    <s v="Thirunavukkarasu,Kishore"/>
    <n v="208.08824495766055"/>
    <d v="2025-10-14T00:00:00"/>
    <n v="6"/>
    <x v="6"/>
    <s v="Developer"/>
  </r>
  <r>
    <n v="67260"/>
    <x v="2"/>
    <s v="01192796"/>
    <x v="4"/>
    <d v="2025-10-14T00:00:00"/>
    <s v="IA1450"/>
    <s v="Selvam,Kadarkarai"/>
    <n v="138.72549663844038"/>
    <d v="2025-10-14T00:00:00"/>
    <n v="4"/>
    <x v="6"/>
    <s v="Lead Developer"/>
  </r>
  <r>
    <n v="67260"/>
    <x v="2"/>
    <s v="01192796"/>
    <x v="4"/>
    <d v="2025-10-15T00:00:00"/>
    <s v="IA1450"/>
    <s v="Selvam,Kadarkarai"/>
    <n v="242.76961911727065"/>
    <d v="2025-10-15T00:00:00"/>
    <n v="7"/>
    <x v="6"/>
    <s v="Lead Developer"/>
  </r>
  <r>
    <n v="67260"/>
    <x v="2"/>
    <s v="01192796"/>
    <x v="4"/>
    <d v="2025-10-16T00:00:00"/>
    <s v="IA1450"/>
    <s v="Selvam,Kadarkarai"/>
    <n v="173.40687079805048"/>
    <d v="2025-10-16T00:00:00"/>
    <n v="5"/>
    <x v="6"/>
    <s v="Lead Developer"/>
  </r>
  <r>
    <n v="67260"/>
    <x v="2"/>
    <s v="01192796"/>
    <x v="4"/>
    <d v="2025-10-16T00:00:00"/>
    <s v="IA1793"/>
    <s v="Subramanian,Ruthrakkanth"/>
    <n v="208.08824495766055"/>
    <d v="2025-10-16T00:00:00"/>
    <n v="6"/>
    <x v="6"/>
    <s v="Developer"/>
  </r>
  <r>
    <n v="67260"/>
    <x v="2"/>
    <s v="01192796"/>
    <x v="4"/>
    <d v="2025-10-17T00:00:00"/>
    <s v="IA1793"/>
    <s v="Subramanian,Ruthrakkanth"/>
    <n v="208.08824495766055"/>
    <d v="2025-10-17T00:00:00"/>
    <n v="6"/>
    <x v="6"/>
    <s v="Developer"/>
  </r>
  <r>
    <n v="67260"/>
    <x v="2"/>
    <s v="01192796"/>
    <x v="4"/>
    <d v="2025-10-20T00:00:00"/>
    <s v="IA1793"/>
    <s v="Subramanian,Ruthrakkanth"/>
    <n v="208.08824495766055"/>
    <d v="2025-10-20T00:00:00"/>
    <n v="6"/>
    <x v="6"/>
    <s v="Developer"/>
  </r>
  <r>
    <n v="67260"/>
    <x v="2"/>
    <s v="01192796"/>
    <x v="4"/>
    <d v="2025-10-23T00:00:00"/>
    <s v="IA1757"/>
    <s v="Thirunavukkarasu,Kishore"/>
    <n v="208.08824495766055"/>
    <d v="2025-10-23T00:00:00"/>
    <n v="6"/>
    <x v="6"/>
    <s v="Developer"/>
  </r>
  <r>
    <n v="67260"/>
    <x v="2"/>
    <s v="01192796"/>
    <x v="4"/>
    <d v="2025-10-23T00:00:00"/>
    <s v="IA1450"/>
    <s v="Selvam,Kadarkarai"/>
    <n v="104.04412247883027"/>
    <d v="2025-10-23T00:00:00"/>
    <n v="3"/>
    <x v="6"/>
    <s v="Lead Developer"/>
  </r>
  <r>
    <n v="67260"/>
    <x v="2"/>
    <s v="01192796"/>
    <x v="4"/>
    <d v="2025-10-23T00:00:00"/>
    <s v="IA1793"/>
    <s v="Subramanian,Ruthrakkanth"/>
    <n v="208.08824495766055"/>
    <d v="2025-10-23T00:00:00"/>
    <n v="6"/>
    <x v="6"/>
    <s v="Developer"/>
  </r>
  <r>
    <n v="67260"/>
    <x v="2"/>
    <s v="01192796"/>
    <x v="4"/>
    <d v="2025-10-24T00:00:00"/>
    <s v="IA1757"/>
    <s v="Thirunavukkarasu,Kishore"/>
    <n v="208.08824495766055"/>
    <d v="2025-10-24T00:00:00"/>
    <n v="6"/>
    <x v="6"/>
    <s v="Developer"/>
  </r>
  <r>
    <n v="67260"/>
    <x v="2"/>
    <s v="01192796"/>
    <x v="4"/>
    <d v="2025-10-24T00:00:00"/>
    <s v="IA1793"/>
    <s v="Subramanian,Ruthrakkanth"/>
    <n v="208.08824495766055"/>
    <d v="2025-10-24T00:00:00"/>
    <n v="6"/>
    <x v="6"/>
    <s v="Developer"/>
  </r>
  <r>
    <n v="67260"/>
    <x v="2"/>
    <s v="01192796"/>
    <x v="4"/>
    <d v="2025-10-27T00:00:00"/>
    <s v="IA1793"/>
    <s v="Subramanian,Ruthrakkanth"/>
    <n v="208.08824495766055"/>
    <d v="2025-10-27T00:00:00"/>
    <n v="6"/>
    <x v="6"/>
    <s v="Developer"/>
  </r>
  <r>
    <n v="67260"/>
    <x v="2"/>
    <s v="01192796"/>
    <x v="4"/>
    <d v="2025-10-27T00:00:00"/>
    <s v="IA1757"/>
    <s v="Thirunavukkarasu,Kishore"/>
    <n v="173.40687079805048"/>
    <d v="2025-10-27T00:00:00"/>
    <n v="5"/>
    <x v="6"/>
    <s v="Developer"/>
  </r>
  <r>
    <n v="67260"/>
    <x v="2"/>
    <s v="01192796"/>
    <x v="4"/>
    <d v="2025-10-28T00:00:00"/>
    <s v="IA1793"/>
    <s v="Subramanian,Ruthrakkanth"/>
    <n v="34.681374159610094"/>
    <d v="2025-10-28T00:00:00"/>
    <n v="1"/>
    <x v="6"/>
    <s v="Developer"/>
  </r>
  <r>
    <n v="67260"/>
    <x v="2"/>
    <s v="01192796"/>
    <x v="4"/>
    <d v="2025-10-28T00:00:00"/>
    <s v="IA1757"/>
    <s v="Thirunavukkarasu,Kishore"/>
    <n v="208.08824495766055"/>
    <d v="2025-10-28T00:00:00"/>
    <n v="6"/>
    <x v="6"/>
    <s v="Developer"/>
  </r>
  <r>
    <n v="67260"/>
    <x v="2"/>
    <s v="01192796"/>
    <x v="4"/>
    <d v="2025-10-29T00:00:00"/>
    <s v="IA1757"/>
    <s v="Thirunavukkarasu,Kishore"/>
    <n v="138.72549663844038"/>
    <d v="2025-10-29T00:00:00"/>
    <n v="4"/>
    <x v="6"/>
    <s v="Developer"/>
  </r>
  <r>
    <n v="67260"/>
    <x v="2"/>
    <s v="01192796"/>
    <x v="4"/>
    <d v="2025-10-30T00:00:00"/>
    <s v="IA1793"/>
    <s v="Subramanian,Ruthrakkanth"/>
    <n v="208.08824495766055"/>
    <d v="2025-10-30T00:00:00"/>
    <n v="6"/>
    <x v="6"/>
    <s v="Developer"/>
  </r>
  <r>
    <n v="67260"/>
    <x v="2"/>
    <s v="01192796"/>
    <x v="4"/>
    <d v="2025-10-30T00:00:00"/>
    <s v="IA1757"/>
    <s v="Thirunavukkarasu,Kishore"/>
    <n v="104.04412247883027"/>
    <d v="2025-10-30T00:00:00"/>
    <n v="3"/>
    <x v="6"/>
    <s v="Developer"/>
  </r>
  <r>
    <n v="67260"/>
    <x v="2"/>
    <s v="01192796"/>
    <x v="4"/>
    <d v="2025-10-31T00:00:00"/>
    <s v="IA1793"/>
    <s v="Subramanian,Ruthrakkanth"/>
    <n v="208.08824495766055"/>
    <d v="2025-10-31T00:00:00"/>
    <n v="6"/>
    <x v="6"/>
    <s v="Developer"/>
  </r>
  <r>
    <n v="67260"/>
    <x v="2"/>
    <s v="01192796"/>
    <x v="4"/>
    <d v="2025-11-03T00:00:00"/>
    <s v="IA1793"/>
    <s v="Subramanian,Ruthrakkanth"/>
    <n v="190.74755787785551"/>
    <d v="2025-11-03T00:00:00"/>
    <n v="5.5"/>
    <x v="7"/>
    <s v="Developer"/>
  </r>
  <r>
    <n v="67260"/>
    <x v="2"/>
    <s v="01192796"/>
    <x v="4"/>
    <d v="2025-11-03T00:00:00"/>
    <s v="IA1757"/>
    <s v="Thirunavukkarasu,Kishore"/>
    <n v="208.08824495766055"/>
    <d v="2025-11-03T00:00:00"/>
    <n v="6"/>
    <x v="7"/>
    <s v="Developer"/>
  </r>
  <r>
    <n v="67260"/>
    <x v="2"/>
    <s v="01192796"/>
    <x v="4"/>
    <d v="2025-11-03T00:00:00"/>
    <s v="IA1793"/>
    <s v="Subramanian,Ruthrakkanth"/>
    <n v="-190.74755787785551"/>
    <d v="2025-11-03T00:00:00"/>
    <n v="-5.5"/>
    <x v="7"/>
    <s v="Developer"/>
  </r>
  <r>
    <n v="67260"/>
    <x v="2"/>
    <s v="01192796"/>
    <x v="4"/>
    <d v="2025-11-03T00:00:00"/>
    <s v="IA1793"/>
    <s v="Subramanian,Ruthrakkanth"/>
    <n v="277.45099327688075"/>
    <d v="2025-11-03T00:00:00"/>
    <n v="8"/>
    <x v="7"/>
    <s v="Developer"/>
  </r>
  <r>
    <n v="67260"/>
    <x v="2"/>
    <s v="01192796"/>
    <x v="4"/>
    <d v="2025-11-03T00:00:00"/>
    <s v="IA1757"/>
    <s v="Thirunavukkarasu,Kishore"/>
    <n v="-208.08824495766055"/>
    <d v="2025-11-03T00:00:00"/>
    <n v="-6"/>
    <x v="7"/>
    <s v="Developer"/>
  </r>
  <r>
    <n v="67260"/>
    <x v="2"/>
    <s v="01192796"/>
    <x v="4"/>
    <d v="2025-11-03T00:00:00"/>
    <s v="IA1757"/>
    <s v="Thirunavukkarasu,Kishore"/>
    <n v="277.45099327688075"/>
    <d v="2025-11-03T00:00:00"/>
    <n v="8"/>
    <x v="7"/>
    <s v="Developer"/>
  </r>
  <r>
    <n v="67260"/>
    <x v="2"/>
    <s v="01192796"/>
    <x v="4"/>
    <d v="2025-11-03T00:00:00"/>
    <s v="IA1450"/>
    <s v="Selvam,Kadarkarai"/>
    <n v="242.76961911727065"/>
    <d v="2025-11-03T00:00:00"/>
    <n v="7"/>
    <x v="7"/>
    <s v="Lead Developer"/>
  </r>
  <r>
    <n v="67260"/>
    <x v="2"/>
    <s v="01192796"/>
    <x v="4"/>
    <d v="2025-11-04T00:00:00"/>
    <s v="IA1793"/>
    <s v="Subramanian,Ruthrakkanth"/>
    <n v="208.08824495766055"/>
    <d v="2025-11-04T00:00:00"/>
    <n v="6"/>
    <x v="7"/>
    <s v="Developer"/>
  </r>
  <r>
    <n v="67260"/>
    <x v="2"/>
    <s v="01192796"/>
    <x v="4"/>
    <d v="2025-11-04T00:00:00"/>
    <s v="IA1793"/>
    <s v="Subramanian,Ruthrakkanth"/>
    <n v="-208.08824495766055"/>
    <d v="2025-11-04T00:00:00"/>
    <n v="-6"/>
    <x v="7"/>
    <s v="Developer"/>
  </r>
  <r>
    <n v="67260"/>
    <x v="2"/>
    <s v="01192796"/>
    <x v="4"/>
    <d v="2025-11-04T00:00:00"/>
    <s v="IA1793"/>
    <s v="Subramanian,Ruthrakkanth"/>
    <n v="277.45099327688075"/>
    <d v="2025-11-04T00:00:00"/>
    <n v="8"/>
    <x v="7"/>
    <s v="Developer"/>
  </r>
  <r>
    <n v="67260"/>
    <x v="2"/>
    <s v="01192796"/>
    <x v="4"/>
    <d v="2025-11-04T00:00:00"/>
    <s v="IA1757"/>
    <s v="Thirunavukkarasu,Kishore"/>
    <n v="69.362748319220188"/>
    <d v="2025-11-04T00:00:00"/>
    <n v="2"/>
    <x v="7"/>
    <s v="Developer"/>
  </r>
  <r>
    <n v="67260"/>
    <x v="2"/>
    <s v="01192796"/>
    <x v="4"/>
    <d v="2025-11-04T00:00:00"/>
    <s v="IA1450"/>
    <s v="Selvam,Kadarkarai"/>
    <n v="208.08824495766055"/>
    <d v="2025-11-04T00:00:00"/>
    <n v="6"/>
    <x v="7"/>
    <s v="Lead Developer"/>
  </r>
  <r>
    <n v="67260"/>
    <x v="2"/>
    <s v="01192796"/>
    <x v="4"/>
    <d v="2025-11-05T00:00:00"/>
    <s v="IA1793"/>
    <s v="Subramanian,Ruthrakkanth"/>
    <n v="208.08824495766055"/>
    <d v="2025-11-05T00:00:00"/>
    <n v="6"/>
    <x v="7"/>
    <s v="Developer"/>
  </r>
  <r>
    <n v="67260"/>
    <x v="2"/>
    <s v="01192796"/>
    <x v="4"/>
    <d v="2025-11-05T00:00:00"/>
    <s v="IA1793"/>
    <s v="Subramanian,Ruthrakkanth"/>
    <n v="-208.08824495766055"/>
    <d v="2025-11-05T00:00:00"/>
    <n v="-6"/>
    <x v="7"/>
    <s v="Developer"/>
  </r>
  <r>
    <n v="67260"/>
    <x v="2"/>
    <s v="01192796"/>
    <x v="4"/>
    <d v="2025-11-05T00:00:00"/>
    <s v="IA1793"/>
    <s v="Subramanian,Ruthrakkanth"/>
    <n v="277.45099327688075"/>
    <d v="2025-11-05T00:00:00"/>
    <n v="8"/>
    <x v="7"/>
    <s v="Developer"/>
  </r>
  <r>
    <n v="67260"/>
    <x v="2"/>
    <s v="01192796"/>
    <x v="4"/>
    <d v="2025-11-05T00:00:00"/>
    <s v="IA1757"/>
    <s v="Thirunavukkarasu,Kishore"/>
    <n v="69.362748319220188"/>
    <d v="2025-11-05T00:00:00"/>
    <n v="2"/>
    <x v="7"/>
    <s v="Developer"/>
  </r>
  <r>
    <n v="67260"/>
    <x v="2"/>
    <s v="01192796"/>
    <x v="4"/>
    <d v="2025-11-05T00:00:00"/>
    <s v="IA1450"/>
    <s v="Selvam,Kadarkarai"/>
    <n v="173.40687079805048"/>
    <d v="2025-11-05T00:00:00"/>
    <n v="5"/>
    <x v="7"/>
    <s v="Lead Developer"/>
  </r>
  <r>
    <n v="67260"/>
    <x v="2"/>
    <s v="01192796"/>
    <x v="4"/>
    <d v="2025-11-06T00:00:00"/>
    <s v="IA1793"/>
    <s v="Subramanian,Ruthrakkanth"/>
    <n v="208.08824495766055"/>
    <d v="2025-11-06T00:00:00"/>
    <n v="6"/>
    <x v="7"/>
    <s v="Developer"/>
  </r>
  <r>
    <n v="67260"/>
    <x v="2"/>
    <s v="01192796"/>
    <x v="4"/>
    <d v="2025-11-06T00:00:00"/>
    <s v="IA1757"/>
    <s v="Thirunavukkarasu,Kishore"/>
    <n v="208.08824495766055"/>
    <d v="2025-11-06T00:00:00"/>
    <n v="6"/>
    <x v="7"/>
    <s v="Developer"/>
  </r>
  <r>
    <n v="67260"/>
    <x v="2"/>
    <s v="01192796"/>
    <x v="4"/>
    <d v="2025-11-06T00:00:00"/>
    <s v="IA1793"/>
    <s v="Subramanian,Ruthrakkanth"/>
    <n v="-208.08824495766055"/>
    <d v="2025-11-06T00:00:00"/>
    <n v="-6"/>
    <x v="7"/>
    <s v="Developer"/>
  </r>
  <r>
    <n v="67260"/>
    <x v="2"/>
    <s v="01192796"/>
    <x v="4"/>
    <d v="2025-11-06T00:00:00"/>
    <s v="IA1793"/>
    <s v="Subramanian,Ruthrakkanth"/>
    <n v="277.45099327688075"/>
    <d v="2025-11-06T00:00:00"/>
    <n v="8"/>
    <x v="7"/>
    <s v="Developer"/>
  </r>
  <r>
    <n v="67260"/>
    <x v="2"/>
    <s v="01192796"/>
    <x v="4"/>
    <d v="2025-11-06T00:00:00"/>
    <s v="IA1757"/>
    <s v="Thirunavukkarasu,Kishore"/>
    <n v="-208.08824495766055"/>
    <d v="2025-11-06T00:00:00"/>
    <n v="-6"/>
    <x v="7"/>
    <s v="Developer"/>
  </r>
  <r>
    <n v="67260"/>
    <x v="2"/>
    <s v="01192796"/>
    <x v="4"/>
    <d v="2025-11-06T00:00:00"/>
    <s v="IA1757"/>
    <s v="Thirunavukkarasu,Kishore"/>
    <n v="277.45099327688075"/>
    <d v="2025-11-06T00:00:00"/>
    <n v="8"/>
    <x v="7"/>
    <s v="Developer"/>
  </r>
  <r>
    <n v="67260"/>
    <x v="2"/>
    <s v="01192796"/>
    <x v="4"/>
    <d v="2025-11-06T00:00:00"/>
    <s v="IA1450"/>
    <s v="Selvam,Kadarkarai"/>
    <n v="208.08824495766055"/>
    <d v="2025-11-06T00:00:00"/>
    <n v="6"/>
    <x v="7"/>
    <s v="Lead Developer"/>
  </r>
  <r>
    <n v="67260"/>
    <x v="2"/>
    <s v="01192796"/>
    <x v="4"/>
    <d v="2025-11-07T00:00:00"/>
    <s v="IA1793"/>
    <s v="Subramanian,Ruthrakkanth"/>
    <n v="173.40687079805048"/>
    <d v="2025-11-07T00:00:00"/>
    <n v="5"/>
    <x v="7"/>
    <s v="Developer"/>
  </r>
  <r>
    <n v="67260"/>
    <x v="2"/>
    <s v="01192796"/>
    <x v="4"/>
    <d v="2025-11-07T00:00:00"/>
    <s v="IA1757"/>
    <s v="Thirunavukkarasu,Kishore"/>
    <n v="208.08824495766055"/>
    <d v="2025-11-07T00:00:00"/>
    <n v="6"/>
    <x v="7"/>
    <s v="Developer"/>
  </r>
  <r>
    <n v="67260"/>
    <x v="2"/>
    <s v="01192796"/>
    <x v="4"/>
    <d v="2025-11-07T00:00:00"/>
    <s v="IA1793"/>
    <s v="Subramanian,Ruthrakkanth"/>
    <n v="-173.40687079805048"/>
    <d v="2025-11-07T00:00:00"/>
    <n v="-5"/>
    <x v="7"/>
    <s v="Developer"/>
  </r>
  <r>
    <n v="67260"/>
    <x v="2"/>
    <s v="01192796"/>
    <x v="4"/>
    <d v="2025-11-07T00:00:00"/>
    <s v="IA1793"/>
    <s v="Subramanian,Ruthrakkanth"/>
    <n v="277.45099327688075"/>
    <d v="2025-11-07T00:00:00"/>
    <n v="8"/>
    <x v="7"/>
    <s v="Developer"/>
  </r>
  <r>
    <n v="67260"/>
    <x v="2"/>
    <s v="01192796"/>
    <x v="4"/>
    <d v="2025-11-07T00:00:00"/>
    <s v="IA1757"/>
    <s v="Thirunavukkarasu,Kishore"/>
    <n v="-208.08824495766055"/>
    <d v="2025-11-07T00:00:00"/>
    <n v="-6"/>
    <x v="7"/>
    <s v="Developer"/>
  </r>
  <r>
    <n v="67260"/>
    <x v="2"/>
    <s v="01192796"/>
    <x v="4"/>
    <d v="2025-11-07T00:00:00"/>
    <s v="IA1757"/>
    <s v="Thirunavukkarasu,Kishore"/>
    <n v="277.45099327688075"/>
    <d v="2025-11-07T00:00:00"/>
    <n v="8"/>
    <x v="7"/>
    <s v="Developer"/>
  </r>
  <r>
    <n v="67260"/>
    <x v="2"/>
    <s v="01192796"/>
    <x v="4"/>
    <d v="2025-11-07T00:00:00"/>
    <s v="IA1450"/>
    <s v="Selvam,Kadarkarai"/>
    <n v="242.76961911727065"/>
    <d v="2025-11-07T00:00:00"/>
    <n v="7"/>
    <x v="7"/>
    <s v="Lead Developer"/>
  </r>
  <r>
    <n v="67260"/>
    <x v="2"/>
    <s v="01192796"/>
    <x v="4"/>
    <d v="2025-11-10T00:00:00"/>
    <s v="IA1757"/>
    <s v="Thirunavukkarasu,Kishore"/>
    <n v="277.45099327688075"/>
    <d v="2025-11-10T00:00:00"/>
    <n v="8"/>
    <x v="7"/>
    <s v="Developer"/>
  </r>
  <r>
    <n v="67260"/>
    <x v="2"/>
    <s v="01192796"/>
    <x v="4"/>
    <d v="2025-11-10T00:00:00"/>
    <s v="IA1793"/>
    <s v="Subramanian,Ruthrakkanth"/>
    <n v="277.45099327688075"/>
    <d v="2025-11-10T00:00:00"/>
    <n v="8"/>
    <x v="7"/>
    <s v="Developer"/>
  </r>
  <r>
    <n v="67260"/>
    <x v="2"/>
    <s v="01192796"/>
    <x v="4"/>
    <d v="2025-11-10T00:00:00"/>
    <s v="IA1757"/>
    <s v="Thirunavukkarasu,Kishore"/>
    <n v="-277.45099327688075"/>
    <d v="2025-11-10T00:00:00"/>
    <n v="-8"/>
    <x v="7"/>
    <s v="Developer"/>
  </r>
  <r>
    <n v="67260"/>
    <x v="2"/>
    <s v="01192796"/>
    <x v="4"/>
    <d v="2025-11-10T00:00:00"/>
    <s v="IA1450"/>
    <s v="Selvam,Kadarkarai"/>
    <n v="242.76961911727065"/>
    <d v="2025-11-10T00:00:00"/>
    <n v="7"/>
    <x v="7"/>
    <s v="Lead Developer"/>
  </r>
  <r>
    <n v="67260"/>
    <x v="2"/>
    <s v="01192796"/>
    <x v="4"/>
    <d v="2025-11-11T00:00:00"/>
    <s v="IA1757"/>
    <s v="Thirunavukkarasu,Kishore"/>
    <n v="277.45099327688075"/>
    <d v="2025-11-11T00:00:00"/>
    <n v="8"/>
    <x v="7"/>
    <s v="Developer"/>
  </r>
  <r>
    <n v="67260"/>
    <x v="2"/>
    <s v="01192796"/>
    <x v="4"/>
    <d v="2025-11-11T00:00:00"/>
    <s v="IA1793"/>
    <s v="Subramanian,Ruthrakkanth"/>
    <n v="277.45099327688075"/>
    <d v="2025-11-11T00:00:00"/>
    <n v="8"/>
    <x v="7"/>
    <s v="Developer"/>
  </r>
  <r>
    <n v="67260"/>
    <x v="2"/>
    <s v="01192796"/>
    <x v="4"/>
    <d v="2025-11-11T00:00:00"/>
    <s v="IA1450"/>
    <s v="Selvam,Kadarkarai"/>
    <n v="173.40687079805048"/>
    <d v="2025-11-11T00:00:00"/>
    <n v="5"/>
    <x v="7"/>
    <s v="Lead Developer"/>
  </r>
  <r>
    <n v="67260"/>
    <x v="2"/>
    <s v="01192796"/>
    <x v="4"/>
    <d v="2025-11-12T00:00:00"/>
    <s v="IA1757"/>
    <s v="Thirunavukkarasu,Kishore"/>
    <n v="277.45099327688075"/>
    <d v="2025-11-12T00:00:00"/>
    <n v="8"/>
    <x v="7"/>
    <s v="Developer"/>
  </r>
  <r>
    <n v="67260"/>
    <x v="2"/>
    <s v="01192796"/>
    <x v="4"/>
    <d v="2025-11-12T00:00:00"/>
    <s v="IA1793"/>
    <s v="Subramanian,Ruthrakkanth"/>
    <n v="277.45099327688075"/>
    <d v="2025-11-12T00:00:00"/>
    <n v="8"/>
    <x v="7"/>
    <s v="Developer"/>
  </r>
  <r>
    <n v="67260"/>
    <x v="2"/>
    <s v="01192796"/>
    <x v="4"/>
    <d v="2025-11-12T00:00:00"/>
    <s v="IA1450"/>
    <s v="Selvam,Kadarkarai"/>
    <n v="208.08824495766055"/>
    <d v="2025-11-12T00:00:00"/>
    <n v="6"/>
    <x v="7"/>
    <s v="Lead Developer"/>
  </r>
  <r>
    <n v="67260"/>
    <x v="2"/>
    <s v="01192796"/>
    <x v="4"/>
    <d v="2025-11-13T00:00:00"/>
    <s v="IA1757"/>
    <s v="Thirunavukkarasu,Kishore"/>
    <n v="277.45099327688075"/>
    <d v="2025-11-13T00:00:00"/>
    <n v="8"/>
    <x v="7"/>
    <s v="Developer"/>
  </r>
  <r>
    <n v="67260"/>
    <x v="2"/>
    <s v="01192796"/>
    <x v="4"/>
    <d v="2025-11-13T00:00:00"/>
    <s v="IA1793"/>
    <s v="Subramanian,Ruthrakkanth"/>
    <n v="277.45099327688075"/>
    <d v="2025-11-13T00:00:00"/>
    <n v="8"/>
    <x v="7"/>
    <s v="Developer"/>
  </r>
  <r>
    <n v="67260"/>
    <x v="2"/>
    <s v="01192796"/>
    <x v="4"/>
    <d v="2025-11-14T00:00:00"/>
    <s v="IA1757"/>
    <s v="Thirunavukkarasu,Kishore"/>
    <n v="277.45099327688075"/>
    <d v="2025-11-14T00:00:00"/>
    <n v="8"/>
    <x v="7"/>
    <s v="Developer"/>
  </r>
  <r>
    <n v="67260"/>
    <x v="2"/>
    <s v="01192796"/>
    <x v="4"/>
    <d v="2025-11-14T00:00:00"/>
    <s v="IA1793"/>
    <s v="Subramanian,Ruthrakkanth"/>
    <n v="277.45099327688075"/>
    <d v="2025-11-14T00:00:00"/>
    <n v="8"/>
    <x v="7"/>
    <s v="Developer"/>
  </r>
  <r>
    <n v="67260"/>
    <x v="2"/>
    <s v="01192796"/>
    <x v="4"/>
    <d v="2025-11-17T00:00:00"/>
    <s v="IA1793"/>
    <s v="Subramanian,Ruthrakkanth"/>
    <n v="277.45099327688075"/>
    <d v="2025-11-17T00:00:00"/>
    <n v="8"/>
    <x v="7"/>
    <s v="Developer"/>
  </r>
  <r>
    <n v="67260"/>
    <x v="2"/>
    <s v="01192796"/>
    <x v="4"/>
    <d v="2025-11-17T00:00:00"/>
    <s v="IA1450"/>
    <s v="Selvam,Kadarkarai"/>
    <n v="138.72549663844038"/>
    <d v="2025-11-17T00:00:00"/>
    <n v="4"/>
    <x v="7"/>
    <s v="Lead Developer"/>
  </r>
  <r>
    <n v="67260"/>
    <x v="2"/>
    <s v="01192796"/>
    <x v="4"/>
    <d v="2025-11-17T00:00:00"/>
    <s v="IA1757"/>
    <s v="Thirunavukkarasu,Kishore"/>
    <n v="277.45099327688075"/>
    <d v="2025-11-17T00:00:00"/>
    <n v="8"/>
    <x v="7"/>
    <s v="Developer"/>
  </r>
  <r>
    <n v="67260"/>
    <x v="2"/>
    <s v="01192796"/>
    <x v="4"/>
    <d v="2025-11-18T00:00:00"/>
    <s v="IA1793"/>
    <s v="Subramanian,Ruthrakkanth"/>
    <n v="277.45099327688075"/>
    <d v="2025-11-18T00:00:00"/>
    <n v="8"/>
    <x v="7"/>
    <s v="Developer"/>
  </r>
  <r>
    <n v="67260"/>
    <x v="2"/>
    <s v="01192796"/>
    <x v="4"/>
    <d v="2025-11-18T00:00:00"/>
    <s v="IA1450"/>
    <s v="Selvam,Kadarkarai"/>
    <n v="208.08824495766055"/>
    <d v="2025-11-18T00:00:00"/>
    <n v="6"/>
    <x v="7"/>
    <s v="Lead Developer"/>
  </r>
  <r>
    <n v="67260"/>
    <x v="2"/>
    <s v="01192796"/>
    <x v="4"/>
    <d v="2025-11-18T00:00:00"/>
    <s v="IA1757"/>
    <s v="Thirunavukkarasu,Kishore"/>
    <n v="277.45099327688075"/>
    <d v="2025-11-18T00:00:00"/>
    <n v="8"/>
    <x v="7"/>
    <s v="Developer"/>
  </r>
  <r>
    <n v="67260"/>
    <x v="2"/>
    <s v="01192796"/>
    <x v="4"/>
    <d v="2025-11-19T00:00:00"/>
    <s v="IA1450"/>
    <s v="Selvam,Kadarkarai"/>
    <n v="208.08824495766055"/>
    <d v="2025-11-19T00:00:00"/>
    <n v="6"/>
    <x v="7"/>
    <s v="Lead Developer"/>
  </r>
  <r>
    <n v="67260"/>
    <x v="2"/>
    <s v="01192796"/>
    <x v="4"/>
    <d v="2025-11-19T00:00:00"/>
    <s v="IA1757"/>
    <s v="Thirunavukkarasu,Kishore"/>
    <n v="277.45099327688075"/>
    <d v="2025-11-19T00:00:00"/>
    <n v="8"/>
    <x v="7"/>
    <s v="Developer"/>
  </r>
  <r>
    <n v="67260"/>
    <x v="2"/>
    <s v="01192796"/>
    <x v="4"/>
    <d v="2025-11-20T00:00:00"/>
    <s v="IA1793"/>
    <s v="Subramanian,Ruthrakkanth"/>
    <n v="277.45099327688075"/>
    <d v="2025-11-20T00:00:00"/>
    <n v="8"/>
    <x v="7"/>
    <s v="Developer"/>
  </r>
  <r>
    <n v="67260"/>
    <x v="2"/>
    <s v="01192796"/>
    <x v="4"/>
    <d v="2025-11-20T00:00:00"/>
    <s v="IA1450"/>
    <s v="Selvam,Kadarkarai"/>
    <n v="242.76961911727065"/>
    <d v="2025-11-20T00:00:00"/>
    <n v="7"/>
    <x v="7"/>
    <s v="Lead Developer"/>
  </r>
  <r>
    <n v="67260"/>
    <x v="2"/>
    <s v="01192796"/>
    <x v="4"/>
    <d v="2025-11-20T00:00:00"/>
    <s v="IA1757"/>
    <s v="Thirunavukkarasu,Kishore"/>
    <n v="277.45099327688075"/>
    <d v="2025-11-20T00:00:00"/>
    <n v="8"/>
    <x v="7"/>
    <s v="Developer"/>
  </r>
  <r>
    <n v="67260"/>
    <x v="2"/>
    <s v="01192796"/>
    <x v="4"/>
    <d v="2025-11-21T00:00:00"/>
    <s v="IA1793"/>
    <s v="Subramanian,Ruthrakkanth"/>
    <n v="277.45099327688075"/>
    <d v="2025-11-21T00:00:00"/>
    <n v="8"/>
    <x v="7"/>
    <s v="Developer"/>
  </r>
  <r>
    <n v="67260"/>
    <x v="2"/>
    <s v="01192796"/>
    <x v="4"/>
    <d v="2025-11-21T00:00:00"/>
    <s v="IA1450"/>
    <s v="Selvam,Kadarkarai"/>
    <n v="104.04412247883027"/>
    <d v="2025-11-21T00:00:00"/>
    <n v="3"/>
    <x v="7"/>
    <s v="Lead Developer"/>
  </r>
  <r>
    <n v="67260"/>
    <x v="2"/>
    <s v="01192796"/>
    <x v="4"/>
    <d v="2025-11-21T00:00:00"/>
    <s v="IA1757"/>
    <s v="Thirunavukkarasu,Kishore"/>
    <n v="277.45099327688075"/>
    <d v="2025-11-21T00:00:00"/>
    <n v="8"/>
    <x v="7"/>
    <s v="Developer"/>
  </r>
  <r>
    <n v="67260"/>
    <x v="2"/>
    <s v="01192796"/>
    <x v="4"/>
    <d v="2025-11-24T00:00:00"/>
    <s v="IA1793"/>
    <s v="Subramanian,Ruthrakkanth"/>
    <n v="277.45099327688075"/>
    <d v="2025-11-24T00:00:00"/>
    <n v="8"/>
    <x v="7"/>
    <s v="Developer"/>
  </r>
  <r>
    <n v="67260"/>
    <x v="2"/>
    <s v="01192796"/>
    <x v="4"/>
    <d v="2025-11-24T00:00:00"/>
    <s v="IA1757"/>
    <s v="Thirunavukkarasu,Kishore"/>
    <n v="277.45099327688075"/>
    <d v="2025-11-24T00:00:00"/>
    <n v="8"/>
    <x v="7"/>
    <s v="Developer"/>
  </r>
  <r>
    <n v="67260"/>
    <x v="2"/>
    <s v="01192796"/>
    <x v="4"/>
    <d v="2025-11-25T00:00:00"/>
    <s v="IA1793"/>
    <s v="Subramanian,Ruthrakkanth"/>
    <n v="277.45099327688075"/>
    <d v="2025-11-25T00:00:00"/>
    <n v="8"/>
    <x v="7"/>
    <s v="Developer"/>
  </r>
  <r>
    <n v="67260"/>
    <x v="2"/>
    <s v="01192796"/>
    <x v="4"/>
    <d v="2025-11-25T00:00:00"/>
    <s v="IA1757"/>
    <s v="Thirunavukkarasu,Kishore"/>
    <n v="277.45099327688075"/>
    <d v="2025-11-25T00:00:00"/>
    <n v="8"/>
    <x v="7"/>
    <s v="Developer"/>
  </r>
  <r>
    <n v="67260"/>
    <x v="2"/>
    <s v="01192796"/>
    <x v="4"/>
    <d v="2025-11-24T00:00:00"/>
    <s v="IA1450"/>
    <s v="Selvam,Kadarkarai"/>
    <n v="138.72549663844038"/>
    <d v="2025-11-24T00:00:00"/>
    <n v="4"/>
    <x v="7"/>
    <s v="Lead Developer"/>
  </r>
  <r>
    <n v="67260"/>
    <x v="2"/>
    <s v="01192796"/>
    <x v="4"/>
    <d v="2025-11-26T00:00:00"/>
    <s v="IA1793"/>
    <s v="Subramanian,Ruthrakkanth"/>
    <n v="277.45099327688075"/>
    <d v="2025-11-26T00:00:00"/>
    <n v="8"/>
    <x v="7"/>
    <s v="Developer"/>
  </r>
  <r>
    <n v="67260"/>
    <x v="2"/>
    <s v="01192796"/>
    <x v="4"/>
    <d v="2025-11-26T00:00:00"/>
    <s v="IA1757"/>
    <s v="Thirunavukkarasu,Kishore"/>
    <n v="277.45099327688075"/>
    <d v="2025-11-26T00:00:00"/>
    <n v="8"/>
    <x v="7"/>
    <s v="Developer"/>
  </r>
  <r>
    <n v="67260"/>
    <x v="2"/>
    <s v="01192796"/>
    <x v="4"/>
    <d v="2025-11-27T00:00:00"/>
    <s v="IA1757"/>
    <s v="Thirunavukkarasu,Kishore"/>
    <n v="138.72549663844038"/>
    <d v="2025-11-27T00:00:00"/>
    <n v="4"/>
    <x v="7"/>
    <s v="Developer"/>
  </r>
  <r>
    <n v="67260"/>
    <x v="2"/>
    <s v="01192796"/>
    <x v="4"/>
    <d v="2025-11-27T00:00:00"/>
    <s v="IA1450"/>
    <s v="Selvam,Kadarkarai"/>
    <n v="104.04412247883027"/>
    <d v="2025-11-27T00:00:00"/>
    <n v="3"/>
    <x v="7"/>
    <s v="Lead Developer"/>
  </r>
  <r>
    <n v="67260"/>
    <x v="2"/>
    <s v="01192796"/>
    <x v="4"/>
    <d v="2025-11-28T00:00:00"/>
    <s v="IA1793"/>
    <s v="Subramanian,Ruthrakkanth"/>
    <n v="277.45099327688075"/>
    <d v="2025-11-28T00:00:00"/>
    <n v="8"/>
    <x v="7"/>
    <s v="Developer"/>
  </r>
  <r>
    <n v="67260"/>
    <x v="2"/>
    <s v="01192796"/>
    <x v="4"/>
    <d v="2025-11-28T00:00:00"/>
    <s v="IA1757"/>
    <s v="Thirunavukkarasu,Kishore"/>
    <n v="138.72549663844038"/>
    <d v="2025-11-28T00:00:00"/>
    <n v="4"/>
    <x v="7"/>
    <s v="Developer"/>
  </r>
  <r>
    <n v="67261"/>
    <x v="5"/>
    <s v="01195389"/>
    <x v="29"/>
    <d v="2025-07-14T00:00:00"/>
    <s v="IA1771"/>
    <s v="anandanshanmugam,kamesh"/>
    <n v="208.08824495766055"/>
    <d v="2025-07-14T00:00:00"/>
    <n v="6"/>
    <x v="3"/>
    <s v="Junior"/>
  </r>
  <r>
    <n v="67261"/>
    <x v="5"/>
    <s v="01195389"/>
    <x v="29"/>
    <d v="2025-07-15T00:00:00"/>
    <s v="IA1642"/>
    <s v="GOVINDHASAMY,RUBENDRAN"/>
    <n v="277.45099327688075"/>
    <d v="2025-07-15T00:00:00"/>
    <n v="8"/>
    <x v="3"/>
    <s v="Developer"/>
  </r>
  <r>
    <n v="67261"/>
    <x v="5"/>
    <s v="01195389"/>
    <x v="29"/>
    <d v="2025-07-16T00:00:00"/>
    <s v="IA1642"/>
    <s v="GOVINDHASAMY,RUBENDRAN"/>
    <n v="277.45099327688075"/>
    <d v="2025-07-16T00:00:00"/>
    <n v="8"/>
    <x v="3"/>
    <s v="Developer"/>
  </r>
  <r>
    <n v="67261"/>
    <x v="5"/>
    <s v="01195389"/>
    <x v="29"/>
    <d v="2025-07-17T00:00:00"/>
    <s v="IA1642"/>
    <s v="GOVINDHASAMY,RUBENDRAN"/>
    <n v="277.45099327688075"/>
    <d v="2025-07-17T00:00:00"/>
    <n v="8"/>
    <x v="3"/>
    <s v="Developer"/>
  </r>
  <r>
    <n v="67261"/>
    <x v="5"/>
    <s v="01195389"/>
    <x v="29"/>
    <d v="2025-07-17T00:00:00"/>
    <s v="IA1559"/>
    <s v="Jesuarulsamy,Arockia Jenitha"/>
    <n v="277.45099327688075"/>
    <d v="2025-07-17T00:00:00"/>
    <n v="8"/>
    <x v="3"/>
    <s v="Niche Senior Developer"/>
  </r>
  <r>
    <n v="67261"/>
    <x v="5"/>
    <s v="01195389"/>
    <x v="29"/>
    <d v="2025-07-18T00:00:00"/>
    <s v="IA1642"/>
    <s v="GOVINDHASAMY,RUBENDRAN"/>
    <n v="277.45099327688075"/>
    <d v="2025-07-18T00:00:00"/>
    <n v="8"/>
    <x v="3"/>
    <s v="Developer"/>
  </r>
  <r>
    <n v="67261"/>
    <x v="5"/>
    <s v="01195389"/>
    <x v="29"/>
    <d v="2025-07-18T00:00:00"/>
    <s v="IA1559"/>
    <s v="Jesuarulsamy,Arockia Jenitha"/>
    <n v="277.45099327688075"/>
    <d v="2025-07-18T00:00:00"/>
    <n v="8"/>
    <x v="3"/>
    <s v="Niche Senior Developer"/>
  </r>
  <r>
    <n v="67261"/>
    <x v="5"/>
    <s v="01195389"/>
    <x v="29"/>
    <d v="2025-07-21T00:00:00"/>
    <s v="IA1642"/>
    <s v="GOVINDHASAMY,RUBENDRAN"/>
    <n v="173.40687079805048"/>
    <d v="2025-07-21T00:00:00"/>
    <n v="5"/>
    <x v="3"/>
    <s v="Developer"/>
  </r>
  <r>
    <n v="67261"/>
    <x v="5"/>
    <s v="01195389"/>
    <x v="29"/>
    <d v="2025-07-22T00:00:00"/>
    <s v="IA1642"/>
    <s v="GOVINDHASAMY,RUBENDRAN"/>
    <n v="173.40687079805048"/>
    <d v="2025-07-22T00:00:00"/>
    <n v="5"/>
    <x v="3"/>
    <s v="Developer"/>
  </r>
  <r>
    <n v="67261"/>
    <x v="5"/>
    <s v="01195389"/>
    <x v="29"/>
    <d v="2025-07-23T00:00:00"/>
    <s v="IA1642"/>
    <s v="GOVINDHASAMY,RUBENDRAN"/>
    <n v="173.40687079805048"/>
    <d v="2025-07-23T00:00:00"/>
    <n v="5"/>
    <x v="3"/>
    <s v="Developer"/>
  </r>
  <r>
    <n v="67261"/>
    <x v="5"/>
    <s v="01195389"/>
    <x v="29"/>
    <d v="2025-07-24T00:00:00"/>
    <s v="IA1642"/>
    <s v="GOVINDHASAMY,RUBENDRAN"/>
    <n v="173.40687079805048"/>
    <d v="2025-07-24T00:00:00"/>
    <n v="5"/>
    <x v="3"/>
    <s v="Developer"/>
  </r>
  <r>
    <n v="67261"/>
    <x v="5"/>
    <s v="01195389"/>
    <x v="29"/>
    <d v="2025-07-25T00:00:00"/>
    <s v="IA1642"/>
    <s v="GOVINDHASAMY,RUBENDRAN"/>
    <n v="173.40687079805048"/>
    <d v="2025-07-25T00:00:00"/>
    <n v="5"/>
    <x v="3"/>
    <s v="Developer"/>
  </r>
  <r>
    <n v="67261"/>
    <x v="5"/>
    <s v="01195389"/>
    <x v="29"/>
    <d v="2025-07-30T00:00:00"/>
    <s v="IA1642"/>
    <s v="GOVINDHASAMY,RUBENDRAN"/>
    <n v="34.681374159610094"/>
    <d v="2025-07-30T00:00:00"/>
    <n v="1"/>
    <x v="3"/>
    <s v="Developer"/>
  </r>
  <r>
    <n v="67261"/>
    <x v="5"/>
    <s v="01195389"/>
    <x v="29"/>
    <d v="2025-08-11T00:00:00"/>
    <s v="IA1450"/>
    <s v="Selvam,Kadarkarai"/>
    <n v="138.72549663844038"/>
    <d v="2025-08-11T00:00:00"/>
    <n v="4"/>
    <x v="4"/>
    <s v="Lead Developer"/>
  </r>
  <r>
    <n v="67261"/>
    <x v="5"/>
    <s v="01195389"/>
    <x v="29"/>
    <d v="2025-08-12T00:00:00"/>
    <s v="IA1450"/>
    <s v="Selvam,Kadarkarai"/>
    <n v="138.72549663844038"/>
    <d v="2025-08-12T00:00:00"/>
    <n v="4"/>
    <x v="4"/>
    <s v="Lead Developer"/>
  </r>
  <r>
    <n v="67261"/>
    <x v="5"/>
    <s v="01195389"/>
    <x v="29"/>
    <d v="2025-08-25T00:00:00"/>
    <s v="IA1771"/>
    <s v="anandanshanmugam,kamesh"/>
    <n v="173.40687079805048"/>
    <d v="2025-08-25T00:00:00"/>
    <n v="5"/>
    <x v="4"/>
    <s v="Junior"/>
  </r>
  <r>
    <n v="67261"/>
    <x v="5"/>
    <s v="01195389"/>
    <x v="29"/>
    <d v="2025-08-25T00:00:00"/>
    <s v="IA1642"/>
    <s v="GOVINDHASAMY,RUBENDRAN"/>
    <n v="173.40687079805048"/>
    <d v="2025-08-25T00:00:00"/>
    <n v="5"/>
    <x v="4"/>
    <s v="Developer"/>
  </r>
  <r>
    <n v="67261"/>
    <x v="5"/>
    <s v="01195389"/>
    <x v="29"/>
    <d v="2025-08-26T00:00:00"/>
    <s v="IA1771"/>
    <s v="anandanshanmugam,kamesh"/>
    <n v="173.40687079805048"/>
    <d v="2025-08-26T00:00:00"/>
    <n v="5"/>
    <x v="4"/>
    <s v="Junior"/>
  </r>
  <r>
    <n v="67261"/>
    <x v="5"/>
    <s v="01195389"/>
    <x v="29"/>
    <d v="2025-08-26T00:00:00"/>
    <s v="IA1642"/>
    <s v="GOVINDHASAMY,RUBENDRAN"/>
    <n v="173.40687079805048"/>
    <d v="2025-08-26T00:00:00"/>
    <n v="5"/>
    <x v="4"/>
    <s v="Developer"/>
  </r>
  <r>
    <n v="67262"/>
    <x v="0"/>
    <s v="01199835"/>
    <x v="30"/>
    <d v="2026-02-11T00:00:00"/>
    <s v="IA1830"/>
    <s v="Raj,Gowtham"/>
    <n v="208.08824495766055"/>
    <d v="2026-02-11T00:00:00"/>
    <n v="6"/>
    <x v="0"/>
    <s v="Junior"/>
  </r>
  <r>
    <n v="67262"/>
    <x v="0"/>
    <s v="01199835"/>
    <x v="30"/>
    <d v="2026-02-11T00:00:00"/>
    <s v="IA1430"/>
    <s v="Subburajan,Jawahar"/>
    <n v="242.76961911727065"/>
    <d v="2026-02-11T00:00:00"/>
    <n v="7"/>
    <x v="0"/>
    <s v="Lead Developer"/>
  </r>
  <r>
    <n v="67262"/>
    <x v="0"/>
    <s v="01199835"/>
    <x v="30"/>
    <d v="2026-02-12T00:00:00"/>
    <s v="IA1830"/>
    <s v="Raj,Gowtham"/>
    <n v="208.08824495766055"/>
    <d v="2026-02-12T00:00:00"/>
    <n v="6"/>
    <x v="0"/>
    <s v="Junior"/>
  </r>
  <r>
    <n v="67262"/>
    <x v="0"/>
    <s v="01199835"/>
    <x v="30"/>
    <d v="2026-02-12T00:00:00"/>
    <s v="IA1430"/>
    <s v="Subburajan,Jawahar"/>
    <n v="242.76961911727065"/>
    <d v="2026-02-12T00:00:00"/>
    <n v="7"/>
    <x v="0"/>
    <s v="Lead Developer"/>
  </r>
  <r>
    <n v="67262"/>
    <x v="0"/>
    <s v="01199835"/>
    <x v="30"/>
    <d v="2026-02-13T00:00:00"/>
    <s v="IA1830"/>
    <s v="Raj,Gowtham"/>
    <n v="208.08824495766055"/>
    <d v="2026-02-13T00:00:00"/>
    <n v="6"/>
    <x v="0"/>
    <s v="Junior"/>
  </r>
  <r>
    <n v="67262"/>
    <x v="0"/>
    <s v="01199835"/>
    <x v="30"/>
    <d v="2026-02-13T00:00:00"/>
    <s v="IA1430"/>
    <s v="Subburajan,Jawahar"/>
    <n v="242.76961911727065"/>
    <d v="2026-02-13T00:00:00"/>
    <n v="7"/>
    <x v="0"/>
    <s v="Lead Developer"/>
  </r>
  <r>
    <n v="67262"/>
    <x v="0"/>
    <s v="01199835"/>
    <x v="30"/>
    <d v="2026-02-16T00:00:00"/>
    <s v="IA1830"/>
    <s v="Raj,Gowtham"/>
    <n v="208.08824495766055"/>
    <d v="2026-02-16T00:00:00"/>
    <n v="6"/>
    <x v="0"/>
    <s v="Junior"/>
  </r>
  <r>
    <n v="67262"/>
    <x v="0"/>
    <s v="01199835"/>
    <x v="30"/>
    <d v="2026-02-17T00:00:00"/>
    <s v="IA1830"/>
    <s v="Raj,Gowtham"/>
    <n v="208.08824495766055"/>
    <d v="2026-02-17T00:00:00"/>
    <n v="6"/>
    <x v="0"/>
    <s v="Junior"/>
  </r>
  <r>
    <n v="67262"/>
    <x v="0"/>
    <s v="01199835"/>
    <x v="30"/>
    <d v="2026-02-18T00:00:00"/>
    <s v="IA1830"/>
    <s v="Raj,Gowtham"/>
    <n v="208.08824495766055"/>
    <d v="2026-02-18T00:00:00"/>
    <n v="6"/>
    <x v="0"/>
    <s v="Junior"/>
  </r>
  <r>
    <n v="67262"/>
    <x v="0"/>
    <s v="01199835"/>
    <x v="30"/>
    <d v="2026-02-19T00:00:00"/>
    <s v="IA1830"/>
    <s v="Raj,Gowtham"/>
    <n v="173.40687079805048"/>
    <d v="2026-02-19T00:00:00"/>
    <n v="5"/>
    <x v="0"/>
    <s v="Junior"/>
  </r>
  <r>
    <n v="67262"/>
    <x v="0"/>
    <s v="01199835"/>
    <x v="30"/>
    <d v="2026-02-23T00:00:00"/>
    <s v="IA1830"/>
    <s v="Raj,Gowtham"/>
    <n v="242.76961911727065"/>
    <d v="2026-02-23T00:00:00"/>
    <n v="7"/>
    <x v="0"/>
    <s v="Junior"/>
  </r>
  <r>
    <n v="67262"/>
    <x v="0"/>
    <s v="01199835"/>
    <x v="30"/>
    <d v="2026-02-24T00:00:00"/>
    <s v="IA1830"/>
    <s v="Raj,Gowtham"/>
    <n v="242.76961911727065"/>
    <d v="2026-02-24T00:00:00"/>
    <n v="7"/>
    <x v="0"/>
    <s v="Junior"/>
  </r>
  <r>
    <n v="67262"/>
    <x v="0"/>
    <s v="01199835"/>
    <x v="30"/>
    <d v="2026-02-25T00:00:00"/>
    <s v="IA1830"/>
    <s v="Raj,Gowtham"/>
    <n v="242.76961911727065"/>
    <d v="2026-02-25T00:00:00"/>
    <n v="7"/>
    <x v="0"/>
    <s v="Junior"/>
  </r>
  <r>
    <n v="67262"/>
    <x v="0"/>
    <s v="01199835"/>
    <x v="30"/>
    <d v="2026-02-26T00:00:00"/>
    <s v="IA1430"/>
    <s v="Subburajan,Jawahar"/>
    <n v="242.76961911727065"/>
    <d v="2026-02-26T00:00:00"/>
    <n v="7"/>
    <x v="0"/>
    <s v="Lead Developer"/>
  </r>
  <r>
    <n v="67262"/>
    <x v="0"/>
    <s v="01199835"/>
    <x v="30"/>
    <d v="2026-02-27T00:00:00"/>
    <s v="IA1430"/>
    <s v="Subburajan,Jawahar"/>
    <n v="242.76961911727065"/>
    <d v="2026-02-27T00:00:00"/>
    <n v="7"/>
    <x v="0"/>
    <s v="Lead Developer"/>
  </r>
  <r>
    <n v="67262"/>
    <x v="0"/>
    <s v="01199835"/>
    <x v="30"/>
    <d v="2026-03-02T00:00:00"/>
    <s v="IA1421"/>
    <s v="Jayapal,Muruganandham"/>
    <n v="69.362748319220188"/>
    <d v="2026-03-02T00:00:00"/>
    <n v="2"/>
    <x v="1"/>
    <s v="Engg Manager"/>
  </r>
  <r>
    <n v="67262"/>
    <x v="0"/>
    <s v="01199835"/>
    <x v="30"/>
    <d v="2026-03-02T00:00:00"/>
    <s v="IA1430"/>
    <s v="Subburajan,Jawahar"/>
    <n v="242.76961911727065"/>
    <d v="2026-03-02T00:00:00"/>
    <n v="7"/>
    <x v="1"/>
    <s v="Lead Developer"/>
  </r>
  <r>
    <n v="67262"/>
    <x v="0"/>
    <s v="01199835"/>
    <x v="30"/>
    <d v="2026-03-03T00:00:00"/>
    <s v="IA1830"/>
    <s v="Raj,Gowtham"/>
    <n v="242.76961911727065"/>
    <d v="2026-03-03T00:00:00"/>
    <n v="7"/>
    <x v="1"/>
    <s v="Junior"/>
  </r>
  <r>
    <n v="67262"/>
    <x v="0"/>
    <s v="01199835"/>
    <x v="30"/>
    <d v="2026-03-03T00:00:00"/>
    <s v="IA1421"/>
    <s v="Jayapal,Muruganandham"/>
    <n v="69.362748319220188"/>
    <d v="2026-03-03T00:00:00"/>
    <n v="2"/>
    <x v="1"/>
    <s v="Engg Manager"/>
  </r>
  <r>
    <n v="67262"/>
    <x v="0"/>
    <s v="01199835"/>
    <x v="30"/>
    <d v="2026-03-03T00:00:00"/>
    <s v="IA1430"/>
    <s v="Subburajan,Jawahar"/>
    <n v="242.76961911727065"/>
    <d v="2026-03-03T00:00:00"/>
    <n v="7"/>
    <x v="1"/>
    <s v="Lead Developer"/>
  </r>
  <r>
    <n v="67262"/>
    <x v="0"/>
    <s v="01199835"/>
    <x v="30"/>
    <d v="2026-03-04T00:00:00"/>
    <s v="IA1830"/>
    <s v="Raj,Gowtham"/>
    <n v="242.76961911727065"/>
    <d v="2026-03-04T00:00:00"/>
    <n v="7"/>
    <x v="1"/>
    <s v="Junior"/>
  </r>
  <r>
    <n v="67262"/>
    <x v="0"/>
    <s v="01199835"/>
    <x v="30"/>
    <d v="2026-03-04T00:00:00"/>
    <s v="IA1430"/>
    <s v="Subburajan,Jawahar"/>
    <n v="242.76961911727065"/>
    <d v="2026-03-04T00:00:00"/>
    <n v="7"/>
    <x v="1"/>
    <s v="Lead Developer"/>
  </r>
  <r>
    <n v="67262"/>
    <x v="0"/>
    <s v="01199835"/>
    <x v="30"/>
    <d v="2026-03-05T00:00:00"/>
    <s v="IA1830"/>
    <s v="Raj,Gowtham"/>
    <n v="242.76961911727065"/>
    <d v="2026-03-05T00:00:00"/>
    <n v="7"/>
    <x v="1"/>
    <s v="Junior"/>
  </r>
  <r>
    <n v="67262"/>
    <x v="0"/>
    <s v="01199835"/>
    <x v="30"/>
    <d v="2026-03-05T00:00:00"/>
    <s v="IA1430"/>
    <s v="Subburajan,Jawahar"/>
    <n v="242.76961911727065"/>
    <d v="2026-03-05T00:00:00"/>
    <n v="7"/>
    <x v="1"/>
    <s v="Lead Developer"/>
  </r>
  <r>
    <n v="67262"/>
    <x v="0"/>
    <s v="01199835"/>
    <x v="30"/>
    <d v="2026-03-06T00:00:00"/>
    <s v="IA1430"/>
    <s v="Subburajan,Jawahar"/>
    <n v="242.76961911727065"/>
    <d v="2026-03-06T00:00:00"/>
    <n v="7"/>
    <x v="1"/>
    <s v="Lead Developer"/>
  </r>
  <r>
    <n v="67262"/>
    <x v="0"/>
    <s v="01199835"/>
    <x v="30"/>
    <d v="2026-03-09T00:00:00"/>
    <s v="IA1830"/>
    <s v="Raj,Gowtham"/>
    <n v="242.76961911727065"/>
    <d v="2026-03-09T00:00:00"/>
    <n v="7"/>
    <x v="1"/>
    <s v="Junior"/>
  </r>
  <r>
    <n v="67262"/>
    <x v="0"/>
    <s v="01199835"/>
    <x v="30"/>
    <d v="2026-03-10T00:00:00"/>
    <s v="IA1830"/>
    <s v="Raj,Gowtham"/>
    <n v="242.76961911727065"/>
    <d v="2026-03-10T00:00:00"/>
    <n v="7"/>
    <x v="1"/>
    <s v="Junior"/>
  </r>
  <r>
    <n v="67262"/>
    <x v="0"/>
    <s v="01199835"/>
    <x v="30"/>
    <d v="2026-03-10T00:00:00"/>
    <s v="IA1430"/>
    <s v="Subburajan,Jawahar"/>
    <n v="277.45099327688075"/>
    <d v="2026-03-10T00:00:00"/>
    <n v="8"/>
    <x v="1"/>
    <s v="Lead Developer"/>
  </r>
  <r>
    <n v="67262"/>
    <x v="0"/>
    <s v="01199835"/>
    <x v="30"/>
    <d v="2026-03-11T00:00:00"/>
    <s v="IA1830"/>
    <s v="Raj,Gowtham"/>
    <n v="242.76961911727065"/>
    <d v="2026-03-11T00:00:00"/>
    <n v="7"/>
    <x v="1"/>
    <s v="Junior"/>
  </r>
  <r>
    <n v="67262"/>
    <x v="0"/>
    <s v="01199835"/>
    <x v="30"/>
    <d v="2026-03-11T00:00:00"/>
    <s v="IA1430"/>
    <s v="Subburajan,Jawahar"/>
    <n v="277.45099327688075"/>
    <d v="2026-03-11T00:00:00"/>
    <n v="8"/>
    <x v="1"/>
    <s v="Lead Developer"/>
  </r>
  <r>
    <n v="67262"/>
    <x v="0"/>
    <s v="01199835"/>
    <x v="30"/>
    <d v="2026-03-12T00:00:00"/>
    <s v="IA1830"/>
    <s v="Raj,Gowtham"/>
    <n v="242.76961911727065"/>
    <d v="2026-03-12T00:00:00"/>
    <n v="7"/>
    <x v="1"/>
    <s v="Junior"/>
  </r>
  <r>
    <n v="67262"/>
    <x v="0"/>
    <s v="01199835"/>
    <x v="30"/>
    <d v="2026-03-12T00:00:00"/>
    <s v="IA1430"/>
    <s v="Subburajan,Jawahar"/>
    <n v="277.45099327688075"/>
    <d v="2026-03-12T00:00:00"/>
    <n v="8"/>
    <x v="1"/>
    <s v="Lead Developer"/>
  </r>
  <r>
    <n v="67262"/>
    <x v="0"/>
    <s v="01199835"/>
    <x v="30"/>
    <d v="2026-03-13T00:00:00"/>
    <s v="IA1830"/>
    <s v="Raj,Gowtham"/>
    <n v="242.76961911727065"/>
    <d v="2026-03-13T00:00:00"/>
    <n v="7"/>
    <x v="1"/>
    <s v="Junior"/>
  </r>
  <r>
    <n v="67262"/>
    <x v="0"/>
    <s v="01199835"/>
    <x v="30"/>
    <d v="2026-03-13T00:00:00"/>
    <s v="IA1430"/>
    <s v="Subburajan,Jawahar"/>
    <n v="277.45099327688075"/>
    <d v="2026-03-13T00:00:00"/>
    <n v="8"/>
    <x v="1"/>
    <s v="Lead Developer"/>
  </r>
  <r>
    <n v="67262"/>
    <x v="0"/>
    <s v="01199835"/>
    <x v="30"/>
    <d v="2026-03-16T00:00:00"/>
    <s v="IA1830"/>
    <s v="Raj,Gowtham"/>
    <n v="277.45099327688075"/>
    <d v="2026-03-16T00:00:00"/>
    <n v="8"/>
    <x v="1"/>
    <s v="Junior"/>
  </r>
  <r>
    <n v="67262"/>
    <x v="0"/>
    <s v="01199835"/>
    <x v="30"/>
    <d v="2026-03-17T00:00:00"/>
    <s v="IA1830"/>
    <s v="Raj,Gowtham"/>
    <n v="34.681374159610094"/>
    <d v="2026-03-17T00:00:00"/>
    <n v="1"/>
    <x v="1"/>
    <s v="Junior"/>
  </r>
  <r>
    <n v="67262"/>
    <x v="0"/>
    <s v="01199835"/>
    <x v="30"/>
    <d v="2026-03-19T00:00:00"/>
    <s v="IA1830"/>
    <s v="Raj,Gowtham"/>
    <n v="34.681374159610094"/>
    <d v="2026-03-19T00:00:00"/>
    <n v="1"/>
    <x v="1"/>
    <s v="Junior"/>
  </r>
  <r>
    <n v="67262"/>
    <x v="0"/>
    <s v="01199835"/>
    <x v="30"/>
    <d v="2026-03-30T00:00:00"/>
    <s v="IA1430"/>
    <s v="Subburajan,Jawahar"/>
    <n v="277.45099327688075"/>
    <d v="2026-03-30T00:00:00"/>
    <n v="8"/>
    <x v="1"/>
    <s v="Lead Developer"/>
  </r>
  <r>
    <n v="67262"/>
    <x v="0"/>
    <s v="01199835"/>
    <x v="30"/>
    <d v="2026-03-31T00:00:00"/>
    <s v="IA1430"/>
    <s v="Subburajan,Jawahar"/>
    <n v="277.45099327688075"/>
    <d v="2026-03-31T00:00:00"/>
    <n v="8"/>
    <x v="1"/>
    <s v="Lead Developer"/>
  </r>
  <r>
    <n v="67262"/>
    <x v="0"/>
    <s v="01199835"/>
    <x v="30"/>
    <d v="2026-04-01T00:00:00"/>
    <s v="IA1430"/>
    <s v="Subburajan,Jawahar"/>
    <n v="277.45099327688075"/>
    <d v="2026-04-01T00:00:00"/>
    <n v="8"/>
    <x v="2"/>
    <s v="Lead Developer"/>
  </r>
  <r>
    <n v="67262"/>
    <x v="0"/>
    <s v="01199835"/>
    <x v="30"/>
    <d v="2026-04-02T00:00:00"/>
    <s v="IA1430"/>
    <s v="Subburajan,Jawahar"/>
    <n v="277.45099327688075"/>
    <d v="2026-04-02T00:00:00"/>
    <n v="8"/>
    <x v="2"/>
    <s v="Lead Developer"/>
  </r>
  <r>
    <n v="67262"/>
    <x v="0"/>
    <s v="01199835"/>
    <x v="30"/>
    <d v="2026-04-09T00:00:00"/>
    <s v="IA1830"/>
    <s v="Raj,Gowtham"/>
    <n v="277.45099327688075"/>
    <d v="2026-04-09T00:00:00"/>
    <n v="8"/>
    <x v="2"/>
    <s v="Junior"/>
  </r>
  <r>
    <n v="67262"/>
    <x v="0"/>
    <s v="01199835"/>
    <x v="30"/>
    <d v="2026-04-21T00:00:00"/>
    <s v="IA1430"/>
    <s v="Subburajan,Jawahar"/>
    <n v="277.45099327688075"/>
    <d v="2026-04-21T00:00:00"/>
    <n v="8"/>
    <x v="2"/>
    <s v="Lead Developer"/>
  </r>
  <r>
    <n v="67262"/>
    <x v="0"/>
    <s v="01199835"/>
    <x v="30"/>
    <d v="2026-04-22T00:00:00"/>
    <s v="IA1430"/>
    <s v="Subburajan,Jawahar"/>
    <n v="277.45099327688075"/>
    <d v="2026-04-22T00:00:00"/>
    <n v="8"/>
    <x v="2"/>
    <s v="Lead Developer"/>
  </r>
  <r>
    <n v="67262"/>
    <x v="0"/>
    <s v="01199835"/>
    <x v="30"/>
    <d v="2026-04-23T00:00:00"/>
    <s v="IA1430"/>
    <s v="Subburajan,Jawahar"/>
    <n v="277.45099327688075"/>
    <d v="2026-04-23T00:00:00"/>
    <n v="8"/>
    <x v="2"/>
    <s v="Lead Developer"/>
  </r>
  <r>
    <n v="67262"/>
    <x v="0"/>
    <s v="01199835"/>
    <x v="30"/>
    <d v="2026-04-23T00:00:00"/>
    <s v="IA1830"/>
    <s v="Raj,Gowtham"/>
    <n v="277.45099327688075"/>
    <d v="2026-04-23T00:00:00"/>
    <n v="8"/>
    <x v="2"/>
    <s v="Junior"/>
  </r>
  <r>
    <n v="67262"/>
    <x v="0"/>
    <s v="01199835"/>
    <x v="30"/>
    <d v="2026-04-24T00:00:00"/>
    <s v="IA1430"/>
    <s v="Subburajan,Jawahar"/>
    <n v="277.45099327688075"/>
    <d v="2026-04-24T00:00:00"/>
    <n v="8"/>
    <x v="2"/>
    <s v="Lead Developer"/>
  </r>
  <r>
    <n v="67262"/>
    <x v="0"/>
    <s v="01199835"/>
    <x v="30"/>
    <d v="2026-04-29T00:00:00"/>
    <s v="IA1830"/>
    <s v="Raj,Gowtham"/>
    <n v="138.72549663844038"/>
    <d v="2026-04-29T00:00:00"/>
    <n v="4"/>
    <x v="2"/>
    <s v="Junior"/>
  </r>
  <r>
    <n v="67260"/>
    <x v="2"/>
    <s v="01199838"/>
    <x v="4"/>
    <d v="2025-09-08T00:00:00"/>
    <s v="IA1421"/>
    <s v="Jayapal,Muruganandham"/>
    <n v="69.362748319220188"/>
    <d v="2025-09-08T00:00:00"/>
    <n v="2"/>
    <x v="5"/>
    <s v="Engg Manager"/>
  </r>
  <r>
    <n v="67260"/>
    <x v="2"/>
    <s v="01199838"/>
    <x v="4"/>
    <d v="2025-09-09T00:00:00"/>
    <s v="IA1421"/>
    <s v="Jayapal,Muruganandham"/>
    <n v="69.362748319220188"/>
    <d v="2025-09-09T00:00:00"/>
    <n v="2"/>
    <x v="5"/>
    <s v="Engg Manager"/>
  </r>
  <r>
    <n v="67260"/>
    <x v="2"/>
    <s v="01199838"/>
    <x v="4"/>
    <d v="2025-09-10T00:00:00"/>
    <s v="IA1421"/>
    <s v="Jayapal,Muruganandham"/>
    <n v="69.362748319220188"/>
    <d v="2025-09-10T00:00:00"/>
    <n v="2"/>
    <x v="5"/>
    <s v="Engg Manager"/>
  </r>
  <r>
    <n v="67260"/>
    <x v="2"/>
    <s v="01199838"/>
    <x v="4"/>
    <d v="2025-09-11T00:00:00"/>
    <s v="IA1421"/>
    <s v="Jayapal,Muruganandham"/>
    <n v="69.362748319220188"/>
    <d v="2025-09-11T00:00:00"/>
    <n v="2"/>
    <x v="5"/>
    <s v="Engg Manager"/>
  </r>
  <r>
    <n v="67260"/>
    <x v="2"/>
    <s v="01199838"/>
    <x v="4"/>
    <d v="2025-09-12T00:00:00"/>
    <s v="IA1421"/>
    <s v="Jayapal,Muruganandham"/>
    <n v="69.362748319220188"/>
    <d v="2025-09-12T00:00:00"/>
    <n v="2"/>
    <x v="5"/>
    <s v="Engg Manager"/>
  </r>
  <r>
    <n v="67261"/>
    <x v="5"/>
    <s v="01199843"/>
    <x v="19"/>
    <d v="2025-12-16T00:00:00"/>
    <s v="IA1421"/>
    <s v="Jayapal,Muruganandham"/>
    <n v="34.681374159610094"/>
    <d v="2025-12-16T00:00:00"/>
    <n v="1"/>
    <x v="8"/>
    <s v="Engg Manager"/>
  </r>
  <r>
    <n v="67261"/>
    <x v="5"/>
    <s v="01199843"/>
    <x v="19"/>
    <d v="2025-12-17T00:00:00"/>
    <s v="IA1421"/>
    <s v="Jayapal,Muruganandham"/>
    <n v="34.681374159610094"/>
    <d v="2025-12-17T00:00:00"/>
    <n v="1"/>
    <x v="8"/>
    <s v="Engg Manager"/>
  </r>
  <r>
    <n v="67261"/>
    <x v="5"/>
    <s v="01199843"/>
    <x v="19"/>
    <d v="2025-12-18T00:00:00"/>
    <s v="IA1421"/>
    <s v="Jayapal,Muruganandham"/>
    <n v="34.681374159610094"/>
    <d v="2025-12-18T00:00:00"/>
    <n v="1"/>
    <x v="8"/>
    <s v="Engg Manager"/>
  </r>
  <r>
    <n v="67261"/>
    <x v="5"/>
    <s v="01199843"/>
    <x v="19"/>
    <d v="2025-12-19T00:00:00"/>
    <s v="IA1421"/>
    <s v="Jayapal,Muruganandham"/>
    <n v="34.681374159610094"/>
    <d v="2025-12-19T00:00:00"/>
    <n v="1"/>
    <x v="8"/>
    <s v="Engg Manager"/>
  </r>
  <r>
    <n v="67261"/>
    <x v="5"/>
    <s v="01199843"/>
    <x v="19"/>
    <d v="2025-12-22T00:00:00"/>
    <s v="IA1421"/>
    <s v="Jayapal,Muruganandham"/>
    <n v="104.04412247883027"/>
    <d v="2025-12-22T00:00:00"/>
    <n v="3"/>
    <x v="8"/>
    <s v="Engg Manager"/>
  </r>
  <r>
    <n v="67261"/>
    <x v="5"/>
    <s v="01199843"/>
    <x v="19"/>
    <d v="2025-12-23T00:00:00"/>
    <s v="IA1421"/>
    <s v="Jayapal,Muruganandham"/>
    <n v="242.76961911727065"/>
    <d v="2025-12-23T00:00:00"/>
    <n v="7"/>
    <x v="8"/>
    <s v="Engg Manager"/>
  </r>
  <r>
    <n v="67261"/>
    <x v="5"/>
    <s v="01199843"/>
    <x v="19"/>
    <d v="2025-12-24T00:00:00"/>
    <s v="IA1421"/>
    <s v="Jayapal,Muruganandham"/>
    <n v="242.76961911727065"/>
    <d v="2025-12-24T00:00:00"/>
    <n v="7"/>
    <x v="8"/>
    <s v="Engg Manager"/>
  </r>
  <r>
    <n v="67261"/>
    <x v="5"/>
    <s v="01199843"/>
    <x v="19"/>
    <d v="2025-12-26T00:00:00"/>
    <s v="IA1421"/>
    <s v="Jayapal,Muruganandham"/>
    <n v="242.76961911727065"/>
    <d v="2025-12-26T00:00:00"/>
    <n v="7"/>
    <x v="8"/>
    <s v="Engg Manager"/>
  </r>
  <r>
    <n v="67261"/>
    <x v="5"/>
    <s v="01199844"/>
    <x v="19"/>
    <d v="2026-03-16T00:00:00"/>
    <s v="IA1421"/>
    <s v="Jayapal,Muruganandham"/>
    <n v="208.08824495766055"/>
    <d v="2026-03-16T00:00:00"/>
    <n v="6"/>
    <x v="1"/>
    <s v="Engg Manager"/>
  </r>
  <r>
    <n v="67261"/>
    <x v="5"/>
    <s v="01199844"/>
    <x v="19"/>
    <d v="2026-03-17T00:00:00"/>
    <s v="IA1421"/>
    <s v="Jayapal,Muruganandham"/>
    <n v="208.08824495766055"/>
    <d v="2026-03-17T00:00:00"/>
    <n v="6"/>
    <x v="1"/>
    <s v="Engg Manager"/>
  </r>
  <r>
    <n v="67261"/>
    <x v="5"/>
    <s v="01199844"/>
    <x v="19"/>
    <d v="2026-03-18T00:00:00"/>
    <s v="IA1421"/>
    <s v="Jayapal,Muruganandham"/>
    <n v="208.08824495766055"/>
    <d v="2026-03-18T00:00:00"/>
    <n v="6"/>
    <x v="1"/>
    <s v="Engg Manager"/>
  </r>
  <r>
    <n v="67261"/>
    <x v="5"/>
    <s v="01199844"/>
    <x v="19"/>
    <d v="2026-03-19T00:00:00"/>
    <s v="IA1421"/>
    <s v="Jayapal,Muruganandham"/>
    <n v="208.08824495766055"/>
    <d v="2026-03-19T00:00:00"/>
    <n v="6"/>
    <x v="1"/>
    <s v="Engg Manager"/>
  </r>
  <r>
    <n v="67261"/>
    <x v="5"/>
    <s v="01199844"/>
    <x v="19"/>
    <d v="2026-03-20T00:00:00"/>
    <s v="IA1421"/>
    <s v="Jayapal,Muruganandham"/>
    <n v="-208.08824495766055"/>
    <d v="2026-03-20T00:00:00"/>
    <n v="-6"/>
    <x v="1"/>
    <s v="Engg Manager"/>
  </r>
  <r>
    <n v="67261"/>
    <x v="5"/>
    <s v="01199844"/>
    <x v="19"/>
    <d v="2026-03-20T00:00:00"/>
    <s v="IA1421"/>
    <s v="Jayapal,Muruganandham"/>
    <n v="208.08824495766055"/>
    <d v="2026-03-20T00:00:00"/>
    <n v="6"/>
    <x v="1"/>
    <s v="Engg Manager"/>
  </r>
  <r>
    <n v="67261"/>
    <x v="5"/>
    <s v="01199844"/>
    <x v="19"/>
    <d v="2026-03-23T00:00:00"/>
    <s v="IA1421"/>
    <s v="Jayapal,Muruganandham"/>
    <n v="69.362748319220188"/>
    <d v="2026-03-23T00:00:00"/>
    <n v="2"/>
    <x v="1"/>
    <s v="Engg Manager"/>
  </r>
  <r>
    <n v="67261"/>
    <x v="5"/>
    <s v="01199844"/>
    <x v="19"/>
    <d v="2026-03-24T00:00:00"/>
    <s v="IA1771"/>
    <s v="anandanshanmugam,kamesh"/>
    <n v="277.45099327688075"/>
    <d v="2026-03-24T00:00:00"/>
    <n v="8"/>
    <x v="1"/>
    <s v="Junior"/>
  </r>
  <r>
    <n v="67261"/>
    <x v="5"/>
    <s v="01199844"/>
    <x v="19"/>
    <d v="2026-03-24T00:00:00"/>
    <s v="IA1421"/>
    <s v="Jayapal,Muruganandham"/>
    <n v="69.362748319220188"/>
    <d v="2026-03-24T00:00:00"/>
    <n v="2"/>
    <x v="1"/>
    <s v="Engg Manager"/>
  </r>
  <r>
    <n v="67261"/>
    <x v="5"/>
    <s v="01199844"/>
    <x v="19"/>
    <d v="2026-03-25T00:00:00"/>
    <s v="IA1771"/>
    <s v="anandanshanmugam,kamesh"/>
    <n v="277.45099327688075"/>
    <d v="2026-03-25T00:00:00"/>
    <n v="8"/>
    <x v="1"/>
    <s v="Junior"/>
  </r>
  <r>
    <n v="67261"/>
    <x v="5"/>
    <s v="01199844"/>
    <x v="19"/>
    <d v="2026-03-25T00:00:00"/>
    <s v="IA1421"/>
    <s v="Jayapal,Muruganandham"/>
    <n v="69.362748319220188"/>
    <d v="2026-03-25T00:00:00"/>
    <n v="2"/>
    <x v="1"/>
    <s v="Engg Manager"/>
  </r>
  <r>
    <n v="67261"/>
    <x v="5"/>
    <s v="01199844"/>
    <x v="19"/>
    <d v="2026-03-26T00:00:00"/>
    <s v="IA1771"/>
    <s v="anandanshanmugam,kamesh"/>
    <n v="277.45099327688075"/>
    <d v="2026-03-26T00:00:00"/>
    <n v="8"/>
    <x v="1"/>
    <s v="Junior"/>
  </r>
  <r>
    <n v="67261"/>
    <x v="5"/>
    <s v="01199844"/>
    <x v="19"/>
    <d v="2026-03-26T00:00:00"/>
    <s v="IA1421"/>
    <s v="Jayapal,Muruganandham"/>
    <n v="69.362748319220188"/>
    <d v="2026-03-26T00:00:00"/>
    <n v="2"/>
    <x v="1"/>
    <s v="Engg Manager"/>
  </r>
  <r>
    <n v="67261"/>
    <x v="5"/>
    <s v="01199844"/>
    <x v="19"/>
    <d v="2026-03-27T00:00:00"/>
    <s v="IA1771"/>
    <s v="anandanshanmugam,kamesh"/>
    <n v="277.45099327688075"/>
    <d v="2026-03-27T00:00:00"/>
    <n v="8"/>
    <x v="1"/>
    <s v="Junior"/>
  </r>
  <r>
    <n v="67261"/>
    <x v="5"/>
    <s v="01199844"/>
    <x v="19"/>
    <d v="2026-03-27T00:00:00"/>
    <s v="IA1421"/>
    <s v="Jayapal,Muruganandham"/>
    <n v="69.362748319220188"/>
    <d v="2026-03-27T00:00:00"/>
    <n v="2"/>
    <x v="1"/>
    <s v="Engg Manager"/>
  </r>
  <r>
    <n v="67261"/>
    <x v="5"/>
    <s v="01199844"/>
    <x v="19"/>
    <d v="2026-04-06T00:00:00"/>
    <s v="IA1771"/>
    <s v="anandanshanmugam,kamesh"/>
    <n v="277.45099327688075"/>
    <d v="2026-04-06T00:00:00"/>
    <n v="8"/>
    <x v="2"/>
    <s v="Junior"/>
  </r>
  <r>
    <n v="67261"/>
    <x v="5"/>
    <s v="01199844"/>
    <x v="19"/>
    <d v="2026-04-07T00:00:00"/>
    <s v="IA1771"/>
    <s v="anandanshanmugam,kamesh"/>
    <n v="277.45099327688075"/>
    <d v="2026-04-07T00:00:00"/>
    <n v="8"/>
    <x v="2"/>
    <s v="Junior"/>
  </r>
  <r>
    <n v="67261"/>
    <x v="5"/>
    <s v="01199844"/>
    <x v="19"/>
    <d v="2026-04-21T00:00:00"/>
    <s v="IA1771"/>
    <s v="anandanshanmugam,kamesh"/>
    <n v="138.72549663844038"/>
    <d v="2026-04-21T00:00:00"/>
    <n v="4"/>
    <x v="2"/>
    <s v="Junior"/>
  </r>
  <r>
    <n v="67261"/>
    <x v="5"/>
    <s v="01199844"/>
    <x v="19"/>
    <d v="2026-04-22T00:00:00"/>
    <s v="IA1771"/>
    <s v="anandanshanmugam,kamesh"/>
    <n v="138.72549663844038"/>
    <d v="2026-04-22T00:00:00"/>
    <n v="4"/>
    <x v="2"/>
    <s v="Junior"/>
  </r>
  <r>
    <n v="67261"/>
    <x v="5"/>
    <s v="01199844"/>
    <x v="19"/>
    <d v="2026-04-23T00:00:00"/>
    <s v="IA1771"/>
    <s v="anandanshanmugam,kamesh"/>
    <n v="138.72549663844038"/>
    <d v="2026-04-23T00:00:00"/>
    <n v="4"/>
    <x v="2"/>
    <s v="Junior"/>
  </r>
  <r>
    <n v="67261"/>
    <x v="5"/>
    <s v="01199844"/>
    <x v="19"/>
    <d v="2026-04-24T00:00:00"/>
    <s v="IA1771"/>
    <s v="anandanshanmugam,kamesh"/>
    <n v="138.72549663844038"/>
    <d v="2026-04-24T00:00:00"/>
    <n v="4"/>
    <x v="2"/>
    <s v="Junior"/>
  </r>
  <r>
    <n v="67261"/>
    <x v="5"/>
    <s v="01199844"/>
    <x v="19"/>
    <d v="2026-05-06T00:00:00"/>
    <s v="IA1771"/>
    <s v="anandanshanmugam,kamesh"/>
    <n v="277.45099327688075"/>
    <d v="2026-05-06T00:00:00"/>
    <n v="8"/>
    <x v="10"/>
    <s v="Junior"/>
  </r>
  <r>
    <n v="67263"/>
    <x v="6"/>
    <s v="01199845"/>
    <x v="31"/>
    <d v="2025-09-01T00:00:00"/>
    <s v="IA1394"/>
    <s v="Baskar,Shriguru"/>
    <n v="69.362748319220188"/>
    <d v="2025-09-01T00:00:00"/>
    <n v="2"/>
    <x v="5"/>
    <s v="Niche Lead"/>
  </r>
  <r>
    <n v="67263"/>
    <x v="6"/>
    <s v="01199845"/>
    <x v="31"/>
    <d v="2025-09-02T00:00:00"/>
    <s v="IA1394"/>
    <s v="Baskar,Shriguru"/>
    <n v="138.72549663844038"/>
    <d v="2025-09-02T00:00:00"/>
    <n v="4"/>
    <x v="5"/>
    <s v="Niche Lead"/>
  </r>
  <r>
    <n v="67263"/>
    <x v="6"/>
    <s v="01199845"/>
    <x v="31"/>
    <d v="2025-09-03T00:00:00"/>
    <s v="IA1394"/>
    <s v="Baskar,Shriguru"/>
    <n v="138.72549663844038"/>
    <d v="2025-09-03T00:00:00"/>
    <n v="4"/>
    <x v="5"/>
    <s v="Niche Lead"/>
  </r>
  <r>
    <n v="67263"/>
    <x v="6"/>
    <s v="01199845"/>
    <x v="31"/>
    <d v="2025-09-04T00:00:00"/>
    <s v="IA1394"/>
    <s v="Baskar,Shriguru"/>
    <n v="69.362748319220188"/>
    <d v="2025-09-04T00:00:00"/>
    <n v="2"/>
    <x v="5"/>
    <s v="Niche Lead"/>
  </r>
  <r>
    <n v="67263"/>
    <x v="6"/>
    <s v="01199845"/>
    <x v="31"/>
    <d v="2025-09-05T00:00:00"/>
    <s v="IA1394"/>
    <s v="Baskar,Shriguru"/>
    <n v="69.362748319220188"/>
    <d v="2025-09-05T00:00:00"/>
    <n v="2"/>
    <x v="5"/>
    <s v="Niche Lead"/>
  </r>
  <r>
    <n v="67263"/>
    <x v="6"/>
    <s v="01199845"/>
    <x v="31"/>
    <d v="2025-09-08T00:00:00"/>
    <s v="IA1394"/>
    <s v="Baskar,Shriguru"/>
    <n v="69.362748319220188"/>
    <d v="2025-09-08T00:00:00"/>
    <n v="2"/>
    <x v="5"/>
    <s v="Niche Lead"/>
  </r>
  <r>
    <n v="67263"/>
    <x v="6"/>
    <s v="01199845"/>
    <x v="31"/>
    <d v="2025-09-08T00:00:00"/>
    <s v="IA1421"/>
    <s v="Jayapal,Muruganandham"/>
    <n v="69.362748319220188"/>
    <d v="2025-09-08T00:00:00"/>
    <n v="2"/>
    <x v="5"/>
    <s v="Engg Manager"/>
  </r>
  <r>
    <n v="67263"/>
    <x v="6"/>
    <s v="01199845"/>
    <x v="31"/>
    <d v="2025-09-09T00:00:00"/>
    <s v="IA1394"/>
    <s v="Baskar,Shriguru"/>
    <n v="69.362748319220188"/>
    <d v="2025-09-09T00:00:00"/>
    <n v="2"/>
    <x v="5"/>
    <s v="Niche Lead"/>
  </r>
  <r>
    <n v="67263"/>
    <x v="6"/>
    <s v="01199845"/>
    <x v="31"/>
    <d v="2025-09-09T00:00:00"/>
    <s v="IA1421"/>
    <s v="Jayapal,Muruganandham"/>
    <n v="69.362748319220188"/>
    <d v="2025-09-09T00:00:00"/>
    <n v="2"/>
    <x v="5"/>
    <s v="Engg Manager"/>
  </r>
  <r>
    <n v="67263"/>
    <x v="6"/>
    <s v="01199845"/>
    <x v="31"/>
    <d v="2025-09-10T00:00:00"/>
    <s v="IA1421"/>
    <s v="Jayapal,Muruganandham"/>
    <n v="69.362748319220188"/>
    <d v="2025-09-10T00:00:00"/>
    <n v="2"/>
    <x v="5"/>
    <s v="Engg Manager"/>
  </r>
  <r>
    <n v="67263"/>
    <x v="6"/>
    <s v="01199845"/>
    <x v="31"/>
    <d v="2025-09-11T00:00:00"/>
    <s v="IA1394"/>
    <s v="Baskar,Shriguru"/>
    <n v="69.362748319220188"/>
    <d v="2025-09-11T00:00:00"/>
    <n v="2"/>
    <x v="5"/>
    <s v="Niche Lead"/>
  </r>
  <r>
    <n v="67263"/>
    <x v="6"/>
    <s v="01199845"/>
    <x v="31"/>
    <d v="2025-09-11T00:00:00"/>
    <s v="IA1421"/>
    <s v="Jayapal,Muruganandham"/>
    <n v="69.362748319220188"/>
    <d v="2025-09-11T00:00:00"/>
    <n v="2"/>
    <x v="5"/>
    <s v="Engg Manager"/>
  </r>
  <r>
    <n v="67263"/>
    <x v="6"/>
    <s v="01199845"/>
    <x v="31"/>
    <d v="2025-09-12T00:00:00"/>
    <s v="IA1421"/>
    <s v="Jayapal,Muruganandham"/>
    <n v="69.362748319220188"/>
    <d v="2025-09-12T00:00:00"/>
    <n v="2"/>
    <x v="5"/>
    <s v="Engg Manager"/>
  </r>
  <r>
    <n v="67263"/>
    <x v="6"/>
    <s v="01199845"/>
    <x v="31"/>
    <d v="2025-09-15T00:00:00"/>
    <s v="IA1421"/>
    <s v="Jayapal,Muruganandham"/>
    <n v="69.362748319220188"/>
    <d v="2025-09-15T00:00:00"/>
    <n v="2"/>
    <x v="5"/>
    <s v="Engg Manager"/>
  </r>
  <r>
    <n v="67263"/>
    <x v="6"/>
    <s v="01199845"/>
    <x v="31"/>
    <d v="2025-09-16T00:00:00"/>
    <s v="IA1421"/>
    <s v="Jayapal,Muruganandham"/>
    <n v="69.362748319220188"/>
    <d v="2025-09-16T00:00:00"/>
    <n v="2"/>
    <x v="5"/>
    <s v="Engg Manager"/>
  </r>
  <r>
    <n v="67263"/>
    <x v="6"/>
    <s v="01199845"/>
    <x v="31"/>
    <d v="2025-09-17T00:00:00"/>
    <s v="IA1421"/>
    <s v="Jayapal,Muruganandham"/>
    <n v="69.362748319220188"/>
    <d v="2025-09-17T00:00:00"/>
    <n v="2"/>
    <x v="5"/>
    <s v="Engg Manager"/>
  </r>
  <r>
    <n v="67263"/>
    <x v="6"/>
    <s v="01199845"/>
    <x v="31"/>
    <d v="2025-09-18T00:00:00"/>
    <s v="IA1421"/>
    <s v="Jayapal,Muruganandham"/>
    <n v="69.362748319220188"/>
    <d v="2025-09-18T00:00:00"/>
    <n v="2"/>
    <x v="5"/>
    <s v="Engg Manager"/>
  </r>
  <r>
    <n v="67263"/>
    <x v="6"/>
    <s v="01199845"/>
    <x v="31"/>
    <d v="2025-09-19T00:00:00"/>
    <s v="IA1421"/>
    <s v="Jayapal,Muruganandham"/>
    <n v="69.362748319220188"/>
    <d v="2025-09-19T00:00:00"/>
    <n v="2"/>
    <x v="5"/>
    <s v="Engg Manager"/>
  </r>
  <r>
    <n v="67263"/>
    <x v="6"/>
    <s v="01199845"/>
    <x v="31"/>
    <d v="2025-09-22T00:00:00"/>
    <s v="IA1394"/>
    <s v="Baskar,Shriguru"/>
    <n v="138.72549663844038"/>
    <d v="2025-09-22T00:00:00"/>
    <n v="4"/>
    <x v="5"/>
    <s v="Niche Lead"/>
  </r>
  <r>
    <n v="67263"/>
    <x v="6"/>
    <s v="01199845"/>
    <x v="31"/>
    <d v="2025-09-22T00:00:00"/>
    <s v="IA1421"/>
    <s v="Jayapal,Muruganandham"/>
    <n v="69.362748319220188"/>
    <d v="2025-09-22T00:00:00"/>
    <n v="2"/>
    <x v="5"/>
    <s v="Engg Manager"/>
  </r>
  <r>
    <n v="67263"/>
    <x v="6"/>
    <s v="01199845"/>
    <x v="31"/>
    <d v="2025-09-23T00:00:00"/>
    <s v="IA1394"/>
    <s v="Baskar,Shriguru"/>
    <n v="138.72549663844038"/>
    <d v="2025-09-23T00:00:00"/>
    <n v="4"/>
    <x v="5"/>
    <s v="Niche Lead"/>
  </r>
  <r>
    <n v="67263"/>
    <x v="6"/>
    <s v="01199845"/>
    <x v="31"/>
    <d v="2025-09-23T00:00:00"/>
    <s v="IA1421"/>
    <s v="Jayapal,Muruganandham"/>
    <n v="69.362748319220188"/>
    <d v="2025-09-23T00:00:00"/>
    <n v="2"/>
    <x v="5"/>
    <s v="Engg Manager"/>
  </r>
  <r>
    <n v="67263"/>
    <x v="6"/>
    <s v="01199845"/>
    <x v="31"/>
    <d v="2025-09-24T00:00:00"/>
    <s v="IA1394"/>
    <s v="Baskar,Shriguru"/>
    <n v="138.72549663844038"/>
    <d v="2025-09-24T00:00:00"/>
    <n v="4"/>
    <x v="5"/>
    <s v="Niche Lead"/>
  </r>
  <r>
    <n v="67263"/>
    <x v="6"/>
    <s v="01199845"/>
    <x v="31"/>
    <d v="2025-09-24T00:00:00"/>
    <s v="IA1421"/>
    <s v="Jayapal,Muruganandham"/>
    <n v="69.362748319220188"/>
    <d v="2025-09-24T00:00:00"/>
    <n v="2"/>
    <x v="5"/>
    <s v="Engg Manager"/>
  </r>
  <r>
    <n v="67263"/>
    <x v="6"/>
    <s v="01199845"/>
    <x v="31"/>
    <d v="2025-09-25T00:00:00"/>
    <s v="IA1394"/>
    <s v="Baskar,Shriguru"/>
    <n v="138.72549663844038"/>
    <d v="2025-09-25T00:00:00"/>
    <n v="4"/>
    <x v="5"/>
    <s v="Niche Lead"/>
  </r>
  <r>
    <n v="67263"/>
    <x v="6"/>
    <s v="01199845"/>
    <x v="31"/>
    <d v="2025-09-25T00:00:00"/>
    <s v="IA1421"/>
    <s v="Jayapal,Muruganandham"/>
    <n v="69.362748319220188"/>
    <d v="2025-09-25T00:00:00"/>
    <n v="2"/>
    <x v="5"/>
    <s v="Engg Manager"/>
  </r>
  <r>
    <n v="67263"/>
    <x v="6"/>
    <s v="01199845"/>
    <x v="31"/>
    <d v="2025-09-26T00:00:00"/>
    <s v="IA1394"/>
    <s v="Baskar,Shriguru"/>
    <n v="138.72549663844038"/>
    <d v="2025-09-26T00:00:00"/>
    <n v="4"/>
    <x v="5"/>
    <s v="Niche Lead"/>
  </r>
  <r>
    <n v="67263"/>
    <x v="6"/>
    <s v="01199845"/>
    <x v="31"/>
    <d v="2025-09-26T00:00:00"/>
    <s v="IA1421"/>
    <s v="Jayapal,Muruganandham"/>
    <n v="69.362748319220188"/>
    <d v="2025-09-26T00:00:00"/>
    <n v="2"/>
    <x v="5"/>
    <s v="Engg Manager"/>
  </r>
  <r>
    <n v="67263"/>
    <x v="6"/>
    <s v="01199845"/>
    <x v="31"/>
    <d v="2025-09-29T00:00:00"/>
    <s v="IA1421"/>
    <s v="Jayapal,Muruganandham"/>
    <n v="69.362748319220188"/>
    <d v="2025-09-29T00:00:00"/>
    <n v="2"/>
    <x v="5"/>
    <s v="Engg Manager"/>
  </r>
  <r>
    <n v="67263"/>
    <x v="6"/>
    <s v="01199845"/>
    <x v="31"/>
    <d v="2025-09-30T00:00:00"/>
    <s v="IA1421"/>
    <s v="Jayapal,Muruganandham"/>
    <n v="69.362748319220188"/>
    <d v="2025-09-30T00:00:00"/>
    <n v="2"/>
    <x v="5"/>
    <s v="Engg Manager"/>
  </r>
  <r>
    <n v="67263"/>
    <x v="6"/>
    <s v="01199845"/>
    <x v="31"/>
    <d v="2025-09-30T00:00:00"/>
    <s v="IA1394"/>
    <s v="Baskar,Shriguru"/>
    <n v="69.362748319220188"/>
    <d v="2025-09-30T00:00:00"/>
    <n v="2"/>
    <x v="5"/>
    <s v="Niche Lead"/>
  </r>
  <r>
    <n v="67263"/>
    <x v="6"/>
    <s v="01199845"/>
    <x v="31"/>
    <d v="2025-10-03T00:00:00"/>
    <s v="IA1421"/>
    <s v="Jayapal,Muruganandham"/>
    <n v="69.362748319220188"/>
    <d v="2025-10-03T00:00:00"/>
    <n v="2"/>
    <x v="6"/>
    <s v="Engg Manager"/>
  </r>
  <r>
    <n v="67263"/>
    <x v="6"/>
    <s v="01199845"/>
    <x v="31"/>
    <d v="2025-10-03T00:00:00"/>
    <s v="IA1394"/>
    <s v="Baskar,Shriguru"/>
    <n v="69.362748319220188"/>
    <d v="2025-10-03T00:00:00"/>
    <n v="2"/>
    <x v="6"/>
    <s v="Niche Lead"/>
  </r>
  <r>
    <n v="67263"/>
    <x v="6"/>
    <s v="01199845"/>
    <x v="31"/>
    <d v="2025-10-06T00:00:00"/>
    <s v="IA1421"/>
    <s v="Jayapal,Muruganandham"/>
    <n v="69.362748319220188"/>
    <d v="2025-10-06T00:00:00"/>
    <n v="2"/>
    <x v="6"/>
    <s v="Engg Manager"/>
  </r>
  <r>
    <n v="67263"/>
    <x v="6"/>
    <s v="01199845"/>
    <x v="31"/>
    <d v="2025-10-07T00:00:00"/>
    <s v="IA1421"/>
    <s v="Jayapal,Muruganandham"/>
    <n v="69.362748319220188"/>
    <d v="2025-10-07T00:00:00"/>
    <n v="2"/>
    <x v="6"/>
    <s v="Engg Manager"/>
  </r>
  <r>
    <n v="67263"/>
    <x v="6"/>
    <s v="01199845"/>
    <x v="31"/>
    <d v="2025-10-08T00:00:00"/>
    <s v="IA1421"/>
    <s v="Jayapal,Muruganandham"/>
    <n v="69.362748319220188"/>
    <d v="2025-10-08T00:00:00"/>
    <n v="2"/>
    <x v="6"/>
    <s v="Engg Manager"/>
  </r>
  <r>
    <n v="67263"/>
    <x v="6"/>
    <s v="01199845"/>
    <x v="31"/>
    <d v="2025-10-09T00:00:00"/>
    <s v="IA1421"/>
    <s v="Jayapal,Muruganandham"/>
    <n v="69.362748319220188"/>
    <d v="2025-10-09T00:00:00"/>
    <n v="2"/>
    <x v="6"/>
    <s v="Engg Manager"/>
  </r>
  <r>
    <n v="67263"/>
    <x v="6"/>
    <s v="01199845"/>
    <x v="31"/>
    <d v="2025-10-10T00:00:00"/>
    <s v="IA1421"/>
    <s v="Jayapal,Muruganandham"/>
    <n v="69.362748319220188"/>
    <d v="2025-10-10T00:00:00"/>
    <n v="2"/>
    <x v="6"/>
    <s v="Engg Manager"/>
  </r>
  <r>
    <n v="67263"/>
    <x v="6"/>
    <s v="01199845"/>
    <x v="31"/>
    <d v="2025-10-13T00:00:00"/>
    <s v="IA1421"/>
    <s v="Jayapal,Muruganandham"/>
    <n v="69.362748319220188"/>
    <d v="2025-10-13T00:00:00"/>
    <n v="2"/>
    <x v="6"/>
    <s v="Engg Manager"/>
  </r>
  <r>
    <n v="67263"/>
    <x v="6"/>
    <s v="01199845"/>
    <x v="31"/>
    <d v="2025-10-14T00:00:00"/>
    <s v="IA1421"/>
    <s v="Jayapal,Muruganandham"/>
    <n v="69.362748319220188"/>
    <d v="2025-10-14T00:00:00"/>
    <n v="2"/>
    <x v="6"/>
    <s v="Engg Manager"/>
  </r>
  <r>
    <n v="67263"/>
    <x v="6"/>
    <s v="01199845"/>
    <x v="31"/>
    <d v="2025-10-15T00:00:00"/>
    <s v="IA1421"/>
    <s v="Jayapal,Muruganandham"/>
    <n v="69.362748319220188"/>
    <d v="2025-10-15T00:00:00"/>
    <n v="2"/>
    <x v="6"/>
    <s v="Engg Manager"/>
  </r>
  <r>
    <n v="67263"/>
    <x v="6"/>
    <s v="01199845"/>
    <x v="31"/>
    <d v="2025-10-16T00:00:00"/>
    <s v="IA1421"/>
    <s v="Jayapal,Muruganandham"/>
    <n v="69.362748319220188"/>
    <d v="2025-10-16T00:00:00"/>
    <n v="2"/>
    <x v="6"/>
    <s v="Engg Manager"/>
  </r>
  <r>
    <n v="67263"/>
    <x v="6"/>
    <s v="01199845"/>
    <x v="31"/>
    <d v="2025-10-17T00:00:00"/>
    <s v="IA1421"/>
    <s v="Jayapal,Muruganandham"/>
    <n v="69.362748319220188"/>
    <d v="2025-10-17T00:00:00"/>
    <n v="2"/>
    <x v="6"/>
    <s v="Engg Manager"/>
  </r>
  <r>
    <n v="67263"/>
    <x v="6"/>
    <s v="01199845"/>
    <x v="31"/>
    <d v="2025-10-20T00:00:00"/>
    <s v="IA1421"/>
    <s v="Jayapal,Muruganandham"/>
    <n v="69.362748319220188"/>
    <d v="2025-10-20T00:00:00"/>
    <n v="2"/>
    <x v="6"/>
    <s v="Engg Manager"/>
  </r>
  <r>
    <n v="67263"/>
    <x v="6"/>
    <s v="01199845"/>
    <x v="31"/>
    <d v="2025-10-22T00:00:00"/>
    <s v="IA1421"/>
    <s v="Jayapal,Muruganandham"/>
    <n v="69.362748319220188"/>
    <d v="2025-10-22T00:00:00"/>
    <n v="2"/>
    <x v="6"/>
    <s v="Engg Manager"/>
  </r>
  <r>
    <n v="67263"/>
    <x v="6"/>
    <s v="01199845"/>
    <x v="31"/>
    <d v="2025-10-23T00:00:00"/>
    <s v="IA1421"/>
    <s v="Jayapal,Muruganandham"/>
    <n v="69.362748319220188"/>
    <d v="2025-10-23T00:00:00"/>
    <n v="2"/>
    <x v="6"/>
    <s v="Engg Manager"/>
  </r>
  <r>
    <n v="67263"/>
    <x v="6"/>
    <s v="01199845"/>
    <x v="31"/>
    <d v="2025-10-24T00:00:00"/>
    <s v="IA1421"/>
    <s v="Jayapal,Muruganandham"/>
    <n v="69.362748319220188"/>
    <d v="2025-10-24T00:00:00"/>
    <n v="2"/>
    <x v="6"/>
    <s v="Engg Manager"/>
  </r>
  <r>
    <n v="67263"/>
    <x v="6"/>
    <s v="01199845"/>
    <x v="31"/>
    <d v="2025-10-27T00:00:00"/>
    <s v="IA1421"/>
    <s v="Jayapal,Muruganandham"/>
    <n v="69.362748319220188"/>
    <d v="2025-10-27T00:00:00"/>
    <n v="2"/>
    <x v="6"/>
    <s v="Engg Manager"/>
  </r>
  <r>
    <n v="67263"/>
    <x v="6"/>
    <s v="01199845"/>
    <x v="31"/>
    <d v="2025-10-28T00:00:00"/>
    <s v="IA1421"/>
    <s v="Jayapal,Muruganandham"/>
    <n v="69.362748319220188"/>
    <d v="2025-10-28T00:00:00"/>
    <n v="2"/>
    <x v="6"/>
    <s v="Engg Manager"/>
  </r>
  <r>
    <n v="67263"/>
    <x v="6"/>
    <s v="01199845"/>
    <x v="31"/>
    <d v="2025-10-29T00:00:00"/>
    <s v="IA1421"/>
    <s v="Jayapal,Muruganandham"/>
    <n v="69.362748319220188"/>
    <d v="2025-10-29T00:00:00"/>
    <n v="2"/>
    <x v="6"/>
    <s v="Engg Manager"/>
  </r>
  <r>
    <n v="67263"/>
    <x v="6"/>
    <s v="01199845"/>
    <x v="31"/>
    <d v="2025-10-30T00:00:00"/>
    <s v="IA1421"/>
    <s v="Jayapal,Muruganandham"/>
    <n v="69.362748319220188"/>
    <d v="2025-10-30T00:00:00"/>
    <n v="2"/>
    <x v="6"/>
    <s v="Engg Manager"/>
  </r>
  <r>
    <n v="67263"/>
    <x v="6"/>
    <s v="01199845"/>
    <x v="31"/>
    <d v="2025-10-31T00:00:00"/>
    <s v="IA1421"/>
    <s v="Jayapal,Muruganandham"/>
    <n v="69.362748319220188"/>
    <d v="2025-10-31T00:00:00"/>
    <n v="2"/>
    <x v="6"/>
    <s v="Engg Manager"/>
  </r>
  <r>
    <n v="67263"/>
    <x v="6"/>
    <s v="01199845"/>
    <x v="31"/>
    <d v="2025-11-03T00:00:00"/>
    <s v="IA1421"/>
    <s v="Jayapal,Muruganandham"/>
    <n v="34.681374159610094"/>
    <d v="2025-11-03T00:00:00"/>
    <n v="1"/>
    <x v="7"/>
    <s v="Engg Manager"/>
  </r>
  <r>
    <n v="67263"/>
    <x v="6"/>
    <s v="01199845"/>
    <x v="31"/>
    <d v="2025-11-04T00:00:00"/>
    <s v="IA1421"/>
    <s v="Jayapal,Muruganandham"/>
    <n v="34.681374159610094"/>
    <d v="2025-11-04T00:00:00"/>
    <n v="1"/>
    <x v="7"/>
    <s v="Engg Manager"/>
  </r>
  <r>
    <n v="67263"/>
    <x v="6"/>
    <s v="01199845"/>
    <x v="31"/>
    <d v="2025-11-05T00:00:00"/>
    <s v="IA1421"/>
    <s v="Jayapal,Muruganandham"/>
    <n v="34.681374159610094"/>
    <d v="2025-11-05T00:00:00"/>
    <n v="1"/>
    <x v="7"/>
    <s v="Engg Manager"/>
  </r>
  <r>
    <n v="67263"/>
    <x v="6"/>
    <s v="01199845"/>
    <x v="31"/>
    <d v="2025-11-06T00:00:00"/>
    <s v="IA1421"/>
    <s v="Jayapal,Muruganandham"/>
    <n v="34.681374159610094"/>
    <d v="2025-11-06T00:00:00"/>
    <n v="1"/>
    <x v="7"/>
    <s v="Engg Manager"/>
  </r>
  <r>
    <n v="67263"/>
    <x v="6"/>
    <s v="01199845"/>
    <x v="31"/>
    <d v="2025-11-06T00:00:00"/>
    <s v="IA1394"/>
    <s v="Baskar,Shriguru"/>
    <n v="69.362748319220188"/>
    <d v="2025-11-06T00:00:00"/>
    <n v="2"/>
    <x v="7"/>
    <s v="Niche Lead"/>
  </r>
  <r>
    <n v="67263"/>
    <x v="6"/>
    <s v="01199845"/>
    <x v="31"/>
    <d v="2025-11-07T00:00:00"/>
    <s v="IA1421"/>
    <s v="Jayapal,Muruganandham"/>
    <n v="34.681374159610094"/>
    <d v="2025-11-07T00:00:00"/>
    <n v="1"/>
    <x v="7"/>
    <s v="Engg Manager"/>
  </r>
  <r>
    <n v="67263"/>
    <x v="6"/>
    <s v="01199845"/>
    <x v="31"/>
    <d v="2025-11-07T00:00:00"/>
    <s v="IA1394"/>
    <s v="Baskar,Shriguru"/>
    <n v="208.08824495766055"/>
    <d v="2025-11-07T00:00:00"/>
    <n v="6"/>
    <x v="7"/>
    <s v="Niche Lead"/>
  </r>
  <r>
    <n v="67263"/>
    <x v="6"/>
    <s v="01199845"/>
    <x v="31"/>
    <d v="2025-11-17T00:00:00"/>
    <s v="IA1394"/>
    <s v="Baskar,Shriguru"/>
    <n v="69.362748319220188"/>
    <d v="2025-11-17T00:00:00"/>
    <n v="2"/>
    <x v="7"/>
    <s v="Niche Lead"/>
  </r>
  <r>
    <n v="67263"/>
    <x v="6"/>
    <s v="01199845"/>
    <x v="31"/>
    <d v="2025-11-17T00:00:00"/>
    <s v="IA1421"/>
    <s v="Jayapal,Muruganandham"/>
    <n v="34.681374159610094"/>
    <d v="2025-11-17T00:00:00"/>
    <n v="1"/>
    <x v="7"/>
    <s v="Engg Manager"/>
  </r>
  <r>
    <n v="67263"/>
    <x v="6"/>
    <s v="01199845"/>
    <x v="31"/>
    <d v="2025-11-18T00:00:00"/>
    <s v="IA1394"/>
    <s v="Baskar,Shriguru"/>
    <n v="69.362748319220188"/>
    <d v="2025-11-18T00:00:00"/>
    <n v="2"/>
    <x v="7"/>
    <s v="Niche Lead"/>
  </r>
  <r>
    <n v="67263"/>
    <x v="6"/>
    <s v="01199845"/>
    <x v="31"/>
    <d v="2025-11-18T00:00:00"/>
    <s v="IA1421"/>
    <s v="Jayapal,Muruganandham"/>
    <n v="34.681374159610094"/>
    <d v="2025-11-18T00:00:00"/>
    <n v="1"/>
    <x v="7"/>
    <s v="Engg Manager"/>
  </r>
  <r>
    <n v="67263"/>
    <x v="6"/>
    <s v="01199845"/>
    <x v="31"/>
    <d v="2025-11-19T00:00:00"/>
    <s v="IA1394"/>
    <s v="Baskar,Shriguru"/>
    <n v="69.362748319220188"/>
    <d v="2025-11-19T00:00:00"/>
    <n v="2"/>
    <x v="7"/>
    <s v="Niche Lead"/>
  </r>
  <r>
    <n v="67263"/>
    <x v="6"/>
    <s v="01199845"/>
    <x v="31"/>
    <d v="2025-11-19T00:00:00"/>
    <s v="IA1421"/>
    <s v="Jayapal,Muruganandham"/>
    <n v="34.681374159610094"/>
    <d v="2025-11-19T00:00:00"/>
    <n v="1"/>
    <x v="7"/>
    <s v="Engg Manager"/>
  </r>
  <r>
    <n v="67263"/>
    <x v="6"/>
    <s v="01199845"/>
    <x v="31"/>
    <d v="2025-11-20T00:00:00"/>
    <s v="IA1394"/>
    <s v="Baskar,Shriguru"/>
    <n v="69.362748319220188"/>
    <d v="2025-11-20T00:00:00"/>
    <n v="2"/>
    <x v="7"/>
    <s v="Niche Lead"/>
  </r>
  <r>
    <n v="67263"/>
    <x v="6"/>
    <s v="01199845"/>
    <x v="31"/>
    <d v="2025-11-20T00:00:00"/>
    <s v="IA1421"/>
    <s v="Jayapal,Muruganandham"/>
    <n v="34.681374159610094"/>
    <d v="2025-11-20T00:00:00"/>
    <n v="1"/>
    <x v="7"/>
    <s v="Engg Manager"/>
  </r>
  <r>
    <n v="67263"/>
    <x v="6"/>
    <s v="01199845"/>
    <x v="31"/>
    <d v="2025-11-21T00:00:00"/>
    <s v="IA1394"/>
    <s v="Baskar,Shriguru"/>
    <n v="69.362748319220188"/>
    <d v="2025-11-21T00:00:00"/>
    <n v="2"/>
    <x v="7"/>
    <s v="Niche Lead"/>
  </r>
  <r>
    <n v="67263"/>
    <x v="6"/>
    <s v="01199845"/>
    <x v="31"/>
    <d v="2025-11-21T00:00:00"/>
    <s v="IA1421"/>
    <s v="Jayapal,Muruganandham"/>
    <n v="34.681374159610094"/>
    <d v="2025-11-21T00:00:00"/>
    <n v="1"/>
    <x v="7"/>
    <s v="Engg Manager"/>
  </r>
  <r>
    <n v="67263"/>
    <x v="6"/>
    <s v="01199845"/>
    <x v="31"/>
    <d v="2025-11-22T00:00:00"/>
    <s v="IA1394"/>
    <s v="Baskar,Shriguru"/>
    <n v="69.362748319220188"/>
    <d v="2025-11-22T00:00:00"/>
    <n v="2"/>
    <x v="7"/>
    <s v="Niche Lead"/>
  </r>
  <r>
    <n v="67263"/>
    <x v="6"/>
    <s v="01199845"/>
    <x v="31"/>
    <d v="2025-11-24T00:00:00"/>
    <s v="IA1421"/>
    <s v="Jayapal,Muruganandham"/>
    <n v="34.681374159610094"/>
    <d v="2025-11-24T00:00:00"/>
    <n v="1"/>
    <x v="7"/>
    <s v="Engg Manager"/>
  </r>
  <r>
    <n v="67263"/>
    <x v="6"/>
    <s v="01199845"/>
    <x v="31"/>
    <d v="2025-11-25T00:00:00"/>
    <s v="IA1421"/>
    <s v="Jayapal,Muruganandham"/>
    <n v="34.681374159610094"/>
    <d v="2025-11-25T00:00:00"/>
    <n v="1"/>
    <x v="7"/>
    <s v="Engg Manager"/>
  </r>
  <r>
    <n v="67263"/>
    <x v="6"/>
    <s v="01199845"/>
    <x v="31"/>
    <d v="2025-11-26T00:00:00"/>
    <s v="IA1421"/>
    <s v="Jayapal,Muruganandham"/>
    <n v="34.681374159610094"/>
    <d v="2025-11-26T00:00:00"/>
    <n v="1"/>
    <x v="7"/>
    <s v="Engg Manager"/>
  </r>
  <r>
    <n v="67263"/>
    <x v="6"/>
    <s v="01199845"/>
    <x v="31"/>
    <d v="2025-11-27T00:00:00"/>
    <s v="IA1421"/>
    <s v="Jayapal,Muruganandham"/>
    <n v="34.681374159610094"/>
    <d v="2025-11-27T00:00:00"/>
    <n v="1"/>
    <x v="7"/>
    <s v="Engg Manager"/>
  </r>
  <r>
    <n v="67263"/>
    <x v="6"/>
    <s v="01199845"/>
    <x v="31"/>
    <d v="2025-11-28T00:00:00"/>
    <s v="IA1421"/>
    <s v="Jayapal,Muruganandham"/>
    <n v="34.681374159610094"/>
    <d v="2025-11-28T00:00:00"/>
    <n v="1"/>
    <x v="7"/>
    <s v="Engg Manager"/>
  </r>
  <r>
    <n v="67263"/>
    <x v="6"/>
    <s v="01199845"/>
    <x v="31"/>
    <d v="2025-12-01T00:00:00"/>
    <s v="IA1394"/>
    <s v="Baskar,Shriguru"/>
    <n v="69.362748319220188"/>
    <d v="2025-12-01T00:00:00"/>
    <n v="2"/>
    <x v="8"/>
    <s v="Niche Lead"/>
  </r>
  <r>
    <n v="67263"/>
    <x v="6"/>
    <s v="01199845"/>
    <x v="31"/>
    <d v="2025-12-01T00:00:00"/>
    <s v="IA1421"/>
    <s v="Jayapal,Muruganandham"/>
    <n v="34.681374159610094"/>
    <d v="2025-12-01T00:00:00"/>
    <n v="1"/>
    <x v="8"/>
    <s v="Engg Manager"/>
  </r>
  <r>
    <n v="67263"/>
    <x v="6"/>
    <s v="01199845"/>
    <x v="31"/>
    <d v="2025-12-02T00:00:00"/>
    <s v="IA1394"/>
    <s v="Baskar,Shriguru"/>
    <n v="69.362748319220188"/>
    <d v="2025-12-02T00:00:00"/>
    <n v="2"/>
    <x v="8"/>
    <s v="Niche Lead"/>
  </r>
  <r>
    <n v="67263"/>
    <x v="6"/>
    <s v="01199845"/>
    <x v="31"/>
    <d v="2025-12-02T00:00:00"/>
    <s v="IA1421"/>
    <s v="Jayapal,Muruganandham"/>
    <n v="34.681374159610094"/>
    <d v="2025-12-02T00:00:00"/>
    <n v="1"/>
    <x v="8"/>
    <s v="Engg Manager"/>
  </r>
  <r>
    <n v="67263"/>
    <x v="6"/>
    <s v="01199845"/>
    <x v="31"/>
    <d v="2025-12-03T00:00:00"/>
    <s v="IA1394"/>
    <s v="Baskar,Shriguru"/>
    <n v="69.362748319220188"/>
    <d v="2025-12-03T00:00:00"/>
    <n v="2"/>
    <x v="8"/>
    <s v="Niche Lead"/>
  </r>
  <r>
    <n v="67263"/>
    <x v="6"/>
    <s v="01199845"/>
    <x v="31"/>
    <d v="2025-12-03T00:00:00"/>
    <s v="IA1421"/>
    <s v="Jayapal,Muruganandham"/>
    <n v="34.681374159610094"/>
    <d v="2025-12-03T00:00:00"/>
    <n v="1"/>
    <x v="8"/>
    <s v="Engg Manager"/>
  </r>
  <r>
    <n v="67263"/>
    <x v="6"/>
    <s v="01199845"/>
    <x v="31"/>
    <d v="2025-12-08T00:00:00"/>
    <s v="IA1421"/>
    <s v="Jayapal,Muruganandham"/>
    <n v="69.362748319220188"/>
    <d v="2025-12-08T00:00:00"/>
    <n v="2"/>
    <x v="8"/>
    <s v="Engg Manager"/>
  </r>
  <r>
    <n v="67263"/>
    <x v="6"/>
    <s v="01199845"/>
    <x v="31"/>
    <d v="2025-12-09T00:00:00"/>
    <s v="IA1421"/>
    <s v="Jayapal,Muruganandham"/>
    <n v="69.362748319220188"/>
    <d v="2025-12-09T00:00:00"/>
    <n v="2"/>
    <x v="8"/>
    <s v="Engg Manager"/>
  </r>
  <r>
    <n v="67263"/>
    <x v="6"/>
    <s v="01199845"/>
    <x v="31"/>
    <d v="2025-12-10T00:00:00"/>
    <s v="IA1421"/>
    <s v="Jayapal,Muruganandham"/>
    <n v="69.362748319220188"/>
    <d v="2025-12-10T00:00:00"/>
    <n v="2"/>
    <x v="8"/>
    <s v="Engg Manager"/>
  </r>
  <r>
    <n v="67263"/>
    <x v="6"/>
    <s v="01199845"/>
    <x v="31"/>
    <d v="2025-12-11T00:00:00"/>
    <s v="IA1421"/>
    <s v="Jayapal,Muruganandham"/>
    <n v="69.362748319220188"/>
    <d v="2025-12-11T00:00:00"/>
    <n v="2"/>
    <x v="8"/>
    <s v="Engg Manager"/>
  </r>
  <r>
    <n v="67263"/>
    <x v="6"/>
    <s v="01199845"/>
    <x v="31"/>
    <d v="2025-12-12T00:00:00"/>
    <s v="IA1421"/>
    <s v="Jayapal,Muruganandham"/>
    <n v="69.362748319220188"/>
    <d v="2025-12-12T00:00:00"/>
    <n v="2"/>
    <x v="8"/>
    <s v="Engg Manager"/>
  </r>
  <r>
    <n v="67263"/>
    <x v="6"/>
    <s v="01199845"/>
    <x v="31"/>
    <d v="2025-12-12T00:00:00"/>
    <s v="IA1421"/>
    <s v="Jayapal,Muruganandham"/>
    <n v="-69.362748319220188"/>
    <d v="2025-12-12T00:00:00"/>
    <n v="-2"/>
    <x v="8"/>
    <s v="Engg Manager"/>
  </r>
  <r>
    <n v="67263"/>
    <x v="6"/>
    <s v="01199845"/>
    <x v="31"/>
    <d v="2025-12-15T00:00:00"/>
    <s v="IA1394"/>
    <s v="Baskar,Shriguru"/>
    <n v="69.362748319220188"/>
    <d v="2025-12-15T00:00:00"/>
    <n v="2"/>
    <x v="8"/>
    <s v="Niche Lead"/>
  </r>
  <r>
    <n v="67263"/>
    <x v="6"/>
    <s v="01199845"/>
    <x v="31"/>
    <d v="2025-12-16T00:00:00"/>
    <s v="IA1394"/>
    <s v="Baskar,Shriguru"/>
    <n v="69.362748319220188"/>
    <d v="2025-12-16T00:00:00"/>
    <n v="2"/>
    <x v="8"/>
    <s v="Niche Lead"/>
  </r>
  <r>
    <n v="67263"/>
    <x v="6"/>
    <s v="01199845"/>
    <x v="31"/>
    <d v="2025-12-16T00:00:00"/>
    <s v="IA1421"/>
    <s v="Jayapal,Muruganandham"/>
    <n v="173.40687079805048"/>
    <d v="2025-12-16T00:00:00"/>
    <n v="5"/>
    <x v="8"/>
    <s v="Engg Manager"/>
  </r>
  <r>
    <n v="67263"/>
    <x v="6"/>
    <s v="01199845"/>
    <x v="31"/>
    <d v="2025-12-17T00:00:00"/>
    <s v="IA1394"/>
    <s v="Baskar,Shriguru"/>
    <n v="69.362748319220188"/>
    <d v="2025-12-17T00:00:00"/>
    <n v="2"/>
    <x v="8"/>
    <s v="Niche Lead"/>
  </r>
  <r>
    <n v="67263"/>
    <x v="6"/>
    <s v="01199845"/>
    <x v="31"/>
    <d v="2025-12-17T00:00:00"/>
    <s v="IA1421"/>
    <s v="Jayapal,Muruganandham"/>
    <n v="173.40687079805048"/>
    <d v="2025-12-17T00:00:00"/>
    <n v="5"/>
    <x v="8"/>
    <s v="Engg Manager"/>
  </r>
  <r>
    <n v="67263"/>
    <x v="6"/>
    <s v="01199845"/>
    <x v="31"/>
    <d v="2025-12-18T00:00:00"/>
    <s v="IA1421"/>
    <s v="Jayapal,Muruganandham"/>
    <n v="173.40687079805048"/>
    <d v="2025-12-18T00:00:00"/>
    <n v="5"/>
    <x v="8"/>
    <s v="Engg Manager"/>
  </r>
  <r>
    <n v="67263"/>
    <x v="6"/>
    <s v="01199845"/>
    <x v="31"/>
    <d v="2025-12-19T00:00:00"/>
    <s v="IA1421"/>
    <s v="Jayapal,Muruganandham"/>
    <n v="173.40687079805048"/>
    <d v="2025-12-19T00:00:00"/>
    <n v="5"/>
    <x v="8"/>
    <s v="Engg Manager"/>
  </r>
  <r>
    <n v="67263"/>
    <x v="6"/>
    <s v="01199845"/>
    <x v="31"/>
    <d v="2026-01-05T00:00:00"/>
    <s v="IA1421"/>
    <s v="Jayapal,Muruganandham"/>
    <n v="69.362748319220188"/>
    <d v="2026-01-05T00:00:00"/>
    <n v="2"/>
    <x v="9"/>
    <s v="Engg Manager"/>
  </r>
  <r>
    <n v="67263"/>
    <x v="6"/>
    <s v="01199845"/>
    <x v="31"/>
    <d v="2026-01-06T00:00:00"/>
    <s v="IA1421"/>
    <s v="Jayapal,Muruganandham"/>
    <n v="69.362748319220188"/>
    <d v="2026-01-06T00:00:00"/>
    <n v="2"/>
    <x v="9"/>
    <s v="Engg Manager"/>
  </r>
  <r>
    <n v="67263"/>
    <x v="6"/>
    <s v="01199845"/>
    <x v="31"/>
    <d v="2026-01-07T00:00:00"/>
    <s v="IA1421"/>
    <s v="Jayapal,Muruganandham"/>
    <n v="69.362748319220188"/>
    <d v="2026-01-07T00:00:00"/>
    <n v="2"/>
    <x v="9"/>
    <s v="Engg Manager"/>
  </r>
  <r>
    <n v="67263"/>
    <x v="6"/>
    <s v="01199845"/>
    <x v="31"/>
    <d v="2026-01-08T00:00:00"/>
    <s v="IA1421"/>
    <s v="Jayapal,Muruganandham"/>
    <n v="69.362748319220188"/>
    <d v="2026-01-08T00:00:00"/>
    <n v="2"/>
    <x v="9"/>
    <s v="Engg Manager"/>
  </r>
  <r>
    <n v="67263"/>
    <x v="6"/>
    <s v="01199845"/>
    <x v="31"/>
    <d v="2026-01-09T00:00:00"/>
    <s v="IA1421"/>
    <s v="Jayapal,Muruganandham"/>
    <n v="69.362748319220188"/>
    <d v="2026-01-09T00:00:00"/>
    <n v="2"/>
    <x v="9"/>
    <s v="Engg Manager"/>
  </r>
  <r>
    <n v="67263"/>
    <x v="6"/>
    <s v="01199845"/>
    <x v="31"/>
    <d v="2026-01-12T00:00:00"/>
    <s v="IA1421"/>
    <s v="Jayapal,Muruganandham"/>
    <n v="69.362748319220188"/>
    <d v="2026-01-12T00:00:00"/>
    <n v="2"/>
    <x v="9"/>
    <s v="Engg Manager"/>
  </r>
  <r>
    <n v="67263"/>
    <x v="6"/>
    <s v="01199845"/>
    <x v="31"/>
    <d v="2026-01-13T00:00:00"/>
    <s v="IA1421"/>
    <s v="Jayapal,Muruganandham"/>
    <n v="69.362748319220188"/>
    <d v="2026-01-13T00:00:00"/>
    <n v="2"/>
    <x v="9"/>
    <s v="Engg Manager"/>
  </r>
  <r>
    <n v="67263"/>
    <x v="6"/>
    <s v="01199845"/>
    <x v="31"/>
    <d v="2026-01-14T00:00:00"/>
    <s v="IA1421"/>
    <s v="Jayapal,Muruganandham"/>
    <n v="69.362748319220188"/>
    <d v="2026-01-14T00:00:00"/>
    <n v="2"/>
    <x v="9"/>
    <s v="Engg Manager"/>
  </r>
  <r>
    <n v="67263"/>
    <x v="6"/>
    <s v="01199845"/>
    <x v="31"/>
    <d v="2026-01-15T00:00:00"/>
    <s v="IA1421"/>
    <s v="Jayapal,Muruganandham"/>
    <n v="69.362748319220188"/>
    <d v="2026-01-15T00:00:00"/>
    <n v="2"/>
    <x v="9"/>
    <s v="Engg Manager"/>
  </r>
  <r>
    <n v="67263"/>
    <x v="6"/>
    <s v="01199845"/>
    <x v="31"/>
    <d v="2026-01-15T00:00:00"/>
    <s v="IA1421"/>
    <s v="Jayapal,Muruganandham"/>
    <n v="-69.362748319220188"/>
    <d v="2026-01-15T00:00:00"/>
    <n v="-2"/>
    <x v="9"/>
    <s v="Engg Manager"/>
  </r>
  <r>
    <n v="67263"/>
    <x v="6"/>
    <s v="01199845"/>
    <x v="31"/>
    <d v="2026-01-21T00:00:00"/>
    <s v="IA1421"/>
    <s v="Jayapal,Muruganandham"/>
    <n v="69.362748319220188"/>
    <d v="2026-01-21T00:00:00"/>
    <n v="2"/>
    <x v="9"/>
    <s v="Engg Manager"/>
  </r>
  <r>
    <n v="67263"/>
    <x v="6"/>
    <s v="01199845"/>
    <x v="31"/>
    <d v="2026-01-22T00:00:00"/>
    <s v="IA1421"/>
    <s v="Jayapal,Muruganandham"/>
    <n v="69.362748319220188"/>
    <d v="2026-01-22T00:00:00"/>
    <n v="2"/>
    <x v="9"/>
    <s v="Engg Manager"/>
  </r>
  <r>
    <n v="67263"/>
    <x v="6"/>
    <s v="01199845"/>
    <x v="31"/>
    <d v="2026-01-23T00:00:00"/>
    <s v="IA1421"/>
    <s v="Jayapal,Muruganandham"/>
    <n v="69.362748319220188"/>
    <d v="2026-01-23T00:00:00"/>
    <n v="2"/>
    <x v="9"/>
    <s v="Engg Manager"/>
  </r>
  <r>
    <n v="67263"/>
    <x v="6"/>
    <s v="01199845"/>
    <x v="31"/>
    <d v="2026-02-02T00:00:00"/>
    <s v="IA1421"/>
    <s v="Jayapal,Muruganandham"/>
    <n v="69.362748319220188"/>
    <d v="2026-02-02T00:00:00"/>
    <n v="2"/>
    <x v="0"/>
    <s v="Engg Manager"/>
  </r>
  <r>
    <n v="67263"/>
    <x v="6"/>
    <s v="01199845"/>
    <x v="31"/>
    <d v="2026-02-03T00:00:00"/>
    <s v="IA1421"/>
    <s v="Jayapal,Muruganandham"/>
    <n v="69.362748319220188"/>
    <d v="2026-02-03T00:00:00"/>
    <n v="2"/>
    <x v="0"/>
    <s v="Engg Manager"/>
  </r>
  <r>
    <n v="67263"/>
    <x v="6"/>
    <s v="01199845"/>
    <x v="31"/>
    <d v="2026-02-04T00:00:00"/>
    <s v="IA1421"/>
    <s v="Jayapal,Muruganandham"/>
    <n v="69.362748319220188"/>
    <d v="2026-02-04T00:00:00"/>
    <n v="2"/>
    <x v="0"/>
    <s v="Engg Manager"/>
  </r>
  <r>
    <n v="67263"/>
    <x v="6"/>
    <s v="01199845"/>
    <x v="31"/>
    <d v="2026-02-05T00:00:00"/>
    <s v="IA1421"/>
    <s v="Jayapal,Muruganandham"/>
    <n v="69.362748319220188"/>
    <d v="2026-02-05T00:00:00"/>
    <n v="2"/>
    <x v="0"/>
    <s v="Engg Manager"/>
  </r>
  <r>
    <n v="67263"/>
    <x v="6"/>
    <s v="01199845"/>
    <x v="31"/>
    <d v="2026-02-06T00:00:00"/>
    <s v="IA1421"/>
    <s v="Jayapal,Muruganandham"/>
    <n v="69.362748319220188"/>
    <d v="2026-02-06T00:00:00"/>
    <n v="2"/>
    <x v="0"/>
    <s v="Engg Manager"/>
  </r>
  <r>
    <n v="67263"/>
    <x v="6"/>
    <s v="01199845"/>
    <x v="31"/>
    <d v="2026-02-09T00:00:00"/>
    <s v="IA1421"/>
    <s v="Jayapal,Muruganandham"/>
    <n v="69.362748319220188"/>
    <d v="2026-02-09T00:00:00"/>
    <n v="2"/>
    <x v="0"/>
    <s v="Engg Manager"/>
  </r>
  <r>
    <n v="67263"/>
    <x v="6"/>
    <s v="01199845"/>
    <x v="31"/>
    <d v="2026-02-10T00:00:00"/>
    <s v="IA1421"/>
    <s v="Jayapal,Muruganandham"/>
    <n v="69.362748319220188"/>
    <d v="2026-02-10T00:00:00"/>
    <n v="2"/>
    <x v="0"/>
    <s v="Engg Manager"/>
  </r>
  <r>
    <n v="67263"/>
    <x v="6"/>
    <s v="01199845"/>
    <x v="31"/>
    <d v="2026-02-11T00:00:00"/>
    <s v="IA1421"/>
    <s v="Jayapal,Muruganandham"/>
    <n v="69.362748319220188"/>
    <d v="2026-02-11T00:00:00"/>
    <n v="2"/>
    <x v="0"/>
    <s v="Engg Manager"/>
  </r>
  <r>
    <n v="67263"/>
    <x v="6"/>
    <s v="01199845"/>
    <x v="31"/>
    <d v="2026-02-12T00:00:00"/>
    <s v="IA1421"/>
    <s v="Jayapal,Muruganandham"/>
    <n v="69.362748319220188"/>
    <d v="2026-02-12T00:00:00"/>
    <n v="2"/>
    <x v="0"/>
    <s v="Engg Manager"/>
  </r>
  <r>
    <n v="67263"/>
    <x v="6"/>
    <s v="01199845"/>
    <x v="31"/>
    <d v="2026-02-13T00:00:00"/>
    <s v="IA1421"/>
    <s v="Jayapal,Muruganandham"/>
    <n v="69.362748319220188"/>
    <d v="2026-02-13T00:00:00"/>
    <n v="2"/>
    <x v="0"/>
    <s v="Engg Manager"/>
  </r>
  <r>
    <n v="67263"/>
    <x v="6"/>
    <s v="01199845"/>
    <x v="31"/>
    <d v="2026-02-14T00:00:00"/>
    <s v="IA1421"/>
    <s v="Jayapal,Muruganandham"/>
    <n v="69.362748319220188"/>
    <d v="2026-02-14T00:00:00"/>
    <n v="2"/>
    <x v="0"/>
    <s v="Engg Manager"/>
  </r>
  <r>
    <n v="66194"/>
    <x v="1"/>
    <s v="01187549"/>
    <x v="1"/>
    <d v="2025-07-01T00:00:00"/>
    <s v="IA1692"/>
    <s v="Gunasekaran,Kishore"/>
    <n v="242.76961911727065"/>
    <d v="2025-07-01T00:00:00"/>
    <n v="7"/>
    <x v="3"/>
    <s v="Developer"/>
  </r>
  <r>
    <n v="66194"/>
    <x v="1"/>
    <s v="01187549"/>
    <x v="1"/>
    <d v="2025-07-01T00:00:00"/>
    <s v="IA1421"/>
    <s v="Jayapal,Muruganandham"/>
    <n v="138.72549663844038"/>
    <d v="2025-07-01T00:00:00"/>
    <n v="4"/>
    <x v="3"/>
    <s v="Engg Manager"/>
  </r>
  <r>
    <n v="67262"/>
    <x v="0"/>
    <s v="01192806"/>
    <x v="3"/>
    <d v="2025-12-04T00:00:00"/>
    <s v="IA1750"/>
    <s v="Sankarasubbu,RAMANATHAN"/>
    <n v="294.79168035668579"/>
    <d v="2025-12-04T00:00:00"/>
    <n v="8.5"/>
    <x v="8"/>
    <s v="Developer"/>
  </r>
  <r>
    <n v="66194"/>
    <x v="1"/>
    <s v="01187549"/>
    <x v="1"/>
    <d v="2025-07-01T00:00:00"/>
    <s v="IA1793"/>
    <s v="Subramanian,Ruthrakkanth"/>
    <n v="242.76961911727065"/>
    <d v="2025-07-01T00:00:00"/>
    <n v="7"/>
    <x v="3"/>
    <s v="Developer"/>
  </r>
  <r>
    <n v="66194"/>
    <x v="1"/>
    <s v="01187549"/>
    <x v="1"/>
    <d v="2025-07-02T00:00:00"/>
    <s v="IA1692"/>
    <s v="Gunasekaran,Kishore"/>
    <n v="208.08824495766055"/>
    <d v="2025-07-02T00:00:00"/>
    <n v="6"/>
    <x v="3"/>
    <s v="Developer"/>
  </r>
  <r>
    <n v="66194"/>
    <x v="1"/>
    <s v="01187549"/>
    <x v="1"/>
    <d v="2025-07-02T00:00:00"/>
    <s v="IA1421"/>
    <s v="Jayapal,Muruganandham"/>
    <n v="138.72549663844038"/>
    <d v="2025-07-02T00:00:00"/>
    <n v="4"/>
    <x v="3"/>
    <s v="Engg Manager"/>
  </r>
  <r>
    <n v="66194"/>
    <x v="1"/>
    <s v="01187549"/>
    <x v="1"/>
    <d v="2025-07-02T00:00:00"/>
    <s v="IA1757"/>
    <s v="Thirunavukkarasu,Kishore"/>
    <n v="277.45099327688075"/>
    <d v="2025-07-02T00:00:00"/>
    <n v="8"/>
    <x v="3"/>
    <s v="Developer"/>
  </r>
  <r>
    <n v="66194"/>
    <x v="1"/>
    <s v="01187549"/>
    <x v="1"/>
    <d v="2025-07-02T00:00:00"/>
    <s v="IA1793"/>
    <s v="Subramanian,Ruthrakkanth"/>
    <n v="208.08824495766055"/>
    <d v="2025-07-02T00:00:00"/>
    <n v="6"/>
    <x v="3"/>
    <s v="Developer"/>
  </r>
  <r>
    <n v="66194"/>
    <x v="1"/>
    <s v="01187549"/>
    <x v="1"/>
    <d v="2025-07-03T00:00:00"/>
    <s v="IA1692"/>
    <s v="Gunasekaran,Kishore"/>
    <n v="208.08824495766055"/>
    <d v="2025-07-03T00:00:00"/>
    <n v="6"/>
    <x v="3"/>
    <s v="Developer"/>
  </r>
  <r>
    <n v="66194"/>
    <x v="1"/>
    <s v="01187549"/>
    <x v="1"/>
    <d v="2025-07-03T00:00:00"/>
    <s v="IA1421"/>
    <s v="Jayapal,Muruganandham"/>
    <n v="138.72549663844038"/>
    <d v="2025-07-03T00:00:00"/>
    <n v="4"/>
    <x v="3"/>
    <s v="Engg Manager"/>
  </r>
  <r>
    <n v="66194"/>
    <x v="1"/>
    <s v="01187549"/>
    <x v="1"/>
    <d v="2025-07-03T00:00:00"/>
    <s v="IA1757"/>
    <s v="Thirunavukkarasu,Kishore"/>
    <n v="69.362748319220188"/>
    <d v="2025-07-03T00:00:00"/>
    <n v="2"/>
    <x v="3"/>
    <s v="Developer"/>
  </r>
  <r>
    <n v="66194"/>
    <x v="1"/>
    <s v="01187549"/>
    <x v="1"/>
    <d v="2025-07-04T00:00:00"/>
    <s v="IA1692"/>
    <s v="Gunasekaran,Kishore"/>
    <n v="104.04412247883027"/>
    <d v="2025-07-04T00:00:00"/>
    <n v="3"/>
    <x v="3"/>
    <s v="Developer"/>
  </r>
  <r>
    <n v="66194"/>
    <x v="1"/>
    <s v="01187549"/>
    <x v="1"/>
    <d v="2025-07-04T00:00:00"/>
    <s v="IA1421"/>
    <s v="Jayapal,Muruganandham"/>
    <n v="138.72549663844038"/>
    <d v="2025-07-04T00:00:00"/>
    <n v="4"/>
    <x v="3"/>
    <s v="Engg Manager"/>
  </r>
  <r>
    <n v="66194"/>
    <x v="1"/>
    <s v="01187549"/>
    <x v="1"/>
    <d v="2025-07-04T00:00:00"/>
    <s v="IA1450"/>
    <s v="Selvam,Kadarkarai"/>
    <n v="138.72549663844038"/>
    <d v="2025-07-04T00:00:00"/>
    <n v="4"/>
    <x v="3"/>
    <s v="Lead Developer"/>
  </r>
  <r>
    <n v="67262"/>
    <x v="0"/>
    <s v="01192806"/>
    <x v="3"/>
    <d v="2025-12-08T00:00:00"/>
    <s v="IA1750"/>
    <s v="Sankarasubbu,RAMANATHAN"/>
    <n v="242.76961911727065"/>
    <d v="2025-12-08T00:00:00"/>
    <n v="7"/>
    <x v="8"/>
    <s v="Developer"/>
  </r>
  <r>
    <n v="67261"/>
    <x v="5"/>
    <s v="01192799"/>
    <x v="19"/>
    <d v="2025-12-08T00:00:00"/>
    <s v="IA1421"/>
    <s v="Jayapal,Muruganandham"/>
    <n v="104.04412247883027"/>
    <d v="2025-12-08T00:00:00"/>
    <n v="3"/>
    <x v="8"/>
    <s v="Engg Manager"/>
  </r>
  <r>
    <n v="67261"/>
    <x v="5"/>
    <s v="01192799"/>
    <x v="19"/>
    <d v="2025-12-08T00:00:00"/>
    <s v="IA1430"/>
    <s v="Subburajan,Jawahar"/>
    <n v="242.76961911727065"/>
    <d v="2025-12-08T00:00:00"/>
    <n v="7"/>
    <x v="8"/>
    <s v="Lead Developer"/>
  </r>
  <r>
    <n v="67261"/>
    <x v="5"/>
    <s v="01192799"/>
    <x v="19"/>
    <d v="2025-12-08T00:00:00"/>
    <s v="IA1830"/>
    <s v="Raj,Gowtham"/>
    <n v="173.40687079805048"/>
    <d v="2025-12-08T00:00:00"/>
    <n v="5"/>
    <x v="8"/>
    <s v="Junior"/>
  </r>
  <r>
    <n v="67261"/>
    <x v="5"/>
    <s v="01192799"/>
    <x v="19"/>
    <d v="2025-12-09T00:00:00"/>
    <s v="IA1421"/>
    <s v="Jayapal,Muruganandham"/>
    <n v="104.04412247883027"/>
    <d v="2025-12-09T00:00:00"/>
    <n v="3"/>
    <x v="8"/>
    <s v="Engg Manager"/>
  </r>
  <r>
    <n v="67261"/>
    <x v="5"/>
    <s v="01192799"/>
    <x v="19"/>
    <d v="2025-12-09T00:00:00"/>
    <s v="IA1430"/>
    <s v="Subburajan,Jawahar"/>
    <n v="242.76961911727065"/>
    <d v="2025-12-09T00:00:00"/>
    <n v="7"/>
    <x v="8"/>
    <s v="Lead Developer"/>
  </r>
  <r>
    <n v="67261"/>
    <x v="5"/>
    <s v="01192799"/>
    <x v="19"/>
    <d v="2025-12-09T00:00:00"/>
    <s v="IA1830"/>
    <s v="Raj,Gowtham"/>
    <n v="173.40687079805048"/>
    <d v="2025-12-09T00:00:00"/>
    <n v="5"/>
    <x v="8"/>
    <s v="Junior"/>
  </r>
  <r>
    <n v="67261"/>
    <x v="5"/>
    <s v="01192799"/>
    <x v="19"/>
    <d v="2025-12-10T00:00:00"/>
    <s v="IA1421"/>
    <s v="Jayapal,Muruganandham"/>
    <n v="104.04412247883027"/>
    <d v="2025-12-10T00:00:00"/>
    <n v="3"/>
    <x v="8"/>
    <s v="Engg Manager"/>
  </r>
  <r>
    <n v="67261"/>
    <x v="5"/>
    <s v="01192799"/>
    <x v="19"/>
    <d v="2025-12-11T00:00:00"/>
    <s v="IA1421"/>
    <s v="Jayapal,Muruganandham"/>
    <n v="104.04412247883027"/>
    <d v="2025-12-11T00:00:00"/>
    <n v="3"/>
    <x v="8"/>
    <s v="Engg Manager"/>
  </r>
  <r>
    <n v="67261"/>
    <x v="5"/>
    <s v="01192799"/>
    <x v="19"/>
    <d v="2025-12-11T00:00:00"/>
    <s v="IA1793"/>
    <s v="Subramanian,Ruthrakkanth"/>
    <n v="242.76961911727065"/>
    <d v="2025-12-11T00:00:00"/>
    <n v="7"/>
    <x v="8"/>
    <s v="Developer"/>
  </r>
  <r>
    <n v="67261"/>
    <x v="5"/>
    <s v="01192799"/>
    <x v="19"/>
    <d v="2025-12-12T00:00:00"/>
    <s v="IA1421"/>
    <s v="Jayapal,Muruganandham"/>
    <n v="104.04412247883027"/>
    <d v="2025-12-12T00:00:00"/>
    <n v="3"/>
    <x v="8"/>
    <s v="Engg Manager"/>
  </r>
  <r>
    <n v="67261"/>
    <x v="5"/>
    <s v="01192799"/>
    <x v="19"/>
    <d v="2025-12-12T00:00:00"/>
    <s v="IA1421"/>
    <s v="Jayapal,Muruganandham"/>
    <n v="-104.04412247883027"/>
    <d v="2025-12-12T00:00:00"/>
    <n v="-3"/>
    <x v="8"/>
    <s v="Engg Manager"/>
  </r>
  <r>
    <n v="67261"/>
    <x v="5"/>
    <s v="01192799"/>
    <x v="19"/>
    <d v="2025-12-12T00:00:00"/>
    <s v="IA1421"/>
    <s v="Jayapal,Muruganandham"/>
    <n v="69.362748319220188"/>
    <d v="2025-12-12T00:00:00"/>
    <n v="2"/>
    <x v="8"/>
    <s v="Engg Manager"/>
  </r>
  <r>
    <n v="67261"/>
    <x v="5"/>
    <s v="01192799"/>
    <x v="19"/>
    <d v="2025-12-12T00:00:00"/>
    <s v="IA1450"/>
    <s v="Selvam,Kadarkarai"/>
    <n v="69.362748319220188"/>
    <d v="2025-12-12T00:00:00"/>
    <n v="2"/>
    <x v="8"/>
    <s v="Lead Developer"/>
  </r>
  <r>
    <n v="67261"/>
    <x v="5"/>
    <s v="01192799"/>
    <x v="19"/>
    <d v="2025-12-12T00:00:00"/>
    <s v="IA1793"/>
    <s v="Subramanian,Ruthrakkanth"/>
    <n v="242.76961911727065"/>
    <d v="2025-12-12T00:00:00"/>
    <n v="7"/>
    <x v="8"/>
    <s v="Developer"/>
  </r>
  <r>
    <n v="67261"/>
    <x v="5"/>
    <s v="01192799"/>
    <x v="19"/>
    <d v="2025-12-11T00:00:00"/>
    <s v="IA1450"/>
    <s v="Selvam,Kadarkarai"/>
    <n v="69.362748319220188"/>
    <d v="2025-12-11T00:00:00"/>
    <n v="2"/>
    <x v="8"/>
    <s v="Lead Developer"/>
  </r>
  <r>
    <n v="67261"/>
    <x v="5"/>
    <s v="01192799"/>
    <x v="19"/>
    <d v="2025-12-15T00:00:00"/>
    <s v="IA1789"/>
    <s v="Sharukhan,Mohammed"/>
    <n v="173.40687079805048"/>
    <d v="2025-12-15T00:00:00"/>
    <n v="5"/>
    <x v="8"/>
    <s v="Platform Operations"/>
  </r>
  <r>
    <n v="67261"/>
    <x v="5"/>
    <s v="01192799"/>
    <x v="19"/>
    <d v="2025-12-15T00:00:00"/>
    <s v="IA1450"/>
    <s v="Selvam,Kadarkarai"/>
    <n v="277.45099327688075"/>
    <d v="2025-12-15T00:00:00"/>
    <n v="8"/>
    <x v="8"/>
    <s v="Lead Developer"/>
  </r>
  <r>
    <n v="67261"/>
    <x v="5"/>
    <s v="01192799"/>
    <x v="19"/>
    <d v="2025-12-16T00:00:00"/>
    <s v="IA1789"/>
    <s v="Sharukhan,Mohammed"/>
    <n v="173.40687079805048"/>
    <d v="2025-12-16T00:00:00"/>
    <n v="5"/>
    <x v="8"/>
    <s v="Platform Operations"/>
  </r>
  <r>
    <n v="67261"/>
    <x v="5"/>
    <s v="01192799"/>
    <x v="19"/>
    <d v="2025-12-17T00:00:00"/>
    <s v="IA1789"/>
    <s v="Sharukhan,Mohammed"/>
    <n v="173.40687079805048"/>
    <d v="2025-12-17T00:00:00"/>
    <n v="5"/>
    <x v="8"/>
    <s v="Platform Operations"/>
  </r>
  <r>
    <n v="67261"/>
    <x v="5"/>
    <s v="01192799"/>
    <x v="19"/>
    <d v="2025-12-17T00:00:00"/>
    <s v="IA1450"/>
    <s v="Selvam,Kadarkarai"/>
    <n v="208.08824495766055"/>
    <d v="2025-12-17T00:00:00"/>
    <n v="6"/>
    <x v="8"/>
    <s v="Lead Developer"/>
  </r>
  <r>
    <n v="67261"/>
    <x v="5"/>
    <s v="01192799"/>
    <x v="19"/>
    <d v="2025-12-18T00:00:00"/>
    <s v="IA1789"/>
    <s v="Sharukhan,Mohammed"/>
    <n v="173.40687079805048"/>
    <d v="2025-12-18T00:00:00"/>
    <n v="5"/>
    <x v="8"/>
    <s v="Platform Operations"/>
  </r>
  <r>
    <n v="67261"/>
    <x v="5"/>
    <s v="01192799"/>
    <x v="19"/>
    <d v="2025-12-18T00:00:00"/>
    <s v="IA1450"/>
    <s v="Selvam,Kadarkarai"/>
    <n v="138.72549663844038"/>
    <d v="2025-12-18T00:00:00"/>
    <n v="4"/>
    <x v="8"/>
    <s v="Lead Developer"/>
  </r>
  <r>
    <n v="67261"/>
    <x v="5"/>
    <s v="01192799"/>
    <x v="19"/>
    <d v="2025-12-19T00:00:00"/>
    <s v="IA1789"/>
    <s v="Sharukhan,Mohammed"/>
    <n v="173.40687079805048"/>
    <d v="2025-12-19T00:00:00"/>
    <n v="5"/>
    <x v="8"/>
    <s v="Platform Operations"/>
  </r>
  <r>
    <n v="67261"/>
    <x v="5"/>
    <s v="01192799"/>
    <x v="19"/>
    <d v="2025-12-19T00:00:00"/>
    <s v="IA1450"/>
    <s v="Selvam,Kadarkarai"/>
    <n v="312.13236743649082"/>
    <d v="2025-12-19T00:00:00"/>
    <n v="9"/>
    <x v="8"/>
    <s v="Lead Developer"/>
  </r>
  <r>
    <n v="67261"/>
    <x v="5"/>
    <s v="01192799"/>
    <x v="19"/>
    <d v="2025-12-22T00:00:00"/>
    <s v="IA1450"/>
    <s v="Selvam,Kadarkarai"/>
    <n v="173.40687079805048"/>
    <d v="2025-12-22T00:00:00"/>
    <n v="5"/>
    <x v="8"/>
    <s v="Lead Developer"/>
  </r>
  <r>
    <n v="67261"/>
    <x v="5"/>
    <s v="01192799"/>
    <x v="19"/>
    <d v="2025-12-23T00:00:00"/>
    <s v="IA1450"/>
    <s v="Selvam,Kadarkarai"/>
    <n v="277.45099327688075"/>
    <d v="2025-12-23T00:00:00"/>
    <n v="8"/>
    <x v="8"/>
    <s v="Lead Developer"/>
  </r>
  <r>
    <n v="67261"/>
    <x v="5"/>
    <s v="01192799"/>
    <x v="19"/>
    <d v="2025-12-24T00:00:00"/>
    <s v="IA1789"/>
    <s v="Sharukhan,Mohammed"/>
    <n v="208.08824495766055"/>
    <d v="2025-12-24T00:00:00"/>
    <n v="6"/>
    <x v="8"/>
    <s v="Platform Operations"/>
  </r>
  <r>
    <n v="67261"/>
    <x v="5"/>
    <s v="01192799"/>
    <x v="19"/>
    <d v="2025-12-24T00:00:00"/>
    <s v="IA1450"/>
    <s v="Selvam,Kadarkarai"/>
    <n v="242.76961911727065"/>
    <d v="2025-12-24T00:00:00"/>
    <n v="7"/>
    <x v="8"/>
    <s v="Lead Developer"/>
  </r>
  <r>
    <n v="67261"/>
    <x v="5"/>
    <s v="01192799"/>
    <x v="19"/>
    <d v="2025-12-29T00:00:00"/>
    <s v="IA1789"/>
    <s v="Sharukhan,Mohammed"/>
    <n v="208.08824495766055"/>
    <d v="2025-12-29T00:00:00"/>
    <n v="6"/>
    <x v="8"/>
    <s v="Platform Operations"/>
  </r>
  <r>
    <n v="67261"/>
    <x v="5"/>
    <s v="01192799"/>
    <x v="19"/>
    <d v="2025-12-30T00:00:00"/>
    <s v="IA1690"/>
    <s v="Duraisamy,Manikandaprabu"/>
    <n v="277.45099327688075"/>
    <d v="2025-12-30T00:00:00"/>
    <n v="8"/>
    <x v="8"/>
    <s v="Developer"/>
  </r>
  <r>
    <n v="67261"/>
    <x v="5"/>
    <s v="01192799"/>
    <x v="19"/>
    <d v="2025-12-31T00:00:00"/>
    <s v="IA1450"/>
    <s v="Selvam,Kadarkarai"/>
    <n v="173.40687079805048"/>
    <d v="2025-12-31T00:00:00"/>
    <n v="5"/>
    <x v="8"/>
    <s v="Lead Developer"/>
  </r>
  <r>
    <n v="67261"/>
    <x v="5"/>
    <s v="01192799"/>
    <x v="19"/>
    <d v="2026-01-02T00:00:00"/>
    <s v="IA1789"/>
    <s v="Sharukhan,Mohammed"/>
    <n v="208.08824495766055"/>
    <d v="2026-01-02T00:00:00"/>
    <n v="6"/>
    <x v="9"/>
    <s v="Platform Operations"/>
  </r>
  <r>
    <n v="67261"/>
    <x v="5"/>
    <s v="01192799"/>
    <x v="19"/>
    <d v="2026-01-02T00:00:00"/>
    <s v="IA1450"/>
    <s v="Selvam,Kadarkarai"/>
    <n v="242.76961911727065"/>
    <d v="2026-01-02T00:00:00"/>
    <n v="7"/>
    <x v="9"/>
    <s v="Lead Developer"/>
  </r>
  <r>
    <n v="67261"/>
    <x v="5"/>
    <s v="01192799"/>
    <x v="19"/>
    <d v="2026-01-05T00:00:00"/>
    <s v="IA1450"/>
    <s v="Selvam,Kadarkarai"/>
    <n v="208.08824495766055"/>
    <d v="2026-01-05T00:00:00"/>
    <n v="6"/>
    <x v="9"/>
    <s v="Lead Developer"/>
  </r>
  <r>
    <n v="67261"/>
    <x v="5"/>
    <s v="01192799"/>
    <x v="19"/>
    <d v="2026-01-05T00:00:00"/>
    <s v="IA1690"/>
    <s v="Duraisamy,Manikandaprabu"/>
    <n v="277.45099327688075"/>
    <d v="2026-01-05T00:00:00"/>
    <n v="8"/>
    <x v="9"/>
    <s v="Developer"/>
  </r>
  <r>
    <n v="67261"/>
    <x v="5"/>
    <s v="01192799"/>
    <x v="19"/>
    <d v="2026-01-05T00:00:00"/>
    <s v="IA1789"/>
    <s v="Sharukhan,Mohammed"/>
    <n v="69.362748319220188"/>
    <d v="2026-01-05T00:00:00"/>
    <n v="2"/>
    <x v="9"/>
    <s v="Platform Operations"/>
  </r>
  <r>
    <n v="67261"/>
    <x v="5"/>
    <s v="01192799"/>
    <x v="19"/>
    <d v="2026-01-06T00:00:00"/>
    <s v="IA1450"/>
    <s v="Selvam,Kadarkarai"/>
    <n v="69.362748319220188"/>
    <d v="2026-01-06T00:00:00"/>
    <n v="2"/>
    <x v="9"/>
    <s v="Lead Developer"/>
  </r>
  <r>
    <n v="67261"/>
    <x v="5"/>
    <s v="01192799"/>
    <x v="19"/>
    <d v="2026-01-06T00:00:00"/>
    <s v="IA1690"/>
    <s v="Duraisamy,Manikandaprabu"/>
    <n v="277.45099327688075"/>
    <d v="2026-01-06T00:00:00"/>
    <n v="8"/>
    <x v="9"/>
    <s v="Developer"/>
  </r>
  <r>
    <n v="67261"/>
    <x v="5"/>
    <s v="01192799"/>
    <x v="19"/>
    <d v="2026-01-06T00:00:00"/>
    <s v="IA1789"/>
    <s v="Sharukhan,Mohammed"/>
    <n v="69.362748319220188"/>
    <d v="2026-01-06T00:00:00"/>
    <n v="2"/>
    <x v="9"/>
    <s v="Platform Operations"/>
  </r>
  <r>
    <n v="67261"/>
    <x v="5"/>
    <s v="01192799"/>
    <x v="19"/>
    <d v="2026-01-07T00:00:00"/>
    <s v="IA1450"/>
    <s v="Selvam,Kadarkarai"/>
    <n v="69.362748319220188"/>
    <d v="2026-01-07T00:00:00"/>
    <n v="2"/>
    <x v="9"/>
    <s v="Lead Developer"/>
  </r>
  <r>
    <n v="67261"/>
    <x v="5"/>
    <s v="01192799"/>
    <x v="19"/>
    <d v="2026-01-07T00:00:00"/>
    <s v="IA1789"/>
    <s v="Sharukhan,Mohammed"/>
    <n v="69.362748319220188"/>
    <d v="2026-01-07T00:00:00"/>
    <n v="2"/>
    <x v="9"/>
    <s v="Platform Operations"/>
  </r>
  <r>
    <n v="67261"/>
    <x v="5"/>
    <s v="01192799"/>
    <x v="19"/>
    <d v="2026-01-08T00:00:00"/>
    <s v="IA1450"/>
    <s v="Selvam,Kadarkarai"/>
    <n v="277.45099327688075"/>
    <d v="2026-01-08T00:00:00"/>
    <n v="8"/>
    <x v="9"/>
    <s v="Lead Developer"/>
  </r>
  <r>
    <n v="67261"/>
    <x v="5"/>
    <s v="01192799"/>
    <x v="19"/>
    <d v="2026-01-08T00:00:00"/>
    <s v="IA1789"/>
    <s v="Sharukhan,Mohammed"/>
    <n v="69.362748319220188"/>
    <d v="2026-01-08T00:00:00"/>
    <n v="2"/>
    <x v="9"/>
    <s v="Platform Operations"/>
  </r>
  <r>
    <n v="67261"/>
    <x v="5"/>
    <s v="01192799"/>
    <x v="19"/>
    <d v="2026-01-09T00:00:00"/>
    <s v="IA1450"/>
    <s v="Selvam,Kadarkarai"/>
    <n v="277.45099327688075"/>
    <d v="2026-01-09T00:00:00"/>
    <n v="8"/>
    <x v="9"/>
    <s v="Lead Developer"/>
  </r>
  <r>
    <n v="67261"/>
    <x v="5"/>
    <s v="01192799"/>
    <x v="19"/>
    <d v="2026-01-12T00:00:00"/>
    <s v="IA1450"/>
    <s v="Selvam,Kadarkarai"/>
    <n v="277.45099327688075"/>
    <d v="2026-01-12T00:00:00"/>
    <n v="8"/>
    <x v="9"/>
    <s v="Lead Developer"/>
  </r>
  <r>
    <n v="67261"/>
    <x v="5"/>
    <s v="01192799"/>
    <x v="19"/>
    <d v="2026-01-12T00:00:00"/>
    <s v="IA1789"/>
    <s v="Sharukhan,Mohammed"/>
    <n v="69.362748319220188"/>
    <d v="2026-01-12T00:00:00"/>
    <n v="2"/>
    <x v="9"/>
    <s v="Platform Operations"/>
  </r>
  <r>
    <n v="67261"/>
    <x v="5"/>
    <s v="01192799"/>
    <x v="19"/>
    <d v="2026-01-13T00:00:00"/>
    <s v="IA1789"/>
    <s v="Sharukhan,Mohammed"/>
    <n v="69.362748319220188"/>
    <d v="2026-01-13T00:00:00"/>
    <n v="2"/>
    <x v="9"/>
    <s v="Platform Operations"/>
  </r>
  <r>
    <n v="67261"/>
    <x v="5"/>
    <s v="01192799"/>
    <x v="19"/>
    <d v="2026-01-14T00:00:00"/>
    <s v="IA1789"/>
    <s v="Sharukhan,Mohammed"/>
    <n v="69.362748319220188"/>
    <d v="2026-01-14T00:00:00"/>
    <n v="2"/>
    <x v="9"/>
    <s v="Platform Operations"/>
  </r>
  <r>
    <n v="67261"/>
    <x v="5"/>
    <s v="01192799"/>
    <x v="19"/>
    <d v="2026-01-19T00:00:00"/>
    <s v="IA1789"/>
    <s v="Sharukhan,Mohammed"/>
    <n v="69.362748319220188"/>
    <d v="2026-01-19T00:00:00"/>
    <n v="2"/>
    <x v="9"/>
    <s v="Platform Operations"/>
  </r>
  <r>
    <n v="67261"/>
    <x v="5"/>
    <s v="01192799"/>
    <x v="19"/>
    <d v="2026-01-19T00:00:00"/>
    <s v="IA1450"/>
    <s v="Selvam,Kadarkarai"/>
    <n v="104.04412247883027"/>
    <d v="2026-01-19T00:00:00"/>
    <n v="3"/>
    <x v="9"/>
    <s v="Lead Developer"/>
  </r>
  <r>
    <n v="67261"/>
    <x v="5"/>
    <s v="01192799"/>
    <x v="19"/>
    <d v="2026-01-20T00:00:00"/>
    <s v="IA1789"/>
    <s v="Sharukhan,Mohammed"/>
    <n v="69.362748319220188"/>
    <d v="2026-01-20T00:00:00"/>
    <n v="2"/>
    <x v="9"/>
    <s v="Platform Operations"/>
  </r>
  <r>
    <n v="67261"/>
    <x v="5"/>
    <s v="01192799"/>
    <x v="19"/>
    <d v="2026-01-20T00:00:00"/>
    <s v="IA1450"/>
    <s v="Selvam,Kadarkarai"/>
    <n v="69.362748319220188"/>
    <d v="2026-01-20T00:00:00"/>
    <n v="2"/>
    <x v="9"/>
    <s v="Lead Developer"/>
  </r>
  <r>
    <n v="67261"/>
    <x v="5"/>
    <s v="01192799"/>
    <x v="19"/>
    <d v="2026-01-21T00:00:00"/>
    <s v="IA1789"/>
    <s v="Sharukhan,Mohammed"/>
    <n v="69.362748319220188"/>
    <d v="2026-01-21T00:00:00"/>
    <n v="2"/>
    <x v="9"/>
    <s v="Platform Operations"/>
  </r>
  <r>
    <n v="67261"/>
    <x v="5"/>
    <s v="01192799"/>
    <x v="19"/>
    <d v="2026-01-21T00:00:00"/>
    <s v="IA1450"/>
    <s v="Selvam,Kadarkarai"/>
    <n v="173.40687079805048"/>
    <d v="2026-01-21T00:00:00"/>
    <n v="5"/>
    <x v="9"/>
    <s v="Lead Developer"/>
  </r>
  <r>
    <n v="67261"/>
    <x v="5"/>
    <s v="01192799"/>
    <x v="19"/>
    <d v="2026-01-22T00:00:00"/>
    <s v="IA1789"/>
    <s v="Sharukhan,Mohammed"/>
    <n v="69.362748319220188"/>
    <d v="2026-01-22T00:00:00"/>
    <n v="2"/>
    <x v="9"/>
    <s v="Platform Operations"/>
  </r>
  <r>
    <n v="67261"/>
    <x v="5"/>
    <s v="01192799"/>
    <x v="19"/>
    <d v="2026-01-22T00:00:00"/>
    <s v="IA1450"/>
    <s v="Selvam,Kadarkarai"/>
    <n v="104.04412247883027"/>
    <d v="2026-01-22T00:00:00"/>
    <n v="3"/>
    <x v="9"/>
    <s v="Lead Developer"/>
  </r>
  <r>
    <n v="67261"/>
    <x v="5"/>
    <s v="01192799"/>
    <x v="19"/>
    <d v="2026-01-23T00:00:00"/>
    <s v="IA1789"/>
    <s v="Sharukhan,Mohammed"/>
    <n v="69.362748319220188"/>
    <d v="2026-01-23T00:00:00"/>
    <n v="2"/>
    <x v="9"/>
    <s v="Platform Operations"/>
  </r>
  <r>
    <n v="67261"/>
    <x v="5"/>
    <s v="01192799"/>
    <x v="19"/>
    <d v="2026-01-23T00:00:00"/>
    <s v="IA1450"/>
    <s v="Selvam,Kadarkarai"/>
    <n v="69.362748319220188"/>
    <d v="2026-01-23T00:00:00"/>
    <n v="2"/>
    <x v="9"/>
    <s v="Lead Developer"/>
  </r>
  <r>
    <n v="67261"/>
    <x v="5"/>
    <s v="01192799"/>
    <x v="19"/>
    <d v="2026-01-27T00:00:00"/>
    <s v="IA1450"/>
    <s v="Selvam,Kadarkarai"/>
    <n v="104.04412247883027"/>
    <d v="2026-01-27T00:00:00"/>
    <n v="3"/>
    <x v="9"/>
    <s v="Lead Developer"/>
  </r>
  <r>
    <n v="67261"/>
    <x v="5"/>
    <s v="01192799"/>
    <x v="19"/>
    <d v="2026-01-27T00:00:00"/>
    <s v="IA1789"/>
    <s v="Sharukhan,Mohammed"/>
    <n v="69.362748319220188"/>
    <d v="2026-01-27T00:00:00"/>
    <n v="2"/>
    <x v="9"/>
    <s v="Platform Operations"/>
  </r>
  <r>
    <n v="67261"/>
    <x v="5"/>
    <s v="01192799"/>
    <x v="19"/>
    <d v="2026-01-28T00:00:00"/>
    <s v="IA1789"/>
    <s v="Sharukhan,Mohammed"/>
    <n v="69.362748319220188"/>
    <d v="2026-01-28T00:00:00"/>
    <n v="2"/>
    <x v="9"/>
    <s v="Platform Operations"/>
  </r>
  <r>
    <n v="67261"/>
    <x v="5"/>
    <s v="01192799"/>
    <x v="19"/>
    <d v="2026-01-29T00:00:00"/>
    <s v="IA1789"/>
    <s v="Sharukhan,Mohammed"/>
    <n v="69.362748319220188"/>
    <d v="2026-01-29T00:00:00"/>
    <n v="2"/>
    <x v="9"/>
    <s v="Platform Operations"/>
  </r>
  <r>
    <n v="67261"/>
    <x v="5"/>
    <s v="01192799"/>
    <x v="19"/>
    <d v="2026-01-30T00:00:00"/>
    <s v="IA1450"/>
    <s v="Selvam,Kadarkarai"/>
    <n v="34.681374159610094"/>
    <d v="2026-01-30T00:00:00"/>
    <n v="1"/>
    <x v="9"/>
    <s v="Lead Developer"/>
  </r>
  <r>
    <n v="67261"/>
    <x v="5"/>
    <s v="01192799"/>
    <x v="19"/>
    <d v="2026-01-30T00:00:00"/>
    <s v="IA1789"/>
    <s v="Sharukhan,Mohammed"/>
    <n v="69.362748319220188"/>
    <d v="2026-01-30T00:00:00"/>
    <n v="2"/>
    <x v="9"/>
    <s v="Platform Operations"/>
  </r>
  <r>
    <n v="67261"/>
    <x v="5"/>
    <s v="01192799"/>
    <x v="19"/>
    <d v="2026-02-04T00:00:00"/>
    <s v="IA1450"/>
    <s v="Selvam,Kadarkarai"/>
    <n v="34.681374159610094"/>
    <d v="2026-02-04T00:00:00"/>
    <n v="1"/>
    <x v="0"/>
    <s v="Lead Developer"/>
  </r>
  <r>
    <n v="67261"/>
    <x v="5"/>
    <s v="01192799"/>
    <x v="19"/>
    <d v="2026-02-05T00:00:00"/>
    <s v="IA1690"/>
    <s v="Duraisamy,Manikandaprabu"/>
    <n v="69.362748319220188"/>
    <d v="2026-02-05T00:00:00"/>
    <n v="2"/>
    <x v="0"/>
    <s v="Developer"/>
  </r>
  <r>
    <n v="67261"/>
    <x v="5"/>
    <s v="01192799"/>
    <x v="19"/>
    <d v="2026-02-06T00:00:00"/>
    <s v="IA1450"/>
    <s v="Selvam,Kadarkarai"/>
    <n v="104.04412247883027"/>
    <d v="2026-02-06T00:00:00"/>
    <n v="3"/>
    <x v="0"/>
    <s v="Lead Developer"/>
  </r>
  <r>
    <n v="67261"/>
    <x v="5"/>
    <s v="01192799"/>
    <x v="19"/>
    <d v="2026-02-09T00:00:00"/>
    <s v="IA1789"/>
    <s v="Sharukhan,Mohammed"/>
    <n v="69.362748319220188"/>
    <d v="2026-02-09T00:00:00"/>
    <n v="2"/>
    <x v="0"/>
    <s v="Platform Operations"/>
  </r>
  <r>
    <n v="67261"/>
    <x v="5"/>
    <s v="01192799"/>
    <x v="19"/>
    <d v="2026-02-10T00:00:00"/>
    <s v="IA1789"/>
    <s v="Sharukhan,Mohammed"/>
    <n v="69.362748319220188"/>
    <d v="2026-02-10T00:00:00"/>
    <n v="2"/>
    <x v="0"/>
    <s v="Platform Operations"/>
  </r>
  <r>
    <n v="67261"/>
    <x v="5"/>
    <s v="01192799"/>
    <x v="19"/>
    <d v="2026-02-11T00:00:00"/>
    <s v="IA1789"/>
    <s v="Sharukhan,Mohammed"/>
    <n v="69.362748319220188"/>
    <d v="2026-02-11T00:00:00"/>
    <n v="2"/>
    <x v="0"/>
    <s v="Platform Operations"/>
  </r>
  <r>
    <n v="67261"/>
    <x v="5"/>
    <s v="01192799"/>
    <x v="19"/>
    <d v="2026-02-12T00:00:00"/>
    <s v="IA1789"/>
    <s v="Sharukhan,Mohammed"/>
    <n v="69.362748319220188"/>
    <d v="2026-02-12T00:00:00"/>
    <n v="2"/>
    <x v="0"/>
    <s v="Platform Operations"/>
  </r>
  <r>
    <n v="67261"/>
    <x v="5"/>
    <s v="01192799"/>
    <x v="19"/>
    <d v="2026-02-13T00:00:00"/>
    <s v="IA1789"/>
    <s v="Sharukhan,Mohammed"/>
    <n v="69.362748319220188"/>
    <d v="2026-02-13T00:00:00"/>
    <n v="2"/>
    <x v="0"/>
    <s v="Platform Operations"/>
  </r>
  <r>
    <n v="67261"/>
    <x v="5"/>
    <s v="01192799"/>
    <x v="19"/>
    <d v="2026-02-13T00:00:00"/>
    <s v="IA1450"/>
    <s v="Selvam,Kadarkarai"/>
    <n v="69.362748319220188"/>
    <d v="2026-02-13T00:00:00"/>
    <n v="2"/>
    <x v="0"/>
    <s v="Lead Developer"/>
  </r>
  <r>
    <n v="67261"/>
    <x v="5"/>
    <s v="01192799"/>
    <x v="19"/>
    <d v="2026-02-16T00:00:00"/>
    <s v="IA1450"/>
    <s v="Selvam,Kadarkarai"/>
    <n v="69.362748319220188"/>
    <d v="2026-02-16T00:00:00"/>
    <n v="2"/>
    <x v="0"/>
    <s v="Lead Developer"/>
  </r>
  <r>
    <n v="67261"/>
    <x v="5"/>
    <s v="01192799"/>
    <x v="19"/>
    <d v="2026-02-17T00:00:00"/>
    <s v="IA1450"/>
    <s v="Selvam,Kadarkarai"/>
    <n v="69.362748319220188"/>
    <d v="2026-02-17T00:00:00"/>
    <n v="2"/>
    <x v="0"/>
    <s v="Lead Developer"/>
  </r>
  <r>
    <n v="67261"/>
    <x v="5"/>
    <s v="01192799"/>
    <x v="19"/>
    <d v="2026-02-18T00:00:00"/>
    <s v="IA1793"/>
    <s v="Subramanian,Ruthrakkanth"/>
    <n v="242.76961911727065"/>
    <d v="2026-02-18T00:00:00"/>
    <n v="7"/>
    <x v="0"/>
    <s v="Developer"/>
  </r>
  <r>
    <n v="67261"/>
    <x v="5"/>
    <s v="01192799"/>
    <x v="19"/>
    <d v="2026-02-19T00:00:00"/>
    <s v="IA1793"/>
    <s v="Subramanian,Ruthrakkanth"/>
    <n v="242.76961911727065"/>
    <d v="2026-02-19T00:00:00"/>
    <n v="7"/>
    <x v="0"/>
    <s v="Developer"/>
  </r>
  <r>
    <n v="67261"/>
    <x v="5"/>
    <s v="01192799"/>
    <x v="19"/>
    <d v="2026-02-19T00:00:00"/>
    <s v="IA1789"/>
    <s v="Sharukhan,Mohammed"/>
    <n v="69.362748319220188"/>
    <d v="2026-02-19T00:00:00"/>
    <n v="2"/>
    <x v="0"/>
    <s v="Platform Operations"/>
  </r>
  <r>
    <n v="67261"/>
    <x v="5"/>
    <s v="01192799"/>
    <x v="19"/>
    <d v="2026-02-20T00:00:00"/>
    <s v="IA1789"/>
    <s v="Sharukhan,Mohammed"/>
    <n v="69.362748319220188"/>
    <d v="2026-02-20T00:00:00"/>
    <n v="2"/>
    <x v="0"/>
    <s v="Platform Operations"/>
  </r>
  <r>
    <n v="67261"/>
    <x v="5"/>
    <s v="01192799"/>
    <x v="19"/>
    <d v="2026-02-23T00:00:00"/>
    <s v="IA1789"/>
    <s v="Sharukhan,Mohammed"/>
    <n v="69.362748319220188"/>
    <d v="2026-02-23T00:00:00"/>
    <n v="2"/>
    <x v="0"/>
    <s v="Platform Operations"/>
  </r>
  <r>
    <n v="67261"/>
    <x v="5"/>
    <s v="01192799"/>
    <x v="19"/>
    <d v="2026-02-23T00:00:00"/>
    <s v="IA1450"/>
    <s v="Selvam,Kadarkarai"/>
    <n v="69.362748319220188"/>
    <d v="2026-02-23T00:00:00"/>
    <n v="2"/>
    <x v="0"/>
    <s v="Lead Developer"/>
  </r>
  <r>
    <n v="67261"/>
    <x v="5"/>
    <s v="01192799"/>
    <x v="19"/>
    <d v="2026-02-24T00:00:00"/>
    <s v="IA1450"/>
    <s v="Selvam,Kadarkarai"/>
    <n v="69.362748319220188"/>
    <d v="2026-02-24T00:00:00"/>
    <n v="2"/>
    <x v="0"/>
    <s v="Lead Developer"/>
  </r>
  <r>
    <n v="67261"/>
    <x v="5"/>
    <s v="01192799"/>
    <x v="19"/>
    <d v="2026-02-25T00:00:00"/>
    <s v="IA1789"/>
    <s v="Sharukhan,Mohammed"/>
    <n v="69.362748319220188"/>
    <d v="2026-02-25T00:00:00"/>
    <n v="2"/>
    <x v="0"/>
    <s v="Platform Operations"/>
  </r>
  <r>
    <n v="67261"/>
    <x v="5"/>
    <s v="01192799"/>
    <x v="19"/>
    <d v="2026-02-25T00:00:00"/>
    <s v="IA1450"/>
    <s v="Selvam,Kadarkarai"/>
    <n v="69.362748319220188"/>
    <d v="2026-02-25T00:00:00"/>
    <n v="2"/>
    <x v="0"/>
    <s v="Lead Developer"/>
  </r>
  <r>
    <n v="67261"/>
    <x v="5"/>
    <s v="01192799"/>
    <x v="19"/>
    <d v="2026-02-26T00:00:00"/>
    <s v="IA1789"/>
    <s v="Sharukhan,Mohammed"/>
    <n v="69.362748319220188"/>
    <d v="2026-02-26T00:00:00"/>
    <n v="2"/>
    <x v="0"/>
    <s v="Platform Operations"/>
  </r>
  <r>
    <n v="67261"/>
    <x v="5"/>
    <s v="01192799"/>
    <x v="19"/>
    <d v="2026-03-02T00:00:00"/>
    <s v="IA1450"/>
    <s v="Selvam,Kadarkarai"/>
    <n v="138.72549663844038"/>
    <d v="2026-03-02T00:00:00"/>
    <n v="4"/>
    <x v="1"/>
    <s v="Lead Developer"/>
  </r>
  <r>
    <n v="67261"/>
    <x v="5"/>
    <s v="01192799"/>
    <x v="19"/>
    <d v="2026-03-02T00:00:00"/>
    <s v="IA1789"/>
    <s v="Sharukhan,Mohammed"/>
    <n v="69.362748319220188"/>
    <d v="2026-03-02T00:00:00"/>
    <n v="2"/>
    <x v="1"/>
    <s v="Platform Operations"/>
  </r>
  <r>
    <n v="67261"/>
    <x v="5"/>
    <s v="01192799"/>
    <x v="19"/>
    <d v="2026-03-03T00:00:00"/>
    <s v="IA1450"/>
    <s v="Selvam,Kadarkarai"/>
    <n v="138.72549663844038"/>
    <d v="2026-03-03T00:00:00"/>
    <n v="4"/>
    <x v="1"/>
    <s v="Lead Developer"/>
  </r>
  <r>
    <n v="67261"/>
    <x v="5"/>
    <s v="01192799"/>
    <x v="19"/>
    <d v="2026-03-03T00:00:00"/>
    <s v="IA1789"/>
    <s v="Sharukhan,Mohammed"/>
    <n v="69.362748319220188"/>
    <d v="2026-03-03T00:00:00"/>
    <n v="2"/>
    <x v="1"/>
    <s v="Platform Operations"/>
  </r>
  <r>
    <n v="67261"/>
    <x v="5"/>
    <s v="01192799"/>
    <x v="19"/>
    <d v="2026-03-04T00:00:00"/>
    <s v="IA1450"/>
    <s v="Selvam,Kadarkarai"/>
    <n v="138.72549663844038"/>
    <d v="2026-03-04T00:00:00"/>
    <n v="4"/>
    <x v="1"/>
    <s v="Lead Developer"/>
  </r>
  <r>
    <n v="67261"/>
    <x v="5"/>
    <s v="01192799"/>
    <x v="19"/>
    <d v="2026-03-04T00:00:00"/>
    <s v="IA1789"/>
    <s v="Sharukhan,Mohammed"/>
    <n v="69.362748319220188"/>
    <d v="2026-03-04T00:00:00"/>
    <n v="2"/>
    <x v="1"/>
    <s v="Platform Operations"/>
  </r>
  <r>
    <n v="67261"/>
    <x v="5"/>
    <s v="01192799"/>
    <x v="19"/>
    <d v="2026-03-05T00:00:00"/>
    <s v="IA1789"/>
    <s v="Sharukhan,Mohammed"/>
    <n v="69.362748319220188"/>
    <d v="2026-03-05T00:00:00"/>
    <n v="2"/>
    <x v="1"/>
    <s v="Platform Operations"/>
  </r>
  <r>
    <n v="67261"/>
    <x v="5"/>
    <s v="01192799"/>
    <x v="19"/>
    <d v="2026-03-06T00:00:00"/>
    <s v="IA1789"/>
    <s v="Sharukhan,Mohammed"/>
    <n v="69.362748319220188"/>
    <d v="2026-03-06T00:00:00"/>
    <n v="2"/>
    <x v="1"/>
    <s v="Platform Operations"/>
  </r>
  <r>
    <n v="67261"/>
    <x v="5"/>
    <s v="01192799"/>
    <x v="19"/>
    <d v="2026-03-09T00:00:00"/>
    <s v="IA1789"/>
    <s v="Sharukhan,Mohammed"/>
    <n v="69.362748319220188"/>
    <d v="2026-03-09T00:00:00"/>
    <n v="2"/>
    <x v="1"/>
    <s v="Platform Operations"/>
  </r>
  <r>
    <n v="67261"/>
    <x v="5"/>
    <s v="01192799"/>
    <x v="19"/>
    <d v="2026-03-09T00:00:00"/>
    <s v="IA1450"/>
    <s v="Selvam,Kadarkarai"/>
    <n v="138.72549663844038"/>
    <d v="2026-03-09T00:00:00"/>
    <n v="4"/>
    <x v="1"/>
    <s v="Lead Developer"/>
  </r>
  <r>
    <n v="67261"/>
    <x v="5"/>
    <s v="01192799"/>
    <x v="19"/>
    <d v="2026-03-10T00:00:00"/>
    <s v="IA1789"/>
    <s v="Sharukhan,Mohammed"/>
    <n v="69.362748319220188"/>
    <d v="2026-03-10T00:00:00"/>
    <n v="2"/>
    <x v="1"/>
    <s v="Platform Operations"/>
  </r>
  <r>
    <n v="67261"/>
    <x v="5"/>
    <s v="01192799"/>
    <x v="19"/>
    <d v="2026-03-10T00:00:00"/>
    <s v="IA1450"/>
    <s v="Selvam,Kadarkarai"/>
    <n v="208.08824495766055"/>
    <d v="2026-03-10T00:00:00"/>
    <n v="6"/>
    <x v="1"/>
    <s v="Lead Developer"/>
  </r>
  <r>
    <n v="67261"/>
    <x v="5"/>
    <s v="01192799"/>
    <x v="19"/>
    <d v="2026-03-11T00:00:00"/>
    <s v="IA1789"/>
    <s v="Sharukhan,Mohammed"/>
    <n v="69.362748319220188"/>
    <d v="2026-03-11T00:00:00"/>
    <n v="2"/>
    <x v="1"/>
    <s v="Platform Operations"/>
  </r>
  <r>
    <n v="67261"/>
    <x v="5"/>
    <s v="01192799"/>
    <x v="19"/>
    <d v="2026-03-11T00:00:00"/>
    <s v="IA1450"/>
    <s v="Selvam,Kadarkarai"/>
    <n v="69.362748319220188"/>
    <d v="2026-03-11T00:00:00"/>
    <n v="2"/>
    <x v="1"/>
    <s v="Lead Developer"/>
  </r>
  <r>
    <n v="67261"/>
    <x v="5"/>
    <s v="01192799"/>
    <x v="19"/>
    <d v="2026-03-12T00:00:00"/>
    <s v="IA1789"/>
    <s v="Sharukhan,Mohammed"/>
    <n v="69.362748319220188"/>
    <d v="2026-03-12T00:00:00"/>
    <n v="2"/>
    <x v="1"/>
    <s v="Platform Operations"/>
  </r>
  <r>
    <n v="67261"/>
    <x v="5"/>
    <s v="01192799"/>
    <x v="19"/>
    <d v="2026-03-12T00:00:00"/>
    <s v="IA1450"/>
    <s v="Selvam,Kadarkarai"/>
    <n v="69.362748319220188"/>
    <d v="2026-03-12T00:00:00"/>
    <n v="2"/>
    <x v="1"/>
    <s v="Lead Developer"/>
  </r>
  <r>
    <n v="67261"/>
    <x v="5"/>
    <s v="01192799"/>
    <x v="19"/>
    <d v="2026-03-13T00:00:00"/>
    <s v="IA1789"/>
    <s v="Sharukhan,Mohammed"/>
    <n v="69.362748319220188"/>
    <d v="2026-03-13T00:00:00"/>
    <n v="2"/>
    <x v="1"/>
    <s v="Platform Operations"/>
  </r>
  <r>
    <n v="67261"/>
    <x v="5"/>
    <s v="01192799"/>
    <x v="19"/>
    <d v="2026-03-16T00:00:00"/>
    <s v="IA1789"/>
    <s v="Sharukhan,Mohammed"/>
    <n v="34.681374159610094"/>
    <d v="2026-03-16T00:00:00"/>
    <n v="1"/>
    <x v="1"/>
    <s v="Platform Operations"/>
  </r>
  <r>
    <n v="67261"/>
    <x v="5"/>
    <s v="01192799"/>
    <x v="19"/>
    <d v="2026-03-17T00:00:00"/>
    <s v="IA1789"/>
    <s v="Sharukhan,Mohammed"/>
    <n v="34.681374159610094"/>
    <d v="2026-03-17T00:00:00"/>
    <n v="1"/>
    <x v="1"/>
    <s v="Platform Operations"/>
  </r>
  <r>
    <n v="67261"/>
    <x v="5"/>
    <s v="01192799"/>
    <x v="19"/>
    <d v="2026-03-18T00:00:00"/>
    <s v="IA1450"/>
    <s v="Selvam,Kadarkarai"/>
    <n v="34.681374159610094"/>
    <d v="2026-03-18T00:00:00"/>
    <n v="1"/>
    <x v="1"/>
    <s v="Lead Developer"/>
  </r>
  <r>
    <n v="67261"/>
    <x v="5"/>
    <s v="01192799"/>
    <x v="19"/>
    <d v="2026-03-18T00:00:00"/>
    <s v="IA1789"/>
    <s v="Sharukhan,Mohammed"/>
    <n v="34.681374159610094"/>
    <d v="2026-03-18T00:00:00"/>
    <n v="1"/>
    <x v="1"/>
    <s v="Platform Operations"/>
  </r>
  <r>
    <n v="67261"/>
    <x v="5"/>
    <s v="01192799"/>
    <x v="19"/>
    <d v="2026-03-19T00:00:00"/>
    <s v="IA1450"/>
    <s v="Selvam,Kadarkarai"/>
    <n v="69.362748319220188"/>
    <d v="2026-03-19T00:00:00"/>
    <n v="2"/>
    <x v="1"/>
    <s v="Lead Developer"/>
  </r>
  <r>
    <n v="67261"/>
    <x v="5"/>
    <s v="01192799"/>
    <x v="19"/>
    <d v="2026-03-30T00:00:00"/>
    <s v="IA1789"/>
    <s v="Sharukhan,Mohammed"/>
    <n v="69.362748319220188"/>
    <d v="2026-03-30T00:00:00"/>
    <n v="2"/>
    <x v="1"/>
    <s v="Platform Operations"/>
  </r>
  <r>
    <n v="67261"/>
    <x v="5"/>
    <s v="01192799"/>
    <x v="19"/>
    <d v="2026-03-30T00:00:00"/>
    <s v="IA1793"/>
    <s v="Subramanian,Ruthrakkanth"/>
    <n v="173.40687079805048"/>
    <d v="2026-03-30T00:00:00"/>
    <n v="5"/>
    <x v="1"/>
    <s v="Developer"/>
  </r>
  <r>
    <n v="67261"/>
    <x v="5"/>
    <s v="01192799"/>
    <x v="19"/>
    <d v="2026-03-31T00:00:00"/>
    <s v="IA1789"/>
    <s v="Sharukhan,Mohammed"/>
    <n v="69.362748319220188"/>
    <d v="2026-03-31T00:00:00"/>
    <n v="2"/>
    <x v="1"/>
    <s v="Platform Operations"/>
  </r>
  <r>
    <n v="67261"/>
    <x v="5"/>
    <s v="01192799"/>
    <x v="19"/>
    <d v="2026-04-01T00:00:00"/>
    <s v="IA1789"/>
    <s v="Sharukhan,Mohammed"/>
    <n v="69.362748319220188"/>
    <d v="2026-04-01T00:00:00"/>
    <n v="2"/>
    <x v="2"/>
    <s v="Platform Operations"/>
  </r>
  <r>
    <n v="67261"/>
    <x v="5"/>
    <s v="01192799"/>
    <x v="19"/>
    <d v="2026-04-01T00:00:00"/>
    <s v="IA1830"/>
    <s v="Raj,Gowtham"/>
    <n v="242.76961911727065"/>
    <d v="2026-04-01T00:00:00"/>
    <n v="7"/>
    <x v="2"/>
    <s v="Junior"/>
  </r>
  <r>
    <n v="67261"/>
    <x v="5"/>
    <s v="01192799"/>
    <x v="19"/>
    <d v="2026-04-02T00:00:00"/>
    <s v="IA1789"/>
    <s v="Sharukhan,Mohammed"/>
    <n v="69.362748319220188"/>
    <d v="2026-04-02T00:00:00"/>
    <n v="2"/>
    <x v="2"/>
    <s v="Platform Operations"/>
  </r>
  <r>
    <n v="67261"/>
    <x v="5"/>
    <s v="01192799"/>
    <x v="19"/>
    <d v="2026-04-02T00:00:00"/>
    <s v="IA1830"/>
    <s v="Raj,Gowtham"/>
    <n v="138.72549663844038"/>
    <d v="2026-04-02T00:00:00"/>
    <n v="4"/>
    <x v="2"/>
    <s v="Junior"/>
  </r>
  <r>
    <n v="67261"/>
    <x v="5"/>
    <s v="01192799"/>
    <x v="19"/>
    <d v="2026-04-03T00:00:00"/>
    <s v="IA1450"/>
    <s v="Selvam,Kadarkarai"/>
    <n v="104.04412247883027"/>
    <d v="2026-04-03T00:00:00"/>
    <n v="3"/>
    <x v="2"/>
    <s v="Lead Developer"/>
  </r>
  <r>
    <n v="67261"/>
    <x v="5"/>
    <s v="01192799"/>
    <x v="19"/>
    <d v="2026-04-06T00:00:00"/>
    <s v="IA1789"/>
    <s v="Sharukhan,Mohammed"/>
    <n v="34.681374159610094"/>
    <d v="2026-04-06T00:00:00"/>
    <n v="1"/>
    <x v="2"/>
    <s v="Platform Operations"/>
  </r>
  <r>
    <n v="67261"/>
    <x v="5"/>
    <s v="01192799"/>
    <x v="19"/>
    <d v="2026-04-06T00:00:00"/>
    <s v="IA1793"/>
    <s v="Subramanian,Ruthrakkanth"/>
    <n v="242.76961911727065"/>
    <d v="2026-04-06T00:00:00"/>
    <n v="7"/>
    <x v="2"/>
    <s v="Developer"/>
  </r>
  <r>
    <n v="67261"/>
    <x v="5"/>
    <s v="01192799"/>
    <x v="19"/>
    <d v="2026-04-06T00:00:00"/>
    <s v="IA1450"/>
    <s v="Selvam,Kadarkarai"/>
    <n v="34.681374159610094"/>
    <d v="2026-04-06T00:00:00"/>
    <n v="1"/>
    <x v="2"/>
    <s v="Lead Developer"/>
  </r>
  <r>
    <n v="67261"/>
    <x v="5"/>
    <s v="01192799"/>
    <x v="19"/>
    <d v="2026-04-07T00:00:00"/>
    <s v="IA1789"/>
    <s v="Sharukhan,Mohammed"/>
    <n v="34.681374159610094"/>
    <d v="2026-04-07T00:00:00"/>
    <n v="1"/>
    <x v="2"/>
    <s v="Platform Operations"/>
  </r>
  <r>
    <n v="67261"/>
    <x v="5"/>
    <s v="01192799"/>
    <x v="19"/>
    <d v="2026-04-07T00:00:00"/>
    <s v="IA1793"/>
    <s v="Subramanian,Ruthrakkanth"/>
    <n v="34.681374159610094"/>
    <d v="2026-04-07T00:00:00"/>
    <n v="1"/>
    <x v="2"/>
    <s v="Developer"/>
  </r>
  <r>
    <n v="67261"/>
    <x v="5"/>
    <s v="01192799"/>
    <x v="19"/>
    <d v="2026-04-07T00:00:00"/>
    <s v="IA1450"/>
    <s v="Selvam,Kadarkarai"/>
    <n v="34.681374159610094"/>
    <d v="2026-04-07T00:00:00"/>
    <n v="1"/>
    <x v="2"/>
    <s v="Lead Developer"/>
  </r>
  <r>
    <n v="67261"/>
    <x v="5"/>
    <s v="01192799"/>
    <x v="19"/>
    <d v="2026-04-08T00:00:00"/>
    <s v="IA1789"/>
    <s v="Sharukhan,Mohammed"/>
    <n v="34.681374159610094"/>
    <d v="2026-04-08T00:00:00"/>
    <n v="1"/>
    <x v="2"/>
    <s v="Platform Operations"/>
  </r>
  <r>
    <n v="67261"/>
    <x v="5"/>
    <s v="01192799"/>
    <x v="19"/>
    <d v="2026-04-08T00:00:00"/>
    <s v="IA1793"/>
    <s v="Subramanian,Ruthrakkanth"/>
    <n v="52.022061239415137"/>
    <d v="2026-04-08T00:00:00"/>
    <n v="1.5"/>
    <x v="2"/>
    <s v="Developer"/>
  </r>
  <r>
    <n v="67261"/>
    <x v="5"/>
    <s v="01192799"/>
    <x v="19"/>
    <d v="2026-04-09T00:00:00"/>
    <s v="IA1789"/>
    <s v="Sharukhan,Mohammed"/>
    <n v="34.681374159610094"/>
    <d v="2026-04-09T00:00:00"/>
    <n v="1"/>
    <x v="2"/>
    <s v="Platform Operations"/>
  </r>
  <r>
    <n v="67261"/>
    <x v="5"/>
    <s v="01192799"/>
    <x v="19"/>
    <d v="2026-04-10T00:00:00"/>
    <s v="IA1450"/>
    <s v="Selvam,Kadarkarai"/>
    <n v="69.362748319220188"/>
    <d v="2026-04-10T00:00:00"/>
    <n v="2"/>
    <x v="2"/>
    <s v="Lead Developer"/>
  </r>
  <r>
    <n v="67261"/>
    <x v="5"/>
    <s v="01192799"/>
    <x v="19"/>
    <d v="2026-04-13T00:00:00"/>
    <s v="IA1793"/>
    <s v="Subramanian,Ruthrakkanth"/>
    <n v="138.72549663844038"/>
    <d v="2026-04-13T00:00:00"/>
    <n v="4"/>
    <x v="2"/>
    <s v="Developer"/>
  </r>
  <r>
    <n v="67261"/>
    <x v="5"/>
    <s v="01192799"/>
    <x v="19"/>
    <d v="2026-04-23T00:00:00"/>
    <s v="IA1450"/>
    <s v="Selvam,Kadarkarai"/>
    <n v="277.45099327688075"/>
    <d v="2026-04-23T00:00:00"/>
    <n v="8"/>
    <x v="2"/>
    <s v="Lead Developer"/>
  </r>
  <r>
    <n v="67261"/>
    <x v="5"/>
    <s v="01192799"/>
    <x v="19"/>
    <d v="2026-04-24T00:00:00"/>
    <s v="IA1450"/>
    <s v="Selvam,Kadarkarai"/>
    <n v="277.45099327688075"/>
    <d v="2026-04-24T00:00:00"/>
    <n v="8"/>
    <x v="2"/>
    <s v="Lead Developer"/>
  </r>
  <r>
    <n v="67261"/>
    <x v="5"/>
    <s v="01192799"/>
    <x v="19"/>
    <d v="2026-04-27T00:00:00"/>
    <s v="IA1765"/>
    <s v="Kumar,Saravana"/>
    <n v="277.45099327688075"/>
    <d v="2026-04-27T00:00:00"/>
    <n v="8"/>
    <x v="2"/>
    <s v="Developer"/>
  </r>
  <r>
    <n v="67261"/>
    <x v="5"/>
    <s v="01192799"/>
    <x v="19"/>
    <d v="2026-04-28T00:00:00"/>
    <s v="IA1765"/>
    <s v="Kumar,Saravana"/>
    <n v="277.45099327688075"/>
    <d v="2026-04-28T00:00:00"/>
    <n v="8"/>
    <x v="2"/>
    <s v="Developer"/>
  </r>
  <r>
    <n v="67261"/>
    <x v="5"/>
    <s v="01192799"/>
    <x v="19"/>
    <d v="2026-04-29T00:00:00"/>
    <s v="IA1765"/>
    <s v="Kumar,Saravana"/>
    <n v="277.45099327688075"/>
    <d v="2026-04-29T00:00:00"/>
    <n v="8"/>
    <x v="2"/>
    <s v="Developer"/>
  </r>
  <r>
    <n v="67261"/>
    <x v="5"/>
    <s v="01192799"/>
    <x v="19"/>
    <d v="2026-04-29T00:00:00"/>
    <s v="IA1765"/>
    <s v="Kumar,Saravana"/>
    <n v="-277.45099327688075"/>
    <d v="2026-04-29T00:00:00"/>
    <n v="-8"/>
    <x v="2"/>
    <s v="Developer"/>
  </r>
  <r>
    <n v="67261"/>
    <x v="5"/>
    <s v="01192799"/>
    <x v="19"/>
    <d v="2026-04-30T00:00:00"/>
    <s v="IA1765"/>
    <s v="Kumar,Saravana"/>
    <n v="277.45099327688075"/>
    <d v="2026-04-30T00:00:00"/>
    <n v="8"/>
    <x v="2"/>
    <s v="Developer"/>
  </r>
  <r>
    <n v="67261"/>
    <x v="5"/>
    <s v="01192799"/>
    <x v="19"/>
    <d v="2026-04-30T00:00:00"/>
    <s v="IA1765"/>
    <s v="Kumar,Saravana"/>
    <n v="-277.45099327688075"/>
    <d v="2026-04-30T00:00:00"/>
    <n v="-8"/>
    <x v="2"/>
    <s v="Developer"/>
  </r>
  <r>
    <n v="67261"/>
    <x v="5"/>
    <s v="01192799"/>
    <x v="19"/>
    <d v="2026-04-30T00:00:00"/>
    <s v="IA1793"/>
    <s v="Subramanian,Ruthrakkanth"/>
    <n v="52.022061239415137"/>
    <d v="2026-04-30T00:00:00"/>
    <n v="1.5"/>
    <x v="2"/>
    <s v="Developer"/>
  </r>
  <r>
    <n v="67261"/>
    <x v="5"/>
    <s v="01192799"/>
    <x v="19"/>
    <d v="2026-05-15T00:00:00"/>
    <s v="IA1793"/>
    <s v="Subramanian,Ruthrakkanth"/>
    <n v="69.362748319220188"/>
    <d v="2026-05-15T00:00:00"/>
    <n v="2"/>
    <x v="10"/>
    <s v="Developer"/>
  </r>
  <r>
    <n v="67261"/>
    <x v="5"/>
    <s v="01192799"/>
    <x v="19"/>
    <d v="2026-05-19T00:00:00"/>
    <s v="IA1793"/>
    <s v="Subramanian,Ruthrakkanth"/>
    <n v="173.40687079805048"/>
    <d v="2026-05-19T00:00:00"/>
    <n v="5"/>
    <x v="10"/>
    <s v="Developer"/>
  </r>
  <r>
    <n v="67261"/>
    <x v="5"/>
    <s v="01192799"/>
    <x v="19"/>
    <d v="2026-05-20T00:00:00"/>
    <s v="IA1793"/>
    <s v="Subramanian,Ruthrakkanth"/>
    <n v="208.08824495766055"/>
    <d v="2026-05-20T00:00:00"/>
    <n v="6"/>
    <x v="10"/>
    <s v="Developer"/>
  </r>
  <r>
    <n v="67261"/>
    <x v="5"/>
    <s v="01192799"/>
    <x v="19"/>
    <d v="2026-05-21T00:00:00"/>
    <s v="IA1793"/>
    <s v="Subramanian,Ruthrakkanth"/>
    <n v="208.08824495766055"/>
    <d v="2026-05-21T00:00:00"/>
    <n v="6"/>
    <x v="10"/>
    <s v="Developer"/>
  </r>
  <r>
    <n v="67261"/>
    <x v="5"/>
    <s v="01192799"/>
    <x v="19"/>
    <d v="2026-05-22T00:00:00"/>
    <s v="IA1793"/>
    <s v="Subramanian,Ruthrakkanth"/>
    <n v="173.40687079805048"/>
    <d v="2026-05-22T00:00:00"/>
    <n v="5"/>
    <x v="10"/>
    <s v="Developer"/>
  </r>
  <r>
    <n v="67261"/>
    <x v="5"/>
    <s v="01192799"/>
    <x v="19"/>
    <d v="2026-05-26T00:00:00"/>
    <s v="IA1793"/>
    <s v="Subramanian,Ruthrakkanth"/>
    <n v="242.76961911727065"/>
    <d v="2026-05-26T00:00:00"/>
    <n v="7"/>
    <x v="10"/>
    <s v="Developer"/>
  </r>
  <r>
    <n v="67261"/>
    <x v="5"/>
    <s v="01192799"/>
    <x v="19"/>
    <d v="2026-05-27T00:00:00"/>
    <s v="IA1793"/>
    <s v="Subramanian,Ruthrakkanth"/>
    <n v="242.76961911727065"/>
    <d v="2026-05-27T00:00:00"/>
    <n v="7"/>
    <x v="10"/>
    <s v="Developer"/>
  </r>
  <r>
    <n v="67261"/>
    <x v="5"/>
    <s v="01192799"/>
    <x v="19"/>
    <d v="2026-05-28T00:00:00"/>
    <s v="IA1793"/>
    <s v="Subramanian,Ruthrakkanth"/>
    <n v="242.76961911727065"/>
    <d v="2026-05-28T00:00:00"/>
    <n v="7"/>
    <x v="10"/>
    <s v="Developer"/>
  </r>
  <r>
    <n v="67261"/>
    <x v="5"/>
    <s v="01192800"/>
    <x v="19"/>
    <d v="2026-03-09T00:00:00"/>
    <s v="IA1421"/>
    <s v="Jayapal,Muruganandham"/>
    <n v="121.38480955863533"/>
    <d v="2026-03-09T00:00:00"/>
    <n v="3.5"/>
    <x v="1"/>
    <s v="Engg Manager"/>
  </r>
  <r>
    <n v="67261"/>
    <x v="5"/>
    <s v="01192800"/>
    <x v="19"/>
    <d v="2026-03-23T00:00:00"/>
    <s v="IA1830"/>
    <s v="Raj,Gowtham"/>
    <n v="225.42893203746561"/>
    <d v="2026-03-23T00:00:00"/>
    <n v="6.5"/>
    <x v="1"/>
    <s v="Junior"/>
  </r>
  <r>
    <n v="67261"/>
    <x v="5"/>
    <s v="01192800"/>
    <x v="19"/>
    <d v="2026-03-24T00:00:00"/>
    <s v="IA1830"/>
    <s v="Raj,Gowtham"/>
    <n v="242.76961911727065"/>
    <d v="2026-03-24T00:00:00"/>
    <n v="7"/>
    <x v="1"/>
    <s v="Junior"/>
  </r>
  <r>
    <n v="67261"/>
    <x v="5"/>
    <s v="01192800"/>
    <x v="19"/>
    <d v="2026-03-25T00:00:00"/>
    <s v="IA1830"/>
    <s v="Raj,Gowtham"/>
    <n v="242.76961911727065"/>
    <d v="2026-03-25T00:00:00"/>
    <n v="7"/>
    <x v="1"/>
    <s v="Junior"/>
  </r>
  <r>
    <n v="67261"/>
    <x v="5"/>
    <s v="01192800"/>
    <x v="19"/>
    <d v="2026-03-26T00:00:00"/>
    <s v="IA1830"/>
    <s v="Raj,Gowtham"/>
    <n v="242.76961911727065"/>
    <d v="2026-03-26T00:00:00"/>
    <n v="7"/>
    <x v="1"/>
    <s v="Junior"/>
  </r>
  <r>
    <n v="67261"/>
    <x v="5"/>
    <s v="01192800"/>
    <x v="19"/>
    <d v="2026-03-27T00:00:00"/>
    <s v="IA1830"/>
    <s v="Raj,Gowtham"/>
    <n v="121.38480955863533"/>
    <d v="2026-03-27T00:00:00"/>
    <n v="3.5"/>
    <x v="1"/>
    <s v="Junior"/>
  </r>
  <r>
    <n v="67261"/>
    <x v="5"/>
    <s v="01192800"/>
    <x v="19"/>
    <d v="2026-03-30T00:00:00"/>
    <s v="IA1830"/>
    <s v="Raj,Gowtham"/>
    <n v="260.11030619707572"/>
    <d v="2026-03-30T00:00:00"/>
    <n v="7.5"/>
    <x v="1"/>
    <s v="Junior"/>
  </r>
  <r>
    <n v="67261"/>
    <x v="5"/>
    <s v="01192800"/>
    <x v="19"/>
    <d v="2026-04-01T00:00:00"/>
    <s v="IA1830"/>
    <s v="Raj,Gowtham"/>
    <n v="17.340687079805047"/>
    <d v="2026-04-01T00:00:00"/>
    <n v="0.5"/>
    <x v="2"/>
    <s v="Junior"/>
  </r>
  <r>
    <n v="67261"/>
    <x v="5"/>
    <s v="01192800"/>
    <x v="19"/>
    <d v="2026-04-02T00:00:00"/>
    <s v="IA1830"/>
    <s v="Raj,Gowtham"/>
    <n v="121.38480955863533"/>
    <d v="2026-04-02T00:00:00"/>
    <n v="3.5"/>
    <x v="2"/>
    <s v="Junior"/>
  </r>
  <r>
    <n v="67261"/>
    <x v="5"/>
    <s v="01192800"/>
    <x v="19"/>
    <d v="2026-04-06T00:00:00"/>
    <s v="IA1830"/>
    <s v="Raj,Gowtham"/>
    <n v="277.45099327688075"/>
    <d v="2026-04-06T00:00:00"/>
    <n v="8"/>
    <x v="2"/>
    <s v="Junior"/>
  </r>
  <r>
    <n v="67261"/>
    <x v="5"/>
    <s v="01192800"/>
    <x v="19"/>
    <d v="2026-04-07T00:00:00"/>
    <s v="IA1830"/>
    <s v="Raj,Gowtham"/>
    <n v="277.45099327688075"/>
    <d v="2026-04-07T00:00:00"/>
    <n v="8"/>
    <x v="2"/>
    <s v="Junior"/>
  </r>
  <r>
    <n v="67261"/>
    <x v="5"/>
    <s v="01192800"/>
    <x v="19"/>
    <d v="2026-04-08T00:00:00"/>
    <s v="IA1830"/>
    <s v="Raj,Gowtham"/>
    <n v="277.45099327688075"/>
    <d v="2026-04-08T00:00:00"/>
    <n v="8"/>
    <x v="2"/>
    <s v="Junior"/>
  </r>
  <r>
    <n v="67261"/>
    <x v="5"/>
    <s v="01192800"/>
    <x v="19"/>
    <d v="2026-04-10T00:00:00"/>
    <s v="IA1830"/>
    <s v="Raj,Gowtham"/>
    <n v="277.45099327688075"/>
    <d v="2026-04-10T00:00:00"/>
    <n v="8"/>
    <x v="2"/>
    <s v="Junior"/>
  </r>
  <r>
    <n v="67261"/>
    <x v="5"/>
    <s v="01192800"/>
    <x v="19"/>
    <d v="2026-04-13T00:00:00"/>
    <s v="IA1830"/>
    <s v="Raj,Gowtham"/>
    <n v="277.45099327688075"/>
    <d v="2026-04-13T00:00:00"/>
    <n v="8"/>
    <x v="2"/>
    <s v="Junior"/>
  </r>
  <r>
    <n v="67261"/>
    <x v="5"/>
    <s v="01192800"/>
    <x v="19"/>
    <d v="2026-04-15T00:00:00"/>
    <s v="IA1830"/>
    <s v="Raj,Gowtham"/>
    <n v="277.45099327688075"/>
    <d v="2026-04-15T00:00:00"/>
    <n v="8"/>
    <x v="2"/>
    <s v="Junior"/>
  </r>
  <r>
    <n v="67261"/>
    <x v="5"/>
    <s v="01192800"/>
    <x v="19"/>
    <d v="2026-04-16T00:00:00"/>
    <s v="IA1830"/>
    <s v="Raj,Gowtham"/>
    <n v="277.45099327688075"/>
    <d v="2026-04-16T00:00:00"/>
    <n v="8"/>
    <x v="2"/>
    <s v="Junior"/>
  </r>
  <r>
    <n v="67261"/>
    <x v="5"/>
    <s v="01192800"/>
    <x v="19"/>
    <d v="2026-04-20T00:00:00"/>
    <s v="IA1830"/>
    <s v="Raj,Gowtham"/>
    <n v="277.45099327688075"/>
    <d v="2026-04-20T00:00:00"/>
    <n v="8"/>
    <x v="2"/>
    <s v="Junior"/>
  </r>
  <r>
    <n v="67261"/>
    <x v="5"/>
    <s v="01192800"/>
    <x v="19"/>
    <d v="2026-04-21T00:00:00"/>
    <s v="IA1830"/>
    <s v="Raj,Gowtham"/>
    <n v="277.45099327688075"/>
    <d v="2026-04-21T00:00:00"/>
    <n v="8"/>
    <x v="2"/>
    <s v="Junior"/>
  </r>
  <r>
    <n v="67261"/>
    <x v="5"/>
    <s v="01192800"/>
    <x v="19"/>
    <d v="2026-04-22T00:00:00"/>
    <s v="IA1830"/>
    <s v="Raj,Gowtham"/>
    <n v="277.45099327688075"/>
    <d v="2026-04-22T00:00:00"/>
    <n v="8"/>
    <x v="2"/>
    <s v="Junior"/>
  </r>
  <r>
    <n v="67261"/>
    <x v="5"/>
    <s v="01192800"/>
    <x v="19"/>
    <d v="2026-04-24T00:00:00"/>
    <s v="IA1830"/>
    <s v="Raj,Gowtham"/>
    <n v="277.45099327688075"/>
    <d v="2026-04-24T00:00:00"/>
    <n v="8"/>
    <x v="2"/>
    <s v="Junior"/>
  </r>
  <r>
    <n v="67261"/>
    <x v="5"/>
    <s v="01192800"/>
    <x v="19"/>
    <d v="2026-04-27T00:00:00"/>
    <s v="IA1830"/>
    <s v="Raj,Gowtham"/>
    <n v="277.45099327688075"/>
    <d v="2026-04-27T00:00:00"/>
    <n v="8"/>
    <x v="2"/>
    <s v="Junior"/>
  </r>
  <r>
    <n v="67261"/>
    <x v="5"/>
    <s v="01192800"/>
    <x v="19"/>
    <d v="2026-04-28T00:00:00"/>
    <s v="IA1830"/>
    <s v="Raj,Gowtham"/>
    <n v="277.45099327688075"/>
    <d v="2026-04-28T00:00:00"/>
    <n v="8"/>
    <x v="2"/>
    <s v="Junior"/>
  </r>
  <r>
    <n v="67261"/>
    <x v="5"/>
    <s v="01192800"/>
    <x v="19"/>
    <d v="2026-04-30T00:00:00"/>
    <s v="IA1830"/>
    <s v="Raj,Gowtham"/>
    <n v="277.45099327688075"/>
    <d v="2026-04-30T00:00:00"/>
    <n v="8"/>
    <x v="2"/>
    <s v="Junior"/>
  </r>
  <r>
    <n v="67261"/>
    <x v="5"/>
    <s v="01192800"/>
    <x v="19"/>
    <d v="2026-05-04T00:00:00"/>
    <s v="IA1830"/>
    <s v="Raj,Gowtham"/>
    <n v="277.45099327688075"/>
    <d v="2026-05-04T00:00:00"/>
    <n v="8"/>
    <x v="10"/>
    <s v="Junior"/>
  </r>
  <r>
    <n v="67262"/>
    <x v="0"/>
    <s v="01192806"/>
    <x v="3"/>
    <d v="2025-07-07T00:00:00"/>
    <s v="IA1430"/>
    <s v="Subburajan,Jawahar"/>
    <n v="208.08824495766055"/>
    <d v="2025-07-07T00:00:00"/>
    <n v="6"/>
    <x v="3"/>
    <s v="Lead Developer"/>
  </r>
  <r>
    <n v="67262"/>
    <x v="0"/>
    <s v="01192806"/>
    <x v="3"/>
    <d v="2025-07-07T00:00:00"/>
    <s v="IA1830"/>
    <s v="Raj,Gowtham"/>
    <n v="208.08824495766055"/>
    <d v="2025-07-07T00:00:00"/>
    <n v="6"/>
    <x v="3"/>
    <s v="Junior"/>
  </r>
  <r>
    <n v="67262"/>
    <x v="0"/>
    <s v="01192806"/>
    <x v="3"/>
    <d v="2025-07-07T00:00:00"/>
    <s v="IA1793"/>
    <s v="Subramanian,Ruthrakkanth"/>
    <n v="104.04412247883027"/>
    <d v="2025-07-07T00:00:00"/>
    <n v="3"/>
    <x v="3"/>
    <s v="Developer"/>
  </r>
  <r>
    <n v="67262"/>
    <x v="0"/>
    <s v="01192806"/>
    <x v="3"/>
    <d v="2025-07-07T00:00:00"/>
    <s v="IA1690"/>
    <s v="Duraisamy,Manikandaprabu"/>
    <n v="208.08824495766055"/>
    <d v="2025-07-07T00:00:00"/>
    <n v="6"/>
    <x v="3"/>
    <s v="Developer"/>
  </r>
  <r>
    <n v="67262"/>
    <x v="0"/>
    <s v="01192806"/>
    <x v="3"/>
    <d v="2025-07-07T00:00:00"/>
    <s v="IA1765"/>
    <s v="Kumar,Saravana"/>
    <n v="208.08824495766055"/>
    <d v="2025-07-07T00:00:00"/>
    <n v="6"/>
    <x v="3"/>
    <s v="Developer"/>
  </r>
  <r>
    <n v="67262"/>
    <x v="0"/>
    <s v="01192806"/>
    <x v="3"/>
    <d v="2025-07-07T00:00:00"/>
    <s v="IA1421"/>
    <s v="Jayapal,Muruganandham"/>
    <n v="208.08824495766055"/>
    <d v="2025-07-07T00:00:00"/>
    <n v="6"/>
    <x v="3"/>
    <s v="Engg Manager"/>
  </r>
  <r>
    <n v="67262"/>
    <x v="0"/>
    <s v="01192806"/>
    <x v="3"/>
    <d v="2025-07-08T00:00:00"/>
    <s v="IA1430"/>
    <s v="Subburajan,Jawahar"/>
    <n v="208.08824495766055"/>
    <d v="2025-07-08T00:00:00"/>
    <n v="6"/>
    <x v="3"/>
    <s v="Lead Developer"/>
  </r>
  <r>
    <n v="67262"/>
    <x v="0"/>
    <s v="01192806"/>
    <x v="3"/>
    <d v="2025-07-08T00:00:00"/>
    <s v="IA1830"/>
    <s v="Raj,Gowtham"/>
    <n v="104.04412247883027"/>
    <d v="2025-07-08T00:00:00"/>
    <n v="3"/>
    <x v="3"/>
    <s v="Junior"/>
  </r>
  <r>
    <n v="67262"/>
    <x v="0"/>
    <s v="01192806"/>
    <x v="3"/>
    <d v="2025-07-08T00:00:00"/>
    <s v="IA1690"/>
    <s v="Duraisamy,Manikandaprabu"/>
    <n v="104.04412247883027"/>
    <d v="2025-07-08T00:00:00"/>
    <n v="3"/>
    <x v="3"/>
    <s v="Developer"/>
  </r>
  <r>
    <n v="67262"/>
    <x v="0"/>
    <s v="01192806"/>
    <x v="3"/>
    <d v="2025-12-09T00:00:00"/>
    <s v="IA1750"/>
    <s v="Sankarasubbu,RAMANATHAN"/>
    <n v="242.76961911727065"/>
    <d v="2025-12-09T00:00:00"/>
    <n v="7"/>
    <x v="8"/>
    <s v="Developer"/>
  </r>
  <r>
    <n v="67262"/>
    <x v="0"/>
    <s v="01192806"/>
    <x v="3"/>
    <d v="2025-07-08T00:00:00"/>
    <s v="IA1765"/>
    <s v="Kumar,Saravana"/>
    <n v="208.08824495766055"/>
    <d v="2025-07-08T00:00:00"/>
    <n v="6"/>
    <x v="3"/>
    <s v="Developer"/>
  </r>
  <r>
    <n v="67262"/>
    <x v="0"/>
    <s v="01192806"/>
    <x v="3"/>
    <d v="2025-07-08T00:00:00"/>
    <s v="IA1421"/>
    <s v="Jayapal,Muruganandham"/>
    <n v="208.08824495766055"/>
    <d v="2025-07-08T00:00:00"/>
    <n v="6"/>
    <x v="3"/>
    <s v="Engg Manager"/>
  </r>
  <r>
    <n v="67262"/>
    <x v="0"/>
    <s v="01192806"/>
    <x v="3"/>
    <d v="2025-07-09T00:00:00"/>
    <s v="IA1430"/>
    <s v="Subburajan,Jawahar"/>
    <n v="208.08824495766055"/>
    <d v="2025-07-09T00:00:00"/>
    <n v="6"/>
    <x v="3"/>
    <s v="Lead Developer"/>
  </r>
  <r>
    <n v="67262"/>
    <x v="0"/>
    <s v="01192806"/>
    <x v="3"/>
    <d v="2025-07-09T00:00:00"/>
    <s v="IA1830"/>
    <s v="Raj,Gowtham"/>
    <n v="208.08824495766055"/>
    <d v="2025-07-09T00:00:00"/>
    <n v="6"/>
    <x v="3"/>
    <s v="Junior"/>
  </r>
  <r>
    <n v="67262"/>
    <x v="0"/>
    <s v="01192806"/>
    <x v="3"/>
    <d v="2025-07-09T00:00:00"/>
    <s v="IA1690"/>
    <s v="Duraisamy,Manikandaprabu"/>
    <n v="208.08824495766055"/>
    <d v="2025-07-09T00:00:00"/>
    <n v="6"/>
    <x v="3"/>
    <s v="Developer"/>
  </r>
  <r>
    <n v="67262"/>
    <x v="0"/>
    <s v="01192806"/>
    <x v="3"/>
    <d v="2025-07-09T00:00:00"/>
    <s v="IA1421"/>
    <s v="Jayapal,Muruganandham"/>
    <n v="208.08824495766055"/>
    <d v="2025-07-09T00:00:00"/>
    <n v="6"/>
    <x v="3"/>
    <s v="Engg Manager"/>
  </r>
  <r>
    <n v="67262"/>
    <x v="0"/>
    <s v="01192806"/>
    <x v="3"/>
    <d v="2025-07-10T00:00:00"/>
    <s v="IA1692"/>
    <s v="Gunasekaran,Kishore"/>
    <n v="34.681374159610094"/>
    <d v="2025-07-10T00:00:00"/>
    <n v="1"/>
    <x v="3"/>
    <s v="Developer"/>
  </r>
  <r>
    <n v="67262"/>
    <x v="0"/>
    <s v="01192806"/>
    <x v="3"/>
    <d v="2025-07-10T00:00:00"/>
    <s v="IA1430"/>
    <s v="Subburajan,Jawahar"/>
    <n v="208.08824495766055"/>
    <d v="2025-07-10T00:00:00"/>
    <n v="6"/>
    <x v="3"/>
    <s v="Lead Developer"/>
  </r>
  <r>
    <n v="67262"/>
    <x v="0"/>
    <s v="01192806"/>
    <x v="3"/>
    <d v="2025-07-10T00:00:00"/>
    <s v="IA1690"/>
    <s v="Duraisamy,Manikandaprabu"/>
    <n v="208.08824495766055"/>
    <d v="2025-07-10T00:00:00"/>
    <n v="6"/>
    <x v="3"/>
    <s v="Developer"/>
  </r>
  <r>
    <n v="67262"/>
    <x v="0"/>
    <s v="01192806"/>
    <x v="3"/>
    <d v="2025-12-10T00:00:00"/>
    <s v="IA1750"/>
    <s v="Sankarasubbu,RAMANATHAN"/>
    <n v="242.76961911727065"/>
    <d v="2025-12-10T00:00:00"/>
    <n v="7"/>
    <x v="8"/>
    <s v="Developer"/>
  </r>
  <r>
    <n v="67262"/>
    <x v="0"/>
    <s v="01192806"/>
    <x v="3"/>
    <d v="2025-07-10T00:00:00"/>
    <s v="IA1765"/>
    <s v="Kumar,Saravana"/>
    <n v="208.08824495766055"/>
    <d v="2025-07-10T00:00:00"/>
    <n v="6"/>
    <x v="3"/>
    <s v="Developer"/>
  </r>
  <r>
    <n v="67262"/>
    <x v="0"/>
    <s v="01192806"/>
    <x v="3"/>
    <d v="2025-07-10T00:00:00"/>
    <s v="IA1421"/>
    <s v="Jayapal,Muruganandham"/>
    <n v="208.08824495766055"/>
    <d v="2025-07-10T00:00:00"/>
    <n v="6"/>
    <x v="3"/>
    <s v="Engg Manager"/>
  </r>
  <r>
    <n v="67262"/>
    <x v="0"/>
    <s v="01192806"/>
    <x v="3"/>
    <d v="2025-07-11T00:00:00"/>
    <s v="IA1692"/>
    <s v="Gunasekaran,Kishore"/>
    <n v="69.362748319220188"/>
    <d v="2025-07-11T00:00:00"/>
    <n v="2"/>
    <x v="3"/>
    <s v="Developer"/>
  </r>
  <r>
    <n v="67262"/>
    <x v="0"/>
    <s v="01192806"/>
    <x v="3"/>
    <d v="2025-07-11T00:00:00"/>
    <s v="IA1430"/>
    <s v="Subburajan,Jawahar"/>
    <n v="208.08824495766055"/>
    <d v="2025-07-11T00:00:00"/>
    <n v="6"/>
    <x v="3"/>
    <s v="Lead Developer"/>
  </r>
  <r>
    <n v="67262"/>
    <x v="0"/>
    <s v="01192806"/>
    <x v="3"/>
    <d v="2025-07-11T00:00:00"/>
    <s v="IA1793"/>
    <s v="Subramanian,Ruthrakkanth"/>
    <n v="277.45099327688075"/>
    <d v="2025-07-11T00:00:00"/>
    <n v="8"/>
    <x v="3"/>
    <s v="Developer"/>
  </r>
  <r>
    <n v="67262"/>
    <x v="0"/>
    <s v="01192806"/>
    <x v="3"/>
    <d v="2025-07-11T00:00:00"/>
    <s v="IA1690"/>
    <s v="Duraisamy,Manikandaprabu"/>
    <n v="138.72549663844038"/>
    <d v="2025-07-11T00:00:00"/>
    <n v="4"/>
    <x v="3"/>
    <s v="Developer"/>
  </r>
  <r>
    <n v="67262"/>
    <x v="0"/>
    <s v="01192806"/>
    <x v="3"/>
    <d v="2025-07-11T00:00:00"/>
    <s v="IA1765"/>
    <s v="Kumar,Saravana"/>
    <n v="208.08824495766055"/>
    <d v="2025-07-11T00:00:00"/>
    <n v="6"/>
    <x v="3"/>
    <s v="Developer"/>
  </r>
  <r>
    <n v="67262"/>
    <x v="0"/>
    <s v="01192806"/>
    <x v="3"/>
    <d v="2025-07-11T00:00:00"/>
    <s v="IA1421"/>
    <s v="Jayapal,Muruganandham"/>
    <n v="208.08824495766055"/>
    <d v="2025-07-11T00:00:00"/>
    <n v="6"/>
    <x v="3"/>
    <s v="Engg Manager"/>
  </r>
  <r>
    <n v="67262"/>
    <x v="0"/>
    <s v="01192806"/>
    <x v="3"/>
    <d v="2025-07-14T00:00:00"/>
    <s v="IA1690"/>
    <s v="Duraisamy,Manikandaprabu"/>
    <n v="242.76961911727065"/>
    <d v="2025-07-14T00:00:00"/>
    <n v="7"/>
    <x v="3"/>
    <s v="Developer"/>
  </r>
  <r>
    <n v="67262"/>
    <x v="0"/>
    <s v="01192806"/>
    <x v="3"/>
    <d v="2025-07-14T00:00:00"/>
    <s v="IA1430"/>
    <s v="Subburajan,Jawahar"/>
    <n v="208.08824495766055"/>
    <d v="2025-07-14T00:00:00"/>
    <n v="6"/>
    <x v="3"/>
    <s v="Lead Developer"/>
  </r>
  <r>
    <n v="67262"/>
    <x v="0"/>
    <s v="01192806"/>
    <x v="3"/>
    <d v="2025-07-14T00:00:00"/>
    <s v="IA1830"/>
    <s v="Raj,Gowtham"/>
    <n v="208.08824495766055"/>
    <d v="2025-07-14T00:00:00"/>
    <n v="6"/>
    <x v="3"/>
    <s v="Junior"/>
  </r>
  <r>
    <n v="67262"/>
    <x v="0"/>
    <s v="01192806"/>
    <x v="3"/>
    <d v="2025-07-14T00:00:00"/>
    <s v="IA1765"/>
    <s v="Kumar,Saravana"/>
    <n v="208.08824495766055"/>
    <d v="2025-07-14T00:00:00"/>
    <n v="6"/>
    <x v="3"/>
    <s v="Developer"/>
  </r>
  <r>
    <n v="67262"/>
    <x v="0"/>
    <s v="01192806"/>
    <x v="3"/>
    <d v="2025-07-14T00:00:00"/>
    <s v="IA1757"/>
    <s v="Thirunavukkarasu,Kishore"/>
    <n v="208.08824495766055"/>
    <d v="2025-07-14T00:00:00"/>
    <n v="6"/>
    <x v="3"/>
    <s v="Developer"/>
  </r>
  <r>
    <n v="67262"/>
    <x v="0"/>
    <s v="01192806"/>
    <x v="3"/>
    <d v="2025-07-14T00:00:00"/>
    <s v="IA1793"/>
    <s v="Subramanian,Ruthrakkanth"/>
    <n v="34.681374159610094"/>
    <d v="2025-07-14T00:00:00"/>
    <n v="1"/>
    <x v="3"/>
    <s v="Developer"/>
  </r>
  <r>
    <n v="67262"/>
    <x v="0"/>
    <s v="01192806"/>
    <x v="3"/>
    <d v="2025-12-11T00:00:00"/>
    <s v="IA1750"/>
    <s v="Sankarasubbu,RAMANATHAN"/>
    <n v="242.76961911727065"/>
    <d v="2025-12-11T00:00:00"/>
    <n v="7"/>
    <x v="8"/>
    <s v="Developer"/>
  </r>
  <r>
    <n v="67262"/>
    <x v="0"/>
    <s v="01192806"/>
    <x v="3"/>
    <d v="2025-07-14T00:00:00"/>
    <s v="IA1421"/>
    <s v="Jayapal,Muruganandham"/>
    <n v="208.08824495766055"/>
    <d v="2025-07-14T00:00:00"/>
    <n v="6"/>
    <x v="3"/>
    <s v="Engg Manager"/>
  </r>
  <r>
    <n v="67262"/>
    <x v="0"/>
    <s v="01192806"/>
    <x v="3"/>
    <d v="2025-07-15T00:00:00"/>
    <s v="IA1430"/>
    <s v="Subburajan,Jawahar"/>
    <n v="208.08824495766055"/>
    <d v="2025-07-15T00:00:00"/>
    <n v="6"/>
    <x v="3"/>
    <s v="Lead Developer"/>
  </r>
  <r>
    <n v="67262"/>
    <x v="0"/>
    <s v="01192806"/>
    <x v="3"/>
    <d v="2025-07-15T00:00:00"/>
    <s v="IA1830"/>
    <s v="Raj,Gowtham"/>
    <n v="208.08824495766055"/>
    <d v="2025-07-15T00:00:00"/>
    <n v="6"/>
    <x v="3"/>
    <s v="Junior"/>
  </r>
  <r>
    <n v="67262"/>
    <x v="0"/>
    <s v="01192806"/>
    <x v="3"/>
    <d v="2025-07-15T00:00:00"/>
    <s v="IA1765"/>
    <s v="Kumar,Saravana"/>
    <n v="208.08824495766055"/>
    <d v="2025-07-15T00:00:00"/>
    <n v="6"/>
    <x v="3"/>
    <s v="Developer"/>
  </r>
  <r>
    <n v="67262"/>
    <x v="0"/>
    <s v="01192806"/>
    <x v="3"/>
    <d v="2025-07-15T00:00:00"/>
    <s v="IA1757"/>
    <s v="Thirunavukkarasu,Kishore"/>
    <n v="173.40687079805048"/>
    <d v="2025-07-15T00:00:00"/>
    <n v="5"/>
    <x v="3"/>
    <s v="Developer"/>
  </r>
  <r>
    <n v="67262"/>
    <x v="0"/>
    <s v="01192806"/>
    <x v="3"/>
    <d v="2025-07-15T00:00:00"/>
    <s v="IA1690"/>
    <s v="Duraisamy,Manikandaprabu"/>
    <n v="208.08824495766055"/>
    <d v="2025-07-15T00:00:00"/>
    <n v="6"/>
    <x v="3"/>
    <s v="Developer"/>
  </r>
  <r>
    <n v="67262"/>
    <x v="0"/>
    <s v="01192806"/>
    <x v="3"/>
    <d v="2025-07-15T00:00:00"/>
    <s v="IA1421"/>
    <s v="Jayapal,Muruganandham"/>
    <n v="208.08824495766055"/>
    <d v="2025-07-15T00:00:00"/>
    <n v="6"/>
    <x v="3"/>
    <s v="Engg Manager"/>
  </r>
  <r>
    <n v="67262"/>
    <x v="0"/>
    <s v="01192806"/>
    <x v="3"/>
    <d v="2025-07-16T00:00:00"/>
    <s v="IA1430"/>
    <s v="Subburajan,Jawahar"/>
    <n v="208.08824495766055"/>
    <d v="2025-07-16T00:00:00"/>
    <n v="6"/>
    <x v="3"/>
    <s v="Lead Developer"/>
  </r>
  <r>
    <n v="67262"/>
    <x v="0"/>
    <s v="01192806"/>
    <x v="3"/>
    <d v="2025-07-16T00:00:00"/>
    <s v="IA1830"/>
    <s v="Raj,Gowtham"/>
    <n v="208.08824495766055"/>
    <d v="2025-07-16T00:00:00"/>
    <n v="6"/>
    <x v="3"/>
    <s v="Junior"/>
  </r>
  <r>
    <n v="67262"/>
    <x v="0"/>
    <s v="01192806"/>
    <x v="3"/>
    <d v="2025-07-16T00:00:00"/>
    <s v="IA1765"/>
    <s v="Kumar,Saravana"/>
    <n v="208.08824495766055"/>
    <d v="2025-07-16T00:00:00"/>
    <n v="6"/>
    <x v="3"/>
    <s v="Developer"/>
  </r>
  <r>
    <n v="67262"/>
    <x v="0"/>
    <s v="01192806"/>
    <x v="3"/>
    <d v="2025-07-16T00:00:00"/>
    <s v="IA1793"/>
    <s v="Subramanian,Ruthrakkanth"/>
    <n v="208.08824495766055"/>
    <d v="2025-07-16T00:00:00"/>
    <n v="6"/>
    <x v="3"/>
    <s v="Developer"/>
  </r>
  <r>
    <n v="67262"/>
    <x v="0"/>
    <s v="01192806"/>
    <x v="3"/>
    <d v="2025-07-16T00:00:00"/>
    <s v="IA1690"/>
    <s v="Duraisamy,Manikandaprabu"/>
    <n v="208.08824495766055"/>
    <d v="2025-07-16T00:00:00"/>
    <n v="6"/>
    <x v="3"/>
    <s v="Developer"/>
  </r>
  <r>
    <n v="67262"/>
    <x v="0"/>
    <s v="01192806"/>
    <x v="3"/>
    <d v="2025-12-12T00:00:00"/>
    <s v="IA1750"/>
    <s v="Sankarasubbu,RAMANATHAN"/>
    <n v="242.76961911727065"/>
    <d v="2025-12-12T00:00:00"/>
    <n v="7"/>
    <x v="8"/>
    <s v="Developer"/>
  </r>
  <r>
    <n v="67262"/>
    <x v="0"/>
    <s v="01192806"/>
    <x v="3"/>
    <d v="2025-07-16T00:00:00"/>
    <s v="IA1692"/>
    <s v="Gunasekaran,Kishore"/>
    <n v="208.08824495766055"/>
    <d v="2025-07-16T00:00:00"/>
    <n v="6"/>
    <x v="3"/>
    <s v="Developer"/>
  </r>
  <r>
    <n v="67262"/>
    <x v="0"/>
    <s v="01192806"/>
    <x v="3"/>
    <d v="2025-07-16T00:00:00"/>
    <s v="IA1421"/>
    <s v="Jayapal,Muruganandham"/>
    <n v="208.08824495766055"/>
    <d v="2025-07-16T00:00:00"/>
    <n v="6"/>
    <x v="3"/>
    <s v="Engg Manager"/>
  </r>
  <r>
    <n v="67262"/>
    <x v="0"/>
    <s v="01192806"/>
    <x v="3"/>
    <d v="2025-07-17T00:00:00"/>
    <s v="IA1430"/>
    <s v="Subburajan,Jawahar"/>
    <n v="208.08824495766055"/>
    <d v="2025-07-17T00:00:00"/>
    <n v="6"/>
    <x v="3"/>
    <s v="Lead Developer"/>
  </r>
  <r>
    <n v="67262"/>
    <x v="0"/>
    <s v="01192806"/>
    <x v="3"/>
    <d v="2025-07-17T00:00:00"/>
    <s v="IA1830"/>
    <s v="Raj,Gowtham"/>
    <n v="208.08824495766055"/>
    <d v="2025-07-17T00:00:00"/>
    <n v="6"/>
    <x v="3"/>
    <s v="Junior"/>
  </r>
  <r>
    <n v="67262"/>
    <x v="0"/>
    <s v="01192806"/>
    <x v="3"/>
    <d v="2025-07-17T00:00:00"/>
    <s v="IA1765"/>
    <s v="Kumar,Saravana"/>
    <n v="208.08824495766055"/>
    <d v="2025-07-17T00:00:00"/>
    <n v="6"/>
    <x v="3"/>
    <s v="Developer"/>
  </r>
  <r>
    <n v="67262"/>
    <x v="0"/>
    <s v="01192806"/>
    <x v="3"/>
    <d v="2025-07-17T00:00:00"/>
    <s v="IA1793"/>
    <s v="Subramanian,Ruthrakkanth"/>
    <n v="208.08824495766055"/>
    <d v="2025-07-17T00:00:00"/>
    <n v="6"/>
    <x v="3"/>
    <s v="Developer"/>
  </r>
  <r>
    <n v="67262"/>
    <x v="0"/>
    <s v="01192806"/>
    <x v="3"/>
    <d v="2025-07-17T00:00:00"/>
    <s v="IA1690"/>
    <s v="Duraisamy,Manikandaprabu"/>
    <n v="208.08824495766055"/>
    <d v="2025-07-17T00:00:00"/>
    <n v="6"/>
    <x v="3"/>
    <s v="Developer"/>
  </r>
  <r>
    <n v="67262"/>
    <x v="0"/>
    <s v="01192806"/>
    <x v="3"/>
    <d v="2025-07-17T00:00:00"/>
    <s v="IA1692"/>
    <s v="Gunasekaran,Kishore"/>
    <n v="208.08824495766055"/>
    <d v="2025-07-17T00:00:00"/>
    <n v="6"/>
    <x v="3"/>
    <s v="Developer"/>
  </r>
  <r>
    <n v="67262"/>
    <x v="0"/>
    <s v="01192806"/>
    <x v="3"/>
    <d v="2025-07-17T00:00:00"/>
    <s v="IA1421"/>
    <s v="Jayapal,Muruganandham"/>
    <n v="208.08824495766055"/>
    <d v="2025-07-17T00:00:00"/>
    <n v="6"/>
    <x v="3"/>
    <s v="Engg Manager"/>
  </r>
  <r>
    <n v="67262"/>
    <x v="0"/>
    <s v="01192806"/>
    <x v="3"/>
    <d v="2025-07-18T00:00:00"/>
    <s v="IA1430"/>
    <s v="Subburajan,Jawahar"/>
    <n v="208.08824495766055"/>
    <d v="2025-07-18T00:00:00"/>
    <n v="6"/>
    <x v="3"/>
    <s v="Lead Developer"/>
  </r>
  <r>
    <n v="67262"/>
    <x v="0"/>
    <s v="01192806"/>
    <x v="3"/>
    <d v="2025-07-18T00:00:00"/>
    <s v="IA1830"/>
    <s v="Raj,Gowtham"/>
    <n v="208.08824495766055"/>
    <d v="2025-07-18T00:00:00"/>
    <n v="6"/>
    <x v="3"/>
    <s v="Junior"/>
  </r>
  <r>
    <n v="67262"/>
    <x v="0"/>
    <s v="01192806"/>
    <x v="3"/>
    <d v="2025-07-18T00:00:00"/>
    <s v="IA1765"/>
    <s v="Kumar,Saravana"/>
    <n v="208.08824495766055"/>
    <d v="2025-07-18T00:00:00"/>
    <n v="6"/>
    <x v="3"/>
    <s v="Developer"/>
  </r>
  <r>
    <n v="67262"/>
    <x v="0"/>
    <s v="01192806"/>
    <x v="3"/>
    <d v="2025-07-18T00:00:00"/>
    <s v="IA1793"/>
    <s v="Subramanian,Ruthrakkanth"/>
    <n v="208.08824495766055"/>
    <d v="2025-07-18T00:00:00"/>
    <n v="6"/>
    <x v="3"/>
    <s v="Developer"/>
  </r>
  <r>
    <n v="67262"/>
    <x v="0"/>
    <s v="01192806"/>
    <x v="3"/>
    <d v="2025-07-18T00:00:00"/>
    <s v="IA1690"/>
    <s v="Duraisamy,Manikandaprabu"/>
    <n v="208.08824495766055"/>
    <d v="2025-07-18T00:00:00"/>
    <n v="6"/>
    <x v="3"/>
    <s v="Developer"/>
  </r>
  <r>
    <n v="67260"/>
    <x v="2"/>
    <s v="01199839"/>
    <x v="18"/>
    <d v="2025-12-15T00:00:00"/>
    <s v="IA1750"/>
    <s v="Sankarasubbu,RAMANATHAN"/>
    <n v="121.38480955863533"/>
    <d v="2025-12-15T00:00:00"/>
    <n v="3.5"/>
    <x v="8"/>
    <s v="Developer"/>
  </r>
  <r>
    <n v="67262"/>
    <x v="0"/>
    <s v="01192806"/>
    <x v="3"/>
    <d v="2025-07-18T00:00:00"/>
    <s v="IA1692"/>
    <s v="Gunasekaran,Kishore"/>
    <n v="208.08824495766055"/>
    <d v="2025-07-18T00:00:00"/>
    <n v="6"/>
    <x v="3"/>
    <s v="Developer"/>
  </r>
  <r>
    <n v="67262"/>
    <x v="0"/>
    <s v="01192806"/>
    <x v="3"/>
    <d v="2025-07-18T00:00:00"/>
    <s v="IA1421"/>
    <s v="Jayapal,Muruganandham"/>
    <n v="208.08824495766055"/>
    <d v="2025-07-18T00:00:00"/>
    <n v="6"/>
    <x v="3"/>
    <s v="Engg Manager"/>
  </r>
  <r>
    <n v="67262"/>
    <x v="0"/>
    <s v="01192806"/>
    <x v="3"/>
    <d v="2025-07-21T00:00:00"/>
    <s v="IA1430"/>
    <s v="Subburajan,Jawahar"/>
    <n v="208.08824495766055"/>
    <d v="2025-07-21T00:00:00"/>
    <n v="6"/>
    <x v="3"/>
    <s v="Lead Developer"/>
  </r>
  <r>
    <n v="67262"/>
    <x v="0"/>
    <s v="01192806"/>
    <x v="3"/>
    <d v="2025-07-21T00:00:00"/>
    <s v="IA1765"/>
    <s v="Kumar,Saravana"/>
    <n v="208.08824495766055"/>
    <d v="2025-07-21T00:00:00"/>
    <n v="6"/>
    <x v="3"/>
    <s v="Developer"/>
  </r>
  <r>
    <n v="67262"/>
    <x v="0"/>
    <s v="01192806"/>
    <x v="3"/>
    <d v="2025-07-21T00:00:00"/>
    <s v="IA1830"/>
    <s v="Raj,Gowtham"/>
    <n v="208.08824495766055"/>
    <d v="2025-07-21T00:00:00"/>
    <n v="6"/>
    <x v="3"/>
    <s v="Junior"/>
  </r>
  <r>
    <n v="67262"/>
    <x v="0"/>
    <s v="01192806"/>
    <x v="3"/>
    <d v="2025-07-21T00:00:00"/>
    <s v="IA1421"/>
    <s v="Jayapal,Muruganandham"/>
    <n v="208.08824495766055"/>
    <d v="2025-07-21T00:00:00"/>
    <n v="6"/>
    <x v="3"/>
    <s v="Engg Manager"/>
  </r>
  <r>
    <n v="67262"/>
    <x v="0"/>
    <s v="01192806"/>
    <x v="3"/>
    <d v="2025-07-21T00:00:00"/>
    <s v="IA1450"/>
    <s v="Selvam,Kadarkarai"/>
    <n v="34.681374159610094"/>
    <d v="2025-07-21T00:00:00"/>
    <n v="1"/>
    <x v="3"/>
    <s v="Lead Developer"/>
  </r>
  <r>
    <n v="67262"/>
    <x v="0"/>
    <s v="01192806"/>
    <x v="3"/>
    <d v="2025-07-21T00:00:00"/>
    <s v="IA1793"/>
    <s v="Subramanian,Ruthrakkanth"/>
    <n v="242.76961911727065"/>
    <d v="2025-07-21T00:00:00"/>
    <n v="7"/>
    <x v="3"/>
    <s v="Developer"/>
  </r>
  <r>
    <n v="67262"/>
    <x v="0"/>
    <s v="01192806"/>
    <x v="3"/>
    <d v="2025-07-21T00:00:00"/>
    <s v="IA1757"/>
    <s v="Thirunavukkarasu,Kishore"/>
    <n v="34.681374159610094"/>
    <d v="2025-07-21T00:00:00"/>
    <n v="1"/>
    <x v="3"/>
    <s v="Developer"/>
  </r>
  <r>
    <n v="67262"/>
    <x v="0"/>
    <s v="01192806"/>
    <x v="3"/>
    <d v="2025-12-15T00:00:00"/>
    <s v="IA1750"/>
    <s v="Sankarasubbu,RAMANATHAN"/>
    <n v="138.72549663844038"/>
    <d v="2025-12-15T00:00:00"/>
    <n v="4"/>
    <x v="8"/>
    <s v="Developer"/>
  </r>
  <r>
    <n v="67262"/>
    <x v="0"/>
    <s v="01192806"/>
    <x v="3"/>
    <d v="2025-07-21T00:00:00"/>
    <s v="IA1690"/>
    <s v="Duraisamy,Manikandaprabu"/>
    <n v="208.08824495766055"/>
    <d v="2025-07-21T00:00:00"/>
    <n v="6"/>
    <x v="3"/>
    <s v="Developer"/>
  </r>
  <r>
    <n v="67262"/>
    <x v="0"/>
    <s v="01192806"/>
    <x v="3"/>
    <d v="2025-07-21T00:00:00"/>
    <s v="IA1692"/>
    <s v="Gunasekaran,Kishore"/>
    <n v="208.08824495766055"/>
    <d v="2025-07-21T00:00:00"/>
    <n v="6"/>
    <x v="3"/>
    <s v="Developer"/>
  </r>
  <r>
    <n v="67262"/>
    <x v="0"/>
    <s v="01192806"/>
    <x v="3"/>
    <d v="2025-07-22T00:00:00"/>
    <s v="IA1765"/>
    <s v="Kumar,Saravana"/>
    <n v="208.08824495766055"/>
    <d v="2025-07-22T00:00:00"/>
    <n v="6"/>
    <x v="3"/>
    <s v="Developer"/>
  </r>
  <r>
    <n v="67262"/>
    <x v="0"/>
    <s v="01192806"/>
    <x v="3"/>
    <d v="2025-07-22T00:00:00"/>
    <s v="IA1830"/>
    <s v="Raj,Gowtham"/>
    <n v="208.08824495766055"/>
    <d v="2025-07-22T00:00:00"/>
    <n v="6"/>
    <x v="3"/>
    <s v="Junior"/>
  </r>
  <r>
    <n v="67262"/>
    <x v="0"/>
    <s v="01192806"/>
    <x v="3"/>
    <d v="2025-07-22T00:00:00"/>
    <s v="IA1450"/>
    <s v="Selvam,Kadarkarai"/>
    <n v="34.681374159610094"/>
    <d v="2025-07-22T00:00:00"/>
    <n v="1"/>
    <x v="3"/>
    <s v="Lead Developer"/>
  </r>
  <r>
    <n v="67262"/>
    <x v="0"/>
    <s v="01192806"/>
    <x v="3"/>
    <d v="2025-07-22T00:00:00"/>
    <s v="IA1793"/>
    <s v="Subramanian,Ruthrakkanth"/>
    <n v="242.76961911727065"/>
    <d v="2025-07-22T00:00:00"/>
    <n v="7"/>
    <x v="3"/>
    <s v="Developer"/>
  </r>
  <r>
    <n v="67262"/>
    <x v="0"/>
    <s v="01192806"/>
    <x v="3"/>
    <d v="2025-07-22T00:00:00"/>
    <s v="IA1757"/>
    <s v="Thirunavukkarasu,Kishore"/>
    <n v="104.04412247883027"/>
    <d v="2025-07-22T00:00:00"/>
    <n v="3"/>
    <x v="3"/>
    <s v="Developer"/>
  </r>
  <r>
    <n v="67262"/>
    <x v="0"/>
    <s v="01192806"/>
    <x v="3"/>
    <d v="2025-07-22T00:00:00"/>
    <s v="IA1421"/>
    <s v="Jayapal,Muruganandham"/>
    <n v="208.08824495766055"/>
    <d v="2025-07-22T00:00:00"/>
    <n v="6"/>
    <x v="3"/>
    <s v="Engg Manager"/>
  </r>
  <r>
    <n v="67262"/>
    <x v="0"/>
    <s v="01192806"/>
    <x v="3"/>
    <d v="2025-07-22T00:00:00"/>
    <s v="IA1690"/>
    <s v="Duraisamy,Manikandaprabu"/>
    <n v="208.08824495766055"/>
    <d v="2025-07-22T00:00:00"/>
    <n v="6"/>
    <x v="3"/>
    <s v="Developer"/>
  </r>
  <r>
    <n v="67262"/>
    <x v="0"/>
    <s v="01192806"/>
    <x v="3"/>
    <d v="2025-07-22T00:00:00"/>
    <s v="IA1692"/>
    <s v="Gunasekaran,Kishore"/>
    <n v="242.76961911727065"/>
    <d v="2025-07-22T00:00:00"/>
    <n v="7"/>
    <x v="3"/>
    <s v="Developer"/>
  </r>
  <r>
    <n v="67262"/>
    <x v="0"/>
    <s v="01192806"/>
    <x v="3"/>
    <d v="2025-07-23T00:00:00"/>
    <s v="IA1430"/>
    <s v="Subburajan,Jawahar"/>
    <n v="208.08824495766055"/>
    <d v="2025-07-23T00:00:00"/>
    <n v="6"/>
    <x v="3"/>
    <s v="Lead Developer"/>
  </r>
  <r>
    <n v="67262"/>
    <x v="0"/>
    <s v="01192806"/>
    <x v="3"/>
    <d v="2025-07-23T00:00:00"/>
    <s v="IA1765"/>
    <s v="Kumar,Saravana"/>
    <n v="208.08824495766055"/>
    <d v="2025-07-23T00:00:00"/>
    <n v="6"/>
    <x v="3"/>
    <s v="Developer"/>
  </r>
  <r>
    <n v="67262"/>
    <x v="0"/>
    <s v="01192806"/>
    <x v="3"/>
    <d v="2025-07-23T00:00:00"/>
    <s v="IA1830"/>
    <s v="Raj,Gowtham"/>
    <n v="208.08824495766055"/>
    <d v="2025-07-23T00:00:00"/>
    <n v="6"/>
    <x v="3"/>
    <s v="Junior"/>
  </r>
  <r>
    <n v="67262"/>
    <x v="0"/>
    <s v="01192806"/>
    <x v="3"/>
    <d v="2025-07-23T00:00:00"/>
    <s v="IA1793"/>
    <s v="Subramanian,Ruthrakkanth"/>
    <n v="173.40687079805048"/>
    <d v="2025-07-23T00:00:00"/>
    <n v="5"/>
    <x v="3"/>
    <s v="Developer"/>
  </r>
  <r>
    <n v="67262"/>
    <x v="0"/>
    <s v="01192806"/>
    <x v="3"/>
    <d v="2025-07-23T00:00:00"/>
    <s v="IA1757"/>
    <s v="Thirunavukkarasu,Kishore"/>
    <n v="242.76961911727065"/>
    <d v="2025-07-23T00:00:00"/>
    <n v="7"/>
    <x v="3"/>
    <s v="Developer"/>
  </r>
  <r>
    <n v="67262"/>
    <x v="0"/>
    <s v="01192806"/>
    <x v="3"/>
    <d v="2025-07-23T00:00:00"/>
    <s v="IA1421"/>
    <s v="Jayapal,Muruganandham"/>
    <n v="208.08824495766055"/>
    <d v="2025-07-23T00:00:00"/>
    <n v="6"/>
    <x v="3"/>
    <s v="Engg Manager"/>
  </r>
  <r>
    <n v="67260"/>
    <x v="2"/>
    <s v="01199839"/>
    <x v="18"/>
    <d v="2025-12-16T00:00:00"/>
    <s v="IA1750"/>
    <s v="Sankarasubbu,RAMANATHAN"/>
    <n v="260.11030619707572"/>
    <d v="2025-12-16T00:00:00"/>
    <n v="7.5"/>
    <x v="8"/>
    <s v="Developer"/>
  </r>
  <r>
    <n v="67262"/>
    <x v="0"/>
    <s v="01192806"/>
    <x v="3"/>
    <d v="2025-07-23T00:00:00"/>
    <s v="IA1690"/>
    <s v="Duraisamy,Manikandaprabu"/>
    <n v="242.76961911727065"/>
    <d v="2025-07-23T00:00:00"/>
    <n v="7"/>
    <x v="3"/>
    <s v="Developer"/>
  </r>
  <r>
    <n v="67262"/>
    <x v="0"/>
    <s v="01192806"/>
    <x v="3"/>
    <d v="2025-07-23T00:00:00"/>
    <s v="IA1692"/>
    <s v="Gunasekaran,Kishore"/>
    <n v="208.08824495766055"/>
    <d v="2025-07-23T00:00:00"/>
    <n v="6"/>
    <x v="3"/>
    <s v="Developer"/>
  </r>
  <r>
    <n v="67262"/>
    <x v="0"/>
    <s v="01192806"/>
    <x v="3"/>
    <d v="2025-07-24T00:00:00"/>
    <s v="IA1430"/>
    <s v="Subburajan,Jawahar"/>
    <n v="208.08824495766055"/>
    <d v="2025-07-24T00:00:00"/>
    <n v="6"/>
    <x v="3"/>
    <s v="Lead Developer"/>
  </r>
  <r>
    <n v="67262"/>
    <x v="0"/>
    <s v="01192806"/>
    <x v="3"/>
    <d v="2025-07-24T00:00:00"/>
    <s v="IA1765"/>
    <s v="Kumar,Saravana"/>
    <n v="208.08824495766055"/>
    <d v="2025-07-24T00:00:00"/>
    <n v="6"/>
    <x v="3"/>
    <s v="Developer"/>
  </r>
  <r>
    <n v="67262"/>
    <x v="0"/>
    <s v="01192806"/>
    <x v="3"/>
    <d v="2025-07-24T00:00:00"/>
    <s v="IA1830"/>
    <s v="Raj,Gowtham"/>
    <n v="104.04412247883027"/>
    <d v="2025-07-24T00:00:00"/>
    <n v="3"/>
    <x v="3"/>
    <s v="Junior"/>
  </r>
  <r>
    <n v="67262"/>
    <x v="0"/>
    <s v="01192806"/>
    <x v="3"/>
    <d v="2025-07-24T00:00:00"/>
    <s v="IA1793"/>
    <s v="Subramanian,Ruthrakkanth"/>
    <n v="242.76961911727065"/>
    <d v="2025-07-24T00:00:00"/>
    <n v="7"/>
    <x v="3"/>
    <s v="Developer"/>
  </r>
  <r>
    <n v="67262"/>
    <x v="0"/>
    <s v="01192806"/>
    <x v="3"/>
    <d v="2025-07-24T00:00:00"/>
    <s v="IA1757"/>
    <s v="Thirunavukkarasu,Kishore"/>
    <n v="208.08824495766055"/>
    <d v="2025-07-24T00:00:00"/>
    <n v="6"/>
    <x v="3"/>
    <s v="Developer"/>
  </r>
  <r>
    <n v="67262"/>
    <x v="0"/>
    <s v="01192806"/>
    <x v="3"/>
    <d v="2025-07-24T00:00:00"/>
    <s v="IA1421"/>
    <s v="Jayapal,Muruganandham"/>
    <n v="208.08824495766055"/>
    <d v="2025-07-24T00:00:00"/>
    <n v="6"/>
    <x v="3"/>
    <s v="Engg Manager"/>
  </r>
  <r>
    <n v="67262"/>
    <x v="0"/>
    <s v="01192806"/>
    <x v="3"/>
    <d v="2025-07-24T00:00:00"/>
    <s v="IA1690"/>
    <s v="Duraisamy,Manikandaprabu"/>
    <n v="242.76961911727065"/>
    <d v="2025-07-24T00:00:00"/>
    <n v="7"/>
    <x v="3"/>
    <s v="Developer"/>
  </r>
  <r>
    <n v="67262"/>
    <x v="0"/>
    <s v="01192806"/>
    <x v="3"/>
    <d v="2025-07-24T00:00:00"/>
    <s v="IA1692"/>
    <s v="Gunasekaran,Kishore"/>
    <n v="242.76961911727065"/>
    <d v="2025-07-24T00:00:00"/>
    <n v="7"/>
    <x v="3"/>
    <s v="Developer"/>
  </r>
  <r>
    <n v="67262"/>
    <x v="0"/>
    <s v="01192806"/>
    <x v="3"/>
    <d v="2025-07-25T00:00:00"/>
    <s v="IA1430"/>
    <s v="Subburajan,Jawahar"/>
    <n v="208.08824495766055"/>
    <d v="2025-07-25T00:00:00"/>
    <n v="6"/>
    <x v="3"/>
    <s v="Lead Developer"/>
  </r>
  <r>
    <n v="67262"/>
    <x v="0"/>
    <s v="01192806"/>
    <x v="3"/>
    <d v="2025-07-25T00:00:00"/>
    <s v="IA1765"/>
    <s v="Kumar,Saravana"/>
    <n v="208.08824495766055"/>
    <d v="2025-07-25T00:00:00"/>
    <n v="6"/>
    <x v="3"/>
    <s v="Developer"/>
  </r>
  <r>
    <n v="67262"/>
    <x v="0"/>
    <s v="01192806"/>
    <x v="3"/>
    <d v="2025-07-25T00:00:00"/>
    <s v="IA1830"/>
    <s v="Raj,Gowtham"/>
    <n v="208.08824495766055"/>
    <d v="2025-07-25T00:00:00"/>
    <n v="6"/>
    <x v="3"/>
    <s v="Junior"/>
  </r>
  <r>
    <n v="67262"/>
    <x v="0"/>
    <s v="01192806"/>
    <x v="3"/>
    <d v="2025-07-25T00:00:00"/>
    <s v="IA1793"/>
    <s v="Subramanian,Ruthrakkanth"/>
    <n v="242.76961911727065"/>
    <d v="2025-07-25T00:00:00"/>
    <n v="7"/>
    <x v="3"/>
    <s v="Developer"/>
  </r>
  <r>
    <n v="67262"/>
    <x v="0"/>
    <s v="01192806"/>
    <x v="3"/>
    <d v="2025-07-25T00:00:00"/>
    <s v="IA1757"/>
    <s v="Thirunavukkarasu,Kishore"/>
    <n v="242.76961911727065"/>
    <d v="2025-07-25T00:00:00"/>
    <n v="7"/>
    <x v="3"/>
    <s v="Developer"/>
  </r>
  <r>
    <n v="67262"/>
    <x v="0"/>
    <s v="01192806"/>
    <x v="3"/>
    <d v="2025-07-25T00:00:00"/>
    <s v="IA1421"/>
    <s v="Jayapal,Muruganandham"/>
    <n v="208.08824495766055"/>
    <d v="2025-07-25T00:00:00"/>
    <n v="6"/>
    <x v="3"/>
    <s v="Engg Manager"/>
  </r>
  <r>
    <n v="67260"/>
    <x v="2"/>
    <s v="01199839"/>
    <x v="18"/>
    <d v="2025-12-17T00:00:00"/>
    <s v="IA1750"/>
    <s v="Sankarasubbu,RAMANATHAN"/>
    <n v="260.11030619707572"/>
    <d v="2025-12-17T00:00:00"/>
    <n v="7.5"/>
    <x v="8"/>
    <s v="Developer"/>
  </r>
  <r>
    <n v="67262"/>
    <x v="0"/>
    <s v="01192806"/>
    <x v="3"/>
    <d v="2025-07-25T00:00:00"/>
    <s v="IA1690"/>
    <s v="Duraisamy,Manikandaprabu"/>
    <n v="208.08824495766055"/>
    <d v="2025-07-25T00:00:00"/>
    <n v="6"/>
    <x v="3"/>
    <s v="Developer"/>
  </r>
  <r>
    <n v="67262"/>
    <x v="0"/>
    <s v="01192806"/>
    <x v="3"/>
    <d v="2025-07-25T00:00:00"/>
    <s v="IA1692"/>
    <s v="Gunasekaran,Kishore"/>
    <n v="242.76961911727065"/>
    <d v="2025-07-25T00:00:00"/>
    <n v="7"/>
    <x v="3"/>
    <s v="Developer"/>
  </r>
  <r>
    <n v="67262"/>
    <x v="0"/>
    <s v="01192806"/>
    <x v="3"/>
    <d v="2025-07-28T00:00:00"/>
    <s v="IA1690"/>
    <s v="Duraisamy,Manikandaprabu"/>
    <n v="242.76961911727065"/>
    <d v="2025-07-28T00:00:00"/>
    <n v="7"/>
    <x v="3"/>
    <s v="Developer"/>
  </r>
  <r>
    <n v="67262"/>
    <x v="0"/>
    <s v="01192806"/>
    <x v="3"/>
    <d v="2025-07-28T00:00:00"/>
    <s v="IA1692"/>
    <s v="Gunasekaran,Kishore"/>
    <n v="69.362748319220188"/>
    <d v="2025-07-28T00:00:00"/>
    <n v="2"/>
    <x v="3"/>
    <s v="Developer"/>
  </r>
  <r>
    <n v="67262"/>
    <x v="0"/>
    <s v="01192806"/>
    <x v="3"/>
    <d v="2025-07-28T00:00:00"/>
    <s v="IA1421"/>
    <s v="Jayapal,Muruganandham"/>
    <n v="208.08824495766055"/>
    <d v="2025-07-28T00:00:00"/>
    <n v="6"/>
    <x v="3"/>
    <s v="Engg Manager"/>
  </r>
  <r>
    <n v="67262"/>
    <x v="0"/>
    <s v="01192806"/>
    <x v="3"/>
    <d v="2025-07-28T00:00:00"/>
    <s v="IA1793"/>
    <s v="Subramanian,Ruthrakkanth"/>
    <n v="138.72549663844038"/>
    <d v="2025-07-28T00:00:00"/>
    <n v="4"/>
    <x v="3"/>
    <s v="Developer"/>
  </r>
  <r>
    <n v="67262"/>
    <x v="0"/>
    <s v="01192806"/>
    <x v="3"/>
    <d v="2025-07-28T00:00:00"/>
    <s v="IA1450"/>
    <s v="Selvam,Kadarkarai"/>
    <n v="69.362748319220188"/>
    <d v="2025-07-28T00:00:00"/>
    <n v="2"/>
    <x v="3"/>
    <s v="Lead Developer"/>
  </r>
  <r>
    <n v="67262"/>
    <x v="0"/>
    <s v="01192806"/>
    <x v="3"/>
    <d v="2025-07-28T00:00:00"/>
    <s v="IA1765"/>
    <s v="Kumar,Saravana"/>
    <n v="208.08824495766055"/>
    <d v="2025-07-28T00:00:00"/>
    <n v="6"/>
    <x v="3"/>
    <s v="Developer"/>
  </r>
  <r>
    <n v="67262"/>
    <x v="0"/>
    <s v="01192806"/>
    <x v="3"/>
    <d v="2025-07-29T00:00:00"/>
    <s v="IA1690"/>
    <s v="Duraisamy,Manikandaprabu"/>
    <n v="34.681374159610094"/>
    <d v="2025-07-29T00:00:00"/>
    <n v="1"/>
    <x v="3"/>
    <s v="Developer"/>
  </r>
  <r>
    <n v="67262"/>
    <x v="0"/>
    <s v="01192806"/>
    <x v="3"/>
    <d v="2025-07-29T00:00:00"/>
    <s v="IA1692"/>
    <s v="Gunasekaran,Kishore"/>
    <n v="69.362748319220188"/>
    <d v="2025-07-29T00:00:00"/>
    <n v="2"/>
    <x v="3"/>
    <s v="Developer"/>
  </r>
  <r>
    <n v="67260"/>
    <x v="2"/>
    <s v="01199839"/>
    <x v="18"/>
    <d v="2025-12-18T00:00:00"/>
    <s v="IA1750"/>
    <s v="Sankarasubbu,RAMANATHAN"/>
    <n v="260.11030619707572"/>
    <d v="2025-12-18T00:00:00"/>
    <n v="7.5"/>
    <x v="8"/>
    <s v="Developer"/>
  </r>
  <r>
    <n v="67262"/>
    <x v="0"/>
    <s v="01192806"/>
    <x v="3"/>
    <d v="2025-07-29T00:00:00"/>
    <s v="IA1421"/>
    <s v="Jayapal,Muruganandham"/>
    <n v="208.08824495766055"/>
    <d v="2025-07-29T00:00:00"/>
    <n v="6"/>
    <x v="3"/>
    <s v="Engg Manager"/>
  </r>
  <r>
    <n v="67262"/>
    <x v="0"/>
    <s v="01192806"/>
    <x v="3"/>
    <d v="2025-07-29T00:00:00"/>
    <s v="IA1793"/>
    <s v="Subramanian,Ruthrakkanth"/>
    <n v="173.40687079805048"/>
    <d v="2025-07-29T00:00:00"/>
    <n v="5"/>
    <x v="3"/>
    <s v="Developer"/>
  </r>
  <r>
    <n v="67262"/>
    <x v="0"/>
    <s v="01192806"/>
    <x v="3"/>
    <d v="2025-07-29T00:00:00"/>
    <s v="IA1450"/>
    <s v="Selvam,Kadarkarai"/>
    <n v="138.72549663844038"/>
    <d v="2025-07-29T00:00:00"/>
    <n v="4"/>
    <x v="3"/>
    <s v="Lead Developer"/>
  </r>
  <r>
    <n v="67262"/>
    <x v="0"/>
    <s v="01192806"/>
    <x v="3"/>
    <d v="2025-07-28T00:00:00"/>
    <s v="IA1757"/>
    <s v="Thirunavukkarasu,Kishore"/>
    <n v="242.76961911727065"/>
    <d v="2025-07-28T00:00:00"/>
    <n v="7"/>
    <x v="3"/>
    <s v="Developer"/>
  </r>
  <r>
    <n v="67262"/>
    <x v="0"/>
    <s v="01192806"/>
    <x v="3"/>
    <d v="2025-07-28T00:00:00"/>
    <s v="IA1830"/>
    <s v="Raj,Gowtham"/>
    <n v="156.06618371824541"/>
    <d v="2025-07-28T00:00:00"/>
    <n v="4.5"/>
    <x v="3"/>
    <s v="Junior"/>
  </r>
  <r>
    <n v="67262"/>
    <x v="0"/>
    <s v="01192806"/>
    <x v="3"/>
    <d v="2025-07-29T00:00:00"/>
    <s v="IA1765"/>
    <s v="Kumar,Saravana"/>
    <n v="208.08824495766055"/>
    <d v="2025-07-29T00:00:00"/>
    <n v="6"/>
    <x v="3"/>
    <s v="Developer"/>
  </r>
  <r>
    <n v="67262"/>
    <x v="0"/>
    <s v="01192806"/>
    <x v="3"/>
    <d v="2025-07-29T00:00:00"/>
    <s v="IA1757"/>
    <s v="Thirunavukkarasu,Kishore"/>
    <n v="104.04412247883027"/>
    <d v="2025-07-29T00:00:00"/>
    <n v="3"/>
    <x v="3"/>
    <s v="Developer"/>
  </r>
  <r>
    <n v="67262"/>
    <x v="0"/>
    <s v="01192806"/>
    <x v="3"/>
    <d v="2025-07-29T00:00:00"/>
    <s v="IA1830"/>
    <s v="Raj,Gowtham"/>
    <n v="156.06618371824541"/>
    <d v="2025-07-29T00:00:00"/>
    <n v="4.5"/>
    <x v="3"/>
    <s v="Junior"/>
  </r>
  <r>
    <n v="67262"/>
    <x v="0"/>
    <s v="01192806"/>
    <x v="3"/>
    <d v="2025-07-30T00:00:00"/>
    <s v="IA1690"/>
    <s v="Duraisamy,Manikandaprabu"/>
    <n v="242.76961911727065"/>
    <d v="2025-07-30T00:00:00"/>
    <n v="7"/>
    <x v="3"/>
    <s v="Developer"/>
  </r>
  <r>
    <n v="67262"/>
    <x v="0"/>
    <s v="01192806"/>
    <x v="3"/>
    <d v="2025-07-30T00:00:00"/>
    <s v="IA1692"/>
    <s v="Gunasekaran,Kishore"/>
    <n v="69.362748319220188"/>
    <d v="2025-07-30T00:00:00"/>
    <n v="2"/>
    <x v="3"/>
    <s v="Developer"/>
  </r>
  <r>
    <n v="67262"/>
    <x v="0"/>
    <s v="01192806"/>
    <x v="3"/>
    <d v="2025-07-30T00:00:00"/>
    <s v="IA1421"/>
    <s v="Jayapal,Muruganandham"/>
    <n v="208.08824495766055"/>
    <d v="2025-07-30T00:00:00"/>
    <n v="6"/>
    <x v="3"/>
    <s v="Engg Manager"/>
  </r>
  <r>
    <n v="67262"/>
    <x v="0"/>
    <s v="01192806"/>
    <x v="3"/>
    <d v="2025-07-30T00:00:00"/>
    <s v="IA1793"/>
    <s v="Subramanian,Ruthrakkanth"/>
    <n v="173.40687079805048"/>
    <d v="2025-07-30T00:00:00"/>
    <n v="5"/>
    <x v="3"/>
    <s v="Developer"/>
  </r>
  <r>
    <n v="67262"/>
    <x v="0"/>
    <s v="01192806"/>
    <x v="3"/>
    <d v="2025-07-30T00:00:00"/>
    <s v="IA1450"/>
    <s v="Selvam,Kadarkarai"/>
    <n v="104.04412247883027"/>
    <d v="2025-07-30T00:00:00"/>
    <n v="3"/>
    <x v="3"/>
    <s v="Lead Developer"/>
  </r>
  <r>
    <n v="67262"/>
    <x v="0"/>
    <s v="01192806"/>
    <x v="3"/>
    <d v="2025-07-30T00:00:00"/>
    <s v="IA1765"/>
    <s v="Kumar,Saravana"/>
    <n v="208.08824495766055"/>
    <d v="2025-07-30T00:00:00"/>
    <n v="6"/>
    <x v="3"/>
    <s v="Developer"/>
  </r>
  <r>
    <n v="67262"/>
    <x v="0"/>
    <s v="01192806"/>
    <x v="3"/>
    <d v="2025-07-30T00:00:00"/>
    <s v="IA1830"/>
    <s v="Raj,Gowtham"/>
    <n v="156.06618371824541"/>
    <d v="2025-07-30T00:00:00"/>
    <n v="4.5"/>
    <x v="3"/>
    <s v="Junior"/>
  </r>
  <r>
    <n v="67262"/>
    <x v="0"/>
    <s v="01192806"/>
    <x v="3"/>
    <d v="2025-07-31T00:00:00"/>
    <s v="IA1690"/>
    <s v="Duraisamy,Manikandaprabu"/>
    <n v="208.08824495766055"/>
    <d v="2025-07-31T00:00:00"/>
    <n v="6"/>
    <x v="3"/>
    <s v="Developer"/>
  </r>
  <r>
    <n v="67262"/>
    <x v="0"/>
    <s v="01192806"/>
    <x v="3"/>
    <d v="2025-07-31T00:00:00"/>
    <s v="IA1692"/>
    <s v="Gunasekaran,Kishore"/>
    <n v="138.72549663844038"/>
    <d v="2025-07-31T00:00:00"/>
    <n v="4"/>
    <x v="3"/>
    <s v="Developer"/>
  </r>
  <r>
    <n v="67260"/>
    <x v="2"/>
    <s v="01199839"/>
    <x v="18"/>
    <d v="2025-12-22T00:00:00"/>
    <s v="IA1750"/>
    <s v="Sankarasubbu,RAMANATHAN"/>
    <n v="260.11030619707572"/>
    <d v="2025-12-22T00:00:00"/>
    <n v="7.5"/>
    <x v="8"/>
    <s v="Developer"/>
  </r>
  <r>
    <n v="67262"/>
    <x v="0"/>
    <s v="01192806"/>
    <x v="3"/>
    <d v="2025-07-31T00:00:00"/>
    <s v="IA1421"/>
    <s v="Jayapal,Muruganandham"/>
    <n v="208.08824495766055"/>
    <d v="2025-07-31T00:00:00"/>
    <n v="6"/>
    <x v="3"/>
    <s v="Engg Manager"/>
  </r>
  <r>
    <n v="67262"/>
    <x v="0"/>
    <s v="01192806"/>
    <x v="3"/>
    <d v="2025-07-31T00:00:00"/>
    <s v="IA1793"/>
    <s v="Subramanian,Ruthrakkanth"/>
    <n v="138.72549663844038"/>
    <d v="2025-07-31T00:00:00"/>
    <n v="4"/>
    <x v="3"/>
    <s v="Developer"/>
  </r>
  <r>
    <n v="67262"/>
    <x v="0"/>
    <s v="01192806"/>
    <x v="3"/>
    <d v="2025-07-31T00:00:00"/>
    <s v="IA1450"/>
    <s v="Selvam,Kadarkarai"/>
    <n v="104.04412247883027"/>
    <d v="2025-07-31T00:00:00"/>
    <n v="3"/>
    <x v="3"/>
    <s v="Lead Developer"/>
  </r>
  <r>
    <n v="67262"/>
    <x v="0"/>
    <s v="01192806"/>
    <x v="3"/>
    <d v="2025-07-31T00:00:00"/>
    <s v="IA1765"/>
    <s v="Kumar,Saravana"/>
    <n v="208.08824495766055"/>
    <d v="2025-07-31T00:00:00"/>
    <n v="6"/>
    <x v="3"/>
    <s v="Developer"/>
  </r>
  <r>
    <n v="67262"/>
    <x v="0"/>
    <s v="01192806"/>
    <x v="3"/>
    <d v="2025-07-31T00:00:00"/>
    <s v="IA1830"/>
    <s v="Raj,Gowtham"/>
    <n v="156.06618371824541"/>
    <d v="2025-07-31T00:00:00"/>
    <n v="4.5"/>
    <x v="3"/>
    <s v="Junior"/>
  </r>
  <r>
    <n v="67262"/>
    <x v="0"/>
    <s v="01192806"/>
    <x v="3"/>
    <d v="2025-08-01T00:00:00"/>
    <s v="IA1690"/>
    <s v="Duraisamy,Manikandaprabu"/>
    <n v="173.40687079805048"/>
    <d v="2025-08-01T00:00:00"/>
    <n v="5"/>
    <x v="4"/>
    <s v="Developer"/>
  </r>
  <r>
    <n v="67262"/>
    <x v="0"/>
    <s v="01192806"/>
    <x v="3"/>
    <d v="2025-08-01T00:00:00"/>
    <s v="IA1692"/>
    <s v="Gunasekaran,Kishore"/>
    <n v="138.72549663844038"/>
    <d v="2025-08-01T00:00:00"/>
    <n v="4"/>
    <x v="4"/>
    <s v="Developer"/>
  </r>
  <r>
    <n v="67262"/>
    <x v="0"/>
    <s v="01192806"/>
    <x v="3"/>
    <d v="2025-08-01T00:00:00"/>
    <s v="IA1421"/>
    <s v="Jayapal,Muruganandham"/>
    <n v="208.08824495766055"/>
    <d v="2025-08-01T00:00:00"/>
    <n v="6"/>
    <x v="4"/>
    <s v="Engg Manager"/>
  </r>
  <r>
    <n v="67262"/>
    <x v="0"/>
    <s v="01192806"/>
    <x v="3"/>
    <d v="2025-08-01T00:00:00"/>
    <s v="IA1793"/>
    <s v="Subramanian,Ruthrakkanth"/>
    <n v="138.72549663844038"/>
    <d v="2025-08-01T00:00:00"/>
    <n v="4"/>
    <x v="4"/>
    <s v="Developer"/>
  </r>
  <r>
    <n v="67262"/>
    <x v="0"/>
    <s v="01192806"/>
    <x v="3"/>
    <d v="2025-08-01T00:00:00"/>
    <s v="IA1450"/>
    <s v="Selvam,Kadarkarai"/>
    <n v="69.362748319220188"/>
    <d v="2025-08-01T00:00:00"/>
    <n v="2"/>
    <x v="4"/>
    <s v="Lead Developer"/>
  </r>
  <r>
    <n v="67262"/>
    <x v="0"/>
    <s v="01192806"/>
    <x v="3"/>
    <d v="2025-08-01T00:00:00"/>
    <s v="IA1765"/>
    <s v="Kumar,Saravana"/>
    <n v="208.08824495766055"/>
    <d v="2025-08-01T00:00:00"/>
    <n v="6"/>
    <x v="4"/>
    <s v="Developer"/>
  </r>
  <r>
    <n v="67262"/>
    <x v="0"/>
    <s v="01192806"/>
    <x v="3"/>
    <d v="2025-08-04T00:00:00"/>
    <s v="IA1765"/>
    <s v="Kumar,Saravana"/>
    <n v="242.76961911727065"/>
    <d v="2025-08-04T00:00:00"/>
    <n v="7"/>
    <x v="4"/>
    <s v="Developer"/>
  </r>
  <r>
    <n v="67262"/>
    <x v="0"/>
    <s v="01192806"/>
    <x v="3"/>
    <d v="2025-08-04T00:00:00"/>
    <s v="IA1793"/>
    <s v="Subramanian,Ruthrakkanth"/>
    <n v="138.72549663844038"/>
    <d v="2025-08-04T00:00:00"/>
    <n v="4"/>
    <x v="4"/>
    <s v="Developer"/>
  </r>
  <r>
    <n v="67262"/>
    <x v="0"/>
    <s v="01192806"/>
    <x v="3"/>
    <d v="2025-08-04T00:00:00"/>
    <s v="IA1757"/>
    <s v="Thirunavukkarasu,Kishore"/>
    <n v="208.08824495766055"/>
    <d v="2025-08-04T00:00:00"/>
    <n v="6"/>
    <x v="4"/>
    <s v="Developer"/>
  </r>
  <r>
    <n v="67260"/>
    <x v="2"/>
    <s v="01199839"/>
    <x v="18"/>
    <d v="2025-12-23T00:00:00"/>
    <s v="IA1750"/>
    <s v="Sankarasubbu,RAMANATHAN"/>
    <n v="260.11030619707572"/>
    <d v="2025-12-23T00:00:00"/>
    <n v="7.5"/>
    <x v="8"/>
    <s v="Developer"/>
  </r>
  <r>
    <n v="67262"/>
    <x v="0"/>
    <s v="01192806"/>
    <x v="3"/>
    <d v="2025-08-05T00:00:00"/>
    <s v="IA1765"/>
    <s v="Kumar,Saravana"/>
    <n v="242.76961911727065"/>
    <d v="2025-08-05T00:00:00"/>
    <n v="7"/>
    <x v="4"/>
    <s v="Developer"/>
  </r>
  <r>
    <n v="67262"/>
    <x v="0"/>
    <s v="01192806"/>
    <x v="3"/>
    <d v="2025-08-05T00:00:00"/>
    <s v="IA1430"/>
    <s v="Subburajan,Jawahar"/>
    <n v="208.08824495766055"/>
    <d v="2025-08-05T00:00:00"/>
    <n v="6"/>
    <x v="4"/>
    <s v="Lead Developer"/>
  </r>
  <r>
    <n v="67262"/>
    <x v="0"/>
    <s v="01192806"/>
    <x v="3"/>
    <d v="2025-08-05T00:00:00"/>
    <s v="IA1793"/>
    <s v="Subramanian,Ruthrakkanth"/>
    <n v="104.04412247883027"/>
    <d v="2025-08-05T00:00:00"/>
    <n v="3"/>
    <x v="4"/>
    <s v="Developer"/>
  </r>
  <r>
    <n v="67262"/>
    <x v="0"/>
    <s v="01192806"/>
    <x v="3"/>
    <d v="2025-08-05T00:00:00"/>
    <s v="IA1830"/>
    <s v="Raj,Gowtham"/>
    <n v="190.74755787785551"/>
    <d v="2025-08-05T00:00:00"/>
    <n v="5.5"/>
    <x v="4"/>
    <s v="Junior"/>
  </r>
  <r>
    <n v="67262"/>
    <x v="0"/>
    <s v="01192806"/>
    <x v="3"/>
    <d v="2025-08-04T00:00:00"/>
    <s v="IA1690"/>
    <s v="Duraisamy,Manikandaprabu"/>
    <n v="242.76961911727065"/>
    <d v="2025-08-04T00:00:00"/>
    <n v="7"/>
    <x v="4"/>
    <s v="Developer"/>
  </r>
  <r>
    <n v="67262"/>
    <x v="0"/>
    <s v="01192806"/>
    <x v="3"/>
    <d v="2025-08-04T00:00:00"/>
    <s v="IA1450"/>
    <s v="Selvam,Kadarkarai"/>
    <n v="104.04412247883027"/>
    <d v="2025-08-04T00:00:00"/>
    <n v="3"/>
    <x v="4"/>
    <s v="Lead Developer"/>
  </r>
  <r>
    <n v="67262"/>
    <x v="0"/>
    <s v="01192806"/>
    <x v="3"/>
    <d v="2025-08-05T00:00:00"/>
    <s v="IA1757"/>
    <s v="Thirunavukkarasu,Kishore"/>
    <n v="208.08824495766055"/>
    <d v="2025-08-05T00:00:00"/>
    <n v="6"/>
    <x v="4"/>
    <s v="Developer"/>
  </r>
  <r>
    <n v="67262"/>
    <x v="0"/>
    <s v="01192806"/>
    <x v="3"/>
    <d v="2025-08-06T00:00:00"/>
    <s v="IA1765"/>
    <s v="Kumar,Saravana"/>
    <n v="242.76961911727065"/>
    <d v="2025-08-06T00:00:00"/>
    <n v="7"/>
    <x v="4"/>
    <s v="Developer"/>
  </r>
  <r>
    <n v="67262"/>
    <x v="0"/>
    <s v="01192806"/>
    <x v="3"/>
    <d v="2025-08-06T00:00:00"/>
    <s v="IA1430"/>
    <s v="Subburajan,Jawahar"/>
    <n v="208.08824495766055"/>
    <d v="2025-08-06T00:00:00"/>
    <n v="6"/>
    <x v="4"/>
    <s v="Lead Developer"/>
  </r>
  <r>
    <n v="67262"/>
    <x v="0"/>
    <s v="01192806"/>
    <x v="3"/>
    <d v="2025-08-06T00:00:00"/>
    <s v="IA1793"/>
    <s v="Subramanian,Ruthrakkanth"/>
    <n v="138.72549663844038"/>
    <d v="2025-08-06T00:00:00"/>
    <n v="4"/>
    <x v="4"/>
    <s v="Developer"/>
  </r>
  <r>
    <n v="67262"/>
    <x v="0"/>
    <s v="01192806"/>
    <x v="3"/>
    <d v="2025-08-06T00:00:00"/>
    <s v="IA1830"/>
    <s v="Raj,Gowtham"/>
    <n v="190.74755787785551"/>
    <d v="2025-08-06T00:00:00"/>
    <n v="5.5"/>
    <x v="4"/>
    <s v="Junior"/>
  </r>
  <r>
    <n v="67260"/>
    <x v="2"/>
    <s v="01199839"/>
    <x v="18"/>
    <d v="2026-01-05T00:00:00"/>
    <s v="IA1750"/>
    <s v="Sankarasubbu,RAMANATHAN"/>
    <n v="260.11030619707572"/>
    <d v="2026-01-05T00:00:00"/>
    <n v="7.5"/>
    <x v="9"/>
    <s v="Developer"/>
  </r>
  <r>
    <n v="67262"/>
    <x v="0"/>
    <s v="01192806"/>
    <x v="3"/>
    <d v="2025-08-06T00:00:00"/>
    <s v="IA1690"/>
    <s v="Duraisamy,Manikandaprabu"/>
    <n v="242.76961911727065"/>
    <d v="2025-08-06T00:00:00"/>
    <n v="7"/>
    <x v="4"/>
    <s v="Developer"/>
  </r>
  <r>
    <n v="67262"/>
    <x v="0"/>
    <s v="01192806"/>
    <x v="3"/>
    <d v="2025-08-07T00:00:00"/>
    <s v="IA1765"/>
    <s v="Kumar,Saravana"/>
    <n v="208.08824495766055"/>
    <d v="2025-08-07T00:00:00"/>
    <n v="6"/>
    <x v="4"/>
    <s v="Developer"/>
  </r>
  <r>
    <n v="67262"/>
    <x v="0"/>
    <s v="01192806"/>
    <x v="3"/>
    <d v="2025-08-07T00:00:00"/>
    <s v="IA1430"/>
    <s v="Subburajan,Jawahar"/>
    <n v="208.08824495766055"/>
    <d v="2025-08-07T00:00:00"/>
    <n v="6"/>
    <x v="4"/>
    <s v="Lead Developer"/>
  </r>
  <r>
    <n v="67262"/>
    <x v="0"/>
    <s v="01192806"/>
    <x v="3"/>
    <d v="2025-08-07T00:00:00"/>
    <s v="IA1793"/>
    <s v="Subramanian,Ruthrakkanth"/>
    <n v="138.72549663844038"/>
    <d v="2025-08-07T00:00:00"/>
    <n v="4"/>
    <x v="4"/>
    <s v="Developer"/>
  </r>
  <r>
    <n v="67262"/>
    <x v="0"/>
    <s v="01192806"/>
    <x v="3"/>
    <d v="2025-08-07T00:00:00"/>
    <s v="IA1830"/>
    <s v="Raj,Gowtham"/>
    <n v="242.76961911727065"/>
    <d v="2025-08-07T00:00:00"/>
    <n v="7"/>
    <x v="4"/>
    <s v="Junior"/>
  </r>
  <r>
    <n v="67262"/>
    <x v="0"/>
    <s v="01192806"/>
    <x v="3"/>
    <d v="2025-08-07T00:00:00"/>
    <s v="IA1690"/>
    <s v="Duraisamy,Manikandaprabu"/>
    <n v="173.40687079805048"/>
    <d v="2025-08-07T00:00:00"/>
    <n v="5"/>
    <x v="4"/>
    <s v="Developer"/>
  </r>
  <r>
    <n v="67262"/>
    <x v="0"/>
    <s v="01192806"/>
    <x v="3"/>
    <d v="2025-08-07T00:00:00"/>
    <s v="IA1450"/>
    <s v="Selvam,Kadarkarai"/>
    <n v="104.04412247883027"/>
    <d v="2025-08-07T00:00:00"/>
    <n v="3"/>
    <x v="4"/>
    <s v="Lead Developer"/>
  </r>
  <r>
    <n v="67262"/>
    <x v="0"/>
    <s v="01192806"/>
    <x v="3"/>
    <d v="2025-08-08T00:00:00"/>
    <s v="IA1765"/>
    <s v="Kumar,Saravana"/>
    <n v="208.08824495766055"/>
    <d v="2025-08-08T00:00:00"/>
    <n v="6"/>
    <x v="4"/>
    <s v="Developer"/>
  </r>
  <r>
    <n v="67262"/>
    <x v="0"/>
    <s v="01192806"/>
    <x v="3"/>
    <d v="2025-08-08T00:00:00"/>
    <s v="IA1430"/>
    <s v="Subburajan,Jawahar"/>
    <n v="208.08824495766055"/>
    <d v="2025-08-08T00:00:00"/>
    <n v="6"/>
    <x v="4"/>
    <s v="Lead Developer"/>
  </r>
  <r>
    <n v="67262"/>
    <x v="0"/>
    <s v="01192806"/>
    <x v="3"/>
    <d v="2025-08-08T00:00:00"/>
    <s v="IA1793"/>
    <s v="Subramanian,Ruthrakkanth"/>
    <n v="138.72549663844038"/>
    <d v="2025-08-08T00:00:00"/>
    <n v="4"/>
    <x v="4"/>
    <s v="Developer"/>
  </r>
  <r>
    <n v="67260"/>
    <x v="2"/>
    <s v="01199839"/>
    <x v="18"/>
    <d v="2026-01-06T00:00:00"/>
    <s v="IA1750"/>
    <s v="Sankarasubbu,RAMANATHAN"/>
    <n v="260.11030619707572"/>
    <d v="2026-01-06T00:00:00"/>
    <n v="7.5"/>
    <x v="9"/>
    <s v="Developer"/>
  </r>
  <r>
    <n v="67262"/>
    <x v="0"/>
    <s v="01192806"/>
    <x v="3"/>
    <d v="2025-08-08T00:00:00"/>
    <s v="IA1757"/>
    <s v="Thirunavukkarasu,Kishore"/>
    <n v="173.40687079805048"/>
    <d v="2025-08-08T00:00:00"/>
    <n v="5"/>
    <x v="4"/>
    <s v="Developer"/>
  </r>
  <r>
    <n v="67262"/>
    <x v="0"/>
    <s v="01192806"/>
    <x v="3"/>
    <d v="2025-08-08T00:00:00"/>
    <s v="IA1830"/>
    <s v="Raj,Gowtham"/>
    <n v="242.76961911727065"/>
    <d v="2025-08-08T00:00:00"/>
    <n v="7"/>
    <x v="4"/>
    <s v="Junior"/>
  </r>
  <r>
    <n v="67262"/>
    <x v="0"/>
    <s v="01192806"/>
    <x v="3"/>
    <d v="2025-08-08T00:00:00"/>
    <s v="IA1690"/>
    <s v="Duraisamy,Manikandaprabu"/>
    <n v="242.76961911727065"/>
    <d v="2025-08-08T00:00:00"/>
    <n v="7"/>
    <x v="4"/>
    <s v="Developer"/>
  </r>
  <r>
    <n v="67262"/>
    <x v="0"/>
    <s v="01192806"/>
    <x v="3"/>
    <d v="2025-08-08T00:00:00"/>
    <s v="IA1450"/>
    <s v="Selvam,Kadarkarai"/>
    <n v="104.04412247883027"/>
    <d v="2025-08-08T00:00:00"/>
    <n v="3"/>
    <x v="4"/>
    <s v="Lead Developer"/>
  </r>
  <r>
    <n v="67262"/>
    <x v="0"/>
    <s v="01192806"/>
    <x v="3"/>
    <d v="2025-08-11T00:00:00"/>
    <s v="IA1757"/>
    <s v="Thirunavukkarasu,Kishore"/>
    <n v="242.76961911727065"/>
    <d v="2025-08-11T00:00:00"/>
    <n v="7"/>
    <x v="4"/>
    <s v="Developer"/>
  </r>
  <r>
    <n v="67262"/>
    <x v="0"/>
    <s v="01192806"/>
    <x v="3"/>
    <d v="2025-08-11T00:00:00"/>
    <s v="IA1793"/>
    <s v="Subramanian,Ruthrakkanth"/>
    <n v="208.08824495766055"/>
    <d v="2025-08-11T00:00:00"/>
    <n v="6"/>
    <x v="4"/>
    <s v="Developer"/>
  </r>
  <r>
    <n v="67262"/>
    <x v="0"/>
    <s v="01192806"/>
    <x v="3"/>
    <d v="2025-08-11T00:00:00"/>
    <s v="IA1421"/>
    <s v="Jayapal,Muruganandham"/>
    <n v="208.08824495766055"/>
    <d v="2025-08-11T00:00:00"/>
    <n v="6"/>
    <x v="4"/>
    <s v="Engg Manager"/>
  </r>
  <r>
    <n v="67262"/>
    <x v="0"/>
    <s v="01192806"/>
    <x v="3"/>
    <d v="2025-08-11T00:00:00"/>
    <s v="IA1690"/>
    <s v="Duraisamy,Manikandaprabu"/>
    <n v="173.40687079805048"/>
    <d v="2025-08-11T00:00:00"/>
    <n v="5"/>
    <x v="4"/>
    <s v="Developer"/>
  </r>
  <r>
    <n v="67262"/>
    <x v="0"/>
    <s v="01192806"/>
    <x v="3"/>
    <d v="2025-08-11T00:00:00"/>
    <s v="IA1765"/>
    <s v="Kumar,Saravana"/>
    <n v="208.08824495766055"/>
    <d v="2025-08-11T00:00:00"/>
    <n v="6"/>
    <x v="4"/>
    <s v="Developer"/>
  </r>
  <r>
    <n v="67262"/>
    <x v="0"/>
    <s v="01192806"/>
    <x v="3"/>
    <d v="2025-08-11T00:00:00"/>
    <s v="IA1430"/>
    <s v="Subburajan,Jawahar"/>
    <n v="208.08824495766055"/>
    <d v="2025-08-11T00:00:00"/>
    <n v="6"/>
    <x v="4"/>
    <s v="Lead Developer"/>
  </r>
  <r>
    <n v="67262"/>
    <x v="0"/>
    <s v="01192806"/>
    <x v="3"/>
    <d v="2025-08-11T00:00:00"/>
    <s v="IA1830"/>
    <s v="Raj,Gowtham"/>
    <n v="208.08824495766055"/>
    <d v="2025-08-11T00:00:00"/>
    <n v="6"/>
    <x v="4"/>
    <s v="Junior"/>
  </r>
  <r>
    <n v="67262"/>
    <x v="0"/>
    <s v="01192806"/>
    <x v="3"/>
    <d v="2025-08-12T00:00:00"/>
    <s v="IA1421"/>
    <s v="Jayapal,Muruganandham"/>
    <n v="208.08824495766055"/>
    <d v="2025-08-12T00:00:00"/>
    <n v="6"/>
    <x v="4"/>
    <s v="Engg Manager"/>
  </r>
  <r>
    <n v="67260"/>
    <x v="2"/>
    <s v="01199839"/>
    <x v="18"/>
    <d v="2026-01-07T00:00:00"/>
    <s v="IA1750"/>
    <s v="Sankarasubbu,RAMANATHAN"/>
    <n v="260.11030619707572"/>
    <d v="2026-01-07T00:00:00"/>
    <n v="7.5"/>
    <x v="9"/>
    <s v="Developer"/>
  </r>
  <r>
    <n v="67262"/>
    <x v="0"/>
    <s v="01192806"/>
    <x v="3"/>
    <d v="2025-08-12T00:00:00"/>
    <s v="IA1690"/>
    <s v="Duraisamy,Manikandaprabu"/>
    <n v="242.76961911727065"/>
    <d v="2025-08-12T00:00:00"/>
    <n v="7"/>
    <x v="4"/>
    <s v="Developer"/>
  </r>
  <r>
    <n v="67262"/>
    <x v="0"/>
    <s v="01192806"/>
    <x v="3"/>
    <d v="2025-08-12T00:00:00"/>
    <s v="IA1765"/>
    <s v="Kumar,Saravana"/>
    <n v="208.08824495766055"/>
    <d v="2025-08-12T00:00:00"/>
    <n v="6"/>
    <x v="4"/>
    <s v="Developer"/>
  </r>
  <r>
    <n v="67262"/>
    <x v="0"/>
    <s v="01192806"/>
    <x v="3"/>
    <d v="2025-08-12T00:00:00"/>
    <s v="IA1430"/>
    <s v="Subburajan,Jawahar"/>
    <n v="208.08824495766055"/>
    <d v="2025-08-12T00:00:00"/>
    <n v="6"/>
    <x v="4"/>
    <s v="Lead Developer"/>
  </r>
  <r>
    <n v="67262"/>
    <x v="0"/>
    <s v="01192806"/>
    <x v="3"/>
    <d v="2025-08-12T00:00:00"/>
    <s v="IA1830"/>
    <s v="Raj,Gowtham"/>
    <n v="208.08824495766055"/>
    <d v="2025-08-12T00:00:00"/>
    <n v="6"/>
    <x v="4"/>
    <s v="Junior"/>
  </r>
  <r>
    <n v="67262"/>
    <x v="0"/>
    <s v="01192806"/>
    <x v="3"/>
    <d v="2025-08-13T00:00:00"/>
    <s v="IA1421"/>
    <s v="Jayapal,Muruganandham"/>
    <n v="208.08824495766055"/>
    <d v="2025-08-13T00:00:00"/>
    <n v="6"/>
    <x v="4"/>
    <s v="Engg Manager"/>
  </r>
  <r>
    <n v="67262"/>
    <x v="0"/>
    <s v="01192806"/>
    <x v="3"/>
    <d v="2025-08-13T00:00:00"/>
    <s v="IA1765"/>
    <s v="Kumar,Saravana"/>
    <n v="208.08824495766055"/>
    <d v="2025-08-13T00:00:00"/>
    <n v="6"/>
    <x v="4"/>
    <s v="Developer"/>
  </r>
  <r>
    <n v="67262"/>
    <x v="0"/>
    <s v="01192806"/>
    <x v="3"/>
    <d v="2025-08-13T00:00:00"/>
    <s v="IA1830"/>
    <s v="Raj,Gowtham"/>
    <n v="208.08824495766055"/>
    <d v="2025-08-13T00:00:00"/>
    <n v="6"/>
    <x v="4"/>
    <s v="Junior"/>
  </r>
  <r>
    <n v="67262"/>
    <x v="0"/>
    <s v="01192806"/>
    <x v="3"/>
    <d v="2025-08-14T00:00:00"/>
    <s v="IA1450"/>
    <s v="Selvam,Kadarkarai"/>
    <n v="138.72549663844038"/>
    <d v="2025-08-14T00:00:00"/>
    <n v="4"/>
    <x v="4"/>
    <s v="Lead Developer"/>
  </r>
  <r>
    <n v="67262"/>
    <x v="0"/>
    <s v="01192806"/>
    <x v="3"/>
    <d v="2025-08-14T00:00:00"/>
    <s v="IA1421"/>
    <s v="Jayapal,Muruganandham"/>
    <n v="208.08824495766055"/>
    <d v="2025-08-14T00:00:00"/>
    <n v="6"/>
    <x v="4"/>
    <s v="Engg Manager"/>
  </r>
  <r>
    <n v="67260"/>
    <x v="2"/>
    <s v="01199839"/>
    <x v="18"/>
    <d v="2026-01-08T00:00:00"/>
    <s v="IA1750"/>
    <s v="Sankarasubbu,RAMANATHAN"/>
    <n v="260.11030619707572"/>
    <d v="2026-01-08T00:00:00"/>
    <n v="7.5"/>
    <x v="9"/>
    <s v="Developer"/>
  </r>
  <r>
    <n v="67262"/>
    <x v="0"/>
    <s v="01192806"/>
    <x v="3"/>
    <d v="2025-08-14T00:00:00"/>
    <s v="IA1765"/>
    <s v="Kumar,Saravana"/>
    <n v="208.08824495766055"/>
    <d v="2025-08-14T00:00:00"/>
    <n v="6"/>
    <x v="4"/>
    <s v="Developer"/>
  </r>
  <r>
    <n v="67262"/>
    <x v="0"/>
    <s v="01192806"/>
    <x v="3"/>
    <d v="2025-08-14T00:00:00"/>
    <s v="IA1830"/>
    <s v="Raj,Gowtham"/>
    <n v="208.08824495766055"/>
    <d v="2025-08-14T00:00:00"/>
    <n v="6"/>
    <x v="4"/>
    <s v="Junior"/>
  </r>
  <r>
    <n v="67262"/>
    <x v="0"/>
    <s v="01192806"/>
    <x v="3"/>
    <d v="2025-08-15T00:00:00"/>
    <s v="IA1430"/>
    <s v="Subburajan,Jawahar"/>
    <n v="208.08824495766055"/>
    <d v="2025-08-15T00:00:00"/>
    <n v="6"/>
    <x v="4"/>
    <s v="Lead Developer"/>
  </r>
  <r>
    <n v="67262"/>
    <x v="0"/>
    <s v="01192806"/>
    <x v="3"/>
    <d v="2025-08-15T00:00:00"/>
    <s v="IA1430"/>
    <s v="Subburajan,Jawahar"/>
    <n v="-208.08824495766055"/>
    <d v="2025-08-15T00:00:00"/>
    <n v="-6"/>
    <x v="4"/>
    <s v="Lead Developer"/>
  </r>
  <r>
    <n v="67262"/>
    <x v="0"/>
    <s v="01192806"/>
    <x v="3"/>
    <d v="2025-08-13T00:00:00"/>
    <s v="IA1430"/>
    <s v="Subburajan,Jawahar"/>
    <n v="208.08824495766055"/>
    <d v="2025-08-13T00:00:00"/>
    <n v="6"/>
    <x v="4"/>
    <s v="Lead Developer"/>
  </r>
  <r>
    <n v="67262"/>
    <x v="0"/>
    <s v="01192806"/>
    <x v="3"/>
    <d v="2025-08-14T00:00:00"/>
    <s v="IA1430"/>
    <s v="Subburajan,Jawahar"/>
    <n v="208.08824495766055"/>
    <d v="2025-08-14T00:00:00"/>
    <n v="6"/>
    <x v="4"/>
    <s v="Lead Developer"/>
  </r>
  <r>
    <n v="67262"/>
    <x v="0"/>
    <s v="01192806"/>
    <x v="3"/>
    <d v="2025-08-18T00:00:00"/>
    <s v="IA1765"/>
    <s v="Kumar,Saravana"/>
    <n v="208.08824495766055"/>
    <d v="2025-08-18T00:00:00"/>
    <n v="6"/>
    <x v="4"/>
    <s v="Developer"/>
  </r>
  <r>
    <n v="67262"/>
    <x v="0"/>
    <s v="01192806"/>
    <x v="3"/>
    <d v="2025-08-18T00:00:00"/>
    <s v="IA1830"/>
    <s v="Raj,Gowtham"/>
    <n v="173.40687079805048"/>
    <d v="2025-08-18T00:00:00"/>
    <n v="5"/>
    <x v="4"/>
    <s v="Junior"/>
  </r>
  <r>
    <n v="67262"/>
    <x v="0"/>
    <s v="01192806"/>
    <x v="3"/>
    <d v="2025-08-18T00:00:00"/>
    <s v="IA1450"/>
    <s v="Selvam,Kadarkarai"/>
    <n v="138.72549663844038"/>
    <d v="2025-08-18T00:00:00"/>
    <n v="4"/>
    <x v="4"/>
    <s v="Lead Developer"/>
  </r>
  <r>
    <n v="67262"/>
    <x v="0"/>
    <s v="01192806"/>
    <x v="3"/>
    <d v="2025-08-18T00:00:00"/>
    <s v="IA1430"/>
    <s v="Subburajan,Jawahar"/>
    <n v="208.08824495766055"/>
    <d v="2025-08-18T00:00:00"/>
    <n v="6"/>
    <x v="4"/>
    <s v="Lead Developer"/>
  </r>
  <r>
    <n v="67262"/>
    <x v="0"/>
    <s v="01192806"/>
    <x v="3"/>
    <d v="2025-08-18T00:00:00"/>
    <s v="IA1793"/>
    <s v="Subramanian,Ruthrakkanth"/>
    <n v="208.08824495766055"/>
    <d v="2025-08-18T00:00:00"/>
    <n v="6"/>
    <x v="4"/>
    <s v="Developer"/>
  </r>
  <r>
    <n v="67260"/>
    <x v="2"/>
    <s v="01199839"/>
    <x v="18"/>
    <d v="2026-01-09T00:00:00"/>
    <s v="IA1750"/>
    <s v="Sankarasubbu,RAMANATHAN"/>
    <n v="260.11030619707572"/>
    <d v="2026-01-09T00:00:00"/>
    <n v="7.5"/>
    <x v="9"/>
    <s v="Developer"/>
  </r>
  <r>
    <n v="67262"/>
    <x v="0"/>
    <s v="01192806"/>
    <x v="3"/>
    <d v="2025-08-19T00:00:00"/>
    <s v="IA1765"/>
    <s v="Kumar,Saravana"/>
    <n v="208.08824495766055"/>
    <d v="2025-08-19T00:00:00"/>
    <n v="6"/>
    <x v="4"/>
    <s v="Developer"/>
  </r>
  <r>
    <n v="67262"/>
    <x v="0"/>
    <s v="01192806"/>
    <x v="3"/>
    <d v="2025-08-19T00:00:00"/>
    <s v="IA1830"/>
    <s v="Raj,Gowtham"/>
    <n v="173.40687079805048"/>
    <d v="2025-08-19T00:00:00"/>
    <n v="5"/>
    <x v="4"/>
    <s v="Junior"/>
  </r>
  <r>
    <n v="67262"/>
    <x v="0"/>
    <s v="01192806"/>
    <x v="3"/>
    <d v="2025-08-19T00:00:00"/>
    <s v="IA1450"/>
    <s v="Selvam,Kadarkarai"/>
    <n v="208.08824495766055"/>
    <d v="2025-08-19T00:00:00"/>
    <n v="6"/>
    <x v="4"/>
    <s v="Lead Developer"/>
  </r>
  <r>
    <n v="67262"/>
    <x v="0"/>
    <s v="01192806"/>
    <x v="3"/>
    <d v="2025-08-19T00:00:00"/>
    <s v="IA1690"/>
    <s v="Duraisamy,Manikandaprabu"/>
    <n v="208.08824495766055"/>
    <d v="2025-08-19T00:00:00"/>
    <n v="6"/>
    <x v="4"/>
    <s v="Developer"/>
  </r>
  <r>
    <n v="67262"/>
    <x v="0"/>
    <s v="01192806"/>
    <x v="3"/>
    <d v="2025-08-19T00:00:00"/>
    <s v="IA1430"/>
    <s v="Subburajan,Jawahar"/>
    <n v="208.08824495766055"/>
    <d v="2025-08-19T00:00:00"/>
    <n v="6"/>
    <x v="4"/>
    <s v="Lead Developer"/>
  </r>
  <r>
    <n v="67262"/>
    <x v="0"/>
    <s v="01192806"/>
    <x v="3"/>
    <d v="2025-08-19T00:00:00"/>
    <s v="IA1793"/>
    <s v="Subramanian,Ruthrakkanth"/>
    <n v="208.08824495766055"/>
    <d v="2025-08-19T00:00:00"/>
    <n v="6"/>
    <x v="4"/>
    <s v="Developer"/>
  </r>
  <r>
    <n v="67262"/>
    <x v="0"/>
    <s v="01192806"/>
    <x v="3"/>
    <d v="2025-08-20T00:00:00"/>
    <s v="IA1765"/>
    <s v="Kumar,Saravana"/>
    <n v="138.72549663844038"/>
    <d v="2025-08-20T00:00:00"/>
    <n v="4"/>
    <x v="4"/>
    <s v="Developer"/>
  </r>
  <r>
    <n v="67262"/>
    <x v="0"/>
    <s v="01192806"/>
    <x v="3"/>
    <d v="2025-08-20T00:00:00"/>
    <s v="IA1830"/>
    <s v="Raj,Gowtham"/>
    <n v="173.40687079805048"/>
    <d v="2025-08-20T00:00:00"/>
    <n v="5"/>
    <x v="4"/>
    <s v="Junior"/>
  </r>
  <r>
    <n v="67262"/>
    <x v="0"/>
    <s v="01192806"/>
    <x v="3"/>
    <d v="2025-08-20T00:00:00"/>
    <s v="IA1450"/>
    <s v="Selvam,Kadarkarai"/>
    <n v="104.04412247883027"/>
    <d v="2025-08-20T00:00:00"/>
    <n v="3"/>
    <x v="4"/>
    <s v="Lead Developer"/>
  </r>
  <r>
    <n v="67262"/>
    <x v="0"/>
    <s v="01192806"/>
    <x v="3"/>
    <d v="2025-08-20T00:00:00"/>
    <s v="IA1430"/>
    <s v="Subburajan,Jawahar"/>
    <n v="208.08824495766055"/>
    <d v="2025-08-20T00:00:00"/>
    <n v="6"/>
    <x v="4"/>
    <s v="Lead Developer"/>
  </r>
  <r>
    <n v="67260"/>
    <x v="2"/>
    <s v="01199839"/>
    <x v="18"/>
    <d v="2026-01-12T00:00:00"/>
    <s v="IA1750"/>
    <s v="Sankarasubbu,RAMANATHAN"/>
    <n v="260.11030619707572"/>
    <d v="2026-01-12T00:00:00"/>
    <n v="7.5"/>
    <x v="9"/>
    <s v="Developer"/>
  </r>
  <r>
    <n v="67262"/>
    <x v="0"/>
    <s v="01192806"/>
    <x v="3"/>
    <d v="2025-08-21T00:00:00"/>
    <s v="IA1830"/>
    <s v="Raj,Gowtham"/>
    <n v="173.40687079805048"/>
    <d v="2025-08-21T00:00:00"/>
    <n v="5"/>
    <x v="4"/>
    <s v="Junior"/>
  </r>
  <r>
    <n v="67262"/>
    <x v="0"/>
    <s v="01192806"/>
    <x v="3"/>
    <d v="2025-08-21T00:00:00"/>
    <s v="IA1450"/>
    <s v="Selvam,Kadarkarai"/>
    <n v="138.72549663844038"/>
    <d v="2025-08-21T00:00:00"/>
    <n v="4"/>
    <x v="4"/>
    <s v="Lead Developer"/>
  </r>
  <r>
    <n v="67262"/>
    <x v="0"/>
    <s v="01192806"/>
    <x v="3"/>
    <d v="2025-08-21T00:00:00"/>
    <s v="IA1430"/>
    <s v="Subburajan,Jawahar"/>
    <n v="208.08824495766055"/>
    <d v="2025-08-21T00:00:00"/>
    <n v="6"/>
    <x v="4"/>
    <s v="Lead Developer"/>
  </r>
  <r>
    <n v="67262"/>
    <x v="0"/>
    <s v="01192806"/>
    <x v="3"/>
    <d v="2025-08-22T00:00:00"/>
    <s v="IA1830"/>
    <s v="Raj,Gowtham"/>
    <n v="173.40687079805048"/>
    <d v="2025-08-22T00:00:00"/>
    <n v="5"/>
    <x v="4"/>
    <s v="Junior"/>
  </r>
  <r>
    <n v="67262"/>
    <x v="0"/>
    <s v="01192806"/>
    <x v="3"/>
    <d v="2025-08-22T00:00:00"/>
    <s v="IA1450"/>
    <s v="Selvam,Kadarkarai"/>
    <n v="138.72549663844038"/>
    <d v="2025-08-22T00:00:00"/>
    <n v="4"/>
    <x v="4"/>
    <s v="Lead Developer"/>
  </r>
  <r>
    <n v="67262"/>
    <x v="0"/>
    <s v="01192806"/>
    <x v="3"/>
    <d v="2025-08-22T00:00:00"/>
    <s v="IA1430"/>
    <s v="Subburajan,Jawahar"/>
    <n v="208.08824495766055"/>
    <d v="2025-08-22T00:00:00"/>
    <n v="6"/>
    <x v="4"/>
    <s v="Lead Developer"/>
  </r>
  <r>
    <n v="67262"/>
    <x v="0"/>
    <s v="01192806"/>
    <x v="3"/>
    <d v="2025-08-25T00:00:00"/>
    <s v="IA1765"/>
    <s v="Kumar,Saravana"/>
    <n v="208.08824495766055"/>
    <d v="2025-08-25T00:00:00"/>
    <n v="6"/>
    <x v="4"/>
    <s v="Developer"/>
  </r>
  <r>
    <n v="67262"/>
    <x v="0"/>
    <s v="01192806"/>
    <x v="3"/>
    <d v="2025-08-25T00:00:00"/>
    <s v="IA1450"/>
    <s v="Selvam,Kadarkarai"/>
    <n v="-173.40687079805048"/>
    <d v="2025-08-25T00:00:00"/>
    <n v="-5"/>
    <x v="4"/>
    <s v="Lead Developer"/>
  </r>
  <r>
    <n v="67262"/>
    <x v="0"/>
    <s v="01192806"/>
    <x v="3"/>
    <d v="2025-08-25T00:00:00"/>
    <s v="IA1450"/>
    <s v="Selvam,Kadarkarai"/>
    <n v="173.40687079805048"/>
    <d v="2025-08-25T00:00:00"/>
    <n v="5"/>
    <x v="4"/>
    <s v="Lead Developer"/>
  </r>
  <r>
    <n v="67262"/>
    <x v="0"/>
    <s v="01192806"/>
    <x v="3"/>
    <d v="2025-08-25T00:00:00"/>
    <s v="IA1757"/>
    <s v="Thirunavukkarasu,Kishore"/>
    <n v="34.681374159610094"/>
    <d v="2025-08-25T00:00:00"/>
    <n v="1"/>
    <x v="4"/>
    <s v="Developer"/>
  </r>
  <r>
    <n v="67262"/>
    <x v="0"/>
    <s v="01192806"/>
    <x v="3"/>
    <d v="2025-08-25T00:00:00"/>
    <s v="IA1430"/>
    <s v="Subburajan,Jawahar"/>
    <n v="208.08824495766055"/>
    <d v="2025-08-25T00:00:00"/>
    <n v="6"/>
    <x v="4"/>
    <s v="Lead Developer"/>
  </r>
  <r>
    <n v="67262"/>
    <x v="0"/>
    <s v="01192806"/>
    <x v="3"/>
    <d v="2025-08-25T00:00:00"/>
    <s v="IA1830"/>
    <s v="Raj,Gowtham"/>
    <n v="104.04412247883027"/>
    <d v="2025-08-25T00:00:00"/>
    <n v="3"/>
    <x v="4"/>
    <s v="Junior"/>
  </r>
  <r>
    <n v="67262"/>
    <x v="0"/>
    <s v="01192806"/>
    <x v="3"/>
    <d v="2025-08-25T00:00:00"/>
    <s v="IA1450"/>
    <s v="Selvam,Kadarkarai"/>
    <n v="173.40687079805048"/>
    <d v="2025-08-25T00:00:00"/>
    <n v="5"/>
    <x v="4"/>
    <s v="Lead Developer"/>
  </r>
  <r>
    <n v="67260"/>
    <x v="2"/>
    <s v="01199839"/>
    <x v="18"/>
    <d v="2026-01-13T00:00:00"/>
    <s v="IA1750"/>
    <s v="Sankarasubbu,RAMANATHAN"/>
    <n v="260.11030619707572"/>
    <d v="2026-01-13T00:00:00"/>
    <n v="7.5"/>
    <x v="9"/>
    <s v="Developer"/>
  </r>
  <r>
    <n v="67262"/>
    <x v="0"/>
    <s v="01192806"/>
    <x v="3"/>
    <d v="2025-08-25T00:00:00"/>
    <s v="IA1450"/>
    <s v="Selvam,Kadarkarai"/>
    <n v="-173.40687079805048"/>
    <d v="2025-08-25T00:00:00"/>
    <n v="-5"/>
    <x v="4"/>
    <s v="Lead Developer"/>
  </r>
  <r>
    <n v="67262"/>
    <x v="0"/>
    <s v="01192806"/>
    <x v="3"/>
    <d v="2025-08-25T00:00:00"/>
    <s v="IA1450"/>
    <s v="Selvam,Kadarkarai"/>
    <n v="173.40687079805048"/>
    <d v="2025-08-25T00:00:00"/>
    <n v="5"/>
    <x v="4"/>
    <s v="Lead Developer"/>
  </r>
  <r>
    <n v="67262"/>
    <x v="0"/>
    <s v="01192806"/>
    <x v="3"/>
    <d v="2025-08-26T00:00:00"/>
    <s v="IA1450"/>
    <s v="Selvam,Kadarkarai"/>
    <n v="-173.40687079805048"/>
    <d v="2025-08-26T00:00:00"/>
    <n v="-5"/>
    <x v="4"/>
    <s v="Lead Developer"/>
  </r>
  <r>
    <n v="67262"/>
    <x v="0"/>
    <s v="01192806"/>
    <x v="3"/>
    <d v="2025-08-26T00:00:00"/>
    <s v="IA1450"/>
    <s v="Selvam,Kadarkarai"/>
    <n v="173.40687079805048"/>
    <d v="2025-08-26T00:00:00"/>
    <n v="5"/>
    <x v="4"/>
    <s v="Lead Developer"/>
  </r>
  <r>
    <n v="67262"/>
    <x v="0"/>
    <s v="01192806"/>
    <x v="3"/>
    <d v="2025-08-26T00:00:00"/>
    <s v="IA1430"/>
    <s v="Subburajan,Jawahar"/>
    <n v="208.08824495766055"/>
    <d v="2025-08-26T00:00:00"/>
    <n v="6"/>
    <x v="4"/>
    <s v="Lead Developer"/>
  </r>
  <r>
    <n v="67262"/>
    <x v="0"/>
    <s v="01192806"/>
    <x v="3"/>
    <d v="2025-08-26T00:00:00"/>
    <s v="IA1757"/>
    <s v="Thirunavukkarasu,Kishore"/>
    <n v="208.08824495766055"/>
    <d v="2025-08-26T00:00:00"/>
    <n v="6"/>
    <x v="4"/>
    <s v="Developer"/>
  </r>
  <r>
    <n v="67262"/>
    <x v="0"/>
    <s v="01192806"/>
    <x v="3"/>
    <d v="2025-08-26T00:00:00"/>
    <s v="IA1830"/>
    <s v="Raj,Gowtham"/>
    <n v="104.04412247883027"/>
    <d v="2025-08-26T00:00:00"/>
    <n v="3"/>
    <x v="4"/>
    <s v="Junior"/>
  </r>
  <r>
    <n v="67262"/>
    <x v="0"/>
    <s v="01192806"/>
    <x v="3"/>
    <d v="2025-08-26T00:00:00"/>
    <s v="IA1450"/>
    <s v="Selvam,Kadarkarai"/>
    <n v="173.40687079805048"/>
    <d v="2025-08-26T00:00:00"/>
    <n v="5"/>
    <x v="4"/>
    <s v="Lead Developer"/>
  </r>
  <r>
    <n v="67262"/>
    <x v="0"/>
    <s v="01192806"/>
    <x v="3"/>
    <d v="2025-08-26T00:00:00"/>
    <s v="IA1450"/>
    <s v="Selvam,Kadarkarai"/>
    <n v="-173.40687079805048"/>
    <d v="2025-08-26T00:00:00"/>
    <n v="-5"/>
    <x v="4"/>
    <s v="Lead Developer"/>
  </r>
  <r>
    <n v="67262"/>
    <x v="0"/>
    <s v="01192806"/>
    <x v="3"/>
    <d v="2025-08-26T00:00:00"/>
    <s v="IA1450"/>
    <s v="Selvam,Kadarkarai"/>
    <n v="173.40687079805048"/>
    <d v="2025-08-26T00:00:00"/>
    <n v="5"/>
    <x v="4"/>
    <s v="Lead Developer"/>
  </r>
  <r>
    <n v="67262"/>
    <x v="0"/>
    <s v="01192806"/>
    <x v="3"/>
    <d v="2025-08-27T00:00:00"/>
    <s v="IA1430"/>
    <s v="Subburajan,Jawahar"/>
    <n v="208.08824495766055"/>
    <d v="2025-08-27T00:00:00"/>
    <n v="6"/>
    <x v="4"/>
    <s v="Lead Developer"/>
  </r>
  <r>
    <n v="67262"/>
    <x v="0"/>
    <s v="01192806"/>
    <x v="3"/>
    <d v="2025-08-27T00:00:00"/>
    <s v="IA1757"/>
    <s v="Thirunavukkarasu,Kishore"/>
    <n v="173.40687079805048"/>
    <d v="2025-08-27T00:00:00"/>
    <n v="5"/>
    <x v="4"/>
    <s v="Developer"/>
  </r>
  <r>
    <n v="67262"/>
    <x v="0"/>
    <s v="01192806"/>
    <x v="3"/>
    <d v="2025-08-27T00:00:00"/>
    <s v="IA1690"/>
    <s v="Duraisamy,Manikandaprabu"/>
    <n v="138.72549663844038"/>
    <d v="2025-08-27T00:00:00"/>
    <n v="4"/>
    <x v="4"/>
    <s v="Developer"/>
  </r>
  <r>
    <n v="67262"/>
    <x v="0"/>
    <s v="01192806"/>
    <x v="3"/>
    <d v="2025-08-27T00:00:00"/>
    <s v="IA1830"/>
    <s v="Raj,Gowtham"/>
    <n v="104.04412247883027"/>
    <d v="2025-08-27T00:00:00"/>
    <n v="3"/>
    <x v="4"/>
    <s v="Junior"/>
  </r>
  <r>
    <n v="67262"/>
    <x v="0"/>
    <s v="01192806"/>
    <x v="3"/>
    <d v="2025-08-27T00:00:00"/>
    <s v="IA1450"/>
    <s v="Selvam,Kadarkarai"/>
    <n v="138.72549663844038"/>
    <d v="2025-08-27T00:00:00"/>
    <n v="4"/>
    <x v="4"/>
    <s v="Lead Developer"/>
  </r>
  <r>
    <n v="67260"/>
    <x v="2"/>
    <s v="01199839"/>
    <x v="18"/>
    <d v="2026-01-16T00:00:00"/>
    <s v="IA1750"/>
    <s v="Sankarasubbu,RAMANATHAN"/>
    <n v="260.11030619707572"/>
    <d v="2026-01-16T00:00:00"/>
    <n v="7.5"/>
    <x v="9"/>
    <s v="Developer"/>
  </r>
  <r>
    <n v="67262"/>
    <x v="0"/>
    <s v="01192806"/>
    <x v="3"/>
    <d v="2025-08-27T00:00:00"/>
    <s v="IA1450"/>
    <s v="Selvam,Kadarkarai"/>
    <n v="-138.72549663844038"/>
    <d v="2025-08-27T00:00:00"/>
    <n v="-4"/>
    <x v="4"/>
    <s v="Lead Developer"/>
  </r>
  <r>
    <n v="67262"/>
    <x v="0"/>
    <s v="01192806"/>
    <x v="3"/>
    <d v="2025-08-28T00:00:00"/>
    <s v="IA1430"/>
    <s v="Subburajan,Jawahar"/>
    <n v="208.08824495766055"/>
    <d v="2025-08-28T00:00:00"/>
    <n v="6"/>
    <x v="4"/>
    <s v="Lead Developer"/>
  </r>
  <r>
    <n v="67262"/>
    <x v="0"/>
    <s v="01192806"/>
    <x v="3"/>
    <d v="2025-08-28T00:00:00"/>
    <s v="IA1757"/>
    <s v="Thirunavukkarasu,Kishore"/>
    <n v="173.40687079805048"/>
    <d v="2025-08-28T00:00:00"/>
    <n v="5"/>
    <x v="4"/>
    <s v="Developer"/>
  </r>
  <r>
    <n v="67262"/>
    <x v="0"/>
    <s v="01192806"/>
    <x v="3"/>
    <d v="2025-08-28T00:00:00"/>
    <s v="IA1830"/>
    <s v="Raj,Gowtham"/>
    <n v="173.40687079805048"/>
    <d v="2025-08-28T00:00:00"/>
    <n v="5"/>
    <x v="4"/>
    <s v="Junior"/>
  </r>
  <r>
    <n v="67262"/>
    <x v="0"/>
    <s v="01192806"/>
    <x v="3"/>
    <d v="2025-08-29T00:00:00"/>
    <s v="IA1430"/>
    <s v="Subburajan,Jawahar"/>
    <n v="208.08824495766055"/>
    <d v="2025-08-29T00:00:00"/>
    <n v="6"/>
    <x v="4"/>
    <s v="Lead Developer"/>
  </r>
  <r>
    <n v="67262"/>
    <x v="0"/>
    <s v="01192806"/>
    <x v="3"/>
    <d v="2025-08-29T00:00:00"/>
    <s v="IA1757"/>
    <s v="Thirunavukkarasu,Kishore"/>
    <n v="173.40687079805048"/>
    <d v="2025-08-29T00:00:00"/>
    <n v="5"/>
    <x v="4"/>
    <s v="Developer"/>
  </r>
  <r>
    <n v="67262"/>
    <x v="0"/>
    <s v="01192806"/>
    <x v="3"/>
    <d v="2025-08-29T00:00:00"/>
    <s v="IA1690"/>
    <s v="Duraisamy,Manikandaprabu"/>
    <n v="208.08824495766055"/>
    <d v="2025-08-29T00:00:00"/>
    <n v="6"/>
    <x v="4"/>
    <s v="Developer"/>
  </r>
  <r>
    <n v="67262"/>
    <x v="0"/>
    <s v="01192806"/>
    <x v="3"/>
    <d v="2025-08-29T00:00:00"/>
    <s v="IA1830"/>
    <s v="Raj,Gowtham"/>
    <n v="138.72549663844038"/>
    <d v="2025-08-29T00:00:00"/>
    <n v="4"/>
    <x v="4"/>
    <s v="Junior"/>
  </r>
  <r>
    <n v="67260"/>
    <x v="2"/>
    <s v="01199839"/>
    <x v="18"/>
    <d v="2026-01-19T00:00:00"/>
    <s v="IA1750"/>
    <s v="Sankarasubbu,RAMANATHAN"/>
    <n v="260.11030619707572"/>
    <d v="2026-01-19T00:00:00"/>
    <n v="7.5"/>
    <x v="9"/>
    <s v="Developer"/>
  </r>
  <r>
    <n v="67262"/>
    <x v="0"/>
    <s v="01192806"/>
    <x v="3"/>
    <d v="2025-09-01T00:00:00"/>
    <s v="IA1830"/>
    <s v="Raj,Gowtham"/>
    <n v="104.04412247883027"/>
    <d v="2025-09-01T00:00:00"/>
    <n v="3"/>
    <x v="5"/>
    <s v="Junior"/>
  </r>
  <r>
    <n v="67262"/>
    <x v="0"/>
    <s v="01192806"/>
    <x v="3"/>
    <d v="2025-09-01T00:00:00"/>
    <s v="IA1450"/>
    <s v="Selvam,Kadarkarai"/>
    <n v="69.362748319220188"/>
    <d v="2025-09-01T00:00:00"/>
    <n v="2"/>
    <x v="5"/>
    <s v="Lead Developer"/>
  </r>
  <r>
    <n v="67262"/>
    <x v="0"/>
    <s v="01192806"/>
    <x v="3"/>
    <d v="2025-09-01T00:00:00"/>
    <s v="IA1430"/>
    <s v="Subburajan,Jawahar"/>
    <n v="208.08824495766055"/>
    <d v="2025-09-01T00:00:00"/>
    <n v="6"/>
    <x v="5"/>
    <s v="Lead Developer"/>
  </r>
  <r>
    <n v="67262"/>
    <x v="0"/>
    <s v="01192806"/>
    <x v="3"/>
    <d v="2025-09-01T00:00:00"/>
    <s v="IA1757"/>
    <s v="Thirunavukkarasu,Kishore"/>
    <n v="208.08824495766055"/>
    <d v="2025-09-01T00:00:00"/>
    <n v="6"/>
    <x v="5"/>
    <s v="Developer"/>
  </r>
  <r>
    <n v="67260"/>
    <x v="2"/>
    <s v="01199839"/>
    <x v="18"/>
    <d v="2026-01-20T00:00:00"/>
    <s v="IA1750"/>
    <s v="Sankarasubbu,RAMANATHAN"/>
    <n v="260.11030619707572"/>
    <d v="2026-01-20T00:00:00"/>
    <n v="7.5"/>
    <x v="9"/>
    <s v="Developer"/>
  </r>
  <r>
    <n v="67262"/>
    <x v="0"/>
    <s v="01192806"/>
    <x v="3"/>
    <d v="2025-09-02T00:00:00"/>
    <s v="IA1830"/>
    <s v="Raj,Gowtham"/>
    <n v="104.04412247883027"/>
    <d v="2025-09-02T00:00:00"/>
    <n v="3"/>
    <x v="5"/>
    <s v="Junior"/>
  </r>
  <r>
    <n v="67262"/>
    <x v="0"/>
    <s v="01192806"/>
    <x v="3"/>
    <d v="2025-09-02T00:00:00"/>
    <s v="IA1757"/>
    <s v="Thirunavukkarasu,Kishore"/>
    <n v="208.08824495766055"/>
    <d v="2025-09-02T00:00:00"/>
    <n v="6"/>
    <x v="5"/>
    <s v="Developer"/>
  </r>
  <r>
    <n v="67262"/>
    <x v="0"/>
    <s v="01192806"/>
    <x v="3"/>
    <d v="2025-09-02T00:00:00"/>
    <s v="IA1450"/>
    <s v="Selvam,Kadarkarai"/>
    <n v="69.362748319220188"/>
    <d v="2025-09-02T00:00:00"/>
    <n v="2"/>
    <x v="5"/>
    <s v="Lead Developer"/>
  </r>
  <r>
    <n v="67262"/>
    <x v="0"/>
    <s v="01192806"/>
    <x v="3"/>
    <d v="2025-09-02T00:00:00"/>
    <s v="IA1430"/>
    <s v="Subburajan,Jawahar"/>
    <n v="208.08824495766055"/>
    <d v="2025-09-02T00:00:00"/>
    <n v="6"/>
    <x v="5"/>
    <s v="Lead Developer"/>
  </r>
  <r>
    <n v="67262"/>
    <x v="0"/>
    <s v="01192806"/>
    <x v="3"/>
    <d v="2025-09-03T00:00:00"/>
    <s v="IA1830"/>
    <s v="Raj,Gowtham"/>
    <n v="104.04412247883027"/>
    <d v="2025-09-03T00:00:00"/>
    <n v="3"/>
    <x v="5"/>
    <s v="Junior"/>
  </r>
  <r>
    <n v="67262"/>
    <x v="0"/>
    <s v="01192806"/>
    <x v="3"/>
    <d v="2025-09-03T00:00:00"/>
    <s v="IA1765"/>
    <s v="Kumar,Saravana"/>
    <n v="208.08824495766055"/>
    <d v="2025-09-03T00:00:00"/>
    <n v="6"/>
    <x v="5"/>
    <s v="Developer"/>
  </r>
  <r>
    <n v="67260"/>
    <x v="2"/>
    <s v="01199839"/>
    <x v="18"/>
    <d v="2026-01-22T00:00:00"/>
    <s v="IA1750"/>
    <s v="Sankarasubbu,RAMANATHAN"/>
    <n v="260.11030619707572"/>
    <d v="2026-01-22T00:00:00"/>
    <n v="7.5"/>
    <x v="9"/>
    <s v="Developer"/>
  </r>
  <r>
    <n v="67262"/>
    <x v="0"/>
    <s v="01192806"/>
    <x v="3"/>
    <d v="2025-09-04T00:00:00"/>
    <s v="IA1830"/>
    <s v="Raj,Gowtham"/>
    <n v="138.72549663844038"/>
    <d v="2025-09-04T00:00:00"/>
    <n v="4"/>
    <x v="5"/>
    <s v="Junior"/>
  </r>
  <r>
    <n v="67262"/>
    <x v="0"/>
    <s v="01192806"/>
    <x v="3"/>
    <d v="2025-09-04T00:00:00"/>
    <s v="IA1765"/>
    <s v="Kumar,Saravana"/>
    <n v="208.08824495766055"/>
    <d v="2025-09-04T00:00:00"/>
    <n v="6"/>
    <x v="5"/>
    <s v="Developer"/>
  </r>
  <r>
    <n v="67262"/>
    <x v="0"/>
    <s v="01192806"/>
    <x v="3"/>
    <d v="2025-09-05T00:00:00"/>
    <s v="IA1830"/>
    <s v="Raj,Gowtham"/>
    <n v="104.04412247883027"/>
    <d v="2025-09-05T00:00:00"/>
    <n v="3"/>
    <x v="5"/>
    <s v="Junior"/>
  </r>
  <r>
    <n v="67262"/>
    <x v="0"/>
    <s v="01192806"/>
    <x v="3"/>
    <d v="2025-09-05T00:00:00"/>
    <s v="IA1450"/>
    <s v="Selvam,Kadarkarai"/>
    <n v="34.681374159610094"/>
    <d v="2025-09-05T00:00:00"/>
    <n v="1"/>
    <x v="5"/>
    <s v="Lead Developer"/>
  </r>
  <r>
    <n v="67262"/>
    <x v="0"/>
    <s v="01192806"/>
    <x v="3"/>
    <d v="2025-09-05T00:00:00"/>
    <s v="IA1765"/>
    <s v="Kumar,Saravana"/>
    <n v="208.08824495766055"/>
    <d v="2025-09-05T00:00:00"/>
    <n v="6"/>
    <x v="5"/>
    <s v="Developer"/>
  </r>
  <r>
    <n v="67262"/>
    <x v="0"/>
    <s v="01192806"/>
    <x v="3"/>
    <d v="2025-09-08T00:00:00"/>
    <s v="IA1765"/>
    <s v="Kumar,Saravana"/>
    <n v="208.08824495766055"/>
    <d v="2025-09-08T00:00:00"/>
    <n v="6"/>
    <x v="5"/>
    <s v="Developer"/>
  </r>
  <r>
    <n v="67262"/>
    <x v="0"/>
    <s v="01192806"/>
    <x v="3"/>
    <d v="2025-09-08T00:00:00"/>
    <s v="IA1830"/>
    <s v="Raj,Gowtham"/>
    <n v="104.04412247883027"/>
    <d v="2025-09-08T00:00:00"/>
    <n v="3"/>
    <x v="5"/>
    <s v="Junior"/>
  </r>
  <r>
    <n v="67262"/>
    <x v="0"/>
    <s v="01192806"/>
    <x v="3"/>
    <d v="2025-09-08T00:00:00"/>
    <s v="IA1757"/>
    <s v="Thirunavukkarasu,Kishore"/>
    <n v="138.72549663844038"/>
    <d v="2025-09-08T00:00:00"/>
    <n v="4"/>
    <x v="5"/>
    <s v="Developer"/>
  </r>
  <r>
    <n v="67262"/>
    <x v="0"/>
    <s v="01192806"/>
    <x v="3"/>
    <d v="2025-09-09T00:00:00"/>
    <s v="IA1830"/>
    <s v="Raj,Gowtham"/>
    <n v="104.04412247883027"/>
    <d v="2025-09-09T00:00:00"/>
    <n v="3"/>
    <x v="5"/>
    <s v="Junior"/>
  </r>
  <r>
    <n v="67262"/>
    <x v="0"/>
    <s v="01192806"/>
    <x v="3"/>
    <d v="2025-09-09T00:00:00"/>
    <s v="IA1757"/>
    <s v="Thirunavukkarasu,Kishore"/>
    <n v="138.72549663844038"/>
    <d v="2025-09-09T00:00:00"/>
    <n v="4"/>
    <x v="5"/>
    <s v="Developer"/>
  </r>
  <r>
    <n v="67262"/>
    <x v="0"/>
    <s v="01192806"/>
    <x v="3"/>
    <d v="2025-09-10T00:00:00"/>
    <s v="IA1830"/>
    <s v="Raj,Gowtham"/>
    <n v="104.04412247883027"/>
    <d v="2025-09-10T00:00:00"/>
    <n v="3"/>
    <x v="5"/>
    <s v="Junior"/>
  </r>
  <r>
    <n v="67262"/>
    <x v="0"/>
    <s v="01192806"/>
    <x v="3"/>
    <d v="2025-09-10T00:00:00"/>
    <s v="IA1430"/>
    <s v="Subburajan,Jawahar"/>
    <n v="208.08824495766055"/>
    <d v="2025-09-10T00:00:00"/>
    <n v="6"/>
    <x v="5"/>
    <s v="Lead Developer"/>
  </r>
  <r>
    <n v="67262"/>
    <x v="0"/>
    <s v="01192806"/>
    <x v="3"/>
    <d v="2025-09-10T00:00:00"/>
    <s v="IA1757"/>
    <s v="Thirunavukkarasu,Kishore"/>
    <n v="138.72549663844038"/>
    <d v="2025-09-10T00:00:00"/>
    <n v="4"/>
    <x v="5"/>
    <s v="Developer"/>
  </r>
  <r>
    <n v="67262"/>
    <x v="0"/>
    <s v="01192806"/>
    <x v="3"/>
    <d v="2025-09-11T00:00:00"/>
    <s v="IA1430"/>
    <s v="Subburajan,Jawahar"/>
    <n v="208.08824495766055"/>
    <d v="2025-09-11T00:00:00"/>
    <n v="6"/>
    <x v="5"/>
    <s v="Lead Developer"/>
  </r>
  <r>
    <n v="67260"/>
    <x v="2"/>
    <s v="01199839"/>
    <x v="18"/>
    <d v="2026-01-23T00:00:00"/>
    <s v="IA1750"/>
    <s v="Sankarasubbu,RAMANATHAN"/>
    <n v="260.11030619707572"/>
    <d v="2026-01-23T00:00:00"/>
    <n v="7.5"/>
    <x v="9"/>
    <s v="Developer"/>
  </r>
  <r>
    <n v="67262"/>
    <x v="0"/>
    <s v="01192806"/>
    <x v="3"/>
    <d v="2025-09-12T00:00:00"/>
    <s v="IA1430"/>
    <s v="Subburajan,Jawahar"/>
    <n v="208.08824495766055"/>
    <d v="2025-09-12T00:00:00"/>
    <n v="6"/>
    <x v="5"/>
    <s v="Lead Developer"/>
  </r>
  <r>
    <n v="67260"/>
    <x v="2"/>
    <s v="01199839"/>
    <x v="18"/>
    <d v="2026-01-27T00:00:00"/>
    <s v="IA1750"/>
    <s v="Sankarasubbu,RAMANATHAN"/>
    <n v="260.11030619707572"/>
    <d v="2026-01-27T00:00:00"/>
    <n v="7.5"/>
    <x v="9"/>
    <s v="Developer"/>
  </r>
  <r>
    <n v="67262"/>
    <x v="0"/>
    <s v="01192806"/>
    <x v="3"/>
    <d v="2025-09-15T00:00:00"/>
    <s v="IA1830"/>
    <s v="Raj,Gowtham"/>
    <n v="104.04412247883027"/>
    <d v="2025-09-15T00:00:00"/>
    <n v="3"/>
    <x v="5"/>
    <s v="Junior"/>
  </r>
  <r>
    <n v="67262"/>
    <x v="0"/>
    <s v="01192806"/>
    <x v="3"/>
    <d v="2025-09-16T00:00:00"/>
    <s v="IA1830"/>
    <s v="Raj,Gowtham"/>
    <n v="104.04412247883027"/>
    <d v="2025-09-16T00:00:00"/>
    <n v="3"/>
    <x v="5"/>
    <s v="Junior"/>
  </r>
  <r>
    <n v="67260"/>
    <x v="2"/>
    <s v="01199839"/>
    <x v="18"/>
    <d v="2026-01-28T00:00:00"/>
    <s v="IA1750"/>
    <s v="Sankarasubbu,RAMANATHAN"/>
    <n v="260.11030619707572"/>
    <d v="2026-01-28T00:00:00"/>
    <n v="7.5"/>
    <x v="9"/>
    <s v="Developer"/>
  </r>
  <r>
    <n v="67262"/>
    <x v="0"/>
    <s v="01192806"/>
    <x v="3"/>
    <d v="2025-09-17T00:00:00"/>
    <s v="IA1830"/>
    <s v="Raj,Gowtham"/>
    <n v="104.04412247883027"/>
    <d v="2025-09-17T00:00:00"/>
    <n v="3"/>
    <x v="5"/>
    <s v="Junior"/>
  </r>
  <r>
    <n v="67262"/>
    <x v="0"/>
    <s v="01192806"/>
    <x v="3"/>
    <d v="2025-09-18T00:00:00"/>
    <s v="IA1830"/>
    <s v="Raj,Gowtham"/>
    <n v="104.04412247883027"/>
    <d v="2025-09-18T00:00:00"/>
    <n v="3"/>
    <x v="5"/>
    <s v="Junior"/>
  </r>
  <r>
    <n v="67262"/>
    <x v="0"/>
    <s v="01192806"/>
    <x v="3"/>
    <d v="2025-09-18T00:00:00"/>
    <s v="IA1450"/>
    <s v="Selvam,Kadarkarai"/>
    <n v="104.04412247883027"/>
    <d v="2025-09-18T00:00:00"/>
    <n v="3"/>
    <x v="5"/>
    <s v="Lead Developer"/>
  </r>
  <r>
    <n v="67260"/>
    <x v="2"/>
    <s v="01199839"/>
    <x v="18"/>
    <d v="2026-01-29T00:00:00"/>
    <s v="IA1750"/>
    <s v="Sankarasubbu,RAMANATHAN"/>
    <n v="121.38480955863533"/>
    <d v="2026-01-29T00:00:00"/>
    <n v="3.5"/>
    <x v="9"/>
    <s v="Developer"/>
  </r>
  <r>
    <n v="67262"/>
    <x v="0"/>
    <s v="01192806"/>
    <x v="3"/>
    <d v="2025-09-19T00:00:00"/>
    <s v="IA1830"/>
    <s v="Raj,Gowtham"/>
    <n v="104.04412247883027"/>
    <d v="2025-09-19T00:00:00"/>
    <n v="3"/>
    <x v="5"/>
    <s v="Junior"/>
  </r>
  <r>
    <n v="67262"/>
    <x v="0"/>
    <s v="01192806"/>
    <x v="3"/>
    <d v="2025-09-19T00:00:00"/>
    <s v="IA1450"/>
    <s v="Selvam,Kadarkarai"/>
    <n v="138.72549663844038"/>
    <d v="2025-09-19T00:00:00"/>
    <n v="4"/>
    <x v="5"/>
    <s v="Lead Developer"/>
  </r>
  <r>
    <n v="67262"/>
    <x v="0"/>
    <s v="01192806"/>
    <x v="3"/>
    <d v="2026-01-29T00:00:00"/>
    <s v="IA1750"/>
    <s v="Sankarasubbu,RAMANATHAN"/>
    <n v="138.72549663844038"/>
    <d v="2026-01-29T00:00:00"/>
    <n v="4"/>
    <x v="9"/>
    <s v="Developer"/>
  </r>
  <r>
    <n v="67262"/>
    <x v="0"/>
    <s v="01192806"/>
    <x v="3"/>
    <d v="2025-09-19T00:00:00"/>
    <s v="IA1690"/>
    <s v="Duraisamy,Manikandaprabu"/>
    <n v="173.40687079805048"/>
    <d v="2025-09-19T00:00:00"/>
    <n v="5"/>
    <x v="5"/>
    <s v="Developer"/>
  </r>
  <r>
    <n v="67262"/>
    <x v="0"/>
    <s v="01192806"/>
    <x v="3"/>
    <d v="2025-09-17T00:00:00"/>
    <s v="IA1450"/>
    <s v="Selvam,Kadarkarai"/>
    <n v="69.362748319220188"/>
    <d v="2025-09-17T00:00:00"/>
    <n v="2"/>
    <x v="5"/>
    <s v="Lead Developer"/>
  </r>
  <r>
    <n v="67262"/>
    <x v="0"/>
    <s v="01192806"/>
    <x v="3"/>
    <d v="2025-09-22T00:00:00"/>
    <s v="IA1765"/>
    <s v="Kumar,Saravana"/>
    <n v="208.08824495766055"/>
    <d v="2025-09-22T00:00:00"/>
    <n v="6"/>
    <x v="5"/>
    <s v="Developer"/>
  </r>
  <r>
    <n v="67262"/>
    <x v="0"/>
    <s v="01192806"/>
    <x v="3"/>
    <d v="2025-09-22T00:00:00"/>
    <s v="IA1430"/>
    <s v="Subburajan,Jawahar"/>
    <n v="208.08824495766055"/>
    <d v="2025-09-22T00:00:00"/>
    <n v="6"/>
    <x v="5"/>
    <s v="Lead Developer"/>
  </r>
  <r>
    <n v="67262"/>
    <x v="0"/>
    <s v="01192806"/>
    <x v="3"/>
    <d v="2025-09-22T00:00:00"/>
    <s v="IA1830"/>
    <s v="Raj,Gowtham"/>
    <n v="104.04412247883027"/>
    <d v="2025-09-22T00:00:00"/>
    <n v="3"/>
    <x v="5"/>
    <s v="Junior"/>
  </r>
  <r>
    <n v="67262"/>
    <x v="0"/>
    <s v="01192806"/>
    <x v="3"/>
    <d v="2025-09-23T00:00:00"/>
    <s v="IA1830"/>
    <s v="Raj,Gowtham"/>
    <n v="104.04412247883027"/>
    <d v="2025-09-23T00:00:00"/>
    <n v="3"/>
    <x v="5"/>
    <s v="Junior"/>
  </r>
  <r>
    <n v="67262"/>
    <x v="0"/>
    <s v="01192806"/>
    <x v="3"/>
    <d v="2026-01-30T00:00:00"/>
    <s v="IA1750"/>
    <s v="Sankarasubbu,RAMANATHAN"/>
    <n v="260.11030619707572"/>
    <d v="2026-01-30T00:00:00"/>
    <n v="7.5"/>
    <x v="9"/>
    <s v="Developer"/>
  </r>
  <r>
    <n v="67262"/>
    <x v="0"/>
    <s v="01192806"/>
    <x v="3"/>
    <d v="2025-09-23T00:00:00"/>
    <s v="IA1450"/>
    <s v="Selvam,Kadarkarai"/>
    <n v="138.72549663844038"/>
    <d v="2025-09-23T00:00:00"/>
    <n v="4"/>
    <x v="5"/>
    <s v="Lead Developer"/>
  </r>
  <r>
    <n v="67262"/>
    <x v="0"/>
    <s v="01192806"/>
    <x v="3"/>
    <d v="2025-09-22T00:00:00"/>
    <s v="IA1793"/>
    <s v="Subramanian,Ruthrakkanth"/>
    <n v="208.08824495766055"/>
    <d v="2025-09-22T00:00:00"/>
    <n v="6"/>
    <x v="5"/>
    <s v="Developer"/>
  </r>
  <r>
    <n v="67262"/>
    <x v="0"/>
    <s v="01192806"/>
    <x v="3"/>
    <d v="2025-09-23T00:00:00"/>
    <s v="IA1430"/>
    <s v="Subburajan,Jawahar"/>
    <n v="208.08824495766055"/>
    <d v="2025-09-23T00:00:00"/>
    <n v="6"/>
    <x v="5"/>
    <s v="Lead Developer"/>
  </r>
  <r>
    <n v="67262"/>
    <x v="0"/>
    <s v="01192806"/>
    <x v="3"/>
    <d v="2025-09-23T00:00:00"/>
    <s v="IA1793"/>
    <s v="Subramanian,Ruthrakkanth"/>
    <n v="208.08824495766055"/>
    <d v="2025-09-23T00:00:00"/>
    <n v="6"/>
    <x v="5"/>
    <s v="Developer"/>
  </r>
  <r>
    <n v="67262"/>
    <x v="0"/>
    <s v="01192806"/>
    <x v="3"/>
    <d v="2025-09-24T00:00:00"/>
    <s v="IA1830"/>
    <s v="Raj,Gowtham"/>
    <n v="104.04412247883027"/>
    <d v="2025-09-24T00:00:00"/>
    <n v="3"/>
    <x v="5"/>
    <s v="Junior"/>
  </r>
  <r>
    <n v="67262"/>
    <x v="0"/>
    <s v="01192806"/>
    <x v="3"/>
    <d v="2025-09-24T00:00:00"/>
    <s v="IA1450"/>
    <s v="Selvam,Kadarkarai"/>
    <n v="138.72549663844038"/>
    <d v="2025-09-24T00:00:00"/>
    <n v="4"/>
    <x v="5"/>
    <s v="Lead Developer"/>
  </r>
  <r>
    <n v="67262"/>
    <x v="0"/>
    <s v="01192806"/>
    <x v="3"/>
    <d v="2025-09-24T00:00:00"/>
    <s v="IA1690"/>
    <s v="Duraisamy,Manikandaprabu"/>
    <n v="138.72549663844038"/>
    <d v="2025-09-24T00:00:00"/>
    <n v="4"/>
    <x v="5"/>
    <s v="Developer"/>
  </r>
  <r>
    <n v="67262"/>
    <x v="0"/>
    <s v="01192806"/>
    <x v="3"/>
    <d v="2025-09-24T00:00:00"/>
    <s v="IA1430"/>
    <s v="Subburajan,Jawahar"/>
    <n v="208.08824495766055"/>
    <d v="2025-09-24T00:00:00"/>
    <n v="6"/>
    <x v="5"/>
    <s v="Lead Developer"/>
  </r>
  <r>
    <n v="67262"/>
    <x v="0"/>
    <s v="01192806"/>
    <x v="3"/>
    <d v="2025-09-24T00:00:00"/>
    <s v="IA1793"/>
    <s v="Subramanian,Ruthrakkanth"/>
    <n v="208.08824495766055"/>
    <d v="2025-09-24T00:00:00"/>
    <n v="6"/>
    <x v="5"/>
    <s v="Developer"/>
  </r>
  <r>
    <n v="67262"/>
    <x v="0"/>
    <s v="01192806"/>
    <x v="3"/>
    <d v="2025-09-25T00:00:00"/>
    <s v="IA1830"/>
    <s v="Raj,Gowtham"/>
    <n v="208.08824495766055"/>
    <d v="2025-09-25T00:00:00"/>
    <n v="6"/>
    <x v="5"/>
    <s v="Junior"/>
  </r>
  <r>
    <n v="67262"/>
    <x v="0"/>
    <s v="01192806"/>
    <x v="3"/>
    <d v="2026-02-02T00:00:00"/>
    <s v="IA1750"/>
    <s v="Sankarasubbu,RAMANATHAN"/>
    <n v="312.13236743649082"/>
    <d v="2026-02-02T00:00:00"/>
    <n v="9"/>
    <x v="0"/>
    <s v="Developer"/>
  </r>
  <r>
    <n v="67262"/>
    <x v="0"/>
    <s v="01192806"/>
    <x v="3"/>
    <d v="2025-09-25T00:00:00"/>
    <s v="IA1450"/>
    <s v="Selvam,Kadarkarai"/>
    <n v="34.681374159610094"/>
    <d v="2025-09-25T00:00:00"/>
    <n v="1"/>
    <x v="5"/>
    <s v="Lead Developer"/>
  </r>
  <r>
    <n v="67262"/>
    <x v="0"/>
    <s v="01192806"/>
    <x v="3"/>
    <d v="2025-09-25T00:00:00"/>
    <s v="IA1765"/>
    <s v="Kumar,Saravana"/>
    <n v="208.08824495766055"/>
    <d v="2025-09-25T00:00:00"/>
    <n v="6"/>
    <x v="5"/>
    <s v="Developer"/>
  </r>
  <r>
    <n v="67262"/>
    <x v="0"/>
    <s v="01192806"/>
    <x v="3"/>
    <d v="2025-09-25T00:00:00"/>
    <s v="IA1430"/>
    <s v="Subburajan,Jawahar"/>
    <n v="208.08824495766055"/>
    <d v="2025-09-25T00:00:00"/>
    <n v="6"/>
    <x v="5"/>
    <s v="Lead Developer"/>
  </r>
  <r>
    <n v="67262"/>
    <x v="0"/>
    <s v="01192806"/>
    <x v="3"/>
    <d v="2025-09-25T00:00:00"/>
    <s v="IA1793"/>
    <s v="Subramanian,Ruthrakkanth"/>
    <n v="208.08824495766055"/>
    <d v="2025-09-25T00:00:00"/>
    <n v="6"/>
    <x v="5"/>
    <s v="Developer"/>
  </r>
  <r>
    <n v="67262"/>
    <x v="0"/>
    <s v="01192806"/>
    <x v="3"/>
    <d v="2025-09-26T00:00:00"/>
    <s v="IA1830"/>
    <s v="Raj,Gowtham"/>
    <n v="104.04412247883027"/>
    <d v="2025-09-26T00:00:00"/>
    <n v="3"/>
    <x v="5"/>
    <s v="Junior"/>
  </r>
  <r>
    <n v="67262"/>
    <x v="0"/>
    <s v="01192806"/>
    <x v="3"/>
    <d v="2025-09-26T00:00:00"/>
    <s v="IA1450"/>
    <s v="Selvam,Kadarkarai"/>
    <n v="138.72549663844038"/>
    <d v="2025-09-26T00:00:00"/>
    <n v="4"/>
    <x v="5"/>
    <s v="Lead Developer"/>
  </r>
  <r>
    <n v="67262"/>
    <x v="0"/>
    <s v="01192806"/>
    <x v="3"/>
    <d v="2025-09-26T00:00:00"/>
    <s v="IA1765"/>
    <s v="Kumar,Saravana"/>
    <n v="208.08824495766055"/>
    <d v="2025-09-26T00:00:00"/>
    <n v="6"/>
    <x v="5"/>
    <s v="Developer"/>
  </r>
  <r>
    <n v="67262"/>
    <x v="0"/>
    <s v="01192806"/>
    <x v="3"/>
    <d v="2025-09-26T00:00:00"/>
    <s v="IA1430"/>
    <s v="Subburajan,Jawahar"/>
    <n v="208.08824495766055"/>
    <d v="2025-09-26T00:00:00"/>
    <n v="6"/>
    <x v="5"/>
    <s v="Lead Developer"/>
  </r>
  <r>
    <n v="67262"/>
    <x v="0"/>
    <s v="01192806"/>
    <x v="3"/>
    <d v="2025-09-26T00:00:00"/>
    <s v="IA1793"/>
    <s v="Subramanian,Ruthrakkanth"/>
    <n v="208.08824495766055"/>
    <d v="2025-09-26T00:00:00"/>
    <n v="6"/>
    <x v="5"/>
    <s v="Developer"/>
  </r>
  <r>
    <n v="67262"/>
    <x v="0"/>
    <s v="01192806"/>
    <x v="3"/>
    <d v="2026-02-03T00:00:00"/>
    <s v="IA1750"/>
    <s v="Sankarasubbu,RAMANATHAN"/>
    <n v="260.11030619707572"/>
    <d v="2026-02-03T00:00:00"/>
    <n v="7.5"/>
    <x v="0"/>
    <s v="Developer"/>
  </r>
  <r>
    <n v="67262"/>
    <x v="0"/>
    <s v="01192806"/>
    <x v="3"/>
    <d v="2025-09-29T00:00:00"/>
    <s v="IA1765"/>
    <s v="Kumar,Saravana"/>
    <n v="208.08824495766055"/>
    <d v="2025-09-29T00:00:00"/>
    <n v="6"/>
    <x v="5"/>
    <s v="Developer"/>
  </r>
  <r>
    <n v="67262"/>
    <x v="0"/>
    <s v="01192806"/>
    <x v="3"/>
    <d v="2025-09-29T00:00:00"/>
    <s v="IA1450"/>
    <s v="Selvam,Kadarkarai"/>
    <n v="277.45099327688075"/>
    <d v="2025-09-29T00:00:00"/>
    <n v="8"/>
    <x v="5"/>
    <s v="Lead Developer"/>
  </r>
  <r>
    <n v="67262"/>
    <x v="0"/>
    <s v="01192806"/>
    <x v="3"/>
    <d v="2025-09-29T00:00:00"/>
    <s v="IA1430"/>
    <s v="Subburajan,Jawahar"/>
    <n v="208.08824495766055"/>
    <d v="2025-09-29T00:00:00"/>
    <n v="6"/>
    <x v="5"/>
    <s v="Lead Developer"/>
  </r>
  <r>
    <n v="67262"/>
    <x v="0"/>
    <s v="01192806"/>
    <x v="3"/>
    <d v="2025-09-29T00:00:00"/>
    <s v="IA1830"/>
    <s v="Raj,Gowtham"/>
    <n v="104.04412247883027"/>
    <d v="2025-09-29T00:00:00"/>
    <n v="3"/>
    <x v="5"/>
    <s v="Junior"/>
  </r>
  <r>
    <n v="67262"/>
    <x v="0"/>
    <s v="01192806"/>
    <x v="3"/>
    <d v="2025-09-29T00:00:00"/>
    <s v="IA1757"/>
    <s v="Thirunavukkarasu,Kishore"/>
    <n v="208.08824495766055"/>
    <d v="2025-09-29T00:00:00"/>
    <n v="6"/>
    <x v="5"/>
    <s v="Developer"/>
  </r>
  <r>
    <n v="67262"/>
    <x v="0"/>
    <s v="01192806"/>
    <x v="3"/>
    <d v="2025-09-30T00:00:00"/>
    <s v="IA1450"/>
    <s v="Selvam,Kadarkarai"/>
    <n v="138.72549663844038"/>
    <d v="2025-09-30T00:00:00"/>
    <n v="4"/>
    <x v="5"/>
    <s v="Lead Developer"/>
  </r>
  <r>
    <n v="67262"/>
    <x v="0"/>
    <s v="01192806"/>
    <x v="3"/>
    <d v="2025-09-30T00:00:00"/>
    <s v="IA1430"/>
    <s v="Subburajan,Jawahar"/>
    <n v="208.08824495766055"/>
    <d v="2025-09-30T00:00:00"/>
    <n v="6"/>
    <x v="5"/>
    <s v="Lead Developer"/>
  </r>
  <r>
    <n v="67262"/>
    <x v="0"/>
    <s v="01192806"/>
    <x v="3"/>
    <d v="2025-09-30T00:00:00"/>
    <s v="IA1830"/>
    <s v="Raj,Gowtham"/>
    <n v="104.04412247883027"/>
    <d v="2025-09-30T00:00:00"/>
    <n v="3"/>
    <x v="5"/>
    <s v="Junior"/>
  </r>
  <r>
    <n v="67262"/>
    <x v="0"/>
    <s v="01192806"/>
    <x v="3"/>
    <d v="2025-09-30T00:00:00"/>
    <s v="IA1757"/>
    <s v="Thirunavukkarasu,Kishore"/>
    <n v="69.362748319220188"/>
    <d v="2025-09-30T00:00:00"/>
    <n v="2"/>
    <x v="5"/>
    <s v="Developer"/>
  </r>
  <r>
    <n v="67262"/>
    <x v="0"/>
    <s v="01192806"/>
    <x v="3"/>
    <d v="2026-02-04T00:00:00"/>
    <s v="IA1750"/>
    <s v="Sankarasubbu,RAMANATHAN"/>
    <n v="260.11030619707572"/>
    <d v="2026-02-04T00:00:00"/>
    <n v="7.5"/>
    <x v="0"/>
    <s v="Developer"/>
  </r>
  <r>
    <n v="67262"/>
    <x v="0"/>
    <s v="01192806"/>
    <x v="3"/>
    <d v="2025-10-03T00:00:00"/>
    <s v="IA1450"/>
    <s v="Selvam,Kadarkarai"/>
    <n v="69.362748319220188"/>
    <d v="2025-10-03T00:00:00"/>
    <n v="2"/>
    <x v="6"/>
    <s v="Lead Developer"/>
  </r>
  <r>
    <n v="67262"/>
    <x v="0"/>
    <s v="01192806"/>
    <x v="3"/>
    <d v="2025-10-03T00:00:00"/>
    <s v="IA1430"/>
    <s v="Subburajan,Jawahar"/>
    <n v="208.08824495766055"/>
    <d v="2025-10-03T00:00:00"/>
    <n v="6"/>
    <x v="6"/>
    <s v="Lead Developer"/>
  </r>
  <r>
    <n v="67262"/>
    <x v="0"/>
    <s v="01192806"/>
    <x v="3"/>
    <d v="2025-10-06T00:00:00"/>
    <s v="IA1830"/>
    <s v="Raj,Gowtham"/>
    <n v="138.72549663844038"/>
    <d v="2025-10-06T00:00:00"/>
    <n v="4"/>
    <x v="6"/>
    <s v="Junior"/>
  </r>
  <r>
    <n v="67262"/>
    <x v="0"/>
    <s v="01192806"/>
    <x v="3"/>
    <d v="2025-10-06T00:00:00"/>
    <s v="IA1430"/>
    <s v="Subburajan,Jawahar"/>
    <n v="208.08824495766055"/>
    <d v="2025-10-06T00:00:00"/>
    <n v="6"/>
    <x v="6"/>
    <s v="Lead Developer"/>
  </r>
  <r>
    <n v="67262"/>
    <x v="0"/>
    <s v="01192806"/>
    <x v="3"/>
    <d v="2025-10-06T00:00:00"/>
    <s v="IA1450"/>
    <s v="Selvam,Kadarkarai"/>
    <n v="208.08824495766055"/>
    <d v="2025-10-06T00:00:00"/>
    <n v="6"/>
    <x v="6"/>
    <s v="Lead Developer"/>
  </r>
  <r>
    <n v="67262"/>
    <x v="0"/>
    <s v="01192806"/>
    <x v="3"/>
    <d v="2026-02-05T00:00:00"/>
    <s v="IA1750"/>
    <s v="Sankarasubbu,RAMANATHAN"/>
    <n v="260.11030619707572"/>
    <d v="2026-02-05T00:00:00"/>
    <n v="7.5"/>
    <x v="0"/>
    <s v="Developer"/>
  </r>
  <r>
    <n v="67262"/>
    <x v="0"/>
    <s v="01192806"/>
    <x v="3"/>
    <d v="2025-10-07T00:00:00"/>
    <s v="IA1830"/>
    <s v="Raj,Gowtham"/>
    <n v="104.04412247883027"/>
    <d v="2025-10-07T00:00:00"/>
    <n v="3"/>
    <x v="6"/>
    <s v="Junior"/>
  </r>
  <r>
    <n v="67262"/>
    <x v="0"/>
    <s v="01192806"/>
    <x v="3"/>
    <d v="2025-10-07T00:00:00"/>
    <s v="IA1430"/>
    <s v="Subburajan,Jawahar"/>
    <n v="69.362748319220188"/>
    <d v="2025-10-07T00:00:00"/>
    <n v="2"/>
    <x v="6"/>
    <s v="Lead Developer"/>
  </r>
  <r>
    <n v="67262"/>
    <x v="0"/>
    <s v="01192806"/>
    <x v="3"/>
    <d v="2025-10-07T00:00:00"/>
    <s v="IA1450"/>
    <s v="Selvam,Kadarkarai"/>
    <n v="208.08824495766055"/>
    <d v="2025-10-07T00:00:00"/>
    <n v="6"/>
    <x v="6"/>
    <s v="Lead Developer"/>
  </r>
  <r>
    <n v="67262"/>
    <x v="0"/>
    <s v="01192806"/>
    <x v="3"/>
    <d v="2025-10-06T00:00:00"/>
    <s v="IA1793"/>
    <s v="Subramanian,Ruthrakkanth"/>
    <n v="208.08824495766055"/>
    <d v="2025-10-06T00:00:00"/>
    <n v="6"/>
    <x v="6"/>
    <s v="Developer"/>
  </r>
  <r>
    <n v="67262"/>
    <x v="0"/>
    <s v="01192806"/>
    <x v="3"/>
    <d v="2025-10-07T00:00:00"/>
    <s v="IA1793"/>
    <s v="Subramanian,Ruthrakkanth"/>
    <n v="242.76961911727065"/>
    <d v="2025-10-07T00:00:00"/>
    <n v="7"/>
    <x v="6"/>
    <s v="Developer"/>
  </r>
  <r>
    <n v="67262"/>
    <x v="0"/>
    <s v="01192806"/>
    <x v="3"/>
    <d v="2025-10-08T00:00:00"/>
    <s v="IA1830"/>
    <s v="Raj,Gowtham"/>
    <n v="104.04412247883027"/>
    <d v="2025-10-08T00:00:00"/>
    <n v="3"/>
    <x v="6"/>
    <s v="Junior"/>
  </r>
  <r>
    <n v="67262"/>
    <x v="0"/>
    <s v="01192806"/>
    <x v="3"/>
    <d v="2025-10-08T00:00:00"/>
    <s v="IA1450"/>
    <s v="Selvam,Kadarkarai"/>
    <n v="277.45099327688075"/>
    <d v="2025-10-08T00:00:00"/>
    <n v="8"/>
    <x v="6"/>
    <s v="Lead Developer"/>
  </r>
  <r>
    <n v="67262"/>
    <x v="0"/>
    <s v="01192806"/>
    <x v="3"/>
    <d v="2025-10-08T00:00:00"/>
    <s v="IA1690"/>
    <s v="Duraisamy,Manikandaprabu"/>
    <n v="104.04412247883027"/>
    <d v="2025-10-08T00:00:00"/>
    <n v="3"/>
    <x v="6"/>
    <s v="Developer"/>
  </r>
  <r>
    <n v="67262"/>
    <x v="0"/>
    <s v="01192806"/>
    <x v="3"/>
    <d v="2025-10-08T00:00:00"/>
    <s v="IA1793"/>
    <s v="Subramanian,Ruthrakkanth"/>
    <n v="208.08824495766055"/>
    <d v="2025-10-08T00:00:00"/>
    <n v="6"/>
    <x v="6"/>
    <s v="Developer"/>
  </r>
  <r>
    <n v="67262"/>
    <x v="0"/>
    <s v="01192806"/>
    <x v="3"/>
    <d v="2025-10-09T00:00:00"/>
    <s v="IA1830"/>
    <s v="Raj,Gowtham"/>
    <n v="104.04412247883027"/>
    <d v="2025-10-09T00:00:00"/>
    <n v="3"/>
    <x v="6"/>
    <s v="Junior"/>
  </r>
  <r>
    <n v="67262"/>
    <x v="0"/>
    <s v="01192806"/>
    <x v="3"/>
    <d v="2025-10-09T00:00:00"/>
    <s v="IA1450"/>
    <s v="Selvam,Kadarkarai"/>
    <n v="104.04412247883027"/>
    <d v="2025-10-09T00:00:00"/>
    <n v="3"/>
    <x v="6"/>
    <s v="Lead Developer"/>
  </r>
  <r>
    <n v="67262"/>
    <x v="0"/>
    <s v="01192806"/>
    <x v="3"/>
    <d v="2025-10-09T00:00:00"/>
    <s v="IA1690"/>
    <s v="Duraisamy,Manikandaprabu"/>
    <n v="104.04412247883027"/>
    <d v="2025-10-09T00:00:00"/>
    <n v="3"/>
    <x v="6"/>
    <s v="Developer"/>
  </r>
  <r>
    <n v="67262"/>
    <x v="0"/>
    <s v="01192806"/>
    <x v="3"/>
    <d v="2025-10-09T00:00:00"/>
    <s v="IA1793"/>
    <s v="Subramanian,Ruthrakkanth"/>
    <n v="242.76961911727065"/>
    <d v="2025-10-09T00:00:00"/>
    <n v="7"/>
    <x v="6"/>
    <s v="Developer"/>
  </r>
  <r>
    <n v="67262"/>
    <x v="0"/>
    <s v="01192806"/>
    <x v="3"/>
    <d v="2025-10-10T00:00:00"/>
    <s v="IA1830"/>
    <s v="Raj,Gowtham"/>
    <n v="104.04412247883027"/>
    <d v="2025-10-10T00:00:00"/>
    <n v="3"/>
    <x v="6"/>
    <s v="Junior"/>
  </r>
  <r>
    <n v="67262"/>
    <x v="0"/>
    <s v="01192806"/>
    <x v="3"/>
    <d v="2025-10-10T00:00:00"/>
    <s v="IA1793"/>
    <s v="Subramanian,Ruthrakkanth"/>
    <n v="208.08824495766055"/>
    <d v="2025-10-10T00:00:00"/>
    <n v="6"/>
    <x v="6"/>
    <s v="Developer"/>
  </r>
  <r>
    <n v="67262"/>
    <x v="0"/>
    <s v="01192806"/>
    <x v="3"/>
    <d v="2025-10-13T00:00:00"/>
    <s v="IA1450"/>
    <s v="Selvam,Kadarkarai"/>
    <n v="69.362748319220188"/>
    <d v="2025-10-13T00:00:00"/>
    <n v="2"/>
    <x v="6"/>
    <s v="Lead Developer"/>
  </r>
  <r>
    <n v="67262"/>
    <x v="0"/>
    <s v="01192806"/>
    <x v="3"/>
    <d v="2025-10-14T00:00:00"/>
    <s v="IA1450"/>
    <s v="Selvam,Kadarkarai"/>
    <n v="69.362748319220188"/>
    <d v="2025-10-14T00:00:00"/>
    <n v="2"/>
    <x v="6"/>
    <s v="Lead Developer"/>
  </r>
  <r>
    <n v="67262"/>
    <x v="0"/>
    <s v="01192806"/>
    <x v="3"/>
    <d v="2025-10-15T00:00:00"/>
    <s v="IA1757"/>
    <s v="Thirunavukkarasu,Kishore"/>
    <n v="208.08824495766055"/>
    <d v="2025-10-15T00:00:00"/>
    <n v="6"/>
    <x v="6"/>
    <s v="Developer"/>
  </r>
  <r>
    <n v="67262"/>
    <x v="0"/>
    <s v="01192806"/>
    <x v="3"/>
    <d v="2025-10-14T00:00:00"/>
    <s v="IA1793"/>
    <s v="Subramanian,Ruthrakkanth"/>
    <n v="208.08824495766055"/>
    <d v="2025-10-14T00:00:00"/>
    <n v="6"/>
    <x v="6"/>
    <s v="Developer"/>
  </r>
  <r>
    <n v="67262"/>
    <x v="0"/>
    <s v="01192806"/>
    <x v="3"/>
    <d v="2025-10-16T00:00:00"/>
    <s v="IA1757"/>
    <s v="Thirunavukkarasu,Kishore"/>
    <n v="208.08824495766055"/>
    <d v="2025-10-16T00:00:00"/>
    <n v="6"/>
    <x v="6"/>
    <s v="Developer"/>
  </r>
  <r>
    <n v="67262"/>
    <x v="0"/>
    <s v="01192806"/>
    <x v="3"/>
    <d v="2025-10-16T00:00:00"/>
    <s v="IA1450"/>
    <s v="Selvam,Kadarkarai"/>
    <n v="69.362748319220188"/>
    <d v="2025-10-16T00:00:00"/>
    <n v="2"/>
    <x v="6"/>
    <s v="Lead Developer"/>
  </r>
  <r>
    <n v="67262"/>
    <x v="0"/>
    <s v="01192806"/>
    <x v="3"/>
    <d v="2026-02-09T00:00:00"/>
    <s v="IA1750"/>
    <s v="Sankarasubbu,RAMANATHAN"/>
    <n v="260.11030619707572"/>
    <d v="2026-02-09T00:00:00"/>
    <n v="7.5"/>
    <x v="0"/>
    <s v="Developer"/>
  </r>
  <r>
    <n v="67262"/>
    <x v="0"/>
    <s v="01192806"/>
    <x v="3"/>
    <d v="2025-10-22T00:00:00"/>
    <s v="IA1690"/>
    <s v="Duraisamy,Manikandaprabu"/>
    <n v="138.72549663844038"/>
    <d v="2025-10-22T00:00:00"/>
    <n v="4"/>
    <x v="6"/>
    <s v="Developer"/>
  </r>
  <r>
    <n v="67262"/>
    <x v="0"/>
    <s v="01192806"/>
    <x v="3"/>
    <d v="2025-10-22T00:00:00"/>
    <s v="IA1757"/>
    <s v="Thirunavukkarasu,Kishore"/>
    <n v="208.08824495766055"/>
    <d v="2025-10-22T00:00:00"/>
    <n v="6"/>
    <x v="6"/>
    <s v="Developer"/>
  </r>
  <r>
    <n v="67262"/>
    <x v="0"/>
    <s v="01192806"/>
    <x v="3"/>
    <d v="2025-10-22T00:00:00"/>
    <s v="IA1450"/>
    <s v="Selvam,Kadarkarai"/>
    <n v="138.72549663844038"/>
    <d v="2025-10-22T00:00:00"/>
    <n v="4"/>
    <x v="6"/>
    <s v="Lead Developer"/>
  </r>
  <r>
    <n v="67262"/>
    <x v="0"/>
    <s v="01192806"/>
    <x v="3"/>
    <d v="2025-10-23T00:00:00"/>
    <s v="IA1450"/>
    <s v="Selvam,Kadarkarai"/>
    <n v="173.40687079805048"/>
    <d v="2025-10-23T00:00:00"/>
    <n v="5"/>
    <x v="6"/>
    <s v="Lead Developer"/>
  </r>
  <r>
    <n v="67262"/>
    <x v="0"/>
    <s v="01192806"/>
    <x v="3"/>
    <d v="2025-10-27T00:00:00"/>
    <s v="IA1450"/>
    <s v="Selvam,Kadarkarai"/>
    <n v="173.40687079805048"/>
    <d v="2025-10-27T00:00:00"/>
    <n v="5"/>
    <x v="6"/>
    <s v="Lead Developer"/>
  </r>
  <r>
    <n v="67262"/>
    <x v="0"/>
    <s v="01192806"/>
    <x v="3"/>
    <d v="2025-10-27T00:00:00"/>
    <s v="IA1450"/>
    <s v="Selvam,Kadarkarai"/>
    <n v="69.362748319220188"/>
    <d v="2025-10-27T00:00:00"/>
    <n v="2"/>
    <x v="6"/>
    <s v="Lead Developer"/>
  </r>
  <r>
    <n v="67262"/>
    <x v="0"/>
    <s v="01192806"/>
    <x v="3"/>
    <d v="2025-10-27T00:00:00"/>
    <s v="IA1830"/>
    <s v="Raj,Gowtham"/>
    <n v="34.681374159610094"/>
    <d v="2025-10-27T00:00:00"/>
    <n v="1"/>
    <x v="6"/>
    <s v="Junior"/>
  </r>
  <r>
    <n v="67262"/>
    <x v="0"/>
    <s v="01192806"/>
    <x v="3"/>
    <d v="2025-10-28T00:00:00"/>
    <s v="IA1450"/>
    <s v="Selvam,Kadarkarai"/>
    <n v="104.04412247883027"/>
    <d v="2025-10-28T00:00:00"/>
    <n v="3"/>
    <x v="6"/>
    <s v="Lead Developer"/>
  </r>
  <r>
    <n v="67262"/>
    <x v="0"/>
    <s v="01192806"/>
    <x v="3"/>
    <d v="2025-10-28T00:00:00"/>
    <s v="IA1793"/>
    <s v="Subramanian,Ruthrakkanth"/>
    <n v="138.72549663844038"/>
    <d v="2025-10-28T00:00:00"/>
    <n v="4"/>
    <x v="6"/>
    <s v="Developer"/>
  </r>
  <r>
    <n v="67262"/>
    <x v="0"/>
    <s v="01192806"/>
    <x v="3"/>
    <d v="2025-10-28T00:00:00"/>
    <s v="IA1830"/>
    <s v="Raj,Gowtham"/>
    <n v="104.04412247883027"/>
    <d v="2025-10-28T00:00:00"/>
    <n v="3"/>
    <x v="6"/>
    <s v="Junior"/>
  </r>
  <r>
    <n v="67262"/>
    <x v="0"/>
    <s v="01192806"/>
    <x v="3"/>
    <d v="2025-10-29T00:00:00"/>
    <s v="IA1830"/>
    <s v="Raj,Gowtham"/>
    <n v="138.72549663844038"/>
    <d v="2025-10-29T00:00:00"/>
    <n v="4"/>
    <x v="6"/>
    <s v="Junior"/>
  </r>
  <r>
    <n v="67262"/>
    <x v="0"/>
    <s v="01192806"/>
    <x v="3"/>
    <d v="2025-10-30T00:00:00"/>
    <s v="IA1757"/>
    <s v="Thirunavukkarasu,Kishore"/>
    <n v="69.362748319220188"/>
    <d v="2025-10-30T00:00:00"/>
    <n v="2"/>
    <x v="6"/>
    <s v="Developer"/>
  </r>
  <r>
    <n v="67262"/>
    <x v="0"/>
    <s v="01192806"/>
    <x v="3"/>
    <d v="2025-10-30T00:00:00"/>
    <s v="IA1830"/>
    <s v="Raj,Gowtham"/>
    <n v="104.04412247883027"/>
    <d v="2025-10-30T00:00:00"/>
    <n v="3"/>
    <x v="6"/>
    <s v="Junior"/>
  </r>
  <r>
    <n v="67262"/>
    <x v="0"/>
    <s v="01192806"/>
    <x v="3"/>
    <d v="2025-10-31T00:00:00"/>
    <s v="IA1450"/>
    <s v="Selvam,Kadarkarai"/>
    <n v="138.72549663844038"/>
    <d v="2025-10-31T00:00:00"/>
    <n v="4"/>
    <x v="6"/>
    <s v="Lead Developer"/>
  </r>
  <r>
    <n v="67262"/>
    <x v="0"/>
    <s v="01192806"/>
    <x v="3"/>
    <d v="2025-10-31T00:00:00"/>
    <s v="IA1757"/>
    <s v="Thirunavukkarasu,Kishore"/>
    <n v="173.40687079805048"/>
    <d v="2025-10-31T00:00:00"/>
    <n v="5"/>
    <x v="6"/>
    <s v="Developer"/>
  </r>
  <r>
    <n v="67262"/>
    <x v="0"/>
    <s v="01192806"/>
    <x v="3"/>
    <d v="2025-10-31T00:00:00"/>
    <s v="IA1830"/>
    <s v="Raj,Gowtham"/>
    <n v="138.72549663844038"/>
    <d v="2025-10-31T00:00:00"/>
    <n v="4"/>
    <x v="6"/>
    <s v="Junior"/>
  </r>
  <r>
    <n v="67262"/>
    <x v="0"/>
    <s v="01192806"/>
    <x v="3"/>
    <d v="2025-11-03T00:00:00"/>
    <s v="IA1830"/>
    <s v="Raj,Gowtham"/>
    <n v="138.72549663844038"/>
    <d v="2025-11-03T00:00:00"/>
    <n v="4"/>
    <x v="7"/>
    <s v="Junior"/>
  </r>
  <r>
    <n v="67262"/>
    <x v="0"/>
    <s v="01192806"/>
    <x v="3"/>
    <d v="2025-11-04T00:00:00"/>
    <s v="IA1830"/>
    <s v="Raj,Gowtham"/>
    <n v="173.40687079805048"/>
    <d v="2025-11-04T00:00:00"/>
    <n v="5"/>
    <x v="7"/>
    <s v="Junior"/>
  </r>
  <r>
    <n v="67262"/>
    <x v="0"/>
    <s v="01192806"/>
    <x v="3"/>
    <d v="2025-11-05T00:00:00"/>
    <s v="IA1830"/>
    <s v="Raj,Gowtham"/>
    <n v="138.72549663844038"/>
    <d v="2025-11-05T00:00:00"/>
    <n v="4"/>
    <x v="7"/>
    <s v="Junior"/>
  </r>
  <r>
    <n v="67262"/>
    <x v="0"/>
    <s v="01192806"/>
    <x v="3"/>
    <d v="2025-11-06T00:00:00"/>
    <s v="IA1830"/>
    <s v="Raj,Gowtham"/>
    <n v="69.362748319220188"/>
    <d v="2025-11-06T00:00:00"/>
    <n v="2"/>
    <x v="7"/>
    <s v="Junior"/>
  </r>
  <r>
    <n v="67262"/>
    <x v="0"/>
    <s v="01192806"/>
    <x v="3"/>
    <d v="2025-11-10T00:00:00"/>
    <s v="IA1690"/>
    <s v="Duraisamy,Manikandaprabu"/>
    <n v="277.45099327688075"/>
    <d v="2025-11-10T00:00:00"/>
    <n v="8"/>
    <x v="7"/>
    <s v="Developer"/>
  </r>
  <r>
    <n v="67262"/>
    <x v="0"/>
    <s v="01192806"/>
    <x v="3"/>
    <d v="2025-11-11T00:00:00"/>
    <s v="IA1830"/>
    <s v="Raj,Gowtham"/>
    <n v="69.362748319220188"/>
    <d v="2025-11-11T00:00:00"/>
    <n v="2"/>
    <x v="7"/>
    <s v="Junior"/>
  </r>
  <r>
    <n v="67262"/>
    <x v="0"/>
    <s v="01192806"/>
    <x v="3"/>
    <d v="2025-11-12T00:00:00"/>
    <s v="IA1690"/>
    <s v="Duraisamy,Manikandaprabu"/>
    <n v="104.04412247883027"/>
    <d v="2025-11-12T00:00:00"/>
    <n v="3"/>
    <x v="7"/>
    <s v="Developer"/>
  </r>
  <r>
    <n v="67262"/>
    <x v="0"/>
    <s v="01192806"/>
    <x v="3"/>
    <d v="2025-11-12T00:00:00"/>
    <s v="IA1830"/>
    <s v="Raj,Gowtham"/>
    <n v="69.362748319220188"/>
    <d v="2025-11-12T00:00:00"/>
    <n v="2"/>
    <x v="7"/>
    <s v="Junior"/>
  </r>
  <r>
    <n v="67262"/>
    <x v="0"/>
    <s v="01192806"/>
    <x v="3"/>
    <d v="2025-11-17T00:00:00"/>
    <s v="IA1690"/>
    <s v="Duraisamy,Manikandaprabu"/>
    <n v="277.45099327688075"/>
    <d v="2025-11-17T00:00:00"/>
    <n v="8"/>
    <x v="7"/>
    <s v="Developer"/>
  </r>
  <r>
    <n v="67262"/>
    <x v="0"/>
    <s v="01192806"/>
    <x v="3"/>
    <d v="2025-11-17T00:00:00"/>
    <s v="IA1430"/>
    <s v="Subburajan,Jawahar"/>
    <n v="277.45099327688075"/>
    <d v="2025-11-17T00:00:00"/>
    <n v="8"/>
    <x v="7"/>
    <s v="Lead Developer"/>
  </r>
  <r>
    <n v="67262"/>
    <x v="0"/>
    <s v="01192806"/>
    <x v="3"/>
    <d v="2025-11-17T00:00:00"/>
    <s v="IA1830"/>
    <s v="Raj,Gowtham"/>
    <n v="69.362748319220188"/>
    <d v="2025-11-17T00:00:00"/>
    <n v="2"/>
    <x v="7"/>
    <s v="Junior"/>
  </r>
  <r>
    <n v="67262"/>
    <x v="0"/>
    <s v="01192806"/>
    <x v="3"/>
    <d v="2025-11-17T00:00:00"/>
    <s v="IA1450"/>
    <s v="Selvam,Kadarkarai"/>
    <n v="69.362748319220188"/>
    <d v="2025-11-17T00:00:00"/>
    <n v="2"/>
    <x v="7"/>
    <s v="Lead Developer"/>
  </r>
  <r>
    <n v="67262"/>
    <x v="0"/>
    <s v="01192806"/>
    <x v="3"/>
    <d v="2025-11-18T00:00:00"/>
    <s v="IA1690"/>
    <s v="Duraisamy,Manikandaprabu"/>
    <n v="138.72549663844038"/>
    <d v="2025-11-18T00:00:00"/>
    <n v="4"/>
    <x v="7"/>
    <s v="Developer"/>
  </r>
  <r>
    <n v="67262"/>
    <x v="0"/>
    <s v="01192806"/>
    <x v="3"/>
    <d v="2025-11-18T00:00:00"/>
    <s v="IA1830"/>
    <s v="Raj,Gowtham"/>
    <n v="104.04412247883027"/>
    <d v="2025-11-18T00:00:00"/>
    <n v="3"/>
    <x v="7"/>
    <s v="Junior"/>
  </r>
  <r>
    <n v="67262"/>
    <x v="0"/>
    <s v="01192806"/>
    <x v="3"/>
    <d v="2025-11-18T00:00:00"/>
    <s v="IA1450"/>
    <s v="Selvam,Kadarkarai"/>
    <n v="69.362748319220188"/>
    <d v="2025-11-18T00:00:00"/>
    <n v="2"/>
    <x v="7"/>
    <s v="Lead Developer"/>
  </r>
  <r>
    <n v="67262"/>
    <x v="0"/>
    <s v="01192806"/>
    <x v="3"/>
    <d v="2026-02-10T00:00:00"/>
    <s v="IA1750"/>
    <s v="Sankarasubbu,RAMANATHAN"/>
    <n v="260.11030619707572"/>
    <d v="2026-02-10T00:00:00"/>
    <n v="7.5"/>
    <x v="0"/>
    <s v="Developer"/>
  </r>
  <r>
    <n v="67262"/>
    <x v="0"/>
    <s v="01192806"/>
    <x v="3"/>
    <d v="2025-11-19T00:00:00"/>
    <s v="IA1690"/>
    <s v="Duraisamy,Manikandaprabu"/>
    <n v="138.72549663844038"/>
    <d v="2025-11-19T00:00:00"/>
    <n v="4"/>
    <x v="7"/>
    <s v="Developer"/>
  </r>
  <r>
    <n v="67262"/>
    <x v="0"/>
    <s v="01192806"/>
    <x v="3"/>
    <d v="2025-11-19T00:00:00"/>
    <s v="IA1830"/>
    <s v="Raj,Gowtham"/>
    <n v="138.72549663844038"/>
    <d v="2025-11-19T00:00:00"/>
    <n v="4"/>
    <x v="7"/>
    <s v="Junior"/>
  </r>
  <r>
    <n v="67262"/>
    <x v="0"/>
    <s v="01192806"/>
    <x v="3"/>
    <d v="2025-11-19T00:00:00"/>
    <s v="IA1765"/>
    <s v="Kumar,Saravana"/>
    <n v="69.362748319220188"/>
    <d v="2025-11-19T00:00:00"/>
    <n v="2"/>
    <x v="7"/>
    <s v="Developer"/>
  </r>
  <r>
    <n v="67262"/>
    <x v="0"/>
    <s v="01192806"/>
    <x v="3"/>
    <d v="2025-11-20T00:00:00"/>
    <s v="IA1690"/>
    <s v="Duraisamy,Manikandaprabu"/>
    <n v="138.72549663844038"/>
    <d v="2025-11-20T00:00:00"/>
    <n v="4"/>
    <x v="7"/>
    <s v="Developer"/>
  </r>
  <r>
    <n v="67262"/>
    <x v="0"/>
    <s v="01192806"/>
    <x v="3"/>
    <d v="2025-11-21T00:00:00"/>
    <s v="IA1690"/>
    <s v="Duraisamy,Manikandaprabu"/>
    <n v="208.08824495766055"/>
    <d v="2025-11-21T00:00:00"/>
    <n v="6"/>
    <x v="7"/>
    <s v="Developer"/>
  </r>
  <r>
    <n v="67262"/>
    <x v="0"/>
    <s v="01192806"/>
    <x v="3"/>
    <d v="2025-11-24T00:00:00"/>
    <s v="IA1690"/>
    <s v="Duraisamy,Manikandaprabu"/>
    <n v="104.04412247883027"/>
    <d v="2025-11-24T00:00:00"/>
    <n v="3"/>
    <x v="7"/>
    <s v="Developer"/>
  </r>
  <r>
    <n v="67262"/>
    <x v="0"/>
    <s v="01192806"/>
    <x v="3"/>
    <d v="2025-11-24T00:00:00"/>
    <s v="IA1830"/>
    <s v="Raj,Gowtham"/>
    <n v="208.08824495766055"/>
    <d v="2025-11-24T00:00:00"/>
    <n v="6"/>
    <x v="7"/>
    <s v="Junior"/>
  </r>
  <r>
    <n v="67262"/>
    <x v="0"/>
    <s v="01192806"/>
    <x v="3"/>
    <d v="2025-11-24T00:00:00"/>
    <s v="IA1421"/>
    <s v="Jayapal,Muruganandham"/>
    <n v="34.681374159610094"/>
    <d v="2025-11-24T00:00:00"/>
    <n v="1"/>
    <x v="7"/>
    <s v="Engg Manager"/>
  </r>
  <r>
    <n v="67262"/>
    <x v="0"/>
    <s v="01192806"/>
    <x v="3"/>
    <d v="2025-11-25T00:00:00"/>
    <s v="IA1690"/>
    <s v="Duraisamy,Manikandaprabu"/>
    <n v="69.362748319220188"/>
    <d v="2025-11-25T00:00:00"/>
    <n v="2"/>
    <x v="7"/>
    <s v="Developer"/>
  </r>
  <r>
    <n v="67262"/>
    <x v="0"/>
    <s v="01192806"/>
    <x v="3"/>
    <d v="2025-11-25T00:00:00"/>
    <s v="IA1830"/>
    <s v="Raj,Gowtham"/>
    <n v="208.08824495766055"/>
    <d v="2025-11-25T00:00:00"/>
    <n v="6"/>
    <x v="7"/>
    <s v="Junior"/>
  </r>
  <r>
    <n v="67262"/>
    <x v="0"/>
    <s v="01192806"/>
    <x v="3"/>
    <d v="2026-02-12T00:00:00"/>
    <s v="IA1750"/>
    <s v="Sankarasubbu,RAMANATHAN"/>
    <n v="260.11030619707572"/>
    <d v="2026-02-12T00:00:00"/>
    <n v="7.5"/>
    <x v="0"/>
    <s v="Developer"/>
  </r>
  <r>
    <n v="67262"/>
    <x v="0"/>
    <s v="01192806"/>
    <x v="3"/>
    <d v="2025-11-25T00:00:00"/>
    <s v="IA1450"/>
    <s v="Selvam,Kadarkarai"/>
    <n v="69.362748319220188"/>
    <d v="2025-11-25T00:00:00"/>
    <n v="2"/>
    <x v="7"/>
    <s v="Lead Developer"/>
  </r>
  <r>
    <n v="67262"/>
    <x v="0"/>
    <s v="01192806"/>
    <x v="3"/>
    <d v="2025-11-26T00:00:00"/>
    <s v="IA1830"/>
    <s v="Raj,Gowtham"/>
    <n v="69.362748319220188"/>
    <d v="2025-11-26T00:00:00"/>
    <n v="2"/>
    <x v="7"/>
    <s v="Junior"/>
  </r>
  <r>
    <n v="67260"/>
    <x v="2"/>
    <s v="01199839"/>
    <x v="18"/>
    <d v="2026-02-13T00:00:00"/>
    <s v="IA1750"/>
    <s v="Sankarasubbu,RAMANATHAN"/>
    <n v="260.11030619707572"/>
    <d v="2026-02-13T00:00:00"/>
    <n v="7.5"/>
    <x v="0"/>
    <s v="Developer"/>
  </r>
  <r>
    <n v="67262"/>
    <x v="0"/>
    <s v="01192806"/>
    <x v="3"/>
    <d v="2025-11-27T00:00:00"/>
    <s v="IA1757"/>
    <s v="Thirunavukkarasu,Kishore"/>
    <n v="138.72549663844038"/>
    <d v="2025-11-27T00:00:00"/>
    <n v="4"/>
    <x v="7"/>
    <s v="Developer"/>
  </r>
  <r>
    <n v="67262"/>
    <x v="0"/>
    <s v="01192806"/>
    <x v="3"/>
    <d v="2025-11-27T00:00:00"/>
    <s v="IA1830"/>
    <s v="Raj,Gowtham"/>
    <n v="173.40687079805048"/>
    <d v="2025-11-27T00:00:00"/>
    <n v="5"/>
    <x v="7"/>
    <s v="Junior"/>
  </r>
  <r>
    <n v="67262"/>
    <x v="0"/>
    <s v="01192806"/>
    <x v="3"/>
    <d v="2025-11-27T00:00:00"/>
    <s v="IA1765"/>
    <s v="Kumar,Saravana"/>
    <n v="277.45099327688075"/>
    <d v="2025-11-27T00:00:00"/>
    <n v="8"/>
    <x v="7"/>
    <s v="Developer"/>
  </r>
  <r>
    <n v="67262"/>
    <x v="0"/>
    <s v="01192806"/>
    <x v="3"/>
    <d v="2025-11-27T00:00:00"/>
    <s v="IA1450"/>
    <s v="Selvam,Kadarkarai"/>
    <n v="69.362748319220188"/>
    <d v="2025-11-27T00:00:00"/>
    <n v="2"/>
    <x v="7"/>
    <s v="Lead Developer"/>
  </r>
  <r>
    <n v="67262"/>
    <x v="0"/>
    <s v="01192806"/>
    <x v="3"/>
    <d v="2025-11-28T00:00:00"/>
    <s v="IA1757"/>
    <s v="Thirunavukkarasu,Kishore"/>
    <n v="138.72549663844038"/>
    <d v="2025-11-28T00:00:00"/>
    <n v="4"/>
    <x v="7"/>
    <s v="Developer"/>
  </r>
  <r>
    <n v="67262"/>
    <x v="0"/>
    <s v="01192806"/>
    <x v="3"/>
    <d v="2025-11-28T00:00:00"/>
    <s v="IA1830"/>
    <s v="Raj,Gowtham"/>
    <n v="173.40687079805048"/>
    <d v="2025-11-28T00:00:00"/>
    <n v="5"/>
    <x v="7"/>
    <s v="Junior"/>
  </r>
  <r>
    <n v="67262"/>
    <x v="0"/>
    <s v="01192806"/>
    <x v="3"/>
    <d v="2025-11-28T00:00:00"/>
    <s v="IA1450"/>
    <s v="Selvam,Kadarkarai"/>
    <n v="242.76961911727065"/>
    <d v="2025-11-28T00:00:00"/>
    <n v="7"/>
    <x v="7"/>
    <s v="Lead Developer"/>
  </r>
  <r>
    <n v="67262"/>
    <x v="0"/>
    <s v="01192806"/>
    <x v="3"/>
    <d v="2026-02-17T00:00:00"/>
    <s v="IA1750"/>
    <s v="Sankarasubbu,RAMANATHAN"/>
    <n v="260.11030619707572"/>
    <d v="2026-02-17T00:00:00"/>
    <n v="7.5"/>
    <x v="0"/>
    <s v="Developer"/>
  </r>
  <r>
    <n v="67262"/>
    <x v="0"/>
    <s v="01192806"/>
    <x v="3"/>
    <d v="2025-12-01T00:00:00"/>
    <s v="IA1690"/>
    <s v="Duraisamy,Manikandaprabu"/>
    <n v="277.45099327688075"/>
    <d v="2025-12-01T00:00:00"/>
    <n v="8"/>
    <x v="8"/>
    <s v="Developer"/>
  </r>
  <r>
    <n v="67262"/>
    <x v="0"/>
    <s v="01192806"/>
    <x v="3"/>
    <d v="2025-12-01T00:00:00"/>
    <s v="IA1765"/>
    <s v="Kumar,Saravana"/>
    <n v="34.681374159610094"/>
    <d v="2025-12-01T00:00:00"/>
    <n v="1"/>
    <x v="8"/>
    <s v="Developer"/>
  </r>
  <r>
    <n v="67262"/>
    <x v="0"/>
    <s v="01192806"/>
    <x v="3"/>
    <d v="2025-12-01T00:00:00"/>
    <s v="IA1830"/>
    <s v="Raj,Gowtham"/>
    <n v="208.08824495766055"/>
    <d v="2025-12-01T00:00:00"/>
    <n v="6"/>
    <x v="8"/>
    <s v="Junior"/>
  </r>
  <r>
    <n v="67262"/>
    <x v="0"/>
    <s v="01192806"/>
    <x v="3"/>
    <d v="2025-12-01T00:00:00"/>
    <s v="IA1450"/>
    <s v="Selvam,Kadarkarai"/>
    <n v="208.08824495766055"/>
    <d v="2025-12-01T00:00:00"/>
    <n v="6"/>
    <x v="8"/>
    <s v="Lead Developer"/>
  </r>
  <r>
    <n v="67262"/>
    <x v="0"/>
    <s v="01192806"/>
    <x v="3"/>
    <d v="2025-12-01T00:00:00"/>
    <s v="IA1793"/>
    <s v="Subramanian,Ruthrakkanth"/>
    <n v="34.681374159610094"/>
    <d v="2025-12-01T00:00:00"/>
    <n v="1"/>
    <x v="8"/>
    <s v="Developer"/>
  </r>
  <r>
    <n v="67262"/>
    <x v="0"/>
    <s v="01192806"/>
    <x v="3"/>
    <d v="2025-12-02T00:00:00"/>
    <s v="IA1690"/>
    <s v="Duraisamy,Manikandaprabu"/>
    <n v="277.45099327688075"/>
    <d v="2025-12-02T00:00:00"/>
    <n v="8"/>
    <x v="8"/>
    <s v="Developer"/>
  </r>
  <r>
    <n v="67262"/>
    <x v="0"/>
    <s v="01192806"/>
    <x v="3"/>
    <d v="2025-12-02T00:00:00"/>
    <s v="IA1765"/>
    <s v="Kumar,Saravana"/>
    <n v="34.681374159610094"/>
    <d v="2025-12-02T00:00:00"/>
    <n v="1"/>
    <x v="8"/>
    <s v="Developer"/>
  </r>
  <r>
    <n v="67262"/>
    <x v="0"/>
    <s v="01192806"/>
    <x v="3"/>
    <d v="2025-12-02T00:00:00"/>
    <s v="IA1430"/>
    <s v="Subburajan,Jawahar"/>
    <n v="242.76961911727065"/>
    <d v="2025-12-02T00:00:00"/>
    <n v="7"/>
    <x v="8"/>
    <s v="Lead Developer"/>
  </r>
  <r>
    <n v="67262"/>
    <x v="0"/>
    <s v="01192806"/>
    <x v="3"/>
    <d v="2025-12-02T00:00:00"/>
    <s v="IA1830"/>
    <s v="Raj,Gowtham"/>
    <n v="208.08824495766055"/>
    <d v="2025-12-02T00:00:00"/>
    <n v="6"/>
    <x v="8"/>
    <s v="Junior"/>
  </r>
  <r>
    <n v="67262"/>
    <x v="0"/>
    <s v="01192806"/>
    <x v="3"/>
    <d v="2025-12-02T00:00:00"/>
    <s v="IA1793"/>
    <s v="Subramanian,Ruthrakkanth"/>
    <n v="34.681374159610094"/>
    <d v="2025-12-02T00:00:00"/>
    <n v="1"/>
    <x v="8"/>
    <s v="Developer"/>
  </r>
  <r>
    <n v="67262"/>
    <x v="0"/>
    <s v="01192806"/>
    <x v="3"/>
    <d v="2025-12-02T00:00:00"/>
    <s v="IA1450"/>
    <s v="Selvam,Kadarkarai"/>
    <n v="173.40687079805048"/>
    <d v="2025-12-02T00:00:00"/>
    <n v="5"/>
    <x v="8"/>
    <s v="Lead Developer"/>
  </r>
  <r>
    <n v="67262"/>
    <x v="0"/>
    <s v="01192806"/>
    <x v="3"/>
    <d v="2025-12-03T00:00:00"/>
    <s v="IA1690"/>
    <s v="Duraisamy,Manikandaprabu"/>
    <n v="34.681374159610094"/>
    <d v="2025-12-03T00:00:00"/>
    <n v="1"/>
    <x v="8"/>
    <s v="Developer"/>
  </r>
  <r>
    <n v="67260"/>
    <x v="2"/>
    <s v="01199839"/>
    <x v="18"/>
    <d v="2026-02-18T00:00:00"/>
    <s v="IA1750"/>
    <s v="Sankarasubbu,RAMANATHAN"/>
    <n v="260.11030619707572"/>
    <d v="2026-02-18T00:00:00"/>
    <n v="7.5"/>
    <x v="0"/>
    <s v="Developer"/>
  </r>
  <r>
    <n v="67262"/>
    <x v="0"/>
    <s v="01192806"/>
    <x v="3"/>
    <d v="2025-12-03T00:00:00"/>
    <s v="IA1830"/>
    <s v="Raj,Gowtham"/>
    <n v="208.08824495766055"/>
    <d v="2025-12-03T00:00:00"/>
    <n v="6"/>
    <x v="8"/>
    <s v="Junior"/>
  </r>
  <r>
    <n v="67262"/>
    <x v="0"/>
    <s v="01192806"/>
    <x v="3"/>
    <d v="2025-12-03T00:00:00"/>
    <s v="IA1793"/>
    <s v="Subramanian,Ruthrakkanth"/>
    <n v="34.681374159610094"/>
    <d v="2025-12-03T00:00:00"/>
    <n v="1"/>
    <x v="8"/>
    <s v="Developer"/>
  </r>
  <r>
    <n v="67262"/>
    <x v="0"/>
    <s v="01192806"/>
    <x v="3"/>
    <d v="2025-12-03T00:00:00"/>
    <s v="IA1450"/>
    <s v="Selvam,Kadarkarai"/>
    <n v="69.362748319220188"/>
    <d v="2025-12-03T00:00:00"/>
    <n v="2"/>
    <x v="8"/>
    <s v="Lead Developer"/>
  </r>
  <r>
    <n v="67262"/>
    <x v="0"/>
    <s v="01192806"/>
    <x v="3"/>
    <d v="2025-12-04T00:00:00"/>
    <s v="IA1690"/>
    <s v="Duraisamy,Manikandaprabu"/>
    <n v="208.08824495766055"/>
    <d v="2025-12-04T00:00:00"/>
    <n v="6"/>
    <x v="8"/>
    <s v="Developer"/>
  </r>
  <r>
    <n v="67262"/>
    <x v="0"/>
    <s v="01192806"/>
    <x v="3"/>
    <d v="2025-12-04T00:00:00"/>
    <s v="IA1830"/>
    <s v="Raj,Gowtham"/>
    <n v="208.08824495766055"/>
    <d v="2025-12-04T00:00:00"/>
    <n v="6"/>
    <x v="8"/>
    <s v="Junior"/>
  </r>
  <r>
    <n v="67262"/>
    <x v="0"/>
    <s v="01192806"/>
    <x v="3"/>
    <d v="2025-12-04T00:00:00"/>
    <s v="IA1793"/>
    <s v="Subramanian,Ruthrakkanth"/>
    <n v="34.681374159610094"/>
    <d v="2025-12-04T00:00:00"/>
    <n v="1"/>
    <x v="8"/>
    <s v="Developer"/>
  </r>
  <r>
    <n v="67262"/>
    <x v="0"/>
    <s v="01192806"/>
    <x v="3"/>
    <d v="2025-12-05T00:00:00"/>
    <s v="IA1765"/>
    <s v="Kumar,Saravana"/>
    <n v="34.681374159610094"/>
    <d v="2025-12-05T00:00:00"/>
    <n v="1"/>
    <x v="8"/>
    <s v="Developer"/>
  </r>
  <r>
    <n v="67262"/>
    <x v="0"/>
    <s v="01192806"/>
    <x v="3"/>
    <d v="2025-12-05T00:00:00"/>
    <s v="IA1830"/>
    <s v="Raj,Gowtham"/>
    <n v="208.08824495766055"/>
    <d v="2025-12-05T00:00:00"/>
    <n v="6"/>
    <x v="8"/>
    <s v="Junior"/>
  </r>
  <r>
    <n v="67262"/>
    <x v="0"/>
    <s v="01192806"/>
    <x v="3"/>
    <d v="2025-12-05T00:00:00"/>
    <s v="IA1793"/>
    <s v="Subramanian,Ruthrakkanth"/>
    <n v="34.681374159610094"/>
    <d v="2025-12-05T00:00:00"/>
    <n v="1"/>
    <x v="8"/>
    <s v="Developer"/>
  </r>
  <r>
    <n v="67262"/>
    <x v="0"/>
    <s v="01192806"/>
    <x v="3"/>
    <d v="2025-12-08T00:00:00"/>
    <s v="IA1690"/>
    <s v="Duraisamy,Manikandaprabu"/>
    <n v="208.08824495766055"/>
    <d v="2025-12-08T00:00:00"/>
    <n v="6"/>
    <x v="8"/>
    <s v="Developer"/>
  </r>
  <r>
    <n v="67262"/>
    <x v="0"/>
    <s v="01192806"/>
    <x v="3"/>
    <d v="2025-12-08T00:00:00"/>
    <s v="IA1757"/>
    <s v="Thirunavukkarasu,Kishore"/>
    <n v="277.45099327688075"/>
    <d v="2025-12-08T00:00:00"/>
    <n v="8"/>
    <x v="8"/>
    <s v="Developer"/>
  </r>
  <r>
    <n v="67260"/>
    <x v="2"/>
    <s v="01199839"/>
    <x v="18"/>
    <d v="2026-02-19T00:00:00"/>
    <s v="IA1750"/>
    <s v="Sankarasubbu,RAMANATHAN"/>
    <n v="260.11030619707572"/>
    <d v="2026-02-19T00:00:00"/>
    <n v="7.5"/>
    <x v="0"/>
    <s v="Developer"/>
  </r>
  <r>
    <n v="67262"/>
    <x v="0"/>
    <s v="01192806"/>
    <x v="3"/>
    <d v="2025-12-08T00:00:00"/>
    <s v="IA1830"/>
    <s v="Raj,Gowtham"/>
    <n v="34.681374159610094"/>
    <d v="2025-12-08T00:00:00"/>
    <n v="1"/>
    <x v="8"/>
    <s v="Junior"/>
  </r>
  <r>
    <n v="67262"/>
    <x v="0"/>
    <s v="01192806"/>
    <x v="3"/>
    <d v="2025-12-08T00:00:00"/>
    <s v="IA1450"/>
    <s v="Selvam,Kadarkarai"/>
    <n v="242.76961911727065"/>
    <d v="2025-12-08T00:00:00"/>
    <n v="7"/>
    <x v="8"/>
    <s v="Lead Developer"/>
  </r>
  <r>
    <n v="67262"/>
    <x v="0"/>
    <s v="01192806"/>
    <x v="3"/>
    <d v="2025-12-08T00:00:00"/>
    <s v="IA1793"/>
    <s v="Subramanian,Ruthrakkanth"/>
    <n v="277.45099327688075"/>
    <d v="2025-12-08T00:00:00"/>
    <n v="8"/>
    <x v="8"/>
    <s v="Developer"/>
  </r>
  <r>
    <n v="67262"/>
    <x v="0"/>
    <s v="01192806"/>
    <x v="3"/>
    <d v="2025-12-09T00:00:00"/>
    <s v="IA1690"/>
    <s v="Duraisamy,Manikandaprabu"/>
    <n v="242.76961911727065"/>
    <d v="2025-12-09T00:00:00"/>
    <n v="7"/>
    <x v="8"/>
    <s v="Developer"/>
  </r>
  <r>
    <n v="67262"/>
    <x v="0"/>
    <s v="01192806"/>
    <x v="3"/>
    <d v="2025-12-09T00:00:00"/>
    <s v="IA1757"/>
    <s v="Thirunavukkarasu,Kishore"/>
    <n v="277.45099327688075"/>
    <d v="2025-12-09T00:00:00"/>
    <n v="8"/>
    <x v="8"/>
    <s v="Developer"/>
  </r>
  <r>
    <n v="67262"/>
    <x v="0"/>
    <s v="01192806"/>
    <x v="3"/>
    <d v="2025-12-09T00:00:00"/>
    <s v="IA1830"/>
    <s v="Raj,Gowtham"/>
    <n v="34.681374159610094"/>
    <d v="2025-12-09T00:00:00"/>
    <n v="1"/>
    <x v="8"/>
    <s v="Junior"/>
  </r>
  <r>
    <n v="67262"/>
    <x v="0"/>
    <s v="01192806"/>
    <x v="3"/>
    <d v="2025-12-09T00:00:00"/>
    <s v="IA1450"/>
    <s v="Selvam,Kadarkarai"/>
    <n v="277.45099327688075"/>
    <d v="2025-12-09T00:00:00"/>
    <n v="8"/>
    <x v="8"/>
    <s v="Lead Developer"/>
  </r>
  <r>
    <n v="67262"/>
    <x v="0"/>
    <s v="01192806"/>
    <x v="3"/>
    <d v="2025-12-10T00:00:00"/>
    <s v="IA1690"/>
    <s v="Duraisamy,Manikandaprabu"/>
    <n v="138.72549663844038"/>
    <d v="2025-12-10T00:00:00"/>
    <n v="4"/>
    <x v="8"/>
    <s v="Developer"/>
  </r>
  <r>
    <n v="67262"/>
    <x v="0"/>
    <s v="01192806"/>
    <x v="3"/>
    <d v="2025-12-10T00:00:00"/>
    <s v="IA1757"/>
    <s v="Thirunavukkarasu,Kishore"/>
    <n v="277.45099327688075"/>
    <d v="2025-12-10T00:00:00"/>
    <n v="8"/>
    <x v="8"/>
    <s v="Developer"/>
  </r>
  <r>
    <n v="67262"/>
    <x v="0"/>
    <s v="01192806"/>
    <x v="3"/>
    <d v="2025-12-10T00:00:00"/>
    <s v="IA1830"/>
    <s v="Raj,Gowtham"/>
    <n v="208.08824495766055"/>
    <d v="2025-12-10T00:00:00"/>
    <n v="6"/>
    <x v="8"/>
    <s v="Junior"/>
  </r>
  <r>
    <n v="67262"/>
    <x v="0"/>
    <s v="01192806"/>
    <x v="3"/>
    <d v="2026-02-23T00:00:00"/>
    <s v="IA1750"/>
    <s v="Sankarasubbu,RAMANATHAN"/>
    <n v="260.11030619707572"/>
    <d v="2026-02-23T00:00:00"/>
    <n v="7.5"/>
    <x v="0"/>
    <s v="Developer"/>
  </r>
  <r>
    <n v="67262"/>
    <x v="0"/>
    <s v="01192806"/>
    <x v="3"/>
    <d v="2025-12-10T00:00:00"/>
    <s v="IA1450"/>
    <s v="Selvam,Kadarkarai"/>
    <n v="208.08824495766055"/>
    <d v="2025-12-10T00:00:00"/>
    <n v="6"/>
    <x v="8"/>
    <s v="Lead Developer"/>
  </r>
  <r>
    <n v="67262"/>
    <x v="0"/>
    <s v="01192806"/>
    <x v="3"/>
    <d v="2025-12-10T00:00:00"/>
    <s v="IA1765"/>
    <s v="Kumar,Saravana"/>
    <n v="34.681374159610094"/>
    <d v="2025-12-10T00:00:00"/>
    <n v="1"/>
    <x v="8"/>
    <s v="Developer"/>
  </r>
  <r>
    <n v="67262"/>
    <x v="0"/>
    <s v="01192806"/>
    <x v="3"/>
    <d v="2025-12-09T00:00:00"/>
    <s v="IA1793"/>
    <s v="Subramanian,Ruthrakkanth"/>
    <n v="277.45099327688075"/>
    <d v="2025-12-09T00:00:00"/>
    <n v="8"/>
    <x v="8"/>
    <s v="Developer"/>
  </r>
  <r>
    <n v="67262"/>
    <x v="0"/>
    <s v="01192806"/>
    <x v="3"/>
    <d v="2025-12-10T00:00:00"/>
    <s v="IA1793"/>
    <s v="Subramanian,Ruthrakkanth"/>
    <n v="277.45099327688075"/>
    <d v="2025-12-10T00:00:00"/>
    <n v="8"/>
    <x v="8"/>
    <s v="Developer"/>
  </r>
  <r>
    <n v="67262"/>
    <x v="0"/>
    <s v="01192806"/>
    <x v="3"/>
    <d v="2025-12-11T00:00:00"/>
    <s v="IA1830"/>
    <s v="Raj,Gowtham"/>
    <n v="208.08824495766055"/>
    <d v="2025-12-11T00:00:00"/>
    <n v="6"/>
    <x v="8"/>
    <s v="Junior"/>
  </r>
  <r>
    <n v="67262"/>
    <x v="0"/>
    <s v="01192806"/>
    <x v="3"/>
    <d v="2025-12-11T00:00:00"/>
    <s v="IA1450"/>
    <s v="Selvam,Kadarkarai"/>
    <n v="208.08824495766055"/>
    <d v="2025-12-11T00:00:00"/>
    <n v="6"/>
    <x v="8"/>
    <s v="Lead Developer"/>
  </r>
  <r>
    <n v="67262"/>
    <x v="0"/>
    <s v="01192806"/>
    <x v="3"/>
    <d v="2025-12-11T00:00:00"/>
    <s v="IA1793"/>
    <s v="Subramanian,Ruthrakkanth"/>
    <n v="34.681374159610094"/>
    <d v="2025-12-11T00:00:00"/>
    <n v="1"/>
    <x v="8"/>
    <s v="Developer"/>
  </r>
  <r>
    <n v="67262"/>
    <x v="0"/>
    <s v="01192806"/>
    <x v="3"/>
    <d v="2025-12-11T00:00:00"/>
    <s v="IA1765"/>
    <s v="Kumar,Saravana"/>
    <n v="34.681374159610094"/>
    <d v="2025-12-11T00:00:00"/>
    <n v="1"/>
    <x v="8"/>
    <s v="Developer"/>
  </r>
  <r>
    <n v="67262"/>
    <x v="0"/>
    <s v="01192806"/>
    <x v="3"/>
    <d v="2026-02-24T00:00:00"/>
    <s v="IA1750"/>
    <s v="Sankarasubbu,RAMANATHAN"/>
    <n v="260.11030619707572"/>
    <d v="2026-02-24T00:00:00"/>
    <n v="7.5"/>
    <x v="0"/>
    <s v="Developer"/>
  </r>
  <r>
    <n v="67262"/>
    <x v="0"/>
    <s v="01192806"/>
    <x v="3"/>
    <d v="2025-12-12T00:00:00"/>
    <s v="IA1450"/>
    <s v="Selvam,Kadarkarai"/>
    <n v="208.08824495766055"/>
    <d v="2025-12-12T00:00:00"/>
    <n v="6"/>
    <x v="8"/>
    <s v="Lead Developer"/>
  </r>
  <r>
    <n v="67262"/>
    <x v="0"/>
    <s v="01192806"/>
    <x v="3"/>
    <d v="2025-12-12T00:00:00"/>
    <s v="IA1793"/>
    <s v="Subramanian,Ruthrakkanth"/>
    <n v="34.681374159610094"/>
    <d v="2025-12-12T00:00:00"/>
    <n v="1"/>
    <x v="8"/>
    <s v="Developer"/>
  </r>
  <r>
    <n v="67262"/>
    <x v="0"/>
    <s v="01192806"/>
    <x v="3"/>
    <d v="2025-12-15T00:00:00"/>
    <s v="IA1765"/>
    <s v="Kumar,Saravana"/>
    <n v="277.45099327688075"/>
    <d v="2025-12-15T00:00:00"/>
    <n v="8"/>
    <x v="8"/>
    <s v="Developer"/>
  </r>
  <r>
    <n v="67262"/>
    <x v="0"/>
    <s v="01192806"/>
    <x v="3"/>
    <d v="2025-12-15T00:00:00"/>
    <s v="IA1830"/>
    <s v="Raj,Gowtham"/>
    <n v="208.08824495766055"/>
    <d v="2025-12-15T00:00:00"/>
    <n v="6"/>
    <x v="8"/>
    <s v="Junior"/>
  </r>
  <r>
    <n v="67262"/>
    <x v="0"/>
    <s v="01192806"/>
    <x v="3"/>
    <d v="2025-12-16T00:00:00"/>
    <s v="IA1757"/>
    <s v="Thirunavukkarasu,Kishore"/>
    <n v="138.72549663844038"/>
    <d v="2025-12-16T00:00:00"/>
    <n v="4"/>
    <x v="8"/>
    <s v="Developer"/>
  </r>
  <r>
    <n v="67262"/>
    <x v="0"/>
    <s v="01192806"/>
    <x v="3"/>
    <d v="2025-12-16T00:00:00"/>
    <s v="IA1765"/>
    <s v="Kumar,Saravana"/>
    <n v="277.45099327688075"/>
    <d v="2025-12-16T00:00:00"/>
    <n v="8"/>
    <x v="8"/>
    <s v="Developer"/>
  </r>
  <r>
    <n v="67262"/>
    <x v="0"/>
    <s v="01192806"/>
    <x v="3"/>
    <d v="2025-12-16T00:00:00"/>
    <s v="IA1830"/>
    <s v="Raj,Gowtham"/>
    <n v="208.08824495766055"/>
    <d v="2025-12-16T00:00:00"/>
    <n v="6"/>
    <x v="8"/>
    <s v="Junior"/>
  </r>
  <r>
    <n v="67262"/>
    <x v="0"/>
    <s v="01192806"/>
    <x v="3"/>
    <d v="2025-12-17T00:00:00"/>
    <s v="IA1450"/>
    <s v="Selvam,Kadarkarai"/>
    <n v="69.362748319220188"/>
    <d v="2025-12-17T00:00:00"/>
    <n v="2"/>
    <x v="8"/>
    <s v="Lead Developer"/>
  </r>
  <r>
    <n v="67262"/>
    <x v="0"/>
    <s v="01192806"/>
    <x v="3"/>
    <d v="2025-12-17T00:00:00"/>
    <s v="IA1765"/>
    <s v="Kumar,Saravana"/>
    <n v="242.76961911727065"/>
    <d v="2025-12-17T00:00:00"/>
    <n v="7"/>
    <x v="8"/>
    <s v="Developer"/>
  </r>
  <r>
    <n v="67262"/>
    <x v="0"/>
    <s v="01192806"/>
    <x v="3"/>
    <d v="2025-12-17T00:00:00"/>
    <s v="IA1830"/>
    <s v="Raj,Gowtham"/>
    <n v="208.08824495766055"/>
    <d v="2025-12-17T00:00:00"/>
    <n v="6"/>
    <x v="8"/>
    <s v="Junior"/>
  </r>
  <r>
    <n v="67262"/>
    <x v="0"/>
    <s v="01192806"/>
    <x v="3"/>
    <d v="2025-12-18T00:00:00"/>
    <s v="IA1450"/>
    <s v="Selvam,Kadarkarai"/>
    <n v="138.72549663844038"/>
    <d v="2025-12-18T00:00:00"/>
    <n v="4"/>
    <x v="8"/>
    <s v="Lead Developer"/>
  </r>
  <r>
    <n v="67262"/>
    <x v="0"/>
    <s v="01192806"/>
    <x v="3"/>
    <d v="2025-12-18T00:00:00"/>
    <s v="IA1765"/>
    <s v="Kumar,Saravana"/>
    <n v="242.76961911727065"/>
    <d v="2025-12-18T00:00:00"/>
    <n v="7"/>
    <x v="8"/>
    <s v="Developer"/>
  </r>
  <r>
    <n v="67262"/>
    <x v="0"/>
    <s v="01192806"/>
    <x v="3"/>
    <d v="2025-12-18T00:00:00"/>
    <s v="IA1830"/>
    <s v="Raj,Gowtham"/>
    <n v="208.08824495766055"/>
    <d v="2025-12-18T00:00:00"/>
    <n v="6"/>
    <x v="8"/>
    <s v="Junior"/>
  </r>
  <r>
    <n v="67262"/>
    <x v="0"/>
    <s v="01192806"/>
    <x v="3"/>
    <d v="2025-12-19T00:00:00"/>
    <s v="IA1690"/>
    <s v="Duraisamy,Manikandaprabu"/>
    <n v="173.40687079805048"/>
    <d v="2025-12-19T00:00:00"/>
    <n v="5"/>
    <x v="8"/>
    <s v="Developer"/>
  </r>
  <r>
    <n v="67262"/>
    <x v="0"/>
    <s v="01192806"/>
    <x v="3"/>
    <d v="2025-12-19T00:00:00"/>
    <s v="IA1830"/>
    <s v="Raj,Gowtham"/>
    <n v="208.08824495766055"/>
    <d v="2025-12-19T00:00:00"/>
    <n v="6"/>
    <x v="8"/>
    <s v="Junior"/>
  </r>
  <r>
    <n v="67262"/>
    <x v="0"/>
    <s v="01192806"/>
    <x v="3"/>
    <d v="2025-12-22T00:00:00"/>
    <s v="IA1690"/>
    <s v="Duraisamy,Manikandaprabu"/>
    <n v="277.45099327688075"/>
    <d v="2025-12-22T00:00:00"/>
    <n v="8"/>
    <x v="8"/>
    <s v="Developer"/>
  </r>
  <r>
    <n v="67262"/>
    <x v="0"/>
    <s v="01192806"/>
    <x v="3"/>
    <d v="2025-12-22T00:00:00"/>
    <s v="IA1450"/>
    <s v="Selvam,Kadarkarai"/>
    <n v="104.04412247883027"/>
    <d v="2025-12-22T00:00:00"/>
    <n v="3"/>
    <x v="8"/>
    <s v="Lead Developer"/>
  </r>
  <r>
    <n v="67262"/>
    <x v="0"/>
    <s v="01192806"/>
    <x v="3"/>
    <d v="2025-12-22T00:00:00"/>
    <s v="IA1830"/>
    <s v="Raj,Gowtham"/>
    <n v="208.08824495766055"/>
    <d v="2025-12-22T00:00:00"/>
    <n v="6"/>
    <x v="8"/>
    <s v="Junior"/>
  </r>
  <r>
    <n v="67262"/>
    <x v="0"/>
    <s v="01192806"/>
    <x v="3"/>
    <d v="2025-12-23T00:00:00"/>
    <s v="IA1690"/>
    <s v="Duraisamy,Manikandaprabu"/>
    <n v="277.45099327688075"/>
    <d v="2025-12-23T00:00:00"/>
    <n v="8"/>
    <x v="8"/>
    <s v="Developer"/>
  </r>
  <r>
    <n v="67262"/>
    <x v="0"/>
    <s v="01192806"/>
    <x v="3"/>
    <d v="2025-12-23T00:00:00"/>
    <s v="IA1830"/>
    <s v="Raj,Gowtham"/>
    <n v="208.08824495766055"/>
    <d v="2025-12-23T00:00:00"/>
    <n v="6"/>
    <x v="8"/>
    <s v="Junior"/>
  </r>
  <r>
    <n v="67262"/>
    <x v="0"/>
    <s v="01192806"/>
    <x v="3"/>
    <d v="2025-12-22T00:00:00"/>
    <s v="IA1765"/>
    <s v="Kumar,Saravana"/>
    <n v="277.45099327688075"/>
    <d v="2025-12-22T00:00:00"/>
    <n v="8"/>
    <x v="8"/>
    <s v="Developer"/>
  </r>
  <r>
    <n v="67262"/>
    <x v="0"/>
    <s v="01192806"/>
    <x v="3"/>
    <d v="2025-12-23T00:00:00"/>
    <s v="IA1765"/>
    <s v="Kumar,Saravana"/>
    <n v="277.45099327688075"/>
    <d v="2025-12-23T00:00:00"/>
    <n v="8"/>
    <x v="8"/>
    <s v="Developer"/>
  </r>
  <r>
    <n v="67262"/>
    <x v="0"/>
    <s v="01192806"/>
    <x v="3"/>
    <d v="2025-12-24T00:00:00"/>
    <s v="IA1690"/>
    <s v="Duraisamy,Manikandaprabu"/>
    <n v="277.45099327688075"/>
    <d v="2025-12-24T00:00:00"/>
    <n v="8"/>
    <x v="8"/>
    <s v="Developer"/>
  </r>
  <r>
    <n v="67262"/>
    <x v="0"/>
    <s v="01192806"/>
    <x v="3"/>
    <d v="2025-12-24T00:00:00"/>
    <s v="IA1450"/>
    <s v="Selvam,Kadarkarai"/>
    <n v="34.681374159610094"/>
    <d v="2025-12-24T00:00:00"/>
    <n v="1"/>
    <x v="8"/>
    <s v="Lead Developer"/>
  </r>
  <r>
    <n v="67262"/>
    <x v="0"/>
    <s v="01192806"/>
    <x v="3"/>
    <d v="2025-12-24T00:00:00"/>
    <s v="IA1830"/>
    <s v="Raj,Gowtham"/>
    <n v="208.08824495766055"/>
    <d v="2025-12-24T00:00:00"/>
    <n v="6"/>
    <x v="8"/>
    <s v="Junior"/>
  </r>
  <r>
    <n v="67262"/>
    <x v="0"/>
    <s v="01192806"/>
    <x v="3"/>
    <d v="2025-12-26T00:00:00"/>
    <s v="IA1690"/>
    <s v="Duraisamy,Manikandaprabu"/>
    <n v="277.45099327688075"/>
    <d v="2025-12-26T00:00:00"/>
    <n v="8"/>
    <x v="8"/>
    <s v="Developer"/>
  </r>
  <r>
    <n v="67262"/>
    <x v="0"/>
    <s v="01192806"/>
    <x v="3"/>
    <d v="2025-12-26T00:00:00"/>
    <s v="IA1793"/>
    <s v="Subramanian,Ruthrakkanth"/>
    <n v="69.362748319220188"/>
    <d v="2025-12-26T00:00:00"/>
    <n v="2"/>
    <x v="8"/>
    <s v="Developer"/>
  </r>
  <r>
    <n v="67262"/>
    <x v="0"/>
    <s v="01192806"/>
    <x v="3"/>
    <d v="2025-12-29T00:00:00"/>
    <s v="IA1690"/>
    <s v="Duraisamy,Manikandaprabu"/>
    <n v="277.45099327688075"/>
    <d v="2025-12-29T00:00:00"/>
    <n v="8"/>
    <x v="8"/>
    <s v="Developer"/>
  </r>
  <r>
    <n v="67262"/>
    <x v="0"/>
    <s v="01192806"/>
    <x v="3"/>
    <d v="2025-12-30T00:00:00"/>
    <s v="IA1830"/>
    <s v="Raj,Gowtham"/>
    <n v="208.08824495766055"/>
    <d v="2025-12-30T00:00:00"/>
    <n v="6"/>
    <x v="8"/>
    <s v="Junior"/>
  </r>
  <r>
    <n v="67262"/>
    <x v="0"/>
    <s v="01192806"/>
    <x v="3"/>
    <d v="2025-12-31T00:00:00"/>
    <s v="IA1830"/>
    <s v="Raj,Gowtham"/>
    <n v="208.08824495766055"/>
    <d v="2025-12-31T00:00:00"/>
    <n v="6"/>
    <x v="8"/>
    <s v="Junior"/>
  </r>
  <r>
    <n v="67262"/>
    <x v="0"/>
    <s v="01192806"/>
    <x v="3"/>
    <d v="2025-12-31T00:00:00"/>
    <s v="IA1690"/>
    <s v="Duraisamy,Manikandaprabu"/>
    <n v="277.45099327688075"/>
    <d v="2025-12-31T00:00:00"/>
    <n v="8"/>
    <x v="8"/>
    <s v="Developer"/>
  </r>
  <r>
    <n v="67262"/>
    <x v="0"/>
    <s v="01192806"/>
    <x v="3"/>
    <d v="2026-01-02T00:00:00"/>
    <s v="IA1830"/>
    <s v="Raj,Gowtham"/>
    <n v="242.76961911727065"/>
    <d v="2026-01-02T00:00:00"/>
    <n v="7"/>
    <x v="9"/>
    <s v="Junior"/>
  </r>
  <r>
    <n v="67262"/>
    <x v="0"/>
    <s v="01192806"/>
    <x v="3"/>
    <d v="2026-01-02T00:00:00"/>
    <s v="IA1690"/>
    <s v="Duraisamy,Manikandaprabu"/>
    <n v="277.45099327688075"/>
    <d v="2026-01-02T00:00:00"/>
    <n v="8"/>
    <x v="9"/>
    <s v="Developer"/>
  </r>
  <r>
    <n v="67262"/>
    <x v="0"/>
    <s v="01192806"/>
    <x v="3"/>
    <d v="2026-01-02T00:00:00"/>
    <s v="IA1765"/>
    <s v="Kumar,Saravana"/>
    <n v="277.45099327688075"/>
    <d v="2026-01-02T00:00:00"/>
    <n v="8"/>
    <x v="9"/>
    <s v="Developer"/>
  </r>
  <r>
    <n v="67262"/>
    <x v="0"/>
    <s v="01192806"/>
    <x v="3"/>
    <d v="2026-01-05T00:00:00"/>
    <s v="IA1765"/>
    <s v="Kumar,Saravana"/>
    <n v="242.76961911727065"/>
    <d v="2026-01-05T00:00:00"/>
    <n v="7"/>
    <x v="9"/>
    <s v="Developer"/>
  </r>
  <r>
    <n v="67262"/>
    <x v="0"/>
    <s v="01192806"/>
    <x v="3"/>
    <d v="2026-01-06T00:00:00"/>
    <s v="IA1765"/>
    <s v="Kumar,Saravana"/>
    <n v="242.76961911727065"/>
    <d v="2026-01-06T00:00:00"/>
    <n v="7"/>
    <x v="9"/>
    <s v="Developer"/>
  </r>
  <r>
    <n v="67262"/>
    <x v="0"/>
    <s v="01192806"/>
    <x v="3"/>
    <d v="2026-01-06T00:00:00"/>
    <s v="IA1830"/>
    <s v="Raj,Gowtham"/>
    <n v="208.08824495766055"/>
    <d v="2026-01-06T00:00:00"/>
    <n v="6"/>
    <x v="9"/>
    <s v="Junior"/>
  </r>
  <r>
    <n v="67262"/>
    <x v="0"/>
    <s v="01192806"/>
    <x v="3"/>
    <d v="2026-01-07T00:00:00"/>
    <s v="IA1690"/>
    <s v="Duraisamy,Manikandaprabu"/>
    <n v="277.45099327688075"/>
    <d v="2026-01-07T00:00:00"/>
    <n v="8"/>
    <x v="9"/>
    <s v="Developer"/>
  </r>
  <r>
    <n v="67262"/>
    <x v="0"/>
    <s v="01192806"/>
    <x v="3"/>
    <d v="2026-01-07T00:00:00"/>
    <s v="IA1765"/>
    <s v="Kumar,Saravana"/>
    <n v="277.45099327688075"/>
    <d v="2026-01-07T00:00:00"/>
    <n v="8"/>
    <x v="9"/>
    <s v="Developer"/>
  </r>
  <r>
    <n v="67262"/>
    <x v="0"/>
    <s v="01192806"/>
    <x v="3"/>
    <d v="2026-01-07T00:00:00"/>
    <s v="IA1830"/>
    <s v="Raj,Gowtham"/>
    <n v="208.08824495766055"/>
    <d v="2026-01-07T00:00:00"/>
    <n v="6"/>
    <x v="9"/>
    <s v="Junior"/>
  </r>
  <r>
    <n v="67262"/>
    <x v="0"/>
    <s v="01192806"/>
    <x v="3"/>
    <d v="2026-01-08T00:00:00"/>
    <s v="IA1765"/>
    <s v="Kumar,Saravana"/>
    <n v="277.45099327688075"/>
    <d v="2026-01-08T00:00:00"/>
    <n v="8"/>
    <x v="9"/>
    <s v="Developer"/>
  </r>
  <r>
    <n v="67262"/>
    <x v="0"/>
    <s v="01192806"/>
    <x v="3"/>
    <d v="2026-01-08T00:00:00"/>
    <s v="IA1830"/>
    <s v="Raj,Gowtham"/>
    <n v="208.08824495766055"/>
    <d v="2026-01-08T00:00:00"/>
    <n v="6"/>
    <x v="9"/>
    <s v="Junior"/>
  </r>
  <r>
    <n v="67262"/>
    <x v="0"/>
    <s v="01192806"/>
    <x v="3"/>
    <d v="2026-01-08T00:00:00"/>
    <s v="IA1793"/>
    <s v="Subramanian,Ruthrakkanth"/>
    <n v="138.72549663844038"/>
    <d v="2026-01-08T00:00:00"/>
    <n v="4"/>
    <x v="9"/>
    <s v="Developer"/>
  </r>
  <r>
    <n v="67262"/>
    <x v="0"/>
    <s v="01192806"/>
    <x v="3"/>
    <d v="2026-01-08T00:00:00"/>
    <s v="IA1690"/>
    <s v="Duraisamy,Manikandaprabu"/>
    <n v="277.45099327688075"/>
    <d v="2026-01-08T00:00:00"/>
    <n v="8"/>
    <x v="9"/>
    <s v="Developer"/>
  </r>
  <r>
    <n v="67262"/>
    <x v="0"/>
    <s v="01192806"/>
    <x v="3"/>
    <d v="2026-01-09T00:00:00"/>
    <s v="IA1830"/>
    <s v="Raj,Gowtham"/>
    <n v="208.08824495766055"/>
    <d v="2026-01-09T00:00:00"/>
    <n v="6"/>
    <x v="9"/>
    <s v="Junior"/>
  </r>
  <r>
    <n v="67262"/>
    <x v="0"/>
    <s v="01192806"/>
    <x v="3"/>
    <d v="2026-01-09T00:00:00"/>
    <s v="IA1793"/>
    <s v="Subramanian,Ruthrakkanth"/>
    <n v="242.76961911727065"/>
    <d v="2026-01-09T00:00:00"/>
    <n v="7"/>
    <x v="9"/>
    <s v="Developer"/>
  </r>
  <r>
    <n v="67262"/>
    <x v="0"/>
    <s v="01192806"/>
    <x v="3"/>
    <d v="2026-01-09T00:00:00"/>
    <s v="IA1690"/>
    <s v="Duraisamy,Manikandaprabu"/>
    <n v="277.45099327688075"/>
    <d v="2026-01-09T00:00:00"/>
    <n v="8"/>
    <x v="9"/>
    <s v="Developer"/>
  </r>
  <r>
    <n v="67262"/>
    <x v="0"/>
    <s v="01192806"/>
    <x v="3"/>
    <d v="2026-01-12T00:00:00"/>
    <s v="IA1690"/>
    <s v="Duraisamy,Manikandaprabu"/>
    <n v="277.45099327688075"/>
    <d v="2026-01-12T00:00:00"/>
    <n v="8"/>
    <x v="9"/>
    <s v="Developer"/>
  </r>
  <r>
    <n v="67262"/>
    <x v="0"/>
    <s v="01192806"/>
    <x v="3"/>
    <d v="2026-01-12T00:00:00"/>
    <s v="IA1793"/>
    <s v="Subramanian,Ruthrakkanth"/>
    <n v="242.76961911727065"/>
    <d v="2026-01-12T00:00:00"/>
    <n v="7"/>
    <x v="9"/>
    <s v="Developer"/>
  </r>
  <r>
    <n v="67262"/>
    <x v="0"/>
    <s v="01192806"/>
    <x v="3"/>
    <d v="2026-01-12T00:00:00"/>
    <s v="IA1830"/>
    <s v="Raj,Gowtham"/>
    <n v="190.74755787785551"/>
    <d v="2026-01-12T00:00:00"/>
    <n v="5.5"/>
    <x v="9"/>
    <s v="Junior"/>
  </r>
  <r>
    <n v="67262"/>
    <x v="0"/>
    <s v="01192806"/>
    <x v="3"/>
    <d v="2026-01-12T00:00:00"/>
    <s v="IA1765"/>
    <s v="Kumar,Saravana"/>
    <n v="242.76961911727065"/>
    <d v="2026-01-12T00:00:00"/>
    <n v="7"/>
    <x v="9"/>
    <s v="Developer"/>
  </r>
  <r>
    <n v="67262"/>
    <x v="0"/>
    <s v="01192806"/>
    <x v="3"/>
    <d v="2026-01-13T00:00:00"/>
    <s v="IA1793"/>
    <s v="Subramanian,Ruthrakkanth"/>
    <n v="242.76961911727065"/>
    <d v="2026-01-13T00:00:00"/>
    <n v="7"/>
    <x v="9"/>
    <s v="Developer"/>
  </r>
  <r>
    <n v="67262"/>
    <x v="0"/>
    <s v="01192806"/>
    <x v="3"/>
    <d v="2026-01-13T00:00:00"/>
    <s v="IA1830"/>
    <s v="Raj,Gowtham"/>
    <n v="190.74755787785551"/>
    <d v="2026-01-13T00:00:00"/>
    <n v="5.5"/>
    <x v="9"/>
    <s v="Junior"/>
  </r>
  <r>
    <n v="67262"/>
    <x v="0"/>
    <s v="01192806"/>
    <x v="3"/>
    <d v="2026-01-13T00:00:00"/>
    <s v="IA1765"/>
    <s v="Kumar,Saravana"/>
    <n v="242.76961911727065"/>
    <d v="2026-01-13T00:00:00"/>
    <n v="7"/>
    <x v="9"/>
    <s v="Developer"/>
  </r>
  <r>
    <n v="67262"/>
    <x v="0"/>
    <s v="01192806"/>
    <x v="3"/>
    <d v="2026-01-14T00:00:00"/>
    <s v="IA1830"/>
    <s v="Raj,Gowtham"/>
    <n v="190.74755787785551"/>
    <d v="2026-01-14T00:00:00"/>
    <n v="5.5"/>
    <x v="9"/>
    <s v="Junior"/>
  </r>
  <r>
    <n v="67262"/>
    <x v="0"/>
    <s v="01192806"/>
    <x v="3"/>
    <d v="2026-01-14T00:00:00"/>
    <s v="IA1765"/>
    <s v="Kumar,Saravana"/>
    <n v="242.76961911727065"/>
    <d v="2026-01-14T00:00:00"/>
    <n v="7"/>
    <x v="9"/>
    <s v="Developer"/>
  </r>
  <r>
    <n v="67262"/>
    <x v="0"/>
    <s v="01192806"/>
    <x v="3"/>
    <d v="2026-01-16T00:00:00"/>
    <s v="IA1830"/>
    <s v="Raj,Gowtham"/>
    <n v="208.08824495766055"/>
    <d v="2026-01-16T00:00:00"/>
    <n v="6"/>
    <x v="9"/>
    <s v="Junior"/>
  </r>
  <r>
    <n v="67262"/>
    <x v="0"/>
    <s v="01192806"/>
    <x v="3"/>
    <d v="2026-01-19T00:00:00"/>
    <s v="IA1765"/>
    <s v="Kumar,Saravana"/>
    <n v="242.76961911727065"/>
    <d v="2026-01-19T00:00:00"/>
    <n v="7"/>
    <x v="9"/>
    <s v="Developer"/>
  </r>
  <r>
    <n v="67262"/>
    <x v="0"/>
    <s v="01192806"/>
    <x v="3"/>
    <d v="2026-01-19T00:00:00"/>
    <s v="IA1757"/>
    <s v="Thirunavukkarasu,Kishore"/>
    <n v="138.72549663844038"/>
    <d v="2026-01-19T00:00:00"/>
    <n v="4"/>
    <x v="9"/>
    <s v="Developer"/>
  </r>
  <r>
    <n v="67262"/>
    <x v="0"/>
    <s v="01192806"/>
    <x v="3"/>
    <d v="2026-01-19T00:00:00"/>
    <s v="IA1430"/>
    <s v="Subburajan,Jawahar"/>
    <n v="242.76961911727065"/>
    <d v="2026-01-19T00:00:00"/>
    <n v="7"/>
    <x v="9"/>
    <s v="Lead Developer"/>
  </r>
  <r>
    <n v="67262"/>
    <x v="0"/>
    <s v="01192806"/>
    <x v="3"/>
    <d v="2026-01-19T00:00:00"/>
    <s v="IA1450"/>
    <s v="Selvam,Kadarkarai"/>
    <n v="104.04412247883027"/>
    <d v="2026-01-19T00:00:00"/>
    <n v="3"/>
    <x v="9"/>
    <s v="Lead Developer"/>
  </r>
  <r>
    <n v="67262"/>
    <x v="0"/>
    <s v="01192806"/>
    <x v="3"/>
    <d v="2026-01-20T00:00:00"/>
    <s v="IA1757"/>
    <s v="Thirunavukkarasu,Kishore"/>
    <n v="138.72549663844038"/>
    <d v="2026-01-20T00:00:00"/>
    <n v="4"/>
    <x v="9"/>
    <s v="Developer"/>
  </r>
  <r>
    <n v="67262"/>
    <x v="0"/>
    <s v="01192806"/>
    <x v="3"/>
    <d v="2026-01-20T00:00:00"/>
    <s v="IA1430"/>
    <s v="Subburajan,Jawahar"/>
    <n v="138.72549663844038"/>
    <d v="2026-01-20T00:00:00"/>
    <n v="4"/>
    <x v="9"/>
    <s v="Lead Developer"/>
  </r>
  <r>
    <n v="67262"/>
    <x v="0"/>
    <s v="01192806"/>
    <x v="3"/>
    <d v="2026-01-20T00:00:00"/>
    <s v="IA1830"/>
    <s v="Raj,Gowtham"/>
    <n v="173.40687079805048"/>
    <d v="2026-01-20T00:00:00"/>
    <n v="5"/>
    <x v="9"/>
    <s v="Junior"/>
  </r>
  <r>
    <n v="67262"/>
    <x v="0"/>
    <s v="01192806"/>
    <x v="3"/>
    <d v="2026-01-20T00:00:00"/>
    <s v="IA1450"/>
    <s v="Selvam,Kadarkarai"/>
    <n v="138.72549663844038"/>
    <d v="2026-01-20T00:00:00"/>
    <n v="4"/>
    <x v="9"/>
    <s v="Lead Developer"/>
  </r>
  <r>
    <n v="67262"/>
    <x v="0"/>
    <s v="01192806"/>
    <x v="3"/>
    <d v="2026-01-21T00:00:00"/>
    <s v="IA1421"/>
    <s v="Jayapal,Muruganandham"/>
    <n v="69.362748319220188"/>
    <d v="2026-01-21T00:00:00"/>
    <n v="2"/>
    <x v="9"/>
    <s v="Engg Manager"/>
  </r>
  <r>
    <n v="67262"/>
    <x v="0"/>
    <s v="01192806"/>
    <x v="3"/>
    <d v="2026-01-21T00:00:00"/>
    <s v="IA1690"/>
    <s v="Duraisamy,Manikandaprabu"/>
    <n v="173.40687079805048"/>
    <d v="2026-01-21T00:00:00"/>
    <n v="5"/>
    <x v="9"/>
    <s v="Developer"/>
  </r>
  <r>
    <n v="67262"/>
    <x v="0"/>
    <s v="01192806"/>
    <x v="3"/>
    <d v="2026-01-21T00:00:00"/>
    <s v="IA1765"/>
    <s v="Kumar,Saravana"/>
    <n v="242.76961911727065"/>
    <d v="2026-01-21T00:00:00"/>
    <n v="7"/>
    <x v="9"/>
    <s v="Developer"/>
  </r>
  <r>
    <n v="67262"/>
    <x v="0"/>
    <s v="01192806"/>
    <x v="3"/>
    <d v="2026-01-21T00:00:00"/>
    <s v="IA1793"/>
    <s v="Subramanian,Ruthrakkanth"/>
    <n v="242.76961911727065"/>
    <d v="2026-01-21T00:00:00"/>
    <n v="7"/>
    <x v="9"/>
    <s v="Developer"/>
  </r>
  <r>
    <n v="67262"/>
    <x v="0"/>
    <s v="01192806"/>
    <x v="3"/>
    <d v="2026-01-21T00:00:00"/>
    <s v="IA1757"/>
    <s v="Thirunavukkarasu,Kishore"/>
    <n v="138.72549663844038"/>
    <d v="2026-01-21T00:00:00"/>
    <n v="4"/>
    <x v="9"/>
    <s v="Developer"/>
  </r>
  <r>
    <n v="67262"/>
    <x v="0"/>
    <s v="01192806"/>
    <x v="3"/>
    <d v="2026-01-21T00:00:00"/>
    <s v="IA1830"/>
    <s v="Raj,Gowtham"/>
    <n v="225.42893203746561"/>
    <d v="2026-01-21T00:00:00"/>
    <n v="6.5"/>
    <x v="9"/>
    <s v="Junior"/>
  </r>
  <r>
    <n v="67262"/>
    <x v="0"/>
    <s v="01192806"/>
    <x v="3"/>
    <d v="2026-01-22T00:00:00"/>
    <s v="IA1421"/>
    <s v="Jayapal,Muruganandham"/>
    <n v="69.362748319220188"/>
    <d v="2026-01-22T00:00:00"/>
    <n v="2"/>
    <x v="9"/>
    <s v="Engg Manager"/>
  </r>
  <r>
    <n v="67262"/>
    <x v="0"/>
    <s v="01192806"/>
    <x v="3"/>
    <d v="2026-01-22T00:00:00"/>
    <s v="IA1765"/>
    <s v="Kumar,Saravana"/>
    <n v="242.76961911727065"/>
    <d v="2026-01-22T00:00:00"/>
    <n v="7"/>
    <x v="9"/>
    <s v="Developer"/>
  </r>
  <r>
    <n v="67262"/>
    <x v="0"/>
    <s v="01192806"/>
    <x v="3"/>
    <d v="2026-01-22T00:00:00"/>
    <s v="IA1757"/>
    <s v="Thirunavukkarasu,Kishore"/>
    <n v="277.45099327688075"/>
    <d v="2026-01-22T00:00:00"/>
    <n v="8"/>
    <x v="9"/>
    <s v="Developer"/>
  </r>
  <r>
    <n v="67262"/>
    <x v="0"/>
    <s v="01192806"/>
    <x v="3"/>
    <d v="2026-01-22T00:00:00"/>
    <s v="IA1830"/>
    <s v="Raj,Gowtham"/>
    <n v="225.42893203746561"/>
    <d v="2026-01-22T00:00:00"/>
    <n v="6.5"/>
    <x v="9"/>
    <s v="Junior"/>
  </r>
  <r>
    <n v="67262"/>
    <x v="0"/>
    <s v="01192806"/>
    <x v="3"/>
    <d v="2026-01-22T00:00:00"/>
    <s v="IA1450"/>
    <s v="Selvam,Kadarkarai"/>
    <n v="138.72549663844038"/>
    <d v="2026-01-22T00:00:00"/>
    <n v="4"/>
    <x v="9"/>
    <s v="Lead Developer"/>
  </r>
  <r>
    <n v="67262"/>
    <x v="0"/>
    <s v="01192806"/>
    <x v="3"/>
    <d v="2026-01-23T00:00:00"/>
    <s v="IA1421"/>
    <s v="Jayapal,Muruganandham"/>
    <n v="69.362748319220188"/>
    <d v="2026-01-23T00:00:00"/>
    <n v="2"/>
    <x v="9"/>
    <s v="Engg Manager"/>
  </r>
  <r>
    <n v="67262"/>
    <x v="0"/>
    <s v="01192806"/>
    <x v="3"/>
    <d v="2026-01-23T00:00:00"/>
    <s v="IA1690"/>
    <s v="Duraisamy,Manikandaprabu"/>
    <n v="173.40687079805048"/>
    <d v="2026-01-23T00:00:00"/>
    <n v="5"/>
    <x v="9"/>
    <s v="Developer"/>
  </r>
  <r>
    <n v="67262"/>
    <x v="0"/>
    <s v="01192806"/>
    <x v="3"/>
    <d v="2026-01-23T00:00:00"/>
    <s v="IA1765"/>
    <s v="Kumar,Saravana"/>
    <n v="242.76961911727065"/>
    <d v="2026-01-23T00:00:00"/>
    <n v="7"/>
    <x v="9"/>
    <s v="Developer"/>
  </r>
  <r>
    <n v="67262"/>
    <x v="0"/>
    <s v="01192806"/>
    <x v="3"/>
    <d v="2026-01-23T00:00:00"/>
    <s v="IA1757"/>
    <s v="Thirunavukkarasu,Kishore"/>
    <n v="277.45099327688075"/>
    <d v="2026-01-23T00:00:00"/>
    <n v="8"/>
    <x v="9"/>
    <s v="Developer"/>
  </r>
  <r>
    <n v="67262"/>
    <x v="0"/>
    <s v="01192806"/>
    <x v="3"/>
    <d v="2026-01-23T00:00:00"/>
    <s v="IA1830"/>
    <s v="Raj,Gowtham"/>
    <n v="208.08824495766055"/>
    <d v="2026-01-23T00:00:00"/>
    <n v="6"/>
    <x v="9"/>
    <s v="Junior"/>
  </r>
  <r>
    <n v="67262"/>
    <x v="0"/>
    <s v="01192806"/>
    <x v="3"/>
    <d v="2026-01-27T00:00:00"/>
    <s v="IA1690"/>
    <s v="Duraisamy,Manikandaprabu"/>
    <n v="277.45099327688075"/>
    <d v="2026-01-27T00:00:00"/>
    <n v="8"/>
    <x v="9"/>
    <s v="Developer"/>
  </r>
  <r>
    <n v="67262"/>
    <x v="0"/>
    <s v="01192806"/>
    <x v="3"/>
    <d v="2026-01-27T00:00:00"/>
    <s v="IA1765"/>
    <s v="Kumar,Saravana"/>
    <n v="104.04412247883027"/>
    <d v="2026-01-27T00:00:00"/>
    <n v="3"/>
    <x v="9"/>
    <s v="Developer"/>
  </r>
  <r>
    <n v="67262"/>
    <x v="0"/>
    <s v="01192806"/>
    <x v="3"/>
    <d v="2026-01-27T00:00:00"/>
    <s v="IA1757"/>
    <s v="Thirunavukkarasu,Kishore"/>
    <n v="277.45099327688075"/>
    <d v="2026-01-27T00:00:00"/>
    <n v="8"/>
    <x v="9"/>
    <s v="Developer"/>
  </r>
  <r>
    <n v="67262"/>
    <x v="0"/>
    <s v="01192806"/>
    <x v="3"/>
    <d v="2026-01-28T00:00:00"/>
    <s v="IA1690"/>
    <s v="Duraisamy,Manikandaprabu"/>
    <n v="277.45099327688075"/>
    <d v="2026-01-28T00:00:00"/>
    <n v="8"/>
    <x v="9"/>
    <s v="Developer"/>
  </r>
  <r>
    <n v="67262"/>
    <x v="0"/>
    <s v="01192806"/>
    <x v="3"/>
    <d v="2026-01-28T00:00:00"/>
    <s v="IA1757"/>
    <s v="Thirunavukkarasu,Kishore"/>
    <n v="277.45099327688075"/>
    <d v="2026-01-28T00:00:00"/>
    <n v="8"/>
    <x v="9"/>
    <s v="Developer"/>
  </r>
  <r>
    <n v="67262"/>
    <x v="0"/>
    <s v="01192806"/>
    <x v="3"/>
    <d v="2026-01-27T00:00:00"/>
    <s v="IA1830"/>
    <s v="Raj,Gowtham"/>
    <n v="208.08824495766055"/>
    <d v="2026-01-27T00:00:00"/>
    <n v="6"/>
    <x v="9"/>
    <s v="Junior"/>
  </r>
  <r>
    <n v="67262"/>
    <x v="0"/>
    <s v="01192806"/>
    <x v="3"/>
    <d v="2026-01-28T00:00:00"/>
    <s v="IA1830"/>
    <s v="Raj,Gowtham"/>
    <n v="208.08824495766055"/>
    <d v="2026-01-28T00:00:00"/>
    <n v="6"/>
    <x v="9"/>
    <s v="Junior"/>
  </r>
  <r>
    <n v="67262"/>
    <x v="0"/>
    <s v="01192806"/>
    <x v="3"/>
    <d v="2026-01-29T00:00:00"/>
    <s v="IA1430"/>
    <s v="Subburajan,Jawahar"/>
    <n v="242.76961911727065"/>
    <d v="2026-01-29T00:00:00"/>
    <n v="7"/>
    <x v="9"/>
    <s v="Lead Developer"/>
  </r>
  <r>
    <n v="67262"/>
    <x v="0"/>
    <s v="01192806"/>
    <x v="3"/>
    <d v="2026-02-25T00:00:00"/>
    <s v="IA1750"/>
    <s v="Sankarasubbu,RAMANATHAN"/>
    <n v="260.11030619707572"/>
    <d v="2026-02-25T00:00:00"/>
    <n v="7.5"/>
    <x v="0"/>
    <s v="Developer"/>
  </r>
  <r>
    <n v="67262"/>
    <x v="0"/>
    <s v="01192806"/>
    <x v="3"/>
    <d v="2026-01-29T00:00:00"/>
    <s v="IA1690"/>
    <s v="Duraisamy,Manikandaprabu"/>
    <n v="138.72549663844038"/>
    <d v="2026-01-29T00:00:00"/>
    <n v="4"/>
    <x v="9"/>
    <s v="Developer"/>
  </r>
  <r>
    <n v="67262"/>
    <x v="0"/>
    <s v="01192806"/>
    <x v="3"/>
    <d v="2026-01-29T00:00:00"/>
    <s v="IA1765"/>
    <s v="Kumar,Saravana"/>
    <n v="242.76961911727065"/>
    <d v="2026-01-29T00:00:00"/>
    <n v="7"/>
    <x v="9"/>
    <s v="Developer"/>
  </r>
  <r>
    <n v="67262"/>
    <x v="0"/>
    <s v="01192806"/>
    <x v="3"/>
    <d v="2026-01-29T00:00:00"/>
    <s v="IA1757"/>
    <s v="Thirunavukkarasu,Kishore"/>
    <n v="277.45099327688075"/>
    <d v="2026-01-29T00:00:00"/>
    <n v="8"/>
    <x v="9"/>
    <s v="Developer"/>
  </r>
  <r>
    <n v="67262"/>
    <x v="0"/>
    <s v="01192806"/>
    <x v="3"/>
    <d v="2026-01-29T00:00:00"/>
    <s v="IA1830"/>
    <s v="Raj,Gowtham"/>
    <n v="208.08824495766055"/>
    <d v="2026-01-29T00:00:00"/>
    <n v="6"/>
    <x v="9"/>
    <s v="Junior"/>
  </r>
  <r>
    <n v="67262"/>
    <x v="0"/>
    <s v="01192806"/>
    <x v="3"/>
    <d v="2026-01-30T00:00:00"/>
    <s v="IA1430"/>
    <s v="Subburajan,Jawahar"/>
    <n v="242.76961911727065"/>
    <d v="2026-01-30T00:00:00"/>
    <n v="7"/>
    <x v="9"/>
    <s v="Lead Developer"/>
  </r>
  <r>
    <n v="67262"/>
    <x v="0"/>
    <s v="01192806"/>
    <x v="3"/>
    <d v="2026-01-30T00:00:00"/>
    <s v="IA1690"/>
    <s v="Duraisamy,Manikandaprabu"/>
    <n v="277.45099327688075"/>
    <d v="2026-01-30T00:00:00"/>
    <n v="8"/>
    <x v="9"/>
    <s v="Developer"/>
  </r>
  <r>
    <n v="67262"/>
    <x v="0"/>
    <s v="01192806"/>
    <x v="3"/>
    <d v="2026-01-30T00:00:00"/>
    <s v="IA1765"/>
    <s v="Kumar,Saravana"/>
    <n v="242.76961911727065"/>
    <d v="2026-01-30T00:00:00"/>
    <n v="7"/>
    <x v="9"/>
    <s v="Developer"/>
  </r>
  <r>
    <n v="67262"/>
    <x v="0"/>
    <s v="01192806"/>
    <x v="3"/>
    <d v="2026-01-30T00:00:00"/>
    <s v="IA1757"/>
    <s v="Thirunavukkarasu,Kishore"/>
    <n v="277.45099327688075"/>
    <d v="2026-01-30T00:00:00"/>
    <n v="8"/>
    <x v="9"/>
    <s v="Developer"/>
  </r>
  <r>
    <n v="67262"/>
    <x v="0"/>
    <s v="01192806"/>
    <x v="3"/>
    <d v="2026-01-30T00:00:00"/>
    <s v="IA1830"/>
    <s v="Raj,Gowtham"/>
    <n v="242.76961911727065"/>
    <d v="2026-01-30T00:00:00"/>
    <n v="7"/>
    <x v="9"/>
    <s v="Junior"/>
  </r>
  <r>
    <n v="67262"/>
    <x v="0"/>
    <s v="01192806"/>
    <x v="3"/>
    <d v="2026-02-02T00:00:00"/>
    <s v="IA1450"/>
    <s v="Selvam,Kadarkarai"/>
    <n v="104.04412247883027"/>
    <d v="2026-02-02T00:00:00"/>
    <n v="3"/>
    <x v="0"/>
    <s v="Lead Developer"/>
  </r>
  <r>
    <n v="67262"/>
    <x v="0"/>
    <s v="01192806"/>
    <x v="3"/>
    <d v="2026-02-02T00:00:00"/>
    <s v="IA1430"/>
    <s v="Subburajan,Jawahar"/>
    <n v="242.76961911727065"/>
    <d v="2026-02-02T00:00:00"/>
    <n v="7"/>
    <x v="0"/>
    <s v="Lead Developer"/>
  </r>
  <r>
    <n v="67262"/>
    <x v="0"/>
    <s v="01192806"/>
    <x v="3"/>
    <d v="2026-02-02T00:00:00"/>
    <s v="IA1757"/>
    <s v="Thirunavukkarasu,Kishore"/>
    <n v="277.45099327688075"/>
    <d v="2026-02-02T00:00:00"/>
    <n v="8"/>
    <x v="0"/>
    <s v="Developer"/>
  </r>
  <r>
    <n v="67262"/>
    <x v="0"/>
    <s v="01192806"/>
    <x v="3"/>
    <d v="2026-02-02T00:00:00"/>
    <s v="IA1690"/>
    <s v="Duraisamy,Manikandaprabu"/>
    <n v="277.45099327688075"/>
    <d v="2026-02-02T00:00:00"/>
    <n v="8"/>
    <x v="0"/>
    <s v="Developer"/>
  </r>
  <r>
    <n v="67262"/>
    <x v="0"/>
    <s v="01192806"/>
    <x v="3"/>
    <d v="2026-02-02T00:00:00"/>
    <s v="IA1765"/>
    <s v="Kumar,Saravana"/>
    <n v="242.76961911727065"/>
    <d v="2026-02-02T00:00:00"/>
    <n v="7"/>
    <x v="0"/>
    <s v="Developer"/>
  </r>
  <r>
    <n v="67262"/>
    <x v="0"/>
    <s v="01192806"/>
    <x v="3"/>
    <d v="2026-02-26T00:00:00"/>
    <s v="IA1750"/>
    <s v="Sankarasubbu,RAMANATHAN"/>
    <n v="260.11030619707572"/>
    <d v="2026-02-26T00:00:00"/>
    <n v="7.5"/>
    <x v="0"/>
    <s v="Developer"/>
  </r>
  <r>
    <n v="67262"/>
    <x v="0"/>
    <s v="01192806"/>
    <x v="3"/>
    <d v="2026-02-02T00:00:00"/>
    <s v="IA1830"/>
    <s v="Raj,Gowtham"/>
    <n v="190.74755787785551"/>
    <d v="2026-02-02T00:00:00"/>
    <n v="5.5"/>
    <x v="0"/>
    <s v="Junior"/>
  </r>
  <r>
    <n v="67262"/>
    <x v="0"/>
    <s v="01192806"/>
    <x v="3"/>
    <d v="2026-02-03T00:00:00"/>
    <s v="IA1757"/>
    <s v="Thirunavukkarasu,Kishore"/>
    <n v="277.45099327688075"/>
    <d v="2026-02-03T00:00:00"/>
    <n v="8"/>
    <x v="0"/>
    <s v="Developer"/>
  </r>
  <r>
    <n v="67262"/>
    <x v="0"/>
    <s v="01192806"/>
    <x v="3"/>
    <d v="2026-02-03T00:00:00"/>
    <s v="IA1450"/>
    <s v="Selvam,Kadarkarai"/>
    <n v="69.362748319220188"/>
    <d v="2026-02-03T00:00:00"/>
    <n v="2"/>
    <x v="0"/>
    <s v="Lead Developer"/>
  </r>
  <r>
    <n v="67262"/>
    <x v="0"/>
    <s v="01192806"/>
    <x v="3"/>
    <d v="2026-02-03T00:00:00"/>
    <s v="IA1690"/>
    <s v="Duraisamy,Manikandaprabu"/>
    <n v="277.45099327688075"/>
    <d v="2026-02-03T00:00:00"/>
    <n v="8"/>
    <x v="0"/>
    <s v="Developer"/>
  </r>
  <r>
    <n v="67262"/>
    <x v="0"/>
    <s v="01192806"/>
    <x v="3"/>
    <d v="2026-02-03T00:00:00"/>
    <s v="IA1430"/>
    <s v="Subburajan,Jawahar"/>
    <n v="242.76961911727065"/>
    <d v="2026-02-03T00:00:00"/>
    <n v="7"/>
    <x v="0"/>
    <s v="Lead Developer"/>
  </r>
  <r>
    <n v="67262"/>
    <x v="0"/>
    <s v="01192806"/>
    <x v="3"/>
    <d v="2026-02-03T00:00:00"/>
    <s v="IA1765"/>
    <s v="Kumar,Saravana"/>
    <n v="242.76961911727065"/>
    <d v="2026-02-03T00:00:00"/>
    <n v="7"/>
    <x v="0"/>
    <s v="Developer"/>
  </r>
  <r>
    <n v="67262"/>
    <x v="0"/>
    <s v="01192806"/>
    <x v="3"/>
    <d v="2026-02-03T00:00:00"/>
    <s v="IA1830"/>
    <s v="Raj,Gowtham"/>
    <n v="190.74755787785551"/>
    <d v="2026-02-03T00:00:00"/>
    <n v="5.5"/>
    <x v="0"/>
    <s v="Junior"/>
  </r>
  <r>
    <n v="67262"/>
    <x v="0"/>
    <s v="01192806"/>
    <x v="3"/>
    <d v="2026-02-04T00:00:00"/>
    <s v="IA1757"/>
    <s v="Thirunavukkarasu,Kishore"/>
    <n v="277.45099327688075"/>
    <d v="2026-02-04T00:00:00"/>
    <n v="8"/>
    <x v="0"/>
    <s v="Developer"/>
  </r>
  <r>
    <n v="67262"/>
    <x v="0"/>
    <s v="01192806"/>
    <x v="3"/>
    <d v="2026-02-04T00:00:00"/>
    <s v="IA1690"/>
    <s v="Duraisamy,Manikandaprabu"/>
    <n v="277.45099327688075"/>
    <d v="2026-02-04T00:00:00"/>
    <n v="8"/>
    <x v="0"/>
    <s v="Developer"/>
  </r>
  <r>
    <n v="67262"/>
    <x v="0"/>
    <s v="01192806"/>
    <x v="3"/>
    <d v="2026-02-04T00:00:00"/>
    <s v="IA1430"/>
    <s v="Subburajan,Jawahar"/>
    <n v="242.76961911727065"/>
    <d v="2026-02-04T00:00:00"/>
    <n v="7"/>
    <x v="0"/>
    <s v="Lead Developer"/>
  </r>
  <r>
    <n v="67262"/>
    <x v="0"/>
    <s v="01192806"/>
    <x v="3"/>
    <d v="2026-02-04T00:00:00"/>
    <s v="IA1765"/>
    <s v="Kumar,Saravana"/>
    <n v="242.76961911727065"/>
    <d v="2026-02-04T00:00:00"/>
    <n v="7"/>
    <x v="0"/>
    <s v="Developer"/>
  </r>
  <r>
    <n v="67262"/>
    <x v="0"/>
    <s v="01192806"/>
    <x v="3"/>
    <d v="2026-02-27T00:00:00"/>
    <s v="IA1750"/>
    <s v="Sankarasubbu,RAMANATHAN"/>
    <n v="260.11030619707572"/>
    <d v="2026-02-27T00:00:00"/>
    <n v="7.5"/>
    <x v="0"/>
    <s v="Developer"/>
  </r>
  <r>
    <n v="67262"/>
    <x v="0"/>
    <s v="01192806"/>
    <x v="3"/>
    <d v="2026-02-04T00:00:00"/>
    <s v="IA1830"/>
    <s v="Raj,Gowtham"/>
    <n v="190.74755787785551"/>
    <d v="2026-02-04T00:00:00"/>
    <n v="5.5"/>
    <x v="0"/>
    <s v="Junior"/>
  </r>
  <r>
    <n v="67262"/>
    <x v="0"/>
    <s v="01192806"/>
    <x v="3"/>
    <d v="2026-02-05T00:00:00"/>
    <s v="IA1757"/>
    <s v="Thirunavukkarasu,Kishore"/>
    <n v="277.45099327688075"/>
    <d v="2026-02-05T00:00:00"/>
    <n v="8"/>
    <x v="0"/>
    <s v="Developer"/>
  </r>
  <r>
    <n v="67262"/>
    <x v="0"/>
    <s v="01192806"/>
    <x v="3"/>
    <d v="2026-02-05T00:00:00"/>
    <s v="IA1450"/>
    <s v="Selvam,Kadarkarai"/>
    <n v="69.362748319220188"/>
    <d v="2026-02-05T00:00:00"/>
    <n v="2"/>
    <x v="0"/>
    <s v="Lead Developer"/>
  </r>
  <r>
    <n v="67262"/>
    <x v="0"/>
    <s v="01192806"/>
    <x v="3"/>
    <d v="2026-02-05T00:00:00"/>
    <s v="IA1690"/>
    <s v="Duraisamy,Manikandaprabu"/>
    <n v="208.08824495766055"/>
    <d v="2026-02-05T00:00:00"/>
    <n v="6"/>
    <x v="0"/>
    <s v="Developer"/>
  </r>
  <r>
    <n v="67262"/>
    <x v="0"/>
    <s v="01192806"/>
    <x v="3"/>
    <d v="2026-02-05T00:00:00"/>
    <s v="IA1765"/>
    <s v="Kumar,Saravana"/>
    <n v="242.76961911727065"/>
    <d v="2026-02-05T00:00:00"/>
    <n v="7"/>
    <x v="0"/>
    <s v="Developer"/>
  </r>
  <r>
    <n v="67262"/>
    <x v="0"/>
    <s v="01192806"/>
    <x v="3"/>
    <d v="2026-02-05T00:00:00"/>
    <s v="IA1830"/>
    <s v="Raj,Gowtham"/>
    <n v="225.42893203746561"/>
    <d v="2026-02-05T00:00:00"/>
    <n v="6.5"/>
    <x v="0"/>
    <s v="Junior"/>
  </r>
  <r>
    <n v="67262"/>
    <x v="0"/>
    <s v="01192806"/>
    <x v="3"/>
    <d v="2026-02-06T00:00:00"/>
    <s v="IA1757"/>
    <s v="Thirunavukkarasu,Kishore"/>
    <n v="277.45099327688075"/>
    <d v="2026-02-06T00:00:00"/>
    <n v="8"/>
    <x v="0"/>
    <s v="Developer"/>
  </r>
  <r>
    <n v="67262"/>
    <x v="0"/>
    <s v="01192806"/>
    <x v="3"/>
    <d v="2026-02-06T00:00:00"/>
    <s v="IA1830"/>
    <s v="Raj,Gowtham"/>
    <n v="225.42893203746561"/>
    <d v="2026-02-06T00:00:00"/>
    <n v="6.5"/>
    <x v="0"/>
    <s v="Junior"/>
  </r>
  <r>
    <n v="67262"/>
    <x v="0"/>
    <s v="01192806"/>
    <x v="3"/>
    <d v="2026-03-02T00:00:00"/>
    <s v="IA1750"/>
    <s v="Sankarasubbu,RAMANATHAN"/>
    <n v="260.11030619707572"/>
    <d v="2026-03-02T00:00:00"/>
    <n v="7.5"/>
    <x v="1"/>
    <s v="Developer"/>
  </r>
  <r>
    <n v="67262"/>
    <x v="0"/>
    <s v="01192806"/>
    <x v="3"/>
    <d v="2026-02-09T00:00:00"/>
    <s v="IA1765"/>
    <s v="Kumar,Saravana"/>
    <n v="242.76961911727065"/>
    <d v="2026-02-09T00:00:00"/>
    <n v="7"/>
    <x v="0"/>
    <s v="Developer"/>
  </r>
  <r>
    <n v="67262"/>
    <x v="0"/>
    <s v="01192806"/>
    <x v="3"/>
    <d v="2026-02-09T00:00:00"/>
    <s v="IA1757"/>
    <s v="Thirunavukkarasu,Kishore"/>
    <n v="277.45099327688075"/>
    <d v="2026-02-09T00:00:00"/>
    <n v="8"/>
    <x v="0"/>
    <s v="Developer"/>
  </r>
  <r>
    <n v="67262"/>
    <x v="0"/>
    <s v="01192806"/>
    <x v="3"/>
    <d v="2026-02-09T00:00:00"/>
    <s v="IA1757"/>
    <s v="Thirunavukkarasu,Kishore"/>
    <n v="-277.45099327688075"/>
    <d v="2026-02-09T00:00:00"/>
    <n v="-8"/>
    <x v="0"/>
    <s v="Developer"/>
  </r>
  <r>
    <n v="67262"/>
    <x v="0"/>
    <s v="01192806"/>
    <x v="3"/>
    <d v="2026-02-09T00:00:00"/>
    <s v="IA1757"/>
    <s v="Thirunavukkarasu,Kishore"/>
    <n v="277.45099327688075"/>
    <d v="2026-02-09T00:00:00"/>
    <n v="8"/>
    <x v="0"/>
    <s v="Developer"/>
  </r>
  <r>
    <n v="67262"/>
    <x v="0"/>
    <s v="01192806"/>
    <x v="3"/>
    <d v="2026-02-09T00:00:00"/>
    <s v="IA1421"/>
    <s v="Jayapal,Muruganandham"/>
    <n v="69.362748319220188"/>
    <d v="2026-02-09T00:00:00"/>
    <n v="2"/>
    <x v="0"/>
    <s v="Engg Manager"/>
  </r>
  <r>
    <n v="67262"/>
    <x v="0"/>
    <s v="01192806"/>
    <x v="3"/>
    <d v="2026-02-09T00:00:00"/>
    <s v="IA1450"/>
    <s v="Selvam,Kadarkarai"/>
    <n v="34.681374159610094"/>
    <d v="2026-02-09T00:00:00"/>
    <n v="1"/>
    <x v="0"/>
    <s v="Lead Developer"/>
  </r>
  <r>
    <n v="67262"/>
    <x v="0"/>
    <s v="01192806"/>
    <x v="3"/>
    <d v="2026-02-10T00:00:00"/>
    <s v="IA1765"/>
    <s v="Kumar,Saravana"/>
    <n v="242.76961911727065"/>
    <d v="2026-02-10T00:00:00"/>
    <n v="7"/>
    <x v="0"/>
    <s v="Developer"/>
  </r>
  <r>
    <n v="67262"/>
    <x v="0"/>
    <s v="01192806"/>
    <x v="3"/>
    <d v="2026-02-10T00:00:00"/>
    <s v="IA1757"/>
    <s v="Thirunavukkarasu,Kishore"/>
    <n v="277.45099327688075"/>
    <d v="2026-02-10T00:00:00"/>
    <n v="8"/>
    <x v="0"/>
    <s v="Developer"/>
  </r>
  <r>
    <n v="67262"/>
    <x v="0"/>
    <s v="01192806"/>
    <x v="3"/>
    <d v="2026-02-10T00:00:00"/>
    <s v="IA1757"/>
    <s v="Thirunavukkarasu,Kishore"/>
    <n v="-277.45099327688075"/>
    <d v="2026-02-10T00:00:00"/>
    <n v="-8"/>
    <x v="0"/>
    <s v="Developer"/>
  </r>
  <r>
    <n v="67262"/>
    <x v="0"/>
    <s v="01192806"/>
    <x v="3"/>
    <d v="2026-02-10T00:00:00"/>
    <s v="IA1830"/>
    <s v="Raj,Gowtham"/>
    <n v="69.362748319220188"/>
    <d v="2026-02-10T00:00:00"/>
    <n v="2"/>
    <x v="0"/>
    <s v="Junior"/>
  </r>
  <r>
    <n v="67262"/>
    <x v="0"/>
    <s v="01192806"/>
    <x v="3"/>
    <d v="2026-02-10T00:00:00"/>
    <s v="IA1421"/>
    <s v="Jayapal,Muruganandham"/>
    <n v="69.362748319220188"/>
    <d v="2026-02-10T00:00:00"/>
    <n v="2"/>
    <x v="0"/>
    <s v="Engg Manager"/>
  </r>
  <r>
    <n v="67262"/>
    <x v="0"/>
    <s v="01192806"/>
    <x v="3"/>
    <d v="2026-02-10T00:00:00"/>
    <s v="IA1450"/>
    <s v="Selvam,Kadarkarai"/>
    <n v="34.681374159610094"/>
    <d v="2026-02-10T00:00:00"/>
    <n v="1"/>
    <x v="0"/>
    <s v="Lead Developer"/>
  </r>
  <r>
    <n v="67262"/>
    <x v="0"/>
    <s v="01192806"/>
    <x v="3"/>
    <d v="2026-02-11T00:00:00"/>
    <s v="IA1765"/>
    <s v="Kumar,Saravana"/>
    <n v="242.76961911727065"/>
    <d v="2026-02-11T00:00:00"/>
    <n v="7"/>
    <x v="0"/>
    <s v="Developer"/>
  </r>
  <r>
    <n v="67262"/>
    <x v="0"/>
    <s v="01192806"/>
    <x v="3"/>
    <d v="2026-02-11T00:00:00"/>
    <s v="IA1757"/>
    <s v="Thirunavukkarasu,Kishore"/>
    <n v="277.45099327688075"/>
    <d v="2026-02-11T00:00:00"/>
    <n v="8"/>
    <x v="0"/>
    <s v="Developer"/>
  </r>
  <r>
    <n v="67262"/>
    <x v="0"/>
    <s v="01192806"/>
    <x v="3"/>
    <d v="2026-02-11T00:00:00"/>
    <s v="IA1757"/>
    <s v="Thirunavukkarasu,Kishore"/>
    <n v="-277.45099327688075"/>
    <d v="2026-02-11T00:00:00"/>
    <n v="-8"/>
    <x v="0"/>
    <s v="Developer"/>
  </r>
  <r>
    <n v="67262"/>
    <x v="0"/>
    <s v="01192806"/>
    <x v="3"/>
    <d v="2026-02-11T00:00:00"/>
    <s v="IA1757"/>
    <s v="Thirunavukkarasu,Kishore"/>
    <n v="277.45099327688075"/>
    <d v="2026-02-11T00:00:00"/>
    <n v="8"/>
    <x v="0"/>
    <s v="Developer"/>
  </r>
  <r>
    <n v="67262"/>
    <x v="0"/>
    <s v="01192806"/>
    <x v="3"/>
    <d v="2026-02-11T00:00:00"/>
    <s v="IA1421"/>
    <s v="Jayapal,Muruganandham"/>
    <n v="69.362748319220188"/>
    <d v="2026-02-11T00:00:00"/>
    <n v="2"/>
    <x v="0"/>
    <s v="Engg Manager"/>
  </r>
  <r>
    <n v="67262"/>
    <x v="0"/>
    <s v="01192806"/>
    <x v="3"/>
    <d v="2026-03-03T00:00:00"/>
    <s v="IA1750"/>
    <s v="Sankarasubbu,RAMANATHAN"/>
    <n v="260.11030619707572"/>
    <d v="2026-03-03T00:00:00"/>
    <n v="7.5"/>
    <x v="1"/>
    <s v="Developer"/>
  </r>
  <r>
    <n v="67262"/>
    <x v="0"/>
    <s v="01192806"/>
    <x v="3"/>
    <d v="2026-02-12T00:00:00"/>
    <s v="IA1765"/>
    <s v="Kumar,Saravana"/>
    <n v="242.76961911727065"/>
    <d v="2026-02-12T00:00:00"/>
    <n v="7"/>
    <x v="0"/>
    <s v="Developer"/>
  </r>
  <r>
    <n v="67262"/>
    <x v="0"/>
    <s v="01192806"/>
    <x v="3"/>
    <d v="2026-02-12T00:00:00"/>
    <s v="IA1421"/>
    <s v="Jayapal,Muruganandham"/>
    <n v="69.362748319220188"/>
    <d v="2026-02-12T00:00:00"/>
    <n v="2"/>
    <x v="0"/>
    <s v="Engg Manager"/>
  </r>
  <r>
    <n v="67262"/>
    <x v="0"/>
    <s v="01192806"/>
    <x v="3"/>
    <d v="2026-02-12T00:00:00"/>
    <s v="IA1450"/>
    <s v="Selvam,Kadarkarai"/>
    <n v="69.362748319220188"/>
    <d v="2026-02-12T00:00:00"/>
    <n v="2"/>
    <x v="0"/>
    <s v="Lead Developer"/>
  </r>
  <r>
    <n v="67262"/>
    <x v="0"/>
    <s v="01192806"/>
    <x v="3"/>
    <d v="2026-02-13T00:00:00"/>
    <s v="IA1765"/>
    <s v="Kumar,Saravana"/>
    <n v="242.76961911727065"/>
    <d v="2026-02-13T00:00:00"/>
    <n v="7"/>
    <x v="0"/>
    <s v="Developer"/>
  </r>
  <r>
    <n v="67262"/>
    <x v="0"/>
    <s v="01192806"/>
    <x v="3"/>
    <d v="2026-02-13T00:00:00"/>
    <s v="IA1793"/>
    <s v="Subramanian,Ruthrakkanth"/>
    <n v="208.08824495766055"/>
    <d v="2026-02-13T00:00:00"/>
    <n v="6"/>
    <x v="0"/>
    <s v="Developer"/>
  </r>
  <r>
    <n v="67262"/>
    <x v="0"/>
    <s v="01192806"/>
    <x v="3"/>
    <d v="2026-02-13T00:00:00"/>
    <s v="IA1690"/>
    <s v="Duraisamy,Manikandaprabu"/>
    <n v="138.72549663844038"/>
    <d v="2026-02-13T00:00:00"/>
    <n v="4"/>
    <x v="0"/>
    <s v="Developer"/>
  </r>
  <r>
    <n v="67262"/>
    <x v="0"/>
    <s v="01192806"/>
    <x v="3"/>
    <d v="2026-02-13T00:00:00"/>
    <s v="IA1421"/>
    <s v="Jayapal,Muruganandham"/>
    <n v="69.362748319220188"/>
    <d v="2026-02-13T00:00:00"/>
    <n v="2"/>
    <x v="0"/>
    <s v="Engg Manager"/>
  </r>
  <r>
    <n v="67262"/>
    <x v="0"/>
    <s v="01192806"/>
    <x v="3"/>
    <d v="2026-02-14T00:00:00"/>
    <s v="IA1421"/>
    <s v="Jayapal,Muruganandham"/>
    <n v="69.362748319220188"/>
    <d v="2026-02-14T00:00:00"/>
    <n v="2"/>
    <x v="0"/>
    <s v="Engg Manager"/>
  </r>
  <r>
    <n v="67262"/>
    <x v="0"/>
    <s v="01192806"/>
    <x v="3"/>
    <d v="2026-02-16T00:00:00"/>
    <s v="IA1450"/>
    <s v="Selvam,Kadarkarai"/>
    <n v="138.72549663844038"/>
    <d v="2026-02-16T00:00:00"/>
    <n v="4"/>
    <x v="0"/>
    <s v="Lead Developer"/>
  </r>
  <r>
    <n v="67262"/>
    <x v="0"/>
    <s v="01192806"/>
    <x v="3"/>
    <d v="2026-02-16T00:00:00"/>
    <s v="IA1793"/>
    <s v="Subramanian,Ruthrakkanth"/>
    <n v="242.76961911727065"/>
    <d v="2026-02-16T00:00:00"/>
    <n v="7"/>
    <x v="0"/>
    <s v="Developer"/>
  </r>
  <r>
    <n v="67262"/>
    <x v="0"/>
    <s v="01192806"/>
    <x v="3"/>
    <d v="2026-02-16T00:00:00"/>
    <s v="IA1771"/>
    <s v="anandanshanmugam,kamesh"/>
    <n v="277.45099327688075"/>
    <d v="2026-02-16T00:00:00"/>
    <n v="8"/>
    <x v="0"/>
    <s v="Junior"/>
  </r>
  <r>
    <n v="67262"/>
    <x v="0"/>
    <s v="01192806"/>
    <x v="3"/>
    <d v="2026-02-17T00:00:00"/>
    <s v="IA1450"/>
    <s v="Selvam,Kadarkarai"/>
    <n v="138.72549663844038"/>
    <d v="2026-02-17T00:00:00"/>
    <n v="4"/>
    <x v="0"/>
    <s v="Lead Developer"/>
  </r>
  <r>
    <n v="67262"/>
    <x v="0"/>
    <s v="01192806"/>
    <x v="3"/>
    <d v="2026-02-17T00:00:00"/>
    <s v="IA1793"/>
    <s v="Subramanian,Ruthrakkanth"/>
    <n v="242.76961911727065"/>
    <d v="2026-02-17T00:00:00"/>
    <n v="7"/>
    <x v="0"/>
    <s v="Developer"/>
  </r>
  <r>
    <n v="67262"/>
    <x v="0"/>
    <s v="01192806"/>
    <x v="3"/>
    <d v="2026-02-18T00:00:00"/>
    <s v="IA1757"/>
    <s v="Thirunavukkarasu,Kishore"/>
    <n v="277.45099327688075"/>
    <d v="2026-02-18T00:00:00"/>
    <n v="8"/>
    <x v="0"/>
    <s v="Developer"/>
  </r>
  <r>
    <n v="67262"/>
    <x v="0"/>
    <s v="01192806"/>
    <x v="3"/>
    <d v="2026-02-18T00:00:00"/>
    <s v="IA1450"/>
    <s v="Selvam,Kadarkarai"/>
    <n v="173.40687079805048"/>
    <d v="2026-02-18T00:00:00"/>
    <n v="5"/>
    <x v="0"/>
    <s v="Lead Developer"/>
  </r>
  <r>
    <n v="67262"/>
    <x v="0"/>
    <s v="01192806"/>
    <x v="3"/>
    <d v="2026-02-18T00:00:00"/>
    <s v="IA1771"/>
    <s v="anandanshanmugam,kamesh"/>
    <n v="277.45099327688075"/>
    <d v="2026-02-18T00:00:00"/>
    <n v="8"/>
    <x v="0"/>
    <s v="Junior"/>
  </r>
  <r>
    <n v="67262"/>
    <x v="0"/>
    <s v="01192806"/>
    <x v="3"/>
    <d v="2026-02-19T00:00:00"/>
    <s v="IA1830"/>
    <s v="Raj,Gowtham"/>
    <n v="69.362748319220188"/>
    <d v="2026-02-19T00:00:00"/>
    <n v="2"/>
    <x v="0"/>
    <s v="Junior"/>
  </r>
  <r>
    <n v="67262"/>
    <x v="0"/>
    <s v="01192806"/>
    <x v="3"/>
    <d v="2026-02-19T00:00:00"/>
    <s v="IA1757"/>
    <s v="Thirunavukkarasu,Kishore"/>
    <n v="277.45099327688075"/>
    <d v="2026-02-19T00:00:00"/>
    <n v="8"/>
    <x v="0"/>
    <s v="Developer"/>
  </r>
  <r>
    <n v="67262"/>
    <x v="0"/>
    <s v="01192806"/>
    <x v="3"/>
    <d v="2026-02-19T00:00:00"/>
    <s v="IA1771"/>
    <s v="anandanshanmugam,kamesh"/>
    <n v="277.45099327688075"/>
    <d v="2026-02-19T00:00:00"/>
    <n v="8"/>
    <x v="0"/>
    <s v="Junior"/>
  </r>
  <r>
    <n v="67262"/>
    <x v="0"/>
    <s v="01192806"/>
    <x v="3"/>
    <d v="2026-02-20T00:00:00"/>
    <s v="IA1771"/>
    <s v="anandanshanmugam,kamesh"/>
    <n v="277.45099327688075"/>
    <d v="2026-02-20T00:00:00"/>
    <n v="8"/>
    <x v="0"/>
    <s v="Junior"/>
  </r>
  <r>
    <n v="67262"/>
    <x v="0"/>
    <s v="01192806"/>
    <x v="3"/>
    <d v="2026-02-23T00:00:00"/>
    <s v="IA1793"/>
    <s v="Subramanian,Ruthrakkanth"/>
    <n v="242.76961911727065"/>
    <d v="2026-02-23T00:00:00"/>
    <n v="7"/>
    <x v="0"/>
    <s v="Developer"/>
  </r>
  <r>
    <n v="67262"/>
    <x v="0"/>
    <s v="01192806"/>
    <x v="3"/>
    <d v="2026-02-23T00:00:00"/>
    <s v="IA1771"/>
    <s v="anandanshanmugam,kamesh"/>
    <n v="277.45099327688075"/>
    <d v="2026-02-23T00:00:00"/>
    <n v="8"/>
    <x v="0"/>
    <s v="Junior"/>
  </r>
  <r>
    <n v="67262"/>
    <x v="0"/>
    <s v="01192806"/>
    <x v="3"/>
    <d v="2026-03-04T00:00:00"/>
    <s v="IA1750"/>
    <s v="Sankarasubbu,RAMANATHAN"/>
    <n v="260.11030619707572"/>
    <d v="2026-03-04T00:00:00"/>
    <n v="7.5"/>
    <x v="1"/>
    <s v="Developer"/>
  </r>
  <r>
    <n v="67262"/>
    <x v="0"/>
    <s v="01192806"/>
    <x v="3"/>
    <d v="2026-02-23T00:00:00"/>
    <s v="IA1831"/>
    <s v="Veluru,Preethi"/>
    <n v="173.40687079805048"/>
    <d v="2026-02-23T00:00:00"/>
    <n v="5"/>
    <x v="0"/>
    <s v="Junior"/>
  </r>
  <r>
    <n v="67262"/>
    <x v="0"/>
    <s v="01192806"/>
    <x v="3"/>
    <d v="2026-02-24T00:00:00"/>
    <s v="IA1793"/>
    <s v="Subramanian,Ruthrakkanth"/>
    <n v="242.76961911727065"/>
    <d v="2026-02-24T00:00:00"/>
    <n v="7"/>
    <x v="0"/>
    <s v="Developer"/>
  </r>
  <r>
    <n v="67262"/>
    <x v="0"/>
    <s v="01192806"/>
    <x v="3"/>
    <d v="2026-02-24T00:00:00"/>
    <s v="IA1771"/>
    <s v="anandanshanmugam,kamesh"/>
    <n v="277.45099327688075"/>
    <d v="2026-02-24T00:00:00"/>
    <n v="8"/>
    <x v="0"/>
    <s v="Junior"/>
  </r>
  <r>
    <n v="67262"/>
    <x v="0"/>
    <s v="01192806"/>
    <x v="3"/>
    <d v="2026-02-24T00:00:00"/>
    <s v="IA1831"/>
    <s v="Veluru,Preethi"/>
    <n v="173.40687079805048"/>
    <d v="2026-02-24T00:00:00"/>
    <n v="5"/>
    <x v="0"/>
    <s v="Junior"/>
  </r>
  <r>
    <n v="67262"/>
    <x v="0"/>
    <s v="01192806"/>
    <x v="3"/>
    <d v="2026-02-24T00:00:00"/>
    <s v="IA1757"/>
    <s v="Thirunavukkarasu,Kishore"/>
    <n v="277.45099327688075"/>
    <d v="2026-02-24T00:00:00"/>
    <n v="8"/>
    <x v="0"/>
    <s v="Developer"/>
  </r>
  <r>
    <n v="67262"/>
    <x v="0"/>
    <s v="01192806"/>
    <x v="3"/>
    <d v="2026-02-25T00:00:00"/>
    <s v="IA1793"/>
    <s v="Subramanian,Ruthrakkanth"/>
    <n v="138.72549663844038"/>
    <d v="2026-02-25T00:00:00"/>
    <n v="4"/>
    <x v="0"/>
    <s v="Developer"/>
  </r>
  <r>
    <n v="67262"/>
    <x v="0"/>
    <s v="01192806"/>
    <x v="3"/>
    <d v="2026-03-05T00:00:00"/>
    <s v="IA1750"/>
    <s v="Sankarasubbu,RAMANATHAN"/>
    <n v="260.11030619707572"/>
    <d v="2026-03-05T00:00:00"/>
    <n v="7.5"/>
    <x v="1"/>
    <s v="Developer"/>
  </r>
  <r>
    <n v="67262"/>
    <x v="0"/>
    <s v="01192806"/>
    <x v="3"/>
    <d v="2026-02-25T00:00:00"/>
    <s v="IA1771"/>
    <s v="anandanshanmugam,kamesh"/>
    <n v="277.45099327688075"/>
    <d v="2026-02-25T00:00:00"/>
    <n v="8"/>
    <x v="0"/>
    <s v="Junior"/>
  </r>
  <r>
    <n v="67262"/>
    <x v="0"/>
    <s v="01192806"/>
    <x v="3"/>
    <d v="2026-02-25T00:00:00"/>
    <s v="IA1831"/>
    <s v="Veluru,Preethi"/>
    <n v="138.72549663844038"/>
    <d v="2026-02-25T00:00:00"/>
    <n v="4"/>
    <x v="0"/>
    <s v="Junior"/>
  </r>
  <r>
    <n v="67262"/>
    <x v="0"/>
    <s v="01192806"/>
    <x v="3"/>
    <d v="2026-02-25T00:00:00"/>
    <s v="IA1450"/>
    <s v="Selvam,Kadarkarai"/>
    <n v="208.08824495766055"/>
    <d v="2026-02-25T00:00:00"/>
    <n v="6"/>
    <x v="0"/>
    <s v="Lead Developer"/>
  </r>
  <r>
    <n v="67262"/>
    <x v="0"/>
    <s v="01192806"/>
    <x v="3"/>
    <d v="2026-02-26T00:00:00"/>
    <s v="IA1765"/>
    <s v="Kumar,Saravana"/>
    <n v="242.76961911727065"/>
    <d v="2026-02-26T00:00:00"/>
    <n v="7"/>
    <x v="0"/>
    <s v="Developer"/>
  </r>
  <r>
    <n v="67262"/>
    <x v="0"/>
    <s v="01192806"/>
    <x v="3"/>
    <d v="2026-02-26T00:00:00"/>
    <s v="IA1831"/>
    <s v="Veluru,Preethi"/>
    <n v="242.76961911727065"/>
    <d v="2026-02-26T00:00:00"/>
    <n v="7"/>
    <x v="0"/>
    <s v="Junior"/>
  </r>
  <r>
    <n v="67262"/>
    <x v="0"/>
    <s v="01192806"/>
    <x v="3"/>
    <d v="2026-02-27T00:00:00"/>
    <s v="IA1831"/>
    <s v="Veluru,Preethi"/>
    <n v="173.40687079805048"/>
    <d v="2026-02-27T00:00:00"/>
    <n v="5"/>
    <x v="0"/>
    <s v="Junior"/>
  </r>
  <r>
    <n v="67262"/>
    <x v="0"/>
    <s v="01192806"/>
    <x v="3"/>
    <d v="2026-03-06T00:00:00"/>
    <s v="IA1750"/>
    <s v="Sankarasubbu,RAMANATHAN"/>
    <n v="260.11030619707572"/>
    <d v="2026-03-06T00:00:00"/>
    <n v="7.5"/>
    <x v="1"/>
    <s v="Developer"/>
  </r>
  <r>
    <n v="67262"/>
    <x v="0"/>
    <s v="01192806"/>
    <x v="3"/>
    <d v="2026-02-27T00:00:00"/>
    <s v="IA1771"/>
    <s v="anandanshanmugam,kamesh"/>
    <n v="277.45099327688075"/>
    <d v="2026-02-27T00:00:00"/>
    <n v="8"/>
    <x v="0"/>
    <s v="Junior"/>
  </r>
  <r>
    <n v="67262"/>
    <x v="0"/>
    <s v="01192806"/>
    <x v="3"/>
    <d v="2026-02-27T00:00:00"/>
    <s v="IA1765"/>
    <s v="Kumar,Saravana"/>
    <n v="242.76961911727065"/>
    <d v="2026-02-27T00:00:00"/>
    <n v="7"/>
    <x v="0"/>
    <s v="Developer"/>
  </r>
  <r>
    <n v="67262"/>
    <x v="0"/>
    <s v="01192806"/>
    <x v="3"/>
    <d v="2026-02-26T00:00:00"/>
    <s v="IA1450"/>
    <s v="Selvam,Kadarkarai"/>
    <n v="277.45099327688075"/>
    <d v="2026-02-26T00:00:00"/>
    <n v="8"/>
    <x v="0"/>
    <s v="Lead Developer"/>
  </r>
  <r>
    <n v="67262"/>
    <x v="0"/>
    <s v="01192806"/>
    <x v="3"/>
    <d v="2026-02-27T00:00:00"/>
    <s v="IA1450"/>
    <s v="Selvam,Kadarkarai"/>
    <n v="277.45099327688075"/>
    <d v="2026-02-27T00:00:00"/>
    <n v="8"/>
    <x v="0"/>
    <s v="Lead Developer"/>
  </r>
  <r>
    <n v="67262"/>
    <x v="0"/>
    <s v="01192806"/>
    <x v="3"/>
    <d v="2026-03-02T00:00:00"/>
    <s v="IA1831"/>
    <s v="Veluru,Preethi"/>
    <n v="173.40687079805048"/>
    <d v="2026-03-02T00:00:00"/>
    <n v="5"/>
    <x v="1"/>
    <s v="Junior"/>
  </r>
  <r>
    <n v="67262"/>
    <x v="0"/>
    <s v="01192806"/>
    <x v="3"/>
    <d v="2026-03-02T00:00:00"/>
    <s v="IA1765"/>
    <s v="Kumar,Saravana"/>
    <n v="242.76961911727065"/>
    <d v="2026-03-02T00:00:00"/>
    <n v="7"/>
    <x v="1"/>
    <s v="Developer"/>
  </r>
  <r>
    <n v="67262"/>
    <x v="0"/>
    <s v="01192806"/>
    <x v="3"/>
    <d v="2026-03-09T00:00:00"/>
    <s v="IA1750"/>
    <s v="Sankarasubbu,RAMANATHAN"/>
    <n v="260.11030619707572"/>
    <d v="2026-03-09T00:00:00"/>
    <n v="7.5"/>
    <x v="1"/>
    <s v="Developer"/>
  </r>
  <r>
    <n v="67262"/>
    <x v="0"/>
    <s v="01192806"/>
    <x v="3"/>
    <d v="2026-03-04T00:00:00"/>
    <s v="IA1771"/>
    <s v="anandanshanmugam,kamesh"/>
    <n v="277.45099327688075"/>
    <d v="2026-03-04T00:00:00"/>
    <n v="8"/>
    <x v="1"/>
    <s v="Junior"/>
  </r>
  <r>
    <n v="67262"/>
    <x v="0"/>
    <s v="01192806"/>
    <x v="3"/>
    <d v="2026-03-10T00:00:00"/>
    <s v="IA1750"/>
    <s v="Sankarasubbu,RAMANATHAN"/>
    <n v="173.40687079805048"/>
    <d v="2026-03-10T00:00:00"/>
    <n v="5"/>
    <x v="1"/>
    <s v="Developer"/>
  </r>
  <r>
    <n v="67262"/>
    <x v="0"/>
    <s v="01192806"/>
    <x v="3"/>
    <d v="2026-03-04T00:00:00"/>
    <s v="IA1765"/>
    <s v="Kumar,Saravana"/>
    <n v="242.76961911727065"/>
    <d v="2026-03-04T00:00:00"/>
    <n v="7"/>
    <x v="1"/>
    <s v="Developer"/>
  </r>
  <r>
    <n v="67262"/>
    <x v="0"/>
    <s v="01192806"/>
    <x v="3"/>
    <d v="2026-03-04T00:00:00"/>
    <s v="IA1757"/>
    <s v="Thirunavukkarasu,Kishore"/>
    <n v="173.40687079805048"/>
    <d v="2026-03-04T00:00:00"/>
    <n v="5"/>
    <x v="1"/>
    <s v="Developer"/>
  </r>
  <r>
    <n v="67262"/>
    <x v="0"/>
    <s v="01192806"/>
    <x v="3"/>
    <d v="2026-03-05T00:00:00"/>
    <s v="IA1771"/>
    <s v="anandanshanmugam,kamesh"/>
    <n v="277.45099327688075"/>
    <d v="2026-03-05T00:00:00"/>
    <n v="8"/>
    <x v="1"/>
    <s v="Junior"/>
  </r>
  <r>
    <n v="67262"/>
    <x v="0"/>
    <s v="01192806"/>
    <x v="3"/>
    <d v="2026-03-05T00:00:00"/>
    <s v="IA1831"/>
    <s v="Veluru,Preethi"/>
    <n v="173.40687079805048"/>
    <d v="2026-03-05T00:00:00"/>
    <n v="5"/>
    <x v="1"/>
    <s v="Junior"/>
  </r>
  <r>
    <n v="67262"/>
    <x v="0"/>
    <s v="01192806"/>
    <x v="3"/>
    <d v="2026-03-05T00:00:00"/>
    <s v="IA1765"/>
    <s v="Kumar,Saravana"/>
    <n v="242.76961911727065"/>
    <d v="2026-03-05T00:00:00"/>
    <n v="7"/>
    <x v="1"/>
    <s v="Developer"/>
  </r>
  <r>
    <n v="67262"/>
    <x v="0"/>
    <s v="01192806"/>
    <x v="3"/>
    <d v="2026-03-05T00:00:00"/>
    <s v="IA1757"/>
    <s v="Thirunavukkarasu,Kishore"/>
    <n v="173.40687079805048"/>
    <d v="2026-03-05T00:00:00"/>
    <n v="5"/>
    <x v="1"/>
    <s v="Developer"/>
  </r>
  <r>
    <n v="67262"/>
    <x v="0"/>
    <s v="01192806"/>
    <x v="3"/>
    <d v="2026-03-05T00:00:00"/>
    <s v="IA1450"/>
    <s v="Selvam,Kadarkarai"/>
    <n v="138.72549663844038"/>
    <d v="2026-03-05T00:00:00"/>
    <n v="4"/>
    <x v="1"/>
    <s v="Lead Developer"/>
  </r>
  <r>
    <n v="67262"/>
    <x v="0"/>
    <s v="01192806"/>
    <x v="3"/>
    <d v="2026-03-06T00:00:00"/>
    <s v="IA1831"/>
    <s v="Veluru,Preethi"/>
    <n v="242.76961911727065"/>
    <d v="2026-03-06T00:00:00"/>
    <n v="7"/>
    <x v="1"/>
    <s v="Junior"/>
  </r>
  <r>
    <n v="67262"/>
    <x v="0"/>
    <s v="01192806"/>
    <x v="3"/>
    <d v="2026-03-11T00:00:00"/>
    <s v="IA1750"/>
    <s v="Sankarasubbu,RAMANATHAN"/>
    <n v="260.11030619707572"/>
    <d v="2026-03-11T00:00:00"/>
    <n v="7.5"/>
    <x v="1"/>
    <s v="Developer"/>
  </r>
  <r>
    <n v="67262"/>
    <x v="0"/>
    <s v="01192806"/>
    <x v="3"/>
    <d v="2026-03-06T00:00:00"/>
    <s v="IA1793"/>
    <s v="Subramanian,Ruthrakkanth"/>
    <n v="242.76961911727065"/>
    <d v="2026-03-06T00:00:00"/>
    <n v="7"/>
    <x v="1"/>
    <s v="Developer"/>
  </r>
  <r>
    <n v="67262"/>
    <x v="0"/>
    <s v="01192806"/>
    <x v="3"/>
    <d v="2026-03-06T00:00:00"/>
    <s v="IA1757"/>
    <s v="Thirunavukkarasu,Kishore"/>
    <n v="173.40687079805048"/>
    <d v="2026-03-06T00:00:00"/>
    <n v="5"/>
    <x v="1"/>
    <s v="Developer"/>
  </r>
  <r>
    <n v="67262"/>
    <x v="0"/>
    <s v="01192806"/>
    <x v="3"/>
    <d v="2026-03-09T00:00:00"/>
    <s v="IA1765"/>
    <s v="Kumar,Saravana"/>
    <n v="242.76961911727065"/>
    <d v="2026-03-09T00:00:00"/>
    <n v="7"/>
    <x v="1"/>
    <s v="Developer"/>
  </r>
  <r>
    <n v="67262"/>
    <x v="0"/>
    <s v="01192806"/>
    <x v="3"/>
    <d v="2026-03-09T00:00:00"/>
    <s v="IA1793"/>
    <s v="Subramanian,Ruthrakkanth"/>
    <n v="242.76961911727065"/>
    <d v="2026-03-09T00:00:00"/>
    <n v="7"/>
    <x v="1"/>
    <s v="Developer"/>
  </r>
  <r>
    <n v="67262"/>
    <x v="0"/>
    <s v="01192806"/>
    <x v="3"/>
    <d v="2026-03-09T00:00:00"/>
    <s v="IA1831"/>
    <s v="Veluru,Preethi"/>
    <n v="277.45099327688075"/>
    <d v="2026-03-09T00:00:00"/>
    <n v="8"/>
    <x v="1"/>
    <s v="Junior"/>
  </r>
  <r>
    <n v="67262"/>
    <x v="0"/>
    <s v="01192806"/>
    <x v="3"/>
    <d v="2026-03-09T00:00:00"/>
    <s v="IA1771"/>
    <s v="anandanshanmugam,kamesh"/>
    <n v="277.45099327688075"/>
    <d v="2026-03-09T00:00:00"/>
    <n v="8"/>
    <x v="1"/>
    <s v="Junior"/>
  </r>
  <r>
    <n v="67262"/>
    <x v="0"/>
    <s v="01192806"/>
    <x v="3"/>
    <d v="2026-03-09T00:00:00"/>
    <s v="IA1450"/>
    <s v="Selvam,Kadarkarai"/>
    <n v="34.681374159610094"/>
    <d v="2026-03-09T00:00:00"/>
    <n v="1"/>
    <x v="1"/>
    <s v="Lead Developer"/>
  </r>
  <r>
    <n v="67262"/>
    <x v="0"/>
    <s v="01192806"/>
    <x v="3"/>
    <d v="2026-03-10T00:00:00"/>
    <s v="IA1765"/>
    <s v="Kumar,Saravana"/>
    <n v="242.76961911727065"/>
    <d v="2026-03-10T00:00:00"/>
    <n v="7"/>
    <x v="1"/>
    <s v="Developer"/>
  </r>
  <r>
    <n v="67262"/>
    <x v="0"/>
    <s v="01192806"/>
    <x v="3"/>
    <d v="2026-03-10T00:00:00"/>
    <s v="IA1793"/>
    <s v="Subramanian,Ruthrakkanth"/>
    <n v="242.76961911727065"/>
    <d v="2026-03-10T00:00:00"/>
    <n v="7"/>
    <x v="1"/>
    <s v="Developer"/>
  </r>
  <r>
    <n v="67262"/>
    <x v="0"/>
    <s v="01192806"/>
    <x v="3"/>
    <d v="2026-03-09T00:00:00"/>
    <s v="IA1757"/>
    <s v="Thirunavukkarasu,Kishore"/>
    <n v="277.45099327688075"/>
    <d v="2026-03-09T00:00:00"/>
    <n v="8"/>
    <x v="1"/>
    <s v="Developer"/>
  </r>
  <r>
    <n v="67262"/>
    <x v="0"/>
    <s v="01192806"/>
    <x v="3"/>
    <d v="2026-03-10T00:00:00"/>
    <s v="IA1831"/>
    <s v="Veluru,Preethi"/>
    <n v="277.45099327688075"/>
    <d v="2026-03-10T00:00:00"/>
    <n v="8"/>
    <x v="1"/>
    <s v="Junior"/>
  </r>
  <r>
    <n v="67262"/>
    <x v="0"/>
    <s v="01192806"/>
    <x v="3"/>
    <d v="2026-03-10T00:00:00"/>
    <s v="IA1771"/>
    <s v="anandanshanmugam,kamesh"/>
    <n v="277.45099327688075"/>
    <d v="2026-03-10T00:00:00"/>
    <n v="8"/>
    <x v="1"/>
    <s v="Junior"/>
  </r>
  <r>
    <n v="67262"/>
    <x v="0"/>
    <s v="01192806"/>
    <x v="3"/>
    <d v="2026-03-12T00:00:00"/>
    <s v="IA1750"/>
    <s v="Sankarasubbu,RAMANATHAN"/>
    <n v="260.11030619707572"/>
    <d v="2026-03-12T00:00:00"/>
    <n v="7.5"/>
    <x v="1"/>
    <s v="Developer"/>
  </r>
  <r>
    <n v="67262"/>
    <x v="0"/>
    <s v="01192806"/>
    <x v="3"/>
    <d v="2026-03-10T00:00:00"/>
    <s v="IA1757"/>
    <s v="Thirunavukkarasu,Kishore"/>
    <n v="277.45099327688075"/>
    <d v="2026-03-10T00:00:00"/>
    <n v="8"/>
    <x v="1"/>
    <s v="Developer"/>
  </r>
  <r>
    <n v="67262"/>
    <x v="0"/>
    <s v="01192806"/>
    <x v="3"/>
    <d v="2026-03-11T00:00:00"/>
    <s v="IA1765"/>
    <s v="Kumar,Saravana"/>
    <n v="242.76961911727065"/>
    <d v="2026-03-11T00:00:00"/>
    <n v="7"/>
    <x v="1"/>
    <s v="Developer"/>
  </r>
  <r>
    <n v="67262"/>
    <x v="0"/>
    <s v="01192806"/>
    <x v="3"/>
    <d v="2026-03-11T00:00:00"/>
    <s v="IA1793"/>
    <s v="Subramanian,Ruthrakkanth"/>
    <n v="242.76961911727065"/>
    <d v="2026-03-11T00:00:00"/>
    <n v="7"/>
    <x v="1"/>
    <s v="Developer"/>
  </r>
  <r>
    <n v="67262"/>
    <x v="0"/>
    <s v="01192806"/>
    <x v="3"/>
    <d v="2026-03-11T00:00:00"/>
    <s v="IA1831"/>
    <s v="Veluru,Preethi"/>
    <n v="277.45099327688075"/>
    <d v="2026-03-11T00:00:00"/>
    <n v="8"/>
    <x v="1"/>
    <s v="Junior"/>
  </r>
  <r>
    <n v="67262"/>
    <x v="0"/>
    <s v="01192806"/>
    <x v="3"/>
    <d v="2026-03-11T00:00:00"/>
    <s v="IA1771"/>
    <s v="anandanshanmugam,kamesh"/>
    <n v="277.45099327688075"/>
    <d v="2026-03-11T00:00:00"/>
    <n v="8"/>
    <x v="1"/>
    <s v="Junior"/>
  </r>
  <r>
    <n v="67262"/>
    <x v="0"/>
    <s v="01192806"/>
    <x v="3"/>
    <d v="2026-03-12T00:00:00"/>
    <s v="IA1765"/>
    <s v="Kumar,Saravana"/>
    <n v="242.76961911727065"/>
    <d v="2026-03-12T00:00:00"/>
    <n v="7"/>
    <x v="1"/>
    <s v="Developer"/>
  </r>
  <r>
    <n v="67262"/>
    <x v="0"/>
    <s v="01192806"/>
    <x v="3"/>
    <d v="2026-03-12T00:00:00"/>
    <s v="IA1793"/>
    <s v="Subramanian,Ruthrakkanth"/>
    <n v="242.76961911727065"/>
    <d v="2026-03-12T00:00:00"/>
    <n v="7"/>
    <x v="1"/>
    <s v="Developer"/>
  </r>
  <r>
    <n v="67262"/>
    <x v="0"/>
    <s v="01192806"/>
    <x v="3"/>
    <d v="2026-03-12T00:00:00"/>
    <s v="IA1831"/>
    <s v="Veluru,Preethi"/>
    <n v="277.45099327688075"/>
    <d v="2026-03-12T00:00:00"/>
    <n v="8"/>
    <x v="1"/>
    <s v="Junior"/>
  </r>
  <r>
    <n v="67262"/>
    <x v="0"/>
    <s v="01192806"/>
    <x v="3"/>
    <d v="2026-03-12T00:00:00"/>
    <s v="IA1771"/>
    <s v="anandanshanmugam,kamesh"/>
    <n v="277.45099327688075"/>
    <d v="2026-03-12T00:00:00"/>
    <n v="8"/>
    <x v="1"/>
    <s v="Junior"/>
  </r>
  <r>
    <n v="67262"/>
    <x v="0"/>
    <s v="01192806"/>
    <x v="3"/>
    <d v="2026-03-11T00:00:00"/>
    <s v="IA1757"/>
    <s v="Thirunavukkarasu,Kishore"/>
    <n v="277.45099327688075"/>
    <d v="2026-03-11T00:00:00"/>
    <n v="8"/>
    <x v="1"/>
    <s v="Developer"/>
  </r>
  <r>
    <n v="67262"/>
    <x v="0"/>
    <s v="01192806"/>
    <x v="3"/>
    <d v="2026-03-12T00:00:00"/>
    <s v="IA1450"/>
    <s v="Selvam,Kadarkarai"/>
    <n v="104.04412247883027"/>
    <d v="2026-03-12T00:00:00"/>
    <n v="3"/>
    <x v="1"/>
    <s v="Lead Developer"/>
  </r>
  <r>
    <n v="67262"/>
    <x v="0"/>
    <s v="01192806"/>
    <x v="3"/>
    <d v="2026-03-13T00:00:00"/>
    <s v="IA1750"/>
    <s v="Sankarasubbu,RAMANATHAN"/>
    <n v="260.11030619707572"/>
    <d v="2026-03-13T00:00:00"/>
    <n v="7.5"/>
    <x v="1"/>
    <s v="Developer"/>
  </r>
  <r>
    <n v="67262"/>
    <x v="0"/>
    <s v="01192806"/>
    <x v="3"/>
    <d v="2026-03-12T00:00:00"/>
    <s v="IA1757"/>
    <s v="Thirunavukkarasu,Kishore"/>
    <n v="138.72549663844038"/>
    <d v="2026-03-12T00:00:00"/>
    <n v="4"/>
    <x v="1"/>
    <s v="Developer"/>
  </r>
  <r>
    <n v="67262"/>
    <x v="0"/>
    <s v="01192806"/>
    <x v="3"/>
    <d v="2026-03-13T00:00:00"/>
    <s v="IA1765"/>
    <s v="Kumar,Saravana"/>
    <n v="242.76961911727065"/>
    <d v="2026-03-13T00:00:00"/>
    <n v="7"/>
    <x v="1"/>
    <s v="Developer"/>
  </r>
  <r>
    <n v="67262"/>
    <x v="0"/>
    <s v="01192806"/>
    <x v="3"/>
    <d v="2026-03-13T00:00:00"/>
    <s v="IA1793"/>
    <s v="Subramanian,Ruthrakkanth"/>
    <n v="242.76961911727065"/>
    <d v="2026-03-13T00:00:00"/>
    <n v="7"/>
    <x v="1"/>
    <s v="Developer"/>
  </r>
  <r>
    <n v="67262"/>
    <x v="0"/>
    <s v="01192806"/>
    <x v="3"/>
    <d v="2026-03-13T00:00:00"/>
    <s v="IA1771"/>
    <s v="anandanshanmugam,kamesh"/>
    <n v="277.45099327688075"/>
    <d v="2026-03-13T00:00:00"/>
    <n v="8"/>
    <x v="1"/>
    <s v="Junior"/>
  </r>
  <r>
    <n v="67262"/>
    <x v="0"/>
    <s v="01192806"/>
    <x v="3"/>
    <d v="2026-03-13T00:00:00"/>
    <s v="IA1831"/>
    <s v="Veluru,Preethi"/>
    <n v="277.45099327688075"/>
    <d v="2026-03-13T00:00:00"/>
    <n v="8"/>
    <x v="1"/>
    <s v="Junior"/>
  </r>
  <r>
    <n v="67262"/>
    <x v="0"/>
    <s v="01192806"/>
    <x v="3"/>
    <d v="2026-03-13T00:00:00"/>
    <s v="IA1450"/>
    <s v="Selvam,Kadarkarai"/>
    <n v="277.45099327688075"/>
    <d v="2026-03-13T00:00:00"/>
    <n v="8"/>
    <x v="1"/>
    <s v="Lead Developer"/>
  </r>
  <r>
    <n v="67260"/>
    <x v="2"/>
    <s v="01229629"/>
    <x v="32"/>
    <d v="2026-03-17T00:00:00"/>
    <s v="IA1750"/>
    <s v="Sankarasubbu,RAMANATHAN"/>
    <n v="277.45099327688075"/>
    <d v="2026-03-17T00:00:00"/>
    <n v="8"/>
    <x v="1"/>
    <s v="Developer"/>
  </r>
  <r>
    <n v="67262"/>
    <x v="0"/>
    <s v="01192806"/>
    <x v="3"/>
    <d v="2026-03-13T00:00:00"/>
    <s v="IA1757"/>
    <s v="Thirunavukkarasu,Kishore"/>
    <n v="277.45099327688075"/>
    <d v="2026-03-13T00:00:00"/>
    <n v="8"/>
    <x v="1"/>
    <s v="Developer"/>
  </r>
  <r>
    <n v="67262"/>
    <x v="0"/>
    <s v="01192806"/>
    <x v="3"/>
    <d v="2026-03-16T00:00:00"/>
    <s v="IA1450"/>
    <s v="Selvam,Kadarkarai"/>
    <n v="242.76961911727065"/>
    <d v="2026-03-16T00:00:00"/>
    <n v="7"/>
    <x v="1"/>
    <s v="Lead Developer"/>
  </r>
  <r>
    <n v="67262"/>
    <x v="0"/>
    <s v="01192806"/>
    <x v="3"/>
    <d v="2026-03-16T00:00:00"/>
    <s v="IA1394"/>
    <s v="Baskar,Shriguru"/>
    <n v="138.72549663844038"/>
    <d v="2026-03-16T00:00:00"/>
    <n v="4"/>
    <x v="1"/>
    <s v="Niche Lead"/>
  </r>
  <r>
    <n v="67262"/>
    <x v="0"/>
    <s v="01192806"/>
    <x v="3"/>
    <d v="2026-03-16T00:00:00"/>
    <s v="IA1831"/>
    <s v="Veluru,Preethi"/>
    <n v="208.08824495766055"/>
    <d v="2026-03-16T00:00:00"/>
    <n v="6"/>
    <x v="1"/>
    <s v="Junior"/>
  </r>
  <r>
    <n v="67262"/>
    <x v="0"/>
    <s v="01192806"/>
    <x v="3"/>
    <d v="2026-03-16T00:00:00"/>
    <s v="IA1771"/>
    <s v="anandanshanmugam,kamesh"/>
    <n v="277.45099327688075"/>
    <d v="2026-03-16T00:00:00"/>
    <n v="8"/>
    <x v="1"/>
    <s v="Junior"/>
  </r>
  <r>
    <n v="67262"/>
    <x v="0"/>
    <s v="01192806"/>
    <x v="3"/>
    <d v="2026-03-16T00:00:00"/>
    <s v="IA1765"/>
    <s v="Kumar,Saravana"/>
    <n v="242.76961911727065"/>
    <d v="2026-03-16T00:00:00"/>
    <n v="7"/>
    <x v="1"/>
    <s v="Developer"/>
  </r>
  <r>
    <n v="67262"/>
    <x v="0"/>
    <s v="01192806"/>
    <x v="3"/>
    <d v="2026-03-17T00:00:00"/>
    <s v="IA1450"/>
    <s v="Selvam,Kadarkarai"/>
    <n v="242.76961911727065"/>
    <d v="2026-03-17T00:00:00"/>
    <n v="7"/>
    <x v="1"/>
    <s v="Lead Developer"/>
  </r>
  <r>
    <n v="67262"/>
    <x v="0"/>
    <s v="01192806"/>
    <x v="3"/>
    <d v="2026-03-17T00:00:00"/>
    <s v="IA1394"/>
    <s v="Baskar,Shriguru"/>
    <n v="138.72549663844038"/>
    <d v="2026-03-17T00:00:00"/>
    <n v="4"/>
    <x v="1"/>
    <s v="Niche Lead"/>
  </r>
  <r>
    <n v="67262"/>
    <x v="0"/>
    <s v="01192806"/>
    <x v="3"/>
    <d v="2026-03-17T00:00:00"/>
    <s v="IA1831"/>
    <s v="Veluru,Preethi"/>
    <n v="242.76961911727065"/>
    <d v="2026-03-17T00:00:00"/>
    <n v="7"/>
    <x v="1"/>
    <s v="Junior"/>
  </r>
  <r>
    <n v="67262"/>
    <x v="0"/>
    <s v="01192806"/>
    <x v="3"/>
    <d v="2026-03-17T00:00:00"/>
    <s v="IA1771"/>
    <s v="anandanshanmugam,kamesh"/>
    <n v="277.45099327688075"/>
    <d v="2026-03-17T00:00:00"/>
    <n v="8"/>
    <x v="1"/>
    <s v="Junior"/>
  </r>
  <r>
    <n v="67262"/>
    <x v="0"/>
    <s v="01192806"/>
    <x v="3"/>
    <d v="2026-03-17T00:00:00"/>
    <s v="IA1757"/>
    <s v="Thirunavukkarasu,Kishore"/>
    <n v="138.72549663844038"/>
    <d v="2026-03-17T00:00:00"/>
    <n v="4"/>
    <x v="1"/>
    <s v="Developer"/>
  </r>
  <r>
    <n v="67262"/>
    <x v="0"/>
    <s v="01192806"/>
    <x v="3"/>
    <d v="2026-03-17T00:00:00"/>
    <s v="IA1765"/>
    <s v="Kumar,Saravana"/>
    <n v="242.76961911727065"/>
    <d v="2026-03-17T00:00:00"/>
    <n v="7"/>
    <x v="1"/>
    <s v="Developer"/>
  </r>
  <r>
    <n v="67262"/>
    <x v="0"/>
    <s v="01192806"/>
    <x v="3"/>
    <d v="2026-03-17T00:00:00"/>
    <s v="IA1830"/>
    <s v="Raj,Gowtham"/>
    <n v="208.08824495766055"/>
    <d v="2026-03-17T00:00:00"/>
    <n v="6"/>
    <x v="1"/>
    <s v="Junior"/>
  </r>
  <r>
    <n v="67262"/>
    <x v="0"/>
    <s v="01192806"/>
    <x v="3"/>
    <d v="2026-03-18T00:00:00"/>
    <s v="IA1450"/>
    <s v="Selvam,Kadarkarai"/>
    <n v="242.76961911727065"/>
    <d v="2026-03-18T00:00:00"/>
    <n v="7"/>
    <x v="1"/>
    <s v="Lead Developer"/>
  </r>
  <r>
    <n v="67262"/>
    <x v="0"/>
    <s v="01192806"/>
    <x v="3"/>
    <d v="2026-03-18T00:00:00"/>
    <s v="IA1394"/>
    <s v="Baskar,Shriguru"/>
    <n v="277.45099327688075"/>
    <d v="2026-03-18T00:00:00"/>
    <n v="8"/>
    <x v="1"/>
    <s v="Niche Lead"/>
  </r>
  <r>
    <n v="67262"/>
    <x v="0"/>
    <s v="01192806"/>
    <x v="3"/>
    <d v="2026-03-18T00:00:00"/>
    <s v="IA1831"/>
    <s v="Veluru,Preethi"/>
    <n v="208.08824495766055"/>
    <d v="2026-03-18T00:00:00"/>
    <n v="6"/>
    <x v="1"/>
    <s v="Junior"/>
  </r>
  <r>
    <n v="67262"/>
    <x v="0"/>
    <s v="01192806"/>
    <x v="3"/>
    <d v="2026-03-18T00:00:00"/>
    <s v="IA1771"/>
    <s v="anandanshanmugam,kamesh"/>
    <n v="277.45099327688075"/>
    <d v="2026-03-18T00:00:00"/>
    <n v="8"/>
    <x v="1"/>
    <s v="Junior"/>
  </r>
  <r>
    <n v="67262"/>
    <x v="0"/>
    <s v="01192806"/>
    <x v="3"/>
    <d v="2026-03-18T00:00:00"/>
    <s v="IA1757"/>
    <s v="Thirunavukkarasu,Kishore"/>
    <n v="277.45099327688075"/>
    <d v="2026-03-18T00:00:00"/>
    <n v="8"/>
    <x v="1"/>
    <s v="Developer"/>
  </r>
  <r>
    <n v="67262"/>
    <x v="0"/>
    <s v="01192806"/>
    <x v="3"/>
    <d v="2026-03-18T00:00:00"/>
    <s v="IA1765"/>
    <s v="Kumar,Saravana"/>
    <n v="242.76961911727065"/>
    <d v="2026-03-18T00:00:00"/>
    <n v="7"/>
    <x v="1"/>
    <s v="Developer"/>
  </r>
  <r>
    <n v="67262"/>
    <x v="0"/>
    <s v="01192806"/>
    <x v="3"/>
    <d v="2026-03-18T00:00:00"/>
    <s v="IA1830"/>
    <s v="Raj,Gowtham"/>
    <n v="242.76961911727065"/>
    <d v="2026-03-18T00:00:00"/>
    <n v="7"/>
    <x v="1"/>
    <s v="Junior"/>
  </r>
  <r>
    <n v="67262"/>
    <x v="0"/>
    <s v="01192806"/>
    <x v="3"/>
    <d v="2026-03-19T00:00:00"/>
    <s v="IA1450"/>
    <s v="Selvam,Kadarkarai"/>
    <n v="208.08824495766055"/>
    <d v="2026-03-19T00:00:00"/>
    <n v="6"/>
    <x v="1"/>
    <s v="Lead Developer"/>
  </r>
  <r>
    <n v="67262"/>
    <x v="0"/>
    <s v="01192806"/>
    <x v="3"/>
    <d v="2026-03-19T00:00:00"/>
    <s v="IA1394"/>
    <s v="Baskar,Shriguru"/>
    <n v="69.362748319220188"/>
    <d v="2026-03-19T00:00:00"/>
    <n v="2"/>
    <x v="1"/>
    <s v="Niche Lead"/>
  </r>
  <r>
    <n v="67262"/>
    <x v="0"/>
    <s v="01192806"/>
    <x v="3"/>
    <d v="2026-03-19T00:00:00"/>
    <s v="IA1771"/>
    <s v="anandanshanmugam,kamesh"/>
    <n v="277.45099327688075"/>
    <d v="2026-03-19T00:00:00"/>
    <n v="8"/>
    <x v="1"/>
    <s v="Junior"/>
  </r>
  <r>
    <n v="67262"/>
    <x v="0"/>
    <s v="01192806"/>
    <x v="3"/>
    <d v="2026-03-19T00:00:00"/>
    <s v="IA1757"/>
    <s v="Thirunavukkarasu,Kishore"/>
    <n v="277.45099327688075"/>
    <d v="2026-03-19T00:00:00"/>
    <n v="8"/>
    <x v="1"/>
    <s v="Developer"/>
  </r>
  <r>
    <n v="67262"/>
    <x v="0"/>
    <s v="01192806"/>
    <x v="3"/>
    <d v="2026-03-19T00:00:00"/>
    <s v="IA1765"/>
    <s v="Kumar,Saravana"/>
    <n v="242.76961911727065"/>
    <d v="2026-03-19T00:00:00"/>
    <n v="7"/>
    <x v="1"/>
    <s v="Developer"/>
  </r>
  <r>
    <n v="67262"/>
    <x v="0"/>
    <s v="01192806"/>
    <x v="3"/>
    <d v="2026-03-19T00:00:00"/>
    <s v="IA1830"/>
    <s v="Raj,Gowtham"/>
    <n v="190.74755787785551"/>
    <d v="2026-03-19T00:00:00"/>
    <n v="5.5"/>
    <x v="1"/>
    <s v="Junior"/>
  </r>
  <r>
    <n v="67260"/>
    <x v="2"/>
    <s v="01229629"/>
    <x v="32"/>
    <d v="2026-03-18T00:00:00"/>
    <s v="IA1750"/>
    <s v="Sankarasubbu,RAMANATHAN"/>
    <n v="277.45099327688075"/>
    <d v="2026-03-18T00:00:00"/>
    <n v="8"/>
    <x v="1"/>
    <s v="Developer"/>
  </r>
  <r>
    <n v="67262"/>
    <x v="0"/>
    <s v="01192806"/>
    <x v="3"/>
    <d v="2026-03-20T00:00:00"/>
    <s v="IA1394"/>
    <s v="Baskar,Shriguru"/>
    <n v="104.04412247883027"/>
    <d v="2026-03-20T00:00:00"/>
    <n v="3"/>
    <x v="1"/>
    <s v="Niche Lead"/>
  </r>
  <r>
    <n v="67262"/>
    <x v="0"/>
    <s v="01192806"/>
    <x v="3"/>
    <d v="2026-03-20T00:00:00"/>
    <s v="IA1771"/>
    <s v="anandanshanmugam,kamesh"/>
    <n v="138.72549663844038"/>
    <d v="2026-03-20T00:00:00"/>
    <n v="4"/>
    <x v="1"/>
    <s v="Junior"/>
  </r>
  <r>
    <n v="67262"/>
    <x v="0"/>
    <s v="01192806"/>
    <x v="3"/>
    <d v="2026-03-23T00:00:00"/>
    <s v="IA1450"/>
    <s v="Selvam,Kadarkarai"/>
    <n v="208.08824495766055"/>
    <d v="2026-03-23T00:00:00"/>
    <n v="6"/>
    <x v="1"/>
    <s v="Lead Developer"/>
  </r>
  <r>
    <n v="67262"/>
    <x v="0"/>
    <s v="01192806"/>
    <x v="3"/>
    <d v="2026-03-19T00:00:00"/>
    <s v="IA1750"/>
    <s v="Sankarasubbu,RAMANATHAN"/>
    <n v="277.45099327688075"/>
    <d v="2026-03-19T00:00:00"/>
    <n v="8"/>
    <x v="1"/>
    <s v="Developer"/>
  </r>
  <r>
    <n v="67262"/>
    <x v="0"/>
    <s v="01192806"/>
    <x v="3"/>
    <d v="2026-03-23T00:00:00"/>
    <s v="IA1765"/>
    <s v="Kumar,Saravana"/>
    <n v="242.76961911727065"/>
    <d v="2026-03-23T00:00:00"/>
    <n v="7"/>
    <x v="1"/>
    <s v="Developer"/>
  </r>
  <r>
    <n v="67262"/>
    <x v="0"/>
    <s v="01192806"/>
    <x v="3"/>
    <d v="2026-03-23T00:00:00"/>
    <s v="IA1757"/>
    <s v="Thirunavukkarasu,Kishore"/>
    <n v="208.08824495766055"/>
    <d v="2026-03-23T00:00:00"/>
    <n v="6"/>
    <x v="1"/>
    <s v="Developer"/>
  </r>
  <r>
    <n v="67262"/>
    <x v="0"/>
    <s v="01192806"/>
    <x v="3"/>
    <d v="2026-03-24T00:00:00"/>
    <s v="IA1450"/>
    <s v="Selvam,Kadarkarai"/>
    <n v="208.08824495766055"/>
    <d v="2026-03-24T00:00:00"/>
    <n v="6"/>
    <x v="1"/>
    <s v="Lead Developer"/>
  </r>
  <r>
    <n v="67262"/>
    <x v="0"/>
    <s v="01192806"/>
    <x v="3"/>
    <d v="2026-03-23T00:00:00"/>
    <s v="IA1750"/>
    <s v="Sankarasubbu,RAMANATHAN"/>
    <n v="277.45099327688075"/>
    <d v="2026-03-23T00:00:00"/>
    <n v="8"/>
    <x v="1"/>
    <s v="Developer"/>
  </r>
  <r>
    <n v="67262"/>
    <x v="0"/>
    <s v="01192806"/>
    <x v="3"/>
    <d v="2026-03-24T00:00:00"/>
    <s v="IA1765"/>
    <s v="Kumar,Saravana"/>
    <n v="242.76961911727065"/>
    <d v="2026-03-24T00:00:00"/>
    <n v="7"/>
    <x v="1"/>
    <s v="Developer"/>
  </r>
  <r>
    <n v="67262"/>
    <x v="0"/>
    <s v="01192806"/>
    <x v="3"/>
    <d v="2026-03-24T00:00:00"/>
    <s v="IA1757"/>
    <s v="Thirunavukkarasu,Kishore"/>
    <n v="208.08824495766055"/>
    <d v="2026-03-24T00:00:00"/>
    <n v="6"/>
    <x v="1"/>
    <s v="Developer"/>
  </r>
  <r>
    <n v="67262"/>
    <x v="0"/>
    <s v="01192806"/>
    <x v="3"/>
    <d v="2026-03-25T00:00:00"/>
    <s v="IA1450"/>
    <s v="Selvam,Kadarkarai"/>
    <n v="242.76961911727065"/>
    <d v="2026-03-25T00:00:00"/>
    <n v="7"/>
    <x v="1"/>
    <s v="Lead Developer"/>
  </r>
  <r>
    <n v="67262"/>
    <x v="0"/>
    <s v="01192806"/>
    <x v="3"/>
    <d v="2026-03-25T00:00:00"/>
    <s v="IA1765"/>
    <s v="Kumar,Saravana"/>
    <n v="242.76961911727065"/>
    <d v="2026-03-25T00:00:00"/>
    <n v="7"/>
    <x v="1"/>
    <s v="Developer"/>
  </r>
  <r>
    <n v="67262"/>
    <x v="0"/>
    <s v="01192806"/>
    <x v="3"/>
    <d v="2026-03-25T00:00:00"/>
    <s v="IA1642"/>
    <s v="GOVINDHASAMY,RUBENDRAN"/>
    <n v="277.45099327688075"/>
    <d v="2026-03-25T00:00:00"/>
    <n v="8"/>
    <x v="1"/>
    <s v="Developer"/>
  </r>
  <r>
    <n v="67262"/>
    <x v="0"/>
    <s v="01192806"/>
    <x v="3"/>
    <d v="2026-03-25T00:00:00"/>
    <s v="IA1757"/>
    <s v="Thirunavukkarasu,Kishore"/>
    <n v="208.08824495766055"/>
    <d v="2026-03-25T00:00:00"/>
    <n v="6"/>
    <x v="1"/>
    <s v="Developer"/>
  </r>
  <r>
    <n v="67262"/>
    <x v="0"/>
    <s v="01192806"/>
    <x v="3"/>
    <d v="2026-03-26T00:00:00"/>
    <s v="IA1450"/>
    <s v="Selvam,Kadarkarai"/>
    <n v="69.362748319220188"/>
    <d v="2026-03-26T00:00:00"/>
    <n v="2"/>
    <x v="1"/>
    <s v="Lead Developer"/>
  </r>
  <r>
    <n v="67262"/>
    <x v="0"/>
    <s v="01192806"/>
    <x v="3"/>
    <d v="2026-03-26T00:00:00"/>
    <s v="IA1765"/>
    <s v="Kumar,Saravana"/>
    <n v="242.76961911727065"/>
    <d v="2026-03-26T00:00:00"/>
    <n v="7"/>
    <x v="1"/>
    <s v="Developer"/>
  </r>
  <r>
    <n v="67262"/>
    <x v="0"/>
    <s v="01192806"/>
    <x v="3"/>
    <d v="2026-03-26T00:00:00"/>
    <s v="IA1757"/>
    <s v="Thirunavukkarasu,Kishore"/>
    <n v="208.08824495766055"/>
    <d v="2026-03-26T00:00:00"/>
    <n v="6"/>
    <x v="1"/>
    <s v="Developer"/>
  </r>
  <r>
    <n v="67262"/>
    <x v="0"/>
    <s v="01192806"/>
    <x v="3"/>
    <d v="2026-03-27T00:00:00"/>
    <s v="IA1450"/>
    <s v="Selvam,Kadarkarai"/>
    <n v="104.04412247883027"/>
    <d v="2026-03-27T00:00:00"/>
    <n v="3"/>
    <x v="1"/>
    <s v="Lead Developer"/>
  </r>
  <r>
    <n v="67262"/>
    <x v="0"/>
    <s v="01192806"/>
    <x v="3"/>
    <d v="2026-03-27T00:00:00"/>
    <s v="IA1765"/>
    <s v="Kumar,Saravana"/>
    <n v="242.76961911727065"/>
    <d v="2026-03-27T00:00:00"/>
    <n v="7"/>
    <x v="1"/>
    <s v="Developer"/>
  </r>
  <r>
    <n v="67262"/>
    <x v="0"/>
    <s v="01192806"/>
    <x v="3"/>
    <d v="2026-03-27T00:00:00"/>
    <s v="IA1757"/>
    <s v="Thirunavukkarasu,Kishore"/>
    <n v="208.08824495766055"/>
    <d v="2026-03-27T00:00:00"/>
    <n v="6"/>
    <x v="1"/>
    <s v="Developer"/>
  </r>
  <r>
    <n v="67262"/>
    <x v="0"/>
    <s v="01192806"/>
    <x v="3"/>
    <d v="2026-03-30T00:00:00"/>
    <s v="IA1757"/>
    <s v="Thirunavukkarasu,Kishore"/>
    <n v="138.72549663844038"/>
    <d v="2026-03-30T00:00:00"/>
    <n v="4"/>
    <x v="1"/>
    <s v="Developer"/>
  </r>
  <r>
    <n v="67262"/>
    <x v="0"/>
    <s v="01192806"/>
    <x v="3"/>
    <d v="2026-03-30T00:00:00"/>
    <s v="IA1450"/>
    <s v="Selvam,Kadarkarai"/>
    <n v="69.362748319220188"/>
    <d v="2026-03-30T00:00:00"/>
    <n v="2"/>
    <x v="1"/>
    <s v="Lead Developer"/>
  </r>
  <r>
    <n v="67262"/>
    <x v="0"/>
    <s v="01192806"/>
    <x v="3"/>
    <d v="2026-03-31T00:00:00"/>
    <s v="IA1450"/>
    <s v="Selvam,Kadarkarai"/>
    <n v="69.362748319220188"/>
    <d v="2026-03-31T00:00:00"/>
    <n v="2"/>
    <x v="1"/>
    <s v="Lead Developer"/>
  </r>
  <r>
    <n v="67262"/>
    <x v="0"/>
    <s v="01192806"/>
    <x v="3"/>
    <d v="2026-04-01T00:00:00"/>
    <s v="IA1757"/>
    <s v="Thirunavukkarasu,Kishore"/>
    <n v="138.72549663844038"/>
    <d v="2026-04-01T00:00:00"/>
    <n v="4"/>
    <x v="2"/>
    <s v="Developer"/>
  </r>
  <r>
    <n v="67262"/>
    <x v="0"/>
    <s v="01192806"/>
    <x v="3"/>
    <d v="2026-04-01T00:00:00"/>
    <s v="IA1450"/>
    <s v="Selvam,Kadarkarai"/>
    <n v="104.04412247883027"/>
    <d v="2026-04-01T00:00:00"/>
    <n v="3"/>
    <x v="2"/>
    <s v="Lead Developer"/>
  </r>
  <r>
    <n v="67262"/>
    <x v="0"/>
    <s v="01192806"/>
    <x v="3"/>
    <d v="2026-04-02T00:00:00"/>
    <s v="IA1450"/>
    <s v="Selvam,Kadarkarai"/>
    <n v="69.362748319220188"/>
    <d v="2026-04-02T00:00:00"/>
    <n v="2"/>
    <x v="2"/>
    <s v="Lead Developer"/>
  </r>
  <r>
    <n v="67262"/>
    <x v="0"/>
    <s v="01192806"/>
    <x v="3"/>
    <d v="2026-04-03T00:00:00"/>
    <s v="IA1757"/>
    <s v="Thirunavukkarasu,Kishore"/>
    <n v="208.08824495766055"/>
    <d v="2026-04-03T00:00:00"/>
    <n v="6"/>
    <x v="2"/>
    <s v="Developer"/>
  </r>
  <r>
    <n v="67262"/>
    <x v="0"/>
    <s v="01192806"/>
    <x v="3"/>
    <d v="2026-04-03T00:00:00"/>
    <s v="IA1450"/>
    <s v="Selvam,Kadarkarai"/>
    <n v="104.04412247883027"/>
    <d v="2026-04-03T00:00:00"/>
    <n v="3"/>
    <x v="2"/>
    <s v="Lead Developer"/>
  </r>
  <r>
    <n v="67262"/>
    <x v="0"/>
    <s v="01192806"/>
    <x v="3"/>
    <d v="2026-04-06T00:00:00"/>
    <s v="IA1642"/>
    <s v="GOVINDHASAMY,RUBENDRAN"/>
    <n v="277.45099327688075"/>
    <d v="2026-04-06T00:00:00"/>
    <n v="8"/>
    <x v="2"/>
    <s v="Developer"/>
  </r>
  <r>
    <n v="67262"/>
    <x v="0"/>
    <s v="01192806"/>
    <x v="3"/>
    <d v="2026-04-06T00:00:00"/>
    <s v="IA1450"/>
    <s v="Selvam,Kadarkarai"/>
    <n v="34.681374159610094"/>
    <d v="2026-04-06T00:00:00"/>
    <n v="1"/>
    <x v="2"/>
    <s v="Lead Developer"/>
  </r>
  <r>
    <n v="67262"/>
    <x v="0"/>
    <s v="01192806"/>
    <x v="3"/>
    <d v="2026-04-07T00:00:00"/>
    <s v="IA1642"/>
    <s v="GOVINDHASAMY,RUBENDRAN"/>
    <n v="277.45099327688075"/>
    <d v="2026-04-07T00:00:00"/>
    <n v="8"/>
    <x v="2"/>
    <s v="Developer"/>
  </r>
  <r>
    <n v="67262"/>
    <x v="0"/>
    <s v="01192806"/>
    <x v="3"/>
    <d v="2026-04-07T00:00:00"/>
    <s v="IA1450"/>
    <s v="Selvam,Kadarkarai"/>
    <n v="34.681374159610094"/>
    <d v="2026-04-07T00:00:00"/>
    <n v="1"/>
    <x v="2"/>
    <s v="Lead Developer"/>
  </r>
  <r>
    <n v="67262"/>
    <x v="0"/>
    <s v="01192806"/>
    <x v="3"/>
    <d v="2026-04-08T00:00:00"/>
    <s v="IA1642"/>
    <s v="GOVINDHASAMY,RUBENDRAN"/>
    <n v="138.72549663844038"/>
    <d v="2026-04-08T00:00:00"/>
    <n v="4"/>
    <x v="2"/>
    <s v="Developer"/>
  </r>
  <r>
    <n v="67262"/>
    <x v="0"/>
    <s v="01192806"/>
    <x v="3"/>
    <d v="2026-04-09T00:00:00"/>
    <s v="IA1793"/>
    <s v="Subramanian,Ruthrakkanth"/>
    <n v="242.76961911727065"/>
    <d v="2026-04-09T00:00:00"/>
    <n v="7"/>
    <x v="2"/>
    <s v="Developer"/>
  </r>
  <r>
    <n v="67262"/>
    <x v="0"/>
    <s v="01192806"/>
    <x v="3"/>
    <d v="2026-04-10T00:00:00"/>
    <s v="IA1450"/>
    <s v="Selvam,Kadarkarai"/>
    <n v="69.362748319220188"/>
    <d v="2026-04-10T00:00:00"/>
    <n v="2"/>
    <x v="2"/>
    <s v="Lead Developer"/>
  </r>
  <r>
    <n v="67262"/>
    <x v="0"/>
    <s v="01192806"/>
    <x v="3"/>
    <d v="2026-03-24T00:00:00"/>
    <s v="IA1750"/>
    <s v="Sankarasubbu,RAMANATHAN"/>
    <n v="277.45099327688075"/>
    <d v="2026-03-24T00:00:00"/>
    <n v="8"/>
    <x v="1"/>
    <s v="Developer"/>
  </r>
  <r>
    <n v="67260"/>
    <x v="2"/>
    <s v="01229629"/>
    <x v="32"/>
    <d v="2026-03-25T00:00:00"/>
    <s v="IA1750"/>
    <s v="Sankarasubbu,RAMANATHAN"/>
    <n v="277.45099327688075"/>
    <d v="2026-03-25T00:00:00"/>
    <n v="8"/>
    <x v="1"/>
    <s v="Developer"/>
  </r>
  <r>
    <n v="67262"/>
    <x v="0"/>
    <s v="01192806"/>
    <x v="3"/>
    <d v="2026-04-13T00:00:00"/>
    <s v="IA1793"/>
    <s v="Subramanian,Ruthrakkanth"/>
    <n v="52.022061239415137"/>
    <d v="2026-04-13T00:00:00"/>
    <n v="1.5"/>
    <x v="2"/>
    <s v="Developer"/>
  </r>
  <r>
    <n v="67262"/>
    <x v="0"/>
    <s v="01192806"/>
    <x v="3"/>
    <d v="2026-04-13T00:00:00"/>
    <s v="IA1450"/>
    <s v="Selvam,Kadarkarai"/>
    <n v="208.08824495766055"/>
    <d v="2026-04-13T00:00:00"/>
    <n v="6"/>
    <x v="2"/>
    <s v="Lead Developer"/>
  </r>
  <r>
    <n v="67262"/>
    <x v="0"/>
    <s v="01192806"/>
    <x v="3"/>
    <d v="2026-04-15T00:00:00"/>
    <s v="IA1394"/>
    <s v="Baskar,Shriguru"/>
    <n v="138.72549663844038"/>
    <d v="2026-04-15T00:00:00"/>
    <n v="4"/>
    <x v="2"/>
    <s v="Niche Lead"/>
  </r>
  <r>
    <n v="67262"/>
    <x v="0"/>
    <s v="01192806"/>
    <x v="3"/>
    <d v="2026-04-15T00:00:00"/>
    <s v="IA1793"/>
    <s v="Subramanian,Ruthrakkanth"/>
    <n v="34.681374159610094"/>
    <d v="2026-04-15T00:00:00"/>
    <n v="1"/>
    <x v="2"/>
    <s v="Developer"/>
  </r>
  <r>
    <n v="67262"/>
    <x v="0"/>
    <s v="01192806"/>
    <x v="3"/>
    <d v="2026-04-15T00:00:00"/>
    <s v="IA1757"/>
    <s v="Thirunavukkarasu,Kishore"/>
    <n v="208.08824495766055"/>
    <d v="2026-04-15T00:00:00"/>
    <n v="6"/>
    <x v="2"/>
    <s v="Developer"/>
  </r>
  <r>
    <n v="67262"/>
    <x v="0"/>
    <s v="01192806"/>
    <x v="3"/>
    <d v="2026-04-15T00:00:00"/>
    <s v="IA1450"/>
    <s v="Selvam,Kadarkarai"/>
    <n v="173.40687079805048"/>
    <d v="2026-04-15T00:00:00"/>
    <n v="5"/>
    <x v="2"/>
    <s v="Lead Developer"/>
  </r>
  <r>
    <n v="67262"/>
    <x v="0"/>
    <s v="01192806"/>
    <x v="3"/>
    <d v="2026-04-16T00:00:00"/>
    <s v="IA1757"/>
    <s v="Thirunavukkarasu,Kishore"/>
    <n v="208.08824495766055"/>
    <d v="2026-04-16T00:00:00"/>
    <n v="6"/>
    <x v="2"/>
    <s v="Developer"/>
  </r>
  <r>
    <n v="67262"/>
    <x v="0"/>
    <s v="01192806"/>
    <x v="3"/>
    <d v="2026-04-21T00:00:00"/>
    <s v="IA1450"/>
    <s v="Selvam,Kadarkarai"/>
    <n v="208.08824495766055"/>
    <d v="2026-04-21T00:00:00"/>
    <n v="6"/>
    <x v="2"/>
    <s v="Lead Developer"/>
  </r>
  <r>
    <n v="67262"/>
    <x v="0"/>
    <s v="01192806"/>
    <x v="3"/>
    <d v="2026-04-22T00:00:00"/>
    <s v="IA1450"/>
    <s v="Selvam,Kadarkarai"/>
    <n v="277.45099327688075"/>
    <d v="2026-04-22T00:00:00"/>
    <n v="8"/>
    <x v="2"/>
    <s v="Lead Developer"/>
  </r>
  <r>
    <n v="67262"/>
    <x v="0"/>
    <s v="01192806"/>
    <x v="3"/>
    <d v="2026-04-23T00:00:00"/>
    <s v="IA1793"/>
    <s v="Subramanian,Ruthrakkanth"/>
    <n v="69.362748319220188"/>
    <d v="2026-04-23T00:00:00"/>
    <n v="2"/>
    <x v="2"/>
    <s v="Developer"/>
  </r>
  <r>
    <n v="67262"/>
    <x v="0"/>
    <s v="01192806"/>
    <x v="3"/>
    <d v="2026-04-24T00:00:00"/>
    <s v="IA1793"/>
    <s v="Subramanian,Ruthrakkanth"/>
    <n v="260.11030619707572"/>
    <d v="2026-04-24T00:00:00"/>
    <n v="7.5"/>
    <x v="2"/>
    <s v="Developer"/>
  </r>
  <r>
    <n v="67262"/>
    <x v="0"/>
    <s v="01192806"/>
    <x v="3"/>
    <d v="2026-04-30T00:00:00"/>
    <s v="IA1793"/>
    <s v="Subramanian,Ruthrakkanth"/>
    <n v="208.08824495766055"/>
    <d v="2026-04-30T00:00:00"/>
    <n v="6"/>
    <x v="2"/>
    <s v="Developer"/>
  </r>
  <r>
    <n v="67262"/>
    <x v="0"/>
    <s v="01192806"/>
    <x v="3"/>
    <d v="2026-05-04T00:00:00"/>
    <s v="IA1642"/>
    <s v="GOVINDHASAMY,RUBENDRAN"/>
    <n v="277.45099327688075"/>
    <d v="2026-05-04T00:00:00"/>
    <n v="8"/>
    <x v="10"/>
    <s v="Developer"/>
  </r>
  <r>
    <n v="67262"/>
    <x v="0"/>
    <s v="01192806"/>
    <x v="3"/>
    <d v="2026-05-05T00:00:00"/>
    <s v="IA1642"/>
    <s v="GOVINDHASAMY,RUBENDRAN"/>
    <n v="277.45099327688075"/>
    <d v="2026-05-05T00:00:00"/>
    <n v="8"/>
    <x v="10"/>
    <s v="Developer"/>
  </r>
  <r>
    <n v="67262"/>
    <x v="0"/>
    <s v="01192806"/>
    <x v="3"/>
    <d v="2026-05-07T00:00:00"/>
    <s v="IA1765"/>
    <s v="Kumar,Saravana"/>
    <n v="277.45099327688075"/>
    <d v="2026-05-07T00:00:00"/>
    <n v="8"/>
    <x v="10"/>
    <s v="Developer"/>
  </r>
  <r>
    <n v="67262"/>
    <x v="0"/>
    <s v="01192806"/>
    <x v="3"/>
    <d v="2026-05-08T00:00:00"/>
    <s v="IA1690"/>
    <s v="Duraisamy,Manikandaprabu"/>
    <n v="277.45099327688075"/>
    <d v="2026-05-08T00:00:00"/>
    <n v="8"/>
    <x v="10"/>
    <s v="Developer"/>
  </r>
  <r>
    <n v="67262"/>
    <x v="0"/>
    <s v="01192806"/>
    <x v="3"/>
    <d v="2026-05-13T00:00:00"/>
    <s v="IA1642"/>
    <s v="GOVINDHASAMY,RUBENDRAN"/>
    <n v="277.45099327688075"/>
    <d v="2026-05-13T00:00:00"/>
    <n v="8"/>
    <x v="10"/>
    <s v="Developer"/>
  </r>
  <r>
    <n v="67262"/>
    <x v="0"/>
    <s v="01192806"/>
    <x v="3"/>
    <d v="2026-05-14T00:00:00"/>
    <s v="IA1450"/>
    <s v="Selvam,Kadarkarai"/>
    <n v="34.681374159610094"/>
    <d v="2026-05-14T00:00:00"/>
    <n v="1"/>
    <x v="10"/>
    <s v="Lead Developer"/>
  </r>
  <r>
    <n v="67262"/>
    <x v="0"/>
    <s v="01192806"/>
    <x v="3"/>
    <d v="2026-05-15T00:00:00"/>
    <s v="IA1450"/>
    <s v="Selvam,Kadarkarai"/>
    <n v="138.72549663844038"/>
    <d v="2026-05-15T00:00:00"/>
    <n v="4"/>
    <x v="10"/>
    <s v="Lead Developer"/>
  </r>
  <r>
    <n v="67262"/>
    <x v="0"/>
    <s v="01192806"/>
    <x v="3"/>
    <d v="2026-05-18T00:00:00"/>
    <s v="IA1394"/>
    <s v="Baskar,Shriguru"/>
    <n v="34.681374159610094"/>
    <d v="2026-05-18T00:00:00"/>
    <n v="1"/>
    <x v="10"/>
    <s v="Niche Lead"/>
  </r>
  <r>
    <n v="67262"/>
    <x v="0"/>
    <s v="01192806"/>
    <x v="3"/>
    <d v="2026-05-18T00:00:00"/>
    <s v="IA1793"/>
    <s v="Subramanian,Ruthrakkanth"/>
    <n v="242.76961911727065"/>
    <d v="2026-05-18T00:00:00"/>
    <n v="7"/>
    <x v="10"/>
    <s v="Developer"/>
  </r>
  <r>
    <n v="67262"/>
    <x v="0"/>
    <s v="01192806"/>
    <x v="3"/>
    <d v="2026-05-19T00:00:00"/>
    <s v="IA1394"/>
    <s v="Baskar,Shriguru"/>
    <n v="69.362748319220188"/>
    <d v="2026-05-19T00:00:00"/>
    <n v="2"/>
    <x v="10"/>
    <s v="Niche Lead"/>
  </r>
  <r>
    <n v="67262"/>
    <x v="0"/>
    <s v="01192806"/>
    <x v="3"/>
    <d v="2026-05-21T00:00:00"/>
    <s v="IA1394"/>
    <s v="Baskar,Shriguru"/>
    <n v="104.04412247883027"/>
    <d v="2026-05-21T00:00:00"/>
    <n v="3"/>
    <x v="10"/>
    <s v="Niche Lead"/>
  </r>
  <r>
    <n v="67262"/>
    <x v="0"/>
    <s v="01192806"/>
    <x v="3"/>
    <d v="2026-05-22T00:00:00"/>
    <s v="IA1394"/>
    <s v="Baskar,Shriguru"/>
    <n v="138.72549663844038"/>
    <d v="2026-05-22T00:00:00"/>
    <n v="4"/>
    <x v="10"/>
    <s v="Niche Lead"/>
  </r>
  <r>
    <n v="67262"/>
    <x v="0"/>
    <s v="01192806"/>
    <x v="3"/>
    <d v="2026-05-22T00:00:00"/>
    <s v="IA1793"/>
    <s v="Subramanian,Ruthrakkanth"/>
    <n v="34.681374159610094"/>
    <d v="2026-05-22T00:00:00"/>
    <n v="1"/>
    <x v="10"/>
    <s v="Developer"/>
  </r>
  <r>
    <n v="67262"/>
    <x v="0"/>
    <s v="01192806"/>
    <x v="3"/>
    <d v="2026-05-25T00:00:00"/>
    <s v="IA1690"/>
    <s v="Duraisamy,Manikandaprabu"/>
    <n v="208.08824495766055"/>
    <d v="2026-05-25T00:00:00"/>
    <n v="6"/>
    <x v="10"/>
    <s v="Developer"/>
  </r>
  <r>
    <n v="67262"/>
    <x v="0"/>
    <s v="01192806"/>
    <x v="3"/>
    <d v="2026-05-29T00:00:00"/>
    <s v="IA1765"/>
    <s v="Kumar,Saravana"/>
    <n v="277.45099327688075"/>
    <d v="2026-05-29T00:00:00"/>
    <n v="8"/>
    <x v="10"/>
    <s v="Developer"/>
  </r>
  <r>
    <n v="67260"/>
    <x v="2"/>
    <s v="01229629"/>
    <x v="32"/>
    <d v="2026-03-26T00:00:00"/>
    <s v="IA1750"/>
    <s v="Sankarasubbu,RAMANATHAN"/>
    <n v="277.45099327688075"/>
    <d v="2026-03-26T00:00:00"/>
    <n v="8"/>
    <x v="1"/>
    <s v="Developer"/>
  </r>
  <r>
    <n v="67260"/>
    <x v="2"/>
    <s v="01229629"/>
    <x v="32"/>
    <d v="2026-03-30T00:00:00"/>
    <s v="IA1750"/>
    <s v="Sankarasubbu,RAMANATHAN"/>
    <n v="277.45099327688075"/>
    <d v="2026-03-30T00:00:00"/>
    <n v="8"/>
    <x v="1"/>
    <s v="Developer"/>
  </r>
  <r>
    <n v="67262"/>
    <x v="0"/>
    <s v="01192806"/>
    <x v="3"/>
    <d v="2026-06-02T00:00:00"/>
    <s v="IA1450"/>
    <s v="Selvam,Kadarkarai"/>
    <n v="69.362748319220188"/>
    <d v="2026-06-02T00:00:00"/>
    <n v="2"/>
    <x v="11"/>
    <s v="Lead Developer"/>
  </r>
  <r>
    <n v="67260"/>
    <x v="2"/>
    <s v="01229629"/>
    <x v="32"/>
    <d v="2026-03-31T00:00:00"/>
    <s v="IA1750"/>
    <s v="Sankarasubbu,RAMANATHAN"/>
    <n v="277.45099327688075"/>
    <d v="2026-03-31T00:00:00"/>
    <n v="8"/>
    <x v="1"/>
    <s v="Developer"/>
  </r>
  <r>
    <n v="67262"/>
    <x v="0"/>
    <s v="01192806"/>
    <x v="3"/>
    <d v="2026-06-03T00:00:00"/>
    <s v="IA1450"/>
    <s v="Selvam,Kadarkarai"/>
    <n v="69.362748319220188"/>
    <d v="2026-06-03T00:00:00"/>
    <n v="2"/>
    <x v="11"/>
    <s v="Lead Developer"/>
  </r>
  <r>
    <n v="67262"/>
    <x v="0"/>
    <s v="01192806"/>
    <x v="3"/>
    <d v="2026-06-04T00:00:00"/>
    <s v="IA1831"/>
    <s v="Veluru,Preethi"/>
    <n v="277.45099327688075"/>
    <d v="2026-06-04T00:00:00"/>
    <n v="8"/>
    <x v="11"/>
    <s v="Junior"/>
  </r>
  <r>
    <n v="67262"/>
    <x v="0"/>
    <s v="01192806"/>
    <x v="3"/>
    <d v="2026-06-05T00:00:00"/>
    <s v="IA1831"/>
    <s v="Veluru,Preethi"/>
    <n v="277.45099327688075"/>
    <d v="2026-06-05T00:00:00"/>
    <n v="8"/>
    <x v="11"/>
    <s v="Junior"/>
  </r>
  <r>
    <n v="67262"/>
    <x v="0"/>
    <s v="01192806"/>
    <x v="3"/>
    <d v="2026-06-08T00:00:00"/>
    <s v="IA1831"/>
    <s v="Veluru,Preethi"/>
    <n v="277.45099327688075"/>
    <d v="2026-06-08T00:00:00"/>
    <n v="8"/>
    <x v="11"/>
    <s v="Junior"/>
  </r>
  <r>
    <n v="67262"/>
    <x v="0"/>
    <s v="01192806"/>
    <x v="3"/>
    <d v="2026-06-09T00:00:00"/>
    <s v="IA1831"/>
    <s v="Veluru,Preethi"/>
    <n v="277.45099327688075"/>
    <d v="2026-06-09T00:00:00"/>
    <n v="8"/>
    <x v="11"/>
    <s v="Junior"/>
  </r>
  <r>
    <n v="67262"/>
    <x v="0"/>
    <s v="01192806"/>
    <x v="3"/>
    <d v="2026-06-10T00:00:00"/>
    <s v="IA1831"/>
    <s v="Veluru,Preethi"/>
    <n v="277.45099327688075"/>
    <d v="2026-06-10T00:00:00"/>
    <n v="8"/>
    <x v="11"/>
    <s v="Junior"/>
  </r>
  <r>
    <n v="67262"/>
    <x v="0"/>
    <s v="01192806"/>
    <x v="3"/>
    <d v="2026-06-11T00:00:00"/>
    <s v="IA1642"/>
    <s v="GOVINDHASAMY,RUBENDRAN"/>
    <n v="138.72549663844038"/>
    <d v="2026-06-11T00:00:00"/>
    <n v="4"/>
    <x v="11"/>
    <s v="Developer"/>
  </r>
  <r>
    <n v="67262"/>
    <x v="0"/>
    <s v="01192806"/>
    <x v="3"/>
    <d v="2026-06-12T00:00:00"/>
    <s v="IA1642"/>
    <s v="GOVINDHASAMY,RUBENDRAN"/>
    <n v="277.45099327688075"/>
    <d v="2026-06-12T00:00:00"/>
    <n v="8"/>
    <x v="11"/>
    <s v="Developer"/>
  </r>
  <r>
    <n v="67260"/>
    <x v="2"/>
    <s v="01213989"/>
    <x v="4"/>
    <d v="2025-11-12T00:00:00"/>
    <s v="IA1789"/>
    <s v="Sharukhan,Mohammed"/>
    <n v="104.04412247883027"/>
    <d v="2025-11-12T00:00:00"/>
    <n v="3"/>
    <x v="7"/>
    <s v="Platform Operations"/>
  </r>
  <r>
    <n v="67260"/>
    <x v="2"/>
    <s v="01213989"/>
    <x v="4"/>
    <d v="2025-11-17T00:00:00"/>
    <s v="IA1789"/>
    <s v="Sharukhan,Mohammed"/>
    <n v="208.08824495766055"/>
    <d v="2025-11-17T00:00:00"/>
    <n v="6"/>
    <x v="7"/>
    <s v="Platform Operations"/>
  </r>
  <r>
    <n v="67260"/>
    <x v="2"/>
    <s v="01213989"/>
    <x v="4"/>
    <d v="2025-11-19T00:00:00"/>
    <s v="IA1789"/>
    <s v="Sharukhan,Mohammed"/>
    <n v="208.08824495766055"/>
    <d v="2025-11-19T00:00:00"/>
    <n v="6"/>
    <x v="7"/>
    <s v="Platform Operations"/>
  </r>
  <r>
    <n v="67260"/>
    <x v="2"/>
    <s v="01213989"/>
    <x v="4"/>
    <d v="2025-11-20T00:00:00"/>
    <s v="IA1789"/>
    <s v="Sharukhan,Mohammed"/>
    <n v="208.08824495766055"/>
    <d v="2025-11-20T00:00:00"/>
    <n v="6"/>
    <x v="7"/>
    <s v="Platform Operations"/>
  </r>
  <r>
    <n v="67260"/>
    <x v="2"/>
    <s v="01213989"/>
    <x v="4"/>
    <d v="2025-11-21T00:00:00"/>
    <s v="IA1789"/>
    <s v="Sharukhan,Mohammed"/>
    <n v="208.08824495766055"/>
    <d v="2025-11-21T00:00:00"/>
    <n v="6"/>
    <x v="7"/>
    <s v="Platform Operations"/>
  </r>
  <r>
    <n v="67260"/>
    <x v="2"/>
    <s v="01213989"/>
    <x v="4"/>
    <d v="2025-11-24T00:00:00"/>
    <s v="IA1789"/>
    <s v="Sharukhan,Mohammed"/>
    <n v="208.08824495766055"/>
    <d v="2025-11-24T00:00:00"/>
    <n v="6"/>
    <x v="7"/>
    <s v="Platform Operations"/>
  </r>
  <r>
    <n v="67260"/>
    <x v="2"/>
    <s v="01213989"/>
    <x v="4"/>
    <d v="2025-11-25T00:00:00"/>
    <s v="IA1789"/>
    <s v="Sharukhan,Mohammed"/>
    <n v="208.08824495766055"/>
    <d v="2025-11-25T00:00:00"/>
    <n v="6"/>
    <x v="7"/>
    <s v="Platform Operations"/>
  </r>
  <r>
    <n v="67260"/>
    <x v="2"/>
    <s v="01213989"/>
    <x v="4"/>
    <d v="2025-11-26T00:00:00"/>
    <s v="IA1789"/>
    <s v="Sharukhan,Mohammed"/>
    <n v="208.08824495766055"/>
    <d v="2025-11-26T00:00:00"/>
    <n v="6"/>
    <x v="7"/>
    <s v="Platform Operations"/>
  </r>
  <r>
    <n v="67260"/>
    <x v="2"/>
    <s v="01213989"/>
    <x v="4"/>
    <d v="2025-11-27T00:00:00"/>
    <s v="IA1789"/>
    <s v="Sharukhan,Mohammed"/>
    <n v="208.08824495766055"/>
    <d v="2025-11-27T00:00:00"/>
    <n v="6"/>
    <x v="7"/>
    <s v="Platform Operations"/>
  </r>
  <r>
    <n v="67260"/>
    <x v="2"/>
    <s v="01213989"/>
    <x v="4"/>
    <d v="2025-11-28T00:00:00"/>
    <s v="IA1789"/>
    <s v="Sharukhan,Mohammed"/>
    <n v="208.08824495766055"/>
    <d v="2025-11-28T00:00:00"/>
    <n v="6"/>
    <x v="7"/>
    <s v="Platform Operations"/>
  </r>
  <r>
    <n v="67260"/>
    <x v="2"/>
    <s v="01213989"/>
    <x v="4"/>
    <d v="2025-12-01T00:00:00"/>
    <s v="IA1789"/>
    <s v="Sharukhan,Mohammed"/>
    <n v="208.08824495766055"/>
    <d v="2025-12-01T00:00:00"/>
    <n v="6"/>
    <x v="8"/>
    <s v="Platform Operations"/>
  </r>
  <r>
    <n v="68097"/>
    <x v="8"/>
    <s v="01230073"/>
    <x v="33"/>
    <d v="2026-03-30T00:00:00"/>
    <s v="IA1421"/>
    <s v="Jayapal,Muruganandham"/>
    <n v="69.362748319220188"/>
    <d v="2026-03-30T00:00:00"/>
    <n v="2"/>
    <x v="1"/>
    <s v="Engg Manager"/>
  </r>
  <r>
    <n v="68097"/>
    <x v="8"/>
    <s v="01230073"/>
    <x v="33"/>
    <d v="2026-03-30T00:00:00"/>
    <s v="IA1771"/>
    <s v="anandanshanmugam,kamesh"/>
    <n v="277.45099327688075"/>
    <d v="2026-03-30T00:00:00"/>
    <n v="8"/>
    <x v="1"/>
    <s v="Junior"/>
  </r>
  <r>
    <n v="68097"/>
    <x v="8"/>
    <s v="01230073"/>
    <x v="33"/>
    <d v="2026-03-30T00:00:00"/>
    <s v="IA1831"/>
    <s v="Veluru,Preethi"/>
    <n v="277.45099327688075"/>
    <d v="2026-03-30T00:00:00"/>
    <n v="8"/>
    <x v="1"/>
    <s v="Junior"/>
  </r>
  <r>
    <n v="68097"/>
    <x v="8"/>
    <s v="01230073"/>
    <x v="33"/>
    <d v="2026-03-31T00:00:00"/>
    <s v="IA1421"/>
    <s v="Jayapal,Muruganandham"/>
    <n v="69.362748319220188"/>
    <d v="2026-03-31T00:00:00"/>
    <n v="2"/>
    <x v="1"/>
    <s v="Engg Manager"/>
  </r>
  <r>
    <n v="68097"/>
    <x v="8"/>
    <s v="01230073"/>
    <x v="33"/>
    <d v="2026-03-31T00:00:00"/>
    <s v="IA1771"/>
    <s v="anandanshanmugam,kamesh"/>
    <n v="277.45099327688075"/>
    <d v="2026-03-31T00:00:00"/>
    <n v="8"/>
    <x v="1"/>
    <s v="Junior"/>
  </r>
  <r>
    <n v="68097"/>
    <x v="8"/>
    <s v="01230073"/>
    <x v="33"/>
    <d v="2026-03-31T00:00:00"/>
    <s v="IA1831"/>
    <s v="Veluru,Preethi"/>
    <n v="277.45099327688075"/>
    <d v="2026-03-31T00:00:00"/>
    <n v="8"/>
    <x v="1"/>
    <s v="Junior"/>
  </r>
  <r>
    <n v="68097"/>
    <x v="8"/>
    <s v="01230073"/>
    <x v="33"/>
    <d v="2026-03-31T00:00:00"/>
    <s v="IA1765"/>
    <s v="Kumar,Saravana"/>
    <n v="242.76961911727065"/>
    <d v="2026-03-31T00:00:00"/>
    <n v="7"/>
    <x v="1"/>
    <s v="Developer"/>
  </r>
  <r>
    <n v="68097"/>
    <x v="8"/>
    <s v="01230073"/>
    <x v="33"/>
    <d v="2026-04-01T00:00:00"/>
    <s v="IA1421"/>
    <s v="Jayapal,Muruganandham"/>
    <n v="69.362748319220188"/>
    <d v="2026-04-01T00:00:00"/>
    <n v="2"/>
    <x v="2"/>
    <s v="Engg Manager"/>
  </r>
  <r>
    <n v="68097"/>
    <x v="8"/>
    <s v="01230073"/>
    <x v="33"/>
    <d v="2026-04-01T00:00:00"/>
    <s v="IA1771"/>
    <s v="anandanshanmugam,kamesh"/>
    <n v="277.45099327688075"/>
    <d v="2026-04-01T00:00:00"/>
    <n v="8"/>
    <x v="2"/>
    <s v="Junior"/>
  </r>
  <r>
    <n v="68097"/>
    <x v="8"/>
    <s v="01230073"/>
    <x v="33"/>
    <d v="2026-04-01T00:00:00"/>
    <s v="IA1831"/>
    <s v="Veluru,Preethi"/>
    <n v="277.45099327688075"/>
    <d v="2026-04-01T00:00:00"/>
    <n v="8"/>
    <x v="2"/>
    <s v="Junior"/>
  </r>
  <r>
    <n v="68097"/>
    <x v="8"/>
    <s v="01230073"/>
    <x v="33"/>
    <d v="2026-04-02T00:00:00"/>
    <s v="IA1421"/>
    <s v="Jayapal,Muruganandham"/>
    <n v="69.362748319220188"/>
    <d v="2026-04-02T00:00:00"/>
    <n v="2"/>
    <x v="2"/>
    <s v="Engg Manager"/>
  </r>
  <r>
    <n v="68097"/>
    <x v="8"/>
    <s v="01230073"/>
    <x v="33"/>
    <d v="2026-04-02T00:00:00"/>
    <s v="IA1771"/>
    <s v="anandanshanmugam,kamesh"/>
    <n v="277.45099327688075"/>
    <d v="2026-04-02T00:00:00"/>
    <n v="8"/>
    <x v="2"/>
    <s v="Junior"/>
  </r>
  <r>
    <n v="68097"/>
    <x v="8"/>
    <s v="01230073"/>
    <x v="33"/>
    <d v="2026-04-02T00:00:00"/>
    <s v="IA1831"/>
    <s v="Veluru,Preethi"/>
    <n v="277.45099327688075"/>
    <d v="2026-04-02T00:00:00"/>
    <n v="8"/>
    <x v="2"/>
    <s v="Junior"/>
  </r>
  <r>
    <n v="68097"/>
    <x v="8"/>
    <s v="01230073"/>
    <x v="33"/>
    <d v="2026-04-02T00:00:00"/>
    <s v="IA1765"/>
    <s v="Kumar,Saravana"/>
    <n v="242.76961911727065"/>
    <d v="2026-04-02T00:00:00"/>
    <n v="7"/>
    <x v="2"/>
    <s v="Developer"/>
  </r>
  <r>
    <n v="68097"/>
    <x v="8"/>
    <s v="01230073"/>
    <x v="33"/>
    <d v="2026-04-03T00:00:00"/>
    <s v="IA1771"/>
    <s v="anandanshanmugam,kamesh"/>
    <n v="277.45099327688075"/>
    <d v="2026-04-03T00:00:00"/>
    <n v="8"/>
    <x v="2"/>
    <s v="Junior"/>
  </r>
  <r>
    <n v="68097"/>
    <x v="8"/>
    <s v="01230073"/>
    <x v="33"/>
    <d v="2026-04-06T00:00:00"/>
    <s v="IA1831"/>
    <s v="Veluru,Preethi"/>
    <n v="277.45099327688075"/>
    <d v="2026-04-06T00:00:00"/>
    <n v="8"/>
    <x v="2"/>
    <s v="Junior"/>
  </r>
  <r>
    <n v="68097"/>
    <x v="8"/>
    <s v="01230073"/>
    <x v="33"/>
    <d v="2026-04-06T00:00:00"/>
    <s v="IA1765"/>
    <s v="Kumar,Saravana"/>
    <n v="277.45099327688075"/>
    <d v="2026-04-06T00:00:00"/>
    <n v="8"/>
    <x v="2"/>
    <s v="Developer"/>
  </r>
  <r>
    <n v="68097"/>
    <x v="8"/>
    <s v="01230073"/>
    <x v="33"/>
    <d v="2026-04-06T00:00:00"/>
    <s v="IA1421"/>
    <s v="Jayapal,Muruganandham"/>
    <n v="69.362748319220188"/>
    <d v="2026-04-06T00:00:00"/>
    <n v="2"/>
    <x v="2"/>
    <s v="Engg Manager"/>
  </r>
  <r>
    <n v="68097"/>
    <x v="8"/>
    <s v="01230073"/>
    <x v="33"/>
    <d v="2026-04-07T00:00:00"/>
    <s v="IA1831"/>
    <s v="Veluru,Preethi"/>
    <n v="277.45099327688075"/>
    <d v="2026-04-07T00:00:00"/>
    <n v="8"/>
    <x v="2"/>
    <s v="Junior"/>
  </r>
  <r>
    <n v="68097"/>
    <x v="8"/>
    <s v="01230073"/>
    <x v="33"/>
    <d v="2026-04-07T00:00:00"/>
    <s v="IA1765"/>
    <s v="Kumar,Saravana"/>
    <n v="277.45099327688075"/>
    <d v="2026-04-07T00:00:00"/>
    <n v="8"/>
    <x v="2"/>
    <s v="Developer"/>
  </r>
  <r>
    <n v="68097"/>
    <x v="8"/>
    <s v="01230073"/>
    <x v="33"/>
    <d v="2026-04-07T00:00:00"/>
    <s v="IA1421"/>
    <s v="Jayapal,Muruganandham"/>
    <n v="69.362748319220188"/>
    <d v="2026-04-07T00:00:00"/>
    <n v="2"/>
    <x v="2"/>
    <s v="Engg Manager"/>
  </r>
  <r>
    <n v="68097"/>
    <x v="8"/>
    <s v="01230073"/>
    <x v="33"/>
    <d v="2026-04-08T00:00:00"/>
    <s v="IA1831"/>
    <s v="Veluru,Preethi"/>
    <n v="277.45099327688075"/>
    <d v="2026-04-08T00:00:00"/>
    <n v="8"/>
    <x v="2"/>
    <s v="Junior"/>
  </r>
  <r>
    <n v="68097"/>
    <x v="8"/>
    <s v="01230073"/>
    <x v="33"/>
    <d v="2026-04-08T00:00:00"/>
    <s v="IA1421"/>
    <s v="Jayapal,Muruganandham"/>
    <n v="69.362748319220188"/>
    <d v="2026-04-08T00:00:00"/>
    <n v="2"/>
    <x v="2"/>
    <s v="Engg Manager"/>
  </r>
  <r>
    <n v="68097"/>
    <x v="8"/>
    <s v="01230073"/>
    <x v="33"/>
    <d v="2026-04-09T00:00:00"/>
    <s v="IA1421"/>
    <s v="Jayapal,Muruganandham"/>
    <n v="69.362748319220188"/>
    <d v="2026-04-09T00:00:00"/>
    <n v="2"/>
    <x v="2"/>
    <s v="Engg Manager"/>
  </r>
  <r>
    <n v="68097"/>
    <x v="8"/>
    <s v="01230073"/>
    <x v="33"/>
    <d v="2026-04-10T00:00:00"/>
    <s v="IA1421"/>
    <s v="Jayapal,Muruganandham"/>
    <n v="69.362748319220188"/>
    <d v="2026-04-10T00:00:00"/>
    <n v="2"/>
    <x v="2"/>
    <s v="Engg Manager"/>
  </r>
  <r>
    <n v="68097"/>
    <x v="8"/>
    <s v="01230073"/>
    <x v="33"/>
    <d v="2026-04-08T00:00:00"/>
    <s v="IA1771"/>
    <s v="anandanshanmugam,kamesh"/>
    <n v="277.45099327688075"/>
    <d v="2026-04-08T00:00:00"/>
    <n v="8"/>
    <x v="2"/>
    <s v="Junior"/>
  </r>
  <r>
    <n v="68097"/>
    <x v="8"/>
    <s v="01230073"/>
    <x v="33"/>
    <d v="2026-04-09T00:00:00"/>
    <s v="IA1771"/>
    <s v="anandanshanmugam,kamesh"/>
    <n v="277.45099327688075"/>
    <d v="2026-04-09T00:00:00"/>
    <n v="8"/>
    <x v="2"/>
    <s v="Junior"/>
  </r>
  <r>
    <n v="68097"/>
    <x v="8"/>
    <s v="01230073"/>
    <x v="33"/>
    <d v="2026-04-09T00:00:00"/>
    <s v="IA1831"/>
    <s v="Veluru,Preethi"/>
    <n v="277.45099327688075"/>
    <d v="2026-04-09T00:00:00"/>
    <n v="8"/>
    <x v="2"/>
    <s v="Junior"/>
  </r>
  <r>
    <n v="68097"/>
    <x v="8"/>
    <s v="01230073"/>
    <x v="33"/>
    <d v="2026-04-10T00:00:00"/>
    <s v="IA1831"/>
    <s v="Veluru,Preethi"/>
    <n v="277.45099327688075"/>
    <d v="2026-04-10T00:00:00"/>
    <n v="8"/>
    <x v="2"/>
    <s v="Junior"/>
  </r>
  <r>
    <n v="68097"/>
    <x v="8"/>
    <s v="01230073"/>
    <x v="33"/>
    <d v="2026-04-10T00:00:00"/>
    <s v="IA1750"/>
    <s v="Sankarasubbu,RAMANATHAN"/>
    <n v="312.13236743649082"/>
    <d v="2026-04-10T00:00:00"/>
    <n v="9"/>
    <x v="2"/>
    <s v="Developer"/>
  </r>
  <r>
    <n v="68097"/>
    <x v="8"/>
    <s v="01230073"/>
    <x v="33"/>
    <d v="2026-04-10T00:00:00"/>
    <s v="IA1771"/>
    <s v="anandanshanmugam,kamesh"/>
    <n v="277.45099327688075"/>
    <d v="2026-04-10T00:00:00"/>
    <n v="8"/>
    <x v="2"/>
    <s v="Junior"/>
  </r>
  <r>
    <n v="67260"/>
    <x v="2"/>
    <s v="01229629"/>
    <x v="32"/>
    <d v="2026-04-10T00:00:00"/>
    <s v="IA1750"/>
    <s v="Sankarasubbu,RAMANATHAN"/>
    <n v="277.45099327688075"/>
    <d v="2026-04-10T00:00:00"/>
    <n v="8"/>
    <x v="2"/>
    <s v="Developer"/>
  </r>
  <r>
    <n v="68097"/>
    <x v="8"/>
    <s v="01230073"/>
    <x v="33"/>
    <d v="2026-04-13T00:00:00"/>
    <s v="IA1771"/>
    <s v="anandanshanmugam,kamesh"/>
    <n v="277.45099327688075"/>
    <d v="2026-04-13T00:00:00"/>
    <n v="8"/>
    <x v="2"/>
    <s v="Junior"/>
  </r>
  <r>
    <n v="67260"/>
    <x v="2"/>
    <s v="01229629"/>
    <x v="32"/>
    <d v="2026-04-10T00:00:00"/>
    <s v="IA1750"/>
    <s v="Sankarasubbu,RAMANATHAN"/>
    <n v="-277.45099327688075"/>
    <d v="2026-04-10T00:00:00"/>
    <n v="-8"/>
    <x v="2"/>
    <s v="Developer"/>
  </r>
  <r>
    <n v="68097"/>
    <x v="8"/>
    <s v="01230073"/>
    <x v="33"/>
    <d v="2026-04-15T00:00:00"/>
    <s v="IA1771"/>
    <s v="anandanshanmugam,kamesh"/>
    <n v="277.45099327688075"/>
    <d v="2026-04-15T00:00:00"/>
    <n v="8"/>
    <x v="2"/>
    <s v="Junior"/>
  </r>
  <r>
    <n v="67262"/>
    <x v="0"/>
    <s v="01192806"/>
    <x v="3"/>
    <d v="2026-04-13T00:00:00"/>
    <s v="IA1750"/>
    <s v="Sankarasubbu,RAMANATHAN"/>
    <n v="-277.45099327688075"/>
    <d v="2026-04-13T00:00:00"/>
    <n v="-8"/>
    <x v="2"/>
    <s v="Developer"/>
  </r>
  <r>
    <n v="68097"/>
    <x v="8"/>
    <s v="01230073"/>
    <x v="33"/>
    <d v="2026-04-15T00:00:00"/>
    <s v="IA1831"/>
    <s v="Veluru,Preethi"/>
    <n v="277.45099327688075"/>
    <d v="2026-04-15T00:00:00"/>
    <n v="8"/>
    <x v="2"/>
    <s v="Junior"/>
  </r>
  <r>
    <n v="68097"/>
    <x v="8"/>
    <s v="01230073"/>
    <x v="33"/>
    <d v="2026-04-16T00:00:00"/>
    <s v="IA1831"/>
    <s v="Veluru,Preethi"/>
    <n v="277.45099327688075"/>
    <d v="2026-04-16T00:00:00"/>
    <n v="8"/>
    <x v="2"/>
    <s v="Junior"/>
  </r>
  <r>
    <n v="68097"/>
    <x v="8"/>
    <s v="01230073"/>
    <x v="33"/>
    <d v="2026-04-16T00:00:00"/>
    <s v="IA1771"/>
    <s v="anandanshanmugam,kamesh"/>
    <n v="277.45099327688075"/>
    <d v="2026-04-16T00:00:00"/>
    <n v="8"/>
    <x v="2"/>
    <s v="Junior"/>
  </r>
  <r>
    <n v="67262"/>
    <x v="0"/>
    <s v="01192806"/>
    <x v="3"/>
    <d v="2026-04-13T00:00:00"/>
    <s v="IA1750"/>
    <s v="Sankarasubbu,RAMANATHAN"/>
    <n v="277.45099327688075"/>
    <d v="2026-04-13T00:00:00"/>
    <n v="8"/>
    <x v="2"/>
    <s v="Developer"/>
  </r>
  <r>
    <n v="68097"/>
    <x v="8"/>
    <s v="01230073"/>
    <x v="33"/>
    <d v="2026-04-21T00:00:00"/>
    <s v="IA1771"/>
    <s v="anandanshanmugam,kamesh"/>
    <n v="138.72549663844038"/>
    <d v="2026-04-21T00:00:00"/>
    <n v="4"/>
    <x v="2"/>
    <s v="Junior"/>
  </r>
  <r>
    <n v="68097"/>
    <x v="8"/>
    <s v="01230073"/>
    <x v="33"/>
    <d v="2026-04-21T00:00:00"/>
    <s v="IA1831"/>
    <s v="Veluru,Preethi"/>
    <n v="346.81374159610095"/>
    <d v="2026-04-21T00:00:00"/>
    <n v="10"/>
    <x v="2"/>
    <s v="Junior"/>
  </r>
  <r>
    <n v="68097"/>
    <x v="8"/>
    <s v="01230073"/>
    <x v="33"/>
    <d v="2026-04-13T00:00:00"/>
    <s v="IA1750"/>
    <s v="Sankarasubbu,RAMANATHAN"/>
    <n v="312.13236743649082"/>
    <d v="2026-04-13T00:00:00"/>
    <n v="9"/>
    <x v="2"/>
    <s v="Developer"/>
  </r>
  <r>
    <n v="68097"/>
    <x v="8"/>
    <s v="01230073"/>
    <x v="33"/>
    <d v="2026-04-22T00:00:00"/>
    <s v="IA1771"/>
    <s v="anandanshanmugam,kamesh"/>
    <n v="138.72549663844038"/>
    <d v="2026-04-22T00:00:00"/>
    <n v="4"/>
    <x v="2"/>
    <s v="Junior"/>
  </r>
  <r>
    <n v="68097"/>
    <x v="8"/>
    <s v="01230073"/>
    <x v="33"/>
    <d v="2026-04-22T00:00:00"/>
    <s v="IA1831"/>
    <s v="Veluru,Preethi"/>
    <n v="346.81374159610095"/>
    <d v="2026-04-22T00:00:00"/>
    <n v="10"/>
    <x v="2"/>
    <s v="Junior"/>
  </r>
  <r>
    <n v="68097"/>
    <x v="8"/>
    <s v="01230073"/>
    <x v="33"/>
    <d v="2026-04-23T00:00:00"/>
    <s v="IA1771"/>
    <s v="anandanshanmugam,kamesh"/>
    <n v="138.72549663844038"/>
    <d v="2026-04-23T00:00:00"/>
    <n v="4"/>
    <x v="2"/>
    <s v="Junior"/>
  </r>
  <r>
    <n v="68097"/>
    <x v="8"/>
    <s v="01230073"/>
    <x v="33"/>
    <d v="2026-04-23T00:00:00"/>
    <s v="IA1831"/>
    <s v="Veluru,Preethi"/>
    <n v="346.81374159610095"/>
    <d v="2026-04-23T00:00:00"/>
    <n v="10"/>
    <x v="2"/>
    <s v="Junior"/>
  </r>
  <r>
    <n v="67260"/>
    <x v="2"/>
    <s v="01229629"/>
    <x v="32"/>
    <d v="2026-04-13T00:00:00"/>
    <s v="IA1750"/>
    <s v="Sankarasubbu,RAMANATHAN"/>
    <n v="-34.681374159610094"/>
    <d v="2026-04-13T00:00:00"/>
    <n v="-1"/>
    <x v="2"/>
    <s v="Developer"/>
  </r>
  <r>
    <n v="67260"/>
    <x v="2"/>
    <s v="01229629"/>
    <x v="32"/>
    <d v="2026-04-13T00:00:00"/>
    <s v="IA1750"/>
    <s v="Sankarasubbu,RAMANATHAN"/>
    <n v="34.681374159610094"/>
    <d v="2026-04-13T00:00:00"/>
    <n v="1"/>
    <x v="2"/>
    <s v="Developer"/>
  </r>
  <r>
    <n v="68097"/>
    <x v="8"/>
    <s v="01230073"/>
    <x v="33"/>
    <d v="2026-04-24T00:00:00"/>
    <s v="IA1771"/>
    <s v="anandanshanmugam,kamesh"/>
    <n v="138.72549663844038"/>
    <d v="2026-04-24T00:00:00"/>
    <n v="4"/>
    <x v="2"/>
    <s v="Junior"/>
  </r>
  <r>
    <n v="68097"/>
    <x v="8"/>
    <s v="01230073"/>
    <x v="33"/>
    <d v="2026-04-24T00:00:00"/>
    <s v="IA1831"/>
    <s v="Veluru,Preethi"/>
    <n v="346.81374159610095"/>
    <d v="2026-04-24T00:00:00"/>
    <n v="10"/>
    <x v="2"/>
    <s v="Junior"/>
  </r>
  <r>
    <n v="68097"/>
    <x v="8"/>
    <s v="01230073"/>
    <x v="33"/>
    <d v="2026-04-15T00:00:00"/>
    <s v="IA1750"/>
    <s v="Sankarasubbu,RAMANATHAN"/>
    <n v="312.13236743649082"/>
    <d v="2026-04-15T00:00:00"/>
    <n v="9"/>
    <x v="2"/>
    <s v="Developer"/>
  </r>
  <r>
    <n v="68097"/>
    <x v="8"/>
    <s v="01230073"/>
    <x v="33"/>
    <d v="2026-04-24T00:00:00"/>
    <s v="IA1765"/>
    <s v="Kumar,Saravana"/>
    <n v="138.72549663844038"/>
    <d v="2026-04-24T00:00:00"/>
    <n v="4"/>
    <x v="2"/>
    <s v="Developer"/>
  </r>
  <r>
    <n v="67260"/>
    <x v="2"/>
    <s v="01229629"/>
    <x v="32"/>
    <d v="2026-04-15T00:00:00"/>
    <s v="IA1750"/>
    <s v="Sankarasubbu,RAMANATHAN"/>
    <n v="-312.13236743649082"/>
    <d v="2026-04-15T00:00:00"/>
    <n v="-9"/>
    <x v="2"/>
    <s v="Developer"/>
  </r>
  <r>
    <n v="67260"/>
    <x v="2"/>
    <s v="01229629"/>
    <x v="32"/>
    <d v="2026-04-15T00:00:00"/>
    <s v="IA1750"/>
    <s v="Sankarasubbu,RAMANATHAN"/>
    <n v="312.13236743649082"/>
    <d v="2026-04-15T00:00:00"/>
    <n v="9"/>
    <x v="2"/>
    <s v="Developer"/>
  </r>
  <r>
    <n v="68097"/>
    <x v="8"/>
    <s v="01230073"/>
    <x v="33"/>
    <d v="2026-04-16T00:00:00"/>
    <s v="IA1750"/>
    <s v="Sankarasubbu,RAMANATHAN"/>
    <n v="312.13236743649082"/>
    <d v="2026-04-16T00:00:00"/>
    <n v="9"/>
    <x v="2"/>
    <s v="Developer"/>
  </r>
  <r>
    <n v="67260"/>
    <x v="2"/>
    <s v="01229629"/>
    <x v="32"/>
    <d v="2026-04-16T00:00:00"/>
    <s v="IA1750"/>
    <s v="Sankarasubbu,RAMANATHAN"/>
    <n v="-312.13236743649082"/>
    <d v="2026-04-16T00:00:00"/>
    <n v="-9"/>
    <x v="2"/>
    <s v="Developer"/>
  </r>
  <r>
    <n v="67260"/>
    <x v="2"/>
    <s v="01229629"/>
    <x v="32"/>
    <d v="2026-04-16T00:00:00"/>
    <s v="IA1750"/>
    <s v="Sankarasubbu,RAMANATHAN"/>
    <n v="312.13236743649082"/>
    <d v="2026-04-16T00:00:00"/>
    <n v="9"/>
    <x v="2"/>
    <s v="Developer"/>
  </r>
  <r>
    <n v="68097"/>
    <x v="8"/>
    <s v="01230073"/>
    <x v="33"/>
    <d v="2026-05-04T00:00:00"/>
    <s v="IA1771"/>
    <s v="anandanshanmugam,kamesh"/>
    <n v="346.81374159610095"/>
    <d v="2026-05-04T00:00:00"/>
    <n v="10"/>
    <x v="10"/>
    <s v="Junior"/>
  </r>
  <r>
    <n v="68097"/>
    <x v="8"/>
    <s v="01230073"/>
    <x v="33"/>
    <d v="2026-05-04T00:00:00"/>
    <s v="IA1831"/>
    <s v="Veluru,Preethi"/>
    <n v="277.45099327688075"/>
    <d v="2026-05-04T00:00:00"/>
    <n v="8"/>
    <x v="10"/>
    <s v="Junior"/>
  </r>
  <r>
    <n v="68097"/>
    <x v="8"/>
    <s v="01230073"/>
    <x v="33"/>
    <d v="2026-04-20T00:00:00"/>
    <s v="IA1750"/>
    <s v="Sankarasubbu,RAMANATHAN"/>
    <n v="312.13236743649082"/>
    <d v="2026-04-20T00:00:00"/>
    <n v="9"/>
    <x v="2"/>
    <s v="Developer"/>
  </r>
  <r>
    <n v="68097"/>
    <x v="8"/>
    <s v="01230073"/>
    <x v="33"/>
    <d v="2026-05-05T00:00:00"/>
    <s v="IA1771"/>
    <s v="anandanshanmugam,kamesh"/>
    <n v="346.81374159610095"/>
    <d v="2026-05-05T00:00:00"/>
    <n v="10"/>
    <x v="10"/>
    <s v="Junior"/>
  </r>
  <r>
    <n v="68097"/>
    <x v="8"/>
    <s v="01230073"/>
    <x v="33"/>
    <d v="2026-05-05T00:00:00"/>
    <s v="IA1831"/>
    <s v="Veluru,Preethi"/>
    <n v="277.45099327688075"/>
    <d v="2026-05-05T00:00:00"/>
    <n v="8"/>
    <x v="10"/>
    <s v="Junior"/>
  </r>
  <r>
    <n v="67260"/>
    <x v="2"/>
    <s v="01229629"/>
    <x v="32"/>
    <d v="2026-04-20T00:00:00"/>
    <s v="IA1750"/>
    <s v="Sankarasubbu,RAMANATHAN"/>
    <n v="-312.13236743649082"/>
    <d v="2026-04-20T00:00:00"/>
    <n v="-9"/>
    <x v="2"/>
    <s v="Developer"/>
  </r>
  <r>
    <n v="68097"/>
    <x v="8"/>
    <s v="01230073"/>
    <x v="33"/>
    <d v="2026-05-06T00:00:00"/>
    <s v="IA1831"/>
    <s v="Veluru,Preethi"/>
    <n v="277.45099327688075"/>
    <d v="2026-05-06T00:00:00"/>
    <n v="8"/>
    <x v="10"/>
    <s v="Junior"/>
  </r>
  <r>
    <n v="67260"/>
    <x v="2"/>
    <s v="01229629"/>
    <x v="32"/>
    <d v="2026-04-20T00:00:00"/>
    <s v="IA1750"/>
    <s v="Sankarasubbu,RAMANATHAN"/>
    <n v="312.13236743649082"/>
    <d v="2026-04-20T00:00:00"/>
    <n v="9"/>
    <x v="2"/>
    <s v="Developer"/>
  </r>
  <r>
    <n v="68097"/>
    <x v="8"/>
    <s v="01230073"/>
    <x v="33"/>
    <d v="2026-05-07T00:00:00"/>
    <s v="IA1831"/>
    <s v="Veluru,Preethi"/>
    <n v="277.45099327688075"/>
    <d v="2026-05-07T00:00:00"/>
    <n v="8"/>
    <x v="10"/>
    <s v="Junior"/>
  </r>
  <r>
    <n v="68097"/>
    <x v="8"/>
    <s v="01230073"/>
    <x v="33"/>
    <d v="2026-04-21T00:00:00"/>
    <s v="IA1750"/>
    <s v="Sankarasubbu,RAMANATHAN"/>
    <n v="312.13236743649082"/>
    <d v="2026-04-21T00:00:00"/>
    <n v="9"/>
    <x v="2"/>
    <s v="Developer"/>
  </r>
  <r>
    <n v="68097"/>
    <x v="8"/>
    <s v="01230073"/>
    <x v="33"/>
    <d v="2026-05-08T00:00:00"/>
    <s v="IA1831"/>
    <s v="Veluru,Preethi"/>
    <n v="277.45099327688075"/>
    <d v="2026-05-08T00:00:00"/>
    <n v="8"/>
    <x v="10"/>
    <s v="Junior"/>
  </r>
  <r>
    <n v="67260"/>
    <x v="2"/>
    <s v="01229629"/>
    <x v="32"/>
    <d v="2026-04-21T00:00:00"/>
    <s v="IA1750"/>
    <s v="Sankarasubbu,RAMANATHAN"/>
    <n v="-312.13236743649082"/>
    <d v="2026-04-21T00:00:00"/>
    <n v="-9"/>
    <x v="2"/>
    <s v="Developer"/>
  </r>
  <r>
    <n v="68097"/>
    <x v="8"/>
    <s v="01230073"/>
    <x v="33"/>
    <d v="2026-05-11T00:00:00"/>
    <s v="IA1831"/>
    <s v="Veluru,Preethi"/>
    <n v="277.45099327688075"/>
    <d v="2026-05-11T00:00:00"/>
    <n v="8"/>
    <x v="10"/>
    <s v="Junior"/>
  </r>
  <r>
    <n v="68097"/>
    <x v="8"/>
    <s v="01230073"/>
    <x v="33"/>
    <d v="2026-05-11T00:00:00"/>
    <s v="IA1771"/>
    <s v="anandanshanmugam,kamesh"/>
    <n v="138.72549663844038"/>
    <d v="2026-05-11T00:00:00"/>
    <n v="4"/>
    <x v="10"/>
    <s v="Junior"/>
  </r>
  <r>
    <n v="67260"/>
    <x v="2"/>
    <s v="01229629"/>
    <x v="32"/>
    <d v="2026-04-21T00:00:00"/>
    <s v="IA1750"/>
    <s v="Sankarasubbu,RAMANATHAN"/>
    <n v="312.13236743649082"/>
    <d v="2026-04-21T00:00:00"/>
    <n v="9"/>
    <x v="2"/>
    <s v="Developer"/>
  </r>
  <r>
    <n v="68097"/>
    <x v="8"/>
    <s v="01230073"/>
    <x v="33"/>
    <d v="2026-05-12T00:00:00"/>
    <s v="IA1771"/>
    <s v="anandanshanmugam,kamesh"/>
    <n v="138.72549663844038"/>
    <d v="2026-05-12T00:00:00"/>
    <n v="4"/>
    <x v="10"/>
    <s v="Junior"/>
  </r>
  <r>
    <n v="68097"/>
    <x v="8"/>
    <s v="01230073"/>
    <x v="33"/>
    <d v="2026-04-22T00:00:00"/>
    <s v="IA1750"/>
    <s v="Sankarasubbu,RAMANATHAN"/>
    <n v="312.13236743649082"/>
    <d v="2026-04-22T00:00:00"/>
    <n v="9"/>
    <x v="2"/>
    <s v="Developer"/>
  </r>
  <r>
    <n v="68097"/>
    <x v="8"/>
    <s v="01230073"/>
    <x v="33"/>
    <d v="2026-05-13T00:00:00"/>
    <s v="IA1831"/>
    <s v="Veluru,Preethi"/>
    <n v="277.45099327688075"/>
    <d v="2026-05-13T00:00:00"/>
    <n v="8"/>
    <x v="10"/>
    <s v="Junior"/>
  </r>
  <r>
    <n v="68097"/>
    <x v="8"/>
    <s v="01230073"/>
    <x v="33"/>
    <d v="2026-05-13T00:00:00"/>
    <s v="IA1771"/>
    <s v="anandanshanmugam,kamesh"/>
    <n v="138.72549663844038"/>
    <d v="2026-05-13T00:00:00"/>
    <n v="4"/>
    <x v="10"/>
    <s v="Junior"/>
  </r>
  <r>
    <n v="67260"/>
    <x v="2"/>
    <s v="01229629"/>
    <x v="32"/>
    <d v="2026-04-22T00:00:00"/>
    <s v="IA1750"/>
    <s v="Sankarasubbu,RAMANATHAN"/>
    <n v="312.13236743649082"/>
    <d v="2026-04-22T00:00:00"/>
    <n v="9"/>
    <x v="2"/>
    <s v="Developer"/>
  </r>
  <r>
    <n v="68097"/>
    <x v="8"/>
    <s v="01230073"/>
    <x v="33"/>
    <d v="2026-05-14T00:00:00"/>
    <s v="IA1831"/>
    <s v="Veluru,Preethi"/>
    <n v="277.45099327688075"/>
    <d v="2026-05-14T00:00:00"/>
    <n v="8"/>
    <x v="10"/>
    <s v="Junior"/>
  </r>
  <r>
    <n v="68097"/>
    <x v="8"/>
    <s v="01230073"/>
    <x v="33"/>
    <d v="2026-05-14T00:00:00"/>
    <s v="IA1771"/>
    <s v="anandanshanmugam,kamesh"/>
    <n v="138.72549663844038"/>
    <d v="2026-05-14T00:00:00"/>
    <n v="4"/>
    <x v="10"/>
    <s v="Junior"/>
  </r>
  <r>
    <n v="67260"/>
    <x v="2"/>
    <s v="01229629"/>
    <x v="32"/>
    <d v="2026-04-22T00:00:00"/>
    <s v="IA1750"/>
    <s v="Sankarasubbu,RAMANATHAN"/>
    <n v="-312.13236743649082"/>
    <d v="2026-04-22T00:00:00"/>
    <n v="-9"/>
    <x v="2"/>
    <s v="Developer"/>
  </r>
  <r>
    <n v="68097"/>
    <x v="8"/>
    <s v="01230073"/>
    <x v="33"/>
    <d v="2026-05-15T00:00:00"/>
    <s v="IA1831"/>
    <s v="Veluru,Preethi"/>
    <n v="277.45099327688075"/>
    <d v="2026-05-15T00:00:00"/>
    <n v="8"/>
    <x v="10"/>
    <s v="Junior"/>
  </r>
  <r>
    <n v="68097"/>
    <x v="8"/>
    <s v="01230073"/>
    <x v="33"/>
    <d v="2026-05-15T00:00:00"/>
    <s v="IA1771"/>
    <s v="anandanshanmugam,kamesh"/>
    <n v="138.72549663844038"/>
    <d v="2026-05-15T00:00:00"/>
    <n v="4"/>
    <x v="10"/>
    <s v="Junior"/>
  </r>
  <r>
    <n v="68097"/>
    <x v="8"/>
    <s v="01230073"/>
    <x v="33"/>
    <d v="2026-04-23T00:00:00"/>
    <s v="IA1750"/>
    <s v="Sankarasubbu,RAMANATHAN"/>
    <n v="312.13236743649082"/>
    <d v="2026-04-23T00:00:00"/>
    <n v="9"/>
    <x v="2"/>
    <s v="Developer"/>
  </r>
  <r>
    <n v="68097"/>
    <x v="8"/>
    <s v="01230073"/>
    <x v="33"/>
    <d v="2026-05-18T00:00:00"/>
    <s v="IA1831"/>
    <s v="Veluru,Preethi"/>
    <n v="277.45099327688075"/>
    <d v="2026-05-18T00:00:00"/>
    <n v="8"/>
    <x v="10"/>
    <s v="Junior"/>
  </r>
  <r>
    <n v="68097"/>
    <x v="8"/>
    <s v="01230073"/>
    <x v="33"/>
    <d v="2026-05-18T00:00:00"/>
    <s v="IA1771"/>
    <s v="anandanshanmugam,kamesh"/>
    <n v="277.45099327688075"/>
    <d v="2026-05-18T00:00:00"/>
    <n v="8"/>
    <x v="10"/>
    <s v="Junior"/>
  </r>
  <r>
    <n v="67260"/>
    <x v="2"/>
    <s v="01229629"/>
    <x v="32"/>
    <d v="2026-04-23T00:00:00"/>
    <s v="IA1750"/>
    <s v="Sankarasubbu,RAMANATHAN"/>
    <n v="312.13236743649082"/>
    <d v="2026-04-23T00:00:00"/>
    <n v="9"/>
    <x v="2"/>
    <s v="Developer"/>
  </r>
  <r>
    <n v="68097"/>
    <x v="8"/>
    <s v="01230073"/>
    <x v="33"/>
    <d v="2026-05-19T00:00:00"/>
    <s v="IA1831"/>
    <s v="Veluru,Preethi"/>
    <n v="277.45099327688075"/>
    <d v="2026-05-19T00:00:00"/>
    <n v="8"/>
    <x v="10"/>
    <s v="Junior"/>
  </r>
  <r>
    <n v="68097"/>
    <x v="8"/>
    <s v="01230073"/>
    <x v="33"/>
    <d v="2026-05-19T00:00:00"/>
    <s v="IA1771"/>
    <s v="anandanshanmugam,kamesh"/>
    <n v="277.45099327688075"/>
    <d v="2026-05-19T00:00:00"/>
    <n v="8"/>
    <x v="10"/>
    <s v="Junior"/>
  </r>
  <r>
    <n v="67260"/>
    <x v="2"/>
    <s v="01229629"/>
    <x v="32"/>
    <d v="2026-04-23T00:00:00"/>
    <s v="IA1750"/>
    <s v="Sankarasubbu,RAMANATHAN"/>
    <n v="-312.13236743649082"/>
    <d v="2026-04-23T00:00:00"/>
    <n v="-9"/>
    <x v="2"/>
    <s v="Developer"/>
  </r>
  <r>
    <n v="68097"/>
    <x v="8"/>
    <s v="01230073"/>
    <x v="33"/>
    <d v="2026-05-20T00:00:00"/>
    <s v="IA1831"/>
    <s v="Veluru,Preethi"/>
    <n v="277.45099327688075"/>
    <d v="2026-05-20T00:00:00"/>
    <n v="8"/>
    <x v="10"/>
    <s v="Junior"/>
  </r>
  <r>
    <n v="68097"/>
    <x v="8"/>
    <s v="01230073"/>
    <x v="33"/>
    <d v="2026-05-20T00:00:00"/>
    <s v="IA1771"/>
    <s v="anandanshanmugam,kamesh"/>
    <n v="277.45099327688075"/>
    <d v="2026-05-20T00:00:00"/>
    <n v="8"/>
    <x v="10"/>
    <s v="Junior"/>
  </r>
  <r>
    <n v="68097"/>
    <x v="8"/>
    <s v="01230073"/>
    <x v="33"/>
    <d v="2026-04-24T00:00:00"/>
    <s v="IA1750"/>
    <s v="Sankarasubbu,RAMANATHAN"/>
    <n v="312.13236743649082"/>
    <d v="2026-04-24T00:00:00"/>
    <n v="9"/>
    <x v="2"/>
    <s v="Developer"/>
  </r>
  <r>
    <n v="68097"/>
    <x v="8"/>
    <s v="01230073"/>
    <x v="33"/>
    <d v="2026-05-21T00:00:00"/>
    <s v="IA1831"/>
    <s v="Veluru,Preethi"/>
    <n v="277.45099327688075"/>
    <d v="2026-05-21T00:00:00"/>
    <n v="8"/>
    <x v="10"/>
    <s v="Junior"/>
  </r>
  <r>
    <n v="68097"/>
    <x v="8"/>
    <s v="01230073"/>
    <x v="33"/>
    <d v="2026-05-21T00:00:00"/>
    <s v="IA1771"/>
    <s v="anandanshanmugam,kamesh"/>
    <n v="277.45099327688075"/>
    <d v="2026-05-21T00:00:00"/>
    <n v="8"/>
    <x v="10"/>
    <s v="Junior"/>
  </r>
  <r>
    <n v="67260"/>
    <x v="2"/>
    <s v="01229629"/>
    <x v="32"/>
    <d v="2026-04-24T00:00:00"/>
    <s v="IA1750"/>
    <s v="Sankarasubbu,RAMANATHAN"/>
    <n v="-312.13236743649082"/>
    <d v="2026-04-24T00:00:00"/>
    <n v="-9"/>
    <x v="2"/>
    <s v="Developer"/>
  </r>
  <r>
    <n v="68097"/>
    <x v="8"/>
    <s v="01230073"/>
    <x v="33"/>
    <d v="2026-05-22T00:00:00"/>
    <s v="IA1831"/>
    <s v="Veluru,Preethi"/>
    <n v="277.45099327688075"/>
    <d v="2026-05-22T00:00:00"/>
    <n v="8"/>
    <x v="10"/>
    <s v="Junior"/>
  </r>
  <r>
    <n v="68097"/>
    <x v="8"/>
    <s v="01230073"/>
    <x v="33"/>
    <d v="2026-05-22T00:00:00"/>
    <s v="IA1771"/>
    <s v="anandanshanmugam,kamesh"/>
    <n v="277.45099327688075"/>
    <d v="2026-05-22T00:00:00"/>
    <n v="8"/>
    <x v="10"/>
    <s v="Junior"/>
  </r>
  <r>
    <n v="67260"/>
    <x v="2"/>
    <s v="01229629"/>
    <x v="32"/>
    <d v="2026-04-24T00:00:00"/>
    <s v="IA1750"/>
    <s v="Sankarasubbu,RAMANATHAN"/>
    <n v="312.13236743649082"/>
    <d v="2026-04-24T00:00:00"/>
    <n v="9"/>
    <x v="2"/>
    <s v="Developer"/>
  </r>
  <r>
    <n v="68097"/>
    <x v="8"/>
    <s v="01230073"/>
    <x v="33"/>
    <d v="2026-04-27T00:00:00"/>
    <s v="IA1750"/>
    <s v="Sankarasubbu,RAMANATHAN"/>
    <n v="312.13236743649082"/>
    <d v="2026-04-27T00:00:00"/>
    <n v="9"/>
    <x v="2"/>
    <s v="Developer"/>
  </r>
  <r>
    <n v="68097"/>
    <x v="8"/>
    <s v="01230073"/>
    <x v="33"/>
    <d v="2026-05-25T00:00:00"/>
    <s v="IA1831"/>
    <s v="Veluru,Preethi"/>
    <n v="277.45099327688075"/>
    <d v="2026-05-25T00:00:00"/>
    <n v="8"/>
    <x v="10"/>
    <s v="Junior"/>
  </r>
  <r>
    <n v="68097"/>
    <x v="8"/>
    <s v="01230073"/>
    <x v="33"/>
    <d v="2026-04-28T00:00:00"/>
    <s v="IA1750"/>
    <s v="Sankarasubbu,RAMANATHAN"/>
    <n v="312.13236743649082"/>
    <d v="2026-04-28T00:00:00"/>
    <n v="9"/>
    <x v="2"/>
    <s v="Developer"/>
  </r>
  <r>
    <n v="68097"/>
    <x v="8"/>
    <s v="01230073"/>
    <x v="33"/>
    <d v="2026-04-29T00:00:00"/>
    <s v="IA1750"/>
    <s v="Sankarasubbu,RAMANATHAN"/>
    <n v="312.13236743649082"/>
    <d v="2026-04-29T00:00:00"/>
    <n v="9"/>
    <x v="2"/>
    <s v="Developer"/>
  </r>
  <r>
    <n v="68097"/>
    <x v="8"/>
    <s v="01230073"/>
    <x v="33"/>
    <d v="2026-04-30T00:00:00"/>
    <s v="IA1750"/>
    <s v="Sankarasubbu,RAMANATHAN"/>
    <n v="312.13236743649082"/>
    <d v="2026-04-30T00:00:00"/>
    <n v="9"/>
    <x v="2"/>
    <s v="Developer"/>
  </r>
  <r>
    <n v="68097"/>
    <x v="8"/>
    <s v="01230073"/>
    <x v="33"/>
    <d v="2026-05-28T00:00:00"/>
    <s v="IA1771"/>
    <s v="anandanshanmugam,kamesh"/>
    <n v="277.45099327688075"/>
    <d v="2026-05-28T00:00:00"/>
    <n v="8"/>
    <x v="10"/>
    <s v="Junior"/>
  </r>
  <r>
    <n v="68097"/>
    <x v="8"/>
    <s v="01230073"/>
    <x v="33"/>
    <d v="2026-05-01T00:00:00"/>
    <s v="IA1750"/>
    <s v="Sankarasubbu,RAMANATHAN"/>
    <n v="312.13236743649082"/>
    <d v="2026-05-01T00:00:00"/>
    <n v="9"/>
    <x v="10"/>
    <s v="Developer"/>
  </r>
  <r>
    <n v="68097"/>
    <x v="8"/>
    <s v="01230073"/>
    <x v="33"/>
    <d v="2026-05-29T00:00:00"/>
    <s v="IA1771"/>
    <s v="anandanshanmugam,kamesh"/>
    <n v="277.45099327688075"/>
    <d v="2026-05-29T00:00:00"/>
    <n v="8"/>
    <x v="10"/>
    <s v="Junior"/>
  </r>
  <r>
    <n v="68097"/>
    <x v="8"/>
    <s v="01230073"/>
    <x v="33"/>
    <d v="2026-06-01T00:00:00"/>
    <s v="IA1430"/>
    <s v="Subburajan,Jawahar"/>
    <n v="242.76961911727065"/>
    <d v="2026-06-01T00:00:00"/>
    <n v="7"/>
    <x v="11"/>
    <s v="Lead Developer"/>
  </r>
  <r>
    <n v="68097"/>
    <x v="8"/>
    <s v="01230073"/>
    <x v="33"/>
    <d v="2026-06-01T00:00:00"/>
    <s v="IA1771"/>
    <s v="anandanshanmugam,kamesh"/>
    <n v="277.45099327688075"/>
    <d v="2026-06-01T00:00:00"/>
    <n v="8"/>
    <x v="11"/>
    <s v="Junior"/>
  </r>
  <r>
    <n v="68097"/>
    <x v="8"/>
    <s v="01230073"/>
    <x v="33"/>
    <d v="2026-06-02T00:00:00"/>
    <s v="IA1430"/>
    <s v="Subburajan,Jawahar"/>
    <n v="242.76961911727065"/>
    <d v="2026-06-02T00:00:00"/>
    <n v="7"/>
    <x v="11"/>
    <s v="Lead Developer"/>
  </r>
  <r>
    <n v="68097"/>
    <x v="8"/>
    <s v="01230073"/>
    <x v="33"/>
    <d v="2026-06-02T00:00:00"/>
    <s v="IA1771"/>
    <s v="anandanshanmugam,kamesh"/>
    <n v="277.45099327688075"/>
    <d v="2026-06-02T00:00:00"/>
    <n v="8"/>
    <x v="11"/>
    <s v="Junior"/>
  </r>
  <r>
    <n v="68097"/>
    <x v="8"/>
    <s v="01230073"/>
    <x v="33"/>
    <d v="2026-06-03T00:00:00"/>
    <s v="IA1430"/>
    <s v="Subburajan,Jawahar"/>
    <n v="242.76961911727065"/>
    <d v="2026-06-03T00:00:00"/>
    <n v="7"/>
    <x v="11"/>
    <s v="Lead Developer"/>
  </r>
  <r>
    <n v="68097"/>
    <x v="8"/>
    <s v="01230073"/>
    <x v="33"/>
    <d v="2026-06-03T00:00:00"/>
    <s v="IA1771"/>
    <s v="anandanshanmugam,kamesh"/>
    <n v="277.45099327688075"/>
    <d v="2026-06-03T00:00:00"/>
    <n v="8"/>
    <x v="11"/>
    <s v="Junior"/>
  </r>
  <r>
    <n v="68097"/>
    <x v="8"/>
    <s v="01230073"/>
    <x v="33"/>
    <d v="2026-06-04T00:00:00"/>
    <s v="IA1430"/>
    <s v="Subburajan,Jawahar"/>
    <n v="242.76961911727065"/>
    <d v="2026-06-04T00:00:00"/>
    <n v="7"/>
    <x v="11"/>
    <s v="Lead Developer"/>
  </r>
  <r>
    <n v="68097"/>
    <x v="8"/>
    <s v="01230073"/>
    <x v="33"/>
    <d v="2026-06-04T00:00:00"/>
    <s v="IA1771"/>
    <s v="anandanshanmugam,kamesh"/>
    <n v="277.45099327688075"/>
    <d v="2026-06-04T00:00:00"/>
    <n v="8"/>
    <x v="11"/>
    <s v="Junior"/>
  </r>
  <r>
    <n v="68097"/>
    <x v="8"/>
    <s v="01230073"/>
    <x v="33"/>
    <d v="2026-06-05T00:00:00"/>
    <s v="IA1430"/>
    <s v="Subburajan,Jawahar"/>
    <n v="242.76961911727065"/>
    <d v="2026-06-05T00:00:00"/>
    <n v="7"/>
    <x v="11"/>
    <s v="Lead Developer"/>
  </r>
  <r>
    <n v="68097"/>
    <x v="8"/>
    <s v="01230073"/>
    <x v="33"/>
    <d v="2026-06-05T00:00:00"/>
    <s v="IA1771"/>
    <s v="anandanshanmugam,kamesh"/>
    <n v="277.45099327688075"/>
    <d v="2026-06-05T00:00:00"/>
    <n v="8"/>
    <x v="11"/>
    <s v="Junior"/>
  </r>
  <r>
    <n v="68097"/>
    <x v="8"/>
    <s v="01230073"/>
    <x v="33"/>
    <d v="2026-05-01T00:00:00"/>
    <s v="IA1750"/>
    <s v="Sankarasubbu,RAMANATHAN"/>
    <n v="-312.13236743649082"/>
    <d v="2026-05-01T00:00:00"/>
    <n v="-9"/>
    <x v="10"/>
    <s v="Developer"/>
  </r>
  <r>
    <n v="68097"/>
    <x v="8"/>
    <s v="01230073"/>
    <x v="33"/>
    <d v="2026-05-04T00:00:00"/>
    <s v="IA1750"/>
    <s v="Sankarasubbu,RAMANATHAN"/>
    <n v="277.45099327688075"/>
    <d v="2026-05-04T00:00:00"/>
    <n v="8"/>
    <x v="10"/>
    <s v="Developer"/>
  </r>
  <r>
    <n v="68097"/>
    <x v="8"/>
    <s v="01230073"/>
    <x v="33"/>
    <d v="2026-06-08T00:00:00"/>
    <s v="IA1430"/>
    <s v="Subburajan,Jawahar"/>
    <n v="277.45099327688075"/>
    <d v="2026-06-08T00:00:00"/>
    <n v="8"/>
    <x v="11"/>
    <s v="Lead Developer"/>
  </r>
  <r>
    <n v="68097"/>
    <x v="8"/>
    <s v="01230073"/>
    <x v="33"/>
    <d v="2026-05-05T00:00:00"/>
    <s v="IA1750"/>
    <s v="Sankarasubbu,RAMANATHAN"/>
    <n v="277.45099327688075"/>
    <d v="2026-05-05T00:00:00"/>
    <n v="8"/>
    <x v="10"/>
    <s v="Developer"/>
  </r>
  <r>
    <n v="68097"/>
    <x v="8"/>
    <s v="01230073"/>
    <x v="33"/>
    <d v="2026-06-08T00:00:00"/>
    <s v="IA1771"/>
    <s v="anandanshanmugam,kamesh"/>
    <n v="277.45099327688075"/>
    <d v="2026-06-08T00:00:00"/>
    <n v="8"/>
    <x v="11"/>
    <s v="Junior"/>
  </r>
  <r>
    <n v="68097"/>
    <x v="8"/>
    <s v="01230073"/>
    <x v="33"/>
    <d v="2026-06-09T00:00:00"/>
    <s v="IA1430"/>
    <s v="Subburajan,Jawahar"/>
    <n v="277.45099327688075"/>
    <d v="2026-06-09T00:00:00"/>
    <n v="8"/>
    <x v="11"/>
    <s v="Lead Developer"/>
  </r>
  <r>
    <n v="68097"/>
    <x v="8"/>
    <s v="01230073"/>
    <x v="33"/>
    <d v="2026-05-06T00:00:00"/>
    <s v="IA1750"/>
    <s v="Sankarasubbu,RAMANATHAN"/>
    <n v="277.45099327688075"/>
    <d v="2026-05-06T00:00:00"/>
    <n v="8"/>
    <x v="10"/>
    <s v="Developer"/>
  </r>
  <r>
    <n v="68097"/>
    <x v="8"/>
    <s v="01230073"/>
    <x v="33"/>
    <d v="2026-06-09T00:00:00"/>
    <s v="IA1771"/>
    <s v="anandanshanmugam,kamesh"/>
    <n v="277.45099327688075"/>
    <d v="2026-06-09T00:00:00"/>
    <n v="8"/>
    <x v="11"/>
    <s v="Junior"/>
  </r>
  <r>
    <n v="68097"/>
    <x v="8"/>
    <s v="01230073"/>
    <x v="33"/>
    <d v="2026-05-07T00:00:00"/>
    <s v="IA1750"/>
    <s v="Sankarasubbu,RAMANATHAN"/>
    <n v="277.45099327688075"/>
    <d v="2026-05-07T00:00:00"/>
    <n v="8"/>
    <x v="10"/>
    <s v="Developer"/>
  </r>
  <r>
    <n v="68097"/>
    <x v="8"/>
    <s v="01230073"/>
    <x v="33"/>
    <d v="2026-06-10T00:00:00"/>
    <s v="IA1771"/>
    <s v="anandanshanmugam,kamesh"/>
    <n v="277.45099327688075"/>
    <d v="2026-06-10T00:00:00"/>
    <n v="8"/>
    <x v="11"/>
    <s v="Junior"/>
  </r>
  <r>
    <n v="68097"/>
    <x v="8"/>
    <s v="01230073"/>
    <x v="33"/>
    <d v="2026-05-08T00:00:00"/>
    <s v="IA1750"/>
    <s v="Sankarasubbu,RAMANATHAN"/>
    <n v="277.45099327688075"/>
    <d v="2026-05-08T00:00:00"/>
    <n v="8"/>
    <x v="10"/>
    <s v="Developer"/>
  </r>
  <r>
    <n v="68097"/>
    <x v="8"/>
    <s v="01230073"/>
    <x v="33"/>
    <d v="2026-06-11T00:00:00"/>
    <s v="IA1831"/>
    <s v="Veluru,Preethi"/>
    <n v="277.45099327688075"/>
    <d v="2026-06-11T00:00:00"/>
    <n v="8"/>
    <x v="11"/>
    <s v="Junior"/>
  </r>
  <r>
    <n v="68097"/>
    <x v="8"/>
    <s v="01230073"/>
    <x v="33"/>
    <d v="2026-06-11T00:00:00"/>
    <s v="IA1771"/>
    <s v="anandanshanmugam,kamesh"/>
    <n v="277.45099327688075"/>
    <d v="2026-06-11T00:00:00"/>
    <n v="8"/>
    <x v="11"/>
    <s v="Junior"/>
  </r>
  <r>
    <n v="68097"/>
    <x v="8"/>
    <s v="01230073"/>
    <x v="33"/>
    <d v="2026-05-11T00:00:00"/>
    <s v="IA1750"/>
    <s v="Sankarasubbu,RAMANATHAN"/>
    <n v="312.13236743649082"/>
    <d v="2026-05-11T00:00:00"/>
    <n v="9"/>
    <x v="10"/>
    <s v="Developer"/>
  </r>
  <r>
    <n v="68097"/>
    <x v="8"/>
    <s v="01230073"/>
    <x v="33"/>
    <d v="2026-06-12T00:00:00"/>
    <s v="IA1831"/>
    <s v="Veluru,Preethi"/>
    <n v="277.45099327688075"/>
    <d v="2026-06-12T00:00:00"/>
    <n v="8"/>
    <x v="11"/>
    <s v="Junior"/>
  </r>
  <r>
    <n v="68097"/>
    <x v="8"/>
    <s v="01230073"/>
    <x v="33"/>
    <d v="2026-06-12T00:00:00"/>
    <s v="IA1771"/>
    <s v="anandanshanmugam,kamesh"/>
    <n v="277.45099327688075"/>
    <d v="2026-06-12T00:00:00"/>
    <n v="8"/>
    <x v="11"/>
    <s v="Junior"/>
  </r>
  <r>
    <n v="68097"/>
    <x v="8"/>
    <s v="01230074"/>
    <x v="34"/>
    <d v="2026-05-04T00:00:00"/>
    <s v="IA1450"/>
    <s v="Selvam,Kadarkarai"/>
    <n v="277.45099327688075"/>
    <d v="2026-05-04T00:00:00"/>
    <n v="8"/>
    <x v="10"/>
    <s v="Lead Developer"/>
  </r>
  <r>
    <n v="68097"/>
    <x v="8"/>
    <s v="01230074"/>
    <x v="34"/>
    <d v="2026-05-04T00:00:00"/>
    <s v="IA1793"/>
    <s v="Subramanian,Ruthrakkanth"/>
    <n v="242.76961911727065"/>
    <d v="2026-05-04T00:00:00"/>
    <n v="7"/>
    <x v="10"/>
    <s v="Developer"/>
  </r>
  <r>
    <n v="68097"/>
    <x v="8"/>
    <s v="01230074"/>
    <x v="34"/>
    <d v="2026-05-05T00:00:00"/>
    <s v="IA1450"/>
    <s v="Selvam,Kadarkarai"/>
    <n v="277.45099327688075"/>
    <d v="2026-05-05T00:00:00"/>
    <n v="8"/>
    <x v="10"/>
    <s v="Lead Developer"/>
  </r>
  <r>
    <n v="68097"/>
    <x v="8"/>
    <s v="01230074"/>
    <x v="34"/>
    <d v="2026-05-05T00:00:00"/>
    <s v="IA1793"/>
    <s v="Subramanian,Ruthrakkanth"/>
    <n v="242.76961911727065"/>
    <d v="2026-05-05T00:00:00"/>
    <n v="7"/>
    <x v="10"/>
    <s v="Developer"/>
  </r>
  <r>
    <n v="68097"/>
    <x v="8"/>
    <s v="01230074"/>
    <x v="34"/>
    <d v="2026-05-06T00:00:00"/>
    <s v="IA1793"/>
    <s v="Subramanian,Ruthrakkanth"/>
    <n v="242.76961911727065"/>
    <d v="2026-05-06T00:00:00"/>
    <n v="7"/>
    <x v="10"/>
    <s v="Developer"/>
  </r>
  <r>
    <n v="68097"/>
    <x v="8"/>
    <s v="01230074"/>
    <x v="34"/>
    <d v="2026-05-07T00:00:00"/>
    <s v="IA1793"/>
    <s v="Subramanian,Ruthrakkanth"/>
    <n v="242.76961911727065"/>
    <d v="2026-05-07T00:00:00"/>
    <n v="7"/>
    <x v="10"/>
    <s v="Developer"/>
  </r>
  <r>
    <n v="68097"/>
    <x v="8"/>
    <s v="01230074"/>
    <x v="34"/>
    <d v="2026-05-08T00:00:00"/>
    <s v="IA1450"/>
    <s v="Selvam,Kadarkarai"/>
    <n v="277.45099327688075"/>
    <d v="2026-05-08T00:00:00"/>
    <n v="8"/>
    <x v="10"/>
    <s v="Lead Developer"/>
  </r>
  <r>
    <n v="68097"/>
    <x v="8"/>
    <s v="01230074"/>
    <x v="34"/>
    <d v="2026-05-08T00:00:00"/>
    <s v="IA1793"/>
    <s v="Subramanian,Ruthrakkanth"/>
    <n v="242.76961911727065"/>
    <d v="2026-05-08T00:00:00"/>
    <n v="7"/>
    <x v="10"/>
    <s v="Developer"/>
  </r>
  <r>
    <n v="68097"/>
    <x v="8"/>
    <s v="01230074"/>
    <x v="34"/>
    <d v="2026-05-11T00:00:00"/>
    <s v="IA1450"/>
    <s v="Selvam,Kadarkarai"/>
    <n v="104.04412247883027"/>
    <d v="2026-05-11T00:00:00"/>
    <n v="3"/>
    <x v="10"/>
    <s v="Lead Developer"/>
  </r>
  <r>
    <n v="68097"/>
    <x v="8"/>
    <s v="01230074"/>
    <x v="34"/>
    <d v="2026-05-12T00:00:00"/>
    <s v="IA1450"/>
    <s v="Selvam,Kadarkarai"/>
    <n v="69.362748319220188"/>
    <d v="2026-05-12T00:00:00"/>
    <n v="2"/>
    <x v="10"/>
    <s v="Lead Developer"/>
  </r>
  <r>
    <n v="67262"/>
    <x v="0"/>
    <s v="01230471"/>
    <x v="35"/>
    <d v="2026-04-01T00:00:00"/>
    <s v="IA1450"/>
    <s v="Selvam,Kadarkarai"/>
    <n v="34.681374159610094"/>
    <d v="2026-04-01T00:00:00"/>
    <n v="1"/>
    <x v="2"/>
    <s v="Lead Developer"/>
  </r>
  <r>
    <n v="67262"/>
    <x v="0"/>
    <s v="01230471"/>
    <x v="35"/>
    <d v="2026-04-02T00:00:00"/>
    <s v="IA1450"/>
    <s v="Selvam,Kadarkarai"/>
    <n v="104.04412247883027"/>
    <d v="2026-04-02T00:00:00"/>
    <n v="3"/>
    <x v="2"/>
    <s v="Lead Developer"/>
  </r>
  <r>
    <n v="67262"/>
    <x v="0"/>
    <s v="01230471"/>
    <x v="35"/>
    <d v="2026-04-03T00:00:00"/>
    <s v="IA1450"/>
    <s v="Selvam,Kadarkarai"/>
    <n v="69.362748319220188"/>
    <d v="2026-04-03T00:00:00"/>
    <n v="2"/>
    <x v="2"/>
    <s v="Lead Developer"/>
  </r>
  <r>
    <n v="67262"/>
    <x v="0"/>
    <s v="01230471"/>
    <x v="35"/>
    <d v="2026-04-06T00:00:00"/>
    <s v="IA1757"/>
    <s v="Thirunavukkarasu,Kishore"/>
    <n v="138.72549663844038"/>
    <d v="2026-04-06T00:00:00"/>
    <n v="4"/>
    <x v="2"/>
    <s v="Developer"/>
  </r>
  <r>
    <n v="67262"/>
    <x v="0"/>
    <s v="01230471"/>
    <x v="35"/>
    <d v="2026-04-06T00:00:00"/>
    <s v="IA1450"/>
    <s v="Selvam,Kadarkarai"/>
    <n v="104.04412247883027"/>
    <d v="2026-04-06T00:00:00"/>
    <n v="3"/>
    <x v="2"/>
    <s v="Lead Developer"/>
  </r>
  <r>
    <n v="67262"/>
    <x v="0"/>
    <s v="01230471"/>
    <x v="35"/>
    <d v="2026-04-07T00:00:00"/>
    <s v="IA1757"/>
    <s v="Thirunavukkarasu,Kishore"/>
    <n v="138.72549663844038"/>
    <d v="2026-04-07T00:00:00"/>
    <n v="4"/>
    <x v="2"/>
    <s v="Developer"/>
  </r>
  <r>
    <n v="67262"/>
    <x v="0"/>
    <s v="01230471"/>
    <x v="35"/>
    <d v="2026-04-07T00:00:00"/>
    <s v="IA1450"/>
    <s v="Selvam,Kadarkarai"/>
    <n v="69.362748319220188"/>
    <d v="2026-04-07T00:00:00"/>
    <n v="2"/>
    <x v="2"/>
    <s v="Lead Developer"/>
  </r>
  <r>
    <n v="67262"/>
    <x v="0"/>
    <s v="01230471"/>
    <x v="35"/>
    <d v="2026-04-08T00:00:00"/>
    <s v="IA1757"/>
    <s v="Thirunavukkarasu,Kishore"/>
    <n v="138.72549663844038"/>
    <d v="2026-04-08T00:00:00"/>
    <n v="4"/>
    <x v="2"/>
    <s v="Developer"/>
  </r>
  <r>
    <n v="67262"/>
    <x v="0"/>
    <s v="01230471"/>
    <x v="35"/>
    <d v="2026-04-09T00:00:00"/>
    <s v="IA1757"/>
    <s v="Thirunavukkarasu,Kishore"/>
    <n v="138.72549663844038"/>
    <d v="2026-04-09T00:00:00"/>
    <n v="4"/>
    <x v="2"/>
    <s v="Developer"/>
  </r>
  <r>
    <n v="67262"/>
    <x v="0"/>
    <s v="01230471"/>
    <x v="35"/>
    <d v="2026-04-10T00:00:00"/>
    <s v="IA1757"/>
    <s v="Thirunavukkarasu,Kishore"/>
    <n v="138.72549663844038"/>
    <d v="2026-04-10T00:00:00"/>
    <n v="4"/>
    <x v="2"/>
    <s v="Developer"/>
  </r>
  <r>
    <n v="67262"/>
    <x v="0"/>
    <s v="01230471"/>
    <x v="35"/>
    <d v="2026-04-10T00:00:00"/>
    <s v="IA1450"/>
    <s v="Selvam,Kadarkarai"/>
    <n v="69.362748319220188"/>
    <d v="2026-04-10T00:00:00"/>
    <n v="2"/>
    <x v="2"/>
    <s v="Lead Developer"/>
  </r>
  <r>
    <n v="67262"/>
    <x v="0"/>
    <s v="01230471"/>
    <x v="35"/>
    <d v="2026-04-13T00:00:00"/>
    <s v="IA1757"/>
    <s v="Thirunavukkarasu,Kishore"/>
    <n v="208.08824495766055"/>
    <d v="2026-04-13T00:00:00"/>
    <n v="6"/>
    <x v="2"/>
    <s v="Developer"/>
  </r>
  <r>
    <n v="67262"/>
    <x v="0"/>
    <s v="01230471"/>
    <x v="35"/>
    <d v="2026-04-13T00:00:00"/>
    <s v="IA1450"/>
    <s v="Selvam,Kadarkarai"/>
    <n v="69.362748319220188"/>
    <d v="2026-04-13T00:00:00"/>
    <n v="2"/>
    <x v="2"/>
    <s v="Lead Developer"/>
  </r>
  <r>
    <n v="67262"/>
    <x v="0"/>
    <s v="01230471"/>
    <x v="35"/>
    <d v="2026-04-15T00:00:00"/>
    <s v="IA1450"/>
    <s v="Selvam,Kadarkarai"/>
    <n v="104.04412247883027"/>
    <d v="2026-04-15T00:00:00"/>
    <n v="3"/>
    <x v="2"/>
    <s v="Lead Developer"/>
  </r>
  <r>
    <n v="67262"/>
    <x v="0"/>
    <s v="01230471"/>
    <x v="35"/>
    <d v="2026-04-27T00:00:00"/>
    <s v="IA1450"/>
    <s v="Selvam,Kadarkarai"/>
    <n v="138.72549663844038"/>
    <d v="2026-04-27T00:00:00"/>
    <n v="4"/>
    <x v="2"/>
    <s v="Lead Developer"/>
  </r>
  <r>
    <n v="67262"/>
    <x v="0"/>
    <s v="01230471"/>
    <x v="35"/>
    <d v="2026-04-28T00:00:00"/>
    <s v="IA1450"/>
    <s v="Selvam,Kadarkarai"/>
    <n v="69.362748319220188"/>
    <d v="2026-04-28T00:00:00"/>
    <n v="2"/>
    <x v="2"/>
    <s v="Lead Developer"/>
  </r>
  <r>
    <n v="67262"/>
    <x v="0"/>
    <s v="01230471"/>
    <x v="35"/>
    <d v="2026-04-29T00:00:00"/>
    <s v="IA1450"/>
    <s v="Selvam,Kadarkarai"/>
    <n v="173.40687079805048"/>
    <d v="2026-04-29T00:00:00"/>
    <n v="5"/>
    <x v="2"/>
    <s v="Lead Developer"/>
  </r>
  <r>
    <n v="67262"/>
    <x v="0"/>
    <s v="01230471"/>
    <x v="35"/>
    <d v="2026-04-30T00:00:00"/>
    <s v="IA1450"/>
    <s v="Selvam,Kadarkarai"/>
    <n v="277.45099327688075"/>
    <d v="2026-04-30T00:00:00"/>
    <n v="8"/>
    <x v="2"/>
    <s v="Lead Developer"/>
  </r>
  <r>
    <n v="67262"/>
    <x v="0"/>
    <s v="01230471"/>
    <x v="35"/>
    <d v="2026-05-06T00:00:00"/>
    <s v="IA1450"/>
    <s v="Selvam,Kadarkarai"/>
    <n v="277.45099327688075"/>
    <d v="2026-05-06T00:00:00"/>
    <n v="8"/>
    <x v="10"/>
    <s v="Lead Developer"/>
  </r>
  <r>
    <n v="67262"/>
    <x v="0"/>
    <s v="01230471"/>
    <x v="35"/>
    <d v="2026-05-07T00:00:00"/>
    <s v="IA1450"/>
    <s v="Selvam,Kadarkarai"/>
    <n v="138.72549663844038"/>
    <d v="2026-05-07T00:00:00"/>
    <n v="4"/>
    <x v="10"/>
    <s v="Lead Developer"/>
  </r>
  <r>
    <n v="67262"/>
    <x v="0"/>
    <s v="01230471"/>
    <x v="35"/>
    <d v="2026-05-11T00:00:00"/>
    <s v="IA1757"/>
    <s v="Thirunavukkarasu,Kishore"/>
    <n v="138.72549663844038"/>
    <d v="2026-05-11T00:00:00"/>
    <n v="4"/>
    <x v="10"/>
    <s v="Developer"/>
  </r>
  <r>
    <n v="67262"/>
    <x v="0"/>
    <s v="01230471"/>
    <x v="35"/>
    <d v="2026-05-11T00:00:00"/>
    <s v="IA1793"/>
    <s v="Subramanian,Ruthrakkanth"/>
    <n v="242.76961911727065"/>
    <d v="2026-05-11T00:00:00"/>
    <n v="7"/>
    <x v="10"/>
    <s v="Developer"/>
  </r>
  <r>
    <n v="67262"/>
    <x v="0"/>
    <s v="01230471"/>
    <x v="35"/>
    <d v="2026-05-11T00:00:00"/>
    <s v="IA1450"/>
    <s v="Selvam,Kadarkarai"/>
    <n v="69.362748319220188"/>
    <d v="2026-05-11T00:00:00"/>
    <n v="2"/>
    <x v="10"/>
    <s v="Lead Developer"/>
  </r>
  <r>
    <n v="67262"/>
    <x v="0"/>
    <s v="01230471"/>
    <x v="35"/>
    <d v="2026-05-12T00:00:00"/>
    <s v="IA1757"/>
    <s v="Thirunavukkarasu,Kishore"/>
    <n v="138.72549663844038"/>
    <d v="2026-05-12T00:00:00"/>
    <n v="4"/>
    <x v="10"/>
    <s v="Developer"/>
  </r>
  <r>
    <n v="67262"/>
    <x v="0"/>
    <s v="01230471"/>
    <x v="35"/>
    <d v="2026-05-12T00:00:00"/>
    <s v="IA1793"/>
    <s v="Subramanian,Ruthrakkanth"/>
    <n v="242.76961911727065"/>
    <d v="2026-05-12T00:00:00"/>
    <n v="7"/>
    <x v="10"/>
    <s v="Developer"/>
  </r>
  <r>
    <n v="67262"/>
    <x v="0"/>
    <s v="01230471"/>
    <x v="35"/>
    <d v="2026-05-12T00:00:00"/>
    <s v="IA1450"/>
    <s v="Selvam,Kadarkarai"/>
    <n v="69.362748319220188"/>
    <d v="2026-05-12T00:00:00"/>
    <n v="2"/>
    <x v="10"/>
    <s v="Lead Developer"/>
  </r>
  <r>
    <n v="67262"/>
    <x v="0"/>
    <s v="01230471"/>
    <x v="35"/>
    <d v="2026-05-13T00:00:00"/>
    <s v="IA1757"/>
    <s v="Thirunavukkarasu,Kishore"/>
    <n v="138.72549663844038"/>
    <d v="2026-05-13T00:00:00"/>
    <n v="4"/>
    <x v="10"/>
    <s v="Developer"/>
  </r>
  <r>
    <n v="67262"/>
    <x v="0"/>
    <s v="01230471"/>
    <x v="35"/>
    <d v="2026-05-13T00:00:00"/>
    <s v="IA1793"/>
    <s v="Subramanian,Ruthrakkanth"/>
    <n v="242.76961911727065"/>
    <d v="2026-05-13T00:00:00"/>
    <n v="7"/>
    <x v="10"/>
    <s v="Developer"/>
  </r>
  <r>
    <n v="67262"/>
    <x v="0"/>
    <s v="01230471"/>
    <x v="35"/>
    <d v="2026-05-13T00:00:00"/>
    <s v="IA1450"/>
    <s v="Selvam,Kadarkarai"/>
    <n v="138.72549663844038"/>
    <d v="2026-05-13T00:00:00"/>
    <n v="4"/>
    <x v="10"/>
    <s v="Lead Developer"/>
  </r>
  <r>
    <n v="67262"/>
    <x v="0"/>
    <s v="01230471"/>
    <x v="35"/>
    <d v="2026-05-14T00:00:00"/>
    <s v="IA1757"/>
    <s v="Thirunavukkarasu,Kishore"/>
    <n v="138.72549663844038"/>
    <d v="2026-05-14T00:00:00"/>
    <n v="4"/>
    <x v="10"/>
    <s v="Developer"/>
  </r>
  <r>
    <n v="67262"/>
    <x v="0"/>
    <s v="01230471"/>
    <x v="35"/>
    <d v="2026-05-14T00:00:00"/>
    <s v="IA1450"/>
    <s v="Selvam,Kadarkarai"/>
    <n v="104.04412247883027"/>
    <d v="2026-05-14T00:00:00"/>
    <n v="3"/>
    <x v="10"/>
    <s v="Lead Developer"/>
  </r>
  <r>
    <n v="67262"/>
    <x v="0"/>
    <s v="01230471"/>
    <x v="35"/>
    <d v="2026-05-15T00:00:00"/>
    <s v="IA1757"/>
    <s v="Thirunavukkarasu,Kishore"/>
    <n v="138.72549663844038"/>
    <d v="2026-05-15T00:00:00"/>
    <n v="4"/>
    <x v="10"/>
    <s v="Developer"/>
  </r>
  <r>
    <n v="67262"/>
    <x v="0"/>
    <s v="01230471"/>
    <x v="35"/>
    <d v="2026-05-15T00:00:00"/>
    <s v="IA1793"/>
    <s v="Subramanian,Ruthrakkanth"/>
    <n v="138.72549663844038"/>
    <d v="2026-05-15T00:00:00"/>
    <n v="4"/>
    <x v="10"/>
    <s v="Developer"/>
  </r>
  <r>
    <n v="67262"/>
    <x v="0"/>
    <s v="01230471"/>
    <x v="35"/>
    <d v="2026-05-18T00:00:00"/>
    <s v="IA1757"/>
    <s v="Thirunavukkarasu,Kishore"/>
    <n v="138.72549663844038"/>
    <d v="2026-05-18T00:00:00"/>
    <n v="4"/>
    <x v="10"/>
    <s v="Developer"/>
  </r>
  <r>
    <n v="67262"/>
    <x v="0"/>
    <s v="01230471"/>
    <x v="35"/>
    <d v="2026-05-19T00:00:00"/>
    <s v="IA1757"/>
    <s v="Thirunavukkarasu,Kishore"/>
    <n v="138.72549663844038"/>
    <d v="2026-05-19T00:00:00"/>
    <n v="4"/>
    <x v="10"/>
    <s v="Developer"/>
  </r>
  <r>
    <n v="67262"/>
    <x v="0"/>
    <s v="01230471"/>
    <x v="35"/>
    <d v="2026-05-19T00:00:00"/>
    <s v="IA1450"/>
    <s v="Selvam,Kadarkarai"/>
    <n v="277.45099327688075"/>
    <d v="2026-05-19T00:00:00"/>
    <n v="8"/>
    <x v="10"/>
    <s v="Lead Developer"/>
  </r>
  <r>
    <n v="67262"/>
    <x v="0"/>
    <s v="01230471"/>
    <x v="35"/>
    <d v="2026-05-19T00:00:00"/>
    <s v="IA1793"/>
    <s v="Subramanian,Ruthrakkanth"/>
    <n v="69.362748319220188"/>
    <d v="2026-05-19T00:00:00"/>
    <n v="2"/>
    <x v="10"/>
    <s v="Developer"/>
  </r>
  <r>
    <n v="67262"/>
    <x v="0"/>
    <s v="01230471"/>
    <x v="35"/>
    <d v="2026-05-20T00:00:00"/>
    <s v="IA1757"/>
    <s v="Thirunavukkarasu,Kishore"/>
    <n v="138.72549663844038"/>
    <d v="2026-05-20T00:00:00"/>
    <n v="4"/>
    <x v="10"/>
    <s v="Developer"/>
  </r>
  <r>
    <n v="67262"/>
    <x v="0"/>
    <s v="01230471"/>
    <x v="35"/>
    <d v="2026-05-20T00:00:00"/>
    <s v="IA1793"/>
    <s v="Subramanian,Ruthrakkanth"/>
    <n v="34.681374159610094"/>
    <d v="2026-05-20T00:00:00"/>
    <n v="1"/>
    <x v="10"/>
    <s v="Developer"/>
  </r>
  <r>
    <n v="67262"/>
    <x v="0"/>
    <s v="01230471"/>
    <x v="35"/>
    <d v="2026-05-21T00:00:00"/>
    <s v="IA1757"/>
    <s v="Thirunavukkarasu,Kishore"/>
    <n v="138.72549663844038"/>
    <d v="2026-05-21T00:00:00"/>
    <n v="4"/>
    <x v="10"/>
    <s v="Developer"/>
  </r>
  <r>
    <n v="67262"/>
    <x v="0"/>
    <s v="01230471"/>
    <x v="35"/>
    <d v="2026-05-21T00:00:00"/>
    <s v="IA1793"/>
    <s v="Subramanian,Ruthrakkanth"/>
    <n v="34.681374159610094"/>
    <d v="2026-05-21T00:00:00"/>
    <n v="1"/>
    <x v="10"/>
    <s v="Developer"/>
  </r>
  <r>
    <n v="67262"/>
    <x v="0"/>
    <s v="01230471"/>
    <x v="35"/>
    <d v="2026-05-22T00:00:00"/>
    <s v="IA1757"/>
    <s v="Thirunavukkarasu,Kishore"/>
    <n v="138.72549663844038"/>
    <d v="2026-05-22T00:00:00"/>
    <n v="4"/>
    <x v="10"/>
    <s v="Developer"/>
  </r>
  <r>
    <n v="67262"/>
    <x v="0"/>
    <s v="01230471"/>
    <x v="35"/>
    <d v="2026-05-22T00:00:00"/>
    <s v="IA1450"/>
    <s v="Selvam,Kadarkarai"/>
    <n v="208.08824495766055"/>
    <d v="2026-05-22T00:00:00"/>
    <n v="6"/>
    <x v="10"/>
    <s v="Lead Developer"/>
  </r>
  <r>
    <n v="67262"/>
    <x v="0"/>
    <s v="01230471"/>
    <x v="35"/>
    <d v="2026-05-22T00:00:00"/>
    <s v="IA1793"/>
    <s v="Subramanian,Ruthrakkanth"/>
    <n v="34.681374159610094"/>
    <d v="2026-05-22T00:00:00"/>
    <n v="1"/>
    <x v="10"/>
    <s v="Developer"/>
  </r>
  <r>
    <n v="67262"/>
    <x v="0"/>
    <s v="01230471"/>
    <x v="35"/>
    <d v="2026-05-25T00:00:00"/>
    <s v="IA1757"/>
    <s v="Thirunavukkarasu,Kishore"/>
    <n v="138.72549663844038"/>
    <d v="2026-05-25T00:00:00"/>
    <n v="4"/>
    <x v="10"/>
    <s v="Developer"/>
  </r>
  <r>
    <n v="67262"/>
    <x v="0"/>
    <s v="01230471"/>
    <x v="35"/>
    <d v="2026-05-25T00:00:00"/>
    <s v="IA1450"/>
    <s v="Selvam,Kadarkarai"/>
    <n v="242.76961911727065"/>
    <d v="2026-05-25T00:00:00"/>
    <n v="7"/>
    <x v="10"/>
    <s v="Lead Developer"/>
  </r>
  <r>
    <n v="67262"/>
    <x v="0"/>
    <s v="01230471"/>
    <x v="35"/>
    <d v="2026-05-26T00:00:00"/>
    <s v="IA1757"/>
    <s v="Thirunavukkarasu,Kishore"/>
    <n v="208.08824495766055"/>
    <d v="2026-05-26T00:00:00"/>
    <n v="6"/>
    <x v="10"/>
    <s v="Developer"/>
  </r>
  <r>
    <n v="67262"/>
    <x v="0"/>
    <s v="01230471"/>
    <x v="35"/>
    <d v="2026-05-26T00:00:00"/>
    <s v="IA1450"/>
    <s v="Selvam,Kadarkarai"/>
    <n v="242.76961911727065"/>
    <d v="2026-05-26T00:00:00"/>
    <n v="7"/>
    <x v="10"/>
    <s v="Lead Developer"/>
  </r>
  <r>
    <n v="67262"/>
    <x v="0"/>
    <s v="01230471"/>
    <x v="35"/>
    <d v="2026-05-27T00:00:00"/>
    <s v="IA1757"/>
    <s v="Thirunavukkarasu,Kishore"/>
    <n v="208.08824495766055"/>
    <d v="2026-05-27T00:00:00"/>
    <n v="6"/>
    <x v="10"/>
    <s v="Developer"/>
  </r>
  <r>
    <n v="67262"/>
    <x v="0"/>
    <s v="01230471"/>
    <x v="35"/>
    <d v="2026-05-27T00:00:00"/>
    <s v="IA1450"/>
    <s v="Selvam,Kadarkarai"/>
    <n v="312.13236743649082"/>
    <d v="2026-05-27T00:00:00"/>
    <n v="9"/>
    <x v="10"/>
    <s v="Lead Developer"/>
  </r>
  <r>
    <n v="67262"/>
    <x v="0"/>
    <s v="01230471"/>
    <x v="35"/>
    <d v="2026-05-28T00:00:00"/>
    <s v="IA1450"/>
    <s v="Selvam,Kadarkarai"/>
    <n v="208.08824495766055"/>
    <d v="2026-05-28T00:00:00"/>
    <n v="6"/>
    <x v="10"/>
    <s v="Lead Developer"/>
  </r>
  <r>
    <n v="67262"/>
    <x v="0"/>
    <s v="01230471"/>
    <x v="35"/>
    <d v="2026-05-29T00:00:00"/>
    <s v="IA1450"/>
    <s v="Selvam,Kadarkarai"/>
    <n v="69.362748319220188"/>
    <d v="2026-05-29T00:00:00"/>
    <n v="2"/>
    <x v="10"/>
    <s v="Lead Developer"/>
  </r>
  <r>
    <n v="67262"/>
    <x v="0"/>
    <s v="01230471"/>
    <x v="35"/>
    <d v="2026-06-02T00:00:00"/>
    <s v="IA1450"/>
    <s v="Selvam,Kadarkarai"/>
    <n v="69.362748319220188"/>
    <d v="2026-06-02T00:00:00"/>
    <n v="2"/>
    <x v="11"/>
    <s v="Lead Developer"/>
  </r>
  <r>
    <n v="67262"/>
    <x v="0"/>
    <s v="01230471"/>
    <x v="35"/>
    <d v="2026-06-03T00:00:00"/>
    <s v="IA1450"/>
    <s v="Selvam,Kadarkarai"/>
    <n v="173.40687079805048"/>
    <d v="2026-06-03T00:00:00"/>
    <n v="5"/>
    <x v="11"/>
    <s v="Lead Developer"/>
  </r>
  <r>
    <n v="67262"/>
    <x v="0"/>
    <s v="01230471"/>
    <x v="35"/>
    <d v="2026-06-04T00:00:00"/>
    <s v="IA1450"/>
    <s v="Selvam,Kadarkarai"/>
    <n v="138.72549663844038"/>
    <d v="2026-06-04T00:00:00"/>
    <n v="4"/>
    <x v="11"/>
    <s v="Lead Developer"/>
  </r>
  <r>
    <n v="68097"/>
    <x v="8"/>
    <s v="01230072"/>
    <x v="36"/>
    <d v="2026-03-30T00:00:00"/>
    <s v="IA1765"/>
    <s v="Kumar,Saravana"/>
    <n v="242.76961911727065"/>
    <d v="2026-03-30T00:00:00"/>
    <n v="7"/>
    <x v="1"/>
    <s v="Developer"/>
  </r>
  <r>
    <n v="68097"/>
    <x v="8"/>
    <s v="01230072"/>
    <x v="36"/>
    <d v="2026-04-01T00:00:00"/>
    <s v="IA1765"/>
    <s v="Kumar,Saravana"/>
    <n v="242.76961911727065"/>
    <d v="2026-04-01T00:00:00"/>
    <n v="7"/>
    <x v="2"/>
    <s v="Developer"/>
  </r>
  <r>
    <n v="68097"/>
    <x v="8"/>
    <s v="01230072"/>
    <x v="36"/>
    <d v="2026-05-25T00:00:00"/>
    <s v="IA1421"/>
    <s v="Jayapal,Muruganandham"/>
    <n v="277.45099327688075"/>
    <d v="2026-05-25T00:00:00"/>
    <n v="8"/>
    <x v="10"/>
    <s v="Engg Manager"/>
  </r>
  <r>
    <n v="68097"/>
    <x v="8"/>
    <s v="01230072"/>
    <x v="36"/>
    <d v="2026-05-26T00:00:00"/>
    <s v="IA1421"/>
    <s v="Jayapal,Muruganandham"/>
    <n v="277.45099327688075"/>
    <d v="2026-05-26T00:00:00"/>
    <n v="8"/>
    <x v="10"/>
    <s v="Engg Manager"/>
  </r>
  <r>
    <n v="68097"/>
    <x v="8"/>
    <s v="01230072"/>
    <x v="36"/>
    <d v="2026-05-27T00:00:00"/>
    <s v="IA1421"/>
    <s v="Jayapal,Muruganandham"/>
    <n v="277.45099327688075"/>
    <d v="2026-05-27T00:00:00"/>
    <n v="8"/>
    <x v="10"/>
    <s v="Engg Manager"/>
  </r>
  <r>
    <n v="68097"/>
    <x v="8"/>
    <s v="01230072"/>
    <x v="36"/>
    <d v="2026-05-28T00:00:00"/>
    <s v="IA1421"/>
    <s v="Jayapal,Muruganandham"/>
    <n v="277.45099327688075"/>
    <d v="2026-05-28T00:00:00"/>
    <n v="8"/>
    <x v="10"/>
    <s v="Engg Manager"/>
  </r>
  <r>
    <n v="68097"/>
    <x v="8"/>
    <s v="01230073"/>
    <x v="33"/>
    <d v="2026-05-12T00:00:00"/>
    <s v="IA1750"/>
    <s v="Sankarasubbu,RAMANATHAN"/>
    <n v="312.13236743649082"/>
    <d v="2026-05-12T00:00:00"/>
    <n v="9"/>
    <x v="10"/>
    <s v="Developer"/>
  </r>
  <r>
    <n v="68097"/>
    <x v="8"/>
    <s v="01230072"/>
    <x v="36"/>
    <d v="2026-05-29T00:00:00"/>
    <s v="IA1421"/>
    <s v="Jayapal,Muruganandham"/>
    <n v="277.45099327688075"/>
    <d v="2026-05-29T00:00:00"/>
    <n v="8"/>
    <x v="10"/>
    <s v="Engg Manager"/>
  </r>
  <r>
    <n v="68097"/>
    <x v="8"/>
    <s v="01230072"/>
    <x v="36"/>
    <d v="2026-06-01T00:00:00"/>
    <s v="IA1690"/>
    <s v="Duraisamy,Manikandaprabu"/>
    <n v="277.45099327688075"/>
    <d v="2026-06-01T00:00:00"/>
    <n v="8"/>
    <x v="11"/>
    <s v="Developer"/>
  </r>
  <r>
    <n v="68097"/>
    <x v="8"/>
    <s v="01230072"/>
    <x v="36"/>
    <d v="2026-06-01T00:00:00"/>
    <s v="IA1830"/>
    <s v="Raj,Gowtham"/>
    <n v="277.45099327688075"/>
    <d v="2026-06-01T00:00:00"/>
    <n v="8"/>
    <x v="11"/>
    <s v="Junior"/>
  </r>
  <r>
    <n v="68097"/>
    <x v="8"/>
    <s v="01230072"/>
    <x v="36"/>
    <d v="2026-06-01T00:00:00"/>
    <s v="IA1421"/>
    <s v="Jayapal,Muruganandham"/>
    <n v="277.45099327688075"/>
    <d v="2026-06-01T00:00:00"/>
    <n v="8"/>
    <x v="11"/>
    <s v="Engg Manager"/>
  </r>
  <r>
    <n v="68097"/>
    <x v="8"/>
    <s v="01230072"/>
    <x v="36"/>
    <d v="2026-06-02T00:00:00"/>
    <s v="IA1690"/>
    <s v="Duraisamy,Manikandaprabu"/>
    <n v="277.45099327688075"/>
    <d v="2026-06-02T00:00:00"/>
    <n v="8"/>
    <x v="11"/>
    <s v="Developer"/>
  </r>
  <r>
    <n v="68097"/>
    <x v="8"/>
    <s v="01230072"/>
    <x v="36"/>
    <d v="2026-06-02T00:00:00"/>
    <s v="IA1830"/>
    <s v="Raj,Gowtham"/>
    <n v="277.45099327688075"/>
    <d v="2026-06-02T00:00:00"/>
    <n v="8"/>
    <x v="11"/>
    <s v="Junior"/>
  </r>
  <r>
    <n v="68097"/>
    <x v="8"/>
    <s v="01230072"/>
    <x v="36"/>
    <d v="2026-06-02T00:00:00"/>
    <s v="IA1421"/>
    <s v="Jayapal,Muruganandham"/>
    <n v="277.45099327688075"/>
    <d v="2026-06-02T00:00:00"/>
    <n v="8"/>
    <x v="11"/>
    <s v="Engg Manager"/>
  </r>
  <r>
    <n v="68097"/>
    <x v="8"/>
    <s v="01230072"/>
    <x v="36"/>
    <d v="2026-06-03T00:00:00"/>
    <s v="IA1690"/>
    <s v="Duraisamy,Manikandaprabu"/>
    <n v="277.45099327688075"/>
    <d v="2026-06-03T00:00:00"/>
    <n v="8"/>
    <x v="11"/>
    <s v="Developer"/>
  </r>
  <r>
    <n v="68097"/>
    <x v="8"/>
    <s v="01230072"/>
    <x v="36"/>
    <d v="2026-06-03T00:00:00"/>
    <s v="IA1830"/>
    <s v="Raj,Gowtham"/>
    <n v="277.45099327688075"/>
    <d v="2026-06-03T00:00:00"/>
    <n v="8"/>
    <x v="11"/>
    <s v="Junior"/>
  </r>
  <r>
    <n v="68097"/>
    <x v="8"/>
    <s v="01230072"/>
    <x v="36"/>
    <d v="2026-06-03T00:00:00"/>
    <s v="IA1421"/>
    <s v="Jayapal,Muruganandham"/>
    <n v="277.45099327688075"/>
    <d v="2026-06-03T00:00:00"/>
    <n v="8"/>
    <x v="11"/>
    <s v="Engg Manager"/>
  </r>
  <r>
    <n v="68097"/>
    <x v="8"/>
    <s v="01230072"/>
    <x v="36"/>
    <d v="2026-06-04T00:00:00"/>
    <s v="IA1690"/>
    <s v="Duraisamy,Manikandaprabu"/>
    <n v="277.45099327688075"/>
    <d v="2026-06-04T00:00:00"/>
    <n v="8"/>
    <x v="11"/>
    <s v="Developer"/>
  </r>
  <r>
    <n v="68097"/>
    <x v="8"/>
    <s v="01230072"/>
    <x v="36"/>
    <d v="2026-06-04T00:00:00"/>
    <s v="IA1830"/>
    <s v="Raj,Gowtham"/>
    <n v="277.45099327688075"/>
    <d v="2026-06-04T00:00:00"/>
    <n v="8"/>
    <x v="11"/>
    <s v="Junior"/>
  </r>
  <r>
    <n v="68097"/>
    <x v="8"/>
    <s v="01230072"/>
    <x v="36"/>
    <d v="2026-06-04T00:00:00"/>
    <s v="IA1421"/>
    <s v="Jayapal,Muruganandham"/>
    <n v="277.45099327688075"/>
    <d v="2026-06-04T00:00:00"/>
    <n v="8"/>
    <x v="11"/>
    <s v="Engg Manager"/>
  </r>
  <r>
    <n v="68097"/>
    <x v="8"/>
    <s v="01230072"/>
    <x v="36"/>
    <d v="2026-06-05T00:00:00"/>
    <s v="IA1690"/>
    <s v="Duraisamy,Manikandaprabu"/>
    <n v="277.45099327688075"/>
    <d v="2026-06-05T00:00:00"/>
    <n v="8"/>
    <x v="11"/>
    <s v="Developer"/>
  </r>
  <r>
    <n v="68097"/>
    <x v="8"/>
    <s v="01230072"/>
    <x v="36"/>
    <d v="2026-06-05T00:00:00"/>
    <s v="IA1830"/>
    <s v="Raj,Gowtham"/>
    <n v="277.45099327688075"/>
    <d v="2026-06-05T00:00:00"/>
    <n v="8"/>
    <x v="11"/>
    <s v="Junior"/>
  </r>
  <r>
    <n v="68097"/>
    <x v="8"/>
    <s v="01230072"/>
    <x v="36"/>
    <d v="2026-06-05T00:00:00"/>
    <s v="IA1421"/>
    <s v="Jayapal,Muruganandham"/>
    <n v="277.45099327688075"/>
    <d v="2026-06-05T00:00:00"/>
    <n v="8"/>
    <x v="11"/>
    <s v="Engg Manager"/>
  </r>
  <r>
    <n v="68097"/>
    <x v="8"/>
    <s v="01230072"/>
    <x v="36"/>
    <d v="2026-06-08T00:00:00"/>
    <s v="IA1690"/>
    <s v="Duraisamy,Manikandaprabu"/>
    <n v="277.45099327688075"/>
    <d v="2026-06-08T00:00:00"/>
    <n v="8"/>
    <x v="11"/>
    <s v="Developer"/>
  </r>
  <r>
    <n v="68097"/>
    <x v="8"/>
    <s v="01230072"/>
    <x v="36"/>
    <d v="2026-06-08T00:00:00"/>
    <s v="IA1830"/>
    <s v="Raj,Gowtham"/>
    <n v="277.45099327688075"/>
    <d v="2026-06-08T00:00:00"/>
    <n v="8"/>
    <x v="11"/>
    <s v="Junior"/>
  </r>
  <r>
    <n v="68097"/>
    <x v="8"/>
    <s v="01230072"/>
    <x v="36"/>
    <d v="2026-06-09T00:00:00"/>
    <s v="IA1690"/>
    <s v="Duraisamy,Manikandaprabu"/>
    <n v="277.45099327688075"/>
    <d v="2026-06-09T00:00:00"/>
    <n v="8"/>
    <x v="11"/>
    <s v="Developer"/>
  </r>
  <r>
    <n v="68097"/>
    <x v="8"/>
    <s v="01230072"/>
    <x v="36"/>
    <d v="2026-06-09T00:00:00"/>
    <s v="IA1765"/>
    <s v="Kumar,Saravana"/>
    <n v="277.45099327688075"/>
    <d v="2026-06-09T00:00:00"/>
    <n v="8"/>
    <x v="11"/>
    <s v="Developer"/>
  </r>
  <r>
    <n v="68097"/>
    <x v="8"/>
    <s v="01230072"/>
    <x v="36"/>
    <d v="2026-06-09T00:00:00"/>
    <s v="IA1830"/>
    <s v="Raj,Gowtham"/>
    <n v="277.45099327688075"/>
    <d v="2026-06-09T00:00:00"/>
    <n v="8"/>
    <x v="11"/>
    <s v="Junior"/>
  </r>
  <r>
    <n v="68097"/>
    <x v="8"/>
    <s v="01230072"/>
    <x v="36"/>
    <d v="2026-06-09T00:00:00"/>
    <s v="IA1421"/>
    <s v="Jayapal,Muruganandham"/>
    <n v="277.45099327688075"/>
    <d v="2026-06-09T00:00:00"/>
    <n v="8"/>
    <x v="11"/>
    <s v="Engg Manager"/>
  </r>
  <r>
    <n v="68097"/>
    <x v="8"/>
    <s v="01230072"/>
    <x v="36"/>
    <d v="2026-06-10T00:00:00"/>
    <s v="IA1830"/>
    <s v="Raj,Gowtham"/>
    <n v="277.45099327688075"/>
    <d v="2026-06-10T00:00:00"/>
    <n v="8"/>
    <x v="11"/>
    <s v="Junior"/>
  </r>
  <r>
    <n v="68097"/>
    <x v="8"/>
    <s v="01230072"/>
    <x v="36"/>
    <d v="2026-06-10T00:00:00"/>
    <s v="IA1421"/>
    <s v="Jayapal,Muruganandham"/>
    <n v="277.45099327688075"/>
    <d v="2026-06-10T00:00:00"/>
    <n v="8"/>
    <x v="11"/>
    <s v="Engg Manager"/>
  </r>
  <r>
    <n v="68097"/>
    <x v="8"/>
    <s v="01230072"/>
    <x v="36"/>
    <d v="2026-06-11T00:00:00"/>
    <s v="IA1830"/>
    <s v="Raj,Gowtham"/>
    <n v="277.45099327688075"/>
    <d v="2026-06-11T00:00:00"/>
    <n v="8"/>
    <x v="11"/>
    <s v="Junior"/>
  </r>
  <r>
    <n v="68097"/>
    <x v="8"/>
    <s v="01230072"/>
    <x v="36"/>
    <d v="2026-06-11T00:00:00"/>
    <s v="IA1421"/>
    <s v="Jayapal,Muruganandham"/>
    <n v="277.45099327688075"/>
    <d v="2026-06-11T00:00:00"/>
    <n v="8"/>
    <x v="11"/>
    <s v="Engg Manager"/>
  </r>
  <r>
    <n v="68097"/>
    <x v="8"/>
    <s v="01230072"/>
    <x v="36"/>
    <d v="2026-06-12T00:00:00"/>
    <s v="IA1765"/>
    <s v="Kumar,Saravana"/>
    <n v="277.45099327688075"/>
    <d v="2026-06-12T00:00:00"/>
    <n v="8"/>
    <x v="11"/>
    <s v="Developer"/>
  </r>
  <r>
    <n v="68097"/>
    <x v="8"/>
    <s v="01230072"/>
    <x v="36"/>
    <d v="2026-06-12T00:00:00"/>
    <s v="IA1830"/>
    <s v="Raj,Gowtham"/>
    <n v="277.45099327688075"/>
    <d v="2026-06-12T00:00:00"/>
    <n v="8"/>
    <x v="11"/>
    <s v="Junior"/>
  </r>
  <r>
    <n v="68097"/>
    <x v="8"/>
    <s v="01230072"/>
    <x v="36"/>
    <d v="2026-06-12T00:00:00"/>
    <s v="IA1421"/>
    <s v="Jayapal,Muruganandham"/>
    <n v="277.45099327688075"/>
    <d v="2026-06-12T00:00:00"/>
    <n v="8"/>
    <x v="11"/>
    <s v="Engg Manager"/>
  </r>
  <r>
    <n v="68097"/>
    <x v="8"/>
    <s v="01230073"/>
    <x v="33"/>
    <d v="2026-05-13T00:00:00"/>
    <s v="IA1750"/>
    <s v="Sankarasubbu,RAMANATHAN"/>
    <n v="312.13236743649082"/>
    <d v="2026-05-13T00:00:00"/>
    <n v="9"/>
    <x v="10"/>
    <s v="Developer"/>
  </r>
  <r>
    <n v="68097"/>
    <x v="8"/>
    <s v="01230073"/>
    <x v="33"/>
    <d v="2026-05-14T00:00:00"/>
    <s v="IA1750"/>
    <s v="Sankarasubbu,RAMANATHAN"/>
    <n v="312.13236743649082"/>
    <d v="2026-05-14T00:00:00"/>
    <n v="9"/>
    <x v="10"/>
    <s v="Developer"/>
  </r>
  <r>
    <n v="67260"/>
    <x v="2"/>
    <s v="01229629"/>
    <x v="32"/>
    <d v="2026-03-23T00:00:00"/>
    <s v="IA1430"/>
    <s v="Subburajan,Jawahar"/>
    <n v="277.45099327688075"/>
    <d v="2026-03-23T00:00:00"/>
    <n v="8"/>
    <x v="1"/>
    <s v="Lead Developer"/>
  </r>
  <r>
    <n v="67260"/>
    <x v="2"/>
    <s v="01229629"/>
    <x v="32"/>
    <d v="2026-03-23T00:00:00"/>
    <s v="IA1831"/>
    <s v="Veluru,Preethi"/>
    <n v="277.45099327688075"/>
    <d v="2026-03-23T00:00:00"/>
    <n v="8"/>
    <x v="1"/>
    <s v="Junior"/>
  </r>
  <r>
    <n v="67260"/>
    <x v="2"/>
    <s v="01229629"/>
    <x v="32"/>
    <d v="2026-03-24T00:00:00"/>
    <s v="IA1430"/>
    <s v="Subburajan,Jawahar"/>
    <n v="277.45099327688075"/>
    <d v="2026-03-24T00:00:00"/>
    <n v="8"/>
    <x v="1"/>
    <s v="Lead Developer"/>
  </r>
  <r>
    <n v="67260"/>
    <x v="2"/>
    <s v="01229629"/>
    <x v="32"/>
    <d v="2026-03-24T00:00:00"/>
    <s v="IA1831"/>
    <s v="Veluru,Preethi"/>
    <n v="277.45099327688075"/>
    <d v="2026-03-24T00:00:00"/>
    <n v="8"/>
    <x v="1"/>
    <s v="Junior"/>
  </r>
  <r>
    <n v="68097"/>
    <x v="8"/>
    <s v="01230073"/>
    <x v="33"/>
    <d v="2026-05-15T00:00:00"/>
    <s v="IA1750"/>
    <s v="Sankarasubbu,RAMANATHAN"/>
    <n v="312.13236743649082"/>
    <d v="2026-05-15T00:00:00"/>
    <n v="9"/>
    <x v="10"/>
    <s v="Developer"/>
  </r>
  <r>
    <n v="67260"/>
    <x v="2"/>
    <s v="01229629"/>
    <x v="32"/>
    <d v="2026-03-25T00:00:00"/>
    <s v="IA1430"/>
    <s v="Subburajan,Jawahar"/>
    <n v="277.45099327688075"/>
    <d v="2026-03-25T00:00:00"/>
    <n v="8"/>
    <x v="1"/>
    <s v="Lead Developer"/>
  </r>
  <r>
    <n v="67260"/>
    <x v="2"/>
    <s v="01229629"/>
    <x v="32"/>
    <d v="2026-03-25T00:00:00"/>
    <s v="IA1831"/>
    <s v="Veluru,Preethi"/>
    <n v="277.45099327688075"/>
    <d v="2026-03-25T00:00:00"/>
    <n v="8"/>
    <x v="1"/>
    <s v="Junior"/>
  </r>
  <r>
    <n v="68097"/>
    <x v="8"/>
    <s v="01230073"/>
    <x v="33"/>
    <d v="2026-05-18T00:00:00"/>
    <s v="IA1750"/>
    <s v="Sankarasubbu,RAMANATHAN"/>
    <n v="312.13236743649082"/>
    <d v="2026-05-18T00:00:00"/>
    <n v="9"/>
    <x v="10"/>
    <s v="Developer"/>
  </r>
  <r>
    <n v="67260"/>
    <x v="2"/>
    <s v="01229629"/>
    <x v="32"/>
    <d v="2026-03-26T00:00:00"/>
    <s v="IA1430"/>
    <s v="Subburajan,Jawahar"/>
    <n v="277.45099327688075"/>
    <d v="2026-03-26T00:00:00"/>
    <n v="8"/>
    <x v="1"/>
    <s v="Lead Developer"/>
  </r>
  <r>
    <n v="67260"/>
    <x v="2"/>
    <s v="01229629"/>
    <x v="32"/>
    <d v="2026-03-26T00:00:00"/>
    <s v="IA1831"/>
    <s v="Veluru,Preethi"/>
    <n v="277.45099327688075"/>
    <d v="2026-03-26T00:00:00"/>
    <n v="8"/>
    <x v="1"/>
    <s v="Junior"/>
  </r>
  <r>
    <n v="67260"/>
    <x v="2"/>
    <s v="01229629"/>
    <x v="32"/>
    <d v="2026-03-27T00:00:00"/>
    <s v="IA1430"/>
    <s v="Subburajan,Jawahar"/>
    <n v="277.45099327688075"/>
    <d v="2026-03-27T00:00:00"/>
    <n v="8"/>
    <x v="1"/>
    <s v="Lead Developer"/>
  </r>
  <r>
    <n v="67260"/>
    <x v="2"/>
    <s v="01229629"/>
    <x v="32"/>
    <d v="2026-03-27T00:00:00"/>
    <s v="IA1831"/>
    <s v="Veluru,Preethi"/>
    <n v="277.45099327688075"/>
    <d v="2026-03-27T00:00:00"/>
    <n v="8"/>
    <x v="1"/>
    <s v="Junior"/>
  </r>
  <r>
    <n v="68097"/>
    <x v="8"/>
    <s v="01230073"/>
    <x v="33"/>
    <d v="2026-05-19T00:00:00"/>
    <s v="IA1750"/>
    <s v="Sankarasubbu,RAMANATHAN"/>
    <n v="312.13236743649082"/>
    <d v="2026-05-19T00:00:00"/>
    <n v="9"/>
    <x v="10"/>
    <s v="Developer"/>
  </r>
  <r>
    <n v="68097"/>
    <x v="8"/>
    <s v="01230073"/>
    <x v="33"/>
    <d v="2026-05-20T00:00:00"/>
    <s v="IA1750"/>
    <s v="Sankarasubbu,RAMANATHAN"/>
    <n v="312.13236743649082"/>
    <d v="2026-05-20T00:00:00"/>
    <n v="9"/>
    <x v="10"/>
    <s v="Developer"/>
  </r>
  <r>
    <n v="67260"/>
    <x v="2"/>
    <s v="01229629"/>
    <x v="32"/>
    <d v="2026-04-06T00:00:00"/>
    <s v="IA1430"/>
    <s v="Subburajan,Jawahar"/>
    <n v="277.45099327688075"/>
    <d v="2026-04-06T00:00:00"/>
    <n v="8"/>
    <x v="2"/>
    <s v="Lead Developer"/>
  </r>
  <r>
    <n v="67260"/>
    <x v="2"/>
    <s v="01229629"/>
    <x v="32"/>
    <d v="2026-04-06T00:00:00"/>
    <s v="IA1831"/>
    <s v="Veluru,Preethi"/>
    <n v="-277.45099327688075"/>
    <d v="2026-04-06T00:00:00"/>
    <n v="-8"/>
    <x v="2"/>
    <s v="Junior"/>
  </r>
  <r>
    <n v="67260"/>
    <x v="2"/>
    <s v="01229629"/>
    <x v="32"/>
    <d v="2026-04-06T00:00:00"/>
    <s v="IA1831"/>
    <s v="Veluru,Preethi"/>
    <n v="277.45099327688075"/>
    <d v="2026-04-06T00:00:00"/>
    <n v="8"/>
    <x v="2"/>
    <s v="Junior"/>
  </r>
  <r>
    <n v="67260"/>
    <x v="2"/>
    <s v="01229629"/>
    <x v="32"/>
    <d v="2026-04-07T00:00:00"/>
    <s v="IA1831"/>
    <s v="Veluru,Preethi"/>
    <n v="277.45099327688075"/>
    <d v="2026-04-07T00:00:00"/>
    <n v="8"/>
    <x v="2"/>
    <s v="Junior"/>
  </r>
  <r>
    <n v="67260"/>
    <x v="2"/>
    <s v="01229629"/>
    <x v="32"/>
    <d v="2026-04-07T00:00:00"/>
    <s v="IA1430"/>
    <s v="Subburajan,Jawahar"/>
    <n v="277.45099327688075"/>
    <d v="2026-04-07T00:00:00"/>
    <n v="8"/>
    <x v="2"/>
    <s v="Lead Developer"/>
  </r>
  <r>
    <n v="67260"/>
    <x v="2"/>
    <s v="01229629"/>
    <x v="32"/>
    <d v="2026-04-07T00:00:00"/>
    <s v="IA1831"/>
    <s v="Veluru,Preethi"/>
    <n v="-277.45099327688075"/>
    <d v="2026-04-07T00:00:00"/>
    <n v="-8"/>
    <x v="2"/>
    <s v="Junior"/>
  </r>
  <r>
    <n v="67260"/>
    <x v="2"/>
    <s v="01229629"/>
    <x v="32"/>
    <d v="2026-04-08T00:00:00"/>
    <s v="IA1831"/>
    <s v="Veluru,Preethi"/>
    <n v="277.45099327688075"/>
    <d v="2026-04-08T00:00:00"/>
    <n v="8"/>
    <x v="2"/>
    <s v="Junior"/>
  </r>
  <r>
    <n v="67260"/>
    <x v="2"/>
    <s v="01229629"/>
    <x v="32"/>
    <d v="2026-04-08T00:00:00"/>
    <s v="IA1430"/>
    <s v="Subburajan,Jawahar"/>
    <n v="277.45099327688075"/>
    <d v="2026-04-08T00:00:00"/>
    <n v="8"/>
    <x v="2"/>
    <s v="Lead Developer"/>
  </r>
  <r>
    <n v="67260"/>
    <x v="2"/>
    <s v="01229629"/>
    <x v="32"/>
    <d v="2026-04-08T00:00:00"/>
    <s v="IA1771"/>
    <s v="anandanshanmugam,kamesh"/>
    <n v="277.45099327688075"/>
    <d v="2026-04-08T00:00:00"/>
    <n v="8"/>
    <x v="2"/>
    <s v="Junior"/>
  </r>
  <r>
    <n v="67260"/>
    <x v="2"/>
    <s v="01229629"/>
    <x v="32"/>
    <d v="2026-04-08T00:00:00"/>
    <s v="IA1831"/>
    <s v="Veluru,Preethi"/>
    <n v="-277.45099327688075"/>
    <d v="2026-04-08T00:00:00"/>
    <n v="-8"/>
    <x v="2"/>
    <s v="Junior"/>
  </r>
  <r>
    <n v="67260"/>
    <x v="2"/>
    <s v="01229629"/>
    <x v="32"/>
    <d v="2026-04-09T00:00:00"/>
    <s v="IA1831"/>
    <s v="Veluru,Preethi"/>
    <n v="277.45099327688075"/>
    <d v="2026-04-09T00:00:00"/>
    <n v="8"/>
    <x v="2"/>
    <s v="Junior"/>
  </r>
  <r>
    <n v="67260"/>
    <x v="2"/>
    <s v="01229629"/>
    <x v="32"/>
    <d v="2026-04-09T00:00:00"/>
    <s v="IA1430"/>
    <s v="Subburajan,Jawahar"/>
    <n v="277.45099327688075"/>
    <d v="2026-04-09T00:00:00"/>
    <n v="8"/>
    <x v="2"/>
    <s v="Lead Developer"/>
  </r>
  <r>
    <n v="67260"/>
    <x v="2"/>
    <s v="01229629"/>
    <x v="32"/>
    <d v="2026-04-09T00:00:00"/>
    <s v="IA1771"/>
    <s v="anandanshanmugam,kamesh"/>
    <n v="277.45099327688075"/>
    <d v="2026-04-09T00:00:00"/>
    <n v="8"/>
    <x v="2"/>
    <s v="Junior"/>
  </r>
  <r>
    <n v="67260"/>
    <x v="2"/>
    <s v="01229629"/>
    <x v="32"/>
    <d v="2026-04-10T00:00:00"/>
    <s v="IA1831"/>
    <s v="Veluru,Preethi"/>
    <n v="277.45099327688075"/>
    <d v="2026-04-10T00:00:00"/>
    <n v="8"/>
    <x v="2"/>
    <s v="Junior"/>
  </r>
  <r>
    <n v="67260"/>
    <x v="2"/>
    <s v="01229629"/>
    <x v="32"/>
    <d v="2026-04-10T00:00:00"/>
    <s v="IA1430"/>
    <s v="Subburajan,Jawahar"/>
    <n v="277.45099327688075"/>
    <d v="2026-04-10T00:00:00"/>
    <n v="8"/>
    <x v="2"/>
    <s v="Lead Developer"/>
  </r>
  <r>
    <n v="68097"/>
    <x v="8"/>
    <s v="01230073"/>
    <x v="33"/>
    <d v="2026-05-21T00:00:00"/>
    <s v="IA1750"/>
    <s v="Sankarasubbu,RAMANATHAN"/>
    <n v="312.13236743649082"/>
    <d v="2026-05-21T00:00:00"/>
    <n v="9"/>
    <x v="10"/>
    <s v="Developer"/>
  </r>
  <r>
    <n v="67260"/>
    <x v="2"/>
    <s v="01229629"/>
    <x v="32"/>
    <d v="2026-04-10T00:00:00"/>
    <s v="IA1771"/>
    <s v="anandanshanmugam,kamesh"/>
    <n v="277.45099327688075"/>
    <d v="2026-04-10T00:00:00"/>
    <n v="8"/>
    <x v="2"/>
    <s v="Junior"/>
  </r>
  <r>
    <n v="67260"/>
    <x v="2"/>
    <s v="01229629"/>
    <x v="32"/>
    <d v="2026-04-08T00:00:00"/>
    <s v="IA1771"/>
    <s v="anandanshanmugam,kamesh"/>
    <n v="-277.45099327688075"/>
    <d v="2026-04-08T00:00:00"/>
    <n v="-8"/>
    <x v="2"/>
    <s v="Junior"/>
  </r>
  <r>
    <n v="67260"/>
    <x v="2"/>
    <s v="01229629"/>
    <x v="32"/>
    <d v="2026-04-09T00:00:00"/>
    <s v="IA1771"/>
    <s v="anandanshanmugam,kamesh"/>
    <n v="-277.45099327688075"/>
    <d v="2026-04-09T00:00:00"/>
    <n v="-8"/>
    <x v="2"/>
    <s v="Junior"/>
  </r>
  <r>
    <n v="67260"/>
    <x v="2"/>
    <s v="01229629"/>
    <x v="32"/>
    <d v="2026-04-10T00:00:00"/>
    <s v="IA1771"/>
    <s v="anandanshanmugam,kamesh"/>
    <n v="-277.45099327688075"/>
    <d v="2026-04-10T00:00:00"/>
    <n v="-8"/>
    <x v="2"/>
    <s v="Junior"/>
  </r>
  <r>
    <n v="67260"/>
    <x v="2"/>
    <s v="01229629"/>
    <x v="32"/>
    <d v="2026-04-09T00:00:00"/>
    <s v="IA1831"/>
    <s v="Veluru,Preethi"/>
    <n v="-277.45099327688075"/>
    <d v="2026-04-09T00:00:00"/>
    <n v="-8"/>
    <x v="2"/>
    <s v="Junior"/>
  </r>
  <r>
    <n v="67260"/>
    <x v="2"/>
    <s v="01229629"/>
    <x v="32"/>
    <d v="2026-04-10T00:00:00"/>
    <s v="IA1831"/>
    <s v="Veluru,Preethi"/>
    <n v="-277.45099327688075"/>
    <d v="2026-04-10T00:00:00"/>
    <n v="-8"/>
    <x v="2"/>
    <s v="Junior"/>
  </r>
  <r>
    <n v="68097"/>
    <x v="8"/>
    <s v="01230073"/>
    <x v="33"/>
    <d v="2026-05-22T00:00:00"/>
    <s v="IA1750"/>
    <s v="Sankarasubbu,RAMANATHAN"/>
    <n v="312.13236743649082"/>
    <d v="2026-05-22T00:00:00"/>
    <n v="9"/>
    <x v="10"/>
    <s v="Developer"/>
  </r>
  <r>
    <n v="68097"/>
    <x v="8"/>
    <s v="01230073"/>
    <x v="33"/>
    <d v="2026-05-25T00:00:00"/>
    <s v="IA1750"/>
    <s v="Sankarasubbu,RAMANATHAN"/>
    <n v="312.13236743649082"/>
    <d v="2026-05-25T00:00:00"/>
    <n v="9"/>
    <x v="10"/>
    <s v="Developer"/>
  </r>
  <r>
    <n v="68097"/>
    <x v="8"/>
    <s v="01230073"/>
    <x v="33"/>
    <d v="2026-05-26T00:00:00"/>
    <s v="IA1750"/>
    <s v="Sankarasubbu,RAMANATHAN"/>
    <n v="312.13236743649082"/>
    <d v="2026-05-26T00:00:00"/>
    <n v="9"/>
    <x v="10"/>
    <s v="Developer"/>
  </r>
  <r>
    <n v="67260"/>
    <x v="2"/>
    <s v="01229629"/>
    <x v="32"/>
    <d v="2026-04-13T00:00:00"/>
    <s v="IA1430"/>
    <s v="Subburajan,Jawahar"/>
    <n v="277.45099327688075"/>
    <d v="2026-04-13T00:00:00"/>
    <n v="8"/>
    <x v="2"/>
    <s v="Lead Developer"/>
  </r>
  <r>
    <n v="67260"/>
    <x v="2"/>
    <s v="01229629"/>
    <x v="32"/>
    <d v="2026-04-13T00:00:00"/>
    <s v="IA1771"/>
    <s v="anandanshanmugam,kamesh"/>
    <n v="277.45099327688075"/>
    <d v="2026-04-13T00:00:00"/>
    <n v="8"/>
    <x v="2"/>
    <s v="Junior"/>
  </r>
  <r>
    <n v="67260"/>
    <x v="2"/>
    <s v="01229629"/>
    <x v="32"/>
    <d v="2026-04-13T00:00:00"/>
    <s v="IA1771"/>
    <s v="anandanshanmugam,kamesh"/>
    <n v="-277.45099327688075"/>
    <d v="2026-04-13T00:00:00"/>
    <n v="-8"/>
    <x v="2"/>
    <s v="Junior"/>
  </r>
  <r>
    <n v="68097"/>
    <x v="8"/>
    <s v="01230073"/>
    <x v="33"/>
    <d v="2026-05-27T00:00:00"/>
    <s v="IA1750"/>
    <s v="Sankarasubbu,RAMANATHAN"/>
    <n v="312.13236743649082"/>
    <d v="2026-05-27T00:00:00"/>
    <n v="9"/>
    <x v="10"/>
    <s v="Developer"/>
  </r>
  <r>
    <n v="67260"/>
    <x v="2"/>
    <s v="01229629"/>
    <x v="32"/>
    <d v="2026-04-15T00:00:00"/>
    <s v="IA1831"/>
    <s v="Veluru,Preethi"/>
    <n v="277.45099327688075"/>
    <d v="2026-04-15T00:00:00"/>
    <n v="8"/>
    <x v="2"/>
    <s v="Junior"/>
  </r>
  <r>
    <n v="68097"/>
    <x v="8"/>
    <s v="01230073"/>
    <x v="33"/>
    <d v="2026-05-28T00:00:00"/>
    <s v="IA1750"/>
    <s v="Sankarasubbu,RAMANATHAN"/>
    <n v="138.72549663844038"/>
    <d v="2026-05-28T00:00:00"/>
    <n v="4"/>
    <x v="10"/>
    <s v="Developer"/>
  </r>
  <r>
    <n v="67260"/>
    <x v="2"/>
    <s v="01229629"/>
    <x v="32"/>
    <d v="2026-04-15T00:00:00"/>
    <s v="IA1430"/>
    <s v="Subburajan,Jawahar"/>
    <n v="277.45099327688075"/>
    <d v="2026-04-15T00:00:00"/>
    <n v="8"/>
    <x v="2"/>
    <s v="Lead Developer"/>
  </r>
  <r>
    <n v="67260"/>
    <x v="2"/>
    <s v="01229629"/>
    <x v="32"/>
    <d v="2026-04-15T00:00:00"/>
    <s v="IA1771"/>
    <s v="anandanshanmugam,kamesh"/>
    <n v="277.45099327688075"/>
    <d v="2026-04-15T00:00:00"/>
    <n v="8"/>
    <x v="2"/>
    <s v="Junior"/>
  </r>
  <r>
    <n v="67260"/>
    <x v="2"/>
    <s v="01229629"/>
    <x v="32"/>
    <d v="2026-04-15T00:00:00"/>
    <s v="IA1771"/>
    <s v="anandanshanmugam,kamesh"/>
    <n v="-277.45099327688075"/>
    <d v="2026-04-15T00:00:00"/>
    <n v="-8"/>
    <x v="2"/>
    <s v="Junior"/>
  </r>
  <r>
    <n v="67260"/>
    <x v="2"/>
    <s v="01229629"/>
    <x v="32"/>
    <d v="2026-04-15T00:00:00"/>
    <s v="IA1831"/>
    <s v="Veluru,Preethi"/>
    <n v="-277.45099327688075"/>
    <d v="2026-04-15T00:00:00"/>
    <n v="-8"/>
    <x v="2"/>
    <s v="Junior"/>
  </r>
  <r>
    <n v="68097"/>
    <x v="8"/>
    <s v="01230072"/>
    <x v="36"/>
    <d v="2026-05-28T00:00:00"/>
    <s v="IA1750"/>
    <s v="Sankarasubbu,RAMANATHAN"/>
    <n v="173.40687079805048"/>
    <d v="2026-05-28T00:00:00"/>
    <n v="5"/>
    <x v="10"/>
    <s v="Developer"/>
  </r>
  <r>
    <n v="67260"/>
    <x v="2"/>
    <s v="01229629"/>
    <x v="32"/>
    <d v="2026-04-16T00:00:00"/>
    <s v="IA1831"/>
    <s v="Veluru,Preethi"/>
    <n v="277.45099327688075"/>
    <d v="2026-04-16T00:00:00"/>
    <n v="8"/>
    <x v="2"/>
    <s v="Junior"/>
  </r>
  <r>
    <n v="68097"/>
    <x v="8"/>
    <s v="01230073"/>
    <x v="33"/>
    <d v="2026-05-29T00:00:00"/>
    <s v="IA1750"/>
    <s v="Sankarasubbu,RAMANATHAN"/>
    <n v="312.13236743649082"/>
    <d v="2026-05-29T00:00:00"/>
    <n v="9"/>
    <x v="10"/>
    <s v="Developer"/>
  </r>
  <r>
    <n v="67260"/>
    <x v="2"/>
    <s v="01229629"/>
    <x v="32"/>
    <d v="2026-04-16T00:00:00"/>
    <s v="IA1430"/>
    <s v="Subburajan,Jawahar"/>
    <n v="277.45099327688075"/>
    <d v="2026-04-16T00:00:00"/>
    <n v="8"/>
    <x v="2"/>
    <s v="Lead Developer"/>
  </r>
  <r>
    <n v="67260"/>
    <x v="2"/>
    <s v="01229629"/>
    <x v="32"/>
    <d v="2026-04-16T00:00:00"/>
    <s v="IA1771"/>
    <s v="anandanshanmugam,kamesh"/>
    <n v="277.45099327688075"/>
    <d v="2026-04-16T00:00:00"/>
    <n v="8"/>
    <x v="2"/>
    <s v="Junior"/>
  </r>
  <r>
    <n v="67260"/>
    <x v="2"/>
    <s v="01229629"/>
    <x v="32"/>
    <d v="2026-04-16T00:00:00"/>
    <s v="IA1831"/>
    <s v="Veluru,Preethi"/>
    <n v="-277.45099327688075"/>
    <d v="2026-04-16T00:00:00"/>
    <n v="-8"/>
    <x v="2"/>
    <s v="Junior"/>
  </r>
  <r>
    <n v="67260"/>
    <x v="2"/>
    <s v="01229629"/>
    <x v="32"/>
    <d v="2026-04-16T00:00:00"/>
    <s v="IA1771"/>
    <s v="anandanshanmugam,kamesh"/>
    <n v="-277.45099327688075"/>
    <d v="2026-04-16T00:00:00"/>
    <n v="-8"/>
    <x v="2"/>
    <s v="Junior"/>
  </r>
  <r>
    <n v="67262"/>
    <x v="0"/>
    <s v="01192806"/>
    <x v="3"/>
    <d v="2026-06-01T00:00:00"/>
    <s v="IA1750"/>
    <s v="Sankarasubbu,RAMANATHAN"/>
    <n v="312.13236743649082"/>
    <d v="2026-06-01T00:00:00"/>
    <n v="9"/>
    <x v="11"/>
    <s v="Developer"/>
  </r>
  <r>
    <n v="67260"/>
    <x v="2"/>
    <s v="01229629"/>
    <x v="32"/>
    <d v="2026-04-20T00:00:00"/>
    <s v="IA1430"/>
    <s v="Subburajan,Jawahar"/>
    <n v="277.45099327688075"/>
    <d v="2026-04-20T00:00:00"/>
    <n v="8"/>
    <x v="2"/>
    <s v="Lead Developer"/>
  </r>
  <r>
    <n v="67262"/>
    <x v="0"/>
    <s v="01192806"/>
    <x v="3"/>
    <d v="2026-06-02T00:00:00"/>
    <s v="IA1750"/>
    <s v="Sankarasubbu,RAMANATHAN"/>
    <n v="312.13236743649082"/>
    <d v="2026-06-02T00:00:00"/>
    <n v="9"/>
    <x v="11"/>
    <s v="Developer"/>
  </r>
  <r>
    <n v="67260"/>
    <x v="2"/>
    <s v="01229629"/>
    <x v="32"/>
    <d v="2026-04-21T00:00:00"/>
    <s v="IA1771"/>
    <s v="anandanshanmugam,kamesh"/>
    <n v="-138.72549663844038"/>
    <d v="2026-04-21T00:00:00"/>
    <n v="-4"/>
    <x v="2"/>
    <s v="Junior"/>
  </r>
  <r>
    <n v="67260"/>
    <x v="2"/>
    <s v="01229629"/>
    <x v="32"/>
    <d v="2026-04-21T00:00:00"/>
    <s v="IA1831"/>
    <s v="Veluru,Preethi"/>
    <n v="-346.81374159610095"/>
    <d v="2026-04-21T00:00:00"/>
    <n v="-10"/>
    <x v="2"/>
    <s v="Junior"/>
  </r>
  <r>
    <n v="67262"/>
    <x v="0"/>
    <s v="01192806"/>
    <x v="3"/>
    <d v="2026-06-03T00:00:00"/>
    <s v="IA1750"/>
    <s v="Sankarasubbu,RAMANATHAN"/>
    <n v="312.13236743649082"/>
    <d v="2026-06-03T00:00:00"/>
    <n v="9"/>
    <x v="11"/>
    <s v="Developer"/>
  </r>
  <r>
    <n v="68097"/>
    <x v="8"/>
    <s v="01230073"/>
    <x v="33"/>
    <d v="2026-06-04T00:00:00"/>
    <s v="IA1750"/>
    <s v="Sankarasubbu,RAMANATHAN"/>
    <n v="312.13236743649082"/>
    <d v="2026-06-04T00:00:00"/>
    <n v="9"/>
    <x v="11"/>
    <s v="Developer"/>
  </r>
  <r>
    <n v="67260"/>
    <x v="2"/>
    <s v="01229629"/>
    <x v="32"/>
    <d v="2026-04-21T00:00:00"/>
    <s v="IA1771"/>
    <s v="anandanshanmugam,kamesh"/>
    <n v="138.72549663844038"/>
    <d v="2026-04-21T00:00:00"/>
    <n v="4"/>
    <x v="2"/>
    <s v="Junior"/>
  </r>
  <r>
    <n v="67260"/>
    <x v="2"/>
    <s v="01229629"/>
    <x v="32"/>
    <d v="2026-04-21T00:00:00"/>
    <s v="IA1831"/>
    <s v="Veluru,Preethi"/>
    <n v="346.81374159610095"/>
    <d v="2026-04-21T00:00:00"/>
    <n v="10"/>
    <x v="2"/>
    <s v="Junior"/>
  </r>
  <r>
    <n v="67260"/>
    <x v="2"/>
    <s v="01229629"/>
    <x v="32"/>
    <d v="2026-04-22T00:00:00"/>
    <s v="IA1771"/>
    <s v="anandanshanmugam,kamesh"/>
    <n v="-138.72549663844038"/>
    <d v="2026-04-22T00:00:00"/>
    <n v="-4"/>
    <x v="2"/>
    <s v="Junior"/>
  </r>
  <r>
    <n v="67260"/>
    <x v="2"/>
    <s v="01229629"/>
    <x v="32"/>
    <d v="2026-04-22T00:00:00"/>
    <s v="IA1831"/>
    <s v="Veluru,Preethi"/>
    <n v="-346.81374159610095"/>
    <d v="2026-04-22T00:00:00"/>
    <n v="-10"/>
    <x v="2"/>
    <s v="Junior"/>
  </r>
  <r>
    <n v="68097"/>
    <x v="8"/>
    <s v="01230073"/>
    <x v="33"/>
    <d v="2026-06-05T00:00:00"/>
    <s v="IA1750"/>
    <s v="Sankarasubbu,RAMANATHAN"/>
    <n v="312.13236743649082"/>
    <d v="2026-06-05T00:00:00"/>
    <n v="9"/>
    <x v="11"/>
    <s v="Developer"/>
  </r>
  <r>
    <n v="67260"/>
    <x v="2"/>
    <s v="01229629"/>
    <x v="32"/>
    <d v="2026-04-22T00:00:00"/>
    <s v="IA1771"/>
    <s v="anandanshanmugam,kamesh"/>
    <n v="138.72549663844038"/>
    <d v="2026-04-22T00:00:00"/>
    <n v="4"/>
    <x v="2"/>
    <s v="Junior"/>
  </r>
  <r>
    <n v="67260"/>
    <x v="2"/>
    <s v="01229629"/>
    <x v="32"/>
    <d v="2026-04-22T00:00:00"/>
    <s v="IA1831"/>
    <s v="Veluru,Preethi"/>
    <n v="346.81374159610095"/>
    <d v="2026-04-22T00:00:00"/>
    <n v="10"/>
    <x v="2"/>
    <s v="Junior"/>
  </r>
  <r>
    <n v="67260"/>
    <x v="2"/>
    <s v="01229629"/>
    <x v="32"/>
    <d v="2026-04-23T00:00:00"/>
    <s v="IA1771"/>
    <s v="anandanshanmugam,kamesh"/>
    <n v="-138.72549663844038"/>
    <d v="2026-04-23T00:00:00"/>
    <n v="-4"/>
    <x v="2"/>
    <s v="Junior"/>
  </r>
  <r>
    <n v="67260"/>
    <x v="2"/>
    <s v="01229629"/>
    <x v="32"/>
    <d v="2026-04-23T00:00:00"/>
    <s v="IA1831"/>
    <s v="Veluru,Preethi"/>
    <n v="-346.81374159610095"/>
    <d v="2026-04-23T00:00:00"/>
    <n v="-10"/>
    <x v="2"/>
    <s v="Junior"/>
  </r>
  <r>
    <n v="68097"/>
    <x v="8"/>
    <s v="01230073"/>
    <x v="33"/>
    <d v="2026-06-08T00:00:00"/>
    <s v="IA1750"/>
    <s v="Sankarasubbu,RAMANATHAN"/>
    <n v="312.13236743649082"/>
    <d v="2026-06-08T00:00:00"/>
    <n v="9"/>
    <x v="11"/>
    <s v="Developer"/>
  </r>
  <r>
    <n v="67260"/>
    <x v="2"/>
    <s v="01229629"/>
    <x v="32"/>
    <d v="2026-04-23T00:00:00"/>
    <s v="IA1771"/>
    <s v="anandanshanmugam,kamesh"/>
    <n v="138.72549663844038"/>
    <d v="2026-04-23T00:00:00"/>
    <n v="4"/>
    <x v="2"/>
    <s v="Junior"/>
  </r>
  <r>
    <n v="67260"/>
    <x v="2"/>
    <s v="01229629"/>
    <x v="32"/>
    <d v="2026-04-23T00:00:00"/>
    <s v="IA1831"/>
    <s v="Veluru,Preethi"/>
    <n v="346.81374159610095"/>
    <d v="2026-04-23T00:00:00"/>
    <n v="10"/>
    <x v="2"/>
    <s v="Junior"/>
  </r>
  <r>
    <n v="68097"/>
    <x v="8"/>
    <s v="01230073"/>
    <x v="33"/>
    <d v="2026-06-09T00:00:00"/>
    <s v="IA1750"/>
    <s v="Sankarasubbu,RAMANATHAN"/>
    <n v="312.13236743649082"/>
    <d v="2026-06-09T00:00:00"/>
    <n v="9"/>
    <x v="11"/>
    <s v="Developer"/>
  </r>
  <r>
    <n v="68097"/>
    <x v="8"/>
    <s v="01230073"/>
    <x v="33"/>
    <d v="2026-06-10T00:00:00"/>
    <s v="IA1750"/>
    <s v="Sankarasubbu,RAMANATHAN"/>
    <n v="312.13236743649082"/>
    <d v="2026-06-10T00:00:00"/>
    <n v="9"/>
    <x v="11"/>
    <s v="Developer"/>
  </r>
  <r>
    <n v="67260"/>
    <x v="2"/>
    <s v="01229629"/>
    <x v="32"/>
    <d v="2026-04-24T00:00:00"/>
    <s v="IA1771"/>
    <s v="anandanshanmugam,kamesh"/>
    <n v="-138.72549663844038"/>
    <d v="2026-04-24T00:00:00"/>
    <n v="-4"/>
    <x v="2"/>
    <s v="Junior"/>
  </r>
  <r>
    <n v="67260"/>
    <x v="2"/>
    <s v="01229629"/>
    <x v="32"/>
    <d v="2026-04-24T00:00:00"/>
    <s v="IA1831"/>
    <s v="Veluru,Preethi"/>
    <n v="-346.81374159610095"/>
    <d v="2026-04-24T00:00:00"/>
    <n v="-10"/>
    <x v="2"/>
    <s v="Junior"/>
  </r>
  <r>
    <n v="68097"/>
    <x v="8"/>
    <s v="01230073"/>
    <x v="33"/>
    <d v="2026-06-11T00:00:00"/>
    <s v="IA1750"/>
    <s v="Sankarasubbu,RAMANATHAN"/>
    <n v="312.13236743649082"/>
    <d v="2026-06-11T00:00:00"/>
    <n v="9"/>
    <x v="11"/>
    <s v="Developer"/>
  </r>
  <r>
    <n v="68097"/>
    <x v="8"/>
    <s v="01230073"/>
    <x v="33"/>
    <d v="2026-06-12T00:00:00"/>
    <s v="IA1750"/>
    <s v="Sankarasubbu,RAMANATHAN"/>
    <n v="312.13236743649082"/>
    <d v="2026-06-12T00:00:00"/>
    <n v="9"/>
    <x v="11"/>
    <s v="Developer"/>
  </r>
  <r>
    <n v="67260"/>
    <x v="2"/>
    <s v="01229629"/>
    <x v="32"/>
    <d v="2026-04-24T00:00:00"/>
    <s v="IA1771"/>
    <s v="anandanshanmugam,kamesh"/>
    <n v="138.72549663844038"/>
    <d v="2026-04-24T00:00:00"/>
    <n v="4"/>
    <x v="2"/>
    <s v="Junior"/>
  </r>
  <r>
    <n v="67260"/>
    <x v="2"/>
    <s v="01229629"/>
    <x v="32"/>
    <d v="2026-04-24T00:00:00"/>
    <s v="IA1831"/>
    <s v="Veluru,Preethi"/>
    <n v="346.81374159610095"/>
    <d v="2026-04-24T00:00:00"/>
    <n v="10"/>
    <x v="2"/>
    <s v="Junior"/>
  </r>
  <r>
    <n v="67260"/>
    <x v="2"/>
    <s v="01229629"/>
    <x v="32"/>
    <d v="2026-04-27T00:00:00"/>
    <s v="IA1831"/>
    <s v="Veluru,Preethi"/>
    <n v="277.45099327688075"/>
    <d v="2026-04-27T00:00:00"/>
    <n v="8"/>
    <x v="2"/>
    <s v="Junior"/>
  </r>
  <r>
    <n v="67260"/>
    <x v="2"/>
    <s v="01229629"/>
    <x v="32"/>
    <d v="2026-04-27T00:00:00"/>
    <s v="IA1771"/>
    <s v="anandanshanmugam,kamesh"/>
    <n v="277.45099327688075"/>
    <d v="2026-04-27T00:00:00"/>
    <n v="8"/>
    <x v="2"/>
    <s v="Junior"/>
  </r>
  <r>
    <n v="67260"/>
    <x v="2"/>
    <s v="01229629"/>
    <x v="32"/>
    <d v="2026-04-28T00:00:00"/>
    <s v="IA1771"/>
    <s v="anandanshanmugam,kamesh"/>
    <n v="277.45099327688075"/>
    <d v="2026-04-28T00:00:00"/>
    <n v="8"/>
    <x v="2"/>
    <s v="Junior"/>
  </r>
  <r>
    <n v="67260"/>
    <x v="2"/>
    <s v="01229629"/>
    <x v="32"/>
    <d v="2026-04-28T00:00:00"/>
    <s v="IA1831"/>
    <s v="Veluru,Preethi"/>
    <n v="277.45099327688075"/>
    <d v="2026-04-28T00:00:00"/>
    <n v="8"/>
    <x v="2"/>
    <s v="Junior"/>
  </r>
  <r>
    <n v="67260"/>
    <x v="2"/>
    <s v="01229629"/>
    <x v="32"/>
    <d v="2026-04-29T00:00:00"/>
    <s v="IA1771"/>
    <s v="anandanshanmugam,kamesh"/>
    <n v="277.45099327688075"/>
    <d v="2026-04-29T00:00:00"/>
    <n v="8"/>
    <x v="2"/>
    <s v="Junior"/>
  </r>
  <r>
    <n v="67260"/>
    <x v="2"/>
    <s v="01229629"/>
    <x v="32"/>
    <d v="2026-04-29T00:00:00"/>
    <s v="IA1831"/>
    <s v="Veluru,Preethi"/>
    <n v="277.45099327688075"/>
    <d v="2026-04-29T00:00:00"/>
    <n v="8"/>
    <x v="2"/>
    <s v="Junior"/>
  </r>
  <r>
    <n v="67260"/>
    <x v="2"/>
    <s v="01229629"/>
    <x v="32"/>
    <d v="2026-04-30T00:00:00"/>
    <s v="IA1771"/>
    <s v="anandanshanmugam,kamesh"/>
    <n v="277.45099327688075"/>
    <d v="2026-04-30T00:00:00"/>
    <n v="8"/>
    <x v="2"/>
    <s v="Junior"/>
  </r>
  <r>
    <n v="67260"/>
    <x v="2"/>
    <s v="01229629"/>
    <x v="32"/>
    <d v="2026-04-30T00:00:00"/>
    <s v="IA1831"/>
    <s v="Veluru,Preethi"/>
    <n v="277.45099327688075"/>
    <d v="2026-04-30T00:00:00"/>
    <n v="8"/>
    <x v="2"/>
    <s v="Junior"/>
  </r>
  <r>
    <n v="67260"/>
    <x v="2"/>
    <s v="01229629"/>
    <x v="32"/>
    <d v="2026-05-01T00:00:00"/>
    <s v="IA1771"/>
    <s v="anandanshanmugam,kamesh"/>
    <n v="277.45099327688075"/>
    <d v="2026-05-01T00:00:00"/>
    <n v="8"/>
    <x v="10"/>
    <s v="Junior"/>
  </r>
  <r>
    <n v="67260"/>
    <x v="2"/>
    <s v="01235469"/>
    <x v="37"/>
    <d v="2026-04-28T00:00:00"/>
    <s v="IA1378"/>
    <s v="Vasanthakumar,Shashikiran"/>
    <n v="69.362748319220188"/>
    <d v="2026-04-28T00:00:00"/>
    <n v="2"/>
    <x v="2"/>
    <s v="Engg Manager"/>
  </r>
  <r>
    <n v="67260"/>
    <x v="2"/>
    <s v="01235469"/>
    <x v="37"/>
    <d v="2026-04-29T00:00:00"/>
    <s v="IA1746"/>
    <s v="Anand,Aditi"/>
    <n v="277.45099327688075"/>
    <d v="2026-04-29T00:00:00"/>
    <n v="8"/>
    <x v="2"/>
    <s v="Developer"/>
  </r>
  <r>
    <n v="67260"/>
    <x v="2"/>
    <s v="01235469"/>
    <x v="37"/>
    <d v="2026-04-30T00:00:00"/>
    <s v="IA1746"/>
    <s v="Anand,Aditi"/>
    <n v="69.362748319220188"/>
    <d v="2026-04-30T00:00:00"/>
    <n v="2"/>
    <x v="2"/>
    <s v="Developer"/>
  </r>
  <r>
    <n v="67260"/>
    <x v="2"/>
    <s v="01235469"/>
    <x v="37"/>
    <d v="2026-04-30T00:00:00"/>
    <s v="IA1378"/>
    <s v="Vasanthakumar,Shashikiran"/>
    <n v="69.362748319220188"/>
    <d v="2026-04-30T00:00:00"/>
    <n v="2"/>
    <x v="2"/>
    <s v="Engg Manager"/>
  </r>
  <r>
    <n v="67260"/>
    <x v="2"/>
    <s v="01235469"/>
    <x v="37"/>
    <d v="2026-05-04T00:00:00"/>
    <s v="IA1806"/>
    <s v="Chakravarthy,Deepak"/>
    <n v="277.45099327688075"/>
    <d v="2026-05-04T00:00:00"/>
    <n v="8"/>
    <x v="10"/>
    <s v="Developer"/>
  </r>
  <r>
    <n v="67260"/>
    <x v="2"/>
    <s v="01235469"/>
    <x v="37"/>
    <d v="2026-05-04T00:00:00"/>
    <n v="6319"/>
    <s v="Ramaraja,Ashok"/>
    <n v="69.362748319220188"/>
    <d v="2026-05-04T00:00:00"/>
    <n v="2"/>
    <x v="10"/>
    <s v="Engg Manager"/>
  </r>
  <r>
    <n v="67260"/>
    <x v="2"/>
    <s v="01235469"/>
    <x v="37"/>
    <d v="2026-05-04T00:00:00"/>
    <n v="6723"/>
    <s v="Rengaswamy,Nagarajan"/>
    <n v="69.362748319220188"/>
    <d v="2026-05-04T00:00:00"/>
    <n v="2"/>
    <x v="10"/>
    <s v="Lead Developer"/>
  </r>
  <r>
    <n v="67260"/>
    <x v="2"/>
    <s v="01235469"/>
    <x v="37"/>
    <d v="2026-05-05T00:00:00"/>
    <n v="6723"/>
    <s v="Rengaswamy,Nagarajan"/>
    <n v="277.45099327688075"/>
    <d v="2026-05-05T00:00:00"/>
    <n v="8"/>
    <x v="10"/>
    <s v="Lead Developer"/>
  </r>
  <r>
    <n v="67260"/>
    <x v="2"/>
    <s v="01235469"/>
    <x v="37"/>
    <d v="2026-05-05T00:00:00"/>
    <s v="IA1378"/>
    <s v="Vasanthakumar,Shashikiran"/>
    <n v="69.362748319220188"/>
    <d v="2026-05-05T00:00:00"/>
    <n v="2"/>
    <x v="10"/>
    <s v="Engg Manager"/>
  </r>
  <r>
    <n v="67260"/>
    <x v="2"/>
    <s v="01235469"/>
    <x v="37"/>
    <d v="2026-05-05T00:00:00"/>
    <s v="IA1619"/>
    <s v="Sathiyaseelan,Paul Prasanth"/>
    <n v="208.08824495766055"/>
    <d v="2026-05-05T00:00:00"/>
    <n v="6"/>
    <x v="10"/>
    <s v="Developer"/>
  </r>
  <r>
    <n v="67260"/>
    <x v="2"/>
    <s v="01235469"/>
    <x v="37"/>
    <d v="2026-05-06T00:00:00"/>
    <s v="IA1619"/>
    <s v="Sathiyaseelan,Paul Prasanth"/>
    <n v="208.08824495766055"/>
    <d v="2026-05-06T00:00:00"/>
    <n v="6"/>
    <x v="10"/>
    <s v="Developer"/>
  </r>
  <r>
    <n v="67260"/>
    <x v="2"/>
    <s v="01235469"/>
    <x v="37"/>
    <d v="2026-05-07T00:00:00"/>
    <s v="IA1619"/>
    <s v="Sathiyaseelan,Paul Prasanth"/>
    <n v="208.08824495766055"/>
    <d v="2026-05-07T00:00:00"/>
    <n v="6"/>
    <x v="10"/>
    <s v="Developer"/>
  </r>
  <r>
    <n v="67260"/>
    <x v="2"/>
    <s v="01235469"/>
    <x v="37"/>
    <d v="2026-05-07T00:00:00"/>
    <n v="6994"/>
    <s v="Venugopal,Ganesh"/>
    <n v="138.72549663844038"/>
    <d v="2026-05-07T00:00:00"/>
    <n v="4"/>
    <x v="10"/>
    <s v="Lead Developer"/>
  </r>
  <r>
    <n v="67260"/>
    <x v="2"/>
    <s v="01235469"/>
    <x v="37"/>
    <d v="2026-05-07T00:00:00"/>
    <s v="IA1378"/>
    <s v="Vasanthakumar,Shashikiran"/>
    <n v="69.362748319220188"/>
    <d v="2026-05-07T00:00:00"/>
    <n v="2"/>
    <x v="10"/>
    <s v="Engg Manager"/>
  </r>
  <r>
    <n v="67260"/>
    <x v="2"/>
    <s v="01235469"/>
    <x v="37"/>
    <d v="2026-05-08T00:00:00"/>
    <s v="IA1619"/>
    <s v="Sathiyaseelan,Paul Prasanth"/>
    <n v="208.08824495766055"/>
    <d v="2026-05-08T00:00:00"/>
    <n v="6"/>
    <x v="10"/>
    <s v="Developer"/>
  </r>
  <r>
    <n v="67260"/>
    <x v="2"/>
    <s v="01235469"/>
    <x v="37"/>
    <d v="2026-05-08T00:00:00"/>
    <n v="6994"/>
    <s v="Venugopal,Ganesh"/>
    <n v="69.362748319220188"/>
    <d v="2026-05-08T00:00:00"/>
    <n v="2"/>
    <x v="10"/>
    <s v="Lead Developer"/>
  </r>
  <r>
    <n v="67260"/>
    <x v="2"/>
    <s v="01235469"/>
    <x v="37"/>
    <d v="2026-05-08T00:00:00"/>
    <n v="6319"/>
    <s v="Ramaraja,Ashok"/>
    <n v="277.45099327688075"/>
    <d v="2026-05-08T00:00:00"/>
    <n v="8"/>
    <x v="10"/>
    <s v="Engg Manager"/>
  </r>
  <r>
    <n v="67260"/>
    <x v="2"/>
    <s v="01235469"/>
    <x v="37"/>
    <d v="2026-05-11T00:00:00"/>
    <s v="IA1809"/>
    <s v="Marimuthu,Rajakumaran"/>
    <n v="277.45099327688075"/>
    <d v="2026-05-11T00:00:00"/>
    <n v="8"/>
    <x v="10"/>
    <s v="Platform Operations"/>
  </r>
  <r>
    <n v="67260"/>
    <x v="2"/>
    <s v="01235469"/>
    <x v="37"/>
    <d v="2026-05-11T00:00:00"/>
    <s v="IA1378"/>
    <s v="Vasanthakumar,Shashikiran"/>
    <n v="104.04412247883027"/>
    <d v="2026-05-11T00:00:00"/>
    <n v="3"/>
    <x v="10"/>
    <s v="Engg Manager"/>
  </r>
  <r>
    <n v="67260"/>
    <x v="2"/>
    <s v="01235469"/>
    <x v="37"/>
    <d v="2026-05-12T00:00:00"/>
    <s v="IA1809"/>
    <s v="Marimuthu,Rajakumaran"/>
    <n v="277.45099327688075"/>
    <d v="2026-05-12T00:00:00"/>
    <n v="8"/>
    <x v="10"/>
    <s v="Platform Operations"/>
  </r>
  <r>
    <n v="67260"/>
    <x v="2"/>
    <s v="01235469"/>
    <x v="37"/>
    <d v="2026-05-12T00:00:00"/>
    <s v="IA1378"/>
    <s v="Vasanthakumar,Shashikiran"/>
    <n v="69.362748319220188"/>
    <d v="2026-05-12T00:00:00"/>
    <n v="2"/>
    <x v="10"/>
    <s v="Engg Manager"/>
  </r>
  <r>
    <n v="67260"/>
    <x v="2"/>
    <s v="01235469"/>
    <x v="37"/>
    <d v="2026-05-13T00:00:00"/>
    <s v="IA1809"/>
    <s v="Marimuthu,Rajakumaran"/>
    <n v="104.04412247883027"/>
    <d v="2026-05-13T00:00:00"/>
    <n v="3"/>
    <x v="10"/>
    <s v="Platform Operations"/>
  </r>
  <r>
    <n v="67260"/>
    <x v="2"/>
    <s v="01235469"/>
    <x v="37"/>
    <d v="2026-05-14T00:00:00"/>
    <s v="IA1809"/>
    <s v="Marimuthu,Rajakumaran"/>
    <n v="277.45099327688075"/>
    <d v="2026-05-14T00:00:00"/>
    <n v="8"/>
    <x v="10"/>
    <s v="Platform Operations"/>
  </r>
  <r>
    <n v="67260"/>
    <x v="2"/>
    <s v="01235469"/>
    <x v="37"/>
    <d v="2026-05-14T00:00:00"/>
    <s v="IA1378"/>
    <s v="Vasanthakumar,Shashikiran"/>
    <n v="104.04412247883027"/>
    <d v="2026-05-14T00:00:00"/>
    <n v="3"/>
    <x v="10"/>
    <s v="Engg Manager"/>
  </r>
  <r>
    <n v="67260"/>
    <x v="2"/>
    <s v="01235469"/>
    <x v="37"/>
    <d v="2026-05-14T00:00:00"/>
    <s v="IA1806"/>
    <s v="Chakravarthy,Deepak"/>
    <n v="277.45099327688075"/>
    <d v="2026-05-14T00:00:00"/>
    <n v="8"/>
    <x v="10"/>
    <s v="Developer"/>
  </r>
  <r>
    <n v="67260"/>
    <x v="2"/>
    <s v="01235469"/>
    <x v="37"/>
    <d v="2026-05-15T00:00:00"/>
    <s v="IA1806"/>
    <s v="Chakravarthy,Deepak"/>
    <n v="277.45099327688075"/>
    <d v="2026-05-15T00:00:00"/>
    <n v="8"/>
    <x v="10"/>
    <s v="Developer"/>
  </r>
  <r>
    <n v="67260"/>
    <x v="2"/>
    <s v="01235469"/>
    <x v="37"/>
    <d v="2026-05-18T00:00:00"/>
    <s v="IA1806"/>
    <s v="Chakravarthy,Deepak"/>
    <n v="277.45099327688075"/>
    <d v="2026-05-18T00:00:00"/>
    <n v="8"/>
    <x v="10"/>
    <s v="Developer"/>
  </r>
  <r>
    <n v="67260"/>
    <x v="2"/>
    <s v="01235469"/>
    <x v="37"/>
    <d v="2026-05-19T00:00:00"/>
    <s v="IA1806"/>
    <s v="Chakravarthy,Deepak"/>
    <n v="277.45099327688075"/>
    <d v="2026-05-19T00:00:00"/>
    <n v="8"/>
    <x v="10"/>
    <s v="Developer"/>
  </r>
  <r>
    <n v="67260"/>
    <x v="2"/>
    <s v="01235469"/>
    <x v="37"/>
    <d v="2026-06-01T00:00:00"/>
    <s v="IA1378"/>
    <s v="Vasanthakumar,Shashikiran"/>
    <n v="34.681374159610094"/>
    <d v="2026-06-01T00:00:00"/>
    <n v="1"/>
    <x v="11"/>
    <s v="Engg Manager"/>
  </r>
  <r>
    <n v="67260"/>
    <x v="2"/>
    <s v="01235469"/>
    <x v="37"/>
    <d v="2026-06-02T00:00:00"/>
    <s v="IA1378"/>
    <s v="Vasanthakumar,Shashikiran"/>
    <n v="34.681374159610094"/>
    <d v="2026-06-02T00:00:00"/>
    <n v="1"/>
    <x v="11"/>
    <s v="Engg Manager"/>
  </r>
  <r>
    <n v="67260"/>
    <x v="2"/>
    <s v="01235469"/>
    <x v="37"/>
    <d v="2026-06-03T00:00:00"/>
    <s v="IA1378"/>
    <s v="Vasanthakumar,Shashikiran"/>
    <n v="34.681374159610094"/>
    <d v="2026-06-03T00:00:00"/>
    <n v="1"/>
    <x v="11"/>
    <s v="Engg Manager"/>
  </r>
  <r>
    <n v="67260"/>
    <x v="2"/>
    <s v="01235469"/>
    <x v="37"/>
    <d v="2026-06-09T00:00:00"/>
    <n v="6994"/>
    <s v="Venugopal,Ganesh"/>
    <n v="138.72549663844038"/>
    <d v="2026-06-09T00:00:00"/>
    <n v="4"/>
    <x v="11"/>
    <s v="Lead Developer"/>
  </r>
  <r>
    <n v="67260"/>
    <x v="2"/>
    <s v="01235469"/>
    <x v="37"/>
    <d v="2026-06-10T00:00:00"/>
    <n v="6994"/>
    <s v="Venugopal,Ganesh"/>
    <n v="173.40687079805048"/>
    <d v="2026-06-10T00:00:00"/>
    <n v="5"/>
    <x v="11"/>
    <s v="Lead Developer"/>
  </r>
  <r>
    <n v="67260"/>
    <x v="2"/>
    <s v="01235469"/>
    <x v="37"/>
    <d v="2026-06-11T00:00:00"/>
    <n v="6994"/>
    <s v="Venugopal,Ganesh"/>
    <n v="34.681374159610094"/>
    <d v="2026-06-11T00:00:00"/>
    <n v="1"/>
    <x v="11"/>
    <s v="Lead Developer"/>
  </r>
  <r>
    <m/>
    <x v="9"/>
    <m/>
    <x v="38"/>
    <m/>
    <m/>
    <m/>
    <m/>
    <m/>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0E02A-F170-4B5F-A3FC-F357AAD3F0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48" firstHeaderRow="1" firstDataRow="2" firstDataCol="1"/>
  <pivotFields count="12">
    <pivotField showAll="0"/>
    <pivotField axis="axisRow" showAll="0">
      <items count="11">
        <item sd="0" x="3"/>
        <item x="1"/>
        <item x="4"/>
        <item x="5"/>
        <item x="6"/>
        <item sd="0" x="8"/>
        <item x="0"/>
        <item x="2"/>
        <item sd="0" x="7"/>
        <item x="9"/>
        <item t="default"/>
      </items>
    </pivotField>
    <pivotField showAll="0"/>
    <pivotField axis="axisRow" showAll="0">
      <items count="50">
        <item x="29"/>
        <item x="13"/>
        <item x="9"/>
        <item x="6"/>
        <item x="5"/>
        <item x="8"/>
        <item x="17"/>
        <item x="31"/>
        <item x="16"/>
        <item x="24"/>
        <item x="20"/>
        <item x="37"/>
        <item x="3"/>
        <item x="23"/>
        <item x="26"/>
        <item x="22"/>
        <item x="1"/>
        <item x="18"/>
        <item x="33"/>
        <item m="1" x="47"/>
        <item m="1" x="45"/>
        <item m="1" x="48"/>
        <item m="1" x="46"/>
        <item x="11"/>
        <item x="25"/>
        <item x="7"/>
        <item x="35"/>
        <item x="2"/>
        <item x="36"/>
        <item m="1" x="39"/>
        <item m="1" x="43"/>
        <item m="1" x="41"/>
        <item m="1" x="44"/>
        <item x="27"/>
        <item m="1" x="42"/>
        <item m="1" x="40"/>
        <item x="12"/>
        <item x="34"/>
        <item x="15"/>
        <item x="14"/>
        <item x="30"/>
        <item x="21"/>
        <item x="28"/>
        <item x="10"/>
        <item x="0"/>
        <item x="32"/>
        <item x="38"/>
        <item x="4"/>
        <item x="19"/>
        <item t="default"/>
      </items>
    </pivotField>
    <pivotField showAll="0"/>
    <pivotField showAll="0"/>
    <pivotField showAll="0"/>
    <pivotField dataField="1" showAll="0"/>
    <pivotField showAll="0"/>
    <pivotField showAll="0"/>
    <pivotField axis="axisCol" showAll="0">
      <items count="26">
        <item m="1" x="16"/>
        <item m="1" x="17"/>
        <item m="1" x="18"/>
        <item m="1" x="19"/>
        <item m="1" x="20"/>
        <item m="1" x="21"/>
        <item m="1" x="22"/>
        <item m="1" x="13"/>
        <item m="1" x="14"/>
        <item m="1" x="15"/>
        <item m="1" x="23"/>
        <item m="1" x="24"/>
        <item x="12"/>
        <item x="0"/>
        <item x="1"/>
        <item x="2"/>
        <item x="3"/>
        <item x="4"/>
        <item x="5"/>
        <item x="6"/>
        <item x="7"/>
        <item x="8"/>
        <item x="9"/>
        <item x="10"/>
        <item x="11"/>
        <item t="default"/>
      </items>
    </pivotField>
    <pivotField showAll="0"/>
  </pivotFields>
  <rowFields count="2">
    <field x="1"/>
    <field x="3"/>
  </rowFields>
  <rowItems count="44">
    <i>
      <x/>
    </i>
    <i>
      <x v="1"/>
    </i>
    <i r="1">
      <x v="2"/>
    </i>
    <i r="1">
      <x v="5"/>
    </i>
    <i r="1">
      <x v="16"/>
    </i>
    <i r="1">
      <x v="25"/>
    </i>
    <i r="1">
      <x v="27"/>
    </i>
    <i r="1">
      <x v="43"/>
    </i>
    <i>
      <x v="2"/>
    </i>
    <i r="1">
      <x v="9"/>
    </i>
    <i r="1">
      <x v="23"/>
    </i>
    <i r="1">
      <x v="24"/>
    </i>
    <i r="1">
      <x v="33"/>
    </i>
    <i r="1">
      <x v="36"/>
    </i>
    <i r="1">
      <x v="39"/>
    </i>
    <i>
      <x v="3"/>
    </i>
    <i r="1">
      <x/>
    </i>
    <i r="1">
      <x v="1"/>
    </i>
    <i r="1">
      <x v="6"/>
    </i>
    <i r="1">
      <x v="48"/>
    </i>
    <i>
      <x v="4"/>
    </i>
    <i r="1">
      <x v="7"/>
    </i>
    <i r="1">
      <x v="10"/>
    </i>
    <i r="1">
      <x v="14"/>
    </i>
    <i r="1">
      <x v="41"/>
    </i>
    <i>
      <x v="5"/>
    </i>
    <i>
      <x v="6"/>
    </i>
    <i r="1">
      <x v="8"/>
    </i>
    <i r="1">
      <x v="12"/>
    </i>
    <i r="1">
      <x v="13"/>
    </i>
    <i r="1">
      <x v="26"/>
    </i>
    <i r="1">
      <x v="38"/>
    </i>
    <i r="1">
      <x v="40"/>
    </i>
    <i r="1">
      <x v="42"/>
    </i>
    <i r="1">
      <x v="44"/>
    </i>
    <i>
      <x v="7"/>
    </i>
    <i r="1">
      <x v="11"/>
    </i>
    <i r="1">
      <x v="17"/>
    </i>
    <i r="1">
      <x v="45"/>
    </i>
    <i r="1">
      <x v="47"/>
    </i>
    <i>
      <x v="8"/>
    </i>
    <i>
      <x v="9"/>
    </i>
    <i r="1">
      <x v="46"/>
    </i>
    <i t="grand">
      <x/>
    </i>
  </rowItems>
  <colFields count="1">
    <field x="10"/>
  </colFields>
  <colItems count="14">
    <i>
      <x v="12"/>
    </i>
    <i>
      <x v="13"/>
    </i>
    <i>
      <x v="14"/>
    </i>
    <i>
      <x v="15"/>
    </i>
    <i>
      <x v="16"/>
    </i>
    <i>
      <x v="17"/>
    </i>
    <i>
      <x v="18"/>
    </i>
    <i>
      <x v="19"/>
    </i>
    <i>
      <x v="20"/>
    </i>
    <i>
      <x v="21"/>
    </i>
    <i>
      <x v="22"/>
    </i>
    <i>
      <x v="23"/>
    </i>
    <i>
      <x v="24"/>
    </i>
    <i t="grand">
      <x/>
    </i>
  </colItems>
  <dataFields count="1">
    <dataField name="Sum of Amount" fld="7" baseField="3" baseItem="9"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24058-8DF8-4592-A2D9-CAA3406101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pivotFields count="8">
    <pivotField showAll="0"/>
    <pivotField showAll="0"/>
    <pivotField showAll="0"/>
    <pivotField showAll="0"/>
    <pivotField axis="axisRow" showAll="0">
      <items count="7">
        <item x="0"/>
        <item x="3"/>
        <item sd="0" x="4"/>
        <item sd="0" x="1"/>
        <item sd="0" x="5"/>
        <item x="2"/>
        <item t="default" sd="0"/>
      </items>
    </pivotField>
    <pivotField dataField="1" showAll="0"/>
    <pivotField axis="axisRow" showAll="0">
      <items count="55">
        <item x="29"/>
        <item m="1" x="52"/>
        <item x="21"/>
        <item x="24"/>
        <item m="1" x="33"/>
        <item m="1" x="50"/>
        <item x="28"/>
        <item m="1" x="47"/>
        <item m="1" x="45"/>
        <item m="1" x="51"/>
        <item m="1" x="34"/>
        <item m="1" x="53"/>
        <item x="25"/>
        <item m="1" x="42"/>
        <item x="22"/>
        <item m="1" x="44"/>
        <item m="1" x="43"/>
        <item m="1" x="38"/>
        <item m="1" x="49"/>
        <item m="1" x="37"/>
        <item x="30"/>
        <item x="27"/>
        <item m="1" x="35"/>
        <item x="26"/>
        <item x="23"/>
        <item m="1" x="36"/>
        <item x="32"/>
        <item m="1" x="41"/>
        <item m="1" x="40"/>
        <item m="1" x="48"/>
        <item m="1" x="46"/>
        <item m="1" x="39"/>
        <item x="31"/>
        <item x="0"/>
        <item x="1"/>
        <item x="2"/>
        <item x="3"/>
        <item x="4"/>
        <item x="5"/>
        <item x="6"/>
        <item x="7"/>
        <item x="8"/>
        <item x="9"/>
        <item x="10"/>
        <item x="11"/>
        <item x="12"/>
        <item x="13"/>
        <item x="14"/>
        <item x="15"/>
        <item x="16"/>
        <item x="17"/>
        <item x="18"/>
        <item x="19"/>
        <item x="20"/>
        <item t="default"/>
      </items>
    </pivotField>
    <pivotField showAll="0"/>
  </pivotFields>
  <rowFields count="2">
    <field x="4"/>
    <field x="6"/>
  </rowFields>
  <rowItems count="36">
    <i>
      <x/>
    </i>
    <i r="1">
      <x/>
    </i>
    <i r="1">
      <x v="3"/>
    </i>
    <i r="1">
      <x v="12"/>
    </i>
    <i r="1">
      <x v="20"/>
    </i>
    <i r="1">
      <x v="23"/>
    </i>
    <i r="1">
      <x v="26"/>
    </i>
    <i r="1">
      <x v="33"/>
    </i>
    <i r="1">
      <x v="34"/>
    </i>
    <i r="1">
      <x v="35"/>
    </i>
    <i r="1">
      <x v="36"/>
    </i>
    <i r="1">
      <x v="37"/>
    </i>
    <i r="1">
      <x v="38"/>
    </i>
    <i r="1">
      <x v="39"/>
    </i>
    <i r="1">
      <x v="40"/>
    </i>
    <i r="1">
      <x v="41"/>
    </i>
    <i r="1">
      <x v="42"/>
    </i>
    <i r="1">
      <x v="51"/>
    </i>
    <i r="1">
      <x v="52"/>
    </i>
    <i>
      <x v="1"/>
    </i>
    <i r="1">
      <x v="2"/>
    </i>
    <i r="1">
      <x v="14"/>
    </i>
    <i r="1">
      <x v="24"/>
    </i>
    <i>
      <x v="2"/>
    </i>
    <i>
      <x v="3"/>
    </i>
    <i>
      <x v="4"/>
    </i>
    <i>
      <x v="5"/>
    </i>
    <i r="1">
      <x v="44"/>
    </i>
    <i r="1">
      <x v="45"/>
    </i>
    <i r="1">
      <x v="46"/>
    </i>
    <i r="1">
      <x v="47"/>
    </i>
    <i r="1">
      <x v="48"/>
    </i>
    <i r="1">
      <x v="49"/>
    </i>
    <i r="1">
      <x v="50"/>
    </i>
    <i r="1">
      <x v="53"/>
    </i>
    <i t="grand">
      <x/>
    </i>
  </rowItems>
  <colItems count="1">
    <i/>
  </colItems>
  <dataFields count="1">
    <dataField name="Sum of Hou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3" dT="2025-12-19T05:38:02.49" personId="{9FD05714-B6EF-4326-AF72-E4139CEA5B04}" id="{3408AA6A-7A2C-485F-8F71-7F1E1032120B}">
    <text>@Hemanth Kannan Release management u have already mentioned in row42, why do we need release management again?</text>
    <mentions>
      <mention mentionpersonId="{A536A141-DC82-4CCB-B33A-91DDA12C5F12}" mentionId="{F7419C0C-7686-4129-87CC-E1D095ABD2D1}" startIndex="0" length="15"/>
    </mentions>
  </threadedComment>
  <threadedComment ref="I49" dT="2025-12-19T05:34:34.82" personId="{9FD05714-B6EF-4326-AF72-E4139CEA5B04}" id="{AABD39DA-B2C1-4CFF-94D2-2A3E31F6C39D}">
    <text>@Hemanth Kannan This is very generic to me, and looks like this overlaps with other items already mentioned.</text>
    <mentions>
      <mention mentionpersonId="{A536A141-DC82-4CCB-B33A-91DDA12C5F12}" mentionId="{8EE4183A-BE16-460E-A733-076BEA1880DF}" startIndex="0" length="15"/>
    </mentions>
  </threadedComment>
  <threadedComment ref="I53" dT="2025-12-19T05:38:02.49" personId="{9FD05714-B6EF-4326-AF72-E4139CEA5B04}" id="{C8D3F55D-8C08-45A2-9DC0-18F5A4F2E572}">
    <text>@Hemanth Kannan Release management u have already mentioned in row42, why do we need release management again?</text>
    <mentions>
      <mention mentionpersonId="{A536A141-DC82-4CCB-B33A-91DDA12C5F12}" mentionId="{3F248B77-1D3D-41AE-B61A-1BB80FCCC7DD}" startIndex="0" length="15"/>
    </mentions>
  </threadedComment>
  <threadedComment ref="I54" dT="2025-12-19T05:39:35.68" personId="{9FD05714-B6EF-4326-AF72-E4139CEA5B04}" id="{2178FD00-BD5B-4BEC-BBE3-C58732C672AE}">
    <text>@Hemanth Kannan for the items included in core product budget for H2 do you really foresee 396 hrs for work package development? Note: I am creating Release Notes so you don’t need to consider that.</text>
    <mentions>
      <mention mentionpersonId="{A536A141-DC82-4CCB-B33A-91DDA12C5F12}" mentionId="{7C3D526F-D558-4509-8E90-5886F05DC48A}" startIndex="0" length="15"/>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F7AF-EAE4-4801-8225-2AFFCEFD51E5}">
  <dimension ref="A3:O48"/>
  <sheetViews>
    <sheetView workbookViewId="0">
      <selection activeCell="P10" sqref="P10"/>
    </sheetView>
  </sheetViews>
  <sheetFormatPr baseColWidth="10" defaultColWidth="8.83203125" defaultRowHeight="15" x14ac:dyDescent="0.2"/>
  <cols>
    <col min="1" max="1" width="35.83203125" bestFit="1" customWidth="1"/>
    <col min="2" max="2" width="15.6640625" bestFit="1" customWidth="1"/>
    <col min="3" max="14" width="5.83203125" bestFit="1" customWidth="1"/>
    <col min="15" max="15" width="10.6640625" bestFit="1" customWidth="1"/>
    <col min="16" max="16" width="15.5" bestFit="1" customWidth="1"/>
    <col min="17" max="17" width="14.83203125" bestFit="1" customWidth="1"/>
    <col min="18" max="18" width="15.5" bestFit="1" customWidth="1"/>
    <col min="19" max="19" width="14.83203125" bestFit="1" customWidth="1"/>
    <col min="20" max="20" width="15.5" bestFit="1" customWidth="1"/>
    <col min="21" max="21" width="14.83203125" bestFit="1" customWidth="1"/>
    <col min="22" max="22" width="15.5" bestFit="1" customWidth="1"/>
    <col min="23" max="23" width="14.83203125" bestFit="1" customWidth="1"/>
    <col min="24" max="24" width="15.5" bestFit="1" customWidth="1"/>
    <col min="25" max="25" width="14.83203125" bestFit="1" customWidth="1"/>
    <col min="26" max="26" width="15.5" bestFit="1" customWidth="1"/>
    <col min="27" max="27" width="14.83203125" bestFit="1" customWidth="1"/>
    <col min="28" max="28" width="20.5" bestFit="1" customWidth="1"/>
    <col min="29" max="29" width="19.83203125" bestFit="1" customWidth="1"/>
  </cols>
  <sheetData>
    <row r="3" spans="1:15" x14ac:dyDescent="0.2">
      <c r="A3" s="57" t="s">
        <v>505</v>
      </c>
      <c r="B3" s="57" t="s">
        <v>504</v>
      </c>
    </row>
    <row r="4" spans="1:15" x14ac:dyDescent="0.2">
      <c r="A4" s="57" t="s">
        <v>289</v>
      </c>
      <c r="B4" t="s">
        <v>503</v>
      </c>
      <c r="C4" t="s">
        <v>508</v>
      </c>
      <c r="D4" t="s">
        <v>509</v>
      </c>
      <c r="E4" t="s">
        <v>510</v>
      </c>
      <c r="F4" t="s">
        <v>511</v>
      </c>
      <c r="G4" t="s">
        <v>288</v>
      </c>
      <c r="H4" t="s">
        <v>512</v>
      </c>
      <c r="I4" t="s">
        <v>513</v>
      </c>
      <c r="J4" t="s">
        <v>514</v>
      </c>
      <c r="K4" t="s">
        <v>515</v>
      </c>
      <c r="L4" t="s">
        <v>516</v>
      </c>
      <c r="M4" t="s">
        <v>517</v>
      </c>
      <c r="N4" t="s">
        <v>518</v>
      </c>
      <c r="O4" t="s">
        <v>291</v>
      </c>
    </row>
    <row r="5" spans="1:15" x14ac:dyDescent="0.2">
      <c r="A5" s="1" t="s">
        <v>425</v>
      </c>
      <c r="B5" s="75"/>
      <c r="C5" s="75">
        <v>2722.4878715293917</v>
      </c>
      <c r="D5" s="75">
        <v>2566.4216878111483</v>
      </c>
      <c r="E5" s="75">
        <v>2531.7403136515363</v>
      </c>
      <c r="F5" s="75">
        <v>728.30885735181175</v>
      </c>
      <c r="G5" s="75">
        <v>225.42893203746564</v>
      </c>
      <c r="H5" s="75"/>
      <c r="I5" s="75">
        <v>364.15442867590599</v>
      </c>
      <c r="J5" s="75">
        <v>1196.507408506548</v>
      </c>
      <c r="K5" s="75">
        <v>589.58336071337158</v>
      </c>
      <c r="L5" s="75">
        <v>658.94610903259172</v>
      </c>
      <c r="M5" s="75">
        <v>2635.7844361303664</v>
      </c>
      <c r="N5" s="75">
        <v>693.62748319220191</v>
      </c>
      <c r="O5" s="75">
        <v>14912.990888632341</v>
      </c>
    </row>
    <row r="6" spans="1:15" x14ac:dyDescent="0.2">
      <c r="A6" s="1" t="s">
        <v>416</v>
      </c>
      <c r="B6" s="75"/>
      <c r="C6" s="75"/>
      <c r="D6" s="75"/>
      <c r="E6" s="75"/>
      <c r="F6" s="75">
        <v>7317.7699476777289</v>
      </c>
      <c r="G6" s="75"/>
      <c r="H6" s="75"/>
      <c r="I6" s="75"/>
      <c r="J6" s="75"/>
      <c r="K6" s="75"/>
      <c r="L6" s="75"/>
      <c r="M6" s="75"/>
      <c r="N6" s="75"/>
      <c r="O6" s="75">
        <v>7317.7699476777289</v>
      </c>
    </row>
    <row r="7" spans="1:15" x14ac:dyDescent="0.2">
      <c r="A7" s="58" t="s">
        <v>435</v>
      </c>
      <c r="B7" s="75"/>
      <c r="C7" s="75"/>
      <c r="D7" s="75"/>
      <c r="E7" s="75"/>
      <c r="F7" s="75">
        <v>624.26473487298165</v>
      </c>
      <c r="G7" s="75"/>
      <c r="H7" s="75"/>
      <c r="I7" s="75"/>
      <c r="J7" s="75"/>
      <c r="K7" s="75"/>
      <c r="L7" s="75"/>
      <c r="M7" s="75"/>
      <c r="N7" s="75"/>
      <c r="O7" s="75">
        <v>624.26473487298165</v>
      </c>
    </row>
    <row r="8" spans="1:15" x14ac:dyDescent="0.2">
      <c r="A8" s="58" t="s">
        <v>433</v>
      </c>
      <c r="B8" s="75"/>
      <c r="C8" s="75"/>
      <c r="D8" s="75"/>
      <c r="E8" s="75"/>
      <c r="F8" s="75">
        <v>485.53923823454124</v>
      </c>
      <c r="G8" s="75"/>
      <c r="H8" s="75"/>
      <c r="I8" s="75"/>
      <c r="J8" s="75"/>
      <c r="K8" s="75"/>
      <c r="L8" s="75"/>
      <c r="M8" s="75"/>
      <c r="N8" s="75"/>
      <c r="O8" s="75">
        <v>485.53923823454124</v>
      </c>
    </row>
    <row r="9" spans="1:15" x14ac:dyDescent="0.2">
      <c r="A9" s="58" t="s">
        <v>418</v>
      </c>
      <c r="B9" s="75"/>
      <c r="C9" s="75"/>
      <c r="D9" s="75"/>
      <c r="E9" s="75"/>
      <c r="F9" s="75">
        <v>2982.5981777264678</v>
      </c>
      <c r="G9" s="75"/>
      <c r="H9" s="75"/>
      <c r="I9" s="75"/>
      <c r="J9" s="75"/>
      <c r="K9" s="75"/>
      <c r="L9" s="75"/>
      <c r="M9" s="75"/>
      <c r="N9" s="75"/>
      <c r="O9" s="75">
        <v>2982.5981777264678</v>
      </c>
    </row>
    <row r="10" spans="1:15" x14ac:dyDescent="0.2">
      <c r="A10" s="58" t="s">
        <v>431</v>
      </c>
      <c r="B10" s="75"/>
      <c r="C10" s="75"/>
      <c r="D10" s="75"/>
      <c r="E10" s="75"/>
      <c r="F10" s="75">
        <v>381.49511575571103</v>
      </c>
      <c r="G10" s="75"/>
      <c r="H10" s="75"/>
      <c r="I10" s="75"/>
      <c r="J10" s="75"/>
      <c r="K10" s="75"/>
      <c r="L10" s="75"/>
      <c r="M10" s="75"/>
      <c r="N10" s="75"/>
      <c r="O10" s="75">
        <v>381.49511575571103</v>
      </c>
    </row>
    <row r="11" spans="1:15" x14ac:dyDescent="0.2">
      <c r="A11" s="58" t="s">
        <v>420</v>
      </c>
      <c r="B11" s="75"/>
      <c r="C11" s="75"/>
      <c r="D11" s="75"/>
      <c r="E11" s="75"/>
      <c r="F11" s="75">
        <v>2358.3334428534858</v>
      </c>
      <c r="G11" s="75"/>
      <c r="H11" s="75"/>
      <c r="I11" s="75"/>
      <c r="J11" s="75"/>
      <c r="K11" s="75"/>
      <c r="L11" s="75"/>
      <c r="M11" s="75"/>
      <c r="N11" s="75"/>
      <c r="O11" s="75">
        <v>2358.3334428534858</v>
      </c>
    </row>
    <row r="12" spans="1:15" x14ac:dyDescent="0.2">
      <c r="A12" s="58" t="s">
        <v>437</v>
      </c>
      <c r="B12" s="75"/>
      <c r="C12" s="75"/>
      <c r="D12" s="75"/>
      <c r="E12" s="75"/>
      <c r="F12" s="75">
        <v>485.53923823454124</v>
      </c>
      <c r="G12" s="75"/>
      <c r="H12" s="75"/>
      <c r="I12" s="75"/>
      <c r="J12" s="75"/>
      <c r="K12" s="75"/>
      <c r="L12" s="75"/>
      <c r="M12" s="75"/>
      <c r="N12" s="75"/>
      <c r="O12" s="75">
        <v>485.53923823454124</v>
      </c>
    </row>
    <row r="13" spans="1:15" x14ac:dyDescent="0.2">
      <c r="A13" s="1" t="s">
        <v>438</v>
      </c>
      <c r="B13" s="75"/>
      <c r="C13" s="75">
        <v>4820.7110081858036</v>
      </c>
      <c r="D13" s="75">
        <v>9988.2357579677046</v>
      </c>
      <c r="E13" s="75">
        <v>7109.6817027200677</v>
      </c>
      <c r="F13" s="75">
        <v>8358.2111724660335</v>
      </c>
      <c r="G13" s="75">
        <v>1456.6177147036242</v>
      </c>
      <c r="H13" s="75"/>
      <c r="I13" s="75">
        <v>624.26473487298165</v>
      </c>
      <c r="J13" s="75">
        <v>138.72549663844038</v>
      </c>
      <c r="K13" s="75"/>
      <c r="L13" s="75"/>
      <c r="M13" s="75">
        <v>8184.8043016679803</v>
      </c>
      <c r="N13" s="75"/>
      <c r="O13" s="75">
        <v>40681.251889222644</v>
      </c>
    </row>
    <row r="14" spans="1:15" x14ac:dyDescent="0.2">
      <c r="A14" s="58" t="s">
        <v>466</v>
      </c>
      <c r="B14" s="75"/>
      <c r="C14" s="75"/>
      <c r="D14" s="75"/>
      <c r="E14" s="75"/>
      <c r="F14" s="75">
        <v>624.26473487298165</v>
      </c>
      <c r="G14" s="75">
        <v>208.08824495766055</v>
      </c>
      <c r="H14" s="75"/>
      <c r="I14" s="75"/>
      <c r="J14" s="75"/>
      <c r="K14" s="75"/>
      <c r="L14" s="75"/>
      <c r="M14" s="75"/>
      <c r="N14" s="75"/>
      <c r="O14" s="75">
        <v>832.3529798306422</v>
      </c>
    </row>
    <row r="15" spans="1:15" x14ac:dyDescent="0.2">
      <c r="A15" s="58" t="s">
        <v>440</v>
      </c>
      <c r="B15" s="75"/>
      <c r="C15" s="75">
        <v>4751.3482598665832</v>
      </c>
      <c r="D15" s="75">
        <v>7491.1768184757784</v>
      </c>
      <c r="E15" s="75">
        <v>3572.1815384398387</v>
      </c>
      <c r="F15" s="75">
        <v>7733.9464375930511</v>
      </c>
      <c r="G15" s="75">
        <v>1248.5294697459635</v>
      </c>
      <c r="H15" s="75"/>
      <c r="I15" s="75"/>
      <c r="J15" s="75"/>
      <c r="K15" s="75"/>
      <c r="L15" s="75"/>
      <c r="M15" s="75">
        <v>2843.8726810880275</v>
      </c>
      <c r="N15" s="75"/>
      <c r="O15" s="75">
        <v>27641.055205209246</v>
      </c>
    </row>
    <row r="16" spans="1:15" x14ac:dyDescent="0.2">
      <c r="A16" s="58" t="s">
        <v>468</v>
      </c>
      <c r="B16" s="75"/>
      <c r="C16" s="75"/>
      <c r="D16" s="75">
        <v>1387.2549663844038</v>
      </c>
      <c r="E16" s="75">
        <v>693.62748319220191</v>
      </c>
      <c r="F16" s="75"/>
      <c r="G16" s="75"/>
      <c r="H16" s="75"/>
      <c r="I16" s="75">
        <v>624.26473487298165</v>
      </c>
      <c r="J16" s="75">
        <v>138.72549663844038</v>
      </c>
      <c r="K16" s="75"/>
      <c r="L16" s="75"/>
      <c r="M16" s="75"/>
      <c r="N16" s="75"/>
      <c r="O16" s="75">
        <v>2843.8726810880275</v>
      </c>
    </row>
    <row r="17" spans="1:15" x14ac:dyDescent="0.2">
      <c r="A17" s="58" t="s">
        <v>472</v>
      </c>
      <c r="B17" s="75"/>
      <c r="C17" s="75">
        <v>69.362748319220188</v>
      </c>
      <c r="D17" s="75"/>
      <c r="E17" s="75"/>
      <c r="F17" s="75"/>
      <c r="G17" s="75"/>
      <c r="H17" s="75"/>
      <c r="I17" s="75"/>
      <c r="J17" s="75"/>
      <c r="K17" s="75"/>
      <c r="L17" s="75"/>
      <c r="M17" s="75"/>
      <c r="N17" s="75"/>
      <c r="O17" s="75">
        <v>69.362748319220188</v>
      </c>
    </row>
    <row r="18" spans="1:15" x14ac:dyDescent="0.2">
      <c r="A18" s="58" t="s">
        <v>442</v>
      </c>
      <c r="B18" s="75"/>
      <c r="C18" s="75"/>
      <c r="D18" s="75"/>
      <c r="E18" s="75">
        <v>2219.607946215046</v>
      </c>
      <c r="F18" s="75"/>
      <c r="G18" s="75"/>
      <c r="H18" s="75"/>
      <c r="I18" s="75"/>
      <c r="J18" s="75"/>
      <c r="K18" s="75"/>
      <c r="L18" s="75"/>
      <c r="M18" s="75">
        <v>5340.9316205799532</v>
      </c>
      <c r="N18" s="75"/>
      <c r="O18" s="75">
        <v>7560.5395667949997</v>
      </c>
    </row>
    <row r="19" spans="1:15" x14ac:dyDescent="0.2">
      <c r="A19" s="58" t="s">
        <v>447</v>
      </c>
      <c r="B19" s="75"/>
      <c r="C19" s="75"/>
      <c r="D19" s="75">
        <v>1109.803973107523</v>
      </c>
      <c r="E19" s="75">
        <v>624.26473487298165</v>
      </c>
      <c r="F19" s="75"/>
      <c r="G19" s="75"/>
      <c r="H19" s="75"/>
      <c r="I19" s="75"/>
      <c r="J19" s="75"/>
      <c r="K19" s="75"/>
      <c r="L19" s="75"/>
      <c r="M19" s="75"/>
      <c r="N19" s="75"/>
      <c r="O19" s="75">
        <v>1734.0687079805048</v>
      </c>
    </row>
    <row r="20" spans="1:15" x14ac:dyDescent="0.2">
      <c r="A20" s="1" t="s">
        <v>443</v>
      </c>
      <c r="B20" s="75"/>
      <c r="C20" s="75">
        <v>1803.4314562997245</v>
      </c>
      <c r="D20" s="75">
        <v>5999.87772961255</v>
      </c>
      <c r="E20" s="75">
        <v>13213.603554811456</v>
      </c>
      <c r="F20" s="75">
        <v>5479.6571172183958</v>
      </c>
      <c r="G20" s="75">
        <v>971.07847646908272</v>
      </c>
      <c r="H20" s="75">
        <v>1387.2549663844036</v>
      </c>
      <c r="I20" s="75">
        <v>1387.2549663844036</v>
      </c>
      <c r="J20" s="75"/>
      <c r="K20" s="75">
        <v>6277.3287228894269</v>
      </c>
      <c r="L20" s="75">
        <v>4231.1276474724336</v>
      </c>
      <c r="M20" s="75">
        <v>20011.15289009504</v>
      </c>
      <c r="N20" s="75">
        <v>554.9019865537615</v>
      </c>
      <c r="O20" s="75">
        <v>61316.669514190675</v>
      </c>
    </row>
    <row r="21" spans="1:15" x14ac:dyDescent="0.2">
      <c r="A21" s="58" t="s">
        <v>478</v>
      </c>
      <c r="B21" s="75"/>
      <c r="C21" s="75"/>
      <c r="D21" s="75"/>
      <c r="E21" s="75"/>
      <c r="F21" s="75">
        <v>2774.5099327688081</v>
      </c>
      <c r="G21" s="75">
        <v>971.07847646908272</v>
      </c>
      <c r="H21" s="75"/>
      <c r="I21" s="75"/>
      <c r="J21" s="75"/>
      <c r="K21" s="75"/>
      <c r="L21" s="75"/>
      <c r="M21" s="75"/>
      <c r="N21" s="75"/>
      <c r="O21" s="75">
        <v>3745.588409237891</v>
      </c>
    </row>
    <row r="22" spans="1:15" x14ac:dyDescent="0.2">
      <c r="A22" s="58" t="s">
        <v>445</v>
      </c>
      <c r="B22" s="75"/>
      <c r="C22" s="75"/>
      <c r="D22" s="75"/>
      <c r="E22" s="75"/>
      <c r="F22" s="75">
        <v>2705.1471844495882</v>
      </c>
      <c r="G22" s="75"/>
      <c r="H22" s="75"/>
      <c r="I22" s="75"/>
      <c r="J22" s="75"/>
      <c r="K22" s="75"/>
      <c r="L22" s="75"/>
      <c r="M22" s="75"/>
      <c r="N22" s="75"/>
      <c r="O22" s="75">
        <v>2705.1471844495882</v>
      </c>
    </row>
    <row r="23" spans="1:15" x14ac:dyDescent="0.2">
      <c r="A23" s="58" t="s">
        <v>453</v>
      </c>
      <c r="B23" s="75"/>
      <c r="C23" s="75"/>
      <c r="D23" s="75"/>
      <c r="E23" s="75"/>
      <c r="F23" s="75"/>
      <c r="G23" s="75"/>
      <c r="H23" s="75">
        <v>1387.2549663844036</v>
      </c>
      <c r="I23" s="75"/>
      <c r="J23" s="75"/>
      <c r="K23" s="75"/>
      <c r="L23" s="75">
        <v>277.45099327688075</v>
      </c>
      <c r="M23" s="75"/>
      <c r="N23" s="75"/>
      <c r="O23" s="75">
        <v>1664.7059596612844</v>
      </c>
    </row>
    <row r="24" spans="1:15" x14ac:dyDescent="0.2">
      <c r="A24" s="58" t="s">
        <v>507</v>
      </c>
      <c r="B24" s="75"/>
      <c r="C24" s="75">
        <v>1803.4314562997245</v>
      </c>
      <c r="D24" s="75">
        <v>5999.87772961255</v>
      </c>
      <c r="E24" s="75">
        <v>13213.603554811456</v>
      </c>
      <c r="F24" s="75"/>
      <c r="G24" s="75"/>
      <c r="H24" s="75"/>
      <c r="I24" s="75">
        <v>1387.2549663844036</v>
      </c>
      <c r="J24" s="75"/>
      <c r="K24" s="75">
        <v>6277.3287228894269</v>
      </c>
      <c r="L24" s="75">
        <v>3953.6766541955526</v>
      </c>
      <c r="M24" s="75">
        <v>20011.15289009504</v>
      </c>
      <c r="N24" s="75">
        <v>554.9019865537615</v>
      </c>
      <c r="O24" s="75">
        <v>53201.227960841912</v>
      </c>
    </row>
    <row r="25" spans="1:15" x14ac:dyDescent="0.2">
      <c r="A25" s="1" t="s">
        <v>457</v>
      </c>
      <c r="B25" s="75"/>
      <c r="C25" s="75">
        <v>2722.4878715293921</v>
      </c>
      <c r="D25" s="75">
        <v>1421.9363405440135</v>
      </c>
      <c r="E25" s="75"/>
      <c r="F25" s="75">
        <v>2046.2010754169951</v>
      </c>
      <c r="G25" s="75">
        <v>5184.8654368617099</v>
      </c>
      <c r="H25" s="75">
        <v>6485.4169678470898</v>
      </c>
      <c r="I25" s="75">
        <v>4057.7207766743813</v>
      </c>
      <c r="J25" s="75">
        <v>2809.1913069284174</v>
      </c>
      <c r="K25" s="75">
        <v>3294.7305451629582</v>
      </c>
      <c r="L25" s="75">
        <v>2011.5197012573851</v>
      </c>
      <c r="M25" s="75"/>
      <c r="N25" s="75"/>
      <c r="O25" s="75">
        <v>30034.070022222346</v>
      </c>
    </row>
    <row r="26" spans="1:15" x14ac:dyDescent="0.2">
      <c r="A26" s="58" t="s">
        <v>485</v>
      </c>
      <c r="B26" s="75"/>
      <c r="C26" s="75">
        <v>762.99023151142194</v>
      </c>
      <c r="D26" s="75"/>
      <c r="E26" s="75"/>
      <c r="F26" s="75"/>
      <c r="G26" s="75"/>
      <c r="H26" s="75">
        <v>2635.7844361303673</v>
      </c>
      <c r="I26" s="75">
        <v>1456.6177147036235</v>
      </c>
      <c r="J26" s="75">
        <v>1213.8480955863533</v>
      </c>
      <c r="K26" s="75">
        <v>1491.2990888632339</v>
      </c>
      <c r="L26" s="75">
        <v>762.99023151142194</v>
      </c>
      <c r="M26" s="75"/>
      <c r="N26" s="75"/>
      <c r="O26" s="75">
        <v>8323.5297983064211</v>
      </c>
    </row>
    <row r="27" spans="1:15" x14ac:dyDescent="0.2">
      <c r="A27" s="58" t="s">
        <v>459</v>
      </c>
      <c r="B27" s="75"/>
      <c r="C27" s="75">
        <v>1040.4412247883026</v>
      </c>
      <c r="D27" s="75">
        <v>797.67160567103201</v>
      </c>
      <c r="E27" s="75"/>
      <c r="F27" s="75"/>
      <c r="G27" s="75"/>
      <c r="H27" s="75"/>
      <c r="I27" s="75">
        <v>346.81374159610095</v>
      </c>
      <c r="J27" s="75">
        <v>173.40687079805048</v>
      </c>
      <c r="K27" s="75">
        <v>173.40687079805048</v>
      </c>
      <c r="L27" s="75">
        <v>138.72549663844038</v>
      </c>
      <c r="M27" s="75"/>
      <c r="N27" s="75"/>
      <c r="O27" s="75">
        <v>2670.4658102899771</v>
      </c>
    </row>
    <row r="28" spans="1:15" x14ac:dyDescent="0.2">
      <c r="A28" s="58" t="s">
        <v>470</v>
      </c>
      <c r="B28" s="75"/>
      <c r="C28" s="75">
        <v>277.45099327688075</v>
      </c>
      <c r="D28" s="75"/>
      <c r="E28" s="75"/>
      <c r="F28" s="75"/>
      <c r="G28" s="75">
        <v>693.62748319220191</v>
      </c>
      <c r="H28" s="75">
        <v>1179.1667214267436</v>
      </c>
      <c r="I28" s="75"/>
      <c r="J28" s="75">
        <v>346.81374159610095</v>
      </c>
      <c r="K28" s="75">
        <v>485.53923823454136</v>
      </c>
      <c r="L28" s="75">
        <v>69.362748319220188</v>
      </c>
      <c r="M28" s="75"/>
      <c r="N28" s="75"/>
      <c r="O28" s="75">
        <v>3051.9609260456887</v>
      </c>
    </row>
    <row r="29" spans="1:15" x14ac:dyDescent="0.2">
      <c r="A29" s="58" t="s">
        <v>461</v>
      </c>
      <c r="B29" s="75"/>
      <c r="C29" s="75">
        <v>641.60542195278674</v>
      </c>
      <c r="D29" s="75">
        <v>624.26473487298165</v>
      </c>
      <c r="E29" s="75"/>
      <c r="F29" s="75">
        <v>2046.2010754169951</v>
      </c>
      <c r="G29" s="75">
        <v>4491.237953669508</v>
      </c>
      <c r="H29" s="75">
        <v>2670.4658102899784</v>
      </c>
      <c r="I29" s="75">
        <v>2254.2893203746571</v>
      </c>
      <c r="J29" s="75">
        <v>1075.1225989479126</v>
      </c>
      <c r="K29" s="75">
        <v>1144.4853472671327</v>
      </c>
      <c r="L29" s="75">
        <v>1040.4412247883026</v>
      </c>
      <c r="M29" s="75"/>
      <c r="N29" s="75"/>
      <c r="O29" s="75">
        <v>15988.113487580256</v>
      </c>
    </row>
    <row r="30" spans="1:15" x14ac:dyDescent="0.2">
      <c r="A30" s="1" t="s">
        <v>491</v>
      </c>
      <c r="B30" s="75"/>
      <c r="C30" s="75"/>
      <c r="D30" s="75">
        <v>1734.0687079805048</v>
      </c>
      <c r="E30" s="75">
        <v>12658.70156825768</v>
      </c>
      <c r="F30" s="75"/>
      <c r="G30" s="75"/>
      <c r="H30" s="75"/>
      <c r="I30" s="75"/>
      <c r="J30" s="75"/>
      <c r="K30" s="75"/>
      <c r="L30" s="75"/>
      <c r="M30" s="75">
        <v>17167.280209006993</v>
      </c>
      <c r="N30" s="75">
        <v>15051.716385270785</v>
      </c>
      <c r="O30" s="75">
        <v>46611.766870515959</v>
      </c>
    </row>
    <row r="31" spans="1:15" x14ac:dyDescent="0.2">
      <c r="A31" s="1" t="s">
        <v>350</v>
      </c>
      <c r="B31" s="75"/>
      <c r="C31" s="75">
        <v>27831.802763087107</v>
      </c>
      <c r="D31" s="75">
        <v>36242.035996792547</v>
      </c>
      <c r="E31" s="75">
        <v>15086.397759430392</v>
      </c>
      <c r="F31" s="75">
        <v>35097.550649525365</v>
      </c>
      <c r="G31" s="75">
        <v>30034.070022222324</v>
      </c>
      <c r="H31" s="75">
        <v>21294.363734000588</v>
      </c>
      <c r="I31" s="75">
        <v>8531.6180432640831</v>
      </c>
      <c r="J31" s="75">
        <v>8046.0788050295432</v>
      </c>
      <c r="K31" s="75">
        <v>19768.383270977756</v>
      </c>
      <c r="L31" s="75">
        <v>17496.753263523304</v>
      </c>
      <c r="M31" s="75">
        <v>10352.390186643614</v>
      </c>
      <c r="N31" s="75">
        <v>5167.5247497819037</v>
      </c>
      <c r="O31" s="75">
        <v>234948.96924427856</v>
      </c>
    </row>
    <row r="32" spans="1:15" x14ac:dyDescent="0.2">
      <c r="A32" s="58" t="s">
        <v>451</v>
      </c>
      <c r="B32" s="75"/>
      <c r="C32" s="75"/>
      <c r="D32" s="75"/>
      <c r="E32" s="75"/>
      <c r="F32" s="75"/>
      <c r="G32" s="75"/>
      <c r="H32" s="75">
        <v>173.40687079805048</v>
      </c>
      <c r="I32" s="75"/>
      <c r="J32" s="75"/>
      <c r="K32" s="75"/>
      <c r="L32" s="75"/>
      <c r="M32" s="75"/>
      <c r="N32" s="75"/>
      <c r="O32" s="75">
        <v>173.40687079805048</v>
      </c>
    </row>
    <row r="33" spans="1:15" x14ac:dyDescent="0.2">
      <c r="A33" s="58" t="s">
        <v>422</v>
      </c>
      <c r="B33" s="75"/>
      <c r="C33" s="75">
        <v>18398.468991673162</v>
      </c>
      <c r="D33" s="75">
        <v>22508.211829586951</v>
      </c>
      <c r="E33" s="75">
        <v>3745.5884092378906</v>
      </c>
      <c r="F33" s="75">
        <v>28993.628797433983</v>
      </c>
      <c r="G33" s="75">
        <v>22369.486332948498</v>
      </c>
      <c r="H33" s="75">
        <v>14739.584017834281</v>
      </c>
      <c r="I33" s="75">
        <v>7144.3630768796793</v>
      </c>
      <c r="J33" s="75">
        <v>6728.1865869643598</v>
      </c>
      <c r="K33" s="75">
        <v>15433.211501026493</v>
      </c>
      <c r="L33" s="75">
        <v>14912.990888632352</v>
      </c>
      <c r="M33" s="75">
        <v>2670.4658102899775</v>
      </c>
      <c r="N33" s="75">
        <v>2878.5540552476377</v>
      </c>
      <c r="O33" s="75">
        <v>160522.74029775526</v>
      </c>
    </row>
    <row r="34" spans="1:15" x14ac:dyDescent="0.2">
      <c r="A34" s="58" t="s">
        <v>215</v>
      </c>
      <c r="B34" s="75"/>
      <c r="C34" s="75">
        <v>3294.7305451629586</v>
      </c>
      <c r="D34" s="75">
        <v>5531.6791784578127</v>
      </c>
      <c r="E34" s="75">
        <v>3814.9511575571114</v>
      </c>
      <c r="F34" s="75">
        <v>6069.2404779317676</v>
      </c>
      <c r="G34" s="75">
        <v>7664.583689273828</v>
      </c>
      <c r="H34" s="75">
        <v>6381.3728453682552</v>
      </c>
      <c r="I34" s="75">
        <v>1387.254966384404</v>
      </c>
      <c r="J34" s="75">
        <v>1317.892218065183</v>
      </c>
      <c r="K34" s="75">
        <v>3572.1815384398401</v>
      </c>
      <c r="L34" s="75">
        <v>1612.6838984218691</v>
      </c>
      <c r="M34" s="75">
        <v>2340.9927557736819</v>
      </c>
      <c r="N34" s="75">
        <v>520.22061239415143</v>
      </c>
      <c r="O34" s="75">
        <v>43507.78388323087</v>
      </c>
    </row>
    <row r="35" spans="1:15" x14ac:dyDescent="0.2">
      <c r="A35" s="58" t="s">
        <v>497</v>
      </c>
      <c r="B35" s="75"/>
      <c r="C35" s="75"/>
      <c r="D35" s="75"/>
      <c r="E35" s="75">
        <v>2184.9265720554358</v>
      </c>
      <c r="F35" s="75"/>
      <c r="G35" s="75"/>
      <c r="H35" s="75"/>
      <c r="I35" s="75"/>
      <c r="J35" s="75"/>
      <c r="K35" s="75"/>
      <c r="L35" s="75"/>
      <c r="M35" s="75">
        <v>5340.9316205799541</v>
      </c>
      <c r="N35" s="75">
        <v>381.49511575571103</v>
      </c>
      <c r="O35" s="75">
        <v>7907.3533083911007</v>
      </c>
    </row>
    <row r="36" spans="1:15" x14ac:dyDescent="0.2">
      <c r="A36" s="58" t="s">
        <v>449</v>
      </c>
      <c r="B36" s="75"/>
      <c r="C36" s="75"/>
      <c r="D36" s="75">
        <v>1005.7598506286927</v>
      </c>
      <c r="E36" s="75">
        <v>2150.2451978958261</v>
      </c>
      <c r="F36" s="75"/>
      <c r="G36" s="75"/>
      <c r="H36" s="75"/>
      <c r="I36" s="75"/>
      <c r="J36" s="75"/>
      <c r="K36" s="75"/>
      <c r="L36" s="75">
        <v>762.99023151142205</v>
      </c>
      <c r="M36" s="75"/>
      <c r="N36" s="75">
        <v>1387.2549663844038</v>
      </c>
      <c r="O36" s="75">
        <v>5306.2502464203444</v>
      </c>
    </row>
    <row r="37" spans="1:15" x14ac:dyDescent="0.2">
      <c r="A37" s="58" t="s">
        <v>480</v>
      </c>
      <c r="B37" s="75"/>
      <c r="C37" s="75">
        <v>3364.0932934821799</v>
      </c>
      <c r="D37" s="75">
        <v>5306.2502464203435</v>
      </c>
      <c r="E37" s="75">
        <v>2358.3334428534863</v>
      </c>
      <c r="F37" s="75"/>
      <c r="G37" s="75"/>
      <c r="H37" s="75"/>
      <c r="I37" s="75"/>
      <c r="J37" s="75"/>
      <c r="K37" s="75"/>
      <c r="L37" s="75"/>
      <c r="M37" s="75"/>
      <c r="N37" s="75"/>
      <c r="O37" s="75">
        <v>11028.676982756009</v>
      </c>
    </row>
    <row r="38" spans="1:15" x14ac:dyDescent="0.2">
      <c r="A38" s="58" t="s">
        <v>475</v>
      </c>
      <c r="B38" s="75"/>
      <c r="C38" s="75"/>
      <c r="D38" s="75"/>
      <c r="E38" s="75"/>
      <c r="F38" s="75">
        <v>34.681374159610094</v>
      </c>
      <c r="G38" s="75"/>
      <c r="H38" s="75"/>
      <c r="I38" s="75"/>
      <c r="J38" s="75"/>
      <c r="K38" s="75">
        <v>762.99023151142205</v>
      </c>
      <c r="L38" s="75">
        <v>208.08824495766055</v>
      </c>
      <c r="M38" s="75"/>
      <c r="N38" s="75"/>
      <c r="O38" s="75">
        <v>1005.7598506286927</v>
      </c>
    </row>
    <row r="39" spans="1:15" x14ac:dyDescent="0.2">
      <c r="A39" s="58" t="s">
        <v>352</v>
      </c>
      <c r="B39" s="75"/>
      <c r="C39" s="75">
        <v>2774.5099327688063</v>
      </c>
      <c r="D39" s="75">
        <v>1890.1348916987502</v>
      </c>
      <c r="E39" s="75">
        <v>832.3529798306422</v>
      </c>
      <c r="F39" s="75"/>
      <c r="G39" s="75"/>
      <c r="H39" s="75"/>
      <c r="I39" s="75"/>
      <c r="J39" s="75"/>
      <c r="K39" s="75"/>
      <c r="L39" s="75"/>
      <c r="M39" s="75"/>
      <c r="N39" s="75"/>
      <c r="O39" s="75">
        <v>5496.9978042981984</v>
      </c>
    </row>
    <row r="40" spans="1:15" x14ac:dyDescent="0.2">
      <c r="A40" s="1" t="s">
        <v>423</v>
      </c>
      <c r="B40" s="75"/>
      <c r="C40" s="75">
        <v>9936.213696728295</v>
      </c>
      <c r="D40" s="75">
        <v>5202.2061239415134</v>
      </c>
      <c r="E40" s="75">
        <v>6676.164525724942</v>
      </c>
      <c r="F40" s="75"/>
      <c r="G40" s="75">
        <v>520.22061239415132</v>
      </c>
      <c r="H40" s="75">
        <v>9468.0151455735522</v>
      </c>
      <c r="I40" s="75">
        <v>23149.817251539705</v>
      </c>
      <c r="J40" s="75">
        <v>41669.671052771475</v>
      </c>
      <c r="K40" s="75">
        <v>14167.341344200726</v>
      </c>
      <c r="L40" s="75">
        <v>22213.420149230267</v>
      </c>
      <c r="M40" s="75">
        <v>4751.3482598665814</v>
      </c>
      <c r="N40" s="75">
        <v>450.85786407493117</v>
      </c>
      <c r="O40" s="75">
        <v>138205.27602604614</v>
      </c>
    </row>
    <row r="41" spans="1:15" x14ac:dyDescent="0.2">
      <c r="A41" s="58" t="s">
        <v>501</v>
      </c>
      <c r="B41" s="75"/>
      <c r="C41" s="75"/>
      <c r="D41" s="75"/>
      <c r="E41" s="75">
        <v>485.53923823454136</v>
      </c>
      <c r="F41" s="75"/>
      <c r="G41" s="75"/>
      <c r="H41" s="75"/>
      <c r="I41" s="75"/>
      <c r="J41" s="75"/>
      <c r="K41" s="75"/>
      <c r="L41" s="75"/>
      <c r="M41" s="75">
        <v>4473.8972665897008</v>
      </c>
      <c r="N41" s="75">
        <v>450.85786407493117</v>
      </c>
      <c r="O41" s="75">
        <v>5410.2943688991736</v>
      </c>
    </row>
    <row r="42" spans="1:15" x14ac:dyDescent="0.2">
      <c r="A42" s="58" t="s">
        <v>455</v>
      </c>
      <c r="B42" s="75"/>
      <c r="C42" s="75">
        <v>9936.213696728295</v>
      </c>
      <c r="D42" s="75">
        <v>762.99023151142205</v>
      </c>
      <c r="E42" s="75">
        <v>1473.9584017834291</v>
      </c>
      <c r="F42" s="75"/>
      <c r="G42" s="75"/>
      <c r="H42" s="75"/>
      <c r="I42" s="75"/>
      <c r="J42" s="75"/>
      <c r="K42" s="75">
        <v>9381.3117101745338</v>
      </c>
      <c r="L42" s="75">
        <v>20791.483808686255</v>
      </c>
      <c r="M42" s="75"/>
      <c r="N42" s="75"/>
      <c r="O42" s="75">
        <v>42345.957848883932</v>
      </c>
    </row>
    <row r="43" spans="1:15" x14ac:dyDescent="0.2">
      <c r="A43" s="58" t="s">
        <v>489</v>
      </c>
      <c r="B43" s="75"/>
      <c r="C43" s="75"/>
      <c r="D43" s="75">
        <v>4439.2158924300911</v>
      </c>
      <c r="E43" s="75">
        <v>4716.6668857069717</v>
      </c>
      <c r="F43" s="75"/>
      <c r="G43" s="75"/>
      <c r="H43" s="75"/>
      <c r="I43" s="75"/>
      <c r="J43" s="75"/>
      <c r="K43" s="75"/>
      <c r="L43" s="75"/>
      <c r="M43" s="75">
        <v>277.45099327688075</v>
      </c>
      <c r="N43" s="75"/>
      <c r="O43" s="75">
        <v>9433.3337714139452</v>
      </c>
    </row>
    <row r="44" spans="1:15" x14ac:dyDescent="0.2">
      <c r="A44" s="58" t="s">
        <v>506</v>
      </c>
      <c r="B44" s="75"/>
      <c r="C44" s="75"/>
      <c r="D44" s="75"/>
      <c r="E44" s="75"/>
      <c r="F44" s="75"/>
      <c r="G44" s="75">
        <v>520.22061239415132</v>
      </c>
      <c r="H44" s="75">
        <v>9468.0151455735522</v>
      </c>
      <c r="I44" s="75">
        <v>23149.817251539705</v>
      </c>
      <c r="J44" s="75">
        <v>41669.671052771475</v>
      </c>
      <c r="K44" s="75">
        <v>4786.0296340261921</v>
      </c>
      <c r="L44" s="75">
        <v>1421.936340544014</v>
      </c>
      <c r="M44" s="75"/>
      <c r="N44" s="75"/>
      <c r="O44" s="75">
        <v>81015.690036849075</v>
      </c>
    </row>
    <row r="45" spans="1:15" x14ac:dyDescent="0.2">
      <c r="A45" s="1" t="s">
        <v>462</v>
      </c>
      <c r="B45" s="75"/>
      <c r="C45" s="75">
        <v>3260.0491710033484</v>
      </c>
      <c r="D45" s="75">
        <v>3572.1815384398401</v>
      </c>
      <c r="E45" s="75">
        <v>4127.0835249936017</v>
      </c>
      <c r="F45" s="75">
        <v>3606.8629125994507</v>
      </c>
      <c r="G45" s="75">
        <v>3953.6766541955521</v>
      </c>
      <c r="H45" s="75">
        <v>3745.5884092378901</v>
      </c>
      <c r="I45" s="75">
        <v>3051.9609260456882</v>
      </c>
      <c r="J45" s="75">
        <v>1976.8383270977756</v>
      </c>
      <c r="K45" s="75">
        <v>1872.7942046189455</v>
      </c>
      <c r="L45" s="75">
        <v>2219.6079462150456</v>
      </c>
      <c r="M45" s="75">
        <v>4231.1276474724327</v>
      </c>
      <c r="N45" s="75">
        <v>2427.6961911727067</v>
      </c>
      <c r="O45" s="75">
        <v>38045.467453092278</v>
      </c>
    </row>
    <row r="46" spans="1:15" x14ac:dyDescent="0.2">
      <c r="A46" s="1" t="s">
        <v>503</v>
      </c>
      <c r="B46" s="75"/>
      <c r="C46" s="75"/>
      <c r="D46" s="75"/>
      <c r="E46" s="75"/>
      <c r="F46" s="75"/>
      <c r="G46" s="75"/>
      <c r="H46" s="75"/>
      <c r="I46" s="75"/>
      <c r="J46" s="75"/>
      <c r="K46" s="75"/>
      <c r="L46" s="75"/>
      <c r="M46" s="75"/>
      <c r="N46" s="75"/>
      <c r="O46" s="75"/>
    </row>
    <row r="47" spans="1:15" x14ac:dyDescent="0.2">
      <c r="A47" s="58" t="s">
        <v>503</v>
      </c>
      <c r="B47" s="75"/>
      <c r="C47" s="75"/>
      <c r="D47" s="75"/>
      <c r="E47" s="75"/>
      <c r="F47" s="75"/>
      <c r="G47" s="75"/>
      <c r="H47" s="75"/>
      <c r="I47" s="75"/>
      <c r="J47" s="75"/>
      <c r="K47" s="75"/>
      <c r="L47" s="75"/>
      <c r="M47" s="75"/>
      <c r="N47" s="75"/>
      <c r="O47" s="75"/>
    </row>
    <row r="48" spans="1:15" x14ac:dyDescent="0.2">
      <c r="A48" s="1" t="s">
        <v>291</v>
      </c>
      <c r="B48" s="75"/>
      <c r="C48" s="75">
        <v>53097.18383836306</v>
      </c>
      <c r="D48" s="75">
        <v>66726.963883089818</v>
      </c>
      <c r="E48" s="75">
        <v>61403.37294958967</v>
      </c>
      <c r="F48" s="75">
        <v>62634.561732255774</v>
      </c>
      <c r="G48" s="75">
        <v>42345.957848883911</v>
      </c>
      <c r="H48" s="75">
        <v>42380.639223043523</v>
      </c>
      <c r="I48" s="75">
        <v>41166.791127457145</v>
      </c>
      <c r="J48" s="75">
        <v>55837.012396972204</v>
      </c>
      <c r="K48" s="75">
        <v>45970.161448563187</v>
      </c>
      <c r="L48" s="75">
        <v>48831.374816731033</v>
      </c>
      <c r="M48" s="75">
        <v>67333.887930883007</v>
      </c>
      <c r="N48" s="75">
        <v>24346.324660046295</v>
      </c>
      <c r="O48" s="75">
        <v>612074.23185587861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946D-4EB3-4C49-8DF0-A893938EC694}">
  <sheetPr filterMode="1"/>
  <dimension ref="A1:P3714"/>
  <sheetViews>
    <sheetView workbookViewId="0"/>
  </sheetViews>
  <sheetFormatPr baseColWidth="10" defaultColWidth="8.83203125" defaultRowHeight="15" x14ac:dyDescent="0.2"/>
  <cols>
    <col min="1" max="1" width="7.33203125" bestFit="1" customWidth="1"/>
    <col min="2" max="2" width="30.33203125" bestFit="1" customWidth="1"/>
    <col min="3" max="3" width="9.33203125" bestFit="1" customWidth="1"/>
    <col min="4" max="4" width="33" bestFit="1" customWidth="1"/>
    <col min="5" max="5" width="10.6640625" bestFit="1" customWidth="1"/>
    <col min="6" max="6" width="6.83203125" bestFit="1" customWidth="1"/>
    <col min="7" max="7" width="28.1640625" bestFit="1" customWidth="1"/>
    <col min="8" max="8" width="10.5" style="75" bestFit="1" customWidth="1"/>
    <col min="9" max="9" width="10.6640625" bestFit="1" customWidth="1"/>
    <col min="10" max="10" width="8.6640625" bestFit="1" customWidth="1"/>
    <col min="11" max="11" width="9.1640625" bestFit="1" customWidth="1"/>
    <col min="12" max="12" width="22.5" bestFit="1" customWidth="1"/>
    <col min="13" max="13" width="26.5" bestFit="1" customWidth="1"/>
    <col min="14" max="14" width="34" bestFit="1" customWidth="1"/>
    <col min="15" max="15" width="6.1640625" bestFit="1" customWidth="1"/>
  </cols>
  <sheetData>
    <row r="1" spans="1:16" x14ac:dyDescent="0.2">
      <c r="A1" t="s">
        <v>2</v>
      </c>
      <c r="B1" t="s">
        <v>502</v>
      </c>
      <c r="C1" t="s">
        <v>292</v>
      </c>
      <c r="D1" t="s">
        <v>292</v>
      </c>
      <c r="E1" t="s">
        <v>339</v>
      </c>
      <c r="F1" t="s">
        <v>340</v>
      </c>
      <c r="G1" t="s">
        <v>255</v>
      </c>
      <c r="H1" s="75" t="s">
        <v>341</v>
      </c>
      <c r="I1" t="s">
        <v>342</v>
      </c>
      <c r="J1" t="s">
        <v>343</v>
      </c>
      <c r="K1" s="71" t="s">
        <v>344</v>
      </c>
      <c r="L1" s="71" t="s">
        <v>256</v>
      </c>
      <c r="M1" s="71" t="s">
        <v>345</v>
      </c>
      <c r="N1" s="72" t="s">
        <v>346</v>
      </c>
      <c r="O1" s="71" t="s">
        <v>347</v>
      </c>
    </row>
    <row r="2" spans="1:16" x14ac:dyDescent="0.2">
      <c r="A2" s="73">
        <v>67262</v>
      </c>
      <c r="B2" t="s">
        <v>350</v>
      </c>
      <c r="C2" s="73" t="s">
        <v>351</v>
      </c>
      <c r="D2" t="s">
        <v>352</v>
      </c>
      <c r="E2" s="74">
        <v>46062</v>
      </c>
      <c r="F2" t="s">
        <v>353</v>
      </c>
      <c r="G2" t="s">
        <v>354</v>
      </c>
      <c r="H2" s="75">
        <f t="shared" ref="H2:H65" si="0">J2*P2</f>
        <v>208.08824495766055</v>
      </c>
      <c r="I2" s="74">
        <v>46062</v>
      </c>
      <c r="J2">
        <v>6</v>
      </c>
      <c r="K2" t="s">
        <v>508</v>
      </c>
      <c r="L2" t="s">
        <v>355</v>
      </c>
      <c r="M2" t="s">
        <v>356</v>
      </c>
      <c r="N2" s="73">
        <v>67262</v>
      </c>
      <c r="O2" s="73">
        <v>67262</v>
      </c>
      <c r="P2">
        <v>34.681374159610094</v>
      </c>
    </row>
    <row r="3" spans="1:16" x14ac:dyDescent="0.2">
      <c r="A3" s="73">
        <v>67262</v>
      </c>
      <c r="B3" t="s">
        <v>350</v>
      </c>
      <c r="C3" s="73" t="s">
        <v>351</v>
      </c>
      <c r="D3" t="s">
        <v>352</v>
      </c>
      <c r="E3" s="74">
        <v>46062</v>
      </c>
      <c r="F3" t="s">
        <v>357</v>
      </c>
      <c r="G3" t="s">
        <v>358</v>
      </c>
      <c r="H3" s="75">
        <f t="shared" si="0"/>
        <v>138.72549663844038</v>
      </c>
      <c r="I3" s="74">
        <v>46062</v>
      </c>
      <c r="J3">
        <v>4</v>
      </c>
      <c r="K3" t="s">
        <v>508</v>
      </c>
      <c r="L3" t="s">
        <v>359</v>
      </c>
      <c r="M3" t="s">
        <v>356</v>
      </c>
      <c r="N3" s="73">
        <v>67262</v>
      </c>
      <c r="O3" s="73">
        <v>67262</v>
      </c>
      <c r="P3">
        <v>34.681374159610094</v>
      </c>
    </row>
    <row r="4" spans="1:16" x14ac:dyDescent="0.2">
      <c r="A4" s="73">
        <v>67262</v>
      </c>
      <c r="B4" t="s">
        <v>350</v>
      </c>
      <c r="C4" s="73" t="s">
        <v>351</v>
      </c>
      <c r="D4" t="s">
        <v>352</v>
      </c>
      <c r="E4" s="74">
        <v>46063</v>
      </c>
      <c r="F4" t="s">
        <v>353</v>
      </c>
      <c r="G4" t="s">
        <v>354</v>
      </c>
      <c r="H4" s="75">
        <f t="shared" si="0"/>
        <v>138.72549663844038</v>
      </c>
      <c r="I4" s="74">
        <v>46063</v>
      </c>
      <c r="J4">
        <v>4</v>
      </c>
      <c r="K4" t="s">
        <v>508</v>
      </c>
      <c r="L4" t="s">
        <v>355</v>
      </c>
      <c r="M4" t="s">
        <v>356</v>
      </c>
      <c r="N4" s="73">
        <v>67262</v>
      </c>
      <c r="O4" s="73">
        <v>67262</v>
      </c>
      <c r="P4">
        <v>34.681374159610094</v>
      </c>
    </row>
    <row r="5" spans="1:16" x14ac:dyDescent="0.2">
      <c r="A5" s="73">
        <v>67262</v>
      </c>
      <c r="B5" t="s">
        <v>350</v>
      </c>
      <c r="C5" s="73" t="s">
        <v>351</v>
      </c>
      <c r="D5" t="s">
        <v>352</v>
      </c>
      <c r="E5" s="74">
        <v>46063</v>
      </c>
      <c r="F5" t="s">
        <v>357</v>
      </c>
      <c r="G5" t="s">
        <v>358</v>
      </c>
      <c r="H5" s="75">
        <f t="shared" si="0"/>
        <v>138.72549663844038</v>
      </c>
      <c r="I5" s="74">
        <v>46063</v>
      </c>
      <c r="J5">
        <v>4</v>
      </c>
      <c r="K5" t="s">
        <v>508</v>
      </c>
      <c r="L5" t="s">
        <v>359</v>
      </c>
      <c r="M5" t="s">
        <v>356</v>
      </c>
      <c r="N5" s="73">
        <v>67262</v>
      </c>
      <c r="O5" s="73">
        <v>67262</v>
      </c>
      <c r="P5">
        <v>34.681374159610094</v>
      </c>
    </row>
    <row r="6" spans="1:16" x14ac:dyDescent="0.2">
      <c r="A6" s="73">
        <v>67262</v>
      </c>
      <c r="B6" t="s">
        <v>350</v>
      </c>
      <c r="C6" s="73" t="s">
        <v>351</v>
      </c>
      <c r="D6" t="s">
        <v>352</v>
      </c>
      <c r="E6" s="74">
        <v>46064</v>
      </c>
      <c r="F6" t="s">
        <v>360</v>
      </c>
      <c r="G6" t="s">
        <v>361</v>
      </c>
      <c r="H6" s="75">
        <f t="shared" si="0"/>
        <v>242.76961911727065</v>
      </c>
      <c r="I6" s="74">
        <v>46064</v>
      </c>
      <c r="J6">
        <v>7</v>
      </c>
      <c r="K6" t="s">
        <v>508</v>
      </c>
      <c r="L6" t="s">
        <v>262</v>
      </c>
      <c r="M6" t="s">
        <v>356</v>
      </c>
      <c r="N6" s="73">
        <v>67262</v>
      </c>
      <c r="O6" s="73">
        <v>67262</v>
      </c>
      <c r="P6">
        <v>34.681374159610094</v>
      </c>
    </row>
    <row r="7" spans="1:16" x14ac:dyDescent="0.2">
      <c r="A7" s="73">
        <v>67262</v>
      </c>
      <c r="B7" t="s">
        <v>350</v>
      </c>
      <c r="C7" s="73" t="s">
        <v>351</v>
      </c>
      <c r="D7" t="s">
        <v>352</v>
      </c>
      <c r="E7" s="74">
        <v>46064</v>
      </c>
      <c r="F7" t="s">
        <v>357</v>
      </c>
      <c r="G7" t="s">
        <v>358</v>
      </c>
      <c r="H7" s="75">
        <f t="shared" si="0"/>
        <v>138.72549663844038</v>
      </c>
      <c r="I7" s="74">
        <v>46064</v>
      </c>
      <c r="J7">
        <v>4</v>
      </c>
      <c r="K7" t="s">
        <v>508</v>
      </c>
      <c r="L7" t="s">
        <v>359</v>
      </c>
      <c r="M7" t="s">
        <v>356</v>
      </c>
      <c r="N7" s="73">
        <v>67262</v>
      </c>
      <c r="O7" s="73">
        <v>67262</v>
      </c>
      <c r="P7">
        <v>34.681374159610094</v>
      </c>
    </row>
    <row r="8" spans="1:16" x14ac:dyDescent="0.2">
      <c r="A8" s="73">
        <v>67262</v>
      </c>
      <c r="B8" t="s">
        <v>350</v>
      </c>
      <c r="C8" s="73" t="s">
        <v>351</v>
      </c>
      <c r="D8" t="s">
        <v>352</v>
      </c>
      <c r="E8" s="74">
        <v>46065</v>
      </c>
      <c r="F8" t="s">
        <v>360</v>
      </c>
      <c r="G8" t="s">
        <v>361</v>
      </c>
      <c r="H8" s="75">
        <f t="shared" si="0"/>
        <v>242.76961911727065</v>
      </c>
      <c r="I8" s="74">
        <v>46065</v>
      </c>
      <c r="J8">
        <v>7</v>
      </c>
      <c r="K8" t="s">
        <v>508</v>
      </c>
      <c r="L8" t="s">
        <v>262</v>
      </c>
      <c r="M8" t="s">
        <v>356</v>
      </c>
      <c r="N8" s="73">
        <v>67262</v>
      </c>
      <c r="O8" s="73">
        <v>67262</v>
      </c>
      <c r="P8">
        <v>34.681374159610094</v>
      </c>
    </row>
    <row r="9" spans="1:16" x14ac:dyDescent="0.2">
      <c r="A9" s="73">
        <v>67262</v>
      </c>
      <c r="B9" t="s">
        <v>350</v>
      </c>
      <c r="C9" s="73" t="s">
        <v>351</v>
      </c>
      <c r="D9" t="s">
        <v>352</v>
      </c>
      <c r="E9" s="74">
        <v>46065</v>
      </c>
      <c r="F9" t="s">
        <v>357</v>
      </c>
      <c r="G9" t="s">
        <v>358</v>
      </c>
      <c r="H9" s="75">
        <f t="shared" si="0"/>
        <v>138.72549663844038</v>
      </c>
      <c r="I9" s="74">
        <v>46065</v>
      </c>
      <c r="J9">
        <v>4</v>
      </c>
      <c r="K9" t="s">
        <v>508</v>
      </c>
      <c r="L9" t="s">
        <v>359</v>
      </c>
      <c r="M9" t="s">
        <v>356</v>
      </c>
      <c r="N9" s="73">
        <v>67262</v>
      </c>
      <c r="O9" s="73">
        <v>67262</v>
      </c>
      <c r="P9">
        <v>34.681374159610094</v>
      </c>
    </row>
    <row r="10" spans="1:16" x14ac:dyDescent="0.2">
      <c r="A10" s="73">
        <v>67262</v>
      </c>
      <c r="B10" t="s">
        <v>350</v>
      </c>
      <c r="C10" s="73" t="s">
        <v>351</v>
      </c>
      <c r="D10" t="s">
        <v>352</v>
      </c>
      <c r="E10" s="74">
        <v>46066</v>
      </c>
      <c r="F10" t="s">
        <v>360</v>
      </c>
      <c r="G10" t="s">
        <v>361</v>
      </c>
      <c r="H10" s="75">
        <f t="shared" si="0"/>
        <v>138.72549663844038</v>
      </c>
      <c r="I10" s="74">
        <v>46066</v>
      </c>
      <c r="J10">
        <v>4</v>
      </c>
      <c r="K10" t="s">
        <v>508</v>
      </c>
      <c r="L10" t="s">
        <v>262</v>
      </c>
      <c r="M10" t="s">
        <v>356</v>
      </c>
      <c r="N10" s="73">
        <v>67262</v>
      </c>
      <c r="O10" s="73">
        <v>67262</v>
      </c>
      <c r="P10">
        <v>34.681374159610094</v>
      </c>
    </row>
    <row r="11" spans="1:16" x14ac:dyDescent="0.2">
      <c r="A11" s="73">
        <v>67262</v>
      </c>
      <c r="B11" t="s">
        <v>350</v>
      </c>
      <c r="C11" s="73" t="s">
        <v>351</v>
      </c>
      <c r="D11" t="s">
        <v>352</v>
      </c>
      <c r="E11" s="74">
        <v>46066</v>
      </c>
      <c r="F11" t="s">
        <v>357</v>
      </c>
      <c r="G11" t="s">
        <v>358</v>
      </c>
      <c r="H11" s="75">
        <f t="shared" si="0"/>
        <v>138.72549663844038</v>
      </c>
      <c r="I11" s="74">
        <v>46066</v>
      </c>
      <c r="J11">
        <v>4</v>
      </c>
      <c r="K11" t="s">
        <v>508</v>
      </c>
      <c r="L11" t="s">
        <v>359</v>
      </c>
      <c r="M11" t="s">
        <v>356</v>
      </c>
      <c r="N11" s="73">
        <v>67262</v>
      </c>
      <c r="O11" s="73">
        <v>67262</v>
      </c>
      <c r="P11">
        <v>34.681374159610094</v>
      </c>
    </row>
    <row r="12" spans="1:16" x14ac:dyDescent="0.2">
      <c r="A12" s="73">
        <v>67262</v>
      </c>
      <c r="B12" t="s">
        <v>350</v>
      </c>
      <c r="C12" s="73" t="s">
        <v>351</v>
      </c>
      <c r="D12" t="s">
        <v>352</v>
      </c>
      <c r="E12" s="74">
        <v>46067</v>
      </c>
      <c r="F12" t="s">
        <v>357</v>
      </c>
      <c r="G12" t="s">
        <v>358</v>
      </c>
      <c r="H12" s="75">
        <f t="shared" si="0"/>
        <v>138.72549663844038</v>
      </c>
      <c r="I12" s="74">
        <v>46067</v>
      </c>
      <c r="J12">
        <v>4</v>
      </c>
      <c r="K12" t="s">
        <v>508</v>
      </c>
      <c r="L12" t="s">
        <v>359</v>
      </c>
      <c r="M12" t="s">
        <v>356</v>
      </c>
      <c r="N12" s="73">
        <v>67262</v>
      </c>
      <c r="O12" s="73">
        <v>67262</v>
      </c>
      <c r="P12">
        <v>34.681374159610094</v>
      </c>
    </row>
    <row r="13" spans="1:16" x14ac:dyDescent="0.2">
      <c r="A13" s="73">
        <v>67262</v>
      </c>
      <c r="B13" t="s">
        <v>350</v>
      </c>
      <c r="C13" s="73" t="s">
        <v>351</v>
      </c>
      <c r="D13" t="s">
        <v>352</v>
      </c>
      <c r="E13" s="74">
        <v>46069</v>
      </c>
      <c r="F13" t="s">
        <v>357</v>
      </c>
      <c r="G13" t="s">
        <v>358</v>
      </c>
      <c r="H13" s="75">
        <f t="shared" si="0"/>
        <v>69.362748319220188</v>
      </c>
      <c r="I13" s="74">
        <v>46069</v>
      </c>
      <c r="J13">
        <v>2</v>
      </c>
      <c r="K13" t="s">
        <v>508</v>
      </c>
      <c r="L13" t="s">
        <v>359</v>
      </c>
      <c r="M13" t="s">
        <v>356</v>
      </c>
      <c r="N13" s="73">
        <v>67262</v>
      </c>
      <c r="O13" s="73">
        <v>67262</v>
      </c>
      <c r="P13">
        <v>34.681374159610094</v>
      </c>
    </row>
    <row r="14" spans="1:16" x14ac:dyDescent="0.2">
      <c r="A14" s="73">
        <v>67262</v>
      </c>
      <c r="B14" t="s">
        <v>350</v>
      </c>
      <c r="C14" s="73" t="s">
        <v>351</v>
      </c>
      <c r="D14" t="s">
        <v>352</v>
      </c>
      <c r="E14" s="74">
        <v>46070</v>
      </c>
      <c r="F14" t="s">
        <v>357</v>
      </c>
      <c r="G14" t="s">
        <v>358</v>
      </c>
      <c r="H14" s="75">
        <f t="shared" si="0"/>
        <v>69.362748319220188</v>
      </c>
      <c r="I14" s="74">
        <v>46070</v>
      </c>
      <c r="J14">
        <v>2</v>
      </c>
      <c r="K14" t="s">
        <v>508</v>
      </c>
      <c r="L14" t="s">
        <v>359</v>
      </c>
      <c r="M14" t="s">
        <v>356</v>
      </c>
      <c r="N14" s="73">
        <v>67262</v>
      </c>
      <c r="O14" s="73">
        <v>67262</v>
      </c>
      <c r="P14">
        <v>34.681374159610094</v>
      </c>
    </row>
    <row r="15" spans="1:16" x14ac:dyDescent="0.2">
      <c r="A15" s="73">
        <v>67262</v>
      </c>
      <c r="B15" t="s">
        <v>350</v>
      </c>
      <c r="C15" s="73" t="s">
        <v>351</v>
      </c>
      <c r="D15" t="s">
        <v>352</v>
      </c>
      <c r="E15" s="74">
        <v>46071</v>
      </c>
      <c r="F15" t="s">
        <v>357</v>
      </c>
      <c r="G15" t="s">
        <v>358</v>
      </c>
      <c r="H15" s="75">
        <f t="shared" si="0"/>
        <v>69.362748319220188</v>
      </c>
      <c r="I15" s="74">
        <v>46071</v>
      </c>
      <c r="J15">
        <v>2</v>
      </c>
      <c r="K15" t="s">
        <v>508</v>
      </c>
      <c r="L15" t="s">
        <v>359</v>
      </c>
      <c r="M15" t="s">
        <v>356</v>
      </c>
      <c r="N15" s="73">
        <v>67262</v>
      </c>
      <c r="O15" s="73">
        <v>67262</v>
      </c>
      <c r="P15">
        <v>34.681374159610094</v>
      </c>
    </row>
    <row r="16" spans="1:16" x14ac:dyDescent="0.2">
      <c r="A16" s="73">
        <v>67262</v>
      </c>
      <c r="B16" t="s">
        <v>350</v>
      </c>
      <c r="C16" s="73" t="s">
        <v>351</v>
      </c>
      <c r="D16" t="s">
        <v>352</v>
      </c>
      <c r="E16" s="74">
        <v>46072</v>
      </c>
      <c r="F16" t="s">
        <v>357</v>
      </c>
      <c r="G16" t="s">
        <v>358</v>
      </c>
      <c r="H16" s="75">
        <f t="shared" si="0"/>
        <v>69.362748319220188</v>
      </c>
      <c r="I16" s="74">
        <v>46072</v>
      </c>
      <c r="J16">
        <v>2</v>
      </c>
      <c r="K16" t="s">
        <v>508</v>
      </c>
      <c r="L16" t="s">
        <v>359</v>
      </c>
      <c r="M16" t="s">
        <v>356</v>
      </c>
      <c r="N16" s="73">
        <v>67262</v>
      </c>
      <c r="O16" s="73">
        <v>67262</v>
      </c>
      <c r="P16">
        <v>34.681374159610094</v>
      </c>
    </row>
    <row r="17" spans="1:16" x14ac:dyDescent="0.2">
      <c r="A17" s="73">
        <v>67262</v>
      </c>
      <c r="B17" t="s">
        <v>350</v>
      </c>
      <c r="C17" s="73" t="s">
        <v>351</v>
      </c>
      <c r="D17" t="s">
        <v>352</v>
      </c>
      <c r="E17" s="74">
        <v>46074</v>
      </c>
      <c r="F17" t="s">
        <v>357</v>
      </c>
      <c r="G17" t="s">
        <v>358</v>
      </c>
      <c r="H17" s="75">
        <f t="shared" si="0"/>
        <v>208.08824495766055</v>
      </c>
      <c r="I17" s="74">
        <v>46074</v>
      </c>
      <c r="J17">
        <v>6</v>
      </c>
      <c r="K17" t="s">
        <v>508</v>
      </c>
      <c r="L17" t="s">
        <v>359</v>
      </c>
      <c r="M17" t="s">
        <v>356</v>
      </c>
      <c r="N17" s="73">
        <v>67262</v>
      </c>
      <c r="O17" s="73">
        <v>67262</v>
      </c>
      <c r="P17">
        <v>34.681374159610094</v>
      </c>
    </row>
    <row r="18" spans="1:16" x14ac:dyDescent="0.2">
      <c r="A18" s="73">
        <v>67262</v>
      </c>
      <c r="B18" t="s">
        <v>350</v>
      </c>
      <c r="C18" s="73" t="s">
        <v>351</v>
      </c>
      <c r="D18" t="s">
        <v>352</v>
      </c>
      <c r="E18" s="74">
        <v>46074</v>
      </c>
      <c r="F18" t="s">
        <v>357</v>
      </c>
      <c r="G18" t="s">
        <v>358</v>
      </c>
      <c r="H18" s="75">
        <f t="shared" si="0"/>
        <v>-208.08824495766055</v>
      </c>
      <c r="I18" s="74">
        <v>46074</v>
      </c>
      <c r="J18">
        <v>-6</v>
      </c>
      <c r="K18" t="s">
        <v>508</v>
      </c>
      <c r="L18" t="s">
        <v>359</v>
      </c>
      <c r="M18" t="s">
        <v>356</v>
      </c>
      <c r="N18" s="73">
        <v>67262</v>
      </c>
      <c r="O18" s="73">
        <v>67262</v>
      </c>
      <c r="P18">
        <v>34.681374159610094</v>
      </c>
    </row>
    <row r="19" spans="1:16" x14ac:dyDescent="0.2">
      <c r="A19" s="73">
        <v>67262</v>
      </c>
      <c r="B19" t="s">
        <v>350</v>
      </c>
      <c r="C19" s="73" t="s">
        <v>351</v>
      </c>
      <c r="D19" t="s">
        <v>352</v>
      </c>
      <c r="E19" s="74">
        <v>46076</v>
      </c>
      <c r="F19" t="s">
        <v>357</v>
      </c>
      <c r="G19" t="s">
        <v>358</v>
      </c>
      <c r="H19" s="75">
        <f t="shared" si="0"/>
        <v>104.04412247883027</v>
      </c>
      <c r="I19" s="74">
        <v>46076</v>
      </c>
      <c r="J19">
        <v>3</v>
      </c>
      <c r="K19" t="s">
        <v>508</v>
      </c>
      <c r="L19" t="s">
        <v>359</v>
      </c>
      <c r="M19" t="s">
        <v>356</v>
      </c>
      <c r="N19" s="73">
        <v>67262</v>
      </c>
      <c r="O19" s="73">
        <v>67262</v>
      </c>
      <c r="P19">
        <v>34.681374159610094</v>
      </c>
    </row>
    <row r="20" spans="1:16" x14ac:dyDescent="0.2">
      <c r="A20" s="73">
        <v>67262</v>
      </c>
      <c r="B20" t="s">
        <v>350</v>
      </c>
      <c r="C20" s="73" t="s">
        <v>351</v>
      </c>
      <c r="D20" t="s">
        <v>352</v>
      </c>
      <c r="E20" s="74">
        <v>46077</v>
      </c>
      <c r="F20" t="s">
        <v>357</v>
      </c>
      <c r="G20" t="s">
        <v>358</v>
      </c>
      <c r="H20" s="75">
        <f t="shared" si="0"/>
        <v>104.04412247883027</v>
      </c>
      <c r="I20" s="74">
        <v>46077</v>
      </c>
      <c r="J20">
        <v>3</v>
      </c>
      <c r="K20" t="s">
        <v>508</v>
      </c>
      <c r="L20" t="s">
        <v>359</v>
      </c>
      <c r="M20" t="s">
        <v>356</v>
      </c>
      <c r="N20" s="73">
        <v>67262</v>
      </c>
      <c r="O20" s="73">
        <v>67262</v>
      </c>
      <c r="P20">
        <v>34.681374159610094</v>
      </c>
    </row>
    <row r="21" spans="1:16" x14ac:dyDescent="0.2">
      <c r="A21" s="73">
        <v>67262</v>
      </c>
      <c r="B21" t="s">
        <v>350</v>
      </c>
      <c r="C21" s="73" t="s">
        <v>351</v>
      </c>
      <c r="D21" t="s">
        <v>352</v>
      </c>
      <c r="E21" s="74">
        <v>46078</v>
      </c>
      <c r="F21" t="s">
        <v>357</v>
      </c>
      <c r="G21" t="s">
        <v>358</v>
      </c>
      <c r="H21" s="75">
        <f t="shared" si="0"/>
        <v>104.04412247883027</v>
      </c>
      <c r="I21" s="74">
        <v>46078</v>
      </c>
      <c r="J21">
        <v>3</v>
      </c>
      <c r="K21" t="s">
        <v>508</v>
      </c>
      <c r="L21" t="s">
        <v>359</v>
      </c>
      <c r="M21" t="s">
        <v>356</v>
      </c>
      <c r="N21" s="73">
        <v>67262</v>
      </c>
      <c r="O21" s="73">
        <v>67262</v>
      </c>
      <c r="P21">
        <v>34.681374159610094</v>
      </c>
    </row>
    <row r="22" spans="1:16" x14ac:dyDescent="0.2">
      <c r="A22" s="73">
        <v>67262</v>
      </c>
      <c r="B22" t="s">
        <v>350</v>
      </c>
      <c r="C22" s="73" t="s">
        <v>351</v>
      </c>
      <c r="D22" t="s">
        <v>352</v>
      </c>
      <c r="E22" s="74">
        <v>46079</v>
      </c>
      <c r="F22" t="s">
        <v>360</v>
      </c>
      <c r="G22" t="s">
        <v>361</v>
      </c>
      <c r="H22" s="75">
        <f t="shared" si="0"/>
        <v>277.45099327688075</v>
      </c>
      <c r="I22" s="74">
        <v>46079</v>
      </c>
      <c r="J22">
        <v>8</v>
      </c>
      <c r="K22" t="s">
        <v>508</v>
      </c>
      <c r="L22" t="s">
        <v>262</v>
      </c>
      <c r="M22" t="s">
        <v>356</v>
      </c>
      <c r="N22" s="73">
        <v>67262</v>
      </c>
      <c r="O22" s="73">
        <v>67262</v>
      </c>
      <c r="P22">
        <v>34.681374159610094</v>
      </c>
    </row>
    <row r="23" spans="1:16" x14ac:dyDescent="0.2">
      <c r="A23" s="73">
        <v>67262</v>
      </c>
      <c r="B23" t="s">
        <v>350</v>
      </c>
      <c r="C23" s="73" t="s">
        <v>351</v>
      </c>
      <c r="D23" t="s">
        <v>352</v>
      </c>
      <c r="E23" s="74">
        <v>46080</v>
      </c>
      <c r="F23" t="s">
        <v>357</v>
      </c>
      <c r="G23" t="s">
        <v>358</v>
      </c>
      <c r="H23" s="75">
        <f t="shared" si="0"/>
        <v>104.04412247883027</v>
      </c>
      <c r="I23" s="74">
        <v>46080</v>
      </c>
      <c r="J23">
        <v>3</v>
      </c>
      <c r="K23" t="s">
        <v>508</v>
      </c>
      <c r="L23" t="s">
        <v>359</v>
      </c>
      <c r="M23" t="s">
        <v>356</v>
      </c>
      <c r="N23" s="73">
        <v>67262</v>
      </c>
      <c r="O23" s="73">
        <v>67262</v>
      </c>
      <c r="P23">
        <v>34.681374159610094</v>
      </c>
    </row>
    <row r="24" spans="1:16" x14ac:dyDescent="0.2">
      <c r="A24" s="73">
        <v>67262</v>
      </c>
      <c r="B24" t="s">
        <v>350</v>
      </c>
      <c r="C24" s="73" t="s">
        <v>351</v>
      </c>
      <c r="D24" t="s">
        <v>352</v>
      </c>
      <c r="E24" s="74">
        <v>46083</v>
      </c>
      <c r="F24" t="s">
        <v>362</v>
      </c>
      <c r="G24" t="s">
        <v>363</v>
      </c>
      <c r="H24" s="75">
        <f t="shared" si="0"/>
        <v>277.45099327688075</v>
      </c>
      <c r="I24" s="74">
        <v>46083</v>
      </c>
      <c r="J24">
        <v>8</v>
      </c>
      <c r="K24" t="s">
        <v>509</v>
      </c>
      <c r="L24" t="s">
        <v>355</v>
      </c>
      <c r="M24" t="s">
        <v>356</v>
      </c>
      <c r="N24" s="73">
        <v>67262</v>
      </c>
      <c r="O24" s="73">
        <v>67262</v>
      </c>
      <c r="P24">
        <v>34.681374159610094</v>
      </c>
    </row>
    <row r="25" spans="1:16" x14ac:dyDescent="0.2">
      <c r="A25" s="73">
        <v>67262</v>
      </c>
      <c r="B25" t="s">
        <v>350</v>
      </c>
      <c r="C25" s="73" t="s">
        <v>351</v>
      </c>
      <c r="D25" t="s">
        <v>352</v>
      </c>
      <c r="E25" s="74">
        <v>46083</v>
      </c>
      <c r="F25" t="s">
        <v>353</v>
      </c>
      <c r="G25" t="s">
        <v>354</v>
      </c>
      <c r="H25" s="75">
        <f t="shared" si="0"/>
        <v>242.76961911727065</v>
      </c>
      <c r="I25" s="74">
        <v>46083</v>
      </c>
      <c r="J25">
        <v>7</v>
      </c>
      <c r="K25" t="s">
        <v>509</v>
      </c>
      <c r="L25" t="s">
        <v>355</v>
      </c>
      <c r="M25" t="s">
        <v>356</v>
      </c>
      <c r="N25" s="73">
        <v>67262</v>
      </c>
      <c r="O25" s="73">
        <v>67262</v>
      </c>
      <c r="P25">
        <v>34.681374159610094</v>
      </c>
    </row>
    <row r="26" spans="1:16" x14ac:dyDescent="0.2">
      <c r="A26" s="73">
        <v>67262</v>
      </c>
      <c r="B26" t="s">
        <v>350</v>
      </c>
      <c r="C26" s="73" t="s">
        <v>351</v>
      </c>
      <c r="D26" t="s">
        <v>352</v>
      </c>
      <c r="E26" s="74">
        <v>46083</v>
      </c>
      <c r="F26" t="s">
        <v>357</v>
      </c>
      <c r="G26" t="s">
        <v>358</v>
      </c>
      <c r="H26" s="75">
        <f t="shared" si="0"/>
        <v>69.362748319220188</v>
      </c>
      <c r="I26" s="74">
        <v>46083</v>
      </c>
      <c r="J26">
        <v>2</v>
      </c>
      <c r="K26" t="s">
        <v>509</v>
      </c>
      <c r="L26" t="s">
        <v>359</v>
      </c>
      <c r="M26" t="s">
        <v>356</v>
      </c>
      <c r="N26" s="73">
        <v>67262</v>
      </c>
      <c r="O26" s="73">
        <v>67262</v>
      </c>
      <c r="P26">
        <v>34.681374159610094</v>
      </c>
    </row>
    <row r="27" spans="1:16" x14ac:dyDescent="0.2">
      <c r="A27" s="73">
        <v>67262</v>
      </c>
      <c r="B27" t="s">
        <v>350</v>
      </c>
      <c r="C27" s="73" t="s">
        <v>351</v>
      </c>
      <c r="D27" t="s">
        <v>352</v>
      </c>
      <c r="E27" s="74">
        <v>46084</v>
      </c>
      <c r="F27" t="s">
        <v>362</v>
      </c>
      <c r="G27" t="s">
        <v>363</v>
      </c>
      <c r="H27" s="75">
        <f t="shared" si="0"/>
        <v>277.45099327688075</v>
      </c>
      <c r="I27" s="74">
        <v>46084</v>
      </c>
      <c r="J27">
        <v>8</v>
      </c>
      <c r="K27" t="s">
        <v>509</v>
      </c>
      <c r="L27" t="s">
        <v>355</v>
      </c>
      <c r="M27" t="s">
        <v>356</v>
      </c>
      <c r="N27" s="73">
        <v>67262</v>
      </c>
      <c r="O27" s="73">
        <v>67262</v>
      </c>
      <c r="P27">
        <v>34.681374159610094</v>
      </c>
    </row>
    <row r="28" spans="1:16" x14ac:dyDescent="0.2">
      <c r="A28" s="73">
        <v>67262</v>
      </c>
      <c r="B28" t="s">
        <v>350</v>
      </c>
      <c r="C28" s="73" t="s">
        <v>351</v>
      </c>
      <c r="D28" t="s">
        <v>352</v>
      </c>
      <c r="E28" s="74">
        <v>46084</v>
      </c>
      <c r="F28" t="s">
        <v>357</v>
      </c>
      <c r="G28" t="s">
        <v>358</v>
      </c>
      <c r="H28" s="75">
        <f t="shared" si="0"/>
        <v>69.362748319220188</v>
      </c>
      <c r="I28" s="74">
        <v>46084</v>
      </c>
      <c r="J28">
        <v>2</v>
      </c>
      <c r="K28" t="s">
        <v>509</v>
      </c>
      <c r="L28" t="s">
        <v>359</v>
      </c>
      <c r="M28" t="s">
        <v>356</v>
      </c>
      <c r="N28" s="73">
        <v>67262</v>
      </c>
      <c r="O28" s="73">
        <v>67262</v>
      </c>
      <c r="P28">
        <v>34.681374159610094</v>
      </c>
    </row>
    <row r="29" spans="1:16" x14ac:dyDescent="0.2">
      <c r="A29" s="73">
        <v>67262</v>
      </c>
      <c r="B29" t="s">
        <v>350</v>
      </c>
      <c r="C29" s="73" t="s">
        <v>351</v>
      </c>
      <c r="D29" t="s">
        <v>352</v>
      </c>
      <c r="E29" s="74">
        <v>46090</v>
      </c>
      <c r="F29" t="s">
        <v>357</v>
      </c>
      <c r="G29" t="s">
        <v>358</v>
      </c>
      <c r="H29" s="75">
        <f t="shared" si="0"/>
        <v>156.06618371824541</v>
      </c>
      <c r="I29" s="74">
        <v>46090</v>
      </c>
      <c r="J29">
        <v>4.5</v>
      </c>
      <c r="K29" t="s">
        <v>509</v>
      </c>
      <c r="L29" t="s">
        <v>359</v>
      </c>
      <c r="M29" t="s">
        <v>356</v>
      </c>
      <c r="N29" s="73">
        <v>67262</v>
      </c>
      <c r="O29" s="73">
        <v>67262</v>
      </c>
      <c r="P29">
        <v>34.681374159610094</v>
      </c>
    </row>
    <row r="30" spans="1:16" x14ac:dyDescent="0.2">
      <c r="A30" s="73">
        <v>67262</v>
      </c>
      <c r="B30" t="s">
        <v>350</v>
      </c>
      <c r="C30" s="73" t="s">
        <v>351</v>
      </c>
      <c r="D30" t="s">
        <v>352</v>
      </c>
      <c r="E30" s="74">
        <v>46111</v>
      </c>
      <c r="F30" t="s">
        <v>364</v>
      </c>
      <c r="G30" t="s">
        <v>365</v>
      </c>
      <c r="H30" s="75">
        <f t="shared" si="0"/>
        <v>277.45099327688075</v>
      </c>
      <c r="I30" s="74">
        <v>46111</v>
      </c>
      <c r="J30">
        <v>8</v>
      </c>
      <c r="K30" t="s">
        <v>509</v>
      </c>
      <c r="L30" t="s">
        <v>366</v>
      </c>
      <c r="M30" t="s">
        <v>356</v>
      </c>
      <c r="N30" s="73">
        <v>67262</v>
      </c>
      <c r="O30" s="73">
        <v>67262</v>
      </c>
      <c r="P30">
        <v>34.681374159610094</v>
      </c>
    </row>
    <row r="31" spans="1:16" x14ac:dyDescent="0.2">
      <c r="A31" s="73">
        <v>67262</v>
      </c>
      <c r="B31" t="s">
        <v>350</v>
      </c>
      <c r="C31" s="73" t="s">
        <v>351</v>
      </c>
      <c r="D31" t="s">
        <v>352</v>
      </c>
      <c r="E31" s="74">
        <v>46112</v>
      </c>
      <c r="F31" t="s">
        <v>364</v>
      </c>
      <c r="G31" t="s">
        <v>365</v>
      </c>
      <c r="H31" s="75">
        <f t="shared" si="0"/>
        <v>277.45099327688075</v>
      </c>
      <c r="I31" s="74">
        <v>46112</v>
      </c>
      <c r="J31">
        <v>8</v>
      </c>
      <c r="K31" t="s">
        <v>509</v>
      </c>
      <c r="L31" t="s">
        <v>366</v>
      </c>
      <c r="M31" t="s">
        <v>356</v>
      </c>
      <c r="N31" s="73">
        <v>67262</v>
      </c>
      <c r="O31" s="73">
        <v>67262</v>
      </c>
      <c r="P31">
        <v>34.681374159610094</v>
      </c>
    </row>
    <row r="32" spans="1:16" x14ac:dyDescent="0.2">
      <c r="A32" s="73">
        <v>67262</v>
      </c>
      <c r="B32" t="s">
        <v>350</v>
      </c>
      <c r="C32" s="73" t="s">
        <v>351</v>
      </c>
      <c r="D32" t="s">
        <v>352</v>
      </c>
      <c r="E32" s="74">
        <v>46112</v>
      </c>
      <c r="F32" t="s">
        <v>353</v>
      </c>
      <c r="G32" t="s">
        <v>354</v>
      </c>
      <c r="H32" s="75">
        <f t="shared" si="0"/>
        <v>242.76961911727065</v>
      </c>
      <c r="I32" s="74">
        <v>46112</v>
      </c>
      <c r="J32">
        <v>7</v>
      </c>
      <c r="K32" t="s">
        <v>509</v>
      </c>
      <c r="L32" t="s">
        <v>355</v>
      </c>
      <c r="M32" t="s">
        <v>356</v>
      </c>
      <c r="N32" s="73">
        <v>67262</v>
      </c>
      <c r="O32" s="73">
        <v>67262</v>
      </c>
      <c r="P32">
        <v>34.681374159610094</v>
      </c>
    </row>
    <row r="33" spans="1:16" x14ac:dyDescent="0.2">
      <c r="A33" s="73">
        <v>67262</v>
      </c>
      <c r="B33" t="s">
        <v>350</v>
      </c>
      <c r="C33" s="73" t="s">
        <v>351</v>
      </c>
      <c r="D33" t="s">
        <v>352</v>
      </c>
      <c r="E33" s="74">
        <v>46113</v>
      </c>
      <c r="F33" t="s">
        <v>364</v>
      </c>
      <c r="G33" t="s">
        <v>365</v>
      </c>
      <c r="H33" s="75">
        <f t="shared" si="0"/>
        <v>277.45099327688075</v>
      </c>
      <c r="I33" s="74">
        <v>46113</v>
      </c>
      <c r="J33">
        <v>8</v>
      </c>
      <c r="K33" t="s">
        <v>510</v>
      </c>
      <c r="L33" t="s">
        <v>366</v>
      </c>
      <c r="M33" t="s">
        <v>356</v>
      </c>
      <c r="N33" s="73">
        <v>67262</v>
      </c>
      <c r="O33" s="73">
        <v>67262</v>
      </c>
      <c r="P33">
        <v>34.681374159610094</v>
      </c>
    </row>
    <row r="34" spans="1:16" x14ac:dyDescent="0.2">
      <c r="A34" s="73">
        <v>67262</v>
      </c>
      <c r="B34" t="s">
        <v>350</v>
      </c>
      <c r="C34" s="73" t="s">
        <v>351</v>
      </c>
      <c r="D34" t="s">
        <v>352</v>
      </c>
      <c r="E34" s="74">
        <v>46114</v>
      </c>
      <c r="F34" t="s">
        <v>364</v>
      </c>
      <c r="G34" t="s">
        <v>365</v>
      </c>
      <c r="H34" s="75">
        <f t="shared" si="0"/>
        <v>277.45099327688075</v>
      </c>
      <c r="I34" s="74">
        <v>46114</v>
      </c>
      <c r="J34">
        <v>8</v>
      </c>
      <c r="K34" t="s">
        <v>510</v>
      </c>
      <c r="L34" t="s">
        <v>366</v>
      </c>
      <c r="M34" t="s">
        <v>356</v>
      </c>
      <c r="N34" s="73">
        <v>67262</v>
      </c>
      <c r="O34" s="73">
        <v>67262</v>
      </c>
      <c r="P34">
        <v>34.681374159610094</v>
      </c>
    </row>
    <row r="35" spans="1:16" x14ac:dyDescent="0.2">
      <c r="A35" s="73">
        <v>67262</v>
      </c>
      <c r="B35" t="s">
        <v>350</v>
      </c>
      <c r="C35" s="73" t="s">
        <v>351</v>
      </c>
      <c r="D35" t="s">
        <v>352</v>
      </c>
      <c r="E35" s="74">
        <v>46115</v>
      </c>
      <c r="F35" t="s">
        <v>364</v>
      </c>
      <c r="G35" t="s">
        <v>365</v>
      </c>
      <c r="H35" s="75">
        <f t="shared" si="0"/>
        <v>277.45099327688075</v>
      </c>
      <c r="I35" s="74">
        <v>46115</v>
      </c>
      <c r="J35">
        <v>8</v>
      </c>
      <c r="K35" t="s">
        <v>510</v>
      </c>
      <c r="L35" t="s">
        <v>366</v>
      </c>
      <c r="M35" t="s">
        <v>356</v>
      </c>
      <c r="N35" s="73">
        <v>67262</v>
      </c>
      <c r="O35" s="73">
        <v>67262</v>
      </c>
      <c r="P35">
        <v>34.681374159610094</v>
      </c>
    </row>
    <row r="36" spans="1:16" hidden="1" x14ac:dyDescent="0.2">
      <c r="A36" s="73">
        <v>66194</v>
      </c>
      <c r="B36" t="s">
        <v>416</v>
      </c>
      <c r="C36" s="73" t="s">
        <v>417</v>
      </c>
      <c r="D36" t="s">
        <v>418</v>
      </c>
      <c r="E36" s="74">
        <v>45839</v>
      </c>
      <c r="F36" t="s">
        <v>414</v>
      </c>
      <c r="G36" t="s">
        <v>415</v>
      </c>
      <c r="H36" s="75">
        <f t="shared" si="0"/>
        <v>242.76961911727065</v>
      </c>
      <c r="I36" s="74">
        <v>45839</v>
      </c>
      <c r="J36">
        <v>7</v>
      </c>
      <c r="K36" t="s">
        <v>511</v>
      </c>
      <c r="L36" t="s">
        <v>262</v>
      </c>
      <c r="M36" t="s">
        <v>356</v>
      </c>
      <c r="N36" s="73">
        <v>66194</v>
      </c>
      <c r="O36" s="73">
        <v>66194</v>
      </c>
      <c r="P36">
        <v>34.681374159610094</v>
      </c>
    </row>
    <row r="37" spans="1:16" hidden="1" x14ac:dyDescent="0.2">
      <c r="A37" s="73">
        <v>66434</v>
      </c>
      <c r="B37" t="s">
        <v>416</v>
      </c>
      <c r="C37" s="73" t="s">
        <v>419</v>
      </c>
      <c r="D37" t="s">
        <v>420</v>
      </c>
      <c r="E37" s="74">
        <v>45840</v>
      </c>
      <c r="F37" t="s">
        <v>414</v>
      </c>
      <c r="G37" t="s">
        <v>415</v>
      </c>
      <c r="H37" s="75">
        <f t="shared" si="0"/>
        <v>242.76961911727065</v>
      </c>
      <c r="I37" s="74">
        <v>45840</v>
      </c>
      <c r="J37">
        <v>7</v>
      </c>
      <c r="K37" t="s">
        <v>511</v>
      </c>
      <c r="L37" t="s">
        <v>262</v>
      </c>
      <c r="M37" t="s">
        <v>356</v>
      </c>
      <c r="N37" s="73">
        <v>66434</v>
      </c>
      <c r="O37" s="73">
        <v>66434</v>
      </c>
      <c r="P37">
        <v>34.681374159610094</v>
      </c>
    </row>
    <row r="38" spans="1:16" hidden="1" x14ac:dyDescent="0.2">
      <c r="A38" s="73">
        <v>66194</v>
      </c>
      <c r="B38" t="s">
        <v>416</v>
      </c>
      <c r="C38" s="73" t="s">
        <v>417</v>
      </c>
      <c r="D38" t="s">
        <v>418</v>
      </c>
      <c r="E38" s="74">
        <v>45841</v>
      </c>
      <c r="F38" t="s">
        <v>414</v>
      </c>
      <c r="G38" t="s">
        <v>415</v>
      </c>
      <c r="H38" s="75">
        <f t="shared" si="0"/>
        <v>242.76961911727065</v>
      </c>
      <c r="I38" s="74">
        <v>45841</v>
      </c>
      <c r="J38">
        <v>7</v>
      </c>
      <c r="K38" t="s">
        <v>511</v>
      </c>
      <c r="L38" t="s">
        <v>262</v>
      </c>
      <c r="M38" t="s">
        <v>356</v>
      </c>
      <c r="N38" s="73">
        <v>66194</v>
      </c>
      <c r="O38" s="73">
        <v>66194</v>
      </c>
      <c r="P38">
        <v>34.681374159610094</v>
      </c>
    </row>
    <row r="39" spans="1:16" hidden="1" x14ac:dyDescent="0.2">
      <c r="A39" s="73">
        <v>66194</v>
      </c>
      <c r="B39" t="s">
        <v>416</v>
      </c>
      <c r="C39" s="73" t="s">
        <v>417</v>
      </c>
      <c r="D39" t="s">
        <v>418</v>
      </c>
      <c r="E39" s="74">
        <v>45842</v>
      </c>
      <c r="F39" t="s">
        <v>414</v>
      </c>
      <c r="G39" t="s">
        <v>415</v>
      </c>
      <c r="H39" s="75">
        <f t="shared" si="0"/>
        <v>242.76961911727065</v>
      </c>
      <c r="I39" s="74">
        <v>45842</v>
      </c>
      <c r="J39">
        <v>7</v>
      </c>
      <c r="K39" t="s">
        <v>511</v>
      </c>
      <c r="L39" t="s">
        <v>262</v>
      </c>
      <c r="M39" t="s">
        <v>356</v>
      </c>
      <c r="N39" s="73">
        <v>66194</v>
      </c>
      <c r="O39" s="73">
        <v>66194</v>
      </c>
      <c r="P39">
        <v>34.681374159610094</v>
      </c>
    </row>
    <row r="40" spans="1:16" x14ac:dyDescent="0.2">
      <c r="A40" s="73">
        <v>67262</v>
      </c>
      <c r="B40" t="s">
        <v>350</v>
      </c>
      <c r="C40" s="73" t="s">
        <v>421</v>
      </c>
      <c r="D40" t="s">
        <v>422</v>
      </c>
      <c r="E40" s="74">
        <v>45845</v>
      </c>
      <c r="F40" t="s">
        <v>414</v>
      </c>
      <c r="G40" t="s">
        <v>415</v>
      </c>
      <c r="H40" s="75">
        <f t="shared" si="0"/>
        <v>242.76961911727065</v>
      </c>
      <c r="I40" s="74">
        <v>45845</v>
      </c>
      <c r="J40">
        <v>7</v>
      </c>
      <c r="K40" t="s">
        <v>511</v>
      </c>
      <c r="L40" t="s">
        <v>262</v>
      </c>
      <c r="M40" t="s">
        <v>356</v>
      </c>
      <c r="N40" s="73">
        <v>67262</v>
      </c>
      <c r="O40" s="73">
        <v>67262</v>
      </c>
      <c r="P40">
        <v>34.681374159610094</v>
      </c>
    </row>
    <row r="41" spans="1:16" x14ac:dyDescent="0.2">
      <c r="A41" s="73">
        <v>67262</v>
      </c>
      <c r="B41" t="s">
        <v>350</v>
      </c>
      <c r="C41" s="73" t="s">
        <v>421</v>
      </c>
      <c r="D41" t="s">
        <v>422</v>
      </c>
      <c r="E41" s="74">
        <v>45846</v>
      </c>
      <c r="F41" t="s">
        <v>414</v>
      </c>
      <c r="G41" t="s">
        <v>415</v>
      </c>
      <c r="H41" s="75">
        <f t="shared" si="0"/>
        <v>242.76961911727065</v>
      </c>
      <c r="I41" s="74">
        <v>45846</v>
      </c>
      <c r="J41">
        <v>7</v>
      </c>
      <c r="K41" t="s">
        <v>511</v>
      </c>
      <c r="L41" t="s">
        <v>262</v>
      </c>
      <c r="M41" t="s">
        <v>356</v>
      </c>
      <c r="N41" s="73">
        <v>67262</v>
      </c>
      <c r="O41" s="73">
        <v>67262</v>
      </c>
      <c r="P41">
        <v>34.681374159610094</v>
      </c>
    </row>
    <row r="42" spans="1:16" x14ac:dyDescent="0.2">
      <c r="A42" s="73">
        <v>67262</v>
      </c>
      <c r="B42" t="s">
        <v>350</v>
      </c>
      <c r="C42" s="73" t="s">
        <v>421</v>
      </c>
      <c r="D42" t="s">
        <v>422</v>
      </c>
      <c r="E42" s="74">
        <v>45847</v>
      </c>
      <c r="F42" t="s">
        <v>414</v>
      </c>
      <c r="G42" t="s">
        <v>415</v>
      </c>
      <c r="H42" s="75">
        <f t="shared" si="0"/>
        <v>242.76961911727065</v>
      </c>
      <c r="I42" s="74">
        <v>45847</v>
      </c>
      <c r="J42">
        <v>7</v>
      </c>
      <c r="K42" t="s">
        <v>511</v>
      </c>
      <c r="L42" t="s">
        <v>262</v>
      </c>
      <c r="M42" t="s">
        <v>356</v>
      </c>
      <c r="N42" s="73">
        <v>67262</v>
      </c>
      <c r="O42" s="73">
        <v>67262</v>
      </c>
      <c r="P42">
        <v>34.681374159610094</v>
      </c>
    </row>
    <row r="43" spans="1:16" x14ac:dyDescent="0.2">
      <c r="A43" s="73">
        <v>67262</v>
      </c>
      <c r="B43" t="s">
        <v>350</v>
      </c>
      <c r="C43" s="73" t="s">
        <v>421</v>
      </c>
      <c r="D43" t="s">
        <v>422</v>
      </c>
      <c r="E43" s="74">
        <v>45848</v>
      </c>
      <c r="F43" t="s">
        <v>414</v>
      </c>
      <c r="G43" t="s">
        <v>415</v>
      </c>
      <c r="H43" s="75">
        <f t="shared" si="0"/>
        <v>242.76961911727065</v>
      </c>
      <c r="I43" s="74">
        <v>45848</v>
      </c>
      <c r="J43">
        <v>7</v>
      </c>
      <c r="K43" t="s">
        <v>511</v>
      </c>
      <c r="L43" t="s">
        <v>262</v>
      </c>
      <c r="M43" t="s">
        <v>356</v>
      </c>
      <c r="N43" s="73">
        <v>67262</v>
      </c>
      <c r="O43" s="73">
        <v>67262</v>
      </c>
      <c r="P43">
        <v>34.681374159610094</v>
      </c>
    </row>
    <row r="44" spans="1:16" x14ac:dyDescent="0.2">
      <c r="A44" s="73">
        <v>67262</v>
      </c>
      <c r="B44" t="s">
        <v>350</v>
      </c>
      <c r="C44" s="73" t="s">
        <v>421</v>
      </c>
      <c r="D44" t="s">
        <v>422</v>
      </c>
      <c r="E44" s="74">
        <v>45849</v>
      </c>
      <c r="F44" t="s">
        <v>414</v>
      </c>
      <c r="G44" t="s">
        <v>415</v>
      </c>
      <c r="H44" s="75">
        <f t="shared" si="0"/>
        <v>208.08824495766055</v>
      </c>
      <c r="I44" s="74">
        <v>45849</v>
      </c>
      <c r="J44">
        <v>6</v>
      </c>
      <c r="K44" t="s">
        <v>511</v>
      </c>
      <c r="L44" t="s">
        <v>262</v>
      </c>
      <c r="M44" t="s">
        <v>356</v>
      </c>
      <c r="N44" s="73">
        <v>67262</v>
      </c>
      <c r="O44" s="73">
        <v>67262</v>
      </c>
      <c r="P44">
        <v>34.681374159610094</v>
      </c>
    </row>
    <row r="45" spans="1:16" x14ac:dyDescent="0.2">
      <c r="A45" s="73">
        <v>67262</v>
      </c>
      <c r="B45" t="s">
        <v>350</v>
      </c>
      <c r="C45" s="73" t="s">
        <v>421</v>
      </c>
      <c r="D45" t="s">
        <v>422</v>
      </c>
      <c r="E45" s="74">
        <v>45852</v>
      </c>
      <c r="F45" t="s">
        <v>414</v>
      </c>
      <c r="G45" t="s">
        <v>415</v>
      </c>
      <c r="H45" s="75">
        <f t="shared" si="0"/>
        <v>242.76961911727065</v>
      </c>
      <c r="I45" s="74">
        <v>45852</v>
      </c>
      <c r="J45">
        <v>7</v>
      </c>
      <c r="K45" t="s">
        <v>511</v>
      </c>
      <c r="L45" t="s">
        <v>262</v>
      </c>
      <c r="M45" t="s">
        <v>356</v>
      </c>
      <c r="N45" s="73">
        <v>67262</v>
      </c>
      <c r="O45" s="73">
        <v>67262</v>
      </c>
      <c r="P45">
        <v>34.681374159610094</v>
      </c>
    </row>
    <row r="46" spans="1:16" x14ac:dyDescent="0.2">
      <c r="A46" s="73">
        <v>67262</v>
      </c>
      <c r="B46" t="s">
        <v>350</v>
      </c>
      <c r="C46" s="73" t="s">
        <v>421</v>
      </c>
      <c r="D46" t="s">
        <v>422</v>
      </c>
      <c r="E46" s="74">
        <v>45853</v>
      </c>
      <c r="F46" t="s">
        <v>414</v>
      </c>
      <c r="G46" t="s">
        <v>415</v>
      </c>
      <c r="H46" s="75">
        <f t="shared" si="0"/>
        <v>242.76961911727065</v>
      </c>
      <c r="I46" s="74">
        <v>45853</v>
      </c>
      <c r="J46">
        <v>7</v>
      </c>
      <c r="K46" t="s">
        <v>511</v>
      </c>
      <c r="L46" t="s">
        <v>262</v>
      </c>
      <c r="M46" t="s">
        <v>356</v>
      </c>
      <c r="N46" s="73">
        <v>67262</v>
      </c>
      <c r="O46" s="73">
        <v>67262</v>
      </c>
      <c r="P46">
        <v>34.681374159610094</v>
      </c>
    </row>
    <row r="47" spans="1:16" x14ac:dyDescent="0.2">
      <c r="A47" s="73">
        <v>67262</v>
      </c>
      <c r="B47" t="s">
        <v>350</v>
      </c>
      <c r="C47" s="73" t="s">
        <v>421</v>
      </c>
      <c r="D47" t="s">
        <v>422</v>
      </c>
      <c r="E47" s="74">
        <v>45854</v>
      </c>
      <c r="F47" t="s">
        <v>414</v>
      </c>
      <c r="G47" t="s">
        <v>415</v>
      </c>
      <c r="H47" s="75">
        <f t="shared" si="0"/>
        <v>242.76961911727065</v>
      </c>
      <c r="I47" s="74">
        <v>45854</v>
      </c>
      <c r="J47">
        <v>7</v>
      </c>
      <c r="K47" t="s">
        <v>511</v>
      </c>
      <c r="L47" t="s">
        <v>262</v>
      </c>
      <c r="M47" t="s">
        <v>356</v>
      </c>
      <c r="N47" s="73">
        <v>67262</v>
      </c>
      <c r="O47" s="73">
        <v>67262</v>
      </c>
      <c r="P47">
        <v>34.681374159610094</v>
      </c>
    </row>
    <row r="48" spans="1:16" x14ac:dyDescent="0.2">
      <c r="A48" s="73">
        <v>67262</v>
      </c>
      <c r="B48" t="s">
        <v>350</v>
      </c>
      <c r="C48" s="73" t="s">
        <v>421</v>
      </c>
      <c r="D48" t="s">
        <v>422</v>
      </c>
      <c r="E48" s="74">
        <v>45855</v>
      </c>
      <c r="F48" t="s">
        <v>414</v>
      </c>
      <c r="G48" t="s">
        <v>415</v>
      </c>
      <c r="H48" s="75">
        <f t="shared" si="0"/>
        <v>242.76961911727065</v>
      </c>
      <c r="I48" s="74">
        <v>45855</v>
      </c>
      <c r="J48">
        <v>7</v>
      </c>
      <c r="K48" t="s">
        <v>511</v>
      </c>
      <c r="L48" t="s">
        <v>262</v>
      </c>
      <c r="M48" t="s">
        <v>356</v>
      </c>
      <c r="N48" s="73">
        <v>67262</v>
      </c>
      <c r="O48" s="73">
        <v>67262</v>
      </c>
      <c r="P48">
        <v>34.681374159610094</v>
      </c>
    </row>
    <row r="49" spans="1:16" x14ac:dyDescent="0.2">
      <c r="A49" s="73">
        <v>67262</v>
      </c>
      <c r="B49" t="s">
        <v>350</v>
      </c>
      <c r="C49" s="73" t="s">
        <v>421</v>
      </c>
      <c r="D49" t="s">
        <v>422</v>
      </c>
      <c r="E49" s="74">
        <v>45856</v>
      </c>
      <c r="F49" t="s">
        <v>414</v>
      </c>
      <c r="G49" t="s">
        <v>415</v>
      </c>
      <c r="H49" s="75">
        <f t="shared" si="0"/>
        <v>242.76961911727065</v>
      </c>
      <c r="I49" s="74">
        <v>45856</v>
      </c>
      <c r="J49">
        <v>7</v>
      </c>
      <c r="K49" t="s">
        <v>511</v>
      </c>
      <c r="L49" t="s">
        <v>262</v>
      </c>
      <c r="M49" t="s">
        <v>356</v>
      </c>
      <c r="N49" s="73">
        <v>67262</v>
      </c>
      <c r="O49" s="73">
        <v>67262</v>
      </c>
      <c r="P49">
        <v>34.681374159610094</v>
      </c>
    </row>
    <row r="50" spans="1:16" x14ac:dyDescent="0.2">
      <c r="A50" s="73">
        <v>67262</v>
      </c>
      <c r="B50" t="s">
        <v>350</v>
      </c>
      <c r="C50" s="73" t="s">
        <v>421</v>
      </c>
      <c r="D50" t="s">
        <v>422</v>
      </c>
      <c r="E50" s="74">
        <v>45859</v>
      </c>
      <c r="F50" t="s">
        <v>414</v>
      </c>
      <c r="G50" t="s">
        <v>415</v>
      </c>
      <c r="H50" s="75">
        <f t="shared" si="0"/>
        <v>242.76961911727065</v>
      </c>
      <c r="I50" s="74">
        <v>45859</v>
      </c>
      <c r="J50">
        <v>7</v>
      </c>
      <c r="K50" t="s">
        <v>511</v>
      </c>
      <c r="L50" t="s">
        <v>262</v>
      </c>
      <c r="M50" t="s">
        <v>356</v>
      </c>
      <c r="N50" s="73">
        <v>67262</v>
      </c>
      <c r="O50" s="73">
        <v>67262</v>
      </c>
      <c r="P50">
        <v>34.681374159610094</v>
      </c>
    </row>
    <row r="51" spans="1:16" x14ac:dyDescent="0.2">
      <c r="A51" s="73">
        <v>67262</v>
      </c>
      <c r="B51" t="s">
        <v>350</v>
      </c>
      <c r="C51" s="73" t="s">
        <v>421</v>
      </c>
      <c r="D51" t="s">
        <v>422</v>
      </c>
      <c r="E51" s="74">
        <v>45860</v>
      </c>
      <c r="F51" t="s">
        <v>414</v>
      </c>
      <c r="G51" t="s">
        <v>415</v>
      </c>
      <c r="H51" s="75">
        <f t="shared" si="0"/>
        <v>242.76961911727065</v>
      </c>
      <c r="I51" s="74">
        <v>45860</v>
      </c>
      <c r="J51">
        <v>7</v>
      </c>
      <c r="K51" t="s">
        <v>511</v>
      </c>
      <c r="L51" t="s">
        <v>262</v>
      </c>
      <c r="M51" t="s">
        <v>356</v>
      </c>
      <c r="N51" s="73">
        <v>67262</v>
      </c>
      <c r="O51" s="73">
        <v>67262</v>
      </c>
      <c r="P51">
        <v>34.681374159610094</v>
      </c>
    </row>
    <row r="52" spans="1:16" x14ac:dyDescent="0.2">
      <c r="A52" s="73">
        <v>67262</v>
      </c>
      <c r="B52" t="s">
        <v>350</v>
      </c>
      <c r="C52" s="73" t="s">
        <v>421</v>
      </c>
      <c r="D52" t="s">
        <v>422</v>
      </c>
      <c r="E52" s="74">
        <v>45861</v>
      </c>
      <c r="F52" t="s">
        <v>414</v>
      </c>
      <c r="G52" t="s">
        <v>415</v>
      </c>
      <c r="H52" s="75">
        <f t="shared" si="0"/>
        <v>242.76961911727065</v>
      </c>
      <c r="I52" s="74">
        <v>45861</v>
      </c>
      <c r="J52">
        <v>7</v>
      </c>
      <c r="K52" t="s">
        <v>511</v>
      </c>
      <c r="L52" t="s">
        <v>262</v>
      </c>
      <c r="M52" t="s">
        <v>356</v>
      </c>
      <c r="N52" s="73">
        <v>67262</v>
      </c>
      <c r="O52" s="73">
        <v>67262</v>
      </c>
      <c r="P52">
        <v>34.681374159610094</v>
      </c>
    </row>
    <row r="53" spans="1:16" x14ac:dyDescent="0.2">
      <c r="A53" s="73">
        <v>67262</v>
      </c>
      <c r="B53" t="s">
        <v>350</v>
      </c>
      <c r="C53" s="73" t="s">
        <v>421</v>
      </c>
      <c r="D53" t="s">
        <v>422</v>
      </c>
      <c r="E53" s="74">
        <v>45862</v>
      </c>
      <c r="F53" t="s">
        <v>414</v>
      </c>
      <c r="G53" t="s">
        <v>415</v>
      </c>
      <c r="H53" s="75">
        <f t="shared" si="0"/>
        <v>208.08824495766055</v>
      </c>
      <c r="I53" s="74">
        <v>45862</v>
      </c>
      <c r="J53">
        <v>6</v>
      </c>
      <c r="K53" t="s">
        <v>511</v>
      </c>
      <c r="L53" t="s">
        <v>262</v>
      </c>
      <c r="M53" t="s">
        <v>356</v>
      </c>
      <c r="N53" s="73">
        <v>67262</v>
      </c>
      <c r="O53" s="73">
        <v>67262</v>
      </c>
      <c r="P53">
        <v>34.681374159610094</v>
      </c>
    </row>
    <row r="54" spans="1:16" x14ac:dyDescent="0.2">
      <c r="A54" s="73">
        <v>67262</v>
      </c>
      <c r="B54" t="s">
        <v>350</v>
      </c>
      <c r="C54" s="73" t="s">
        <v>421</v>
      </c>
      <c r="D54" t="s">
        <v>422</v>
      </c>
      <c r="E54" s="74">
        <v>45863</v>
      </c>
      <c r="F54" t="s">
        <v>414</v>
      </c>
      <c r="G54" t="s">
        <v>415</v>
      </c>
      <c r="H54" s="75">
        <f t="shared" si="0"/>
        <v>242.76961911727065</v>
      </c>
      <c r="I54" s="74">
        <v>45863</v>
      </c>
      <c r="J54">
        <v>7</v>
      </c>
      <c r="K54" t="s">
        <v>511</v>
      </c>
      <c r="L54" t="s">
        <v>262</v>
      </c>
      <c r="M54" t="s">
        <v>356</v>
      </c>
      <c r="N54" s="73">
        <v>67262</v>
      </c>
      <c r="O54" s="73">
        <v>67262</v>
      </c>
      <c r="P54">
        <v>34.681374159610094</v>
      </c>
    </row>
    <row r="55" spans="1:16" x14ac:dyDescent="0.2">
      <c r="A55" s="73">
        <v>67262</v>
      </c>
      <c r="B55" t="s">
        <v>350</v>
      </c>
      <c r="C55" s="73" t="s">
        <v>421</v>
      </c>
      <c r="D55" t="s">
        <v>422</v>
      </c>
      <c r="E55" s="74">
        <v>45866</v>
      </c>
      <c r="F55" t="s">
        <v>414</v>
      </c>
      <c r="G55" t="s">
        <v>415</v>
      </c>
      <c r="H55" s="75">
        <f t="shared" si="0"/>
        <v>208.08824495766055</v>
      </c>
      <c r="I55" s="74">
        <v>45866</v>
      </c>
      <c r="J55">
        <v>6</v>
      </c>
      <c r="K55" t="s">
        <v>511</v>
      </c>
      <c r="L55" t="s">
        <v>262</v>
      </c>
      <c r="M55" t="s">
        <v>356</v>
      </c>
      <c r="N55" s="73">
        <v>67262</v>
      </c>
      <c r="O55" s="73">
        <v>67262</v>
      </c>
      <c r="P55">
        <v>34.681374159610094</v>
      </c>
    </row>
    <row r="56" spans="1:16" x14ac:dyDescent="0.2">
      <c r="A56" s="73">
        <v>67262</v>
      </c>
      <c r="B56" t="s">
        <v>350</v>
      </c>
      <c r="C56" s="73" t="s">
        <v>421</v>
      </c>
      <c r="D56" t="s">
        <v>422</v>
      </c>
      <c r="E56" s="74">
        <v>45867</v>
      </c>
      <c r="F56" t="s">
        <v>414</v>
      </c>
      <c r="G56" t="s">
        <v>415</v>
      </c>
      <c r="H56" s="75">
        <f t="shared" si="0"/>
        <v>208.08824495766055</v>
      </c>
      <c r="I56" s="74">
        <v>45867</v>
      </c>
      <c r="J56">
        <v>6</v>
      </c>
      <c r="K56" t="s">
        <v>511</v>
      </c>
      <c r="L56" t="s">
        <v>262</v>
      </c>
      <c r="M56" t="s">
        <v>356</v>
      </c>
      <c r="N56" s="73">
        <v>67262</v>
      </c>
      <c r="O56" s="73">
        <v>67262</v>
      </c>
      <c r="P56">
        <v>34.681374159610094</v>
      </c>
    </row>
    <row r="57" spans="1:16" x14ac:dyDescent="0.2">
      <c r="A57" s="73">
        <v>67262</v>
      </c>
      <c r="B57" t="s">
        <v>350</v>
      </c>
      <c r="C57" s="73" t="s">
        <v>421</v>
      </c>
      <c r="D57" t="s">
        <v>422</v>
      </c>
      <c r="E57" s="74">
        <v>45868</v>
      </c>
      <c r="F57" t="s">
        <v>414</v>
      </c>
      <c r="G57" t="s">
        <v>415</v>
      </c>
      <c r="H57" s="75">
        <f t="shared" si="0"/>
        <v>208.08824495766055</v>
      </c>
      <c r="I57" s="74">
        <v>45868</v>
      </c>
      <c r="J57">
        <v>6</v>
      </c>
      <c r="K57" t="s">
        <v>511</v>
      </c>
      <c r="L57" t="s">
        <v>262</v>
      </c>
      <c r="M57" t="s">
        <v>356</v>
      </c>
      <c r="N57" s="73">
        <v>67262</v>
      </c>
      <c r="O57" s="73">
        <v>67262</v>
      </c>
      <c r="P57">
        <v>34.681374159610094</v>
      </c>
    </row>
    <row r="58" spans="1:16" x14ac:dyDescent="0.2">
      <c r="A58" s="73">
        <v>67262</v>
      </c>
      <c r="B58" t="s">
        <v>350</v>
      </c>
      <c r="C58" s="73" t="s">
        <v>421</v>
      </c>
      <c r="D58" t="s">
        <v>422</v>
      </c>
      <c r="E58" s="74">
        <v>45869</v>
      </c>
      <c r="F58" t="s">
        <v>414</v>
      </c>
      <c r="G58" t="s">
        <v>415</v>
      </c>
      <c r="H58" s="75">
        <f t="shared" si="0"/>
        <v>208.08824495766055</v>
      </c>
      <c r="I58" s="74">
        <v>45869</v>
      </c>
      <c r="J58">
        <v>6</v>
      </c>
      <c r="K58" t="s">
        <v>511</v>
      </c>
      <c r="L58" t="s">
        <v>262</v>
      </c>
      <c r="M58" t="s">
        <v>356</v>
      </c>
      <c r="N58" s="73">
        <v>67262</v>
      </c>
      <c r="O58" s="73">
        <v>67262</v>
      </c>
      <c r="P58">
        <v>34.681374159610094</v>
      </c>
    </row>
    <row r="59" spans="1:16" x14ac:dyDescent="0.2">
      <c r="A59" s="73">
        <v>67262</v>
      </c>
      <c r="B59" t="s">
        <v>350</v>
      </c>
      <c r="C59" s="73" t="s">
        <v>421</v>
      </c>
      <c r="D59" t="s">
        <v>422</v>
      </c>
      <c r="E59" s="74">
        <v>45870</v>
      </c>
      <c r="F59" t="s">
        <v>414</v>
      </c>
      <c r="G59" t="s">
        <v>415</v>
      </c>
      <c r="H59" s="75">
        <f t="shared" si="0"/>
        <v>208.08824495766055</v>
      </c>
      <c r="I59" s="74">
        <v>45870</v>
      </c>
      <c r="J59">
        <v>6</v>
      </c>
      <c r="K59" t="s">
        <v>288</v>
      </c>
      <c r="L59" t="s">
        <v>262</v>
      </c>
      <c r="M59" t="s">
        <v>356</v>
      </c>
      <c r="N59" s="73">
        <v>67262</v>
      </c>
      <c r="O59" s="73">
        <v>67262</v>
      </c>
      <c r="P59">
        <v>34.681374159610094</v>
      </c>
    </row>
    <row r="60" spans="1:16" x14ac:dyDescent="0.2">
      <c r="A60" s="73">
        <v>67262</v>
      </c>
      <c r="B60" t="s">
        <v>350</v>
      </c>
      <c r="C60" s="73" t="s">
        <v>421</v>
      </c>
      <c r="D60" t="s">
        <v>422</v>
      </c>
      <c r="E60" s="74">
        <v>45873</v>
      </c>
      <c r="F60" t="s">
        <v>414</v>
      </c>
      <c r="G60" t="s">
        <v>415</v>
      </c>
      <c r="H60" s="75">
        <f t="shared" si="0"/>
        <v>208.08824495766055</v>
      </c>
      <c r="I60" s="74">
        <v>45873</v>
      </c>
      <c r="J60">
        <v>6</v>
      </c>
      <c r="K60" t="s">
        <v>288</v>
      </c>
      <c r="L60" t="s">
        <v>262</v>
      </c>
      <c r="M60" t="s">
        <v>356</v>
      </c>
      <c r="N60" s="73">
        <v>67262</v>
      </c>
      <c r="O60" s="73">
        <v>67262</v>
      </c>
      <c r="P60">
        <v>34.681374159610094</v>
      </c>
    </row>
    <row r="61" spans="1:16" x14ac:dyDescent="0.2">
      <c r="A61" s="73">
        <v>67262</v>
      </c>
      <c r="B61" t="s">
        <v>350</v>
      </c>
      <c r="C61" s="73" t="s">
        <v>421</v>
      </c>
      <c r="D61" t="s">
        <v>422</v>
      </c>
      <c r="E61" s="74">
        <v>45874</v>
      </c>
      <c r="F61" t="s">
        <v>414</v>
      </c>
      <c r="G61" t="s">
        <v>415</v>
      </c>
      <c r="H61" s="75">
        <f t="shared" si="0"/>
        <v>208.08824495766055</v>
      </c>
      <c r="I61" s="74">
        <v>45874</v>
      </c>
      <c r="J61">
        <v>6</v>
      </c>
      <c r="K61" t="s">
        <v>288</v>
      </c>
      <c r="L61" t="s">
        <v>262</v>
      </c>
      <c r="M61" t="s">
        <v>356</v>
      </c>
      <c r="N61" s="73">
        <v>67262</v>
      </c>
      <c r="O61" s="73">
        <v>67262</v>
      </c>
      <c r="P61">
        <v>34.681374159610094</v>
      </c>
    </row>
    <row r="62" spans="1:16" x14ac:dyDescent="0.2">
      <c r="A62" s="73">
        <v>67262</v>
      </c>
      <c r="B62" t="s">
        <v>350</v>
      </c>
      <c r="C62" s="73" t="s">
        <v>421</v>
      </c>
      <c r="D62" t="s">
        <v>422</v>
      </c>
      <c r="E62" s="74">
        <v>45875</v>
      </c>
      <c r="F62" t="s">
        <v>414</v>
      </c>
      <c r="G62" t="s">
        <v>415</v>
      </c>
      <c r="H62" s="75">
        <f t="shared" si="0"/>
        <v>208.08824495766055</v>
      </c>
      <c r="I62" s="74">
        <v>45875</v>
      </c>
      <c r="J62">
        <v>6</v>
      </c>
      <c r="K62" t="s">
        <v>288</v>
      </c>
      <c r="L62" t="s">
        <v>262</v>
      </c>
      <c r="M62" t="s">
        <v>356</v>
      </c>
      <c r="N62" s="73">
        <v>67262</v>
      </c>
      <c r="O62" s="73">
        <v>67262</v>
      </c>
      <c r="P62">
        <v>34.681374159610094</v>
      </c>
    </row>
    <row r="63" spans="1:16" x14ac:dyDescent="0.2">
      <c r="A63" s="73">
        <v>67262</v>
      </c>
      <c r="B63" t="s">
        <v>350</v>
      </c>
      <c r="C63" s="73" t="s">
        <v>421</v>
      </c>
      <c r="D63" t="s">
        <v>422</v>
      </c>
      <c r="E63" s="74">
        <v>45876</v>
      </c>
      <c r="F63" t="s">
        <v>414</v>
      </c>
      <c r="G63" t="s">
        <v>415</v>
      </c>
      <c r="H63" s="75">
        <f t="shared" si="0"/>
        <v>208.08824495766055</v>
      </c>
      <c r="I63" s="74">
        <v>45876</v>
      </c>
      <c r="J63">
        <v>6</v>
      </c>
      <c r="K63" t="s">
        <v>288</v>
      </c>
      <c r="L63" t="s">
        <v>262</v>
      </c>
      <c r="M63" t="s">
        <v>356</v>
      </c>
      <c r="N63" s="73">
        <v>67262</v>
      </c>
      <c r="O63" s="73">
        <v>67262</v>
      </c>
      <c r="P63">
        <v>34.681374159610094</v>
      </c>
    </row>
    <row r="64" spans="1:16" x14ac:dyDescent="0.2">
      <c r="A64" s="73">
        <v>67262</v>
      </c>
      <c r="B64" t="s">
        <v>350</v>
      </c>
      <c r="C64" s="73" t="s">
        <v>421</v>
      </c>
      <c r="D64" t="s">
        <v>422</v>
      </c>
      <c r="E64" s="74">
        <v>45877</v>
      </c>
      <c r="F64" t="s">
        <v>414</v>
      </c>
      <c r="G64" t="s">
        <v>415</v>
      </c>
      <c r="H64" s="75">
        <f t="shared" si="0"/>
        <v>208.08824495766055</v>
      </c>
      <c r="I64" s="74">
        <v>45877</v>
      </c>
      <c r="J64">
        <v>6</v>
      </c>
      <c r="K64" t="s">
        <v>288</v>
      </c>
      <c r="L64" t="s">
        <v>262</v>
      </c>
      <c r="M64" t="s">
        <v>356</v>
      </c>
      <c r="N64" s="73">
        <v>67262</v>
      </c>
      <c r="O64" s="73">
        <v>67262</v>
      </c>
      <c r="P64">
        <v>34.681374159610094</v>
      </c>
    </row>
    <row r="65" spans="1:16" x14ac:dyDescent="0.2">
      <c r="A65" s="73">
        <v>67262</v>
      </c>
      <c r="B65" t="s">
        <v>350</v>
      </c>
      <c r="C65" s="73" t="s">
        <v>421</v>
      </c>
      <c r="D65" t="s">
        <v>422</v>
      </c>
      <c r="E65" s="74">
        <v>45880</v>
      </c>
      <c r="F65" t="s">
        <v>414</v>
      </c>
      <c r="G65" t="s">
        <v>415</v>
      </c>
      <c r="H65" s="75">
        <f t="shared" si="0"/>
        <v>242.76961911727065</v>
      </c>
      <c r="I65" s="74">
        <v>45880</v>
      </c>
      <c r="J65">
        <v>7</v>
      </c>
      <c r="K65" t="s">
        <v>288</v>
      </c>
      <c r="L65" t="s">
        <v>262</v>
      </c>
      <c r="M65" t="s">
        <v>356</v>
      </c>
      <c r="N65" s="73">
        <v>67262</v>
      </c>
      <c r="O65" s="73">
        <v>67262</v>
      </c>
      <c r="P65">
        <v>34.681374159610094</v>
      </c>
    </row>
    <row r="66" spans="1:16" x14ac:dyDescent="0.2">
      <c r="A66" s="73">
        <v>67262</v>
      </c>
      <c r="B66" t="s">
        <v>350</v>
      </c>
      <c r="C66" s="73" t="s">
        <v>421</v>
      </c>
      <c r="D66" t="s">
        <v>422</v>
      </c>
      <c r="E66" s="74">
        <v>45881</v>
      </c>
      <c r="F66" t="s">
        <v>414</v>
      </c>
      <c r="G66" t="s">
        <v>415</v>
      </c>
      <c r="H66" s="75">
        <f t="shared" ref="H66:H129" si="1">J66*P66</f>
        <v>242.76961911727065</v>
      </c>
      <c r="I66" s="74">
        <v>45881</v>
      </c>
      <c r="J66">
        <v>7</v>
      </c>
      <c r="K66" t="s">
        <v>288</v>
      </c>
      <c r="L66" t="s">
        <v>262</v>
      </c>
      <c r="M66" t="s">
        <v>356</v>
      </c>
      <c r="N66" s="73">
        <v>67262</v>
      </c>
      <c r="O66" s="73">
        <v>67262</v>
      </c>
      <c r="P66">
        <v>34.681374159610094</v>
      </c>
    </row>
    <row r="67" spans="1:16" x14ac:dyDescent="0.2">
      <c r="A67" s="73">
        <v>67262</v>
      </c>
      <c r="B67" t="s">
        <v>350</v>
      </c>
      <c r="C67" s="73" t="s">
        <v>421</v>
      </c>
      <c r="D67" t="s">
        <v>422</v>
      </c>
      <c r="E67" s="74">
        <v>45882</v>
      </c>
      <c r="F67" t="s">
        <v>414</v>
      </c>
      <c r="G67" t="s">
        <v>415</v>
      </c>
      <c r="H67" s="75">
        <f t="shared" si="1"/>
        <v>242.76961911727065</v>
      </c>
      <c r="I67" s="74">
        <v>45882</v>
      </c>
      <c r="J67">
        <v>7</v>
      </c>
      <c r="K67" t="s">
        <v>288</v>
      </c>
      <c r="L67" t="s">
        <v>262</v>
      </c>
      <c r="M67" t="s">
        <v>356</v>
      </c>
      <c r="N67" s="73">
        <v>67262</v>
      </c>
      <c r="O67" s="73">
        <v>67262</v>
      </c>
      <c r="P67">
        <v>34.681374159610094</v>
      </c>
    </row>
    <row r="68" spans="1:16" x14ac:dyDescent="0.2">
      <c r="A68" s="73">
        <v>67262</v>
      </c>
      <c r="B68" t="s">
        <v>350</v>
      </c>
      <c r="C68" s="73" t="s">
        <v>421</v>
      </c>
      <c r="D68" t="s">
        <v>422</v>
      </c>
      <c r="E68" s="74">
        <v>45883</v>
      </c>
      <c r="F68" t="s">
        <v>414</v>
      </c>
      <c r="G68" t="s">
        <v>415</v>
      </c>
      <c r="H68" s="75">
        <f t="shared" si="1"/>
        <v>242.76961911727065</v>
      </c>
      <c r="I68" s="74">
        <v>45883</v>
      </c>
      <c r="J68">
        <v>7</v>
      </c>
      <c r="K68" t="s">
        <v>288</v>
      </c>
      <c r="L68" t="s">
        <v>262</v>
      </c>
      <c r="M68" t="s">
        <v>356</v>
      </c>
      <c r="N68" s="73">
        <v>67262</v>
      </c>
      <c r="O68" s="73">
        <v>67262</v>
      </c>
      <c r="P68">
        <v>34.681374159610094</v>
      </c>
    </row>
    <row r="69" spans="1:16" x14ac:dyDescent="0.2">
      <c r="A69" s="73">
        <v>67262</v>
      </c>
      <c r="B69" t="s">
        <v>350</v>
      </c>
      <c r="C69" s="73" t="s">
        <v>421</v>
      </c>
      <c r="D69" t="s">
        <v>422</v>
      </c>
      <c r="E69" s="74">
        <v>45887</v>
      </c>
      <c r="F69" t="s">
        <v>414</v>
      </c>
      <c r="G69" t="s">
        <v>415</v>
      </c>
      <c r="H69" s="75">
        <f t="shared" si="1"/>
        <v>242.76961911727065</v>
      </c>
      <c r="I69" s="74">
        <v>45887</v>
      </c>
      <c r="J69">
        <v>7</v>
      </c>
      <c r="K69" t="s">
        <v>288</v>
      </c>
      <c r="L69" t="s">
        <v>262</v>
      </c>
      <c r="M69" t="s">
        <v>356</v>
      </c>
      <c r="N69" s="73">
        <v>67262</v>
      </c>
      <c r="O69" s="73">
        <v>67262</v>
      </c>
      <c r="P69">
        <v>34.681374159610094</v>
      </c>
    </row>
    <row r="70" spans="1:16" x14ac:dyDescent="0.2">
      <c r="A70" s="73">
        <v>67262</v>
      </c>
      <c r="B70" t="s">
        <v>350</v>
      </c>
      <c r="C70" s="73" t="s">
        <v>421</v>
      </c>
      <c r="D70" t="s">
        <v>422</v>
      </c>
      <c r="E70" s="74">
        <v>45888</v>
      </c>
      <c r="F70" t="s">
        <v>414</v>
      </c>
      <c r="G70" t="s">
        <v>415</v>
      </c>
      <c r="H70" s="75">
        <f t="shared" si="1"/>
        <v>242.76961911727065</v>
      </c>
      <c r="I70" s="74">
        <v>45888</v>
      </c>
      <c r="J70">
        <v>7</v>
      </c>
      <c r="K70" t="s">
        <v>288</v>
      </c>
      <c r="L70" t="s">
        <v>262</v>
      </c>
      <c r="M70" t="s">
        <v>356</v>
      </c>
      <c r="N70" s="73">
        <v>67262</v>
      </c>
      <c r="O70" s="73">
        <v>67262</v>
      </c>
      <c r="P70">
        <v>34.681374159610094</v>
      </c>
    </row>
    <row r="71" spans="1:16" x14ac:dyDescent="0.2">
      <c r="A71" s="73">
        <v>67262</v>
      </c>
      <c r="B71" t="s">
        <v>350</v>
      </c>
      <c r="C71" s="73" t="s">
        <v>421</v>
      </c>
      <c r="D71" t="s">
        <v>422</v>
      </c>
      <c r="E71" s="74">
        <v>45889</v>
      </c>
      <c r="F71" t="s">
        <v>414</v>
      </c>
      <c r="G71" t="s">
        <v>415</v>
      </c>
      <c r="H71" s="75">
        <f t="shared" si="1"/>
        <v>242.76961911727065</v>
      </c>
      <c r="I71" s="74">
        <v>45889</v>
      </c>
      <c r="J71">
        <v>7</v>
      </c>
      <c r="K71" t="s">
        <v>288</v>
      </c>
      <c r="L71" t="s">
        <v>262</v>
      </c>
      <c r="M71" t="s">
        <v>356</v>
      </c>
      <c r="N71" s="73">
        <v>67262</v>
      </c>
      <c r="O71" s="73">
        <v>67262</v>
      </c>
      <c r="P71">
        <v>34.681374159610094</v>
      </c>
    </row>
    <row r="72" spans="1:16" x14ac:dyDescent="0.2">
      <c r="A72" s="73">
        <v>67262</v>
      </c>
      <c r="B72" t="s">
        <v>350</v>
      </c>
      <c r="C72" s="73" t="s">
        <v>421</v>
      </c>
      <c r="D72" t="s">
        <v>422</v>
      </c>
      <c r="E72" s="74">
        <v>45890</v>
      </c>
      <c r="F72" t="s">
        <v>414</v>
      </c>
      <c r="G72" t="s">
        <v>415</v>
      </c>
      <c r="H72" s="75">
        <f t="shared" si="1"/>
        <v>242.76961911727065</v>
      </c>
      <c r="I72" s="74">
        <v>45890</v>
      </c>
      <c r="J72">
        <v>7</v>
      </c>
      <c r="K72" t="s">
        <v>288</v>
      </c>
      <c r="L72" t="s">
        <v>262</v>
      </c>
      <c r="M72" t="s">
        <v>356</v>
      </c>
      <c r="N72" s="73">
        <v>67262</v>
      </c>
      <c r="O72" s="73">
        <v>67262</v>
      </c>
      <c r="P72">
        <v>34.681374159610094</v>
      </c>
    </row>
    <row r="73" spans="1:16" x14ac:dyDescent="0.2">
      <c r="A73" s="73">
        <v>67262</v>
      </c>
      <c r="B73" t="s">
        <v>350</v>
      </c>
      <c r="C73" s="73" t="s">
        <v>421</v>
      </c>
      <c r="D73" t="s">
        <v>422</v>
      </c>
      <c r="E73" s="74">
        <v>45891</v>
      </c>
      <c r="F73" t="s">
        <v>414</v>
      </c>
      <c r="G73" t="s">
        <v>415</v>
      </c>
      <c r="H73" s="75">
        <f t="shared" si="1"/>
        <v>242.76961911727065</v>
      </c>
      <c r="I73" s="74">
        <v>45891</v>
      </c>
      <c r="J73">
        <v>7</v>
      </c>
      <c r="K73" t="s">
        <v>288</v>
      </c>
      <c r="L73" t="s">
        <v>262</v>
      </c>
      <c r="M73" t="s">
        <v>356</v>
      </c>
      <c r="N73" s="73">
        <v>67262</v>
      </c>
      <c r="O73" s="73">
        <v>67262</v>
      </c>
      <c r="P73">
        <v>34.681374159610094</v>
      </c>
    </row>
    <row r="74" spans="1:16" x14ac:dyDescent="0.2">
      <c r="A74" s="73">
        <v>67262</v>
      </c>
      <c r="B74" t="s">
        <v>350</v>
      </c>
      <c r="C74" s="73" t="s">
        <v>421</v>
      </c>
      <c r="D74" t="s">
        <v>422</v>
      </c>
      <c r="E74" s="74">
        <v>45894</v>
      </c>
      <c r="F74" t="s">
        <v>414</v>
      </c>
      <c r="G74" t="s">
        <v>415</v>
      </c>
      <c r="H74" s="75">
        <f t="shared" si="1"/>
        <v>242.76961911727065</v>
      </c>
      <c r="I74" s="74">
        <v>45894</v>
      </c>
      <c r="J74">
        <v>7</v>
      </c>
      <c r="K74" t="s">
        <v>288</v>
      </c>
      <c r="L74" t="s">
        <v>262</v>
      </c>
      <c r="M74" t="s">
        <v>356</v>
      </c>
      <c r="N74" s="73">
        <v>67262</v>
      </c>
      <c r="O74" s="73">
        <v>67262</v>
      </c>
      <c r="P74">
        <v>34.681374159610094</v>
      </c>
    </row>
    <row r="75" spans="1:16" x14ac:dyDescent="0.2">
      <c r="A75" s="73">
        <v>67262</v>
      </c>
      <c r="B75" t="s">
        <v>350</v>
      </c>
      <c r="C75" s="73" t="s">
        <v>421</v>
      </c>
      <c r="D75" t="s">
        <v>422</v>
      </c>
      <c r="E75" s="74">
        <v>45895</v>
      </c>
      <c r="F75" t="s">
        <v>414</v>
      </c>
      <c r="G75" t="s">
        <v>415</v>
      </c>
      <c r="H75" s="75">
        <f t="shared" si="1"/>
        <v>242.76961911727065</v>
      </c>
      <c r="I75" s="74">
        <v>45895</v>
      </c>
      <c r="J75">
        <v>7</v>
      </c>
      <c r="K75" t="s">
        <v>288</v>
      </c>
      <c r="L75" t="s">
        <v>262</v>
      </c>
      <c r="M75" t="s">
        <v>356</v>
      </c>
      <c r="N75" s="73">
        <v>67262</v>
      </c>
      <c r="O75" s="73">
        <v>67262</v>
      </c>
      <c r="P75">
        <v>34.681374159610094</v>
      </c>
    </row>
    <row r="76" spans="1:16" x14ac:dyDescent="0.2">
      <c r="A76" s="73">
        <v>67262</v>
      </c>
      <c r="B76" t="s">
        <v>350</v>
      </c>
      <c r="C76" s="73" t="s">
        <v>421</v>
      </c>
      <c r="D76" t="s">
        <v>422</v>
      </c>
      <c r="E76" s="74">
        <v>45896</v>
      </c>
      <c r="F76" t="s">
        <v>414</v>
      </c>
      <c r="G76" t="s">
        <v>415</v>
      </c>
      <c r="H76" s="75">
        <f t="shared" si="1"/>
        <v>242.76961911727065</v>
      </c>
      <c r="I76" s="74">
        <v>45896</v>
      </c>
      <c r="J76">
        <v>7</v>
      </c>
      <c r="K76" t="s">
        <v>288</v>
      </c>
      <c r="L76" t="s">
        <v>262</v>
      </c>
      <c r="M76" t="s">
        <v>356</v>
      </c>
      <c r="N76" s="73">
        <v>67262</v>
      </c>
      <c r="O76" s="73">
        <v>67262</v>
      </c>
      <c r="P76">
        <v>34.681374159610094</v>
      </c>
    </row>
    <row r="77" spans="1:16" x14ac:dyDescent="0.2">
      <c r="A77" s="73">
        <v>67262</v>
      </c>
      <c r="B77" t="s">
        <v>350</v>
      </c>
      <c r="C77" s="73" t="s">
        <v>421</v>
      </c>
      <c r="D77" t="s">
        <v>422</v>
      </c>
      <c r="E77" s="74">
        <v>45897</v>
      </c>
      <c r="F77" t="s">
        <v>414</v>
      </c>
      <c r="G77" t="s">
        <v>415</v>
      </c>
      <c r="H77" s="75">
        <f t="shared" si="1"/>
        <v>242.76961911727065</v>
      </c>
      <c r="I77" s="74">
        <v>45897</v>
      </c>
      <c r="J77">
        <v>7</v>
      </c>
      <c r="K77" t="s">
        <v>288</v>
      </c>
      <c r="L77" t="s">
        <v>262</v>
      </c>
      <c r="M77" t="s">
        <v>356</v>
      </c>
      <c r="N77" s="73">
        <v>67262</v>
      </c>
      <c r="O77" s="73">
        <v>67262</v>
      </c>
      <c r="P77">
        <v>34.681374159610094</v>
      </c>
    </row>
    <row r="78" spans="1:16" x14ac:dyDescent="0.2">
      <c r="A78" s="73">
        <v>67262</v>
      </c>
      <c r="B78" t="s">
        <v>350</v>
      </c>
      <c r="C78" s="73" t="s">
        <v>421</v>
      </c>
      <c r="D78" t="s">
        <v>422</v>
      </c>
      <c r="E78" s="74">
        <v>45898</v>
      </c>
      <c r="F78" t="s">
        <v>414</v>
      </c>
      <c r="G78" t="s">
        <v>415</v>
      </c>
      <c r="H78" s="75">
        <f t="shared" si="1"/>
        <v>242.76961911727065</v>
      </c>
      <c r="I78" s="74">
        <v>45898</v>
      </c>
      <c r="J78">
        <v>7</v>
      </c>
      <c r="K78" t="s">
        <v>288</v>
      </c>
      <c r="L78" t="s">
        <v>262</v>
      </c>
      <c r="M78" t="s">
        <v>356</v>
      </c>
      <c r="N78" s="73">
        <v>67262</v>
      </c>
      <c r="O78" s="73">
        <v>67262</v>
      </c>
      <c r="P78">
        <v>34.681374159610094</v>
      </c>
    </row>
    <row r="79" spans="1:16" x14ac:dyDescent="0.2">
      <c r="A79" s="73">
        <v>67262</v>
      </c>
      <c r="B79" t="s">
        <v>350</v>
      </c>
      <c r="C79" s="73" t="s">
        <v>421</v>
      </c>
      <c r="D79" t="s">
        <v>422</v>
      </c>
      <c r="E79" s="74">
        <v>45901</v>
      </c>
      <c r="F79" t="s">
        <v>414</v>
      </c>
      <c r="G79" t="s">
        <v>415</v>
      </c>
      <c r="H79" s="75">
        <f t="shared" si="1"/>
        <v>242.76961911727065</v>
      </c>
      <c r="I79" s="74">
        <v>45901</v>
      </c>
      <c r="J79">
        <v>7</v>
      </c>
      <c r="K79" t="s">
        <v>512</v>
      </c>
      <c r="L79" t="s">
        <v>262</v>
      </c>
      <c r="M79" t="s">
        <v>356</v>
      </c>
      <c r="N79" s="73">
        <v>67262</v>
      </c>
      <c r="O79" s="73">
        <v>67262</v>
      </c>
      <c r="P79">
        <v>34.681374159610094</v>
      </c>
    </row>
    <row r="80" spans="1:16" x14ac:dyDescent="0.2">
      <c r="A80" s="73">
        <v>67262</v>
      </c>
      <c r="B80" t="s">
        <v>350</v>
      </c>
      <c r="C80" s="73" t="s">
        <v>421</v>
      </c>
      <c r="D80" t="s">
        <v>422</v>
      </c>
      <c r="E80" s="74">
        <v>45902</v>
      </c>
      <c r="F80" t="s">
        <v>414</v>
      </c>
      <c r="G80" t="s">
        <v>415</v>
      </c>
      <c r="H80" s="75">
        <f t="shared" si="1"/>
        <v>208.08824495766055</v>
      </c>
      <c r="I80" s="74">
        <v>45902</v>
      </c>
      <c r="J80">
        <v>6</v>
      </c>
      <c r="K80" t="s">
        <v>512</v>
      </c>
      <c r="L80" t="s">
        <v>262</v>
      </c>
      <c r="M80" t="s">
        <v>356</v>
      </c>
      <c r="N80" s="73">
        <v>67262</v>
      </c>
      <c r="O80" s="73">
        <v>67262</v>
      </c>
      <c r="P80">
        <v>34.681374159610094</v>
      </c>
    </row>
    <row r="81" spans="1:16" x14ac:dyDescent="0.2">
      <c r="A81" s="73">
        <v>67262</v>
      </c>
      <c r="B81" t="s">
        <v>350</v>
      </c>
      <c r="C81" s="73" t="s">
        <v>421</v>
      </c>
      <c r="D81" t="s">
        <v>422</v>
      </c>
      <c r="E81" s="74">
        <v>45903</v>
      </c>
      <c r="F81" t="s">
        <v>414</v>
      </c>
      <c r="G81" t="s">
        <v>415</v>
      </c>
      <c r="H81" s="75">
        <f t="shared" si="1"/>
        <v>208.08824495766055</v>
      </c>
      <c r="I81" s="74">
        <v>45903</v>
      </c>
      <c r="J81">
        <v>6</v>
      </c>
      <c r="K81" t="s">
        <v>512</v>
      </c>
      <c r="L81" t="s">
        <v>262</v>
      </c>
      <c r="M81" t="s">
        <v>356</v>
      </c>
      <c r="N81" s="73">
        <v>67262</v>
      </c>
      <c r="O81" s="73">
        <v>67262</v>
      </c>
      <c r="P81">
        <v>34.681374159610094</v>
      </c>
    </row>
    <row r="82" spans="1:16" x14ac:dyDescent="0.2">
      <c r="A82" s="73">
        <v>67262</v>
      </c>
      <c r="B82" t="s">
        <v>350</v>
      </c>
      <c r="C82" s="73" t="s">
        <v>421</v>
      </c>
      <c r="D82" t="s">
        <v>422</v>
      </c>
      <c r="E82" s="74">
        <v>45904</v>
      </c>
      <c r="F82" t="s">
        <v>414</v>
      </c>
      <c r="G82" t="s">
        <v>415</v>
      </c>
      <c r="H82" s="75">
        <f t="shared" si="1"/>
        <v>208.08824495766055</v>
      </c>
      <c r="I82" s="74">
        <v>45904</v>
      </c>
      <c r="J82">
        <v>6</v>
      </c>
      <c r="K82" t="s">
        <v>512</v>
      </c>
      <c r="L82" t="s">
        <v>262</v>
      </c>
      <c r="M82" t="s">
        <v>356</v>
      </c>
      <c r="N82" s="73">
        <v>67262</v>
      </c>
      <c r="O82" s="73">
        <v>67262</v>
      </c>
      <c r="P82">
        <v>34.681374159610094</v>
      </c>
    </row>
    <row r="83" spans="1:16" hidden="1" x14ac:dyDescent="0.2">
      <c r="A83" s="73">
        <v>67260</v>
      </c>
      <c r="B83" t="s">
        <v>423</v>
      </c>
      <c r="C83" s="73" t="s">
        <v>424</v>
      </c>
      <c r="D83" t="s">
        <v>506</v>
      </c>
      <c r="E83" s="74">
        <v>45905</v>
      </c>
      <c r="F83" t="s">
        <v>414</v>
      </c>
      <c r="G83" t="s">
        <v>415</v>
      </c>
      <c r="H83" s="75">
        <f t="shared" si="1"/>
        <v>208.08824495766055</v>
      </c>
      <c r="I83" s="74">
        <v>45905</v>
      </c>
      <c r="J83">
        <v>6</v>
      </c>
      <c r="K83" t="s">
        <v>512</v>
      </c>
      <c r="L83" t="s">
        <v>262</v>
      </c>
      <c r="M83" t="s">
        <v>356</v>
      </c>
      <c r="N83" s="73">
        <v>67260</v>
      </c>
      <c r="O83" s="73">
        <v>67260</v>
      </c>
      <c r="P83">
        <v>34.681374159610094</v>
      </c>
    </row>
    <row r="84" spans="1:16" hidden="1" x14ac:dyDescent="0.2">
      <c r="A84" s="73">
        <v>67260</v>
      </c>
      <c r="B84" t="s">
        <v>423</v>
      </c>
      <c r="C84" s="73" t="s">
        <v>424</v>
      </c>
      <c r="D84" t="s">
        <v>506</v>
      </c>
      <c r="E84" s="74">
        <v>45908</v>
      </c>
      <c r="F84" t="s">
        <v>414</v>
      </c>
      <c r="G84" t="s">
        <v>415</v>
      </c>
      <c r="H84" s="75">
        <f t="shared" si="1"/>
        <v>242.76961911727065</v>
      </c>
      <c r="I84" s="74">
        <v>45908</v>
      </c>
      <c r="J84">
        <v>7</v>
      </c>
      <c r="K84" t="s">
        <v>512</v>
      </c>
      <c r="L84" t="s">
        <v>262</v>
      </c>
      <c r="M84" t="s">
        <v>356</v>
      </c>
      <c r="N84" s="73">
        <v>67260</v>
      </c>
      <c r="O84" s="73">
        <v>67260</v>
      </c>
      <c r="P84">
        <v>34.681374159610094</v>
      </c>
    </row>
    <row r="85" spans="1:16" hidden="1" x14ac:dyDescent="0.2">
      <c r="A85" s="73">
        <v>67260</v>
      </c>
      <c r="B85" t="s">
        <v>423</v>
      </c>
      <c r="C85" s="73" t="s">
        <v>424</v>
      </c>
      <c r="D85" t="s">
        <v>506</v>
      </c>
      <c r="E85" s="74">
        <v>45909</v>
      </c>
      <c r="F85" t="s">
        <v>414</v>
      </c>
      <c r="G85" t="s">
        <v>415</v>
      </c>
      <c r="H85" s="75">
        <f t="shared" si="1"/>
        <v>242.76961911727065</v>
      </c>
      <c r="I85" s="74">
        <v>45909</v>
      </c>
      <c r="J85">
        <v>7</v>
      </c>
      <c r="K85" t="s">
        <v>512</v>
      </c>
      <c r="L85" t="s">
        <v>262</v>
      </c>
      <c r="M85" t="s">
        <v>356</v>
      </c>
      <c r="N85" s="73">
        <v>67260</v>
      </c>
      <c r="O85" s="73">
        <v>67260</v>
      </c>
      <c r="P85">
        <v>34.681374159610094</v>
      </c>
    </row>
    <row r="86" spans="1:16" x14ac:dyDescent="0.2">
      <c r="A86" s="73">
        <v>67262</v>
      </c>
      <c r="B86" t="s">
        <v>350</v>
      </c>
      <c r="C86" s="73" t="s">
        <v>421</v>
      </c>
      <c r="D86" t="s">
        <v>422</v>
      </c>
      <c r="E86" s="74">
        <v>45910</v>
      </c>
      <c r="F86" t="s">
        <v>414</v>
      </c>
      <c r="G86" t="s">
        <v>415</v>
      </c>
      <c r="H86" s="75">
        <f t="shared" si="1"/>
        <v>242.76961911727065</v>
      </c>
      <c r="I86" s="74">
        <v>45910</v>
      </c>
      <c r="J86">
        <v>7</v>
      </c>
      <c r="K86" t="s">
        <v>512</v>
      </c>
      <c r="L86" t="s">
        <v>262</v>
      </c>
      <c r="M86" t="s">
        <v>356</v>
      </c>
      <c r="N86" s="73">
        <v>67262</v>
      </c>
      <c r="O86" s="73">
        <v>67262</v>
      </c>
      <c r="P86">
        <v>34.681374159610094</v>
      </c>
    </row>
    <row r="87" spans="1:16" x14ac:dyDescent="0.2">
      <c r="A87" s="73">
        <v>67262</v>
      </c>
      <c r="B87" t="s">
        <v>350</v>
      </c>
      <c r="C87" s="73" t="s">
        <v>421</v>
      </c>
      <c r="D87" t="s">
        <v>422</v>
      </c>
      <c r="E87" s="74">
        <v>45911</v>
      </c>
      <c r="F87" t="s">
        <v>414</v>
      </c>
      <c r="G87" t="s">
        <v>415</v>
      </c>
      <c r="H87" s="75">
        <f t="shared" si="1"/>
        <v>242.76961911727065</v>
      </c>
      <c r="I87" s="74">
        <v>45911</v>
      </c>
      <c r="J87">
        <v>7</v>
      </c>
      <c r="K87" t="s">
        <v>512</v>
      </c>
      <c r="L87" t="s">
        <v>262</v>
      </c>
      <c r="M87" t="s">
        <v>356</v>
      </c>
      <c r="N87" s="73">
        <v>67262</v>
      </c>
      <c r="O87" s="73">
        <v>67262</v>
      </c>
      <c r="P87">
        <v>34.681374159610094</v>
      </c>
    </row>
    <row r="88" spans="1:16" x14ac:dyDescent="0.2">
      <c r="A88" s="73">
        <v>67262</v>
      </c>
      <c r="B88" t="s">
        <v>350</v>
      </c>
      <c r="C88" s="73" t="s">
        <v>421</v>
      </c>
      <c r="D88" t="s">
        <v>422</v>
      </c>
      <c r="E88" s="74">
        <v>45912</v>
      </c>
      <c r="F88" t="s">
        <v>414</v>
      </c>
      <c r="G88" t="s">
        <v>415</v>
      </c>
      <c r="H88" s="75">
        <f t="shared" si="1"/>
        <v>242.76961911727065</v>
      </c>
      <c r="I88" s="74">
        <v>45912</v>
      </c>
      <c r="J88">
        <v>7</v>
      </c>
      <c r="K88" t="s">
        <v>512</v>
      </c>
      <c r="L88" t="s">
        <v>262</v>
      </c>
      <c r="M88" t="s">
        <v>356</v>
      </c>
      <c r="N88" s="73">
        <v>67262</v>
      </c>
      <c r="O88" s="73">
        <v>67262</v>
      </c>
      <c r="P88">
        <v>34.681374159610094</v>
      </c>
    </row>
    <row r="89" spans="1:16" x14ac:dyDescent="0.2">
      <c r="A89" s="73">
        <v>67262</v>
      </c>
      <c r="B89" t="s">
        <v>350</v>
      </c>
      <c r="C89" s="73" t="s">
        <v>421</v>
      </c>
      <c r="D89" t="s">
        <v>422</v>
      </c>
      <c r="E89" s="74">
        <v>45913</v>
      </c>
      <c r="F89" t="s">
        <v>414</v>
      </c>
      <c r="G89" t="s">
        <v>415</v>
      </c>
      <c r="H89" s="75">
        <f t="shared" si="1"/>
        <v>242.76961911727065</v>
      </c>
      <c r="I89" s="74">
        <v>45913</v>
      </c>
      <c r="J89">
        <v>7</v>
      </c>
      <c r="K89" t="s">
        <v>512</v>
      </c>
      <c r="L89" t="s">
        <v>262</v>
      </c>
      <c r="M89" t="s">
        <v>356</v>
      </c>
      <c r="N89" s="73">
        <v>67262</v>
      </c>
      <c r="O89" s="73">
        <v>67262</v>
      </c>
      <c r="P89">
        <v>34.681374159610094</v>
      </c>
    </row>
    <row r="90" spans="1:16" x14ac:dyDescent="0.2">
      <c r="A90" s="73">
        <v>67262</v>
      </c>
      <c r="B90" t="s">
        <v>350</v>
      </c>
      <c r="C90" s="73" t="s">
        <v>421</v>
      </c>
      <c r="D90" t="s">
        <v>422</v>
      </c>
      <c r="E90" s="74">
        <v>45915</v>
      </c>
      <c r="F90" t="s">
        <v>414</v>
      </c>
      <c r="G90" t="s">
        <v>415</v>
      </c>
      <c r="H90" s="75">
        <f t="shared" si="1"/>
        <v>242.76961911727065</v>
      </c>
      <c r="I90" s="74">
        <v>45915</v>
      </c>
      <c r="J90">
        <v>7</v>
      </c>
      <c r="K90" t="s">
        <v>512</v>
      </c>
      <c r="L90" t="s">
        <v>262</v>
      </c>
      <c r="M90" t="s">
        <v>356</v>
      </c>
      <c r="N90" s="73">
        <v>67262</v>
      </c>
      <c r="O90" s="73">
        <v>67262</v>
      </c>
      <c r="P90">
        <v>34.681374159610094</v>
      </c>
    </row>
    <row r="91" spans="1:16" x14ac:dyDescent="0.2">
      <c r="A91" s="73">
        <v>67262</v>
      </c>
      <c r="B91" t="s">
        <v>350</v>
      </c>
      <c r="C91" s="73" t="s">
        <v>421</v>
      </c>
      <c r="D91" t="s">
        <v>422</v>
      </c>
      <c r="E91" s="74">
        <v>45916</v>
      </c>
      <c r="F91" t="s">
        <v>414</v>
      </c>
      <c r="G91" t="s">
        <v>415</v>
      </c>
      <c r="H91" s="75">
        <f t="shared" si="1"/>
        <v>242.76961911727065</v>
      </c>
      <c r="I91" s="74">
        <v>45916</v>
      </c>
      <c r="J91">
        <v>7</v>
      </c>
      <c r="K91" t="s">
        <v>512</v>
      </c>
      <c r="L91" t="s">
        <v>262</v>
      </c>
      <c r="M91" t="s">
        <v>356</v>
      </c>
      <c r="N91" s="73">
        <v>67262</v>
      </c>
      <c r="O91" s="73">
        <v>67262</v>
      </c>
      <c r="P91">
        <v>34.681374159610094</v>
      </c>
    </row>
    <row r="92" spans="1:16" x14ac:dyDescent="0.2">
      <c r="A92" s="73">
        <v>67262</v>
      </c>
      <c r="B92" t="s">
        <v>350</v>
      </c>
      <c r="C92" s="73" t="s">
        <v>421</v>
      </c>
      <c r="D92" t="s">
        <v>422</v>
      </c>
      <c r="E92" s="74">
        <v>45917</v>
      </c>
      <c r="F92" t="s">
        <v>414</v>
      </c>
      <c r="G92" t="s">
        <v>415</v>
      </c>
      <c r="H92" s="75">
        <f t="shared" si="1"/>
        <v>242.76961911727065</v>
      </c>
      <c r="I92" s="74">
        <v>45917</v>
      </c>
      <c r="J92">
        <v>7</v>
      </c>
      <c r="K92" t="s">
        <v>512</v>
      </c>
      <c r="L92" t="s">
        <v>262</v>
      </c>
      <c r="M92" t="s">
        <v>356</v>
      </c>
      <c r="N92" s="73">
        <v>67262</v>
      </c>
      <c r="O92" s="73">
        <v>67262</v>
      </c>
      <c r="P92">
        <v>34.681374159610094</v>
      </c>
    </row>
    <row r="93" spans="1:16" x14ac:dyDescent="0.2">
      <c r="A93" s="73">
        <v>67262</v>
      </c>
      <c r="B93" t="s">
        <v>350</v>
      </c>
      <c r="C93" s="73" t="s">
        <v>421</v>
      </c>
      <c r="D93" t="s">
        <v>422</v>
      </c>
      <c r="E93" s="74">
        <v>45918</v>
      </c>
      <c r="F93" t="s">
        <v>414</v>
      </c>
      <c r="G93" t="s">
        <v>415</v>
      </c>
      <c r="H93" s="75">
        <f t="shared" si="1"/>
        <v>242.76961911727065</v>
      </c>
      <c r="I93" s="74">
        <v>45918</v>
      </c>
      <c r="J93">
        <v>7</v>
      </c>
      <c r="K93" t="s">
        <v>512</v>
      </c>
      <c r="L93" t="s">
        <v>262</v>
      </c>
      <c r="M93" t="s">
        <v>356</v>
      </c>
      <c r="N93" s="73">
        <v>67262</v>
      </c>
      <c r="O93" s="73">
        <v>67262</v>
      </c>
      <c r="P93">
        <v>34.681374159610094</v>
      </c>
    </row>
    <row r="94" spans="1:16" x14ac:dyDescent="0.2">
      <c r="A94" s="73">
        <v>67262</v>
      </c>
      <c r="B94" t="s">
        <v>350</v>
      </c>
      <c r="C94" s="73" t="s">
        <v>421</v>
      </c>
      <c r="D94" t="s">
        <v>422</v>
      </c>
      <c r="E94" s="74">
        <v>45919</v>
      </c>
      <c r="F94" t="s">
        <v>414</v>
      </c>
      <c r="G94" t="s">
        <v>415</v>
      </c>
      <c r="H94" s="75">
        <f t="shared" si="1"/>
        <v>208.08824495766055</v>
      </c>
      <c r="I94" s="74">
        <v>45919</v>
      </c>
      <c r="J94">
        <v>6</v>
      </c>
      <c r="K94" t="s">
        <v>512</v>
      </c>
      <c r="L94" t="s">
        <v>262</v>
      </c>
      <c r="M94" t="s">
        <v>356</v>
      </c>
      <c r="N94" s="73">
        <v>67262</v>
      </c>
      <c r="O94" s="73">
        <v>67262</v>
      </c>
      <c r="P94">
        <v>34.681374159610094</v>
      </c>
    </row>
    <row r="95" spans="1:16" x14ac:dyDescent="0.2">
      <c r="A95" s="73">
        <v>67262</v>
      </c>
      <c r="B95" t="s">
        <v>350</v>
      </c>
      <c r="C95" s="73" t="s">
        <v>421</v>
      </c>
      <c r="D95" t="s">
        <v>422</v>
      </c>
      <c r="E95" s="74">
        <v>45922</v>
      </c>
      <c r="F95" t="s">
        <v>414</v>
      </c>
      <c r="G95" t="s">
        <v>415</v>
      </c>
      <c r="H95" s="75">
        <f t="shared" si="1"/>
        <v>242.76961911727065</v>
      </c>
      <c r="I95" s="74">
        <v>45922</v>
      </c>
      <c r="J95">
        <v>7</v>
      </c>
      <c r="K95" t="s">
        <v>512</v>
      </c>
      <c r="L95" t="s">
        <v>262</v>
      </c>
      <c r="M95" t="s">
        <v>356</v>
      </c>
      <c r="N95" s="73">
        <v>67262</v>
      </c>
      <c r="O95" s="73">
        <v>67262</v>
      </c>
      <c r="P95">
        <v>34.681374159610094</v>
      </c>
    </row>
    <row r="96" spans="1:16" hidden="1" x14ac:dyDescent="0.2">
      <c r="A96" s="73">
        <v>67260</v>
      </c>
      <c r="B96" t="s">
        <v>423</v>
      </c>
      <c r="C96" s="73" t="s">
        <v>424</v>
      </c>
      <c r="D96" t="s">
        <v>506</v>
      </c>
      <c r="E96" s="74">
        <v>45923</v>
      </c>
      <c r="F96" t="s">
        <v>414</v>
      </c>
      <c r="G96" t="s">
        <v>415</v>
      </c>
      <c r="H96" s="75">
        <f t="shared" si="1"/>
        <v>138.72549663844038</v>
      </c>
      <c r="I96" s="74">
        <v>45923</v>
      </c>
      <c r="J96">
        <v>4</v>
      </c>
      <c r="K96" t="s">
        <v>512</v>
      </c>
      <c r="L96" t="s">
        <v>262</v>
      </c>
      <c r="M96" t="s">
        <v>356</v>
      </c>
      <c r="N96" s="73">
        <v>67260</v>
      </c>
      <c r="O96" s="73">
        <v>67260</v>
      </c>
      <c r="P96">
        <v>34.681374159610094</v>
      </c>
    </row>
    <row r="97" spans="1:16" x14ac:dyDescent="0.2">
      <c r="A97" s="73">
        <v>67262</v>
      </c>
      <c r="B97" t="s">
        <v>350</v>
      </c>
      <c r="C97" s="73" t="s">
        <v>421</v>
      </c>
      <c r="D97" t="s">
        <v>422</v>
      </c>
      <c r="E97" s="74">
        <v>45923</v>
      </c>
      <c r="F97" t="s">
        <v>414</v>
      </c>
      <c r="G97" t="s">
        <v>415</v>
      </c>
      <c r="H97" s="75">
        <f t="shared" si="1"/>
        <v>104.04412247883027</v>
      </c>
      <c r="I97" s="74">
        <v>45923</v>
      </c>
      <c r="J97">
        <v>3</v>
      </c>
      <c r="K97" t="s">
        <v>512</v>
      </c>
      <c r="L97" t="s">
        <v>262</v>
      </c>
      <c r="M97" t="s">
        <v>356</v>
      </c>
      <c r="N97" s="73">
        <v>67262</v>
      </c>
      <c r="O97" s="73">
        <v>67262</v>
      </c>
      <c r="P97">
        <v>34.681374159610094</v>
      </c>
    </row>
    <row r="98" spans="1:16" x14ac:dyDescent="0.2">
      <c r="A98" s="73">
        <v>67262</v>
      </c>
      <c r="B98" t="s">
        <v>350</v>
      </c>
      <c r="C98" s="73" t="s">
        <v>421</v>
      </c>
      <c r="D98" t="s">
        <v>422</v>
      </c>
      <c r="E98" s="74">
        <v>45924</v>
      </c>
      <c r="F98" t="s">
        <v>414</v>
      </c>
      <c r="G98" t="s">
        <v>415</v>
      </c>
      <c r="H98" s="75">
        <f t="shared" si="1"/>
        <v>242.76961911727065</v>
      </c>
      <c r="I98" s="74">
        <v>45924</v>
      </c>
      <c r="J98">
        <v>7</v>
      </c>
      <c r="K98" t="s">
        <v>512</v>
      </c>
      <c r="L98" t="s">
        <v>262</v>
      </c>
      <c r="M98" t="s">
        <v>356</v>
      </c>
      <c r="N98" s="73">
        <v>67262</v>
      </c>
      <c r="O98" s="73">
        <v>67262</v>
      </c>
      <c r="P98">
        <v>34.681374159610094</v>
      </c>
    </row>
    <row r="99" spans="1:16" x14ac:dyDescent="0.2">
      <c r="A99" s="73">
        <v>67262</v>
      </c>
      <c r="B99" t="s">
        <v>350</v>
      </c>
      <c r="C99" s="73" t="s">
        <v>421</v>
      </c>
      <c r="D99" t="s">
        <v>422</v>
      </c>
      <c r="E99" s="74">
        <v>45925</v>
      </c>
      <c r="F99" t="s">
        <v>414</v>
      </c>
      <c r="G99" t="s">
        <v>415</v>
      </c>
      <c r="H99" s="75">
        <f t="shared" si="1"/>
        <v>242.76961911727065</v>
      </c>
      <c r="I99" s="74">
        <v>45925</v>
      </c>
      <c r="J99">
        <v>7</v>
      </c>
      <c r="K99" t="s">
        <v>512</v>
      </c>
      <c r="L99" t="s">
        <v>262</v>
      </c>
      <c r="M99" t="s">
        <v>356</v>
      </c>
      <c r="N99" s="73">
        <v>67262</v>
      </c>
      <c r="O99" s="73">
        <v>67262</v>
      </c>
      <c r="P99">
        <v>34.681374159610094</v>
      </c>
    </row>
    <row r="100" spans="1:16" hidden="1" x14ac:dyDescent="0.2">
      <c r="A100" s="73">
        <v>67260</v>
      </c>
      <c r="B100" t="s">
        <v>423</v>
      </c>
      <c r="C100" s="73" t="s">
        <v>424</v>
      </c>
      <c r="D100" t="s">
        <v>506</v>
      </c>
      <c r="E100" s="74">
        <v>45926</v>
      </c>
      <c r="F100" t="s">
        <v>414</v>
      </c>
      <c r="G100" t="s">
        <v>415</v>
      </c>
      <c r="H100" s="75">
        <f t="shared" si="1"/>
        <v>242.76961911727065</v>
      </c>
      <c r="I100" s="74">
        <v>45926</v>
      </c>
      <c r="J100">
        <v>7</v>
      </c>
      <c r="K100" t="s">
        <v>512</v>
      </c>
      <c r="L100" t="s">
        <v>262</v>
      </c>
      <c r="M100" t="s">
        <v>356</v>
      </c>
      <c r="N100" s="73">
        <v>67260</v>
      </c>
      <c r="O100" s="73">
        <v>67260</v>
      </c>
      <c r="P100">
        <v>34.681374159610094</v>
      </c>
    </row>
    <row r="101" spans="1:16" x14ac:dyDescent="0.2">
      <c r="A101" s="73">
        <v>67262</v>
      </c>
      <c r="B101" t="s">
        <v>350</v>
      </c>
      <c r="C101" s="73" t="s">
        <v>421</v>
      </c>
      <c r="D101" t="s">
        <v>422</v>
      </c>
      <c r="E101" s="74">
        <v>45927</v>
      </c>
      <c r="F101" t="s">
        <v>414</v>
      </c>
      <c r="G101" t="s">
        <v>415</v>
      </c>
      <c r="H101" s="75">
        <f t="shared" si="1"/>
        <v>242.76961911727065</v>
      </c>
      <c r="I101" s="74">
        <v>45927</v>
      </c>
      <c r="J101">
        <v>7</v>
      </c>
      <c r="K101" t="s">
        <v>512</v>
      </c>
      <c r="L101" t="s">
        <v>262</v>
      </c>
      <c r="M101" t="s">
        <v>356</v>
      </c>
      <c r="N101" s="73">
        <v>67262</v>
      </c>
      <c r="O101" s="73">
        <v>67262</v>
      </c>
      <c r="P101">
        <v>34.681374159610094</v>
      </c>
    </row>
    <row r="102" spans="1:16" x14ac:dyDescent="0.2">
      <c r="A102" s="73">
        <v>67262</v>
      </c>
      <c r="B102" t="s">
        <v>350</v>
      </c>
      <c r="C102" s="73" t="s">
        <v>421</v>
      </c>
      <c r="D102" t="s">
        <v>422</v>
      </c>
      <c r="E102" s="74">
        <v>45929</v>
      </c>
      <c r="F102" t="s">
        <v>414</v>
      </c>
      <c r="G102" t="s">
        <v>415</v>
      </c>
      <c r="H102" s="75">
        <f t="shared" si="1"/>
        <v>208.08824495766055</v>
      </c>
      <c r="I102" s="74">
        <v>45929</v>
      </c>
      <c r="J102">
        <v>6</v>
      </c>
      <c r="K102" t="s">
        <v>512</v>
      </c>
      <c r="L102" t="s">
        <v>262</v>
      </c>
      <c r="M102" t="s">
        <v>356</v>
      </c>
      <c r="N102" s="73">
        <v>67262</v>
      </c>
      <c r="O102" s="73">
        <v>67262</v>
      </c>
      <c r="P102">
        <v>34.681374159610094</v>
      </c>
    </row>
    <row r="103" spans="1:16" x14ac:dyDescent="0.2">
      <c r="A103" s="73">
        <v>67262</v>
      </c>
      <c r="B103" t="s">
        <v>350</v>
      </c>
      <c r="C103" s="73" t="s">
        <v>421</v>
      </c>
      <c r="D103" t="s">
        <v>422</v>
      </c>
      <c r="E103" s="74">
        <v>45930</v>
      </c>
      <c r="F103" t="s">
        <v>414</v>
      </c>
      <c r="G103" t="s">
        <v>415</v>
      </c>
      <c r="H103" s="75">
        <f t="shared" si="1"/>
        <v>242.76961911727065</v>
      </c>
      <c r="I103" s="74">
        <v>45930</v>
      </c>
      <c r="J103">
        <v>7</v>
      </c>
      <c r="K103" t="s">
        <v>512</v>
      </c>
      <c r="L103" t="s">
        <v>262</v>
      </c>
      <c r="M103" t="s">
        <v>356</v>
      </c>
      <c r="N103" s="73">
        <v>67262</v>
      </c>
      <c r="O103" s="73">
        <v>67262</v>
      </c>
      <c r="P103">
        <v>34.681374159610094</v>
      </c>
    </row>
    <row r="104" spans="1:16" x14ac:dyDescent="0.2">
      <c r="A104" s="73">
        <v>67262</v>
      </c>
      <c r="B104" t="s">
        <v>350</v>
      </c>
      <c r="C104" s="73" t="s">
        <v>421</v>
      </c>
      <c r="D104" t="s">
        <v>422</v>
      </c>
      <c r="E104" s="74">
        <v>45933</v>
      </c>
      <c r="F104" t="s">
        <v>414</v>
      </c>
      <c r="G104" t="s">
        <v>415</v>
      </c>
      <c r="H104" s="75">
        <f t="shared" si="1"/>
        <v>242.76961911727065</v>
      </c>
      <c r="I104" s="74">
        <v>45933</v>
      </c>
      <c r="J104">
        <v>7</v>
      </c>
      <c r="K104" t="s">
        <v>513</v>
      </c>
      <c r="L104" t="s">
        <v>262</v>
      </c>
      <c r="M104" t="s">
        <v>356</v>
      </c>
      <c r="N104" s="73">
        <v>67262</v>
      </c>
      <c r="O104" s="73">
        <v>67262</v>
      </c>
      <c r="P104">
        <v>34.681374159610094</v>
      </c>
    </row>
    <row r="105" spans="1:16" x14ac:dyDescent="0.2">
      <c r="A105" s="73">
        <v>67262</v>
      </c>
      <c r="B105" t="s">
        <v>350</v>
      </c>
      <c r="C105" s="73" t="s">
        <v>421</v>
      </c>
      <c r="D105" t="s">
        <v>422</v>
      </c>
      <c r="E105" s="74">
        <v>45936</v>
      </c>
      <c r="F105" t="s">
        <v>414</v>
      </c>
      <c r="G105" t="s">
        <v>415</v>
      </c>
      <c r="H105" s="75">
        <f t="shared" si="1"/>
        <v>242.76961911727065</v>
      </c>
      <c r="I105" s="74">
        <v>45936</v>
      </c>
      <c r="J105">
        <v>7</v>
      </c>
      <c r="K105" t="s">
        <v>513</v>
      </c>
      <c r="L105" t="s">
        <v>262</v>
      </c>
      <c r="M105" t="s">
        <v>356</v>
      </c>
      <c r="N105" s="73">
        <v>67262</v>
      </c>
      <c r="O105" s="73">
        <v>67262</v>
      </c>
      <c r="P105">
        <v>34.681374159610094</v>
      </c>
    </row>
    <row r="106" spans="1:16" x14ac:dyDescent="0.2">
      <c r="A106" s="73">
        <v>67262</v>
      </c>
      <c r="B106" t="s">
        <v>350</v>
      </c>
      <c r="C106" s="73" t="s">
        <v>421</v>
      </c>
      <c r="D106" t="s">
        <v>422</v>
      </c>
      <c r="E106" s="74">
        <v>45937</v>
      </c>
      <c r="F106" t="s">
        <v>414</v>
      </c>
      <c r="G106" t="s">
        <v>415</v>
      </c>
      <c r="H106" s="75">
        <f t="shared" si="1"/>
        <v>242.76961911727065</v>
      </c>
      <c r="I106" s="74">
        <v>45937</v>
      </c>
      <c r="J106">
        <v>7</v>
      </c>
      <c r="K106" t="s">
        <v>513</v>
      </c>
      <c r="L106" t="s">
        <v>262</v>
      </c>
      <c r="M106" t="s">
        <v>356</v>
      </c>
      <c r="N106" s="73">
        <v>67262</v>
      </c>
      <c r="O106" s="73">
        <v>67262</v>
      </c>
      <c r="P106">
        <v>34.681374159610094</v>
      </c>
    </row>
    <row r="107" spans="1:16" hidden="1" x14ac:dyDescent="0.2">
      <c r="A107" s="73">
        <v>67260</v>
      </c>
      <c r="B107" t="s">
        <v>423</v>
      </c>
      <c r="C107" s="73" t="s">
        <v>424</v>
      </c>
      <c r="D107" t="s">
        <v>506</v>
      </c>
      <c r="E107" s="74">
        <v>45938</v>
      </c>
      <c r="F107" t="s">
        <v>414</v>
      </c>
      <c r="G107" t="s">
        <v>415</v>
      </c>
      <c r="H107" s="75">
        <f t="shared" si="1"/>
        <v>242.76961911727065</v>
      </c>
      <c r="I107" s="74">
        <v>45938</v>
      </c>
      <c r="J107">
        <v>7</v>
      </c>
      <c r="K107" t="s">
        <v>513</v>
      </c>
      <c r="L107" t="s">
        <v>262</v>
      </c>
      <c r="M107" t="s">
        <v>356</v>
      </c>
      <c r="N107" s="73">
        <v>67260</v>
      </c>
      <c r="O107" s="73">
        <v>67260</v>
      </c>
      <c r="P107">
        <v>34.681374159610094</v>
      </c>
    </row>
    <row r="108" spans="1:16" hidden="1" x14ac:dyDescent="0.2">
      <c r="A108" s="73">
        <v>67260</v>
      </c>
      <c r="B108" t="s">
        <v>423</v>
      </c>
      <c r="C108" s="73" t="s">
        <v>424</v>
      </c>
      <c r="D108" t="s">
        <v>506</v>
      </c>
      <c r="E108" s="74">
        <v>45939</v>
      </c>
      <c r="F108" t="s">
        <v>414</v>
      </c>
      <c r="G108" t="s">
        <v>415</v>
      </c>
      <c r="H108" s="75">
        <f t="shared" si="1"/>
        <v>242.76961911727065</v>
      </c>
      <c r="I108" s="74">
        <v>45939</v>
      </c>
      <c r="J108">
        <v>7</v>
      </c>
      <c r="K108" t="s">
        <v>513</v>
      </c>
      <c r="L108" t="s">
        <v>262</v>
      </c>
      <c r="M108" t="s">
        <v>356</v>
      </c>
      <c r="N108" s="73">
        <v>67260</v>
      </c>
      <c r="O108" s="73">
        <v>67260</v>
      </c>
      <c r="P108">
        <v>34.681374159610094</v>
      </c>
    </row>
    <row r="109" spans="1:16" hidden="1" x14ac:dyDescent="0.2">
      <c r="A109" s="73">
        <v>67260</v>
      </c>
      <c r="B109" t="s">
        <v>423</v>
      </c>
      <c r="C109" s="73" t="s">
        <v>424</v>
      </c>
      <c r="D109" t="s">
        <v>506</v>
      </c>
      <c r="E109" s="74">
        <v>45940</v>
      </c>
      <c r="F109" t="s">
        <v>414</v>
      </c>
      <c r="G109" t="s">
        <v>415</v>
      </c>
      <c r="H109" s="75">
        <f t="shared" si="1"/>
        <v>242.76961911727065</v>
      </c>
      <c r="I109" s="74">
        <v>45940</v>
      </c>
      <c r="J109">
        <v>7</v>
      </c>
      <c r="K109" t="s">
        <v>513</v>
      </c>
      <c r="L109" t="s">
        <v>262</v>
      </c>
      <c r="M109" t="s">
        <v>356</v>
      </c>
      <c r="N109" s="73">
        <v>67260</v>
      </c>
      <c r="O109" s="73">
        <v>67260</v>
      </c>
      <c r="P109">
        <v>34.681374159610094</v>
      </c>
    </row>
    <row r="110" spans="1:16" x14ac:dyDescent="0.2">
      <c r="A110" s="73">
        <v>67262</v>
      </c>
      <c r="B110" t="s">
        <v>350</v>
      </c>
      <c r="C110" s="73" t="s">
        <v>421</v>
      </c>
      <c r="D110" t="s">
        <v>422</v>
      </c>
      <c r="E110" s="74">
        <v>45943</v>
      </c>
      <c r="F110" t="s">
        <v>414</v>
      </c>
      <c r="G110" t="s">
        <v>415</v>
      </c>
      <c r="H110" s="75">
        <f t="shared" si="1"/>
        <v>225.42893203746561</v>
      </c>
      <c r="I110" s="74">
        <v>45943</v>
      </c>
      <c r="J110">
        <v>6.5</v>
      </c>
      <c r="K110" t="s">
        <v>513</v>
      </c>
      <c r="L110" t="s">
        <v>262</v>
      </c>
      <c r="M110" t="s">
        <v>356</v>
      </c>
      <c r="N110" s="73">
        <v>67262</v>
      </c>
      <c r="O110" s="73">
        <v>67262</v>
      </c>
      <c r="P110">
        <v>34.681374159610094</v>
      </c>
    </row>
    <row r="111" spans="1:16" hidden="1" x14ac:dyDescent="0.2">
      <c r="A111" s="73">
        <v>67260</v>
      </c>
      <c r="B111" t="s">
        <v>423</v>
      </c>
      <c r="C111" s="73" t="s">
        <v>424</v>
      </c>
      <c r="D111" t="s">
        <v>506</v>
      </c>
      <c r="E111" s="74">
        <v>45944</v>
      </c>
      <c r="F111" t="s">
        <v>414</v>
      </c>
      <c r="G111" t="s">
        <v>415</v>
      </c>
      <c r="H111" s="75">
        <f t="shared" si="1"/>
        <v>225.42893203746561</v>
      </c>
      <c r="I111" s="74">
        <v>45944</v>
      </c>
      <c r="J111">
        <v>6.5</v>
      </c>
      <c r="K111" t="s">
        <v>513</v>
      </c>
      <c r="L111" t="s">
        <v>262</v>
      </c>
      <c r="M111" t="s">
        <v>356</v>
      </c>
      <c r="N111" s="73">
        <v>67260</v>
      </c>
      <c r="O111" s="73">
        <v>67260</v>
      </c>
      <c r="P111">
        <v>34.681374159610094</v>
      </c>
    </row>
    <row r="112" spans="1:16" hidden="1" x14ac:dyDescent="0.2">
      <c r="A112" s="73">
        <v>67260</v>
      </c>
      <c r="B112" t="s">
        <v>423</v>
      </c>
      <c r="C112" s="73" t="s">
        <v>424</v>
      </c>
      <c r="D112" t="s">
        <v>506</v>
      </c>
      <c r="E112" s="74">
        <v>45945</v>
      </c>
      <c r="F112" t="s">
        <v>414</v>
      </c>
      <c r="G112" t="s">
        <v>415</v>
      </c>
      <c r="H112" s="75">
        <f t="shared" si="1"/>
        <v>225.42893203746561</v>
      </c>
      <c r="I112" s="74">
        <v>45945</v>
      </c>
      <c r="J112">
        <v>6.5</v>
      </c>
      <c r="K112" t="s">
        <v>513</v>
      </c>
      <c r="L112" t="s">
        <v>262</v>
      </c>
      <c r="M112" t="s">
        <v>356</v>
      </c>
      <c r="N112" s="73">
        <v>67260</v>
      </c>
      <c r="O112" s="73">
        <v>67260</v>
      </c>
      <c r="P112">
        <v>34.681374159610094</v>
      </c>
    </row>
    <row r="113" spans="1:16" hidden="1" x14ac:dyDescent="0.2">
      <c r="A113" s="73">
        <v>67260</v>
      </c>
      <c r="B113" t="s">
        <v>423</v>
      </c>
      <c r="C113" s="73" t="s">
        <v>424</v>
      </c>
      <c r="D113" t="s">
        <v>506</v>
      </c>
      <c r="E113" s="74">
        <v>45946</v>
      </c>
      <c r="F113" t="s">
        <v>414</v>
      </c>
      <c r="G113" t="s">
        <v>415</v>
      </c>
      <c r="H113" s="75">
        <f t="shared" si="1"/>
        <v>225.42893203746561</v>
      </c>
      <c r="I113" s="74">
        <v>45946</v>
      </c>
      <c r="J113">
        <v>6.5</v>
      </c>
      <c r="K113" t="s">
        <v>513</v>
      </c>
      <c r="L113" t="s">
        <v>262</v>
      </c>
      <c r="M113" t="s">
        <v>356</v>
      </c>
      <c r="N113" s="73">
        <v>67260</v>
      </c>
      <c r="O113" s="73">
        <v>67260</v>
      </c>
      <c r="P113">
        <v>34.681374159610094</v>
      </c>
    </row>
    <row r="114" spans="1:16" hidden="1" x14ac:dyDescent="0.2">
      <c r="A114" s="73">
        <v>67260</v>
      </c>
      <c r="B114" t="s">
        <v>423</v>
      </c>
      <c r="C114" s="73" t="s">
        <v>424</v>
      </c>
      <c r="D114" t="s">
        <v>506</v>
      </c>
      <c r="E114" s="74">
        <v>45947</v>
      </c>
      <c r="F114" t="s">
        <v>414</v>
      </c>
      <c r="G114" t="s">
        <v>415</v>
      </c>
      <c r="H114" s="75">
        <f t="shared" si="1"/>
        <v>138.72549663844038</v>
      </c>
      <c r="I114" s="74">
        <v>45947</v>
      </c>
      <c r="J114">
        <v>4</v>
      </c>
      <c r="K114" t="s">
        <v>513</v>
      </c>
      <c r="L114" t="s">
        <v>262</v>
      </c>
      <c r="M114" t="s">
        <v>356</v>
      </c>
      <c r="N114" s="73">
        <v>67260</v>
      </c>
      <c r="O114" s="73">
        <v>67260</v>
      </c>
      <c r="P114">
        <v>34.681374159610094</v>
      </c>
    </row>
    <row r="115" spans="1:16" x14ac:dyDescent="0.2">
      <c r="A115" s="73">
        <v>67262</v>
      </c>
      <c r="B115" t="s">
        <v>350</v>
      </c>
      <c r="C115" s="73" t="s">
        <v>421</v>
      </c>
      <c r="D115" t="s">
        <v>422</v>
      </c>
      <c r="E115" s="74">
        <v>45947</v>
      </c>
      <c r="F115" t="s">
        <v>414</v>
      </c>
      <c r="G115" t="s">
        <v>415</v>
      </c>
      <c r="H115" s="75">
        <f t="shared" si="1"/>
        <v>86.703435399025238</v>
      </c>
      <c r="I115" s="74">
        <v>45947</v>
      </c>
      <c r="J115">
        <v>2.5</v>
      </c>
      <c r="K115" t="s">
        <v>513</v>
      </c>
      <c r="L115" t="s">
        <v>262</v>
      </c>
      <c r="M115" t="s">
        <v>356</v>
      </c>
      <c r="N115" s="73">
        <v>67262</v>
      </c>
      <c r="O115" s="73">
        <v>67262</v>
      </c>
      <c r="P115">
        <v>34.681374159610094</v>
      </c>
    </row>
    <row r="116" spans="1:16" hidden="1" x14ac:dyDescent="0.2">
      <c r="A116" s="73">
        <v>66637</v>
      </c>
      <c r="B116" t="s">
        <v>425</v>
      </c>
      <c r="C116" s="73" t="s">
        <v>426</v>
      </c>
      <c r="D116" t="s">
        <v>427</v>
      </c>
      <c r="E116" s="74">
        <v>45839</v>
      </c>
      <c r="F116">
        <v>6833</v>
      </c>
      <c r="G116" t="s">
        <v>383</v>
      </c>
      <c r="H116" s="75">
        <f t="shared" si="1"/>
        <v>104.04412247883027</v>
      </c>
      <c r="I116" s="74">
        <v>45839</v>
      </c>
      <c r="J116">
        <v>3</v>
      </c>
      <c r="K116" t="s">
        <v>511</v>
      </c>
      <c r="L116" t="s">
        <v>384</v>
      </c>
      <c r="M116" t="s">
        <v>356</v>
      </c>
      <c r="N116" s="73">
        <v>66637</v>
      </c>
      <c r="O116" s="73">
        <v>66637</v>
      </c>
      <c r="P116">
        <v>34.681374159610094</v>
      </c>
    </row>
    <row r="117" spans="1:16" hidden="1" x14ac:dyDescent="0.2">
      <c r="A117" s="73">
        <v>66637</v>
      </c>
      <c r="B117" t="s">
        <v>425</v>
      </c>
      <c r="C117" s="73" t="s">
        <v>426</v>
      </c>
      <c r="D117" t="s">
        <v>427</v>
      </c>
      <c r="E117" s="74">
        <v>45840</v>
      </c>
      <c r="F117">
        <v>6833</v>
      </c>
      <c r="G117" t="s">
        <v>383</v>
      </c>
      <c r="H117" s="75">
        <f t="shared" si="1"/>
        <v>104.04412247883027</v>
      </c>
      <c r="I117" s="74">
        <v>45840</v>
      </c>
      <c r="J117">
        <v>3</v>
      </c>
      <c r="K117" t="s">
        <v>511</v>
      </c>
      <c r="L117" t="s">
        <v>384</v>
      </c>
      <c r="M117" t="s">
        <v>356</v>
      </c>
      <c r="N117" s="73">
        <v>66637</v>
      </c>
      <c r="O117" s="73">
        <v>66637</v>
      </c>
      <c r="P117">
        <v>34.681374159610094</v>
      </c>
    </row>
    <row r="118" spans="1:16" hidden="1" x14ac:dyDescent="0.2">
      <c r="A118" s="73">
        <v>66637</v>
      </c>
      <c r="B118" t="s">
        <v>425</v>
      </c>
      <c r="C118" s="73" t="s">
        <v>426</v>
      </c>
      <c r="D118" t="s">
        <v>427</v>
      </c>
      <c r="E118" s="74">
        <v>45842</v>
      </c>
      <c r="F118">
        <v>6833</v>
      </c>
      <c r="G118" t="s">
        <v>383</v>
      </c>
      <c r="H118" s="75">
        <f t="shared" si="1"/>
        <v>104.04412247883027</v>
      </c>
      <c r="I118" s="74">
        <v>45842</v>
      </c>
      <c r="J118">
        <v>3</v>
      </c>
      <c r="K118" t="s">
        <v>511</v>
      </c>
      <c r="L118" t="s">
        <v>384</v>
      </c>
      <c r="M118" t="s">
        <v>356</v>
      </c>
      <c r="N118" s="73">
        <v>66637</v>
      </c>
      <c r="O118" s="73">
        <v>66637</v>
      </c>
      <c r="P118">
        <v>34.681374159610094</v>
      </c>
    </row>
    <row r="119" spans="1:16" hidden="1" x14ac:dyDescent="0.2">
      <c r="A119" s="73">
        <v>66637</v>
      </c>
      <c r="B119" t="s">
        <v>425</v>
      </c>
      <c r="C119" s="73" t="s">
        <v>426</v>
      </c>
      <c r="D119" t="s">
        <v>427</v>
      </c>
      <c r="E119" s="74">
        <v>45845</v>
      </c>
      <c r="F119">
        <v>6833</v>
      </c>
      <c r="G119" t="s">
        <v>383</v>
      </c>
      <c r="H119" s="75">
        <f t="shared" si="1"/>
        <v>34.681374159610094</v>
      </c>
      <c r="I119" s="74">
        <v>45845</v>
      </c>
      <c r="J119">
        <v>1</v>
      </c>
      <c r="K119" t="s">
        <v>511</v>
      </c>
      <c r="L119" t="s">
        <v>384</v>
      </c>
      <c r="M119" t="s">
        <v>356</v>
      </c>
      <c r="N119" s="73">
        <v>66637</v>
      </c>
      <c r="O119" s="73">
        <v>66637</v>
      </c>
      <c r="P119">
        <v>34.681374159610094</v>
      </c>
    </row>
    <row r="120" spans="1:16" hidden="1" x14ac:dyDescent="0.2">
      <c r="A120" s="73">
        <v>66637</v>
      </c>
      <c r="B120" t="s">
        <v>425</v>
      </c>
      <c r="C120" s="73" t="s">
        <v>426</v>
      </c>
      <c r="D120" t="s">
        <v>427</v>
      </c>
      <c r="E120" s="74">
        <v>45846</v>
      </c>
      <c r="F120">
        <v>6833</v>
      </c>
      <c r="G120" t="s">
        <v>383</v>
      </c>
      <c r="H120" s="75">
        <f t="shared" si="1"/>
        <v>34.681374159610094</v>
      </c>
      <c r="I120" s="74">
        <v>45846</v>
      </c>
      <c r="J120">
        <v>1</v>
      </c>
      <c r="K120" t="s">
        <v>511</v>
      </c>
      <c r="L120" t="s">
        <v>384</v>
      </c>
      <c r="M120" t="s">
        <v>356</v>
      </c>
      <c r="N120" s="73">
        <v>66637</v>
      </c>
      <c r="O120" s="73">
        <v>66637</v>
      </c>
      <c r="P120">
        <v>34.681374159610094</v>
      </c>
    </row>
    <row r="121" spans="1:16" hidden="1" x14ac:dyDescent="0.2">
      <c r="A121" s="73">
        <v>66637</v>
      </c>
      <c r="B121" t="s">
        <v>425</v>
      </c>
      <c r="C121" s="73" t="s">
        <v>426</v>
      </c>
      <c r="D121" t="s">
        <v>427</v>
      </c>
      <c r="E121" s="74">
        <v>45847</v>
      </c>
      <c r="F121">
        <v>6833</v>
      </c>
      <c r="G121" t="s">
        <v>383</v>
      </c>
      <c r="H121" s="75">
        <f t="shared" si="1"/>
        <v>34.681374159610094</v>
      </c>
      <c r="I121" s="74">
        <v>45847</v>
      </c>
      <c r="J121">
        <v>1</v>
      </c>
      <c r="K121" t="s">
        <v>511</v>
      </c>
      <c r="L121" t="s">
        <v>384</v>
      </c>
      <c r="M121" t="s">
        <v>356</v>
      </c>
      <c r="N121" s="73">
        <v>66637</v>
      </c>
      <c r="O121" s="73">
        <v>66637</v>
      </c>
      <c r="P121">
        <v>34.681374159610094</v>
      </c>
    </row>
    <row r="122" spans="1:16" hidden="1" x14ac:dyDescent="0.2">
      <c r="A122" s="73">
        <v>66637</v>
      </c>
      <c r="B122" t="s">
        <v>425</v>
      </c>
      <c r="C122" s="73" t="s">
        <v>426</v>
      </c>
      <c r="D122" t="s">
        <v>427</v>
      </c>
      <c r="E122" s="74">
        <v>45848</v>
      </c>
      <c r="F122">
        <v>6833</v>
      </c>
      <c r="G122" t="s">
        <v>383</v>
      </c>
      <c r="H122" s="75">
        <f t="shared" si="1"/>
        <v>34.681374159610094</v>
      </c>
      <c r="I122" s="74">
        <v>45848</v>
      </c>
      <c r="J122">
        <v>1</v>
      </c>
      <c r="K122" t="s">
        <v>511</v>
      </c>
      <c r="L122" t="s">
        <v>384</v>
      </c>
      <c r="M122" t="s">
        <v>356</v>
      </c>
      <c r="N122" s="73">
        <v>66637</v>
      </c>
      <c r="O122" s="73">
        <v>66637</v>
      </c>
      <c r="P122">
        <v>34.681374159610094</v>
      </c>
    </row>
    <row r="123" spans="1:16" hidden="1" x14ac:dyDescent="0.2">
      <c r="A123" s="73">
        <v>66637</v>
      </c>
      <c r="B123" t="s">
        <v>425</v>
      </c>
      <c r="C123" s="73" t="s">
        <v>426</v>
      </c>
      <c r="D123" t="s">
        <v>427</v>
      </c>
      <c r="E123" s="74">
        <v>45849</v>
      </c>
      <c r="F123">
        <v>6833</v>
      </c>
      <c r="G123" t="s">
        <v>383</v>
      </c>
      <c r="H123" s="75">
        <f t="shared" si="1"/>
        <v>34.681374159610094</v>
      </c>
      <c r="I123" s="74">
        <v>45849</v>
      </c>
      <c r="J123">
        <v>1</v>
      </c>
      <c r="K123" t="s">
        <v>511</v>
      </c>
      <c r="L123" t="s">
        <v>384</v>
      </c>
      <c r="M123" t="s">
        <v>356</v>
      </c>
      <c r="N123" s="73">
        <v>66637</v>
      </c>
      <c r="O123" s="73">
        <v>66637</v>
      </c>
      <c r="P123">
        <v>34.681374159610094</v>
      </c>
    </row>
    <row r="124" spans="1:16" hidden="1" x14ac:dyDescent="0.2">
      <c r="A124" s="73">
        <v>66637</v>
      </c>
      <c r="B124" t="s">
        <v>425</v>
      </c>
      <c r="C124" s="73" t="s">
        <v>426</v>
      </c>
      <c r="D124" t="s">
        <v>427</v>
      </c>
      <c r="E124" s="74">
        <v>45852</v>
      </c>
      <c r="F124">
        <v>6833</v>
      </c>
      <c r="G124" t="s">
        <v>383</v>
      </c>
      <c r="H124" s="75">
        <f t="shared" si="1"/>
        <v>34.681374159610094</v>
      </c>
      <c r="I124" s="74">
        <v>45852</v>
      </c>
      <c r="J124">
        <v>1</v>
      </c>
      <c r="K124" t="s">
        <v>511</v>
      </c>
      <c r="L124" t="s">
        <v>384</v>
      </c>
      <c r="M124" t="s">
        <v>356</v>
      </c>
      <c r="N124" s="73">
        <v>66637</v>
      </c>
      <c r="O124" s="73">
        <v>66637</v>
      </c>
      <c r="P124">
        <v>34.681374159610094</v>
      </c>
    </row>
    <row r="125" spans="1:16" hidden="1" x14ac:dyDescent="0.2">
      <c r="A125" s="73">
        <v>66637</v>
      </c>
      <c r="B125" t="s">
        <v>425</v>
      </c>
      <c r="C125" s="73" t="s">
        <v>426</v>
      </c>
      <c r="D125" t="s">
        <v>427</v>
      </c>
      <c r="E125" s="74">
        <v>45853</v>
      </c>
      <c r="F125">
        <v>6833</v>
      </c>
      <c r="G125" t="s">
        <v>383</v>
      </c>
      <c r="H125" s="75">
        <f t="shared" si="1"/>
        <v>34.681374159610094</v>
      </c>
      <c r="I125" s="74">
        <v>45853</v>
      </c>
      <c r="J125">
        <v>1</v>
      </c>
      <c r="K125" t="s">
        <v>511</v>
      </c>
      <c r="L125" t="s">
        <v>384</v>
      </c>
      <c r="M125" t="s">
        <v>356</v>
      </c>
      <c r="N125" s="73">
        <v>66637</v>
      </c>
      <c r="O125" s="73">
        <v>66637</v>
      </c>
      <c r="P125">
        <v>34.681374159610094</v>
      </c>
    </row>
    <row r="126" spans="1:16" hidden="1" x14ac:dyDescent="0.2">
      <c r="A126" s="73">
        <v>66637</v>
      </c>
      <c r="B126" t="s">
        <v>425</v>
      </c>
      <c r="C126" s="73" t="s">
        <v>426</v>
      </c>
      <c r="D126" t="s">
        <v>427</v>
      </c>
      <c r="E126" s="74">
        <v>45854</v>
      </c>
      <c r="F126">
        <v>6833</v>
      </c>
      <c r="G126" t="s">
        <v>383</v>
      </c>
      <c r="H126" s="75">
        <f t="shared" si="1"/>
        <v>34.681374159610094</v>
      </c>
      <c r="I126" s="74">
        <v>45854</v>
      </c>
      <c r="J126">
        <v>1</v>
      </c>
      <c r="K126" t="s">
        <v>511</v>
      </c>
      <c r="L126" t="s">
        <v>384</v>
      </c>
      <c r="M126" t="s">
        <v>356</v>
      </c>
      <c r="N126" s="73">
        <v>66637</v>
      </c>
      <c r="O126" s="73">
        <v>66637</v>
      </c>
      <c r="P126">
        <v>34.681374159610094</v>
      </c>
    </row>
    <row r="127" spans="1:16" hidden="1" x14ac:dyDescent="0.2">
      <c r="A127" s="73">
        <v>66637</v>
      </c>
      <c r="B127" t="s">
        <v>425</v>
      </c>
      <c r="C127" s="73" t="s">
        <v>426</v>
      </c>
      <c r="D127" t="s">
        <v>427</v>
      </c>
      <c r="E127" s="74">
        <v>45855</v>
      </c>
      <c r="F127">
        <v>6833</v>
      </c>
      <c r="G127" t="s">
        <v>383</v>
      </c>
      <c r="H127" s="75">
        <f t="shared" si="1"/>
        <v>34.681374159610094</v>
      </c>
      <c r="I127" s="74">
        <v>45855</v>
      </c>
      <c r="J127">
        <v>1</v>
      </c>
      <c r="K127" t="s">
        <v>511</v>
      </c>
      <c r="L127" t="s">
        <v>384</v>
      </c>
      <c r="M127" t="s">
        <v>356</v>
      </c>
      <c r="N127" s="73">
        <v>66637</v>
      </c>
      <c r="O127" s="73">
        <v>66637</v>
      </c>
      <c r="P127">
        <v>34.681374159610094</v>
      </c>
    </row>
    <row r="128" spans="1:16" hidden="1" x14ac:dyDescent="0.2">
      <c r="A128" s="73">
        <v>66637</v>
      </c>
      <c r="B128" t="s">
        <v>425</v>
      </c>
      <c r="C128" s="73" t="s">
        <v>426</v>
      </c>
      <c r="D128" t="s">
        <v>427</v>
      </c>
      <c r="E128" s="74">
        <v>45856</v>
      </c>
      <c r="F128">
        <v>6833</v>
      </c>
      <c r="G128" t="s">
        <v>383</v>
      </c>
      <c r="H128" s="75">
        <f t="shared" si="1"/>
        <v>34.681374159610094</v>
      </c>
      <c r="I128" s="74">
        <v>45856</v>
      </c>
      <c r="J128">
        <v>1</v>
      </c>
      <c r="K128" t="s">
        <v>511</v>
      </c>
      <c r="L128" t="s">
        <v>384</v>
      </c>
      <c r="M128" t="s">
        <v>356</v>
      </c>
      <c r="N128" s="73">
        <v>66637</v>
      </c>
      <c r="O128" s="73">
        <v>66637</v>
      </c>
      <c r="P128">
        <v>34.681374159610094</v>
      </c>
    </row>
    <row r="129" spans="1:16" hidden="1" x14ac:dyDescent="0.2">
      <c r="A129" s="73">
        <v>66637</v>
      </c>
      <c r="B129" t="s">
        <v>425</v>
      </c>
      <c r="C129" s="73" t="s">
        <v>426</v>
      </c>
      <c r="D129" t="s">
        <v>427</v>
      </c>
      <c r="E129" s="74">
        <v>45861</v>
      </c>
      <c r="F129">
        <v>6833</v>
      </c>
      <c r="G129" t="s">
        <v>383</v>
      </c>
      <c r="H129" s="75">
        <f t="shared" si="1"/>
        <v>69.362748319220188</v>
      </c>
      <c r="I129" s="74">
        <v>45861</v>
      </c>
      <c r="J129">
        <v>2</v>
      </c>
      <c r="K129" t="s">
        <v>511</v>
      </c>
      <c r="L129" t="s">
        <v>384</v>
      </c>
      <c r="M129" t="s">
        <v>356</v>
      </c>
      <c r="N129" s="73">
        <v>66637</v>
      </c>
      <c r="O129" s="73">
        <v>66637</v>
      </c>
      <c r="P129">
        <v>34.681374159610094</v>
      </c>
    </row>
    <row r="130" spans="1:16" hidden="1" x14ac:dyDescent="0.2">
      <c r="A130" s="73">
        <v>66637</v>
      </c>
      <c r="B130" t="s">
        <v>425</v>
      </c>
      <c r="C130" s="73" t="s">
        <v>426</v>
      </c>
      <c r="D130" t="s">
        <v>427</v>
      </c>
      <c r="E130" s="74">
        <v>45876</v>
      </c>
      <c r="F130">
        <v>6833</v>
      </c>
      <c r="G130" t="s">
        <v>383</v>
      </c>
      <c r="H130" s="75">
        <f t="shared" ref="H130:H193" si="2">J130*P130</f>
        <v>17.340687079805047</v>
      </c>
      <c r="I130" s="74">
        <v>45876</v>
      </c>
      <c r="J130">
        <v>0.5</v>
      </c>
      <c r="K130" t="s">
        <v>288</v>
      </c>
      <c r="L130" t="s">
        <v>384</v>
      </c>
      <c r="M130" t="s">
        <v>356</v>
      </c>
      <c r="N130" s="73">
        <v>66637</v>
      </c>
      <c r="O130" s="73">
        <v>66637</v>
      </c>
      <c r="P130">
        <v>34.681374159610094</v>
      </c>
    </row>
    <row r="131" spans="1:16" hidden="1" x14ac:dyDescent="0.2">
      <c r="A131" s="73">
        <v>66637</v>
      </c>
      <c r="B131" t="s">
        <v>425</v>
      </c>
      <c r="C131" s="73" t="s">
        <v>426</v>
      </c>
      <c r="D131" t="s">
        <v>427</v>
      </c>
      <c r="E131" s="74">
        <v>45877</v>
      </c>
      <c r="F131">
        <v>6833</v>
      </c>
      <c r="G131" t="s">
        <v>383</v>
      </c>
      <c r="H131" s="75">
        <f t="shared" si="2"/>
        <v>34.681374159610094</v>
      </c>
      <c r="I131" s="74">
        <v>45877</v>
      </c>
      <c r="J131">
        <v>1</v>
      </c>
      <c r="K131" t="s">
        <v>288</v>
      </c>
      <c r="L131" t="s">
        <v>384</v>
      </c>
      <c r="M131" t="s">
        <v>356</v>
      </c>
      <c r="N131" s="73">
        <v>66637</v>
      </c>
      <c r="O131" s="73">
        <v>66637</v>
      </c>
      <c r="P131">
        <v>34.681374159610094</v>
      </c>
    </row>
    <row r="132" spans="1:16" hidden="1" x14ac:dyDescent="0.2">
      <c r="A132" s="73">
        <v>66637</v>
      </c>
      <c r="B132" t="s">
        <v>425</v>
      </c>
      <c r="C132" s="73" t="s">
        <v>426</v>
      </c>
      <c r="D132" t="s">
        <v>427</v>
      </c>
      <c r="E132" s="74">
        <v>45952</v>
      </c>
      <c r="F132">
        <v>6833</v>
      </c>
      <c r="G132" t="s">
        <v>383</v>
      </c>
      <c r="H132" s="75">
        <f t="shared" si="2"/>
        <v>69.362748319220188</v>
      </c>
      <c r="I132" s="74">
        <v>45952</v>
      </c>
      <c r="J132">
        <v>2</v>
      </c>
      <c r="K132" t="s">
        <v>513</v>
      </c>
      <c r="L132" t="s">
        <v>384</v>
      </c>
      <c r="M132" t="s">
        <v>356</v>
      </c>
      <c r="N132" s="73">
        <v>66637</v>
      </c>
      <c r="O132" s="73">
        <v>66637</v>
      </c>
      <c r="P132">
        <v>34.681374159610094</v>
      </c>
    </row>
    <row r="133" spans="1:16" hidden="1" x14ac:dyDescent="0.2">
      <c r="A133" s="73">
        <v>66637</v>
      </c>
      <c r="B133" t="s">
        <v>425</v>
      </c>
      <c r="C133" s="73" t="s">
        <v>426</v>
      </c>
      <c r="D133" t="s">
        <v>427</v>
      </c>
      <c r="E133" s="74">
        <v>45953</v>
      </c>
      <c r="F133">
        <v>6833</v>
      </c>
      <c r="G133" t="s">
        <v>383</v>
      </c>
      <c r="H133" s="75">
        <f t="shared" si="2"/>
        <v>69.362748319220188</v>
      </c>
      <c r="I133" s="74">
        <v>45953</v>
      </c>
      <c r="J133">
        <v>2</v>
      </c>
      <c r="K133" t="s">
        <v>513</v>
      </c>
      <c r="L133" t="s">
        <v>384</v>
      </c>
      <c r="M133" t="s">
        <v>356</v>
      </c>
      <c r="N133" s="73">
        <v>66637</v>
      </c>
      <c r="O133" s="73">
        <v>66637</v>
      </c>
      <c r="P133">
        <v>34.681374159610094</v>
      </c>
    </row>
    <row r="134" spans="1:16" hidden="1" x14ac:dyDescent="0.2">
      <c r="A134" s="73">
        <v>66637</v>
      </c>
      <c r="B134" t="s">
        <v>425</v>
      </c>
      <c r="C134" s="73" t="s">
        <v>426</v>
      </c>
      <c r="D134" t="s">
        <v>427</v>
      </c>
      <c r="E134" s="74">
        <v>45954</v>
      </c>
      <c r="F134">
        <v>6833</v>
      </c>
      <c r="G134" t="s">
        <v>383</v>
      </c>
      <c r="H134" s="75">
        <f t="shared" si="2"/>
        <v>69.362748319220188</v>
      </c>
      <c r="I134" s="74">
        <v>45954</v>
      </c>
      <c r="J134">
        <v>2</v>
      </c>
      <c r="K134" t="s">
        <v>513</v>
      </c>
      <c r="L134" t="s">
        <v>384</v>
      </c>
      <c r="M134" t="s">
        <v>356</v>
      </c>
      <c r="N134" s="73">
        <v>66637</v>
      </c>
      <c r="O134" s="73">
        <v>66637</v>
      </c>
      <c r="P134">
        <v>34.681374159610094</v>
      </c>
    </row>
    <row r="135" spans="1:16" hidden="1" x14ac:dyDescent="0.2">
      <c r="A135" s="73">
        <v>66637</v>
      </c>
      <c r="B135" t="s">
        <v>425</v>
      </c>
      <c r="C135" s="73" t="s">
        <v>426</v>
      </c>
      <c r="D135" t="s">
        <v>427</v>
      </c>
      <c r="E135" s="74">
        <v>45959</v>
      </c>
      <c r="F135">
        <v>6833</v>
      </c>
      <c r="G135" t="s">
        <v>383</v>
      </c>
      <c r="H135" s="75">
        <f t="shared" si="2"/>
        <v>52.022061239415137</v>
      </c>
      <c r="I135" s="74">
        <v>45959</v>
      </c>
      <c r="J135">
        <v>1.5</v>
      </c>
      <c r="K135" t="s">
        <v>513</v>
      </c>
      <c r="L135" t="s">
        <v>384</v>
      </c>
      <c r="M135" t="s">
        <v>356</v>
      </c>
      <c r="N135" s="73">
        <v>66637</v>
      </c>
      <c r="O135" s="73">
        <v>66637</v>
      </c>
      <c r="P135">
        <v>34.681374159610094</v>
      </c>
    </row>
    <row r="136" spans="1:16" hidden="1" x14ac:dyDescent="0.2">
      <c r="A136" s="73">
        <v>66637</v>
      </c>
      <c r="B136" t="s">
        <v>425</v>
      </c>
      <c r="C136" s="73" t="s">
        <v>426</v>
      </c>
      <c r="D136" t="s">
        <v>427</v>
      </c>
      <c r="E136" s="74">
        <v>45960</v>
      </c>
      <c r="F136">
        <v>6833</v>
      </c>
      <c r="G136" t="s">
        <v>383</v>
      </c>
      <c r="H136" s="75">
        <f t="shared" si="2"/>
        <v>34.681374159610094</v>
      </c>
      <c r="I136" s="74">
        <v>45960</v>
      </c>
      <c r="J136">
        <v>1</v>
      </c>
      <c r="K136" t="s">
        <v>513</v>
      </c>
      <c r="L136" t="s">
        <v>384</v>
      </c>
      <c r="M136" t="s">
        <v>356</v>
      </c>
      <c r="N136" s="73">
        <v>66637</v>
      </c>
      <c r="O136" s="73">
        <v>66637</v>
      </c>
      <c r="P136">
        <v>34.681374159610094</v>
      </c>
    </row>
    <row r="137" spans="1:16" hidden="1" x14ac:dyDescent="0.2">
      <c r="A137" s="73">
        <v>66637</v>
      </c>
      <c r="B137" t="s">
        <v>425</v>
      </c>
      <c r="C137" s="73" t="s">
        <v>426</v>
      </c>
      <c r="D137" t="s">
        <v>427</v>
      </c>
      <c r="E137" s="74">
        <v>45961</v>
      </c>
      <c r="F137">
        <v>6833</v>
      </c>
      <c r="G137" t="s">
        <v>383</v>
      </c>
      <c r="H137" s="75">
        <f t="shared" si="2"/>
        <v>69.362748319220188</v>
      </c>
      <c r="I137" s="74">
        <v>45961</v>
      </c>
      <c r="J137">
        <v>2</v>
      </c>
      <c r="K137" t="s">
        <v>513</v>
      </c>
      <c r="L137" t="s">
        <v>384</v>
      </c>
      <c r="M137" t="s">
        <v>356</v>
      </c>
      <c r="N137" s="73">
        <v>66637</v>
      </c>
      <c r="O137" s="73">
        <v>66637</v>
      </c>
      <c r="P137">
        <v>34.681374159610094</v>
      </c>
    </row>
    <row r="138" spans="1:16" hidden="1" x14ac:dyDescent="0.2">
      <c r="A138" s="73">
        <v>66637</v>
      </c>
      <c r="B138" t="s">
        <v>425</v>
      </c>
      <c r="C138" s="73" t="s">
        <v>426</v>
      </c>
      <c r="D138" t="s">
        <v>427</v>
      </c>
      <c r="E138" s="74">
        <v>45964</v>
      </c>
      <c r="F138">
        <v>6833</v>
      </c>
      <c r="G138" t="s">
        <v>383</v>
      </c>
      <c r="H138" s="75">
        <f t="shared" si="2"/>
        <v>104.04412247883027</v>
      </c>
      <c r="I138" s="74">
        <v>45964</v>
      </c>
      <c r="J138">
        <v>3</v>
      </c>
      <c r="K138" t="s">
        <v>514</v>
      </c>
      <c r="L138" t="s">
        <v>384</v>
      </c>
      <c r="M138" t="s">
        <v>356</v>
      </c>
      <c r="N138" s="73">
        <v>66637</v>
      </c>
      <c r="O138" s="73">
        <v>66637</v>
      </c>
      <c r="P138">
        <v>34.681374159610094</v>
      </c>
    </row>
    <row r="139" spans="1:16" hidden="1" x14ac:dyDescent="0.2">
      <c r="A139" s="73">
        <v>66637</v>
      </c>
      <c r="B139" t="s">
        <v>425</v>
      </c>
      <c r="C139" s="73" t="s">
        <v>426</v>
      </c>
      <c r="D139" t="s">
        <v>427</v>
      </c>
      <c r="E139" s="74">
        <v>45965</v>
      </c>
      <c r="F139">
        <v>6833</v>
      </c>
      <c r="G139" t="s">
        <v>383</v>
      </c>
      <c r="H139" s="75">
        <f t="shared" si="2"/>
        <v>69.362748319220188</v>
      </c>
      <c r="I139" s="74">
        <v>45965</v>
      </c>
      <c r="J139">
        <v>2</v>
      </c>
      <c r="K139" t="s">
        <v>514</v>
      </c>
      <c r="L139" t="s">
        <v>384</v>
      </c>
      <c r="M139" t="s">
        <v>356</v>
      </c>
      <c r="N139" s="73">
        <v>66637</v>
      </c>
      <c r="O139" s="73">
        <v>66637</v>
      </c>
      <c r="P139">
        <v>34.681374159610094</v>
      </c>
    </row>
    <row r="140" spans="1:16" hidden="1" x14ac:dyDescent="0.2">
      <c r="A140" s="73">
        <v>66637</v>
      </c>
      <c r="B140" t="s">
        <v>425</v>
      </c>
      <c r="C140" s="73" t="s">
        <v>426</v>
      </c>
      <c r="D140" t="s">
        <v>427</v>
      </c>
      <c r="E140" s="74">
        <v>45966</v>
      </c>
      <c r="F140">
        <v>6833</v>
      </c>
      <c r="G140" t="s">
        <v>383</v>
      </c>
      <c r="H140" s="75">
        <f t="shared" si="2"/>
        <v>69.362748319220188</v>
      </c>
      <c r="I140" s="74">
        <v>45966</v>
      </c>
      <c r="J140">
        <v>2</v>
      </c>
      <c r="K140" t="s">
        <v>514</v>
      </c>
      <c r="L140" t="s">
        <v>384</v>
      </c>
      <c r="M140" t="s">
        <v>356</v>
      </c>
      <c r="N140" s="73">
        <v>66637</v>
      </c>
      <c r="O140" s="73">
        <v>66637</v>
      </c>
      <c r="P140">
        <v>34.681374159610094</v>
      </c>
    </row>
    <row r="141" spans="1:16" hidden="1" x14ac:dyDescent="0.2">
      <c r="A141" s="73">
        <v>66637</v>
      </c>
      <c r="B141" t="s">
        <v>425</v>
      </c>
      <c r="C141" s="73" t="s">
        <v>426</v>
      </c>
      <c r="D141" t="s">
        <v>427</v>
      </c>
      <c r="E141" s="74">
        <v>45967</v>
      </c>
      <c r="F141">
        <v>6833</v>
      </c>
      <c r="G141" t="s">
        <v>383</v>
      </c>
      <c r="H141" s="75">
        <f t="shared" si="2"/>
        <v>34.681374159610094</v>
      </c>
      <c r="I141" s="74">
        <v>45967</v>
      </c>
      <c r="J141">
        <v>1</v>
      </c>
      <c r="K141" t="s">
        <v>514</v>
      </c>
      <c r="L141" t="s">
        <v>384</v>
      </c>
      <c r="M141" t="s">
        <v>356</v>
      </c>
      <c r="N141" s="73">
        <v>66637</v>
      </c>
      <c r="O141" s="73">
        <v>66637</v>
      </c>
      <c r="P141">
        <v>34.681374159610094</v>
      </c>
    </row>
    <row r="142" spans="1:16" hidden="1" x14ac:dyDescent="0.2">
      <c r="A142" s="73">
        <v>66637</v>
      </c>
      <c r="B142" t="s">
        <v>425</v>
      </c>
      <c r="C142" s="73" t="s">
        <v>426</v>
      </c>
      <c r="D142" t="s">
        <v>427</v>
      </c>
      <c r="E142" s="74">
        <v>45968</v>
      </c>
      <c r="F142">
        <v>6833</v>
      </c>
      <c r="G142" t="s">
        <v>383</v>
      </c>
      <c r="H142" s="75">
        <f t="shared" si="2"/>
        <v>34.681374159610094</v>
      </c>
      <c r="I142" s="74">
        <v>45968</v>
      </c>
      <c r="J142">
        <v>1</v>
      </c>
      <c r="K142" t="s">
        <v>514</v>
      </c>
      <c r="L142" t="s">
        <v>384</v>
      </c>
      <c r="M142" t="s">
        <v>356</v>
      </c>
      <c r="N142" s="73">
        <v>66637</v>
      </c>
      <c r="O142" s="73">
        <v>66637</v>
      </c>
      <c r="P142">
        <v>34.681374159610094</v>
      </c>
    </row>
    <row r="143" spans="1:16" hidden="1" x14ac:dyDescent="0.2">
      <c r="A143" s="73">
        <v>66637</v>
      </c>
      <c r="B143" t="s">
        <v>425</v>
      </c>
      <c r="C143" s="73" t="s">
        <v>426</v>
      </c>
      <c r="D143" t="s">
        <v>427</v>
      </c>
      <c r="E143" s="74">
        <v>45978</v>
      </c>
      <c r="F143">
        <v>6833</v>
      </c>
      <c r="G143" t="s">
        <v>383</v>
      </c>
      <c r="H143" s="75">
        <f t="shared" si="2"/>
        <v>52.022061239415137</v>
      </c>
      <c r="I143" s="74">
        <v>45978</v>
      </c>
      <c r="J143">
        <v>1.5</v>
      </c>
      <c r="K143" t="s">
        <v>514</v>
      </c>
      <c r="L143" t="s">
        <v>384</v>
      </c>
      <c r="M143" t="s">
        <v>356</v>
      </c>
      <c r="N143" s="73">
        <v>66637</v>
      </c>
      <c r="O143" s="73">
        <v>66637</v>
      </c>
      <c r="P143">
        <v>34.681374159610094</v>
      </c>
    </row>
    <row r="144" spans="1:16" hidden="1" x14ac:dyDescent="0.2">
      <c r="A144" s="73">
        <v>66637</v>
      </c>
      <c r="B144" t="s">
        <v>425</v>
      </c>
      <c r="C144" s="73" t="s">
        <v>426</v>
      </c>
      <c r="D144" t="s">
        <v>427</v>
      </c>
      <c r="E144" s="74">
        <v>45992</v>
      </c>
      <c r="F144">
        <v>6833</v>
      </c>
      <c r="G144" t="s">
        <v>383</v>
      </c>
      <c r="H144" s="75">
        <f t="shared" si="2"/>
        <v>104.04412247883027</v>
      </c>
      <c r="I144" s="74">
        <v>45992</v>
      </c>
      <c r="J144">
        <v>3</v>
      </c>
      <c r="K144" t="s">
        <v>515</v>
      </c>
      <c r="L144" t="s">
        <v>384</v>
      </c>
      <c r="M144" t="s">
        <v>356</v>
      </c>
      <c r="N144" s="73">
        <v>66637</v>
      </c>
      <c r="O144" s="73">
        <v>66637</v>
      </c>
      <c r="P144">
        <v>34.681374159610094</v>
      </c>
    </row>
    <row r="145" spans="1:16" hidden="1" x14ac:dyDescent="0.2">
      <c r="A145" s="73">
        <v>66637</v>
      </c>
      <c r="B145" t="s">
        <v>425</v>
      </c>
      <c r="C145" s="73" t="s">
        <v>426</v>
      </c>
      <c r="D145" t="s">
        <v>427</v>
      </c>
      <c r="E145" s="74">
        <v>45993</v>
      </c>
      <c r="F145">
        <v>6833</v>
      </c>
      <c r="G145" t="s">
        <v>383</v>
      </c>
      <c r="H145" s="75">
        <f t="shared" si="2"/>
        <v>104.04412247883027</v>
      </c>
      <c r="I145" s="74">
        <v>45993</v>
      </c>
      <c r="J145">
        <v>3</v>
      </c>
      <c r="K145" t="s">
        <v>515</v>
      </c>
      <c r="L145" t="s">
        <v>384</v>
      </c>
      <c r="M145" t="s">
        <v>356</v>
      </c>
      <c r="N145" s="73">
        <v>66637</v>
      </c>
      <c r="O145" s="73">
        <v>66637</v>
      </c>
      <c r="P145">
        <v>34.681374159610094</v>
      </c>
    </row>
    <row r="146" spans="1:16" hidden="1" x14ac:dyDescent="0.2">
      <c r="A146" s="73">
        <v>66637</v>
      </c>
      <c r="B146" t="s">
        <v>425</v>
      </c>
      <c r="C146" s="73" t="s">
        <v>426</v>
      </c>
      <c r="D146" t="s">
        <v>427</v>
      </c>
      <c r="E146" s="74">
        <v>45999</v>
      </c>
      <c r="F146">
        <v>6833</v>
      </c>
      <c r="G146" t="s">
        <v>383</v>
      </c>
      <c r="H146" s="75">
        <f t="shared" si="2"/>
        <v>86.703435399025238</v>
      </c>
      <c r="I146" s="74">
        <v>45999</v>
      </c>
      <c r="J146">
        <v>2.5</v>
      </c>
      <c r="K146" t="s">
        <v>515</v>
      </c>
      <c r="L146" t="s">
        <v>384</v>
      </c>
      <c r="M146" t="s">
        <v>356</v>
      </c>
      <c r="N146" s="73">
        <v>66637</v>
      </c>
      <c r="O146" s="73">
        <v>66637</v>
      </c>
      <c r="P146">
        <v>34.681374159610094</v>
      </c>
    </row>
    <row r="147" spans="1:16" hidden="1" x14ac:dyDescent="0.2">
      <c r="A147" s="73">
        <v>66637</v>
      </c>
      <c r="B147" t="s">
        <v>425</v>
      </c>
      <c r="C147" s="73" t="s">
        <v>426</v>
      </c>
      <c r="D147" t="s">
        <v>427</v>
      </c>
      <c r="E147" s="74">
        <v>46000</v>
      </c>
      <c r="F147">
        <v>6833</v>
      </c>
      <c r="G147" t="s">
        <v>383</v>
      </c>
      <c r="H147" s="75">
        <f t="shared" si="2"/>
        <v>86.703435399025238</v>
      </c>
      <c r="I147" s="74">
        <v>46000</v>
      </c>
      <c r="J147">
        <v>2.5</v>
      </c>
      <c r="K147" t="s">
        <v>515</v>
      </c>
      <c r="L147" t="s">
        <v>384</v>
      </c>
      <c r="M147" t="s">
        <v>356</v>
      </c>
      <c r="N147" s="73">
        <v>66637</v>
      </c>
      <c r="O147" s="73">
        <v>66637</v>
      </c>
      <c r="P147">
        <v>34.681374159610094</v>
      </c>
    </row>
    <row r="148" spans="1:16" hidden="1" x14ac:dyDescent="0.2">
      <c r="A148" s="73">
        <v>66637</v>
      </c>
      <c r="B148" t="s">
        <v>425</v>
      </c>
      <c r="C148" s="73" t="s">
        <v>426</v>
      </c>
      <c r="D148" t="s">
        <v>427</v>
      </c>
      <c r="E148" s="74">
        <v>46001</v>
      </c>
      <c r="F148">
        <v>6833</v>
      </c>
      <c r="G148" t="s">
        <v>383</v>
      </c>
      <c r="H148" s="75">
        <f t="shared" si="2"/>
        <v>104.04412247883027</v>
      </c>
      <c r="I148" s="74">
        <v>46001</v>
      </c>
      <c r="J148">
        <v>3</v>
      </c>
      <c r="K148" t="s">
        <v>515</v>
      </c>
      <c r="L148" t="s">
        <v>384</v>
      </c>
      <c r="M148" t="s">
        <v>356</v>
      </c>
      <c r="N148" s="73">
        <v>66637</v>
      </c>
      <c r="O148" s="73">
        <v>66637</v>
      </c>
      <c r="P148">
        <v>34.681374159610094</v>
      </c>
    </row>
    <row r="149" spans="1:16" hidden="1" x14ac:dyDescent="0.2">
      <c r="A149" s="73">
        <v>66637</v>
      </c>
      <c r="B149" t="s">
        <v>425</v>
      </c>
      <c r="C149" s="73" t="s">
        <v>426</v>
      </c>
      <c r="D149" t="s">
        <v>427</v>
      </c>
      <c r="E149" s="74">
        <v>46002</v>
      </c>
      <c r="F149">
        <v>6833</v>
      </c>
      <c r="G149" t="s">
        <v>383</v>
      </c>
      <c r="H149" s="75">
        <f t="shared" si="2"/>
        <v>104.04412247883027</v>
      </c>
      <c r="I149" s="74">
        <v>46002</v>
      </c>
      <c r="J149">
        <v>3</v>
      </c>
      <c r="K149" t="s">
        <v>515</v>
      </c>
      <c r="L149" t="s">
        <v>384</v>
      </c>
      <c r="M149" t="s">
        <v>356</v>
      </c>
      <c r="N149" s="73">
        <v>66637</v>
      </c>
      <c r="O149" s="73">
        <v>66637</v>
      </c>
      <c r="P149">
        <v>34.681374159610094</v>
      </c>
    </row>
    <row r="150" spans="1:16" hidden="1" x14ac:dyDescent="0.2">
      <c r="A150" s="73">
        <v>66637</v>
      </c>
      <c r="B150" t="s">
        <v>425</v>
      </c>
      <c r="C150" s="73" t="s">
        <v>426</v>
      </c>
      <c r="D150" t="s">
        <v>427</v>
      </c>
      <c r="E150" s="74">
        <v>46041</v>
      </c>
      <c r="F150">
        <v>6833</v>
      </c>
      <c r="G150" t="s">
        <v>383</v>
      </c>
      <c r="H150" s="75">
        <f t="shared" si="2"/>
        <v>69.362748319220188</v>
      </c>
      <c r="I150" s="74">
        <v>46041</v>
      </c>
      <c r="J150">
        <v>2</v>
      </c>
      <c r="K150" t="s">
        <v>516</v>
      </c>
      <c r="L150" t="s">
        <v>384</v>
      </c>
      <c r="M150" t="s">
        <v>356</v>
      </c>
      <c r="N150" s="73">
        <v>66637</v>
      </c>
      <c r="O150" s="73">
        <v>66637</v>
      </c>
      <c r="P150">
        <v>34.681374159610094</v>
      </c>
    </row>
    <row r="151" spans="1:16" hidden="1" x14ac:dyDescent="0.2">
      <c r="A151" s="73">
        <v>66637</v>
      </c>
      <c r="B151" t="s">
        <v>425</v>
      </c>
      <c r="C151" s="73" t="s">
        <v>426</v>
      </c>
      <c r="D151" t="s">
        <v>427</v>
      </c>
      <c r="E151" s="74">
        <v>46042</v>
      </c>
      <c r="F151">
        <v>6833</v>
      </c>
      <c r="G151" t="s">
        <v>383</v>
      </c>
      <c r="H151" s="75">
        <f t="shared" si="2"/>
        <v>69.362748319220188</v>
      </c>
      <c r="I151" s="74">
        <v>46042</v>
      </c>
      <c r="J151">
        <v>2</v>
      </c>
      <c r="K151" t="s">
        <v>516</v>
      </c>
      <c r="L151" t="s">
        <v>384</v>
      </c>
      <c r="M151" t="s">
        <v>356</v>
      </c>
      <c r="N151" s="73">
        <v>66637</v>
      </c>
      <c r="O151" s="73">
        <v>66637</v>
      </c>
      <c r="P151">
        <v>34.681374159610094</v>
      </c>
    </row>
    <row r="152" spans="1:16" hidden="1" x14ac:dyDescent="0.2">
      <c r="A152" s="73">
        <v>66637</v>
      </c>
      <c r="B152" t="s">
        <v>425</v>
      </c>
      <c r="C152" s="73" t="s">
        <v>426</v>
      </c>
      <c r="D152" t="s">
        <v>427</v>
      </c>
      <c r="E152" s="74">
        <v>46043</v>
      </c>
      <c r="F152">
        <v>6833</v>
      </c>
      <c r="G152" t="s">
        <v>383</v>
      </c>
      <c r="H152" s="75">
        <f t="shared" si="2"/>
        <v>34.681374159610094</v>
      </c>
      <c r="I152" s="74">
        <v>46043</v>
      </c>
      <c r="J152">
        <v>1</v>
      </c>
      <c r="K152" t="s">
        <v>516</v>
      </c>
      <c r="L152" t="s">
        <v>384</v>
      </c>
      <c r="M152" t="s">
        <v>356</v>
      </c>
      <c r="N152" s="73">
        <v>66637</v>
      </c>
      <c r="O152" s="73">
        <v>66637</v>
      </c>
      <c r="P152">
        <v>34.681374159610094</v>
      </c>
    </row>
    <row r="153" spans="1:16" hidden="1" x14ac:dyDescent="0.2">
      <c r="A153" s="73">
        <v>66637</v>
      </c>
      <c r="B153" t="s">
        <v>425</v>
      </c>
      <c r="C153" s="73" t="s">
        <v>426</v>
      </c>
      <c r="D153" t="s">
        <v>427</v>
      </c>
      <c r="E153" s="74">
        <v>46044</v>
      </c>
      <c r="F153">
        <v>6833</v>
      </c>
      <c r="G153" t="s">
        <v>383</v>
      </c>
      <c r="H153" s="75">
        <f t="shared" si="2"/>
        <v>34.681374159610094</v>
      </c>
      <c r="I153" s="74">
        <v>46044</v>
      </c>
      <c r="J153">
        <v>1</v>
      </c>
      <c r="K153" t="s">
        <v>516</v>
      </c>
      <c r="L153" t="s">
        <v>384</v>
      </c>
      <c r="M153" t="s">
        <v>356</v>
      </c>
      <c r="N153" s="73">
        <v>66637</v>
      </c>
      <c r="O153" s="73">
        <v>66637</v>
      </c>
      <c r="P153">
        <v>34.681374159610094</v>
      </c>
    </row>
    <row r="154" spans="1:16" hidden="1" x14ac:dyDescent="0.2">
      <c r="A154" s="73">
        <v>66637</v>
      </c>
      <c r="B154" t="s">
        <v>425</v>
      </c>
      <c r="C154" s="73" t="s">
        <v>426</v>
      </c>
      <c r="D154" t="s">
        <v>427</v>
      </c>
      <c r="E154" s="74">
        <v>46055</v>
      </c>
      <c r="F154">
        <v>6833</v>
      </c>
      <c r="G154" t="s">
        <v>383</v>
      </c>
      <c r="H154" s="75">
        <f t="shared" si="2"/>
        <v>69.362748319220188</v>
      </c>
      <c r="I154" s="74">
        <v>46055</v>
      </c>
      <c r="J154">
        <v>2</v>
      </c>
      <c r="K154" t="s">
        <v>508</v>
      </c>
      <c r="L154" t="s">
        <v>384</v>
      </c>
      <c r="M154" t="s">
        <v>356</v>
      </c>
      <c r="N154" s="73">
        <v>66637</v>
      </c>
      <c r="O154" s="73">
        <v>66637</v>
      </c>
      <c r="P154">
        <v>34.681374159610094</v>
      </c>
    </row>
    <row r="155" spans="1:16" hidden="1" x14ac:dyDescent="0.2">
      <c r="A155" s="73">
        <v>66637</v>
      </c>
      <c r="B155" t="s">
        <v>425</v>
      </c>
      <c r="C155" s="73" t="s">
        <v>426</v>
      </c>
      <c r="D155" t="s">
        <v>427</v>
      </c>
      <c r="E155" s="74">
        <v>46056</v>
      </c>
      <c r="F155">
        <v>6833</v>
      </c>
      <c r="G155" t="s">
        <v>383</v>
      </c>
      <c r="H155" s="75">
        <f t="shared" si="2"/>
        <v>69.362748319220188</v>
      </c>
      <c r="I155" s="74">
        <v>46056</v>
      </c>
      <c r="J155">
        <v>2</v>
      </c>
      <c r="K155" t="s">
        <v>508</v>
      </c>
      <c r="L155" t="s">
        <v>384</v>
      </c>
      <c r="M155" t="s">
        <v>356</v>
      </c>
      <c r="N155" s="73">
        <v>66637</v>
      </c>
      <c r="O155" s="73">
        <v>66637</v>
      </c>
      <c r="P155">
        <v>34.681374159610094</v>
      </c>
    </row>
    <row r="156" spans="1:16" hidden="1" x14ac:dyDescent="0.2">
      <c r="A156" s="73">
        <v>66637</v>
      </c>
      <c r="B156" t="s">
        <v>425</v>
      </c>
      <c r="C156" s="73" t="s">
        <v>426</v>
      </c>
      <c r="D156" t="s">
        <v>427</v>
      </c>
      <c r="E156" s="74">
        <v>46057</v>
      </c>
      <c r="F156">
        <v>6833</v>
      </c>
      <c r="G156" t="s">
        <v>383</v>
      </c>
      <c r="H156" s="75">
        <f t="shared" si="2"/>
        <v>104.04412247883027</v>
      </c>
      <c r="I156" s="74">
        <v>46057</v>
      </c>
      <c r="J156">
        <v>3</v>
      </c>
      <c r="K156" t="s">
        <v>508</v>
      </c>
      <c r="L156" t="s">
        <v>384</v>
      </c>
      <c r="M156" t="s">
        <v>356</v>
      </c>
      <c r="N156" s="73">
        <v>66637</v>
      </c>
      <c r="O156" s="73">
        <v>66637</v>
      </c>
      <c r="P156">
        <v>34.681374159610094</v>
      </c>
    </row>
    <row r="157" spans="1:16" hidden="1" x14ac:dyDescent="0.2">
      <c r="A157" s="73">
        <v>66637</v>
      </c>
      <c r="B157" t="s">
        <v>425</v>
      </c>
      <c r="C157" s="73" t="s">
        <v>426</v>
      </c>
      <c r="D157" t="s">
        <v>427</v>
      </c>
      <c r="E157" s="74">
        <v>46058</v>
      </c>
      <c r="F157">
        <v>6833</v>
      </c>
      <c r="G157" t="s">
        <v>383</v>
      </c>
      <c r="H157" s="75">
        <f t="shared" si="2"/>
        <v>69.362748319220188</v>
      </c>
      <c r="I157" s="74">
        <v>46058</v>
      </c>
      <c r="J157">
        <v>2</v>
      </c>
      <c r="K157" t="s">
        <v>508</v>
      </c>
      <c r="L157" t="s">
        <v>384</v>
      </c>
      <c r="M157" t="s">
        <v>356</v>
      </c>
      <c r="N157" s="73">
        <v>66637</v>
      </c>
      <c r="O157" s="73">
        <v>66637</v>
      </c>
      <c r="P157">
        <v>34.681374159610094</v>
      </c>
    </row>
    <row r="158" spans="1:16" hidden="1" x14ac:dyDescent="0.2">
      <c r="A158" s="73">
        <v>66637</v>
      </c>
      <c r="B158" t="s">
        <v>425</v>
      </c>
      <c r="C158" s="73" t="s">
        <v>426</v>
      </c>
      <c r="D158" t="s">
        <v>427</v>
      </c>
      <c r="E158" s="74">
        <v>46059</v>
      </c>
      <c r="F158">
        <v>6833</v>
      </c>
      <c r="G158" t="s">
        <v>383</v>
      </c>
      <c r="H158" s="75">
        <f t="shared" si="2"/>
        <v>121.38480955863533</v>
      </c>
      <c r="I158" s="74">
        <v>46059</v>
      </c>
      <c r="J158">
        <v>3.5</v>
      </c>
      <c r="K158" t="s">
        <v>508</v>
      </c>
      <c r="L158" t="s">
        <v>384</v>
      </c>
      <c r="M158" t="s">
        <v>356</v>
      </c>
      <c r="N158" s="73">
        <v>66637</v>
      </c>
      <c r="O158" s="73">
        <v>66637</v>
      </c>
      <c r="P158">
        <v>34.681374159610094</v>
      </c>
    </row>
    <row r="159" spans="1:16" hidden="1" x14ac:dyDescent="0.2">
      <c r="A159" s="73">
        <v>66637</v>
      </c>
      <c r="B159" t="s">
        <v>425</v>
      </c>
      <c r="C159" s="73" t="s">
        <v>426</v>
      </c>
      <c r="D159" t="s">
        <v>427</v>
      </c>
      <c r="E159" s="74">
        <v>46062</v>
      </c>
      <c r="F159">
        <v>6833</v>
      </c>
      <c r="G159" t="s">
        <v>383</v>
      </c>
      <c r="H159" s="75">
        <f t="shared" si="2"/>
        <v>104.04412247883027</v>
      </c>
      <c r="I159" s="74">
        <v>46062</v>
      </c>
      <c r="J159">
        <v>3</v>
      </c>
      <c r="K159" t="s">
        <v>508</v>
      </c>
      <c r="L159" t="s">
        <v>384</v>
      </c>
      <c r="M159" t="s">
        <v>356</v>
      </c>
      <c r="N159" s="73">
        <v>66637</v>
      </c>
      <c r="O159" s="73">
        <v>66637</v>
      </c>
      <c r="P159">
        <v>34.681374159610094</v>
      </c>
    </row>
    <row r="160" spans="1:16" hidden="1" x14ac:dyDescent="0.2">
      <c r="A160" s="73">
        <v>66637</v>
      </c>
      <c r="B160" t="s">
        <v>425</v>
      </c>
      <c r="C160" s="73" t="s">
        <v>426</v>
      </c>
      <c r="D160" t="s">
        <v>427</v>
      </c>
      <c r="E160" s="74">
        <v>46063</v>
      </c>
      <c r="F160">
        <v>6833</v>
      </c>
      <c r="G160" t="s">
        <v>383</v>
      </c>
      <c r="H160" s="75">
        <f t="shared" si="2"/>
        <v>104.04412247883027</v>
      </c>
      <c r="I160" s="74">
        <v>46063</v>
      </c>
      <c r="J160">
        <v>3</v>
      </c>
      <c r="K160" t="s">
        <v>508</v>
      </c>
      <c r="L160" t="s">
        <v>384</v>
      </c>
      <c r="M160" t="s">
        <v>356</v>
      </c>
      <c r="N160" s="73">
        <v>66637</v>
      </c>
      <c r="O160" s="73">
        <v>66637</v>
      </c>
      <c r="P160">
        <v>34.681374159610094</v>
      </c>
    </row>
    <row r="161" spans="1:16" hidden="1" x14ac:dyDescent="0.2">
      <c r="A161" s="73">
        <v>66637</v>
      </c>
      <c r="B161" t="s">
        <v>425</v>
      </c>
      <c r="C161" s="73" t="s">
        <v>426</v>
      </c>
      <c r="D161" t="s">
        <v>427</v>
      </c>
      <c r="E161" s="74">
        <v>46064</v>
      </c>
      <c r="F161">
        <v>6833</v>
      </c>
      <c r="G161" t="s">
        <v>383</v>
      </c>
      <c r="H161" s="75">
        <f t="shared" si="2"/>
        <v>138.72549663844038</v>
      </c>
      <c r="I161" s="74">
        <v>46064</v>
      </c>
      <c r="J161">
        <v>4</v>
      </c>
      <c r="K161" t="s">
        <v>508</v>
      </c>
      <c r="L161" t="s">
        <v>384</v>
      </c>
      <c r="M161" t="s">
        <v>356</v>
      </c>
      <c r="N161" s="73">
        <v>66637</v>
      </c>
      <c r="O161" s="73">
        <v>66637</v>
      </c>
      <c r="P161">
        <v>34.681374159610094</v>
      </c>
    </row>
    <row r="162" spans="1:16" hidden="1" x14ac:dyDescent="0.2">
      <c r="A162" s="73">
        <v>66637</v>
      </c>
      <c r="B162" t="s">
        <v>425</v>
      </c>
      <c r="C162" s="73" t="s">
        <v>426</v>
      </c>
      <c r="D162" t="s">
        <v>427</v>
      </c>
      <c r="E162" s="74">
        <v>46065</v>
      </c>
      <c r="F162">
        <v>6833</v>
      </c>
      <c r="G162" t="s">
        <v>383</v>
      </c>
      <c r="H162" s="75">
        <f t="shared" si="2"/>
        <v>86.703435399025238</v>
      </c>
      <c r="I162" s="74">
        <v>46065</v>
      </c>
      <c r="J162">
        <v>2.5</v>
      </c>
      <c r="K162" t="s">
        <v>508</v>
      </c>
      <c r="L162" t="s">
        <v>384</v>
      </c>
      <c r="M162" t="s">
        <v>356</v>
      </c>
      <c r="N162" s="73">
        <v>66637</v>
      </c>
      <c r="O162" s="73">
        <v>66637</v>
      </c>
      <c r="P162">
        <v>34.681374159610094</v>
      </c>
    </row>
    <row r="163" spans="1:16" hidden="1" x14ac:dyDescent="0.2">
      <c r="A163" s="73">
        <v>66637</v>
      </c>
      <c r="B163" t="s">
        <v>425</v>
      </c>
      <c r="C163" s="73" t="s">
        <v>426</v>
      </c>
      <c r="D163" t="s">
        <v>427</v>
      </c>
      <c r="E163" s="74">
        <v>46066</v>
      </c>
      <c r="F163">
        <v>6833</v>
      </c>
      <c r="G163" t="s">
        <v>383</v>
      </c>
      <c r="H163" s="75">
        <f t="shared" si="2"/>
        <v>86.703435399025238</v>
      </c>
      <c r="I163" s="74">
        <v>46066</v>
      </c>
      <c r="J163">
        <v>2.5</v>
      </c>
      <c r="K163" t="s">
        <v>508</v>
      </c>
      <c r="L163" t="s">
        <v>384</v>
      </c>
      <c r="M163" t="s">
        <v>356</v>
      </c>
      <c r="N163" s="73">
        <v>66637</v>
      </c>
      <c r="O163" s="73">
        <v>66637</v>
      </c>
      <c r="P163">
        <v>34.681374159610094</v>
      </c>
    </row>
    <row r="164" spans="1:16" hidden="1" x14ac:dyDescent="0.2">
      <c r="A164" s="73">
        <v>66637</v>
      </c>
      <c r="B164" t="s">
        <v>425</v>
      </c>
      <c r="C164" s="73" t="s">
        <v>426</v>
      </c>
      <c r="D164" t="s">
        <v>427</v>
      </c>
      <c r="E164" s="74">
        <v>46069</v>
      </c>
      <c r="F164">
        <v>6833</v>
      </c>
      <c r="G164" t="s">
        <v>383</v>
      </c>
      <c r="H164" s="75">
        <f t="shared" si="2"/>
        <v>138.72549663844038</v>
      </c>
      <c r="I164" s="74">
        <v>46069</v>
      </c>
      <c r="J164">
        <v>4</v>
      </c>
      <c r="K164" t="s">
        <v>508</v>
      </c>
      <c r="L164" t="s">
        <v>384</v>
      </c>
      <c r="M164" t="s">
        <v>356</v>
      </c>
      <c r="N164" s="73">
        <v>66637</v>
      </c>
      <c r="O164" s="73">
        <v>66637</v>
      </c>
      <c r="P164">
        <v>34.681374159610094</v>
      </c>
    </row>
    <row r="165" spans="1:16" hidden="1" x14ac:dyDescent="0.2">
      <c r="A165" s="73">
        <v>66637</v>
      </c>
      <c r="B165" t="s">
        <v>425</v>
      </c>
      <c r="C165" s="73" t="s">
        <v>426</v>
      </c>
      <c r="D165" t="s">
        <v>427</v>
      </c>
      <c r="E165" s="74">
        <v>46070</v>
      </c>
      <c r="F165">
        <v>6833</v>
      </c>
      <c r="G165" t="s">
        <v>383</v>
      </c>
      <c r="H165" s="75">
        <f t="shared" si="2"/>
        <v>138.72549663844038</v>
      </c>
      <c r="I165" s="74">
        <v>46070</v>
      </c>
      <c r="J165">
        <v>4</v>
      </c>
      <c r="K165" t="s">
        <v>508</v>
      </c>
      <c r="L165" t="s">
        <v>384</v>
      </c>
      <c r="M165" t="s">
        <v>356</v>
      </c>
      <c r="N165" s="73">
        <v>66637</v>
      </c>
      <c r="O165" s="73">
        <v>66637</v>
      </c>
      <c r="P165">
        <v>34.681374159610094</v>
      </c>
    </row>
    <row r="166" spans="1:16" hidden="1" x14ac:dyDescent="0.2">
      <c r="A166" s="73">
        <v>66637</v>
      </c>
      <c r="B166" t="s">
        <v>425</v>
      </c>
      <c r="C166" s="73" t="s">
        <v>426</v>
      </c>
      <c r="D166" t="s">
        <v>427</v>
      </c>
      <c r="E166" s="74">
        <v>46071</v>
      </c>
      <c r="F166">
        <v>6833</v>
      </c>
      <c r="G166" t="s">
        <v>383</v>
      </c>
      <c r="H166" s="75">
        <f t="shared" si="2"/>
        <v>138.72549663844038</v>
      </c>
      <c r="I166" s="74">
        <v>46071</v>
      </c>
      <c r="J166">
        <v>4</v>
      </c>
      <c r="K166" t="s">
        <v>508</v>
      </c>
      <c r="L166" t="s">
        <v>384</v>
      </c>
      <c r="M166" t="s">
        <v>356</v>
      </c>
      <c r="N166" s="73">
        <v>66637</v>
      </c>
      <c r="O166" s="73">
        <v>66637</v>
      </c>
      <c r="P166">
        <v>34.681374159610094</v>
      </c>
    </row>
    <row r="167" spans="1:16" hidden="1" x14ac:dyDescent="0.2">
      <c r="A167" s="73">
        <v>66637</v>
      </c>
      <c r="B167" t="s">
        <v>425</v>
      </c>
      <c r="C167" s="73" t="s">
        <v>426</v>
      </c>
      <c r="D167" t="s">
        <v>427</v>
      </c>
      <c r="E167" s="74">
        <v>46072</v>
      </c>
      <c r="F167">
        <v>6833</v>
      </c>
      <c r="G167" t="s">
        <v>383</v>
      </c>
      <c r="H167" s="75">
        <f t="shared" si="2"/>
        <v>138.72549663844038</v>
      </c>
      <c r="I167" s="74">
        <v>46072</v>
      </c>
      <c r="J167">
        <v>4</v>
      </c>
      <c r="K167" t="s">
        <v>508</v>
      </c>
      <c r="L167" t="s">
        <v>384</v>
      </c>
      <c r="M167" t="s">
        <v>356</v>
      </c>
      <c r="N167" s="73">
        <v>66637</v>
      </c>
      <c r="O167" s="73">
        <v>66637</v>
      </c>
      <c r="P167">
        <v>34.681374159610094</v>
      </c>
    </row>
    <row r="168" spans="1:16" hidden="1" x14ac:dyDescent="0.2">
      <c r="A168" s="73">
        <v>66637</v>
      </c>
      <c r="B168" t="s">
        <v>425</v>
      </c>
      <c r="C168" s="73" t="s">
        <v>426</v>
      </c>
      <c r="D168" t="s">
        <v>427</v>
      </c>
      <c r="E168" s="74">
        <v>46073</v>
      </c>
      <c r="F168">
        <v>6833</v>
      </c>
      <c r="G168" t="s">
        <v>383</v>
      </c>
      <c r="H168" s="75">
        <f t="shared" si="2"/>
        <v>138.72549663844038</v>
      </c>
      <c r="I168" s="74">
        <v>46073</v>
      </c>
      <c r="J168">
        <v>4</v>
      </c>
      <c r="K168" t="s">
        <v>508</v>
      </c>
      <c r="L168" t="s">
        <v>384</v>
      </c>
      <c r="M168" t="s">
        <v>356</v>
      </c>
      <c r="N168" s="73">
        <v>66637</v>
      </c>
      <c r="O168" s="73">
        <v>66637</v>
      </c>
      <c r="P168">
        <v>34.681374159610094</v>
      </c>
    </row>
    <row r="169" spans="1:16" hidden="1" x14ac:dyDescent="0.2">
      <c r="A169" s="73">
        <v>66637</v>
      </c>
      <c r="B169" t="s">
        <v>425</v>
      </c>
      <c r="C169" s="73" t="s">
        <v>426</v>
      </c>
      <c r="D169" t="s">
        <v>427</v>
      </c>
      <c r="E169" s="74">
        <v>46104</v>
      </c>
      <c r="F169">
        <v>6833</v>
      </c>
      <c r="G169" t="s">
        <v>383</v>
      </c>
      <c r="H169" s="75">
        <f t="shared" si="2"/>
        <v>69.362748319220188</v>
      </c>
      <c r="I169" s="74">
        <v>46104</v>
      </c>
      <c r="J169">
        <v>2</v>
      </c>
      <c r="K169" t="s">
        <v>509</v>
      </c>
      <c r="L169" t="s">
        <v>384</v>
      </c>
      <c r="M169" t="s">
        <v>356</v>
      </c>
      <c r="N169" s="73">
        <v>66637</v>
      </c>
      <c r="O169" s="73">
        <v>66637</v>
      </c>
      <c r="P169">
        <v>34.681374159610094</v>
      </c>
    </row>
    <row r="170" spans="1:16" hidden="1" x14ac:dyDescent="0.2">
      <c r="A170" s="73">
        <v>66637</v>
      </c>
      <c r="B170" t="s">
        <v>425</v>
      </c>
      <c r="C170" s="73" t="s">
        <v>426</v>
      </c>
      <c r="D170" t="s">
        <v>427</v>
      </c>
      <c r="E170" s="74">
        <v>46105</v>
      </c>
      <c r="F170">
        <v>6833</v>
      </c>
      <c r="G170" t="s">
        <v>383</v>
      </c>
      <c r="H170" s="75">
        <f t="shared" si="2"/>
        <v>69.362748319220188</v>
      </c>
      <c r="I170" s="74">
        <v>46105</v>
      </c>
      <c r="J170">
        <v>2</v>
      </c>
      <c r="K170" t="s">
        <v>509</v>
      </c>
      <c r="L170" t="s">
        <v>384</v>
      </c>
      <c r="M170" t="s">
        <v>356</v>
      </c>
      <c r="N170" s="73">
        <v>66637</v>
      </c>
      <c r="O170" s="73">
        <v>66637</v>
      </c>
      <c r="P170">
        <v>34.681374159610094</v>
      </c>
    </row>
    <row r="171" spans="1:16" hidden="1" x14ac:dyDescent="0.2">
      <c r="A171" s="73">
        <v>66637</v>
      </c>
      <c r="B171" t="s">
        <v>425</v>
      </c>
      <c r="C171" s="73" t="s">
        <v>426</v>
      </c>
      <c r="D171" t="s">
        <v>427</v>
      </c>
      <c r="E171" s="74">
        <v>46106</v>
      </c>
      <c r="F171">
        <v>6833</v>
      </c>
      <c r="G171" t="s">
        <v>383</v>
      </c>
      <c r="H171" s="75">
        <f t="shared" si="2"/>
        <v>69.362748319220188</v>
      </c>
      <c r="I171" s="74">
        <v>46106</v>
      </c>
      <c r="J171">
        <v>2</v>
      </c>
      <c r="K171" t="s">
        <v>509</v>
      </c>
      <c r="L171" t="s">
        <v>384</v>
      </c>
      <c r="M171" t="s">
        <v>356</v>
      </c>
      <c r="N171" s="73">
        <v>66637</v>
      </c>
      <c r="O171" s="73">
        <v>66637</v>
      </c>
      <c r="P171">
        <v>34.681374159610094</v>
      </c>
    </row>
    <row r="172" spans="1:16" hidden="1" x14ac:dyDescent="0.2">
      <c r="A172" s="73">
        <v>66637</v>
      </c>
      <c r="B172" t="s">
        <v>425</v>
      </c>
      <c r="C172" s="73" t="s">
        <v>426</v>
      </c>
      <c r="D172" t="s">
        <v>427</v>
      </c>
      <c r="E172" s="74">
        <v>46107</v>
      </c>
      <c r="F172">
        <v>6833</v>
      </c>
      <c r="G172" t="s">
        <v>383</v>
      </c>
      <c r="H172" s="75">
        <f t="shared" si="2"/>
        <v>69.362748319220188</v>
      </c>
      <c r="I172" s="74">
        <v>46107</v>
      </c>
      <c r="J172">
        <v>2</v>
      </c>
      <c r="K172" t="s">
        <v>509</v>
      </c>
      <c r="L172" t="s">
        <v>384</v>
      </c>
      <c r="M172" t="s">
        <v>356</v>
      </c>
      <c r="N172" s="73">
        <v>66637</v>
      </c>
      <c r="O172" s="73">
        <v>66637</v>
      </c>
      <c r="P172">
        <v>34.681374159610094</v>
      </c>
    </row>
    <row r="173" spans="1:16" hidden="1" x14ac:dyDescent="0.2">
      <c r="A173" s="73">
        <v>66637</v>
      </c>
      <c r="B173" t="s">
        <v>425</v>
      </c>
      <c r="C173" s="73" t="s">
        <v>426</v>
      </c>
      <c r="D173" t="s">
        <v>427</v>
      </c>
      <c r="E173" s="74">
        <v>46108</v>
      </c>
      <c r="F173">
        <v>6833</v>
      </c>
      <c r="G173" t="s">
        <v>383</v>
      </c>
      <c r="H173" s="75">
        <f t="shared" si="2"/>
        <v>69.362748319220188</v>
      </c>
      <c r="I173" s="74">
        <v>46108</v>
      </c>
      <c r="J173">
        <v>2</v>
      </c>
      <c r="K173" t="s">
        <v>509</v>
      </c>
      <c r="L173" t="s">
        <v>384</v>
      </c>
      <c r="M173" t="s">
        <v>356</v>
      </c>
      <c r="N173" s="73">
        <v>66637</v>
      </c>
      <c r="O173" s="73">
        <v>66637</v>
      </c>
      <c r="P173">
        <v>34.681374159610094</v>
      </c>
    </row>
    <row r="174" spans="1:16" hidden="1" x14ac:dyDescent="0.2">
      <c r="A174" s="73">
        <v>66637</v>
      </c>
      <c r="B174" t="s">
        <v>425</v>
      </c>
      <c r="C174" s="73" t="s">
        <v>426</v>
      </c>
      <c r="D174" t="s">
        <v>427</v>
      </c>
      <c r="E174" s="74">
        <v>46111</v>
      </c>
      <c r="F174">
        <v>6833</v>
      </c>
      <c r="G174" t="s">
        <v>383</v>
      </c>
      <c r="H174" s="75">
        <f t="shared" si="2"/>
        <v>138.72549663844038</v>
      </c>
      <c r="I174" s="74">
        <v>46111</v>
      </c>
      <c r="J174">
        <v>4</v>
      </c>
      <c r="K174" t="s">
        <v>509</v>
      </c>
      <c r="L174" t="s">
        <v>384</v>
      </c>
      <c r="M174" t="s">
        <v>356</v>
      </c>
      <c r="N174" s="73">
        <v>66637</v>
      </c>
      <c r="O174" s="73">
        <v>66637</v>
      </c>
      <c r="P174">
        <v>34.681374159610094</v>
      </c>
    </row>
    <row r="175" spans="1:16" hidden="1" x14ac:dyDescent="0.2">
      <c r="A175" s="73">
        <v>66637</v>
      </c>
      <c r="B175" t="s">
        <v>425</v>
      </c>
      <c r="C175" s="73" t="s">
        <v>426</v>
      </c>
      <c r="D175" t="s">
        <v>427</v>
      </c>
      <c r="E175" s="74">
        <v>46112</v>
      </c>
      <c r="F175">
        <v>6833</v>
      </c>
      <c r="G175" t="s">
        <v>383</v>
      </c>
      <c r="H175" s="75">
        <f t="shared" si="2"/>
        <v>138.72549663844038</v>
      </c>
      <c r="I175" s="74">
        <v>46112</v>
      </c>
      <c r="J175">
        <v>4</v>
      </c>
      <c r="K175" t="s">
        <v>509</v>
      </c>
      <c r="L175" t="s">
        <v>384</v>
      </c>
      <c r="M175" t="s">
        <v>356</v>
      </c>
      <c r="N175" s="73">
        <v>66637</v>
      </c>
      <c r="O175" s="73">
        <v>66637</v>
      </c>
      <c r="P175">
        <v>34.681374159610094</v>
      </c>
    </row>
    <row r="176" spans="1:16" hidden="1" x14ac:dyDescent="0.2">
      <c r="A176" s="73">
        <v>66637</v>
      </c>
      <c r="B176" t="s">
        <v>425</v>
      </c>
      <c r="C176" s="73" t="s">
        <v>426</v>
      </c>
      <c r="D176" t="s">
        <v>427</v>
      </c>
      <c r="E176" s="74">
        <v>46113</v>
      </c>
      <c r="F176">
        <v>6833</v>
      </c>
      <c r="G176" t="s">
        <v>383</v>
      </c>
      <c r="H176" s="75">
        <f t="shared" si="2"/>
        <v>138.72549663844038</v>
      </c>
      <c r="I176" s="74">
        <v>46113</v>
      </c>
      <c r="J176">
        <v>4</v>
      </c>
      <c r="K176" t="s">
        <v>510</v>
      </c>
      <c r="L176" t="s">
        <v>384</v>
      </c>
      <c r="M176" t="s">
        <v>356</v>
      </c>
      <c r="N176" s="73">
        <v>66637</v>
      </c>
      <c r="O176" s="73">
        <v>66637</v>
      </c>
      <c r="P176">
        <v>34.681374159610094</v>
      </c>
    </row>
    <row r="177" spans="1:16" hidden="1" x14ac:dyDescent="0.2">
      <c r="A177" s="73">
        <v>66637</v>
      </c>
      <c r="B177" t="s">
        <v>425</v>
      </c>
      <c r="C177" s="73" t="s">
        <v>426</v>
      </c>
      <c r="D177" t="s">
        <v>427</v>
      </c>
      <c r="E177" s="74">
        <v>46114</v>
      </c>
      <c r="F177">
        <v>6833</v>
      </c>
      <c r="G177" t="s">
        <v>383</v>
      </c>
      <c r="H177" s="75">
        <f t="shared" si="2"/>
        <v>138.72549663844038</v>
      </c>
      <c r="I177" s="74">
        <v>46114</v>
      </c>
      <c r="J177">
        <v>4</v>
      </c>
      <c r="K177" t="s">
        <v>510</v>
      </c>
      <c r="L177" t="s">
        <v>384</v>
      </c>
      <c r="M177" t="s">
        <v>356</v>
      </c>
      <c r="N177" s="73">
        <v>66637</v>
      </c>
      <c r="O177" s="73">
        <v>66637</v>
      </c>
      <c r="P177">
        <v>34.681374159610094</v>
      </c>
    </row>
    <row r="178" spans="1:16" hidden="1" x14ac:dyDescent="0.2">
      <c r="A178" s="73">
        <v>66637</v>
      </c>
      <c r="B178" t="s">
        <v>425</v>
      </c>
      <c r="C178" s="73" t="s">
        <v>426</v>
      </c>
      <c r="D178" t="s">
        <v>427</v>
      </c>
      <c r="E178" s="74">
        <v>46115</v>
      </c>
      <c r="F178">
        <v>6833</v>
      </c>
      <c r="G178" t="s">
        <v>383</v>
      </c>
      <c r="H178" s="75">
        <f t="shared" si="2"/>
        <v>138.72549663844038</v>
      </c>
      <c r="I178" s="74">
        <v>46115</v>
      </c>
      <c r="J178">
        <v>4</v>
      </c>
      <c r="K178" t="s">
        <v>510</v>
      </c>
      <c r="L178" t="s">
        <v>384</v>
      </c>
      <c r="M178" t="s">
        <v>356</v>
      </c>
      <c r="N178" s="73">
        <v>66637</v>
      </c>
      <c r="O178" s="73">
        <v>66637</v>
      </c>
      <c r="P178">
        <v>34.681374159610094</v>
      </c>
    </row>
    <row r="179" spans="1:16" hidden="1" x14ac:dyDescent="0.2">
      <c r="A179" s="73">
        <v>66637</v>
      </c>
      <c r="B179" t="s">
        <v>425</v>
      </c>
      <c r="C179" s="73" t="s">
        <v>426</v>
      </c>
      <c r="D179" t="s">
        <v>427</v>
      </c>
      <c r="E179" s="74">
        <v>46118</v>
      </c>
      <c r="F179">
        <v>6833</v>
      </c>
      <c r="G179" t="s">
        <v>383</v>
      </c>
      <c r="H179" s="75">
        <f t="shared" si="2"/>
        <v>138.72549663844038</v>
      </c>
      <c r="I179" s="74">
        <v>46118</v>
      </c>
      <c r="J179">
        <v>4</v>
      </c>
      <c r="K179" t="s">
        <v>510</v>
      </c>
      <c r="L179" t="s">
        <v>384</v>
      </c>
      <c r="M179" t="s">
        <v>356</v>
      </c>
      <c r="N179" s="73">
        <v>66637</v>
      </c>
      <c r="O179" s="73">
        <v>66637</v>
      </c>
      <c r="P179">
        <v>34.681374159610094</v>
      </c>
    </row>
    <row r="180" spans="1:16" hidden="1" x14ac:dyDescent="0.2">
      <c r="A180" s="73">
        <v>66637</v>
      </c>
      <c r="B180" t="s">
        <v>425</v>
      </c>
      <c r="C180" s="73" t="s">
        <v>426</v>
      </c>
      <c r="D180" t="s">
        <v>427</v>
      </c>
      <c r="E180" s="74">
        <v>46119</v>
      </c>
      <c r="F180">
        <v>6833</v>
      </c>
      <c r="G180" t="s">
        <v>383</v>
      </c>
      <c r="H180" s="75">
        <f t="shared" si="2"/>
        <v>138.72549663844038</v>
      </c>
      <c r="I180" s="74">
        <v>46119</v>
      </c>
      <c r="J180">
        <v>4</v>
      </c>
      <c r="K180" t="s">
        <v>510</v>
      </c>
      <c r="L180" t="s">
        <v>384</v>
      </c>
      <c r="M180" t="s">
        <v>356</v>
      </c>
      <c r="N180" s="73">
        <v>66637</v>
      </c>
      <c r="O180" s="73">
        <v>66637</v>
      </c>
      <c r="P180">
        <v>34.681374159610094</v>
      </c>
    </row>
    <row r="181" spans="1:16" hidden="1" x14ac:dyDescent="0.2">
      <c r="A181" s="73">
        <v>66637</v>
      </c>
      <c r="B181" t="s">
        <v>425</v>
      </c>
      <c r="C181" s="73" t="s">
        <v>426</v>
      </c>
      <c r="D181" t="s">
        <v>427</v>
      </c>
      <c r="E181" s="74">
        <v>46120</v>
      </c>
      <c r="F181">
        <v>6833</v>
      </c>
      <c r="G181" t="s">
        <v>383</v>
      </c>
      <c r="H181" s="75">
        <f t="shared" si="2"/>
        <v>138.72549663844038</v>
      </c>
      <c r="I181" s="74">
        <v>46120</v>
      </c>
      <c r="J181">
        <v>4</v>
      </c>
      <c r="K181" t="s">
        <v>510</v>
      </c>
      <c r="L181" t="s">
        <v>384</v>
      </c>
      <c r="M181" t="s">
        <v>356</v>
      </c>
      <c r="N181" s="73">
        <v>66637</v>
      </c>
      <c r="O181" s="73">
        <v>66637</v>
      </c>
      <c r="P181">
        <v>34.681374159610094</v>
      </c>
    </row>
    <row r="182" spans="1:16" hidden="1" x14ac:dyDescent="0.2">
      <c r="A182" s="73">
        <v>66637</v>
      </c>
      <c r="B182" t="s">
        <v>425</v>
      </c>
      <c r="C182" s="73" t="s">
        <v>426</v>
      </c>
      <c r="D182" t="s">
        <v>427</v>
      </c>
      <c r="E182" s="74">
        <v>46121</v>
      </c>
      <c r="F182">
        <v>6833</v>
      </c>
      <c r="G182" t="s">
        <v>383</v>
      </c>
      <c r="H182" s="75">
        <f t="shared" si="2"/>
        <v>69.362748319220188</v>
      </c>
      <c r="I182" s="74">
        <v>46121</v>
      </c>
      <c r="J182">
        <v>2</v>
      </c>
      <c r="K182" t="s">
        <v>510</v>
      </c>
      <c r="L182" t="s">
        <v>384</v>
      </c>
      <c r="M182" t="s">
        <v>356</v>
      </c>
      <c r="N182" s="73">
        <v>66637</v>
      </c>
      <c r="O182" s="73">
        <v>66637</v>
      </c>
      <c r="P182">
        <v>34.681374159610094</v>
      </c>
    </row>
    <row r="183" spans="1:16" hidden="1" x14ac:dyDescent="0.2">
      <c r="A183" s="73">
        <v>66637</v>
      </c>
      <c r="B183" t="s">
        <v>425</v>
      </c>
      <c r="C183" s="73" t="s">
        <v>426</v>
      </c>
      <c r="D183" t="s">
        <v>427</v>
      </c>
      <c r="E183" s="74">
        <v>46122</v>
      </c>
      <c r="F183">
        <v>6833</v>
      </c>
      <c r="G183" t="s">
        <v>383</v>
      </c>
      <c r="H183" s="75">
        <f t="shared" si="2"/>
        <v>138.72549663844038</v>
      </c>
      <c r="I183" s="74">
        <v>46122</v>
      </c>
      <c r="J183">
        <v>4</v>
      </c>
      <c r="K183" t="s">
        <v>510</v>
      </c>
      <c r="L183" t="s">
        <v>384</v>
      </c>
      <c r="M183" t="s">
        <v>356</v>
      </c>
      <c r="N183" s="73">
        <v>66637</v>
      </c>
      <c r="O183" s="73">
        <v>66637</v>
      </c>
      <c r="P183">
        <v>34.681374159610094</v>
      </c>
    </row>
    <row r="184" spans="1:16" hidden="1" x14ac:dyDescent="0.2">
      <c r="A184" s="73">
        <v>66637</v>
      </c>
      <c r="B184" t="s">
        <v>425</v>
      </c>
      <c r="C184" s="73" t="s">
        <v>426</v>
      </c>
      <c r="D184" t="s">
        <v>427</v>
      </c>
      <c r="E184" s="74">
        <v>46125</v>
      </c>
      <c r="F184">
        <v>6833</v>
      </c>
      <c r="G184" t="s">
        <v>383</v>
      </c>
      <c r="H184" s="75">
        <f t="shared" si="2"/>
        <v>138.72549663844038</v>
      </c>
      <c r="I184" s="74">
        <v>46125</v>
      </c>
      <c r="J184">
        <v>4</v>
      </c>
      <c r="K184" t="s">
        <v>510</v>
      </c>
      <c r="L184" t="s">
        <v>384</v>
      </c>
      <c r="M184" t="s">
        <v>356</v>
      </c>
      <c r="N184" s="73">
        <v>66637</v>
      </c>
      <c r="O184" s="73">
        <v>66637</v>
      </c>
      <c r="P184">
        <v>34.681374159610094</v>
      </c>
    </row>
    <row r="185" spans="1:16" hidden="1" x14ac:dyDescent="0.2">
      <c r="A185" s="73">
        <v>66637</v>
      </c>
      <c r="B185" t="s">
        <v>425</v>
      </c>
      <c r="C185" s="73" t="s">
        <v>426</v>
      </c>
      <c r="D185" t="s">
        <v>427</v>
      </c>
      <c r="E185" s="74">
        <v>46126</v>
      </c>
      <c r="F185">
        <v>6833</v>
      </c>
      <c r="G185" t="s">
        <v>383</v>
      </c>
      <c r="H185" s="75">
        <f t="shared" si="2"/>
        <v>138.72549663844038</v>
      </c>
      <c r="I185" s="74">
        <v>46126</v>
      </c>
      <c r="J185">
        <v>4</v>
      </c>
      <c r="K185" t="s">
        <v>510</v>
      </c>
      <c r="L185" t="s">
        <v>384</v>
      </c>
      <c r="M185" t="s">
        <v>356</v>
      </c>
      <c r="N185" s="73">
        <v>66637</v>
      </c>
      <c r="O185" s="73">
        <v>66637</v>
      </c>
      <c r="P185">
        <v>34.681374159610094</v>
      </c>
    </row>
    <row r="186" spans="1:16" hidden="1" x14ac:dyDescent="0.2">
      <c r="A186" s="73">
        <v>66637</v>
      </c>
      <c r="B186" t="s">
        <v>425</v>
      </c>
      <c r="C186" s="73" t="s">
        <v>426</v>
      </c>
      <c r="D186" t="s">
        <v>427</v>
      </c>
      <c r="E186" s="74">
        <v>46128</v>
      </c>
      <c r="F186">
        <v>6833</v>
      </c>
      <c r="G186" t="s">
        <v>383</v>
      </c>
      <c r="H186" s="75">
        <f t="shared" si="2"/>
        <v>138.72549663844038</v>
      </c>
      <c r="I186" s="74">
        <v>46128</v>
      </c>
      <c r="J186">
        <v>4</v>
      </c>
      <c r="K186" t="s">
        <v>510</v>
      </c>
      <c r="L186" t="s">
        <v>384</v>
      </c>
      <c r="M186" t="s">
        <v>356</v>
      </c>
      <c r="N186" s="73">
        <v>66637</v>
      </c>
      <c r="O186" s="73">
        <v>66637</v>
      </c>
      <c r="P186">
        <v>34.681374159610094</v>
      </c>
    </row>
    <row r="187" spans="1:16" hidden="1" x14ac:dyDescent="0.2">
      <c r="A187" s="73">
        <v>66637</v>
      </c>
      <c r="B187" t="s">
        <v>425</v>
      </c>
      <c r="C187" s="73" t="s">
        <v>426</v>
      </c>
      <c r="D187" t="s">
        <v>427</v>
      </c>
      <c r="E187" s="74">
        <v>46129</v>
      </c>
      <c r="F187">
        <v>6833</v>
      </c>
      <c r="G187" t="s">
        <v>383</v>
      </c>
      <c r="H187" s="75">
        <f t="shared" si="2"/>
        <v>138.72549663844038</v>
      </c>
      <c r="I187" s="74">
        <v>46129</v>
      </c>
      <c r="J187">
        <v>4</v>
      </c>
      <c r="K187" t="s">
        <v>510</v>
      </c>
      <c r="L187" t="s">
        <v>384</v>
      </c>
      <c r="M187" t="s">
        <v>356</v>
      </c>
      <c r="N187" s="73">
        <v>66637</v>
      </c>
      <c r="O187" s="73">
        <v>66637</v>
      </c>
      <c r="P187">
        <v>34.681374159610094</v>
      </c>
    </row>
    <row r="188" spans="1:16" hidden="1" x14ac:dyDescent="0.2">
      <c r="A188" s="73">
        <v>66637</v>
      </c>
      <c r="B188" t="s">
        <v>425</v>
      </c>
      <c r="C188" s="73" t="s">
        <v>426</v>
      </c>
      <c r="D188" t="s">
        <v>427</v>
      </c>
      <c r="E188" s="74">
        <v>46132</v>
      </c>
      <c r="F188">
        <v>6833</v>
      </c>
      <c r="G188" t="s">
        <v>383</v>
      </c>
      <c r="H188" s="75">
        <f t="shared" si="2"/>
        <v>104.04412247883027</v>
      </c>
      <c r="I188" s="74">
        <v>46132</v>
      </c>
      <c r="J188">
        <v>3</v>
      </c>
      <c r="K188" t="s">
        <v>510</v>
      </c>
      <c r="L188" t="s">
        <v>384</v>
      </c>
      <c r="M188" t="s">
        <v>356</v>
      </c>
      <c r="N188" s="73">
        <v>66637</v>
      </c>
      <c r="O188" s="73">
        <v>66637</v>
      </c>
      <c r="P188">
        <v>34.681374159610094</v>
      </c>
    </row>
    <row r="189" spans="1:16" hidden="1" x14ac:dyDescent="0.2">
      <c r="A189" s="73">
        <v>66637</v>
      </c>
      <c r="B189" t="s">
        <v>425</v>
      </c>
      <c r="C189" s="73" t="s">
        <v>426</v>
      </c>
      <c r="D189" t="s">
        <v>427</v>
      </c>
      <c r="E189" s="74">
        <v>46133</v>
      </c>
      <c r="F189">
        <v>6833</v>
      </c>
      <c r="G189" t="s">
        <v>383</v>
      </c>
      <c r="H189" s="75">
        <f t="shared" si="2"/>
        <v>104.04412247883027</v>
      </c>
      <c r="I189" s="74">
        <v>46133</v>
      </c>
      <c r="J189">
        <v>3</v>
      </c>
      <c r="K189" t="s">
        <v>510</v>
      </c>
      <c r="L189" t="s">
        <v>384</v>
      </c>
      <c r="M189" t="s">
        <v>356</v>
      </c>
      <c r="N189" s="73">
        <v>66637</v>
      </c>
      <c r="O189" s="73">
        <v>66637</v>
      </c>
      <c r="P189">
        <v>34.681374159610094</v>
      </c>
    </row>
    <row r="190" spans="1:16" hidden="1" x14ac:dyDescent="0.2">
      <c r="A190" s="73">
        <v>66637</v>
      </c>
      <c r="B190" t="s">
        <v>425</v>
      </c>
      <c r="C190" s="73" t="s">
        <v>426</v>
      </c>
      <c r="D190" t="s">
        <v>427</v>
      </c>
      <c r="E190" s="74">
        <v>46134</v>
      </c>
      <c r="F190">
        <v>6833</v>
      </c>
      <c r="G190" t="s">
        <v>383</v>
      </c>
      <c r="H190" s="75">
        <f t="shared" si="2"/>
        <v>104.04412247883027</v>
      </c>
      <c r="I190" s="74">
        <v>46134</v>
      </c>
      <c r="J190">
        <v>3</v>
      </c>
      <c r="K190" t="s">
        <v>510</v>
      </c>
      <c r="L190" t="s">
        <v>384</v>
      </c>
      <c r="M190" t="s">
        <v>356</v>
      </c>
      <c r="N190" s="73">
        <v>66637</v>
      </c>
      <c r="O190" s="73">
        <v>66637</v>
      </c>
      <c r="P190">
        <v>34.681374159610094</v>
      </c>
    </row>
    <row r="191" spans="1:16" hidden="1" x14ac:dyDescent="0.2">
      <c r="A191" s="73">
        <v>66637</v>
      </c>
      <c r="B191" t="s">
        <v>425</v>
      </c>
      <c r="C191" s="73" t="s">
        <v>426</v>
      </c>
      <c r="D191" t="s">
        <v>427</v>
      </c>
      <c r="E191" s="74">
        <v>46135</v>
      </c>
      <c r="F191">
        <v>6833</v>
      </c>
      <c r="G191" t="s">
        <v>383</v>
      </c>
      <c r="H191" s="75">
        <f t="shared" si="2"/>
        <v>104.04412247883027</v>
      </c>
      <c r="I191" s="74">
        <v>46135</v>
      </c>
      <c r="J191">
        <v>3</v>
      </c>
      <c r="K191" t="s">
        <v>510</v>
      </c>
      <c r="L191" t="s">
        <v>384</v>
      </c>
      <c r="M191" t="s">
        <v>356</v>
      </c>
      <c r="N191" s="73">
        <v>66637</v>
      </c>
      <c r="O191" s="73">
        <v>66637</v>
      </c>
      <c r="P191">
        <v>34.681374159610094</v>
      </c>
    </row>
    <row r="192" spans="1:16" hidden="1" x14ac:dyDescent="0.2">
      <c r="A192" s="73">
        <v>66637</v>
      </c>
      <c r="B192" t="s">
        <v>425</v>
      </c>
      <c r="C192" s="73" t="s">
        <v>426</v>
      </c>
      <c r="D192" t="s">
        <v>427</v>
      </c>
      <c r="E192" s="74">
        <v>46136</v>
      </c>
      <c r="F192">
        <v>6833</v>
      </c>
      <c r="G192" t="s">
        <v>383</v>
      </c>
      <c r="H192" s="75">
        <f t="shared" si="2"/>
        <v>104.04412247883027</v>
      </c>
      <c r="I192" s="74">
        <v>46136</v>
      </c>
      <c r="J192">
        <v>3</v>
      </c>
      <c r="K192" t="s">
        <v>510</v>
      </c>
      <c r="L192" t="s">
        <v>384</v>
      </c>
      <c r="M192" t="s">
        <v>356</v>
      </c>
      <c r="N192" s="73">
        <v>66637</v>
      </c>
      <c r="O192" s="73">
        <v>66637</v>
      </c>
      <c r="P192">
        <v>34.681374159610094</v>
      </c>
    </row>
    <row r="193" spans="1:16" hidden="1" x14ac:dyDescent="0.2">
      <c r="A193" s="73">
        <v>66637</v>
      </c>
      <c r="B193" t="s">
        <v>425</v>
      </c>
      <c r="C193" s="73" t="s">
        <v>426</v>
      </c>
      <c r="D193" t="s">
        <v>427</v>
      </c>
      <c r="E193" s="74">
        <v>46139</v>
      </c>
      <c r="F193">
        <v>6833</v>
      </c>
      <c r="G193" t="s">
        <v>383</v>
      </c>
      <c r="H193" s="75">
        <f t="shared" si="2"/>
        <v>138.72549663844038</v>
      </c>
      <c r="I193" s="74">
        <v>46139</v>
      </c>
      <c r="J193">
        <v>4</v>
      </c>
      <c r="K193" t="s">
        <v>510</v>
      </c>
      <c r="L193" t="s">
        <v>384</v>
      </c>
      <c r="M193" t="s">
        <v>356</v>
      </c>
      <c r="N193" s="73">
        <v>66637</v>
      </c>
      <c r="O193" s="73">
        <v>66637</v>
      </c>
      <c r="P193">
        <v>34.681374159610094</v>
      </c>
    </row>
    <row r="194" spans="1:16" hidden="1" x14ac:dyDescent="0.2">
      <c r="A194" s="73">
        <v>66637</v>
      </c>
      <c r="B194" t="s">
        <v>425</v>
      </c>
      <c r="C194" s="73" t="s">
        <v>426</v>
      </c>
      <c r="D194" t="s">
        <v>427</v>
      </c>
      <c r="E194" s="74">
        <v>46140</v>
      </c>
      <c r="F194">
        <v>6833</v>
      </c>
      <c r="G194" t="s">
        <v>383</v>
      </c>
      <c r="H194" s="75">
        <f t="shared" ref="H194:H257" si="3">J194*P194</f>
        <v>138.72549663844038</v>
      </c>
      <c r="I194" s="74">
        <v>46140</v>
      </c>
      <c r="J194">
        <v>4</v>
      </c>
      <c r="K194" t="s">
        <v>510</v>
      </c>
      <c r="L194" t="s">
        <v>384</v>
      </c>
      <c r="M194" t="s">
        <v>356</v>
      </c>
      <c r="N194" s="73">
        <v>66637</v>
      </c>
      <c r="O194" s="73">
        <v>66637</v>
      </c>
      <c r="P194">
        <v>34.681374159610094</v>
      </c>
    </row>
    <row r="195" spans="1:16" hidden="1" x14ac:dyDescent="0.2">
      <c r="A195" s="73">
        <v>66637</v>
      </c>
      <c r="B195" t="s">
        <v>425</v>
      </c>
      <c r="C195" s="73" t="s">
        <v>426</v>
      </c>
      <c r="D195" t="s">
        <v>427</v>
      </c>
      <c r="E195" s="74">
        <v>46141</v>
      </c>
      <c r="F195">
        <v>6833</v>
      </c>
      <c r="G195" t="s">
        <v>383</v>
      </c>
      <c r="H195" s="75">
        <f t="shared" si="3"/>
        <v>138.72549663844038</v>
      </c>
      <c r="I195" s="74">
        <v>46141</v>
      </c>
      <c r="J195">
        <v>4</v>
      </c>
      <c r="K195" t="s">
        <v>510</v>
      </c>
      <c r="L195" t="s">
        <v>384</v>
      </c>
      <c r="M195" t="s">
        <v>356</v>
      </c>
      <c r="N195" s="73">
        <v>66637</v>
      </c>
      <c r="O195" s="73">
        <v>66637</v>
      </c>
      <c r="P195">
        <v>34.681374159610094</v>
      </c>
    </row>
    <row r="196" spans="1:16" hidden="1" x14ac:dyDescent="0.2">
      <c r="A196" s="73">
        <v>66637</v>
      </c>
      <c r="B196" t="s">
        <v>425</v>
      </c>
      <c r="C196" s="73" t="s">
        <v>426</v>
      </c>
      <c r="D196" t="s">
        <v>427</v>
      </c>
      <c r="E196" s="74">
        <v>46147</v>
      </c>
      <c r="F196">
        <v>6833</v>
      </c>
      <c r="G196" t="s">
        <v>383</v>
      </c>
      <c r="H196" s="75">
        <f t="shared" si="3"/>
        <v>138.72549663844038</v>
      </c>
      <c r="I196" s="74">
        <v>46147</v>
      </c>
      <c r="J196">
        <v>4</v>
      </c>
      <c r="K196" t="s">
        <v>517</v>
      </c>
      <c r="L196" t="s">
        <v>384</v>
      </c>
      <c r="M196" t="s">
        <v>356</v>
      </c>
      <c r="N196" s="73">
        <v>66637</v>
      </c>
      <c r="O196" s="73">
        <v>66637</v>
      </c>
      <c r="P196">
        <v>34.681374159610094</v>
      </c>
    </row>
    <row r="197" spans="1:16" hidden="1" x14ac:dyDescent="0.2">
      <c r="A197" s="73">
        <v>66637</v>
      </c>
      <c r="B197" t="s">
        <v>425</v>
      </c>
      <c r="C197" s="73" t="s">
        <v>426</v>
      </c>
      <c r="D197" t="s">
        <v>427</v>
      </c>
      <c r="E197" s="74">
        <v>46148</v>
      </c>
      <c r="F197">
        <v>6833</v>
      </c>
      <c r="G197" t="s">
        <v>383</v>
      </c>
      <c r="H197" s="75">
        <f t="shared" si="3"/>
        <v>138.72549663844038</v>
      </c>
      <c r="I197" s="74">
        <v>46148</v>
      </c>
      <c r="J197">
        <v>4</v>
      </c>
      <c r="K197" t="s">
        <v>517</v>
      </c>
      <c r="L197" t="s">
        <v>384</v>
      </c>
      <c r="M197" t="s">
        <v>356</v>
      </c>
      <c r="N197" s="73">
        <v>66637</v>
      </c>
      <c r="O197" s="73">
        <v>66637</v>
      </c>
      <c r="P197">
        <v>34.681374159610094</v>
      </c>
    </row>
    <row r="198" spans="1:16" hidden="1" x14ac:dyDescent="0.2">
      <c r="A198" s="73">
        <v>66637</v>
      </c>
      <c r="B198" t="s">
        <v>425</v>
      </c>
      <c r="C198" s="73" t="s">
        <v>426</v>
      </c>
      <c r="D198" t="s">
        <v>427</v>
      </c>
      <c r="E198" s="74">
        <v>46149</v>
      </c>
      <c r="F198">
        <v>6833</v>
      </c>
      <c r="G198" t="s">
        <v>383</v>
      </c>
      <c r="H198" s="75">
        <f t="shared" si="3"/>
        <v>138.72549663844038</v>
      </c>
      <c r="I198" s="74">
        <v>46149</v>
      </c>
      <c r="J198">
        <v>4</v>
      </c>
      <c r="K198" t="s">
        <v>517</v>
      </c>
      <c r="L198" t="s">
        <v>384</v>
      </c>
      <c r="M198" t="s">
        <v>356</v>
      </c>
      <c r="N198" s="73">
        <v>66637</v>
      </c>
      <c r="O198" s="73">
        <v>66637</v>
      </c>
      <c r="P198">
        <v>34.681374159610094</v>
      </c>
    </row>
    <row r="199" spans="1:16" hidden="1" x14ac:dyDescent="0.2">
      <c r="A199" s="73">
        <v>66637</v>
      </c>
      <c r="B199" t="s">
        <v>425</v>
      </c>
      <c r="C199" s="73" t="s">
        <v>426</v>
      </c>
      <c r="D199" t="s">
        <v>427</v>
      </c>
      <c r="E199" s="74">
        <v>46150</v>
      </c>
      <c r="F199">
        <v>6833</v>
      </c>
      <c r="G199" t="s">
        <v>383</v>
      </c>
      <c r="H199" s="75">
        <f t="shared" si="3"/>
        <v>138.72549663844038</v>
      </c>
      <c r="I199" s="74">
        <v>46150</v>
      </c>
      <c r="J199">
        <v>4</v>
      </c>
      <c r="K199" t="s">
        <v>517</v>
      </c>
      <c r="L199" t="s">
        <v>384</v>
      </c>
      <c r="M199" t="s">
        <v>356</v>
      </c>
      <c r="N199" s="73">
        <v>66637</v>
      </c>
      <c r="O199" s="73">
        <v>66637</v>
      </c>
      <c r="P199">
        <v>34.681374159610094</v>
      </c>
    </row>
    <row r="200" spans="1:16" hidden="1" x14ac:dyDescent="0.2">
      <c r="A200" s="73">
        <v>66637</v>
      </c>
      <c r="B200" t="s">
        <v>425</v>
      </c>
      <c r="C200" s="73" t="s">
        <v>426</v>
      </c>
      <c r="D200" t="s">
        <v>427</v>
      </c>
      <c r="E200" s="74">
        <v>46153</v>
      </c>
      <c r="F200">
        <v>6833</v>
      </c>
      <c r="G200" t="s">
        <v>383</v>
      </c>
      <c r="H200" s="75">
        <f t="shared" si="3"/>
        <v>138.72549663844038</v>
      </c>
      <c r="I200" s="74">
        <v>46153</v>
      </c>
      <c r="J200">
        <v>4</v>
      </c>
      <c r="K200" t="s">
        <v>517</v>
      </c>
      <c r="L200" t="s">
        <v>384</v>
      </c>
      <c r="M200" t="s">
        <v>356</v>
      </c>
      <c r="N200" s="73">
        <v>66637</v>
      </c>
      <c r="O200" s="73">
        <v>66637</v>
      </c>
      <c r="P200">
        <v>34.681374159610094</v>
      </c>
    </row>
    <row r="201" spans="1:16" hidden="1" x14ac:dyDescent="0.2">
      <c r="A201" s="73">
        <v>66637</v>
      </c>
      <c r="B201" t="s">
        <v>425</v>
      </c>
      <c r="C201" s="73" t="s">
        <v>426</v>
      </c>
      <c r="D201" t="s">
        <v>427</v>
      </c>
      <c r="E201" s="74">
        <v>46154</v>
      </c>
      <c r="F201">
        <v>6833</v>
      </c>
      <c r="G201" t="s">
        <v>383</v>
      </c>
      <c r="H201" s="75">
        <f t="shared" si="3"/>
        <v>138.72549663844038</v>
      </c>
      <c r="I201" s="74">
        <v>46154</v>
      </c>
      <c r="J201">
        <v>4</v>
      </c>
      <c r="K201" t="s">
        <v>517</v>
      </c>
      <c r="L201" t="s">
        <v>384</v>
      </c>
      <c r="M201" t="s">
        <v>356</v>
      </c>
      <c r="N201" s="73">
        <v>66637</v>
      </c>
      <c r="O201" s="73">
        <v>66637</v>
      </c>
      <c r="P201">
        <v>34.681374159610094</v>
      </c>
    </row>
    <row r="202" spans="1:16" hidden="1" x14ac:dyDescent="0.2">
      <c r="A202" s="73">
        <v>66637</v>
      </c>
      <c r="B202" t="s">
        <v>425</v>
      </c>
      <c r="C202" s="73" t="s">
        <v>426</v>
      </c>
      <c r="D202" t="s">
        <v>427</v>
      </c>
      <c r="E202" s="74">
        <v>46155</v>
      </c>
      <c r="F202">
        <v>6833</v>
      </c>
      <c r="G202" t="s">
        <v>383</v>
      </c>
      <c r="H202" s="75">
        <f t="shared" si="3"/>
        <v>138.72549663844038</v>
      </c>
      <c r="I202" s="74">
        <v>46155</v>
      </c>
      <c r="J202">
        <v>4</v>
      </c>
      <c r="K202" t="s">
        <v>517</v>
      </c>
      <c r="L202" t="s">
        <v>384</v>
      </c>
      <c r="M202" t="s">
        <v>356</v>
      </c>
      <c r="N202" s="73">
        <v>66637</v>
      </c>
      <c r="O202" s="73">
        <v>66637</v>
      </c>
      <c r="P202">
        <v>34.681374159610094</v>
      </c>
    </row>
    <row r="203" spans="1:16" hidden="1" x14ac:dyDescent="0.2">
      <c r="A203" s="73">
        <v>66637</v>
      </c>
      <c r="B203" t="s">
        <v>425</v>
      </c>
      <c r="C203" s="73" t="s">
        <v>426</v>
      </c>
      <c r="D203" t="s">
        <v>427</v>
      </c>
      <c r="E203" s="74">
        <v>46156</v>
      </c>
      <c r="F203">
        <v>6833</v>
      </c>
      <c r="G203" t="s">
        <v>383</v>
      </c>
      <c r="H203" s="75">
        <f t="shared" si="3"/>
        <v>138.72549663844038</v>
      </c>
      <c r="I203" s="74">
        <v>46156</v>
      </c>
      <c r="J203">
        <v>4</v>
      </c>
      <c r="K203" t="s">
        <v>517</v>
      </c>
      <c r="L203" t="s">
        <v>384</v>
      </c>
      <c r="M203" t="s">
        <v>356</v>
      </c>
      <c r="N203" s="73">
        <v>66637</v>
      </c>
      <c r="O203" s="73">
        <v>66637</v>
      </c>
      <c r="P203">
        <v>34.681374159610094</v>
      </c>
    </row>
    <row r="204" spans="1:16" hidden="1" x14ac:dyDescent="0.2">
      <c r="A204" s="73">
        <v>66637</v>
      </c>
      <c r="B204" t="s">
        <v>425</v>
      </c>
      <c r="C204" s="73" t="s">
        <v>426</v>
      </c>
      <c r="D204" t="s">
        <v>427</v>
      </c>
      <c r="E204" s="74">
        <v>46157</v>
      </c>
      <c r="F204">
        <v>6833</v>
      </c>
      <c r="G204" t="s">
        <v>383</v>
      </c>
      <c r="H204" s="75">
        <f t="shared" si="3"/>
        <v>138.72549663844038</v>
      </c>
      <c r="I204" s="74">
        <v>46157</v>
      </c>
      <c r="J204">
        <v>4</v>
      </c>
      <c r="K204" t="s">
        <v>517</v>
      </c>
      <c r="L204" t="s">
        <v>384</v>
      </c>
      <c r="M204" t="s">
        <v>356</v>
      </c>
      <c r="N204" s="73">
        <v>66637</v>
      </c>
      <c r="O204" s="73">
        <v>66637</v>
      </c>
      <c r="P204">
        <v>34.681374159610094</v>
      </c>
    </row>
    <row r="205" spans="1:16" hidden="1" x14ac:dyDescent="0.2">
      <c r="A205" s="73">
        <v>66637</v>
      </c>
      <c r="B205" t="s">
        <v>425</v>
      </c>
      <c r="C205" s="73" t="s">
        <v>426</v>
      </c>
      <c r="D205" t="s">
        <v>427</v>
      </c>
      <c r="E205" s="74">
        <v>46160</v>
      </c>
      <c r="F205">
        <v>6833</v>
      </c>
      <c r="G205" t="s">
        <v>383</v>
      </c>
      <c r="H205" s="75">
        <f t="shared" si="3"/>
        <v>138.72549663844038</v>
      </c>
      <c r="I205" s="74">
        <v>46160</v>
      </c>
      <c r="J205">
        <v>4</v>
      </c>
      <c r="K205" t="s">
        <v>517</v>
      </c>
      <c r="L205" t="s">
        <v>384</v>
      </c>
      <c r="M205" t="s">
        <v>356</v>
      </c>
      <c r="N205" s="73">
        <v>66637</v>
      </c>
      <c r="O205" s="73">
        <v>66637</v>
      </c>
      <c r="P205">
        <v>34.681374159610094</v>
      </c>
    </row>
    <row r="206" spans="1:16" hidden="1" x14ac:dyDescent="0.2">
      <c r="A206" s="73">
        <v>66637</v>
      </c>
      <c r="B206" t="s">
        <v>425</v>
      </c>
      <c r="C206" s="73" t="s">
        <v>426</v>
      </c>
      <c r="D206" t="s">
        <v>427</v>
      </c>
      <c r="E206" s="74">
        <v>46161</v>
      </c>
      <c r="F206">
        <v>6833</v>
      </c>
      <c r="G206" t="s">
        <v>383</v>
      </c>
      <c r="H206" s="75">
        <f t="shared" si="3"/>
        <v>138.72549663844038</v>
      </c>
      <c r="I206" s="74">
        <v>46161</v>
      </c>
      <c r="J206">
        <v>4</v>
      </c>
      <c r="K206" t="s">
        <v>517</v>
      </c>
      <c r="L206" t="s">
        <v>384</v>
      </c>
      <c r="M206" t="s">
        <v>356</v>
      </c>
      <c r="N206" s="73">
        <v>66637</v>
      </c>
      <c r="O206" s="73">
        <v>66637</v>
      </c>
      <c r="P206">
        <v>34.681374159610094</v>
      </c>
    </row>
    <row r="207" spans="1:16" hidden="1" x14ac:dyDescent="0.2">
      <c r="A207" s="73">
        <v>66637</v>
      </c>
      <c r="B207" t="s">
        <v>425</v>
      </c>
      <c r="C207" s="73" t="s">
        <v>426</v>
      </c>
      <c r="D207" t="s">
        <v>427</v>
      </c>
      <c r="E207" s="74">
        <v>46162</v>
      </c>
      <c r="F207">
        <v>6833</v>
      </c>
      <c r="G207" t="s">
        <v>383</v>
      </c>
      <c r="H207" s="75">
        <f t="shared" si="3"/>
        <v>138.72549663844038</v>
      </c>
      <c r="I207" s="74">
        <v>46162</v>
      </c>
      <c r="J207">
        <v>4</v>
      </c>
      <c r="K207" t="s">
        <v>517</v>
      </c>
      <c r="L207" t="s">
        <v>384</v>
      </c>
      <c r="M207" t="s">
        <v>356</v>
      </c>
      <c r="N207" s="73">
        <v>66637</v>
      </c>
      <c r="O207" s="73">
        <v>66637</v>
      </c>
      <c r="P207">
        <v>34.681374159610094</v>
      </c>
    </row>
    <row r="208" spans="1:16" hidden="1" x14ac:dyDescent="0.2">
      <c r="A208" s="73">
        <v>66637</v>
      </c>
      <c r="B208" t="s">
        <v>425</v>
      </c>
      <c r="C208" s="73" t="s">
        <v>426</v>
      </c>
      <c r="D208" t="s">
        <v>427</v>
      </c>
      <c r="E208" s="74">
        <v>46163</v>
      </c>
      <c r="F208">
        <v>6833</v>
      </c>
      <c r="G208" t="s">
        <v>383</v>
      </c>
      <c r="H208" s="75">
        <f t="shared" si="3"/>
        <v>138.72549663844038</v>
      </c>
      <c r="I208" s="74">
        <v>46163</v>
      </c>
      <c r="J208">
        <v>4</v>
      </c>
      <c r="K208" t="s">
        <v>517</v>
      </c>
      <c r="L208" t="s">
        <v>384</v>
      </c>
      <c r="M208" t="s">
        <v>356</v>
      </c>
      <c r="N208" s="73">
        <v>66637</v>
      </c>
      <c r="O208" s="73">
        <v>66637</v>
      </c>
      <c r="P208">
        <v>34.681374159610094</v>
      </c>
    </row>
    <row r="209" spans="1:16" hidden="1" x14ac:dyDescent="0.2">
      <c r="A209" s="73">
        <v>66637</v>
      </c>
      <c r="B209" t="s">
        <v>425</v>
      </c>
      <c r="C209" s="73" t="s">
        <v>426</v>
      </c>
      <c r="D209" t="s">
        <v>427</v>
      </c>
      <c r="E209" s="74">
        <v>46164</v>
      </c>
      <c r="F209">
        <v>6833</v>
      </c>
      <c r="G209" t="s">
        <v>383</v>
      </c>
      <c r="H209" s="75">
        <f t="shared" si="3"/>
        <v>138.72549663844038</v>
      </c>
      <c r="I209" s="74">
        <v>46164</v>
      </c>
      <c r="J209">
        <v>4</v>
      </c>
      <c r="K209" t="s">
        <v>517</v>
      </c>
      <c r="L209" t="s">
        <v>384</v>
      </c>
      <c r="M209" t="s">
        <v>356</v>
      </c>
      <c r="N209" s="73">
        <v>66637</v>
      </c>
      <c r="O209" s="73">
        <v>66637</v>
      </c>
      <c r="P209">
        <v>34.681374159610094</v>
      </c>
    </row>
    <row r="210" spans="1:16" hidden="1" x14ac:dyDescent="0.2">
      <c r="A210" s="73">
        <v>66637</v>
      </c>
      <c r="B210" t="s">
        <v>425</v>
      </c>
      <c r="C210" s="73" t="s">
        <v>426</v>
      </c>
      <c r="D210" t="s">
        <v>427</v>
      </c>
      <c r="E210" s="74">
        <v>46167</v>
      </c>
      <c r="F210">
        <v>6833</v>
      </c>
      <c r="G210" t="s">
        <v>383</v>
      </c>
      <c r="H210" s="75">
        <f t="shared" si="3"/>
        <v>138.72549663844038</v>
      </c>
      <c r="I210" s="74">
        <v>46167</v>
      </c>
      <c r="J210">
        <v>4</v>
      </c>
      <c r="K210" t="s">
        <v>517</v>
      </c>
      <c r="L210" t="s">
        <v>384</v>
      </c>
      <c r="M210" t="s">
        <v>356</v>
      </c>
      <c r="N210" s="73">
        <v>66637</v>
      </c>
      <c r="O210" s="73">
        <v>66637</v>
      </c>
      <c r="P210">
        <v>34.681374159610094</v>
      </c>
    </row>
    <row r="211" spans="1:16" hidden="1" x14ac:dyDescent="0.2">
      <c r="A211" s="73">
        <v>66637</v>
      </c>
      <c r="B211" t="s">
        <v>425</v>
      </c>
      <c r="C211" s="73" t="s">
        <v>426</v>
      </c>
      <c r="D211" t="s">
        <v>427</v>
      </c>
      <c r="E211" s="74">
        <v>46168</v>
      </c>
      <c r="F211">
        <v>6833</v>
      </c>
      <c r="G211" t="s">
        <v>383</v>
      </c>
      <c r="H211" s="75">
        <f t="shared" si="3"/>
        <v>138.72549663844038</v>
      </c>
      <c r="I211" s="74">
        <v>46168</v>
      </c>
      <c r="J211">
        <v>4</v>
      </c>
      <c r="K211" t="s">
        <v>517</v>
      </c>
      <c r="L211" t="s">
        <v>384</v>
      </c>
      <c r="M211" t="s">
        <v>356</v>
      </c>
      <c r="N211" s="73">
        <v>66637</v>
      </c>
      <c r="O211" s="73">
        <v>66637</v>
      </c>
      <c r="P211">
        <v>34.681374159610094</v>
      </c>
    </row>
    <row r="212" spans="1:16" hidden="1" x14ac:dyDescent="0.2">
      <c r="A212" s="73">
        <v>66637</v>
      </c>
      <c r="B212" t="s">
        <v>425</v>
      </c>
      <c r="C212" s="73" t="s">
        <v>426</v>
      </c>
      <c r="D212" t="s">
        <v>427</v>
      </c>
      <c r="E212" s="74">
        <v>46169</v>
      </c>
      <c r="F212">
        <v>6833</v>
      </c>
      <c r="G212" t="s">
        <v>383</v>
      </c>
      <c r="H212" s="75">
        <f t="shared" si="3"/>
        <v>138.72549663844038</v>
      </c>
      <c r="I212" s="74">
        <v>46169</v>
      </c>
      <c r="J212">
        <v>4</v>
      </c>
      <c r="K212" t="s">
        <v>517</v>
      </c>
      <c r="L212" t="s">
        <v>384</v>
      </c>
      <c r="M212" t="s">
        <v>356</v>
      </c>
      <c r="N212" s="73">
        <v>66637</v>
      </c>
      <c r="O212" s="73">
        <v>66637</v>
      </c>
      <c r="P212">
        <v>34.681374159610094</v>
      </c>
    </row>
    <row r="213" spans="1:16" hidden="1" x14ac:dyDescent="0.2">
      <c r="A213" s="73">
        <v>66637</v>
      </c>
      <c r="B213" t="s">
        <v>425</v>
      </c>
      <c r="C213" s="73" t="s">
        <v>426</v>
      </c>
      <c r="D213" t="s">
        <v>427</v>
      </c>
      <c r="E213" s="74">
        <v>46170</v>
      </c>
      <c r="F213">
        <v>6833</v>
      </c>
      <c r="G213" t="s">
        <v>383</v>
      </c>
      <c r="H213" s="75">
        <f t="shared" si="3"/>
        <v>138.72549663844038</v>
      </c>
      <c r="I213" s="74">
        <v>46170</v>
      </c>
      <c r="J213">
        <v>4</v>
      </c>
      <c r="K213" t="s">
        <v>517</v>
      </c>
      <c r="L213" t="s">
        <v>384</v>
      </c>
      <c r="M213" t="s">
        <v>356</v>
      </c>
      <c r="N213" s="73">
        <v>66637</v>
      </c>
      <c r="O213" s="73">
        <v>66637</v>
      </c>
      <c r="P213">
        <v>34.681374159610094</v>
      </c>
    </row>
    <row r="214" spans="1:16" hidden="1" x14ac:dyDescent="0.2">
      <c r="A214" s="73">
        <v>66637</v>
      </c>
      <c r="B214" t="s">
        <v>425</v>
      </c>
      <c r="C214" s="73" t="s">
        <v>426</v>
      </c>
      <c r="D214" t="s">
        <v>427</v>
      </c>
      <c r="E214" s="74">
        <v>46171</v>
      </c>
      <c r="F214">
        <v>6833</v>
      </c>
      <c r="G214" t="s">
        <v>383</v>
      </c>
      <c r="H214" s="75">
        <f t="shared" si="3"/>
        <v>138.72549663844038</v>
      </c>
      <c r="I214" s="74">
        <v>46171</v>
      </c>
      <c r="J214">
        <v>4</v>
      </c>
      <c r="K214" t="s">
        <v>517</v>
      </c>
      <c r="L214" t="s">
        <v>384</v>
      </c>
      <c r="M214" t="s">
        <v>356</v>
      </c>
      <c r="N214" s="73">
        <v>66637</v>
      </c>
      <c r="O214" s="73">
        <v>66637</v>
      </c>
      <c r="P214">
        <v>34.681374159610094</v>
      </c>
    </row>
    <row r="215" spans="1:16" hidden="1" x14ac:dyDescent="0.2">
      <c r="A215" s="73">
        <v>66637</v>
      </c>
      <c r="B215" t="s">
        <v>425</v>
      </c>
      <c r="C215" s="73" t="s">
        <v>426</v>
      </c>
      <c r="D215" t="s">
        <v>427</v>
      </c>
      <c r="E215" s="74">
        <v>46174</v>
      </c>
      <c r="F215">
        <v>6833</v>
      </c>
      <c r="G215" t="s">
        <v>383</v>
      </c>
      <c r="H215" s="75">
        <f t="shared" si="3"/>
        <v>138.72549663844038</v>
      </c>
      <c r="I215" s="74">
        <v>46174</v>
      </c>
      <c r="J215">
        <v>4</v>
      </c>
      <c r="K215" t="s">
        <v>518</v>
      </c>
      <c r="L215" t="s">
        <v>384</v>
      </c>
      <c r="M215" t="s">
        <v>356</v>
      </c>
      <c r="N215" s="73">
        <v>66637</v>
      </c>
      <c r="O215" s="73">
        <v>66637</v>
      </c>
      <c r="P215">
        <v>34.681374159610094</v>
      </c>
    </row>
    <row r="216" spans="1:16" hidden="1" x14ac:dyDescent="0.2">
      <c r="A216" s="73">
        <v>66637</v>
      </c>
      <c r="B216" t="s">
        <v>425</v>
      </c>
      <c r="C216" s="73" t="s">
        <v>426</v>
      </c>
      <c r="D216" t="s">
        <v>427</v>
      </c>
      <c r="E216" s="74">
        <v>46175</v>
      </c>
      <c r="F216">
        <v>6833</v>
      </c>
      <c r="G216" t="s">
        <v>383</v>
      </c>
      <c r="H216" s="75">
        <f t="shared" si="3"/>
        <v>138.72549663844038</v>
      </c>
      <c r="I216" s="74">
        <v>46175</v>
      </c>
      <c r="J216">
        <v>4</v>
      </c>
      <c r="K216" t="s">
        <v>518</v>
      </c>
      <c r="L216" t="s">
        <v>384</v>
      </c>
      <c r="M216" t="s">
        <v>356</v>
      </c>
      <c r="N216" s="73">
        <v>66637</v>
      </c>
      <c r="O216" s="73">
        <v>66637</v>
      </c>
      <c r="P216">
        <v>34.681374159610094</v>
      </c>
    </row>
    <row r="217" spans="1:16" hidden="1" x14ac:dyDescent="0.2">
      <c r="A217" s="73">
        <v>66637</v>
      </c>
      <c r="B217" t="s">
        <v>425</v>
      </c>
      <c r="C217" s="73" t="s">
        <v>426</v>
      </c>
      <c r="D217" t="s">
        <v>427</v>
      </c>
      <c r="E217" s="74">
        <v>46176</v>
      </c>
      <c r="F217">
        <v>6833</v>
      </c>
      <c r="G217" t="s">
        <v>383</v>
      </c>
      <c r="H217" s="75">
        <f t="shared" si="3"/>
        <v>138.72549663844038</v>
      </c>
      <c r="I217" s="74">
        <v>46176</v>
      </c>
      <c r="J217">
        <v>4</v>
      </c>
      <c r="K217" t="s">
        <v>518</v>
      </c>
      <c r="L217" t="s">
        <v>384</v>
      </c>
      <c r="M217" t="s">
        <v>356</v>
      </c>
      <c r="N217" s="73">
        <v>66637</v>
      </c>
      <c r="O217" s="73">
        <v>66637</v>
      </c>
      <c r="P217">
        <v>34.681374159610094</v>
      </c>
    </row>
    <row r="218" spans="1:16" hidden="1" x14ac:dyDescent="0.2">
      <c r="A218" s="73">
        <v>66637</v>
      </c>
      <c r="B218" t="s">
        <v>425</v>
      </c>
      <c r="C218" s="73" t="s">
        <v>426</v>
      </c>
      <c r="D218" t="s">
        <v>427</v>
      </c>
      <c r="E218" s="74">
        <v>46177</v>
      </c>
      <c r="F218">
        <v>6833</v>
      </c>
      <c r="G218" t="s">
        <v>383</v>
      </c>
      <c r="H218" s="75">
        <f t="shared" si="3"/>
        <v>138.72549663844038</v>
      </c>
      <c r="I218" s="74">
        <v>46177</v>
      </c>
      <c r="J218">
        <v>4</v>
      </c>
      <c r="K218" t="s">
        <v>518</v>
      </c>
      <c r="L218" t="s">
        <v>384</v>
      </c>
      <c r="M218" t="s">
        <v>356</v>
      </c>
      <c r="N218" s="73">
        <v>66637</v>
      </c>
      <c r="O218" s="73">
        <v>66637</v>
      </c>
      <c r="P218">
        <v>34.681374159610094</v>
      </c>
    </row>
    <row r="219" spans="1:16" hidden="1" x14ac:dyDescent="0.2">
      <c r="A219" s="73">
        <v>66637</v>
      </c>
      <c r="B219" t="s">
        <v>425</v>
      </c>
      <c r="C219" s="73" t="s">
        <v>426</v>
      </c>
      <c r="D219" t="s">
        <v>427</v>
      </c>
      <c r="E219" s="74">
        <v>46178</v>
      </c>
      <c r="F219">
        <v>6833</v>
      </c>
      <c r="G219" t="s">
        <v>383</v>
      </c>
      <c r="H219" s="75">
        <f t="shared" si="3"/>
        <v>138.72549663844038</v>
      </c>
      <c r="I219" s="74">
        <v>46178</v>
      </c>
      <c r="J219">
        <v>4</v>
      </c>
      <c r="K219" t="s">
        <v>518</v>
      </c>
      <c r="L219" t="s">
        <v>384</v>
      </c>
      <c r="M219" t="s">
        <v>356</v>
      </c>
      <c r="N219" s="73">
        <v>66637</v>
      </c>
      <c r="O219" s="73">
        <v>66637</v>
      </c>
      <c r="P219">
        <v>34.681374159610094</v>
      </c>
    </row>
    <row r="220" spans="1:16" hidden="1" x14ac:dyDescent="0.2">
      <c r="A220" s="73">
        <v>66637</v>
      </c>
      <c r="B220" t="s">
        <v>425</v>
      </c>
      <c r="C220" s="73" t="s">
        <v>428</v>
      </c>
      <c r="D220" t="s">
        <v>429</v>
      </c>
      <c r="E220" s="74">
        <v>45880</v>
      </c>
      <c r="F220">
        <v>6833</v>
      </c>
      <c r="G220" t="s">
        <v>383</v>
      </c>
      <c r="H220" s="75">
        <f t="shared" si="3"/>
        <v>34.681374159610094</v>
      </c>
      <c r="I220" s="74">
        <v>45880</v>
      </c>
      <c r="J220">
        <v>1</v>
      </c>
      <c r="K220" t="s">
        <v>288</v>
      </c>
      <c r="L220" t="s">
        <v>384</v>
      </c>
      <c r="M220" t="s">
        <v>356</v>
      </c>
      <c r="N220" s="73">
        <v>66637</v>
      </c>
      <c r="O220" s="73">
        <v>66637</v>
      </c>
      <c r="P220">
        <v>34.681374159610094</v>
      </c>
    </row>
    <row r="221" spans="1:16" hidden="1" x14ac:dyDescent="0.2">
      <c r="A221" s="73">
        <v>66637</v>
      </c>
      <c r="B221" t="s">
        <v>425</v>
      </c>
      <c r="C221" s="73" t="s">
        <v>428</v>
      </c>
      <c r="D221" t="s">
        <v>429</v>
      </c>
      <c r="E221" s="74">
        <v>45881</v>
      </c>
      <c r="F221">
        <v>6833</v>
      </c>
      <c r="G221" t="s">
        <v>383</v>
      </c>
      <c r="H221" s="75">
        <f t="shared" si="3"/>
        <v>34.681374159610094</v>
      </c>
      <c r="I221" s="74">
        <v>45881</v>
      </c>
      <c r="J221">
        <v>1</v>
      </c>
      <c r="K221" t="s">
        <v>288</v>
      </c>
      <c r="L221" t="s">
        <v>384</v>
      </c>
      <c r="M221" t="s">
        <v>356</v>
      </c>
      <c r="N221" s="73">
        <v>66637</v>
      </c>
      <c r="O221" s="73">
        <v>66637</v>
      </c>
      <c r="P221">
        <v>34.681374159610094</v>
      </c>
    </row>
    <row r="222" spans="1:16" hidden="1" x14ac:dyDescent="0.2">
      <c r="A222" s="73">
        <v>66637</v>
      </c>
      <c r="B222" t="s">
        <v>425</v>
      </c>
      <c r="C222" s="73" t="s">
        <v>428</v>
      </c>
      <c r="D222" t="s">
        <v>429</v>
      </c>
      <c r="E222" s="74">
        <v>45882</v>
      </c>
      <c r="F222">
        <v>6833</v>
      </c>
      <c r="G222" t="s">
        <v>383</v>
      </c>
      <c r="H222" s="75">
        <f t="shared" si="3"/>
        <v>34.681374159610094</v>
      </c>
      <c r="I222" s="74">
        <v>45882</v>
      </c>
      <c r="J222">
        <v>1</v>
      </c>
      <c r="K222" t="s">
        <v>288</v>
      </c>
      <c r="L222" t="s">
        <v>384</v>
      </c>
      <c r="M222" t="s">
        <v>356</v>
      </c>
      <c r="N222" s="73">
        <v>66637</v>
      </c>
      <c r="O222" s="73">
        <v>66637</v>
      </c>
      <c r="P222">
        <v>34.681374159610094</v>
      </c>
    </row>
    <row r="223" spans="1:16" hidden="1" x14ac:dyDescent="0.2">
      <c r="A223" s="73">
        <v>66637</v>
      </c>
      <c r="B223" t="s">
        <v>425</v>
      </c>
      <c r="C223" s="73" t="s">
        <v>428</v>
      </c>
      <c r="D223" t="s">
        <v>429</v>
      </c>
      <c r="E223" s="74">
        <v>45883</v>
      </c>
      <c r="F223">
        <v>6833</v>
      </c>
      <c r="G223" t="s">
        <v>383</v>
      </c>
      <c r="H223" s="75">
        <f t="shared" si="3"/>
        <v>69.362748319220188</v>
      </c>
      <c r="I223" s="74">
        <v>45883</v>
      </c>
      <c r="J223">
        <v>2</v>
      </c>
      <c r="K223" t="s">
        <v>288</v>
      </c>
      <c r="L223" t="s">
        <v>384</v>
      </c>
      <c r="M223" t="s">
        <v>356</v>
      </c>
      <c r="N223" s="73">
        <v>66637</v>
      </c>
      <c r="O223" s="73">
        <v>66637</v>
      </c>
      <c r="P223">
        <v>34.681374159610094</v>
      </c>
    </row>
    <row r="224" spans="1:16" hidden="1" x14ac:dyDescent="0.2">
      <c r="A224" s="73">
        <v>66637</v>
      </c>
      <c r="B224" t="s">
        <v>425</v>
      </c>
      <c r="C224" s="73" t="s">
        <v>428</v>
      </c>
      <c r="D224" t="s">
        <v>429</v>
      </c>
      <c r="E224" s="74">
        <v>45971</v>
      </c>
      <c r="F224">
        <v>6833</v>
      </c>
      <c r="G224" t="s">
        <v>383</v>
      </c>
      <c r="H224" s="75">
        <f t="shared" si="3"/>
        <v>104.04412247883027</v>
      </c>
      <c r="I224" s="74">
        <v>45971</v>
      </c>
      <c r="J224">
        <v>3</v>
      </c>
      <c r="K224" t="s">
        <v>514</v>
      </c>
      <c r="L224" t="s">
        <v>384</v>
      </c>
      <c r="M224" t="s">
        <v>356</v>
      </c>
      <c r="N224" s="73">
        <v>66637</v>
      </c>
      <c r="O224" s="73">
        <v>66637</v>
      </c>
      <c r="P224">
        <v>34.681374159610094</v>
      </c>
    </row>
    <row r="225" spans="1:16" hidden="1" x14ac:dyDescent="0.2">
      <c r="A225" s="73">
        <v>66637</v>
      </c>
      <c r="B225" t="s">
        <v>425</v>
      </c>
      <c r="C225" s="73" t="s">
        <v>428</v>
      </c>
      <c r="D225" t="s">
        <v>429</v>
      </c>
      <c r="E225" s="74">
        <v>45972</v>
      </c>
      <c r="F225">
        <v>6833</v>
      </c>
      <c r="G225" t="s">
        <v>383</v>
      </c>
      <c r="H225" s="75">
        <f t="shared" si="3"/>
        <v>69.362748319220188</v>
      </c>
      <c r="I225" s="74">
        <v>45972</v>
      </c>
      <c r="J225">
        <v>2</v>
      </c>
      <c r="K225" t="s">
        <v>514</v>
      </c>
      <c r="L225" t="s">
        <v>384</v>
      </c>
      <c r="M225" t="s">
        <v>356</v>
      </c>
      <c r="N225" s="73">
        <v>66637</v>
      </c>
      <c r="O225" s="73">
        <v>66637</v>
      </c>
      <c r="P225">
        <v>34.681374159610094</v>
      </c>
    </row>
    <row r="226" spans="1:16" hidden="1" x14ac:dyDescent="0.2">
      <c r="A226" s="73">
        <v>66637</v>
      </c>
      <c r="B226" t="s">
        <v>425</v>
      </c>
      <c r="C226" s="73" t="s">
        <v>428</v>
      </c>
      <c r="D226" t="s">
        <v>429</v>
      </c>
      <c r="E226" s="74">
        <v>45973</v>
      </c>
      <c r="F226">
        <v>6833</v>
      </c>
      <c r="G226" t="s">
        <v>383</v>
      </c>
      <c r="H226" s="75">
        <f t="shared" si="3"/>
        <v>69.362748319220188</v>
      </c>
      <c r="I226" s="74">
        <v>45973</v>
      </c>
      <c r="J226">
        <v>2</v>
      </c>
      <c r="K226" t="s">
        <v>514</v>
      </c>
      <c r="L226" t="s">
        <v>384</v>
      </c>
      <c r="M226" t="s">
        <v>356</v>
      </c>
      <c r="N226" s="73">
        <v>66637</v>
      </c>
      <c r="O226" s="73">
        <v>66637</v>
      </c>
      <c r="P226">
        <v>34.681374159610094</v>
      </c>
    </row>
    <row r="227" spans="1:16" hidden="1" x14ac:dyDescent="0.2">
      <c r="A227" s="73">
        <v>66637</v>
      </c>
      <c r="B227" t="s">
        <v>425</v>
      </c>
      <c r="C227" s="73" t="s">
        <v>428</v>
      </c>
      <c r="D227" t="s">
        <v>429</v>
      </c>
      <c r="E227" s="74">
        <v>45975</v>
      </c>
      <c r="F227">
        <v>6833</v>
      </c>
      <c r="G227" t="s">
        <v>383</v>
      </c>
      <c r="H227" s="75">
        <f t="shared" si="3"/>
        <v>69.362748319220188</v>
      </c>
      <c r="I227" s="74">
        <v>45975</v>
      </c>
      <c r="J227">
        <v>2</v>
      </c>
      <c r="K227" t="s">
        <v>514</v>
      </c>
      <c r="L227" t="s">
        <v>384</v>
      </c>
      <c r="M227" t="s">
        <v>356</v>
      </c>
      <c r="N227" s="73">
        <v>66637</v>
      </c>
      <c r="O227" s="73">
        <v>66637</v>
      </c>
      <c r="P227">
        <v>34.681374159610094</v>
      </c>
    </row>
    <row r="228" spans="1:16" hidden="1" x14ac:dyDescent="0.2">
      <c r="A228" s="73">
        <v>66637</v>
      </c>
      <c r="B228" t="s">
        <v>425</v>
      </c>
      <c r="C228" s="73" t="s">
        <v>428</v>
      </c>
      <c r="D228" t="s">
        <v>429</v>
      </c>
      <c r="E228" s="74">
        <v>45978</v>
      </c>
      <c r="F228">
        <v>6833</v>
      </c>
      <c r="G228" t="s">
        <v>383</v>
      </c>
      <c r="H228" s="75">
        <f t="shared" si="3"/>
        <v>34.681374159610094</v>
      </c>
      <c r="I228" s="74">
        <v>45978</v>
      </c>
      <c r="J228">
        <v>1</v>
      </c>
      <c r="K228" t="s">
        <v>514</v>
      </c>
      <c r="L228" t="s">
        <v>384</v>
      </c>
      <c r="M228" t="s">
        <v>356</v>
      </c>
      <c r="N228" s="73">
        <v>66637</v>
      </c>
      <c r="O228" s="73">
        <v>66637</v>
      </c>
      <c r="P228">
        <v>34.681374159610094</v>
      </c>
    </row>
    <row r="229" spans="1:16" hidden="1" x14ac:dyDescent="0.2">
      <c r="A229" s="73">
        <v>66637</v>
      </c>
      <c r="B229" t="s">
        <v>425</v>
      </c>
      <c r="C229" s="73" t="s">
        <v>428</v>
      </c>
      <c r="D229" t="s">
        <v>429</v>
      </c>
      <c r="E229" s="74">
        <v>45979</v>
      </c>
      <c r="F229">
        <v>6833</v>
      </c>
      <c r="G229" t="s">
        <v>383</v>
      </c>
      <c r="H229" s="75">
        <f t="shared" si="3"/>
        <v>86.703435399025238</v>
      </c>
      <c r="I229" s="74">
        <v>45979</v>
      </c>
      <c r="J229">
        <v>2.5</v>
      </c>
      <c r="K229" t="s">
        <v>514</v>
      </c>
      <c r="L229" t="s">
        <v>384</v>
      </c>
      <c r="M229" t="s">
        <v>356</v>
      </c>
      <c r="N229" s="73">
        <v>66637</v>
      </c>
      <c r="O229" s="73">
        <v>66637</v>
      </c>
      <c r="P229">
        <v>34.681374159610094</v>
      </c>
    </row>
    <row r="230" spans="1:16" hidden="1" x14ac:dyDescent="0.2">
      <c r="A230" s="73">
        <v>66637</v>
      </c>
      <c r="B230" t="s">
        <v>425</v>
      </c>
      <c r="C230" s="73" t="s">
        <v>428</v>
      </c>
      <c r="D230" t="s">
        <v>429</v>
      </c>
      <c r="E230" s="74">
        <v>45980</v>
      </c>
      <c r="F230">
        <v>6833</v>
      </c>
      <c r="G230" t="s">
        <v>383</v>
      </c>
      <c r="H230" s="75">
        <f t="shared" si="3"/>
        <v>52.022061239415137</v>
      </c>
      <c r="I230" s="74">
        <v>45980</v>
      </c>
      <c r="J230">
        <v>1.5</v>
      </c>
      <c r="K230" t="s">
        <v>514</v>
      </c>
      <c r="L230" t="s">
        <v>384</v>
      </c>
      <c r="M230" t="s">
        <v>356</v>
      </c>
      <c r="N230" s="73">
        <v>66637</v>
      </c>
      <c r="O230" s="73">
        <v>66637</v>
      </c>
      <c r="P230">
        <v>34.681374159610094</v>
      </c>
    </row>
    <row r="231" spans="1:16" hidden="1" x14ac:dyDescent="0.2">
      <c r="A231" s="73">
        <v>66637</v>
      </c>
      <c r="B231" t="s">
        <v>425</v>
      </c>
      <c r="C231" s="73" t="s">
        <v>428</v>
      </c>
      <c r="D231" t="s">
        <v>429</v>
      </c>
      <c r="E231" s="74">
        <v>45981</v>
      </c>
      <c r="F231">
        <v>6833</v>
      </c>
      <c r="G231" t="s">
        <v>383</v>
      </c>
      <c r="H231" s="75">
        <f t="shared" si="3"/>
        <v>34.681374159610094</v>
      </c>
      <c r="I231" s="74">
        <v>45981</v>
      </c>
      <c r="J231">
        <v>1</v>
      </c>
      <c r="K231" t="s">
        <v>514</v>
      </c>
      <c r="L231" t="s">
        <v>384</v>
      </c>
      <c r="M231" t="s">
        <v>356</v>
      </c>
      <c r="N231" s="73">
        <v>66637</v>
      </c>
      <c r="O231" s="73">
        <v>66637</v>
      </c>
      <c r="P231">
        <v>34.681374159610094</v>
      </c>
    </row>
    <row r="232" spans="1:16" hidden="1" x14ac:dyDescent="0.2">
      <c r="A232" s="73">
        <v>66637</v>
      </c>
      <c r="B232" t="s">
        <v>425</v>
      </c>
      <c r="C232" s="73" t="s">
        <v>428</v>
      </c>
      <c r="D232" t="s">
        <v>429</v>
      </c>
      <c r="E232" s="74">
        <v>45982</v>
      </c>
      <c r="F232">
        <v>6833</v>
      </c>
      <c r="G232" t="s">
        <v>383</v>
      </c>
      <c r="H232" s="75">
        <f t="shared" si="3"/>
        <v>34.681374159610094</v>
      </c>
      <c r="I232" s="74">
        <v>45982</v>
      </c>
      <c r="J232">
        <v>1</v>
      </c>
      <c r="K232" t="s">
        <v>514</v>
      </c>
      <c r="L232" t="s">
        <v>384</v>
      </c>
      <c r="M232" t="s">
        <v>356</v>
      </c>
      <c r="N232" s="73">
        <v>66637</v>
      </c>
      <c r="O232" s="73">
        <v>66637</v>
      </c>
      <c r="P232">
        <v>34.681374159610094</v>
      </c>
    </row>
    <row r="233" spans="1:16" hidden="1" x14ac:dyDescent="0.2">
      <c r="A233" s="73">
        <v>66637</v>
      </c>
      <c r="B233" t="s">
        <v>425</v>
      </c>
      <c r="C233" s="73" t="s">
        <v>428</v>
      </c>
      <c r="D233" t="s">
        <v>429</v>
      </c>
      <c r="E233" s="74">
        <v>45985</v>
      </c>
      <c r="F233">
        <v>6833</v>
      </c>
      <c r="G233" t="s">
        <v>383</v>
      </c>
      <c r="H233" s="75">
        <f t="shared" si="3"/>
        <v>34.681374159610094</v>
      </c>
      <c r="I233" s="74">
        <v>45985</v>
      </c>
      <c r="J233">
        <v>1</v>
      </c>
      <c r="K233" t="s">
        <v>514</v>
      </c>
      <c r="L233" t="s">
        <v>384</v>
      </c>
      <c r="M233" t="s">
        <v>356</v>
      </c>
      <c r="N233" s="73">
        <v>66637</v>
      </c>
      <c r="O233" s="73">
        <v>66637</v>
      </c>
      <c r="P233">
        <v>34.681374159610094</v>
      </c>
    </row>
    <row r="234" spans="1:16" hidden="1" x14ac:dyDescent="0.2">
      <c r="A234" s="73">
        <v>66637</v>
      </c>
      <c r="B234" t="s">
        <v>425</v>
      </c>
      <c r="C234" s="73" t="s">
        <v>428</v>
      </c>
      <c r="D234" t="s">
        <v>429</v>
      </c>
      <c r="E234" s="74">
        <v>45986</v>
      </c>
      <c r="F234">
        <v>6833</v>
      </c>
      <c r="G234" t="s">
        <v>383</v>
      </c>
      <c r="H234" s="75">
        <f t="shared" si="3"/>
        <v>34.681374159610094</v>
      </c>
      <c r="I234" s="74">
        <v>45986</v>
      </c>
      <c r="J234">
        <v>1</v>
      </c>
      <c r="K234" t="s">
        <v>514</v>
      </c>
      <c r="L234" t="s">
        <v>384</v>
      </c>
      <c r="M234" t="s">
        <v>356</v>
      </c>
      <c r="N234" s="73">
        <v>66637</v>
      </c>
      <c r="O234" s="73">
        <v>66637</v>
      </c>
      <c r="P234">
        <v>34.681374159610094</v>
      </c>
    </row>
    <row r="235" spans="1:16" hidden="1" x14ac:dyDescent="0.2">
      <c r="A235" s="73">
        <v>66637</v>
      </c>
      <c r="B235" t="s">
        <v>425</v>
      </c>
      <c r="C235" s="73" t="s">
        <v>428</v>
      </c>
      <c r="D235" t="s">
        <v>429</v>
      </c>
      <c r="E235" s="74">
        <v>45987</v>
      </c>
      <c r="F235">
        <v>6833</v>
      </c>
      <c r="G235" t="s">
        <v>383</v>
      </c>
      <c r="H235" s="75">
        <f t="shared" si="3"/>
        <v>34.681374159610094</v>
      </c>
      <c r="I235" s="74">
        <v>45987</v>
      </c>
      <c r="J235">
        <v>1</v>
      </c>
      <c r="K235" t="s">
        <v>514</v>
      </c>
      <c r="L235" t="s">
        <v>384</v>
      </c>
      <c r="M235" t="s">
        <v>356</v>
      </c>
      <c r="N235" s="73">
        <v>66637</v>
      </c>
      <c r="O235" s="73">
        <v>66637</v>
      </c>
      <c r="P235">
        <v>34.681374159610094</v>
      </c>
    </row>
    <row r="236" spans="1:16" hidden="1" x14ac:dyDescent="0.2">
      <c r="A236" s="73">
        <v>66637</v>
      </c>
      <c r="B236" t="s">
        <v>425</v>
      </c>
      <c r="C236" s="73" t="s">
        <v>428</v>
      </c>
      <c r="D236" t="s">
        <v>429</v>
      </c>
      <c r="E236" s="74">
        <v>45988</v>
      </c>
      <c r="F236">
        <v>6833</v>
      </c>
      <c r="G236" t="s">
        <v>383</v>
      </c>
      <c r="H236" s="75">
        <f t="shared" si="3"/>
        <v>104.04412247883027</v>
      </c>
      <c r="I236" s="74">
        <v>45988</v>
      </c>
      <c r="J236">
        <v>3</v>
      </c>
      <c r="K236" t="s">
        <v>514</v>
      </c>
      <c r="L236" t="s">
        <v>384</v>
      </c>
      <c r="M236" t="s">
        <v>356</v>
      </c>
      <c r="N236" s="73">
        <v>66637</v>
      </c>
      <c r="O236" s="73">
        <v>66637</v>
      </c>
      <c r="P236">
        <v>34.681374159610094</v>
      </c>
    </row>
    <row r="237" spans="1:16" hidden="1" x14ac:dyDescent="0.2">
      <c r="A237" s="73">
        <v>66637</v>
      </c>
      <c r="B237" t="s">
        <v>425</v>
      </c>
      <c r="C237" s="73" t="s">
        <v>428</v>
      </c>
      <c r="D237" t="s">
        <v>429</v>
      </c>
      <c r="E237" s="74">
        <v>45989</v>
      </c>
      <c r="F237">
        <v>6833</v>
      </c>
      <c r="G237" t="s">
        <v>383</v>
      </c>
      <c r="H237" s="75">
        <f t="shared" si="3"/>
        <v>69.362748319220188</v>
      </c>
      <c r="I237" s="74">
        <v>45989</v>
      </c>
      <c r="J237">
        <v>2</v>
      </c>
      <c r="K237" t="s">
        <v>514</v>
      </c>
      <c r="L237" t="s">
        <v>384</v>
      </c>
      <c r="M237" t="s">
        <v>356</v>
      </c>
      <c r="N237" s="73">
        <v>66637</v>
      </c>
      <c r="O237" s="73">
        <v>66637</v>
      </c>
      <c r="P237">
        <v>34.681374159610094</v>
      </c>
    </row>
    <row r="238" spans="1:16" hidden="1" x14ac:dyDescent="0.2">
      <c r="A238" s="73">
        <v>66637</v>
      </c>
      <c r="B238" t="s">
        <v>425</v>
      </c>
      <c r="C238" s="73" t="s">
        <v>428</v>
      </c>
      <c r="D238" t="s">
        <v>429</v>
      </c>
      <c r="E238" s="74">
        <v>46027</v>
      </c>
      <c r="F238">
        <v>6833</v>
      </c>
      <c r="G238" t="s">
        <v>383</v>
      </c>
      <c r="H238" s="75">
        <f t="shared" si="3"/>
        <v>34.681374159610094</v>
      </c>
      <c r="I238" s="74">
        <v>46027</v>
      </c>
      <c r="J238">
        <v>1</v>
      </c>
      <c r="K238" t="s">
        <v>516</v>
      </c>
      <c r="L238" t="s">
        <v>384</v>
      </c>
      <c r="M238" t="s">
        <v>356</v>
      </c>
      <c r="N238" s="73">
        <v>66637</v>
      </c>
      <c r="O238" s="73">
        <v>66637</v>
      </c>
      <c r="P238">
        <v>34.681374159610094</v>
      </c>
    </row>
    <row r="239" spans="1:16" hidden="1" x14ac:dyDescent="0.2">
      <c r="A239" s="73">
        <v>66637</v>
      </c>
      <c r="B239" t="s">
        <v>425</v>
      </c>
      <c r="C239" s="73" t="s">
        <v>428</v>
      </c>
      <c r="D239" t="s">
        <v>429</v>
      </c>
      <c r="E239" s="74">
        <v>46030</v>
      </c>
      <c r="F239">
        <v>6833</v>
      </c>
      <c r="G239" t="s">
        <v>383</v>
      </c>
      <c r="H239" s="75">
        <f t="shared" si="3"/>
        <v>34.681374159610094</v>
      </c>
      <c r="I239" s="74">
        <v>46030</v>
      </c>
      <c r="J239">
        <v>1</v>
      </c>
      <c r="K239" t="s">
        <v>516</v>
      </c>
      <c r="L239" t="s">
        <v>384</v>
      </c>
      <c r="M239" t="s">
        <v>356</v>
      </c>
      <c r="N239" s="73">
        <v>66637</v>
      </c>
      <c r="O239" s="73">
        <v>66637</v>
      </c>
      <c r="P239">
        <v>34.681374159610094</v>
      </c>
    </row>
    <row r="240" spans="1:16" hidden="1" x14ac:dyDescent="0.2">
      <c r="A240" s="73">
        <v>66637</v>
      </c>
      <c r="B240" t="s">
        <v>425</v>
      </c>
      <c r="C240" s="73" t="s">
        <v>428</v>
      </c>
      <c r="D240" t="s">
        <v>429</v>
      </c>
      <c r="E240" s="74">
        <v>46031</v>
      </c>
      <c r="F240">
        <v>6833</v>
      </c>
      <c r="G240" t="s">
        <v>383</v>
      </c>
      <c r="H240" s="75">
        <f t="shared" si="3"/>
        <v>34.681374159610094</v>
      </c>
      <c r="I240" s="74">
        <v>46031</v>
      </c>
      <c r="J240">
        <v>1</v>
      </c>
      <c r="K240" t="s">
        <v>516</v>
      </c>
      <c r="L240" t="s">
        <v>384</v>
      </c>
      <c r="M240" t="s">
        <v>356</v>
      </c>
      <c r="N240" s="73">
        <v>66637</v>
      </c>
      <c r="O240" s="73">
        <v>66637</v>
      </c>
      <c r="P240">
        <v>34.681374159610094</v>
      </c>
    </row>
    <row r="241" spans="1:16" hidden="1" x14ac:dyDescent="0.2">
      <c r="A241" s="73">
        <v>66637</v>
      </c>
      <c r="B241" t="s">
        <v>425</v>
      </c>
      <c r="C241" s="73" t="s">
        <v>428</v>
      </c>
      <c r="D241" t="s">
        <v>429</v>
      </c>
      <c r="E241" s="74">
        <v>46049</v>
      </c>
      <c r="F241">
        <v>6833</v>
      </c>
      <c r="G241" t="s">
        <v>383</v>
      </c>
      <c r="H241" s="75">
        <f t="shared" si="3"/>
        <v>104.04412247883027</v>
      </c>
      <c r="I241" s="74">
        <v>46049</v>
      </c>
      <c r="J241">
        <v>3</v>
      </c>
      <c r="K241" t="s">
        <v>516</v>
      </c>
      <c r="L241" t="s">
        <v>384</v>
      </c>
      <c r="M241" t="s">
        <v>356</v>
      </c>
      <c r="N241" s="73">
        <v>66637</v>
      </c>
      <c r="O241" s="73">
        <v>66637</v>
      </c>
      <c r="P241">
        <v>34.681374159610094</v>
      </c>
    </row>
    <row r="242" spans="1:16" hidden="1" x14ac:dyDescent="0.2">
      <c r="A242" s="73">
        <v>66637</v>
      </c>
      <c r="B242" t="s">
        <v>425</v>
      </c>
      <c r="C242" s="73" t="s">
        <v>428</v>
      </c>
      <c r="D242" t="s">
        <v>429</v>
      </c>
      <c r="E242" s="74">
        <v>46050</v>
      </c>
      <c r="F242">
        <v>6833</v>
      </c>
      <c r="G242" t="s">
        <v>383</v>
      </c>
      <c r="H242" s="75">
        <f t="shared" si="3"/>
        <v>69.362748319220188</v>
      </c>
      <c r="I242" s="74">
        <v>46050</v>
      </c>
      <c r="J242">
        <v>2</v>
      </c>
      <c r="K242" t="s">
        <v>516</v>
      </c>
      <c r="L242" t="s">
        <v>384</v>
      </c>
      <c r="M242" t="s">
        <v>356</v>
      </c>
      <c r="N242" s="73">
        <v>66637</v>
      </c>
      <c r="O242" s="73">
        <v>66637</v>
      </c>
      <c r="P242">
        <v>34.681374159610094</v>
      </c>
    </row>
    <row r="243" spans="1:16" hidden="1" x14ac:dyDescent="0.2">
      <c r="A243" s="73">
        <v>66637</v>
      </c>
      <c r="B243" t="s">
        <v>425</v>
      </c>
      <c r="C243" s="73" t="s">
        <v>428</v>
      </c>
      <c r="D243" t="s">
        <v>429</v>
      </c>
      <c r="E243" s="74">
        <v>46051</v>
      </c>
      <c r="F243">
        <v>6833</v>
      </c>
      <c r="G243" t="s">
        <v>383</v>
      </c>
      <c r="H243" s="75">
        <f t="shared" si="3"/>
        <v>69.362748319220188</v>
      </c>
      <c r="I243" s="74">
        <v>46051</v>
      </c>
      <c r="J243">
        <v>2</v>
      </c>
      <c r="K243" t="s">
        <v>516</v>
      </c>
      <c r="L243" t="s">
        <v>384</v>
      </c>
      <c r="M243" t="s">
        <v>356</v>
      </c>
      <c r="N243" s="73">
        <v>66637</v>
      </c>
      <c r="O243" s="73">
        <v>66637</v>
      </c>
      <c r="P243">
        <v>34.681374159610094</v>
      </c>
    </row>
    <row r="244" spans="1:16" hidden="1" x14ac:dyDescent="0.2">
      <c r="A244" s="73">
        <v>66637</v>
      </c>
      <c r="B244" t="s">
        <v>425</v>
      </c>
      <c r="C244" s="73" t="s">
        <v>428</v>
      </c>
      <c r="D244" t="s">
        <v>429</v>
      </c>
      <c r="E244" s="74">
        <v>46052</v>
      </c>
      <c r="F244">
        <v>6833</v>
      </c>
      <c r="G244" t="s">
        <v>383</v>
      </c>
      <c r="H244" s="75">
        <f t="shared" si="3"/>
        <v>104.04412247883027</v>
      </c>
      <c r="I244" s="74">
        <v>46052</v>
      </c>
      <c r="J244">
        <v>3</v>
      </c>
      <c r="K244" t="s">
        <v>516</v>
      </c>
      <c r="L244" t="s">
        <v>384</v>
      </c>
      <c r="M244" t="s">
        <v>356</v>
      </c>
      <c r="N244" s="73">
        <v>66637</v>
      </c>
      <c r="O244" s="73">
        <v>66637</v>
      </c>
      <c r="P244">
        <v>34.681374159610094</v>
      </c>
    </row>
    <row r="245" spans="1:16" hidden="1" x14ac:dyDescent="0.2">
      <c r="A245" s="73">
        <v>66637</v>
      </c>
      <c r="B245" t="s">
        <v>425</v>
      </c>
      <c r="C245" s="73" t="s">
        <v>428</v>
      </c>
      <c r="D245" t="s">
        <v>429</v>
      </c>
      <c r="E245" s="74">
        <v>46055</v>
      </c>
      <c r="F245">
        <v>6833</v>
      </c>
      <c r="G245" t="s">
        <v>383</v>
      </c>
      <c r="H245" s="75">
        <f t="shared" si="3"/>
        <v>104.04412247883027</v>
      </c>
      <c r="I245" s="74">
        <v>46055</v>
      </c>
      <c r="J245">
        <v>3</v>
      </c>
      <c r="K245" t="s">
        <v>508</v>
      </c>
      <c r="L245" t="s">
        <v>384</v>
      </c>
      <c r="M245" t="s">
        <v>356</v>
      </c>
      <c r="N245" s="73">
        <v>66637</v>
      </c>
      <c r="O245" s="73">
        <v>66637</v>
      </c>
      <c r="P245">
        <v>34.681374159610094</v>
      </c>
    </row>
    <row r="246" spans="1:16" hidden="1" x14ac:dyDescent="0.2">
      <c r="A246" s="73">
        <v>66637</v>
      </c>
      <c r="B246" t="s">
        <v>425</v>
      </c>
      <c r="C246" s="73" t="s">
        <v>428</v>
      </c>
      <c r="D246" t="s">
        <v>429</v>
      </c>
      <c r="E246" s="74">
        <v>46056</v>
      </c>
      <c r="F246">
        <v>6833</v>
      </c>
      <c r="G246" t="s">
        <v>383</v>
      </c>
      <c r="H246" s="75">
        <f t="shared" si="3"/>
        <v>69.362748319220188</v>
      </c>
      <c r="I246" s="74">
        <v>46056</v>
      </c>
      <c r="J246">
        <v>2</v>
      </c>
      <c r="K246" t="s">
        <v>508</v>
      </c>
      <c r="L246" t="s">
        <v>384</v>
      </c>
      <c r="M246" t="s">
        <v>356</v>
      </c>
      <c r="N246" s="73">
        <v>66637</v>
      </c>
      <c r="O246" s="73">
        <v>66637</v>
      </c>
      <c r="P246">
        <v>34.681374159610094</v>
      </c>
    </row>
    <row r="247" spans="1:16" hidden="1" x14ac:dyDescent="0.2">
      <c r="A247" s="73">
        <v>66637</v>
      </c>
      <c r="B247" t="s">
        <v>425</v>
      </c>
      <c r="C247" s="73" t="s">
        <v>428</v>
      </c>
      <c r="D247" t="s">
        <v>429</v>
      </c>
      <c r="E247" s="74">
        <v>46057</v>
      </c>
      <c r="F247">
        <v>6833</v>
      </c>
      <c r="G247" t="s">
        <v>383</v>
      </c>
      <c r="H247" s="75">
        <f t="shared" si="3"/>
        <v>69.362748319220188</v>
      </c>
      <c r="I247" s="74">
        <v>46057</v>
      </c>
      <c r="J247">
        <v>2</v>
      </c>
      <c r="K247" t="s">
        <v>508</v>
      </c>
      <c r="L247" t="s">
        <v>384</v>
      </c>
      <c r="M247" t="s">
        <v>356</v>
      </c>
      <c r="N247" s="73">
        <v>66637</v>
      </c>
      <c r="O247" s="73">
        <v>66637</v>
      </c>
      <c r="P247">
        <v>34.681374159610094</v>
      </c>
    </row>
    <row r="248" spans="1:16" hidden="1" x14ac:dyDescent="0.2">
      <c r="A248" s="73">
        <v>66637</v>
      </c>
      <c r="B248" t="s">
        <v>425</v>
      </c>
      <c r="C248" s="73" t="s">
        <v>428</v>
      </c>
      <c r="D248" t="s">
        <v>429</v>
      </c>
      <c r="E248" s="74">
        <v>46058</v>
      </c>
      <c r="F248">
        <v>6833</v>
      </c>
      <c r="G248" t="s">
        <v>383</v>
      </c>
      <c r="H248" s="75">
        <f t="shared" si="3"/>
        <v>69.362748319220188</v>
      </c>
      <c r="I248" s="74">
        <v>46058</v>
      </c>
      <c r="J248">
        <v>2</v>
      </c>
      <c r="K248" t="s">
        <v>508</v>
      </c>
      <c r="L248" t="s">
        <v>384</v>
      </c>
      <c r="M248" t="s">
        <v>356</v>
      </c>
      <c r="N248" s="73">
        <v>66637</v>
      </c>
      <c r="O248" s="73">
        <v>66637</v>
      </c>
      <c r="P248">
        <v>34.681374159610094</v>
      </c>
    </row>
    <row r="249" spans="1:16" hidden="1" x14ac:dyDescent="0.2">
      <c r="A249" s="73">
        <v>66637</v>
      </c>
      <c r="B249" t="s">
        <v>425</v>
      </c>
      <c r="C249" s="73" t="s">
        <v>428</v>
      </c>
      <c r="D249" t="s">
        <v>429</v>
      </c>
      <c r="E249" s="74">
        <v>46059</v>
      </c>
      <c r="F249">
        <v>6833</v>
      </c>
      <c r="G249" t="s">
        <v>383</v>
      </c>
      <c r="H249" s="75">
        <f t="shared" si="3"/>
        <v>69.362748319220188</v>
      </c>
      <c r="I249" s="74">
        <v>46059</v>
      </c>
      <c r="J249">
        <v>2</v>
      </c>
      <c r="K249" t="s">
        <v>508</v>
      </c>
      <c r="L249" t="s">
        <v>384</v>
      </c>
      <c r="M249" t="s">
        <v>356</v>
      </c>
      <c r="N249" s="73">
        <v>66637</v>
      </c>
      <c r="O249" s="73">
        <v>66637</v>
      </c>
      <c r="P249">
        <v>34.681374159610094</v>
      </c>
    </row>
    <row r="250" spans="1:16" hidden="1" x14ac:dyDescent="0.2">
      <c r="A250" s="73">
        <v>66637</v>
      </c>
      <c r="B250" t="s">
        <v>425</v>
      </c>
      <c r="C250" s="73" t="s">
        <v>428</v>
      </c>
      <c r="D250" t="s">
        <v>429</v>
      </c>
      <c r="E250" s="74">
        <v>46076</v>
      </c>
      <c r="F250">
        <v>6833</v>
      </c>
      <c r="G250" t="s">
        <v>383</v>
      </c>
      <c r="H250" s="75">
        <f t="shared" si="3"/>
        <v>138.72549663844038</v>
      </c>
      <c r="I250" s="74">
        <v>46076</v>
      </c>
      <c r="J250">
        <v>4</v>
      </c>
      <c r="K250" t="s">
        <v>508</v>
      </c>
      <c r="L250" t="s">
        <v>384</v>
      </c>
      <c r="M250" t="s">
        <v>356</v>
      </c>
      <c r="N250" s="73">
        <v>66637</v>
      </c>
      <c r="O250" s="73">
        <v>66637</v>
      </c>
      <c r="P250">
        <v>34.681374159610094</v>
      </c>
    </row>
    <row r="251" spans="1:16" hidden="1" x14ac:dyDescent="0.2">
      <c r="A251" s="73">
        <v>66637</v>
      </c>
      <c r="B251" t="s">
        <v>425</v>
      </c>
      <c r="C251" s="73" t="s">
        <v>428</v>
      </c>
      <c r="D251" t="s">
        <v>429</v>
      </c>
      <c r="E251" s="74">
        <v>46077</v>
      </c>
      <c r="F251">
        <v>6833</v>
      </c>
      <c r="G251" t="s">
        <v>383</v>
      </c>
      <c r="H251" s="75">
        <f t="shared" si="3"/>
        <v>138.72549663844038</v>
      </c>
      <c r="I251" s="74">
        <v>46077</v>
      </c>
      <c r="J251">
        <v>4</v>
      </c>
      <c r="K251" t="s">
        <v>508</v>
      </c>
      <c r="L251" t="s">
        <v>384</v>
      </c>
      <c r="M251" t="s">
        <v>356</v>
      </c>
      <c r="N251" s="73">
        <v>66637</v>
      </c>
      <c r="O251" s="73">
        <v>66637</v>
      </c>
      <c r="P251">
        <v>34.681374159610094</v>
      </c>
    </row>
    <row r="252" spans="1:16" hidden="1" x14ac:dyDescent="0.2">
      <c r="A252" s="73">
        <v>66637</v>
      </c>
      <c r="B252" t="s">
        <v>425</v>
      </c>
      <c r="C252" s="73" t="s">
        <v>428</v>
      </c>
      <c r="D252" t="s">
        <v>429</v>
      </c>
      <c r="E252" s="74">
        <v>46078</v>
      </c>
      <c r="F252">
        <v>6833</v>
      </c>
      <c r="G252" t="s">
        <v>383</v>
      </c>
      <c r="H252" s="75">
        <f t="shared" si="3"/>
        <v>138.72549663844038</v>
      </c>
      <c r="I252" s="74">
        <v>46078</v>
      </c>
      <c r="J252">
        <v>4</v>
      </c>
      <c r="K252" t="s">
        <v>508</v>
      </c>
      <c r="L252" t="s">
        <v>384</v>
      </c>
      <c r="M252" t="s">
        <v>356</v>
      </c>
      <c r="N252" s="73">
        <v>66637</v>
      </c>
      <c r="O252" s="73">
        <v>66637</v>
      </c>
      <c r="P252">
        <v>34.681374159610094</v>
      </c>
    </row>
    <row r="253" spans="1:16" hidden="1" x14ac:dyDescent="0.2">
      <c r="A253" s="73">
        <v>66637</v>
      </c>
      <c r="B253" t="s">
        <v>425</v>
      </c>
      <c r="C253" s="73" t="s">
        <v>428</v>
      </c>
      <c r="D253" t="s">
        <v>429</v>
      </c>
      <c r="E253" s="74">
        <v>46079</v>
      </c>
      <c r="F253">
        <v>6833</v>
      </c>
      <c r="G253" t="s">
        <v>383</v>
      </c>
      <c r="H253" s="75">
        <f t="shared" si="3"/>
        <v>138.72549663844038</v>
      </c>
      <c r="I253" s="74">
        <v>46079</v>
      </c>
      <c r="J253">
        <v>4</v>
      </c>
      <c r="K253" t="s">
        <v>508</v>
      </c>
      <c r="L253" t="s">
        <v>384</v>
      </c>
      <c r="M253" t="s">
        <v>356</v>
      </c>
      <c r="N253" s="73">
        <v>66637</v>
      </c>
      <c r="O253" s="73">
        <v>66637</v>
      </c>
      <c r="P253">
        <v>34.681374159610094</v>
      </c>
    </row>
    <row r="254" spans="1:16" hidden="1" x14ac:dyDescent="0.2">
      <c r="A254" s="73">
        <v>66637</v>
      </c>
      <c r="B254" t="s">
        <v>425</v>
      </c>
      <c r="C254" s="73" t="s">
        <v>428</v>
      </c>
      <c r="D254" t="s">
        <v>429</v>
      </c>
      <c r="E254" s="74">
        <v>46080</v>
      </c>
      <c r="F254">
        <v>6833</v>
      </c>
      <c r="G254" t="s">
        <v>383</v>
      </c>
      <c r="H254" s="75">
        <f t="shared" si="3"/>
        <v>138.72549663844038</v>
      </c>
      <c r="I254" s="74">
        <v>46080</v>
      </c>
      <c r="J254">
        <v>4</v>
      </c>
      <c r="K254" t="s">
        <v>508</v>
      </c>
      <c r="L254" t="s">
        <v>384</v>
      </c>
      <c r="M254" t="s">
        <v>356</v>
      </c>
      <c r="N254" s="73">
        <v>66637</v>
      </c>
      <c r="O254" s="73">
        <v>66637</v>
      </c>
      <c r="P254">
        <v>34.681374159610094</v>
      </c>
    </row>
    <row r="255" spans="1:16" hidden="1" x14ac:dyDescent="0.2">
      <c r="A255" s="73">
        <v>66637</v>
      </c>
      <c r="B255" t="s">
        <v>425</v>
      </c>
      <c r="C255" s="73" t="s">
        <v>428</v>
      </c>
      <c r="D255" t="s">
        <v>429</v>
      </c>
      <c r="E255" s="74">
        <v>46083</v>
      </c>
      <c r="F255">
        <v>6833</v>
      </c>
      <c r="G255" t="s">
        <v>383</v>
      </c>
      <c r="H255" s="75">
        <f t="shared" si="3"/>
        <v>104.04412247883027</v>
      </c>
      <c r="I255" s="74">
        <v>46083</v>
      </c>
      <c r="J255">
        <v>3</v>
      </c>
      <c r="K255" t="s">
        <v>509</v>
      </c>
      <c r="L255" t="s">
        <v>384</v>
      </c>
      <c r="M255" t="s">
        <v>356</v>
      </c>
      <c r="N255" s="73">
        <v>66637</v>
      </c>
      <c r="O255" s="73">
        <v>66637</v>
      </c>
      <c r="P255">
        <v>34.681374159610094</v>
      </c>
    </row>
    <row r="256" spans="1:16" hidden="1" x14ac:dyDescent="0.2">
      <c r="A256" s="73">
        <v>66637</v>
      </c>
      <c r="B256" t="s">
        <v>425</v>
      </c>
      <c r="C256" s="73" t="s">
        <v>428</v>
      </c>
      <c r="D256" t="s">
        <v>429</v>
      </c>
      <c r="E256" s="74">
        <v>46084</v>
      </c>
      <c r="F256">
        <v>6833</v>
      </c>
      <c r="G256" t="s">
        <v>383</v>
      </c>
      <c r="H256" s="75">
        <f t="shared" si="3"/>
        <v>104.04412247883027</v>
      </c>
      <c r="I256" s="74">
        <v>46084</v>
      </c>
      <c r="J256">
        <v>3</v>
      </c>
      <c r="K256" t="s">
        <v>509</v>
      </c>
      <c r="L256" t="s">
        <v>384</v>
      </c>
      <c r="M256" t="s">
        <v>356</v>
      </c>
      <c r="N256" s="73">
        <v>66637</v>
      </c>
      <c r="O256" s="73">
        <v>66637</v>
      </c>
      <c r="P256">
        <v>34.681374159610094</v>
      </c>
    </row>
    <row r="257" spans="1:16" hidden="1" x14ac:dyDescent="0.2">
      <c r="A257" s="73">
        <v>66637</v>
      </c>
      <c r="B257" t="s">
        <v>425</v>
      </c>
      <c r="C257" s="73" t="s">
        <v>428</v>
      </c>
      <c r="D257" t="s">
        <v>429</v>
      </c>
      <c r="E257" s="74">
        <v>46085</v>
      </c>
      <c r="F257">
        <v>6833</v>
      </c>
      <c r="G257" t="s">
        <v>383</v>
      </c>
      <c r="H257" s="75">
        <f t="shared" si="3"/>
        <v>104.04412247883027</v>
      </c>
      <c r="I257" s="74">
        <v>46085</v>
      </c>
      <c r="J257">
        <v>3</v>
      </c>
      <c r="K257" t="s">
        <v>509</v>
      </c>
      <c r="L257" t="s">
        <v>384</v>
      </c>
      <c r="M257" t="s">
        <v>356</v>
      </c>
      <c r="N257" s="73">
        <v>66637</v>
      </c>
      <c r="O257" s="73">
        <v>66637</v>
      </c>
      <c r="P257">
        <v>34.681374159610094</v>
      </c>
    </row>
    <row r="258" spans="1:16" hidden="1" x14ac:dyDescent="0.2">
      <c r="A258" s="73">
        <v>66637</v>
      </c>
      <c r="B258" t="s">
        <v>425</v>
      </c>
      <c r="C258" s="73" t="s">
        <v>428</v>
      </c>
      <c r="D258" t="s">
        <v>429</v>
      </c>
      <c r="E258" s="74">
        <v>46086</v>
      </c>
      <c r="F258">
        <v>6833</v>
      </c>
      <c r="G258" t="s">
        <v>383</v>
      </c>
      <c r="H258" s="75">
        <f t="shared" ref="H258:H321" si="4">J258*P258</f>
        <v>104.04412247883027</v>
      </c>
      <c r="I258" s="74">
        <v>46086</v>
      </c>
      <c r="J258">
        <v>3</v>
      </c>
      <c r="K258" t="s">
        <v>509</v>
      </c>
      <c r="L258" t="s">
        <v>384</v>
      </c>
      <c r="M258" t="s">
        <v>356</v>
      </c>
      <c r="N258" s="73">
        <v>66637</v>
      </c>
      <c r="O258" s="73">
        <v>66637</v>
      </c>
      <c r="P258">
        <v>34.681374159610094</v>
      </c>
    </row>
    <row r="259" spans="1:16" hidden="1" x14ac:dyDescent="0.2">
      <c r="A259" s="73">
        <v>66637</v>
      </c>
      <c r="B259" t="s">
        <v>425</v>
      </c>
      <c r="C259" s="73" t="s">
        <v>428</v>
      </c>
      <c r="D259" t="s">
        <v>429</v>
      </c>
      <c r="E259" s="74">
        <v>46087</v>
      </c>
      <c r="F259">
        <v>6833</v>
      </c>
      <c r="G259" t="s">
        <v>383</v>
      </c>
      <c r="H259" s="75">
        <f t="shared" si="4"/>
        <v>104.04412247883027</v>
      </c>
      <c r="I259" s="74">
        <v>46087</v>
      </c>
      <c r="J259">
        <v>3</v>
      </c>
      <c r="K259" t="s">
        <v>509</v>
      </c>
      <c r="L259" t="s">
        <v>384</v>
      </c>
      <c r="M259" t="s">
        <v>356</v>
      </c>
      <c r="N259" s="73">
        <v>66637</v>
      </c>
      <c r="O259" s="73">
        <v>66637</v>
      </c>
      <c r="P259">
        <v>34.681374159610094</v>
      </c>
    </row>
    <row r="260" spans="1:16" hidden="1" x14ac:dyDescent="0.2">
      <c r="A260" s="73">
        <v>66637</v>
      </c>
      <c r="B260" t="s">
        <v>425</v>
      </c>
      <c r="C260" s="73" t="s">
        <v>428</v>
      </c>
      <c r="D260" t="s">
        <v>429</v>
      </c>
      <c r="E260" s="74">
        <v>46090</v>
      </c>
      <c r="F260">
        <v>6833</v>
      </c>
      <c r="G260" t="s">
        <v>383</v>
      </c>
      <c r="H260" s="75">
        <f t="shared" si="4"/>
        <v>104.04412247883027</v>
      </c>
      <c r="I260" s="74">
        <v>46090</v>
      </c>
      <c r="J260">
        <v>3</v>
      </c>
      <c r="K260" t="s">
        <v>509</v>
      </c>
      <c r="L260" t="s">
        <v>384</v>
      </c>
      <c r="M260" t="s">
        <v>356</v>
      </c>
      <c r="N260" s="73">
        <v>66637</v>
      </c>
      <c r="O260" s="73">
        <v>66637</v>
      </c>
      <c r="P260">
        <v>34.681374159610094</v>
      </c>
    </row>
    <row r="261" spans="1:16" hidden="1" x14ac:dyDescent="0.2">
      <c r="A261" s="73">
        <v>66637</v>
      </c>
      <c r="B261" t="s">
        <v>425</v>
      </c>
      <c r="C261" s="73" t="s">
        <v>428</v>
      </c>
      <c r="D261" t="s">
        <v>429</v>
      </c>
      <c r="E261" s="74">
        <v>46091</v>
      </c>
      <c r="F261">
        <v>6833</v>
      </c>
      <c r="G261" t="s">
        <v>383</v>
      </c>
      <c r="H261" s="75">
        <f t="shared" si="4"/>
        <v>104.04412247883027</v>
      </c>
      <c r="I261" s="74">
        <v>46091</v>
      </c>
      <c r="J261">
        <v>3</v>
      </c>
      <c r="K261" t="s">
        <v>509</v>
      </c>
      <c r="L261" t="s">
        <v>384</v>
      </c>
      <c r="M261" t="s">
        <v>356</v>
      </c>
      <c r="N261" s="73">
        <v>66637</v>
      </c>
      <c r="O261" s="73">
        <v>66637</v>
      </c>
      <c r="P261">
        <v>34.681374159610094</v>
      </c>
    </row>
    <row r="262" spans="1:16" hidden="1" x14ac:dyDescent="0.2">
      <c r="A262" s="73">
        <v>66637</v>
      </c>
      <c r="B262" t="s">
        <v>425</v>
      </c>
      <c r="C262" s="73" t="s">
        <v>428</v>
      </c>
      <c r="D262" t="s">
        <v>429</v>
      </c>
      <c r="E262" s="74">
        <v>46092</v>
      </c>
      <c r="F262">
        <v>6833</v>
      </c>
      <c r="G262" t="s">
        <v>383</v>
      </c>
      <c r="H262" s="75">
        <f t="shared" si="4"/>
        <v>104.04412247883027</v>
      </c>
      <c r="I262" s="74">
        <v>46092</v>
      </c>
      <c r="J262">
        <v>3</v>
      </c>
      <c r="K262" t="s">
        <v>509</v>
      </c>
      <c r="L262" t="s">
        <v>384</v>
      </c>
      <c r="M262" t="s">
        <v>356</v>
      </c>
      <c r="N262" s="73">
        <v>66637</v>
      </c>
      <c r="O262" s="73">
        <v>66637</v>
      </c>
      <c r="P262">
        <v>34.681374159610094</v>
      </c>
    </row>
    <row r="263" spans="1:16" hidden="1" x14ac:dyDescent="0.2">
      <c r="A263" s="73">
        <v>66637</v>
      </c>
      <c r="B263" t="s">
        <v>425</v>
      </c>
      <c r="C263" s="73" t="s">
        <v>428</v>
      </c>
      <c r="D263" t="s">
        <v>429</v>
      </c>
      <c r="E263" s="74">
        <v>46093</v>
      </c>
      <c r="F263">
        <v>6833</v>
      </c>
      <c r="G263" t="s">
        <v>383</v>
      </c>
      <c r="H263" s="75">
        <f t="shared" si="4"/>
        <v>104.04412247883027</v>
      </c>
      <c r="I263" s="74">
        <v>46093</v>
      </c>
      <c r="J263">
        <v>3</v>
      </c>
      <c r="K263" t="s">
        <v>509</v>
      </c>
      <c r="L263" t="s">
        <v>384</v>
      </c>
      <c r="M263" t="s">
        <v>356</v>
      </c>
      <c r="N263" s="73">
        <v>66637</v>
      </c>
      <c r="O263" s="73">
        <v>66637</v>
      </c>
      <c r="P263">
        <v>34.681374159610094</v>
      </c>
    </row>
    <row r="264" spans="1:16" hidden="1" x14ac:dyDescent="0.2">
      <c r="A264" s="73">
        <v>66637</v>
      </c>
      <c r="B264" t="s">
        <v>425</v>
      </c>
      <c r="C264" s="73" t="s">
        <v>428</v>
      </c>
      <c r="D264" t="s">
        <v>429</v>
      </c>
      <c r="E264" s="74">
        <v>46097</v>
      </c>
      <c r="F264">
        <v>6833</v>
      </c>
      <c r="G264" t="s">
        <v>383</v>
      </c>
      <c r="H264" s="75">
        <f t="shared" si="4"/>
        <v>208.08824495766055</v>
      </c>
      <c r="I264" s="74">
        <v>46097</v>
      </c>
      <c r="J264">
        <v>6</v>
      </c>
      <c r="K264" t="s">
        <v>509</v>
      </c>
      <c r="L264" t="s">
        <v>384</v>
      </c>
      <c r="M264" t="s">
        <v>356</v>
      </c>
      <c r="N264" s="73">
        <v>66637</v>
      </c>
      <c r="O264" s="73">
        <v>66637</v>
      </c>
      <c r="P264">
        <v>34.681374159610094</v>
      </c>
    </row>
    <row r="265" spans="1:16" hidden="1" x14ac:dyDescent="0.2">
      <c r="A265" s="73">
        <v>66637</v>
      </c>
      <c r="B265" t="s">
        <v>425</v>
      </c>
      <c r="C265" s="73" t="s">
        <v>428</v>
      </c>
      <c r="D265" t="s">
        <v>429</v>
      </c>
      <c r="E265" s="74">
        <v>46098</v>
      </c>
      <c r="F265">
        <v>6833</v>
      </c>
      <c r="G265" t="s">
        <v>383</v>
      </c>
      <c r="H265" s="75">
        <f t="shared" si="4"/>
        <v>208.08824495766055</v>
      </c>
      <c r="I265" s="74">
        <v>46098</v>
      </c>
      <c r="J265">
        <v>6</v>
      </c>
      <c r="K265" t="s">
        <v>509</v>
      </c>
      <c r="L265" t="s">
        <v>384</v>
      </c>
      <c r="M265" t="s">
        <v>356</v>
      </c>
      <c r="N265" s="73">
        <v>66637</v>
      </c>
      <c r="O265" s="73">
        <v>66637</v>
      </c>
      <c r="P265">
        <v>34.681374159610094</v>
      </c>
    </row>
    <row r="266" spans="1:16" hidden="1" x14ac:dyDescent="0.2">
      <c r="A266" s="73">
        <v>66637</v>
      </c>
      <c r="B266" t="s">
        <v>425</v>
      </c>
      <c r="C266" s="73" t="s">
        <v>428</v>
      </c>
      <c r="D266" t="s">
        <v>429</v>
      </c>
      <c r="E266" s="74">
        <v>46099</v>
      </c>
      <c r="F266">
        <v>6833</v>
      </c>
      <c r="G266" t="s">
        <v>383</v>
      </c>
      <c r="H266" s="75">
        <f t="shared" si="4"/>
        <v>208.08824495766055</v>
      </c>
      <c r="I266" s="74">
        <v>46099</v>
      </c>
      <c r="J266">
        <v>6</v>
      </c>
      <c r="K266" t="s">
        <v>509</v>
      </c>
      <c r="L266" t="s">
        <v>384</v>
      </c>
      <c r="M266" t="s">
        <v>356</v>
      </c>
      <c r="N266" s="73">
        <v>66637</v>
      </c>
      <c r="O266" s="73">
        <v>66637</v>
      </c>
      <c r="P266">
        <v>34.681374159610094</v>
      </c>
    </row>
    <row r="267" spans="1:16" hidden="1" x14ac:dyDescent="0.2">
      <c r="A267" s="73">
        <v>66637</v>
      </c>
      <c r="B267" t="s">
        <v>425</v>
      </c>
      <c r="C267" s="73" t="s">
        <v>428</v>
      </c>
      <c r="D267" t="s">
        <v>429</v>
      </c>
      <c r="E267" s="74">
        <v>46100</v>
      </c>
      <c r="F267">
        <v>6833</v>
      </c>
      <c r="G267" t="s">
        <v>383</v>
      </c>
      <c r="H267" s="75">
        <f t="shared" si="4"/>
        <v>208.08824495766055</v>
      </c>
      <c r="I267" s="74">
        <v>46100</v>
      </c>
      <c r="J267">
        <v>6</v>
      </c>
      <c r="K267" t="s">
        <v>509</v>
      </c>
      <c r="L267" t="s">
        <v>384</v>
      </c>
      <c r="M267" t="s">
        <v>356</v>
      </c>
      <c r="N267" s="73">
        <v>66637</v>
      </c>
      <c r="O267" s="73">
        <v>66637</v>
      </c>
      <c r="P267">
        <v>34.681374159610094</v>
      </c>
    </row>
    <row r="268" spans="1:16" hidden="1" x14ac:dyDescent="0.2">
      <c r="A268" s="73">
        <v>66637</v>
      </c>
      <c r="B268" t="s">
        <v>425</v>
      </c>
      <c r="C268" s="73" t="s">
        <v>428</v>
      </c>
      <c r="D268" t="s">
        <v>429</v>
      </c>
      <c r="E268" s="74">
        <v>46104</v>
      </c>
      <c r="F268">
        <v>6833</v>
      </c>
      <c r="G268" t="s">
        <v>383</v>
      </c>
      <c r="H268" s="75">
        <f t="shared" si="4"/>
        <v>34.681374159610094</v>
      </c>
      <c r="I268" s="74">
        <v>46104</v>
      </c>
      <c r="J268">
        <v>1</v>
      </c>
      <c r="K268" t="s">
        <v>509</v>
      </c>
      <c r="L268" t="s">
        <v>384</v>
      </c>
      <c r="M268" t="s">
        <v>356</v>
      </c>
      <c r="N268" s="73">
        <v>66637</v>
      </c>
      <c r="O268" s="73">
        <v>66637</v>
      </c>
      <c r="P268">
        <v>34.681374159610094</v>
      </c>
    </row>
    <row r="269" spans="1:16" hidden="1" x14ac:dyDescent="0.2">
      <c r="A269" s="73">
        <v>66637</v>
      </c>
      <c r="B269" t="s">
        <v>425</v>
      </c>
      <c r="C269" s="73" t="s">
        <v>428</v>
      </c>
      <c r="D269" t="s">
        <v>429</v>
      </c>
      <c r="E269" s="74">
        <v>46105</v>
      </c>
      <c r="F269">
        <v>6833</v>
      </c>
      <c r="G269" t="s">
        <v>383</v>
      </c>
      <c r="H269" s="75">
        <f t="shared" si="4"/>
        <v>34.681374159610094</v>
      </c>
      <c r="I269" s="74">
        <v>46105</v>
      </c>
      <c r="J269">
        <v>1</v>
      </c>
      <c r="K269" t="s">
        <v>509</v>
      </c>
      <c r="L269" t="s">
        <v>384</v>
      </c>
      <c r="M269" t="s">
        <v>356</v>
      </c>
      <c r="N269" s="73">
        <v>66637</v>
      </c>
      <c r="O269" s="73">
        <v>66637</v>
      </c>
      <c r="P269">
        <v>34.681374159610094</v>
      </c>
    </row>
    <row r="270" spans="1:16" hidden="1" x14ac:dyDescent="0.2">
      <c r="A270" s="73">
        <v>66637</v>
      </c>
      <c r="B270" t="s">
        <v>425</v>
      </c>
      <c r="C270" s="73" t="s">
        <v>428</v>
      </c>
      <c r="D270" t="s">
        <v>429</v>
      </c>
      <c r="E270" s="74">
        <v>46106</v>
      </c>
      <c r="F270">
        <v>6833</v>
      </c>
      <c r="G270" t="s">
        <v>383</v>
      </c>
      <c r="H270" s="75">
        <f t="shared" si="4"/>
        <v>34.681374159610094</v>
      </c>
      <c r="I270" s="74">
        <v>46106</v>
      </c>
      <c r="J270">
        <v>1</v>
      </c>
      <c r="K270" t="s">
        <v>509</v>
      </c>
      <c r="L270" t="s">
        <v>384</v>
      </c>
      <c r="M270" t="s">
        <v>356</v>
      </c>
      <c r="N270" s="73">
        <v>66637</v>
      </c>
      <c r="O270" s="73">
        <v>66637</v>
      </c>
      <c r="P270">
        <v>34.681374159610094</v>
      </c>
    </row>
    <row r="271" spans="1:16" hidden="1" x14ac:dyDescent="0.2">
      <c r="A271" s="73">
        <v>66637</v>
      </c>
      <c r="B271" t="s">
        <v>425</v>
      </c>
      <c r="C271" s="73" t="s">
        <v>428</v>
      </c>
      <c r="D271" t="s">
        <v>429</v>
      </c>
      <c r="E271" s="74">
        <v>46107</v>
      </c>
      <c r="F271">
        <v>6833</v>
      </c>
      <c r="G271" t="s">
        <v>383</v>
      </c>
      <c r="H271" s="75">
        <f t="shared" si="4"/>
        <v>34.681374159610094</v>
      </c>
      <c r="I271" s="74">
        <v>46107</v>
      </c>
      <c r="J271">
        <v>1</v>
      </c>
      <c r="K271" t="s">
        <v>509</v>
      </c>
      <c r="L271" t="s">
        <v>384</v>
      </c>
      <c r="M271" t="s">
        <v>356</v>
      </c>
      <c r="N271" s="73">
        <v>66637</v>
      </c>
      <c r="O271" s="73">
        <v>66637</v>
      </c>
      <c r="P271">
        <v>34.681374159610094</v>
      </c>
    </row>
    <row r="272" spans="1:16" hidden="1" x14ac:dyDescent="0.2">
      <c r="A272" s="73">
        <v>66637</v>
      </c>
      <c r="B272" t="s">
        <v>425</v>
      </c>
      <c r="C272" s="73" t="s">
        <v>428</v>
      </c>
      <c r="D272" t="s">
        <v>429</v>
      </c>
      <c r="E272" s="74">
        <v>46108</v>
      </c>
      <c r="F272">
        <v>6833</v>
      </c>
      <c r="G272" t="s">
        <v>383</v>
      </c>
      <c r="H272" s="75">
        <f t="shared" si="4"/>
        <v>34.681374159610094</v>
      </c>
      <c r="I272" s="74">
        <v>46108</v>
      </c>
      <c r="J272">
        <v>1</v>
      </c>
      <c r="K272" t="s">
        <v>509</v>
      </c>
      <c r="L272" t="s">
        <v>384</v>
      </c>
      <c r="M272" t="s">
        <v>356</v>
      </c>
      <c r="N272" s="73">
        <v>66637</v>
      </c>
      <c r="O272" s="73">
        <v>66637</v>
      </c>
      <c r="P272">
        <v>34.681374159610094</v>
      </c>
    </row>
    <row r="273" spans="1:16" hidden="1" x14ac:dyDescent="0.2">
      <c r="A273" s="73">
        <v>66434</v>
      </c>
      <c r="B273" t="s">
        <v>416</v>
      </c>
      <c r="C273" s="73" t="s">
        <v>430</v>
      </c>
      <c r="D273" t="s">
        <v>431</v>
      </c>
      <c r="E273" s="74">
        <v>45839</v>
      </c>
      <c r="F273" t="s">
        <v>353</v>
      </c>
      <c r="G273" t="s">
        <v>354</v>
      </c>
      <c r="H273" s="75">
        <f t="shared" si="4"/>
        <v>104.04412247883027</v>
      </c>
      <c r="I273" s="74">
        <v>45839</v>
      </c>
      <c r="J273">
        <v>3</v>
      </c>
      <c r="K273" t="s">
        <v>511</v>
      </c>
      <c r="L273" t="s">
        <v>355</v>
      </c>
      <c r="M273" t="s">
        <v>356</v>
      </c>
      <c r="N273" s="73">
        <v>66434</v>
      </c>
      <c r="O273" s="73">
        <v>66434</v>
      </c>
      <c r="P273">
        <v>34.681374159610094</v>
      </c>
    </row>
    <row r="274" spans="1:16" hidden="1" x14ac:dyDescent="0.2">
      <c r="A274" s="73">
        <v>66434</v>
      </c>
      <c r="B274" t="s">
        <v>416</v>
      </c>
      <c r="C274" s="73" t="s">
        <v>430</v>
      </c>
      <c r="D274" t="s">
        <v>431</v>
      </c>
      <c r="E274" s="74">
        <v>45841</v>
      </c>
      <c r="F274" t="s">
        <v>360</v>
      </c>
      <c r="G274" t="s">
        <v>361</v>
      </c>
      <c r="H274" s="75">
        <f t="shared" si="4"/>
        <v>34.681374159610094</v>
      </c>
      <c r="I274" s="74">
        <v>45841</v>
      </c>
      <c r="J274">
        <v>1</v>
      </c>
      <c r="K274" t="s">
        <v>511</v>
      </c>
      <c r="L274" t="s">
        <v>262</v>
      </c>
      <c r="M274" t="s">
        <v>356</v>
      </c>
      <c r="N274" s="73">
        <v>66434</v>
      </c>
      <c r="O274" s="73">
        <v>66434</v>
      </c>
      <c r="P274">
        <v>34.681374159610094</v>
      </c>
    </row>
    <row r="275" spans="1:16" hidden="1" x14ac:dyDescent="0.2">
      <c r="A275" s="73">
        <v>66434</v>
      </c>
      <c r="B275" t="s">
        <v>416</v>
      </c>
      <c r="C275" s="73" t="s">
        <v>430</v>
      </c>
      <c r="D275" t="s">
        <v>431</v>
      </c>
      <c r="E275" s="74">
        <v>45841</v>
      </c>
      <c r="F275" t="s">
        <v>353</v>
      </c>
      <c r="G275" t="s">
        <v>354</v>
      </c>
      <c r="H275" s="75">
        <f t="shared" si="4"/>
        <v>104.04412247883027</v>
      </c>
      <c r="I275" s="74">
        <v>45841</v>
      </c>
      <c r="J275">
        <v>3</v>
      </c>
      <c r="K275" t="s">
        <v>511</v>
      </c>
      <c r="L275" t="s">
        <v>355</v>
      </c>
      <c r="M275" t="s">
        <v>356</v>
      </c>
      <c r="N275" s="73">
        <v>66434</v>
      </c>
      <c r="O275" s="73">
        <v>66434</v>
      </c>
      <c r="P275">
        <v>34.681374159610094</v>
      </c>
    </row>
    <row r="276" spans="1:16" hidden="1" x14ac:dyDescent="0.2">
      <c r="A276" s="73">
        <v>66434</v>
      </c>
      <c r="B276" t="s">
        <v>416</v>
      </c>
      <c r="C276" s="73" t="s">
        <v>430</v>
      </c>
      <c r="D276" t="s">
        <v>431</v>
      </c>
      <c r="E276" s="74">
        <v>45842</v>
      </c>
      <c r="F276" t="s">
        <v>360</v>
      </c>
      <c r="G276" t="s">
        <v>361</v>
      </c>
      <c r="H276" s="75">
        <f t="shared" si="4"/>
        <v>34.681374159610094</v>
      </c>
      <c r="I276" s="74">
        <v>45842</v>
      </c>
      <c r="J276">
        <v>1</v>
      </c>
      <c r="K276" t="s">
        <v>511</v>
      </c>
      <c r="L276" t="s">
        <v>262</v>
      </c>
      <c r="M276" t="s">
        <v>356</v>
      </c>
      <c r="N276" s="73">
        <v>66434</v>
      </c>
      <c r="O276" s="73">
        <v>66434</v>
      </c>
      <c r="P276">
        <v>34.681374159610094</v>
      </c>
    </row>
    <row r="277" spans="1:16" hidden="1" x14ac:dyDescent="0.2">
      <c r="A277" s="73">
        <v>66434</v>
      </c>
      <c r="B277" t="s">
        <v>416</v>
      </c>
      <c r="C277" s="73" t="s">
        <v>430</v>
      </c>
      <c r="D277" t="s">
        <v>431</v>
      </c>
      <c r="E277" s="74">
        <v>45842</v>
      </c>
      <c r="F277" t="s">
        <v>353</v>
      </c>
      <c r="G277" t="s">
        <v>354</v>
      </c>
      <c r="H277" s="75">
        <f t="shared" si="4"/>
        <v>104.04412247883027</v>
      </c>
      <c r="I277" s="74">
        <v>45842</v>
      </c>
      <c r="J277">
        <v>3</v>
      </c>
      <c r="K277" t="s">
        <v>511</v>
      </c>
      <c r="L277" t="s">
        <v>355</v>
      </c>
      <c r="M277" t="s">
        <v>356</v>
      </c>
      <c r="N277" s="73">
        <v>66434</v>
      </c>
      <c r="O277" s="73">
        <v>66434</v>
      </c>
      <c r="P277">
        <v>34.681374159610094</v>
      </c>
    </row>
    <row r="278" spans="1:16" hidden="1" x14ac:dyDescent="0.2">
      <c r="A278" s="73">
        <v>66434</v>
      </c>
      <c r="B278" t="s">
        <v>416</v>
      </c>
      <c r="C278" s="73" t="s">
        <v>432</v>
      </c>
      <c r="D278" t="s">
        <v>433</v>
      </c>
      <c r="E278" s="74">
        <v>45839</v>
      </c>
      <c r="F278" t="s">
        <v>387</v>
      </c>
      <c r="G278" t="s">
        <v>388</v>
      </c>
      <c r="H278" s="75">
        <f t="shared" si="4"/>
        <v>104.04412247883027</v>
      </c>
      <c r="I278" s="74">
        <v>45839</v>
      </c>
      <c r="J278">
        <v>3</v>
      </c>
      <c r="K278" t="s">
        <v>511</v>
      </c>
      <c r="L278" t="s">
        <v>367</v>
      </c>
      <c r="M278" t="s">
        <v>356</v>
      </c>
      <c r="N278" s="73">
        <v>66434</v>
      </c>
      <c r="O278" s="73">
        <v>66434</v>
      </c>
      <c r="P278">
        <v>34.681374159610094</v>
      </c>
    </row>
    <row r="279" spans="1:16" hidden="1" x14ac:dyDescent="0.2">
      <c r="A279" s="73">
        <v>66434</v>
      </c>
      <c r="B279" t="s">
        <v>416</v>
      </c>
      <c r="C279" s="73" t="s">
        <v>432</v>
      </c>
      <c r="D279" t="s">
        <v>433</v>
      </c>
      <c r="E279" s="74">
        <v>45839</v>
      </c>
      <c r="F279" t="s">
        <v>395</v>
      </c>
      <c r="G279" t="s">
        <v>396</v>
      </c>
      <c r="H279" s="75">
        <f t="shared" si="4"/>
        <v>277.45099327688075</v>
      </c>
      <c r="I279" s="74">
        <v>45839</v>
      </c>
      <c r="J279">
        <v>8</v>
      </c>
      <c r="K279" t="s">
        <v>511</v>
      </c>
      <c r="L279" t="s">
        <v>262</v>
      </c>
      <c r="M279" t="s">
        <v>356</v>
      </c>
      <c r="N279" s="73">
        <v>66434</v>
      </c>
      <c r="O279" s="73">
        <v>66434</v>
      </c>
      <c r="P279">
        <v>34.681374159610094</v>
      </c>
    </row>
    <row r="280" spans="1:16" hidden="1" x14ac:dyDescent="0.2">
      <c r="A280" s="73">
        <v>66434</v>
      </c>
      <c r="B280" t="s">
        <v>416</v>
      </c>
      <c r="C280" s="73" t="s">
        <v>432</v>
      </c>
      <c r="D280" t="s">
        <v>433</v>
      </c>
      <c r="E280" s="74">
        <v>45840</v>
      </c>
      <c r="F280" t="s">
        <v>376</v>
      </c>
      <c r="G280" t="s">
        <v>377</v>
      </c>
      <c r="H280" s="75">
        <f t="shared" si="4"/>
        <v>34.681374159610094</v>
      </c>
      <c r="I280" s="74">
        <v>45840</v>
      </c>
      <c r="J280">
        <v>1</v>
      </c>
      <c r="K280" t="s">
        <v>511</v>
      </c>
      <c r="L280" t="s">
        <v>262</v>
      </c>
      <c r="M280" t="s">
        <v>356</v>
      </c>
      <c r="N280" s="73">
        <v>66434</v>
      </c>
      <c r="O280" s="73">
        <v>66434</v>
      </c>
      <c r="P280">
        <v>34.681374159610094</v>
      </c>
    </row>
    <row r="281" spans="1:16" hidden="1" x14ac:dyDescent="0.2">
      <c r="A281" s="73">
        <v>66434</v>
      </c>
      <c r="B281" t="s">
        <v>416</v>
      </c>
      <c r="C281" s="73" t="s">
        <v>432</v>
      </c>
      <c r="D281" t="s">
        <v>433</v>
      </c>
      <c r="E281" s="74">
        <v>45840</v>
      </c>
      <c r="F281" t="s">
        <v>404</v>
      </c>
      <c r="G281" t="s">
        <v>405</v>
      </c>
      <c r="H281" s="75">
        <f t="shared" si="4"/>
        <v>34.681374159610094</v>
      </c>
      <c r="I281" s="74">
        <v>45840</v>
      </c>
      <c r="J281">
        <v>1</v>
      </c>
      <c r="K281" t="s">
        <v>511</v>
      </c>
      <c r="L281" t="s">
        <v>262</v>
      </c>
      <c r="M281" t="s">
        <v>356</v>
      </c>
      <c r="N281" s="73">
        <v>66434</v>
      </c>
      <c r="O281" s="73">
        <v>66434</v>
      </c>
      <c r="P281">
        <v>34.681374159610094</v>
      </c>
    </row>
    <row r="282" spans="1:16" hidden="1" x14ac:dyDescent="0.2">
      <c r="A282" s="73">
        <v>66434</v>
      </c>
      <c r="B282" t="s">
        <v>416</v>
      </c>
      <c r="C282" s="73" t="s">
        <v>432</v>
      </c>
      <c r="D282" t="s">
        <v>433</v>
      </c>
      <c r="E282" s="74">
        <v>45841</v>
      </c>
      <c r="F282" t="s">
        <v>376</v>
      </c>
      <c r="G282" t="s">
        <v>377</v>
      </c>
      <c r="H282" s="75">
        <f t="shared" si="4"/>
        <v>34.681374159610094</v>
      </c>
      <c r="I282" s="74">
        <v>45841</v>
      </c>
      <c r="J282">
        <v>1</v>
      </c>
      <c r="K282" t="s">
        <v>511</v>
      </c>
      <c r="L282" t="s">
        <v>262</v>
      </c>
      <c r="M282" t="s">
        <v>356</v>
      </c>
      <c r="N282" s="73">
        <v>66434</v>
      </c>
      <c r="O282" s="73">
        <v>66434</v>
      </c>
      <c r="P282">
        <v>34.681374159610094</v>
      </c>
    </row>
    <row r="283" spans="1:16" hidden="1" x14ac:dyDescent="0.2">
      <c r="A283" s="73">
        <v>66434</v>
      </c>
      <c r="B283" t="s">
        <v>416</v>
      </c>
      <c r="C283" s="73" t="s">
        <v>434</v>
      </c>
      <c r="D283" t="s">
        <v>435</v>
      </c>
      <c r="E283" s="74">
        <v>45839</v>
      </c>
      <c r="F283" t="s">
        <v>372</v>
      </c>
      <c r="G283" t="s">
        <v>373</v>
      </c>
      <c r="H283" s="75">
        <f t="shared" si="4"/>
        <v>156.06618371824541</v>
      </c>
      <c r="I283" s="74">
        <v>45839</v>
      </c>
      <c r="J283">
        <v>4.5</v>
      </c>
      <c r="K283" t="s">
        <v>511</v>
      </c>
      <c r="L283" t="s">
        <v>348</v>
      </c>
      <c r="M283" t="s">
        <v>356</v>
      </c>
      <c r="N283" s="73">
        <v>66434</v>
      </c>
      <c r="O283" s="73">
        <v>66434</v>
      </c>
      <c r="P283">
        <v>34.681374159610094</v>
      </c>
    </row>
    <row r="284" spans="1:16" hidden="1" x14ac:dyDescent="0.2">
      <c r="A284" s="73">
        <v>66434</v>
      </c>
      <c r="B284" t="s">
        <v>416</v>
      </c>
      <c r="C284" s="73" t="s">
        <v>434</v>
      </c>
      <c r="D284" t="s">
        <v>435</v>
      </c>
      <c r="E284" s="74">
        <v>45840</v>
      </c>
      <c r="F284" t="s">
        <v>372</v>
      </c>
      <c r="G284" t="s">
        <v>373</v>
      </c>
      <c r="H284" s="75">
        <f t="shared" si="4"/>
        <v>156.06618371824541</v>
      </c>
      <c r="I284" s="74">
        <v>45840</v>
      </c>
      <c r="J284">
        <v>4.5</v>
      </c>
      <c r="K284" t="s">
        <v>511</v>
      </c>
      <c r="L284" t="s">
        <v>348</v>
      </c>
      <c r="M284" t="s">
        <v>356</v>
      </c>
      <c r="N284" s="73">
        <v>66434</v>
      </c>
      <c r="O284" s="73">
        <v>66434</v>
      </c>
      <c r="P284">
        <v>34.681374159610094</v>
      </c>
    </row>
    <row r="285" spans="1:16" hidden="1" x14ac:dyDescent="0.2">
      <c r="A285" s="73">
        <v>66434</v>
      </c>
      <c r="B285" t="s">
        <v>416</v>
      </c>
      <c r="C285" s="73" t="s">
        <v>434</v>
      </c>
      <c r="D285" t="s">
        <v>435</v>
      </c>
      <c r="E285" s="74">
        <v>45841</v>
      </c>
      <c r="F285" t="s">
        <v>372</v>
      </c>
      <c r="G285" t="s">
        <v>373</v>
      </c>
      <c r="H285" s="75">
        <f t="shared" si="4"/>
        <v>156.06618371824541</v>
      </c>
      <c r="I285" s="74">
        <v>45841</v>
      </c>
      <c r="J285">
        <v>4.5</v>
      </c>
      <c r="K285" t="s">
        <v>511</v>
      </c>
      <c r="L285" t="s">
        <v>348</v>
      </c>
      <c r="M285" t="s">
        <v>356</v>
      </c>
      <c r="N285" s="73">
        <v>66434</v>
      </c>
      <c r="O285" s="73">
        <v>66434</v>
      </c>
      <c r="P285">
        <v>34.681374159610094</v>
      </c>
    </row>
    <row r="286" spans="1:16" hidden="1" x14ac:dyDescent="0.2">
      <c r="A286" s="73">
        <v>66434</v>
      </c>
      <c r="B286" t="s">
        <v>416</v>
      </c>
      <c r="C286" s="73" t="s">
        <v>434</v>
      </c>
      <c r="D286" t="s">
        <v>435</v>
      </c>
      <c r="E286" s="74">
        <v>45842</v>
      </c>
      <c r="F286" t="s">
        <v>372</v>
      </c>
      <c r="G286" t="s">
        <v>373</v>
      </c>
      <c r="H286" s="75">
        <f t="shared" si="4"/>
        <v>156.06618371824541</v>
      </c>
      <c r="I286" s="74">
        <v>45842</v>
      </c>
      <c r="J286">
        <v>4.5</v>
      </c>
      <c r="K286" t="s">
        <v>511</v>
      </c>
      <c r="L286" t="s">
        <v>348</v>
      </c>
      <c r="M286" t="s">
        <v>356</v>
      </c>
      <c r="N286" s="73">
        <v>66434</v>
      </c>
      <c r="O286" s="73">
        <v>66434</v>
      </c>
      <c r="P286">
        <v>34.681374159610094</v>
      </c>
    </row>
    <row r="287" spans="1:16" hidden="1" x14ac:dyDescent="0.2">
      <c r="A287" s="73">
        <v>66434</v>
      </c>
      <c r="B287" t="s">
        <v>416</v>
      </c>
      <c r="C287" s="73" t="s">
        <v>436</v>
      </c>
      <c r="D287" t="s">
        <v>437</v>
      </c>
      <c r="E287" s="74">
        <v>45840</v>
      </c>
      <c r="F287" t="s">
        <v>387</v>
      </c>
      <c r="G287" t="s">
        <v>388</v>
      </c>
      <c r="H287" s="75">
        <f t="shared" si="4"/>
        <v>208.08824495766055</v>
      </c>
      <c r="I287" s="74">
        <v>45840</v>
      </c>
      <c r="J287">
        <v>6</v>
      </c>
      <c r="K287" t="s">
        <v>511</v>
      </c>
      <c r="L287" t="s">
        <v>367</v>
      </c>
      <c r="M287" t="s">
        <v>356</v>
      </c>
      <c r="N287" s="73">
        <v>66434</v>
      </c>
      <c r="O287" s="73">
        <v>66434</v>
      </c>
      <c r="P287">
        <v>34.681374159610094</v>
      </c>
    </row>
    <row r="288" spans="1:16" hidden="1" x14ac:dyDescent="0.2">
      <c r="A288" s="73">
        <v>66434</v>
      </c>
      <c r="B288" t="s">
        <v>416</v>
      </c>
      <c r="C288" s="73" t="s">
        <v>436</v>
      </c>
      <c r="D288" t="s">
        <v>437</v>
      </c>
      <c r="E288" s="74">
        <v>45841</v>
      </c>
      <c r="F288" t="s">
        <v>387</v>
      </c>
      <c r="G288" t="s">
        <v>388</v>
      </c>
      <c r="H288" s="75">
        <f t="shared" si="4"/>
        <v>104.04412247883027</v>
      </c>
      <c r="I288" s="74">
        <v>45841</v>
      </c>
      <c r="J288">
        <v>3</v>
      </c>
      <c r="K288" t="s">
        <v>511</v>
      </c>
      <c r="L288" t="s">
        <v>367</v>
      </c>
      <c r="M288" t="s">
        <v>356</v>
      </c>
      <c r="N288" s="73">
        <v>66434</v>
      </c>
      <c r="O288" s="73">
        <v>66434</v>
      </c>
      <c r="P288">
        <v>34.681374159610094</v>
      </c>
    </row>
    <row r="289" spans="1:16" hidden="1" x14ac:dyDescent="0.2">
      <c r="A289" s="73">
        <v>66434</v>
      </c>
      <c r="B289" t="s">
        <v>416</v>
      </c>
      <c r="C289" s="73" t="s">
        <v>436</v>
      </c>
      <c r="D289" t="s">
        <v>437</v>
      </c>
      <c r="E289" s="74">
        <v>45841</v>
      </c>
      <c r="F289" t="s">
        <v>395</v>
      </c>
      <c r="G289" t="s">
        <v>396</v>
      </c>
      <c r="H289" s="75">
        <f t="shared" si="4"/>
        <v>34.681374159610094</v>
      </c>
      <c r="I289" s="74">
        <v>45841</v>
      </c>
      <c r="J289">
        <v>1</v>
      </c>
      <c r="K289" t="s">
        <v>511</v>
      </c>
      <c r="L289" t="s">
        <v>262</v>
      </c>
      <c r="M289" t="s">
        <v>356</v>
      </c>
      <c r="N289" s="73">
        <v>66434</v>
      </c>
      <c r="O289" s="73">
        <v>66434</v>
      </c>
      <c r="P289">
        <v>34.681374159610094</v>
      </c>
    </row>
    <row r="290" spans="1:16" hidden="1" x14ac:dyDescent="0.2">
      <c r="A290" s="73">
        <v>66434</v>
      </c>
      <c r="B290" t="s">
        <v>416</v>
      </c>
      <c r="C290" s="73" t="s">
        <v>436</v>
      </c>
      <c r="D290" t="s">
        <v>437</v>
      </c>
      <c r="E290" s="74">
        <v>45842</v>
      </c>
      <c r="F290" t="s">
        <v>376</v>
      </c>
      <c r="G290" t="s">
        <v>377</v>
      </c>
      <c r="H290" s="75">
        <f t="shared" si="4"/>
        <v>138.72549663844038</v>
      </c>
      <c r="I290" s="74">
        <v>45842</v>
      </c>
      <c r="J290">
        <v>4</v>
      </c>
      <c r="K290" t="s">
        <v>511</v>
      </c>
      <c r="L290" t="s">
        <v>262</v>
      </c>
      <c r="M290" t="s">
        <v>356</v>
      </c>
      <c r="N290" s="73">
        <v>66434</v>
      </c>
      <c r="O290" s="73">
        <v>66434</v>
      </c>
      <c r="P290">
        <v>34.681374159610094</v>
      </c>
    </row>
    <row r="291" spans="1:16" hidden="1" x14ac:dyDescent="0.2">
      <c r="A291" s="73">
        <v>66434</v>
      </c>
      <c r="B291" t="s">
        <v>416</v>
      </c>
      <c r="C291" s="73" t="s">
        <v>419</v>
      </c>
      <c r="D291" t="s">
        <v>420</v>
      </c>
      <c r="E291" s="74">
        <v>45839</v>
      </c>
      <c r="F291" t="s">
        <v>360</v>
      </c>
      <c r="G291" t="s">
        <v>361</v>
      </c>
      <c r="H291" s="75">
        <f t="shared" si="4"/>
        <v>138.72549663844038</v>
      </c>
      <c r="I291" s="74">
        <v>45839</v>
      </c>
      <c r="J291">
        <v>4</v>
      </c>
      <c r="K291" t="s">
        <v>511</v>
      </c>
      <c r="L291" t="s">
        <v>262</v>
      </c>
      <c r="M291" t="s">
        <v>356</v>
      </c>
      <c r="N291" s="73">
        <v>66434</v>
      </c>
      <c r="O291" s="73">
        <v>66434</v>
      </c>
      <c r="P291">
        <v>34.681374159610094</v>
      </c>
    </row>
    <row r="292" spans="1:16" hidden="1" x14ac:dyDescent="0.2">
      <c r="A292" s="73">
        <v>66434</v>
      </c>
      <c r="B292" t="s">
        <v>416</v>
      </c>
      <c r="C292" s="73" t="s">
        <v>419</v>
      </c>
      <c r="D292" t="s">
        <v>420</v>
      </c>
      <c r="E292" s="74">
        <v>45839</v>
      </c>
      <c r="F292" t="s">
        <v>353</v>
      </c>
      <c r="G292" t="s">
        <v>354</v>
      </c>
      <c r="H292" s="75">
        <f t="shared" si="4"/>
        <v>104.04412247883027</v>
      </c>
      <c r="I292" s="74">
        <v>45839</v>
      </c>
      <c r="J292">
        <v>3</v>
      </c>
      <c r="K292" t="s">
        <v>511</v>
      </c>
      <c r="L292" t="s">
        <v>355</v>
      </c>
      <c r="M292" t="s">
        <v>356</v>
      </c>
      <c r="N292" s="73">
        <v>66434</v>
      </c>
      <c r="O292" s="73">
        <v>66434</v>
      </c>
      <c r="P292">
        <v>34.681374159610094</v>
      </c>
    </row>
    <row r="293" spans="1:16" hidden="1" x14ac:dyDescent="0.2">
      <c r="A293" s="73">
        <v>66434</v>
      </c>
      <c r="B293" t="s">
        <v>416</v>
      </c>
      <c r="C293" s="73" t="s">
        <v>419</v>
      </c>
      <c r="D293" t="s">
        <v>420</v>
      </c>
      <c r="E293" s="74">
        <v>45839</v>
      </c>
      <c r="F293" t="s">
        <v>357</v>
      </c>
      <c r="G293" t="s">
        <v>358</v>
      </c>
      <c r="H293" s="75">
        <f t="shared" si="4"/>
        <v>104.04412247883027</v>
      </c>
      <c r="I293" s="74">
        <v>45839</v>
      </c>
      <c r="J293">
        <v>3</v>
      </c>
      <c r="K293" t="s">
        <v>511</v>
      </c>
      <c r="L293" t="s">
        <v>359</v>
      </c>
      <c r="M293" t="s">
        <v>356</v>
      </c>
      <c r="N293" s="73">
        <v>66434</v>
      </c>
      <c r="O293" s="73">
        <v>66434</v>
      </c>
      <c r="P293">
        <v>34.681374159610094</v>
      </c>
    </row>
    <row r="294" spans="1:16" hidden="1" x14ac:dyDescent="0.2">
      <c r="A294" s="73">
        <v>66434</v>
      </c>
      <c r="B294" t="s">
        <v>416</v>
      </c>
      <c r="C294" s="73" t="s">
        <v>419</v>
      </c>
      <c r="D294" t="s">
        <v>420</v>
      </c>
      <c r="E294" s="74">
        <v>45840</v>
      </c>
      <c r="F294" t="s">
        <v>357</v>
      </c>
      <c r="G294" t="s">
        <v>358</v>
      </c>
      <c r="H294" s="75">
        <f t="shared" si="4"/>
        <v>104.04412247883027</v>
      </c>
      <c r="I294" s="74">
        <v>45840</v>
      </c>
      <c r="J294">
        <v>3</v>
      </c>
      <c r="K294" t="s">
        <v>511</v>
      </c>
      <c r="L294" t="s">
        <v>359</v>
      </c>
      <c r="M294" t="s">
        <v>356</v>
      </c>
      <c r="N294" s="73">
        <v>66434</v>
      </c>
      <c r="O294" s="73">
        <v>66434</v>
      </c>
      <c r="P294">
        <v>34.681374159610094</v>
      </c>
    </row>
    <row r="295" spans="1:16" hidden="1" x14ac:dyDescent="0.2">
      <c r="A295" s="73">
        <v>67260</v>
      </c>
      <c r="B295" t="s">
        <v>423</v>
      </c>
      <c r="C295" s="73" t="s">
        <v>424</v>
      </c>
      <c r="D295" t="s">
        <v>506</v>
      </c>
      <c r="E295" s="74">
        <v>45950</v>
      </c>
      <c r="F295" t="s">
        <v>414</v>
      </c>
      <c r="G295" t="s">
        <v>415</v>
      </c>
      <c r="H295" s="75">
        <f t="shared" si="4"/>
        <v>242.76961911727065</v>
      </c>
      <c r="I295" s="74">
        <v>45950</v>
      </c>
      <c r="J295">
        <v>7</v>
      </c>
      <c r="K295" t="s">
        <v>513</v>
      </c>
      <c r="L295" t="s">
        <v>262</v>
      </c>
      <c r="M295" t="s">
        <v>356</v>
      </c>
      <c r="N295" s="73">
        <v>67260</v>
      </c>
      <c r="O295" s="73">
        <v>67260</v>
      </c>
      <c r="P295">
        <v>34.681374159610094</v>
      </c>
    </row>
    <row r="296" spans="1:16" hidden="1" x14ac:dyDescent="0.2">
      <c r="A296" s="73">
        <v>66434</v>
      </c>
      <c r="B296" t="s">
        <v>416</v>
      </c>
      <c r="C296" s="73" t="s">
        <v>419</v>
      </c>
      <c r="D296" t="s">
        <v>420</v>
      </c>
      <c r="E296" s="74">
        <v>45841</v>
      </c>
      <c r="F296" t="s">
        <v>360</v>
      </c>
      <c r="G296" t="s">
        <v>361</v>
      </c>
      <c r="H296" s="75">
        <f t="shared" si="4"/>
        <v>208.08824495766055</v>
      </c>
      <c r="I296" s="74">
        <v>45841</v>
      </c>
      <c r="J296">
        <v>6</v>
      </c>
      <c r="K296" t="s">
        <v>511</v>
      </c>
      <c r="L296" t="s">
        <v>262</v>
      </c>
      <c r="M296" t="s">
        <v>356</v>
      </c>
      <c r="N296" s="73">
        <v>66434</v>
      </c>
      <c r="O296" s="73">
        <v>66434</v>
      </c>
      <c r="P296">
        <v>34.681374159610094</v>
      </c>
    </row>
    <row r="297" spans="1:16" hidden="1" x14ac:dyDescent="0.2">
      <c r="A297" s="73">
        <v>66434</v>
      </c>
      <c r="B297" t="s">
        <v>416</v>
      </c>
      <c r="C297" s="73" t="s">
        <v>419</v>
      </c>
      <c r="D297" t="s">
        <v>420</v>
      </c>
      <c r="E297" s="74">
        <v>45841</v>
      </c>
      <c r="F297" t="s">
        <v>387</v>
      </c>
      <c r="G297" t="s">
        <v>388</v>
      </c>
      <c r="H297" s="75">
        <f t="shared" si="4"/>
        <v>69.362748319220188</v>
      </c>
      <c r="I297" s="74">
        <v>45841</v>
      </c>
      <c r="J297">
        <v>2</v>
      </c>
      <c r="K297" t="s">
        <v>511</v>
      </c>
      <c r="L297" t="s">
        <v>367</v>
      </c>
      <c r="M297" t="s">
        <v>356</v>
      </c>
      <c r="N297" s="73">
        <v>66434</v>
      </c>
      <c r="O297" s="73">
        <v>66434</v>
      </c>
      <c r="P297">
        <v>34.681374159610094</v>
      </c>
    </row>
    <row r="298" spans="1:16" hidden="1" x14ac:dyDescent="0.2">
      <c r="A298" s="73">
        <v>66434</v>
      </c>
      <c r="B298" t="s">
        <v>416</v>
      </c>
      <c r="C298" s="73" t="s">
        <v>419</v>
      </c>
      <c r="D298" t="s">
        <v>420</v>
      </c>
      <c r="E298" s="74">
        <v>45841</v>
      </c>
      <c r="F298" t="s">
        <v>353</v>
      </c>
      <c r="G298" t="s">
        <v>354</v>
      </c>
      <c r="H298" s="75">
        <f t="shared" si="4"/>
        <v>138.72549663844038</v>
      </c>
      <c r="I298" s="74">
        <v>45841</v>
      </c>
      <c r="J298">
        <v>4</v>
      </c>
      <c r="K298" t="s">
        <v>511</v>
      </c>
      <c r="L298" t="s">
        <v>355</v>
      </c>
      <c r="M298" t="s">
        <v>356</v>
      </c>
      <c r="N298" s="73">
        <v>66434</v>
      </c>
      <c r="O298" s="73">
        <v>66434</v>
      </c>
      <c r="P298">
        <v>34.681374159610094</v>
      </c>
    </row>
    <row r="299" spans="1:16" hidden="1" x14ac:dyDescent="0.2">
      <c r="A299" s="73">
        <v>66434</v>
      </c>
      <c r="B299" t="s">
        <v>416</v>
      </c>
      <c r="C299" s="73" t="s">
        <v>419</v>
      </c>
      <c r="D299" t="s">
        <v>420</v>
      </c>
      <c r="E299" s="74">
        <v>45841</v>
      </c>
      <c r="F299" t="s">
        <v>357</v>
      </c>
      <c r="G299" t="s">
        <v>358</v>
      </c>
      <c r="H299" s="75">
        <f t="shared" si="4"/>
        <v>104.04412247883027</v>
      </c>
      <c r="I299" s="74">
        <v>45841</v>
      </c>
      <c r="J299">
        <v>3</v>
      </c>
      <c r="K299" t="s">
        <v>511</v>
      </c>
      <c r="L299" t="s">
        <v>359</v>
      </c>
      <c r="M299" t="s">
        <v>356</v>
      </c>
      <c r="N299" s="73">
        <v>66434</v>
      </c>
      <c r="O299" s="73">
        <v>66434</v>
      </c>
      <c r="P299">
        <v>34.681374159610094</v>
      </c>
    </row>
    <row r="300" spans="1:16" hidden="1" x14ac:dyDescent="0.2">
      <c r="A300" s="73">
        <v>66434</v>
      </c>
      <c r="B300" t="s">
        <v>416</v>
      </c>
      <c r="C300" s="73" t="s">
        <v>419</v>
      </c>
      <c r="D300" t="s">
        <v>420</v>
      </c>
      <c r="E300" s="74">
        <v>45841</v>
      </c>
      <c r="F300" t="s">
        <v>404</v>
      </c>
      <c r="G300" t="s">
        <v>405</v>
      </c>
      <c r="H300" s="75">
        <f t="shared" si="4"/>
        <v>242.76961911727065</v>
      </c>
      <c r="I300" s="74">
        <v>45841</v>
      </c>
      <c r="J300">
        <v>7</v>
      </c>
      <c r="K300" t="s">
        <v>511</v>
      </c>
      <c r="L300" t="s">
        <v>262</v>
      </c>
      <c r="M300" t="s">
        <v>356</v>
      </c>
      <c r="N300" s="73">
        <v>66434</v>
      </c>
      <c r="O300" s="73">
        <v>66434</v>
      </c>
      <c r="P300">
        <v>34.681374159610094</v>
      </c>
    </row>
    <row r="301" spans="1:16" hidden="1" x14ac:dyDescent="0.2">
      <c r="A301" s="73">
        <v>66434</v>
      </c>
      <c r="B301" t="s">
        <v>416</v>
      </c>
      <c r="C301" s="73" t="s">
        <v>419</v>
      </c>
      <c r="D301" t="s">
        <v>420</v>
      </c>
      <c r="E301" s="74">
        <v>45842</v>
      </c>
      <c r="F301" t="s">
        <v>360</v>
      </c>
      <c r="G301" t="s">
        <v>361</v>
      </c>
      <c r="H301" s="75">
        <f t="shared" si="4"/>
        <v>208.08824495766055</v>
      </c>
      <c r="I301" s="74">
        <v>45842</v>
      </c>
      <c r="J301">
        <v>6</v>
      </c>
      <c r="K301" t="s">
        <v>511</v>
      </c>
      <c r="L301" t="s">
        <v>262</v>
      </c>
      <c r="M301" t="s">
        <v>356</v>
      </c>
      <c r="N301" s="73">
        <v>66434</v>
      </c>
      <c r="O301" s="73">
        <v>66434</v>
      </c>
      <c r="P301">
        <v>34.681374159610094</v>
      </c>
    </row>
    <row r="302" spans="1:16" hidden="1" x14ac:dyDescent="0.2">
      <c r="A302" s="73">
        <v>66434</v>
      </c>
      <c r="B302" t="s">
        <v>416</v>
      </c>
      <c r="C302" s="73" t="s">
        <v>419</v>
      </c>
      <c r="D302" t="s">
        <v>420</v>
      </c>
      <c r="E302" s="74">
        <v>45842</v>
      </c>
      <c r="F302" t="s">
        <v>387</v>
      </c>
      <c r="G302" t="s">
        <v>388</v>
      </c>
      <c r="H302" s="75">
        <f t="shared" si="4"/>
        <v>69.362748319220188</v>
      </c>
      <c r="I302" s="74">
        <v>45842</v>
      </c>
      <c r="J302">
        <v>2</v>
      </c>
      <c r="K302" t="s">
        <v>511</v>
      </c>
      <c r="L302" t="s">
        <v>367</v>
      </c>
      <c r="M302" t="s">
        <v>356</v>
      </c>
      <c r="N302" s="73">
        <v>66434</v>
      </c>
      <c r="O302" s="73">
        <v>66434</v>
      </c>
      <c r="P302">
        <v>34.681374159610094</v>
      </c>
    </row>
    <row r="303" spans="1:16" hidden="1" x14ac:dyDescent="0.2">
      <c r="A303" s="73">
        <v>66434</v>
      </c>
      <c r="B303" t="s">
        <v>416</v>
      </c>
      <c r="C303" s="73" t="s">
        <v>419</v>
      </c>
      <c r="D303" t="s">
        <v>420</v>
      </c>
      <c r="E303" s="74">
        <v>45842</v>
      </c>
      <c r="F303" t="s">
        <v>410</v>
      </c>
      <c r="G303" t="s">
        <v>411</v>
      </c>
      <c r="H303" s="75">
        <f t="shared" si="4"/>
        <v>242.76961911727065</v>
      </c>
      <c r="I303" s="74">
        <v>45842</v>
      </c>
      <c r="J303">
        <v>7</v>
      </c>
      <c r="K303" t="s">
        <v>511</v>
      </c>
      <c r="L303" t="s">
        <v>262</v>
      </c>
      <c r="M303" t="s">
        <v>356</v>
      </c>
      <c r="N303" s="73">
        <v>66434</v>
      </c>
      <c r="O303" s="73">
        <v>66434</v>
      </c>
      <c r="P303">
        <v>34.681374159610094</v>
      </c>
    </row>
    <row r="304" spans="1:16" hidden="1" x14ac:dyDescent="0.2">
      <c r="A304" s="73">
        <v>66434</v>
      </c>
      <c r="B304" t="s">
        <v>416</v>
      </c>
      <c r="C304" s="73" t="s">
        <v>419</v>
      </c>
      <c r="D304" t="s">
        <v>420</v>
      </c>
      <c r="E304" s="74">
        <v>45842</v>
      </c>
      <c r="F304" t="s">
        <v>353</v>
      </c>
      <c r="G304" t="s">
        <v>354</v>
      </c>
      <c r="H304" s="75">
        <f t="shared" si="4"/>
        <v>138.72549663844038</v>
      </c>
      <c r="I304" s="74">
        <v>45842</v>
      </c>
      <c r="J304">
        <v>4</v>
      </c>
      <c r="K304" t="s">
        <v>511</v>
      </c>
      <c r="L304" t="s">
        <v>355</v>
      </c>
      <c r="M304" t="s">
        <v>356</v>
      </c>
      <c r="N304" s="73">
        <v>66434</v>
      </c>
      <c r="O304" s="73">
        <v>66434</v>
      </c>
      <c r="P304">
        <v>34.681374159610094</v>
      </c>
    </row>
    <row r="305" spans="1:16" hidden="1" x14ac:dyDescent="0.2">
      <c r="A305" s="73">
        <v>66434</v>
      </c>
      <c r="B305" t="s">
        <v>416</v>
      </c>
      <c r="C305" s="73" t="s">
        <v>419</v>
      </c>
      <c r="D305" t="s">
        <v>420</v>
      </c>
      <c r="E305" s="74">
        <v>45842</v>
      </c>
      <c r="F305" t="s">
        <v>357</v>
      </c>
      <c r="G305" t="s">
        <v>358</v>
      </c>
      <c r="H305" s="75">
        <f t="shared" si="4"/>
        <v>104.04412247883027</v>
      </c>
      <c r="I305" s="74">
        <v>45842</v>
      </c>
      <c r="J305">
        <v>3</v>
      </c>
      <c r="K305" t="s">
        <v>511</v>
      </c>
      <c r="L305" t="s">
        <v>359</v>
      </c>
      <c r="M305" t="s">
        <v>356</v>
      </c>
      <c r="N305" s="73">
        <v>66434</v>
      </c>
      <c r="O305" s="73">
        <v>66434</v>
      </c>
      <c r="P305">
        <v>34.681374159610094</v>
      </c>
    </row>
    <row r="306" spans="1:16" hidden="1" x14ac:dyDescent="0.2">
      <c r="A306" s="73">
        <v>66434</v>
      </c>
      <c r="B306" t="s">
        <v>416</v>
      </c>
      <c r="C306" s="73" t="s">
        <v>419</v>
      </c>
      <c r="D306" t="s">
        <v>420</v>
      </c>
      <c r="E306" s="74">
        <v>45842</v>
      </c>
      <c r="F306" t="s">
        <v>395</v>
      </c>
      <c r="G306" t="s">
        <v>396</v>
      </c>
      <c r="H306" s="75">
        <f t="shared" si="4"/>
        <v>138.72549663844038</v>
      </c>
      <c r="I306" s="74">
        <v>45842</v>
      </c>
      <c r="J306">
        <v>4</v>
      </c>
      <c r="K306" t="s">
        <v>511</v>
      </c>
      <c r="L306" t="s">
        <v>262</v>
      </c>
      <c r="M306" t="s">
        <v>356</v>
      </c>
      <c r="N306" s="73">
        <v>66434</v>
      </c>
      <c r="O306" s="73">
        <v>66434</v>
      </c>
      <c r="P306">
        <v>34.681374159610094</v>
      </c>
    </row>
    <row r="307" spans="1:16" x14ac:dyDescent="0.2">
      <c r="A307" s="73">
        <v>67258</v>
      </c>
      <c r="B307" t="s">
        <v>438</v>
      </c>
      <c r="C307" s="73" t="s">
        <v>439</v>
      </c>
      <c r="D307" t="s">
        <v>440</v>
      </c>
      <c r="E307" s="74">
        <v>45845</v>
      </c>
      <c r="F307" t="s">
        <v>387</v>
      </c>
      <c r="G307" t="s">
        <v>388</v>
      </c>
      <c r="H307" s="75">
        <f t="shared" si="4"/>
        <v>242.76961911727065</v>
      </c>
      <c r="I307" s="74">
        <v>45845</v>
      </c>
      <c r="J307">
        <v>7</v>
      </c>
      <c r="K307" t="s">
        <v>511</v>
      </c>
      <c r="L307" t="s">
        <v>367</v>
      </c>
      <c r="M307" t="s">
        <v>356</v>
      </c>
      <c r="N307" s="73">
        <v>67258</v>
      </c>
      <c r="O307" s="73">
        <v>67258</v>
      </c>
      <c r="P307">
        <v>34.681374159610094</v>
      </c>
    </row>
    <row r="308" spans="1:16" x14ac:dyDescent="0.2">
      <c r="A308" s="73">
        <v>67258</v>
      </c>
      <c r="B308" t="s">
        <v>438</v>
      </c>
      <c r="C308" s="73" t="s">
        <v>439</v>
      </c>
      <c r="D308" t="s">
        <v>440</v>
      </c>
      <c r="E308" s="74">
        <v>45845</v>
      </c>
      <c r="F308" t="s">
        <v>364</v>
      </c>
      <c r="G308" t="s">
        <v>365</v>
      </c>
      <c r="H308" s="75">
        <f t="shared" si="4"/>
        <v>69.362748319220188</v>
      </c>
      <c r="I308" s="74">
        <v>45845</v>
      </c>
      <c r="J308">
        <v>2</v>
      </c>
      <c r="K308" t="s">
        <v>511</v>
      </c>
      <c r="L308" t="s">
        <v>366</v>
      </c>
      <c r="M308" t="s">
        <v>356</v>
      </c>
      <c r="N308" s="73">
        <v>67258</v>
      </c>
      <c r="O308" s="73">
        <v>67258</v>
      </c>
      <c r="P308">
        <v>34.681374159610094</v>
      </c>
    </row>
    <row r="309" spans="1:16" x14ac:dyDescent="0.2">
      <c r="A309" s="73">
        <v>67258</v>
      </c>
      <c r="B309" t="s">
        <v>438</v>
      </c>
      <c r="C309" s="73" t="s">
        <v>439</v>
      </c>
      <c r="D309" t="s">
        <v>440</v>
      </c>
      <c r="E309" s="74">
        <v>45846</v>
      </c>
      <c r="F309" t="s">
        <v>387</v>
      </c>
      <c r="G309" t="s">
        <v>388</v>
      </c>
      <c r="H309" s="75">
        <f t="shared" si="4"/>
        <v>242.76961911727065</v>
      </c>
      <c r="I309" s="74">
        <v>45846</v>
      </c>
      <c r="J309">
        <v>7</v>
      </c>
      <c r="K309" t="s">
        <v>511</v>
      </c>
      <c r="L309" t="s">
        <v>367</v>
      </c>
      <c r="M309" t="s">
        <v>356</v>
      </c>
      <c r="N309" s="73">
        <v>67258</v>
      </c>
      <c r="O309" s="73">
        <v>67258</v>
      </c>
      <c r="P309">
        <v>34.681374159610094</v>
      </c>
    </row>
    <row r="310" spans="1:16" x14ac:dyDescent="0.2">
      <c r="A310" s="73">
        <v>67258</v>
      </c>
      <c r="B310" t="s">
        <v>438</v>
      </c>
      <c r="C310" s="73" t="s">
        <v>439</v>
      </c>
      <c r="D310" t="s">
        <v>440</v>
      </c>
      <c r="E310" s="74">
        <v>45846</v>
      </c>
      <c r="F310" t="s">
        <v>364</v>
      </c>
      <c r="G310" t="s">
        <v>365</v>
      </c>
      <c r="H310" s="75">
        <f t="shared" si="4"/>
        <v>104.04412247883027</v>
      </c>
      <c r="I310" s="74">
        <v>45846</v>
      </c>
      <c r="J310">
        <v>3</v>
      </c>
      <c r="K310" t="s">
        <v>511</v>
      </c>
      <c r="L310" t="s">
        <v>366</v>
      </c>
      <c r="M310" t="s">
        <v>356</v>
      </c>
      <c r="N310" s="73">
        <v>67258</v>
      </c>
      <c r="O310" s="73">
        <v>67258</v>
      </c>
      <c r="P310">
        <v>34.681374159610094</v>
      </c>
    </row>
    <row r="311" spans="1:16" x14ac:dyDescent="0.2">
      <c r="A311" s="73">
        <v>67258</v>
      </c>
      <c r="B311" t="s">
        <v>438</v>
      </c>
      <c r="C311" s="73" t="s">
        <v>439</v>
      </c>
      <c r="D311" t="s">
        <v>440</v>
      </c>
      <c r="E311" s="74">
        <v>45847</v>
      </c>
      <c r="F311" t="s">
        <v>362</v>
      </c>
      <c r="G311" t="s">
        <v>363</v>
      </c>
      <c r="H311" s="75">
        <f t="shared" si="4"/>
        <v>138.72549663844038</v>
      </c>
      <c r="I311" s="74">
        <v>45847</v>
      </c>
      <c r="J311">
        <v>4</v>
      </c>
      <c r="K311" t="s">
        <v>511</v>
      </c>
      <c r="L311" t="s">
        <v>355</v>
      </c>
      <c r="M311" t="s">
        <v>356</v>
      </c>
      <c r="N311" s="73">
        <v>67258</v>
      </c>
      <c r="O311" s="73">
        <v>67258</v>
      </c>
      <c r="P311">
        <v>34.681374159610094</v>
      </c>
    </row>
    <row r="312" spans="1:16" x14ac:dyDescent="0.2">
      <c r="A312" s="73">
        <v>67258</v>
      </c>
      <c r="B312" t="s">
        <v>438</v>
      </c>
      <c r="C312" s="73" t="s">
        <v>439</v>
      </c>
      <c r="D312" t="s">
        <v>440</v>
      </c>
      <c r="E312" s="74">
        <v>45847</v>
      </c>
      <c r="F312" t="s">
        <v>387</v>
      </c>
      <c r="G312" t="s">
        <v>388</v>
      </c>
      <c r="H312" s="75">
        <f t="shared" si="4"/>
        <v>242.76961911727065</v>
      </c>
      <c r="I312" s="74">
        <v>45847</v>
      </c>
      <c r="J312">
        <v>7</v>
      </c>
      <c r="K312" t="s">
        <v>511</v>
      </c>
      <c r="L312" t="s">
        <v>367</v>
      </c>
      <c r="M312" t="s">
        <v>356</v>
      </c>
      <c r="N312" s="73">
        <v>67258</v>
      </c>
      <c r="O312" s="73">
        <v>67258</v>
      </c>
      <c r="P312">
        <v>34.681374159610094</v>
      </c>
    </row>
    <row r="313" spans="1:16" x14ac:dyDescent="0.2">
      <c r="A313" s="73">
        <v>67258</v>
      </c>
      <c r="B313" t="s">
        <v>438</v>
      </c>
      <c r="C313" s="73" t="s">
        <v>439</v>
      </c>
      <c r="D313" t="s">
        <v>440</v>
      </c>
      <c r="E313" s="74">
        <v>45847</v>
      </c>
      <c r="F313" t="s">
        <v>364</v>
      </c>
      <c r="G313" t="s">
        <v>365</v>
      </c>
      <c r="H313" s="75">
        <f t="shared" si="4"/>
        <v>104.04412247883027</v>
      </c>
      <c r="I313" s="74">
        <v>45847</v>
      </c>
      <c r="J313">
        <v>3</v>
      </c>
      <c r="K313" t="s">
        <v>511</v>
      </c>
      <c r="L313" t="s">
        <v>366</v>
      </c>
      <c r="M313" t="s">
        <v>356</v>
      </c>
      <c r="N313" s="73">
        <v>67258</v>
      </c>
      <c r="O313" s="73">
        <v>67258</v>
      </c>
      <c r="P313">
        <v>34.681374159610094</v>
      </c>
    </row>
    <row r="314" spans="1:16" x14ac:dyDescent="0.2">
      <c r="A314" s="73">
        <v>67258</v>
      </c>
      <c r="B314" t="s">
        <v>438</v>
      </c>
      <c r="C314" s="73" t="s">
        <v>439</v>
      </c>
      <c r="D314" t="s">
        <v>440</v>
      </c>
      <c r="E314" s="74">
        <v>45848</v>
      </c>
      <c r="F314" t="s">
        <v>370</v>
      </c>
      <c r="G314" t="s">
        <v>371</v>
      </c>
      <c r="H314" s="75">
        <f t="shared" si="4"/>
        <v>69.362748319220188</v>
      </c>
      <c r="I314" s="74">
        <v>45848</v>
      </c>
      <c r="J314">
        <v>2</v>
      </c>
      <c r="K314" t="s">
        <v>511</v>
      </c>
      <c r="L314" t="s">
        <v>262</v>
      </c>
      <c r="M314" t="s">
        <v>356</v>
      </c>
      <c r="N314" s="73">
        <v>67258</v>
      </c>
      <c r="O314" s="73">
        <v>67258</v>
      </c>
      <c r="P314">
        <v>34.681374159610094</v>
      </c>
    </row>
    <row r="315" spans="1:16" x14ac:dyDescent="0.2">
      <c r="A315" s="73">
        <v>67258</v>
      </c>
      <c r="B315" t="s">
        <v>438</v>
      </c>
      <c r="C315" s="73" t="s">
        <v>439</v>
      </c>
      <c r="D315" t="s">
        <v>440</v>
      </c>
      <c r="E315" s="74">
        <v>45848</v>
      </c>
      <c r="F315" t="s">
        <v>362</v>
      </c>
      <c r="G315" t="s">
        <v>363</v>
      </c>
      <c r="H315" s="75">
        <f t="shared" si="4"/>
        <v>208.08824495766055</v>
      </c>
      <c r="I315" s="74">
        <v>45848</v>
      </c>
      <c r="J315">
        <v>6</v>
      </c>
      <c r="K315" t="s">
        <v>511</v>
      </c>
      <c r="L315" t="s">
        <v>355</v>
      </c>
      <c r="M315" t="s">
        <v>356</v>
      </c>
      <c r="N315" s="73">
        <v>67258</v>
      </c>
      <c r="O315" s="73">
        <v>67258</v>
      </c>
      <c r="P315">
        <v>34.681374159610094</v>
      </c>
    </row>
    <row r="316" spans="1:16" x14ac:dyDescent="0.2">
      <c r="A316" s="73">
        <v>67258</v>
      </c>
      <c r="B316" t="s">
        <v>438</v>
      </c>
      <c r="C316" s="73" t="s">
        <v>439</v>
      </c>
      <c r="D316" t="s">
        <v>440</v>
      </c>
      <c r="E316" s="74">
        <v>45848</v>
      </c>
      <c r="F316" t="s">
        <v>387</v>
      </c>
      <c r="G316" t="s">
        <v>388</v>
      </c>
      <c r="H316" s="75">
        <f t="shared" si="4"/>
        <v>277.45099327688075</v>
      </c>
      <c r="I316" s="74">
        <v>45848</v>
      </c>
      <c r="J316">
        <v>8</v>
      </c>
      <c r="K316" t="s">
        <v>511</v>
      </c>
      <c r="L316" t="s">
        <v>367</v>
      </c>
      <c r="M316" t="s">
        <v>356</v>
      </c>
      <c r="N316" s="73">
        <v>67258</v>
      </c>
      <c r="O316" s="73">
        <v>67258</v>
      </c>
      <c r="P316">
        <v>34.681374159610094</v>
      </c>
    </row>
    <row r="317" spans="1:16" x14ac:dyDescent="0.2">
      <c r="A317" s="73">
        <v>67258</v>
      </c>
      <c r="B317" t="s">
        <v>438</v>
      </c>
      <c r="C317" s="73" t="s">
        <v>439</v>
      </c>
      <c r="D317" t="s">
        <v>440</v>
      </c>
      <c r="E317" s="74">
        <v>45849</v>
      </c>
      <c r="F317" t="s">
        <v>370</v>
      </c>
      <c r="G317" t="s">
        <v>371</v>
      </c>
      <c r="H317" s="75">
        <f t="shared" si="4"/>
        <v>208.08824495766055</v>
      </c>
      <c r="I317" s="74">
        <v>45849</v>
      </c>
      <c r="J317">
        <v>6</v>
      </c>
      <c r="K317" t="s">
        <v>511</v>
      </c>
      <c r="L317" t="s">
        <v>262</v>
      </c>
      <c r="M317" t="s">
        <v>356</v>
      </c>
      <c r="N317" s="73">
        <v>67258</v>
      </c>
      <c r="O317" s="73">
        <v>67258</v>
      </c>
      <c r="P317">
        <v>34.681374159610094</v>
      </c>
    </row>
    <row r="318" spans="1:16" x14ac:dyDescent="0.2">
      <c r="A318" s="73">
        <v>67258</v>
      </c>
      <c r="B318" t="s">
        <v>438</v>
      </c>
      <c r="C318" s="73" t="s">
        <v>439</v>
      </c>
      <c r="D318" t="s">
        <v>440</v>
      </c>
      <c r="E318" s="74">
        <v>45849</v>
      </c>
      <c r="F318" t="s">
        <v>362</v>
      </c>
      <c r="G318" t="s">
        <v>363</v>
      </c>
      <c r="H318" s="75">
        <f t="shared" si="4"/>
        <v>208.08824495766055</v>
      </c>
      <c r="I318" s="74">
        <v>45849</v>
      </c>
      <c r="J318">
        <v>6</v>
      </c>
      <c r="K318" t="s">
        <v>511</v>
      </c>
      <c r="L318" t="s">
        <v>355</v>
      </c>
      <c r="M318" t="s">
        <v>356</v>
      </c>
      <c r="N318" s="73">
        <v>67258</v>
      </c>
      <c r="O318" s="73">
        <v>67258</v>
      </c>
      <c r="P318">
        <v>34.681374159610094</v>
      </c>
    </row>
    <row r="319" spans="1:16" x14ac:dyDescent="0.2">
      <c r="A319" s="73">
        <v>67258</v>
      </c>
      <c r="B319" t="s">
        <v>438</v>
      </c>
      <c r="C319" s="73" t="s">
        <v>439</v>
      </c>
      <c r="D319" t="s">
        <v>440</v>
      </c>
      <c r="E319" s="74">
        <v>45849</v>
      </c>
      <c r="F319" t="s">
        <v>387</v>
      </c>
      <c r="G319" t="s">
        <v>388</v>
      </c>
      <c r="H319" s="75">
        <f t="shared" si="4"/>
        <v>242.76961911727065</v>
      </c>
      <c r="I319" s="74">
        <v>45849</v>
      </c>
      <c r="J319">
        <v>7</v>
      </c>
      <c r="K319" t="s">
        <v>511</v>
      </c>
      <c r="L319" t="s">
        <v>367</v>
      </c>
      <c r="M319" t="s">
        <v>356</v>
      </c>
      <c r="N319" s="73">
        <v>67258</v>
      </c>
      <c r="O319" s="73">
        <v>67258</v>
      </c>
      <c r="P319">
        <v>34.681374159610094</v>
      </c>
    </row>
    <row r="320" spans="1:16" x14ac:dyDescent="0.2">
      <c r="A320" s="73">
        <v>67258</v>
      </c>
      <c r="B320" t="s">
        <v>438</v>
      </c>
      <c r="C320" s="73" t="s">
        <v>439</v>
      </c>
      <c r="D320" t="s">
        <v>440</v>
      </c>
      <c r="E320" s="74">
        <v>45852</v>
      </c>
      <c r="F320" t="s">
        <v>404</v>
      </c>
      <c r="G320" t="s">
        <v>405</v>
      </c>
      <c r="H320" s="75">
        <f t="shared" si="4"/>
        <v>138.72549663844038</v>
      </c>
      <c r="I320" s="74">
        <v>45852</v>
      </c>
      <c r="J320">
        <v>4</v>
      </c>
      <c r="K320" t="s">
        <v>511</v>
      </c>
      <c r="L320" t="s">
        <v>262</v>
      </c>
      <c r="M320" t="s">
        <v>356</v>
      </c>
      <c r="N320" s="73">
        <v>67258</v>
      </c>
      <c r="O320" s="73">
        <v>67258</v>
      </c>
      <c r="P320">
        <v>34.681374159610094</v>
      </c>
    </row>
    <row r="321" spans="1:16" x14ac:dyDescent="0.2">
      <c r="A321" s="73">
        <v>67258</v>
      </c>
      <c r="B321" t="s">
        <v>438</v>
      </c>
      <c r="C321" s="73" t="s">
        <v>439</v>
      </c>
      <c r="D321" t="s">
        <v>440</v>
      </c>
      <c r="E321" s="74">
        <v>45853</v>
      </c>
      <c r="F321" t="s">
        <v>404</v>
      </c>
      <c r="G321" t="s">
        <v>405</v>
      </c>
      <c r="H321" s="75">
        <f t="shared" si="4"/>
        <v>208.08824495766055</v>
      </c>
      <c r="I321" s="74">
        <v>45853</v>
      </c>
      <c r="J321">
        <v>6</v>
      </c>
      <c r="K321" t="s">
        <v>511</v>
      </c>
      <c r="L321" t="s">
        <v>262</v>
      </c>
      <c r="M321" t="s">
        <v>356</v>
      </c>
      <c r="N321" s="73">
        <v>67258</v>
      </c>
      <c r="O321" s="73">
        <v>67258</v>
      </c>
      <c r="P321">
        <v>34.681374159610094</v>
      </c>
    </row>
    <row r="322" spans="1:16" x14ac:dyDescent="0.2">
      <c r="A322" s="73">
        <v>67258</v>
      </c>
      <c r="B322" t="s">
        <v>438</v>
      </c>
      <c r="C322" s="73" t="s">
        <v>439</v>
      </c>
      <c r="D322" t="s">
        <v>440</v>
      </c>
      <c r="E322" s="74">
        <v>45852</v>
      </c>
      <c r="F322" t="s">
        <v>376</v>
      </c>
      <c r="G322" t="s">
        <v>377</v>
      </c>
      <c r="H322" s="75">
        <f t="shared" ref="H322:H385" si="5">J322*P322</f>
        <v>208.08824495766055</v>
      </c>
      <c r="I322" s="74">
        <v>45852</v>
      </c>
      <c r="J322">
        <v>6</v>
      </c>
      <c r="K322" t="s">
        <v>511</v>
      </c>
      <c r="L322" t="s">
        <v>262</v>
      </c>
      <c r="M322" t="s">
        <v>356</v>
      </c>
      <c r="N322" s="73">
        <v>67258</v>
      </c>
      <c r="O322" s="73">
        <v>67258</v>
      </c>
      <c r="P322">
        <v>34.681374159610094</v>
      </c>
    </row>
    <row r="323" spans="1:16" x14ac:dyDescent="0.2">
      <c r="A323" s="73">
        <v>67258</v>
      </c>
      <c r="B323" t="s">
        <v>438</v>
      </c>
      <c r="C323" s="73" t="s">
        <v>439</v>
      </c>
      <c r="D323" t="s">
        <v>440</v>
      </c>
      <c r="E323" s="74">
        <v>45852</v>
      </c>
      <c r="F323" t="s">
        <v>387</v>
      </c>
      <c r="G323" t="s">
        <v>388</v>
      </c>
      <c r="H323" s="75">
        <f t="shared" si="5"/>
        <v>242.76961911727065</v>
      </c>
      <c r="I323" s="74">
        <v>45852</v>
      </c>
      <c r="J323">
        <v>7</v>
      </c>
      <c r="K323" t="s">
        <v>511</v>
      </c>
      <c r="L323" t="s">
        <v>367</v>
      </c>
      <c r="M323" t="s">
        <v>356</v>
      </c>
      <c r="N323" s="73">
        <v>67258</v>
      </c>
      <c r="O323" s="73">
        <v>67258</v>
      </c>
      <c r="P323">
        <v>34.681374159610094</v>
      </c>
    </row>
    <row r="324" spans="1:16" x14ac:dyDescent="0.2">
      <c r="A324" s="73">
        <v>67258</v>
      </c>
      <c r="B324" t="s">
        <v>438</v>
      </c>
      <c r="C324" s="73" t="s">
        <v>439</v>
      </c>
      <c r="D324" t="s">
        <v>440</v>
      </c>
      <c r="E324" s="74">
        <v>45853</v>
      </c>
      <c r="F324" t="s">
        <v>376</v>
      </c>
      <c r="G324" t="s">
        <v>377</v>
      </c>
      <c r="H324" s="75">
        <f t="shared" si="5"/>
        <v>208.08824495766055</v>
      </c>
      <c r="I324" s="74">
        <v>45853</v>
      </c>
      <c r="J324">
        <v>6</v>
      </c>
      <c r="K324" t="s">
        <v>511</v>
      </c>
      <c r="L324" t="s">
        <v>262</v>
      </c>
      <c r="M324" t="s">
        <v>356</v>
      </c>
      <c r="N324" s="73">
        <v>67258</v>
      </c>
      <c r="O324" s="73">
        <v>67258</v>
      </c>
      <c r="P324">
        <v>34.681374159610094</v>
      </c>
    </row>
    <row r="325" spans="1:16" x14ac:dyDescent="0.2">
      <c r="A325" s="73">
        <v>67258</v>
      </c>
      <c r="B325" t="s">
        <v>438</v>
      </c>
      <c r="C325" s="73" t="s">
        <v>439</v>
      </c>
      <c r="D325" t="s">
        <v>440</v>
      </c>
      <c r="E325" s="74">
        <v>45853</v>
      </c>
      <c r="F325" t="s">
        <v>387</v>
      </c>
      <c r="G325" t="s">
        <v>388</v>
      </c>
      <c r="H325" s="75">
        <f t="shared" si="5"/>
        <v>242.76961911727065</v>
      </c>
      <c r="I325" s="74">
        <v>45853</v>
      </c>
      <c r="J325">
        <v>7</v>
      </c>
      <c r="K325" t="s">
        <v>511</v>
      </c>
      <c r="L325" t="s">
        <v>367</v>
      </c>
      <c r="M325" t="s">
        <v>356</v>
      </c>
      <c r="N325" s="73">
        <v>67258</v>
      </c>
      <c r="O325" s="73">
        <v>67258</v>
      </c>
      <c r="P325">
        <v>34.681374159610094</v>
      </c>
    </row>
    <row r="326" spans="1:16" x14ac:dyDescent="0.2">
      <c r="A326" s="73">
        <v>67258</v>
      </c>
      <c r="B326" t="s">
        <v>438</v>
      </c>
      <c r="C326" s="73" t="s">
        <v>439</v>
      </c>
      <c r="D326" t="s">
        <v>440</v>
      </c>
      <c r="E326" s="74">
        <v>45854</v>
      </c>
      <c r="F326" t="s">
        <v>395</v>
      </c>
      <c r="G326" t="s">
        <v>396</v>
      </c>
      <c r="H326" s="75">
        <f t="shared" si="5"/>
        <v>138.72549663844038</v>
      </c>
      <c r="I326" s="74">
        <v>45854</v>
      </c>
      <c r="J326">
        <v>4</v>
      </c>
      <c r="K326" t="s">
        <v>511</v>
      </c>
      <c r="L326" t="s">
        <v>262</v>
      </c>
      <c r="M326" t="s">
        <v>356</v>
      </c>
      <c r="N326" s="73">
        <v>67258</v>
      </c>
      <c r="O326" s="73">
        <v>67258</v>
      </c>
      <c r="P326">
        <v>34.681374159610094</v>
      </c>
    </row>
    <row r="327" spans="1:16" x14ac:dyDescent="0.2">
      <c r="A327" s="73">
        <v>67258</v>
      </c>
      <c r="B327" t="s">
        <v>438</v>
      </c>
      <c r="C327" s="73" t="s">
        <v>439</v>
      </c>
      <c r="D327" t="s">
        <v>440</v>
      </c>
      <c r="E327" s="74">
        <v>45854</v>
      </c>
      <c r="F327" t="s">
        <v>387</v>
      </c>
      <c r="G327" t="s">
        <v>388</v>
      </c>
      <c r="H327" s="75">
        <f t="shared" si="5"/>
        <v>242.76961911727065</v>
      </c>
      <c r="I327" s="74">
        <v>45854</v>
      </c>
      <c r="J327">
        <v>7</v>
      </c>
      <c r="K327" t="s">
        <v>511</v>
      </c>
      <c r="L327" t="s">
        <v>367</v>
      </c>
      <c r="M327" t="s">
        <v>356</v>
      </c>
      <c r="N327" s="73">
        <v>67258</v>
      </c>
      <c r="O327" s="73">
        <v>67258</v>
      </c>
      <c r="P327">
        <v>34.681374159610094</v>
      </c>
    </row>
    <row r="328" spans="1:16" x14ac:dyDescent="0.2">
      <c r="A328" s="73">
        <v>67258</v>
      </c>
      <c r="B328" t="s">
        <v>438</v>
      </c>
      <c r="C328" s="73" t="s">
        <v>439</v>
      </c>
      <c r="D328" t="s">
        <v>440</v>
      </c>
      <c r="E328" s="74">
        <v>45855</v>
      </c>
      <c r="F328" t="s">
        <v>395</v>
      </c>
      <c r="G328" t="s">
        <v>396</v>
      </c>
      <c r="H328" s="75">
        <f t="shared" si="5"/>
        <v>208.08824495766055</v>
      </c>
      <c r="I328" s="74">
        <v>45855</v>
      </c>
      <c r="J328">
        <v>6</v>
      </c>
      <c r="K328" t="s">
        <v>511</v>
      </c>
      <c r="L328" t="s">
        <v>262</v>
      </c>
      <c r="M328" t="s">
        <v>356</v>
      </c>
      <c r="N328" s="73">
        <v>67258</v>
      </c>
      <c r="O328" s="73">
        <v>67258</v>
      </c>
      <c r="P328">
        <v>34.681374159610094</v>
      </c>
    </row>
    <row r="329" spans="1:16" x14ac:dyDescent="0.2">
      <c r="A329" s="73">
        <v>67258</v>
      </c>
      <c r="B329" t="s">
        <v>438</v>
      </c>
      <c r="C329" s="73" t="s">
        <v>439</v>
      </c>
      <c r="D329" t="s">
        <v>440</v>
      </c>
      <c r="E329" s="74">
        <v>45855</v>
      </c>
      <c r="F329" t="s">
        <v>387</v>
      </c>
      <c r="G329" t="s">
        <v>388</v>
      </c>
      <c r="H329" s="75">
        <f t="shared" si="5"/>
        <v>242.76961911727065</v>
      </c>
      <c r="I329" s="74">
        <v>45855</v>
      </c>
      <c r="J329">
        <v>7</v>
      </c>
      <c r="K329" t="s">
        <v>511</v>
      </c>
      <c r="L329" t="s">
        <v>367</v>
      </c>
      <c r="M329" t="s">
        <v>356</v>
      </c>
      <c r="N329" s="73">
        <v>67258</v>
      </c>
      <c r="O329" s="73">
        <v>67258</v>
      </c>
      <c r="P329">
        <v>34.681374159610094</v>
      </c>
    </row>
    <row r="330" spans="1:16" x14ac:dyDescent="0.2">
      <c r="A330" s="73">
        <v>67258</v>
      </c>
      <c r="B330" t="s">
        <v>438</v>
      </c>
      <c r="C330" s="73" t="s">
        <v>439</v>
      </c>
      <c r="D330" t="s">
        <v>440</v>
      </c>
      <c r="E330" s="74">
        <v>45856</v>
      </c>
      <c r="F330" t="s">
        <v>395</v>
      </c>
      <c r="G330" t="s">
        <v>396</v>
      </c>
      <c r="H330" s="75">
        <f t="shared" si="5"/>
        <v>208.08824495766055</v>
      </c>
      <c r="I330" s="74">
        <v>45856</v>
      </c>
      <c r="J330">
        <v>6</v>
      </c>
      <c r="K330" t="s">
        <v>511</v>
      </c>
      <c r="L330" t="s">
        <v>262</v>
      </c>
      <c r="M330" t="s">
        <v>356</v>
      </c>
      <c r="N330" s="73">
        <v>67258</v>
      </c>
      <c r="O330" s="73">
        <v>67258</v>
      </c>
      <c r="P330">
        <v>34.681374159610094</v>
      </c>
    </row>
    <row r="331" spans="1:16" x14ac:dyDescent="0.2">
      <c r="A331" s="73">
        <v>67258</v>
      </c>
      <c r="B331" t="s">
        <v>438</v>
      </c>
      <c r="C331" s="73" t="s">
        <v>439</v>
      </c>
      <c r="D331" t="s">
        <v>440</v>
      </c>
      <c r="E331" s="74">
        <v>45856</v>
      </c>
      <c r="F331" t="s">
        <v>387</v>
      </c>
      <c r="G331" t="s">
        <v>388</v>
      </c>
      <c r="H331" s="75">
        <f t="shared" si="5"/>
        <v>208.08824495766055</v>
      </c>
      <c r="I331" s="74">
        <v>45856</v>
      </c>
      <c r="J331">
        <v>6</v>
      </c>
      <c r="K331" t="s">
        <v>511</v>
      </c>
      <c r="L331" t="s">
        <v>367</v>
      </c>
      <c r="M331" t="s">
        <v>356</v>
      </c>
      <c r="N331" s="73">
        <v>67258</v>
      </c>
      <c r="O331" s="73">
        <v>67258</v>
      </c>
      <c r="P331">
        <v>34.681374159610094</v>
      </c>
    </row>
    <row r="332" spans="1:16" x14ac:dyDescent="0.2">
      <c r="A332" s="73">
        <v>67258</v>
      </c>
      <c r="B332" t="s">
        <v>438</v>
      </c>
      <c r="C332" s="73" t="s">
        <v>439</v>
      </c>
      <c r="D332" t="s">
        <v>440</v>
      </c>
      <c r="E332" s="74">
        <v>45859</v>
      </c>
      <c r="F332" t="s">
        <v>400</v>
      </c>
      <c r="G332" t="s">
        <v>401</v>
      </c>
      <c r="H332" s="75">
        <f t="shared" si="5"/>
        <v>277.45099327688075</v>
      </c>
      <c r="I332" s="74">
        <v>45859</v>
      </c>
      <c r="J332">
        <v>8</v>
      </c>
      <c r="K332" t="s">
        <v>511</v>
      </c>
      <c r="L332" t="s">
        <v>262</v>
      </c>
      <c r="M332" t="s">
        <v>369</v>
      </c>
      <c r="N332" s="73">
        <v>67258</v>
      </c>
      <c r="O332" s="73">
        <v>67258</v>
      </c>
      <c r="P332">
        <v>34.681374159610094</v>
      </c>
    </row>
    <row r="333" spans="1:16" x14ac:dyDescent="0.2">
      <c r="A333" s="73">
        <v>67258</v>
      </c>
      <c r="B333" t="s">
        <v>438</v>
      </c>
      <c r="C333" s="73" t="s">
        <v>439</v>
      </c>
      <c r="D333" t="s">
        <v>440</v>
      </c>
      <c r="E333" s="74">
        <v>45859</v>
      </c>
      <c r="F333" t="s">
        <v>387</v>
      </c>
      <c r="G333" t="s">
        <v>388</v>
      </c>
      <c r="H333" s="75">
        <f t="shared" si="5"/>
        <v>208.08824495766055</v>
      </c>
      <c r="I333" s="74">
        <v>45859</v>
      </c>
      <c r="J333">
        <v>6</v>
      </c>
      <c r="K333" t="s">
        <v>511</v>
      </c>
      <c r="L333" t="s">
        <v>367</v>
      </c>
      <c r="M333" t="s">
        <v>356</v>
      </c>
      <c r="N333" s="73">
        <v>67258</v>
      </c>
      <c r="O333" s="73">
        <v>67258</v>
      </c>
      <c r="P333">
        <v>34.681374159610094</v>
      </c>
    </row>
    <row r="334" spans="1:16" x14ac:dyDescent="0.2">
      <c r="A334" s="73">
        <v>67258</v>
      </c>
      <c r="B334" t="s">
        <v>438</v>
      </c>
      <c r="C334" s="73" t="s">
        <v>439</v>
      </c>
      <c r="D334" t="s">
        <v>440</v>
      </c>
      <c r="E334" s="74">
        <v>45859</v>
      </c>
      <c r="F334" t="s">
        <v>395</v>
      </c>
      <c r="G334" t="s">
        <v>396</v>
      </c>
      <c r="H334" s="75">
        <f t="shared" si="5"/>
        <v>208.08824495766055</v>
      </c>
      <c r="I334" s="74">
        <v>45859</v>
      </c>
      <c r="J334">
        <v>6</v>
      </c>
      <c r="K334" t="s">
        <v>511</v>
      </c>
      <c r="L334" t="s">
        <v>262</v>
      </c>
      <c r="M334" t="s">
        <v>356</v>
      </c>
      <c r="N334" s="73">
        <v>67258</v>
      </c>
      <c r="O334" s="73">
        <v>67258</v>
      </c>
      <c r="P334">
        <v>34.681374159610094</v>
      </c>
    </row>
    <row r="335" spans="1:16" x14ac:dyDescent="0.2">
      <c r="A335" s="73">
        <v>67258</v>
      </c>
      <c r="B335" t="s">
        <v>438</v>
      </c>
      <c r="C335" s="73" t="s">
        <v>439</v>
      </c>
      <c r="D335" t="s">
        <v>440</v>
      </c>
      <c r="E335" s="74">
        <v>45860</v>
      </c>
      <c r="F335" t="s">
        <v>400</v>
      </c>
      <c r="G335" t="s">
        <v>401</v>
      </c>
      <c r="H335" s="75">
        <f t="shared" si="5"/>
        <v>277.45099327688075</v>
      </c>
      <c r="I335" s="74">
        <v>45860</v>
      </c>
      <c r="J335">
        <v>8</v>
      </c>
      <c r="K335" t="s">
        <v>511</v>
      </c>
      <c r="L335" t="s">
        <v>262</v>
      </c>
      <c r="M335" t="s">
        <v>369</v>
      </c>
      <c r="N335" s="73">
        <v>67258</v>
      </c>
      <c r="O335" s="73">
        <v>67258</v>
      </c>
      <c r="P335">
        <v>34.681374159610094</v>
      </c>
    </row>
    <row r="336" spans="1:16" x14ac:dyDescent="0.2">
      <c r="A336" s="73">
        <v>67258</v>
      </c>
      <c r="B336" t="s">
        <v>438</v>
      </c>
      <c r="C336" s="73" t="s">
        <v>439</v>
      </c>
      <c r="D336" t="s">
        <v>440</v>
      </c>
      <c r="E336" s="74">
        <v>45860</v>
      </c>
      <c r="F336" t="s">
        <v>387</v>
      </c>
      <c r="G336" t="s">
        <v>388</v>
      </c>
      <c r="H336" s="75">
        <f t="shared" si="5"/>
        <v>104.04412247883027</v>
      </c>
      <c r="I336" s="74">
        <v>45860</v>
      </c>
      <c r="J336">
        <v>3</v>
      </c>
      <c r="K336" t="s">
        <v>511</v>
      </c>
      <c r="L336" t="s">
        <v>367</v>
      </c>
      <c r="M336" t="s">
        <v>356</v>
      </c>
      <c r="N336" s="73">
        <v>67258</v>
      </c>
      <c r="O336" s="73">
        <v>67258</v>
      </c>
      <c r="P336">
        <v>34.681374159610094</v>
      </c>
    </row>
    <row r="337" spans="1:16" x14ac:dyDescent="0.2">
      <c r="A337" s="73">
        <v>67258</v>
      </c>
      <c r="B337" t="s">
        <v>438</v>
      </c>
      <c r="C337" s="73" t="s">
        <v>439</v>
      </c>
      <c r="D337" t="s">
        <v>440</v>
      </c>
      <c r="E337" s="74">
        <v>45861</v>
      </c>
      <c r="F337" t="s">
        <v>400</v>
      </c>
      <c r="G337" t="s">
        <v>401</v>
      </c>
      <c r="H337" s="75">
        <f t="shared" si="5"/>
        <v>138.72549663844038</v>
      </c>
      <c r="I337" s="74">
        <v>45861</v>
      </c>
      <c r="J337">
        <v>4</v>
      </c>
      <c r="K337" t="s">
        <v>511</v>
      </c>
      <c r="L337" t="s">
        <v>262</v>
      </c>
      <c r="M337" t="s">
        <v>369</v>
      </c>
      <c r="N337" s="73">
        <v>67258</v>
      </c>
      <c r="O337" s="73">
        <v>67258</v>
      </c>
      <c r="P337">
        <v>34.681374159610094</v>
      </c>
    </row>
    <row r="338" spans="1:16" x14ac:dyDescent="0.2">
      <c r="A338" s="73">
        <v>67258</v>
      </c>
      <c r="B338" t="s">
        <v>438</v>
      </c>
      <c r="C338" s="73" t="s">
        <v>439</v>
      </c>
      <c r="D338" t="s">
        <v>440</v>
      </c>
      <c r="E338" s="74">
        <v>45861</v>
      </c>
      <c r="F338" t="s">
        <v>387</v>
      </c>
      <c r="G338" t="s">
        <v>388</v>
      </c>
      <c r="H338" s="75">
        <f t="shared" si="5"/>
        <v>138.72549663844038</v>
      </c>
      <c r="I338" s="74">
        <v>45861</v>
      </c>
      <c r="J338">
        <v>4</v>
      </c>
      <c r="K338" t="s">
        <v>511</v>
      </c>
      <c r="L338" t="s">
        <v>367</v>
      </c>
      <c r="M338" t="s">
        <v>356</v>
      </c>
      <c r="N338" s="73">
        <v>67258</v>
      </c>
      <c r="O338" s="73">
        <v>67258</v>
      </c>
      <c r="P338">
        <v>34.681374159610094</v>
      </c>
    </row>
    <row r="339" spans="1:16" x14ac:dyDescent="0.2">
      <c r="A339" s="73">
        <v>67258</v>
      </c>
      <c r="B339" t="s">
        <v>438</v>
      </c>
      <c r="C339" s="73" t="s">
        <v>439</v>
      </c>
      <c r="D339" t="s">
        <v>440</v>
      </c>
      <c r="E339" s="74">
        <v>45862</v>
      </c>
      <c r="F339" t="s">
        <v>387</v>
      </c>
      <c r="G339" t="s">
        <v>388</v>
      </c>
      <c r="H339" s="75">
        <f t="shared" si="5"/>
        <v>242.76961911727065</v>
      </c>
      <c r="I339" s="74">
        <v>45862</v>
      </c>
      <c r="J339">
        <v>7</v>
      </c>
      <c r="K339" t="s">
        <v>511</v>
      </c>
      <c r="L339" t="s">
        <v>367</v>
      </c>
      <c r="M339" t="s">
        <v>356</v>
      </c>
      <c r="N339" s="73">
        <v>67258</v>
      </c>
      <c r="O339" s="73">
        <v>67258</v>
      </c>
      <c r="P339">
        <v>34.681374159610094</v>
      </c>
    </row>
    <row r="340" spans="1:16" x14ac:dyDescent="0.2">
      <c r="A340" s="73">
        <v>67258</v>
      </c>
      <c r="B340" t="s">
        <v>438</v>
      </c>
      <c r="C340" s="73" t="s">
        <v>439</v>
      </c>
      <c r="D340" t="s">
        <v>440</v>
      </c>
      <c r="E340" s="74">
        <v>45863</v>
      </c>
      <c r="F340" t="s">
        <v>400</v>
      </c>
      <c r="G340" t="s">
        <v>401</v>
      </c>
      <c r="H340" s="75">
        <f t="shared" si="5"/>
        <v>138.72549663844038</v>
      </c>
      <c r="I340" s="74">
        <v>45863</v>
      </c>
      <c r="J340">
        <v>4</v>
      </c>
      <c r="K340" t="s">
        <v>511</v>
      </c>
      <c r="L340" t="s">
        <v>262</v>
      </c>
      <c r="M340" t="s">
        <v>369</v>
      </c>
      <c r="N340" s="73">
        <v>67258</v>
      </c>
      <c r="O340" s="73">
        <v>67258</v>
      </c>
      <c r="P340">
        <v>34.681374159610094</v>
      </c>
    </row>
    <row r="341" spans="1:16" x14ac:dyDescent="0.2">
      <c r="A341" s="73">
        <v>67258</v>
      </c>
      <c r="B341" t="s">
        <v>438</v>
      </c>
      <c r="C341" s="73" t="s">
        <v>439</v>
      </c>
      <c r="D341" t="s">
        <v>440</v>
      </c>
      <c r="E341" s="74">
        <v>45863</v>
      </c>
      <c r="F341" t="s">
        <v>387</v>
      </c>
      <c r="G341" t="s">
        <v>388</v>
      </c>
      <c r="H341" s="75">
        <f t="shared" si="5"/>
        <v>242.76961911727065</v>
      </c>
      <c r="I341" s="74">
        <v>45863</v>
      </c>
      <c r="J341">
        <v>7</v>
      </c>
      <c r="K341" t="s">
        <v>511</v>
      </c>
      <c r="L341" t="s">
        <v>367</v>
      </c>
      <c r="M341" t="s">
        <v>356</v>
      </c>
      <c r="N341" s="73">
        <v>67258</v>
      </c>
      <c r="O341" s="73">
        <v>67258</v>
      </c>
      <c r="P341">
        <v>34.681374159610094</v>
      </c>
    </row>
    <row r="342" spans="1:16" x14ac:dyDescent="0.2">
      <c r="A342" s="73">
        <v>67258</v>
      </c>
      <c r="B342" t="s">
        <v>438</v>
      </c>
      <c r="C342" s="73" t="s">
        <v>439</v>
      </c>
      <c r="D342" t="s">
        <v>440</v>
      </c>
      <c r="E342" s="74">
        <v>45866</v>
      </c>
      <c r="F342" t="s">
        <v>381</v>
      </c>
      <c r="G342" t="s">
        <v>382</v>
      </c>
      <c r="H342" s="75">
        <f t="shared" si="5"/>
        <v>173.40687079805048</v>
      </c>
      <c r="I342" s="74">
        <v>45866</v>
      </c>
      <c r="J342">
        <v>5</v>
      </c>
      <c r="K342" t="s">
        <v>511</v>
      </c>
      <c r="L342" t="s">
        <v>262</v>
      </c>
      <c r="M342" t="s">
        <v>349</v>
      </c>
      <c r="N342" s="73">
        <v>67258</v>
      </c>
      <c r="O342" s="73">
        <v>67258</v>
      </c>
      <c r="P342">
        <v>34.681374159610094</v>
      </c>
    </row>
    <row r="343" spans="1:16" x14ac:dyDescent="0.2">
      <c r="A343" s="73">
        <v>67258</v>
      </c>
      <c r="B343" t="s">
        <v>438</v>
      </c>
      <c r="C343" s="73" t="s">
        <v>439</v>
      </c>
      <c r="D343" t="s">
        <v>440</v>
      </c>
      <c r="E343" s="74">
        <v>45867</v>
      </c>
      <c r="F343" t="s">
        <v>381</v>
      </c>
      <c r="G343" t="s">
        <v>382</v>
      </c>
      <c r="H343" s="75">
        <f t="shared" si="5"/>
        <v>173.40687079805048</v>
      </c>
      <c r="I343" s="74">
        <v>45867</v>
      </c>
      <c r="J343">
        <v>5</v>
      </c>
      <c r="K343" t="s">
        <v>511</v>
      </c>
      <c r="L343" t="s">
        <v>262</v>
      </c>
      <c r="M343" t="s">
        <v>349</v>
      </c>
      <c r="N343" s="73">
        <v>67258</v>
      </c>
      <c r="O343" s="73">
        <v>67258</v>
      </c>
      <c r="P343">
        <v>34.681374159610094</v>
      </c>
    </row>
    <row r="344" spans="1:16" x14ac:dyDescent="0.2">
      <c r="A344" s="73">
        <v>67258</v>
      </c>
      <c r="B344" t="s">
        <v>438</v>
      </c>
      <c r="C344" s="73" t="s">
        <v>439</v>
      </c>
      <c r="D344" t="s">
        <v>440</v>
      </c>
      <c r="E344" s="74">
        <v>45868</v>
      </c>
      <c r="F344" t="s">
        <v>381</v>
      </c>
      <c r="G344" t="s">
        <v>382</v>
      </c>
      <c r="H344" s="75">
        <f t="shared" si="5"/>
        <v>173.40687079805048</v>
      </c>
      <c r="I344" s="74">
        <v>45868</v>
      </c>
      <c r="J344">
        <v>5</v>
      </c>
      <c r="K344" t="s">
        <v>511</v>
      </c>
      <c r="L344" t="s">
        <v>262</v>
      </c>
      <c r="M344" t="s">
        <v>349</v>
      </c>
      <c r="N344" s="73">
        <v>67258</v>
      </c>
      <c r="O344" s="73">
        <v>67258</v>
      </c>
      <c r="P344">
        <v>34.681374159610094</v>
      </c>
    </row>
    <row r="345" spans="1:16" x14ac:dyDescent="0.2">
      <c r="A345" s="73">
        <v>67258</v>
      </c>
      <c r="B345" t="s">
        <v>438</v>
      </c>
      <c r="C345" s="73" t="s">
        <v>439</v>
      </c>
      <c r="D345" t="s">
        <v>440</v>
      </c>
      <c r="E345" s="74">
        <v>45869</v>
      </c>
      <c r="F345" t="s">
        <v>381</v>
      </c>
      <c r="G345" t="s">
        <v>382</v>
      </c>
      <c r="H345" s="75">
        <f t="shared" si="5"/>
        <v>173.40687079805048</v>
      </c>
      <c r="I345" s="74">
        <v>45869</v>
      </c>
      <c r="J345">
        <v>5</v>
      </c>
      <c r="K345" t="s">
        <v>511</v>
      </c>
      <c r="L345" t="s">
        <v>262</v>
      </c>
      <c r="M345" t="s">
        <v>349</v>
      </c>
      <c r="N345" s="73">
        <v>67258</v>
      </c>
      <c r="O345" s="73">
        <v>67258</v>
      </c>
      <c r="P345">
        <v>34.681374159610094</v>
      </c>
    </row>
    <row r="346" spans="1:16" x14ac:dyDescent="0.2">
      <c r="A346" s="73">
        <v>67258</v>
      </c>
      <c r="B346" t="s">
        <v>438</v>
      </c>
      <c r="C346" s="73" t="s">
        <v>439</v>
      </c>
      <c r="D346" t="s">
        <v>440</v>
      </c>
      <c r="E346" s="74">
        <v>45870</v>
      </c>
      <c r="F346" t="s">
        <v>398</v>
      </c>
      <c r="G346" t="s">
        <v>399</v>
      </c>
      <c r="H346" s="75">
        <f t="shared" si="5"/>
        <v>208.08824495766055</v>
      </c>
      <c r="I346" s="74">
        <v>45870</v>
      </c>
      <c r="J346">
        <v>6</v>
      </c>
      <c r="K346" t="s">
        <v>288</v>
      </c>
      <c r="L346" t="s">
        <v>367</v>
      </c>
      <c r="M346" t="s">
        <v>356</v>
      </c>
      <c r="N346" s="73">
        <v>67258</v>
      </c>
      <c r="O346" s="73">
        <v>67258</v>
      </c>
      <c r="P346">
        <v>34.681374159610094</v>
      </c>
    </row>
    <row r="347" spans="1:16" x14ac:dyDescent="0.2">
      <c r="A347" s="73">
        <v>67258</v>
      </c>
      <c r="B347" t="s">
        <v>438</v>
      </c>
      <c r="C347" s="73" t="s">
        <v>439</v>
      </c>
      <c r="D347" t="s">
        <v>440</v>
      </c>
      <c r="E347" s="74">
        <v>45870</v>
      </c>
      <c r="F347" t="s">
        <v>381</v>
      </c>
      <c r="G347" t="s">
        <v>382</v>
      </c>
      <c r="H347" s="75">
        <f t="shared" si="5"/>
        <v>173.40687079805048</v>
      </c>
      <c r="I347" s="74">
        <v>45870</v>
      </c>
      <c r="J347">
        <v>5</v>
      </c>
      <c r="K347" t="s">
        <v>288</v>
      </c>
      <c r="L347" t="s">
        <v>262</v>
      </c>
      <c r="M347" t="s">
        <v>349</v>
      </c>
      <c r="N347" s="73">
        <v>67258</v>
      </c>
      <c r="O347" s="73">
        <v>67258</v>
      </c>
      <c r="P347">
        <v>34.681374159610094</v>
      </c>
    </row>
    <row r="348" spans="1:16" x14ac:dyDescent="0.2">
      <c r="A348" s="73">
        <v>67258</v>
      </c>
      <c r="B348" t="s">
        <v>438</v>
      </c>
      <c r="C348" s="73" t="s">
        <v>439</v>
      </c>
      <c r="D348" t="s">
        <v>440</v>
      </c>
      <c r="E348" s="74">
        <v>45869</v>
      </c>
      <c r="F348" t="s">
        <v>398</v>
      </c>
      <c r="G348" t="s">
        <v>399</v>
      </c>
      <c r="H348" s="75">
        <f t="shared" si="5"/>
        <v>208.08824495766055</v>
      </c>
      <c r="I348" s="74">
        <v>45869</v>
      </c>
      <c r="J348">
        <v>6</v>
      </c>
      <c r="K348" t="s">
        <v>511</v>
      </c>
      <c r="L348" t="s">
        <v>367</v>
      </c>
      <c r="M348" t="s">
        <v>356</v>
      </c>
      <c r="N348" s="73">
        <v>67258</v>
      </c>
      <c r="O348" s="73">
        <v>67258</v>
      </c>
      <c r="P348">
        <v>34.681374159610094</v>
      </c>
    </row>
    <row r="349" spans="1:16" x14ac:dyDescent="0.2">
      <c r="A349" s="73">
        <v>67258</v>
      </c>
      <c r="B349" t="s">
        <v>438</v>
      </c>
      <c r="C349" s="73" t="s">
        <v>439</v>
      </c>
      <c r="D349" t="s">
        <v>440</v>
      </c>
      <c r="E349" s="74">
        <v>45873</v>
      </c>
      <c r="F349" t="s">
        <v>381</v>
      </c>
      <c r="G349" t="s">
        <v>382</v>
      </c>
      <c r="H349" s="75">
        <f t="shared" si="5"/>
        <v>173.40687079805048</v>
      </c>
      <c r="I349" s="74">
        <v>45873</v>
      </c>
      <c r="J349">
        <v>5</v>
      </c>
      <c r="K349" t="s">
        <v>288</v>
      </c>
      <c r="L349" t="s">
        <v>262</v>
      </c>
      <c r="M349" t="s">
        <v>349</v>
      </c>
      <c r="N349" s="73">
        <v>67258</v>
      </c>
      <c r="O349" s="73">
        <v>67258</v>
      </c>
      <c r="P349">
        <v>34.681374159610094</v>
      </c>
    </row>
    <row r="350" spans="1:16" x14ac:dyDescent="0.2">
      <c r="A350" s="73">
        <v>67258</v>
      </c>
      <c r="B350" t="s">
        <v>438</v>
      </c>
      <c r="C350" s="73" t="s">
        <v>439</v>
      </c>
      <c r="D350" t="s">
        <v>440</v>
      </c>
      <c r="E350" s="74">
        <v>45874</v>
      </c>
      <c r="F350" t="s">
        <v>381</v>
      </c>
      <c r="G350" t="s">
        <v>382</v>
      </c>
      <c r="H350" s="75">
        <f t="shared" si="5"/>
        <v>173.40687079805048</v>
      </c>
      <c r="I350" s="74">
        <v>45874</v>
      </c>
      <c r="J350">
        <v>5</v>
      </c>
      <c r="K350" t="s">
        <v>288</v>
      </c>
      <c r="L350" t="s">
        <v>262</v>
      </c>
      <c r="M350" t="s">
        <v>349</v>
      </c>
      <c r="N350" s="73">
        <v>67258</v>
      </c>
      <c r="O350" s="73">
        <v>67258</v>
      </c>
      <c r="P350">
        <v>34.681374159610094</v>
      </c>
    </row>
    <row r="351" spans="1:16" x14ac:dyDescent="0.2">
      <c r="A351" s="73">
        <v>67258</v>
      </c>
      <c r="B351" t="s">
        <v>438</v>
      </c>
      <c r="C351" s="73" t="s">
        <v>439</v>
      </c>
      <c r="D351" t="s">
        <v>440</v>
      </c>
      <c r="E351" s="74">
        <v>45875</v>
      </c>
      <c r="F351" t="s">
        <v>381</v>
      </c>
      <c r="G351" t="s">
        <v>382</v>
      </c>
      <c r="H351" s="75">
        <f t="shared" si="5"/>
        <v>173.40687079805048</v>
      </c>
      <c r="I351" s="74">
        <v>45875</v>
      </c>
      <c r="J351">
        <v>5</v>
      </c>
      <c r="K351" t="s">
        <v>288</v>
      </c>
      <c r="L351" t="s">
        <v>262</v>
      </c>
      <c r="M351" t="s">
        <v>349</v>
      </c>
      <c r="N351" s="73">
        <v>67258</v>
      </c>
      <c r="O351" s="73">
        <v>67258</v>
      </c>
      <c r="P351">
        <v>34.681374159610094</v>
      </c>
    </row>
    <row r="352" spans="1:16" x14ac:dyDescent="0.2">
      <c r="A352" s="73">
        <v>67258</v>
      </c>
      <c r="B352" t="s">
        <v>438</v>
      </c>
      <c r="C352" s="73" t="s">
        <v>439</v>
      </c>
      <c r="D352" t="s">
        <v>440</v>
      </c>
      <c r="E352" s="74">
        <v>45876</v>
      </c>
      <c r="F352" t="s">
        <v>381</v>
      </c>
      <c r="G352" t="s">
        <v>382</v>
      </c>
      <c r="H352" s="75">
        <f t="shared" si="5"/>
        <v>173.40687079805048</v>
      </c>
      <c r="I352" s="74">
        <v>45876</v>
      </c>
      <c r="J352">
        <v>5</v>
      </c>
      <c r="K352" t="s">
        <v>288</v>
      </c>
      <c r="L352" t="s">
        <v>262</v>
      </c>
      <c r="M352" t="s">
        <v>349</v>
      </c>
      <c r="N352" s="73">
        <v>67258</v>
      </c>
      <c r="O352" s="73">
        <v>67258</v>
      </c>
      <c r="P352">
        <v>34.681374159610094</v>
      </c>
    </row>
    <row r="353" spans="1:16" x14ac:dyDescent="0.2">
      <c r="A353" s="73">
        <v>67258</v>
      </c>
      <c r="B353" t="s">
        <v>438</v>
      </c>
      <c r="C353" s="73" t="s">
        <v>439</v>
      </c>
      <c r="D353" t="s">
        <v>440</v>
      </c>
      <c r="E353" s="74">
        <v>45877</v>
      </c>
      <c r="F353" t="s">
        <v>381</v>
      </c>
      <c r="G353" t="s">
        <v>382</v>
      </c>
      <c r="H353" s="75">
        <f t="shared" si="5"/>
        <v>173.40687079805048</v>
      </c>
      <c r="I353" s="74">
        <v>45877</v>
      </c>
      <c r="J353">
        <v>5</v>
      </c>
      <c r="K353" t="s">
        <v>288</v>
      </c>
      <c r="L353" t="s">
        <v>262</v>
      </c>
      <c r="M353" t="s">
        <v>349</v>
      </c>
      <c r="N353" s="73">
        <v>67258</v>
      </c>
      <c r="O353" s="73">
        <v>67258</v>
      </c>
      <c r="P353">
        <v>34.681374159610094</v>
      </c>
    </row>
    <row r="354" spans="1:16" x14ac:dyDescent="0.2">
      <c r="A354" s="73">
        <v>67258</v>
      </c>
      <c r="B354" t="s">
        <v>438</v>
      </c>
      <c r="C354" s="73" t="s">
        <v>439</v>
      </c>
      <c r="D354" t="s">
        <v>440</v>
      </c>
      <c r="E354" s="74">
        <v>46067</v>
      </c>
      <c r="F354" t="s">
        <v>360</v>
      </c>
      <c r="G354" t="s">
        <v>361</v>
      </c>
      <c r="H354" s="75">
        <f t="shared" si="5"/>
        <v>277.45099327688075</v>
      </c>
      <c r="I354" s="74">
        <v>46067</v>
      </c>
      <c r="J354">
        <v>8</v>
      </c>
      <c r="K354" t="s">
        <v>508</v>
      </c>
      <c r="L354" t="s">
        <v>262</v>
      </c>
      <c r="M354" t="s">
        <v>356</v>
      </c>
      <c r="N354" s="73">
        <v>67258</v>
      </c>
      <c r="O354" s="73">
        <v>67258</v>
      </c>
      <c r="P354">
        <v>34.681374159610094</v>
      </c>
    </row>
    <row r="355" spans="1:16" x14ac:dyDescent="0.2">
      <c r="A355" s="73">
        <v>67258</v>
      </c>
      <c r="B355" t="s">
        <v>438</v>
      </c>
      <c r="C355" s="73" t="s">
        <v>439</v>
      </c>
      <c r="D355" t="s">
        <v>440</v>
      </c>
      <c r="E355" s="74">
        <v>46069</v>
      </c>
      <c r="F355" t="s">
        <v>360</v>
      </c>
      <c r="G355" t="s">
        <v>361</v>
      </c>
      <c r="H355" s="75">
        <f t="shared" si="5"/>
        <v>277.45099327688075</v>
      </c>
      <c r="I355" s="74">
        <v>46069</v>
      </c>
      <c r="J355">
        <v>8</v>
      </c>
      <c r="K355" t="s">
        <v>508</v>
      </c>
      <c r="L355" t="s">
        <v>262</v>
      </c>
      <c r="M355" t="s">
        <v>356</v>
      </c>
      <c r="N355" s="73">
        <v>67258</v>
      </c>
      <c r="O355" s="73">
        <v>67258</v>
      </c>
      <c r="P355">
        <v>34.681374159610094</v>
      </c>
    </row>
    <row r="356" spans="1:16" x14ac:dyDescent="0.2">
      <c r="A356" s="73">
        <v>67258</v>
      </c>
      <c r="B356" t="s">
        <v>438</v>
      </c>
      <c r="C356" s="73" t="s">
        <v>439</v>
      </c>
      <c r="D356" t="s">
        <v>440</v>
      </c>
      <c r="E356" s="74">
        <v>46069</v>
      </c>
      <c r="F356" t="s">
        <v>406</v>
      </c>
      <c r="G356" t="s">
        <v>407</v>
      </c>
      <c r="H356" s="75">
        <f t="shared" si="5"/>
        <v>277.45099327688075</v>
      </c>
      <c r="I356" s="74">
        <v>46069</v>
      </c>
      <c r="J356">
        <v>8</v>
      </c>
      <c r="K356" t="s">
        <v>508</v>
      </c>
      <c r="L356" t="s">
        <v>355</v>
      </c>
      <c r="M356" t="s">
        <v>356</v>
      </c>
      <c r="N356" s="73">
        <v>67258</v>
      </c>
      <c r="O356" s="73">
        <v>67258</v>
      </c>
      <c r="P356">
        <v>34.681374159610094</v>
      </c>
    </row>
    <row r="357" spans="1:16" x14ac:dyDescent="0.2">
      <c r="A357" s="73">
        <v>67258</v>
      </c>
      <c r="B357" t="s">
        <v>438</v>
      </c>
      <c r="C357" s="73" t="s">
        <v>439</v>
      </c>
      <c r="D357" t="s">
        <v>440</v>
      </c>
      <c r="E357" s="74">
        <v>46070</v>
      </c>
      <c r="F357" t="s">
        <v>360</v>
      </c>
      <c r="G357" t="s">
        <v>361</v>
      </c>
      <c r="H357" s="75">
        <f t="shared" si="5"/>
        <v>277.45099327688075</v>
      </c>
      <c r="I357" s="74">
        <v>46070</v>
      </c>
      <c r="J357">
        <v>8</v>
      </c>
      <c r="K357" t="s">
        <v>508</v>
      </c>
      <c r="L357" t="s">
        <v>262</v>
      </c>
      <c r="M357" t="s">
        <v>356</v>
      </c>
      <c r="N357" s="73">
        <v>67258</v>
      </c>
      <c r="O357" s="73">
        <v>67258</v>
      </c>
      <c r="P357">
        <v>34.681374159610094</v>
      </c>
    </row>
    <row r="358" spans="1:16" x14ac:dyDescent="0.2">
      <c r="A358" s="73">
        <v>67258</v>
      </c>
      <c r="B358" t="s">
        <v>438</v>
      </c>
      <c r="C358" s="73" t="s">
        <v>439</v>
      </c>
      <c r="D358" t="s">
        <v>440</v>
      </c>
      <c r="E358" s="74">
        <v>46070</v>
      </c>
      <c r="F358" t="s">
        <v>406</v>
      </c>
      <c r="G358" t="s">
        <v>407</v>
      </c>
      <c r="H358" s="75">
        <f t="shared" si="5"/>
        <v>277.45099327688075</v>
      </c>
      <c r="I358" s="74">
        <v>46070</v>
      </c>
      <c r="J358">
        <v>8</v>
      </c>
      <c r="K358" t="s">
        <v>508</v>
      </c>
      <c r="L358" t="s">
        <v>355</v>
      </c>
      <c r="M358" t="s">
        <v>356</v>
      </c>
      <c r="N358" s="73">
        <v>67258</v>
      </c>
      <c r="O358" s="73">
        <v>67258</v>
      </c>
      <c r="P358">
        <v>34.681374159610094</v>
      </c>
    </row>
    <row r="359" spans="1:16" x14ac:dyDescent="0.2">
      <c r="A359" s="73">
        <v>67258</v>
      </c>
      <c r="B359" t="s">
        <v>438</v>
      </c>
      <c r="C359" s="73" t="s">
        <v>439</v>
      </c>
      <c r="D359" t="s">
        <v>440</v>
      </c>
      <c r="E359" s="74">
        <v>46071</v>
      </c>
      <c r="F359" t="s">
        <v>406</v>
      </c>
      <c r="G359" t="s">
        <v>407</v>
      </c>
      <c r="H359" s="75">
        <f t="shared" si="5"/>
        <v>277.45099327688075</v>
      </c>
      <c r="I359" s="74">
        <v>46071</v>
      </c>
      <c r="J359">
        <v>8</v>
      </c>
      <c r="K359" t="s">
        <v>508</v>
      </c>
      <c r="L359" t="s">
        <v>355</v>
      </c>
      <c r="M359" t="s">
        <v>356</v>
      </c>
      <c r="N359" s="73">
        <v>67258</v>
      </c>
      <c r="O359" s="73">
        <v>67258</v>
      </c>
      <c r="P359">
        <v>34.681374159610094</v>
      </c>
    </row>
    <row r="360" spans="1:16" x14ac:dyDescent="0.2">
      <c r="A360" s="73">
        <v>67258</v>
      </c>
      <c r="B360" t="s">
        <v>438</v>
      </c>
      <c r="C360" s="73" t="s">
        <v>439</v>
      </c>
      <c r="D360" t="s">
        <v>440</v>
      </c>
      <c r="E360" s="74">
        <v>46072</v>
      </c>
      <c r="F360" t="s">
        <v>360</v>
      </c>
      <c r="G360" t="s">
        <v>361</v>
      </c>
      <c r="H360" s="75">
        <f t="shared" si="5"/>
        <v>277.45099327688075</v>
      </c>
      <c r="I360" s="74">
        <v>46072</v>
      </c>
      <c r="J360">
        <v>8</v>
      </c>
      <c r="K360" t="s">
        <v>508</v>
      </c>
      <c r="L360" t="s">
        <v>262</v>
      </c>
      <c r="M360" t="s">
        <v>356</v>
      </c>
      <c r="N360" s="73">
        <v>67258</v>
      </c>
      <c r="O360" s="73">
        <v>67258</v>
      </c>
      <c r="P360">
        <v>34.681374159610094</v>
      </c>
    </row>
    <row r="361" spans="1:16" x14ac:dyDescent="0.2">
      <c r="A361" s="73">
        <v>67258</v>
      </c>
      <c r="B361" t="s">
        <v>438</v>
      </c>
      <c r="C361" s="73" t="s">
        <v>439</v>
      </c>
      <c r="D361" t="s">
        <v>440</v>
      </c>
      <c r="E361" s="74">
        <v>46072</v>
      </c>
      <c r="F361" t="s">
        <v>406</v>
      </c>
      <c r="G361" t="s">
        <v>407</v>
      </c>
      <c r="H361" s="75">
        <f t="shared" si="5"/>
        <v>277.45099327688075</v>
      </c>
      <c r="I361" s="74">
        <v>46072</v>
      </c>
      <c r="J361">
        <v>8</v>
      </c>
      <c r="K361" t="s">
        <v>508</v>
      </c>
      <c r="L361" t="s">
        <v>355</v>
      </c>
      <c r="M361" t="s">
        <v>356</v>
      </c>
      <c r="N361" s="73">
        <v>67258</v>
      </c>
      <c r="O361" s="73">
        <v>67258</v>
      </c>
      <c r="P361">
        <v>34.681374159610094</v>
      </c>
    </row>
    <row r="362" spans="1:16" x14ac:dyDescent="0.2">
      <c r="A362" s="73">
        <v>67258</v>
      </c>
      <c r="B362" t="s">
        <v>438</v>
      </c>
      <c r="C362" s="73" t="s">
        <v>439</v>
      </c>
      <c r="D362" t="s">
        <v>440</v>
      </c>
      <c r="E362" s="74">
        <v>46076</v>
      </c>
      <c r="F362" t="s">
        <v>398</v>
      </c>
      <c r="G362" t="s">
        <v>399</v>
      </c>
      <c r="H362" s="75">
        <f t="shared" si="5"/>
        <v>242.76961911727065</v>
      </c>
      <c r="I362" s="74">
        <v>46076</v>
      </c>
      <c r="J362">
        <v>7</v>
      </c>
      <c r="K362" t="s">
        <v>508</v>
      </c>
      <c r="L362" t="s">
        <v>367</v>
      </c>
      <c r="M362" t="s">
        <v>356</v>
      </c>
      <c r="N362" s="73">
        <v>67258</v>
      </c>
      <c r="O362" s="73">
        <v>67258</v>
      </c>
      <c r="P362">
        <v>34.681374159610094</v>
      </c>
    </row>
    <row r="363" spans="1:16" x14ac:dyDescent="0.2">
      <c r="A363" s="73">
        <v>67258</v>
      </c>
      <c r="B363" t="s">
        <v>438</v>
      </c>
      <c r="C363" s="73" t="s">
        <v>439</v>
      </c>
      <c r="D363" t="s">
        <v>440</v>
      </c>
      <c r="E363" s="74">
        <v>46076</v>
      </c>
      <c r="F363" t="s">
        <v>357</v>
      </c>
      <c r="G363" t="s">
        <v>358</v>
      </c>
      <c r="H363" s="75">
        <f t="shared" si="5"/>
        <v>173.40687079805048</v>
      </c>
      <c r="I363" s="74">
        <v>46076</v>
      </c>
      <c r="J363">
        <v>5</v>
      </c>
      <c r="K363" t="s">
        <v>508</v>
      </c>
      <c r="L363" t="s">
        <v>359</v>
      </c>
      <c r="M363" t="s">
        <v>356</v>
      </c>
      <c r="N363" s="73">
        <v>67258</v>
      </c>
      <c r="O363" s="73">
        <v>67258</v>
      </c>
      <c r="P363">
        <v>34.681374159610094</v>
      </c>
    </row>
    <row r="364" spans="1:16" x14ac:dyDescent="0.2">
      <c r="A364" s="73">
        <v>67258</v>
      </c>
      <c r="B364" t="s">
        <v>438</v>
      </c>
      <c r="C364" s="73" t="s">
        <v>439</v>
      </c>
      <c r="D364" t="s">
        <v>440</v>
      </c>
      <c r="E364" s="74">
        <v>46076</v>
      </c>
      <c r="F364" t="s">
        <v>360</v>
      </c>
      <c r="G364" t="s">
        <v>361</v>
      </c>
      <c r="H364" s="75">
        <f t="shared" si="5"/>
        <v>277.45099327688075</v>
      </c>
      <c r="I364" s="74">
        <v>46076</v>
      </c>
      <c r="J364">
        <v>8</v>
      </c>
      <c r="K364" t="s">
        <v>508</v>
      </c>
      <c r="L364" t="s">
        <v>262</v>
      </c>
      <c r="M364" t="s">
        <v>356</v>
      </c>
      <c r="N364" s="73">
        <v>67258</v>
      </c>
      <c r="O364" s="73">
        <v>67258</v>
      </c>
      <c r="P364">
        <v>34.681374159610094</v>
      </c>
    </row>
    <row r="365" spans="1:16" x14ac:dyDescent="0.2">
      <c r="A365" s="73">
        <v>67258</v>
      </c>
      <c r="B365" t="s">
        <v>438</v>
      </c>
      <c r="C365" s="73" t="s">
        <v>439</v>
      </c>
      <c r="D365" t="s">
        <v>440</v>
      </c>
      <c r="E365" s="74">
        <v>46077</v>
      </c>
      <c r="F365" t="s">
        <v>398</v>
      </c>
      <c r="G365" t="s">
        <v>399</v>
      </c>
      <c r="H365" s="75">
        <f t="shared" si="5"/>
        <v>242.76961911727065</v>
      </c>
      <c r="I365" s="74">
        <v>46077</v>
      </c>
      <c r="J365">
        <v>7</v>
      </c>
      <c r="K365" t="s">
        <v>508</v>
      </c>
      <c r="L365" t="s">
        <v>367</v>
      </c>
      <c r="M365" t="s">
        <v>356</v>
      </c>
      <c r="N365" s="73">
        <v>67258</v>
      </c>
      <c r="O365" s="73">
        <v>67258</v>
      </c>
      <c r="P365">
        <v>34.681374159610094</v>
      </c>
    </row>
    <row r="366" spans="1:16" x14ac:dyDescent="0.2">
      <c r="A366" s="73">
        <v>67258</v>
      </c>
      <c r="B366" t="s">
        <v>438</v>
      </c>
      <c r="C366" s="73" t="s">
        <v>439</v>
      </c>
      <c r="D366" t="s">
        <v>440</v>
      </c>
      <c r="E366" s="74">
        <v>46077</v>
      </c>
      <c r="F366" t="s">
        <v>357</v>
      </c>
      <c r="G366" t="s">
        <v>358</v>
      </c>
      <c r="H366" s="75">
        <f t="shared" si="5"/>
        <v>173.40687079805048</v>
      </c>
      <c r="I366" s="74">
        <v>46077</v>
      </c>
      <c r="J366">
        <v>5</v>
      </c>
      <c r="K366" t="s">
        <v>508</v>
      </c>
      <c r="L366" t="s">
        <v>359</v>
      </c>
      <c r="M366" t="s">
        <v>356</v>
      </c>
      <c r="N366" s="73">
        <v>67258</v>
      </c>
      <c r="O366" s="73">
        <v>67258</v>
      </c>
      <c r="P366">
        <v>34.681374159610094</v>
      </c>
    </row>
    <row r="367" spans="1:16" x14ac:dyDescent="0.2">
      <c r="A367" s="73">
        <v>67258</v>
      </c>
      <c r="B367" t="s">
        <v>438</v>
      </c>
      <c r="C367" s="73" t="s">
        <v>439</v>
      </c>
      <c r="D367" t="s">
        <v>440</v>
      </c>
      <c r="E367" s="74">
        <v>46077</v>
      </c>
      <c r="F367" t="s">
        <v>360</v>
      </c>
      <c r="G367" t="s">
        <v>361</v>
      </c>
      <c r="H367" s="75">
        <f t="shared" si="5"/>
        <v>277.45099327688075</v>
      </c>
      <c r="I367" s="74">
        <v>46077</v>
      </c>
      <c r="J367">
        <v>8</v>
      </c>
      <c r="K367" t="s">
        <v>508</v>
      </c>
      <c r="L367" t="s">
        <v>262</v>
      </c>
      <c r="M367" t="s">
        <v>356</v>
      </c>
      <c r="N367" s="73">
        <v>67258</v>
      </c>
      <c r="O367" s="73">
        <v>67258</v>
      </c>
      <c r="P367">
        <v>34.681374159610094</v>
      </c>
    </row>
    <row r="368" spans="1:16" x14ac:dyDescent="0.2">
      <c r="A368" s="73">
        <v>67258</v>
      </c>
      <c r="B368" t="s">
        <v>438</v>
      </c>
      <c r="C368" s="73" t="s">
        <v>439</v>
      </c>
      <c r="D368" t="s">
        <v>440</v>
      </c>
      <c r="E368" s="74">
        <v>46078</v>
      </c>
      <c r="F368" t="s">
        <v>398</v>
      </c>
      <c r="G368" t="s">
        <v>399</v>
      </c>
      <c r="H368" s="75">
        <f t="shared" si="5"/>
        <v>242.76961911727065</v>
      </c>
      <c r="I368" s="74">
        <v>46078</v>
      </c>
      <c r="J368">
        <v>7</v>
      </c>
      <c r="K368" t="s">
        <v>508</v>
      </c>
      <c r="L368" t="s">
        <v>367</v>
      </c>
      <c r="M368" t="s">
        <v>356</v>
      </c>
      <c r="N368" s="73">
        <v>67258</v>
      </c>
      <c r="O368" s="73">
        <v>67258</v>
      </c>
      <c r="P368">
        <v>34.681374159610094</v>
      </c>
    </row>
    <row r="369" spans="1:16" x14ac:dyDescent="0.2">
      <c r="A369" s="73">
        <v>67258</v>
      </c>
      <c r="B369" t="s">
        <v>438</v>
      </c>
      <c r="C369" s="73" t="s">
        <v>439</v>
      </c>
      <c r="D369" t="s">
        <v>440</v>
      </c>
      <c r="E369" s="74">
        <v>46078</v>
      </c>
      <c r="F369" t="s">
        <v>357</v>
      </c>
      <c r="G369" t="s">
        <v>358</v>
      </c>
      <c r="H369" s="75">
        <f t="shared" si="5"/>
        <v>173.40687079805048</v>
      </c>
      <c r="I369" s="74">
        <v>46078</v>
      </c>
      <c r="J369">
        <v>5</v>
      </c>
      <c r="K369" t="s">
        <v>508</v>
      </c>
      <c r="L369" t="s">
        <v>359</v>
      </c>
      <c r="M369" t="s">
        <v>356</v>
      </c>
      <c r="N369" s="73">
        <v>67258</v>
      </c>
      <c r="O369" s="73">
        <v>67258</v>
      </c>
      <c r="P369">
        <v>34.681374159610094</v>
      </c>
    </row>
    <row r="370" spans="1:16" x14ac:dyDescent="0.2">
      <c r="A370" s="73">
        <v>67258</v>
      </c>
      <c r="B370" t="s">
        <v>438</v>
      </c>
      <c r="C370" s="73" t="s">
        <v>439</v>
      </c>
      <c r="D370" t="s">
        <v>440</v>
      </c>
      <c r="E370" s="74">
        <v>46078</v>
      </c>
      <c r="F370" t="s">
        <v>360</v>
      </c>
      <c r="G370" t="s">
        <v>361</v>
      </c>
      <c r="H370" s="75">
        <f t="shared" si="5"/>
        <v>277.45099327688075</v>
      </c>
      <c r="I370" s="74">
        <v>46078</v>
      </c>
      <c r="J370">
        <v>8</v>
      </c>
      <c r="K370" t="s">
        <v>508</v>
      </c>
      <c r="L370" t="s">
        <v>262</v>
      </c>
      <c r="M370" t="s">
        <v>356</v>
      </c>
      <c r="N370" s="73">
        <v>67258</v>
      </c>
      <c r="O370" s="73">
        <v>67258</v>
      </c>
      <c r="P370">
        <v>34.681374159610094</v>
      </c>
    </row>
    <row r="371" spans="1:16" x14ac:dyDescent="0.2">
      <c r="A371" s="73">
        <v>67258</v>
      </c>
      <c r="B371" t="s">
        <v>438</v>
      </c>
      <c r="C371" s="73" t="s">
        <v>439</v>
      </c>
      <c r="D371" t="s">
        <v>440</v>
      </c>
      <c r="E371" s="74">
        <v>46080</v>
      </c>
      <c r="F371" t="s">
        <v>357</v>
      </c>
      <c r="G371" t="s">
        <v>358</v>
      </c>
      <c r="H371" s="75">
        <f t="shared" si="5"/>
        <v>173.40687079805048</v>
      </c>
      <c r="I371" s="74">
        <v>46080</v>
      </c>
      <c r="J371">
        <v>5</v>
      </c>
      <c r="K371" t="s">
        <v>508</v>
      </c>
      <c r="L371" t="s">
        <v>359</v>
      </c>
      <c r="M371" t="s">
        <v>356</v>
      </c>
      <c r="N371" s="73">
        <v>67258</v>
      </c>
      <c r="O371" s="73">
        <v>67258</v>
      </c>
      <c r="P371">
        <v>34.681374159610094</v>
      </c>
    </row>
    <row r="372" spans="1:16" x14ac:dyDescent="0.2">
      <c r="A372" s="73">
        <v>67258</v>
      </c>
      <c r="B372" t="s">
        <v>438</v>
      </c>
      <c r="C372" s="73" t="s">
        <v>439</v>
      </c>
      <c r="D372" t="s">
        <v>440</v>
      </c>
      <c r="E372" s="74">
        <v>46080</v>
      </c>
      <c r="F372" t="s">
        <v>360</v>
      </c>
      <c r="G372" t="s">
        <v>361</v>
      </c>
      <c r="H372" s="75">
        <f t="shared" si="5"/>
        <v>277.45099327688075</v>
      </c>
      <c r="I372" s="74">
        <v>46080</v>
      </c>
      <c r="J372">
        <v>8</v>
      </c>
      <c r="K372" t="s">
        <v>508</v>
      </c>
      <c r="L372" t="s">
        <v>262</v>
      </c>
      <c r="M372" t="s">
        <v>356</v>
      </c>
      <c r="N372" s="73">
        <v>67258</v>
      </c>
      <c r="O372" s="73">
        <v>67258</v>
      </c>
      <c r="P372">
        <v>34.681374159610094</v>
      </c>
    </row>
    <row r="373" spans="1:16" x14ac:dyDescent="0.2">
      <c r="A373" s="73">
        <v>67258</v>
      </c>
      <c r="B373" t="s">
        <v>438</v>
      </c>
      <c r="C373" s="73" t="s">
        <v>439</v>
      </c>
      <c r="D373" t="s">
        <v>440</v>
      </c>
      <c r="E373" s="74">
        <v>46083</v>
      </c>
      <c r="F373" t="s">
        <v>357</v>
      </c>
      <c r="G373" t="s">
        <v>358</v>
      </c>
      <c r="H373" s="75">
        <f t="shared" si="5"/>
        <v>138.72549663844038</v>
      </c>
      <c r="I373" s="74">
        <v>46083</v>
      </c>
      <c r="J373">
        <v>4</v>
      </c>
      <c r="K373" t="s">
        <v>509</v>
      </c>
      <c r="L373" t="s">
        <v>359</v>
      </c>
      <c r="M373" t="s">
        <v>356</v>
      </c>
      <c r="N373" s="73">
        <v>67258</v>
      </c>
      <c r="O373" s="73">
        <v>67258</v>
      </c>
      <c r="P373">
        <v>34.681374159610094</v>
      </c>
    </row>
    <row r="374" spans="1:16" x14ac:dyDescent="0.2">
      <c r="A374" s="73">
        <v>67258</v>
      </c>
      <c r="B374" t="s">
        <v>438</v>
      </c>
      <c r="C374" s="73" t="s">
        <v>439</v>
      </c>
      <c r="D374" t="s">
        <v>440</v>
      </c>
      <c r="E374" s="74">
        <v>46083</v>
      </c>
      <c r="F374" t="s">
        <v>360</v>
      </c>
      <c r="G374" t="s">
        <v>361</v>
      </c>
      <c r="H374" s="75">
        <f t="shared" si="5"/>
        <v>277.45099327688075</v>
      </c>
      <c r="I374" s="74">
        <v>46083</v>
      </c>
      <c r="J374">
        <v>8</v>
      </c>
      <c r="K374" t="s">
        <v>509</v>
      </c>
      <c r="L374" t="s">
        <v>262</v>
      </c>
      <c r="M374" t="s">
        <v>356</v>
      </c>
      <c r="N374" s="73">
        <v>67258</v>
      </c>
      <c r="O374" s="73">
        <v>67258</v>
      </c>
      <c r="P374">
        <v>34.681374159610094</v>
      </c>
    </row>
    <row r="375" spans="1:16" x14ac:dyDescent="0.2">
      <c r="A375" s="73">
        <v>67258</v>
      </c>
      <c r="B375" t="s">
        <v>438</v>
      </c>
      <c r="C375" s="73" t="s">
        <v>439</v>
      </c>
      <c r="D375" t="s">
        <v>440</v>
      </c>
      <c r="E375" s="74">
        <v>46084</v>
      </c>
      <c r="F375" t="s">
        <v>357</v>
      </c>
      <c r="G375" t="s">
        <v>358</v>
      </c>
      <c r="H375" s="75">
        <f t="shared" si="5"/>
        <v>138.72549663844038</v>
      </c>
      <c r="I375" s="74">
        <v>46084</v>
      </c>
      <c r="J375">
        <v>4</v>
      </c>
      <c r="K375" t="s">
        <v>509</v>
      </c>
      <c r="L375" t="s">
        <v>359</v>
      </c>
      <c r="M375" t="s">
        <v>356</v>
      </c>
      <c r="N375" s="73">
        <v>67258</v>
      </c>
      <c r="O375" s="73">
        <v>67258</v>
      </c>
      <c r="P375">
        <v>34.681374159610094</v>
      </c>
    </row>
    <row r="376" spans="1:16" x14ac:dyDescent="0.2">
      <c r="A376" s="73">
        <v>67258</v>
      </c>
      <c r="B376" t="s">
        <v>438</v>
      </c>
      <c r="C376" s="73" t="s">
        <v>439</v>
      </c>
      <c r="D376" t="s">
        <v>440</v>
      </c>
      <c r="E376" s="74">
        <v>46084</v>
      </c>
      <c r="F376" t="s">
        <v>360</v>
      </c>
      <c r="G376" t="s">
        <v>361</v>
      </c>
      <c r="H376" s="75">
        <f t="shared" si="5"/>
        <v>277.45099327688075</v>
      </c>
      <c r="I376" s="74">
        <v>46084</v>
      </c>
      <c r="J376">
        <v>8</v>
      </c>
      <c r="K376" t="s">
        <v>509</v>
      </c>
      <c r="L376" t="s">
        <v>262</v>
      </c>
      <c r="M376" t="s">
        <v>356</v>
      </c>
      <c r="N376" s="73">
        <v>67258</v>
      </c>
      <c r="O376" s="73">
        <v>67258</v>
      </c>
      <c r="P376">
        <v>34.681374159610094</v>
      </c>
    </row>
    <row r="377" spans="1:16" x14ac:dyDescent="0.2">
      <c r="A377" s="73">
        <v>67258</v>
      </c>
      <c r="B377" t="s">
        <v>438</v>
      </c>
      <c r="C377" s="73" t="s">
        <v>439</v>
      </c>
      <c r="D377" t="s">
        <v>440</v>
      </c>
      <c r="E377" s="74">
        <v>46085</v>
      </c>
      <c r="F377" t="s">
        <v>357</v>
      </c>
      <c r="G377" t="s">
        <v>358</v>
      </c>
      <c r="H377" s="75">
        <f t="shared" si="5"/>
        <v>138.72549663844038</v>
      </c>
      <c r="I377" s="74">
        <v>46085</v>
      </c>
      <c r="J377">
        <v>4</v>
      </c>
      <c r="K377" t="s">
        <v>509</v>
      </c>
      <c r="L377" t="s">
        <v>359</v>
      </c>
      <c r="M377" t="s">
        <v>356</v>
      </c>
      <c r="N377" s="73">
        <v>67258</v>
      </c>
      <c r="O377" s="73">
        <v>67258</v>
      </c>
      <c r="P377">
        <v>34.681374159610094</v>
      </c>
    </row>
    <row r="378" spans="1:16" x14ac:dyDescent="0.2">
      <c r="A378" s="73">
        <v>67258</v>
      </c>
      <c r="B378" t="s">
        <v>438</v>
      </c>
      <c r="C378" s="73" t="s">
        <v>439</v>
      </c>
      <c r="D378" t="s">
        <v>440</v>
      </c>
      <c r="E378" s="74">
        <v>46085</v>
      </c>
      <c r="F378" t="s">
        <v>360</v>
      </c>
      <c r="G378" t="s">
        <v>361</v>
      </c>
      <c r="H378" s="75">
        <f t="shared" si="5"/>
        <v>277.45099327688075</v>
      </c>
      <c r="I378" s="74">
        <v>46085</v>
      </c>
      <c r="J378">
        <v>8</v>
      </c>
      <c r="K378" t="s">
        <v>509</v>
      </c>
      <c r="L378" t="s">
        <v>262</v>
      </c>
      <c r="M378" t="s">
        <v>356</v>
      </c>
      <c r="N378" s="73">
        <v>67258</v>
      </c>
      <c r="O378" s="73">
        <v>67258</v>
      </c>
      <c r="P378">
        <v>34.681374159610094</v>
      </c>
    </row>
    <row r="379" spans="1:16" x14ac:dyDescent="0.2">
      <c r="A379" s="73">
        <v>67258</v>
      </c>
      <c r="B379" t="s">
        <v>438</v>
      </c>
      <c r="C379" s="73" t="s">
        <v>439</v>
      </c>
      <c r="D379" t="s">
        <v>440</v>
      </c>
      <c r="E379" s="74">
        <v>46086</v>
      </c>
      <c r="F379" t="s">
        <v>357</v>
      </c>
      <c r="G379" t="s">
        <v>358</v>
      </c>
      <c r="H379" s="75">
        <f t="shared" si="5"/>
        <v>138.72549663844038</v>
      </c>
      <c r="I379" s="74">
        <v>46086</v>
      </c>
      <c r="J379">
        <v>4</v>
      </c>
      <c r="K379" t="s">
        <v>509</v>
      </c>
      <c r="L379" t="s">
        <v>359</v>
      </c>
      <c r="M379" t="s">
        <v>356</v>
      </c>
      <c r="N379" s="73">
        <v>67258</v>
      </c>
      <c r="O379" s="73">
        <v>67258</v>
      </c>
      <c r="P379">
        <v>34.681374159610094</v>
      </c>
    </row>
    <row r="380" spans="1:16" x14ac:dyDescent="0.2">
      <c r="A380" s="73">
        <v>67258</v>
      </c>
      <c r="B380" t="s">
        <v>438</v>
      </c>
      <c r="C380" s="73" t="s">
        <v>439</v>
      </c>
      <c r="D380" t="s">
        <v>440</v>
      </c>
      <c r="E380" s="74">
        <v>46086</v>
      </c>
      <c r="F380" t="s">
        <v>360</v>
      </c>
      <c r="G380" t="s">
        <v>361</v>
      </c>
      <c r="H380" s="75">
        <f t="shared" si="5"/>
        <v>277.45099327688075</v>
      </c>
      <c r="I380" s="74">
        <v>46086</v>
      </c>
      <c r="J380">
        <v>8</v>
      </c>
      <c r="K380" t="s">
        <v>509</v>
      </c>
      <c r="L380" t="s">
        <v>262</v>
      </c>
      <c r="M380" t="s">
        <v>356</v>
      </c>
      <c r="N380" s="73">
        <v>67258</v>
      </c>
      <c r="O380" s="73">
        <v>67258</v>
      </c>
      <c r="P380">
        <v>34.681374159610094</v>
      </c>
    </row>
    <row r="381" spans="1:16" x14ac:dyDescent="0.2">
      <c r="A381" s="73">
        <v>67258</v>
      </c>
      <c r="B381" t="s">
        <v>438</v>
      </c>
      <c r="C381" s="73" t="s">
        <v>439</v>
      </c>
      <c r="D381" t="s">
        <v>440</v>
      </c>
      <c r="E381" s="74">
        <v>46087</v>
      </c>
      <c r="F381" t="s">
        <v>357</v>
      </c>
      <c r="G381" t="s">
        <v>358</v>
      </c>
      <c r="H381" s="75">
        <f t="shared" si="5"/>
        <v>138.72549663844038</v>
      </c>
      <c r="I381" s="74">
        <v>46087</v>
      </c>
      <c r="J381">
        <v>4</v>
      </c>
      <c r="K381" t="s">
        <v>509</v>
      </c>
      <c r="L381" t="s">
        <v>359</v>
      </c>
      <c r="M381" t="s">
        <v>356</v>
      </c>
      <c r="N381" s="73">
        <v>67258</v>
      </c>
      <c r="O381" s="73">
        <v>67258</v>
      </c>
      <c r="P381">
        <v>34.681374159610094</v>
      </c>
    </row>
    <row r="382" spans="1:16" x14ac:dyDescent="0.2">
      <c r="A382" s="73">
        <v>67258</v>
      </c>
      <c r="B382" t="s">
        <v>438</v>
      </c>
      <c r="C382" s="73" t="s">
        <v>439</v>
      </c>
      <c r="D382" t="s">
        <v>440</v>
      </c>
      <c r="E382" s="74">
        <v>46087</v>
      </c>
      <c r="F382" t="s">
        <v>360</v>
      </c>
      <c r="G382" t="s">
        <v>361</v>
      </c>
      <c r="H382" s="75">
        <f t="shared" si="5"/>
        <v>277.45099327688075</v>
      </c>
      <c r="I382" s="74">
        <v>46087</v>
      </c>
      <c r="J382">
        <v>8</v>
      </c>
      <c r="K382" t="s">
        <v>509</v>
      </c>
      <c r="L382" t="s">
        <v>262</v>
      </c>
      <c r="M382" t="s">
        <v>356</v>
      </c>
      <c r="N382" s="73">
        <v>67258</v>
      </c>
      <c r="O382" s="73">
        <v>67258</v>
      </c>
      <c r="P382">
        <v>34.681374159610094</v>
      </c>
    </row>
    <row r="383" spans="1:16" x14ac:dyDescent="0.2">
      <c r="A383" s="73">
        <v>67258</v>
      </c>
      <c r="B383" t="s">
        <v>438</v>
      </c>
      <c r="C383" s="73" t="s">
        <v>439</v>
      </c>
      <c r="D383" t="s">
        <v>440</v>
      </c>
      <c r="E383" s="74">
        <v>46090</v>
      </c>
      <c r="F383" t="s">
        <v>360</v>
      </c>
      <c r="G383" t="s">
        <v>361</v>
      </c>
      <c r="H383" s="75">
        <f t="shared" si="5"/>
        <v>277.45099327688075</v>
      </c>
      <c r="I383" s="74">
        <v>46090</v>
      </c>
      <c r="J383">
        <v>8</v>
      </c>
      <c r="K383" t="s">
        <v>509</v>
      </c>
      <c r="L383" t="s">
        <v>262</v>
      </c>
      <c r="M383" t="s">
        <v>356</v>
      </c>
      <c r="N383" s="73">
        <v>67258</v>
      </c>
      <c r="O383" s="73">
        <v>67258</v>
      </c>
      <c r="P383">
        <v>34.681374159610094</v>
      </c>
    </row>
    <row r="384" spans="1:16" x14ac:dyDescent="0.2">
      <c r="A384" s="73">
        <v>67258</v>
      </c>
      <c r="B384" t="s">
        <v>438</v>
      </c>
      <c r="C384" s="73" t="s">
        <v>439</v>
      </c>
      <c r="D384" t="s">
        <v>440</v>
      </c>
      <c r="E384" s="74">
        <v>46091</v>
      </c>
      <c r="F384" t="s">
        <v>360</v>
      </c>
      <c r="G384" t="s">
        <v>361</v>
      </c>
      <c r="H384" s="75">
        <f t="shared" si="5"/>
        <v>277.45099327688075</v>
      </c>
      <c r="I384" s="74">
        <v>46091</v>
      </c>
      <c r="J384">
        <v>8</v>
      </c>
      <c r="K384" t="s">
        <v>509</v>
      </c>
      <c r="L384" t="s">
        <v>262</v>
      </c>
      <c r="M384" t="s">
        <v>356</v>
      </c>
      <c r="N384" s="73">
        <v>67258</v>
      </c>
      <c r="O384" s="73">
        <v>67258</v>
      </c>
      <c r="P384">
        <v>34.681374159610094</v>
      </c>
    </row>
    <row r="385" spans="1:16" x14ac:dyDescent="0.2">
      <c r="A385" s="73">
        <v>67258</v>
      </c>
      <c r="B385" t="s">
        <v>438</v>
      </c>
      <c r="C385" s="73" t="s">
        <v>439</v>
      </c>
      <c r="D385" t="s">
        <v>440</v>
      </c>
      <c r="E385" s="74">
        <v>46091</v>
      </c>
      <c r="F385" t="s">
        <v>357</v>
      </c>
      <c r="G385" t="s">
        <v>358</v>
      </c>
      <c r="H385" s="75">
        <f t="shared" si="5"/>
        <v>242.76961911727065</v>
      </c>
      <c r="I385" s="74">
        <v>46091</v>
      </c>
      <c r="J385">
        <v>7</v>
      </c>
      <c r="K385" t="s">
        <v>509</v>
      </c>
      <c r="L385" t="s">
        <v>359</v>
      </c>
      <c r="M385" t="s">
        <v>356</v>
      </c>
      <c r="N385" s="73">
        <v>67258</v>
      </c>
      <c r="O385" s="73">
        <v>67258</v>
      </c>
      <c r="P385">
        <v>34.681374159610094</v>
      </c>
    </row>
    <row r="386" spans="1:16" x14ac:dyDescent="0.2">
      <c r="A386" s="73">
        <v>67258</v>
      </c>
      <c r="B386" t="s">
        <v>438</v>
      </c>
      <c r="C386" s="73" t="s">
        <v>439</v>
      </c>
      <c r="D386" t="s">
        <v>440</v>
      </c>
      <c r="E386" s="74">
        <v>46092</v>
      </c>
      <c r="F386" t="s">
        <v>360</v>
      </c>
      <c r="G386" t="s">
        <v>361</v>
      </c>
      <c r="H386" s="75">
        <f t="shared" ref="H386:H449" si="6">J386*P386</f>
        <v>277.45099327688075</v>
      </c>
      <c r="I386" s="74">
        <v>46092</v>
      </c>
      <c r="J386">
        <v>8</v>
      </c>
      <c r="K386" t="s">
        <v>509</v>
      </c>
      <c r="L386" t="s">
        <v>262</v>
      </c>
      <c r="M386" t="s">
        <v>356</v>
      </c>
      <c r="N386" s="73">
        <v>67258</v>
      </c>
      <c r="O386" s="73">
        <v>67258</v>
      </c>
      <c r="P386">
        <v>34.681374159610094</v>
      </c>
    </row>
    <row r="387" spans="1:16" x14ac:dyDescent="0.2">
      <c r="A387" s="73">
        <v>67258</v>
      </c>
      <c r="B387" t="s">
        <v>438</v>
      </c>
      <c r="C387" s="73" t="s">
        <v>439</v>
      </c>
      <c r="D387" t="s">
        <v>440</v>
      </c>
      <c r="E387" s="74">
        <v>46092</v>
      </c>
      <c r="F387" t="s">
        <v>357</v>
      </c>
      <c r="G387" t="s">
        <v>358</v>
      </c>
      <c r="H387" s="75">
        <f t="shared" si="6"/>
        <v>242.76961911727065</v>
      </c>
      <c r="I387" s="74">
        <v>46092</v>
      </c>
      <c r="J387">
        <v>7</v>
      </c>
      <c r="K387" t="s">
        <v>509</v>
      </c>
      <c r="L387" t="s">
        <v>359</v>
      </c>
      <c r="M387" t="s">
        <v>356</v>
      </c>
      <c r="N387" s="73">
        <v>67258</v>
      </c>
      <c r="O387" s="73">
        <v>67258</v>
      </c>
      <c r="P387">
        <v>34.681374159610094</v>
      </c>
    </row>
    <row r="388" spans="1:16" x14ac:dyDescent="0.2">
      <c r="A388" s="73">
        <v>67258</v>
      </c>
      <c r="B388" t="s">
        <v>438</v>
      </c>
      <c r="C388" s="73" t="s">
        <v>439</v>
      </c>
      <c r="D388" t="s">
        <v>440</v>
      </c>
      <c r="E388" s="74">
        <v>46093</v>
      </c>
      <c r="F388" t="s">
        <v>360</v>
      </c>
      <c r="G388" t="s">
        <v>361</v>
      </c>
      <c r="H388" s="75">
        <f t="shared" si="6"/>
        <v>277.45099327688075</v>
      </c>
      <c r="I388" s="74">
        <v>46093</v>
      </c>
      <c r="J388">
        <v>8</v>
      </c>
      <c r="K388" t="s">
        <v>509</v>
      </c>
      <c r="L388" t="s">
        <v>262</v>
      </c>
      <c r="M388" t="s">
        <v>356</v>
      </c>
      <c r="N388" s="73">
        <v>67258</v>
      </c>
      <c r="O388" s="73">
        <v>67258</v>
      </c>
      <c r="P388">
        <v>34.681374159610094</v>
      </c>
    </row>
    <row r="389" spans="1:16" x14ac:dyDescent="0.2">
      <c r="A389" s="73">
        <v>67258</v>
      </c>
      <c r="B389" t="s">
        <v>438</v>
      </c>
      <c r="C389" s="73" t="s">
        <v>439</v>
      </c>
      <c r="D389" t="s">
        <v>440</v>
      </c>
      <c r="E389" s="74">
        <v>46093</v>
      </c>
      <c r="F389" t="s">
        <v>357</v>
      </c>
      <c r="G389" t="s">
        <v>358</v>
      </c>
      <c r="H389" s="75">
        <f t="shared" si="6"/>
        <v>242.76961911727065</v>
      </c>
      <c r="I389" s="74">
        <v>46093</v>
      </c>
      <c r="J389">
        <v>7</v>
      </c>
      <c r="K389" t="s">
        <v>509</v>
      </c>
      <c r="L389" t="s">
        <v>359</v>
      </c>
      <c r="M389" t="s">
        <v>356</v>
      </c>
      <c r="N389" s="73">
        <v>67258</v>
      </c>
      <c r="O389" s="73">
        <v>67258</v>
      </c>
      <c r="P389">
        <v>34.681374159610094</v>
      </c>
    </row>
    <row r="390" spans="1:16" x14ac:dyDescent="0.2">
      <c r="A390" s="73">
        <v>67258</v>
      </c>
      <c r="B390" t="s">
        <v>438</v>
      </c>
      <c r="C390" s="73" t="s">
        <v>439</v>
      </c>
      <c r="D390" t="s">
        <v>440</v>
      </c>
      <c r="E390" s="74">
        <v>46094</v>
      </c>
      <c r="F390" t="s">
        <v>357</v>
      </c>
      <c r="G390" t="s">
        <v>358</v>
      </c>
      <c r="H390" s="75">
        <f t="shared" si="6"/>
        <v>242.76961911727065</v>
      </c>
      <c r="I390" s="74">
        <v>46094</v>
      </c>
      <c r="J390">
        <v>7</v>
      </c>
      <c r="K390" t="s">
        <v>509</v>
      </c>
      <c r="L390" t="s">
        <v>359</v>
      </c>
      <c r="M390" t="s">
        <v>356</v>
      </c>
      <c r="N390" s="73">
        <v>67258</v>
      </c>
      <c r="O390" s="73">
        <v>67258</v>
      </c>
      <c r="P390">
        <v>34.681374159610094</v>
      </c>
    </row>
    <row r="391" spans="1:16" x14ac:dyDescent="0.2">
      <c r="A391" s="73">
        <v>67258</v>
      </c>
      <c r="B391" t="s">
        <v>438</v>
      </c>
      <c r="C391" s="73" t="s">
        <v>439</v>
      </c>
      <c r="D391" t="s">
        <v>440</v>
      </c>
      <c r="E391" s="74">
        <v>46097</v>
      </c>
      <c r="F391" t="s">
        <v>357</v>
      </c>
      <c r="G391" t="s">
        <v>358</v>
      </c>
      <c r="H391" s="75">
        <f t="shared" si="6"/>
        <v>69.362748319220188</v>
      </c>
      <c r="I391" s="74">
        <v>46097</v>
      </c>
      <c r="J391">
        <v>2</v>
      </c>
      <c r="K391" t="s">
        <v>509</v>
      </c>
      <c r="L391" t="s">
        <v>359</v>
      </c>
      <c r="M391" t="s">
        <v>356</v>
      </c>
      <c r="N391" s="73">
        <v>67258</v>
      </c>
      <c r="O391" s="73">
        <v>67258</v>
      </c>
      <c r="P391">
        <v>34.681374159610094</v>
      </c>
    </row>
    <row r="392" spans="1:16" x14ac:dyDescent="0.2">
      <c r="A392" s="73">
        <v>67258</v>
      </c>
      <c r="B392" t="s">
        <v>438</v>
      </c>
      <c r="C392" s="73" t="s">
        <v>439</v>
      </c>
      <c r="D392" t="s">
        <v>440</v>
      </c>
      <c r="E392" s="74">
        <v>46098</v>
      </c>
      <c r="F392" t="s">
        <v>360</v>
      </c>
      <c r="G392" t="s">
        <v>361</v>
      </c>
      <c r="H392" s="75">
        <f t="shared" si="6"/>
        <v>277.45099327688075</v>
      </c>
      <c r="I392" s="74">
        <v>46098</v>
      </c>
      <c r="J392">
        <v>8</v>
      </c>
      <c r="K392" t="s">
        <v>509</v>
      </c>
      <c r="L392" t="s">
        <v>262</v>
      </c>
      <c r="M392" t="s">
        <v>356</v>
      </c>
      <c r="N392" s="73">
        <v>67258</v>
      </c>
      <c r="O392" s="73">
        <v>67258</v>
      </c>
      <c r="P392">
        <v>34.681374159610094</v>
      </c>
    </row>
    <row r="393" spans="1:16" x14ac:dyDescent="0.2">
      <c r="A393" s="73">
        <v>67258</v>
      </c>
      <c r="B393" t="s">
        <v>438</v>
      </c>
      <c r="C393" s="73" t="s">
        <v>439</v>
      </c>
      <c r="D393" t="s">
        <v>440</v>
      </c>
      <c r="E393" s="74">
        <v>46098</v>
      </c>
      <c r="F393" t="s">
        <v>357</v>
      </c>
      <c r="G393" t="s">
        <v>358</v>
      </c>
      <c r="H393" s="75">
        <f t="shared" si="6"/>
        <v>69.362748319220188</v>
      </c>
      <c r="I393" s="74">
        <v>46098</v>
      </c>
      <c r="J393">
        <v>2</v>
      </c>
      <c r="K393" t="s">
        <v>509</v>
      </c>
      <c r="L393" t="s">
        <v>359</v>
      </c>
      <c r="M393" t="s">
        <v>356</v>
      </c>
      <c r="N393" s="73">
        <v>67258</v>
      </c>
      <c r="O393" s="73">
        <v>67258</v>
      </c>
      <c r="P393">
        <v>34.681374159610094</v>
      </c>
    </row>
    <row r="394" spans="1:16" x14ac:dyDescent="0.2">
      <c r="A394" s="73">
        <v>67258</v>
      </c>
      <c r="B394" t="s">
        <v>438</v>
      </c>
      <c r="C394" s="73" t="s">
        <v>439</v>
      </c>
      <c r="D394" t="s">
        <v>440</v>
      </c>
      <c r="E394" s="74">
        <v>46099</v>
      </c>
      <c r="F394" t="s">
        <v>360</v>
      </c>
      <c r="G394" t="s">
        <v>361</v>
      </c>
      <c r="H394" s="75">
        <f t="shared" si="6"/>
        <v>277.45099327688075</v>
      </c>
      <c r="I394" s="74">
        <v>46099</v>
      </c>
      <c r="J394">
        <v>8</v>
      </c>
      <c r="K394" t="s">
        <v>509</v>
      </c>
      <c r="L394" t="s">
        <v>262</v>
      </c>
      <c r="M394" t="s">
        <v>356</v>
      </c>
      <c r="N394" s="73">
        <v>67258</v>
      </c>
      <c r="O394" s="73">
        <v>67258</v>
      </c>
      <c r="P394">
        <v>34.681374159610094</v>
      </c>
    </row>
    <row r="395" spans="1:16" x14ac:dyDescent="0.2">
      <c r="A395" s="73">
        <v>67258</v>
      </c>
      <c r="B395" t="s">
        <v>438</v>
      </c>
      <c r="C395" s="73" t="s">
        <v>439</v>
      </c>
      <c r="D395" t="s">
        <v>440</v>
      </c>
      <c r="E395" s="74">
        <v>46099</v>
      </c>
      <c r="F395" t="s">
        <v>398</v>
      </c>
      <c r="G395" t="s">
        <v>399</v>
      </c>
      <c r="H395" s="75">
        <f t="shared" si="6"/>
        <v>277.45099327688075</v>
      </c>
      <c r="I395" s="74">
        <v>46099</v>
      </c>
      <c r="J395">
        <v>8</v>
      </c>
      <c r="K395" t="s">
        <v>509</v>
      </c>
      <c r="L395" t="s">
        <v>367</v>
      </c>
      <c r="M395" t="s">
        <v>356</v>
      </c>
      <c r="N395" s="73">
        <v>67258</v>
      </c>
      <c r="O395" s="73">
        <v>67258</v>
      </c>
      <c r="P395">
        <v>34.681374159610094</v>
      </c>
    </row>
    <row r="396" spans="1:16" x14ac:dyDescent="0.2">
      <c r="A396" s="73">
        <v>67258</v>
      </c>
      <c r="B396" t="s">
        <v>438</v>
      </c>
      <c r="C396" s="73" t="s">
        <v>439</v>
      </c>
      <c r="D396" t="s">
        <v>440</v>
      </c>
      <c r="E396" s="74">
        <v>46099</v>
      </c>
      <c r="F396" t="s">
        <v>357</v>
      </c>
      <c r="G396" t="s">
        <v>358</v>
      </c>
      <c r="H396" s="75">
        <f t="shared" si="6"/>
        <v>69.362748319220188</v>
      </c>
      <c r="I396" s="74">
        <v>46099</v>
      </c>
      <c r="J396">
        <v>2</v>
      </c>
      <c r="K396" t="s">
        <v>509</v>
      </c>
      <c r="L396" t="s">
        <v>359</v>
      </c>
      <c r="M396" t="s">
        <v>356</v>
      </c>
      <c r="N396" s="73">
        <v>67258</v>
      </c>
      <c r="O396" s="73">
        <v>67258</v>
      </c>
      <c r="P396">
        <v>34.681374159610094</v>
      </c>
    </row>
    <row r="397" spans="1:16" x14ac:dyDescent="0.2">
      <c r="A397" s="73">
        <v>67258</v>
      </c>
      <c r="B397" t="s">
        <v>438</v>
      </c>
      <c r="C397" s="73" t="s">
        <v>439</v>
      </c>
      <c r="D397" t="s">
        <v>440</v>
      </c>
      <c r="E397" s="74">
        <v>46100</v>
      </c>
      <c r="F397" t="s">
        <v>360</v>
      </c>
      <c r="G397" t="s">
        <v>361</v>
      </c>
      <c r="H397" s="75">
        <f t="shared" si="6"/>
        <v>277.45099327688075</v>
      </c>
      <c r="I397" s="74">
        <v>46100</v>
      </c>
      <c r="J397">
        <v>8</v>
      </c>
      <c r="K397" t="s">
        <v>509</v>
      </c>
      <c r="L397" t="s">
        <v>262</v>
      </c>
      <c r="M397" t="s">
        <v>356</v>
      </c>
      <c r="N397" s="73">
        <v>67258</v>
      </c>
      <c r="O397" s="73">
        <v>67258</v>
      </c>
      <c r="P397">
        <v>34.681374159610094</v>
      </c>
    </row>
    <row r="398" spans="1:16" x14ac:dyDescent="0.2">
      <c r="A398" s="73">
        <v>67258</v>
      </c>
      <c r="B398" t="s">
        <v>438</v>
      </c>
      <c r="C398" s="73" t="s">
        <v>439</v>
      </c>
      <c r="D398" t="s">
        <v>440</v>
      </c>
      <c r="E398" s="74">
        <v>46100</v>
      </c>
      <c r="F398" t="s">
        <v>398</v>
      </c>
      <c r="G398" t="s">
        <v>399</v>
      </c>
      <c r="H398" s="75">
        <f t="shared" si="6"/>
        <v>277.45099327688075</v>
      </c>
      <c r="I398" s="74">
        <v>46100</v>
      </c>
      <c r="J398">
        <v>8</v>
      </c>
      <c r="K398" t="s">
        <v>509</v>
      </c>
      <c r="L398" t="s">
        <v>367</v>
      </c>
      <c r="M398" t="s">
        <v>356</v>
      </c>
      <c r="N398" s="73">
        <v>67258</v>
      </c>
      <c r="O398" s="73">
        <v>67258</v>
      </c>
      <c r="P398">
        <v>34.681374159610094</v>
      </c>
    </row>
    <row r="399" spans="1:16" x14ac:dyDescent="0.2">
      <c r="A399" s="73">
        <v>67258</v>
      </c>
      <c r="B399" t="s">
        <v>438</v>
      </c>
      <c r="C399" s="73" t="s">
        <v>439</v>
      </c>
      <c r="D399" t="s">
        <v>440</v>
      </c>
      <c r="E399" s="74">
        <v>46100</v>
      </c>
      <c r="F399" t="s">
        <v>357</v>
      </c>
      <c r="G399" t="s">
        <v>358</v>
      </c>
      <c r="H399" s="75">
        <f t="shared" si="6"/>
        <v>69.362748319220188</v>
      </c>
      <c r="I399" s="74">
        <v>46100</v>
      </c>
      <c r="J399">
        <v>2</v>
      </c>
      <c r="K399" t="s">
        <v>509</v>
      </c>
      <c r="L399" t="s">
        <v>359</v>
      </c>
      <c r="M399" t="s">
        <v>356</v>
      </c>
      <c r="N399" s="73">
        <v>67258</v>
      </c>
      <c r="O399" s="73">
        <v>67258</v>
      </c>
      <c r="P399">
        <v>34.681374159610094</v>
      </c>
    </row>
    <row r="400" spans="1:16" x14ac:dyDescent="0.2">
      <c r="A400" s="73">
        <v>67258</v>
      </c>
      <c r="B400" t="s">
        <v>438</v>
      </c>
      <c r="C400" s="73" t="s">
        <v>439</v>
      </c>
      <c r="D400" t="s">
        <v>440</v>
      </c>
      <c r="E400" s="74">
        <v>46101</v>
      </c>
      <c r="F400" t="s">
        <v>357</v>
      </c>
      <c r="G400" t="s">
        <v>358</v>
      </c>
      <c r="H400" s="75">
        <f t="shared" si="6"/>
        <v>-69.362748319220188</v>
      </c>
      <c r="I400" s="74">
        <v>46101</v>
      </c>
      <c r="J400">
        <v>-2</v>
      </c>
      <c r="K400" t="s">
        <v>509</v>
      </c>
      <c r="L400" t="s">
        <v>359</v>
      </c>
      <c r="M400" t="s">
        <v>356</v>
      </c>
      <c r="N400" s="73">
        <v>67258</v>
      </c>
      <c r="O400" s="73">
        <v>67258</v>
      </c>
      <c r="P400">
        <v>34.681374159610094</v>
      </c>
    </row>
    <row r="401" spans="1:16" x14ac:dyDescent="0.2">
      <c r="A401" s="73">
        <v>67258</v>
      </c>
      <c r="B401" t="s">
        <v>438</v>
      </c>
      <c r="C401" s="73" t="s">
        <v>439</v>
      </c>
      <c r="D401" t="s">
        <v>440</v>
      </c>
      <c r="E401" s="74">
        <v>46101</v>
      </c>
      <c r="F401" t="s">
        <v>357</v>
      </c>
      <c r="G401" t="s">
        <v>358</v>
      </c>
      <c r="H401" s="75">
        <f t="shared" si="6"/>
        <v>69.362748319220188</v>
      </c>
      <c r="I401" s="74">
        <v>46101</v>
      </c>
      <c r="J401">
        <v>2</v>
      </c>
      <c r="K401" t="s">
        <v>509</v>
      </c>
      <c r="L401" t="s">
        <v>359</v>
      </c>
      <c r="M401" t="s">
        <v>356</v>
      </c>
      <c r="N401" s="73">
        <v>67258</v>
      </c>
      <c r="O401" s="73">
        <v>67258</v>
      </c>
      <c r="P401">
        <v>34.681374159610094</v>
      </c>
    </row>
    <row r="402" spans="1:16" x14ac:dyDescent="0.2">
      <c r="A402" s="73">
        <v>67258</v>
      </c>
      <c r="B402" t="s">
        <v>438</v>
      </c>
      <c r="C402" s="73" t="s">
        <v>439</v>
      </c>
      <c r="D402" t="s">
        <v>440</v>
      </c>
      <c r="E402" s="74">
        <v>46104</v>
      </c>
      <c r="F402" t="s">
        <v>360</v>
      </c>
      <c r="G402" t="s">
        <v>361</v>
      </c>
      <c r="H402" s="75">
        <f t="shared" si="6"/>
        <v>277.45099327688075</v>
      </c>
      <c r="I402" s="74">
        <v>46104</v>
      </c>
      <c r="J402">
        <v>8</v>
      </c>
      <c r="K402" t="s">
        <v>509</v>
      </c>
      <c r="L402" t="s">
        <v>262</v>
      </c>
      <c r="M402" t="s">
        <v>356</v>
      </c>
      <c r="N402" s="73">
        <v>67258</v>
      </c>
      <c r="O402" s="73">
        <v>67258</v>
      </c>
      <c r="P402">
        <v>34.681374159610094</v>
      </c>
    </row>
    <row r="403" spans="1:16" x14ac:dyDescent="0.2">
      <c r="A403" s="73">
        <v>67258</v>
      </c>
      <c r="B403" t="s">
        <v>438</v>
      </c>
      <c r="C403" s="73" t="s">
        <v>439</v>
      </c>
      <c r="D403" t="s">
        <v>440</v>
      </c>
      <c r="E403" s="74">
        <v>46104</v>
      </c>
      <c r="F403" t="s">
        <v>357</v>
      </c>
      <c r="G403" t="s">
        <v>358</v>
      </c>
      <c r="H403" s="75">
        <f t="shared" si="6"/>
        <v>208.08824495766055</v>
      </c>
      <c r="I403" s="74">
        <v>46104</v>
      </c>
      <c r="J403">
        <v>6</v>
      </c>
      <c r="K403" t="s">
        <v>509</v>
      </c>
      <c r="L403" t="s">
        <v>359</v>
      </c>
      <c r="M403" t="s">
        <v>356</v>
      </c>
      <c r="N403" s="73">
        <v>67258</v>
      </c>
      <c r="O403" s="73">
        <v>67258</v>
      </c>
      <c r="P403">
        <v>34.681374159610094</v>
      </c>
    </row>
    <row r="404" spans="1:16" x14ac:dyDescent="0.2">
      <c r="A404" s="73">
        <v>67258</v>
      </c>
      <c r="B404" t="s">
        <v>438</v>
      </c>
      <c r="C404" s="73" t="s">
        <v>439</v>
      </c>
      <c r="D404" t="s">
        <v>440</v>
      </c>
      <c r="E404" s="74">
        <v>46105</v>
      </c>
      <c r="F404" t="s">
        <v>360</v>
      </c>
      <c r="G404" t="s">
        <v>361</v>
      </c>
      <c r="H404" s="75">
        <f t="shared" si="6"/>
        <v>277.45099327688075</v>
      </c>
      <c r="I404" s="74">
        <v>46105</v>
      </c>
      <c r="J404">
        <v>8</v>
      </c>
      <c r="K404" t="s">
        <v>509</v>
      </c>
      <c r="L404" t="s">
        <v>262</v>
      </c>
      <c r="M404" t="s">
        <v>356</v>
      </c>
      <c r="N404" s="73">
        <v>67258</v>
      </c>
      <c r="O404" s="73">
        <v>67258</v>
      </c>
      <c r="P404">
        <v>34.681374159610094</v>
      </c>
    </row>
    <row r="405" spans="1:16" x14ac:dyDescent="0.2">
      <c r="A405" s="73">
        <v>67258</v>
      </c>
      <c r="B405" t="s">
        <v>438</v>
      </c>
      <c r="C405" s="73" t="s">
        <v>439</v>
      </c>
      <c r="D405" t="s">
        <v>440</v>
      </c>
      <c r="E405" s="74">
        <v>46105</v>
      </c>
      <c r="F405" t="s">
        <v>357</v>
      </c>
      <c r="G405" t="s">
        <v>358</v>
      </c>
      <c r="H405" s="75">
        <f t="shared" si="6"/>
        <v>208.08824495766055</v>
      </c>
      <c r="I405" s="74">
        <v>46105</v>
      </c>
      <c r="J405">
        <v>6</v>
      </c>
      <c r="K405" t="s">
        <v>509</v>
      </c>
      <c r="L405" t="s">
        <v>359</v>
      </c>
      <c r="M405" t="s">
        <v>356</v>
      </c>
      <c r="N405" s="73">
        <v>67258</v>
      </c>
      <c r="O405" s="73">
        <v>67258</v>
      </c>
      <c r="P405">
        <v>34.681374159610094</v>
      </c>
    </row>
    <row r="406" spans="1:16" x14ac:dyDescent="0.2">
      <c r="A406" s="73">
        <v>67258</v>
      </c>
      <c r="B406" t="s">
        <v>438</v>
      </c>
      <c r="C406" s="73" t="s">
        <v>439</v>
      </c>
      <c r="D406" t="s">
        <v>440</v>
      </c>
      <c r="E406" s="74">
        <v>46106</v>
      </c>
      <c r="F406" t="s">
        <v>357</v>
      </c>
      <c r="G406" t="s">
        <v>358</v>
      </c>
      <c r="H406" s="75">
        <f t="shared" si="6"/>
        <v>208.08824495766055</v>
      </c>
      <c r="I406" s="74">
        <v>46106</v>
      </c>
      <c r="J406">
        <v>6</v>
      </c>
      <c r="K406" t="s">
        <v>509</v>
      </c>
      <c r="L406" t="s">
        <v>359</v>
      </c>
      <c r="M406" t="s">
        <v>356</v>
      </c>
      <c r="N406" s="73">
        <v>67258</v>
      </c>
      <c r="O406" s="73">
        <v>67258</v>
      </c>
      <c r="P406">
        <v>34.681374159610094</v>
      </c>
    </row>
    <row r="407" spans="1:16" x14ac:dyDescent="0.2">
      <c r="A407" s="73">
        <v>67258</v>
      </c>
      <c r="B407" t="s">
        <v>438</v>
      </c>
      <c r="C407" s="73" t="s">
        <v>439</v>
      </c>
      <c r="D407" t="s">
        <v>440</v>
      </c>
      <c r="E407" s="74">
        <v>46107</v>
      </c>
      <c r="F407" t="s">
        <v>357</v>
      </c>
      <c r="G407" t="s">
        <v>358</v>
      </c>
      <c r="H407" s="75">
        <f t="shared" si="6"/>
        <v>208.08824495766055</v>
      </c>
      <c r="I407" s="74">
        <v>46107</v>
      </c>
      <c r="J407">
        <v>6</v>
      </c>
      <c r="K407" t="s">
        <v>509</v>
      </c>
      <c r="L407" t="s">
        <v>359</v>
      </c>
      <c r="M407" t="s">
        <v>356</v>
      </c>
      <c r="N407" s="73">
        <v>67258</v>
      </c>
      <c r="O407" s="73">
        <v>67258</v>
      </c>
      <c r="P407">
        <v>34.681374159610094</v>
      </c>
    </row>
    <row r="408" spans="1:16" x14ac:dyDescent="0.2">
      <c r="A408" s="73">
        <v>67258</v>
      </c>
      <c r="B408" t="s">
        <v>438</v>
      </c>
      <c r="C408" s="73" t="s">
        <v>439</v>
      </c>
      <c r="D408" t="s">
        <v>440</v>
      </c>
      <c r="E408" s="74">
        <v>46111</v>
      </c>
      <c r="F408" t="s">
        <v>357</v>
      </c>
      <c r="G408" t="s">
        <v>358</v>
      </c>
      <c r="H408" s="75">
        <f t="shared" si="6"/>
        <v>138.72549663844038</v>
      </c>
      <c r="I408" s="74">
        <v>46111</v>
      </c>
      <c r="J408">
        <v>4</v>
      </c>
      <c r="K408" t="s">
        <v>509</v>
      </c>
      <c r="L408" t="s">
        <v>359</v>
      </c>
      <c r="M408" t="s">
        <v>356</v>
      </c>
      <c r="N408" s="73">
        <v>67258</v>
      </c>
      <c r="O408" s="73">
        <v>67258</v>
      </c>
      <c r="P408">
        <v>34.681374159610094</v>
      </c>
    </row>
    <row r="409" spans="1:16" x14ac:dyDescent="0.2">
      <c r="A409" s="73">
        <v>67258</v>
      </c>
      <c r="B409" t="s">
        <v>438</v>
      </c>
      <c r="C409" s="73" t="s">
        <v>439</v>
      </c>
      <c r="D409" t="s">
        <v>440</v>
      </c>
      <c r="E409" s="74">
        <v>46112</v>
      </c>
      <c r="F409" t="s">
        <v>357</v>
      </c>
      <c r="G409" t="s">
        <v>358</v>
      </c>
      <c r="H409" s="75">
        <f t="shared" si="6"/>
        <v>138.72549663844038</v>
      </c>
      <c r="I409" s="74">
        <v>46112</v>
      </c>
      <c r="J409">
        <v>4</v>
      </c>
      <c r="K409" t="s">
        <v>509</v>
      </c>
      <c r="L409" t="s">
        <v>359</v>
      </c>
      <c r="M409" t="s">
        <v>356</v>
      </c>
      <c r="N409" s="73">
        <v>67258</v>
      </c>
      <c r="O409" s="73">
        <v>67258</v>
      </c>
      <c r="P409">
        <v>34.681374159610094</v>
      </c>
    </row>
    <row r="410" spans="1:16" x14ac:dyDescent="0.2">
      <c r="A410" s="73">
        <v>67258</v>
      </c>
      <c r="B410" t="s">
        <v>438</v>
      </c>
      <c r="C410" s="73" t="s">
        <v>439</v>
      </c>
      <c r="D410" t="s">
        <v>440</v>
      </c>
      <c r="E410" s="74">
        <v>46113</v>
      </c>
      <c r="F410" t="s">
        <v>357</v>
      </c>
      <c r="G410" t="s">
        <v>358</v>
      </c>
      <c r="H410" s="75">
        <f t="shared" si="6"/>
        <v>138.72549663844038</v>
      </c>
      <c r="I410" s="74">
        <v>46113</v>
      </c>
      <c r="J410">
        <v>4</v>
      </c>
      <c r="K410" t="s">
        <v>510</v>
      </c>
      <c r="L410" t="s">
        <v>359</v>
      </c>
      <c r="M410" t="s">
        <v>356</v>
      </c>
      <c r="N410" s="73">
        <v>67258</v>
      </c>
      <c r="O410" s="73">
        <v>67258</v>
      </c>
      <c r="P410">
        <v>34.681374159610094</v>
      </c>
    </row>
    <row r="411" spans="1:16" x14ac:dyDescent="0.2">
      <c r="A411" s="73">
        <v>67258</v>
      </c>
      <c r="B411" t="s">
        <v>438</v>
      </c>
      <c r="C411" s="73" t="s">
        <v>439</v>
      </c>
      <c r="D411" t="s">
        <v>440</v>
      </c>
      <c r="E411" s="74">
        <v>46114</v>
      </c>
      <c r="F411" t="s">
        <v>357</v>
      </c>
      <c r="G411" t="s">
        <v>358</v>
      </c>
      <c r="H411" s="75">
        <f t="shared" si="6"/>
        <v>138.72549663844038</v>
      </c>
      <c r="I411" s="74">
        <v>46114</v>
      </c>
      <c r="J411">
        <v>4</v>
      </c>
      <c r="K411" t="s">
        <v>510</v>
      </c>
      <c r="L411" t="s">
        <v>359</v>
      </c>
      <c r="M411" t="s">
        <v>356</v>
      </c>
      <c r="N411" s="73">
        <v>67258</v>
      </c>
      <c r="O411" s="73">
        <v>67258</v>
      </c>
      <c r="P411">
        <v>34.681374159610094</v>
      </c>
    </row>
    <row r="412" spans="1:16" x14ac:dyDescent="0.2">
      <c r="A412" s="73">
        <v>67258</v>
      </c>
      <c r="B412" t="s">
        <v>438</v>
      </c>
      <c r="C412" s="73" t="s">
        <v>439</v>
      </c>
      <c r="D412" t="s">
        <v>440</v>
      </c>
      <c r="E412" s="74">
        <v>46114</v>
      </c>
      <c r="F412" t="s">
        <v>360</v>
      </c>
      <c r="G412" t="s">
        <v>361</v>
      </c>
      <c r="H412" s="75">
        <f t="shared" si="6"/>
        <v>277.45099327688075</v>
      </c>
      <c r="I412" s="74">
        <v>46114</v>
      </c>
      <c r="J412">
        <v>8</v>
      </c>
      <c r="K412" t="s">
        <v>510</v>
      </c>
      <c r="L412" t="s">
        <v>262</v>
      </c>
      <c r="M412" t="s">
        <v>356</v>
      </c>
      <c r="N412" s="73">
        <v>67258</v>
      </c>
      <c r="O412" s="73">
        <v>67258</v>
      </c>
      <c r="P412">
        <v>34.681374159610094</v>
      </c>
    </row>
    <row r="413" spans="1:16" x14ac:dyDescent="0.2">
      <c r="A413" s="73">
        <v>67258</v>
      </c>
      <c r="B413" t="s">
        <v>438</v>
      </c>
      <c r="C413" s="73" t="s">
        <v>439</v>
      </c>
      <c r="D413" t="s">
        <v>440</v>
      </c>
      <c r="E413" s="74">
        <v>46118</v>
      </c>
      <c r="F413" t="s">
        <v>360</v>
      </c>
      <c r="G413" t="s">
        <v>361</v>
      </c>
      <c r="H413" s="75">
        <f t="shared" si="6"/>
        <v>277.45099327688075</v>
      </c>
      <c r="I413" s="74">
        <v>46118</v>
      </c>
      <c r="J413">
        <v>8</v>
      </c>
      <c r="K413" t="s">
        <v>510</v>
      </c>
      <c r="L413" t="s">
        <v>262</v>
      </c>
      <c r="M413" t="s">
        <v>356</v>
      </c>
      <c r="N413" s="73">
        <v>67258</v>
      </c>
      <c r="O413" s="73">
        <v>67258</v>
      </c>
      <c r="P413">
        <v>34.681374159610094</v>
      </c>
    </row>
    <row r="414" spans="1:16" x14ac:dyDescent="0.2">
      <c r="A414" s="73">
        <v>67258</v>
      </c>
      <c r="B414" t="s">
        <v>438</v>
      </c>
      <c r="C414" s="73" t="s">
        <v>439</v>
      </c>
      <c r="D414" t="s">
        <v>440</v>
      </c>
      <c r="E414" s="74">
        <v>46118</v>
      </c>
      <c r="F414" t="s">
        <v>357</v>
      </c>
      <c r="G414" t="s">
        <v>358</v>
      </c>
      <c r="H414" s="75">
        <f t="shared" si="6"/>
        <v>104.04412247883027</v>
      </c>
      <c r="I414" s="74">
        <v>46118</v>
      </c>
      <c r="J414">
        <v>3</v>
      </c>
      <c r="K414" t="s">
        <v>510</v>
      </c>
      <c r="L414" t="s">
        <v>359</v>
      </c>
      <c r="M414" t="s">
        <v>356</v>
      </c>
      <c r="N414" s="73">
        <v>67258</v>
      </c>
      <c r="O414" s="73">
        <v>67258</v>
      </c>
      <c r="P414">
        <v>34.681374159610094</v>
      </c>
    </row>
    <row r="415" spans="1:16" x14ac:dyDescent="0.2">
      <c r="A415" s="73">
        <v>67258</v>
      </c>
      <c r="B415" t="s">
        <v>438</v>
      </c>
      <c r="C415" s="73" t="s">
        <v>439</v>
      </c>
      <c r="D415" t="s">
        <v>440</v>
      </c>
      <c r="E415" s="74">
        <v>46119</v>
      </c>
      <c r="F415" t="s">
        <v>360</v>
      </c>
      <c r="G415" t="s">
        <v>361</v>
      </c>
      <c r="H415" s="75">
        <f t="shared" si="6"/>
        <v>277.45099327688075</v>
      </c>
      <c r="I415" s="74">
        <v>46119</v>
      </c>
      <c r="J415">
        <v>8</v>
      </c>
      <c r="K415" t="s">
        <v>510</v>
      </c>
      <c r="L415" t="s">
        <v>262</v>
      </c>
      <c r="M415" t="s">
        <v>356</v>
      </c>
      <c r="N415" s="73">
        <v>67258</v>
      </c>
      <c r="O415" s="73">
        <v>67258</v>
      </c>
      <c r="P415">
        <v>34.681374159610094</v>
      </c>
    </row>
    <row r="416" spans="1:16" x14ac:dyDescent="0.2">
      <c r="A416" s="73">
        <v>67258</v>
      </c>
      <c r="B416" t="s">
        <v>438</v>
      </c>
      <c r="C416" s="73" t="s">
        <v>439</v>
      </c>
      <c r="D416" t="s">
        <v>440</v>
      </c>
      <c r="E416" s="74">
        <v>46119</v>
      </c>
      <c r="F416" t="s">
        <v>357</v>
      </c>
      <c r="G416" t="s">
        <v>358</v>
      </c>
      <c r="H416" s="75">
        <f t="shared" si="6"/>
        <v>104.04412247883027</v>
      </c>
      <c r="I416" s="74">
        <v>46119</v>
      </c>
      <c r="J416">
        <v>3</v>
      </c>
      <c r="K416" t="s">
        <v>510</v>
      </c>
      <c r="L416" t="s">
        <v>359</v>
      </c>
      <c r="M416" t="s">
        <v>356</v>
      </c>
      <c r="N416" s="73">
        <v>67258</v>
      </c>
      <c r="O416" s="73">
        <v>67258</v>
      </c>
      <c r="P416">
        <v>34.681374159610094</v>
      </c>
    </row>
    <row r="417" spans="1:16" x14ac:dyDescent="0.2">
      <c r="A417" s="73">
        <v>67258</v>
      </c>
      <c r="B417" t="s">
        <v>438</v>
      </c>
      <c r="C417" s="73" t="s">
        <v>439</v>
      </c>
      <c r="D417" t="s">
        <v>440</v>
      </c>
      <c r="E417" s="74">
        <v>46120</v>
      </c>
      <c r="F417" t="s">
        <v>360</v>
      </c>
      <c r="G417" t="s">
        <v>361</v>
      </c>
      <c r="H417" s="75">
        <f t="shared" si="6"/>
        <v>277.45099327688075</v>
      </c>
      <c r="I417" s="74">
        <v>46120</v>
      </c>
      <c r="J417">
        <v>8</v>
      </c>
      <c r="K417" t="s">
        <v>510</v>
      </c>
      <c r="L417" t="s">
        <v>262</v>
      </c>
      <c r="M417" t="s">
        <v>356</v>
      </c>
      <c r="N417" s="73">
        <v>67258</v>
      </c>
      <c r="O417" s="73">
        <v>67258</v>
      </c>
      <c r="P417">
        <v>34.681374159610094</v>
      </c>
    </row>
    <row r="418" spans="1:16" x14ac:dyDescent="0.2">
      <c r="A418" s="73">
        <v>67258</v>
      </c>
      <c r="B418" t="s">
        <v>438</v>
      </c>
      <c r="C418" s="73" t="s">
        <v>439</v>
      </c>
      <c r="D418" t="s">
        <v>440</v>
      </c>
      <c r="E418" s="74">
        <v>46120</v>
      </c>
      <c r="F418" t="s">
        <v>357</v>
      </c>
      <c r="G418" t="s">
        <v>358</v>
      </c>
      <c r="H418" s="75">
        <f t="shared" si="6"/>
        <v>104.04412247883027</v>
      </c>
      <c r="I418" s="74">
        <v>46120</v>
      </c>
      <c r="J418">
        <v>3</v>
      </c>
      <c r="K418" t="s">
        <v>510</v>
      </c>
      <c r="L418" t="s">
        <v>359</v>
      </c>
      <c r="M418" t="s">
        <v>356</v>
      </c>
      <c r="N418" s="73">
        <v>67258</v>
      </c>
      <c r="O418" s="73">
        <v>67258</v>
      </c>
      <c r="P418">
        <v>34.681374159610094</v>
      </c>
    </row>
    <row r="419" spans="1:16" x14ac:dyDescent="0.2">
      <c r="A419" s="73">
        <v>67258</v>
      </c>
      <c r="B419" t="s">
        <v>438</v>
      </c>
      <c r="C419" s="73" t="s">
        <v>439</v>
      </c>
      <c r="D419" t="s">
        <v>440</v>
      </c>
      <c r="E419" s="74">
        <v>46121</v>
      </c>
      <c r="F419" t="s">
        <v>357</v>
      </c>
      <c r="G419" t="s">
        <v>358</v>
      </c>
      <c r="H419" s="75">
        <f t="shared" si="6"/>
        <v>104.04412247883027</v>
      </c>
      <c r="I419" s="74">
        <v>46121</v>
      </c>
      <c r="J419">
        <v>3</v>
      </c>
      <c r="K419" t="s">
        <v>510</v>
      </c>
      <c r="L419" t="s">
        <v>359</v>
      </c>
      <c r="M419" t="s">
        <v>356</v>
      </c>
      <c r="N419" s="73">
        <v>67258</v>
      </c>
      <c r="O419" s="73">
        <v>67258</v>
      </c>
      <c r="P419">
        <v>34.681374159610094</v>
      </c>
    </row>
    <row r="420" spans="1:16" x14ac:dyDescent="0.2">
      <c r="A420" s="73">
        <v>67258</v>
      </c>
      <c r="B420" t="s">
        <v>438</v>
      </c>
      <c r="C420" s="73" t="s">
        <v>439</v>
      </c>
      <c r="D420" t="s">
        <v>440</v>
      </c>
      <c r="E420" s="74">
        <v>46122</v>
      </c>
      <c r="F420" t="s">
        <v>360</v>
      </c>
      <c r="G420" t="s">
        <v>361</v>
      </c>
      <c r="H420" s="75">
        <f t="shared" si="6"/>
        <v>277.45099327688075</v>
      </c>
      <c r="I420" s="74">
        <v>46122</v>
      </c>
      <c r="J420">
        <v>8</v>
      </c>
      <c r="K420" t="s">
        <v>510</v>
      </c>
      <c r="L420" t="s">
        <v>262</v>
      </c>
      <c r="M420" t="s">
        <v>356</v>
      </c>
      <c r="N420" s="73">
        <v>67258</v>
      </c>
      <c r="O420" s="73">
        <v>67258</v>
      </c>
      <c r="P420">
        <v>34.681374159610094</v>
      </c>
    </row>
    <row r="421" spans="1:16" x14ac:dyDescent="0.2">
      <c r="A421" s="73">
        <v>67258</v>
      </c>
      <c r="B421" t="s">
        <v>438</v>
      </c>
      <c r="C421" s="73" t="s">
        <v>439</v>
      </c>
      <c r="D421" t="s">
        <v>440</v>
      </c>
      <c r="E421" s="74">
        <v>46122</v>
      </c>
      <c r="F421" t="s">
        <v>357</v>
      </c>
      <c r="G421" t="s">
        <v>358</v>
      </c>
      <c r="H421" s="75">
        <f t="shared" si="6"/>
        <v>104.04412247883027</v>
      </c>
      <c r="I421" s="74">
        <v>46122</v>
      </c>
      <c r="J421">
        <v>3</v>
      </c>
      <c r="K421" t="s">
        <v>510</v>
      </c>
      <c r="L421" t="s">
        <v>359</v>
      </c>
      <c r="M421" t="s">
        <v>356</v>
      </c>
      <c r="N421" s="73">
        <v>67258</v>
      </c>
      <c r="O421" s="73">
        <v>67258</v>
      </c>
      <c r="P421">
        <v>34.681374159610094</v>
      </c>
    </row>
    <row r="422" spans="1:16" x14ac:dyDescent="0.2">
      <c r="A422" s="73">
        <v>67258</v>
      </c>
      <c r="B422" t="s">
        <v>438</v>
      </c>
      <c r="C422" s="73" t="s">
        <v>439</v>
      </c>
      <c r="D422" t="s">
        <v>440</v>
      </c>
      <c r="E422" s="74">
        <v>46125</v>
      </c>
      <c r="F422" t="s">
        <v>360</v>
      </c>
      <c r="G422" t="s">
        <v>361</v>
      </c>
      <c r="H422" s="75">
        <f t="shared" si="6"/>
        <v>277.45099327688075</v>
      </c>
      <c r="I422" s="74">
        <v>46125</v>
      </c>
      <c r="J422">
        <v>8</v>
      </c>
      <c r="K422" t="s">
        <v>510</v>
      </c>
      <c r="L422" t="s">
        <v>262</v>
      </c>
      <c r="M422" t="s">
        <v>356</v>
      </c>
      <c r="N422" s="73">
        <v>67258</v>
      </c>
      <c r="O422" s="73">
        <v>67258</v>
      </c>
      <c r="P422">
        <v>34.681374159610094</v>
      </c>
    </row>
    <row r="423" spans="1:16" x14ac:dyDescent="0.2">
      <c r="A423" s="73">
        <v>67258</v>
      </c>
      <c r="B423" t="s">
        <v>438</v>
      </c>
      <c r="C423" s="73" t="s">
        <v>439</v>
      </c>
      <c r="D423" t="s">
        <v>440</v>
      </c>
      <c r="E423" s="74">
        <v>46125</v>
      </c>
      <c r="F423" t="s">
        <v>357</v>
      </c>
      <c r="G423" t="s">
        <v>358</v>
      </c>
      <c r="H423" s="75">
        <f t="shared" si="6"/>
        <v>138.72549663844038</v>
      </c>
      <c r="I423" s="74">
        <v>46125</v>
      </c>
      <c r="J423">
        <v>4</v>
      </c>
      <c r="K423" t="s">
        <v>510</v>
      </c>
      <c r="L423" t="s">
        <v>359</v>
      </c>
      <c r="M423" t="s">
        <v>356</v>
      </c>
      <c r="N423" s="73">
        <v>67258</v>
      </c>
      <c r="O423" s="73">
        <v>67258</v>
      </c>
      <c r="P423">
        <v>34.681374159610094</v>
      </c>
    </row>
    <row r="424" spans="1:16" x14ac:dyDescent="0.2">
      <c r="A424" s="73">
        <v>67258</v>
      </c>
      <c r="B424" t="s">
        <v>438</v>
      </c>
      <c r="C424" s="73" t="s">
        <v>439</v>
      </c>
      <c r="D424" t="s">
        <v>440</v>
      </c>
      <c r="E424" s="74">
        <v>46127</v>
      </c>
      <c r="F424" t="s">
        <v>357</v>
      </c>
      <c r="G424" t="s">
        <v>358</v>
      </c>
      <c r="H424" s="75">
        <f t="shared" si="6"/>
        <v>138.72549663844038</v>
      </c>
      <c r="I424" s="74">
        <v>46127</v>
      </c>
      <c r="J424">
        <v>4</v>
      </c>
      <c r="K424" t="s">
        <v>510</v>
      </c>
      <c r="L424" t="s">
        <v>359</v>
      </c>
      <c r="M424" t="s">
        <v>356</v>
      </c>
      <c r="N424" s="73">
        <v>67258</v>
      </c>
      <c r="O424" s="73">
        <v>67258</v>
      </c>
      <c r="P424">
        <v>34.681374159610094</v>
      </c>
    </row>
    <row r="425" spans="1:16" x14ac:dyDescent="0.2">
      <c r="A425" s="73">
        <v>67258</v>
      </c>
      <c r="B425" t="s">
        <v>438</v>
      </c>
      <c r="C425" s="73" t="s">
        <v>439</v>
      </c>
      <c r="D425" t="s">
        <v>440</v>
      </c>
      <c r="E425" s="74">
        <v>46127</v>
      </c>
      <c r="F425" t="s">
        <v>360</v>
      </c>
      <c r="G425" t="s">
        <v>361</v>
      </c>
      <c r="H425" s="75">
        <f t="shared" si="6"/>
        <v>277.45099327688075</v>
      </c>
      <c r="I425" s="74">
        <v>46127</v>
      </c>
      <c r="J425">
        <v>8</v>
      </c>
      <c r="K425" t="s">
        <v>510</v>
      </c>
      <c r="L425" t="s">
        <v>262</v>
      </c>
      <c r="M425" t="s">
        <v>356</v>
      </c>
      <c r="N425" s="73">
        <v>67258</v>
      </c>
      <c r="O425" s="73">
        <v>67258</v>
      </c>
      <c r="P425">
        <v>34.681374159610094</v>
      </c>
    </row>
    <row r="426" spans="1:16" x14ac:dyDescent="0.2">
      <c r="A426" s="73">
        <v>67258</v>
      </c>
      <c r="B426" t="s">
        <v>438</v>
      </c>
      <c r="C426" s="73" t="s">
        <v>439</v>
      </c>
      <c r="D426" t="s">
        <v>440</v>
      </c>
      <c r="E426" s="74">
        <v>46128</v>
      </c>
      <c r="F426" t="s">
        <v>360</v>
      </c>
      <c r="G426" t="s">
        <v>361</v>
      </c>
      <c r="H426" s="75">
        <f t="shared" si="6"/>
        <v>277.45099327688075</v>
      </c>
      <c r="I426" s="74">
        <v>46128</v>
      </c>
      <c r="J426">
        <v>8</v>
      </c>
      <c r="K426" t="s">
        <v>510</v>
      </c>
      <c r="L426" t="s">
        <v>262</v>
      </c>
      <c r="M426" t="s">
        <v>356</v>
      </c>
      <c r="N426" s="73">
        <v>67258</v>
      </c>
      <c r="O426" s="73">
        <v>67258</v>
      </c>
      <c r="P426">
        <v>34.681374159610094</v>
      </c>
    </row>
    <row r="427" spans="1:16" x14ac:dyDescent="0.2">
      <c r="A427" s="73">
        <v>67258</v>
      </c>
      <c r="B427" t="s">
        <v>438</v>
      </c>
      <c r="C427" s="73" t="s">
        <v>439</v>
      </c>
      <c r="D427" t="s">
        <v>440</v>
      </c>
      <c r="E427" s="74">
        <v>46132</v>
      </c>
      <c r="F427" t="s">
        <v>360</v>
      </c>
      <c r="G427" t="s">
        <v>361</v>
      </c>
      <c r="H427" s="75">
        <f t="shared" si="6"/>
        <v>277.45099327688075</v>
      </c>
      <c r="I427" s="74">
        <v>46132</v>
      </c>
      <c r="J427">
        <v>8</v>
      </c>
      <c r="K427" t="s">
        <v>510</v>
      </c>
      <c r="L427" t="s">
        <v>262</v>
      </c>
      <c r="M427" t="s">
        <v>356</v>
      </c>
      <c r="N427" s="73">
        <v>67258</v>
      </c>
      <c r="O427" s="73">
        <v>67258</v>
      </c>
      <c r="P427">
        <v>34.681374159610094</v>
      </c>
    </row>
    <row r="428" spans="1:16" x14ac:dyDescent="0.2">
      <c r="A428" s="73">
        <v>67258</v>
      </c>
      <c r="B428" t="s">
        <v>438</v>
      </c>
      <c r="C428" s="73" t="s">
        <v>439</v>
      </c>
      <c r="D428" t="s">
        <v>440</v>
      </c>
      <c r="E428" s="74">
        <v>46153</v>
      </c>
      <c r="F428" t="s">
        <v>360</v>
      </c>
      <c r="G428" t="s">
        <v>361</v>
      </c>
      <c r="H428" s="75">
        <f t="shared" si="6"/>
        <v>277.45099327688075</v>
      </c>
      <c r="I428" s="74">
        <v>46153</v>
      </c>
      <c r="J428">
        <v>8</v>
      </c>
      <c r="K428" t="s">
        <v>517</v>
      </c>
      <c r="L428" t="s">
        <v>262</v>
      </c>
      <c r="M428" t="s">
        <v>356</v>
      </c>
      <c r="N428" s="73">
        <v>67258</v>
      </c>
      <c r="O428" s="73">
        <v>67258</v>
      </c>
      <c r="P428">
        <v>34.681374159610094</v>
      </c>
    </row>
    <row r="429" spans="1:16" x14ac:dyDescent="0.2">
      <c r="A429" s="73">
        <v>67258</v>
      </c>
      <c r="B429" t="s">
        <v>438</v>
      </c>
      <c r="C429" s="73" t="s">
        <v>439</v>
      </c>
      <c r="D429" t="s">
        <v>440</v>
      </c>
      <c r="E429" s="74">
        <v>46154</v>
      </c>
      <c r="F429" t="s">
        <v>360</v>
      </c>
      <c r="G429" t="s">
        <v>361</v>
      </c>
      <c r="H429" s="75">
        <f t="shared" si="6"/>
        <v>277.45099327688075</v>
      </c>
      <c r="I429" s="74">
        <v>46154</v>
      </c>
      <c r="J429">
        <v>8</v>
      </c>
      <c r="K429" t="s">
        <v>517</v>
      </c>
      <c r="L429" t="s">
        <v>262</v>
      </c>
      <c r="M429" t="s">
        <v>356</v>
      </c>
      <c r="N429" s="73">
        <v>67258</v>
      </c>
      <c r="O429" s="73">
        <v>67258</v>
      </c>
      <c r="P429">
        <v>34.681374159610094</v>
      </c>
    </row>
    <row r="430" spans="1:16" x14ac:dyDescent="0.2">
      <c r="A430" s="73">
        <v>67258</v>
      </c>
      <c r="B430" t="s">
        <v>438</v>
      </c>
      <c r="C430" s="73" t="s">
        <v>439</v>
      </c>
      <c r="D430" t="s">
        <v>440</v>
      </c>
      <c r="E430" s="74">
        <v>46155</v>
      </c>
      <c r="F430" t="s">
        <v>360</v>
      </c>
      <c r="G430" t="s">
        <v>361</v>
      </c>
      <c r="H430" s="75">
        <f t="shared" si="6"/>
        <v>277.45099327688075</v>
      </c>
      <c r="I430" s="74">
        <v>46155</v>
      </c>
      <c r="J430">
        <v>8</v>
      </c>
      <c r="K430" t="s">
        <v>517</v>
      </c>
      <c r="L430" t="s">
        <v>262</v>
      </c>
      <c r="M430" t="s">
        <v>356</v>
      </c>
      <c r="N430" s="73">
        <v>67258</v>
      </c>
      <c r="O430" s="73">
        <v>67258</v>
      </c>
      <c r="P430">
        <v>34.681374159610094</v>
      </c>
    </row>
    <row r="431" spans="1:16" x14ac:dyDescent="0.2">
      <c r="A431" s="73">
        <v>67258</v>
      </c>
      <c r="B431" t="s">
        <v>438</v>
      </c>
      <c r="C431" s="73" t="s">
        <v>439</v>
      </c>
      <c r="D431" t="s">
        <v>440</v>
      </c>
      <c r="E431" s="74">
        <v>46156</v>
      </c>
      <c r="F431" t="s">
        <v>360</v>
      </c>
      <c r="G431" t="s">
        <v>361</v>
      </c>
      <c r="H431" s="75">
        <f t="shared" si="6"/>
        <v>277.45099327688075</v>
      </c>
      <c r="I431" s="74">
        <v>46156</v>
      </c>
      <c r="J431">
        <v>8</v>
      </c>
      <c r="K431" t="s">
        <v>517</v>
      </c>
      <c r="L431" t="s">
        <v>262</v>
      </c>
      <c r="M431" t="s">
        <v>356</v>
      </c>
      <c r="N431" s="73">
        <v>67258</v>
      </c>
      <c r="O431" s="73">
        <v>67258</v>
      </c>
      <c r="P431">
        <v>34.681374159610094</v>
      </c>
    </row>
    <row r="432" spans="1:16" x14ac:dyDescent="0.2">
      <c r="A432" s="73">
        <v>67258</v>
      </c>
      <c r="B432" t="s">
        <v>438</v>
      </c>
      <c r="C432" s="73" t="s">
        <v>439</v>
      </c>
      <c r="D432" t="s">
        <v>440</v>
      </c>
      <c r="E432" s="74">
        <v>46157</v>
      </c>
      <c r="F432" t="s">
        <v>360</v>
      </c>
      <c r="G432" t="s">
        <v>361</v>
      </c>
      <c r="H432" s="75">
        <f t="shared" si="6"/>
        <v>277.45099327688075</v>
      </c>
      <c r="I432" s="74">
        <v>46157</v>
      </c>
      <c r="J432">
        <v>8</v>
      </c>
      <c r="K432" t="s">
        <v>517</v>
      </c>
      <c r="L432" t="s">
        <v>262</v>
      </c>
      <c r="M432" t="s">
        <v>356</v>
      </c>
      <c r="N432" s="73">
        <v>67258</v>
      </c>
      <c r="O432" s="73">
        <v>67258</v>
      </c>
      <c r="P432">
        <v>34.681374159610094</v>
      </c>
    </row>
    <row r="433" spans="1:16" x14ac:dyDescent="0.2">
      <c r="A433" s="73">
        <v>67258</v>
      </c>
      <c r="B433" t="s">
        <v>438</v>
      </c>
      <c r="C433" s="73" t="s">
        <v>439</v>
      </c>
      <c r="D433" t="s">
        <v>440</v>
      </c>
      <c r="E433" s="74">
        <v>46158</v>
      </c>
      <c r="F433" t="s">
        <v>360</v>
      </c>
      <c r="G433" t="s">
        <v>361</v>
      </c>
      <c r="H433" s="75">
        <f t="shared" si="6"/>
        <v>277.45099327688075</v>
      </c>
      <c r="I433" s="74">
        <v>46158</v>
      </c>
      <c r="J433">
        <v>8</v>
      </c>
      <c r="K433" t="s">
        <v>517</v>
      </c>
      <c r="L433" t="s">
        <v>262</v>
      </c>
      <c r="M433" t="s">
        <v>356</v>
      </c>
      <c r="N433" s="73">
        <v>67258</v>
      </c>
      <c r="O433" s="73">
        <v>67258</v>
      </c>
      <c r="P433">
        <v>34.681374159610094</v>
      </c>
    </row>
    <row r="434" spans="1:16" x14ac:dyDescent="0.2">
      <c r="A434" s="73">
        <v>67258</v>
      </c>
      <c r="B434" t="s">
        <v>438</v>
      </c>
      <c r="C434" s="73" t="s">
        <v>439</v>
      </c>
      <c r="D434" t="s">
        <v>440</v>
      </c>
      <c r="E434" s="74">
        <v>46167</v>
      </c>
      <c r="F434" t="s">
        <v>360</v>
      </c>
      <c r="G434" t="s">
        <v>361</v>
      </c>
      <c r="H434" s="75">
        <f t="shared" si="6"/>
        <v>69.362748319220188</v>
      </c>
      <c r="I434" s="74">
        <v>46167</v>
      </c>
      <c r="J434">
        <v>2</v>
      </c>
      <c r="K434" t="s">
        <v>517</v>
      </c>
      <c r="L434" t="s">
        <v>262</v>
      </c>
      <c r="M434" t="s">
        <v>356</v>
      </c>
      <c r="N434" s="73">
        <v>67258</v>
      </c>
      <c r="O434" s="73">
        <v>67258</v>
      </c>
      <c r="P434">
        <v>34.681374159610094</v>
      </c>
    </row>
    <row r="435" spans="1:16" x14ac:dyDescent="0.2">
      <c r="A435" s="73">
        <v>67258</v>
      </c>
      <c r="B435" t="s">
        <v>438</v>
      </c>
      <c r="C435" s="73" t="s">
        <v>439</v>
      </c>
      <c r="D435" t="s">
        <v>440</v>
      </c>
      <c r="E435" s="74">
        <v>46168</v>
      </c>
      <c r="F435" t="s">
        <v>360</v>
      </c>
      <c r="G435" t="s">
        <v>361</v>
      </c>
      <c r="H435" s="75">
        <f t="shared" si="6"/>
        <v>277.45099327688075</v>
      </c>
      <c r="I435" s="74">
        <v>46168</v>
      </c>
      <c r="J435">
        <v>8</v>
      </c>
      <c r="K435" t="s">
        <v>517</v>
      </c>
      <c r="L435" t="s">
        <v>262</v>
      </c>
      <c r="M435" t="s">
        <v>356</v>
      </c>
      <c r="N435" s="73">
        <v>67258</v>
      </c>
      <c r="O435" s="73">
        <v>67258</v>
      </c>
      <c r="P435">
        <v>34.681374159610094</v>
      </c>
    </row>
    <row r="436" spans="1:16" x14ac:dyDescent="0.2">
      <c r="A436" s="73">
        <v>67258</v>
      </c>
      <c r="B436" t="s">
        <v>438</v>
      </c>
      <c r="C436" s="73" t="s">
        <v>439</v>
      </c>
      <c r="D436" t="s">
        <v>440</v>
      </c>
      <c r="E436" s="74">
        <v>46169</v>
      </c>
      <c r="F436" t="s">
        <v>360</v>
      </c>
      <c r="G436" t="s">
        <v>361</v>
      </c>
      <c r="H436" s="75">
        <f t="shared" si="6"/>
        <v>277.45099327688075</v>
      </c>
      <c r="I436" s="74">
        <v>46169</v>
      </c>
      <c r="J436">
        <v>8</v>
      </c>
      <c r="K436" t="s">
        <v>517</v>
      </c>
      <c r="L436" t="s">
        <v>262</v>
      </c>
      <c r="M436" t="s">
        <v>356</v>
      </c>
      <c r="N436" s="73">
        <v>67258</v>
      </c>
      <c r="O436" s="73">
        <v>67258</v>
      </c>
      <c r="P436">
        <v>34.681374159610094</v>
      </c>
    </row>
    <row r="437" spans="1:16" x14ac:dyDescent="0.2">
      <c r="A437" s="73">
        <v>67258</v>
      </c>
      <c r="B437" t="s">
        <v>438</v>
      </c>
      <c r="C437" s="73" t="s">
        <v>439</v>
      </c>
      <c r="D437" t="s">
        <v>440</v>
      </c>
      <c r="E437" s="74">
        <v>46170</v>
      </c>
      <c r="F437" t="s">
        <v>360</v>
      </c>
      <c r="G437" t="s">
        <v>361</v>
      </c>
      <c r="H437" s="75">
        <f t="shared" si="6"/>
        <v>277.45099327688075</v>
      </c>
      <c r="I437" s="74">
        <v>46170</v>
      </c>
      <c r="J437">
        <v>8</v>
      </c>
      <c r="K437" t="s">
        <v>517</v>
      </c>
      <c r="L437" t="s">
        <v>262</v>
      </c>
      <c r="M437" t="s">
        <v>356</v>
      </c>
      <c r="N437" s="73">
        <v>67258</v>
      </c>
      <c r="O437" s="73">
        <v>67258</v>
      </c>
      <c r="P437">
        <v>34.681374159610094</v>
      </c>
    </row>
    <row r="438" spans="1:16" x14ac:dyDescent="0.2">
      <c r="A438" s="73">
        <v>67258</v>
      </c>
      <c r="B438" t="s">
        <v>438</v>
      </c>
      <c r="C438" s="73" t="s">
        <v>439</v>
      </c>
      <c r="D438" t="s">
        <v>440</v>
      </c>
      <c r="E438" s="74">
        <v>46171</v>
      </c>
      <c r="F438" t="s">
        <v>360</v>
      </c>
      <c r="G438" t="s">
        <v>361</v>
      </c>
      <c r="H438" s="75">
        <f t="shared" si="6"/>
        <v>277.45099327688075</v>
      </c>
      <c r="I438" s="74">
        <v>46171</v>
      </c>
      <c r="J438">
        <v>8</v>
      </c>
      <c r="K438" t="s">
        <v>517</v>
      </c>
      <c r="L438" t="s">
        <v>262</v>
      </c>
      <c r="M438" t="s">
        <v>356</v>
      </c>
      <c r="N438" s="73">
        <v>67258</v>
      </c>
      <c r="O438" s="73">
        <v>67258</v>
      </c>
      <c r="P438">
        <v>34.681374159610094</v>
      </c>
    </row>
    <row r="439" spans="1:16" x14ac:dyDescent="0.2">
      <c r="A439" s="73">
        <v>67258</v>
      </c>
      <c r="B439" t="s">
        <v>438</v>
      </c>
      <c r="C439" s="73" t="s">
        <v>441</v>
      </c>
      <c r="D439" t="s">
        <v>442</v>
      </c>
      <c r="E439" s="74">
        <v>46139</v>
      </c>
      <c r="F439" t="s">
        <v>395</v>
      </c>
      <c r="G439" t="s">
        <v>396</v>
      </c>
      <c r="H439" s="75">
        <f t="shared" si="6"/>
        <v>242.76961911727065</v>
      </c>
      <c r="I439" s="74">
        <v>46139</v>
      </c>
      <c r="J439">
        <v>7</v>
      </c>
      <c r="K439" t="s">
        <v>510</v>
      </c>
      <c r="L439" t="s">
        <v>262</v>
      </c>
      <c r="M439" t="s">
        <v>356</v>
      </c>
      <c r="N439" s="73">
        <v>67258</v>
      </c>
      <c r="O439" s="73">
        <v>67258</v>
      </c>
      <c r="P439">
        <v>34.681374159610094</v>
      </c>
    </row>
    <row r="440" spans="1:16" x14ac:dyDescent="0.2">
      <c r="A440" s="73">
        <v>67258</v>
      </c>
      <c r="B440" t="s">
        <v>438</v>
      </c>
      <c r="C440" s="73" t="s">
        <v>441</v>
      </c>
      <c r="D440" t="s">
        <v>442</v>
      </c>
      <c r="E440" s="74">
        <v>46139</v>
      </c>
      <c r="F440" t="s">
        <v>357</v>
      </c>
      <c r="G440" t="s">
        <v>358</v>
      </c>
      <c r="H440" s="75">
        <f t="shared" si="6"/>
        <v>277.45099327688075</v>
      </c>
      <c r="I440" s="74">
        <v>46139</v>
      </c>
      <c r="J440">
        <v>8</v>
      </c>
      <c r="K440" t="s">
        <v>510</v>
      </c>
      <c r="L440" t="s">
        <v>359</v>
      </c>
      <c r="M440" t="s">
        <v>356</v>
      </c>
      <c r="N440" s="73">
        <v>67258</v>
      </c>
      <c r="O440" s="73">
        <v>67258</v>
      </c>
      <c r="P440">
        <v>34.681374159610094</v>
      </c>
    </row>
    <row r="441" spans="1:16" x14ac:dyDescent="0.2">
      <c r="A441" s="73">
        <v>67258</v>
      </c>
      <c r="B441" t="s">
        <v>438</v>
      </c>
      <c r="C441" s="73" t="s">
        <v>441</v>
      </c>
      <c r="D441" t="s">
        <v>442</v>
      </c>
      <c r="E441" s="74">
        <v>46140</v>
      </c>
      <c r="F441" t="s">
        <v>395</v>
      </c>
      <c r="G441" t="s">
        <v>396</v>
      </c>
      <c r="H441" s="75">
        <f t="shared" si="6"/>
        <v>242.76961911727065</v>
      </c>
      <c r="I441" s="74">
        <v>46140</v>
      </c>
      <c r="J441">
        <v>7</v>
      </c>
      <c r="K441" t="s">
        <v>510</v>
      </c>
      <c r="L441" t="s">
        <v>262</v>
      </c>
      <c r="M441" t="s">
        <v>356</v>
      </c>
      <c r="N441" s="73">
        <v>67258</v>
      </c>
      <c r="O441" s="73">
        <v>67258</v>
      </c>
      <c r="P441">
        <v>34.681374159610094</v>
      </c>
    </row>
    <row r="442" spans="1:16" x14ac:dyDescent="0.2">
      <c r="A442" s="73">
        <v>67258</v>
      </c>
      <c r="B442" t="s">
        <v>438</v>
      </c>
      <c r="C442" s="73" t="s">
        <v>441</v>
      </c>
      <c r="D442" t="s">
        <v>442</v>
      </c>
      <c r="E442" s="74">
        <v>46140</v>
      </c>
      <c r="F442" t="s">
        <v>357</v>
      </c>
      <c r="G442" t="s">
        <v>358</v>
      </c>
      <c r="H442" s="75">
        <f t="shared" si="6"/>
        <v>277.45099327688075</v>
      </c>
      <c r="I442" s="74">
        <v>46140</v>
      </c>
      <c r="J442">
        <v>8</v>
      </c>
      <c r="K442" t="s">
        <v>510</v>
      </c>
      <c r="L442" t="s">
        <v>359</v>
      </c>
      <c r="M442" t="s">
        <v>356</v>
      </c>
      <c r="N442" s="73">
        <v>67258</v>
      </c>
      <c r="O442" s="73">
        <v>67258</v>
      </c>
      <c r="P442">
        <v>34.681374159610094</v>
      </c>
    </row>
    <row r="443" spans="1:16" x14ac:dyDescent="0.2">
      <c r="A443" s="73">
        <v>67258</v>
      </c>
      <c r="B443" t="s">
        <v>438</v>
      </c>
      <c r="C443" s="73" t="s">
        <v>441</v>
      </c>
      <c r="D443" t="s">
        <v>442</v>
      </c>
      <c r="E443" s="74">
        <v>46141</v>
      </c>
      <c r="F443" t="s">
        <v>395</v>
      </c>
      <c r="G443" t="s">
        <v>396</v>
      </c>
      <c r="H443" s="75">
        <f t="shared" si="6"/>
        <v>242.76961911727065</v>
      </c>
      <c r="I443" s="74">
        <v>46141</v>
      </c>
      <c r="J443">
        <v>7</v>
      </c>
      <c r="K443" t="s">
        <v>510</v>
      </c>
      <c r="L443" t="s">
        <v>262</v>
      </c>
      <c r="M443" t="s">
        <v>356</v>
      </c>
      <c r="N443" s="73">
        <v>67258</v>
      </c>
      <c r="O443" s="73">
        <v>67258</v>
      </c>
      <c r="P443">
        <v>34.681374159610094</v>
      </c>
    </row>
    <row r="444" spans="1:16" x14ac:dyDescent="0.2">
      <c r="A444" s="73">
        <v>67258</v>
      </c>
      <c r="B444" t="s">
        <v>438</v>
      </c>
      <c r="C444" s="73" t="s">
        <v>441</v>
      </c>
      <c r="D444" t="s">
        <v>442</v>
      </c>
      <c r="E444" s="74">
        <v>46141</v>
      </c>
      <c r="F444" t="s">
        <v>357</v>
      </c>
      <c r="G444" t="s">
        <v>358</v>
      </c>
      <c r="H444" s="75">
        <f t="shared" si="6"/>
        <v>277.45099327688075</v>
      </c>
      <c r="I444" s="74">
        <v>46141</v>
      </c>
      <c r="J444">
        <v>8</v>
      </c>
      <c r="K444" t="s">
        <v>510</v>
      </c>
      <c r="L444" t="s">
        <v>359</v>
      </c>
      <c r="M444" t="s">
        <v>356</v>
      </c>
      <c r="N444" s="73">
        <v>67258</v>
      </c>
      <c r="O444" s="73">
        <v>67258</v>
      </c>
      <c r="P444">
        <v>34.681374159610094</v>
      </c>
    </row>
    <row r="445" spans="1:16" x14ac:dyDescent="0.2">
      <c r="A445" s="73">
        <v>67258</v>
      </c>
      <c r="B445" t="s">
        <v>438</v>
      </c>
      <c r="C445" s="73" t="s">
        <v>441</v>
      </c>
      <c r="D445" t="s">
        <v>442</v>
      </c>
      <c r="E445" s="74">
        <v>46141</v>
      </c>
      <c r="F445" t="s">
        <v>353</v>
      </c>
      <c r="G445" t="s">
        <v>354</v>
      </c>
      <c r="H445" s="75">
        <f t="shared" si="6"/>
        <v>138.72549663844038</v>
      </c>
      <c r="I445" s="74">
        <v>46141</v>
      </c>
      <c r="J445">
        <v>4</v>
      </c>
      <c r="K445" t="s">
        <v>510</v>
      </c>
      <c r="L445" t="s">
        <v>355</v>
      </c>
      <c r="M445" t="s">
        <v>356</v>
      </c>
      <c r="N445" s="73">
        <v>67258</v>
      </c>
      <c r="O445" s="73">
        <v>67258</v>
      </c>
      <c r="P445">
        <v>34.681374159610094</v>
      </c>
    </row>
    <row r="446" spans="1:16" x14ac:dyDescent="0.2">
      <c r="A446" s="73">
        <v>67258</v>
      </c>
      <c r="B446" t="s">
        <v>438</v>
      </c>
      <c r="C446" s="73" t="s">
        <v>441</v>
      </c>
      <c r="D446" t="s">
        <v>442</v>
      </c>
      <c r="E446" s="74">
        <v>46142</v>
      </c>
      <c r="F446" t="s">
        <v>395</v>
      </c>
      <c r="G446" t="s">
        <v>396</v>
      </c>
      <c r="H446" s="75">
        <f t="shared" si="6"/>
        <v>242.76961911727065</v>
      </c>
      <c r="I446" s="74">
        <v>46142</v>
      </c>
      <c r="J446">
        <v>7</v>
      </c>
      <c r="K446" t="s">
        <v>510</v>
      </c>
      <c r="L446" t="s">
        <v>262</v>
      </c>
      <c r="M446" t="s">
        <v>356</v>
      </c>
      <c r="N446" s="73">
        <v>67258</v>
      </c>
      <c r="O446" s="73">
        <v>67258</v>
      </c>
      <c r="P446">
        <v>34.681374159610094</v>
      </c>
    </row>
    <row r="447" spans="1:16" x14ac:dyDescent="0.2">
      <c r="A447" s="73">
        <v>67258</v>
      </c>
      <c r="B447" t="s">
        <v>438</v>
      </c>
      <c r="C447" s="73" t="s">
        <v>441</v>
      </c>
      <c r="D447" t="s">
        <v>442</v>
      </c>
      <c r="E447" s="74">
        <v>46142</v>
      </c>
      <c r="F447" t="s">
        <v>357</v>
      </c>
      <c r="G447" t="s">
        <v>358</v>
      </c>
      <c r="H447" s="75">
        <f t="shared" si="6"/>
        <v>277.45099327688075</v>
      </c>
      <c r="I447" s="74">
        <v>46142</v>
      </c>
      <c r="J447">
        <v>8</v>
      </c>
      <c r="K447" t="s">
        <v>510</v>
      </c>
      <c r="L447" t="s">
        <v>359</v>
      </c>
      <c r="M447" t="s">
        <v>356</v>
      </c>
      <c r="N447" s="73">
        <v>67258</v>
      </c>
      <c r="O447" s="73">
        <v>67258</v>
      </c>
      <c r="P447">
        <v>34.681374159610094</v>
      </c>
    </row>
    <row r="448" spans="1:16" x14ac:dyDescent="0.2">
      <c r="A448" s="73">
        <v>67258</v>
      </c>
      <c r="B448" t="s">
        <v>438</v>
      </c>
      <c r="C448" s="73" t="s">
        <v>441</v>
      </c>
      <c r="D448" t="s">
        <v>442</v>
      </c>
      <c r="E448" s="74">
        <v>46143</v>
      </c>
      <c r="F448" t="s">
        <v>395</v>
      </c>
      <c r="G448" t="s">
        <v>396</v>
      </c>
      <c r="H448" s="75">
        <f t="shared" si="6"/>
        <v>-242.76961911727065</v>
      </c>
      <c r="I448" s="74">
        <v>46143</v>
      </c>
      <c r="J448">
        <v>-7</v>
      </c>
      <c r="K448" t="s">
        <v>517</v>
      </c>
      <c r="L448" t="s">
        <v>262</v>
      </c>
      <c r="M448" t="s">
        <v>356</v>
      </c>
      <c r="N448" s="73">
        <v>67258</v>
      </c>
      <c r="O448" s="73">
        <v>67258</v>
      </c>
      <c r="P448">
        <v>34.681374159610094</v>
      </c>
    </row>
    <row r="449" spans="1:16" x14ac:dyDescent="0.2">
      <c r="A449" s="73">
        <v>67258</v>
      </c>
      <c r="B449" t="s">
        <v>438</v>
      </c>
      <c r="C449" s="73" t="s">
        <v>441</v>
      </c>
      <c r="D449" t="s">
        <v>442</v>
      </c>
      <c r="E449" s="74">
        <v>46143</v>
      </c>
      <c r="F449" t="s">
        <v>395</v>
      </c>
      <c r="G449" t="s">
        <v>396</v>
      </c>
      <c r="H449" s="75">
        <f t="shared" si="6"/>
        <v>242.76961911727065</v>
      </c>
      <c r="I449" s="74">
        <v>46143</v>
      </c>
      <c r="J449">
        <v>7</v>
      </c>
      <c r="K449" t="s">
        <v>517</v>
      </c>
      <c r="L449" t="s">
        <v>262</v>
      </c>
      <c r="M449" t="s">
        <v>356</v>
      </c>
      <c r="N449" s="73">
        <v>67258</v>
      </c>
      <c r="O449" s="73">
        <v>67258</v>
      </c>
      <c r="P449">
        <v>34.681374159610094</v>
      </c>
    </row>
    <row r="450" spans="1:16" x14ac:dyDescent="0.2">
      <c r="A450" s="73">
        <v>67258</v>
      </c>
      <c r="B450" t="s">
        <v>438</v>
      </c>
      <c r="C450" s="73" t="s">
        <v>441</v>
      </c>
      <c r="D450" t="s">
        <v>442</v>
      </c>
      <c r="E450" s="74">
        <v>46146</v>
      </c>
      <c r="F450" t="s">
        <v>357</v>
      </c>
      <c r="G450" t="s">
        <v>358</v>
      </c>
      <c r="H450" s="75">
        <f t="shared" ref="H450:H513" si="7">J450*P450</f>
        <v>277.45099327688075</v>
      </c>
      <c r="I450" s="74">
        <v>46146</v>
      </c>
      <c r="J450">
        <v>8</v>
      </c>
      <c r="K450" t="s">
        <v>517</v>
      </c>
      <c r="L450" t="s">
        <v>359</v>
      </c>
      <c r="M450" t="s">
        <v>356</v>
      </c>
      <c r="N450" s="73">
        <v>67258</v>
      </c>
      <c r="O450" s="73">
        <v>67258</v>
      </c>
      <c r="P450">
        <v>34.681374159610094</v>
      </c>
    </row>
    <row r="451" spans="1:16" x14ac:dyDescent="0.2">
      <c r="A451" s="73">
        <v>67258</v>
      </c>
      <c r="B451" t="s">
        <v>438</v>
      </c>
      <c r="C451" s="73" t="s">
        <v>441</v>
      </c>
      <c r="D451" t="s">
        <v>442</v>
      </c>
      <c r="E451" s="74">
        <v>46146</v>
      </c>
      <c r="F451" t="s">
        <v>395</v>
      </c>
      <c r="G451" t="s">
        <v>396</v>
      </c>
      <c r="H451" s="75">
        <f t="shared" si="7"/>
        <v>242.76961911727065</v>
      </c>
      <c r="I451" s="74">
        <v>46146</v>
      </c>
      <c r="J451">
        <v>7</v>
      </c>
      <c r="K451" t="s">
        <v>517</v>
      </c>
      <c r="L451" t="s">
        <v>262</v>
      </c>
      <c r="M451" t="s">
        <v>356</v>
      </c>
      <c r="N451" s="73">
        <v>67258</v>
      </c>
      <c r="O451" s="73">
        <v>67258</v>
      </c>
      <c r="P451">
        <v>34.681374159610094</v>
      </c>
    </row>
    <row r="452" spans="1:16" x14ac:dyDescent="0.2">
      <c r="A452" s="73">
        <v>67258</v>
      </c>
      <c r="B452" t="s">
        <v>438</v>
      </c>
      <c r="C452" s="73" t="s">
        <v>441</v>
      </c>
      <c r="D452" t="s">
        <v>442</v>
      </c>
      <c r="E452" s="74">
        <v>46147</v>
      </c>
      <c r="F452" t="s">
        <v>395</v>
      </c>
      <c r="G452" t="s">
        <v>396</v>
      </c>
      <c r="H452" s="75">
        <f t="shared" si="7"/>
        <v>242.76961911727065</v>
      </c>
      <c r="I452" s="74">
        <v>46147</v>
      </c>
      <c r="J452">
        <v>7</v>
      </c>
      <c r="K452" t="s">
        <v>517</v>
      </c>
      <c r="L452" t="s">
        <v>262</v>
      </c>
      <c r="M452" t="s">
        <v>356</v>
      </c>
      <c r="N452" s="73">
        <v>67258</v>
      </c>
      <c r="O452" s="73">
        <v>67258</v>
      </c>
      <c r="P452">
        <v>34.681374159610094</v>
      </c>
    </row>
    <row r="453" spans="1:16" x14ac:dyDescent="0.2">
      <c r="A453" s="73">
        <v>67258</v>
      </c>
      <c r="B453" t="s">
        <v>438</v>
      </c>
      <c r="C453" s="73" t="s">
        <v>441</v>
      </c>
      <c r="D453" t="s">
        <v>442</v>
      </c>
      <c r="E453" s="74">
        <v>46147</v>
      </c>
      <c r="F453" t="s">
        <v>357</v>
      </c>
      <c r="G453" t="s">
        <v>358</v>
      </c>
      <c r="H453" s="75">
        <f t="shared" si="7"/>
        <v>277.45099327688075</v>
      </c>
      <c r="I453" s="74">
        <v>46147</v>
      </c>
      <c r="J453">
        <v>8</v>
      </c>
      <c r="K453" t="s">
        <v>517</v>
      </c>
      <c r="L453" t="s">
        <v>359</v>
      </c>
      <c r="M453" t="s">
        <v>356</v>
      </c>
      <c r="N453" s="73">
        <v>67258</v>
      </c>
      <c r="O453" s="73">
        <v>67258</v>
      </c>
      <c r="P453">
        <v>34.681374159610094</v>
      </c>
    </row>
    <row r="454" spans="1:16" x14ac:dyDescent="0.2">
      <c r="A454" s="73">
        <v>67258</v>
      </c>
      <c r="B454" t="s">
        <v>438</v>
      </c>
      <c r="C454" s="73" t="s">
        <v>441</v>
      </c>
      <c r="D454" t="s">
        <v>442</v>
      </c>
      <c r="E454" s="74">
        <v>46148</v>
      </c>
      <c r="F454" t="s">
        <v>395</v>
      </c>
      <c r="G454" t="s">
        <v>396</v>
      </c>
      <c r="H454" s="75">
        <f t="shared" si="7"/>
        <v>242.76961911727065</v>
      </c>
      <c r="I454" s="74">
        <v>46148</v>
      </c>
      <c r="J454">
        <v>7</v>
      </c>
      <c r="K454" t="s">
        <v>517</v>
      </c>
      <c r="L454" t="s">
        <v>262</v>
      </c>
      <c r="M454" t="s">
        <v>356</v>
      </c>
      <c r="N454" s="73">
        <v>67258</v>
      </c>
      <c r="O454" s="73">
        <v>67258</v>
      </c>
      <c r="P454">
        <v>34.681374159610094</v>
      </c>
    </row>
    <row r="455" spans="1:16" x14ac:dyDescent="0.2">
      <c r="A455" s="73">
        <v>67258</v>
      </c>
      <c r="B455" t="s">
        <v>438</v>
      </c>
      <c r="C455" s="73" t="s">
        <v>441</v>
      </c>
      <c r="D455" t="s">
        <v>442</v>
      </c>
      <c r="E455" s="74">
        <v>46148</v>
      </c>
      <c r="F455" t="s">
        <v>357</v>
      </c>
      <c r="G455" t="s">
        <v>358</v>
      </c>
      <c r="H455" s="75">
        <f t="shared" si="7"/>
        <v>277.45099327688075</v>
      </c>
      <c r="I455" s="74">
        <v>46148</v>
      </c>
      <c r="J455">
        <v>8</v>
      </c>
      <c r="K455" t="s">
        <v>517</v>
      </c>
      <c r="L455" t="s">
        <v>359</v>
      </c>
      <c r="M455" t="s">
        <v>356</v>
      </c>
      <c r="N455" s="73">
        <v>67258</v>
      </c>
      <c r="O455" s="73">
        <v>67258</v>
      </c>
      <c r="P455">
        <v>34.681374159610094</v>
      </c>
    </row>
    <row r="456" spans="1:16" x14ac:dyDescent="0.2">
      <c r="A456" s="73">
        <v>67258</v>
      </c>
      <c r="B456" t="s">
        <v>438</v>
      </c>
      <c r="C456" s="73" t="s">
        <v>441</v>
      </c>
      <c r="D456" t="s">
        <v>442</v>
      </c>
      <c r="E456" s="74">
        <v>46149</v>
      </c>
      <c r="F456" t="s">
        <v>395</v>
      </c>
      <c r="G456" t="s">
        <v>396</v>
      </c>
      <c r="H456" s="75">
        <f t="shared" si="7"/>
        <v>242.76961911727065</v>
      </c>
      <c r="I456" s="74">
        <v>46149</v>
      </c>
      <c r="J456">
        <v>7</v>
      </c>
      <c r="K456" t="s">
        <v>517</v>
      </c>
      <c r="L456" t="s">
        <v>262</v>
      </c>
      <c r="M456" t="s">
        <v>356</v>
      </c>
      <c r="N456" s="73">
        <v>67258</v>
      </c>
      <c r="O456" s="73">
        <v>67258</v>
      </c>
      <c r="P456">
        <v>34.681374159610094</v>
      </c>
    </row>
    <row r="457" spans="1:16" x14ac:dyDescent="0.2">
      <c r="A457" s="73">
        <v>67258</v>
      </c>
      <c r="B457" t="s">
        <v>438</v>
      </c>
      <c r="C457" s="73" t="s">
        <v>441</v>
      </c>
      <c r="D457" t="s">
        <v>442</v>
      </c>
      <c r="E457" s="74">
        <v>46149</v>
      </c>
      <c r="F457" t="s">
        <v>357</v>
      </c>
      <c r="G457" t="s">
        <v>358</v>
      </c>
      <c r="H457" s="75">
        <f t="shared" si="7"/>
        <v>277.45099327688075</v>
      </c>
      <c r="I457" s="74">
        <v>46149</v>
      </c>
      <c r="J457">
        <v>8</v>
      </c>
      <c r="K457" t="s">
        <v>517</v>
      </c>
      <c r="L457" t="s">
        <v>359</v>
      </c>
      <c r="M457" t="s">
        <v>356</v>
      </c>
      <c r="N457" s="73">
        <v>67258</v>
      </c>
      <c r="O457" s="73">
        <v>67258</v>
      </c>
      <c r="P457">
        <v>34.681374159610094</v>
      </c>
    </row>
    <row r="458" spans="1:16" x14ac:dyDescent="0.2">
      <c r="A458" s="73">
        <v>67258</v>
      </c>
      <c r="B458" t="s">
        <v>438</v>
      </c>
      <c r="C458" s="73" t="s">
        <v>441</v>
      </c>
      <c r="D458" t="s">
        <v>442</v>
      </c>
      <c r="E458" s="74">
        <v>46150</v>
      </c>
      <c r="F458" t="s">
        <v>395</v>
      </c>
      <c r="G458" t="s">
        <v>396</v>
      </c>
      <c r="H458" s="75">
        <f t="shared" si="7"/>
        <v>242.76961911727065</v>
      </c>
      <c r="I458" s="74">
        <v>46150</v>
      </c>
      <c r="J458">
        <v>7</v>
      </c>
      <c r="K458" t="s">
        <v>517</v>
      </c>
      <c r="L458" t="s">
        <v>262</v>
      </c>
      <c r="M458" t="s">
        <v>356</v>
      </c>
      <c r="N458" s="73">
        <v>67258</v>
      </c>
      <c r="O458" s="73">
        <v>67258</v>
      </c>
      <c r="P458">
        <v>34.681374159610094</v>
      </c>
    </row>
    <row r="459" spans="1:16" x14ac:dyDescent="0.2">
      <c r="A459" s="73">
        <v>67258</v>
      </c>
      <c r="B459" t="s">
        <v>438</v>
      </c>
      <c r="C459" s="73" t="s">
        <v>441</v>
      </c>
      <c r="D459" t="s">
        <v>442</v>
      </c>
      <c r="E459" s="74">
        <v>46150</v>
      </c>
      <c r="F459" t="s">
        <v>357</v>
      </c>
      <c r="G459" t="s">
        <v>358</v>
      </c>
      <c r="H459" s="75">
        <f t="shared" si="7"/>
        <v>277.45099327688075</v>
      </c>
      <c r="I459" s="74">
        <v>46150</v>
      </c>
      <c r="J459">
        <v>8</v>
      </c>
      <c r="K459" t="s">
        <v>517</v>
      </c>
      <c r="L459" t="s">
        <v>359</v>
      </c>
      <c r="M459" t="s">
        <v>356</v>
      </c>
      <c r="N459" s="73">
        <v>67258</v>
      </c>
      <c r="O459" s="73">
        <v>67258</v>
      </c>
      <c r="P459">
        <v>34.681374159610094</v>
      </c>
    </row>
    <row r="460" spans="1:16" x14ac:dyDescent="0.2">
      <c r="A460" s="73">
        <v>67258</v>
      </c>
      <c r="B460" t="s">
        <v>438</v>
      </c>
      <c r="C460" s="73" t="s">
        <v>441</v>
      </c>
      <c r="D460" t="s">
        <v>442</v>
      </c>
      <c r="E460" s="74">
        <v>46153</v>
      </c>
      <c r="F460" t="s">
        <v>357</v>
      </c>
      <c r="G460" t="s">
        <v>358</v>
      </c>
      <c r="H460" s="75">
        <f t="shared" si="7"/>
        <v>277.45099327688075</v>
      </c>
      <c r="I460" s="74">
        <v>46153</v>
      </c>
      <c r="J460">
        <v>8</v>
      </c>
      <c r="K460" t="s">
        <v>517</v>
      </c>
      <c r="L460" t="s">
        <v>359</v>
      </c>
      <c r="M460" t="s">
        <v>356</v>
      </c>
      <c r="N460" s="73">
        <v>67258</v>
      </c>
      <c r="O460" s="73">
        <v>67258</v>
      </c>
      <c r="P460">
        <v>34.681374159610094</v>
      </c>
    </row>
    <row r="461" spans="1:16" x14ac:dyDescent="0.2">
      <c r="A461" s="73">
        <v>67258</v>
      </c>
      <c r="B461" t="s">
        <v>438</v>
      </c>
      <c r="C461" s="73" t="s">
        <v>441</v>
      </c>
      <c r="D461" t="s">
        <v>442</v>
      </c>
      <c r="E461" s="74">
        <v>46154</v>
      </c>
      <c r="F461" t="s">
        <v>357</v>
      </c>
      <c r="G461" t="s">
        <v>358</v>
      </c>
      <c r="H461" s="75">
        <f t="shared" si="7"/>
        <v>277.45099327688075</v>
      </c>
      <c r="I461" s="74">
        <v>46154</v>
      </c>
      <c r="J461">
        <v>8</v>
      </c>
      <c r="K461" t="s">
        <v>517</v>
      </c>
      <c r="L461" t="s">
        <v>359</v>
      </c>
      <c r="M461" t="s">
        <v>356</v>
      </c>
      <c r="N461" s="73">
        <v>67258</v>
      </c>
      <c r="O461" s="73">
        <v>67258</v>
      </c>
      <c r="P461">
        <v>34.681374159610094</v>
      </c>
    </row>
    <row r="462" spans="1:16" x14ac:dyDescent="0.2">
      <c r="A462" s="73">
        <v>67258</v>
      </c>
      <c r="B462" t="s">
        <v>438</v>
      </c>
      <c r="C462" s="73" t="s">
        <v>441</v>
      </c>
      <c r="D462" t="s">
        <v>442</v>
      </c>
      <c r="E462" s="74">
        <v>46155</v>
      </c>
      <c r="F462" t="s">
        <v>357</v>
      </c>
      <c r="G462" t="s">
        <v>358</v>
      </c>
      <c r="H462" s="75">
        <f t="shared" si="7"/>
        <v>277.45099327688075</v>
      </c>
      <c r="I462" s="74">
        <v>46155</v>
      </c>
      <c r="J462">
        <v>8</v>
      </c>
      <c r="K462" t="s">
        <v>517</v>
      </c>
      <c r="L462" t="s">
        <v>359</v>
      </c>
      <c r="M462" t="s">
        <v>356</v>
      </c>
      <c r="N462" s="73">
        <v>67258</v>
      </c>
      <c r="O462" s="73">
        <v>67258</v>
      </c>
      <c r="P462">
        <v>34.681374159610094</v>
      </c>
    </row>
    <row r="463" spans="1:16" x14ac:dyDescent="0.2">
      <c r="A463" s="73">
        <v>67258</v>
      </c>
      <c r="B463" t="s">
        <v>438</v>
      </c>
      <c r="C463" s="73" t="s">
        <v>441</v>
      </c>
      <c r="D463" t="s">
        <v>442</v>
      </c>
      <c r="E463" s="74">
        <v>46156</v>
      </c>
      <c r="F463" t="s">
        <v>357</v>
      </c>
      <c r="G463" t="s">
        <v>358</v>
      </c>
      <c r="H463" s="75">
        <f t="shared" si="7"/>
        <v>277.45099327688075</v>
      </c>
      <c r="I463" s="74">
        <v>46156</v>
      </c>
      <c r="J463">
        <v>8</v>
      </c>
      <c r="K463" t="s">
        <v>517</v>
      </c>
      <c r="L463" t="s">
        <v>359</v>
      </c>
      <c r="M463" t="s">
        <v>356</v>
      </c>
      <c r="N463" s="73">
        <v>67258</v>
      </c>
      <c r="O463" s="73">
        <v>67258</v>
      </c>
      <c r="P463">
        <v>34.681374159610094</v>
      </c>
    </row>
    <row r="464" spans="1:16" x14ac:dyDescent="0.2">
      <c r="A464" s="73">
        <v>67258</v>
      </c>
      <c r="B464" t="s">
        <v>438</v>
      </c>
      <c r="C464" s="73" t="s">
        <v>441</v>
      </c>
      <c r="D464" t="s">
        <v>442</v>
      </c>
      <c r="E464" s="74">
        <v>46157</v>
      </c>
      <c r="F464" t="s">
        <v>357</v>
      </c>
      <c r="G464" t="s">
        <v>358</v>
      </c>
      <c r="H464" s="75">
        <f t="shared" si="7"/>
        <v>277.45099327688075</v>
      </c>
      <c r="I464" s="74">
        <v>46157</v>
      </c>
      <c r="J464">
        <v>8</v>
      </c>
      <c r="K464" t="s">
        <v>517</v>
      </c>
      <c r="L464" t="s">
        <v>359</v>
      </c>
      <c r="M464" t="s">
        <v>356</v>
      </c>
      <c r="N464" s="73">
        <v>67258</v>
      </c>
      <c r="O464" s="73">
        <v>67258</v>
      </c>
      <c r="P464">
        <v>34.681374159610094</v>
      </c>
    </row>
    <row r="465" spans="1:16" x14ac:dyDescent="0.2">
      <c r="A465" s="73">
        <v>67258</v>
      </c>
      <c r="B465" t="s">
        <v>438</v>
      </c>
      <c r="C465" s="73" t="s">
        <v>441</v>
      </c>
      <c r="D465" t="s">
        <v>442</v>
      </c>
      <c r="E465" s="74">
        <v>46160</v>
      </c>
      <c r="F465" t="s">
        <v>357</v>
      </c>
      <c r="G465" t="s">
        <v>358</v>
      </c>
      <c r="H465" s="75">
        <f t="shared" si="7"/>
        <v>242.76961911727065</v>
      </c>
      <c r="I465" s="74">
        <v>46160</v>
      </c>
      <c r="J465">
        <v>7</v>
      </c>
      <c r="K465" t="s">
        <v>517</v>
      </c>
      <c r="L465" t="s">
        <v>359</v>
      </c>
      <c r="M465" t="s">
        <v>356</v>
      </c>
      <c r="N465" s="73">
        <v>67258</v>
      </c>
      <c r="O465" s="73">
        <v>67258</v>
      </c>
      <c r="P465">
        <v>34.681374159610094</v>
      </c>
    </row>
    <row r="466" spans="1:16" x14ac:dyDescent="0.2">
      <c r="A466" s="73">
        <v>67258</v>
      </c>
      <c r="B466" t="s">
        <v>438</v>
      </c>
      <c r="C466" s="73" t="s">
        <v>441</v>
      </c>
      <c r="D466" t="s">
        <v>442</v>
      </c>
      <c r="E466" s="74">
        <v>46161</v>
      </c>
      <c r="F466" t="s">
        <v>357</v>
      </c>
      <c r="G466" t="s">
        <v>358</v>
      </c>
      <c r="H466" s="75">
        <f t="shared" si="7"/>
        <v>277.45099327688075</v>
      </c>
      <c r="I466" s="74">
        <v>46161</v>
      </c>
      <c r="J466">
        <v>8</v>
      </c>
      <c r="K466" t="s">
        <v>517</v>
      </c>
      <c r="L466" t="s">
        <v>359</v>
      </c>
      <c r="M466" t="s">
        <v>356</v>
      </c>
      <c r="N466" s="73">
        <v>67258</v>
      </c>
      <c r="O466" s="73">
        <v>67258</v>
      </c>
      <c r="P466">
        <v>34.681374159610094</v>
      </c>
    </row>
    <row r="467" spans="1:16" x14ac:dyDescent="0.2">
      <c r="A467" s="73">
        <v>67258</v>
      </c>
      <c r="B467" t="s">
        <v>438</v>
      </c>
      <c r="C467" s="73" t="s">
        <v>441</v>
      </c>
      <c r="D467" t="s">
        <v>442</v>
      </c>
      <c r="E467" s="74">
        <v>46162</v>
      </c>
      <c r="F467" t="s">
        <v>357</v>
      </c>
      <c r="G467" t="s">
        <v>358</v>
      </c>
      <c r="H467" s="75">
        <f t="shared" si="7"/>
        <v>277.45099327688075</v>
      </c>
      <c r="I467" s="74">
        <v>46162</v>
      </c>
      <c r="J467">
        <v>8</v>
      </c>
      <c r="K467" t="s">
        <v>517</v>
      </c>
      <c r="L467" t="s">
        <v>359</v>
      </c>
      <c r="M467" t="s">
        <v>356</v>
      </c>
      <c r="N467" s="73">
        <v>67258</v>
      </c>
      <c r="O467" s="73">
        <v>67258</v>
      </c>
      <c r="P467">
        <v>34.681374159610094</v>
      </c>
    </row>
    <row r="468" spans="1:16" x14ac:dyDescent="0.2">
      <c r="A468" s="73">
        <v>67258</v>
      </c>
      <c r="B468" t="s">
        <v>438</v>
      </c>
      <c r="C468" s="73" t="s">
        <v>441</v>
      </c>
      <c r="D468" t="s">
        <v>442</v>
      </c>
      <c r="E468" s="74">
        <v>46163</v>
      </c>
      <c r="F468" t="s">
        <v>357</v>
      </c>
      <c r="G468" t="s">
        <v>358</v>
      </c>
      <c r="H468" s="75">
        <f t="shared" si="7"/>
        <v>277.45099327688075</v>
      </c>
      <c r="I468" s="74">
        <v>46163</v>
      </c>
      <c r="J468">
        <v>8</v>
      </c>
      <c r="K468" t="s">
        <v>517</v>
      </c>
      <c r="L468" t="s">
        <v>359</v>
      </c>
      <c r="M468" t="s">
        <v>356</v>
      </c>
      <c r="N468" s="73">
        <v>67258</v>
      </c>
      <c r="O468" s="73">
        <v>67258</v>
      </c>
      <c r="P468">
        <v>34.681374159610094</v>
      </c>
    </row>
    <row r="469" spans="1:16" x14ac:dyDescent="0.2">
      <c r="A469" s="73">
        <v>67258</v>
      </c>
      <c r="B469" t="s">
        <v>438</v>
      </c>
      <c r="C469" s="73" t="s">
        <v>441</v>
      </c>
      <c r="D469" t="s">
        <v>442</v>
      </c>
      <c r="E469" s="74">
        <v>46164</v>
      </c>
      <c r="F469" t="s">
        <v>357</v>
      </c>
      <c r="G469" t="s">
        <v>358</v>
      </c>
      <c r="H469" s="75">
        <f t="shared" si="7"/>
        <v>277.45099327688075</v>
      </c>
      <c r="I469" s="74">
        <v>46164</v>
      </c>
      <c r="J469">
        <v>8</v>
      </c>
      <c r="K469" t="s">
        <v>517</v>
      </c>
      <c r="L469" t="s">
        <v>359</v>
      </c>
      <c r="M469" t="s">
        <v>356</v>
      </c>
      <c r="N469" s="73">
        <v>67258</v>
      </c>
      <c r="O469" s="73">
        <v>67258</v>
      </c>
      <c r="P469">
        <v>34.681374159610094</v>
      </c>
    </row>
    <row r="470" spans="1:16" hidden="1" x14ac:dyDescent="0.2">
      <c r="A470" s="73">
        <v>67261</v>
      </c>
      <c r="B470" t="s">
        <v>443</v>
      </c>
      <c r="C470" s="73" t="s">
        <v>444</v>
      </c>
      <c r="D470" t="s">
        <v>445</v>
      </c>
      <c r="E470" s="74">
        <v>45853</v>
      </c>
      <c r="F470" t="s">
        <v>362</v>
      </c>
      <c r="G470" t="s">
        <v>363</v>
      </c>
      <c r="H470" s="75">
        <f t="shared" si="7"/>
        <v>208.08824495766055</v>
      </c>
      <c r="I470" s="74">
        <v>45853</v>
      </c>
      <c r="J470">
        <v>6</v>
      </c>
      <c r="K470" t="s">
        <v>511</v>
      </c>
      <c r="L470" t="s">
        <v>355</v>
      </c>
      <c r="M470" t="s">
        <v>356</v>
      </c>
      <c r="N470" s="73">
        <v>67261</v>
      </c>
      <c r="O470" s="73">
        <v>67261</v>
      </c>
      <c r="P470">
        <v>34.681374159610094</v>
      </c>
    </row>
    <row r="471" spans="1:16" hidden="1" x14ac:dyDescent="0.2">
      <c r="A471" s="73">
        <v>67261</v>
      </c>
      <c r="B471" t="s">
        <v>443</v>
      </c>
      <c r="C471" s="73" t="s">
        <v>444</v>
      </c>
      <c r="D471" t="s">
        <v>445</v>
      </c>
      <c r="E471" s="74">
        <v>45854</v>
      </c>
      <c r="F471" t="s">
        <v>362</v>
      </c>
      <c r="G471" t="s">
        <v>363</v>
      </c>
      <c r="H471" s="75">
        <f t="shared" si="7"/>
        <v>208.08824495766055</v>
      </c>
      <c r="I471" s="74">
        <v>45854</v>
      </c>
      <c r="J471">
        <v>6</v>
      </c>
      <c r="K471" t="s">
        <v>511</v>
      </c>
      <c r="L471" t="s">
        <v>355</v>
      </c>
      <c r="M471" t="s">
        <v>356</v>
      </c>
      <c r="N471" s="73">
        <v>67261</v>
      </c>
      <c r="O471" s="73">
        <v>67261</v>
      </c>
      <c r="P471">
        <v>34.681374159610094</v>
      </c>
    </row>
    <row r="472" spans="1:16" hidden="1" x14ac:dyDescent="0.2">
      <c r="A472" s="73">
        <v>67261</v>
      </c>
      <c r="B472" t="s">
        <v>443</v>
      </c>
      <c r="C472" s="73" t="s">
        <v>444</v>
      </c>
      <c r="D472" t="s">
        <v>445</v>
      </c>
      <c r="E472" s="74">
        <v>45855</v>
      </c>
      <c r="F472" t="s">
        <v>362</v>
      </c>
      <c r="G472" t="s">
        <v>363</v>
      </c>
      <c r="H472" s="75">
        <f t="shared" si="7"/>
        <v>208.08824495766055</v>
      </c>
      <c r="I472" s="74">
        <v>45855</v>
      </c>
      <c r="J472">
        <v>6</v>
      </c>
      <c r="K472" t="s">
        <v>511</v>
      </c>
      <c r="L472" t="s">
        <v>355</v>
      </c>
      <c r="M472" t="s">
        <v>356</v>
      </c>
      <c r="N472" s="73">
        <v>67261</v>
      </c>
      <c r="O472" s="73">
        <v>67261</v>
      </c>
      <c r="P472">
        <v>34.681374159610094</v>
      </c>
    </row>
    <row r="473" spans="1:16" hidden="1" x14ac:dyDescent="0.2">
      <c r="A473" s="73">
        <v>67261</v>
      </c>
      <c r="B473" t="s">
        <v>443</v>
      </c>
      <c r="C473" s="73" t="s">
        <v>444</v>
      </c>
      <c r="D473" t="s">
        <v>445</v>
      </c>
      <c r="E473" s="74">
        <v>45856</v>
      </c>
      <c r="F473" t="s">
        <v>362</v>
      </c>
      <c r="G473" t="s">
        <v>363</v>
      </c>
      <c r="H473" s="75">
        <f t="shared" si="7"/>
        <v>208.08824495766055</v>
      </c>
      <c r="I473" s="74">
        <v>45856</v>
      </c>
      <c r="J473">
        <v>6</v>
      </c>
      <c r="K473" t="s">
        <v>511</v>
      </c>
      <c r="L473" t="s">
        <v>355</v>
      </c>
      <c r="M473" t="s">
        <v>356</v>
      </c>
      <c r="N473" s="73">
        <v>67261</v>
      </c>
      <c r="O473" s="73">
        <v>67261</v>
      </c>
      <c r="P473">
        <v>34.681374159610094</v>
      </c>
    </row>
    <row r="474" spans="1:16" hidden="1" x14ac:dyDescent="0.2">
      <c r="A474" s="73">
        <v>67261</v>
      </c>
      <c r="B474" t="s">
        <v>443</v>
      </c>
      <c r="C474" s="73" t="s">
        <v>444</v>
      </c>
      <c r="D474" t="s">
        <v>445</v>
      </c>
      <c r="E474" s="74">
        <v>45859</v>
      </c>
      <c r="F474" t="s">
        <v>362</v>
      </c>
      <c r="G474" t="s">
        <v>363</v>
      </c>
      <c r="H474" s="75">
        <f t="shared" si="7"/>
        <v>208.08824495766055</v>
      </c>
      <c r="I474" s="74">
        <v>45859</v>
      </c>
      <c r="J474">
        <v>6</v>
      </c>
      <c r="K474" t="s">
        <v>511</v>
      </c>
      <c r="L474" t="s">
        <v>355</v>
      </c>
      <c r="M474" t="s">
        <v>356</v>
      </c>
      <c r="N474" s="73">
        <v>67261</v>
      </c>
      <c r="O474" s="73">
        <v>67261</v>
      </c>
      <c r="P474">
        <v>34.681374159610094</v>
      </c>
    </row>
    <row r="475" spans="1:16" hidden="1" x14ac:dyDescent="0.2">
      <c r="A475" s="73">
        <v>67261</v>
      </c>
      <c r="B475" t="s">
        <v>443</v>
      </c>
      <c r="C475" s="73" t="s">
        <v>444</v>
      </c>
      <c r="D475" t="s">
        <v>445</v>
      </c>
      <c r="E475" s="74">
        <v>45860</v>
      </c>
      <c r="F475" t="s">
        <v>362</v>
      </c>
      <c r="G475" t="s">
        <v>363</v>
      </c>
      <c r="H475" s="75">
        <f t="shared" si="7"/>
        <v>208.08824495766055</v>
      </c>
      <c r="I475" s="74">
        <v>45860</v>
      </c>
      <c r="J475">
        <v>6</v>
      </c>
      <c r="K475" t="s">
        <v>511</v>
      </c>
      <c r="L475" t="s">
        <v>355</v>
      </c>
      <c r="M475" t="s">
        <v>356</v>
      </c>
      <c r="N475" s="73">
        <v>67261</v>
      </c>
      <c r="O475" s="73">
        <v>67261</v>
      </c>
      <c r="P475">
        <v>34.681374159610094</v>
      </c>
    </row>
    <row r="476" spans="1:16" hidden="1" x14ac:dyDescent="0.2">
      <c r="A476" s="73">
        <v>67261</v>
      </c>
      <c r="B476" t="s">
        <v>443</v>
      </c>
      <c r="C476" s="73" t="s">
        <v>444</v>
      </c>
      <c r="D476" t="s">
        <v>445</v>
      </c>
      <c r="E476" s="74">
        <v>45861</v>
      </c>
      <c r="F476" t="s">
        <v>362</v>
      </c>
      <c r="G476" t="s">
        <v>363</v>
      </c>
      <c r="H476" s="75">
        <f t="shared" si="7"/>
        <v>208.08824495766055</v>
      </c>
      <c r="I476" s="74">
        <v>45861</v>
      </c>
      <c r="J476">
        <v>6</v>
      </c>
      <c r="K476" t="s">
        <v>511</v>
      </c>
      <c r="L476" t="s">
        <v>355</v>
      </c>
      <c r="M476" t="s">
        <v>356</v>
      </c>
      <c r="N476" s="73">
        <v>67261</v>
      </c>
      <c r="O476" s="73">
        <v>67261</v>
      </c>
      <c r="P476">
        <v>34.681374159610094</v>
      </c>
    </row>
    <row r="477" spans="1:16" hidden="1" x14ac:dyDescent="0.2">
      <c r="A477" s="73">
        <v>67261</v>
      </c>
      <c r="B477" t="s">
        <v>443</v>
      </c>
      <c r="C477" s="73" t="s">
        <v>444</v>
      </c>
      <c r="D477" t="s">
        <v>445</v>
      </c>
      <c r="E477" s="74">
        <v>45862</v>
      </c>
      <c r="F477" t="s">
        <v>362</v>
      </c>
      <c r="G477" t="s">
        <v>363</v>
      </c>
      <c r="H477" s="75">
        <f t="shared" si="7"/>
        <v>208.08824495766055</v>
      </c>
      <c r="I477" s="74">
        <v>45862</v>
      </c>
      <c r="J477">
        <v>6</v>
      </c>
      <c r="K477" t="s">
        <v>511</v>
      </c>
      <c r="L477" t="s">
        <v>355</v>
      </c>
      <c r="M477" t="s">
        <v>356</v>
      </c>
      <c r="N477" s="73">
        <v>67261</v>
      </c>
      <c r="O477" s="73">
        <v>67261</v>
      </c>
      <c r="P477">
        <v>34.681374159610094</v>
      </c>
    </row>
    <row r="478" spans="1:16" hidden="1" x14ac:dyDescent="0.2">
      <c r="A478" s="73">
        <v>67261</v>
      </c>
      <c r="B478" t="s">
        <v>443</v>
      </c>
      <c r="C478" s="73" t="s">
        <v>444</v>
      </c>
      <c r="D478" t="s">
        <v>445</v>
      </c>
      <c r="E478" s="74">
        <v>45863</v>
      </c>
      <c r="F478" t="s">
        <v>362</v>
      </c>
      <c r="G478" t="s">
        <v>363</v>
      </c>
      <c r="H478" s="75">
        <f t="shared" si="7"/>
        <v>208.08824495766055</v>
      </c>
      <c r="I478" s="74">
        <v>45863</v>
      </c>
      <c r="J478">
        <v>6</v>
      </c>
      <c r="K478" t="s">
        <v>511</v>
      </c>
      <c r="L478" t="s">
        <v>355</v>
      </c>
      <c r="M478" t="s">
        <v>356</v>
      </c>
      <c r="N478" s="73">
        <v>67261</v>
      </c>
      <c r="O478" s="73">
        <v>67261</v>
      </c>
      <c r="P478">
        <v>34.681374159610094</v>
      </c>
    </row>
    <row r="479" spans="1:16" hidden="1" x14ac:dyDescent="0.2">
      <c r="A479" s="73">
        <v>67261</v>
      </c>
      <c r="B479" t="s">
        <v>443</v>
      </c>
      <c r="C479" s="73" t="s">
        <v>444</v>
      </c>
      <c r="D479" t="s">
        <v>445</v>
      </c>
      <c r="E479" s="74">
        <v>45866</v>
      </c>
      <c r="F479" t="s">
        <v>362</v>
      </c>
      <c r="G479" t="s">
        <v>363</v>
      </c>
      <c r="H479" s="75">
        <f t="shared" si="7"/>
        <v>208.08824495766055</v>
      </c>
      <c r="I479" s="74">
        <v>45866</v>
      </c>
      <c r="J479">
        <v>6</v>
      </c>
      <c r="K479" t="s">
        <v>511</v>
      </c>
      <c r="L479" t="s">
        <v>355</v>
      </c>
      <c r="M479" t="s">
        <v>356</v>
      </c>
      <c r="N479" s="73">
        <v>67261</v>
      </c>
      <c r="O479" s="73">
        <v>67261</v>
      </c>
      <c r="P479">
        <v>34.681374159610094</v>
      </c>
    </row>
    <row r="480" spans="1:16" hidden="1" x14ac:dyDescent="0.2">
      <c r="A480" s="73">
        <v>67261</v>
      </c>
      <c r="B480" t="s">
        <v>443</v>
      </c>
      <c r="C480" s="73" t="s">
        <v>444</v>
      </c>
      <c r="D480" t="s">
        <v>445</v>
      </c>
      <c r="E480" s="74">
        <v>45867</v>
      </c>
      <c r="F480" t="s">
        <v>362</v>
      </c>
      <c r="G480" t="s">
        <v>363</v>
      </c>
      <c r="H480" s="75">
        <f t="shared" si="7"/>
        <v>208.08824495766055</v>
      </c>
      <c r="I480" s="74">
        <v>45867</v>
      </c>
      <c r="J480">
        <v>6</v>
      </c>
      <c r="K480" t="s">
        <v>511</v>
      </c>
      <c r="L480" t="s">
        <v>355</v>
      </c>
      <c r="M480" t="s">
        <v>356</v>
      </c>
      <c r="N480" s="73">
        <v>67261</v>
      </c>
      <c r="O480" s="73">
        <v>67261</v>
      </c>
      <c r="P480">
        <v>34.681374159610094</v>
      </c>
    </row>
    <row r="481" spans="1:16" hidden="1" x14ac:dyDescent="0.2">
      <c r="A481" s="73">
        <v>67261</v>
      </c>
      <c r="B481" t="s">
        <v>443</v>
      </c>
      <c r="C481" s="73" t="s">
        <v>444</v>
      </c>
      <c r="D481" t="s">
        <v>445</v>
      </c>
      <c r="E481" s="74">
        <v>45868</v>
      </c>
      <c r="F481" t="s">
        <v>362</v>
      </c>
      <c r="G481" t="s">
        <v>363</v>
      </c>
      <c r="H481" s="75">
        <f t="shared" si="7"/>
        <v>208.08824495766055</v>
      </c>
      <c r="I481" s="74">
        <v>45868</v>
      </c>
      <c r="J481">
        <v>6</v>
      </c>
      <c r="K481" t="s">
        <v>511</v>
      </c>
      <c r="L481" t="s">
        <v>355</v>
      </c>
      <c r="M481" t="s">
        <v>356</v>
      </c>
      <c r="N481" s="73">
        <v>67261</v>
      </c>
      <c r="O481" s="73">
        <v>67261</v>
      </c>
      <c r="P481">
        <v>34.681374159610094</v>
      </c>
    </row>
    <row r="482" spans="1:16" hidden="1" x14ac:dyDescent="0.2">
      <c r="A482" s="73">
        <v>67261</v>
      </c>
      <c r="B482" t="s">
        <v>443</v>
      </c>
      <c r="C482" s="73" t="s">
        <v>444</v>
      </c>
      <c r="D482" t="s">
        <v>445</v>
      </c>
      <c r="E482" s="74">
        <v>45869</v>
      </c>
      <c r="F482" t="s">
        <v>362</v>
      </c>
      <c r="G482" t="s">
        <v>363</v>
      </c>
      <c r="H482" s="75">
        <f t="shared" si="7"/>
        <v>208.08824495766055</v>
      </c>
      <c r="I482" s="74">
        <v>45869</v>
      </c>
      <c r="J482">
        <v>6</v>
      </c>
      <c r="K482" t="s">
        <v>511</v>
      </c>
      <c r="L482" t="s">
        <v>355</v>
      </c>
      <c r="M482" t="s">
        <v>356</v>
      </c>
      <c r="N482" s="73">
        <v>67261</v>
      </c>
      <c r="O482" s="73">
        <v>67261</v>
      </c>
      <c r="P482">
        <v>34.681374159610094</v>
      </c>
    </row>
    <row r="483" spans="1:16" x14ac:dyDescent="0.2">
      <c r="A483" s="73">
        <v>67258</v>
      </c>
      <c r="B483" t="s">
        <v>438</v>
      </c>
      <c r="C483" s="73" t="s">
        <v>446</v>
      </c>
      <c r="D483" t="s">
        <v>447</v>
      </c>
      <c r="E483" s="74">
        <v>46097</v>
      </c>
      <c r="F483" t="s">
        <v>398</v>
      </c>
      <c r="G483" t="s">
        <v>399</v>
      </c>
      <c r="H483" s="75">
        <f t="shared" si="7"/>
        <v>277.45099327688075</v>
      </c>
      <c r="I483" s="74">
        <v>46097</v>
      </c>
      <c r="J483">
        <v>8</v>
      </c>
      <c r="K483" t="s">
        <v>509</v>
      </c>
      <c r="L483" t="s">
        <v>367</v>
      </c>
      <c r="M483" t="s">
        <v>356</v>
      </c>
      <c r="N483" s="73">
        <v>67258</v>
      </c>
      <c r="O483" s="73">
        <v>67258</v>
      </c>
      <c r="P483">
        <v>34.681374159610094</v>
      </c>
    </row>
    <row r="484" spans="1:16" x14ac:dyDescent="0.2">
      <c r="A484" s="73">
        <v>67258</v>
      </c>
      <c r="B484" t="s">
        <v>438</v>
      </c>
      <c r="C484" s="73" t="s">
        <v>446</v>
      </c>
      <c r="D484" t="s">
        <v>447</v>
      </c>
      <c r="E484" s="74">
        <v>46098</v>
      </c>
      <c r="F484" t="s">
        <v>408</v>
      </c>
      <c r="G484" t="s">
        <v>409</v>
      </c>
      <c r="H484" s="75">
        <f t="shared" si="7"/>
        <v>277.45099327688075</v>
      </c>
      <c r="I484" s="74">
        <v>46098</v>
      </c>
      <c r="J484">
        <v>8</v>
      </c>
      <c r="K484" t="s">
        <v>509</v>
      </c>
      <c r="L484" t="s">
        <v>262</v>
      </c>
      <c r="M484" t="s">
        <v>369</v>
      </c>
      <c r="N484" s="73">
        <v>67258</v>
      </c>
      <c r="O484" s="73">
        <v>67258</v>
      </c>
      <c r="P484">
        <v>34.681374159610094</v>
      </c>
    </row>
    <row r="485" spans="1:16" x14ac:dyDescent="0.2">
      <c r="A485" s="73">
        <v>67258</v>
      </c>
      <c r="B485" t="s">
        <v>438</v>
      </c>
      <c r="C485" s="73" t="s">
        <v>446</v>
      </c>
      <c r="D485" t="s">
        <v>447</v>
      </c>
      <c r="E485" s="74">
        <v>46098</v>
      </c>
      <c r="F485" t="s">
        <v>398</v>
      </c>
      <c r="G485" t="s">
        <v>399</v>
      </c>
      <c r="H485" s="75">
        <f t="shared" si="7"/>
        <v>277.45099327688075</v>
      </c>
      <c r="I485" s="74">
        <v>46098</v>
      </c>
      <c r="J485">
        <v>8</v>
      </c>
      <c r="K485" t="s">
        <v>509</v>
      </c>
      <c r="L485" t="s">
        <v>367</v>
      </c>
      <c r="M485" t="s">
        <v>356</v>
      </c>
      <c r="N485" s="73">
        <v>67258</v>
      </c>
      <c r="O485" s="73">
        <v>67258</v>
      </c>
      <c r="P485">
        <v>34.681374159610094</v>
      </c>
    </row>
    <row r="486" spans="1:16" x14ac:dyDescent="0.2">
      <c r="A486" s="73">
        <v>67258</v>
      </c>
      <c r="B486" t="s">
        <v>438</v>
      </c>
      <c r="C486" s="73" t="s">
        <v>446</v>
      </c>
      <c r="D486" t="s">
        <v>447</v>
      </c>
      <c r="E486" s="74">
        <v>46099</v>
      </c>
      <c r="F486" t="s">
        <v>408</v>
      </c>
      <c r="G486" t="s">
        <v>409</v>
      </c>
      <c r="H486" s="75">
        <f t="shared" si="7"/>
        <v>277.45099327688075</v>
      </c>
      <c r="I486" s="74">
        <v>46099</v>
      </c>
      <c r="J486">
        <v>8</v>
      </c>
      <c r="K486" t="s">
        <v>509</v>
      </c>
      <c r="L486" t="s">
        <v>262</v>
      </c>
      <c r="M486" t="s">
        <v>369</v>
      </c>
      <c r="N486" s="73">
        <v>67258</v>
      </c>
      <c r="O486" s="73">
        <v>67258</v>
      </c>
      <c r="P486">
        <v>34.681374159610094</v>
      </c>
    </row>
    <row r="487" spans="1:16" x14ac:dyDescent="0.2">
      <c r="A487" s="73">
        <v>67258</v>
      </c>
      <c r="B487" t="s">
        <v>438</v>
      </c>
      <c r="C487" s="73" t="s">
        <v>446</v>
      </c>
      <c r="D487" t="s">
        <v>447</v>
      </c>
      <c r="E487" s="74">
        <v>46120</v>
      </c>
      <c r="F487" t="s">
        <v>408</v>
      </c>
      <c r="G487" t="s">
        <v>409</v>
      </c>
      <c r="H487" s="75">
        <f t="shared" si="7"/>
        <v>138.72549663844038</v>
      </c>
      <c r="I487" s="74">
        <v>46120</v>
      </c>
      <c r="J487">
        <v>4</v>
      </c>
      <c r="K487" t="s">
        <v>510</v>
      </c>
      <c r="L487" t="s">
        <v>262</v>
      </c>
      <c r="M487" t="s">
        <v>369</v>
      </c>
      <c r="N487" s="73">
        <v>67258</v>
      </c>
      <c r="O487" s="73">
        <v>67258</v>
      </c>
      <c r="P487">
        <v>34.681374159610094</v>
      </c>
    </row>
    <row r="488" spans="1:16" x14ac:dyDescent="0.2">
      <c r="A488" s="73">
        <v>67258</v>
      </c>
      <c r="B488" t="s">
        <v>438</v>
      </c>
      <c r="C488" s="73" t="s">
        <v>446</v>
      </c>
      <c r="D488" t="s">
        <v>447</v>
      </c>
      <c r="E488" s="74">
        <v>46121</v>
      </c>
      <c r="F488" t="s">
        <v>408</v>
      </c>
      <c r="G488" t="s">
        <v>409</v>
      </c>
      <c r="H488" s="75">
        <f t="shared" si="7"/>
        <v>277.45099327688075</v>
      </c>
      <c r="I488" s="74">
        <v>46121</v>
      </c>
      <c r="J488">
        <v>8</v>
      </c>
      <c r="K488" t="s">
        <v>510</v>
      </c>
      <c r="L488" t="s">
        <v>262</v>
      </c>
      <c r="M488" t="s">
        <v>369</v>
      </c>
      <c r="N488" s="73">
        <v>67258</v>
      </c>
      <c r="O488" s="73">
        <v>67258</v>
      </c>
      <c r="P488">
        <v>34.681374159610094</v>
      </c>
    </row>
    <row r="489" spans="1:16" x14ac:dyDescent="0.2">
      <c r="A489" s="73">
        <v>67258</v>
      </c>
      <c r="B489" t="s">
        <v>438</v>
      </c>
      <c r="C489" s="73" t="s">
        <v>446</v>
      </c>
      <c r="D489" t="s">
        <v>447</v>
      </c>
      <c r="E489" s="74">
        <v>46122</v>
      </c>
      <c r="F489" t="s">
        <v>408</v>
      </c>
      <c r="G489" t="s">
        <v>409</v>
      </c>
      <c r="H489" s="75">
        <f t="shared" si="7"/>
        <v>208.08824495766055</v>
      </c>
      <c r="I489" s="74">
        <v>46122</v>
      </c>
      <c r="J489">
        <v>6</v>
      </c>
      <c r="K489" t="s">
        <v>510</v>
      </c>
      <c r="L489" t="s">
        <v>262</v>
      </c>
      <c r="M489" t="s">
        <v>369</v>
      </c>
      <c r="N489" s="73">
        <v>67258</v>
      </c>
      <c r="O489" s="73">
        <v>67258</v>
      </c>
      <c r="P489">
        <v>34.681374159610094</v>
      </c>
    </row>
    <row r="490" spans="1:16" x14ac:dyDescent="0.2">
      <c r="A490" s="73">
        <v>67262</v>
      </c>
      <c r="B490" t="s">
        <v>350</v>
      </c>
      <c r="C490" s="73" t="s">
        <v>448</v>
      </c>
      <c r="D490" t="s">
        <v>449</v>
      </c>
      <c r="E490" s="74">
        <v>46027</v>
      </c>
      <c r="F490" t="s">
        <v>357</v>
      </c>
      <c r="G490" t="s">
        <v>358</v>
      </c>
      <c r="H490" s="75">
        <f t="shared" si="7"/>
        <v>69.362748319220188</v>
      </c>
      <c r="I490" s="74">
        <v>46027</v>
      </c>
      <c r="J490">
        <v>2</v>
      </c>
      <c r="K490" t="s">
        <v>516</v>
      </c>
      <c r="L490" t="s">
        <v>359</v>
      </c>
      <c r="M490" t="s">
        <v>356</v>
      </c>
      <c r="N490" s="73">
        <v>67262</v>
      </c>
      <c r="O490" s="73">
        <v>67262</v>
      </c>
      <c r="P490">
        <v>34.681374159610094</v>
      </c>
    </row>
    <row r="491" spans="1:16" x14ac:dyDescent="0.2">
      <c r="A491" s="73">
        <v>67262</v>
      </c>
      <c r="B491" t="s">
        <v>350</v>
      </c>
      <c r="C491" s="73" t="s">
        <v>448</v>
      </c>
      <c r="D491" t="s">
        <v>449</v>
      </c>
      <c r="E491" s="74">
        <v>46028</v>
      </c>
      <c r="F491" t="s">
        <v>357</v>
      </c>
      <c r="G491" t="s">
        <v>358</v>
      </c>
      <c r="H491" s="75">
        <f t="shared" si="7"/>
        <v>69.362748319220188</v>
      </c>
      <c r="I491" s="74">
        <v>46028</v>
      </c>
      <c r="J491">
        <v>2</v>
      </c>
      <c r="K491" t="s">
        <v>516</v>
      </c>
      <c r="L491" t="s">
        <v>359</v>
      </c>
      <c r="M491" t="s">
        <v>356</v>
      </c>
      <c r="N491" s="73">
        <v>67262</v>
      </c>
      <c r="O491" s="73">
        <v>67262</v>
      </c>
      <c r="P491">
        <v>34.681374159610094</v>
      </c>
    </row>
    <row r="492" spans="1:16" x14ac:dyDescent="0.2">
      <c r="A492" s="73">
        <v>67262</v>
      </c>
      <c r="B492" t="s">
        <v>350</v>
      </c>
      <c r="C492" s="73" t="s">
        <v>448</v>
      </c>
      <c r="D492" t="s">
        <v>449</v>
      </c>
      <c r="E492" s="74">
        <v>46029</v>
      </c>
      <c r="F492" t="s">
        <v>357</v>
      </c>
      <c r="G492" t="s">
        <v>358</v>
      </c>
      <c r="H492" s="75">
        <f t="shared" si="7"/>
        <v>69.362748319220188</v>
      </c>
      <c r="I492" s="74">
        <v>46029</v>
      </c>
      <c r="J492">
        <v>2</v>
      </c>
      <c r="K492" t="s">
        <v>516</v>
      </c>
      <c r="L492" t="s">
        <v>359</v>
      </c>
      <c r="M492" t="s">
        <v>356</v>
      </c>
      <c r="N492" s="73">
        <v>67262</v>
      </c>
      <c r="O492" s="73">
        <v>67262</v>
      </c>
      <c r="P492">
        <v>34.681374159610094</v>
      </c>
    </row>
    <row r="493" spans="1:16" x14ac:dyDescent="0.2">
      <c r="A493" s="73">
        <v>67262</v>
      </c>
      <c r="B493" t="s">
        <v>350</v>
      </c>
      <c r="C493" s="73" t="s">
        <v>448</v>
      </c>
      <c r="D493" t="s">
        <v>449</v>
      </c>
      <c r="E493" s="74">
        <v>46030</v>
      </c>
      <c r="F493" t="s">
        <v>357</v>
      </c>
      <c r="G493" t="s">
        <v>358</v>
      </c>
      <c r="H493" s="75">
        <f t="shared" si="7"/>
        <v>69.362748319220188</v>
      </c>
      <c r="I493" s="74">
        <v>46030</v>
      </c>
      <c r="J493">
        <v>2</v>
      </c>
      <c r="K493" t="s">
        <v>516</v>
      </c>
      <c r="L493" t="s">
        <v>359</v>
      </c>
      <c r="M493" t="s">
        <v>356</v>
      </c>
      <c r="N493" s="73">
        <v>67262</v>
      </c>
      <c r="O493" s="73">
        <v>67262</v>
      </c>
      <c r="P493">
        <v>34.681374159610094</v>
      </c>
    </row>
    <row r="494" spans="1:16" x14ac:dyDescent="0.2">
      <c r="A494" s="73">
        <v>67262</v>
      </c>
      <c r="B494" t="s">
        <v>350</v>
      </c>
      <c r="C494" s="73" t="s">
        <v>448</v>
      </c>
      <c r="D494" t="s">
        <v>449</v>
      </c>
      <c r="E494" s="74">
        <v>46031</v>
      </c>
      <c r="F494" t="s">
        <v>410</v>
      </c>
      <c r="G494" t="s">
        <v>411</v>
      </c>
      <c r="H494" s="75">
        <f t="shared" si="7"/>
        <v>208.08824495766055</v>
      </c>
      <c r="I494" s="74">
        <v>46031</v>
      </c>
      <c r="J494">
        <v>6</v>
      </c>
      <c r="K494" t="s">
        <v>516</v>
      </c>
      <c r="L494" t="s">
        <v>262</v>
      </c>
      <c r="M494" t="s">
        <v>356</v>
      </c>
      <c r="N494" s="73">
        <v>67262</v>
      </c>
      <c r="O494" s="73">
        <v>67262</v>
      </c>
      <c r="P494">
        <v>34.681374159610094</v>
      </c>
    </row>
    <row r="495" spans="1:16" x14ac:dyDescent="0.2">
      <c r="A495" s="73">
        <v>67262</v>
      </c>
      <c r="B495" t="s">
        <v>350</v>
      </c>
      <c r="C495" s="73" t="s">
        <v>448</v>
      </c>
      <c r="D495" t="s">
        <v>449</v>
      </c>
      <c r="E495" s="74">
        <v>46031</v>
      </c>
      <c r="F495" t="s">
        <v>357</v>
      </c>
      <c r="G495" t="s">
        <v>358</v>
      </c>
      <c r="H495" s="75">
        <f t="shared" si="7"/>
        <v>69.362748319220188</v>
      </c>
      <c r="I495" s="74">
        <v>46031</v>
      </c>
      <c r="J495">
        <v>2</v>
      </c>
      <c r="K495" t="s">
        <v>516</v>
      </c>
      <c r="L495" t="s">
        <v>359</v>
      </c>
      <c r="M495" t="s">
        <v>356</v>
      </c>
      <c r="N495" s="73">
        <v>67262</v>
      </c>
      <c r="O495" s="73">
        <v>67262</v>
      </c>
      <c r="P495">
        <v>34.681374159610094</v>
      </c>
    </row>
    <row r="496" spans="1:16" x14ac:dyDescent="0.2">
      <c r="A496" s="73">
        <v>67262</v>
      </c>
      <c r="B496" t="s">
        <v>350</v>
      </c>
      <c r="C496" s="73" t="s">
        <v>448</v>
      </c>
      <c r="D496" t="s">
        <v>449</v>
      </c>
      <c r="E496" s="74">
        <v>46031</v>
      </c>
      <c r="F496" t="s">
        <v>372</v>
      </c>
      <c r="G496" t="s">
        <v>373</v>
      </c>
      <c r="H496" s="75">
        <f t="shared" si="7"/>
        <v>208.08824495766055</v>
      </c>
      <c r="I496" s="74">
        <v>46031</v>
      </c>
      <c r="J496">
        <v>6</v>
      </c>
      <c r="K496" t="s">
        <v>516</v>
      </c>
      <c r="L496" t="s">
        <v>348</v>
      </c>
      <c r="M496" t="s">
        <v>356</v>
      </c>
      <c r="N496" s="73">
        <v>67262</v>
      </c>
      <c r="O496" s="73">
        <v>67262</v>
      </c>
      <c r="P496">
        <v>34.681374159610094</v>
      </c>
    </row>
    <row r="497" spans="1:16" x14ac:dyDescent="0.2">
      <c r="A497" s="73">
        <v>67262</v>
      </c>
      <c r="B497" t="s">
        <v>350</v>
      </c>
      <c r="C497" s="73" t="s">
        <v>448</v>
      </c>
      <c r="D497" t="s">
        <v>449</v>
      </c>
      <c r="E497" s="74">
        <v>46084</v>
      </c>
      <c r="F497" t="s">
        <v>410</v>
      </c>
      <c r="G497" t="s">
        <v>411</v>
      </c>
      <c r="H497" s="75">
        <f t="shared" si="7"/>
        <v>242.76961911727065</v>
      </c>
      <c r="I497" s="74">
        <v>46084</v>
      </c>
      <c r="J497">
        <v>7</v>
      </c>
      <c r="K497" t="s">
        <v>509</v>
      </c>
      <c r="L497" t="s">
        <v>262</v>
      </c>
      <c r="M497" t="s">
        <v>356</v>
      </c>
      <c r="N497" s="73">
        <v>67262</v>
      </c>
      <c r="O497" s="73">
        <v>67262</v>
      </c>
      <c r="P497">
        <v>34.681374159610094</v>
      </c>
    </row>
    <row r="498" spans="1:16" x14ac:dyDescent="0.2">
      <c r="A498" s="73">
        <v>67262</v>
      </c>
      <c r="B498" t="s">
        <v>350</v>
      </c>
      <c r="C498" s="73" t="s">
        <v>448</v>
      </c>
      <c r="D498" t="s">
        <v>449</v>
      </c>
      <c r="E498" s="74">
        <v>46085</v>
      </c>
      <c r="F498" t="s">
        <v>357</v>
      </c>
      <c r="G498" t="s">
        <v>358</v>
      </c>
      <c r="H498" s="75">
        <f t="shared" si="7"/>
        <v>138.72549663844038</v>
      </c>
      <c r="I498" s="74">
        <v>46085</v>
      </c>
      <c r="J498">
        <v>4</v>
      </c>
      <c r="K498" t="s">
        <v>509</v>
      </c>
      <c r="L498" t="s">
        <v>359</v>
      </c>
      <c r="M498" t="s">
        <v>356</v>
      </c>
      <c r="N498" s="73">
        <v>67262</v>
      </c>
      <c r="O498" s="73">
        <v>67262</v>
      </c>
      <c r="P498">
        <v>34.681374159610094</v>
      </c>
    </row>
    <row r="499" spans="1:16" x14ac:dyDescent="0.2">
      <c r="A499" s="73">
        <v>67262</v>
      </c>
      <c r="B499" t="s">
        <v>350</v>
      </c>
      <c r="C499" s="73" t="s">
        <v>448</v>
      </c>
      <c r="D499" t="s">
        <v>449</v>
      </c>
      <c r="E499" s="74">
        <v>46086</v>
      </c>
      <c r="F499" t="s">
        <v>357</v>
      </c>
      <c r="G499" t="s">
        <v>358</v>
      </c>
      <c r="H499" s="75">
        <f t="shared" si="7"/>
        <v>138.72549663844038</v>
      </c>
      <c r="I499" s="74">
        <v>46086</v>
      </c>
      <c r="J499">
        <v>4</v>
      </c>
      <c r="K499" t="s">
        <v>509</v>
      </c>
      <c r="L499" t="s">
        <v>359</v>
      </c>
      <c r="M499" t="s">
        <v>356</v>
      </c>
      <c r="N499" s="73">
        <v>67262</v>
      </c>
      <c r="O499" s="73">
        <v>67262</v>
      </c>
      <c r="P499">
        <v>34.681374159610094</v>
      </c>
    </row>
    <row r="500" spans="1:16" x14ac:dyDescent="0.2">
      <c r="A500" s="73">
        <v>67262</v>
      </c>
      <c r="B500" t="s">
        <v>350</v>
      </c>
      <c r="C500" s="73" t="s">
        <v>448</v>
      </c>
      <c r="D500" t="s">
        <v>449</v>
      </c>
      <c r="E500" s="74">
        <v>46087</v>
      </c>
      <c r="F500" t="s">
        <v>357</v>
      </c>
      <c r="G500" t="s">
        <v>358</v>
      </c>
      <c r="H500" s="75">
        <f t="shared" si="7"/>
        <v>138.72549663844038</v>
      </c>
      <c r="I500" s="74">
        <v>46087</v>
      </c>
      <c r="J500">
        <v>4</v>
      </c>
      <c r="K500" t="s">
        <v>509</v>
      </c>
      <c r="L500" t="s">
        <v>359</v>
      </c>
      <c r="M500" t="s">
        <v>356</v>
      </c>
      <c r="N500" s="73">
        <v>67262</v>
      </c>
      <c r="O500" s="73">
        <v>67262</v>
      </c>
      <c r="P500">
        <v>34.681374159610094</v>
      </c>
    </row>
    <row r="501" spans="1:16" x14ac:dyDescent="0.2">
      <c r="A501" s="73">
        <v>67262</v>
      </c>
      <c r="B501" t="s">
        <v>350</v>
      </c>
      <c r="C501" s="73" t="s">
        <v>448</v>
      </c>
      <c r="D501" t="s">
        <v>449</v>
      </c>
      <c r="E501" s="74">
        <v>46091</v>
      </c>
      <c r="F501" t="s">
        <v>357</v>
      </c>
      <c r="G501" t="s">
        <v>358</v>
      </c>
      <c r="H501" s="75">
        <f t="shared" si="7"/>
        <v>34.681374159610094</v>
      </c>
      <c r="I501" s="74">
        <v>46091</v>
      </c>
      <c r="J501">
        <v>1</v>
      </c>
      <c r="K501" t="s">
        <v>509</v>
      </c>
      <c r="L501" t="s">
        <v>359</v>
      </c>
      <c r="M501" t="s">
        <v>356</v>
      </c>
      <c r="N501" s="73">
        <v>67262</v>
      </c>
      <c r="O501" s="73">
        <v>67262</v>
      </c>
      <c r="P501">
        <v>34.681374159610094</v>
      </c>
    </row>
    <row r="502" spans="1:16" x14ac:dyDescent="0.2">
      <c r="A502" s="73">
        <v>67262</v>
      </c>
      <c r="B502" t="s">
        <v>350</v>
      </c>
      <c r="C502" s="73" t="s">
        <v>448</v>
      </c>
      <c r="D502" t="s">
        <v>449</v>
      </c>
      <c r="E502" s="74">
        <v>46092</v>
      </c>
      <c r="F502" t="s">
        <v>357</v>
      </c>
      <c r="G502" t="s">
        <v>358</v>
      </c>
      <c r="H502" s="75">
        <f t="shared" si="7"/>
        <v>34.681374159610094</v>
      </c>
      <c r="I502" s="74">
        <v>46092</v>
      </c>
      <c r="J502">
        <v>1</v>
      </c>
      <c r="K502" t="s">
        <v>509</v>
      </c>
      <c r="L502" t="s">
        <v>359</v>
      </c>
      <c r="M502" t="s">
        <v>356</v>
      </c>
      <c r="N502" s="73">
        <v>67262</v>
      </c>
      <c r="O502" s="73">
        <v>67262</v>
      </c>
      <c r="P502">
        <v>34.681374159610094</v>
      </c>
    </row>
    <row r="503" spans="1:16" x14ac:dyDescent="0.2">
      <c r="A503" s="73">
        <v>67262</v>
      </c>
      <c r="B503" t="s">
        <v>350</v>
      </c>
      <c r="C503" s="73" t="s">
        <v>448</v>
      </c>
      <c r="D503" t="s">
        <v>449</v>
      </c>
      <c r="E503" s="74">
        <v>46093</v>
      </c>
      <c r="F503" t="s">
        <v>357</v>
      </c>
      <c r="G503" t="s">
        <v>358</v>
      </c>
      <c r="H503" s="75">
        <f t="shared" si="7"/>
        <v>34.681374159610094</v>
      </c>
      <c r="I503" s="74">
        <v>46093</v>
      </c>
      <c r="J503">
        <v>1</v>
      </c>
      <c r="K503" t="s">
        <v>509</v>
      </c>
      <c r="L503" t="s">
        <v>359</v>
      </c>
      <c r="M503" t="s">
        <v>356</v>
      </c>
      <c r="N503" s="73">
        <v>67262</v>
      </c>
      <c r="O503" s="73">
        <v>67262</v>
      </c>
      <c r="P503">
        <v>34.681374159610094</v>
      </c>
    </row>
    <row r="504" spans="1:16" x14ac:dyDescent="0.2">
      <c r="A504" s="73">
        <v>67262</v>
      </c>
      <c r="B504" t="s">
        <v>350</v>
      </c>
      <c r="C504" s="73" t="s">
        <v>448</v>
      </c>
      <c r="D504" t="s">
        <v>449</v>
      </c>
      <c r="E504" s="74">
        <v>46094</v>
      </c>
      <c r="F504" t="s">
        <v>357</v>
      </c>
      <c r="G504" t="s">
        <v>358</v>
      </c>
      <c r="H504" s="75">
        <f t="shared" si="7"/>
        <v>34.681374159610094</v>
      </c>
      <c r="I504" s="74">
        <v>46094</v>
      </c>
      <c r="J504">
        <v>1</v>
      </c>
      <c r="K504" t="s">
        <v>509</v>
      </c>
      <c r="L504" t="s">
        <v>359</v>
      </c>
      <c r="M504" t="s">
        <v>356</v>
      </c>
      <c r="N504" s="73">
        <v>67262</v>
      </c>
      <c r="O504" s="73">
        <v>67262</v>
      </c>
      <c r="P504">
        <v>34.681374159610094</v>
      </c>
    </row>
    <row r="505" spans="1:16" x14ac:dyDescent="0.2">
      <c r="A505" s="73">
        <v>67262</v>
      </c>
      <c r="B505" t="s">
        <v>350</v>
      </c>
      <c r="C505" s="73" t="s">
        <v>448</v>
      </c>
      <c r="D505" t="s">
        <v>449</v>
      </c>
      <c r="E505" s="74">
        <v>46108</v>
      </c>
      <c r="F505" t="s">
        <v>357</v>
      </c>
      <c r="G505" t="s">
        <v>358</v>
      </c>
      <c r="H505" s="75">
        <f t="shared" si="7"/>
        <v>208.08824495766055</v>
      </c>
      <c r="I505" s="74">
        <v>46108</v>
      </c>
      <c r="J505">
        <v>6</v>
      </c>
      <c r="K505" t="s">
        <v>509</v>
      </c>
      <c r="L505" t="s">
        <v>359</v>
      </c>
      <c r="M505" t="s">
        <v>356</v>
      </c>
      <c r="N505" s="73">
        <v>67262</v>
      </c>
      <c r="O505" s="73">
        <v>67262</v>
      </c>
      <c r="P505">
        <v>34.681374159610094</v>
      </c>
    </row>
    <row r="506" spans="1:16" x14ac:dyDescent="0.2">
      <c r="A506" s="73">
        <v>67262</v>
      </c>
      <c r="B506" t="s">
        <v>350</v>
      </c>
      <c r="C506" s="73" t="s">
        <v>448</v>
      </c>
      <c r="D506" t="s">
        <v>449</v>
      </c>
      <c r="E506" s="74">
        <v>46120</v>
      </c>
      <c r="F506" t="s">
        <v>410</v>
      </c>
      <c r="G506" t="s">
        <v>411</v>
      </c>
      <c r="H506" s="75">
        <f t="shared" si="7"/>
        <v>277.45099327688075</v>
      </c>
      <c r="I506" s="74">
        <v>46120</v>
      </c>
      <c r="J506">
        <v>8</v>
      </c>
      <c r="K506" t="s">
        <v>510</v>
      </c>
      <c r="L506" t="s">
        <v>262</v>
      </c>
      <c r="M506" t="s">
        <v>356</v>
      </c>
      <c r="N506" s="73">
        <v>67262</v>
      </c>
      <c r="O506" s="73">
        <v>67262</v>
      </c>
      <c r="P506">
        <v>34.681374159610094</v>
      </c>
    </row>
    <row r="507" spans="1:16" x14ac:dyDescent="0.2">
      <c r="A507" s="73">
        <v>67262</v>
      </c>
      <c r="B507" t="s">
        <v>350</v>
      </c>
      <c r="C507" s="73" t="s">
        <v>448</v>
      </c>
      <c r="D507" t="s">
        <v>449</v>
      </c>
      <c r="E507" s="74">
        <v>46121</v>
      </c>
      <c r="F507" t="s">
        <v>410</v>
      </c>
      <c r="G507" t="s">
        <v>411</v>
      </c>
      <c r="H507" s="75">
        <f t="shared" si="7"/>
        <v>277.45099327688075</v>
      </c>
      <c r="I507" s="74">
        <v>46121</v>
      </c>
      <c r="J507">
        <v>8</v>
      </c>
      <c r="K507" t="s">
        <v>510</v>
      </c>
      <c r="L507" t="s">
        <v>262</v>
      </c>
      <c r="M507" t="s">
        <v>356</v>
      </c>
      <c r="N507" s="73">
        <v>67262</v>
      </c>
      <c r="O507" s="73">
        <v>67262</v>
      </c>
      <c r="P507">
        <v>34.681374159610094</v>
      </c>
    </row>
    <row r="508" spans="1:16" x14ac:dyDescent="0.2">
      <c r="A508" s="73">
        <v>67262</v>
      </c>
      <c r="B508" t="s">
        <v>350</v>
      </c>
      <c r="C508" s="73" t="s">
        <v>448</v>
      </c>
      <c r="D508" t="s">
        <v>449</v>
      </c>
      <c r="E508" s="74">
        <v>46122</v>
      </c>
      <c r="F508" t="s">
        <v>410</v>
      </c>
      <c r="G508" t="s">
        <v>411</v>
      </c>
      <c r="H508" s="75">
        <f t="shared" si="7"/>
        <v>277.45099327688075</v>
      </c>
      <c r="I508" s="74">
        <v>46122</v>
      </c>
      <c r="J508">
        <v>8</v>
      </c>
      <c r="K508" t="s">
        <v>510</v>
      </c>
      <c r="L508" t="s">
        <v>262</v>
      </c>
      <c r="M508" t="s">
        <v>356</v>
      </c>
      <c r="N508" s="73">
        <v>67262</v>
      </c>
      <c r="O508" s="73">
        <v>67262</v>
      </c>
      <c r="P508">
        <v>34.681374159610094</v>
      </c>
    </row>
    <row r="509" spans="1:16" x14ac:dyDescent="0.2">
      <c r="A509" s="73">
        <v>67262</v>
      </c>
      <c r="B509" t="s">
        <v>350</v>
      </c>
      <c r="C509" s="73" t="s">
        <v>448</v>
      </c>
      <c r="D509" t="s">
        <v>449</v>
      </c>
      <c r="E509" s="74">
        <v>46125</v>
      </c>
      <c r="F509" t="s">
        <v>357</v>
      </c>
      <c r="G509" t="s">
        <v>358</v>
      </c>
      <c r="H509" s="75">
        <f t="shared" si="7"/>
        <v>69.362748319220188</v>
      </c>
      <c r="I509" s="74">
        <v>46125</v>
      </c>
      <c r="J509">
        <v>2</v>
      </c>
      <c r="K509" t="s">
        <v>510</v>
      </c>
      <c r="L509" t="s">
        <v>359</v>
      </c>
      <c r="M509" t="s">
        <v>356</v>
      </c>
      <c r="N509" s="73">
        <v>67262</v>
      </c>
      <c r="O509" s="73">
        <v>67262</v>
      </c>
      <c r="P509">
        <v>34.681374159610094</v>
      </c>
    </row>
    <row r="510" spans="1:16" x14ac:dyDescent="0.2">
      <c r="A510" s="73">
        <v>67262</v>
      </c>
      <c r="B510" t="s">
        <v>350</v>
      </c>
      <c r="C510" s="73" t="s">
        <v>448</v>
      </c>
      <c r="D510" t="s">
        <v>449</v>
      </c>
      <c r="E510" s="74">
        <v>46127</v>
      </c>
      <c r="F510" t="s">
        <v>357</v>
      </c>
      <c r="G510" t="s">
        <v>358</v>
      </c>
      <c r="H510" s="75">
        <f t="shared" si="7"/>
        <v>69.362748319220188</v>
      </c>
      <c r="I510" s="74">
        <v>46127</v>
      </c>
      <c r="J510">
        <v>2</v>
      </c>
      <c r="K510" t="s">
        <v>510</v>
      </c>
      <c r="L510" t="s">
        <v>359</v>
      </c>
      <c r="M510" t="s">
        <v>356</v>
      </c>
      <c r="N510" s="73">
        <v>67262</v>
      </c>
      <c r="O510" s="73">
        <v>67262</v>
      </c>
      <c r="P510">
        <v>34.681374159610094</v>
      </c>
    </row>
    <row r="511" spans="1:16" x14ac:dyDescent="0.2">
      <c r="A511" s="73">
        <v>67262</v>
      </c>
      <c r="B511" t="s">
        <v>350</v>
      </c>
      <c r="C511" s="73" t="s">
        <v>448</v>
      </c>
      <c r="D511" t="s">
        <v>449</v>
      </c>
      <c r="E511" s="74">
        <v>46132</v>
      </c>
      <c r="F511" t="s">
        <v>357</v>
      </c>
      <c r="G511" t="s">
        <v>358</v>
      </c>
      <c r="H511" s="75">
        <f t="shared" si="7"/>
        <v>69.362748319220188</v>
      </c>
      <c r="I511" s="74">
        <v>46132</v>
      </c>
      <c r="J511">
        <v>2</v>
      </c>
      <c r="K511" t="s">
        <v>510</v>
      </c>
      <c r="L511" t="s">
        <v>359</v>
      </c>
      <c r="M511" t="s">
        <v>356</v>
      </c>
      <c r="N511" s="73">
        <v>67262</v>
      </c>
      <c r="O511" s="73">
        <v>67262</v>
      </c>
      <c r="P511">
        <v>34.681374159610094</v>
      </c>
    </row>
    <row r="512" spans="1:16" x14ac:dyDescent="0.2">
      <c r="A512" s="73">
        <v>67262</v>
      </c>
      <c r="B512" t="s">
        <v>350</v>
      </c>
      <c r="C512" s="73" t="s">
        <v>448</v>
      </c>
      <c r="D512" t="s">
        <v>449</v>
      </c>
      <c r="E512" s="74">
        <v>46133</v>
      </c>
      <c r="F512" t="s">
        <v>410</v>
      </c>
      <c r="G512" t="s">
        <v>411</v>
      </c>
      <c r="H512" s="75">
        <f t="shared" si="7"/>
        <v>277.45099327688075</v>
      </c>
      <c r="I512" s="74">
        <v>46133</v>
      </c>
      <c r="J512">
        <v>8</v>
      </c>
      <c r="K512" t="s">
        <v>510</v>
      </c>
      <c r="L512" t="s">
        <v>262</v>
      </c>
      <c r="M512" t="s">
        <v>356</v>
      </c>
      <c r="N512" s="73">
        <v>67262</v>
      </c>
      <c r="O512" s="73">
        <v>67262</v>
      </c>
      <c r="P512">
        <v>34.681374159610094</v>
      </c>
    </row>
    <row r="513" spans="1:16" x14ac:dyDescent="0.2">
      <c r="A513" s="73">
        <v>67262</v>
      </c>
      <c r="B513" t="s">
        <v>350</v>
      </c>
      <c r="C513" s="73" t="s">
        <v>448</v>
      </c>
      <c r="D513" t="s">
        <v>449</v>
      </c>
      <c r="E513" s="74">
        <v>46133</v>
      </c>
      <c r="F513" t="s">
        <v>357</v>
      </c>
      <c r="G513" t="s">
        <v>358</v>
      </c>
      <c r="H513" s="75">
        <f t="shared" si="7"/>
        <v>69.362748319220188</v>
      </c>
      <c r="I513" s="74">
        <v>46133</v>
      </c>
      <c r="J513">
        <v>2</v>
      </c>
      <c r="K513" t="s">
        <v>510</v>
      </c>
      <c r="L513" t="s">
        <v>359</v>
      </c>
      <c r="M513" t="s">
        <v>356</v>
      </c>
      <c r="N513" s="73">
        <v>67262</v>
      </c>
      <c r="O513" s="73">
        <v>67262</v>
      </c>
      <c r="P513">
        <v>34.681374159610094</v>
      </c>
    </row>
    <row r="514" spans="1:16" x14ac:dyDescent="0.2">
      <c r="A514" s="73">
        <v>67262</v>
      </c>
      <c r="B514" t="s">
        <v>350</v>
      </c>
      <c r="C514" s="73" t="s">
        <v>448</v>
      </c>
      <c r="D514" t="s">
        <v>449</v>
      </c>
      <c r="E514" s="74">
        <v>46134</v>
      </c>
      <c r="F514" t="s">
        <v>410</v>
      </c>
      <c r="G514" t="s">
        <v>411</v>
      </c>
      <c r="H514" s="75">
        <f t="shared" ref="H514:H577" si="8">J514*P514</f>
        <v>277.45099327688075</v>
      </c>
      <c r="I514" s="74">
        <v>46134</v>
      </c>
      <c r="J514">
        <v>8</v>
      </c>
      <c r="K514" t="s">
        <v>510</v>
      </c>
      <c r="L514" t="s">
        <v>262</v>
      </c>
      <c r="M514" t="s">
        <v>356</v>
      </c>
      <c r="N514" s="73">
        <v>67262</v>
      </c>
      <c r="O514" s="73">
        <v>67262</v>
      </c>
      <c r="P514">
        <v>34.681374159610094</v>
      </c>
    </row>
    <row r="515" spans="1:16" x14ac:dyDescent="0.2">
      <c r="A515" s="73">
        <v>67262</v>
      </c>
      <c r="B515" t="s">
        <v>350</v>
      </c>
      <c r="C515" s="73" t="s">
        <v>448</v>
      </c>
      <c r="D515" t="s">
        <v>449</v>
      </c>
      <c r="E515" s="74">
        <v>46134</v>
      </c>
      <c r="F515" t="s">
        <v>357</v>
      </c>
      <c r="G515" t="s">
        <v>358</v>
      </c>
      <c r="H515" s="75">
        <f t="shared" si="8"/>
        <v>69.362748319220188</v>
      </c>
      <c r="I515" s="74">
        <v>46134</v>
      </c>
      <c r="J515">
        <v>2</v>
      </c>
      <c r="K515" t="s">
        <v>510</v>
      </c>
      <c r="L515" t="s">
        <v>359</v>
      </c>
      <c r="M515" t="s">
        <v>356</v>
      </c>
      <c r="N515" s="73">
        <v>67262</v>
      </c>
      <c r="O515" s="73">
        <v>67262</v>
      </c>
      <c r="P515">
        <v>34.681374159610094</v>
      </c>
    </row>
    <row r="516" spans="1:16" x14ac:dyDescent="0.2">
      <c r="A516" s="73">
        <v>67262</v>
      </c>
      <c r="B516" t="s">
        <v>350</v>
      </c>
      <c r="C516" s="73" t="s">
        <v>448</v>
      </c>
      <c r="D516" t="s">
        <v>449</v>
      </c>
      <c r="E516" s="74">
        <v>46135</v>
      </c>
      <c r="F516" t="s">
        <v>410</v>
      </c>
      <c r="G516" t="s">
        <v>411</v>
      </c>
      <c r="H516" s="75">
        <f t="shared" si="8"/>
        <v>277.45099327688075</v>
      </c>
      <c r="I516" s="74">
        <v>46135</v>
      </c>
      <c r="J516">
        <v>8</v>
      </c>
      <c r="K516" t="s">
        <v>510</v>
      </c>
      <c r="L516" t="s">
        <v>262</v>
      </c>
      <c r="M516" t="s">
        <v>356</v>
      </c>
      <c r="N516" s="73">
        <v>67262</v>
      </c>
      <c r="O516" s="73">
        <v>67262</v>
      </c>
      <c r="P516">
        <v>34.681374159610094</v>
      </c>
    </row>
    <row r="517" spans="1:16" x14ac:dyDescent="0.2">
      <c r="A517" s="73">
        <v>67262</v>
      </c>
      <c r="B517" t="s">
        <v>350</v>
      </c>
      <c r="C517" s="73" t="s">
        <v>448</v>
      </c>
      <c r="D517" t="s">
        <v>449</v>
      </c>
      <c r="E517" s="74">
        <v>46135</v>
      </c>
      <c r="F517" t="s">
        <v>357</v>
      </c>
      <c r="G517" t="s">
        <v>358</v>
      </c>
      <c r="H517" s="75">
        <f t="shared" si="8"/>
        <v>69.362748319220188</v>
      </c>
      <c r="I517" s="74">
        <v>46135</v>
      </c>
      <c r="J517">
        <v>2</v>
      </c>
      <c r="K517" t="s">
        <v>510</v>
      </c>
      <c r="L517" t="s">
        <v>359</v>
      </c>
      <c r="M517" t="s">
        <v>356</v>
      </c>
      <c r="N517" s="73">
        <v>67262</v>
      </c>
      <c r="O517" s="73">
        <v>67262</v>
      </c>
      <c r="P517">
        <v>34.681374159610094</v>
      </c>
    </row>
    <row r="518" spans="1:16" x14ac:dyDescent="0.2">
      <c r="A518" s="73">
        <v>67262</v>
      </c>
      <c r="B518" t="s">
        <v>350</v>
      </c>
      <c r="C518" s="73" t="s">
        <v>448</v>
      </c>
      <c r="D518" t="s">
        <v>449</v>
      </c>
      <c r="E518" s="74">
        <v>46136</v>
      </c>
      <c r="F518" t="s">
        <v>357</v>
      </c>
      <c r="G518" t="s">
        <v>358</v>
      </c>
      <c r="H518" s="75">
        <f t="shared" si="8"/>
        <v>69.362748319220188</v>
      </c>
      <c r="I518" s="74">
        <v>46136</v>
      </c>
      <c r="J518">
        <v>2</v>
      </c>
      <c r="K518" t="s">
        <v>510</v>
      </c>
      <c r="L518" t="s">
        <v>359</v>
      </c>
      <c r="M518" t="s">
        <v>356</v>
      </c>
      <c r="N518" s="73">
        <v>67262</v>
      </c>
      <c r="O518" s="73">
        <v>67262</v>
      </c>
      <c r="P518">
        <v>34.681374159610094</v>
      </c>
    </row>
    <row r="519" spans="1:16" x14ac:dyDescent="0.2">
      <c r="A519" s="73">
        <v>67262</v>
      </c>
      <c r="B519" t="s">
        <v>350</v>
      </c>
      <c r="C519" s="73" t="s">
        <v>448</v>
      </c>
      <c r="D519" t="s">
        <v>449</v>
      </c>
      <c r="E519" s="74">
        <v>46176</v>
      </c>
      <c r="F519" t="s">
        <v>410</v>
      </c>
      <c r="G519" t="s">
        <v>411</v>
      </c>
      <c r="H519" s="75">
        <f t="shared" si="8"/>
        <v>277.45099327688075</v>
      </c>
      <c r="I519" s="74">
        <v>46176</v>
      </c>
      <c r="J519">
        <v>8</v>
      </c>
      <c r="K519" t="s">
        <v>518</v>
      </c>
      <c r="L519" t="s">
        <v>262</v>
      </c>
      <c r="M519" t="s">
        <v>356</v>
      </c>
      <c r="N519" s="73">
        <v>67262</v>
      </c>
      <c r="O519" s="73">
        <v>67262</v>
      </c>
      <c r="P519">
        <v>34.681374159610094</v>
      </c>
    </row>
    <row r="520" spans="1:16" x14ac:dyDescent="0.2">
      <c r="A520" s="73">
        <v>67262</v>
      </c>
      <c r="B520" t="s">
        <v>350</v>
      </c>
      <c r="C520" s="73" t="s">
        <v>448</v>
      </c>
      <c r="D520" t="s">
        <v>449</v>
      </c>
      <c r="E520" s="74">
        <v>46177</v>
      </c>
      <c r="F520" t="s">
        <v>410</v>
      </c>
      <c r="G520" t="s">
        <v>411</v>
      </c>
      <c r="H520" s="75">
        <f t="shared" si="8"/>
        <v>277.45099327688075</v>
      </c>
      <c r="I520" s="74">
        <v>46177</v>
      </c>
      <c r="J520">
        <v>8</v>
      </c>
      <c r="K520" t="s">
        <v>518</v>
      </c>
      <c r="L520" t="s">
        <v>262</v>
      </c>
      <c r="M520" t="s">
        <v>356</v>
      </c>
      <c r="N520" s="73">
        <v>67262</v>
      </c>
      <c r="O520" s="73">
        <v>67262</v>
      </c>
      <c r="P520">
        <v>34.681374159610094</v>
      </c>
    </row>
    <row r="521" spans="1:16" x14ac:dyDescent="0.2">
      <c r="A521" s="73">
        <v>67262</v>
      </c>
      <c r="B521" t="s">
        <v>350</v>
      </c>
      <c r="C521" s="73" t="s">
        <v>448</v>
      </c>
      <c r="D521" t="s">
        <v>449</v>
      </c>
      <c r="E521" s="74">
        <v>46181</v>
      </c>
      <c r="F521" t="s">
        <v>410</v>
      </c>
      <c r="G521" t="s">
        <v>411</v>
      </c>
      <c r="H521" s="75">
        <f t="shared" si="8"/>
        <v>277.45099327688075</v>
      </c>
      <c r="I521" s="74">
        <v>46181</v>
      </c>
      <c r="J521">
        <v>8</v>
      </c>
      <c r="K521" t="s">
        <v>518</v>
      </c>
      <c r="L521" t="s">
        <v>262</v>
      </c>
      <c r="M521" t="s">
        <v>356</v>
      </c>
      <c r="N521" s="73">
        <v>67262</v>
      </c>
      <c r="O521" s="73">
        <v>67262</v>
      </c>
      <c r="P521">
        <v>34.681374159610094</v>
      </c>
    </row>
    <row r="522" spans="1:16" x14ac:dyDescent="0.2">
      <c r="A522" s="73">
        <v>67262</v>
      </c>
      <c r="B522" t="s">
        <v>350</v>
      </c>
      <c r="C522" s="73" t="s">
        <v>448</v>
      </c>
      <c r="D522" t="s">
        <v>449</v>
      </c>
      <c r="E522" s="74">
        <v>46183</v>
      </c>
      <c r="F522" t="s">
        <v>410</v>
      </c>
      <c r="G522" t="s">
        <v>411</v>
      </c>
      <c r="H522" s="75">
        <f t="shared" si="8"/>
        <v>277.45099327688075</v>
      </c>
      <c r="I522" s="74">
        <v>46183</v>
      </c>
      <c r="J522">
        <v>8</v>
      </c>
      <c r="K522" t="s">
        <v>518</v>
      </c>
      <c r="L522" t="s">
        <v>262</v>
      </c>
      <c r="M522" t="s">
        <v>356</v>
      </c>
      <c r="N522" s="73">
        <v>67262</v>
      </c>
      <c r="O522" s="73">
        <v>67262</v>
      </c>
      <c r="P522">
        <v>34.681374159610094</v>
      </c>
    </row>
    <row r="523" spans="1:16" x14ac:dyDescent="0.2">
      <c r="A523" s="73">
        <v>67262</v>
      </c>
      <c r="B523" t="s">
        <v>350</v>
      </c>
      <c r="C523" s="73" t="s">
        <v>448</v>
      </c>
      <c r="D523" t="s">
        <v>449</v>
      </c>
      <c r="E523" s="74">
        <v>46184</v>
      </c>
      <c r="F523" t="s">
        <v>410</v>
      </c>
      <c r="G523" t="s">
        <v>411</v>
      </c>
      <c r="H523" s="75">
        <f t="shared" si="8"/>
        <v>277.45099327688075</v>
      </c>
      <c r="I523" s="74">
        <v>46184</v>
      </c>
      <c r="J523">
        <v>8</v>
      </c>
      <c r="K523" t="s">
        <v>518</v>
      </c>
      <c r="L523" t="s">
        <v>262</v>
      </c>
      <c r="M523" t="s">
        <v>356</v>
      </c>
      <c r="N523" s="73">
        <v>67262</v>
      </c>
      <c r="O523" s="73">
        <v>67262</v>
      </c>
      <c r="P523">
        <v>34.681374159610094</v>
      </c>
    </row>
    <row r="524" spans="1:16" x14ac:dyDescent="0.2">
      <c r="A524" s="73">
        <v>67262</v>
      </c>
      <c r="B524" t="s">
        <v>350</v>
      </c>
      <c r="C524" s="73" t="s">
        <v>450</v>
      </c>
      <c r="D524" t="s">
        <v>451</v>
      </c>
      <c r="E524" s="74">
        <v>45908</v>
      </c>
      <c r="F524" t="s">
        <v>357</v>
      </c>
      <c r="G524" t="s">
        <v>358</v>
      </c>
      <c r="H524" s="75">
        <f t="shared" si="8"/>
        <v>34.681374159610094</v>
      </c>
      <c r="I524" s="74">
        <v>45908</v>
      </c>
      <c r="J524">
        <v>1</v>
      </c>
      <c r="K524" t="s">
        <v>512</v>
      </c>
      <c r="L524" t="s">
        <v>359</v>
      </c>
      <c r="M524" t="s">
        <v>356</v>
      </c>
      <c r="N524" s="73">
        <v>67262</v>
      </c>
      <c r="O524" s="73">
        <v>67262</v>
      </c>
      <c r="P524">
        <v>34.681374159610094</v>
      </c>
    </row>
    <row r="525" spans="1:16" x14ac:dyDescent="0.2">
      <c r="A525" s="73">
        <v>67262</v>
      </c>
      <c r="B525" t="s">
        <v>350</v>
      </c>
      <c r="C525" s="73" t="s">
        <v>450</v>
      </c>
      <c r="D525" t="s">
        <v>451</v>
      </c>
      <c r="E525" s="74">
        <v>45909</v>
      </c>
      <c r="F525" t="s">
        <v>357</v>
      </c>
      <c r="G525" t="s">
        <v>358</v>
      </c>
      <c r="H525" s="75">
        <f t="shared" si="8"/>
        <v>34.681374159610094</v>
      </c>
      <c r="I525" s="74">
        <v>45909</v>
      </c>
      <c r="J525">
        <v>1</v>
      </c>
      <c r="K525" t="s">
        <v>512</v>
      </c>
      <c r="L525" t="s">
        <v>359</v>
      </c>
      <c r="M525" t="s">
        <v>356</v>
      </c>
      <c r="N525" s="73">
        <v>67262</v>
      </c>
      <c r="O525" s="73">
        <v>67262</v>
      </c>
      <c r="P525">
        <v>34.681374159610094</v>
      </c>
    </row>
    <row r="526" spans="1:16" x14ac:dyDescent="0.2">
      <c r="A526" s="73">
        <v>67262</v>
      </c>
      <c r="B526" t="s">
        <v>350</v>
      </c>
      <c r="C526" s="73" t="s">
        <v>450</v>
      </c>
      <c r="D526" t="s">
        <v>451</v>
      </c>
      <c r="E526" s="74">
        <v>45910</v>
      </c>
      <c r="F526" t="s">
        <v>357</v>
      </c>
      <c r="G526" t="s">
        <v>358</v>
      </c>
      <c r="H526" s="75">
        <f t="shared" si="8"/>
        <v>34.681374159610094</v>
      </c>
      <c r="I526" s="74">
        <v>45910</v>
      </c>
      <c r="J526">
        <v>1</v>
      </c>
      <c r="K526" t="s">
        <v>512</v>
      </c>
      <c r="L526" t="s">
        <v>359</v>
      </c>
      <c r="M526" t="s">
        <v>356</v>
      </c>
      <c r="N526" s="73">
        <v>67262</v>
      </c>
      <c r="O526" s="73">
        <v>67262</v>
      </c>
      <c r="P526">
        <v>34.681374159610094</v>
      </c>
    </row>
    <row r="527" spans="1:16" x14ac:dyDescent="0.2">
      <c r="A527" s="73">
        <v>67262</v>
      </c>
      <c r="B527" t="s">
        <v>350</v>
      </c>
      <c r="C527" s="73" t="s">
        <v>450</v>
      </c>
      <c r="D527" t="s">
        <v>451</v>
      </c>
      <c r="E527" s="74">
        <v>45911</v>
      </c>
      <c r="F527" t="s">
        <v>357</v>
      </c>
      <c r="G527" t="s">
        <v>358</v>
      </c>
      <c r="H527" s="75">
        <f t="shared" si="8"/>
        <v>34.681374159610094</v>
      </c>
      <c r="I527" s="74">
        <v>45911</v>
      </c>
      <c r="J527">
        <v>1</v>
      </c>
      <c r="K527" t="s">
        <v>512</v>
      </c>
      <c r="L527" t="s">
        <v>359</v>
      </c>
      <c r="M527" t="s">
        <v>356</v>
      </c>
      <c r="N527" s="73">
        <v>67262</v>
      </c>
      <c r="O527" s="73">
        <v>67262</v>
      </c>
      <c r="P527">
        <v>34.681374159610094</v>
      </c>
    </row>
    <row r="528" spans="1:16" x14ac:dyDescent="0.2">
      <c r="A528" s="73">
        <v>67262</v>
      </c>
      <c r="B528" t="s">
        <v>350</v>
      </c>
      <c r="C528" s="73" t="s">
        <v>450</v>
      </c>
      <c r="D528" t="s">
        <v>451</v>
      </c>
      <c r="E528" s="74">
        <v>45912</v>
      </c>
      <c r="F528" t="s">
        <v>357</v>
      </c>
      <c r="G528" t="s">
        <v>358</v>
      </c>
      <c r="H528" s="75">
        <f t="shared" si="8"/>
        <v>34.681374159610094</v>
      </c>
      <c r="I528" s="74">
        <v>45912</v>
      </c>
      <c r="J528">
        <v>1</v>
      </c>
      <c r="K528" t="s">
        <v>512</v>
      </c>
      <c r="L528" t="s">
        <v>359</v>
      </c>
      <c r="M528" t="s">
        <v>356</v>
      </c>
      <c r="N528" s="73">
        <v>67262</v>
      </c>
      <c r="O528" s="73">
        <v>67262</v>
      </c>
      <c r="P528">
        <v>34.681374159610094</v>
      </c>
    </row>
    <row r="529" spans="1:16" hidden="1" x14ac:dyDescent="0.2">
      <c r="A529" s="73">
        <v>67261</v>
      </c>
      <c r="B529" t="s">
        <v>443</v>
      </c>
      <c r="C529" s="73" t="s">
        <v>452</v>
      </c>
      <c r="D529" t="s">
        <v>453</v>
      </c>
      <c r="E529" s="74">
        <v>45915</v>
      </c>
      <c r="F529" t="s">
        <v>360</v>
      </c>
      <c r="G529" t="s">
        <v>361</v>
      </c>
      <c r="H529" s="75">
        <f t="shared" si="8"/>
        <v>138.72549663844038</v>
      </c>
      <c r="I529" s="74">
        <v>45915</v>
      </c>
      <c r="J529">
        <v>4</v>
      </c>
      <c r="K529" t="s">
        <v>512</v>
      </c>
      <c r="L529" t="s">
        <v>262</v>
      </c>
      <c r="M529" t="s">
        <v>356</v>
      </c>
      <c r="N529" s="73">
        <v>67261</v>
      </c>
      <c r="O529" s="73">
        <v>67261</v>
      </c>
      <c r="P529">
        <v>34.681374159610094</v>
      </c>
    </row>
    <row r="530" spans="1:16" hidden="1" x14ac:dyDescent="0.2">
      <c r="A530" s="73">
        <v>67261</v>
      </c>
      <c r="B530" t="s">
        <v>443</v>
      </c>
      <c r="C530" s="73" t="s">
        <v>452</v>
      </c>
      <c r="D530" t="s">
        <v>453</v>
      </c>
      <c r="E530" s="74">
        <v>45916</v>
      </c>
      <c r="F530" t="s">
        <v>360</v>
      </c>
      <c r="G530" t="s">
        <v>361</v>
      </c>
      <c r="H530" s="75">
        <f t="shared" si="8"/>
        <v>242.76961911727065</v>
      </c>
      <c r="I530" s="74">
        <v>45916</v>
      </c>
      <c r="J530">
        <v>7</v>
      </c>
      <c r="K530" t="s">
        <v>512</v>
      </c>
      <c r="L530" t="s">
        <v>262</v>
      </c>
      <c r="M530" t="s">
        <v>356</v>
      </c>
      <c r="N530" s="73">
        <v>67261</v>
      </c>
      <c r="O530" s="73">
        <v>67261</v>
      </c>
      <c r="P530">
        <v>34.681374159610094</v>
      </c>
    </row>
    <row r="531" spans="1:16" hidden="1" x14ac:dyDescent="0.2">
      <c r="A531" s="73">
        <v>67261</v>
      </c>
      <c r="B531" t="s">
        <v>443</v>
      </c>
      <c r="C531" s="73" t="s">
        <v>452</v>
      </c>
      <c r="D531" t="s">
        <v>453</v>
      </c>
      <c r="E531" s="74">
        <v>45917</v>
      </c>
      <c r="F531" t="s">
        <v>360</v>
      </c>
      <c r="G531" t="s">
        <v>361</v>
      </c>
      <c r="H531" s="75">
        <f t="shared" si="8"/>
        <v>242.76961911727065</v>
      </c>
      <c r="I531" s="74">
        <v>45917</v>
      </c>
      <c r="J531">
        <v>7</v>
      </c>
      <c r="K531" t="s">
        <v>512</v>
      </c>
      <c r="L531" t="s">
        <v>262</v>
      </c>
      <c r="M531" t="s">
        <v>356</v>
      </c>
      <c r="N531" s="73">
        <v>67261</v>
      </c>
      <c r="O531" s="73">
        <v>67261</v>
      </c>
      <c r="P531">
        <v>34.681374159610094</v>
      </c>
    </row>
    <row r="532" spans="1:16" hidden="1" x14ac:dyDescent="0.2">
      <c r="A532" s="73">
        <v>67261</v>
      </c>
      <c r="B532" t="s">
        <v>443</v>
      </c>
      <c r="C532" s="73" t="s">
        <v>452</v>
      </c>
      <c r="D532" t="s">
        <v>453</v>
      </c>
      <c r="E532" s="74">
        <v>45918</v>
      </c>
      <c r="F532" t="s">
        <v>360</v>
      </c>
      <c r="G532" t="s">
        <v>361</v>
      </c>
      <c r="H532" s="75">
        <f t="shared" si="8"/>
        <v>208.08824495766055</v>
      </c>
      <c r="I532" s="74">
        <v>45918</v>
      </c>
      <c r="J532">
        <v>6</v>
      </c>
      <c r="K532" t="s">
        <v>512</v>
      </c>
      <c r="L532" t="s">
        <v>262</v>
      </c>
      <c r="M532" t="s">
        <v>356</v>
      </c>
      <c r="N532" s="73">
        <v>67261</v>
      </c>
      <c r="O532" s="73">
        <v>67261</v>
      </c>
      <c r="P532">
        <v>34.681374159610094</v>
      </c>
    </row>
    <row r="533" spans="1:16" hidden="1" x14ac:dyDescent="0.2">
      <c r="A533" s="73">
        <v>67261</v>
      </c>
      <c r="B533" t="s">
        <v>443</v>
      </c>
      <c r="C533" s="73" t="s">
        <v>452</v>
      </c>
      <c r="D533" t="s">
        <v>453</v>
      </c>
      <c r="E533" s="74">
        <v>45922</v>
      </c>
      <c r="F533" t="s">
        <v>360</v>
      </c>
      <c r="G533" t="s">
        <v>361</v>
      </c>
      <c r="H533" s="75">
        <f t="shared" si="8"/>
        <v>242.76961911727065</v>
      </c>
      <c r="I533" s="74">
        <v>45922</v>
      </c>
      <c r="J533">
        <v>7</v>
      </c>
      <c r="K533" t="s">
        <v>512</v>
      </c>
      <c r="L533" t="s">
        <v>262</v>
      </c>
      <c r="M533" t="s">
        <v>356</v>
      </c>
      <c r="N533" s="73">
        <v>67261</v>
      </c>
      <c r="O533" s="73">
        <v>67261</v>
      </c>
      <c r="P533">
        <v>34.681374159610094</v>
      </c>
    </row>
    <row r="534" spans="1:16" hidden="1" x14ac:dyDescent="0.2">
      <c r="A534" s="73">
        <v>67261</v>
      </c>
      <c r="B534" t="s">
        <v>443</v>
      </c>
      <c r="C534" s="73" t="s">
        <v>452</v>
      </c>
      <c r="D534" t="s">
        <v>453</v>
      </c>
      <c r="E534" s="74">
        <v>45923</v>
      </c>
      <c r="F534" t="s">
        <v>360</v>
      </c>
      <c r="G534" t="s">
        <v>361</v>
      </c>
      <c r="H534" s="75">
        <f t="shared" si="8"/>
        <v>242.76961911727065</v>
      </c>
      <c r="I534" s="74">
        <v>45923</v>
      </c>
      <c r="J534">
        <v>7</v>
      </c>
      <c r="K534" t="s">
        <v>512</v>
      </c>
      <c r="L534" t="s">
        <v>262</v>
      </c>
      <c r="M534" t="s">
        <v>356</v>
      </c>
      <c r="N534" s="73">
        <v>67261</v>
      </c>
      <c r="O534" s="73">
        <v>67261</v>
      </c>
      <c r="P534">
        <v>34.681374159610094</v>
      </c>
    </row>
    <row r="535" spans="1:16" hidden="1" x14ac:dyDescent="0.2">
      <c r="A535" s="73">
        <v>67261</v>
      </c>
      <c r="B535" t="s">
        <v>443</v>
      </c>
      <c r="C535" s="73" t="s">
        <v>452</v>
      </c>
      <c r="D535" t="s">
        <v>453</v>
      </c>
      <c r="E535" s="74">
        <v>45924</v>
      </c>
      <c r="F535" t="s">
        <v>360</v>
      </c>
      <c r="G535" t="s">
        <v>361</v>
      </c>
      <c r="H535" s="75">
        <f t="shared" si="8"/>
        <v>69.362748319220188</v>
      </c>
      <c r="I535" s="74">
        <v>45924</v>
      </c>
      <c r="J535">
        <v>2</v>
      </c>
      <c r="K535" t="s">
        <v>512</v>
      </c>
      <c r="L535" t="s">
        <v>262</v>
      </c>
      <c r="M535" t="s">
        <v>356</v>
      </c>
      <c r="N535" s="73">
        <v>67261</v>
      </c>
      <c r="O535" s="73">
        <v>67261</v>
      </c>
      <c r="P535">
        <v>34.681374159610094</v>
      </c>
    </row>
    <row r="536" spans="1:16" hidden="1" x14ac:dyDescent="0.2">
      <c r="A536" s="73">
        <v>67261</v>
      </c>
      <c r="B536" t="s">
        <v>443</v>
      </c>
      <c r="C536" s="73" t="s">
        <v>452</v>
      </c>
      <c r="D536" t="s">
        <v>453</v>
      </c>
      <c r="E536" s="74">
        <v>46035</v>
      </c>
      <c r="F536" t="s">
        <v>360</v>
      </c>
      <c r="G536" t="s">
        <v>361</v>
      </c>
      <c r="H536" s="75">
        <f t="shared" si="8"/>
        <v>277.45099327688075</v>
      </c>
      <c r="I536" s="74">
        <v>46035</v>
      </c>
      <c r="J536">
        <v>8</v>
      </c>
      <c r="K536" t="s">
        <v>516</v>
      </c>
      <c r="L536" t="s">
        <v>262</v>
      </c>
      <c r="M536" t="s">
        <v>356</v>
      </c>
      <c r="N536" s="73">
        <v>67261</v>
      </c>
      <c r="O536" s="73">
        <v>67261</v>
      </c>
      <c r="P536">
        <v>34.681374159610094</v>
      </c>
    </row>
    <row r="537" spans="1:16" hidden="1" x14ac:dyDescent="0.2">
      <c r="A537" s="73">
        <v>67260</v>
      </c>
      <c r="B537" t="s">
        <v>423</v>
      </c>
      <c r="C537" s="73" t="s">
        <v>454</v>
      </c>
      <c r="D537" t="s">
        <v>455</v>
      </c>
      <c r="E537" s="74">
        <v>45992</v>
      </c>
      <c r="F537" t="s">
        <v>410</v>
      </c>
      <c r="G537" t="s">
        <v>411</v>
      </c>
      <c r="H537" s="75">
        <f t="shared" si="8"/>
        <v>242.76961911727065</v>
      </c>
      <c r="I537" s="74">
        <v>45992</v>
      </c>
      <c r="J537">
        <v>7</v>
      </c>
      <c r="K537" t="s">
        <v>515</v>
      </c>
      <c r="L537" t="s">
        <v>262</v>
      </c>
      <c r="M537" t="s">
        <v>356</v>
      </c>
      <c r="N537" s="73">
        <v>67260</v>
      </c>
      <c r="O537" s="73">
        <v>67260</v>
      </c>
      <c r="P537">
        <v>34.681374159610094</v>
      </c>
    </row>
    <row r="538" spans="1:16" hidden="1" x14ac:dyDescent="0.2">
      <c r="A538" s="73">
        <v>67260</v>
      </c>
      <c r="B538" t="s">
        <v>423</v>
      </c>
      <c r="C538" s="73" t="s">
        <v>454</v>
      </c>
      <c r="D538" t="s">
        <v>455</v>
      </c>
      <c r="E538" s="74">
        <v>45993</v>
      </c>
      <c r="F538" t="s">
        <v>410</v>
      </c>
      <c r="G538" t="s">
        <v>411</v>
      </c>
      <c r="H538" s="75">
        <f t="shared" si="8"/>
        <v>242.76961911727065</v>
      </c>
      <c r="I538" s="74">
        <v>45993</v>
      </c>
      <c r="J538">
        <v>7</v>
      </c>
      <c r="K538" t="s">
        <v>515</v>
      </c>
      <c r="L538" t="s">
        <v>262</v>
      </c>
      <c r="M538" t="s">
        <v>356</v>
      </c>
      <c r="N538" s="73">
        <v>67260</v>
      </c>
      <c r="O538" s="73">
        <v>67260</v>
      </c>
      <c r="P538">
        <v>34.681374159610094</v>
      </c>
    </row>
    <row r="539" spans="1:16" hidden="1" x14ac:dyDescent="0.2">
      <c r="A539" s="73">
        <v>67260</v>
      </c>
      <c r="B539" t="s">
        <v>423</v>
      </c>
      <c r="C539" s="73" t="s">
        <v>454</v>
      </c>
      <c r="D539" t="s">
        <v>455</v>
      </c>
      <c r="E539" s="74">
        <v>45994</v>
      </c>
      <c r="F539" t="s">
        <v>410</v>
      </c>
      <c r="G539" t="s">
        <v>411</v>
      </c>
      <c r="H539" s="75">
        <f t="shared" si="8"/>
        <v>225.42893203746561</v>
      </c>
      <c r="I539" s="74">
        <v>45994</v>
      </c>
      <c r="J539">
        <v>6.5</v>
      </c>
      <c r="K539" t="s">
        <v>515</v>
      </c>
      <c r="L539" t="s">
        <v>262</v>
      </c>
      <c r="M539" t="s">
        <v>356</v>
      </c>
      <c r="N539" s="73">
        <v>67260</v>
      </c>
      <c r="O539" s="73">
        <v>67260</v>
      </c>
      <c r="P539">
        <v>34.681374159610094</v>
      </c>
    </row>
    <row r="540" spans="1:16" hidden="1" x14ac:dyDescent="0.2">
      <c r="A540" s="73">
        <v>67260</v>
      </c>
      <c r="B540" t="s">
        <v>423</v>
      </c>
      <c r="C540" s="73" t="s">
        <v>454</v>
      </c>
      <c r="D540" t="s">
        <v>455</v>
      </c>
      <c r="E540" s="74">
        <v>45994</v>
      </c>
      <c r="F540" t="s">
        <v>398</v>
      </c>
      <c r="G540" t="s">
        <v>399</v>
      </c>
      <c r="H540" s="75">
        <f t="shared" si="8"/>
        <v>242.76961911727065</v>
      </c>
      <c r="I540" s="74">
        <v>45994</v>
      </c>
      <c r="J540">
        <v>7</v>
      </c>
      <c r="K540" t="s">
        <v>515</v>
      </c>
      <c r="L540" t="s">
        <v>367</v>
      </c>
      <c r="M540" t="s">
        <v>356</v>
      </c>
      <c r="N540" s="73">
        <v>67260</v>
      </c>
      <c r="O540" s="73">
        <v>67260</v>
      </c>
      <c r="P540">
        <v>34.681374159610094</v>
      </c>
    </row>
    <row r="541" spans="1:16" hidden="1" x14ac:dyDescent="0.2">
      <c r="A541" s="73">
        <v>67260</v>
      </c>
      <c r="B541" t="s">
        <v>423</v>
      </c>
      <c r="C541" s="73" t="s">
        <v>454</v>
      </c>
      <c r="D541" t="s">
        <v>455</v>
      </c>
      <c r="E541" s="74">
        <v>45995</v>
      </c>
      <c r="F541" t="s">
        <v>410</v>
      </c>
      <c r="G541" t="s">
        <v>411</v>
      </c>
      <c r="H541" s="75">
        <f t="shared" si="8"/>
        <v>277.45099327688075</v>
      </c>
      <c r="I541" s="74">
        <v>45995</v>
      </c>
      <c r="J541">
        <v>8</v>
      </c>
      <c r="K541" t="s">
        <v>515</v>
      </c>
      <c r="L541" t="s">
        <v>262</v>
      </c>
      <c r="M541" t="s">
        <v>356</v>
      </c>
      <c r="N541" s="73">
        <v>67260</v>
      </c>
      <c r="O541" s="73">
        <v>67260</v>
      </c>
      <c r="P541">
        <v>34.681374159610094</v>
      </c>
    </row>
    <row r="542" spans="1:16" hidden="1" x14ac:dyDescent="0.2">
      <c r="A542" s="73">
        <v>67260</v>
      </c>
      <c r="B542" t="s">
        <v>423</v>
      </c>
      <c r="C542" s="73" t="s">
        <v>454</v>
      </c>
      <c r="D542" t="s">
        <v>455</v>
      </c>
      <c r="E542" s="74">
        <v>45995</v>
      </c>
      <c r="F542" t="s">
        <v>398</v>
      </c>
      <c r="G542" t="s">
        <v>399</v>
      </c>
      <c r="H542" s="75">
        <f t="shared" si="8"/>
        <v>242.76961911727065</v>
      </c>
      <c r="I542" s="74">
        <v>45995</v>
      </c>
      <c r="J542">
        <v>7</v>
      </c>
      <c r="K542" t="s">
        <v>515</v>
      </c>
      <c r="L542" t="s">
        <v>367</v>
      </c>
      <c r="M542" t="s">
        <v>356</v>
      </c>
      <c r="N542" s="73">
        <v>67260</v>
      </c>
      <c r="O542" s="73">
        <v>67260</v>
      </c>
      <c r="P542">
        <v>34.681374159610094</v>
      </c>
    </row>
    <row r="543" spans="1:16" hidden="1" x14ac:dyDescent="0.2">
      <c r="A543" s="73">
        <v>67260</v>
      </c>
      <c r="B543" t="s">
        <v>423</v>
      </c>
      <c r="C543" s="73" t="s">
        <v>454</v>
      </c>
      <c r="D543" t="s">
        <v>455</v>
      </c>
      <c r="E543" s="74">
        <v>45996</v>
      </c>
      <c r="F543" t="s">
        <v>410</v>
      </c>
      <c r="G543" t="s">
        <v>411</v>
      </c>
      <c r="H543" s="75">
        <f t="shared" si="8"/>
        <v>242.76961911727065</v>
      </c>
      <c r="I543" s="74">
        <v>45996</v>
      </c>
      <c r="J543">
        <v>7</v>
      </c>
      <c r="K543" t="s">
        <v>515</v>
      </c>
      <c r="L543" t="s">
        <v>262</v>
      </c>
      <c r="M543" t="s">
        <v>356</v>
      </c>
      <c r="N543" s="73">
        <v>67260</v>
      </c>
      <c r="O543" s="73">
        <v>67260</v>
      </c>
      <c r="P543">
        <v>34.681374159610094</v>
      </c>
    </row>
    <row r="544" spans="1:16" hidden="1" x14ac:dyDescent="0.2">
      <c r="A544" s="73">
        <v>67260</v>
      </c>
      <c r="B544" t="s">
        <v>423</v>
      </c>
      <c r="C544" s="73" t="s">
        <v>454</v>
      </c>
      <c r="D544" t="s">
        <v>455</v>
      </c>
      <c r="E544" s="74">
        <v>45996</v>
      </c>
      <c r="F544" t="s">
        <v>398</v>
      </c>
      <c r="G544" t="s">
        <v>399</v>
      </c>
      <c r="H544" s="75">
        <f t="shared" si="8"/>
        <v>242.76961911727065</v>
      </c>
      <c r="I544" s="74">
        <v>45996</v>
      </c>
      <c r="J544">
        <v>7</v>
      </c>
      <c r="K544" t="s">
        <v>515</v>
      </c>
      <c r="L544" t="s">
        <v>367</v>
      </c>
      <c r="M544" t="s">
        <v>356</v>
      </c>
      <c r="N544" s="73">
        <v>67260</v>
      </c>
      <c r="O544" s="73">
        <v>67260</v>
      </c>
      <c r="P544">
        <v>34.681374159610094</v>
      </c>
    </row>
    <row r="545" spans="1:16" hidden="1" x14ac:dyDescent="0.2">
      <c r="A545" s="73">
        <v>67260</v>
      </c>
      <c r="B545" t="s">
        <v>423</v>
      </c>
      <c r="C545" s="73" t="s">
        <v>454</v>
      </c>
      <c r="D545" t="s">
        <v>455</v>
      </c>
      <c r="E545" s="74">
        <v>45999</v>
      </c>
      <c r="F545" t="s">
        <v>357</v>
      </c>
      <c r="G545" t="s">
        <v>358</v>
      </c>
      <c r="H545" s="75">
        <f t="shared" si="8"/>
        <v>69.362748319220188</v>
      </c>
      <c r="I545" s="74">
        <v>45999</v>
      </c>
      <c r="J545">
        <v>2</v>
      </c>
      <c r="K545" t="s">
        <v>515</v>
      </c>
      <c r="L545" t="s">
        <v>359</v>
      </c>
      <c r="M545" t="s">
        <v>356</v>
      </c>
      <c r="N545" s="73">
        <v>67260</v>
      </c>
      <c r="O545" s="73">
        <v>67260</v>
      </c>
      <c r="P545">
        <v>34.681374159610094</v>
      </c>
    </row>
    <row r="546" spans="1:16" hidden="1" x14ac:dyDescent="0.2">
      <c r="A546" s="73">
        <v>67260</v>
      </c>
      <c r="B546" t="s">
        <v>423</v>
      </c>
      <c r="C546" s="73" t="s">
        <v>454</v>
      </c>
      <c r="D546" t="s">
        <v>455</v>
      </c>
      <c r="E546" s="74">
        <v>45999</v>
      </c>
      <c r="F546" t="s">
        <v>410</v>
      </c>
      <c r="G546" t="s">
        <v>411</v>
      </c>
      <c r="H546" s="75">
        <f t="shared" si="8"/>
        <v>277.45099327688075</v>
      </c>
      <c r="I546" s="74">
        <v>45999</v>
      </c>
      <c r="J546">
        <v>8</v>
      </c>
      <c r="K546" t="s">
        <v>515</v>
      </c>
      <c r="L546" t="s">
        <v>262</v>
      </c>
      <c r="M546" t="s">
        <v>356</v>
      </c>
      <c r="N546" s="73">
        <v>67260</v>
      </c>
      <c r="O546" s="73">
        <v>67260</v>
      </c>
      <c r="P546">
        <v>34.681374159610094</v>
      </c>
    </row>
    <row r="547" spans="1:16" hidden="1" x14ac:dyDescent="0.2">
      <c r="A547" s="73">
        <v>67260</v>
      </c>
      <c r="B547" t="s">
        <v>423</v>
      </c>
      <c r="C547" s="73" t="s">
        <v>454</v>
      </c>
      <c r="D547" t="s">
        <v>455</v>
      </c>
      <c r="E547" s="74">
        <v>46000</v>
      </c>
      <c r="F547" t="s">
        <v>357</v>
      </c>
      <c r="G547" t="s">
        <v>358</v>
      </c>
      <c r="H547" s="75">
        <f t="shared" si="8"/>
        <v>69.362748319220188</v>
      </c>
      <c r="I547" s="74">
        <v>46000</v>
      </c>
      <c r="J547">
        <v>2</v>
      </c>
      <c r="K547" t="s">
        <v>515</v>
      </c>
      <c r="L547" t="s">
        <v>359</v>
      </c>
      <c r="M547" t="s">
        <v>356</v>
      </c>
      <c r="N547" s="73">
        <v>67260</v>
      </c>
      <c r="O547" s="73">
        <v>67260</v>
      </c>
      <c r="P547">
        <v>34.681374159610094</v>
      </c>
    </row>
    <row r="548" spans="1:16" hidden="1" x14ac:dyDescent="0.2">
      <c r="A548" s="73">
        <v>67260</v>
      </c>
      <c r="B548" t="s">
        <v>423</v>
      </c>
      <c r="C548" s="73" t="s">
        <v>454</v>
      </c>
      <c r="D548" t="s">
        <v>455</v>
      </c>
      <c r="E548" s="74">
        <v>46000</v>
      </c>
      <c r="F548" t="s">
        <v>410</v>
      </c>
      <c r="G548" t="s">
        <v>411</v>
      </c>
      <c r="H548" s="75">
        <f t="shared" si="8"/>
        <v>277.45099327688075</v>
      </c>
      <c r="I548" s="74">
        <v>46000</v>
      </c>
      <c r="J548">
        <v>8</v>
      </c>
      <c r="K548" t="s">
        <v>515</v>
      </c>
      <c r="L548" t="s">
        <v>262</v>
      </c>
      <c r="M548" t="s">
        <v>356</v>
      </c>
      <c r="N548" s="73">
        <v>67260</v>
      </c>
      <c r="O548" s="73">
        <v>67260</v>
      </c>
      <c r="P548">
        <v>34.681374159610094</v>
      </c>
    </row>
    <row r="549" spans="1:16" hidden="1" x14ac:dyDescent="0.2">
      <c r="A549" s="73">
        <v>67260</v>
      </c>
      <c r="B549" t="s">
        <v>423</v>
      </c>
      <c r="C549" s="73" t="s">
        <v>454</v>
      </c>
      <c r="D549" t="s">
        <v>455</v>
      </c>
      <c r="E549" s="74">
        <v>46001</v>
      </c>
      <c r="F549" t="s">
        <v>357</v>
      </c>
      <c r="G549" t="s">
        <v>358</v>
      </c>
      <c r="H549" s="75">
        <f t="shared" si="8"/>
        <v>69.362748319220188</v>
      </c>
      <c r="I549" s="74">
        <v>46001</v>
      </c>
      <c r="J549">
        <v>2</v>
      </c>
      <c r="K549" t="s">
        <v>515</v>
      </c>
      <c r="L549" t="s">
        <v>359</v>
      </c>
      <c r="M549" t="s">
        <v>356</v>
      </c>
      <c r="N549" s="73">
        <v>67260</v>
      </c>
      <c r="O549" s="73">
        <v>67260</v>
      </c>
      <c r="P549">
        <v>34.681374159610094</v>
      </c>
    </row>
    <row r="550" spans="1:16" hidden="1" x14ac:dyDescent="0.2">
      <c r="A550" s="73">
        <v>67260</v>
      </c>
      <c r="B550" t="s">
        <v>423</v>
      </c>
      <c r="C550" s="73" t="s">
        <v>454</v>
      </c>
      <c r="D550" t="s">
        <v>455</v>
      </c>
      <c r="E550" s="74">
        <v>46002</v>
      </c>
      <c r="F550" t="s">
        <v>357</v>
      </c>
      <c r="G550" t="s">
        <v>358</v>
      </c>
      <c r="H550" s="75">
        <f t="shared" si="8"/>
        <v>69.362748319220188</v>
      </c>
      <c r="I550" s="74">
        <v>46002</v>
      </c>
      <c r="J550">
        <v>2</v>
      </c>
      <c r="K550" t="s">
        <v>515</v>
      </c>
      <c r="L550" t="s">
        <v>359</v>
      </c>
      <c r="M550" t="s">
        <v>356</v>
      </c>
      <c r="N550" s="73">
        <v>67260</v>
      </c>
      <c r="O550" s="73">
        <v>67260</v>
      </c>
      <c r="P550">
        <v>34.681374159610094</v>
      </c>
    </row>
    <row r="551" spans="1:16" hidden="1" x14ac:dyDescent="0.2">
      <c r="A551" s="73">
        <v>67260</v>
      </c>
      <c r="B551" t="s">
        <v>423</v>
      </c>
      <c r="C551" s="73" t="s">
        <v>454</v>
      </c>
      <c r="D551" t="s">
        <v>455</v>
      </c>
      <c r="E551" s="74">
        <v>46003</v>
      </c>
      <c r="F551" t="s">
        <v>357</v>
      </c>
      <c r="G551" t="s">
        <v>358</v>
      </c>
      <c r="H551" s="75">
        <f t="shared" si="8"/>
        <v>69.362748319220188</v>
      </c>
      <c r="I551" s="74">
        <v>46003</v>
      </c>
      <c r="J551">
        <v>2</v>
      </c>
      <c r="K551" t="s">
        <v>515</v>
      </c>
      <c r="L551" t="s">
        <v>359</v>
      </c>
      <c r="M551" t="s">
        <v>356</v>
      </c>
      <c r="N551" s="73">
        <v>67260</v>
      </c>
      <c r="O551" s="73">
        <v>67260</v>
      </c>
      <c r="P551">
        <v>34.681374159610094</v>
      </c>
    </row>
    <row r="552" spans="1:16" hidden="1" x14ac:dyDescent="0.2">
      <c r="A552" s="73">
        <v>67260</v>
      </c>
      <c r="B552" t="s">
        <v>423</v>
      </c>
      <c r="C552" s="73" t="s">
        <v>454</v>
      </c>
      <c r="D552" t="s">
        <v>455</v>
      </c>
      <c r="E552" s="74">
        <v>46006</v>
      </c>
      <c r="F552" t="s">
        <v>398</v>
      </c>
      <c r="G552" t="s">
        <v>399</v>
      </c>
      <c r="H552" s="75">
        <f t="shared" si="8"/>
        <v>242.76961911727065</v>
      </c>
      <c r="I552" s="74">
        <v>46006</v>
      </c>
      <c r="J552">
        <v>7</v>
      </c>
      <c r="K552" t="s">
        <v>515</v>
      </c>
      <c r="L552" t="s">
        <v>367</v>
      </c>
      <c r="M552" t="s">
        <v>356</v>
      </c>
      <c r="N552" s="73">
        <v>67260</v>
      </c>
      <c r="O552" s="73">
        <v>67260</v>
      </c>
      <c r="P552">
        <v>34.681374159610094</v>
      </c>
    </row>
    <row r="553" spans="1:16" hidden="1" x14ac:dyDescent="0.2">
      <c r="A553" s="73">
        <v>67260</v>
      </c>
      <c r="B553" t="s">
        <v>423</v>
      </c>
      <c r="C553" s="73" t="s">
        <v>454</v>
      </c>
      <c r="D553" t="s">
        <v>455</v>
      </c>
      <c r="E553" s="74">
        <v>46007</v>
      </c>
      <c r="F553" t="s">
        <v>398</v>
      </c>
      <c r="G553" t="s">
        <v>399</v>
      </c>
      <c r="H553" s="75">
        <f t="shared" si="8"/>
        <v>242.76961911727065</v>
      </c>
      <c r="I553" s="74">
        <v>46007</v>
      </c>
      <c r="J553">
        <v>7</v>
      </c>
      <c r="K553" t="s">
        <v>515</v>
      </c>
      <c r="L553" t="s">
        <v>367</v>
      </c>
      <c r="M553" t="s">
        <v>356</v>
      </c>
      <c r="N553" s="73">
        <v>67260</v>
      </c>
      <c r="O553" s="73">
        <v>67260</v>
      </c>
      <c r="P553">
        <v>34.681374159610094</v>
      </c>
    </row>
    <row r="554" spans="1:16" hidden="1" x14ac:dyDescent="0.2">
      <c r="A554" s="73">
        <v>67260</v>
      </c>
      <c r="B554" t="s">
        <v>423</v>
      </c>
      <c r="C554" s="73" t="s">
        <v>424</v>
      </c>
      <c r="D554" t="s">
        <v>506</v>
      </c>
      <c r="E554" s="74">
        <v>45953</v>
      </c>
      <c r="F554" t="s">
        <v>414</v>
      </c>
      <c r="G554" t="s">
        <v>415</v>
      </c>
      <c r="H554" s="75">
        <f t="shared" si="8"/>
        <v>242.76961911727065</v>
      </c>
      <c r="I554" s="74">
        <v>45953</v>
      </c>
      <c r="J554">
        <v>7</v>
      </c>
      <c r="K554" t="s">
        <v>513</v>
      </c>
      <c r="L554" t="s">
        <v>262</v>
      </c>
      <c r="M554" t="s">
        <v>356</v>
      </c>
      <c r="N554" s="73">
        <v>67260</v>
      </c>
      <c r="O554" s="73">
        <v>67260</v>
      </c>
      <c r="P554">
        <v>34.681374159610094</v>
      </c>
    </row>
    <row r="555" spans="1:16" hidden="1" x14ac:dyDescent="0.2">
      <c r="A555" s="73">
        <v>67260</v>
      </c>
      <c r="B555" t="s">
        <v>423</v>
      </c>
      <c r="C555" s="73" t="s">
        <v>454</v>
      </c>
      <c r="D555" t="s">
        <v>455</v>
      </c>
      <c r="E555" s="74">
        <v>46008</v>
      </c>
      <c r="F555" t="s">
        <v>410</v>
      </c>
      <c r="G555" t="s">
        <v>411</v>
      </c>
      <c r="H555" s="75">
        <f t="shared" si="8"/>
        <v>34.681374159610094</v>
      </c>
      <c r="I555" s="74">
        <v>46008</v>
      </c>
      <c r="J555">
        <v>1</v>
      </c>
      <c r="K555" t="s">
        <v>515</v>
      </c>
      <c r="L555" t="s">
        <v>262</v>
      </c>
      <c r="M555" t="s">
        <v>356</v>
      </c>
      <c r="N555" s="73">
        <v>67260</v>
      </c>
      <c r="O555" s="73">
        <v>67260</v>
      </c>
      <c r="P555">
        <v>34.681374159610094</v>
      </c>
    </row>
    <row r="556" spans="1:16" hidden="1" x14ac:dyDescent="0.2">
      <c r="A556" s="73">
        <v>67260</v>
      </c>
      <c r="B556" t="s">
        <v>423</v>
      </c>
      <c r="C556" s="73" t="s">
        <v>454</v>
      </c>
      <c r="D556" t="s">
        <v>455</v>
      </c>
      <c r="E556" s="74">
        <v>46008</v>
      </c>
      <c r="F556" t="s">
        <v>398</v>
      </c>
      <c r="G556" t="s">
        <v>399</v>
      </c>
      <c r="H556" s="75">
        <f t="shared" si="8"/>
        <v>242.76961911727065</v>
      </c>
      <c r="I556" s="74">
        <v>46008</v>
      </c>
      <c r="J556">
        <v>7</v>
      </c>
      <c r="K556" t="s">
        <v>515</v>
      </c>
      <c r="L556" t="s">
        <v>367</v>
      </c>
      <c r="M556" t="s">
        <v>356</v>
      </c>
      <c r="N556" s="73">
        <v>67260</v>
      </c>
      <c r="O556" s="73">
        <v>67260</v>
      </c>
      <c r="P556">
        <v>34.681374159610094</v>
      </c>
    </row>
    <row r="557" spans="1:16" hidden="1" x14ac:dyDescent="0.2">
      <c r="A557" s="73">
        <v>67260</v>
      </c>
      <c r="B557" t="s">
        <v>423</v>
      </c>
      <c r="C557" s="73" t="s">
        <v>454</v>
      </c>
      <c r="D557" t="s">
        <v>455</v>
      </c>
      <c r="E557" s="74">
        <v>46009</v>
      </c>
      <c r="F557" t="s">
        <v>410</v>
      </c>
      <c r="G557" t="s">
        <v>411</v>
      </c>
      <c r="H557" s="75">
        <f t="shared" si="8"/>
        <v>34.681374159610094</v>
      </c>
      <c r="I557" s="74">
        <v>46009</v>
      </c>
      <c r="J557">
        <v>1</v>
      </c>
      <c r="K557" t="s">
        <v>515</v>
      </c>
      <c r="L557" t="s">
        <v>262</v>
      </c>
      <c r="M557" t="s">
        <v>356</v>
      </c>
      <c r="N557" s="73">
        <v>67260</v>
      </c>
      <c r="O557" s="73">
        <v>67260</v>
      </c>
      <c r="P557">
        <v>34.681374159610094</v>
      </c>
    </row>
    <row r="558" spans="1:16" hidden="1" x14ac:dyDescent="0.2">
      <c r="A558" s="73">
        <v>67260</v>
      </c>
      <c r="B558" t="s">
        <v>423</v>
      </c>
      <c r="C558" s="73" t="s">
        <v>454</v>
      </c>
      <c r="D558" t="s">
        <v>455</v>
      </c>
      <c r="E558" s="74">
        <v>46009</v>
      </c>
      <c r="F558" t="s">
        <v>398</v>
      </c>
      <c r="G558" t="s">
        <v>399</v>
      </c>
      <c r="H558" s="75">
        <f t="shared" si="8"/>
        <v>242.76961911727065</v>
      </c>
      <c r="I558" s="74">
        <v>46009</v>
      </c>
      <c r="J558">
        <v>7</v>
      </c>
      <c r="K558" t="s">
        <v>515</v>
      </c>
      <c r="L558" t="s">
        <v>367</v>
      </c>
      <c r="M558" t="s">
        <v>356</v>
      </c>
      <c r="N558" s="73">
        <v>67260</v>
      </c>
      <c r="O558" s="73">
        <v>67260</v>
      </c>
      <c r="P558">
        <v>34.681374159610094</v>
      </c>
    </row>
    <row r="559" spans="1:16" hidden="1" x14ac:dyDescent="0.2">
      <c r="A559" s="73">
        <v>67260</v>
      </c>
      <c r="B559" t="s">
        <v>423</v>
      </c>
      <c r="C559" s="73" t="s">
        <v>424</v>
      </c>
      <c r="D559" t="s">
        <v>506</v>
      </c>
      <c r="E559" s="74">
        <v>45954</v>
      </c>
      <c r="F559" t="s">
        <v>414</v>
      </c>
      <c r="G559" t="s">
        <v>415</v>
      </c>
      <c r="H559" s="75">
        <f t="shared" si="8"/>
        <v>242.76961911727065</v>
      </c>
      <c r="I559" s="74">
        <v>45954</v>
      </c>
      <c r="J559">
        <v>7</v>
      </c>
      <c r="K559" t="s">
        <v>513</v>
      </c>
      <c r="L559" t="s">
        <v>262</v>
      </c>
      <c r="M559" t="s">
        <v>356</v>
      </c>
      <c r="N559" s="73">
        <v>67260</v>
      </c>
      <c r="O559" s="73">
        <v>67260</v>
      </c>
      <c r="P559">
        <v>34.681374159610094</v>
      </c>
    </row>
    <row r="560" spans="1:16" hidden="1" x14ac:dyDescent="0.2">
      <c r="A560" s="73">
        <v>67260</v>
      </c>
      <c r="B560" t="s">
        <v>423</v>
      </c>
      <c r="C560" s="73" t="s">
        <v>454</v>
      </c>
      <c r="D560" t="s">
        <v>455</v>
      </c>
      <c r="E560" s="74">
        <v>46010</v>
      </c>
      <c r="F560" t="s">
        <v>398</v>
      </c>
      <c r="G560" t="s">
        <v>399</v>
      </c>
      <c r="H560" s="75">
        <f t="shared" si="8"/>
        <v>242.76961911727065</v>
      </c>
      <c r="I560" s="74">
        <v>46010</v>
      </c>
      <c r="J560">
        <v>7</v>
      </c>
      <c r="K560" t="s">
        <v>515</v>
      </c>
      <c r="L560" t="s">
        <v>367</v>
      </c>
      <c r="M560" t="s">
        <v>356</v>
      </c>
      <c r="N560" s="73">
        <v>67260</v>
      </c>
      <c r="O560" s="73">
        <v>67260</v>
      </c>
      <c r="P560">
        <v>34.681374159610094</v>
      </c>
    </row>
    <row r="561" spans="1:16" hidden="1" x14ac:dyDescent="0.2">
      <c r="A561" s="73">
        <v>67260</v>
      </c>
      <c r="B561" t="s">
        <v>423</v>
      </c>
      <c r="C561" s="73" t="s">
        <v>454</v>
      </c>
      <c r="D561" t="s">
        <v>455</v>
      </c>
      <c r="E561" s="74">
        <v>46014</v>
      </c>
      <c r="F561" t="s">
        <v>398</v>
      </c>
      <c r="G561" t="s">
        <v>399</v>
      </c>
      <c r="H561" s="75">
        <f t="shared" si="8"/>
        <v>242.76961911727065</v>
      </c>
      <c r="I561" s="74">
        <v>46014</v>
      </c>
      <c r="J561">
        <v>7</v>
      </c>
      <c r="K561" t="s">
        <v>515</v>
      </c>
      <c r="L561" t="s">
        <v>367</v>
      </c>
      <c r="M561" t="s">
        <v>356</v>
      </c>
      <c r="N561" s="73">
        <v>67260</v>
      </c>
      <c r="O561" s="73">
        <v>67260</v>
      </c>
      <c r="P561">
        <v>34.681374159610094</v>
      </c>
    </row>
    <row r="562" spans="1:16" hidden="1" x14ac:dyDescent="0.2">
      <c r="A562" s="73">
        <v>67260</v>
      </c>
      <c r="B562" t="s">
        <v>423</v>
      </c>
      <c r="C562" s="73" t="s">
        <v>454</v>
      </c>
      <c r="D562" t="s">
        <v>455</v>
      </c>
      <c r="E562" s="74">
        <v>46014</v>
      </c>
      <c r="F562" t="s">
        <v>362</v>
      </c>
      <c r="G562" t="s">
        <v>363</v>
      </c>
      <c r="H562" s="75">
        <f t="shared" si="8"/>
        <v>138.72549663844038</v>
      </c>
      <c r="I562" s="74">
        <v>46014</v>
      </c>
      <c r="J562">
        <v>4</v>
      </c>
      <c r="K562" t="s">
        <v>515</v>
      </c>
      <c r="L562" t="s">
        <v>355</v>
      </c>
      <c r="M562" t="s">
        <v>356</v>
      </c>
      <c r="N562" s="73">
        <v>67260</v>
      </c>
      <c r="O562" s="73">
        <v>67260</v>
      </c>
      <c r="P562">
        <v>34.681374159610094</v>
      </c>
    </row>
    <row r="563" spans="1:16" hidden="1" x14ac:dyDescent="0.2">
      <c r="A563" s="73">
        <v>67260</v>
      </c>
      <c r="B563" t="s">
        <v>423</v>
      </c>
      <c r="C563" s="73" t="s">
        <v>424</v>
      </c>
      <c r="D563" t="s">
        <v>506</v>
      </c>
      <c r="E563" s="74">
        <v>45957</v>
      </c>
      <c r="F563" t="s">
        <v>414</v>
      </c>
      <c r="G563" t="s">
        <v>415</v>
      </c>
      <c r="H563" s="75">
        <f t="shared" si="8"/>
        <v>242.76961911727065</v>
      </c>
      <c r="I563" s="74">
        <v>45957</v>
      </c>
      <c r="J563">
        <v>7</v>
      </c>
      <c r="K563" t="s">
        <v>513</v>
      </c>
      <c r="L563" t="s">
        <v>262</v>
      </c>
      <c r="M563" t="s">
        <v>356</v>
      </c>
      <c r="N563" s="73">
        <v>67260</v>
      </c>
      <c r="O563" s="73">
        <v>67260</v>
      </c>
      <c r="P563">
        <v>34.681374159610094</v>
      </c>
    </row>
    <row r="564" spans="1:16" hidden="1" x14ac:dyDescent="0.2">
      <c r="A564" s="73">
        <v>67260</v>
      </c>
      <c r="B564" t="s">
        <v>423</v>
      </c>
      <c r="C564" s="73" t="s">
        <v>454</v>
      </c>
      <c r="D564" t="s">
        <v>455</v>
      </c>
      <c r="E564" s="74">
        <v>46015</v>
      </c>
      <c r="F564" t="s">
        <v>406</v>
      </c>
      <c r="G564" t="s">
        <v>407</v>
      </c>
      <c r="H564" s="75">
        <f t="shared" si="8"/>
        <v>138.72549663844038</v>
      </c>
      <c r="I564" s="74">
        <v>46015</v>
      </c>
      <c r="J564">
        <v>4</v>
      </c>
      <c r="K564" t="s">
        <v>515</v>
      </c>
      <c r="L564" t="s">
        <v>355</v>
      </c>
      <c r="M564" t="s">
        <v>356</v>
      </c>
      <c r="N564" s="73">
        <v>67260</v>
      </c>
      <c r="O564" s="73">
        <v>67260</v>
      </c>
      <c r="P564">
        <v>34.681374159610094</v>
      </c>
    </row>
    <row r="565" spans="1:16" hidden="1" x14ac:dyDescent="0.2">
      <c r="A565" s="73">
        <v>67260</v>
      </c>
      <c r="B565" t="s">
        <v>423</v>
      </c>
      <c r="C565" s="73" t="s">
        <v>454</v>
      </c>
      <c r="D565" t="s">
        <v>455</v>
      </c>
      <c r="E565" s="74">
        <v>46015</v>
      </c>
      <c r="F565" t="s">
        <v>398</v>
      </c>
      <c r="G565" t="s">
        <v>399</v>
      </c>
      <c r="H565" s="75">
        <f t="shared" si="8"/>
        <v>242.76961911727065</v>
      </c>
      <c r="I565" s="74">
        <v>46015</v>
      </c>
      <c r="J565">
        <v>7</v>
      </c>
      <c r="K565" t="s">
        <v>515</v>
      </c>
      <c r="L565" t="s">
        <v>367</v>
      </c>
      <c r="M565" t="s">
        <v>356</v>
      </c>
      <c r="N565" s="73">
        <v>67260</v>
      </c>
      <c r="O565" s="73">
        <v>67260</v>
      </c>
      <c r="P565">
        <v>34.681374159610094</v>
      </c>
    </row>
    <row r="566" spans="1:16" hidden="1" x14ac:dyDescent="0.2">
      <c r="A566" s="73">
        <v>67260</v>
      </c>
      <c r="B566" t="s">
        <v>423</v>
      </c>
      <c r="C566" s="73" t="s">
        <v>454</v>
      </c>
      <c r="D566" t="s">
        <v>455</v>
      </c>
      <c r="E566" s="74">
        <v>46015</v>
      </c>
      <c r="F566" t="s">
        <v>362</v>
      </c>
      <c r="G566" t="s">
        <v>363</v>
      </c>
      <c r="H566" s="75">
        <f t="shared" si="8"/>
        <v>208.08824495766055</v>
      </c>
      <c r="I566" s="74">
        <v>46015</v>
      </c>
      <c r="J566">
        <v>6</v>
      </c>
      <c r="K566" t="s">
        <v>515</v>
      </c>
      <c r="L566" t="s">
        <v>355</v>
      </c>
      <c r="M566" t="s">
        <v>356</v>
      </c>
      <c r="N566" s="73">
        <v>67260</v>
      </c>
      <c r="O566" s="73">
        <v>67260</v>
      </c>
      <c r="P566">
        <v>34.681374159610094</v>
      </c>
    </row>
    <row r="567" spans="1:16" hidden="1" x14ac:dyDescent="0.2">
      <c r="A567" s="73">
        <v>67260</v>
      </c>
      <c r="B567" t="s">
        <v>423</v>
      </c>
      <c r="C567" s="73" t="s">
        <v>454</v>
      </c>
      <c r="D567" t="s">
        <v>455</v>
      </c>
      <c r="E567" s="74">
        <v>46017</v>
      </c>
      <c r="F567" t="s">
        <v>406</v>
      </c>
      <c r="G567" t="s">
        <v>407</v>
      </c>
      <c r="H567" s="75">
        <f t="shared" si="8"/>
        <v>138.72549663844038</v>
      </c>
      <c r="I567" s="74">
        <v>46017</v>
      </c>
      <c r="J567">
        <v>4</v>
      </c>
      <c r="K567" t="s">
        <v>515</v>
      </c>
      <c r="L567" t="s">
        <v>355</v>
      </c>
      <c r="M567" t="s">
        <v>356</v>
      </c>
      <c r="N567" s="73">
        <v>67260</v>
      </c>
      <c r="O567" s="73">
        <v>67260</v>
      </c>
      <c r="P567">
        <v>34.681374159610094</v>
      </c>
    </row>
    <row r="568" spans="1:16" hidden="1" x14ac:dyDescent="0.2">
      <c r="A568" s="73">
        <v>67260</v>
      </c>
      <c r="B568" t="s">
        <v>423</v>
      </c>
      <c r="C568" s="73" t="s">
        <v>454</v>
      </c>
      <c r="D568" t="s">
        <v>455</v>
      </c>
      <c r="E568" s="74">
        <v>46017</v>
      </c>
      <c r="F568" t="s">
        <v>398</v>
      </c>
      <c r="G568" t="s">
        <v>399</v>
      </c>
      <c r="H568" s="75">
        <f t="shared" si="8"/>
        <v>242.76961911727065</v>
      </c>
      <c r="I568" s="74">
        <v>46017</v>
      </c>
      <c r="J568">
        <v>7</v>
      </c>
      <c r="K568" t="s">
        <v>515</v>
      </c>
      <c r="L568" t="s">
        <v>367</v>
      </c>
      <c r="M568" t="s">
        <v>356</v>
      </c>
      <c r="N568" s="73">
        <v>67260</v>
      </c>
      <c r="O568" s="73">
        <v>67260</v>
      </c>
      <c r="P568">
        <v>34.681374159610094</v>
      </c>
    </row>
    <row r="569" spans="1:16" hidden="1" x14ac:dyDescent="0.2">
      <c r="A569" s="73">
        <v>67260</v>
      </c>
      <c r="B569" t="s">
        <v>423</v>
      </c>
      <c r="C569" s="73" t="s">
        <v>454</v>
      </c>
      <c r="D569" t="s">
        <v>455</v>
      </c>
      <c r="E569" s="74">
        <v>46017</v>
      </c>
      <c r="F569" t="s">
        <v>362</v>
      </c>
      <c r="G569" t="s">
        <v>363</v>
      </c>
      <c r="H569" s="75">
        <f t="shared" si="8"/>
        <v>277.45099327688075</v>
      </c>
      <c r="I569" s="74">
        <v>46017</v>
      </c>
      <c r="J569">
        <v>8</v>
      </c>
      <c r="K569" t="s">
        <v>515</v>
      </c>
      <c r="L569" t="s">
        <v>355</v>
      </c>
      <c r="M569" t="s">
        <v>356</v>
      </c>
      <c r="N569" s="73">
        <v>67260</v>
      </c>
      <c r="O569" s="73">
        <v>67260</v>
      </c>
      <c r="P569">
        <v>34.681374159610094</v>
      </c>
    </row>
    <row r="570" spans="1:16" hidden="1" x14ac:dyDescent="0.2">
      <c r="A570" s="73">
        <v>67260</v>
      </c>
      <c r="B570" t="s">
        <v>423</v>
      </c>
      <c r="C570" s="73" t="s">
        <v>454</v>
      </c>
      <c r="D570" t="s">
        <v>455</v>
      </c>
      <c r="E570" s="74">
        <v>46020</v>
      </c>
      <c r="F570" t="s">
        <v>362</v>
      </c>
      <c r="G570" t="s">
        <v>363</v>
      </c>
      <c r="H570" s="75">
        <f t="shared" si="8"/>
        <v>277.45099327688075</v>
      </c>
      <c r="I570" s="74">
        <v>46020</v>
      </c>
      <c r="J570">
        <v>8</v>
      </c>
      <c r="K570" t="s">
        <v>515</v>
      </c>
      <c r="L570" t="s">
        <v>355</v>
      </c>
      <c r="M570" t="s">
        <v>356</v>
      </c>
      <c r="N570" s="73">
        <v>67260</v>
      </c>
      <c r="O570" s="73">
        <v>67260</v>
      </c>
      <c r="P570">
        <v>34.681374159610094</v>
      </c>
    </row>
    <row r="571" spans="1:16" hidden="1" x14ac:dyDescent="0.2">
      <c r="A571" s="73">
        <v>67260</v>
      </c>
      <c r="B571" t="s">
        <v>423</v>
      </c>
      <c r="C571" s="73" t="s">
        <v>454</v>
      </c>
      <c r="D571" t="s">
        <v>455</v>
      </c>
      <c r="E571" s="74">
        <v>46020</v>
      </c>
      <c r="F571" t="s">
        <v>406</v>
      </c>
      <c r="G571" t="s">
        <v>407</v>
      </c>
      <c r="H571" s="75">
        <f t="shared" si="8"/>
        <v>138.72549663844038</v>
      </c>
      <c r="I571" s="74">
        <v>46020</v>
      </c>
      <c r="J571">
        <v>4</v>
      </c>
      <c r="K571" t="s">
        <v>515</v>
      </c>
      <c r="L571" t="s">
        <v>355</v>
      </c>
      <c r="M571" t="s">
        <v>356</v>
      </c>
      <c r="N571" s="73">
        <v>67260</v>
      </c>
      <c r="O571" s="73">
        <v>67260</v>
      </c>
      <c r="P571">
        <v>34.681374159610094</v>
      </c>
    </row>
    <row r="572" spans="1:16" hidden="1" x14ac:dyDescent="0.2">
      <c r="A572" s="73">
        <v>67260</v>
      </c>
      <c r="B572" t="s">
        <v>423</v>
      </c>
      <c r="C572" s="73" t="s">
        <v>454</v>
      </c>
      <c r="D572" t="s">
        <v>455</v>
      </c>
      <c r="E572" s="74">
        <v>46020</v>
      </c>
      <c r="F572" t="s">
        <v>387</v>
      </c>
      <c r="G572" t="s">
        <v>388</v>
      </c>
      <c r="H572" s="75">
        <f t="shared" si="8"/>
        <v>242.76961911727065</v>
      </c>
      <c r="I572" s="74">
        <v>46020</v>
      </c>
      <c r="J572">
        <v>7</v>
      </c>
      <c r="K572" t="s">
        <v>515</v>
      </c>
      <c r="L572" t="s">
        <v>367</v>
      </c>
      <c r="M572" t="s">
        <v>356</v>
      </c>
      <c r="N572" s="73">
        <v>67260</v>
      </c>
      <c r="O572" s="73">
        <v>67260</v>
      </c>
      <c r="P572">
        <v>34.681374159610094</v>
      </c>
    </row>
    <row r="573" spans="1:16" hidden="1" x14ac:dyDescent="0.2">
      <c r="A573" s="73">
        <v>67260</v>
      </c>
      <c r="B573" t="s">
        <v>423</v>
      </c>
      <c r="C573" s="73" t="s">
        <v>454</v>
      </c>
      <c r="D573" t="s">
        <v>455</v>
      </c>
      <c r="E573" s="74">
        <v>46020</v>
      </c>
      <c r="F573" t="s">
        <v>357</v>
      </c>
      <c r="G573" t="s">
        <v>358</v>
      </c>
      <c r="H573" s="75">
        <f t="shared" si="8"/>
        <v>138.72549663844038</v>
      </c>
      <c r="I573" s="74">
        <v>46020</v>
      </c>
      <c r="J573">
        <v>4</v>
      </c>
      <c r="K573" t="s">
        <v>515</v>
      </c>
      <c r="L573" t="s">
        <v>359</v>
      </c>
      <c r="M573" t="s">
        <v>356</v>
      </c>
      <c r="N573" s="73">
        <v>67260</v>
      </c>
      <c r="O573" s="73">
        <v>67260</v>
      </c>
      <c r="P573">
        <v>34.681374159610094</v>
      </c>
    </row>
    <row r="574" spans="1:16" hidden="1" x14ac:dyDescent="0.2">
      <c r="A574" s="73">
        <v>67260</v>
      </c>
      <c r="B574" t="s">
        <v>423</v>
      </c>
      <c r="C574" s="73" t="s">
        <v>454</v>
      </c>
      <c r="D574" t="s">
        <v>455</v>
      </c>
      <c r="E574" s="74">
        <v>46020</v>
      </c>
      <c r="F574" t="s">
        <v>398</v>
      </c>
      <c r="G574" t="s">
        <v>399</v>
      </c>
      <c r="H574" s="75">
        <f t="shared" si="8"/>
        <v>242.76961911727065</v>
      </c>
      <c r="I574" s="74">
        <v>46020</v>
      </c>
      <c r="J574">
        <v>7</v>
      </c>
      <c r="K574" t="s">
        <v>515</v>
      </c>
      <c r="L574" t="s">
        <v>367</v>
      </c>
      <c r="M574" t="s">
        <v>356</v>
      </c>
      <c r="N574" s="73">
        <v>67260</v>
      </c>
      <c r="O574" s="73">
        <v>67260</v>
      </c>
      <c r="P574">
        <v>34.681374159610094</v>
      </c>
    </row>
    <row r="575" spans="1:16" hidden="1" x14ac:dyDescent="0.2">
      <c r="A575" s="73">
        <v>67260</v>
      </c>
      <c r="B575" t="s">
        <v>423</v>
      </c>
      <c r="C575" s="73" t="s">
        <v>454</v>
      </c>
      <c r="D575" t="s">
        <v>455</v>
      </c>
      <c r="E575" s="74">
        <v>46021</v>
      </c>
      <c r="F575" t="s">
        <v>406</v>
      </c>
      <c r="G575" t="s">
        <v>407</v>
      </c>
      <c r="H575" s="75">
        <f t="shared" si="8"/>
        <v>138.72549663844038</v>
      </c>
      <c r="I575" s="74">
        <v>46021</v>
      </c>
      <c r="J575">
        <v>4</v>
      </c>
      <c r="K575" t="s">
        <v>515</v>
      </c>
      <c r="L575" t="s">
        <v>355</v>
      </c>
      <c r="M575" t="s">
        <v>356</v>
      </c>
      <c r="N575" s="73">
        <v>67260</v>
      </c>
      <c r="O575" s="73">
        <v>67260</v>
      </c>
      <c r="P575">
        <v>34.681374159610094</v>
      </c>
    </row>
    <row r="576" spans="1:16" hidden="1" x14ac:dyDescent="0.2">
      <c r="A576" s="73">
        <v>67260</v>
      </c>
      <c r="B576" t="s">
        <v>423</v>
      </c>
      <c r="C576" s="73" t="s">
        <v>454</v>
      </c>
      <c r="D576" t="s">
        <v>455</v>
      </c>
      <c r="E576" s="74">
        <v>46021</v>
      </c>
      <c r="F576" t="s">
        <v>387</v>
      </c>
      <c r="G576" t="s">
        <v>388</v>
      </c>
      <c r="H576" s="75">
        <f t="shared" si="8"/>
        <v>242.76961911727065</v>
      </c>
      <c r="I576" s="74">
        <v>46021</v>
      </c>
      <c r="J576">
        <v>7</v>
      </c>
      <c r="K576" t="s">
        <v>515</v>
      </c>
      <c r="L576" t="s">
        <v>367</v>
      </c>
      <c r="M576" t="s">
        <v>356</v>
      </c>
      <c r="N576" s="73">
        <v>67260</v>
      </c>
      <c r="O576" s="73">
        <v>67260</v>
      </c>
      <c r="P576">
        <v>34.681374159610094</v>
      </c>
    </row>
    <row r="577" spans="1:16" hidden="1" x14ac:dyDescent="0.2">
      <c r="A577" s="73">
        <v>67260</v>
      </c>
      <c r="B577" t="s">
        <v>423</v>
      </c>
      <c r="C577" s="73" t="s">
        <v>454</v>
      </c>
      <c r="D577" t="s">
        <v>455</v>
      </c>
      <c r="E577" s="74">
        <v>46021</v>
      </c>
      <c r="F577" t="s">
        <v>357</v>
      </c>
      <c r="G577" t="s">
        <v>358</v>
      </c>
      <c r="H577" s="75">
        <f t="shared" si="8"/>
        <v>138.72549663844038</v>
      </c>
      <c r="I577" s="74">
        <v>46021</v>
      </c>
      <c r="J577">
        <v>4</v>
      </c>
      <c r="K577" t="s">
        <v>515</v>
      </c>
      <c r="L577" t="s">
        <v>359</v>
      </c>
      <c r="M577" t="s">
        <v>356</v>
      </c>
      <c r="N577" s="73">
        <v>67260</v>
      </c>
      <c r="O577" s="73">
        <v>67260</v>
      </c>
      <c r="P577">
        <v>34.681374159610094</v>
      </c>
    </row>
    <row r="578" spans="1:16" hidden="1" x14ac:dyDescent="0.2">
      <c r="A578" s="73">
        <v>67260</v>
      </c>
      <c r="B578" t="s">
        <v>423</v>
      </c>
      <c r="C578" s="73" t="s">
        <v>454</v>
      </c>
      <c r="D578" t="s">
        <v>455</v>
      </c>
      <c r="E578" s="74">
        <v>46021</v>
      </c>
      <c r="F578" t="s">
        <v>398</v>
      </c>
      <c r="G578" t="s">
        <v>399</v>
      </c>
      <c r="H578" s="75">
        <f t="shared" ref="H578:H641" si="9">J578*P578</f>
        <v>242.76961911727065</v>
      </c>
      <c r="I578" s="74">
        <v>46021</v>
      </c>
      <c r="J578">
        <v>7</v>
      </c>
      <c r="K578" t="s">
        <v>515</v>
      </c>
      <c r="L578" t="s">
        <v>367</v>
      </c>
      <c r="M578" t="s">
        <v>356</v>
      </c>
      <c r="N578" s="73">
        <v>67260</v>
      </c>
      <c r="O578" s="73">
        <v>67260</v>
      </c>
      <c r="P578">
        <v>34.681374159610094</v>
      </c>
    </row>
    <row r="579" spans="1:16" hidden="1" x14ac:dyDescent="0.2">
      <c r="A579" s="73">
        <v>67260</v>
      </c>
      <c r="B579" t="s">
        <v>423</v>
      </c>
      <c r="C579" s="73" t="s">
        <v>454</v>
      </c>
      <c r="D579" t="s">
        <v>455</v>
      </c>
      <c r="E579" s="74">
        <v>46022</v>
      </c>
      <c r="F579" t="s">
        <v>357</v>
      </c>
      <c r="G579" t="s">
        <v>358</v>
      </c>
      <c r="H579" s="75">
        <f t="shared" si="9"/>
        <v>138.72549663844038</v>
      </c>
      <c r="I579" s="74">
        <v>46022</v>
      </c>
      <c r="J579">
        <v>4</v>
      </c>
      <c r="K579" t="s">
        <v>515</v>
      </c>
      <c r="L579" t="s">
        <v>359</v>
      </c>
      <c r="M579" t="s">
        <v>356</v>
      </c>
      <c r="N579" s="73">
        <v>67260</v>
      </c>
      <c r="O579" s="73">
        <v>67260</v>
      </c>
      <c r="P579">
        <v>34.681374159610094</v>
      </c>
    </row>
    <row r="580" spans="1:16" hidden="1" x14ac:dyDescent="0.2">
      <c r="A580" s="73">
        <v>67260</v>
      </c>
      <c r="B580" t="s">
        <v>423</v>
      </c>
      <c r="C580" s="73" t="s">
        <v>454</v>
      </c>
      <c r="D580" t="s">
        <v>455</v>
      </c>
      <c r="E580" s="74">
        <v>46022</v>
      </c>
      <c r="F580" t="s">
        <v>398</v>
      </c>
      <c r="G580" t="s">
        <v>399</v>
      </c>
      <c r="H580" s="75">
        <f t="shared" si="9"/>
        <v>242.76961911727065</v>
      </c>
      <c r="I580" s="74">
        <v>46022</v>
      </c>
      <c r="J580">
        <v>7</v>
      </c>
      <c r="K580" t="s">
        <v>515</v>
      </c>
      <c r="L580" t="s">
        <v>367</v>
      </c>
      <c r="M580" t="s">
        <v>356</v>
      </c>
      <c r="N580" s="73">
        <v>67260</v>
      </c>
      <c r="O580" s="73">
        <v>67260</v>
      </c>
      <c r="P580">
        <v>34.681374159610094</v>
      </c>
    </row>
    <row r="581" spans="1:16" hidden="1" x14ac:dyDescent="0.2">
      <c r="A581" s="73">
        <v>67260</v>
      </c>
      <c r="B581" t="s">
        <v>423</v>
      </c>
      <c r="C581" s="73" t="s">
        <v>454</v>
      </c>
      <c r="D581" t="s">
        <v>455</v>
      </c>
      <c r="E581" s="74">
        <v>46024</v>
      </c>
      <c r="F581" t="s">
        <v>362</v>
      </c>
      <c r="G581" t="s">
        <v>363</v>
      </c>
      <c r="H581" s="75">
        <f t="shared" si="9"/>
        <v>277.45099327688075</v>
      </c>
      <c r="I581" s="74">
        <v>46024</v>
      </c>
      <c r="J581">
        <v>8</v>
      </c>
      <c r="K581" t="s">
        <v>516</v>
      </c>
      <c r="L581" t="s">
        <v>355</v>
      </c>
      <c r="M581" t="s">
        <v>356</v>
      </c>
      <c r="N581" s="73">
        <v>67260</v>
      </c>
      <c r="O581" s="73">
        <v>67260</v>
      </c>
      <c r="P581">
        <v>34.681374159610094</v>
      </c>
    </row>
    <row r="582" spans="1:16" hidden="1" x14ac:dyDescent="0.2">
      <c r="A582" s="73">
        <v>67260</v>
      </c>
      <c r="B582" t="s">
        <v>423</v>
      </c>
      <c r="C582" s="73" t="s">
        <v>454</v>
      </c>
      <c r="D582" t="s">
        <v>455</v>
      </c>
      <c r="E582" s="74">
        <v>46024</v>
      </c>
      <c r="F582" t="s">
        <v>357</v>
      </c>
      <c r="G582" t="s">
        <v>358</v>
      </c>
      <c r="H582" s="75">
        <f t="shared" si="9"/>
        <v>138.72549663844038</v>
      </c>
      <c r="I582" s="74">
        <v>46024</v>
      </c>
      <c r="J582">
        <v>4</v>
      </c>
      <c r="K582" t="s">
        <v>516</v>
      </c>
      <c r="L582" t="s">
        <v>359</v>
      </c>
      <c r="M582" t="s">
        <v>356</v>
      </c>
      <c r="N582" s="73">
        <v>67260</v>
      </c>
      <c r="O582" s="73">
        <v>67260</v>
      </c>
      <c r="P582">
        <v>34.681374159610094</v>
      </c>
    </row>
    <row r="583" spans="1:16" hidden="1" x14ac:dyDescent="0.2">
      <c r="A583" s="73">
        <v>67260</v>
      </c>
      <c r="B583" t="s">
        <v>423</v>
      </c>
      <c r="C583" s="73" t="s">
        <v>454</v>
      </c>
      <c r="D583" t="s">
        <v>455</v>
      </c>
      <c r="E583" s="74">
        <v>46024</v>
      </c>
      <c r="F583" t="s">
        <v>398</v>
      </c>
      <c r="G583" t="s">
        <v>399</v>
      </c>
      <c r="H583" s="75">
        <f t="shared" si="9"/>
        <v>242.76961911727065</v>
      </c>
      <c r="I583" s="74">
        <v>46024</v>
      </c>
      <c r="J583">
        <v>7</v>
      </c>
      <c r="K583" t="s">
        <v>516</v>
      </c>
      <c r="L583" t="s">
        <v>367</v>
      </c>
      <c r="M583" t="s">
        <v>356</v>
      </c>
      <c r="N583" s="73">
        <v>67260</v>
      </c>
      <c r="O583" s="73">
        <v>67260</v>
      </c>
      <c r="P583">
        <v>34.681374159610094</v>
      </c>
    </row>
    <row r="584" spans="1:16" hidden="1" x14ac:dyDescent="0.2">
      <c r="A584" s="73">
        <v>67260</v>
      </c>
      <c r="B584" t="s">
        <v>423</v>
      </c>
      <c r="C584" s="73" t="s">
        <v>454</v>
      </c>
      <c r="D584" t="s">
        <v>455</v>
      </c>
      <c r="E584" s="74">
        <v>46027</v>
      </c>
      <c r="F584" t="s">
        <v>406</v>
      </c>
      <c r="G584" t="s">
        <v>407</v>
      </c>
      <c r="H584" s="75">
        <f t="shared" si="9"/>
        <v>208.08824495766055</v>
      </c>
      <c r="I584" s="74">
        <v>46027</v>
      </c>
      <c r="J584">
        <v>6</v>
      </c>
      <c r="K584" t="s">
        <v>516</v>
      </c>
      <c r="L584" t="s">
        <v>355</v>
      </c>
      <c r="M584" t="s">
        <v>356</v>
      </c>
      <c r="N584" s="73">
        <v>67260</v>
      </c>
      <c r="O584" s="73">
        <v>67260</v>
      </c>
      <c r="P584">
        <v>34.681374159610094</v>
      </c>
    </row>
    <row r="585" spans="1:16" hidden="1" x14ac:dyDescent="0.2">
      <c r="A585" s="73">
        <v>67260</v>
      </c>
      <c r="B585" t="s">
        <v>423</v>
      </c>
      <c r="C585" s="73" t="s">
        <v>454</v>
      </c>
      <c r="D585" t="s">
        <v>455</v>
      </c>
      <c r="E585" s="74">
        <v>46027</v>
      </c>
      <c r="F585" t="s">
        <v>398</v>
      </c>
      <c r="G585" t="s">
        <v>399</v>
      </c>
      <c r="H585" s="75">
        <f t="shared" si="9"/>
        <v>242.76961911727065</v>
      </c>
      <c r="I585" s="74">
        <v>46027</v>
      </c>
      <c r="J585">
        <v>7</v>
      </c>
      <c r="K585" t="s">
        <v>516</v>
      </c>
      <c r="L585" t="s">
        <v>367</v>
      </c>
      <c r="M585" t="s">
        <v>356</v>
      </c>
      <c r="N585" s="73">
        <v>67260</v>
      </c>
      <c r="O585" s="73">
        <v>67260</v>
      </c>
      <c r="P585">
        <v>34.681374159610094</v>
      </c>
    </row>
    <row r="586" spans="1:16" hidden="1" x14ac:dyDescent="0.2">
      <c r="A586" s="73">
        <v>67260</v>
      </c>
      <c r="B586" t="s">
        <v>423</v>
      </c>
      <c r="C586" s="73" t="s">
        <v>454</v>
      </c>
      <c r="D586" t="s">
        <v>455</v>
      </c>
      <c r="E586" s="74">
        <v>46027</v>
      </c>
      <c r="F586" t="s">
        <v>357</v>
      </c>
      <c r="G586" t="s">
        <v>358</v>
      </c>
      <c r="H586" s="75">
        <f t="shared" si="9"/>
        <v>138.72549663844038</v>
      </c>
      <c r="I586" s="74">
        <v>46027</v>
      </c>
      <c r="J586">
        <v>4</v>
      </c>
      <c r="K586" t="s">
        <v>516</v>
      </c>
      <c r="L586" t="s">
        <v>359</v>
      </c>
      <c r="M586" t="s">
        <v>356</v>
      </c>
      <c r="N586" s="73">
        <v>67260</v>
      </c>
      <c r="O586" s="73">
        <v>67260</v>
      </c>
      <c r="P586">
        <v>34.681374159610094</v>
      </c>
    </row>
    <row r="587" spans="1:16" hidden="1" x14ac:dyDescent="0.2">
      <c r="A587" s="73">
        <v>67260</v>
      </c>
      <c r="B587" t="s">
        <v>423</v>
      </c>
      <c r="C587" s="73" t="s">
        <v>454</v>
      </c>
      <c r="D587" t="s">
        <v>455</v>
      </c>
      <c r="E587" s="74">
        <v>46027</v>
      </c>
      <c r="F587" t="s">
        <v>362</v>
      </c>
      <c r="G587" t="s">
        <v>363</v>
      </c>
      <c r="H587" s="75">
        <f t="shared" si="9"/>
        <v>277.45099327688075</v>
      </c>
      <c r="I587" s="74">
        <v>46027</v>
      </c>
      <c r="J587">
        <v>8</v>
      </c>
      <c r="K587" t="s">
        <v>516</v>
      </c>
      <c r="L587" t="s">
        <v>355</v>
      </c>
      <c r="M587" t="s">
        <v>356</v>
      </c>
      <c r="N587" s="73">
        <v>67260</v>
      </c>
      <c r="O587" s="73">
        <v>67260</v>
      </c>
      <c r="P587">
        <v>34.681374159610094</v>
      </c>
    </row>
    <row r="588" spans="1:16" hidden="1" x14ac:dyDescent="0.2">
      <c r="A588" s="73">
        <v>67260</v>
      </c>
      <c r="B588" t="s">
        <v>423</v>
      </c>
      <c r="C588" s="73" t="s">
        <v>454</v>
      </c>
      <c r="D588" t="s">
        <v>455</v>
      </c>
      <c r="E588" s="74">
        <v>46028</v>
      </c>
      <c r="F588" t="s">
        <v>406</v>
      </c>
      <c r="G588" t="s">
        <v>407</v>
      </c>
      <c r="H588" s="75">
        <f t="shared" si="9"/>
        <v>208.08824495766055</v>
      </c>
      <c r="I588" s="74">
        <v>46028</v>
      </c>
      <c r="J588">
        <v>6</v>
      </c>
      <c r="K588" t="s">
        <v>516</v>
      </c>
      <c r="L588" t="s">
        <v>355</v>
      </c>
      <c r="M588" t="s">
        <v>356</v>
      </c>
      <c r="N588" s="73">
        <v>67260</v>
      </c>
      <c r="O588" s="73">
        <v>67260</v>
      </c>
      <c r="P588">
        <v>34.681374159610094</v>
      </c>
    </row>
    <row r="589" spans="1:16" hidden="1" x14ac:dyDescent="0.2">
      <c r="A589" s="73">
        <v>67260</v>
      </c>
      <c r="B589" t="s">
        <v>423</v>
      </c>
      <c r="C589" s="73" t="s">
        <v>454</v>
      </c>
      <c r="D589" t="s">
        <v>455</v>
      </c>
      <c r="E589" s="74">
        <v>46028</v>
      </c>
      <c r="F589" t="s">
        <v>398</v>
      </c>
      <c r="G589" t="s">
        <v>399</v>
      </c>
      <c r="H589" s="75">
        <f t="shared" si="9"/>
        <v>242.76961911727065</v>
      </c>
      <c r="I589" s="74">
        <v>46028</v>
      </c>
      <c r="J589">
        <v>7</v>
      </c>
      <c r="K589" t="s">
        <v>516</v>
      </c>
      <c r="L589" t="s">
        <v>367</v>
      </c>
      <c r="M589" t="s">
        <v>356</v>
      </c>
      <c r="N589" s="73">
        <v>67260</v>
      </c>
      <c r="O589" s="73">
        <v>67260</v>
      </c>
      <c r="P589">
        <v>34.681374159610094</v>
      </c>
    </row>
    <row r="590" spans="1:16" hidden="1" x14ac:dyDescent="0.2">
      <c r="A590" s="73">
        <v>67260</v>
      </c>
      <c r="B590" t="s">
        <v>423</v>
      </c>
      <c r="C590" s="73" t="s">
        <v>454</v>
      </c>
      <c r="D590" t="s">
        <v>455</v>
      </c>
      <c r="E590" s="74">
        <v>46028</v>
      </c>
      <c r="F590" t="s">
        <v>404</v>
      </c>
      <c r="G590" t="s">
        <v>405</v>
      </c>
      <c r="H590" s="75">
        <f t="shared" si="9"/>
        <v>69.362748319220188</v>
      </c>
      <c r="I590" s="74">
        <v>46028</v>
      </c>
      <c r="J590">
        <v>2</v>
      </c>
      <c r="K590" t="s">
        <v>516</v>
      </c>
      <c r="L590" t="s">
        <v>262</v>
      </c>
      <c r="M590" t="s">
        <v>356</v>
      </c>
      <c r="N590" s="73">
        <v>67260</v>
      </c>
      <c r="O590" s="73">
        <v>67260</v>
      </c>
      <c r="P590">
        <v>34.681374159610094</v>
      </c>
    </row>
    <row r="591" spans="1:16" hidden="1" x14ac:dyDescent="0.2">
      <c r="A591" s="73">
        <v>67260</v>
      </c>
      <c r="B591" t="s">
        <v>423</v>
      </c>
      <c r="C591" s="73" t="s">
        <v>424</v>
      </c>
      <c r="D591" t="s">
        <v>506</v>
      </c>
      <c r="E591" s="74">
        <v>45958</v>
      </c>
      <c r="F591" t="s">
        <v>414</v>
      </c>
      <c r="G591" t="s">
        <v>415</v>
      </c>
      <c r="H591" s="75">
        <f t="shared" si="9"/>
        <v>242.76961911727065</v>
      </c>
      <c r="I591" s="74">
        <v>45958</v>
      </c>
      <c r="J591">
        <v>7</v>
      </c>
      <c r="K591" t="s">
        <v>513</v>
      </c>
      <c r="L591" t="s">
        <v>262</v>
      </c>
      <c r="M591" t="s">
        <v>356</v>
      </c>
      <c r="N591" s="73">
        <v>67260</v>
      </c>
      <c r="O591" s="73">
        <v>67260</v>
      </c>
      <c r="P591">
        <v>34.681374159610094</v>
      </c>
    </row>
    <row r="592" spans="1:16" hidden="1" x14ac:dyDescent="0.2">
      <c r="A592" s="73">
        <v>67260</v>
      </c>
      <c r="B592" t="s">
        <v>423</v>
      </c>
      <c r="C592" s="73" t="s">
        <v>454</v>
      </c>
      <c r="D592" t="s">
        <v>455</v>
      </c>
      <c r="E592" s="74">
        <v>46028</v>
      </c>
      <c r="F592" t="s">
        <v>357</v>
      </c>
      <c r="G592" t="s">
        <v>358</v>
      </c>
      <c r="H592" s="75">
        <f t="shared" si="9"/>
        <v>138.72549663844038</v>
      </c>
      <c r="I592" s="74">
        <v>46028</v>
      </c>
      <c r="J592">
        <v>4</v>
      </c>
      <c r="K592" t="s">
        <v>516</v>
      </c>
      <c r="L592" t="s">
        <v>359</v>
      </c>
      <c r="M592" t="s">
        <v>356</v>
      </c>
      <c r="N592" s="73">
        <v>67260</v>
      </c>
      <c r="O592" s="73">
        <v>67260</v>
      </c>
      <c r="P592">
        <v>34.681374159610094</v>
      </c>
    </row>
    <row r="593" spans="1:16" hidden="1" x14ac:dyDescent="0.2">
      <c r="A593" s="73">
        <v>67260</v>
      </c>
      <c r="B593" t="s">
        <v>423</v>
      </c>
      <c r="C593" s="73" t="s">
        <v>454</v>
      </c>
      <c r="D593" t="s">
        <v>455</v>
      </c>
      <c r="E593" s="74">
        <v>46029</v>
      </c>
      <c r="F593" t="s">
        <v>406</v>
      </c>
      <c r="G593" t="s">
        <v>407</v>
      </c>
      <c r="H593" s="75">
        <f t="shared" si="9"/>
        <v>208.08824495766055</v>
      </c>
      <c r="I593" s="74">
        <v>46029</v>
      </c>
      <c r="J593">
        <v>6</v>
      </c>
      <c r="K593" t="s">
        <v>516</v>
      </c>
      <c r="L593" t="s">
        <v>355</v>
      </c>
      <c r="M593" t="s">
        <v>356</v>
      </c>
      <c r="N593" s="73">
        <v>67260</v>
      </c>
      <c r="O593" s="73">
        <v>67260</v>
      </c>
      <c r="P593">
        <v>34.681374159610094</v>
      </c>
    </row>
    <row r="594" spans="1:16" hidden="1" x14ac:dyDescent="0.2">
      <c r="A594" s="73">
        <v>67260</v>
      </c>
      <c r="B594" t="s">
        <v>423</v>
      </c>
      <c r="C594" s="73" t="s">
        <v>454</v>
      </c>
      <c r="D594" t="s">
        <v>455</v>
      </c>
      <c r="E594" s="74">
        <v>46029</v>
      </c>
      <c r="F594" t="s">
        <v>398</v>
      </c>
      <c r="G594" t="s">
        <v>399</v>
      </c>
      <c r="H594" s="75">
        <f t="shared" si="9"/>
        <v>208.08824495766055</v>
      </c>
      <c r="I594" s="74">
        <v>46029</v>
      </c>
      <c r="J594">
        <v>6</v>
      </c>
      <c r="K594" t="s">
        <v>516</v>
      </c>
      <c r="L594" t="s">
        <v>367</v>
      </c>
      <c r="M594" t="s">
        <v>356</v>
      </c>
      <c r="N594" s="73">
        <v>67260</v>
      </c>
      <c r="O594" s="73">
        <v>67260</v>
      </c>
      <c r="P594">
        <v>34.681374159610094</v>
      </c>
    </row>
    <row r="595" spans="1:16" hidden="1" x14ac:dyDescent="0.2">
      <c r="A595" s="73">
        <v>67260</v>
      </c>
      <c r="B595" t="s">
        <v>423</v>
      </c>
      <c r="C595" s="73" t="s">
        <v>454</v>
      </c>
      <c r="D595" t="s">
        <v>455</v>
      </c>
      <c r="E595" s="74">
        <v>46029</v>
      </c>
      <c r="F595" t="s">
        <v>404</v>
      </c>
      <c r="G595" t="s">
        <v>405</v>
      </c>
      <c r="H595" s="75">
        <f t="shared" si="9"/>
        <v>242.76961911727065</v>
      </c>
      <c r="I595" s="74">
        <v>46029</v>
      </c>
      <c r="J595">
        <v>7</v>
      </c>
      <c r="K595" t="s">
        <v>516</v>
      </c>
      <c r="L595" t="s">
        <v>262</v>
      </c>
      <c r="M595" t="s">
        <v>356</v>
      </c>
      <c r="N595" s="73">
        <v>67260</v>
      </c>
      <c r="O595" s="73">
        <v>67260</v>
      </c>
      <c r="P595">
        <v>34.681374159610094</v>
      </c>
    </row>
    <row r="596" spans="1:16" hidden="1" x14ac:dyDescent="0.2">
      <c r="A596" s="73">
        <v>67260</v>
      </c>
      <c r="B596" t="s">
        <v>423</v>
      </c>
      <c r="C596" s="73" t="s">
        <v>454</v>
      </c>
      <c r="D596" t="s">
        <v>455</v>
      </c>
      <c r="E596" s="74">
        <v>46029</v>
      </c>
      <c r="F596" t="s">
        <v>357</v>
      </c>
      <c r="G596" t="s">
        <v>358</v>
      </c>
      <c r="H596" s="75">
        <f t="shared" si="9"/>
        <v>138.72549663844038</v>
      </c>
      <c r="I596" s="74">
        <v>46029</v>
      </c>
      <c r="J596">
        <v>4</v>
      </c>
      <c r="K596" t="s">
        <v>516</v>
      </c>
      <c r="L596" t="s">
        <v>359</v>
      </c>
      <c r="M596" t="s">
        <v>356</v>
      </c>
      <c r="N596" s="73">
        <v>67260</v>
      </c>
      <c r="O596" s="73">
        <v>67260</v>
      </c>
      <c r="P596">
        <v>34.681374159610094</v>
      </c>
    </row>
    <row r="597" spans="1:16" hidden="1" x14ac:dyDescent="0.2">
      <c r="A597" s="73">
        <v>67260</v>
      </c>
      <c r="B597" t="s">
        <v>423</v>
      </c>
      <c r="C597" s="73" t="s">
        <v>454</v>
      </c>
      <c r="D597" t="s">
        <v>455</v>
      </c>
      <c r="E597" s="74">
        <v>46029</v>
      </c>
      <c r="F597" t="s">
        <v>362</v>
      </c>
      <c r="G597" t="s">
        <v>363</v>
      </c>
      <c r="H597" s="75">
        <f t="shared" si="9"/>
        <v>277.45099327688075</v>
      </c>
      <c r="I597" s="74">
        <v>46029</v>
      </c>
      <c r="J597">
        <v>8</v>
      </c>
      <c r="K597" t="s">
        <v>516</v>
      </c>
      <c r="L597" t="s">
        <v>355</v>
      </c>
      <c r="M597" t="s">
        <v>356</v>
      </c>
      <c r="N597" s="73">
        <v>67260</v>
      </c>
      <c r="O597" s="73">
        <v>67260</v>
      </c>
      <c r="P597">
        <v>34.681374159610094</v>
      </c>
    </row>
    <row r="598" spans="1:16" hidden="1" x14ac:dyDescent="0.2">
      <c r="A598" s="73">
        <v>67260</v>
      </c>
      <c r="B598" t="s">
        <v>423</v>
      </c>
      <c r="C598" s="73" t="s">
        <v>454</v>
      </c>
      <c r="D598" t="s">
        <v>455</v>
      </c>
      <c r="E598" s="74">
        <v>46030</v>
      </c>
      <c r="F598" t="s">
        <v>406</v>
      </c>
      <c r="G598" t="s">
        <v>407</v>
      </c>
      <c r="H598" s="75">
        <f t="shared" si="9"/>
        <v>208.08824495766055</v>
      </c>
      <c r="I598" s="74">
        <v>46030</v>
      </c>
      <c r="J598">
        <v>6</v>
      </c>
      <c r="K598" t="s">
        <v>516</v>
      </c>
      <c r="L598" t="s">
        <v>355</v>
      </c>
      <c r="M598" t="s">
        <v>356</v>
      </c>
      <c r="N598" s="73">
        <v>67260</v>
      </c>
      <c r="O598" s="73">
        <v>67260</v>
      </c>
      <c r="P598">
        <v>34.681374159610094</v>
      </c>
    </row>
    <row r="599" spans="1:16" hidden="1" x14ac:dyDescent="0.2">
      <c r="A599" s="73">
        <v>67260</v>
      </c>
      <c r="B599" t="s">
        <v>423</v>
      </c>
      <c r="C599" s="73" t="s">
        <v>454</v>
      </c>
      <c r="D599" t="s">
        <v>455</v>
      </c>
      <c r="E599" s="74">
        <v>46030</v>
      </c>
      <c r="F599" t="s">
        <v>398</v>
      </c>
      <c r="G599" t="s">
        <v>399</v>
      </c>
      <c r="H599" s="75">
        <f t="shared" si="9"/>
        <v>208.08824495766055</v>
      </c>
      <c r="I599" s="74">
        <v>46030</v>
      </c>
      <c r="J599">
        <v>6</v>
      </c>
      <c r="K599" t="s">
        <v>516</v>
      </c>
      <c r="L599" t="s">
        <v>367</v>
      </c>
      <c r="M599" t="s">
        <v>356</v>
      </c>
      <c r="N599" s="73">
        <v>67260</v>
      </c>
      <c r="O599" s="73">
        <v>67260</v>
      </c>
      <c r="P599">
        <v>34.681374159610094</v>
      </c>
    </row>
    <row r="600" spans="1:16" hidden="1" x14ac:dyDescent="0.2">
      <c r="A600" s="73">
        <v>67260</v>
      </c>
      <c r="B600" t="s">
        <v>423</v>
      </c>
      <c r="C600" s="73" t="s">
        <v>454</v>
      </c>
      <c r="D600" t="s">
        <v>455</v>
      </c>
      <c r="E600" s="74">
        <v>46030</v>
      </c>
      <c r="F600" t="s">
        <v>404</v>
      </c>
      <c r="G600" t="s">
        <v>405</v>
      </c>
      <c r="H600" s="75">
        <f t="shared" si="9"/>
        <v>104.04412247883027</v>
      </c>
      <c r="I600" s="74">
        <v>46030</v>
      </c>
      <c r="J600">
        <v>3</v>
      </c>
      <c r="K600" t="s">
        <v>516</v>
      </c>
      <c r="L600" t="s">
        <v>262</v>
      </c>
      <c r="M600" t="s">
        <v>356</v>
      </c>
      <c r="N600" s="73">
        <v>67260</v>
      </c>
      <c r="O600" s="73">
        <v>67260</v>
      </c>
      <c r="P600">
        <v>34.681374159610094</v>
      </c>
    </row>
    <row r="601" spans="1:16" hidden="1" x14ac:dyDescent="0.2">
      <c r="A601" s="73">
        <v>67260</v>
      </c>
      <c r="B601" t="s">
        <v>423</v>
      </c>
      <c r="C601" s="73" t="s">
        <v>424</v>
      </c>
      <c r="D601" t="s">
        <v>506</v>
      </c>
      <c r="E601" s="74">
        <v>45959</v>
      </c>
      <c r="F601" t="s">
        <v>414</v>
      </c>
      <c r="G601" t="s">
        <v>415</v>
      </c>
      <c r="H601" s="75">
        <f t="shared" si="9"/>
        <v>242.76961911727065</v>
      </c>
      <c r="I601" s="74">
        <v>45959</v>
      </c>
      <c r="J601">
        <v>7</v>
      </c>
      <c r="K601" t="s">
        <v>513</v>
      </c>
      <c r="L601" t="s">
        <v>262</v>
      </c>
      <c r="M601" t="s">
        <v>356</v>
      </c>
      <c r="N601" s="73">
        <v>67260</v>
      </c>
      <c r="O601" s="73">
        <v>67260</v>
      </c>
      <c r="P601">
        <v>34.681374159610094</v>
      </c>
    </row>
    <row r="602" spans="1:16" hidden="1" x14ac:dyDescent="0.2">
      <c r="A602" s="73">
        <v>67260</v>
      </c>
      <c r="B602" t="s">
        <v>423</v>
      </c>
      <c r="C602" s="73" t="s">
        <v>454</v>
      </c>
      <c r="D602" t="s">
        <v>455</v>
      </c>
      <c r="E602" s="74">
        <v>46030</v>
      </c>
      <c r="F602" t="s">
        <v>357</v>
      </c>
      <c r="G602" t="s">
        <v>358</v>
      </c>
      <c r="H602" s="75">
        <f t="shared" si="9"/>
        <v>138.72549663844038</v>
      </c>
      <c r="I602" s="74">
        <v>46030</v>
      </c>
      <c r="J602">
        <v>4</v>
      </c>
      <c r="K602" t="s">
        <v>516</v>
      </c>
      <c r="L602" t="s">
        <v>359</v>
      </c>
      <c r="M602" t="s">
        <v>356</v>
      </c>
      <c r="N602" s="73">
        <v>67260</v>
      </c>
      <c r="O602" s="73">
        <v>67260</v>
      </c>
      <c r="P602">
        <v>34.681374159610094</v>
      </c>
    </row>
    <row r="603" spans="1:16" hidden="1" x14ac:dyDescent="0.2">
      <c r="A603" s="73">
        <v>67260</v>
      </c>
      <c r="B603" t="s">
        <v>423</v>
      </c>
      <c r="C603" s="73" t="s">
        <v>454</v>
      </c>
      <c r="D603" t="s">
        <v>455</v>
      </c>
      <c r="E603" s="74">
        <v>46030</v>
      </c>
      <c r="F603" t="s">
        <v>362</v>
      </c>
      <c r="G603" t="s">
        <v>363</v>
      </c>
      <c r="H603" s="75">
        <f t="shared" si="9"/>
        <v>277.45099327688075</v>
      </c>
      <c r="I603" s="74">
        <v>46030</v>
      </c>
      <c r="J603">
        <v>8</v>
      </c>
      <c r="K603" t="s">
        <v>516</v>
      </c>
      <c r="L603" t="s">
        <v>355</v>
      </c>
      <c r="M603" t="s">
        <v>356</v>
      </c>
      <c r="N603" s="73">
        <v>67260</v>
      </c>
      <c r="O603" s="73">
        <v>67260</v>
      </c>
      <c r="P603">
        <v>34.681374159610094</v>
      </c>
    </row>
    <row r="604" spans="1:16" hidden="1" x14ac:dyDescent="0.2">
      <c r="A604" s="73">
        <v>67260</v>
      </c>
      <c r="B604" t="s">
        <v>423</v>
      </c>
      <c r="C604" s="73" t="s">
        <v>454</v>
      </c>
      <c r="D604" t="s">
        <v>455</v>
      </c>
      <c r="E604" s="74">
        <v>46031</v>
      </c>
      <c r="F604" t="s">
        <v>406</v>
      </c>
      <c r="G604" t="s">
        <v>407</v>
      </c>
      <c r="H604" s="75">
        <f t="shared" si="9"/>
        <v>208.08824495766055</v>
      </c>
      <c r="I604" s="74">
        <v>46031</v>
      </c>
      <c r="J604">
        <v>6</v>
      </c>
      <c r="K604" t="s">
        <v>516</v>
      </c>
      <c r="L604" t="s">
        <v>355</v>
      </c>
      <c r="M604" t="s">
        <v>356</v>
      </c>
      <c r="N604" s="73">
        <v>67260</v>
      </c>
      <c r="O604" s="73">
        <v>67260</v>
      </c>
      <c r="P604">
        <v>34.681374159610094</v>
      </c>
    </row>
    <row r="605" spans="1:16" hidden="1" x14ac:dyDescent="0.2">
      <c r="A605" s="73">
        <v>67260</v>
      </c>
      <c r="B605" t="s">
        <v>423</v>
      </c>
      <c r="C605" s="73" t="s">
        <v>454</v>
      </c>
      <c r="D605" t="s">
        <v>455</v>
      </c>
      <c r="E605" s="74">
        <v>46031</v>
      </c>
      <c r="F605" t="s">
        <v>398</v>
      </c>
      <c r="G605" t="s">
        <v>399</v>
      </c>
      <c r="H605" s="75">
        <f t="shared" si="9"/>
        <v>208.08824495766055</v>
      </c>
      <c r="I605" s="74">
        <v>46031</v>
      </c>
      <c r="J605">
        <v>6</v>
      </c>
      <c r="K605" t="s">
        <v>516</v>
      </c>
      <c r="L605" t="s">
        <v>367</v>
      </c>
      <c r="M605" t="s">
        <v>356</v>
      </c>
      <c r="N605" s="73">
        <v>67260</v>
      </c>
      <c r="O605" s="73">
        <v>67260</v>
      </c>
      <c r="P605">
        <v>34.681374159610094</v>
      </c>
    </row>
    <row r="606" spans="1:16" hidden="1" x14ac:dyDescent="0.2">
      <c r="A606" s="73">
        <v>67260</v>
      </c>
      <c r="B606" t="s">
        <v>423</v>
      </c>
      <c r="C606" s="73" t="s">
        <v>454</v>
      </c>
      <c r="D606" t="s">
        <v>455</v>
      </c>
      <c r="E606" s="74">
        <v>46031</v>
      </c>
      <c r="F606" t="s">
        <v>357</v>
      </c>
      <c r="G606" t="s">
        <v>358</v>
      </c>
      <c r="H606" s="75">
        <f t="shared" si="9"/>
        <v>138.72549663844038</v>
      </c>
      <c r="I606" s="74">
        <v>46031</v>
      </c>
      <c r="J606">
        <v>4</v>
      </c>
      <c r="K606" t="s">
        <v>516</v>
      </c>
      <c r="L606" t="s">
        <v>359</v>
      </c>
      <c r="M606" t="s">
        <v>356</v>
      </c>
      <c r="N606" s="73">
        <v>67260</v>
      </c>
      <c r="O606" s="73">
        <v>67260</v>
      </c>
      <c r="P606">
        <v>34.681374159610094</v>
      </c>
    </row>
    <row r="607" spans="1:16" hidden="1" x14ac:dyDescent="0.2">
      <c r="A607" s="73">
        <v>67260</v>
      </c>
      <c r="B607" t="s">
        <v>423</v>
      </c>
      <c r="C607" s="73" t="s">
        <v>454</v>
      </c>
      <c r="D607" t="s">
        <v>455</v>
      </c>
      <c r="E607" s="74">
        <v>46031</v>
      </c>
      <c r="F607" t="s">
        <v>362</v>
      </c>
      <c r="G607" t="s">
        <v>363</v>
      </c>
      <c r="H607" s="75">
        <f t="shared" si="9"/>
        <v>277.45099327688075</v>
      </c>
      <c r="I607" s="74">
        <v>46031</v>
      </c>
      <c r="J607">
        <v>8</v>
      </c>
      <c r="K607" t="s">
        <v>516</v>
      </c>
      <c r="L607" t="s">
        <v>355</v>
      </c>
      <c r="M607" t="s">
        <v>356</v>
      </c>
      <c r="N607" s="73">
        <v>67260</v>
      </c>
      <c r="O607" s="73">
        <v>67260</v>
      </c>
      <c r="P607">
        <v>34.681374159610094</v>
      </c>
    </row>
    <row r="608" spans="1:16" hidden="1" x14ac:dyDescent="0.2">
      <c r="A608" s="73">
        <v>67260</v>
      </c>
      <c r="B608" t="s">
        <v>423</v>
      </c>
      <c r="C608" s="73" t="s">
        <v>454</v>
      </c>
      <c r="D608" t="s">
        <v>455</v>
      </c>
      <c r="E608" s="74">
        <v>46034</v>
      </c>
      <c r="F608" t="s">
        <v>406</v>
      </c>
      <c r="G608" t="s">
        <v>407</v>
      </c>
      <c r="H608" s="75">
        <f t="shared" si="9"/>
        <v>208.08824495766055</v>
      </c>
      <c r="I608" s="74">
        <v>46034</v>
      </c>
      <c r="J608">
        <v>6</v>
      </c>
      <c r="K608" t="s">
        <v>516</v>
      </c>
      <c r="L608" t="s">
        <v>355</v>
      </c>
      <c r="M608" t="s">
        <v>356</v>
      </c>
      <c r="N608" s="73">
        <v>67260</v>
      </c>
      <c r="O608" s="73">
        <v>67260</v>
      </c>
      <c r="P608">
        <v>34.681374159610094</v>
      </c>
    </row>
    <row r="609" spans="1:16" hidden="1" x14ac:dyDescent="0.2">
      <c r="A609" s="73">
        <v>67260</v>
      </c>
      <c r="B609" t="s">
        <v>423</v>
      </c>
      <c r="C609" s="73" t="s">
        <v>454</v>
      </c>
      <c r="D609" t="s">
        <v>455</v>
      </c>
      <c r="E609" s="74">
        <v>46034</v>
      </c>
      <c r="F609" t="s">
        <v>362</v>
      </c>
      <c r="G609" t="s">
        <v>363</v>
      </c>
      <c r="H609" s="75">
        <f t="shared" si="9"/>
        <v>277.45099327688075</v>
      </c>
      <c r="I609" s="74">
        <v>46034</v>
      </c>
      <c r="J609">
        <v>8</v>
      </c>
      <c r="K609" t="s">
        <v>516</v>
      </c>
      <c r="L609" t="s">
        <v>355</v>
      </c>
      <c r="M609" t="s">
        <v>356</v>
      </c>
      <c r="N609" s="73">
        <v>67260</v>
      </c>
      <c r="O609" s="73">
        <v>67260</v>
      </c>
      <c r="P609">
        <v>34.681374159610094</v>
      </c>
    </row>
    <row r="610" spans="1:16" hidden="1" x14ac:dyDescent="0.2">
      <c r="A610" s="73">
        <v>67260</v>
      </c>
      <c r="B610" t="s">
        <v>423</v>
      </c>
      <c r="C610" s="73" t="s">
        <v>454</v>
      </c>
      <c r="D610" t="s">
        <v>455</v>
      </c>
      <c r="E610" s="74">
        <v>46034</v>
      </c>
      <c r="F610" t="s">
        <v>398</v>
      </c>
      <c r="G610" t="s">
        <v>399</v>
      </c>
      <c r="H610" s="75">
        <f t="shared" si="9"/>
        <v>242.76961911727065</v>
      </c>
      <c r="I610" s="74">
        <v>46034</v>
      </c>
      <c r="J610">
        <v>7</v>
      </c>
      <c r="K610" t="s">
        <v>516</v>
      </c>
      <c r="L610" t="s">
        <v>367</v>
      </c>
      <c r="M610" t="s">
        <v>356</v>
      </c>
      <c r="N610" s="73">
        <v>67260</v>
      </c>
      <c r="O610" s="73">
        <v>67260</v>
      </c>
      <c r="P610">
        <v>34.681374159610094</v>
      </c>
    </row>
    <row r="611" spans="1:16" hidden="1" x14ac:dyDescent="0.2">
      <c r="A611" s="73">
        <v>67260</v>
      </c>
      <c r="B611" t="s">
        <v>423</v>
      </c>
      <c r="C611" s="73" t="s">
        <v>424</v>
      </c>
      <c r="D611" t="s">
        <v>506</v>
      </c>
      <c r="E611" s="74">
        <v>45964</v>
      </c>
      <c r="F611" t="s">
        <v>414</v>
      </c>
      <c r="G611" t="s">
        <v>415</v>
      </c>
      <c r="H611" s="75">
        <f t="shared" si="9"/>
        <v>242.76961911727065</v>
      </c>
      <c r="I611" s="74">
        <v>45964</v>
      </c>
      <c r="J611">
        <v>7</v>
      </c>
      <c r="K611" t="s">
        <v>514</v>
      </c>
      <c r="L611" t="s">
        <v>262</v>
      </c>
      <c r="M611" t="s">
        <v>356</v>
      </c>
      <c r="N611" s="73">
        <v>67260</v>
      </c>
      <c r="O611" s="73">
        <v>67260</v>
      </c>
      <c r="P611">
        <v>34.681374159610094</v>
      </c>
    </row>
    <row r="612" spans="1:16" hidden="1" x14ac:dyDescent="0.2">
      <c r="A612" s="73">
        <v>67260</v>
      </c>
      <c r="B612" t="s">
        <v>423</v>
      </c>
      <c r="C612" s="73" t="s">
        <v>454</v>
      </c>
      <c r="D612" t="s">
        <v>455</v>
      </c>
      <c r="E612" s="74">
        <v>46034</v>
      </c>
      <c r="F612" t="s">
        <v>357</v>
      </c>
      <c r="G612" t="s">
        <v>358</v>
      </c>
      <c r="H612" s="75">
        <f t="shared" si="9"/>
        <v>138.72549663844038</v>
      </c>
      <c r="I612" s="74">
        <v>46034</v>
      </c>
      <c r="J612">
        <v>4</v>
      </c>
      <c r="K612" t="s">
        <v>516</v>
      </c>
      <c r="L612" t="s">
        <v>359</v>
      </c>
      <c r="M612" t="s">
        <v>356</v>
      </c>
      <c r="N612" s="73">
        <v>67260</v>
      </c>
      <c r="O612" s="73">
        <v>67260</v>
      </c>
      <c r="P612">
        <v>34.681374159610094</v>
      </c>
    </row>
    <row r="613" spans="1:16" hidden="1" x14ac:dyDescent="0.2">
      <c r="A613" s="73">
        <v>67260</v>
      </c>
      <c r="B613" t="s">
        <v>423</v>
      </c>
      <c r="C613" s="73" t="s">
        <v>454</v>
      </c>
      <c r="D613" t="s">
        <v>455</v>
      </c>
      <c r="E613" s="74">
        <v>46035</v>
      </c>
      <c r="F613" t="s">
        <v>406</v>
      </c>
      <c r="G613" t="s">
        <v>407</v>
      </c>
      <c r="H613" s="75">
        <f t="shared" si="9"/>
        <v>208.08824495766055</v>
      </c>
      <c r="I613" s="74">
        <v>46035</v>
      </c>
      <c r="J613">
        <v>6</v>
      </c>
      <c r="K613" t="s">
        <v>516</v>
      </c>
      <c r="L613" t="s">
        <v>355</v>
      </c>
      <c r="M613" t="s">
        <v>356</v>
      </c>
      <c r="N613" s="73">
        <v>67260</v>
      </c>
      <c r="O613" s="73">
        <v>67260</v>
      </c>
      <c r="P613">
        <v>34.681374159610094</v>
      </c>
    </row>
    <row r="614" spans="1:16" hidden="1" x14ac:dyDescent="0.2">
      <c r="A614" s="73">
        <v>67260</v>
      </c>
      <c r="B614" t="s">
        <v>423</v>
      </c>
      <c r="C614" s="73" t="s">
        <v>454</v>
      </c>
      <c r="D614" t="s">
        <v>455</v>
      </c>
      <c r="E614" s="74">
        <v>46035</v>
      </c>
      <c r="F614" t="s">
        <v>362</v>
      </c>
      <c r="G614" t="s">
        <v>363</v>
      </c>
      <c r="H614" s="75">
        <f t="shared" si="9"/>
        <v>277.45099327688075</v>
      </c>
      <c r="I614" s="74">
        <v>46035</v>
      </c>
      <c r="J614">
        <v>8</v>
      </c>
      <c r="K614" t="s">
        <v>516</v>
      </c>
      <c r="L614" t="s">
        <v>355</v>
      </c>
      <c r="M614" t="s">
        <v>356</v>
      </c>
      <c r="N614" s="73">
        <v>67260</v>
      </c>
      <c r="O614" s="73">
        <v>67260</v>
      </c>
      <c r="P614">
        <v>34.681374159610094</v>
      </c>
    </row>
    <row r="615" spans="1:16" hidden="1" x14ac:dyDescent="0.2">
      <c r="A615" s="73">
        <v>67260</v>
      </c>
      <c r="B615" t="s">
        <v>423</v>
      </c>
      <c r="C615" s="73" t="s">
        <v>454</v>
      </c>
      <c r="D615" t="s">
        <v>455</v>
      </c>
      <c r="E615" s="74">
        <v>46035</v>
      </c>
      <c r="F615" t="s">
        <v>398</v>
      </c>
      <c r="G615" t="s">
        <v>399</v>
      </c>
      <c r="H615" s="75">
        <f t="shared" si="9"/>
        <v>242.76961911727065</v>
      </c>
      <c r="I615" s="74">
        <v>46035</v>
      </c>
      <c r="J615">
        <v>7</v>
      </c>
      <c r="K615" t="s">
        <v>516</v>
      </c>
      <c r="L615" t="s">
        <v>367</v>
      </c>
      <c r="M615" t="s">
        <v>356</v>
      </c>
      <c r="N615" s="73">
        <v>67260</v>
      </c>
      <c r="O615" s="73">
        <v>67260</v>
      </c>
      <c r="P615">
        <v>34.681374159610094</v>
      </c>
    </row>
    <row r="616" spans="1:16" hidden="1" x14ac:dyDescent="0.2">
      <c r="A616" s="73">
        <v>67260</v>
      </c>
      <c r="B616" t="s">
        <v>423</v>
      </c>
      <c r="C616" s="73" t="s">
        <v>454</v>
      </c>
      <c r="D616" t="s">
        <v>455</v>
      </c>
      <c r="E616" s="74">
        <v>46035</v>
      </c>
      <c r="F616" t="s">
        <v>387</v>
      </c>
      <c r="G616" t="s">
        <v>388</v>
      </c>
      <c r="H616" s="75">
        <f t="shared" si="9"/>
        <v>277.45099327688075</v>
      </c>
      <c r="I616" s="74">
        <v>46035</v>
      </c>
      <c r="J616">
        <v>8</v>
      </c>
      <c r="K616" t="s">
        <v>516</v>
      </c>
      <c r="L616" t="s">
        <v>367</v>
      </c>
      <c r="M616" t="s">
        <v>356</v>
      </c>
      <c r="N616" s="73">
        <v>67260</v>
      </c>
      <c r="O616" s="73">
        <v>67260</v>
      </c>
      <c r="P616">
        <v>34.681374159610094</v>
      </c>
    </row>
    <row r="617" spans="1:16" hidden="1" x14ac:dyDescent="0.2">
      <c r="A617" s="73">
        <v>67260</v>
      </c>
      <c r="B617" t="s">
        <v>423</v>
      </c>
      <c r="C617" s="73" t="s">
        <v>424</v>
      </c>
      <c r="D617" t="s">
        <v>506</v>
      </c>
      <c r="E617" s="74">
        <v>45964</v>
      </c>
      <c r="F617" t="s">
        <v>414</v>
      </c>
      <c r="G617" t="s">
        <v>415</v>
      </c>
      <c r="H617" s="75">
        <f t="shared" si="9"/>
        <v>-242.76961911727065</v>
      </c>
      <c r="I617" s="74">
        <v>45964</v>
      </c>
      <c r="J617">
        <v>-7</v>
      </c>
      <c r="K617" t="s">
        <v>514</v>
      </c>
      <c r="L617" t="s">
        <v>262</v>
      </c>
      <c r="M617" t="s">
        <v>356</v>
      </c>
      <c r="N617" s="73">
        <v>67260</v>
      </c>
      <c r="O617" s="73">
        <v>67260</v>
      </c>
      <c r="P617">
        <v>34.681374159610094</v>
      </c>
    </row>
    <row r="618" spans="1:16" hidden="1" x14ac:dyDescent="0.2">
      <c r="A618" s="73">
        <v>67260</v>
      </c>
      <c r="B618" t="s">
        <v>423</v>
      </c>
      <c r="C618" s="73" t="s">
        <v>454</v>
      </c>
      <c r="D618" t="s">
        <v>455</v>
      </c>
      <c r="E618" s="74">
        <v>46035</v>
      </c>
      <c r="F618" t="s">
        <v>357</v>
      </c>
      <c r="G618" t="s">
        <v>358</v>
      </c>
      <c r="H618" s="75">
        <f t="shared" si="9"/>
        <v>138.72549663844038</v>
      </c>
      <c r="I618" s="74">
        <v>46035</v>
      </c>
      <c r="J618">
        <v>4</v>
      </c>
      <c r="K618" t="s">
        <v>516</v>
      </c>
      <c r="L618" t="s">
        <v>359</v>
      </c>
      <c r="M618" t="s">
        <v>356</v>
      </c>
      <c r="N618" s="73">
        <v>67260</v>
      </c>
      <c r="O618" s="73">
        <v>67260</v>
      </c>
      <c r="P618">
        <v>34.681374159610094</v>
      </c>
    </row>
    <row r="619" spans="1:16" hidden="1" x14ac:dyDescent="0.2">
      <c r="A619" s="73">
        <v>67260</v>
      </c>
      <c r="B619" t="s">
        <v>423</v>
      </c>
      <c r="C619" s="73" t="s">
        <v>454</v>
      </c>
      <c r="D619" t="s">
        <v>455</v>
      </c>
      <c r="E619" s="74">
        <v>46036</v>
      </c>
      <c r="F619" t="s">
        <v>406</v>
      </c>
      <c r="G619" t="s">
        <v>407</v>
      </c>
      <c r="H619" s="75">
        <f t="shared" si="9"/>
        <v>208.08824495766055</v>
      </c>
      <c r="I619" s="74">
        <v>46036</v>
      </c>
      <c r="J619">
        <v>6</v>
      </c>
      <c r="K619" t="s">
        <v>516</v>
      </c>
      <c r="L619" t="s">
        <v>355</v>
      </c>
      <c r="M619" t="s">
        <v>356</v>
      </c>
      <c r="N619" s="73">
        <v>67260</v>
      </c>
      <c r="O619" s="73">
        <v>67260</v>
      </c>
      <c r="P619">
        <v>34.681374159610094</v>
      </c>
    </row>
    <row r="620" spans="1:16" hidden="1" x14ac:dyDescent="0.2">
      <c r="A620" s="73">
        <v>67260</v>
      </c>
      <c r="B620" t="s">
        <v>423</v>
      </c>
      <c r="C620" s="73" t="s">
        <v>454</v>
      </c>
      <c r="D620" t="s">
        <v>455</v>
      </c>
      <c r="E620" s="74">
        <v>46036</v>
      </c>
      <c r="F620" t="s">
        <v>362</v>
      </c>
      <c r="G620" t="s">
        <v>363</v>
      </c>
      <c r="H620" s="75">
        <f t="shared" si="9"/>
        <v>277.45099327688075</v>
      </c>
      <c r="I620" s="74">
        <v>46036</v>
      </c>
      <c r="J620">
        <v>8</v>
      </c>
      <c r="K620" t="s">
        <v>516</v>
      </c>
      <c r="L620" t="s">
        <v>355</v>
      </c>
      <c r="M620" t="s">
        <v>356</v>
      </c>
      <c r="N620" s="73">
        <v>67260</v>
      </c>
      <c r="O620" s="73">
        <v>67260</v>
      </c>
      <c r="P620">
        <v>34.681374159610094</v>
      </c>
    </row>
    <row r="621" spans="1:16" hidden="1" x14ac:dyDescent="0.2">
      <c r="A621" s="73">
        <v>67260</v>
      </c>
      <c r="B621" t="s">
        <v>423</v>
      </c>
      <c r="C621" s="73" t="s">
        <v>454</v>
      </c>
      <c r="D621" t="s">
        <v>455</v>
      </c>
      <c r="E621" s="74">
        <v>46036</v>
      </c>
      <c r="F621" t="s">
        <v>360</v>
      </c>
      <c r="G621" t="s">
        <v>361</v>
      </c>
      <c r="H621" s="75">
        <f t="shared" si="9"/>
        <v>277.45099327688075</v>
      </c>
      <c r="I621" s="74">
        <v>46036</v>
      </c>
      <c r="J621">
        <v>8</v>
      </c>
      <c r="K621" t="s">
        <v>516</v>
      </c>
      <c r="L621" t="s">
        <v>262</v>
      </c>
      <c r="M621" t="s">
        <v>356</v>
      </c>
      <c r="N621" s="73">
        <v>67260</v>
      </c>
      <c r="O621" s="73">
        <v>67260</v>
      </c>
      <c r="P621">
        <v>34.681374159610094</v>
      </c>
    </row>
    <row r="622" spans="1:16" hidden="1" x14ac:dyDescent="0.2">
      <c r="A622" s="73">
        <v>67260</v>
      </c>
      <c r="B622" t="s">
        <v>423</v>
      </c>
      <c r="C622" s="73" t="s">
        <v>454</v>
      </c>
      <c r="D622" t="s">
        <v>455</v>
      </c>
      <c r="E622" s="74">
        <v>46036</v>
      </c>
      <c r="F622" t="s">
        <v>398</v>
      </c>
      <c r="G622" t="s">
        <v>399</v>
      </c>
      <c r="H622" s="75">
        <f t="shared" si="9"/>
        <v>242.76961911727065</v>
      </c>
      <c r="I622" s="74">
        <v>46036</v>
      </c>
      <c r="J622">
        <v>7</v>
      </c>
      <c r="K622" t="s">
        <v>516</v>
      </c>
      <c r="L622" t="s">
        <v>367</v>
      </c>
      <c r="M622" t="s">
        <v>356</v>
      </c>
      <c r="N622" s="73">
        <v>67260</v>
      </c>
      <c r="O622" s="73">
        <v>67260</v>
      </c>
      <c r="P622">
        <v>34.681374159610094</v>
      </c>
    </row>
    <row r="623" spans="1:16" hidden="1" x14ac:dyDescent="0.2">
      <c r="A623" s="73">
        <v>67260</v>
      </c>
      <c r="B623" t="s">
        <v>423</v>
      </c>
      <c r="C623" s="73" t="s">
        <v>454</v>
      </c>
      <c r="D623" t="s">
        <v>455</v>
      </c>
      <c r="E623" s="74">
        <v>46036</v>
      </c>
      <c r="F623" t="s">
        <v>387</v>
      </c>
      <c r="G623" t="s">
        <v>388</v>
      </c>
      <c r="H623" s="75">
        <f t="shared" si="9"/>
        <v>277.45099327688075</v>
      </c>
      <c r="I623" s="74">
        <v>46036</v>
      </c>
      <c r="J623">
        <v>8</v>
      </c>
      <c r="K623" t="s">
        <v>516</v>
      </c>
      <c r="L623" t="s">
        <v>367</v>
      </c>
      <c r="M623" t="s">
        <v>356</v>
      </c>
      <c r="N623" s="73">
        <v>67260</v>
      </c>
      <c r="O623" s="73">
        <v>67260</v>
      </c>
      <c r="P623">
        <v>34.681374159610094</v>
      </c>
    </row>
    <row r="624" spans="1:16" hidden="1" x14ac:dyDescent="0.2">
      <c r="A624" s="73">
        <v>67260</v>
      </c>
      <c r="B624" t="s">
        <v>423</v>
      </c>
      <c r="C624" s="73" t="s">
        <v>454</v>
      </c>
      <c r="D624" t="s">
        <v>455</v>
      </c>
      <c r="E624" s="74">
        <v>46036</v>
      </c>
      <c r="F624" t="s">
        <v>357</v>
      </c>
      <c r="G624" t="s">
        <v>358</v>
      </c>
      <c r="H624" s="75">
        <f t="shared" si="9"/>
        <v>138.72549663844038</v>
      </c>
      <c r="I624" s="74">
        <v>46036</v>
      </c>
      <c r="J624">
        <v>4</v>
      </c>
      <c r="K624" t="s">
        <v>516</v>
      </c>
      <c r="L624" t="s">
        <v>359</v>
      </c>
      <c r="M624" t="s">
        <v>356</v>
      </c>
      <c r="N624" s="73">
        <v>67260</v>
      </c>
      <c r="O624" s="73">
        <v>67260</v>
      </c>
      <c r="P624">
        <v>34.681374159610094</v>
      </c>
    </row>
    <row r="625" spans="1:16" hidden="1" x14ac:dyDescent="0.2">
      <c r="A625" s="73">
        <v>67260</v>
      </c>
      <c r="B625" t="s">
        <v>423</v>
      </c>
      <c r="C625" s="73" t="s">
        <v>454</v>
      </c>
      <c r="D625" t="s">
        <v>455</v>
      </c>
      <c r="E625" s="74">
        <v>46037</v>
      </c>
      <c r="F625" t="s">
        <v>362</v>
      </c>
      <c r="G625" t="s">
        <v>363</v>
      </c>
      <c r="H625" s="75">
        <f t="shared" si="9"/>
        <v>277.45099327688075</v>
      </c>
      <c r="I625" s="74">
        <v>46037</v>
      </c>
      <c r="J625">
        <v>8</v>
      </c>
      <c r="K625" t="s">
        <v>516</v>
      </c>
      <c r="L625" t="s">
        <v>355</v>
      </c>
      <c r="M625" t="s">
        <v>356</v>
      </c>
      <c r="N625" s="73">
        <v>67260</v>
      </c>
      <c r="O625" s="73">
        <v>67260</v>
      </c>
      <c r="P625">
        <v>34.681374159610094</v>
      </c>
    </row>
    <row r="626" spans="1:16" hidden="1" x14ac:dyDescent="0.2">
      <c r="A626" s="73">
        <v>67260</v>
      </c>
      <c r="B626" t="s">
        <v>423</v>
      </c>
      <c r="C626" s="73" t="s">
        <v>454</v>
      </c>
      <c r="D626" t="s">
        <v>455</v>
      </c>
      <c r="E626" s="74">
        <v>46037</v>
      </c>
      <c r="F626" t="s">
        <v>357</v>
      </c>
      <c r="G626" t="s">
        <v>358</v>
      </c>
      <c r="H626" s="75">
        <f t="shared" si="9"/>
        <v>138.72549663844038</v>
      </c>
      <c r="I626" s="74">
        <v>46037</v>
      </c>
      <c r="J626">
        <v>4</v>
      </c>
      <c r="K626" t="s">
        <v>516</v>
      </c>
      <c r="L626" t="s">
        <v>359</v>
      </c>
      <c r="M626" t="s">
        <v>356</v>
      </c>
      <c r="N626" s="73">
        <v>67260</v>
      </c>
      <c r="O626" s="73">
        <v>67260</v>
      </c>
      <c r="P626">
        <v>34.681374159610094</v>
      </c>
    </row>
    <row r="627" spans="1:16" hidden="1" x14ac:dyDescent="0.2">
      <c r="A627" s="73">
        <v>67260</v>
      </c>
      <c r="B627" t="s">
        <v>423</v>
      </c>
      <c r="C627" s="73" t="s">
        <v>454</v>
      </c>
      <c r="D627" t="s">
        <v>455</v>
      </c>
      <c r="E627" s="74">
        <v>46037</v>
      </c>
      <c r="F627" t="s">
        <v>362</v>
      </c>
      <c r="G627" t="s">
        <v>363</v>
      </c>
      <c r="H627" s="75">
        <f t="shared" si="9"/>
        <v>-277.45099327688075</v>
      </c>
      <c r="I627" s="74">
        <v>46037</v>
      </c>
      <c r="J627">
        <v>-8</v>
      </c>
      <c r="K627" t="s">
        <v>516</v>
      </c>
      <c r="L627" t="s">
        <v>355</v>
      </c>
      <c r="M627" t="s">
        <v>356</v>
      </c>
      <c r="N627" s="73">
        <v>67260</v>
      </c>
      <c r="O627" s="73">
        <v>67260</v>
      </c>
      <c r="P627">
        <v>34.681374159610094</v>
      </c>
    </row>
    <row r="628" spans="1:16" hidden="1" x14ac:dyDescent="0.2">
      <c r="A628" s="73">
        <v>67260</v>
      </c>
      <c r="B628" t="s">
        <v>423</v>
      </c>
      <c r="C628" s="73" t="s">
        <v>454</v>
      </c>
      <c r="D628" t="s">
        <v>455</v>
      </c>
      <c r="E628" s="74">
        <v>46038</v>
      </c>
      <c r="F628" t="s">
        <v>406</v>
      </c>
      <c r="G628" t="s">
        <v>407</v>
      </c>
      <c r="H628" s="75">
        <f t="shared" si="9"/>
        <v>208.08824495766055</v>
      </c>
      <c r="I628" s="74">
        <v>46038</v>
      </c>
      <c r="J628">
        <v>6</v>
      </c>
      <c r="K628" t="s">
        <v>516</v>
      </c>
      <c r="L628" t="s">
        <v>355</v>
      </c>
      <c r="M628" t="s">
        <v>356</v>
      </c>
      <c r="N628" s="73">
        <v>67260</v>
      </c>
      <c r="O628" s="73">
        <v>67260</v>
      </c>
      <c r="P628">
        <v>34.681374159610094</v>
      </c>
    </row>
    <row r="629" spans="1:16" hidden="1" x14ac:dyDescent="0.2">
      <c r="A629" s="73">
        <v>67260</v>
      </c>
      <c r="B629" t="s">
        <v>423</v>
      </c>
      <c r="C629" s="73" t="s">
        <v>454</v>
      </c>
      <c r="D629" t="s">
        <v>455</v>
      </c>
      <c r="E629" s="74">
        <v>46038</v>
      </c>
      <c r="F629" t="s">
        <v>362</v>
      </c>
      <c r="G629" t="s">
        <v>363</v>
      </c>
      <c r="H629" s="75">
        <f t="shared" si="9"/>
        <v>277.45099327688075</v>
      </c>
      <c r="I629" s="74">
        <v>46038</v>
      </c>
      <c r="J629">
        <v>8</v>
      </c>
      <c r="K629" t="s">
        <v>516</v>
      </c>
      <c r="L629" t="s">
        <v>355</v>
      </c>
      <c r="M629" t="s">
        <v>356</v>
      </c>
      <c r="N629" s="73">
        <v>67260</v>
      </c>
      <c r="O629" s="73">
        <v>67260</v>
      </c>
      <c r="P629">
        <v>34.681374159610094</v>
      </c>
    </row>
    <row r="630" spans="1:16" hidden="1" x14ac:dyDescent="0.2">
      <c r="A630" s="73">
        <v>67260</v>
      </c>
      <c r="B630" t="s">
        <v>423</v>
      </c>
      <c r="C630" s="73" t="s">
        <v>454</v>
      </c>
      <c r="D630" t="s">
        <v>455</v>
      </c>
      <c r="E630" s="74">
        <v>46038</v>
      </c>
      <c r="F630" t="s">
        <v>404</v>
      </c>
      <c r="G630" t="s">
        <v>405</v>
      </c>
      <c r="H630" s="75">
        <f t="shared" si="9"/>
        <v>190.74755787785551</v>
      </c>
      <c r="I630" s="74">
        <v>46038</v>
      </c>
      <c r="J630">
        <v>5.5</v>
      </c>
      <c r="K630" t="s">
        <v>516</v>
      </c>
      <c r="L630" t="s">
        <v>262</v>
      </c>
      <c r="M630" t="s">
        <v>356</v>
      </c>
      <c r="N630" s="73">
        <v>67260</v>
      </c>
      <c r="O630" s="73">
        <v>67260</v>
      </c>
      <c r="P630">
        <v>34.681374159610094</v>
      </c>
    </row>
    <row r="631" spans="1:16" hidden="1" x14ac:dyDescent="0.2">
      <c r="A631" s="73">
        <v>67260</v>
      </c>
      <c r="B631" t="s">
        <v>423</v>
      </c>
      <c r="C631" s="73" t="s">
        <v>424</v>
      </c>
      <c r="D631" t="s">
        <v>506</v>
      </c>
      <c r="E631" s="74">
        <v>45964</v>
      </c>
      <c r="F631" t="s">
        <v>414</v>
      </c>
      <c r="G631" t="s">
        <v>415</v>
      </c>
      <c r="H631" s="75">
        <f t="shared" si="9"/>
        <v>312.13236743649082</v>
      </c>
      <c r="I631" s="74">
        <v>45964</v>
      </c>
      <c r="J631">
        <v>9</v>
      </c>
      <c r="K631" t="s">
        <v>514</v>
      </c>
      <c r="L631" t="s">
        <v>262</v>
      </c>
      <c r="M631" t="s">
        <v>356</v>
      </c>
      <c r="N631" s="73">
        <v>67260</v>
      </c>
      <c r="O631" s="73">
        <v>67260</v>
      </c>
      <c r="P631">
        <v>34.681374159610094</v>
      </c>
    </row>
    <row r="632" spans="1:16" hidden="1" x14ac:dyDescent="0.2">
      <c r="A632" s="73">
        <v>67260</v>
      </c>
      <c r="B632" t="s">
        <v>423</v>
      </c>
      <c r="C632" s="73" t="s">
        <v>454</v>
      </c>
      <c r="D632" t="s">
        <v>455</v>
      </c>
      <c r="E632" s="74">
        <v>46037</v>
      </c>
      <c r="F632" t="s">
        <v>357</v>
      </c>
      <c r="G632" t="s">
        <v>358</v>
      </c>
      <c r="H632" s="75">
        <f t="shared" si="9"/>
        <v>-138.72549663844038</v>
      </c>
      <c r="I632" s="74">
        <v>46037</v>
      </c>
      <c r="J632">
        <v>-4</v>
      </c>
      <c r="K632" t="s">
        <v>516</v>
      </c>
      <c r="L632" t="s">
        <v>359</v>
      </c>
      <c r="M632" t="s">
        <v>356</v>
      </c>
      <c r="N632" s="73">
        <v>67260</v>
      </c>
      <c r="O632" s="73">
        <v>67260</v>
      </c>
      <c r="P632">
        <v>34.681374159610094</v>
      </c>
    </row>
    <row r="633" spans="1:16" hidden="1" x14ac:dyDescent="0.2">
      <c r="A633" s="73">
        <v>67260</v>
      </c>
      <c r="B633" t="s">
        <v>423</v>
      </c>
      <c r="C633" s="73" t="s">
        <v>454</v>
      </c>
      <c r="D633" t="s">
        <v>455</v>
      </c>
      <c r="E633" s="74">
        <v>46041</v>
      </c>
      <c r="F633" t="s">
        <v>404</v>
      </c>
      <c r="G633" t="s">
        <v>405</v>
      </c>
      <c r="H633" s="75">
        <f t="shared" si="9"/>
        <v>242.76961911727065</v>
      </c>
      <c r="I633" s="74">
        <v>46041</v>
      </c>
      <c r="J633">
        <v>7</v>
      </c>
      <c r="K633" t="s">
        <v>516</v>
      </c>
      <c r="L633" t="s">
        <v>262</v>
      </c>
      <c r="M633" t="s">
        <v>356</v>
      </c>
      <c r="N633" s="73">
        <v>67260</v>
      </c>
      <c r="O633" s="73">
        <v>67260</v>
      </c>
      <c r="P633">
        <v>34.681374159610094</v>
      </c>
    </row>
    <row r="634" spans="1:16" hidden="1" x14ac:dyDescent="0.2">
      <c r="A634" s="73">
        <v>67260</v>
      </c>
      <c r="B634" t="s">
        <v>423</v>
      </c>
      <c r="C634" s="73" t="s">
        <v>454</v>
      </c>
      <c r="D634" t="s">
        <v>455</v>
      </c>
      <c r="E634" s="74">
        <v>46041</v>
      </c>
      <c r="F634" t="s">
        <v>362</v>
      </c>
      <c r="G634" t="s">
        <v>363</v>
      </c>
      <c r="H634" s="75">
        <f t="shared" si="9"/>
        <v>277.45099327688075</v>
      </c>
      <c r="I634" s="74">
        <v>46041</v>
      </c>
      <c r="J634">
        <v>8</v>
      </c>
      <c r="K634" t="s">
        <v>516</v>
      </c>
      <c r="L634" t="s">
        <v>355</v>
      </c>
      <c r="M634" t="s">
        <v>356</v>
      </c>
      <c r="N634" s="73">
        <v>67260</v>
      </c>
      <c r="O634" s="73">
        <v>67260</v>
      </c>
      <c r="P634">
        <v>34.681374159610094</v>
      </c>
    </row>
    <row r="635" spans="1:16" hidden="1" x14ac:dyDescent="0.2">
      <c r="A635" s="73">
        <v>67260</v>
      </c>
      <c r="B635" t="s">
        <v>423</v>
      </c>
      <c r="C635" s="73" t="s">
        <v>454</v>
      </c>
      <c r="D635" t="s">
        <v>455</v>
      </c>
      <c r="E635" s="74">
        <v>46042</v>
      </c>
      <c r="F635" t="s">
        <v>362</v>
      </c>
      <c r="G635" t="s">
        <v>363</v>
      </c>
      <c r="H635" s="75">
        <f t="shared" si="9"/>
        <v>277.45099327688075</v>
      </c>
      <c r="I635" s="74">
        <v>46042</v>
      </c>
      <c r="J635">
        <v>8</v>
      </c>
      <c r="K635" t="s">
        <v>516</v>
      </c>
      <c r="L635" t="s">
        <v>355</v>
      </c>
      <c r="M635" t="s">
        <v>356</v>
      </c>
      <c r="N635" s="73">
        <v>67260</v>
      </c>
      <c r="O635" s="73">
        <v>67260</v>
      </c>
      <c r="P635">
        <v>34.681374159610094</v>
      </c>
    </row>
    <row r="636" spans="1:16" hidden="1" x14ac:dyDescent="0.2">
      <c r="A636" s="73">
        <v>67260</v>
      </c>
      <c r="B636" t="s">
        <v>423</v>
      </c>
      <c r="C636" s="73" t="s">
        <v>454</v>
      </c>
      <c r="D636" t="s">
        <v>455</v>
      </c>
      <c r="E636" s="74">
        <v>46042</v>
      </c>
      <c r="F636" t="s">
        <v>410</v>
      </c>
      <c r="G636" t="s">
        <v>411</v>
      </c>
      <c r="H636" s="75">
        <f t="shared" si="9"/>
        <v>242.76961911727065</v>
      </c>
      <c r="I636" s="74">
        <v>46042</v>
      </c>
      <c r="J636">
        <v>7</v>
      </c>
      <c r="K636" t="s">
        <v>516</v>
      </c>
      <c r="L636" t="s">
        <v>262</v>
      </c>
      <c r="M636" t="s">
        <v>356</v>
      </c>
      <c r="N636" s="73">
        <v>67260</v>
      </c>
      <c r="O636" s="73">
        <v>67260</v>
      </c>
      <c r="P636">
        <v>34.681374159610094</v>
      </c>
    </row>
    <row r="637" spans="1:16" hidden="1" x14ac:dyDescent="0.2">
      <c r="A637" s="73">
        <v>67260</v>
      </c>
      <c r="B637" t="s">
        <v>423</v>
      </c>
      <c r="C637" s="73" t="s">
        <v>454</v>
      </c>
      <c r="D637" t="s">
        <v>455</v>
      </c>
      <c r="E637" s="74">
        <v>46042</v>
      </c>
      <c r="F637" t="s">
        <v>404</v>
      </c>
      <c r="G637" t="s">
        <v>405</v>
      </c>
      <c r="H637" s="75">
        <f t="shared" si="9"/>
        <v>242.76961911727065</v>
      </c>
      <c r="I637" s="74">
        <v>46042</v>
      </c>
      <c r="J637">
        <v>7</v>
      </c>
      <c r="K637" t="s">
        <v>516</v>
      </c>
      <c r="L637" t="s">
        <v>262</v>
      </c>
      <c r="M637" t="s">
        <v>356</v>
      </c>
      <c r="N637" s="73">
        <v>67260</v>
      </c>
      <c r="O637" s="73">
        <v>67260</v>
      </c>
      <c r="P637">
        <v>34.681374159610094</v>
      </c>
    </row>
    <row r="638" spans="1:16" hidden="1" x14ac:dyDescent="0.2">
      <c r="A638" s="73">
        <v>67260</v>
      </c>
      <c r="B638" t="s">
        <v>423</v>
      </c>
      <c r="C638" s="73" t="s">
        <v>424</v>
      </c>
      <c r="D638" t="s">
        <v>506</v>
      </c>
      <c r="E638" s="74">
        <v>45965</v>
      </c>
      <c r="F638" t="s">
        <v>414</v>
      </c>
      <c r="G638" t="s">
        <v>415</v>
      </c>
      <c r="H638" s="75">
        <f t="shared" si="9"/>
        <v>242.76961911727065</v>
      </c>
      <c r="I638" s="74">
        <v>45965</v>
      </c>
      <c r="J638">
        <v>7</v>
      </c>
      <c r="K638" t="s">
        <v>514</v>
      </c>
      <c r="L638" t="s">
        <v>262</v>
      </c>
      <c r="M638" t="s">
        <v>356</v>
      </c>
      <c r="N638" s="73">
        <v>67260</v>
      </c>
      <c r="O638" s="73">
        <v>67260</v>
      </c>
      <c r="P638">
        <v>34.681374159610094</v>
      </c>
    </row>
    <row r="639" spans="1:16" hidden="1" x14ac:dyDescent="0.2">
      <c r="A639" s="73">
        <v>67260</v>
      </c>
      <c r="B639" t="s">
        <v>423</v>
      </c>
      <c r="C639" s="73" t="s">
        <v>454</v>
      </c>
      <c r="D639" t="s">
        <v>455</v>
      </c>
      <c r="E639" s="74">
        <v>46043</v>
      </c>
      <c r="F639" t="s">
        <v>406</v>
      </c>
      <c r="G639" t="s">
        <v>407</v>
      </c>
      <c r="H639" s="75">
        <f t="shared" si="9"/>
        <v>104.04412247883027</v>
      </c>
      <c r="I639" s="74">
        <v>46043</v>
      </c>
      <c r="J639">
        <v>3</v>
      </c>
      <c r="K639" t="s">
        <v>516</v>
      </c>
      <c r="L639" t="s">
        <v>355</v>
      </c>
      <c r="M639" t="s">
        <v>356</v>
      </c>
      <c r="N639" s="73">
        <v>67260</v>
      </c>
      <c r="O639" s="73">
        <v>67260</v>
      </c>
      <c r="P639">
        <v>34.681374159610094</v>
      </c>
    </row>
    <row r="640" spans="1:16" hidden="1" x14ac:dyDescent="0.2">
      <c r="A640" s="73">
        <v>67260</v>
      </c>
      <c r="B640" t="s">
        <v>423</v>
      </c>
      <c r="C640" s="73" t="s">
        <v>454</v>
      </c>
      <c r="D640" t="s">
        <v>455</v>
      </c>
      <c r="E640" s="74">
        <v>46043</v>
      </c>
      <c r="F640" t="s">
        <v>362</v>
      </c>
      <c r="G640" t="s">
        <v>363</v>
      </c>
      <c r="H640" s="75">
        <f t="shared" si="9"/>
        <v>277.45099327688075</v>
      </c>
      <c r="I640" s="74">
        <v>46043</v>
      </c>
      <c r="J640">
        <v>8</v>
      </c>
      <c r="K640" t="s">
        <v>516</v>
      </c>
      <c r="L640" t="s">
        <v>355</v>
      </c>
      <c r="M640" t="s">
        <v>356</v>
      </c>
      <c r="N640" s="73">
        <v>67260</v>
      </c>
      <c r="O640" s="73">
        <v>67260</v>
      </c>
      <c r="P640">
        <v>34.681374159610094</v>
      </c>
    </row>
    <row r="641" spans="1:16" hidden="1" x14ac:dyDescent="0.2">
      <c r="A641" s="73">
        <v>67260</v>
      </c>
      <c r="B641" t="s">
        <v>423</v>
      </c>
      <c r="C641" s="73" t="s">
        <v>454</v>
      </c>
      <c r="D641" t="s">
        <v>455</v>
      </c>
      <c r="E641" s="74">
        <v>46043</v>
      </c>
      <c r="F641" t="s">
        <v>357</v>
      </c>
      <c r="G641" t="s">
        <v>358</v>
      </c>
      <c r="H641" s="75">
        <f t="shared" si="9"/>
        <v>138.72549663844038</v>
      </c>
      <c r="I641" s="74">
        <v>46043</v>
      </c>
      <c r="J641">
        <v>4</v>
      </c>
      <c r="K641" t="s">
        <v>516</v>
      </c>
      <c r="L641" t="s">
        <v>359</v>
      </c>
      <c r="M641" t="s">
        <v>356</v>
      </c>
      <c r="N641" s="73">
        <v>67260</v>
      </c>
      <c r="O641" s="73">
        <v>67260</v>
      </c>
      <c r="P641">
        <v>34.681374159610094</v>
      </c>
    </row>
    <row r="642" spans="1:16" hidden="1" x14ac:dyDescent="0.2">
      <c r="A642" s="73">
        <v>67260</v>
      </c>
      <c r="B642" t="s">
        <v>423</v>
      </c>
      <c r="C642" s="73" t="s">
        <v>454</v>
      </c>
      <c r="D642" t="s">
        <v>455</v>
      </c>
      <c r="E642" s="74">
        <v>46043</v>
      </c>
      <c r="F642" t="s">
        <v>360</v>
      </c>
      <c r="G642" t="s">
        <v>361</v>
      </c>
      <c r="H642" s="75">
        <f t="shared" ref="H642:H705" si="10">J642*P642</f>
        <v>69.362748319220188</v>
      </c>
      <c r="I642" s="74">
        <v>46043</v>
      </c>
      <c r="J642">
        <v>2</v>
      </c>
      <c r="K642" t="s">
        <v>516</v>
      </c>
      <c r="L642" t="s">
        <v>262</v>
      </c>
      <c r="M642" t="s">
        <v>356</v>
      </c>
      <c r="N642" s="73">
        <v>67260</v>
      </c>
      <c r="O642" s="73">
        <v>67260</v>
      </c>
      <c r="P642">
        <v>34.681374159610094</v>
      </c>
    </row>
    <row r="643" spans="1:16" hidden="1" x14ac:dyDescent="0.2">
      <c r="A643" s="73">
        <v>67260</v>
      </c>
      <c r="B643" t="s">
        <v>423</v>
      </c>
      <c r="C643" s="73" t="s">
        <v>454</v>
      </c>
      <c r="D643" t="s">
        <v>455</v>
      </c>
      <c r="E643" s="74">
        <v>46044</v>
      </c>
      <c r="F643" t="s">
        <v>406</v>
      </c>
      <c r="G643" t="s">
        <v>407</v>
      </c>
      <c r="H643" s="75">
        <f t="shared" si="10"/>
        <v>104.04412247883027</v>
      </c>
      <c r="I643" s="74">
        <v>46044</v>
      </c>
      <c r="J643">
        <v>3</v>
      </c>
      <c r="K643" t="s">
        <v>516</v>
      </c>
      <c r="L643" t="s">
        <v>355</v>
      </c>
      <c r="M643" t="s">
        <v>356</v>
      </c>
      <c r="N643" s="73">
        <v>67260</v>
      </c>
      <c r="O643" s="73">
        <v>67260</v>
      </c>
      <c r="P643">
        <v>34.681374159610094</v>
      </c>
    </row>
    <row r="644" spans="1:16" hidden="1" x14ac:dyDescent="0.2">
      <c r="A644" s="73">
        <v>67260</v>
      </c>
      <c r="B644" t="s">
        <v>423</v>
      </c>
      <c r="C644" s="73" t="s">
        <v>454</v>
      </c>
      <c r="D644" t="s">
        <v>455</v>
      </c>
      <c r="E644" s="74">
        <v>46044</v>
      </c>
      <c r="F644" t="s">
        <v>362</v>
      </c>
      <c r="G644" t="s">
        <v>363</v>
      </c>
      <c r="H644" s="75">
        <f t="shared" si="10"/>
        <v>277.45099327688075</v>
      </c>
      <c r="I644" s="74">
        <v>46044</v>
      </c>
      <c r="J644">
        <v>8</v>
      </c>
      <c r="K644" t="s">
        <v>516</v>
      </c>
      <c r="L644" t="s">
        <v>355</v>
      </c>
      <c r="M644" t="s">
        <v>356</v>
      </c>
      <c r="N644" s="73">
        <v>67260</v>
      </c>
      <c r="O644" s="73">
        <v>67260</v>
      </c>
      <c r="P644">
        <v>34.681374159610094</v>
      </c>
    </row>
    <row r="645" spans="1:16" hidden="1" x14ac:dyDescent="0.2">
      <c r="A645" s="73">
        <v>67260</v>
      </c>
      <c r="B645" t="s">
        <v>423</v>
      </c>
      <c r="C645" s="73" t="s">
        <v>454</v>
      </c>
      <c r="D645" t="s">
        <v>455</v>
      </c>
      <c r="E645" s="74">
        <v>46044</v>
      </c>
      <c r="F645" t="s">
        <v>357</v>
      </c>
      <c r="G645" t="s">
        <v>358</v>
      </c>
      <c r="H645" s="75">
        <f t="shared" si="10"/>
        <v>138.72549663844038</v>
      </c>
      <c r="I645" s="74">
        <v>46044</v>
      </c>
      <c r="J645">
        <v>4</v>
      </c>
      <c r="K645" t="s">
        <v>516</v>
      </c>
      <c r="L645" t="s">
        <v>359</v>
      </c>
      <c r="M645" t="s">
        <v>356</v>
      </c>
      <c r="N645" s="73">
        <v>67260</v>
      </c>
      <c r="O645" s="73">
        <v>67260</v>
      </c>
      <c r="P645">
        <v>34.681374159610094</v>
      </c>
    </row>
    <row r="646" spans="1:16" hidden="1" x14ac:dyDescent="0.2">
      <c r="A646" s="73">
        <v>67260</v>
      </c>
      <c r="B646" t="s">
        <v>423</v>
      </c>
      <c r="C646" s="73" t="s">
        <v>454</v>
      </c>
      <c r="D646" t="s">
        <v>455</v>
      </c>
      <c r="E646" s="74">
        <v>46044</v>
      </c>
      <c r="F646" t="s">
        <v>360</v>
      </c>
      <c r="G646" t="s">
        <v>361</v>
      </c>
      <c r="H646" s="75">
        <f t="shared" si="10"/>
        <v>242.76961911727065</v>
      </c>
      <c r="I646" s="74">
        <v>46044</v>
      </c>
      <c r="J646">
        <v>7</v>
      </c>
      <c r="K646" t="s">
        <v>516</v>
      </c>
      <c r="L646" t="s">
        <v>262</v>
      </c>
      <c r="M646" t="s">
        <v>356</v>
      </c>
      <c r="N646" s="73">
        <v>67260</v>
      </c>
      <c r="O646" s="73">
        <v>67260</v>
      </c>
      <c r="P646">
        <v>34.681374159610094</v>
      </c>
    </row>
    <row r="647" spans="1:16" hidden="1" x14ac:dyDescent="0.2">
      <c r="A647" s="73">
        <v>67260</v>
      </c>
      <c r="B647" t="s">
        <v>423</v>
      </c>
      <c r="C647" s="73" t="s">
        <v>454</v>
      </c>
      <c r="D647" t="s">
        <v>455</v>
      </c>
      <c r="E647" s="74">
        <v>46044</v>
      </c>
      <c r="F647" t="s">
        <v>404</v>
      </c>
      <c r="G647" t="s">
        <v>405</v>
      </c>
      <c r="H647" s="75">
        <f t="shared" si="10"/>
        <v>242.76961911727065</v>
      </c>
      <c r="I647" s="74">
        <v>46044</v>
      </c>
      <c r="J647">
        <v>7</v>
      </c>
      <c r="K647" t="s">
        <v>516</v>
      </c>
      <c r="L647" t="s">
        <v>262</v>
      </c>
      <c r="M647" t="s">
        <v>356</v>
      </c>
      <c r="N647" s="73">
        <v>67260</v>
      </c>
      <c r="O647" s="73">
        <v>67260</v>
      </c>
      <c r="P647">
        <v>34.681374159610094</v>
      </c>
    </row>
    <row r="648" spans="1:16" hidden="1" x14ac:dyDescent="0.2">
      <c r="A648" s="73">
        <v>67260</v>
      </c>
      <c r="B648" t="s">
        <v>423</v>
      </c>
      <c r="C648" s="73" t="s">
        <v>424</v>
      </c>
      <c r="D648" t="s">
        <v>506</v>
      </c>
      <c r="E648" s="74">
        <v>45965</v>
      </c>
      <c r="F648" t="s">
        <v>414</v>
      </c>
      <c r="G648" t="s">
        <v>415</v>
      </c>
      <c r="H648" s="75">
        <f t="shared" si="10"/>
        <v>-242.76961911727065</v>
      </c>
      <c r="I648" s="74">
        <v>45965</v>
      </c>
      <c r="J648">
        <v>-7</v>
      </c>
      <c r="K648" t="s">
        <v>514</v>
      </c>
      <c r="L648" t="s">
        <v>262</v>
      </c>
      <c r="M648" t="s">
        <v>356</v>
      </c>
      <c r="N648" s="73">
        <v>67260</v>
      </c>
      <c r="O648" s="73">
        <v>67260</v>
      </c>
      <c r="P648">
        <v>34.681374159610094</v>
      </c>
    </row>
    <row r="649" spans="1:16" hidden="1" x14ac:dyDescent="0.2">
      <c r="A649" s="73">
        <v>67260</v>
      </c>
      <c r="B649" t="s">
        <v>423</v>
      </c>
      <c r="C649" s="73" t="s">
        <v>454</v>
      </c>
      <c r="D649" t="s">
        <v>455</v>
      </c>
      <c r="E649" s="74">
        <v>46045</v>
      </c>
      <c r="F649" t="s">
        <v>362</v>
      </c>
      <c r="G649" t="s">
        <v>363</v>
      </c>
      <c r="H649" s="75">
        <f t="shared" si="10"/>
        <v>277.45099327688075</v>
      </c>
      <c r="I649" s="74">
        <v>46045</v>
      </c>
      <c r="J649">
        <v>8</v>
      </c>
      <c r="K649" t="s">
        <v>516</v>
      </c>
      <c r="L649" t="s">
        <v>355</v>
      </c>
      <c r="M649" t="s">
        <v>356</v>
      </c>
      <c r="N649" s="73">
        <v>67260</v>
      </c>
      <c r="O649" s="73">
        <v>67260</v>
      </c>
      <c r="P649">
        <v>34.681374159610094</v>
      </c>
    </row>
    <row r="650" spans="1:16" hidden="1" x14ac:dyDescent="0.2">
      <c r="A650" s="73">
        <v>67260</v>
      </c>
      <c r="B650" t="s">
        <v>423</v>
      </c>
      <c r="C650" s="73" t="s">
        <v>454</v>
      </c>
      <c r="D650" t="s">
        <v>455</v>
      </c>
      <c r="E650" s="74">
        <v>46045</v>
      </c>
      <c r="F650" t="s">
        <v>357</v>
      </c>
      <c r="G650" t="s">
        <v>358</v>
      </c>
      <c r="H650" s="75">
        <f t="shared" si="10"/>
        <v>138.72549663844038</v>
      </c>
      <c r="I650" s="74">
        <v>46045</v>
      </c>
      <c r="J650">
        <v>4</v>
      </c>
      <c r="K650" t="s">
        <v>516</v>
      </c>
      <c r="L650" t="s">
        <v>359</v>
      </c>
      <c r="M650" t="s">
        <v>356</v>
      </c>
      <c r="N650" s="73">
        <v>67260</v>
      </c>
      <c r="O650" s="73">
        <v>67260</v>
      </c>
      <c r="P650">
        <v>34.681374159610094</v>
      </c>
    </row>
    <row r="651" spans="1:16" hidden="1" x14ac:dyDescent="0.2">
      <c r="A651" s="73">
        <v>67260</v>
      </c>
      <c r="B651" t="s">
        <v>423</v>
      </c>
      <c r="C651" s="73" t="s">
        <v>454</v>
      </c>
      <c r="D651" t="s">
        <v>455</v>
      </c>
      <c r="E651" s="74">
        <v>46045</v>
      </c>
      <c r="F651" t="s">
        <v>360</v>
      </c>
      <c r="G651" t="s">
        <v>361</v>
      </c>
      <c r="H651" s="75">
        <f t="shared" si="10"/>
        <v>34.681374159610094</v>
      </c>
      <c r="I651" s="74">
        <v>46045</v>
      </c>
      <c r="J651">
        <v>1</v>
      </c>
      <c r="K651" t="s">
        <v>516</v>
      </c>
      <c r="L651" t="s">
        <v>262</v>
      </c>
      <c r="M651" t="s">
        <v>356</v>
      </c>
      <c r="N651" s="73">
        <v>67260</v>
      </c>
      <c r="O651" s="73">
        <v>67260</v>
      </c>
      <c r="P651">
        <v>34.681374159610094</v>
      </c>
    </row>
    <row r="652" spans="1:16" hidden="1" x14ac:dyDescent="0.2">
      <c r="A652" s="73">
        <v>67260</v>
      </c>
      <c r="B652" t="s">
        <v>423</v>
      </c>
      <c r="C652" s="73" t="s">
        <v>454</v>
      </c>
      <c r="D652" t="s">
        <v>455</v>
      </c>
      <c r="E652" s="74">
        <v>46045</v>
      </c>
      <c r="F652" t="s">
        <v>404</v>
      </c>
      <c r="G652" t="s">
        <v>405</v>
      </c>
      <c r="H652" s="75">
        <f t="shared" si="10"/>
        <v>242.76961911727065</v>
      </c>
      <c r="I652" s="74">
        <v>46045</v>
      </c>
      <c r="J652">
        <v>7</v>
      </c>
      <c r="K652" t="s">
        <v>516</v>
      </c>
      <c r="L652" t="s">
        <v>262</v>
      </c>
      <c r="M652" t="s">
        <v>356</v>
      </c>
      <c r="N652" s="73">
        <v>67260</v>
      </c>
      <c r="O652" s="73">
        <v>67260</v>
      </c>
      <c r="P652">
        <v>34.681374159610094</v>
      </c>
    </row>
    <row r="653" spans="1:16" hidden="1" x14ac:dyDescent="0.2">
      <c r="A653" s="73">
        <v>67260</v>
      </c>
      <c r="B653" t="s">
        <v>423</v>
      </c>
      <c r="C653" s="73" t="s">
        <v>424</v>
      </c>
      <c r="D653" t="s">
        <v>506</v>
      </c>
      <c r="E653" s="74">
        <v>45965</v>
      </c>
      <c r="F653" t="s">
        <v>414</v>
      </c>
      <c r="G653" t="s">
        <v>415</v>
      </c>
      <c r="H653" s="75">
        <f t="shared" si="10"/>
        <v>312.13236743649082</v>
      </c>
      <c r="I653" s="74">
        <v>45965</v>
      </c>
      <c r="J653">
        <v>9</v>
      </c>
      <c r="K653" t="s">
        <v>514</v>
      </c>
      <c r="L653" t="s">
        <v>262</v>
      </c>
      <c r="M653" t="s">
        <v>356</v>
      </c>
      <c r="N653" s="73">
        <v>67260</v>
      </c>
      <c r="O653" s="73">
        <v>67260</v>
      </c>
      <c r="P653">
        <v>34.681374159610094</v>
      </c>
    </row>
    <row r="654" spans="1:16" hidden="1" x14ac:dyDescent="0.2">
      <c r="A654" s="73">
        <v>67260</v>
      </c>
      <c r="B654" t="s">
        <v>423</v>
      </c>
      <c r="C654" s="73" t="s">
        <v>454</v>
      </c>
      <c r="D654" t="s">
        <v>455</v>
      </c>
      <c r="E654" s="74">
        <v>46045</v>
      </c>
      <c r="F654" t="s">
        <v>387</v>
      </c>
      <c r="G654" t="s">
        <v>388</v>
      </c>
      <c r="H654" s="75">
        <f t="shared" si="10"/>
        <v>208.08824495766055</v>
      </c>
      <c r="I654" s="74">
        <v>46045</v>
      </c>
      <c r="J654">
        <v>6</v>
      </c>
      <c r="K654" t="s">
        <v>516</v>
      </c>
      <c r="L654" t="s">
        <v>367</v>
      </c>
      <c r="M654" t="s">
        <v>356</v>
      </c>
      <c r="N654" s="73">
        <v>67260</v>
      </c>
      <c r="O654" s="73">
        <v>67260</v>
      </c>
      <c r="P654">
        <v>34.681374159610094</v>
      </c>
    </row>
    <row r="655" spans="1:16" hidden="1" x14ac:dyDescent="0.2">
      <c r="A655" s="73">
        <v>67260</v>
      </c>
      <c r="B655" t="s">
        <v>423</v>
      </c>
      <c r="C655" s="73" t="s">
        <v>454</v>
      </c>
      <c r="D655" t="s">
        <v>455</v>
      </c>
      <c r="E655" s="74">
        <v>46046</v>
      </c>
      <c r="F655" t="s">
        <v>404</v>
      </c>
      <c r="G655" t="s">
        <v>405</v>
      </c>
      <c r="H655" s="75">
        <f t="shared" si="10"/>
        <v>86.703435399025238</v>
      </c>
      <c r="I655" s="74">
        <v>46046</v>
      </c>
      <c r="J655">
        <v>2.5</v>
      </c>
      <c r="K655" t="s">
        <v>516</v>
      </c>
      <c r="L655" t="s">
        <v>262</v>
      </c>
      <c r="M655" t="s">
        <v>356</v>
      </c>
      <c r="N655" s="73">
        <v>67260</v>
      </c>
      <c r="O655" s="73">
        <v>67260</v>
      </c>
      <c r="P655">
        <v>34.681374159610094</v>
      </c>
    </row>
    <row r="656" spans="1:16" hidden="1" x14ac:dyDescent="0.2">
      <c r="A656" s="73">
        <v>67260</v>
      </c>
      <c r="B656" t="s">
        <v>423</v>
      </c>
      <c r="C656" s="73" t="s">
        <v>454</v>
      </c>
      <c r="D656" t="s">
        <v>455</v>
      </c>
      <c r="E656" s="74">
        <v>46047</v>
      </c>
      <c r="F656" t="s">
        <v>362</v>
      </c>
      <c r="G656" t="s">
        <v>363</v>
      </c>
      <c r="H656" s="75">
        <f t="shared" si="10"/>
        <v>138.72549663844038</v>
      </c>
      <c r="I656" s="74">
        <v>46047</v>
      </c>
      <c r="J656">
        <v>4</v>
      </c>
      <c r="K656" t="s">
        <v>516</v>
      </c>
      <c r="L656" t="s">
        <v>355</v>
      </c>
      <c r="M656" t="s">
        <v>356</v>
      </c>
      <c r="N656" s="73">
        <v>67260</v>
      </c>
      <c r="O656" s="73">
        <v>67260</v>
      </c>
      <c r="P656">
        <v>34.681374159610094</v>
      </c>
    </row>
    <row r="657" spans="1:16" hidden="1" x14ac:dyDescent="0.2">
      <c r="A657" s="73">
        <v>67260</v>
      </c>
      <c r="B657" t="s">
        <v>423</v>
      </c>
      <c r="C657" s="73" t="s">
        <v>454</v>
      </c>
      <c r="D657" t="s">
        <v>455</v>
      </c>
      <c r="E657" s="74">
        <v>46049</v>
      </c>
      <c r="F657" t="s">
        <v>387</v>
      </c>
      <c r="G657" t="s">
        <v>388</v>
      </c>
      <c r="H657" s="75">
        <f t="shared" si="10"/>
        <v>104.04412247883027</v>
      </c>
      <c r="I657" s="74">
        <v>46049</v>
      </c>
      <c r="J657">
        <v>3</v>
      </c>
      <c r="K657" t="s">
        <v>516</v>
      </c>
      <c r="L657" t="s">
        <v>367</v>
      </c>
      <c r="M657" t="s">
        <v>356</v>
      </c>
      <c r="N657" s="73">
        <v>67260</v>
      </c>
      <c r="O657" s="73">
        <v>67260</v>
      </c>
      <c r="P657">
        <v>34.681374159610094</v>
      </c>
    </row>
    <row r="658" spans="1:16" hidden="1" x14ac:dyDescent="0.2">
      <c r="A658" s="73">
        <v>67260</v>
      </c>
      <c r="B658" t="s">
        <v>423</v>
      </c>
      <c r="C658" s="73" t="s">
        <v>454</v>
      </c>
      <c r="D658" t="s">
        <v>455</v>
      </c>
      <c r="E658" s="74">
        <v>46049</v>
      </c>
      <c r="F658" t="s">
        <v>362</v>
      </c>
      <c r="G658" t="s">
        <v>363</v>
      </c>
      <c r="H658" s="75">
        <f t="shared" si="10"/>
        <v>242.76961911727065</v>
      </c>
      <c r="I658" s="74">
        <v>46049</v>
      </c>
      <c r="J658">
        <v>7</v>
      </c>
      <c r="K658" t="s">
        <v>516</v>
      </c>
      <c r="L658" t="s">
        <v>355</v>
      </c>
      <c r="M658" t="s">
        <v>356</v>
      </c>
      <c r="N658" s="73">
        <v>67260</v>
      </c>
      <c r="O658" s="73">
        <v>67260</v>
      </c>
      <c r="P658">
        <v>34.681374159610094</v>
      </c>
    </row>
    <row r="659" spans="1:16" hidden="1" x14ac:dyDescent="0.2">
      <c r="A659" s="73">
        <v>67260</v>
      </c>
      <c r="B659" t="s">
        <v>423</v>
      </c>
      <c r="C659" s="73" t="s">
        <v>454</v>
      </c>
      <c r="D659" t="s">
        <v>455</v>
      </c>
      <c r="E659" s="74">
        <v>46049</v>
      </c>
      <c r="F659" t="s">
        <v>404</v>
      </c>
      <c r="G659" t="s">
        <v>405</v>
      </c>
      <c r="H659" s="75">
        <f t="shared" si="10"/>
        <v>242.76961911727065</v>
      </c>
      <c r="I659" s="74">
        <v>46049</v>
      </c>
      <c r="J659">
        <v>7</v>
      </c>
      <c r="K659" t="s">
        <v>516</v>
      </c>
      <c r="L659" t="s">
        <v>262</v>
      </c>
      <c r="M659" t="s">
        <v>356</v>
      </c>
      <c r="N659" s="73">
        <v>67260</v>
      </c>
      <c r="O659" s="73">
        <v>67260</v>
      </c>
      <c r="P659">
        <v>34.681374159610094</v>
      </c>
    </row>
    <row r="660" spans="1:16" hidden="1" x14ac:dyDescent="0.2">
      <c r="A660" s="73">
        <v>67260</v>
      </c>
      <c r="B660" t="s">
        <v>423</v>
      </c>
      <c r="C660" s="73" t="s">
        <v>454</v>
      </c>
      <c r="D660" t="s">
        <v>455</v>
      </c>
      <c r="E660" s="74">
        <v>46050</v>
      </c>
      <c r="F660" t="s">
        <v>370</v>
      </c>
      <c r="G660" t="s">
        <v>371</v>
      </c>
      <c r="H660" s="75">
        <f t="shared" si="10"/>
        <v>138.72549663844038</v>
      </c>
      <c r="I660" s="74">
        <v>46050</v>
      </c>
      <c r="J660">
        <v>4</v>
      </c>
      <c r="K660" t="s">
        <v>516</v>
      </c>
      <c r="L660" t="s">
        <v>262</v>
      </c>
      <c r="M660" t="s">
        <v>356</v>
      </c>
      <c r="N660" s="73">
        <v>67260</v>
      </c>
      <c r="O660" s="73">
        <v>67260</v>
      </c>
      <c r="P660">
        <v>34.681374159610094</v>
      </c>
    </row>
    <row r="661" spans="1:16" hidden="1" x14ac:dyDescent="0.2">
      <c r="A661" s="73">
        <v>67260</v>
      </c>
      <c r="B661" t="s">
        <v>423</v>
      </c>
      <c r="C661" s="73" t="s">
        <v>424</v>
      </c>
      <c r="D661" t="s">
        <v>506</v>
      </c>
      <c r="E661" s="74">
        <v>45966</v>
      </c>
      <c r="F661" t="s">
        <v>414</v>
      </c>
      <c r="G661" t="s">
        <v>415</v>
      </c>
      <c r="H661" s="75">
        <f t="shared" si="10"/>
        <v>242.76961911727065</v>
      </c>
      <c r="I661" s="74">
        <v>45966</v>
      </c>
      <c r="J661">
        <v>7</v>
      </c>
      <c r="K661" t="s">
        <v>514</v>
      </c>
      <c r="L661" t="s">
        <v>262</v>
      </c>
      <c r="M661" t="s">
        <v>356</v>
      </c>
      <c r="N661" s="73">
        <v>67260</v>
      </c>
      <c r="O661" s="73">
        <v>67260</v>
      </c>
      <c r="P661">
        <v>34.681374159610094</v>
      </c>
    </row>
    <row r="662" spans="1:16" hidden="1" x14ac:dyDescent="0.2">
      <c r="A662" s="73">
        <v>67260</v>
      </c>
      <c r="B662" t="s">
        <v>423</v>
      </c>
      <c r="C662" s="73" t="s">
        <v>454</v>
      </c>
      <c r="D662" t="s">
        <v>455</v>
      </c>
      <c r="E662" s="74">
        <v>46050</v>
      </c>
      <c r="F662" t="s">
        <v>362</v>
      </c>
      <c r="G662" t="s">
        <v>363</v>
      </c>
      <c r="H662" s="75">
        <f t="shared" si="10"/>
        <v>242.76961911727065</v>
      </c>
      <c r="I662" s="74">
        <v>46050</v>
      </c>
      <c r="J662">
        <v>7</v>
      </c>
      <c r="K662" t="s">
        <v>516</v>
      </c>
      <c r="L662" t="s">
        <v>355</v>
      </c>
      <c r="M662" t="s">
        <v>356</v>
      </c>
      <c r="N662" s="73">
        <v>67260</v>
      </c>
      <c r="O662" s="73">
        <v>67260</v>
      </c>
      <c r="P662">
        <v>34.681374159610094</v>
      </c>
    </row>
    <row r="663" spans="1:16" hidden="1" x14ac:dyDescent="0.2">
      <c r="A663" s="73">
        <v>67260</v>
      </c>
      <c r="B663" t="s">
        <v>423</v>
      </c>
      <c r="C663" s="73" t="s">
        <v>454</v>
      </c>
      <c r="D663" t="s">
        <v>455</v>
      </c>
      <c r="E663" s="74">
        <v>46050</v>
      </c>
      <c r="F663" t="s">
        <v>404</v>
      </c>
      <c r="G663" t="s">
        <v>405</v>
      </c>
      <c r="H663" s="75">
        <f t="shared" si="10"/>
        <v>242.76961911727065</v>
      </c>
      <c r="I663" s="74">
        <v>46050</v>
      </c>
      <c r="J663">
        <v>7</v>
      </c>
      <c r="K663" t="s">
        <v>516</v>
      </c>
      <c r="L663" t="s">
        <v>262</v>
      </c>
      <c r="M663" t="s">
        <v>356</v>
      </c>
      <c r="N663" s="73">
        <v>67260</v>
      </c>
      <c r="O663" s="73">
        <v>67260</v>
      </c>
      <c r="P663">
        <v>34.681374159610094</v>
      </c>
    </row>
    <row r="664" spans="1:16" hidden="1" x14ac:dyDescent="0.2">
      <c r="A664" s="73">
        <v>67260</v>
      </c>
      <c r="B664" t="s">
        <v>423</v>
      </c>
      <c r="C664" s="73" t="s">
        <v>454</v>
      </c>
      <c r="D664" t="s">
        <v>455</v>
      </c>
      <c r="E664" s="74">
        <v>46050</v>
      </c>
      <c r="F664" t="s">
        <v>357</v>
      </c>
      <c r="G664" t="s">
        <v>358</v>
      </c>
      <c r="H664" s="75">
        <f t="shared" si="10"/>
        <v>208.08824495766055</v>
      </c>
      <c r="I664" s="74">
        <v>46050</v>
      </c>
      <c r="J664">
        <v>6</v>
      </c>
      <c r="K664" t="s">
        <v>516</v>
      </c>
      <c r="L664" t="s">
        <v>359</v>
      </c>
      <c r="M664" t="s">
        <v>356</v>
      </c>
      <c r="N664" s="73">
        <v>67260</v>
      </c>
      <c r="O664" s="73">
        <v>67260</v>
      </c>
      <c r="P664">
        <v>34.681374159610094</v>
      </c>
    </row>
    <row r="665" spans="1:16" hidden="1" x14ac:dyDescent="0.2">
      <c r="A665" s="73">
        <v>67260</v>
      </c>
      <c r="B665" t="s">
        <v>423</v>
      </c>
      <c r="C665" s="73" t="s">
        <v>454</v>
      </c>
      <c r="D665" t="s">
        <v>455</v>
      </c>
      <c r="E665" s="74">
        <v>46051</v>
      </c>
      <c r="F665" t="s">
        <v>370</v>
      </c>
      <c r="G665" t="s">
        <v>371</v>
      </c>
      <c r="H665" s="75">
        <f t="shared" si="10"/>
        <v>277.45099327688075</v>
      </c>
      <c r="I665" s="74">
        <v>46051</v>
      </c>
      <c r="J665">
        <v>8</v>
      </c>
      <c r="K665" t="s">
        <v>516</v>
      </c>
      <c r="L665" t="s">
        <v>262</v>
      </c>
      <c r="M665" t="s">
        <v>356</v>
      </c>
      <c r="N665" s="73">
        <v>67260</v>
      </c>
      <c r="O665" s="73">
        <v>67260</v>
      </c>
      <c r="P665">
        <v>34.681374159610094</v>
      </c>
    </row>
    <row r="666" spans="1:16" hidden="1" x14ac:dyDescent="0.2">
      <c r="A666" s="73">
        <v>67260</v>
      </c>
      <c r="B666" t="s">
        <v>423</v>
      </c>
      <c r="C666" s="73" t="s">
        <v>424</v>
      </c>
      <c r="D666" t="s">
        <v>506</v>
      </c>
      <c r="E666" s="74">
        <v>45966</v>
      </c>
      <c r="F666" t="s">
        <v>414</v>
      </c>
      <c r="G666" t="s">
        <v>415</v>
      </c>
      <c r="H666" s="75">
        <f t="shared" si="10"/>
        <v>-242.76961911727065</v>
      </c>
      <c r="I666" s="74">
        <v>45966</v>
      </c>
      <c r="J666">
        <v>-7</v>
      </c>
      <c r="K666" t="s">
        <v>514</v>
      </c>
      <c r="L666" t="s">
        <v>262</v>
      </c>
      <c r="M666" t="s">
        <v>356</v>
      </c>
      <c r="N666" s="73">
        <v>67260</v>
      </c>
      <c r="O666" s="73">
        <v>67260</v>
      </c>
      <c r="P666">
        <v>34.681374159610094</v>
      </c>
    </row>
    <row r="667" spans="1:16" hidden="1" x14ac:dyDescent="0.2">
      <c r="A667" s="73">
        <v>67260</v>
      </c>
      <c r="B667" t="s">
        <v>423</v>
      </c>
      <c r="C667" s="73" t="s">
        <v>454</v>
      </c>
      <c r="D667" t="s">
        <v>455</v>
      </c>
      <c r="E667" s="74">
        <v>46051</v>
      </c>
      <c r="F667" t="s">
        <v>362</v>
      </c>
      <c r="G667" t="s">
        <v>363</v>
      </c>
      <c r="H667" s="75">
        <f t="shared" si="10"/>
        <v>242.76961911727065</v>
      </c>
      <c r="I667" s="74">
        <v>46051</v>
      </c>
      <c r="J667">
        <v>7</v>
      </c>
      <c r="K667" t="s">
        <v>516</v>
      </c>
      <c r="L667" t="s">
        <v>355</v>
      </c>
      <c r="M667" t="s">
        <v>356</v>
      </c>
      <c r="N667" s="73">
        <v>67260</v>
      </c>
      <c r="O667" s="73">
        <v>67260</v>
      </c>
      <c r="P667">
        <v>34.681374159610094</v>
      </c>
    </row>
    <row r="668" spans="1:16" hidden="1" x14ac:dyDescent="0.2">
      <c r="A668" s="73">
        <v>67260</v>
      </c>
      <c r="B668" t="s">
        <v>423</v>
      </c>
      <c r="C668" s="73" t="s">
        <v>454</v>
      </c>
      <c r="D668" t="s">
        <v>455</v>
      </c>
      <c r="E668" s="74">
        <v>46051</v>
      </c>
      <c r="F668" t="s">
        <v>404</v>
      </c>
      <c r="G668" t="s">
        <v>405</v>
      </c>
      <c r="H668" s="75">
        <f t="shared" si="10"/>
        <v>242.76961911727065</v>
      </c>
      <c r="I668" s="74">
        <v>46051</v>
      </c>
      <c r="J668">
        <v>7</v>
      </c>
      <c r="K668" t="s">
        <v>516</v>
      </c>
      <c r="L668" t="s">
        <v>262</v>
      </c>
      <c r="M668" t="s">
        <v>356</v>
      </c>
      <c r="N668" s="73">
        <v>67260</v>
      </c>
      <c r="O668" s="73">
        <v>67260</v>
      </c>
      <c r="P668">
        <v>34.681374159610094</v>
      </c>
    </row>
    <row r="669" spans="1:16" hidden="1" x14ac:dyDescent="0.2">
      <c r="A669" s="73">
        <v>67260</v>
      </c>
      <c r="B669" t="s">
        <v>423</v>
      </c>
      <c r="C669" s="73" t="s">
        <v>454</v>
      </c>
      <c r="D669" t="s">
        <v>455</v>
      </c>
      <c r="E669" s="74">
        <v>46051</v>
      </c>
      <c r="F669" t="s">
        <v>357</v>
      </c>
      <c r="G669" t="s">
        <v>358</v>
      </c>
      <c r="H669" s="75">
        <f t="shared" si="10"/>
        <v>208.08824495766055</v>
      </c>
      <c r="I669" s="74">
        <v>46051</v>
      </c>
      <c r="J669">
        <v>6</v>
      </c>
      <c r="K669" t="s">
        <v>516</v>
      </c>
      <c r="L669" t="s">
        <v>359</v>
      </c>
      <c r="M669" t="s">
        <v>356</v>
      </c>
      <c r="N669" s="73">
        <v>67260</v>
      </c>
      <c r="O669" s="73">
        <v>67260</v>
      </c>
      <c r="P669">
        <v>34.681374159610094</v>
      </c>
    </row>
    <row r="670" spans="1:16" hidden="1" x14ac:dyDescent="0.2">
      <c r="A670" s="73">
        <v>67260</v>
      </c>
      <c r="B670" t="s">
        <v>423</v>
      </c>
      <c r="C670" s="73" t="s">
        <v>454</v>
      </c>
      <c r="D670" t="s">
        <v>455</v>
      </c>
      <c r="E670" s="74">
        <v>46052</v>
      </c>
      <c r="F670" t="s">
        <v>387</v>
      </c>
      <c r="G670" t="s">
        <v>388</v>
      </c>
      <c r="H670" s="75">
        <f t="shared" si="10"/>
        <v>242.76961911727065</v>
      </c>
      <c r="I670" s="74">
        <v>46052</v>
      </c>
      <c r="J670">
        <v>7</v>
      </c>
      <c r="K670" t="s">
        <v>516</v>
      </c>
      <c r="L670" t="s">
        <v>367</v>
      </c>
      <c r="M670" t="s">
        <v>356</v>
      </c>
      <c r="N670" s="73">
        <v>67260</v>
      </c>
      <c r="O670" s="73">
        <v>67260</v>
      </c>
      <c r="P670">
        <v>34.681374159610094</v>
      </c>
    </row>
    <row r="671" spans="1:16" hidden="1" x14ac:dyDescent="0.2">
      <c r="A671" s="73">
        <v>67260</v>
      </c>
      <c r="B671" t="s">
        <v>423</v>
      </c>
      <c r="C671" s="73" t="s">
        <v>454</v>
      </c>
      <c r="D671" t="s">
        <v>455</v>
      </c>
      <c r="E671" s="74">
        <v>46052</v>
      </c>
      <c r="F671" t="s">
        <v>370</v>
      </c>
      <c r="G671" t="s">
        <v>371</v>
      </c>
      <c r="H671" s="75">
        <f t="shared" si="10"/>
        <v>277.45099327688075</v>
      </c>
      <c r="I671" s="74">
        <v>46052</v>
      </c>
      <c r="J671">
        <v>8</v>
      </c>
      <c r="K671" t="s">
        <v>516</v>
      </c>
      <c r="L671" t="s">
        <v>262</v>
      </c>
      <c r="M671" t="s">
        <v>356</v>
      </c>
      <c r="N671" s="73">
        <v>67260</v>
      </c>
      <c r="O671" s="73">
        <v>67260</v>
      </c>
      <c r="P671">
        <v>34.681374159610094</v>
      </c>
    </row>
    <row r="672" spans="1:16" hidden="1" x14ac:dyDescent="0.2">
      <c r="A672" s="73">
        <v>67260</v>
      </c>
      <c r="B672" t="s">
        <v>423</v>
      </c>
      <c r="C672" s="73" t="s">
        <v>454</v>
      </c>
      <c r="D672" t="s">
        <v>455</v>
      </c>
      <c r="E672" s="74">
        <v>46052</v>
      </c>
      <c r="F672" t="s">
        <v>362</v>
      </c>
      <c r="G672" t="s">
        <v>363</v>
      </c>
      <c r="H672" s="75">
        <f t="shared" si="10"/>
        <v>242.76961911727065</v>
      </c>
      <c r="I672" s="74">
        <v>46052</v>
      </c>
      <c r="J672">
        <v>7</v>
      </c>
      <c r="K672" t="s">
        <v>516</v>
      </c>
      <c r="L672" t="s">
        <v>355</v>
      </c>
      <c r="M672" t="s">
        <v>356</v>
      </c>
      <c r="N672" s="73">
        <v>67260</v>
      </c>
      <c r="O672" s="73">
        <v>67260</v>
      </c>
      <c r="P672">
        <v>34.681374159610094</v>
      </c>
    </row>
    <row r="673" spans="1:16" hidden="1" x14ac:dyDescent="0.2">
      <c r="A673" s="73">
        <v>67260</v>
      </c>
      <c r="B673" t="s">
        <v>423</v>
      </c>
      <c r="C673" s="73" t="s">
        <v>454</v>
      </c>
      <c r="D673" t="s">
        <v>455</v>
      </c>
      <c r="E673" s="74">
        <v>46052</v>
      </c>
      <c r="F673" t="s">
        <v>404</v>
      </c>
      <c r="G673" t="s">
        <v>405</v>
      </c>
      <c r="H673" s="75">
        <f t="shared" si="10"/>
        <v>242.76961911727065</v>
      </c>
      <c r="I673" s="74">
        <v>46052</v>
      </c>
      <c r="J673">
        <v>7</v>
      </c>
      <c r="K673" t="s">
        <v>516</v>
      </c>
      <c r="L673" t="s">
        <v>262</v>
      </c>
      <c r="M673" t="s">
        <v>356</v>
      </c>
      <c r="N673" s="73">
        <v>67260</v>
      </c>
      <c r="O673" s="73">
        <v>67260</v>
      </c>
      <c r="P673">
        <v>34.681374159610094</v>
      </c>
    </row>
    <row r="674" spans="1:16" hidden="1" x14ac:dyDescent="0.2">
      <c r="A674" s="73">
        <v>67260</v>
      </c>
      <c r="B674" t="s">
        <v>423</v>
      </c>
      <c r="C674" s="73" t="s">
        <v>454</v>
      </c>
      <c r="D674" t="s">
        <v>455</v>
      </c>
      <c r="E674" s="74">
        <v>46052</v>
      </c>
      <c r="F674" t="s">
        <v>406</v>
      </c>
      <c r="G674" t="s">
        <v>407</v>
      </c>
      <c r="H674" s="75">
        <f t="shared" si="10"/>
        <v>277.45099327688075</v>
      </c>
      <c r="I674" s="74">
        <v>46052</v>
      </c>
      <c r="J674">
        <v>8</v>
      </c>
      <c r="K674" t="s">
        <v>516</v>
      </c>
      <c r="L674" t="s">
        <v>355</v>
      </c>
      <c r="M674" t="s">
        <v>356</v>
      </c>
      <c r="N674" s="73">
        <v>67260</v>
      </c>
      <c r="O674" s="73">
        <v>67260</v>
      </c>
      <c r="P674">
        <v>34.681374159610094</v>
      </c>
    </row>
    <row r="675" spans="1:16" hidden="1" x14ac:dyDescent="0.2">
      <c r="A675" s="73">
        <v>67260</v>
      </c>
      <c r="B675" t="s">
        <v>423</v>
      </c>
      <c r="C675" s="73" t="s">
        <v>454</v>
      </c>
      <c r="D675" t="s">
        <v>455</v>
      </c>
      <c r="E675" s="74">
        <v>46052</v>
      </c>
      <c r="F675" t="s">
        <v>357</v>
      </c>
      <c r="G675" t="s">
        <v>358</v>
      </c>
      <c r="H675" s="75">
        <f t="shared" si="10"/>
        <v>208.08824495766055</v>
      </c>
      <c r="I675" s="74">
        <v>46052</v>
      </c>
      <c r="J675">
        <v>6</v>
      </c>
      <c r="K675" t="s">
        <v>516</v>
      </c>
      <c r="L675" t="s">
        <v>359</v>
      </c>
      <c r="M675" t="s">
        <v>356</v>
      </c>
      <c r="N675" s="73">
        <v>67260</v>
      </c>
      <c r="O675" s="73">
        <v>67260</v>
      </c>
      <c r="P675">
        <v>34.681374159610094</v>
      </c>
    </row>
    <row r="676" spans="1:16" hidden="1" x14ac:dyDescent="0.2">
      <c r="A676" s="73">
        <v>67260</v>
      </c>
      <c r="B676" t="s">
        <v>423</v>
      </c>
      <c r="C676" s="73" t="s">
        <v>454</v>
      </c>
      <c r="D676" t="s">
        <v>455</v>
      </c>
      <c r="E676" s="74">
        <v>46055</v>
      </c>
      <c r="F676" t="s">
        <v>362</v>
      </c>
      <c r="G676" t="s">
        <v>363</v>
      </c>
      <c r="H676" s="75">
        <f t="shared" si="10"/>
        <v>242.76961911727065</v>
      </c>
      <c r="I676" s="74">
        <v>46055</v>
      </c>
      <c r="J676">
        <v>7</v>
      </c>
      <c r="K676" t="s">
        <v>508</v>
      </c>
      <c r="L676" t="s">
        <v>355</v>
      </c>
      <c r="M676" t="s">
        <v>356</v>
      </c>
      <c r="N676" s="73">
        <v>67260</v>
      </c>
      <c r="O676" s="73">
        <v>67260</v>
      </c>
      <c r="P676">
        <v>34.681374159610094</v>
      </c>
    </row>
    <row r="677" spans="1:16" hidden="1" x14ac:dyDescent="0.2">
      <c r="A677" s="73">
        <v>67260</v>
      </c>
      <c r="B677" t="s">
        <v>423</v>
      </c>
      <c r="C677" s="73" t="s">
        <v>454</v>
      </c>
      <c r="D677" t="s">
        <v>455</v>
      </c>
      <c r="E677" s="74">
        <v>46055</v>
      </c>
      <c r="F677" t="s">
        <v>404</v>
      </c>
      <c r="G677" t="s">
        <v>405</v>
      </c>
      <c r="H677" s="75">
        <f t="shared" si="10"/>
        <v>242.76961911727065</v>
      </c>
      <c r="I677" s="74">
        <v>46055</v>
      </c>
      <c r="J677">
        <v>7</v>
      </c>
      <c r="K677" t="s">
        <v>508</v>
      </c>
      <c r="L677" t="s">
        <v>262</v>
      </c>
      <c r="M677" t="s">
        <v>356</v>
      </c>
      <c r="N677" s="73">
        <v>67260</v>
      </c>
      <c r="O677" s="73">
        <v>67260</v>
      </c>
      <c r="P677">
        <v>34.681374159610094</v>
      </c>
    </row>
    <row r="678" spans="1:16" hidden="1" x14ac:dyDescent="0.2">
      <c r="A678" s="73">
        <v>67260</v>
      </c>
      <c r="B678" t="s">
        <v>423</v>
      </c>
      <c r="C678" s="73" t="s">
        <v>454</v>
      </c>
      <c r="D678" t="s">
        <v>455</v>
      </c>
      <c r="E678" s="74">
        <v>46055</v>
      </c>
      <c r="F678" t="s">
        <v>357</v>
      </c>
      <c r="G678" t="s">
        <v>358</v>
      </c>
      <c r="H678" s="75">
        <f t="shared" si="10"/>
        <v>208.08824495766055</v>
      </c>
      <c r="I678" s="74">
        <v>46055</v>
      </c>
      <c r="J678">
        <v>6</v>
      </c>
      <c r="K678" t="s">
        <v>508</v>
      </c>
      <c r="L678" t="s">
        <v>359</v>
      </c>
      <c r="M678" t="s">
        <v>356</v>
      </c>
      <c r="N678" s="73">
        <v>67260</v>
      </c>
      <c r="O678" s="73">
        <v>67260</v>
      </c>
      <c r="P678">
        <v>34.681374159610094</v>
      </c>
    </row>
    <row r="679" spans="1:16" hidden="1" x14ac:dyDescent="0.2">
      <c r="A679" s="73">
        <v>67260</v>
      </c>
      <c r="B679" t="s">
        <v>423</v>
      </c>
      <c r="C679" s="73" t="s">
        <v>454</v>
      </c>
      <c r="D679" t="s">
        <v>455</v>
      </c>
      <c r="E679" s="74">
        <v>46056</v>
      </c>
      <c r="F679" t="s">
        <v>362</v>
      </c>
      <c r="G679" t="s">
        <v>363</v>
      </c>
      <c r="H679" s="75">
        <f t="shared" si="10"/>
        <v>242.76961911727065</v>
      </c>
      <c r="I679" s="74">
        <v>46056</v>
      </c>
      <c r="J679">
        <v>7</v>
      </c>
      <c r="K679" t="s">
        <v>508</v>
      </c>
      <c r="L679" t="s">
        <v>355</v>
      </c>
      <c r="M679" t="s">
        <v>356</v>
      </c>
      <c r="N679" s="73">
        <v>67260</v>
      </c>
      <c r="O679" s="73">
        <v>67260</v>
      </c>
      <c r="P679">
        <v>34.681374159610094</v>
      </c>
    </row>
    <row r="680" spans="1:16" hidden="1" x14ac:dyDescent="0.2">
      <c r="A680" s="73">
        <v>67260</v>
      </c>
      <c r="B680" t="s">
        <v>423</v>
      </c>
      <c r="C680" s="73" t="s">
        <v>454</v>
      </c>
      <c r="D680" t="s">
        <v>455</v>
      </c>
      <c r="E680" s="74">
        <v>46056</v>
      </c>
      <c r="F680" t="s">
        <v>387</v>
      </c>
      <c r="G680" t="s">
        <v>388</v>
      </c>
      <c r="H680" s="75">
        <f t="shared" si="10"/>
        <v>34.681374159610094</v>
      </c>
      <c r="I680" s="74">
        <v>46056</v>
      </c>
      <c r="J680">
        <v>1</v>
      </c>
      <c r="K680" t="s">
        <v>508</v>
      </c>
      <c r="L680" t="s">
        <v>367</v>
      </c>
      <c r="M680" t="s">
        <v>356</v>
      </c>
      <c r="N680" s="73">
        <v>67260</v>
      </c>
      <c r="O680" s="73">
        <v>67260</v>
      </c>
      <c r="P680">
        <v>34.681374159610094</v>
      </c>
    </row>
    <row r="681" spans="1:16" hidden="1" x14ac:dyDescent="0.2">
      <c r="A681" s="73">
        <v>67260</v>
      </c>
      <c r="B681" t="s">
        <v>423</v>
      </c>
      <c r="C681" s="73" t="s">
        <v>454</v>
      </c>
      <c r="D681" t="s">
        <v>455</v>
      </c>
      <c r="E681" s="74">
        <v>46056</v>
      </c>
      <c r="F681" t="s">
        <v>404</v>
      </c>
      <c r="G681" t="s">
        <v>405</v>
      </c>
      <c r="H681" s="75">
        <f t="shared" si="10"/>
        <v>242.76961911727065</v>
      </c>
      <c r="I681" s="74">
        <v>46056</v>
      </c>
      <c r="J681">
        <v>7</v>
      </c>
      <c r="K681" t="s">
        <v>508</v>
      </c>
      <c r="L681" t="s">
        <v>262</v>
      </c>
      <c r="M681" t="s">
        <v>356</v>
      </c>
      <c r="N681" s="73">
        <v>67260</v>
      </c>
      <c r="O681" s="73">
        <v>67260</v>
      </c>
      <c r="P681">
        <v>34.681374159610094</v>
      </c>
    </row>
    <row r="682" spans="1:16" hidden="1" x14ac:dyDescent="0.2">
      <c r="A682" s="73">
        <v>67260</v>
      </c>
      <c r="B682" t="s">
        <v>423</v>
      </c>
      <c r="C682" s="73" t="s">
        <v>454</v>
      </c>
      <c r="D682" t="s">
        <v>455</v>
      </c>
      <c r="E682" s="74">
        <v>46056</v>
      </c>
      <c r="F682" t="s">
        <v>357</v>
      </c>
      <c r="G682" t="s">
        <v>358</v>
      </c>
      <c r="H682" s="75">
        <f t="shared" si="10"/>
        <v>208.08824495766055</v>
      </c>
      <c r="I682" s="74">
        <v>46056</v>
      </c>
      <c r="J682">
        <v>6</v>
      </c>
      <c r="K682" t="s">
        <v>508</v>
      </c>
      <c r="L682" t="s">
        <v>359</v>
      </c>
      <c r="M682" t="s">
        <v>356</v>
      </c>
      <c r="N682" s="73">
        <v>67260</v>
      </c>
      <c r="O682" s="73">
        <v>67260</v>
      </c>
      <c r="P682">
        <v>34.681374159610094</v>
      </c>
    </row>
    <row r="683" spans="1:16" hidden="1" x14ac:dyDescent="0.2">
      <c r="A683" s="73">
        <v>67260</v>
      </c>
      <c r="B683" t="s">
        <v>423</v>
      </c>
      <c r="C683" s="73" t="s">
        <v>454</v>
      </c>
      <c r="D683" t="s">
        <v>455</v>
      </c>
      <c r="E683" s="74">
        <v>46057</v>
      </c>
      <c r="F683" t="s">
        <v>362</v>
      </c>
      <c r="G683" t="s">
        <v>363</v>
      </c>
      <c r="H683" s="75">
        <f t="shared" si="10"/>
        <v>242.76961911727065</v>
      </c>
      <c r="I683" s="74">
        <v>46057</v>
      </c>
      <c r="J683">
        <v>7</v>
      </c>
      <c r="K683" t="s">
        <v>508</v>
      </c>
      <c r="L683" t="s">
        <v>355</v>
      </c>
      <c r="M683" t="s">
        <v>356</v>
      </c>
      <c r="N683" s="73">
        <v>67260</v>
      </c>
      <c r="O683" s="73">
        <v>67260</v>
      </c>
      <c r="P683">
        <v>34.681374159610094</v>
      </c>
    </row>
    <row r="684" spans="1:16" hidden="1" x14ac:dyDescent="0.2">
      <c r="A684" s="73">
        <v>67260</v>
      </c>
      <c r="B684" t="s">
        <v>423</v>
      </c>
      <c r="C684" s="73" t="s">
        <v>454</v>
      </c>
      <c r="D684" t="s">
        <v>455</v>
      </c>
      <c r="E684" s="74">
        <v>46057</v>
      </c>
      <c r="F684" t="s">
        <v>387</v>
      </c>
      <c r="G684" t="s">
        <v>388</v>
      </c>
      <c r="H684" s="75">
        <f t="shared" si="10"/>
        <v>242.76961911727065</v>
      </c>
      <c r="I684" s="74">
        <v>46057</v>
      </c>
      <c r="J684">
        <v>7</v>
      </c>
      <c r="K684" t="s">
        <v>508</v>
      </c>
      <c r="L684" t="s">
        <v>367</v>
      </c>
      <c r="M684" t="s">
        <v>356</v>
      </c>
      <c r="N684" s="73">
        <v>67260</v>
      </c>
      <c r="O684" s="73">
        <v>67260</v>
      </c>
      <c r="P684">
        <v>34.681374159610094</v>
      </c>
    </row>
    <row r="685" spans="1:16" hidden="1" x14ac:dyDescent="0.2">
      <c r="A685" s="73">
        <v>67260</v>
      </c>
      <c r="B685" t="s">
        <v>423</v>
      </c>
      <c r="C685" s="73" t="s">
        <v>454</v>
      </c>
      <c r="D685" t="s">
        <v>455</v>
      </c>
      <c r="E685" s="74">
        <v>46057</v>
      </c>
      <c r="F685" t="s">
        <v>404</v>
      </c>
      <c r="G685" t="s">
        <v>405</v>
      </c>
      <c r="H685" s="75">
        <f t="shared" si="10"/>
        <v>242.76961911727065</v>
      </c>
      <c r="I685" s="74">
        <v>46057</v>
      </c>
      <c r="J685">
        <v>7</v>
      </c>
      <c r="K685" t="s">
        <v>508</v>
      </c>
      <c r="L685" t="s">
        <v>262</v>
      </c>
      <c r="M685" t="s">
        <v>356</v>
      </c>
      <c r="N685" s="73">
        <v>67260</v>
      </c>
      <c r="O685" s="73">
        <v>67260</v>
      </c>
      <c r="P685">
        <v>34.681374159610094</v>
      </c>
    </row>
    <row r="686" spans="1:16" hidden="1" x14ac:dyDescent="0.2">
      <c r="A686" s="73">
        <v>67260</v>
      </c>
      <c r="B686" t="s">
        <v>423</v>
      </c>
      <c r="C686" s="73" t="s">
        <v>454</v>
      </c>
      <c r="D686" t="s">
        <v>455</v>
      </c>
      <c r="E686" s="74">
        <v>46057</v>
      </c>
      <c r="F686" t="s">
        <v>357</v>
      </c>
      <c r="G686" t="s">
        <v>358</v>
      </c>
      <c r="H686" s="75">
        <f t="shared" si="10"/>
        <v>208.08824495766055</v>
      </c>
      <c r="I686" s="74">
        <v>46057</v>
      </c>
      <c r="J686">
        <v>6</v>
      </c>
      <c r="K686" t="s">
        <v>508</v>
      </c>
      <c r="L686" t="s">
        <v>359</v>
      </c>
      <c r="M686" t="s">
        <v>356</v>
      </c>
      <c r="N686" s="73">
        <v>67260</v>
      </c>
      <c r="O686" s="73">
        <v>67260</v>
      </c>
      <c r="P686">
        <v>34.681374159610094</v>
      </c>
    </row>
    <row r="687" spans="1:16" hidden="1" x14ac:dyDescent="0.2">
      <c r="A687" s="73">
        <v>67260</v>
      </c>
      <c r="B687" t="s">
        <v>423</v>
      </c>
      <c r="C687" s="73" t="s">
        <v>454</v>
      </c>
      <c r="D687" t="s">
        <v>455</v>
      </c>
      <c r="E687" s="74">
        <v>46058</v>
      </c>
      <c r="F687" t="s">
        <v>362</v>
      </c>
      <c r="G687" t="s">
        <v>363</v>
      </c>
      <c r="H687" s="75">
        <f t="shared" si="10"/>
        <v>242.76961911727065</v>
      </c>
      <c r="I687" s="74">
        <v>46058</v>
      </c>
      <c r="J687">
        <v>7</v>
      </c>
      <c r="K687" t="s">
        <v>508</v>
      </c>
      <c r="L687" t="s">
        <v>355</v>
      </c>
      <c r="M687" t="s">
        <v>356</v>
      </c>
      <c r="N687" s="73">
        <v>67260</v>
      </c>
      <c r="O687" s="73">
        <v>67260</v>
      </c>
      <c r="P687">
        <v>34.681374159610094</v>
      </c>
    </row>
    <row r="688" spans="1:16" hidden="1" x14ac:dyDescent="0.2">
      <c r="A688" s="73">
        <v>67260</v>
      </c>
      <c r="B688" t="s">
        <v>423</v>
      </c>
      <c r="C688" s="73" t="s">
        <v>454</v>
      </c>
      <c r="D688" t="s">
        <v>455</v>
      </c>
      <c r="E688" s="74">
        <v>46058</v>
      </c>
      <c r="F688" t="s">
        <v>387</v>
      </c>
      <c r="G688" t="s">
        <v>388</v>
      </c>
      <c r="H688" s="75">
        <f t="shared" si="10"/>
        <v>208.08824495766055</v>
      </c>
      <c r="I688" s="74">
        <v>46058</v>
      </c>
      <c r="J688">
        <v>6</v>
      </c>
      <c r="K688" t="s">
        <v>508</v>
      </c>
      <c r="L688" t="s">
        <v>367</v>
      </c>
      <c r="M688" t="s">
        <v>356</v>
      </c>
      <c r="N688" s="73">
        <v>67260</v>
      </c>
      <c r="O688" s="73">
        <v>67260</v>
      </c>
      <c r="P688">
        <v>34.681374159610094</v>
      </c>
    </row>
    <row r="689" spans="1:16" hidden="1" x14ac:dyDescent="0.2">
      <c r="A689" s="73">
        <v>67260</v>
      </c>
      <c r="B689" t="s">
        <v>423</v>
      </c>
      <c r="C689" s="73" t="s">
        <v>454</v>
      </c>
      <c r="D689" t="s">
        <v>455</v>
      </c>
      <c r="E689" s="74">
        <v>46058</v>
      </c>
      <c r="F689" t="s">
        <v>404</v>
      </c>
      <c r="G689" t="s">
        <v>405</v>
      </c>
      <c r="H689" s="75">
        <f t="shared" si="10"/>
        <v>242.76961911727065</v>
      </c>
      <c r="I689" s="74">
        <v>46058</v>
      </c>
      <c r="J689">
        <v>7</v>
      </c>
      <c r="K689" t="s">
        <v>508</v>
      </c>
      <c r="L689" t="s">
        <v>262</v>
      </c>
      <c r="M689" t="s">
        <v>356</v>
      </c>
      <c r="N689" s="73">
        <v>67260</v>
      </c>
      <c r="O689" s="73">
        <v>67260</v>
      </c>
      <c r="P689">
        <v>34.681374159610094</v>
      </c>
    </row>
    <row r="690" spans="1:16" hidden="1" x14ac:dyDescent="0.2">
      <c r="A690" s="73">
        <v>67260</v>
      </c>
      <c r="B690" t="s">
        <v>423</v>
      </c>
      <c r="C690" s="73" t="s">
        <v>454</v>
      </c>
      <c r="D690" t="s">
        <v>455</v>
      </c>
      <c r="E690" s="74">
        <v>46058</v>
      </c>
      <c r="F690" t="s">
        <v>357</v>
      </c>
      <c r="G690" t="s">
        <v>358</v>
      </c>
      <c r="H690" s="75">
        <f t="shared" si="10"/>
        <v>208.08824495766055</v>
      </c>
      <c r="I690" s="74">
        <v>46058</v>
      </c>
      <c r="J690">
        <v>6</v>
      </c>
      <c r="K690" t="s">
        <v>508</v>
      </c>
      <c r="L690" t="s">
        <v>359</v>
      </c>
      <c r="M690" t="s">
        <v>356</v>
      </c>
      <c r="N690" s="73">
        <v>67260</v>
      </c>
      <c r="O690" s="73">
        <v>67260</v>
      </c>
      <c r="P690">
        <v>34.681374159610094</v>
      </c>
    </row>
    <row r="691" spans="1:16" hidden="1" x14ac:dyDescent="0.2">
      <c r="A691" s="73">
        <v>67260</v>
      </c>
      <c r="B691" t="s">
        <v>423</v>
      </c>
      <c r="C691" s="73" t="s">
        <v>454</v>
      </c>
      <c r="D691" t="s">
        <v>455</v>
      </c>
      <c r="E691" s="74">
        <v>46059</v>
      </c>
      <c r="F691" t="s">
        <v>362</v>
      </c>
      <c r="G691" t="s">
        <v>363</v>
      </c>
      <c r="H691" s="75">
        <f t="shared" si="10"/>
        <v>242.76961911727065</v>
      </c>
      <c r="I691" s="74">
        <v>46059</v>
      </c>
      <c r="J691">
        <v>7</v>
      </c>
      <c r="K691" t="s">
        <v>508</v>
      </c>
      <c r="L691" t="s">
        <v>355</v>
      </c>
      <c r="M691" t="s">
        <v>356</v>
      </c>
      <c r="N691" s="73">
        <v>67260</v>
      </c>
      <c r="O691" s="73">
        <v>67260</v>
      </c>
      <c r="P691">
        <v>34.681374159610094</v>
      </c>
    </row>
    <row r="692" spans="1:16" hidden="1" x14ac:dyDescent="0.2">
      <c r="A692" s="73">
        <v>67260</v>
      </c>
      <c r="B692" t="s">
        <v>423</v>
      </c>
      <c r="C692" s="73" t="s">
        <v>454</v>
      </c>
      <c r="D692" t="s">
        <v>455</v>
      </c>
      <c r="E692" s="74">
        <v>46059</v>
      </c>
      <c r="F692" t="s">
        <v>387</v>
      </c>
      <c r="G692" t="s">
        <v>388</v>
      </c>
      <c r="H692" s="75">
        <f t="shared" si="10"/>
        <v>138.72549663844038</v>
      </c>
      <c r="I692" s="74">
        <v>46059</v>
      </c>
      <c r="J692">
        <v>4</v>
      </c>
      <c r="K692" t="s">
        <v>508</v>
      </c>
      <c r="L692" t="s">
        <v>367</v>
      </c>
      <c r="M692" t="s">
        <v>356</v>
      </c>
      <c r="N692" s="73">
        <v>67260</v>
      </c>
      <c r="O692" s="73">
        <v>67260</v>
      </c>
      <c r="P692">
        <v>34.681374159610094</v>
      </c>
    </row>
    <row r="693" spans="1:16" hidden="1" x14ac:dyDescent="0.2">
      <c r="A693" s="73">
        <v>67260</v>
      </c>
      <c r="B693" t="s">
        <v>423</v>
      </c>
      <c r="C693" s="73" t="s">
        <v>454</v>
      </c>
      <c r="D693" t="s">
        <v>455</v>
      </c>
      <c r="E693" s="74">
        <v>46059</v>
      </c>
      <c r="F693" t="s">
        <v>404</v>
      </c>
      <c r="G693" t="s">
        <v>405</v>
      </c>
      <c r="H693" s="75">
        <f t="shared" si="10"/>
        <v>242.76961911727065</v>
      </c>
      <c r="I693" s="74">
        <v>46059</v>
      </c>
      <c r="J693">
        <v>7</v>
      </c>
      <c r="K693" t="s">
        <v>508</v>
      </c>
      <c r="L693" t="s">
        <v>262</v>
      </c>
      <c r="M693" t="s">
        <v>356</v>
      </c>
      <c r="N693" s="73">
        <v>67260</v>
      </c>
      <c r="O693" s="73">
        <v>67260</v>
      </c>
      <c r="P693">
        <v>34.681374159610094</v>
      </c>
    </row>
    <row r="694" spans="1:16" hidden="1" x14ac:dyDescent="0.2">
      <c r="A694" s="73">
        <v>67260</v>
      </c>
      <c r="B694" t="s">
        <v>423</v>
      </c>
      <c r="C694" s="73" t="s">
        <v>454</v>
      </c>
      <c r="D694" t="s">
        <v>455</v>
      </c>
      <c r="E694" s="74">
        <v>46059</v>
      </c>
      <c r="F694" t="s">
        <v>357</v>
      </c>
      <c r="G694" t="s">
        <v>358</v>
      </c>
      <c r="H694" s="75">
        <f t="shared" si="10"/>
        <v>208.08824495766055</v>
      </c>
      <c r="I694" s="74">
        <v>46059</v>
      </c>
      <c r="J694">
        <v>6</v>
      </c>
      <c r="K694" t="s">
        <v>508</v>
      </c>
      <c r="L694" t="s">
        <v>359</v>
      </c>
      <c r="M694" t="s">
        <v>356</v>
      </c>
      <c r="N694" s="73">
        <v>67260</v>
      </c>
      <c r="O694" s="73">
        <v>67260</v>
      </c>
      <c r="P694">
        <v>34.681374159610094</v>
      </c>
    </row>
    <row r="695" spans="1:16" hidden="1" x14ac:dyDescent="0.2">
      <c r="A695" s="73">
        <v>67260</v>
      </c>
      <c r="B695" t="s">
        <v>423</v>
      </c>
      <c r="C695" s="73" t="s">
        <v>454</v>
      </c>
      <c r="D695" t="s">
        <v>455</v>
      </c>
      <c r="E695" s="74">
        <v>46062</v>
      </c>
      <c r="F695" t="s">
        <v>404</v>
      </c>
      <c r="G695" t="s">
        <v>405</v>
      </c>
      <c r="H695" s="75">
        <f t="shared" si="10"/>
        <v>242.76961911727065</v>
      </c>
      <c r="I695" s="74">
        <v>46062</v>
      </c>
      <c r="J695">
        <v>7</v>
      </c>
      <c r="K695" t="s">
        <v>508</v>
      </c>
      <c r="L695" t="s">
        <v>262</v>
      </c>
      <c r="M695" t="s">
        <v>356</v>
      </c>
      <c r="N695" s="73">
        <v>67260</v>
      </c>
      <c r="O695" s="73">
        <v>67260</v>
      </c>
      <c r="P695">
        <v>34.681374159610094</v>
      </c>
    </row>
    <row r="696" spans="1:16" hidden="1" x14ac:dyDescent="0.2">
      <c r="A696" s="73">
        <v>67260</v>
      </c>
      <c r="B696" t="s">
        <v>423</v>
      </c>
      <c r="C696" s="73" t="s">
        <v>454</v>
      </c>
      <c r="D696" t="s">
        <v>455</v>
      </c>
      <c r="E696" s="74">
        <v>46062</v>
      </c>
      <c r="F696" t="s">
        <v>387</v>
      </c>
      <c r="G696" t="s">
        <v>388</v>
      </c>
      <c r="H696" s="75">
        <f t="shared" si="10"/>
        <v>242.76961911727065</v>
      </c>
      <c r="I696" s="74">
        <v>46062</v>
      </c>
      <c r="J696">
        <v>7</v>
      </c>
      <c r="K696" t="s">
        <v>508</v>
      </c>
      <c r="L696" t="s">
        <v>367</v>
      </c>
      <c r="M696" t="s">
        <v>356</v>
      </c>
      <c r="N696" s="73">
        <v>67260</v>
      </c>
      <c r="O696" s="73">
        <v>67260</v>
      </c>
      <c r="P696">
        <v>34.681374159610094</v>
      </c>
    </row>
    <row r="697" spans="1:16" hidden="1" x14ac:dyDescent="0.2">
      <c r="A697" s="73">
        <v>67260</v>
      </c>
      <c r="B697" t="s">
        <v>423</v>
      </c>
      <c r="C697" s="73" t="s">
        <v>454</v>
      </c>
      <c r="D697" t="s">
        <v>455</v>
      </c>
      <c r="E697" s="74">
        <v>46062</v>
      </c>
      <c r="F697" t="s">
        <v>398</v>
      </c>
      <c r="G697" t="s">
        <v>399</v>
      </c>
      <c r="H697" s="75">
        <f t="shared" si="10"/>
        <v>242.76961911727065</v>
      </c>
      <c r="I697" s="74">
        <v>46062</v>
      </c>
      <c r="J697">
        <v>7</v>
      </c>
      <c r="K697" t="s">
        <v>508</v>
      </c>
      <c r="L697" t="s">
        <v>367</v>
      </c>
      <c r="M697" t="s">
        <v>356</v>
      </c>
      <c r="N697" s="73">
        <v>67260</v>
      </c>
      <c r="O697" s="73">
        <v>67260</v>
      </c>
      <c r="P697">
        <v>34.681374159610094</v>
      </c>
    </row>
    <row r="698" spans="1:16" hidden="1" x14ac:dyDescent="0.2">
      <c r="A698" s="73">
        <v>67260</v>
      </c>
      <c r="B698" t="s">
        <v>423</v>
      </c>
      <c r="C698" s="73" t="s">
        <v>454</v>
      </c>
      <c r="D698" t="s">
        <v>455</v>
      </c>
      <c r="E698" s="74">
        <v>46063</v>
      </c>
      <c r="F698" t="s">
        <v>362</v>
      </c>
      <c r="G698" t="s">
        <v>363</v>
      </c>
      <c r="H698" s="75">
        <f t="shared" si="10"/>
        <v>242.76961911727065</v>
      </c>
      <c r="I698" s="74">
        <v>46063</v>
      </c>
      <c r="J698">
        <v>7</v>
      </c>
      <c r="K698" t="s">
        <v>508</v>
      </c>
      <c r="L698" t="s">
        <v>355</v>
      </c>
      <c r="M698" t="s">
        <v>356</v>
      </c>
      <c r="N698" s="73">
        <v>67260</v>
      </c>
      <c r="O698" s="73">
        <v>67260</v>
      </c>
      <c r="P698">
        <v>34.681374159610094</v>
      </c>
    </row>
    <row r="699" spans="1:16" hidden="1" x14ac:dyDescent="0.2">
      <c r="A699" s="73">
        <v>67260</v>
      </c>
      <c r="B699" t="s">
        <v>423</v>
      </c>
      <c r="C699" s="73" t="s">
        <v>454</v>
      </c>
      <c r="D699" t="s">
        <v>455</v>
      </c>
      <c r="E699" s="74">
        <v>46063</v>
      </c>
      <c r="F699" t="s">
        <v>404</v>
      </c>
      <c r="G699" t="s">
        <v>405</v>
      </c>
      <c r="H699" s="75">
        <f t="shared" si="10"/>
        <v>242.76961911727065</v>
      </c>
      <c r="I699" s="74">
        <v>46063</v>
      </c>
      <c r="J699">
        <v>7</v>
      </c>
      <c r="K699" t="s">
        <v>508</v>
      </c>
      <c r="L699" t="s">
        <v>262</v>
      </c>
      <c r="M699" t="s">
        <v>356</v>
      </c>
      <c r="N699" s="73">
        <v>67260</v>
      </c>
      <c r="O699" s="73">
        <v>67260</v>
      </c>
      <c r="P699">
        <v>34.681374159610094</v>
      </c>
    </row>
    <row r="700" spans="1:16" hidden="1" x14ac:dyDescent="0.2">
      <c r="A700" s="73">
        <v>67260</v>
      </c>
      <c r="B700" t="s">
        <v>423</v>
      </c>
      <c r="C700" s="73" t="s">
        <v>454</v>
      </c>
      <c r="D700" t="s">
        <v>455</v>
      </c>
      <c r="E700" s="74">
        <v>46063</v>
      </c>
      <c r="F700" t="s">
        <v>387</v>
      </c>
      <c r="G700" t="s">
        <v>388</v>
      </c>
      <c r="H700" s="75">
        <f t="shared" si="10"/>
        <v>242.76961911727065</v>
      </c>
      <c r="I700" s="74">
        <v>46063</v>
      </c>
      <c r="J700">
        <v>7</v>
      </c>
      <c r="K700" t="s">
        <v>508</v>
      </c>
      <c r="L700" t="s">
        <v>367</v>
      </c>
      <c r="M700" t="s">
        <v>356</v>
      </c>
      <c r="N700" s="73">
        <v>67260</v>
      </c>
      <c r="O700" s="73">
        <v>67260</v>
      </c>
      <c r="P700">
        <v>34.681374159610094</v>
      </c>
    </row>
    <row r="701" spans="1:16" hidden="1" x14ac:dyDescent="0.2">
      <c r="A701" s="73">
        <v>67260</v>
      </c>
      <c r="B701" t="s">
        <v>423</v>
      </c>
      <c r="C701" s="73" t="s">
        <v>454</v>
      </c>
      <c r="D701" t="s">
        <v>455</v>
      </c>
      <c r="E701" s="74">
        <v>46064</v>
      </c>
      <c r="F701" t="s">
        <v>362</v>
      </c>
      <c r="G701" t="s">
        <v>363</v>
      </c>
      <c r="H701" s="75">
        <f t="shared" si="10"/>
        <v>242.76961911727065</v>
      </c>
      <c r="I701" s="74">
        <v>46064</v>
      </c>
      <c r="J701">
        <v>7</v>
      </c>
      <c r="K701" t="s">
        <v>508</v>
      </c>
      <c r="L701" t="s">
        <v>355</v>
      </c>
      <c r="M701" t="s">
        <v>356</v>
      </c>
      <c r="N701" s="73">
        <v>67260</v>
      </c>
      <c r="O701" s="73">
        <v>67260</v>
      </c>
      <c r="P701">
        <v>34.681374159610094</v>
      </c>
    </row>
    <row r="702" spans="1:16" hidden="1" x14ac:dyDescent="0.2">
      <c r="A702" s="73">
        <v>67260</v>
      </c>
      <c r="B702" t="s">
        <v>423</v>
      </c>
      <c r="C702" s="73" t="s">
        <v>454</v>
      </c>
      <c r="D702" t="s">
        <v>455</v>
      </c>
      <c r="E702" s="74">
        <v>46064</v>
      </c>
      <c r="F702" t="s">
        <v>404</v>
      </c>
      <c r="G702" t="s">
        <v>405</v>
      </c>
      <c r="H702" s="75">
        <f t="shared" si="10"/>
        <v>242.76961911727065</v>
      </c>
      <c r="I702" s="74">
        <v>46064</v>
      </c>
      <c r="J702">
        <v>7</v>
      </c>
      <c r="K702" t="s">
        <v>508</v>
      </c>
      <c r="L702" t="s">
        <v>262</v>
      </c>
      <c r="M702" t="s">
        <v>356</v>
      </c>
      <c r="N702" s="73">
        <v>67260</v>
      </c>
      <c r="O702" s="73">
        <v>67260</v>
      </c>
      <c r="P702">
        <v>34.681374159610094</v>
      </c>
    </row>
    <row r="703" spans="1:16" hidden="1" x14ac:dyDescent="0.2">
      <c r="A703" s="73">
        <v>67260</v>
      </c>
      <c r="B703" t="s">
        <v>423</v>
      </c>
      <c r="C703" s="73" t="s">
        <v>454</v>
      </c>
      <c r="D703" t="s">
        <v>455</v>
      </c>
      <c r="E703" s="74">
        <v>46065</v>
      </c>
      <c r="F703" t="s">
        <v>406</v>
      </c>
      <c r="G703" t="s">
        <v>407</v>
      </c>
      <c r="H703" s="75">
        <f t="shared" si="10"/>
        <v>138.72549663844038</v>
      </c>
      <c r="I703" s="74">
        <v>46065</v>
      </c>
      <c r="J703">
        <v>4</v>
      </c>
      <c r="K703" t="s">
        <v>508</v>
      </c>
      <c r="L703" t="s">
        <v>355</v>
      </c>
      <c r="M703" t="s">
        <v>356</v>
      </c>
      <c r="N703" s="73">
        <v>67260</v>
      </c>
      <c r="O703" s="73">
        <v>67260</v>
      </c>
      <c r="P703">
        <v>34.681374159610094</v>
      </c>
    </row>
    <row r="704" spans="1:16" hidden="1" x14ac:dyDescent="0.2">
      <c r="A704" s="73">
        <v>67260</v>
      </c>
      <c r="B704" t="s">
        <v>423</v>
      </c>
      <c r="C704" s="73" t="s">
        <v>454</v>
      </c>
      <c r="D704" t="s">
        <v>455</v>
      </c>
      <c r="E704" s="74">
        <v>46065</v>
      </c>
      <c r="F704" t="s">
        <v>362</v>
      </c>
      <c r="G704" t="s">
        <v>363</v>
      </c>
      <c r="H704" s="75">
        <f t="shared" si="10"/>
        <v>242.76961911727065</v>
      </c>
      <c r="I704" s="74">
        <v>46065</v>
      </c>
      <c r="J704">
        <v>7</v>
      </c>
      <c r="K704" t="s">
        <v>508</v>
      </c>
      <c r="L704" t="s">
        <v>355</v>
      </c>
      <c r="M704" t="s">
        <v>356</v>
      </c>
      <c r="N704" s="73">
        <v>67260</v>
      </c>
      <c r="O704" s="73">
        <v>67260</v>
      </c>
      <c r="P704">
        <v>34.681374159610094</v>
      </c>
    </row>
    <row r="705" spans="1:16" hidden="1" x14ac:dyDescent="0.2">
      <c r="A705" s="73">
        <v>67260</v>
      </c>
      <c r="B705" t="s">
        <v>423</v>
      </c>
      <c r="C705" s="73" t="s">
        <v>454</v>
      </c>
      <c r="D705" t="s">
        <v>455</v>
      </c>
      <c r="E705" s="74">
        <v>46065</v>
      </c>
      <c r="F705" t="s">
        <v>404</v>
      </c>
      <c r="G705" t="s">
        <v>405</v>
      </c>
      <c r="H705" s="75">
        <f t="shared" si="10"/>
        <v>242.76961911727065</v>
      </c>
      <c r="I705" s="74">
        <v>46065</v>
      </c>
      <c r="J705">
        <v>7</v>
      </c>
      <c r="K705" t="s">
        <v>508</v>
      </c>
      <c r="L705" t="s">
        <v>262</v>
      </c>
      <c r="M705" t="s">
        <v>356</v>
      </c>
      <c r="N705" s="73">
        <v>67260</v>
      </c>
      <c r="O705" s="73">
        <v>67260</v>
      </c>
      <c r="P705">
        <v>34.681374159610094</v>
      </c>
    </row>
    <row r="706" spans="1:16" hidden="1" x14ac:dyDescent="0.2">
      <c r="A706" s="73">
        <v>67260</v>
      </c>
      <c r="B706" t="s">
        <v>423</v>
      </c>
      <c r="C706" s="73" t="s">
        <v>454</v>
      </c>
      <c r="D706" t="s">
        <v>455</v>
      </c>
      <c r="E706" s="74">
        <v>46066</v>
      </c>
      <c r="F706" t="s">
        <v>362</v>
      </c>
      <c r="G706" t="s">
        <v>363</v>
      </c>
      <c r="H706" s="75">
        <f t="shared" ref="H706:H769" si="11">J706*P706</f>
        <v>242.76961911727065</v>
      </c>
      <c r="I706" s="74">
        <v>46066</v>
      </c>
      <c r="J706">
        <v>7</v>
      </c>
      <c r="K706" t="s">
        <v>508</v>
      </c>
      <c r="L706" t="s">
        <v>355</v>
      </c>
      <c r="M706" t="s">
        <v>356</v>
      </c>
      <c r="N706" s="73">
        <v>67260</v>
      </c>
      <c r="O706" s="73">
        <v>67260</v>
      </c>
      <c r="P706">
        <v>34.681374159610094</v>
      </c>
    </row>
    <row r="707" spans="1:16" hidden="1" x14ac:dyDescent="0.2">
      <c r="A707" s="73">
        <v>67260</v>
      </c>
      <c r="B707" t="s">
        <v>423</v>
      </c>
      <c r="C707" s="73" t="s">
        <v>424</v>
      </c>
      <c r="D707" t="s">
        <v>506</v>
      </c>
      <c r="E707" s="74">
        <v>45966</v>
      </c>
      <c r="F707" t="s">
        <v>414</v>
      </c>
      <c r="G707" t="s">
        <v>415</v>
      </c>
      <c r="H707" s="75">
        <f t="shared" si="11"/>
        <v>312.13236743649082</v>
      </c>
      <c r="I707" s="74">
        <v>45966</v>
      </c>
      <c r="J707">
        <v>9</v>
      </c>
      <c r="K707" t="s">
        <v>514</v>
      </c>
      <c r="L707" t="s">
        <v>262</v>
      </c>
      <c r="M707" t="s">
        <v>356</v>
      </c>
      <c r="N707" s="73">
        <v>67260</v>
      </c>
      <c r="O707" s="73">
        <v>67260</v>
      </c>
      <c r="P707">
        <v>34.681374159610094</v>
      </c>
    </row>
    <row r="708" spans="1:16" hidden="1" x14ac:dyDescent="0.2">
      <c r="A708" s="73">
        <v>67260</v>
      </c>
      <c r="B708" t="s">
        <v>423</v>
      </c>
      <c r="C708" s="73" t="s">
        <v>454</v>
      </c>
      <c r="D708" t="s">
        <v>455</v>
      </c>
      <c r="E708" s="74">
        <v>46069</v>
      </c>
      <c r="F708" t="s">
        <v>398</v>
      </c>
      <c r="G708" t="s">
        <v>399</v>
      </c>
      <c r="H708" s="75">
        <f t="shared" si="11"/>
        <v>277.45099327688075</v>
      </c>
      <c r="I708" s="74">
        <v>46069</v>
      </c>
      <c r="J708">
        <v>8</v>
      </c>
      <c r="K708" t="s">
        <v>508</v>
      </c>
      <c r="L708" t="s">
        <v>367</v>
      </c>
      <c r="M708" t="s">
        <v>356</v>
      </c>
      <c r="N708" s="73">
        <v>67260</v>
      </c>
      <c r="O708" s="73">
        <v>67260</v>
      </c>
      <c r="P708">
        <v>34.681374159610094</v>
      </c>
    </row>
    <row r="709" spans="1:16" hidden="1" x14ac:dyDescent="0.2">
      <c r="A709" s="73">
        <v>67260</v>
      </c>
      <c r="B709" t="s">
        <v>423</v>
      </c>
      <c r="C709" s="73" t="s">
        <v>454</v>
      </c>
      <c r="D709" t="s">
        <v>455</v>
      </c>
      <c r="E709" s="74">
        <v>46069</v>
      </c>
      <c r="F709" t="s">
        <v>357</v>
      </c>
      <c r="G709" t="s">
        <v>358</v>
      </c>
      <c r="H709" s="75">
        <f t="shared" si="11"/>
        <v>138.72549663844038</v>
      </c>
      <c r="I709" s="74">
        <v>46069</v>
      </c>
      <c r="J709">
        <v>4</v>
      </c>
      <c r="K709" t="s">
        <v>508</v>
      </c>
      <c r="L709" t="s">
        <v>359</v>
      </c>
      <c r="M709" t="s">
        <v>356</v>
      </c>
      <c r="N709" s="73">
        <v>67260</v>
      </c>
      <c r="O709" s="73">
        <v>67260</v>
      </c>
      <c r="P709">
        <v>34.681374159610094</v>
      </c>
    </row>
    <row r="710" spans="1:16" hidden="1" x14ac:dyDescent="0.2">
      <c r="A710" s="73">
        <v>67260</v>
      </c>
      <c r="B710" t="s">
        <v>423</v>
      </c>
      <c r="C710" s="73" t="s">
        <v>454</v>
      </c>
      <c r="D710" t="s">
        <v>455</v>
      </c>
      <c r="E710" s="74">
        <v>46070</v>
      </c>
      <c r="F710" t="s">
        <v>398</v>
      </c>
      <c r="G710" t="s">
        <v>399</v>
      </c>
      <c r="H710" s="75">
        <f t="shared" si="11"/>
        <v>277.45099327688075</v>
      </c>
      <c r="I710" s="74">
        <v>46070</v>
      </c>
      <c r="J710">
        <v>8</v>
      </c>
      <c r="K710" t="s">
        <v>508</v>
      </c>
      <c r="L710" t="s">
        <v>367</v>
      </c>
      <c r="M710" t="s">
        <v>356</v>
      </c>
      <c r="N710" s="73">
        <v>67260</v>
      </c>
      <c r="O710" s="73">
        <v>67260</v>
      </c>
      <c r="P710">
        <v>34.681374159610094</v>
      </c>
    </row>
    <row r="711" spans="1:16" hidden="1" x14ac:dyDescent="0.2">
      <c r="A711" s="73">
        <v>67260</v>
      </c>
      <c r="B711" t="s">
        <v>423</v>
      </c>
      <c r="C711" s="73" t="s">
        <v>454</v>
      </c>
      <c r="D711" t="s">
        <v>455</v>
      </c>
      <c r="E711" s="74">
        <v>46070</v>
      </c>
      <c r="F711" t="s">
        <v>357</v>
      </c>
      <c r="G711" t="s">
        <v>358</v>
      </c>
      <c r="H711" s="75">
        <f t="shared" si="11"/>
        <v>138.72549663844038</v>
      </c>
      <c r="I711" s="74">
        <v>46070</v>
      </c>
      <c r="J711">
        <v>4</v>
      </c>
      <c r="K711" t="s">
        <v>508</v>
      </c>
      <c r="L711" t="s">
        <v>359</v>
      </c>
      <c r="M711" t="s">
        <v>356</v>
      </c>
      <c r="N711" s="73">
        <v>67260</v>
      </c>
      <c r="O711" s="73">
        <v>67260</v>
      </c>
      <c r="P711">
        <v>34.681374159610094</v>
      </c>
    </row>
    <row r="712" spans="1:16" hidden="1" x14ac:dyDescent="0.2">
      <c r="A712" s="73">
        <v>67260</v>
      </c>
      <c r="B712" t="s">
        <v>423</v>
      </c>
      <c r="C712" s="73" t="s">
        <v>454</v>
      </c>
      <c r="D712" t="s">
        <v>455</v>
      </c>
      <c r="E712" s="74">
        <v>46071</v>
      </c>
      <c r="F712" t="s">
        <v>398</v>
      </c>
      <c r="G712" t="s">
        <v>399</v>
      </c>
      <c r="H712" s="75">
        <f t="shared" si="11"/>
        <v>277.45099327688075</v>
      </c>
      <c r="I712" s="74">
        <v>46071</v>
      </c>
      <c r="J712">
        <v>8</v>
      </c>
      <c r="K712" t="s">
        <v>508</v>
      </c>
      <c r="L712" t="s">
        <v>367</v>
      </c>
      <c r="M712" t="s">
        <v>356</v>
      </c>
      <c r="N712" s="73">
        <v>67260</v>
      </c>
      <c r="O712" s="73">
        <v>67260</v>
      </c>
      <c r="P712">
        <v>34.681374159610094</v>
      </c>
    </row>
    <row r="713" spans="1:16" hidden="1" x14ac:dyDescent="0.2">
      <c r="A713" s="73">
        <v>67260</v>
      </c>
      <c r="B713" t="s">
        <v>423</v>
      </c>
      <c r="C713" s="73" t="s">
        <v>454</v>
      </c>
      <c r="D713" t="s">
        <v>455</v>
      </c>
      <c r="E713" s="74">
        <v>46071</v>
      </c>
      <c r="F713" t="s">
        <v>357</v>
      </c>
      <c r="G713" t="s">
        <v>358</v>
      </c>
      <c r="H713" s="75">
        <f t="shared" si="11"/>
        <v>138.72549663844038</v>
      </c>
      <c r="I713" s="74">
        <v>46071</v>
      </c>
      <c r="J713">
        <v>4</v>
      </c>
      <c r="K713" t="s">
        <v>508</v>
      </c>
      <c r="L713" t="s">
        <v>359</v>
      </c>
      <c r="M713" t="s">
        <v>356</v>
      </c>
      <c r="N713" s="73">
        <v>67260</v>
      </c>
      <c r="O713" s="73">
        <v>67260</v>
      </c>
      <c r="P713">
        <v>34.681374159610094</v>
      </c>
    </row>
    <row r="714" spans="1:16" hidden="1" x14ac:dyDescent="0.2">
      <c r="A714" s="73">
        <v>67260</v>
      </c>
      <c r="B714" t="s">
        <v>423</v>
      </c>
      <c r="C714" s="73" t="s">
        <v>424</v>
      </c>
      <c r="D714" t="s">
        <v>506</v>
      </c>
      <c r="E714" s="74">
        <v>45967</v>
      </c>
      <c r="F714" t="s">
        <v>414</v>
      </c>
      <c r="G714" t="s">
        <v>415</v>
      </c>
      <c r="H714" s="75">
        <f t="shared" si="11"/>
        <v>242.76961911727065</v>
      </c>
      <c r="I714" s="74">
        <v>45967</v>
      </c>
      <c r="J714">
        <v>7</v>
      </c>
      <c r="K714" t="s">
        <v>514</v>
      </c>
      <c r="L714" t="s">
        <v>262</v>
      </c>
      <c r="M714" t="s">
        <v>356</v>
      </c>
      <c r="N714" s="73">
        <v>67260</v>
      </c>
      <c r="O714" s="73">
        <v>67260</v>
      </c>
      <c r="P714">
        <v>34.681374159610094</v>
      </c>
    </row>
    <row r="715" spans="1:16" hidden="1" x14ac:dyDescent="0.2">
      <c r="A715" s="73">
        <v>67260</v>
      </c>
      <c r="B715" t="s">
        <v>423</v>
      </c>
      <c r="C715" s="73" t="s">
        <v>454</v>
      </c>
      <c r="D715" t="s">
        <v>455</v>
      </c>
      <c r="E715" s="74">
        <v>46072</v>
      </c>
      <c r="F715" t="s">
        <v>398</v>
      </c>
      <c r="G715" t="s">
        <v>399</v>
      </c>
      <c r="H715" s="75">
        <f t="shared" si="11"/>
        <v>277.45099327688075</v>
      </c>
      <c r="I715" s="74">
        <v>46072</v>
      </c>
      <c r="J715">
        <v>8</v>
      </c>
      <c r="K715" t="s">
        <v>508</v>
      </c>
      <c r="L715" t="s">
        <v>367</v>
      </c>
      <c r="M715" t="s">
        <v>356</v>
      </c>
      <c r="N715" s="73">
        <v>67260</v>
      </c>
      <c r="O715" s="73">
        <v>67260</v>
      </c>
      <c r="P715">
        <v>34.681374159610094</v>
      </c>
    </row>
    <row r="716" spans="1:16" hidden="1" x14ac:dyDescent="0.2">
      <c r="A716" s="73">
        <v>67260</v>
      </c>
      <c r="B716" t="s">
        <v>423</v>
      </c>
      <c r="C716" s="73" t="s">
        <v>454</v>
      </c>
      <c r="D716" t="s">
        <v>455</v>
      </c>
      <c r="E716" s="74">
        <v>46072</v>
      </c>
      <c r="F716" t="s">
        <v>357</v>
      </c>
      <c r="G716" t="s">
        <v>358</v>
      </c>
      <c r="H716" s="75">
        <f t="shared" si="11"/>
        <v>138.72549663844038</v>
      </c>
      <c r="I716" s="74">
        <v>46072</v>
      </c>
      <c r="J716">
        <v>4</v>
      </c>
      <c r="K716" t="s">
        <v>508</v>
      </c>
      <c r="L716" t="s">
        <v>359</v>
      </c>
      <c r="M716" t="s">
        <v>356</v>
      </c>
      <c r="N716" s="73">
        <v>67260</v>
      </c>
      <c r="O716" s="73">
        <v>67260</v>
      </c>
      <c r="P716">
        <v>34.681374159610094</v>
      </c>
    </row>
    <row r="717" spans="1:16" hidden="1" x14ac:dyDescent="0.2">
      <c r="A717" s="73">
        <v>67260</v>
      </c>
      <c r="B717" t="s">
        <v>423</v>
      </c>
      <c r="C717" s="73" t="s">
        <v>454</v>
      </c>
      <c r="D717" t="s">
        <v>455</v>
      </c>
      <c r="E717" s="74">
        <v>46078</v>
      </c>
      <c r="F717" t="s">
        <v>404</v>
      </c>
      <c r="G717" t="s">
        <v>405</v>
      </c>
      <c r="H717" s="75">
        <f t="shared" si="11"/>
        <v>104.04412247883027</v>
      </c>
      <c r="I717" s="74">
        <v>46078</v>
      </c>
      <c r="J717">
        <v>3</v>
      </c>
      <c r="K717" t="s">
        <v>508</v>
      </c>
      <c r="L717" t="s">
        <v>262</v>
      </c>
      <c r="M717" t="s">
        <v>356</v>
      </c>
      <c r="N717" s="73">
        <v>67260</v>
      </c>
      <c r="O717" s="73">
        <v>67260</v>
      </c>
      <c r="P717">
        <v>34.681374159610094</v>
      </c>
    </row>
    <row r="718" spans="1:16" hidden="1" x14ac:dyDescent="0.2">
      <c r="A718" s="73">
        <v>67260</v>
      </c>
      <c r="B718" t="s">
        <v>423</v>
      </c>
      <c r="C718" s="73" t="s">
        <v>454</v>
      </c>
      <c r="D718" t="s">
        <v>455</v>
      </c>
      <c r="E718" s="74">
        <v>46079</v>
      </c>
      <c r="F718" t="s">
        <v>404</v>
      </c>
      <c r="G718" t="s">
        <v>405</v>
      </c>
      <c r="H718" s="75">
        <f t="shared" si="11"/>
        <v>242.76961911727065</v>
      </c>
      <c r="I718" s="74">
        <v>46079</v>
      </c>
      <c r="J718">
        <v>7</v>
      </c>
      <c r="K718" t="s">
        <v>508</v>
      </c>
      <c r="L718" t="s">
        <v>262</v>
      </c>
      <c r="M718" t="s">
        <v>356</v>
      </c>
      <c r="N718" s="73">
        <v>67260</v>
      </c>
      <c r="O718" s="73">
        <v>67260</v>
      </c>
      <c r="P718">
        <v>34.681374159610094</v>
      </c>
    </row>
    <row r="719" spans="1:16" hidden="1" x14ac:dyDescent="0.2">
      <c r="A719" s="73">
        <v>67260</v>
      </c>
      <c r="B719" t="s">
        <v>423</v>
      </c>
      <c r="C719" s="73" t="s">
        <v>454</v>
      </c>
      <c r="D719" t="s">
        <v>455</v>
      </c>
      <c r="E719" s="74">
        <v>46080</v>
      </c>
      <c r="F719" t="s">
        <v>404</v>
      </c>
      <c r="G719" t="s">
        <v>405</v>
      </c>
      <c r="H719" s="75">
        <f t="shared" si="11"/>
        <v>242.76961911727065</v>
      </c>
      <c r="I719" s="74">
        <v>46080</v>
      </c>
      <c r="J719">
        <v>7</v>
      </c>
      <c r="K719" t="s">
        <v>508</v>
      </c>
      <c r="L719" t="s">
        <v>262</v>
      </c>
      <c r="M719" t="s">
        <v>356</v>
      </c>
      <c r="N719" s="73">
        <v>67260</v>
      </c>
      <c r="O719" s="73">
        <v>67260</v>
      </c>
      <c r="P719">
        <v>34.681374159610094</v>
      </c>
    </row>
    <row r="720" spans="1:16" hidden="1" x14ac:dyDescent="0.2">
      <c r="A720" s="73">
        <v>67260</v>
      </c>
      <c r="B720" t="s">
        <v>423</v>
      </c>
      <c r="C720" s="73" t="s">
        <v>454</v>
      </c>
      <c r="D720" t="s">
        <v>455</v>
      </c>
      <c r="E720" s="74">
        <v>46083</v>
      </c>
      <c r="F720" t="s">
        <v>404</v>
      </c>
      <c r="G720" t="s">
        <v>405</v>
      </c>
      <c r="H720" s="75">
        <f t="shared" si="11"/>
        <v>242.76961911727065</v>
      </c>
      <c r="I720" s="74">
        <v>46083</v>
      </c>
      <c r="J720">
        <v>7</v>
      </c>
      <c r="K720" t="s">
        <v>509</v>
      </c>
      <c r="L720" t="s">
        <v>262</v>
      </c>
      <c r="M720" t="s">
        <v>356</v>
      </c>
      <c r="N720" s="73">
        <v>67260</v>
      </c>
      <c r="O720" s="73">
        <v>67260</v>
      </c>
      <c r="P720">
        <v>34.681374159610094</v>
      </c>
    </row>
    <row r="721" spans="1:16" hidden="1" x14ac:dyDescent="0.2">
      <c r="A721" s="73">
        <v>67260</v>
      </c>
      <c r="B721" t="s">
        <v>423</v>
      </c>
      <c r="C721" s="73" t="s">
        <v>454</v>
      </c>
      <c r="D721" t="s">
        <v>455</v>
      </c>
      <c r="E721" s="74">
        <v>46085</v>
      </c>
      <c r="F721" t="s">
        <v>404</v>
      </c>
      <c r="G721" t="s">
        <v>405</v>
      </c>
      <c r="H721" s="75">
        <f t="shared" si="11"/>
        <v>260.11030619707572</v>
      </c>
      <c r="I721" s="74">
        <v>46085</v>
      </c>
      <c r="J721">
        <v>7.5</v>
      </c>
      <c r="K721" t="s">
        <v>509</v>
      </c>
      <c r="L721" t="s">
        <v>262</v>
      </c>
      <c r="M721" t="s">
        <v>356</v>
      </c>
      <c r="N721" s="73">
        <v>67260</v>
      </c>
      <c r="O721" s="73">
        <v>67260</v>
      </c>
      <c r="P721">
        <v>34.681374159610094</v>
      </c>
    </row>
    <row r="722" spans="1:16" hidden="1" x14ac:dyDescent="0.2">
      <c r="A722" s="73">
        <v>67260</v>
      </c>
      <c r="B722" t="s">
        <v>423</v>
      </c>
      <c r="C722" s="73" t="s">
        <v>454</v>
      </c>
      <c r="D722" t="s">
        <v>455</v>
      </c>
      <c r="E722" s="74">
        <v>46086</v>
      </c>
      <c r="F722" t="s">
        <v>404</v>
      </c>
      <c r="G722" t="s">
        <v>405</v>
      </c>
      <c r="H722" s="75">
        <f t="shared" si="11"/>
        <v>260.11030619707572</v>
      </c>
      <c r="I722" s="74">
        <v>46086</v>
      </c>
      <c r="J722">
        <v>7.5</v>
      </c>
      <c r="K722" t="s">
        <v>509</v>
      </c>
      <c r="L722" t="s">
        <v>262</v>
      </c>
      <c r="M722" t="s">
        <v>356</v>
      </c>
      <c r="N722" s="73">
        <v>67260</v>
      </c>
      <c r="O722" s="73">
        <v>67260</v>
      </c>
      <c r="P722">
        <v>34.681374159610094</v>
      </c>
    </row>
    <row r="723" spans="1:16" hidden="1" x14ac:dyDescent="0.2">
      <c r="A723" s="73">
        <v>67260</v>
      </c>
      <c r="B723" t="s">
        <v>423</v>
      </c>
      <c r="C723" s="73" t="s">
        <v>454</v>
      </c>
      <c r="D723" t="s">
        <v>455</v>
      </c>
      <c r="E723" s="74">
        <v>46125</v>
      </c>
      <c r="F723" t="s">
        <v>404</v>
      </c>
      <c r="G723" t="s">
        <v>405</v>
      </c>
      <c r="H723" s="75">
        <f t="shared" si="11"/>
        <v>69.362748319220188</v>
      </c>
      <c r="I723" s="74">
        <v>46125</v>
      </c>
      <c r="J723">
        <v>2</v>
      </c>
      <c r="K723" t="s">
        <v>510</v>
      </c>
      <c r="L723" t="s">
        <v>262</v>
      </c>
      <c r="M723" t="s">
        <v>356</v>
      </c>
      <c r="N723" s="73">
        <v>67260</v>
      </c>
      <c r="O723" s="73">
        <v>67260</v>
      </c>
      <c r="P723">
        <v>34.681374159610094</v>
      </c>
    </row>
    <row r="724" spans="1:16" hidden="1" x14ac:dyDescent="0.2">
      <c r="A724" s="73">
        <v>67260</v>
      </c>
      <c r="B724" t="s">
        <v>423</v>
      </c>
      <c r="C724" s="73" t="s">
        <v>454</v>
      </c>
      <c r="D724" t="s">
        <v>455</v>
      </c>
      <c r="E724" s="74">
        <v>46127</v>
      </c>
      <c r="F724" t="s">
        <v>404</v>
      </c>
      <c r="G724" t="s">
        <v>405</v>
      </c>
      <c r="H724" s="75">
        <f t="shared" si="11"/>
        <v>208.08824495766055</v>
      </c>
      <c r="I724" s="74">
        <v>46127</v>
      </c>
      <c r="J724">
        <v>6</v>
      </c>
      <c r="K724" t="s">
        <v>510</v>
      </c>
      <c r="L724" t="s">
        <v>262</v>
      </c>
      <c r="M724" t="s">
        <v>356</v>
      </c>
      <c r="N724" s="73">
        <v>67260</v>
      </c>
      <c r="O724" s="73">
        <v>67260</v>
      </c>
      <c r="P724">
        <v>34.681374159610094</v>
      </c>
    </row>
    <row r="725" spans="1:16" hidden="1" x14ac:dyDescent="0.2">
      <c r="A725" s="73">
        <v>67260</v>
      </c>
      <c r="B725" t="s">
        <v>423</v>
      </c>
      <c r="C725" s="73" t="s">
        <v>454</v>
      </c>
      <c r="D725" t="s">
        <v>455</v>
      </c>
      <c r="E725" s="74">
        <v>46128</v>
      </c>
      <c r="F725" t="s">
        <v>404</v>
      </c>
      <c r="G725" t="s">
        <v>405</v>
      </c>
      <c r="H725" s="75">
        <f t="shared" si="11"/>
        <v>260.11030619707572</v>
      </c>
      <c r="I725" s="74">
        <v>46128</v>
      </c>
      <c r="J725">
        <v>7.5</v>
      </c>
      <c r="K725" t="s">
        <v>510</v>
      </c>
      <c r="L725" t="s">
        <v>262</v>
      </c>
      <c r="M725" t="s">
        <v>356</v>
      </c>
      <c r="N725" s="73">
        <v>67260</v>
      </c>
      <c r="O725" s="73">
        <v>67260</v>
      </c>
      <c r="P725">
        <v>34.681374159610094</v>
      </c>
    </row>
    <row r="726" spans="1:16" hidden="1" x14ac:dyDescent="0.2">
      <c r="A726" s="73">
        <v>67260</v>
      </c>
      <c r="B726" t="s">
        <v>423</v>
      </c>
      <c r="C726" s="73" t="s">
        <v>454</v>
      </c>
      <c r="D726" t="s">
        <v>455</v>
      </c>
      <c r="E726" s="74">
        <v>46132</v>
      </c>
      <c r="F726" t="s">
        <v>404</v>
      </c>
      <c r="G726" t="s">
        <v>405</v>
      </c>
      <c r="H726" s="75">
        <f t="shared" si="11"/>
        <v>242.76961911727065</v>
      </c>
      <c r="I726" s="74">
        <v>46132</v>
      </c>
      <c r="J726">
        <v>7</v>
      </c>
      <c r="K726" t="s">
        <v>510</v>
      </c>
      <c r="L726" t="s">
        <v>262</v>
      </c>
      <c r="M726" t="s">
        <v>356</v>
      </c>
      <c r="N726" s="73">
        <v>67260</v>
      </c>
      <c r="O726" s="73">
        <v>67260</v>
      </c>
      <c r="P726">
        <v>34.681374159610094</v>
      </c>
    </row>
    <row r="727" spans="1:16" hidden="1" x14ac:dyDescent="0.2">
      <c r="A727" s="73">
        <v>67260</v>
      </c>
      <c r="B727" t="s">
        <v>423</v>
      </c>
      <c r="C727" s="73" t="s">
        <v>454</v>
      </c>
      <c r="D727" t="s">
        <v>455</v>
      </c>
      <c r="E727" s="74">
        <v>46133</v>
      </c>
      <c r="F727" t="s">
        <v>404</v>
      </c>
      <c r="G727" t="s">
        <v>405</v>
      </c>
      <c r="H727" s="75">
        <f t="shared" si="11"/>
        <v>242.76961911727065</v>
      </c>
      <c r="I727" s="74">
        <v>46133</v>
      </c>
      <c r="J727">
        <v>7</v>
      </c>
      <c r="K727" t="s">
        <v>510</v>
      </c>
      <c r="L727" t="s">
        <v>262</v>
      </c>
      <c r="M727" t="s">
        <v>356</v>
      </c>
      <c r="N727" s="73">
        <v>67260</v>
      </c>
      <c r="O727" s="73">
        <v>67260</v>
      </c>
      <c r="P727">
        <v>34.681374159610094</v>
      </c>
    </row>
    <row r="728" spans="1:16" hidden="1" x14ac:dyDescent="0.2">
      <c r="A728" s="73">
        <v>67260</v>
      </c>
      <c r="B728" t="s">
        <v>423</v>
      </c>
      <c r="C728" s="73" t="s">
        <v>454</v>
      </c>
      <c r="D728" t="s">
        <v>455</v>
      </c>
      <c r="E728" s="74">
        <v>46134</v>
      </c>
      <c r="F728" t="s">
        <v>404</v>
      </c>
      <c r="G728" t="s">
        <v>405</v>
      </c>
      <c r="H728" s="75">
        <f t="shared" si="11"/>
        <v>260.11030619707572</v>
      </c>
      <c r="I728" s="74">
        <v>46134</v>
      </c>
      <c r="J728">
        <v>7.5</v>
      </c>
      <c r="K728" t="s">
        <v>510</v>
      </c>
      <c r="L728" t="s">
        <v>262</v>
      </c>
      <c r="M728" t="s">
        <v>356</v>
      </c>
      <c r="N728" s="73">
        <v>67260</v>
      </c>
      <c r="O728" s="73">
        <v>67260</v>
      </c>
      <c r="P728">
        <v>34.681374159610094</v>
      </c>
    </row>
    <row r="729" spans="1:16" hidden="1" x14ac:dyDescent="0.2">
      <c r="A729" s="73">
        <v>67260</v>
      </c>
      <c r="B729" t="s">
        <v>423</v>
      </c>
      <c r="C729" s="73" t="s">
        <v>454</v>
      </c>
      <c r="D729" t="s">
        <v>455</v>
      </c>
      <c r="E729" s="74">
        <v>46135</v>
      </c>
      <c r="F729" t="s">
        <v>404</v>
      </c>
      <c r="G729" t="s">
        <v>405</v>
      </c>
      <c r="H729" s="75">
        <f t="shared" si="11"/>
        <v>190.74755787785551</v>
      </c>
      <c r="I729" s="74">
        <v>46135</v>
      </c>
      <c r="J729">
        <v>5.5</v>
      </c>
      <c r="K729" t="s">
        <v>510</v>
      </c>
      <c r="L729" t="s">
        <v>262</v>
      </c>
      <c r="M729" t="s">
        <v>356</v>
      </c>
      <c r="N729" s="73">
        <v>67260</v>
      </c>
      <c r="O729" s="73">
        <v>67260</v>
      </c>
      <c r="P729">
        <v>34.681374159610094</v>
      </c>
    </row>
    <row r="730" spans="1:16" hidden="1" x14ac:dyDescent="0.2">
      <c r="A730" s="73">
        <v>67261</v>
      </c>
      <c r="B730" t="s">
        <v>443</v>
      </c>
      <c r="C730" s="73" t="s">
        <v>456</v>
      </c>
      <c r="D730" t="s">
        <v>507</v>
      </c>
      <c r="E730" s="74">
        <v>45936</v>
      </c>
      <c r="F730" t="s">
        <v>362</v>
      </c>
      <c r="G730" t="s">
        <v>363</v>
      </c>
      <c r="H730" s="75">
        <f t="shared" si="11"/>
        <v>138.72549663844038</v>
      </c>
      <c r="I730" s="74">
        <v>45936</v>
      </c>
      <c r="J730">
        <v>4</v>
      </c>
      <c r="K730" t="s">
        <v>513</v>
      </c>
      <c r="L730" t="s">
        <v>355</v>
      </c>
      <c r="M730" t="s">
        <v>356</v>
      </c>
      <c r="N730" s="73">
        <v>67261</v>
      </c>
      <c r="O730" s="73">
        <v>67261</v>
      </c>
      <c r="P730">
        <v>34.681374159610094</v>
      </c>
    </row>
    <row r="731" spans="1:16" hidden="1" x14ac:dyDescent="0.2">
      <c r="A731" s="73">
        <v>67261</v>
      </c>
      <c r="B731" t="s">
        <v>443</v>
      </c>
      <c r="C731" s="73" t="s">
        <v>456</v>
      </c>
      <c r="D731" t="s">
        <v>507</v>
      </c>
      <c r="E731" s="74">
        <v>45936</v>
      </c>
      <c r="F731" t="s">
        <v>370</v>
      </c>
      <c r="G731" t="s">
        <v>371</v>
      </c>
      <c r="H731" s="75">
        <f t="shared" si="11"/>
        <v>138.72549663844038</v>
      </c>
      <c r="I731" s="74">
        <v>45936</v>
      </c>
      <c r="J731">
        <v>4</v>
      </c>
      <c r="K731" t="s">
        <v>513</v>
      </c>
      <c r="L731" t="s">
        <v>262</v>
      </c>
      <c r="M731" t="s">
        <v>356</v>
      </c>
      <c r="N731" s="73">
        <v>67261</v>
      </c>
      <c r="O731" s="73">
        <v>67261</v>
      </c>
      <c r="P731">
        <v>34.681374159610094</v>
      </c>
    </row>
    <row r="732" spans="1:16" hidden="1" x14ac:dyDescent="0.2">
      <c r="A732" s="73">
        <v>67261</v>
      </c>
      <c r="B732" t="s">
        <v>443</v>
      </c>
      <c r="C732" s="73" t="s">
        <v>456</v>
      </c>
      <c r="D732" t="s">
        <v>507</v>
      </c>
      <c r="E732" s="74">
        <v>45937</v>
      </c>
      <c r="F732" t="s">
        <v>362</v>
      </c>
      <c r="G732" t="s">
        <v>363</v>
      </c>
      <c r="H732" s="75">
        <f t="shared" si="11"/>
        <v>138.72549663844038</v>
      </c>
      <c r="I732" s="74">
        <v>45937</v>
      </c>
      <c r="J732">
        <v>4</v>
      </c>
      <c r="K732" t="s">
        <v>513</v>
      </c>
      <c r="L732" t="s">
        <v>355</v>
      </c>
      <c r="M732" t="s">
        <v>356</v>
      </c>
      <c r="N732" s="73">
        <v>67261</v>
      </c>
      <c r="O732" s="73">
        <v>67261</v>
      </c>
      <c r="P732">
        <v>34.681374159610094</v>
      </c>
    </row>
    <row r="733" spans="1:16" hidden="1" x14ac:dyDescent="0.2">
      <c r="A733" s="73">
        <v>67261</v>
      </c>
      <c r="B733" t="s">
        <v>443</v>
      </c>
      <c r="C733" s="73" t="s">
        <v>456</v>
      </c>
      <c r="D733" t="s">
        <v>507</v>
      </c>
      <c r="E733" s="74">
        <v>45937</v>
      </c>
      <c r="F733" t="s">
        <v>370</v>
      </c>
      <c r="G733" t="s">
        <v>371</v>
      </c>
      <c r="H733" s="75">
        <f t="shared" si="11"/>
        <v>138.72549663844038</v>
      </c>
      <c r="I733" s="74">
        <v>45937</v>
      </c>
      <c r="J733">
        <v>4</v>
      </c>
      <c r="K733" t="s">
        <v>513</v>
      </c>
      <c r="L733" t="s">
        <v>262</v>
      </c>
      <c r="M733" t="s">
        <v>356</v>
      </c>
      <c r="N733" s="73">
        <v>67261</v>
      </c>
      <c r="O733" s="73">
        <v>67261</v>
      </c>
      <c r="P733">
        <v>34.681374159610094</v>
      </c>
    </row>
    <row r="734" spans="1:16" hidden="1" x14ac:dyDescent="0.2">
      <c r="A734" s="73">
        <v>67261</v>
      </c>
      <c r="B734" t="s">
        <v>443</v>
      </c>
      <c r="C734" s="73" t="s">
        <v>456</v>
      </c>
      <c r="D734" t="s">
        <v>507</v>
      </c>
      <c r="E734" s="74">
        <v>45938</v>
      </c>
      <c r="F734" t="s">
        <v>362</v>
      </c>
      <c r="G734" t="s">
        <v>363</v>
      </c>
      <c r="H734" s="75">
        <f t="shared" si="11"/>
        <v>138.72549663844038</v>
      </c>
      <c r="I734" s="74">
        <v>45938</v>
      </c>
      <c r="J734">
        <v>4</v>
      </c>
      <c r="K734" t="s">
        <v>513</v>
      </c>
      <c r="L734" t="s">
        <v>355</v>
      </c>
      <c r="M734" t="s">
        <v>356</v>
      </c>
      <c r="N734" s="73">
        <v>67261</v>
      </c>
      <c r="O734" s="73">
        <v>67261</v>
      </c>
      <c r="P734">
        <v>34.681374159610094</v>
      </c>
    </row>
    <row r="735" spans="1:16" hidden="1" x14ac:dyDescent="0.2">
      <c r="A735" s="73">
        <v>67261</v>
      </c>
      <c r="B735" t="s">
        <v>443</v>
      </c>
      <c r="C735" s="73" t="s">
        <v>456</v>
      </c>
      <c r="D735" t="s">
        <v>507</v>
      </c>
      <c r="E735" s="74">
        <v>45938</v>
      </c>
      <c r="F735" t="s">
        <v>370</v>
      </c>
      <c r="G735" t="s">
        <v>371</v>
      </c>
      <c r="H735" s="75">
        <f t="shared" si="11"/>
        <v>138.72549663844038</v>
      </c>
      <c r="I735" s="74">
        <v>45938</v>
      </c>
      <c r="J735">
        <v>4</v>
      </c>
      <c r="K735" t="s">
        <v>513</v>
      </c>
      <c r="L735" t="s">
        <v>262</v>
      </c>
      <c r="M735" t="s">
        <v>356</v>
      </c>
      <c r="N735" s="73">
        <v>67261</v>
      </c>
      <c r="O735" s="73">
        <v>67261</v>
      </c>
      <c r="P735">
        <v>34.681374159610094</v>
      </c>
    </row>
    <row r="736" spans="1:16" hidden="1" x14ac:dyDescent="0.2">
      <c r="A736" s="73">
        <v>67261</v>
      </c>
      <c r="B736" t="s">
        <v>443</v>
      </c>
      <c r="C736" s="73" t="s">
        <v>456</v>
      </c>
      <c r="D736" t="s">
        <v>507</v>
      </c>
      <c r="E736" s="74">
        <v>45939</v>
      </c>
      <c r="F736" t="s">
        <v>362</v>
      </c>
      <c r="G736" t="s">
        <v>363</v>
      </c>
      <c r="H736" s="75">
        <f t="shared" si="11"/>
        <v>138.72549663844038</v>
      </c>
      <c r="I736" s="74">
        <v>45939</v>
      </c>
      <c r="J736">
        <v>4</v>
      </c>
      <c r="K736" t="s">
        <v>513</v>
      </c>
      <c r="L736" t="s">
        <v>355</v>
      </c>
      <c r="M736" t="s">
        <v>356</v>
      </c>
      <c r="N736" s="73">
        <v>67261</v>
      </c>
      <c r="O736" s="73">
        <v>67261</v>
      </c>
      <c r="P736">
        <v>34.681374159610094</v>
      </c>
    </row>
    <row r="737" spans="1:16" hidden="1" x14ac:dyDescent="0.2">
      <c r="A737" s="73">
        <v>67261</v>
      </c>
      <c r="B737" t="s">
        <v>443</v>
      </c>
      <c r="C737" s="73" t="s">
        <v>456</v>
      </c>
      <c r="D737" t="s">
        <v>507</v>
      </c>
      <c r="E737" s="74">
        <v>45939</v>
      </c>
      <c r="F737" t="s">
        <v>370</v>
      </c>
      <c r="G737" t="s">
        <v>371</v>
      </c>
      <c r="H737" s="75">
        <f t="shared" si="11"/>
        <v>138.72549663844038</v>
      </c>
      <c r="I737" s="74">
        <v>45939</v>
      </c>
      <c r="J737">
        <v>4</v>
      </c>
      <c r="K737" t="s">
        <v>513</v>
      </c>
      <c r="L737" t="s">
        <v>262</v>
      </c>
      <c r="M737" t="s">
        <v>356</v>
      </c>
      <c r="N737" s="73">
        <v>67261</v>
      </c>
      <c r="O737" s="73">
        <v>67261</v>
      </c>
      <c r="P737">
        <v>34.681374159610094</v>
      </c>
    </row>
    <row r="738" spans="1:16" hidden="1" x14ac:dyDescent="0.2">
      <c r="A738" s="73">
        <v>67261</v>
      </c>
      <c r="B738" t="s">
        <v>443</v>
      </c>
      <c r="C738" s="73" t="s">
        <v>456</v>
      </c>
      <c r="D738" t="s">
        <v>507</v>
      </c>
      <c r="E738" s="74">
        <v>45940</v>
      </c>
      <c r="F738" t="s">
        <v>362</v>
      </c>
      <c r="G738" t="s">
        <v>363</v>
      </c>
      <c r="H738" s="75">
        <f t="shared" si="11"/>
        <v>138.72549663844038</v>
      </c>
      <c r="I738" s="74">
        <v>45940</v>
      </c>
      <c r="J738">
        <v>4</v>
      </c>
      <c r="K738" t="s">
        <v>513</v>
      </c>
      <c r="L738" t="s">
        <v>355</v>
      </c>
      <c r="M738" t="s">
        <v>356</v>
      </c>
      <c r="N738" s="73">
        <v>67261</v>
      </c>
      <c r="O738" s="73">
        <v>67261</v>
      </c>
      <c r="P738">
        <v>34.681374159610094</v>
      </c>
    </row>
    <row r="739" spans="1:16" hidden="1" x14ac:dyDescent="0.2">
      <c r="A739" s="73">
        <v>67261</v>
      </c>
      <c r="B739" t="s">
        <v>443</v>
      </c>
      <c r="C739" s="73" t="s">
        <v>456</v>
      </c>
      <c r="D739" t="s">
        <v>507</v>
      </c>
      <c r="E739" s="74">
        <v>45940</v>
      </c>
      <c r="F739" t="s">
        <v>370</v>
      </c>
      <c r="G739" t="s">
        <v>371</v>
      </c>
      <c r="H739" s="75">
        <f t="shared" si="11"/>
        <v>138.72549663844038</v>
      </c>
      <c r="I739" s="74">
        <v>45940</v>
      </c>
      <c r="J739">
        <v>4</v>
      </c>
      <c r="K739" t="s">
        <v>513</v>
      </c>
      <c r="L739" t="s">
        <v>262</v>
      </c>
      <c r="M739" t="s">
        <v>356</v>
      </c>
      <c r="N739" s="73">
        <v>67261</v>
      </c>
      <c r="O739" s="73">
        <v>67261</v>
      </c>
      <c r="P739">
        <v>34.681374159610094</v>
      </c>
    </row>
    <row r="740" spans="1:16" hidden="1" x14ac:dyDescent="0.2">
      <c r="A740" s="73">
        <v>67263</v>
      </c>
      <c r="B740" t="s">
        <v>457</v>
      </c>
      <c r="C740" s="73" t="s">
        <v>458</v>
      </c>
      <c r="D740" t="s">
        <v>459</v>
      </c>
      <c r="E740" s="74">
        <v>45936</v>
      </c>
      <c r="F740" t="s">
        <v>357</v>
      </c>
      <c r="G740" t="s">
        <v>358</v>
      </c>
      <c r="H740" s="75">
        <f t="shared" si="11"/>
        <v>69.362748319220188</v>
      </c>
      <c r="I740" s="74">
        <v>45936</v>
      </c>
      <c r="J740">
        <v>2</v>
      </c>
      <c r="K740" t="s">
        <v>513</v>
      </c>
      <c r="L740" t="s">
        <v>359</v>
      </c>
      <c r="M740" t="s">
        <v>356</v>
      </c>
      <c r="N740" s="73">
        <v>67263</v>
      </c>
      <c r="O740" s="73">
        <v>67263</v>
      </c>
      <c r="P740">
        <v>34.681374159610094</v>
      </c>
    </row>
    <row r="741" spans="1:16" hidden="1" x14ac:dyDescent="0.2">
      <c r="A741" s="73">
        <v>67263</v>
      </c>
      <c r="B741" t="s">
        <v>457</v>
      </c>
      <c r="C741" s="73" t="s">
        <v>458</v>
      </c>
      <c r="D741" t="s">
        <v>459</v>
      </c>
      <c r="E741" s="74">
        <v>45937</v>
      </c>
      <c r="F741" t="s">
        <v>357</v>
      </c>
      <c r="G741" t="s">
        <v>358</v>
      </c>
      <c r="H741" s="75">
        <f t="shared" si="11"/>
        <v>69.362748319220188</v>
      </c>
      <c r="I741" s="74">
        <v>45937</v>
      </c>
      <c r="J741">
        <v>2</v>
      </c>
      <c r="K741" t="s">
        <v>513</v>
      </c>
      <c r="L741" t="s">
        <v>359</v>
      </c>
      <c r="M741" t="s">
        <v>356</v>
      </c>
      <c r="N741" s="73">
        <v>67263</v>
      </c>
      <c r="O741" s="73">
        <v>67263</v>
      </c>
      <c r="P741">
        <v>34.681374159610094</v>
      </c>
    </row>
    <row r="742" spans="1:16" hidden="1" x14ac:dyDescent="0.2">
      <c r="A742" s="73">
        <v>67263</v>
      </c>
      <c r="B742" t="s">
        <v>457</v>
      </c>
      <c r="C742" s="73" t="s">
        <v>458</v>
      </c>
      <c r="D742" t="s">
        <v>459</v>
      </c>
      <c r="E742" s="74">
        <v>45938</v>
      </c>
      <c r="F742" t="s">
        <v>357</v>
      </c>
      <c r="G742" t="s">
        <v>358</v>
      </c>
      <c r="H742" s="75">
        <f t="shared" si="11"/>
        <v>69.362748319220188</v>
      </c>
      <c r="I742" s="74">
        <v>45938</v>
      </c>
      <c r="J742">
        <v>2</v>
      </c>
      <c r="K742" t="s">
        <v>513</v>
      </c>
      <c r="L742" t="s">
        <v>359</v>
      </c>
      <c r="M742" t="s">
        <v>356</v>
      </c>
      <c r="N742" s="73">
        <v>67263</v>
      </c>
      <c r="O742" s="73">
        <v>67263</v>
      </c>
      <c r="P742">
        <v>34.681374159610094</v>
      </c>
    </row>
    <row r="743" spans="1:16" hidden="1" x14ac:dyDescent="0.2">
      <c r="A743" s="73">
        <v>67263</v>
      </c>
      <c r="B743" t="s">
        <v>457</v>
      </c>
      <c r="C743" s="73" t="s">
        <v>458</v>
      </c>
      <c r="D743" t="s">
        <v>459</v>
      </c>
      <c r="E743" s="74">
        <v>45939</v>
      </c>
      <c r="F743" t="s">
        <v>357</v>
      </c>
      <c r="G743" t="s">
        <v>358</v>
      </c>
      <c r="H743" s="75">
        <f t="shared" si="11"/>
        <v>69.362748319220188</v>
      </c>
      <c r="I743" s="74">
        <v>45939</v>
      </c>
      <c r="J743">
        <v>2</v>
      </c>
      <c r="K743" t="s">
        <v>513</v>
      </c>
      <c r="L743" t="s">
        <v>359</v>
      </c>
      <c r="M743" t="s">
        <v>356</v>
      </c>
      <c r="N743" s="73">
        <v>67263</v>
      </c>
      <c r="O743" s="73">
        <v>67263</v>
      </c>
      <c r="P743">
        <v>34.681374159610094</v>
      </c>
    </row>
    <row r="744" spans="1:16" hidden="1" x14ac:dyDescent="0.2">
      <c r="A744" s="73">
        <v>67263</v>
      </c>
      <c r="B744" t="s">
        <v>457</v>
      </c>
      <c r="C744" s="73" t="s">
        <v>458</v>
      </c>
      <c r="D744" t="s">
        <v>459</v>
      </c>
      <c r="E744" s="74">
        <v>45940</v>
      </c>
      <c r="F744" t="s">
        <v>357</v>
      </c>
      <c r="G744" t="s">
        <v>358</v>
      </c>
      <c r="H744" s="75">
        <f t="shared" si="11"/>
        <v>69.362748319220188</v>
      </c>
      <c r="I744" s="74">
        <v>45940</v>
      </c>
      <c r="J744">
        <v>2</v>
      </c>
      <c r="K744" t="s">
        <v>513</v>
      </c>
      <c r="L744" t="s">
        <v>359</v>
      </c>
      <c r="M744" t="s">
        <v>356</v>
      </c>
      <c r="N744" s="73">
        <v>67263</v>
      </c>
      <c r="O744" s="73">
        <v>67263</v>
      </c>
      <c r="P744">
        <v>34.681374159610094</v>
      </c>
    </row>
    <row r="745" spans="1:16" hidden="1" x14ac:dyDescent="0.2">
      <c r="A745" s="73">
        <v>67263</v>
      </c>
      <c r="B745" t="s">
        <v>457</v>
      </c>
      <c r="C745" s="73" t="s">
        <v>458</v>
      </c>
      <c r="D745" t="s">
        <v>459</v>
      </c>
      <c r="E745" s="74">
        <v>45985</v>
      </c>
      <c r="F745">
        <v>6833</v>
      </c>
      <c r="G745" t="s">
        <v>383</v>
      </c>
      <c r="H745" s="75">
        <f t="shared" si="11"/>
        <v>34.681374159610094</v>
      </c>
      <c r="I745" s="74">
        <v>45985</v>
      </c>
      <c r="J745">
        <v>1</v>
      </c>
      <c r="K745" t="s">
        <v>514</v>
      </c>
      <c r="L745" t="s">
        <v>384</v>
      </c>
      <c r="M745" t="s">
        <v>356</v>
      </c>
      <c r="N745" s="73">
        <v>67263</v>
      </c>
      <c r="O745" s="73">
        <v>67263</v>
      </c>
      <c r="P745">
        <v>34.681374159610094</v>
      </c>
    </row>
    <row r="746" spans="1:16" hidden="1" x14ac:dyDescent="0.2">
      <c r="A746" s="73">
        <v>67263</v>
      </c>
      <c r="B746" t="s">
        <v>457</v>
      </c>
      <c r="C746" s="73" t="s">
        <v>458</v>
      </c>
      <c r="D746" t="s">
        <v>459</v>
      </c>
      <c r="E746" s="74">
        <v>45986</v>
      </c>
      <c r="F746">
        <v>6833</v>
      </c>
      <c r="G746" t="s">
        <v>383</v>
      </c>
      <c r="H746" s="75">
        <f t="shared" si="11"/>
        <v>34.681374159610094</v>
      </c>
      <c r="I746" s="74">
        <v>45986</v>
      </c>
      <c r="J746">
        <v>1</v>
      </c>
      <c r="K746" t="s">
        <v>514</v>
      </c>
      <c r="L746" t="s">
        <v>384</v>
      </c>
      <c r="M746" t="s">
        <v>356</v>
      </c>
      <c r="N746" s="73">
        <v>67263</v>
      </c>
      <c r="O746" s="73">
        <v>67263</v>
      </c>
      <c r="P746">
        <v>34.681374159610094</v>
      </c>
    </row>
    <row r="747" spans="1:16" hidden="1" x14ac:dyDescent="0.2">
      <c r="A747" s="73">
        <v>67263</v>
      </c>
      <c r="B747" t="s">
        <v>457</v>
      </c>
      <c r="C747" s="73" t="s">
        <v>458</v>
      </c>
      <c r="D747" t="s">
        <v>459</v>
      </c>
      <c r="E747" s="74">
        <v>45987</v>
      </c>
      <c r="F747">
        <v>6833</v>
      </c>
      <c r="G747" t="s">
        <v>383</v>
      </c>
      <c r="H747" s="75">
        <f t="shared" si="11"/>
        <v>34.681374159610094</v>
      </c>
      <c r="I747" s="74">
        <v>45987</v>
      </c>
      <c r="J747">
        <v>1</v>
      </c>
      <c r="K747" t="s">
        <v>514</v>
      </c>
      <c r="L747" t="s">
        <v>384</v>
      </c>
      <c r="M747" t="s">
        <v>356</v>
      </c>
      <c r="N747" s="73">
        <v>67263</v>
      </c>
      <c r="O747" s="73">
        <v>67263</v>
      </c>
      <c r="P747">
        <v>34.681374159610094</v>
      </c>
    </row>
    <row r="748" spans="1:16" hidden="1" x14ac:dyDescent="0.2">
      <c r="A748" s="73">
        <v>67263</v>
      </c>
      <c r="B748" t="s">
        <v>457</v>
      </c>
      <c r="C748" s="73" t="s">
        <v>458</v>
      </c>
      <c r="D748" t="s">
        <v>459</v>
      </c>
      <c r="E748" s="74">
        <v>45988</v>
      </c>
      <c r="F748">
        <v>6833</v>
      </c>
      <c r="G748" t="s">
        <v>383</v>
      </c>
      <c r="H748" s="75">
        <f t="shared" si="11"/>
        <v>34.681374159610094</v>
      </c>
      <c r="I748" s="74">
        <v>45988</v>
      </c>
      <c r="J748">
        <v>1</v>
      </c>
      <c r="K748" t="s">
        <v>514</v>
      </c>
      <c r="L748" t="s">
        <v>384</v>
      </c>
      <c r="M748" t="s">
        <v>356</v>
      </c>
      <c r="N748" s="73">
        <v>67263</v>
      </c>
      <c r="O748" s="73">
        <v>67263</v>
      </c>
      <c r="P748">
        <v>34.681374159610094</v>
      </c>
    </row>
    <row r="749" spans="1:16" hidden="1" x14ac:dyDescent="0.2">
      <c r="A749" s="73">
        <v>67263</v>
      </c>
      <c r="B749" t="s">
        <v>457</v>
      </c>
      <c r="C749" s="73" t="s">
        <v>458</v>
      </c>
      <c r="D749" t="s">
        <v>459</v>
      </c>
      <c r="E749" s="74">
        <v>45989</v>
      </c>
      <c r="F749">
        <v>6833</v>
      </c>
      <c r="G749" t="s">
        <v>383</v>
      </c>
      <c r="H749" s="75">
        <f t="shared" si="11"/>
        <v>34.681374159610094</v>
      </c>
      <c r="I749" s="74">
        <v>45989</v>
      </c>
      <c r="J749">
        <v>1</v>
      </c>
      <c r="K749" t="s">
        <v>514</v>
      </c>
      <c r="L749" t="s">
        <v>384</v>
      </c>
      <c r="M749" t="s">
        <v>356</v>
      </c>
      <c r="N749" s="73">
        <v>67263</v>
      </c>
      <c r="O749" s="73">
        <v>67263</v>
      </c>
      <c r="P749">
        <v>34.681374159610094</v>
      </c>
    </row>
    <row r="750" spans="1:16" hidden="1" x14ac:dyDescent="0.2">
      <c r="A750" s="73">
        <v>67263</v>
      </c>
      <c r="B750" t="s">
        <v>457</v>
      </c>
      <c r="C750" s="73" t="s">
        <v>458</v>
      </c>
      <c r="D750" t="s">
        <v>459</v>
      </c>
      <c r="E750" s="74">
        <v>45992</v>
      </c>
      <c r="F750">
        <v>6833</v>
      </c>
      <c r="G750" t="s">
        <v>383</v>
      </c>
      <c r="H750" s="75">
        <f t="shared" si="11"/>
        <v>69.362748319220188</v>
      </c>
      <c r="I750" s="74">
        <v>45992</v>
      </c>
      <c r="J750">
        <v>2</v>
      </c>
      <c r="K750" t="s">
        <v>515</v>
      </c>
      <c r="L750" t="s">
        <v>384</v>
      </c>
      <c r="M750" t="s">
        <v>356</v>
      </c>
      <c r="N750" s="73">
        <v>67263</v>
      </c>
      <c r="O750" s="73">
        <v>67263</v>
      </c>
      <c r="P750">
        <v>34.681374159610094</v>
      </c>
    </row>
    <row r="751" spans="1:16" hidden="1" x14ac:dyDescent="0.2">
      <c r="A751" s="73">
        <v>67263</v>
      </c>
      <c r="B751" t="s">
        <v>457</v>
      </c>
      <c r="C751" s="73" t="s">
        <v>458</v>
      </c>
      <c r="D751" t="s">
        <v>459</v>
      </c>
      <c r="E751" s="74">
        <v>45993</v>
      </c>
      <c r="F751">
        <v>6833</v>
      </c>
      <c r="G751" t="s">
        <v>383</v>
      </c>
      <c r="H751" s="75">
        <f t="shared" si="11"/>
        <v>69.362748319220188</v>
      </c>
      <c r="I751" s="74">
        <v>45993</v>
      </c>
      <c r="J751">
        <v>2</v>
      </c>
      <c r="K751" t="s">
        <v>515</v>
      </c>
      <c r="L751" t="s">
        <v>384</v>
      </c>
      <c r="M751" t="s">
        <v>356</v>
      </c>
      <c r="N751" s="73">
        <v>67263</v>
      </c>
      <c r="O751" s="73">
        <v>67263</v>
      </c>
      <c r="P751">
        <v>34.681374159610094</v>
      </c>
    </row>
    <row r="752" spans="1:16" hidden="1" x14ac:dyDescent="0.2">
      <c r="A752" s="73">
        <v>67263</v>
      </c>
      <c r="B752" t="s">
        <v>457</v>
      </c>
      <c r="C752" s="73" t="s">
        <v>458</v>
      </c>
      <c r="D752" t="s">
        <v>459</v>
      </c>
      <c r="E752" s="74">
        <v>45994</v>
      </c>
      <c r="F752">
        <v>6833</v>
      </c>
      <c r="G752" t="s">
        <v>383</v>
      </c>
      <c r="H752" s="75">
        <f t="shared" si="11"/>
        <v>34.681374159610094</v>
      </c>
      <c r="I752" s="74">
        <v>45994</v>
      </c>
      <c r="J752">
        <v>1</v>
      </c>
      <c r="K752" t="s">
        <v>515</v>
      </c>
      <c r="L752" t="s">
        <v>384</v>
      </c>
      <c r="M752" t="s">
        <v>356</v>
      </c>
      <c r="N752" s="73">
        <v>67263</v>
      </c>
      <c r="O752" s="73">
        <v>67263</v>
      </c>
      <c r="P752">
        <v>34.681374159610094</v>
      </c>
    </row>
    <row r="753" spans="1:16" hidden="1" x14ac:dyDescent="0.2">
      <c r="A753" s="73">
        <v>67263</v>
      </c>
      <c r="B753" t="s">
        <v>457</v>
      </c>
      <c r="C753" s="73" t="s">
        <v>458</v>
      </c>
      <c r="D753" t="s">
        <v>459</v>
      </c>
      <c r="E753" s="74">
        <v>46034</v>
      </c>
      <c r="F753">
        <v>6833</v>
      </c>
      <c r="G753" t="s">
        <v>383</v>
      </c>
      <c r="H753" s="75">
        <f t="shared" si="11"/>
        <v>34.681374159610094</v>
      </c>
      <c r="I753" s="74">
        <v>46034</v>
      </c>
      <c r="J753">
        <v>1</v>
      </c>
      <c r="K753" t="s">
        <v>516</v>
      </c>
      <c r="L753" t="s">
        <v>384</v>
      </c>
      <c r="M753" t="s">
        <v>356</v>
      </c>
      <c r="N753" s="73">
        <v>67263</v>
      </c>
      <c r="O753" s="73">
        <v>67263</v>
      </c>
      <c r="P753">
        <v>34.681374159610094</v>
      </c>
    </row>
    <row r="754" spans="1:16" hidden="1" x14ac:dyDescent="0.2">
      <c r="A754" s="73">
        <v>67263</v>
      </c>
      <c r="B754" t="s">
        <v>457</v>
      </c>
      <c r="C754" s="73" t="s">
        <v>458</v>
      </c>
      <c r="D754" t="s">
        <v>459</v>
      </c>
      <c r="E754" s="74">
        <v>46035</v>
      </c>
      <c r="F754">
        <v>6833</v>
      </c>
      <c r="G754" t="s">
        <v>383</v>
      </c>
      <c r="H754" s="75">
        <f t="shared" si="11"/>
        <v>34.681374159610094</v>
      </c>
      <c r="I754" s="74">
        <v>46035</v>
      </c>
      <c r="J754">
        <v>1</v>
      </c>
      <c r="K754" t="s">
        <v>516</v>
      </c>
      <c r="L754" t="s">
        <v>384</v>
      </c>
      <c r="M754" t="s">
        <v>356</v>
      </c>
      <c r="N754" s="73">
        <v>67263</v>
      </c>
      <c r="O754" s="73">
        <v>67263</v>
      </c>
      <c r="P754">
        <v>34.681374159610094</v>
      </c>
    </row>
    <row r="755" spans="1:16" hidden="1" x14ac:dyDescent="0.2">
      <c r="A755" s="73">
        <v>67263</v>
      </c>
      <c r="B755" t="s">
        <v>457</v>
      </c>
      <c r="C755" s="73" t="s">
        <v>458</v>
      </c>
      <c r="D755" t="s">
        <v>459</v>
      </c>
      <c r="E755" s="74">
        <v>46036</v>
      </c>
      <c r="F755">
        <v>6833</v>
      </c>
      <c r="G755" t="s">
        <v>383</v>
      </c>
      <c r="H755" s="75">
        <f t="shared" si="11"/>
        <v>34.681374159610094</v>
      </c>
      <c r="I755" s="74">
        <v>46036</v>
      </c>
      <c r="J755">
        <v>1</v>
      </c>
      <c r="K755" t="s">
        <v>516</v>
      </c>
      <c r="L755" t="s">
        <v>384</v>
      </c>
      <c r="M755" t="s">
        <v>356</v>
      </c>
      <c r="N755" s="73">
        <v>67263</v>
      </c>
      <c r="O755" s="73">
        <v>67263</v>
      </c>
      <c r="P755">
        <v>34.681374159610094</v>
      </c>
    </row>
    <row r="756" spans="1:16" hidden="1" x14ac:dyDescent="0.2">
      <c r="A756" s="73">
        <v>67263</v>
      </c>
      <c r="B756" t="s">
        <v>457</v>
      </c>
      <c r="C756" s="73" t="s">
        <v>458</v>
      </c>
      <c r="D756" t="s">
        <v>459</v>
      </c>
      <c r="E756" s="74">
        <v>46038</v>
      </c>
      <c r="F756">
        <v>6833</v>
      </c>
      <c r="G756" t="s">
        <v>383</v>
      </c>
      <c r="H756" s="75">
        <f t="shared" si="11"/>
        <v>34.681374159610094</v>
      </c>
      <c r="I756" s="74">
        <v>46038</v>
      </c>
      <c r="J756">
        <v>1</v>
      </c>
      <c r="K756" t="s">
        <v>516</v>
      </c>
      <c r="L756" t="s">
        <v>384</v>
      </c>
      <c r="M756" t="s">
        <v>356</v>
      </c>
      <c r="N756" s="73">
        <v>67263</v>
      </c>
      <c r="O756" s="73">
        <v>67263</v>
      </c>
      <c r="P756">
        <v>34.681374159610094</v>
      </c>
    </row>
    <row r="757" spans="1:16" hidden="1" x14ac:dyDescent="0.2">
      <c r="A757" s="73">
        <v>67263</v>
      </c>
      <c r="B757" t="s">
        <v>457</v>
      </c>
      <c r="C757" s="73" t="s">
        <v>458</v>
      </c>
      <c r="D757" t="s">
        <v>459</v>
      </c>
      <c r="E757" s="74">
        <v>46055</v>
      </c>
      <c r="F757">
        <v>6538</v>
      </c>
      <c r="G757" t="s">
        <v>380</v>
      </c>
      <c r="H757" s="75">
        <f t="shared" si="11"/>
        <v>69.362748319220188</v>
      </c>
      <c r="I757" s="74">
        <v>46055</v>
      </c>
      <c r="J757">
        <v>2</v>
      </c>
      <c r="K757" t="s">
        <v>508</v>
      </c>
      <c r="L757" t="s">
        <v>359</v>
      </c>
      <c r="M757" t="s">
        <v>368</v>
      </c>
      <c r="N757" s="73">
        <v>67263</v>
      </c>
      <c r="O757" s="73">
        <v>67263</v>
      </c>
      <c r="P757">
        <v>34.681374159610094</v>
      </c>
    </row>
    <row r="758" spans="1:16" hidden="1" x14ac:dyDescent="0.2">
      <c r="A758" s="73">
        <v>67263</v>
      </c>
      <c r="B758" t="s">
        <v>457</v>
      </c>
      <c r="C758" s="73" t="s">
        <v>458</v>
      </c>
      <c r="D758" t="s">
        <v>459</v>
      </c>
      <c r="E758" s="74">
        <v>46056</v>
      </c>
      <c r="F758">
        <v>6538</v>
      </c>
      <c r="G758" t="s">
        <v>380</v>
      </c>
      <c r="H758" s="75">
        <f t="shared" si="11"/>
        <v>69.362748319220188</v>
      </c>
      <c r="I758" s="74">
        <v>46056</v>
      </c>
      <c r="J758">
        <v>2</v>
      </c>
      <c r="K758" t="s">
        <v>508</v>
      </c>
      <c r="L758" t="s">
        <v>359</v>
      </c>
      <c r="M758" t="s">
        <v>368</v>
      </c>
      <c r="N758" s="73">
        <v>67263</v>
      </c>
      <c r="O758" s="73">
        <v>67263</v>
      </c>
      <c r="P758">
        <v>34.681374159610094</v>
      </c>
    </row>
    <row r="759" spans="1:16" hidden="1" x14ac:dyDescent="0.2">
      <c r="A759" s="73">
        <v>67263</v>
      </c>
      <c r="B759" t="s">
        <v>457</v>
      </c>
      <c r="C759" s="73" t="s">
        <v>458</v>
      </c>
      <c r="D759" t="s">
        <v>459</v>
      </c>
      <c r="E759" s="74">
        <v>46057</v>
      </c>
      <c r="F759">
        <v>6538</v>
      </c>
      <c r="G759" t="s">
        <v>380</v>
      </c>
      <c r="H759" s="75">
        <f t="shared" si="11"/>
        <v>69.362748319220188</v>
      </c>
      <c r="I759" s="74">
        <v>46057</v>
      </c>
      <c r="J759">
        <v>2</v>
      </c>
      <c r="K759" t="s">
        <v>508</v>
      </c>
      <c r="L759" t="s">
        <v>359</v>
      </c>
      <c r="M759" t="s">
        <v>368</v>
      </c>
      <c r="N759" s="73">
        <v>67263</v>
      </c>
      <c r="O759" s="73">
        <v>67263</v>
      </c>
      <c r="P759">
        <v>34.681374159610094</v>
      </c>
    </row>
    <row r="760" spans="1:16" hidden="1" x14ac:dyDescent="0.2">
      <c r="A760" s="73">
        <v>67263</v>
      </c>
      <c r="B760" t="s">
        <v>457</v>
      </c>
      <c r="C760" s="73" t="s">
        <v>458</v>
      </c>
      <c r="D760" t="s">
        <v>459</v>
      </c>
      <c r="E760" s="74">
        <v>46058</v>
      </c>
      <c r="F760">
        <v>6538</v>
      </c>
      <c r="G760" t="s">
        <v>380</v>
      </c>
      <c r="H760" s="75">
        <f t="shared" si="11"/>
        <v>69.362748319220188</v>
      </c>
      <c r="I760" s="74">
        <v>46058</v>
      </c>
      <c r="J760">
        <v>2</v>
      </c>
      <c r="K760" t="s">
        <v>508</v>
      </c>
      <c r="L760" t="s">
        <v>359</v>
      </c>
      <c r="M760" t="s">
        <v>368</v>
      </c>
      <c r="N760" s="73">
        <v>67263</v>
      </c>
      <c r="O760" s="73">
        <v>67263</v>
      </c>
      <c r="P760">
        <v>34.681374159610094</v>
      </c>
    </row>
    <row r="761" spans="1:16" hidden="1" x14ac:dyDescent="0.2">
      <c r="A761" s="73">
        <v>67263</v>
      </c>
      <c r="B761" t="s">
        <v>457</v>
      </c>
      <c r="C761" s="73" t="s">
        <v>458</v>
      </c>
      <c r="D761" t="s">
        <v>459</v>
      </c>
      <c r="E761" s="74">
        <v>46059</v>
      </c>
      <c r="F761">
        <v>6538</v>
      </c>
      <c r="G761" t="s">
        <v>380</v>
      </c>
      <c r="H761" s="75">
        <f t="shared" si="11"/>
        <v>69.362748319220188</v>
      </c>
      <c r="I761" s="74">
        <v>46059</v>
      </c>
      <c r="J761">
        <v>2</v>
      </c>
      <c r="K761" t="s">
        <v>508</v>
      </c>
      <c r="L761" t="s">
        <v>359</v>
      </c>
      <c r="M761" t="s">
        <v>368</v>
      </c>
      <c r="N761" s="73">
        <v>67263</v>
      </c>
      <c r="O761" s="73">
        <v>67263</v>
      </c>
      <c r="P761">
        <v>34.681374159610094</v>
      </c>
    </row>
    <row r="762" spans="1:16" hidden="1" x14ac:dyDescent="0.2">
      <c r="A762" s="73">
        <v>67263</v>
      </c>
      <c r="B762" t="s">
        <v>457</v>
      </c>
      <c r="C762" s="73" t="s">
        <v>458</v>
      </c>
      <c r="D762" t="s">
        <v>459</v>
      </c>
      <c r="E762" s="74">
        <v>46062</v>
      </c>
      <c r="F762">
        <v>6538</v>
      </c>
      <c r="G762" t="s">
        <v>380</v>
      </c>
      <c r="H762" s="75">
        <f t="shared" si="11"/>
        <v>69.362748319220188</v>
      </c>
      <c r="I762" s="74">
        <v>46062</v>
      </c>
      <c r="J762">
        <v>2</v>
      </c>
      <c r="K762" t="s">
        <v>508</v>
      </c>
      <c r="L762" t="s">
        <v>359</v>
      </c>
      <c r="M762" t="s">
        <v>368</v>
      </c>
      <c r="N762" s="73">
        <v>67263</v>
      </c>
      <c r="O762" s="73">
        <v>67263</v>
      </c>
      <c r="P762">
        <v>34.681374159610094</v>
      </c>
    </row>
    <row r="763" spans="1:16" hidden="1" x14ac:dyDescent="0.2">
      <c r="A763" s="73">
        <v>67263</v>
      </c>
      <c r="B763" t="s">
        <v>457</v>
      </c>
      <c r="C763" s="73" t="s">
        <v>458</v>
      </c>
      <c r="D763" t="s">
        <v>459</v>
      </c>
      <c r="E763" s="74">
        <v>46063</v>
      </c>
      <c r="F763">
        <v>6538</v>
      </c>
      <c r="G763" t="s">
        <v>380</v>
      </c>
      <c r="H763" s="75">
        <f t="shared" si="11"/>
        <v>104.04412247883027</v>
      </c>
      <c r="I763" s="74">
        <v>46063</v>
      </c>
      <c r="J763">
        <v>3</v>
      </c>
      <c r="K763" t="s">
        <v>508</v>
      </c>
      <c r="L763" t="s">
        <v>359</v>
      </c>
      <c r="M763" t="s">
        <v>368</v>
      </c>
      <c r="N763" s="73">
        <v>67263</v>
      </c>
      <c r="O763" s="73">
        <v>67263</v>
      </c>
      <c r="P763">
        <v>34.681374159610094</v>
      </c>
    </row>
    <row r="764" spans="1:16" hidden="1" x14ac:dyDescent="0.2">
      <c r="A764" s="73">
        <v>67263</v>
      </c>
      <c r="B764" t="s">
        <v>457</v>
      </c>
      <c r="C764" s="73" t="s">
        <v>458</v>
      </c>
      <c r="D764" t="s">
        <v>459</v>
      </c>
      <c r="E764" s="74">
        <v>46064</v>
      </c>
      <c r="F764">
        <v>6538</v>
      </c>
      <c r="G764" t="s">
        <v>380</v>
      </c>
      <c r="H764" s="75">
        <f t="shared" si="11"/>
        <v>69.362748319220188</v>
      </c>
      <c r="I764" s="74">
        <v>46064</v>
      </c>
      <c r="J764">
        <v>2</v>
      </c>
      <c r="K764" t="s">
        <v>508</v>
      </c>
      <c r="L764" t="s">
        <v>359</v>
      </c>
      <c r="M764" t="s">
        <v>368</v>
      </c>
      <c r="N764" s="73">
        <v>67263</v>
      </c>
      <c r="O764" s="73">
        <v>67263</v>
      </c>
      <c r="P764">
        <v>34.681374159610094</v>
      </c>
    </row>
    <row r="765" spans="1:16" hidden="1" x14ac:dyDescent="0.2">
      <c r="A765" s="73">
        <v>67263</v>
      </c>
      <c r="B765" t="s">
        <v>457</v>
      </c>
      <c r="C765" s="73" t="s">
        <v>458</v>
      </c>
      <c r="D765" t="s">
        <v>459</v>
      </c>
      <c r="E765" s="74">
        <v>46065</v>
      </c>
      <c r="F765">
        <v>6538</v>
      </c>
      <c r="G765" t="s">
        <v>380</v>
      </c>
      <c r="H765" s="75">
        <f t="shared" si="11"/>
        <v>104.04412247883027</v>
      </c>
      <c r="I765" s="74">
        <v>46065</v>
      </c>
      <c r="J765">
        <v>3</v>
      </c>
      <c r="K765" t="s">
        <v>508</v>
      </c>
      <c r="L765" t="s">
        <v>359</v>
      </c>
      <c r="M765" t="s">
        <v>368</v>
      </c>
      <c r="N765" s="73">
        <v>67263</v>
      </c>
      <c r="O765" s="73">
        <v>67263</v>
      </c>
      <c r="P765">
        <v>34.681374159610094</v>
      </c>
    </row>
    <row r="766" spans="1:16" hidden="1" x14ac:dyDescent="0.2">
      <c r="A766" s="73">
        <v>67263</v>
      </c>
      <c r="B766" t="s">
        <v>457</v>
      </c>
      <c r="C766" s="73" t="s">
        <v>458</v>
      </c>
      <c r="D766" t="s">
        <v>459</v>
      </c>
      <c r="E766" s="74">
        <v>46076</v>
      </c>
      <c r="F766">
        <v>6538</v>
      </c>
      <c r="G766" t="s">
        <v>380</v>
      </c>
      <c r="H766" s="75">
        <f t="shared" si="11"/>
        <v>69.362748319220188</v>
      </c>
      <c r="I766" s="74">
        <v>46076</v>
      </c>
      <c r="J766">
        <v>2</v>
      </c>
      <c r="K766" t="s">
        <v>508</v>
      </c>
      <c r="L766" t="s">
        <v>359</v>
      </c>
      <c r="M766" t="s">
        <v>368</v>
      </c>
      <c r="N766" s="73">
        <v>67263</v>
      </c>
      <c r="O766" s="73">
        <v>67263</v>
      </c>
      <c r="P766">
        <v>34.681374159610094</v>
      </c>
    </row>
    <row r="767" spans="1:16" hidden="1" x14ac:dyDescent="0.2">
      <c r="A767" s="73">
        <v>67263</v>
      </c>
      <c r="B767" t="s">
        <v>457</v>
      </c>
      <c r="C767" s="73" t="s">
        <v>458</v>
      </c>
      <c r="D767" t="s">
        <v>459</v>
      </c>
      <c r="E767" s="74">
        <v>46077</v>
      </c>
      <c r="F767">
        <v>6538</v>
      </c>
      <c r="G767" t="s">
        <v>380</v>
      </c>
      <c r="H767" s="75">
        <f t="shared" si="11"/>
        <v>69.362748319220188</v>
      </c>
      <c r="I767" s="74">
        <v>46077</v>
      </c>
      <c r="J767">
        <v>2</v>
      </c>
      <c r="K767" t="s">
        <v>508</v>
      </c>
      <c r="L767" t="s">
        <v>359</v>
      </c>
      <c r="M767" t="s">
        <v>368</v>
      </c>
      <c r="N767" s="73">
        <v>67263</v>
      </c>
      <c r="O767" s="73">
        <v>67263</v>
      </c>
      <c r="P767">
        <v>34.681374159610094</v>
      </c>
    </row>
    <row r="768" spans="1:16" hidden="1" x14ac:dyDescent="0.2">
      <c r="A768" s="73">
        <v>67263</v>
      </c>
      <c r="B768" t="s">
        <v>457</v>
      </c>
      <c r="C768" s="73" t="s">
        <v>458</v>
      </c>
      <c r="D768" t="s">
        <v>459</v>
      </c>
      <c r="E768" s="74">
        <v>46078</v>
      </c>
      <c r="F768">
        <v>6538</v>
      </c>
      <c r="G768" t="s">
        <v>380</v>
      </c>
      <c r="H768" s="75">
        <f t="shared" si="11"/>
        <v>69.362748319220188</v>
      </c>
      <c r="I768" s="74">
        <v>46078</v>
      </c>
      <c r="J768">
        <v>2</v>
      </c>
      <c r="K768" t="s">
        <v>508</v>
      </c>
      <c r="L768" t="s">
        <v>359</v>
      </c>
      <c r="M768" t="s">
        <v>368</v>
      </c>
      <c r="N768" s="73">
        <v>67263</v>
      </c>
      <c r="O768" s="73">
        <v>67263</v>
      </c>
      <c r="P768">
        <v>34.681374159610094</v>
      </c>
    </row>
    <row r="769" spans="1:16" hidden="1" x14ac:dyDescent="0.2">
      <c r="A769" s="73">
        <v>67263</v>
      </c>
      <c r="B769" t="s">
        <v>457</v>
      </c>
      <c r="C769" s="73" t="s">
        <v>458</v>
      </c>
      <c r="D769" t="s">
        <v>459</v>
      </c>
      <c r="E769" s="74">
        <v>46079</v>
      </c>
      <c r="F769">
        <v>6538</v>
      </c>
      <c r="G769" t="s">
        <v>380</v>
      </c>
      <c r="H769" s="75">
        <f t="shared" si="11"/>
        <v>69.362748319220188</v>
      </c>
      <c r="I769" s="74">
        <v>46079</v>
      </c>
      <c r="J769">
        <v>2</v>
      </c>
      <c r="K769" t="s">
        <v>508</v>
      </c>
      <c r="L769" t="s">
        <v>359</v>
      </c>
      <c r="M769" t="s">
        <v>368</v>
      </c>
      <c r="N769" s="73">
        <v>67263</v>
      </c>
      <c r="O769" s="73">
        <v>67263</v>
      </c>
      <c r="P769">
        <v>34.681374159610094</v>
      </c>
    </row>
    <row r="770" spans="1:16" hidden="1" x14ac:dyDescent="0.2">
      <c r="A770" s="73">
        <v>67263</v>
      </c>
      <c r="B770" t="s">
        <v>457</v>
      </c>
      <c r="C770" s="73" t="s">
        <v>458</v>
      </c>
      <c r="D770" t="s">
        <v>459</v>
      </c>
      <c r="E770" s="74">
        <v>46080</v>
      </c>
      <c r="F770">
        <v>6538</v>
      </c>
      <c r="G770" t="s">
        <v>380</v>
      </c>
      <c r="H770" s="75">
        <f t="shared" ref="H770:H833" si="12">J770*P770</f>
        <v>69.362748319220188</v>
      </c>
      <c r="I770" s="74">
        <v>46080</v>
      </c>
      <c r="J770">
        <v>2</v>
      </c>
      <c r="K770" t="s">
        <v>508</v>
      </c>
      <c r="L770" t="s">
        <v>359</v>
      </c>
      <c r="M770" t="s">
        <v>368</v>
      </c>
      <c r="N770" s="73">
        <v>67263</v>
      </c>
      <c r="O770" s="73">
        <v>67263</v>
      </c>
      <c r="P770">
        <v>34.681374159610094</v>
      </c>
    </row>
    <row r="771" spans="1:16" hidden="1" x14ac:dyDescent="0.2">
      <c r="A771" s="73">
        <v>67263</v>
      </c>
      <c r="B771" t="s">
        <v>457</v>
      </c>
      <c r="C771" s="73" t="s">
        <v>458</v>
      </c>
      <c r="D771" t="s">
        <v>459</v>
      </c>
      <c r="E771" s="74">
        <v>46083</v>
      </c>
      <c r="F771">
        <v>6538</v>
      </c>
      <c r="G771" t="s">
        <v>380</v>
      </c>
      <c r="H771" s="75">
        <f t="shared" si="12"/>
        <v>69.362748319220188</v>
      </c>
      <c r="I771" s="74">
        <v>46083</v>
      </c>
      <c r="J771">
        <v>2</v>
      </c>
      <c r="K771" t="s">
        <v>509</v>
      </c>
      <c r="L771" t="s">
        <v>359</v>
      </c>
      <c r="M771" t="s">
        <v>368</v>
      </c>
      <c r="N771" s="73">
        <v>67263</v>
      </c>
      <c r="O771" s="73">
        <v>67263</v>
      </c>
      <c r="P771">
        <v>34.681374159610094</v>
      </c>
    </row>
    <row r="772" spans="1:16" hidden="1" x14ac:dyDescent="0.2">
      <c r="A772" s="73">
        <v>67263</v>
      </c>
      <c r="B772" t="s">
        <v>457</v>
      </c>
      <c r="C772" s="73" t="s">
        <v>458</v>
      </c>
      <c r="D772" t="s">
        <v>459</v>
      </c>
      <c r="E772" s="74">
        <v>46084</v>
      </c>
      <c r="F772">
        <v>6538</v>
      </c>
      <c r="G772" t="s">
        <v>380</v>
      </c>
      <c r="H772" s="75">
        <f t="shared" si="12"/>
        <v>69.362748319220188</v>
      </c>
      <c r="I772" s="74">
        <v>46084</v>
      </c>
      <c r="J772">
        <v>2</v>
      </c>
      <c r="K772" t="s">
        <v>509</v>
      </c>
      <c r="L772" t="s">
        <v>359</v>
      </c>
      <c r="M772" t="s">
        <v>368</v>
      </c>
      <c r="N772" s="73">
        <v>67263</v>
      </c>
      <c r="O772" s="73">
        <v>67263</v>
      </c>
      <c r="P772">
        <v>34.681374159610094</v>
      </c>
    </row>
    <row r="773" spans="1:16" hidden="1" x14ac:dyDescent="0.2">
      <c r="A773" s="73">
        <v>67263</v>
      </c>
      <c r="B773" t="s">
        <v>457</v>
      </c>
      <c r="C773" s="73" t="s">
        <v>458</v>
      </c>
      <c r="D773" t="s">
        <v>459</v>
      </c>
      <c r="E773" s="74">
        <v>46085</v>
      </c>
      <c r="F773">
        <v>6538</v>
      </c>
      <c r="G773" t="s">
        <v>380</v>
      </c>
      <c r="H773" s="75">
        <f t="shared" si="12"/>
        <v>69.362748319220188</v>
      </c>
      <c r="I773" s="74">
        <v>46085</v>
      </c>
      <c r="J773">
        <v>2</v>
      </c>
      <c r="K773" t="s">
        <v>509</v>
      </c>
      <c r="L773" t="s">
        <v>359</v>
      </c>
      <c r="M773" t="s">
        <v>368</v>
      </c>
      <c r="N773" s="73">
        <v>67263</v>
      </c>
      <c r="O773" s="73">
        <v>67263</v>
      </c>
      <c r="P773">
        <v>34.681374159610094</v>
      </c>
    </row>
    <row r="774" spans="1:16" hidden="1" x14ac:dyDescent="0.2">
      <c r="A774" s="73">
        <v>67263</v>
      </c>
      <c r="B774" t="s">
        <v>457</v>
      </c>
      <c r="C774" s="73" t="s">
        <v>458</v>
      </c>
      <c r="D774" t="s">
        <v>459</v>
      </c>
      <c r="E774" s="74">
        <v>46086</v>
      </c>
      <c r="F774">
        <v>6538</v>
      </c>
      <c r="G774" t="s">
        <v>380</v>
      </c>
      <c r="H774" s="75">
        <f t="shared" si="12"/>
        <v>69.362748319220188</v>
      </c>
      <c r="I774" s="74">
        <v>46086</v>
      </c>
      <c r="J774">
        <v>2</v>
      </c>
      <c r="K774" t="s">
        <v>509</v>
      </c>
      <c r="L774" t="s">
        <v>359</v>
      </c>
      <c r="M774" t="s">
        <v>368</v>
      </c>
      <c r="N774" s="73">
        <v>67263</v>
      </c>
      <c r="O774" s="73">
        <v>67263</v>
      </c>
      <c r="P774">
        <v>34.681374159610094</v>
      </c>
    </row>
    <row r="775" spans="1:16" hidden="1" x14ac:dyDescent="0.2">
      <c r="A775" s="73">
        <v>67263</v>
      </c>
      <c r="B775" t="s">
        <v>457</v>
      </c>
      <c r="C775" s="73" t="s">
        <v>458</v>
      </c>
      <c r="D775" t="s">
        <v>459</v>
      </c>
      <c r="E775" s="74">
        <v>46087</v>
      </c>
      <c r="F775">
        <v>6538</v>
      </c>
      <c r="G775" t="s">
        <v>380</v>
      </c>
      <c r="H775" s="75">
        <f t="shared" si="12"/>
        <v>69.362748319220188</v>
      </c>
      <c r="I775" s="74">
        <v>46087</v>
      </c>
      <c r="J775">
        <v>2</v>
      </c>
      <c r="K775" t="s">
        <v>509</v>
      </c>
      <c r="L775" t="s">
        <v>359</v>
      </c>
      <c r="M775" t="s">
        <v>368</v>
      </c>
      <c r="N775" s="73">
        <v>67263</v>
      </c>
      <c r="O775" s="73">
        <v>67263</v>
      </c>
      <c r="P775">
        <v>34.681374159610094</v>
      </c>
    </row>
    <row r="776" spans="1:16" hidden="1" x14ac:dyDescent="0.2">
      <c r="A776" s="73">
        <v>67263</v>
      </c>
      <c r="B776" t="s">
        <v>457</v>
      </c>
      <c r="C776" s="73" t="s">
        <v>458</v>
      </c>
      <c r="D776" t="s">
        <v>459</v>
      </c>
      <c r="E776" s="74">
        <v>46090</v>
      </c>
      <c r="F776">
        <v>6538</v>
      </c>
      <c r="G776" t="s">
        <v>380</v>
      </c>
      <c r="H776" s="75">
        <f t="shared" si="12"/>
        <v>69.362748319220188</v>
      </c>
      <c r="I776" s="74">
        <v>46090</v>
      </c>
      <c r="J776">
        <v>2</v>
      </c>
      <c r="K776" t="s">
        <v>509</v>
      </c>
      <c r="L776" t="s">
        <v>359</v>
      </c>
      <c r="M776" t="s">
        <v>368</v>
      </c>
      <c r="N776" s="73">
        <v>67263</v>
      </c>
      <c r="O776" s="73">
        <v>67263</v>
      </c>
      <c r="P776">
        <v>34.681374159610094</v>
      </c>
    </row>
    <row r="777" spans="1:16" hidden="1" x14ac:dyDescent="0.2">
      <c r="A777" s="73">
        <v>67263</v>
      </c>
      <c r="B777" t="s">
        <v>457</v>
      </c>
      <c r="C777" s="73" t="s">
        <v>458</v>
      </c>
      <c r="D777" t="s">
        <v>459</v>
      </c>
      <c r="E777" s="74">
        <v>46093</v>
      </c>
      <c r="F777">
        <v>6538</v>
      </c>
      <c r="G777" t="s">
        <v>380</v>
      </c>
      <c r="H777" s="75">
        <f t="shared" si="12"/>
        <v>69.362748319220188</v>
      </c>
      <c r="I777" s="74">
        <v>46093</v>
      </c>
      <c r="J777">
        <v>2</v>
      </c>
      <c r="K777" t="s">
        <v>509</v>
      </c>
      <c r="L777" t="s">
        <v>359</v>
      </c>
      <c r="M777" t="s">
        <v>368</v>
      </c>
      <c r="N777" s="73">
        <v>67263</v>
      </c>
      <c r="O777" s="73">
        <v>67263</v>
      </c>
      <c r="P777">
        <v>34.681374159610094</v>
      </c>
    </row>
    <row r="778" spans="1:16" hidden="1" x14ac:dyDescent="0.2">
      <c r="A778" s="73">
        <v>67263</v>
      </c>
      <c r="B778" t="s">
        <v>457</v>
      </c>
      <c r="C778" s="73" t="s">
        <v>458</v>
      </c>
      <c r="D778" t="s">
        <v>459</v>
      </c>
      <c r="E778" s="74">
        <v>46094</v>
      </c>
      <c r="F778">
        <v>6538</v>
      </c>
      <c r="G778" t="s">
        <v>380</v>
      </c>
      <c r="H778" s="75">
        <f t="shared" si="12"/>
        <v>69.362748319220188</v>
      </c>
      <c r="I778" s="74">
        <v>46094</v>
      </c>
      <c r="J778">
        <v>2</v>
      </c>
      <c r="K778" t="s">
        <v>509</v>
      </c>
      <c r="L778" t="s">
        <v>359</v>
      </c>
      <c r="M778" t="s">
        <v>368</v>
      </c>
      <c r="N778" s="73">
        <v>67263</v>
      </c>
      <c r="O778" s="73">
        <v>67263</v>
      </c>
      <c r="P778">
        <v>34.681374159610094</v>
      </c>
    </row>
    <row r="779" spans="1:16" hidden="1" x14ac:dyDescent="0.2">
      <c r="A779" s="73">
        <v>67263</v>
      </c>
      <c r="B779" t="s">
        <v>457</v>
      </c>
      <c r="C779" s="73" t="s">
        <v>458</v>
      </c>
      <c r="D779" t="s">
        <v>459</v>
      </c>
      <c r="E779" s="74">
        <v>46097</v>
      </c>
      <c r="F779">
        <v>6538</v>
      </c>
      <c r="G779" t="s">
        <v>380</v>
      </c>
      <c r="H779" s="75">
        <f t="shared" si="12"/>
        <v>69.362748319220188</v>
      </c>
      <c r="I779" s="74">
        <v>46097</v>
      </c>
      <c r="J779">
        <v>2</v>
      </c>
      <c r="K779" t="s">
        <v>509</v>
      </c>
      <c r="L779" t="s">
        <v>359</v>
      </c>
      <c r="M779" t="s">
        <v>368</v>
      </c>
      <c r="N779" s="73">
        <v>67263</v>
      </c>
      <c r="O779" s="73">
        <v>67263</v>
      </c>
      <c r="P779">
        <v>34.681374159610094</v>
      </c>
    </row>
    <row r="780" spans="1:16" hidden="1" x14ac:dyDescent="0.2">
      <c r="A780" s="73">
        <v>67263</v>
      </c>
      <c r="B780" t="s">
        <v>457</v>
      </c>
      <c r="C780" s="73" t="s">
        <v>458</v>
      </c>
      <c r="D780" t="s">
        <v>459</v>
      </c>
      <c r="E780" s="74">
        <v>46099</v>
      </c>
      <c r="F780">
        <v>6538</v>
      </c>
      <c r="G780" t="s">
        <v>380</v>
      </c>
      <c r="H780" s="75">
        <f t="shared" si="12"/>
        <v>104.04412247883027</v>
      </c>
      <c r="I780" s="74">
        <v>46099</v>
      </c>
      <c r="J780">
        <v>3</v>
      </c>
      <c r="K780" t="s">
        <v>509</v>
      </c>
      <c r="L780" t="s">
        <v>359</v>
      </c>
      <c r="M780" t="s">
        <v>368</v>
      </c>
      <c r="N780" s="73">
        <v>67263</v>
      </c>
      <c r="O780" s="73">
        <v>67263</v>
      </c>
      <c r="P780">
        <v>34.681374159610094</v>
      </c>
    </row>
    <row r="781" spans="1:16" hidden="1" x14ac:dyDescent="0.2">
      <c r="A781" s="73">
        <v>67263</v>
      </c>
      <c r="B781" t="s">
        <v>457</v>
      </c>
      <c r="C781" s="73" t="s">
        <v>458</v>
      </c>
      <c r="D781" t="s">
        <v>459</v>
      </c>
      <c r="E781" s="74">
        <v>46100</v>
      </c>
      <c r="F781">
        <v>6538</v>
      </c>
      <c r="G781" t="s">
        <v>380</v>
      </c>
      <c r="H781" s="75">
        <f t="shared" si="12"/>
        <v>69.362748319220188</v>
      </c>
      <c r="I781" s="74">
        <v>46100</v>
      </c>
      <c r="J781">
        <v>2</v>
      </c>
      <c r="K781" t="s">
        <v>509</v>
      </c>
      <c r="L781" t="s">
        <v>359</v>
      </c>
      <c r="M781" t="s">
        <v>368</v>
      </c>
      <c r="N781" s="73">
        <v>67263</v>
      </c>
      <c r="O781" s="73">
        <v>67263</v>
      </c>
      <c r="P781">
        <v>34.681374159610094</v>
      </c>
    </row>
    <row r="782" spans="1:16" hidden="1" x14ac:dyDescent="0.2">
      <c r="A782" s="73">
        <v>67263</v>
      </c>
      <c r="B782" t="s">
        <v>457</v>
      </c>
      <c r="C782" s="73" t="s">
        <v>460</v>
      </c>
      <c r="D782" t="s">
        <v>461</v>
      </c>
      <c r="E782" s="74">
        <v>45845</v>
      </c>
      <c r="F782" t="s">
        <v>357</v>
      </c>
      <c r="G782" t="s">
        <v>358</v>
      </c>
      <c r="H782" s="75">
        <f t="shared" si="12"/>
        <v>69.362748319220188</v>
      </c>
      <c r="I782" s="74">
        <v>45845</v>
      </c>
      <c r="J782">
        <v>2</v>
      </c>
      <c r="K782" t="s">
        <v>511</v>
      </c>
      <c r="L782" t="s">
        <v>359</v>
      </c>
      <c r="M782" t="s">
        <v>356</v>
      </c>
      <c r="N782" s="73">
        <v>67263</v>
      </c>
      <c r="O782" s="73">
        <v>67263</v>
      </c>
      <c r="P782">
        <v>34.681374159610094</v>
      </c>
    </row>
    <row r="783" spans="1:16" hidden="1" x14ac:dyDescent="0.2">
      <c r="A783" s="73">
        <v>67263</v>
      </c>
      <c r="B783" t="s">
        <v>457</v>
      </c>
      <c r="C783" s="73" t="s">
        <v>460</v>
      </c>
      <c r="D783" t="s">
        <v>461</v>
      </c>
      <c r="E783" s="74">
        <v>45846</v>
      </c>
      <c r="F783" t="s">
        <v>357</v>
      </c>
      <c r="G783" t="s">
        <v>358</v>
      </c>
      <c r="H783" s="75">
        <f t="shared" si="12"/>
        <v>69.362748319220188</v>
      </c>
      <c r="I783" s="74">
        <v>45846</v>
      </c>
      <c r="J783">
        <v>2</v>
      </c>
      <c r="K783" t="s">
        <v>511</v>
      </c>
      <c r="L783" t="s">
        <v>359</v>
      </c>
      <c r="M783" t="s">
        <v>356</v>
      </c>
      <c r="N783" s="73">
        <v>67263</v>
      </c>
      <c r="O783" s="73">
        <v>67263</v>
      </c>
      <c r="P783">
        <v>34.681374159610094</v>
      </c>
    </row>
    <row r="784" spans="1:16" hidden="1" x14ac:dyDescent="0.2">
      <c r="A784" s="73">
        <v>67263</v>
      </c>
      <c r="B784" t="s">
        <v>457</v>
      </c>
      <c r="C784" s="73" t="s">
        <v>460</v>
      </c>
      <c r="D784" t="s">
        <v>461</v>
      </c>
      <c r="E784" s="74">
        <v>45847</v>
      </c>
      <c r="F784" t="s">
        <v>357</v>
      </c>
      <c r="G784" t="s">
        <v>358</v>
      </c>
      <c r="H784" s="75">
        <f t="shared" si="12"/>
        <v>69.362748319220188</v>
      </c>
      <c r="I784" s="74">
        <v>45847</v>
      </c>
      <c r="J784">
        <v>2</v>
      </c>
      <c r="K784" t="s">
        <v>511</v>
      </c>
      <c r="L784" t="s">
        <v>359</v>
      </c>
      <c r="M784" t="s">
        <v>356</v>
      </c>
      <c r="N784" s="73">
        <v>67263</v>
      </c>
      <c r="O784" s="73">
        <v>67263</v>
      </c>
      <c r="P784">
        <v>34.681374159610094</v>
      </c>
    </row>
    <row r="785" spans="1:16" hidden="1" x14ac:dyDescent="0.2">
      <c r="A785" s="73">
        <v>67263</v>
      </c>
      <c r="B785" t="s">
        <v>457</v>
      </c>
      <c r="C785" s="73" t="s">
        <v>460</v>
      </c>
      <c r="D785" t="s">
        <v>461</v>
      </c>
      <c r="E785" s="74">
        <v>45848</v>
      </c>
      <c r="F785" t="s">
        <v>357</v>
      </c>
      <c r="G785" t="s">
        <v>358</v>
      </c>
      <c r="H785" s="75">
        <f t="shared" si="12"/>
        <v>69.362748319220188</v>
      </c>
      <c r="I785" s="74">
        <v>45848</v>
      </c>
      <c r="J785">
        <v>2</v>
      </c>
      <c r="K785" t="s">
        <v>511</v>
      </c>
      <c r="L785" t="s">
        <v>359</v>
      </c>
      <c r="M785" t="s">
        <v>356</v>
      </c>
      <c r="N785" s="73">
        <v>67263</v>
      </c>
      <c r="O785" s="73">
        <v>67263</v>
      </c>
      <c r="P785">
        <v>34.681374159610094</v>
      </c>
    </row>
    <row r="786" spans="1:16" hidden="1" x14ac:dyDescent="0.2">
      <c r="A786" s="73">
        <v>67263</v>
      </c>
      <c r="B786" t="s">
        <v>457</v>
      </c>
      <c r="C786" s="73" t="s">
        <v>460</v>
      </c>
      <c r="D786" t="s">
        <v>461</v>
      </c>
      <c r="E786" s="74">
        <v>45849</v>
      </c>
      <c r="F786" t="s">
        <v>357</v>
      </c>
      <c r="G786" t="s">
        <v>358</v>
      </c>
      <c r="H786" s="75">
        <f t="shared" si="12"/>
        <v>69.362748319220188</v>
      </c>
      <c r="I786" s="74">
        <v>45849</v>
      </c>
      <c r="J786">
        <v>2</v>
      </c>
      <c r="K786" t="s">
        <v>511</v>
      </c>
      <c r="L786" t="s">
        <v>359</v>
      </c>
      <c r="M786" t="s">
        <v>356</v>
      </c>
      <c r="N786" s="73">
        <v>67263</v>
      </c>
      <c r="O786" s="73">
        <v>67263</v>
      </c>
      <c r="P786">
        <v>34.681374159610094</v>
      </c>
    </row>
    <row r="787" spans="1:16" hidden="1" x14ac:dyDescent="0.2">
      <c r="A787" s="73">
        <v>67263</v>
      </c>
      <c r="B787" t="s">
        <v>457</v>
      </c>
      <c r="C787" s="73" t="s">
        <v>460</v>
      </c>
      <c r="D787" t="s">
        <v>461</v>
      </c>
      <c r="E787" s="74">
        <v>45852</v>
      </c>
      <c r="F787" t="s">
        <v>357</v>
      </c>
      <c r="G787" t="s">
        <v>358</v>
      </c>
      <c r="H787" s="75">
        <f t="shared" si="12"/>
        <v>69.362748319220188</v>
      </c>
      <c r="I787" s="74">
        <v>45852</v>
      </c>
      <c r="J787">
        <v>2</v>
      </c>
      <c r="K787" t="s">
        <v>511</v>
      </c>
      <c r="L787" t="s">
        <v>359</v>
      </c>
      <c r="M787" t="s">
        <v>356</v>
      </c>
      <c r="N787" s="73">
        <v>67263</v>
      </c>
      <c r="O787" s="73">
        <v>67263</v>
      </c>
      <c r="P787">
        <v>34.681374159610094</v>
      </c>
    </row>
    <row r="788" spans="1:16" hidden="1" x14ac:dyDescent="0.2">
      <c r="A788" s="73">
        <v>67263</v>
      </c>
      <c r="B788" t="s">
        <v>457</v>
      </c>
      <c r="C788" s="73" t="s">
        <v>460</v>
      </c>
      <c r="D788" t="s">
        <v>461</v>
      </c>
      <c r="E788" s="74">
        <v>45853</v>
      </c>
      <c r="F788" t="s">
        <v>357</v>
      </c>
      <c r="G788" t="s">
        <v>358</v>
      </c>
      <c r="H788" s="75">
        <f t="shared" si="12"/>
        <v>69.362748319220188</v>
      </c>
      <c r="I788" s="74">
        <v>45853</v>
      </c>
      <c r="J788">
        <v>2</v>
      </c>
      <c r="K788" t="s">
        <v>511</v>
      </c>
      <c r="L788" t="s">
        <v>359</v>
      </c>
      <c r="M788" t="s">
        <v>356</v>
      </c>
      <c r="N788" s="73">
        <v>67263</v>
      </c>
      <c r="O788" s="73">
        <v>67263</v>
      </c>
      <c r="P788">
        <v>34.681374159610094</v>
      </c>
    </row>
    <row r="789" spans="1:16" hidden="1" x14ac:dyDescent="0.2">
      <c r="A789" s="73">
        <v>67263</v>
      </c>
      <c r="B789" t="s">
        <v>457</v>
      </c>
      <c r="C789" s="73" t="s">
        <v>460</v>
      </c>
      <c r="D789" t="s">
        <v>461</v>
      </c>
      <c r="E789" s="74">
        <v>45854</v>
      </c>
      <c r="F789" t="s">
        <v>357</v>
      </c>
      <c r="G789" t="s">
        <v>358</v>
      </c>
      <c r="H789" s="75">
        <f t="shared" si="12"/>
        <v>69.362748319220188</v>
      </c>
      <c r="I789" s="74">
        <v>45854</v>
      </c>
      <c r="J789">
        <v>2</v>
      </c>
      <c r="K789" t="s">
        <v>511</v>
      </c>
      <c r="L789" t="s">
        <v>359</v>
      </c>
      <c r="M789" t="s">
        <v>356</v>
      </c>
      <c r="N789" s="73">
        <v>67263</v>
      </c>
      <c r="O789" s="73">
        <v>67263</v>
      </c>
      <c r="P789">
        <v>34.681374159610094</v>
      </c>
    </row>
    <row r="790" spans="1:16" hidden="1" x14ac:dyDescent="0.2">
      <c r="A790" s="73">
        <v>67263</v>
      </c>
      <c r="B790" t="s">
        <v>457</v>
      </c>
      <c r="C790" s="73" t="s">
        <v>460</v>
      </c>
      <c r="D790" t="s">
        <v>461</v>
      </c>
      <c r="E790" s="74">
        <v>45855</v>
      </c>
      <c r="F790" t="s">
        <v>357</v>
      </c>
      <c r="G790" t="s">
        <v>358</v>
      </c>
      <c r="H790" s="75">
        <f t="shared" si="12"/>
        <v>69.362748319220188</v>
      </c>
      <c r="I790" s="74">
        <v>45855</v>
      </c>
      <c r="J790">
        <v>2</v>
      </c>
      <c r="K790" t="s">
        <v>511</v>
      </c>
      <c r="L790" t="s">
        <v>359</v>
      </c>
      <c r="M790" t="s">
        <v>356</v>
      </c>
      <c r="N790" s="73">
        <v>67263</v>
      </c>
      <c r="O790" s="73">
        <v>67263</v>
      </c>
      <c r="P790">
        <v>34.681374159610094</v>
      </c>
    </row>
    <row r="791" spans="1:16" hidden="1" x14ac:dyDescent="0.2">
      <c r="A791" s="73">
        <v>67263</v>
      </c>
      <c r="B791" t="s">
        <v>457</v>
      </c>
      <c r="C791" s="73" t="s">
        <v>460</v>
      </c>
      <c r="D791" t="s">
        <v>461</v>
      </c>
      <c r="E791" s="74">
        <v>45856</v>
      </c>
      <c r="F791" t="s">
        <v>357</v>
      </c>
      <c r="G791" t="s">
        <v>358</v>
      </c>
      <c r="H791" s="75">
        <f t="shared" si="12"/>
        <v>69.362748319220188</v>
      </c>
      <c r="I791" s="74">
        <v>45856</v>
      </c>
      <c r="J791">
        <v>2</v>
      </c>
      <c r="K791" t="s">
        <v>511</v>
      </c>
      <c r="L791" t="s">
        <v>359</v>
      </c>
      <c r="M791" t="s">
        <v>356</v>
      </c>
      <c r="N791" s="73">
        <v>67263</v>
      </c>
      <c r="O791" s="73">
        <v>67263</v>
      </c>
      <c r="P791">
        <v>34.681374159610094</v>
      </c>
    </row>
    <row r="792" spans="1:16" hidden="1" x14ac:dyDescent="0.2">
      <c r="A792" s="73">
        <v>67263</v>
      </c>
      <c r="B792" t="s">
        <v>457</v>
      </c>
      <c r="C792" s="73" t="s">
        <v>460</v>
      </c>
      <c r="D792" t="s">
        <v>461</v>
      </c>
      <c r="E792" s="74">
        <v>45859</v>
      </c>
      <c r="F792" t="s">
        <v>357</v>
      </c>
      <c r="G792" t="s">
        <v>358</v>
      </c>
      <c r="H792" s="75">
        <f t="shared" si="12"/>
        <v>69.362748319220188</v>
      </c>
      <c r="I792" s="74">
        <v>45859</v>
      </c>
      <c r="J792">
        <v>2</v>
      </c>
      <c r="K792" t="s">
        <v>511</v>
      </c>
      <c r="L792" t="s">
        <v>359</v>
      </c>
      <c r="M792" t="s">
        <v>356</v>
      </c>
      <c r="N792" s="73">
        <v>67263</v>
      </c>
      <c r="O792" s="73">
        <v>67263</v>
      </c>
      <c r="P792">
        <v>34.681374159610094</v>
      </c>
    </row>
    <row r="793" spans="1:16" hidden="1" x14ac:dyDescent="0.2">
      <c r="A793" s="73">
        <v>67263</v>
      </c>
      <c r="B793" t="s">
        <v>457</v>
      </c>
      <c r="C793" s="73" t="s">
        <v>460</v>
      </c>
      <c r="D793" t="s">
        <v>461</v>
      </c>
      <c r="E793" s="74">
        <v>45860</v>
      </c>
      <c r="F793" t="s">
        <v>357</v>
      </c>
      <c r="G793" t="s">
        <v>358</v>
      </c>
      <c r="H793" s="75">
        <f t="shared" si="12"/>
        <v>69.362748319220188</v>
      </c>
      <c r="I793" s="74">
        <v>45860</v>
      </c>
      <c r="J793">
        <v>2</v>
      </c>
      <c r="K793" t="s">
        <v>511</v>
      </c>
      <c r="L793" t="s">
        <v>359</v>
      </c>
      <c r="M793" t="s">
        <v>356</v>
      </c>
      <c r="N793" s="73">
        <v>67263</v>
      </c>
      <c r="O793" s="73">
        <v>67263</v>
      </c>
      <c r="P793">
        <v>34.681374159610094</v>
      </c>
    </row>
    <row r="794" spans="1:16" hidden="1" x14ac:dyDescent="0.2">
      <c r="A794" s="73">
        <v>67263</v>
      </c>
      <c r="B794" t="s">
        <v>457</v>
      </c>
      <c r="C794" s="73" t="s">
        <v>460</v>
      </c>
      <c r="D794" t="s">
        <v>461</v>
      </c>
      <c r="E794" s="74">
        <v>45860</v>
      </c>
      <c r="F794">
        <v>6833</v>
      </c>
      <c r="G794" t="s">
        <v>383</v>
      </c>
      <c r="H794" s="75">
        <f t="shared" si="12"/>
        <v>104.04412247883027</v>
      </c>
      <c r="I794" s="74">
        <v>45860</v>
      </c>
      <c r="J794">
        <v>3</v>
      </c>
      <c r="K794" t="s">
        <v>511</v>
      </c>
      <c r="L794" t="s">
        <v>384</v>
      </c>
      <c r="M794" t="s">
        <v>356</v>
      </c>
      <c r="N794" s="73">
        <v>67263</v>
      </c>
      <c r="O794" s="73">
        <v>67263</v>
      </c>
      <c r="P794">
        <v>34.681374159610094</v>
      </c>
    </row>
    <row r="795" spans="1:16" hidden="1" x14ac:dyDescent="0.2">
      <c r="A795" s="73">
        <v>67263</v>
      </c>
      <c r="B795" t="s">
        <v>457</v>
      </c>
      <c r="C795" s="73" t="s">
        <v>460</v>
      </c>
      <c r="D795" t="s">
        <v>461</v>
      </c>
      <c r="E795" s="74">
        <v>45861</v>
      </c>
      <c r="F795">
        <v>6833</v>
      </c>
      <c r="G795" t="s">
        <v>383</v>
      </c>
      <c r="H795" s="75">
        <f t="shared" si="12"/>
        <v>69.362748319220188</v>
      </c>
      <c r="I795" s="74">
        <v>45861</v>
      </c>
      <c r="J795">
        <v>2</v>
      </c>
      <c r="K795" t="s">
        <v>511</v>
      </c>
      <c r="L795" t="s">
        <v>384</v>
      </c>
      <c r="M795" t="s">
        <v>356</v>
      </c>
      <c r="N795" s="73">
        <v>67263</v>
      </c>
      <c r="O795" s="73">
        <v>67263</v>
      </c>
      <c r="P795">
        <v>34.681374159610094</v>
      </c>
    </row>
    <row r="796" spans="1:16" hidden="1" x14ac:dyDescent="0.2">
      <c r="A796" s="73">
        <v>67263</v>
      </c>
      <c r="B796" t="s">
        <v>457</v>
      </c>
      <c r="C796" s="73" t="s">
        <v>460</v>
      </c>
      <c r="D796" t="s">
        <v>461</v>
      </c>
      <c r="E796" s="74">
        <v>45861</v>
      </c>
      <c r="F796" t="s">
        <v>357</v>
      </c>
      <c r="G796" t="s">
        <v>358</v>
      </c>
      <c r="H796" s="75">
        <f t="shared" si="12"/>
        <v>69.362748319220188</v>
      </c>
      <c r="I796" s="74">
        <v>45861</v>
      </c>
      <c r="J796">
        <v>2</v>
      </c>
      <c r="K796" t="s">
        <v>511</v>
      </c>
      <c r="L796" t="s">
        <v>359</v>
      </c>
      <c r="M796" t="s">
        <v>356</v>
      </c>
      <c r="N796" s="73">
        <v>67263</v>
      </c>
      <c r="O796" s="73">
        <v>67263</v>
      </c>
      <c r="P796">
        <v>34.681374159610094</v>
      </c>
    </row>
    <row r="797" spans="1:16" hidden="1" x14ac:dyDescent="0.2">
      <c r="A797" s="73">
        <v>67263</v>
      </c>
      <c r="B797" t="s">
        <v>457</v>
      </c>
      <c r="C797" s="73" t="s">
        <v>460</v>
      </c>
      <c r="D797" t="s">
        <v>461</v>
      </c>
      <c r="E797" s="74">
        <v>45862</v>
      </c>
      <c r="F797">
        <v>6833</v>
      </c>
      <c r="G797" t="s">
        <v>383</v>
      </c>
      <c r="H797" s="75">
        <f t="shared" si="12"/>
        <v>104.04412247883027</v>
      </c>
      <c r="I797" s="74">
        <v>45862</v>
      </c>
      <c r="J797">
        <v>3</v>
      </c>
      <c r="K797" t="s">
        <v>511</v>
      </c>
      <c r="L797" t="s">
        <v>384</v>
      </c>
      <c r="M797" t="s">
        <v>356</v>
      </c>
      <c r="N797" s="73">
        <v>67263</v>
      </c>
      <c r="O797" s="73">
        <v>67263</v>
      </c>
      <c r="P797">
        <v>34.681374159610094</v>
      </c>
    </row>
    <row r="798" spans="1:16" hidden="1" x14ac:dyDescent="0.2">
      <c r="A798" s="73">
        <v>67263</v>
      </c>
      <c r="B798" t="s">
        <v>457</v>
      </c>
      <c r="C798" s="73" t="s">
        <v>460</v>
      </c>
      <c r="D798" t="s">
        <v>461</v>
      </c>
      <c r="E798" s="74">
        <v>45862</v>
      </c>
      <c r="F798" t="s">
        <v>357</v>
      </c>
      <c r="G798" t="s">
        <v>358</v>
      </c>
      <c r="H798" s="75">
        <f t="shared" si="12"/>
        <v>69.362748319220188</v>
      </c>
      <c r="I798" s="74">
        <v>45862</v>
      </c>
      <c r="J798">
        <v>2</v>
      </c>
      <c r="K798" t="s">
        <v>511</v>
      </c>
      <c r="L798" t="s">
        <v>359</v>
      </c>
      <c r="M798" t="s">
        <v>356</v>
      </c>
      <c r="N798" s="73">
        <v>67263</v>
      </c>
      <c r="O798" s="73">
        <v>67263</v>
      </c>
      <c r="P798">
        <v>34.681374159610094</v>
      </c>
    </row>
    <row r="799" spans="1:16" hidden="1" x14ac:dyDescent="0.2">
      <c r="A799" s="73">
        <v>67263</v>
      </c>
      <c r="B799" t="s">
        <v>457</v>
      </c>
      <c r="C799" s="73" t="s">
        <v>460</v>
      </c>
      <c r="D799" t="s">
        <v>461</v>
      </c>
      <c r="E799" s="74">
        <v>45863</v>
      </c>
      <c r="F799">
        <v>6833</v>
      </c>
      <c r="G799" t="s">
        <v>383</v>
      </c>
      <c r="H799" s="75">
        <f t="shared" si="12"/>
        <v>104.04412247883027</v>
      </c>
      <c r="I799" s="74">
        <v>45863</v>
      </c>
      <c r="J799">
        <v>3</v>
      </c>
      <c r="K799" t="s">
        <v>511</v>
      </c>
      <c r="L799" t="s">
        <v>384</v>
      </c>
      <c r="M799" t="s">
        <v>356</v>
      </c>
      <c r="N799" s="73">
        <v>67263</v>
      </c>
      <c r="O799" s="73">
        <v>67263</v>
      </c>
      <c r="P799">
        <v>34.681374159610094</v>
      </c>
    </row>
    <row r="800" spans="1:16" hidden="1" x14ac:dyDescent="0.2">
      <c r="A800" s="73">
        <v>67263</v>
      </c>
      <c r="B800" t="s">
        <v>457</v>
      </c>
      <c r="C800" s="73" t="s">
        <v>460</v>
      </c>
      <c r="D800" t="s">
        <v>461</v>
      </c>
      <c r="E800" s="74">
        <v>45863</v>
      </c>
      <c r="F800" t="s">
        <v>357</v>
      </c>
      <c r="G800" t="s">
        <v>358</v>
      </c>
      <c r="H800" s="75">
        <f t="shared" si="12"/>
        <v>69.362748319220188</v>
      </c>
      <c r="I800" s="74">
        <v>45863</v>
      </c>
      <c r="J800">
        <v>2</v>
      </c>
      <c r="K800" t="s">
        <v>511</v>
      </c>
      <c r="L800" t="s">
        <v>359</v>
      </c>
      <c r="M800" t="s">
        <v>356</v>
      </c>
      <c r="N800" s="73">
        <v>67263</v>
      </c>
      <c r="O800" s="73">
        <v>67263</v>
      </c>
      <c r="P800">
        <v>34.681374159610094</v>
      </c>
    </row>
    <row r="801" spans="1:16" hidden="1" x14ac:dyDescent="0.2">
      <c r="A801" s="73">
        <v>67263</v>
      </c>
      <c r="B801" t="s">
        <v>457</v>
      </c>
      <c r="C801" s="73" t="s">
        <v>460</v>
      </c>
      <c r="D801" t="s">
        <v>461</v>
      </c>
      <c r="E801" s="74">
        <v>45866</v>
      </c>
      <c r="F801" t="s">
        <v>357</v>
      </c>
      <c r="G801" t="s">
        <v>358</v>
      </c>
      <c r="H801" s="75">
        <f t="shared" si="12"/>
        <v>69.362748319220188</v>
      </c>
      <c r="I801" s="74">
        <v>45866</v>
      </c>
      <c r="J801">
        <v>2</v>
      </c>
      <c r="K801" t="s">
        <v>511</v>
      </c>
      <c r="L801" t="s">
        <v>359</v>
      </c>
      <c r="M801" t="s">
        <v>356</v>
      </c>
      <c r="N801" s="73">
        <v>67263</v>
      </c>
      <c r="O801" s="73">
        <v>67263</v>
      </c>
      <c r="P801">
        <v>34.681374159610094</v>
      </c>
    </row>
    <row r="802" spans="1:16" hidden="1" x14ac:dyDescent="0.2">
      <c r="A802" s="73">
        <v>67263</v>
      </c>
      <c r="B802" t="s">
        <v>457</v>
      </c>
      <c r="C802" s="73" t="s">
        <v>460</v>
      </c>
      <c r="D802" t="s">
        <v>461</v>
      </c>
      <c r="E802" s="74">
        <v>45866</v>
      </c>
      <c r="F802">
        <v>6833</v>
      </c>
      <c r="G802" t="s">
        <v>383</v>
      </c>
      <c r="H802" s="75">
        <f t="shared" si="12"/>
        <v>104.04412247883027</v>
      </c>
      <c r="I802" s="74">
        <v>45866</v>
      </c>
      <c r="J802">
        <v>3</v>
      </c>
      <c r="K802" t="s">
        <v>511</v>
      </c>
      <c r="L802" t="s">
        <v>384</v>
      </c>
      <c r="M802" t="s">
        <v>356</v>
      </c>
      <c r="N802" s="73">
        <v>67263</v>
      </c>
      <c r="O802" s="73">
        <v>67263</v>
      </c>
      <c r="P802">
        <v>34.681374159610094</v>
      </c>
    </row>
    <row r="803" spans="1:16" hidden="1" x14ac:dyDescent="0.2">
      <c r="A803" s="73">
        <v>67263</v>
      </c>
      <c r="B803" t="s">
        <v>457</v>
      </c>
      <c r="C803" s="73" t="s">
        <v>460</v>
      </c>
      <c r="D803" t="s">
        <v>461</v>
      </c>
      <c r="E803" s="74">
        <v>45867</v>
      </c>
      <c r="F803" t="s">
        <v>357</v>
      </c>
      <c r="G803" t="s">
        <v>358</v>
      </c>
      <c r="H803" s="75">
        <f t="shared" si="12"/>
        <v>69.362748319220188</v>
      </c>
      <c r="I803" s="74">
        <v>45867</v>
      </c>
      <c r="J803">
        <v>2</v>
      </c>
      <c r="K803" t="s">
        <v>511</v>
      </c>
      <c r="L803" t="s">
        <v>359</v>
      </c>
      <c r="M803" t="s">
        <v>356</v>
      </c>
      <c r="N803" s="73">
        <v>67263</v>
      </c>
      <c r="O803" s="73">
        <v>67263</v>
      </c>
      <c r="P803">
        <v>34.681374159610094</v>
      </c>
    </row>
    <row r="804" spans="1:16" hidden="1" x14ac:dyDescent="0.2">
      <c r="A804" s="73">
        <v>67263</v>
      </c>
      <c r="B804" t="s">
        <v>457</v>
      </c>
      <c r="C804" s="73" t="s">
        <v>460</v>
      </c>
      <c r="D804" t="s">
        <v>461</v>
      </c>
      <c r="E804" s="74">
        <v>45867</v>
      </c>
      <c r="F804">
        <v>6833</v>
      </c>
      <c r="G804" t="s">
        <v>383</v>
      </c>
      <c r="H804" s="75">
        <f t="shared" si="12"/>
        <v>104.04412247883027</v>
      </c>
      <c r="I804" s="74">
        <v>45867</v>
      </c>
      <c r="J804">
        <v>3</v>
      </c>
      <c r="K804" t="s">
        <v>511</v>
      </c>
      <c r="L804" t="s">
        <v>384</v>
      </c>
      <c r="M804" t="s">
        <v>356</v>
      </c>
      <c r="N804" s="73">
        <v>67263</v>
      </c>
      <c r="O804" s="73">
        <v>67263</v>
      </c>
      <c r="P804">
        <v>34.681374159610094</v>
      </c>
    </row>
    <row r="805" spans="1:16" hidden="1" x14ac:dyDescent="0.2">
      <c r="A805" s="73">
        <v>67263</v>
      </c>
      <c r="B805" t="s">
        <v>457</v>
      </c>
      <c r="C805" s="73" t="s">
        <v>460</v>
      </c>
      <c r="D805" t="s">
        <v>461</v>
      </c>
      <c r="E805" s="74">
        <v>45868</v>
      </c>
      <c r="F805" t="s">
        <v>357</v>
      </c>
      <c r="G805" t="s">
        <v>358</v>
      </c>
      <c r="H805" s="75">
        <f t="shared" si="12"/>
        <v>69.362748319220188</v>
      </c>
      <c r="I805" s="74">
        <v>45868</v>
      </c>
      <c r="J805">
        <v>2</v>
      </c>
      <c r="K805" t="s">
        <v>511</v>
      </c>
      <c r="L805" t="s">
        <v>359</v>
      </c>
      <c r="M805" t="s">
        <v>356</v>
      </c>
      <c r="N805" s="73">
        <v>67263</v>
      </c>
      <c r="O805" s="73">
        <v>67263</v>
      </c>
      <c r="P805">
        <v>34.681374159610094</v>
      </c>
    </row>
    <row r="806" spans="1:16" hidden="1" x14ac:dyDescent="0.2">
      <c r="A806" s="73">
        <v>67263</v>
      </c>
      <c r="B806" t="s">
        <v>457</v>
      </c>
      <c r="C806" s="73" t="s">
        <v>460</v>
      </c>
      <c r="D806" t="s">
        <v>461</v>
      </c>
      <c r="E806" s="74">
        <v>45868</v>
      </c>
      <c r="F806">
        <v>6833</v>
      </c>
      <c r="G806" t="s">
        <v>383</v>
      </c>
      <c r="H806" s="75">
        <f t="shared" si="12"/>
        <v>69.362748319220188</v>
      </c>
      <c r="I806" s="74">
        <v>45868</v>
      </c>
      <c r="J806">
        <v>2</v>
      </c>
      <c r="K806" t="s">
        <v>511</v>
      </c>
      <c r="L806" t="s">
        <v>384</v>
      </c>
      <c r="M806" t="s">
        <v>356</v>
      </c>
      <c r="N806" s="73">
        <v>67263</v>
      </c>
      <c r="O806" s="73">
        <v>67263</v>
      </c>
      <c r="P806">
        <v>34.681374159610094</v>
      </c>
    </row>
    <row r="807" spans="1:16" hidden="1" x14ac:dyDescent="0.2">
      <c r="A807" s="73">
        <v>67263</v>
      </c>
      <c r="B807" t="s">
        <v>457</v>
      </c>
      <c r="C807" s="73" t="s">
        <v>460</v>
      </c>
      <c r="D807" t="s">
        <v>461</v>
      </c>
      <c r="E807" s="74">
        <v>45869</v>
      </c>
      <c r="F807" t="s">
        <v>357</v>
      </c>
      <c r="G807" t="s">
        <v>358</v>
      </c>
      <c r="H807" s="75">
        <f t="shared" si="12"/>
        <v>69.362748319220188</v>
      </c>
      <c r="I807" s="74">
        <v>45869</v>
      </c>
      <c r="J807">
        <v>2</v>
      </c>
      <c r="K807" t="s">
        <v>511</v>
      </c>
      <c r="L807" t="s">
        <v>359</v>
      </c>
      <c r="M807" t="s">
        <v>356</v>
      </c>
      <c r="N807" s="73">
        <v>67263</v>
      </c>
      <c r="O807" s="73">
        <v>67263</v>
      </c>
      <c r="P807">
        <v>34.681374159610094</v>
      </c>
    </row>
    <row r="808" spans="1:16" hidden="1" x14ac:dyDescent="0.2">
      <c r="A808" s="73">
        <v>67263</v>
      </c>
      <c r="B808" t="s">
        <v>457</v>
      </c>
      <c r="C808" s="73" t="s">
        <v>460</v>
      </c>
      <c r="D808" t="s">
        <v>461</v>
      </c>
      <c r="E808" s="74">
        <v>45869</v>
      </c>
      <c r="F808">
        <v>6833</v>
      </c>
      <c r="G808" t="s">
        <v>383</v>
      </c>
      <c r="H808" s="75">
        <f t="shared" si="12"/>
        <v>69.362748319220188</v>
      </c>
      <c r="I808" s="74">
        <v>45869</v>
      </c>
      <c r="J808">
        <v>2</v>
      </c>
      <c r="K808" t="s">
        <v>511</v>
      </c>
      <c r="L808" t="s">
        <v>384</v>
      </c>
      <c r="M808" t="s">
        <v>356</v>
      </c>
      <c r="N808" s="73">
        <v>67263</v>
      </c>
      <c r="O808" s="73">
        <v>67263</v>
      </c>
      <c r="P808">
        <v>34.681374159610094</v>
      </c>
    </row>
    <row r="809" spans="1:16" hidden="1" x14ac:dyDescent="0.2">
      <c r="A809" s="73">
        <v>67263</v>
      </c>
      <c r="B809" t="s">
        <v>457</v>
      </c>
      <c r="C809" s="73" t="s">
        <v>460</v>
      </c>
      <c r="D809" t="s">
        <v>461</v>
      </c>
      <c r="E809" s="74">
        <v>45870</v>
      </c>
      <c r="F809">
        <v>6833</v>
      </c>
      <c r="G809" t="s">
        <v>383</v>
      </c>
      <c r="H809" s="75">
        <f t="shared" si="12"/>
        <v>104.04412247883027</v>
      </c>
      <c r="I809" s="74">
        <v>45870</v>
      </c>
      <c r="J809">
        <v>3</v>
      </c>
      <c r="K809" t="s">
        <v>288</v>
      </c>
      <c r="L809" t="s">
        <v>384</v>
      </c>
      <c r="M809" t="s">
        <v>356</v>
      </c>
      <c r="N809" s="73">
        <v>67263</v>
      </c>
      <c r="O809" s="73">
        <v>67263</v>
      </c>
      <c r="P809">
        <v>34.681374159610094</v>
      </c>
    </row>
    <row r="810" spans="1:16" hidden="1" x14ac:dyDescent="0.2">
      <c r="A810" s="73">
        <v>67263</v>
      </c>
      <c r="B810" t="s">
        <v>457</v>
      </c>
      <c r="C810" s="73" t="s">
        <v>460</v>
      </c>
      <c r="D810" t="s">
        <v>461</v>
      </c>
      <c r="E810" s="74">
        <v>45870</v>
      </c>
      <c r="F810" t="s">
        <v>357</v>
      </c>
      <c r="G810" t="s">
        <v>358</v>
      </c>
      <c r="H810" s="75">
        <f t="shared" si="12"/>
        <v>69.362748319220188</v>
      </c>
      <c r="I810" s="74">
        <v>45870</v>
      </c>
      <c r="J810">
        <v>2</v>
      </c>
      <c r="K810" t="s">
        <v>288</v>
      </c>
      <c r="L810" t="s">
        <v>359</v>
      </c>
      <c r="M810" t="s">
        <v>356</v>
      </c>
      <c r="N810" s="73">
        <v>67263</v>
      </c>
      <c r="O810" s="73">
        <v>67263</v>
      </c>
      <c r="P810">
        <v>34.681374159610094</v>
      </c>
    </row>
    <row r="811" spans="1:16" hidden="1" x14ac:dyDescent="0.2">
      <c r="A811" s="73">
        <v>67263</v>
      </c>
      <c r="B811" t="s">
        <v>457</v>
      </c>
      <c r="C811" s="73" t="s">
        <v>460</v>
      </c>
      <c r="D811" t="s">
        <v>461</v>
      </c>
      <c r="E811" s="74">
        <v>45873</v>
      </c>
      <c r="F811" t="s">
        <v>357</v>
      </c>
      <c r="G811" t="s">
        <v>358</v>
      </c>
      <c r="H811" s="75">
        <f t="shared" si="12"/>
        <v>208.08824495766055</v>
      </c>
      <c r="I811" s="74">
        <v>45873</v>
      </c>
      <c r="J811">
        <v>6</v>
      </c>
      <c r="K811" t="s">
        <v>288</v>
      </c>
      <c r="L811" t="s">
        <v>359</v>
      </c>
      <c r="M811" t="s">
        <v>356</v>
      </c>
      <c r="N811" s="73">
        <v>67263</v>
      </c>
      <c r="O811" s="73">
        <v>67263</v>
      </c>
      <c r="P811">
        <v>34.681374159610094</v>
      </c>
    </row>
    <row r="812" spans="1:16" hidden="1" x14ac:dyDescent="0.2">
      <c r="A812" s="73">
        <v>67263</v>
      </c>
      <c r="B812" t="s">
        <v>457</v>
      </c>
      <c r="C812" s="73" t="s">
        <v>460</v>
      </c>
      <c r="D812" t="s">
        <v>461</v>
      </c>
      <c r="E812" s="74">
        <v>45873</v>
      </c>
      <c r="F812">
        <v>6833</v>
      </c>
      <c r="G812" t="s">
        <v>383</v>
      </c>
      <c r="H812" s="75">
        <f t="shared" si="12"/>
        <v>104.04412247883027</v>
      </c>
      <c r="I812" s="74">
        <v>45873</v>
      </c>
      <c r="J812">
        <v>3</v>
      </c>
      <c r="K812" t="s">
        <v>288</v>
      </c>
      <c r="L812" t="s">
        <v>384</v>
      </c>
      <c r="M812" t="s">
        <v>356</v>
      </c>
      <c r="N812" s="73">
        <v>67263</v>
      </c>
      <c r="O812" s="73">
        <v>67263</v>
      </c>
      <c r="P812">
        <v>34.681374159610094</v>
      </c>
    </row>
    <row r="813" spans="1:16" hidden="1" x14ac:dyDescent="0.2">
      <c r="A813" s="73">
        <v>67263</v>
      </c>
      <c r="B813" t="s">
        <v>457</v>
      </c>
      <c r="C813" s="73" t="s">
        <v>460</v>
      </c>
      <c r="D813" t="s">
        <v>461</v>
      </c>
      <c r="E813" s="74">
        <v>45874</v>
      </c>
      <c r="F813" t="s">
        <v>357</v>
      </c>
      <c r="G813" t="s">
        <v>358</v>
      </c>
      <c r="H813" s="75">
        <f t="shared" si="12"/>
        <v>208.08824495766055</v>
      </c>
      <c r="I813" s="74">
        <v>45874</v>
      </c>
      <c r="J813">
        <v>6</v>
      </c>
      <c r="K813" t="s">
        <v>288</v>
      </c>
      <c r="L813" t="s">
        <v>359</v>
      </c>
      <c r="M813" t="s">
        <v>356</v>
      </c>
      <c r="N813" s="73">
        <v>67263</v>
      </c>
      <c r="O813" s="73">
        <v>67263</v>
      </c>
      <c r="P813">
        <v>34.681374159610094</v>
      </c>
    </row>
    <row r="814" spans="1:16" hidden="1" x14ac:dyDescent="0.2">
      <c r="A814" s="73">
        <v>67263</v>
      </c>
      <c r="B814" t="s">
        <v>457</v>
      </c>
      <c r="C814" s="73" t="s">
        <v>460</v>
      </c>
      <c r="D814" t="s">
        <v>461</v>
      </c>
      <c r="E814" s="74">
        <v>45874</v>
      </c>
      <c r="F814">
        <v>6833</v>
      </c>
      <c r="G814" t="s">
        <v>383</v>
      </c>
      <c r="H814" s="75">
        <f t="shared" si="12"/>
        <v>104.04412247883027</v>
      </c>
      <c r="I814" s="74">
        <v>45874</v>
      </c>
      <c r="J814">
        <v>3</v>
      </c>
      <c r="K814" t="s">
        <v>288</v>
      </c>
      <c r="L814" t="s">
        <v>384</v>
      </c>
      <c r="M814" t="s">
        <v>356</v>
      </c>
      <c r="N814" s="73">
        <v>67263</v>
      </c>
      <c r="O814" s="73">
        <v>67263</v>
      </c>
      <c r="P814">
        <v>34.681374159610094</v>
      </c>
    </row>
    <row r="815" spans="1:16" hidden="1" x14ac:dyDescent="0.2">
      <c r="A815" s="73">
        <v>67263</v>
      </c>
      <c r="B815" t="s">
        <v>457</v>
      </c>
      <c r="C815" s="73" t="s">
        <v>460</v>
      </c>
      <c r="D815" t="s">
        <v>461</v>
      </c>
      <c r="E815" s="74">
        <v>45875</v>
      </c>
      <c r="F815" t="s">
        <v>357</v>
      </c>
      <c r="G815" t="s">
        <v>358</v>
      </c>
      <c r="H815" s="75">
        <f t="shared" si="12"/>
        <v>208.08824495766055</v>
      </c>
      <c r="I815" s="74">
        <v>45875</v>
      </c>
      <c r="J815">
        <v>6</v>
      </c>
      <c r="K815" t="s">
        <v>288</v>
      </c>
      <c r="L815" t="s">
        <v>359</v>
      </c>
      <c r="M815" t="s">
        <v>356</v>
      </c>
      <c r="N815" s="73">
        <v>67263</v>
      </c>
      <c r="O815" s="73">
        <v>67263</v>
      </c>
      <c r="P815">
        <v>34.681374159610094</v>
      </c>
    </row>
    <row r="816" spans="1:16" hidden="1" x14ac:dyDescent="0.2">
      <c r="A816" s="73">
        <v>67263</v>
      </c>
      <c r="B816" t="s">
        <v>457</v>
      </c>
      <c r="C816" s="73" t="s">
        <v>460</v>
      </c>
      <c r="D816" t="s">
        <v>461</v>
      </c>
      <c r="E816" s="74">
        <v>45875</v>
      </c>
      <c r="F816">
        <v>6833</v>
      </c>
      <c r="G816" t="s">
        <v>383</v>
      </c>
      <c r="H816" s="75">
        <f t="shared" si="12"/>
        <v>104.04412247883027</v>
      </c>
      <c r="I816" s="74">
        <v>45875</v>
      </c>
      <c r="J816">
        <v>3</v>
      </c>
      <c r="K816" t="s">
        <v>288</v>
      </c>
      <c r="L816" t="s">
        <v>384</v>
      </c>
      <c r="M816" t="s">
        <v>356</v>
      </c>
      <c r="N816" s="73">
        <v>67263</v>
      </c>
      <c r="O816" s="73">
        <v>67263</v>
      </c>
      <c r="P816">
        <v>34.681374159610094</v>
      </c>
    </row>
    <row r="817" spans="1:16" hidden="1" x14ac:dyDescent="0.2">
      <c r="A817" s="73">
        <v>67263</v>
      </c>
      <c r="B817" t="s">
        <v>457</v>
      </c>
      <c r="C817" s="73" t="s">
        <v>460</v>
      </c>
      <c r="D817" t="s">
        <v>461</v>
      </c>
      <c r="E817" s="74">
        <v>45876</v>
      </c>
      <c r="F817" t="s">
        <v>357</v>
      </c>
      <c r="G817" t="s">
        <v>358</v>
      </c>
      <c r="H817" s="75">
        <f t="shared" si="12"/>
        <v>208.08824495766055</v>
      </c>
      <c r="I817" s="74">
        <v>45876</v>
      </c>
      <c r="J817">
        <v>6</v>
      </c>
      <c r="K817" t="s">
        <v>288</v>
      </c>
      <c r="L817" t="s">
        <v>359</v>
      </c>
      <c r="M817" t="s">
        <v>356</v>
      </c>
      <c r="N817" s="73">
        <v>67263</v>
      </c>
      <c r="O817" s="73">
        <v>67263</v>
      </c>
      <c r="P817">
        <v>34.681374159610094</v>
      </c>
    </row>
    <row r="818" spans="1:16" hidden="1" x14ac:dyDescent="0.2">
      <c r="A818" s="73">
        <v>67263</v>
      </c>
      <c r="B818" t="s">
        <v>457</v>
      </c>
      <c r="C818" s="73" t="s">
        <v>460</v>
      </c>
      <c r="D818" t="s">
        <v>461</v>
      </c>
      <c r="E818" s="74">
        <v>45876</v>
      </c>
      <c r="F818">
        <v>6833</v>
      </c>
      <c r="G818" t="s">
        <v>383</v>
      </c>
      <c r="H818" s="75">
        <f t="shared" si="12"/>
        <v>104.04412247883027</v>
      </c>
      <c r="I818" s="74">
        <v>45876</v>
      </c>
      <c r="J818">
        <v>3</v>
      </c>
      <c r="K818" t="s">
        <v>288</v>
      </c>
      <c r="L818" t="s">
        <v>384</v>
      </c>
      <c r="M818" t="s">
        <v>356</v>
      </c>
      <c r="N818" s="73">
        <v>67263</v>
      </c>
      <c r="O818" s="73">
        <v>67263</v>
      </c>
      <c r="P818">
        <v>34.681374159610094</v>
      </c>
    </row>
    <row r="819" spans="1:16" hidden="1" x14ac:dyDescent="0.2">
      <c r="A819" s="73">
        <v>67263</v>
      </c>
      <c r="B819" t="s">
        <v>457</v>
      </c>
      <c r="C819" s="73" t="s">
        <v>460</v>
      </c>
      <c r="D819" t="s">
        <v>461</v>
      </c>
      <c r="E819" s="74">
        <v>45877</v>
      </c>
      <c r="F819" t="s">
        <v>357</v>
      </c>
      <c r="G819" t="s">
        <v>358</v>
      </c>
      <c r="H819" s="75">
        <f t="shared" si="12"/>
        <v>208.08824495766055</v>
      </c>
      <c r="I819" s="74">
        <v>45877</v>
      </c>
      <c r="J819">
        <v>6</v>
      </c>
      <c r="K819" t="s">
        <v>288</v>
      </c>
      <c r="L819" t="s">
        <v>359</v>
      </c>
      <c r="M819" t="s">
        <v>356</v>
      </c>
      <c r="N819" s="73">
        <v>67263</v>
      </c>
      <c r="O819" s="73">
        <v>67263</v>
      </c>
      <c r="P819">
        <v>34.681374159610094</v>
      </c>
    </row>
    <row r="820" spans="1:16" hidden="1" x14ac:dyDescent="0.2">
      <c r="A820" s="73">
        <v>67263</v>
      </c>
      <c r="B820" t="s">
        <v>457</v>
      </c>
      <c r="C820" s="73" t="s">
        <v>460</v>
      </c>
      <c r="D820" t="s">
        <v>461</v>
      </c>
      <c r="E820" s="74">
        <v>45877</v>
      </c>
      <c r="F820">
        <v>6833</v>
      </c>
      <c r="G820" t="s">
        <v>383</v>
      </c>
      <c r="H820" s="75">
        <f t="shared" si="12"/>
        <v>104.04412247883027</v>
      </c>
      <c r="I820" s="74">
        <v>45877</v>
      </c>
      <c r="J820">
        <v>3</v>
      </c>
      <c r="K820" t="s">
        <v>288</v>
      </c>
      <c r="L820" t="s">
        <v>384</v>
      </c>
      <c r="M820" t="s">
        <v>356</v>
      </c>
      <c r="N820" s="73">
        <v>67263</v>
      </c>
      <c r="O820" s="73">
        <v>67263</v>
      </c>
      <c r="P820">
        <v>34.681374159610094</v>
      </c>
    </row>
    <row r="821" spans="1:16" hidden="1" x14ac:dyDescent="0.2">
      <c r="A821" s="73">
        <v>67263</v>
      </c>
      <c r="B821" t="s">
        <v>457</v>
      </c>
      <c r="C821" s="73" t="s">
        <v>460</v>
      </c>
      <c r="D821" t="s">
        <v>461</v>
      </c>
      <c r="E821" s="74">
        <v>45880</v>
      </c>
      <c r="F821">
        <v>6833</v>
      </c>
      <c r="G821" t="s">
        <v>383</v>
      </c>
      <c r="H821" s="75">
        <f t="shared" si="12"/>
        <v>69.362748319220188</v>
      </c>
      <c r="I821" s="74">
        <v>45880</v>
      </c>
      <c r="J821">
        <v>2</v>
      </c>
      <c r="K821" t="s">
        <v>288</v>
      </c>
      <c r="L821" t="s">
        <v>384</v>
      </c>
      <c r="M821" t="s">
        <v>356</v>
      </c>
      <c r="N821" s="73">
        <v>67263</v>
      </c>
      <c r="O821" s="73">
        <v>67263</v>
      </c>
      <c r="P821">
        <v>34.681374159610094</v>
      </c>
    </row>
    <row r="822" spans="1:16" hidden="1" x14ac:dyDescent="0.2">
      <c r="A822" s="73">
        <v>67263</v>
      </c>
      <c r="B822" t="s">
        <v>457</v>
      </c>
      <c r="C822" s="73" t="s">
        <v>460</v>
      </c>
      <c r="D822" t="s">
        <v>461</v>
      </c>
      <c r="E822" s="74">
        <v>45880</v>
      </c>
      <c r="F822" t="s">
        <v>357</v>
      </c>
      <c r="G822" t="s">
        <v>358</v>
      </c>
      <c r="H822" s="75">
        <f t="shared" si="12"/>
        <v>69.362748319220188</v>
      </c>
      <c r="I822" s="74">
        <v>45880</v>
      </c>
      <c r="J822">
        <v>2</v>
      </c>
      <c r="K822" t="s">
        <v>288</v>
      </c>
      <c r="L822" t="s">
        <v>359</v>
      </c>
      <c r="M822" t="s">
        <v>356</v>
      </c>
      <c r="N822" s="73">
        <v>67263</v>
      </c>
      <c r="O822" s="73">
        <v>67263</v>
      </c>
      <c r="P822">
        <v>34.681374159610094</v>
      </c>
    </row>
    <row r="823" spans="1:16" hidden="1" x14ac:dyDescent="0.2">
      <c r="A823" s="73">
        <v>67263</v>
      </c>
      <c r="B823" t="s">
        <v>457</v>
      </c>
      <c r="C823" s="73" t="s">
        <v>460</v>
      </c>
      <c r="D823" t="s">
        <v>461</v>
      </c>
      <c r="E823" s="74">
        <v>45881</v>
      </c>
      <c r="F823">
        <v>6833</v>
      </c>
      <c r="G823" t="s">
        <v>383</v>
      </c>
      <c r="H823" s="75">
        <f t="shared" si="12"/>
        <v>69.362748319220188</v>
      </c>
      <c r="I823" s="74">
        <v>45881</v>
      </c>
      <c r="J823">
        <v>2</v>
      </c>
      <c r="K823" t="s">
        <v>288</v>
      </c>
      <c r="L823" t="s">
        <v>384</v>
      </c>
      <c r="M823" t="s">
        <v>356</v>
      </c>
      <c r="N823" s="73">
        <v>67263</v>
      </c>
      <c r="O823" s="73">
        <v>67263</v>
      </c>
      <c r="P823">
        <v>34.681374159610094</v>
      </c>
    </row>
    <row r="824" spans="1:16" hidden="1" x14ac:dyDescent="0.2">
      <c r="A824" s="73">
        <v>67263</v>
      </c>
      <c r="B824" t="s">
        <v>457</v>
      </c>
      <c r="C824" s="73" t="s">
        <v>460</v>
      </c>
      <c r="D824" t="s">
        <v>461</v>
      </c>
      <c r="E824" s="74">
        <v>45881</v>
      </c>
      <c r="F824" t="s">
        <v>357</v>
      </c>
      <c r="G824" t="s">
        <v>358</v>
      </c>
      <c r="H824" s="75">
        <f t="shared" si="12"/>
        <v>69.362748319220188</v>
      </c>
      <c r="I824" s="74">
        <v>45881</v>
      </c>
      <c r="J824">
        <v>2</v>
      </c>
      <c r="K824" t="s">
        <v>288</v>
      </c>
      <c r="L824" t="s">
        <v>359</v>
      </c>
      <c r="M824" t="s">
        <v>356</v>
      </c>
      <c r="N824" s="73">
        <v>67263</v>
      </c>
      <c r="O824" s="73">
        <v>67263</v>
      </c>
      <c r="P824">
        <v>34.681374159610094</v>
      </c>
    </row>
    <row r="825" spans="1:16" hidden="1" x14ac:dyDescent="0.2">
      <c r="A825" s="73">
        <v>67263</v>
      </c>
      <c r="B825" t="s">
        <v>457</v>
      </c>
      <c r="C825" s="73" t="s">
        <v>460</v>
      </c>
      <c r="D825" t="s">
        <v>461</v>
      </c>
      <c r="E825" s="74">
        <v>45882</v>
      </c>
      <c r="F825">
        <v>6833</v>
      </c>
      <c r="G825" t="s">
        <v>383</v>
      </c>
      <c r="H825" s="75">
        <f t="shared" si="12"/>
        <v>69.362748319220188</v>
      </c>
      <c r="I825" s="74">
        <v>45882</v>
      </c>
      <c r="J825">
        <v>2</v>
      </c>
      <c r="K825" t="s">
        <v>288</v>
      </c>
      <c r="L825" t="s">
        <v>384</v>
      </c>
      <c r="M825" t="s">
        <v>356</v>
      </c>
      <c r="N825" s="73">
        <v>67263</v>
      </c>
      <c r="O825" s="73">
        <v>67263</v>
      </c>
      <c r="P825">
        <v>34.681374159610094</v>
      </c>
    </row>
    <row r="826" spans="1:16" hidden="1" x14ac:dyDescent="0.2">
      <c r="A826" s="73">
        <v>67263</v>
      </c>
      <c r="B826" t="s">
        <v>457</v>
      </c>
      <c r="C826" s="73" t="s">
        <v>460</v>
      </c>
      <c r="D826" t="s">
        <v>461</v>
      </c>
      <c r="E826" s="74">
        <v>45882</v>
      </c>
      <c r="F826" t="s">
        <v>357</v>
      </c>
      <c r="G826" t="s">
        <v>358</v>
      </c>
      <c r="H826" s="75">
        <f t="shared" si="12"/>
        <v>69.362748319220188</v>
      </c>
      <c r="I826" s="74">
        <v>45882</v>
      </c>
      <c r="J826">
        <v>2</v>
      </c>
      <c r="K826" t="s">
        <v>288</v>
      </c>
      <c r="L826" t="s">
        <v>359</v>
      </c>
      <c r="M826" t="s">
        <v>356</v>
      </c>
      <c r="N826" s="73">
        <v>67263</v>
      </c>
      <c r="O826" s="73">
        <v>67263</v>
      </c>
      <c r="P826">
        <v>34.681374159610094</v>
      </c>
    </row>
    <row r="827" spans="1:16" hidden="1" x14ac:dyDescent="0.2">
      <c r="A827" s="73">
        <v>67263</v>
      </c>
      <c r="B827" t="s">
        <v>457</v>
      </c>
      <c r="C827" s="73" t="s">
        <v>460</v>
      </c>
      <c r="D827" t="s">
        <v>461</v>
      </c>
      <c r="E827" s="74">
        <v>45883</v>
      </c>
      <c r="F827" t="s">
        <v>357</v>
      </c>
      <c r="G827" t="s">
        <v>358</v>
      </c>
      <c r="H827" s="75">
        <f t="shared" si="12"/>
        <v>69.362748319220188</v>
      </c>
      <c r="I827" s="74">
        <v>45883</v>
      </c>
      <c r="J827">
        <v>2</v>
      </c>
      <c r="K827" t="s">
        <v>288</v>
      </c>
      <c r="L827" t="s">
        <v>359</v>
      </c>
      <c r="M827" t="s">
        <v>356</v>
      </c>
      <c r="N827" s="73">
        <v>67263</v>
      </c>
      <c r="O827" s="73">
        <v>67263</v>
      </c>
      <c r="P827">
        <v>34.681374159610094</v>
      </c>
    </row>
    <row r="828" spans="1:16" hidden="1" x14ac:dyDescent="0.2">
      <c r="A828" s="73">
        <v>67263</v>
      </c>
      <c r="B828" t="s">
        <v>457</v>
      </c>
      <c r="C828" s="73" t="s">
        <v>460</v>
      </c>
      <c r="D828" t="s">
        <v>461</v>
      </c>
      <c r="E828" s="74">
        <v>45883</v>
      </c>
      <c r="F828">
        <v>6833</v>
      </c>
      <c r="G828" t="s">
        <v>383</v>
      </c>
      <c r="H828" s="75">
        <f t="shared" si="12"/>
        <v>69.362748319220188</v>
      </c>
      <c r="I828" s="74">
        <v>45883</v>
      </c>
      <c r="J828">
        <v>2</v>
      </c>
      <c r="K828" t="s">
        <v>288</v>
      </c>
      <c r="L828" t="s">
        <v>384</v>
      </c>
      <c r="M828" t="s">
        <v>356</v>
      </c>
      <c r="N828" s="73">
        <v>67263</v>
      </c>
      <c r="O828" s="73">
        <v>67263</v>
      </c>
      <c r="P828">
        <v>34.681374159610094</v>
      </c>
    </row>
    <row r="829" spans="1:16" hidden="1" x14ac:dyDescent="0.2">
      <c r="A829" s="73">
        <v>67263</v>
      </c>
      <c r="B829" t="s">
        <v>457</v>
      </c>
      <c r="C829" s="73" t="s">
        <v>460</v>
      </c>
      <c r="D829" t="s">
        <v>461</v>
      </c>
      <c r="E829" s="74">
        <v>45887</v>
      </c>
      <c r="F829" t="s">
        <v>357</v>
      </c>
      <c r="G829" t="s">
        <v>358</v>
      </c>
      <c r="H829" s="75">
        <f t="shared" si="12"/>
        <v>208.08824495766055</v>
      </c>
      <c r="I829" s="74">
        <v>45887</v>
      </c>
      <c r="J829">
        <v>6</v>
      </c>
      <c r="K829" t="s">
        <v>288</v>
      </c>
      <c r="L829" t="s">
        <v>359</v>
      </c>
      <c r="M829" t="s">
        <v>356</v>
      </c>
      <c r="N829" s="73">
        <v>67263</v>
      </c>
      <c r="O829" s="73">
        <v>67263</v>
      </c>
      <c r="P829">
        <v>34.681374159610094</v>
      </c>
    </row>
    <row r="830" spans="1:16" hidden="1" x14ac:dyDescent="0.2">
      <c r="A830" s="73">
        <v>67263</v>
      </c>
      <c r="B830" t="s">
        <v>457</v>
      </c>
      <c r="C830" s="73" t="s">
        <v>460</v>
      </c>
      <c r="D830" t="s">
        <v>461</v>
      </c>
      <c r="E830" s="74">
        <v>45887</v>
      </c>
      <c r="F830">
        <v>6833</v>
      </c>
      <c r="G830" t="s">
        <v>383</v>
      </c>
      <c r="H830" s="75">
        <f t="shared" si="12"/>
        <v>121.38480955863533</v>
      </c>
      <c r="I830" s="74">
        <v>45887</v>
      </c>
      <c r="J830">
        <v>3.5</v>
      </c>
      <c r="K830" t="s">
        <v>288</v>
      </c>
      <c r="L830" t="s">
        <v>384</v>
      </c>
      <c r="M830" t="s">
        <v>356</v>
      </c>
      <c r="N830" s="73">
        <v>67263</v>
      </c>
      <c r="O830" s="73">
        <v>67263</v>
      </c>
      <c r="P830">
        <v>34.681374159610094</v>
      </c>
    </row>
    <row r="831" spans="1:16" hidden="1" x14ac:dyDescent="0.2">
      <c r="A831" s="73">
        <v>67263</v>
      </c>
      <c r="B831" t="s">
        <v>457</v>
      </c>
      <c r="C831" s="73" t="s">
        <v>460</v>
      </c>
      <c r="D831" t="s">
        <v>461</v>
      </c>
      <c r="E831" s="74">
        <v>45888</v>
      </c>
      <c r="F831" t="s">
        <v>357</v>
      </c>
      <c r="G831" t="s">
        <v>358</v>
      </c>
      <c r="H831" s="75">
        <f t="shared" si="12"/>
        <v>208.08824495766055</v>
      </c>
      <c r="I831" s="74">
        <v>45888</v>
      </c>
      <c r="J831">
        <v>6</v>
      </c>
      <c r="K831" t="s">
        <v>288</v>
      </c>
      <c r="L831" t="s">
        <v>359</v>
      </c>
      <c r="M831" t="s">
        <v>356</v>
      </c>
      <c r="N831" s="73">
        <v>67263</v>
      </c>
      <c r="O831" s="73">
        <v>67263</v>
      </c>
      <c r="P831">
        <v>34.681374159610094</v>
      </c>
    </row>
    <row r="832" spans="1:16" hidden="1" x14ac:dyDescent="0.2">
      <c r="A832" s="73">
        <v>67263</v>
      </c>
      <c r="B832" t="s">
        <v>457</v>
      </c>
      <c r="C832" s="73" t="s">
        <v>460</v>
      </c>
      <c r="D832" t="s">
        <v>461</v>
      </c>
      <c r="E832" s="74">
        <v>45888</v>
      </c>
      <c r="F832">
        <v>6833</v>
      </c>
      <c r="G832" t="s">
        <v>383</v>
      </c>
      <c r="H832" s="75">
        <f t="shared" si="12"/>
        <v>104.04412247883027</v>
      </c>
      <c r="I832" s="74">
        <v>45888</v>
      </c>
      <c r="J832">
        <v>3</v>
      </c>
      <c r="K832" t="s">
        <v>288</v>
      </c>
      <c r="L832" t="s">
        <v>384</v>
      </c>
      <c r="M832" t="s">
        <v>356</v>
      </c>
      <c r="N832" s="73">
        <v>67263</v>
      </c>
      <c r="O832" s="73">
        <v>67263</v>
      </c>
      <c r="P832">
        <v>34.681374159610094</v>
      </c>
    </row>
    <row r="833" spans="1:16" hidden="1" x14ac:dyDescent="0.2">
      <c r="A833" s="73">
        <v>67263</v>
      </c>
      <c r="B833" t="s">
        <v>457</v>
      </c>
      <c r="C833" s="73" t="s">
        <v>460</v>
      </c>
      <c r="D833" t="s">
        <v>461</v>
      </c>
      <c r="E833" s="74">
        <v>45889</v>
      </c>
      <c r="F833" t="s">
        <v>357</v>
      </c>
      <c r="G833" t="s">
        <v>358</v>
      </c>
      <c r="H833" s="75">
        <f t="shared" si="12"/>
        <v>208.08824495766055</v>
      </c>
      <c r="I833" s="74">
        <v>45889</v>
      </c>
      <c r="J833">
        <v>6</v>
      </c>
      <c r="K833" t="s">
        <v>288</v>
      </c>
      <c r="L833" t="s">
        <v>359</v>
      </c>
      <c r="M833" t="s">
        <v>356</v>
      </c>
      <c r="N833" s="73">
        <v>67263</v>
      </c>
      <c r="O833" s="73">
        <v>67263</v>
      </c>
      <c r="P833">
        <v>34.681374159610094</v>
      </c>
    </row>
    <row r="834" spans="1:16" hidden="1" x14ac:dyDescent="0.2">
      <c r="A834" s="73">
        <v>67263</v>
      </c>
      <c r="B834" t="s">
        <v>457</v>
      </c>
      <c r="C834" s="73" t="s">
        <v>460</v>
      </c>
      <c r="D834" t="s">
        <v>461</v>
      </c>
      <c r="E834" s="74">
        <v>45889</v>
      </c>
      <c r="F834">
        <v>6833</v>
      </c>
      <c r="G834" t="s">
        <v>383</v>
      </c>
      <c r="H834" s="75">
        <f t="shared" ref="H834:H897" si="13">J834*P834</f>
        <v>104.04412247883027</v>
      </c>
      <c r="I834" s="74">
        <v>45889</v>
      </c>
      <c r="J834">
        <v>3</v>
      </c>
      <c r="K834" t="s">
        <v>288</v>
      </c>
      <c r="L834" t="s">
        <v>384</v>
      </c>
      <c r="M834" t="s">
        <v>356</v>
      </c>
      <c r="N834" s="73">
        <v>67263</v>
      </c>
      <c r="O834" s="73">
        <v>67263</v>
      </c>
      <c r="P834">
        <v>34.681374159610094</v>
      </c>
    </row>
    <row r="835" spans="1:16" hidden="1" x14ac:dyDescent="0.2">
      <c r="A835" s="73">
        <v>67263</v>
      </c>
      <c r="B835" t="s">
        <v>457</v>
      </c>
      <c r="C835" s="73" t="s">
        <v>460</v>
      </c>
      <c r="D835" t="s">
        <v>461</v>
      </c>
      <c r="E835" s="74">
        <v>45890</v>
      </c>
      <c r="F835" t="s">
        <v>357</v>
      </c>
      <c r="G835" t="s">
        <v>358</v>
      </c>
      <c r="H835" s="75">
        <f t="shared" si="13"/>
        <v>208.08824495766055</v>
      </c>
      <c r="I835" s="74">
        <v>45890</v>
      </c>
      <c r="J835">
        <v>6</v>
      </c>
      <c r="K835" t="s">
        <v>288</v>
      </c>
      <c r="L835" t="s">
        <v>359</v>
      </c>
      <c r="M835" t="s">
        <v>356</v>
      </c>
      <c r="N835" s="73">
        <v>67263</v>
      </c>
      <c r="O835" s="73">
        <v>67263</v>
      </c>
      <c r="P835">
        <v>34.681374159610094</v>
      </c>
    </row>
    <row r="836" spans="1:16" hidden="1" x14ac:dyDescent="0.2">
      <c r="A836" s="73">
        <v>67263</v>
      </c>
      <c r="B836" t="s">
        <v>457</v>
      </c>
      <c r="C836" s="73" t="s">
        <v>460</v>
      </c>
      <c r="D836" t="s">
        <v>461</v>
      </c>
      <c r="E836" s="74">
        <v>45890</v>
      </c>
      <c r="F836">
        <v>6833</v>
      </c>
      <c r="G836" t="s">
        <v>383</v>
      </c>
      <c r="H836" s="75">
        <f t="shared" si="13"/>
        <v>104.04412247883027</v>
      </c>
      <c r="I836" s="74">
        <v>45890</v>
      </c>
      <c r="J836">
        <v>3</v>
      </c>
      <c r="K836" t="s">
        <v>288</v>
      </c>
      <c r="L836" t="s">
        <v>384</v>
      </c>
      <c r="M836" t="s">
        <v>356</v>
      </c>
      <c r="N836" s="73">
        <v>67263</v>
      </c>
      <c r="O836" s="73">
        <v>67263</v>
      </c>
      <c r="P836">
        <v>34.681374159610094</v>
      </c>
    </row>
    <row r="837" spans="1:16" hidden="1" x14ac:dyDescent="0.2">
      <c r="A837" s="73">
        <v>67263</v>
      </c>
      <c r="B837" t="s">
        <v>457</v>
      </c>
      <c r="C837" s="73" t="s">
        <v>460</v>
      </c>
      <c r="D837" t="s">
        <v>461</v>
      </c>
      <c r="E837" s="74">
        <v>45891</v>
      </c>
      <c r="F837" t="s">
        <v>357</v>
      </c>
      <c r="G837" t="s">
        <v>358</v>
      </c>
      <c r="H837" s="75">
        <f t="shared" si="13"/>
        <v>208.08824495766055</v>
      </c>
      <c r="I837" s="74">
        <v>45891</v>
      </c>
      <c r="J837">
        <v>6</v>
      </c>
      <c r="K837" t="s">
        <v>288</v>
      </c>
      <c r="L837" t="s">
        <v>359</v>
      </c>
      <c r="M837" t="s">
        <v>356</v>
      </c>
      <c r="N837" s="73">
        <v>67263</v>
      </c>
      <c r="O837" s="73">
        <v>67263</v>
      </c>
      <c r="P837">
        <v>34.681374159610094</v>
      </c>
    </row>
    <row r="838" spans="1:16" hidden="1" x14ac:dyDescent="0.2">
      <c r="A838" s="73">
        <v>67263</v>
      </c>
      <c r="B838" t="s">
        <v>457</v>
      </c>
      <c r="C838" s="73" t="s">
        <v>460</v>
      </c>
      <c r="D838" t="s">
        <v>461</v>
      </c>
      <c r="E838" s="74">
        <v>45891</v>
      </c>
      <c r="F838">
        <v>6833</v>
      </c>
      <c r="G838" t="s">
        <v>383</v>
      </c>
      <c r="H838" s="75">
        <f t="shared" si="13"/>
        <v>104.04412247883027</v>
      </c>
      <c r="I838" s="74">
        <v>45891</v>
      </c>
      <c r="J838">
        <v>3</v>
      </c>
      <c r="K838" t="s">
        <v>288</v>
      </c>
      <c r="L838" t="s">
        <v>384</v>
      </c>
      <c r="M838" t="s">
        <v>356</v>
      </c>
      <c r="N838" s="73">
        <v>67263</v>
      </c>
      <c r="O838" s="73">
        <v>67263</v>
      </c>
      <c r="P838">
        <v>34.681374159610094</v>
      </c>
    </row>
    <row r="839" spans="1:16" hidden="1" x14ac:dyDescent="0.2">
      <c r="A839" s="73">
        <v>67263</v>
      </c>
      <c r="B839" t="s">
        <v>457</v>
      </c>
      <c r="C839" s="73" t="s">
        <v>460</v>
      </c>
      <c r="D839" t="s">
        <v>461</v>
      </c>
      <c r="E839" s="74">
        <v>45894</v>
      </c>
      <c r="F839">
        <v>6833</v>
      </c>
      <c r="G839" t="s">
        <v>383</v>
      </c>
      <c r="H839" s="75">
        <f t="shared" si="13"/>
        <v>138.72549663844038</v>
      </c>
      <c r="I839" s="74">
        <v>45894</v>
      </c>
      <c r="J839">
        <v>4</v>
      </c>
      <c r="K839" t="s">
        <v>288</v>
      </c>
      <c r="L839" t="s">
        <v>384</v>
      </c>
      <c r="M839" t="s">
        <v>356</v>
      </c>
      <c r="N839" s="73">
        <v>67263</v>
      </c>
      <c r="O839" s="73">
        <v>67263</v>
      </c>
      <c r="P839">
        <v>34.681374159610094</v>
      </c>
    </row>
    <row r="840" spans="1:16" hidden="1" x14ac:dyDescent="0.2">
      <c r="A840" s="73">
        <v>67263</v>
      </c>
      <c r="B840" t="s">
        <v>457</v>
      </c>
      <c r="C840" s="73" t="s">
        <v>460</v>
      </c>
      <c r="D840" t="s">
        <v>461</v>
      </c>
      <c r="E840" s="74">
        <v>45894</v>
      </c>
      <c r="F840" t="s">
        <v>357</v>
      </c>
      <c r="G840" t="s">
        <v>358</v>
      </c>
      <c r="H840" s="75">
        <f t="shared" si="13"/>
        <v>69.362748319220188</v>
      </c>
      <c r="I840" s="74">
        <v>45894</v>
      </c>
      <c r="J840">
        <v>2</v>
      </c>
      <c r="K840" t="s">
        <v>288</v>
      </c>
      <c r="L840" t="s">
        <v>359</v>
      </c>
      <c r="M840" t="s">
        <v>356</v>
      </c>
      <c r="N840" s="73">
        <v>67263</v>
      </c>
      <c r="O840" s="73">
        <v>67263</v>
      </c>
      <c r="P840">
        <v>34.681374159610094</v>
      </c>
    </row>
    <row r="841" spans="1:16" hidden="1" x14ac:dyDescent="0.2">
      <c r="A841" s="73">
        <v>67263</v>
      </c>
      <c r="B841" t="s">
        <v>457</v>
      </c>
      <c r="C841" s="73" t="s">
        <v>460</v>
      </c>
      <c r="D841" t="s">
        <v>461</v>
      </c>
      <c r="E841" s="74">
        <v>45895</v>
      </c>
      <c r="F841">
        <v>6833</v>
      </c>
      <c r="G841" t="s">
        <v>383</v>
      </c>
      <c r="H841" s="75">
        <f t="shared" si="13"/>
        <v>138.72549663844038</v>
      </c>
      <c r="I841" s="74">
        <v>45895</v>
      </c>
      <c r="J841">
        <v>4</v>
      </c>
      <c r="K841" t="s">
        <v>288</v>
      </c>
      <c r="L841" t="s">
        <v>384</v>
      </c>
      <c r="M841" t="s">
        <v>356</v>
      </c>
      <c r="N841" s="73">
        <v>67263</v>
      </c>
      <c r="O841" s="73">
        <v>67263</v>
      </c>
      <c r="P841">
        <v>34.681374159610094</v>
      </c>
    </row>
    <row r="842" spans="1:16" hidden="1" x14ac:dyDescent="0.2">
      <c r="A842" s="73">
        <v>67263</v>
      </c>
      <c r="B842" t="s">
        <v>457</v>
      </c>
      <c r="C842" s="73" t="s">
        <v>460</v>
      </c>
      <c r="D842" t="s">
        <v>461</v>
      </c>
      <c r="E842" s="74">
        <v>45895</v>
      </c>
      <c r="F842" t="s">
        <v>357</v>
      </c>
      <c r="G842" t="s">
        <v>358</v>
      </c>
      <c r="H842" s="75">
        <f t="shared" si="13"/>
        <v>69.362748319220188</v>
      </c>
      <c r="I842" s="74">
        <v>45895</v>
      </c>
      <c r="J842">
        <v>2</v>
      </c>
      <c r="K842" t="s">
        <v>288</v>
      </c>
      <c r="L842" t="s">
        <v>359</v>
      </c>
      <c r="M842" t="s">
        <v>356</v>
      </c>
      <c r="N842" s="73">
        <v>67263</v>
      </c>
      <c r="O842" s="73">
        <v>67263</v>
      </c>
      <c r="P842">
        <v>34.681374159610094</v>
      </c>
    </row>
    <row r="843" spans="1:16" hidden="1" x14ac:dyDescent="0.2">
      <c r="A843" s="73">
        <v>67263</v>
      </c>
      <c r="B843" t="s">
        <v>457</v>
      </c>
      <c r="C843" s="73" t="s">
        <v>460</v>
      </c>
      <c r="D843" t="s">
        <v>461</v>
      </c>
      <c r="E843" s="74">
        <v>45896</v>
      </c>
      <c r="F843" t="s">
        <v>357</v>
      </c>
      <c r="G843" t="s">
        <v>358</v>
      </c>
      <c r="H843" s="75">
        <f t="shared" si="13"/>
        <v>69.362748319220188</v>
      </c>
      <c r="I843" s="74">
        <v>45896</v>
      </c>
      <c r="J843">
        <v>2</v>
      </c>
      <c r="K843" t="s">
        <v>288</v>
      </c>
      <c r="L843" t="s">
        <v>359</v>
      </c>
      <c r="M843" t="s">
        <v>356</v>
      </c>
      <c r="N843" s="73">
        <v>67263</v>
      </c>
      <c r="O843" s="73">
        <v>67263</v>
      </c>
      <c r="P843">
        <v>34.681374159610094</v>
      </c>
    </row>
    <row r="844" spans="1:16" hidden="1" x14ac:dyDescent="0.2">
      <c r="A844" s="73">
        <v>67263</v>
      </c>
      <c r="B844" t="s">
        <v>457</v>
      </c>
      <c r="C844" s="73" t="s">
        <v>460</v>
      </c>
      <c r="D844" t="s">
        <v>461</v>
      </c>
      <c r="E844" s="74">
        <v>45897</v>
      </c>
      <c r="F844" t="s">
        <v>357</v>
      </c>
      <c r="G844" t="s">
        <v>358</v>
      </c>
      <c r="H844" s="75">
        <f t="shared" si="13"/>
        <v>69.362748319220188</v>
      </c>
      <c r="I844" s="74">
        <v>45897</v>
      </c>
      <c r="J844">
        <v>2</v>
      </c>
      <c r="K844" t="s">
        <v>288</v>
      </c>
      <c r="L844" t="s">
        <v>359</v>
      </c>
      <c r="M844" t="s">
        <v>356</v>
      </c>
      <c r="N844" s="73">
        <v>67263</v>
      </c>
      <c r="O844" s="73">
        <v>67263</v>
      </c>
      <c r="P844">
        <v>34.681374159610094</v>
      </c>
    </row>
    <row r="845" spans="1:16" hidden="1" x14ac:dyDescent="0.2">
      <c r="A845" s="73">
        <v>67263</v>
      </c>
      <c r="B845" t="s">
        <v>457</v>
      </c>
      <c r="C845" s="73" t="s">
        <v>460</v>
      </c>
      <c r="D845" t="s">
        <v>461</v>
      </c>
      <c r="E845" s="74">
        <v>45898</v>
      </c>
      <c r="F845" t="s">
        <v>357</v>
      </c>
      <c r="G845" t="s">
        <v>358</v>
      </c>
      <c r="H845" s="75">
        <f t="shared" si="13"/>
        <v>69.362748319220188</v>
      </c>
      <c r="I845" s="74">
        <v>45898</v>
      </c>
      <c r="J845">
        <v>2</v>
      </c>
      <c r="K845" t="s">
        <v>288</v>
      </c>
      <c r="L845" t="s">
        <v>359</v>
      </c>
      <c r="M845" t="s">
        <v>356</v>
      </c>
      <c r="N845" s="73">
        <v>67263</v>
      </c>
      <c r="O845" s="73">
        <v>67263</v>
      </c>
      <c r="P845">
        <v>34.681374159610094</v>
      </c>
    </row>
    <row r="846" spans="1:16" hidden="1" x14ac:dyDescent="0.2">
      <c r="A846" s="73">
        <v>67263</v>
      </c>
      <c r="B846" t="s">
        <v>457</v>
      </c>
      <c r="C846" s="73" t="s">
        <v>460</v>
      </c>
      <c r="D846" t="s">
        <v>461</v>
      </c>
      <c r="E846" s="74">
        <v>45901</v>
      </c>
      <c r="F846">
        <v>6833</v>
      </c>
      <c r="G846" t="s">
        <v>383</v>
      </c>
      <c r="H846" s="75">
        <f t="shared" si="13"/>
        <v>104.04412247883027</v>
      </c>
      <c r="I846" s="74">
        <v>45901</v>
      </c>
      <c r="J846">
        <v>3</v>
      </c>
      <c r="K846" t="s">
        <v>512</v>
      </c>
      <c r="L846" t="s">
        <v>384</v>
      </c>
      <c r="M846" t="s">
        <v>356</v>
      </c>
      <c r="N846" s="73">
        <v>67263</v>
      </c>
      <c r="O846" s="73">
        <v>67263</v>
      </c>
      <c r="P846">
        <v>34.681374159610094</v>
      </c>
    </row>
    <row r="847" spans="1:16" hidden="1" x14ac:dyDescent="0.2">
      <c r="A847" s="73">
        <v>67263</v>
      </c>
      <c r="B847" t="s">
        <v>457</v>
      </c>
      <c r="C847" s="73" t="s">
        <v>460</v>
      </c>
      <c r="D847" t="s">
        <v>461</v>
      </c>
      <c r="E847" s="74">
        <v>45902</v>
      </c>
      <c r="F847">
        <v>6833</v>
      </c>
      <c r="G847" t="s">
        <v>383</v>
      </c>
      <c r="H847" s="75">
        <f t="shared" si="13"/>
        <v>104.04412247883027</v>
      </c>
      <c r="I847" s="74">
        <v>45902</v>
      </c>
      <c r="J847">
        <v>3</v>
      </c>
      <c r="K847" t="s">
        <v>512</v>
      </c>
      <c r="L847" t="s">
        <v>384</v>
      </c>
      <c r="M847" t="s">
        <v>356</v>
      </c>
      <c r="N847" s="73">
        <v>67263</v>
      </c>
      <c r="O847" s="73">
        <v>67263</v>
      </c>
      <c r="P847">
        <v>34.681374159610094</v>
      </c>
    </row>
    <row r="848" spans="1:16" hidden="1" x14ac:dyDescent="0.2">
      <c r="A848" s="73">
        <v>67263</v>
      </c>
      <c r="B848" t="s">
        <v>457</v>
      </c>
      <c r="C848" s="73" t="s">
        <v>460</v>
      </c>
      <c r="D848" t="s">
        <v>461</v>
      </c>
      <c r="E848" s="74">
        <v>45903</v>
      </c>
      <c r="F848">
        <v>6833</v>
      </c>
      <c r="G848" t="s">
        <v>383</v>
      </c>
      <c r="H848" s="75">
        <f t="shared" si="13"/>
        <v>104.04412247883027</v>
      </c>
      <c r="I848" s="74">
        <v>45903</v>
      </c>
      <c r="J848">
        <v>3</v>
      </c>
      <c r="K848" t="s">
        <v>512</v>
      </c>
      <c r="L848" t="s">
        <v>384</v>
      </c>
      <c r="M848" t="s">
        <v>356</v>
      </c>
      <c r="N848" s="73">
        <v>67263</v>
      </c>
      <c r="O848" s="73">
        <v>67263</v>
      </c>
      <c r="P848">
        <v>34.681374159610094</v>
      </c>
    </row>
    <row r="849" spans="1:16" hidden="1" x14ac:dyDescent="0.2">
      <c r="A849" s="73">
        <v>67263</v>
      </c>
      <c r="B849" t="s">
        <v>457</v>
      </c>
      <c r="C849" s="73" t="s">
        <v>460</v>
      </c>
      <c r="D849" t="s">
        <v>461</v>
      </c>
      <c r="E849" s="74">
        <v>45904</v>
      </c>
      <c r="F849">
        <v>6833</v>
      </c>
      <c r="G849" t="s">
        <v>383</v>
      </c>
      <c r="H849" s="75">
        <f t="shared" si="13"/>
        <v>104.04412247883027</v>
      </c>
      <c r="I849" s="74">
        <v>45904</v>
      </c>
      <c r="J849">
        <v>3</v>
      </c>
      <c r="K849" t="s">
        <v>512</v>
      </c>
      <c r="L849" t="s">
        <v>384</v>
      </c>
      <c r="M849" t="s">
        <v>356</v>
      </c>
      <c r="N849" s="73">
        <v>67263</v>
      </c>
      <c r="O849" s="73">
        <v>67263</v>
      </c>
      <c r="P849">
        <v>34.681374159610094</v>
      </c>
    </row>
    <row r="850" spans="1:16" hidden="1" x14ac:dyDescent="0.2">
      <c r="A850" s="73">
        <v>67263</v>
      </c>
      <c r="B850" t="s">
        <v>457</v>
      </c>
      <c r="C850" s="73" t="s">
        <v>460</v>
      </c>
      <c r="D850" t="s">
        <v>461</v>
      </c>
      <c r="E850" s="74">
        <v>45908</v>
      </c>
      <c r="F850">
        <v>6833</v>
      </c>
      <c r="G850" t="s">
        <v>383</v>
      </c>
      <c r="H850" s="75">
        <f t="shared" si="13"/>
        <v>104.04412247883027</v>
      </c>
      <c r="I850" s="74">
        <v>45908</v>
      </c>
      <c r="J850">
        <v>3</v>
      </c>
      <c r="K850" t="s">
        <v>512</v>
      </c>
      <c r="L850" t="s">
        <v>384</v>
      </c>
      <c r="M850" t="s">
        <v>356</v>
      </c>
      <c r="N850" s="73">
        <v>67263</v>
      </c>
      <c r="O850" s="73">
        <v>67263</v>
      </c>
      <c r="P850">
        <v>34.681374159610094</v>
      </c>
    </row>
    <row r="851" spans="1:16" hidden="1" x14ac:dyDescent="0.2">
      <c r="A851" s="73">
        <v>67263</v>
      </c>
      <c r="B851" t="s">
        <v>457</v>
      </c>
      <c r="C851" s="73" t="s">
        <v>460</v>
      </c>
      <c r="D851" t="s">
        <v>461</v>
      </c>
      <c r="E851" s="74">
        <v>45909</v>
      </c>
      <c r="F851">
        <v>6833</v>
      </c>
      <c r="G851" t="s">
        <v>383</v>
      </c>
      <c r="H851" s="75">
        <f t="shared" si="13"/>
        <v>104.04412247883027</v>
      </c>
      <c r="I851" s="74">
        <v>45909</v>
      </c>
      <c r="J851">
        <v>3</v>
      </c>
      <c r="K851" t="s">
        <v>512</v>
      </c>
      <c r="L851" t="s">
        <v>384</v>
      </c>
      <c r="M851" t="s">
        <v>356</v>
      </c>
      <c r="N851" s="73">
        <v>67263</v>
      </c>
      <c r="O851" s="73">
        <v>67263</v>
      </c>
      <c r="P851">
        <v>34.681374159610094</v>
      </c>
    </row>
    <row r="852" spans="1:16" hidden="1" x14ac:dyDescent="0.2">
      <c r="A852" s="73">
        <v>67263</v>
      </c>
      <c r="B852" t="s">
        <v>457</v>
      </c>
      <c r="C852" s="73" t="s">
        <v>460</v>
      </c>
      <c r="D852" t="s">
        <v>461</v>
      </c>
      <c r="E852" s="74">
        <v>45910</v>
      </c>
      <c r="F852">
        <v>6833</v>
      </c>
      <c r="G852" t="s">
        <v>383</v>
      </c>
      <c r="H852" s="75">
        <f t="shared" si="13"/>
        <v>104.04412247883027</v>
      </c>
      <c r="I852" s="74">
        <v>45910</v>
      </c>
      <c r="J852">
        <v>3</v>
      </c>
      <c r="K852" t="s">
        <v>512</v>
      </c>
      <c r="L852" t="s">
        <v>384</v>
      </c>
      <c r="M852" t="s">
        <v>356</v>
      </c>
      <c r="N852" s="73">
        <v>67263</v>
      </c>
      <c r="O852" s="73">
        <v>67263</v>
      </c>
      <c r="P852">
        <v>34.681374159610094</v>
      </c>
    </row>
    <row r="853" spans="1:16" hidden="1" x14ac:dyDescent="0.2">
      <c r="A853" s="73">
        <v>67263</v>
      </c>
      <c r="B853" t="s">
        <v>457</v>
      </c>
      <c r="C853" s="73" t="s">
        <v>460</v>
      </c>
      <c r="D853" t="s">
        <v>461</v>
      </c>
      <c r="E853" s="74">
        <v>45911</v>
      </c>
      <c r="F853">
        <v>6833</v>
      </c>
      <c r="G853" t="s">
        <v>383</v>
      </c>
      <c r="H853" s="75">
        <f t="shared" si="13"/>
        <v>104.04412247883027</v>
      </c>
      <c r="I853" s="74">
        <v>45911</v>
      </c>
      <c r="J853">
        <v>3</v>
      </c>
      <c r="K853" t="s">
        <v>512</v>
      </c>
      <c r="L853" t="s">
        <v>384</v>
      </c>
      <c r="M853" t="s">
        <v>356</v>
      </c>
      <c r="N853" s="73">
        <v>67263</v>
      </c>
      <c r="O853" s="73">
        <v>67263</v>
      </c>
      <c r="P853">
        <v>34.681374159610094</v>
      </c>
    </row>
    <row r="854" spans="1:16" hidden="1" x14ac:dyDescent="0.2">
      <c r="A854" s="73">
        <v>67263</v>
      </c>
      <c r="B854" t="s">
        <v>457</v>
      </c>
      <c r="C854" s="73" t="s">
        <v>460</v>
      </c>
      <c r="D854" t="s">
        <v>461</v>
      </c>
      <c r="E854" s="74">
        <v>45912</v>
      </c>
      <c r="F854">
        <v>6833</v>
      </c>
      <c r="G854" t="s">
        <v>383</v>
      </c>
      <c r="H854" s="75">
        <f t="shared" si="13"/>
        <v>104.04412247883027</v>
      </c>
      <c r="I854" s="74">
        <v>45912</v>
      </c>
      <c r="J854">
        <v>3</v>
      </c>
      <c r="K854" t="s">
        <v>512</v>
      </c>
      <c r="L854" t="s">
        <v>384</v>
      </c>
      <c r="M854" t="s">
        <v>356</v>
      </c>
      <c r="N854" s="73">
        <v>67263</v>
      </c>
      <c r="O854" s="73">
        <v>67263</v>
      </c>
      <c r="P854">
        <v>34.681374159610094</v>
      </c>
    </row>
    <row r="855" spans="1:16" hidden="1" x14ac:dyDescent="0.2">
      <c r="A855" s="73">
        <v>67263</v>
      </c>
      <c r="B855" t="s">
        <v>457</v>
      </c>
      <c r="C855" s="73" t="s">
        <v>460</v>
      </c>
      <c r="D855" t="s">
        <v>461</v>
      </c>
      <c r="E855" s="74">
        <v>45915</v>
      </c>
      <c r="F855">
        <v>6833</v>
      </c>
      <c r="G855" t="s">
        <v>383</v>
      </c>
      <c r="H855" s="75">
        <f t="shared" si="13"/>
        <v>104.04412247883027</v>
      </c>
      <c r="I855" s="74">
        <v>45915</v>
      </c>
      <c r="J855">
        <v>3</v>
      </c>
      <c r="K855" t="s">
        <v>512</v>
      </c>
      <c r="L855" t="s">
        <v>384</v>
      </c>
      <c r="M855" t="s">
        <v>356</v>
      </c>
      <c r="N855" s="73">
        <v>67263</v>
      </c>
      <c r="O855" s="73">
        <v>67263</v>
      </c>
      <c r="P855">
        <v>34.681374159610094</v>
      </c>
    </row>
    <row r="856" spans="1:16" hidden="1" x14ac:dyDescent="0.2">
      <c r="A856" s="73">
        <v>67263</v>
      </c>
      <c r="B856" t="s">
        <v>457</v>
      </c>
      <c r="C856" s="73" t="s">
        <v>460</v>
      </c>
      <c r="D856" t="s">
        <v>461</v>
      </c>
      <c r="E856" s="74">
        <v>45915</v>
      </c>
      <c r="F856" t="s">
        <v>357</v>
      </c>
      <c r="G856" t="s">
        <v>358</v>
      </c>
      <c r="H856" s="75">
        <f t="shared" si="13"/>
        <v>69.362748319220188</v>
      </c>
      <c r="I856" s="74">
        <v>45915</v>
      </c>
      <c r="J856">
        <v>2</v>
      </c>
      <c r="K856" t="s">
        <v>512</v>
      </c>
      <c r="L856" t="s">
        <v>359</v>
      </c>
      <c r="M856" t="s">
        <v>356</v>
      </c>
      <c r="N856" s="73">
        <v>67263</v>
      </c>
      <c r="O856" s="73">
        <v>67263</v>
      </c>
      <c r="P856">
        <v>34.681374159610094</v>
      </c>
    </row>
    <row r="857" spans="1:16" hidden="1" x14ac:dyDescent="0.2">
      <c r="A857" s="73">
        <v>67263</v>
      </c>
      <c r="B857" t="s">
        <v>457</v>
      </c>
      <c r="C857" s="73" t="s">
        <v>460</v>
      </c>
      <c r="D857" t="s">
        <v>461</v>
      </c>
      <c r="E857" s="74">
        <v>45916</v>
      </c>
      <c r="F857">
        <v>6833</v>
      </c>
      <c r="G857" t="s">
        <v>383</v>
      </c>
      <c r="H857" s="75">
        <f t="shared" si="13"/>
        <v>104.04412247883027</v>
      </c>
      <c r="I857" s="74">
        <v>45916</v>
      </c>
      <c r="J857">
        <v>3</v>
      </c>
      <c r="K857" t="s">
        <v>512</v>
      </c>
      <c r="L857" t="s">
        <v>384</v>
      </c>
      <c r="M857" t="s">
        <v>356</v>
      </c>
      <c r="N857" s="73">
        <v>67263</v>
      </c>
      <c r="O857" s="73">
        <v>67263</v>
      </c>
      <c r="P857">
        <v>34.681374159610094</v>
      </c>
    </row>
    <row r="858" spans="1:16" hidden="1" x14ac:dyDescent="0.2">
      <c r="A858" s="73">
        <v>67263</v>
      </c>
      <c r="B858" t="s">
        <v>457</v>
      </c>
      <c r="C858" s="73" t="s">
        <v>460</v>
      </c>
      <c r="D858" t="s">
        <v>461</v>
      </c>
      <c r="E858" s="74">
        <v>45916</v>
      </c>
      <c r="F858" t="s">
        <v>357</v>
      </c>
      <c r="G858" t="s">
        <v>358</v>
      </c>
      <c r="H858" s="75">
        <f t="shared" si="13"/>
        <v>69.362748319220188</v>
      </c>
      <c r="I858" s="74">
        <v>45916</v>
      </c>
      <c r="J858">
        <v>2</v>
      </c>
      <c r="K858" t="s">
        <v>512</v>
      </c>
      <c r="L858" t="s">
        <v>359</v>
      </c>
      <c r="M858" t="s">
        <v>356</v>
      </c>
      <c r="N858" s="73">
        <v>67263</v>
      </c>
      <c r="O858" s="73">
        <v>67263</v>
      </c>
      <c r="P858">
        <v>34.681374159610094</v>
      </c>
    </row>
    <row r="859" spans="1:16" hidden="1" x14ac:dyDescent="0.2">
      <c r="A859" s="73">
        <v>67263</v>
      </c>
      <c r="B859" t="s">
        <v>457</v>
      </c>
      <c r="C859" s="73" t="s">
        <v>460</v>
      </c>
      <c r="D859" t="s">
        <v>461</v>
      </c>
      <c r="E859" s="74">
        <v>45917</v>
      </c>
      <c r="F859">
        <v>6833</v>
      </c>
      <c r="G859" t="s">
        <v>383</v>
      </c>
      <c r="H859" s="75">
        <f t="shared" si="13"/>
        <v>104.04412247883027</v>
      </c>
      <c r="I859" s="74">
        <v>45917</v>
      </c>
      <c r="J859">
        <v>3</v>
      </c>
      <c r="K859" t="s">
        <v>512</v>
      </c>
      <c r="L859" t="s">
        <v>384</v>
      </c>
      <c r="M859" t="s">
        <v>356</v>
      </c>
      <c r="N859" s="73">
        <v>67263</v>
      </c>
      <c r="O859" s="73">
        <v>67263</v>
      </c>
      <c r="P859">
        <v>34.681374159610094</v>
      </c>
    </row>
    <row r="860" spans="1:16" hidden="1" x14ac:dyDescent="0.2">
      <c r="A860" s="73">
        <v>67263</v>
      </c>
      <c r="B860" t="s">
        <v>457</v>
      </c>
      <c r="C860" s="73" t="s">
        <v>460</v>
      </c>
      <c r="D860" t="s">
        <v>461</v>
      </c>
      <c r="E860" s="74">
        <v>45917</v>
      </c>
      <c r="F860" t="s">
        <v>357</v>
      </c>
      <c r="G860" t="s">
        <v>358</v>
      </c>
      <c r="H860" s="75">
        <f t="shared" si="13"/>
        <v>69.362748319220188</v>
      </c>
      <c r="I860" s="74">
        <v>45917</v>
      </c>
      <c r="J860">
        <v>2</v>
      </c>
      <c r="K860" t="s">
        <v>512</v>
      </c>
      <c r="L860" t="s">
        <v>359</v>
      </c>
      <c r="M860" t="s">
        <v>356</v>
      </c>
      <c r="N860" s="73">
        <v>67263</v>
      </c>
      <c r="O860" s="73">
        <v>67263</v>
      </c>
      <c r="P860">
        <v>34.681374159610094</v>
      </c>
    </row>
    <row r="861" spans="1:16" hidden="1" x14ac:dyDescent="0.2">
      <c r="A861" s="73">
        <v>67263</v>
      </c>
      <c r="B861" t="s">
        <v>457</v>
      </c>
      <c r="C861" s="73" t="s">
        <v>460</v>
      </c>
      <c r="D861" t="s">
        <v>461</v>
      </c>
      <c r="E861" s="74">
        <v>45918</v>
      </c>
      <c r="F861">
        <v>6833</v>
      </c>
      <c r="G861" t="s">
        <v>383</v>
      </c>
      <c r="H861" s="75">
        <f t="shared" si="13"/>
        <v>104.04412247883027</v>
      </c>
      <c r="I861" s="74">
        <v>45918</v>
      </c>
      <c r="J861">
        <v>3</v>
      </c>
      <c r="K861" t="s">
        <v>512</v>
      </c>
      <c r="L861" t="s">
        <v>384</v>
      </c>
      <c r="M861" t="s">
        <v>356</v>
      </c>
      <c r="N861" s="73">
        <v>67263</v>
      </c>
      <c r="O861" s="73">
        <v>67263</v>
      </c>
      <c r="P861">
        <v>34.681374159610094</v>
      </c>
    </row>
    <row r="862" spans="1:16" hidden="1" x14ac:dyDescent="0.2">
      <c r="A862" s="73">
        <v>67263</v>
      </c>
      <c r="B862" t="s">
        <v>457</v>
      </c>
      <c r="C862" s="73" t="s">
        <v>460</v>
      </c>
      <c r="D862" t="s">
        <v>461</v>
      </c>
      <c r="E862" s="74">
        <v>45918</v>
      </c>
      <c r="F862" t="s">
        <v>357</v>
      </c>
      <c r="G862" t="s">
        <v>358</v>
      </c>
      <c r="H862" s="75">
        <f t="shared" si="13"/>
        <v>69.362748319220188</v>
      </c>
      <c r="I862" s="74">
        <v>45918</v>
      </c>
      <c r="J862">
        <v>2</v>
      </c>
      <c r="K862" t="s">
        <v>512</v>
      </c>
      <c r="L862" t="s">
        <v>359</v>
      </c>
      <c r="M862" t="s">
        <v>356</v>
      </c>
      <c r="N862" s="73">
        <v>67263</v>
      </c>
      <c r="O862" s="73">
        <v>67263</v>
      </c>
      <c r="P862">
        <v>34.681374159610094</v>
      </c>
    </row>
    <row r="863" spans="1:16" hidden="1" x14ac:dyDescent="0.2">
      <c r="A863" s="73">
        <v>67263</v>
      </c>
      <c r="B863" t="s">
        <v>457</v>
      </c>
      <c r="C863" s="73" t="s">
        <v>460</v>
      </c>
      <c r="D863" t="s">
        <v>461</v>
      </c>
      <c r="E863" s="74">
        <v>45919</v>
      </c>
      <c r="F863">
        <v>6833</v>
      </c>
      <c r="G863" t="s">
        <v>383</v>
      </c>
      <c r="H863" s="75">
        <f t="shared" si="13"/>
        <v>104.04412247883027</v>
      </c>
      <c r="I863" s="74">
        <v>45919</v>
      </c>
      <c r="J863">
        <v>3</v>
      </c>
      <c r="K863" t="s">
        <v>512</v>
      </c>
      <c r="L863" t="s">
        <v>384</v>
      </c>
      <c r="M863" t="s">
        <v>356</v>
      </c>
      <c r="N863" s="73">
        <v>67263</v>
      </c>
      <c r="O863" s="73">
        <v>67263</v>
      </c>
      <c r="P863">
        <v>34.681374159610094</v>
      </c>
    </row>
    <row r="864" spans="1:16" hidden="1" x14ac:dyDescent="0.2">
      <c r="A864" s="73">
        <v>67263</v>
      </c>
      <c r="B864" t="s">
        <v>457</v>
      </c>
      <c r="C864" s="73" t="s">
        <v>460</v>
      </c>
      <c r="D864" t="s">
        <v>461</v>
      </c>
      <c r="E864" s="74">
        <v>45919</v>
      </c>
      <c r="F864" t="s">
        <v>357</v>
      </c>
      <c r="G864" t="s">
        <v>358</v>
      </c>
      <c r="H864" s="75">
        <f t="shared" si="13"/>
        <v>69.362748319220188</v>
      </c>
      <c r="I864" s="74">
        <v>45919</v>
      </c>
      <c r="J864">
        <v>2</v>
      </c>
      <c r="K864" t="s">
        <v>512</v>
      </c>
      <c r="L864" t="s">
        <v>359</v>
      </c>
      <c r="M864" t="s">
        <v>356</v>
      </c>
      <c r="N864" s="73">
        <v>67263</v>
      </c>
      <c r="O864" s="73">
        <v>67263</v>
      </c>
      <c r="P864">
        <v>34.681374159610094</v>
      </c>
    </row>
    <row r="865" spans="1:16" hidden="1" x14ac:dyDescent="0.2">
      <c r="A865" s="73">
        <v>67263</v>
      </c>
      <c r="B865" t="s">
        <v>457</v>
      </c>
      <c r="C865" s="73" t="s">
        <v>460</v>
      </c>
      <c r="D865" t="s">
        <v>461</v>
      </c>
      <c r="E865" s="74">
        <v>45922</v>
      </c>
      <c r="F865">
        <v>6833</v>
      </c>
      <c r="G865" t="s">
        <v>383</v>
      </c>
      <c r="H865" s="75">
        <f t="shared" si="13"/>
        <v>69.362748319220188</v>
      </c>
      <c r="I865" s="74">
        <v>45922</v>
      </c>
      <c r="J865">
        <v>2</v>
      </c>
      <c r="K865" t="s">
        <v>512</v>
      </c>
      <c r="L865" t="s">
        <v>384</v>
      </c>
      <c r="M865" t="s">
        <v>356</v>
      </c>
      <c r="N865" s="73">
        <v>67263</v>
      </c>
      <c r="O865" s="73">
        <v>67263</v>
      </c>
      <c r="P865">
        <v>34.681374159610094</v>
      </c>
    </row>
    <row r="866" spans="1:16" hidden="1" x14ac:dyDescent="0.2">
      <c r="A866" s="73">
        <v>67263</v>
      </c>
      <c r="B866" t="s">
        <v>457</v>
      </c>
      <c r="C866" s="73" t="s">
        <v>460</v>
      </c>
      <c r="D866" t="s">
        <v>461</v>
      </c>
      <c r="E866" s="74">
        <v>45922</v>
      </c>
      <c r="F866" t="s">
        <v>357</v>
      </c>
      <c r="G866" t="s">
        <v>358</v>
      </c>
      <c r="H866" s="75">
        <f t="shared" si="13"/>
        <v>69.362748319220188</v>
      </c>
      <c r="I866" s="74">
        <v>45922</v>
      </c>
      <c r="J866">
        <v>2</v>
      </c>
      <c r="K866" t="s">
        <v>512</v>
      </c>
      <c r="L866" t="s">
        <v>359</v>
      </c>
      <c r="M866" t="s">
        <v>356</v>
      </c>
      <c r="N866" s="73">
        <v>67263</v>
      </c>
      <c r="O866" s="73">
        <v>67263</v>
      </c>
      <c r="P866">
        <v>34.681374159610094</v>
      </c>
    </row>
    <row r="867" spans="1:16" hidden="1" x14ac:dyDescent="0.2">
      <c r="A867" s="73">
        <v>67263</v>
      </c>
      <c r="B867" t="s">
        <v>457</v>
      </c>
      <c r="C867" s="73" t="s">
        <v>460</v>
      </c>
      <c r="D867" t="s">
        <v>461</v>
      </c>
      <c r="E867" s="74">
        <v>45923</v>
      </c>
      <c r="F867">
        <v>6833</v>
      </c>
      <c r="G867" t="s">
        <v>383</v>
      </c>
      <c r="H867" s="75">
        <f t="shared" si="13"/>
        <v>69.362748319220188</v>
      </c>
      <c r="I867" s="74">
        <v>45923</v>
      </c>
      <c r="J867">
        <v>2</v>
      </c>
      <c r="K867" t="s">
        <v>512</v>
      </c>
      <c r="L867" t="s">
        <v>384</v>
      </c>
      <c r="M867" t="s">
        <v>356</v>
      </c>
      <c r="N867" s="73">
        <v>67263</v>
      </c>
      <c r="O867" s="73">
        <v>67263</v>
      </c>
      <c r="P867">
        <v>34.681374159610094</v>
      </c>
    </row>
    <row r="868" spans="1:16" hidden="1" x14ac:dyDescent="0.2">
      <c r="A868" s="73">
        <v>67263</v>
      </c>
      <c r="B868" t="s">
        <v>457</v>
      </c>
      <c r="C868" s="73" t="s">
        <v>460</v>
      </c>
      <c r="D868" t="s">
        <v>461</v>
      </c>
      <c r="E868" s="74">
        <v>45923</v>
      </c>
      <c r="F868" t="s">
        <v>357</v>
      </c>
      <c r="G868" t="s">
        <v>358</v>
      </c>
      <c r="H868" s="75">
        <f t="shared" si="13"/>
        <v>69.362748319220188</v>
      </c>
      <c r="I868" s="74">
        <v>45923</v>
      </c>
      <c r="J868">
        <v>2</v>
      </c>
      <c r="K868" t="s">
        <v>512</v>
      </c>
      <c r="L868" t="s">
        <v>359</v>
      </c>
      <c r="M868" t="s">
        <v>356</v>
      </c>
      <c r="N868" s="73">
        <v>67263</v>
      </c>
      <c r="O868" s="73">
        <v>67263</v>
      </c>
      <c r="P868">
        <v>34.681374159610094</v>
      </c>
    </row>
    <row r="869" spans="1:16" hidden="1" x14ac:dyDescent="0.2">
      <c r="A869" s="73">
        <v>67263</v>
      </c>
      <c r="B869" t="s">
        <v>457</v>
      </c>
      <c r="C869" s="73" t="s">
        <v>460</v>
      </c>
      <c r="D869" t="s">
        <v>461</v>
      </c>
      <c r="E869" s="74">
        <v>45924</v>
      </c>
      <c r="F869">
        <v>6833</v>
      </c>
      <c r="G869" t="s">
        <v>383</v>
      </c>
      <c r="H869" s="75">
        <f t="shared" si="13"/>
        <v>104.04412247883027</v>
      </c>
      <c r="I869" s="74">
        <v>45924</v>
      </c>
      <c r="J869">
        <v>3</v>
      </c>
      <c r="K869" t="s">
        <v>512</v>
      </c>
      <c r="L869" t="s">
        <v>384</v>
      </c>
      <c r="M869" t="s">
        <v>356</v>
      </c>
      <c r="N869" s="73">
        <v>67263</v>
      </c>
      <c r="O869" s="73">
        <v>67263</v>
      </c>
      <c r="P869">
        <v>34.681374159610094</v>
      </c>
    </row>
    <row r="870" spans="1:16" hidden="1" x14ac:dyDescent="0.2">
      <c r="A870" s="73">
        <v>67263</v>
      </c>
      <c r="B870" t="s">
        <v>457</v>
      </c>
      <c r="C870" s="73" t="s">
        <v>460</v>
      </c>
      <c r="D870" t="s">
        <v>461</v>
      </c>
      <c r="E870" s="74">
        <v>45924</v>
      </c>
      <c r="F870" t="s">
        <v>357</v>
      </c>
      <c r="G870" t="s">
        <v>358</v>
      </c>
      <c r="H870" s="75">
        <f t="shared" si="13"/>
        <v>69.362748319220188</v>
      </c>
      <c r="I870" s="74">
        <v>45924</v>
      </c>
      <c r="J870">
        <v>2</v>
      </c>
      <c r="K870" t="s">
        <v>512</v>
      </c>
      <c r="L870" t="s">
        <v>359</v>
      </c>
      <c r="M870" t="s">
        <v>356</v>
      </c>
      <c r="N870" s="73">
        <v>67263</v>
      </c>
      <c r="O870" s="73">
        <v>67263</v>
      </c>
      <c r="P870">
        <v>34.681374159610094</v>
      </c>
    </row>
    <row r="871" spans="1:16" hidden="1" x14ac:dyDescent="0.2">
      <c r="A871" s="73">
        <v>67263</v>
      </c>
      <c r="B871" t="s">
        <v>457</v>
      </c>
      <c r="C871" s="73" t="s">
        <v>460</v>
      </c>
      <c r="D871" t="s">
        <v>461</v>
      </c>
      <c r="E871" s="74">
        <v>45925</v>
      </c>
      <c r="F871">
        <v>6833</v>
      </c>
      <c r="G871" t="s">
        <v>383</v>
      </c>
      <c r="H871" s="75">
        <f t="shared" si="13"/>
        <v>69.362748319220188</v>
      </c>
      <c r="I871" s="74">
        <v>45925</v>
      </c>
      <c r="J871">
        <v>2</v>
      </c>
      <c r="K871" t="s">
        <v>512</v>
      </c>
      <c r="L871" t="s">
        <v>384</v>
      </c>
      <c r="M871" t="s">
        <v>356</v>
      </c>
      <c r="N871" s="73">
        <v>67263</v>
      </c>
      <c r="O871" s="73">
        <v>67263</v>
      </c>
      <c r="P871">
        <v>34.681374159610094</v>
      </c>
    </row>
    <row r="872" spans="1:16" hidden="1" x14ac:dyDescent="0.2">
      <c r="A872" s="73">
        <v>67263</v>
      </c>
      <c r="B872" t="s">
        <v>457</v>
      </c>
      <c r="C872" s="73" t="s">
        <v>460</v>
      </c>
      <c r="D872" t="s">
        <v>461</v>
      </c>
      <c r="E872" s="74">
        <v>45925</v>
      </c>
      <c r="F872" t="s">
        <v>357</v>
      </c>
      <c r="G872" t="s">
        <v>358</v>
      </c>
      <c r="H872" s="75">
        <f t="shared" si="13"/>
        <v>69.362748319220188</v>
      </c>
      <c r="I872" s="74">
        <v>45925</v>
      </c>
      <c r="J872">
        <v>2</v>
      </c>
      <c r="K872" t="s">
        <v>512</v>
      </c>
      <c r="L872" t="s">
        <v>359</v>
      </c>
      <c r="M872" t="s">
        <v>356</v>
      </c>
      <c r="N872" s="73">
        <v>67263</v>
      </c>
      <c r="O872" s="73">
        <v>67263</v>
      </c>
      <c r="P872">
        <v>34.681374159610094</v>
      </c>
    </row>
    <row r="873" spans="1:16" hidden="1" x14ac:dyDescent="0.2">
      <c r="A873" s="73">
        <v>67263</v>
      </c>
      <c r="B873" t="s">
        <v>457</v>
      </c>
      <c r="C873" s="73" t="s">
        <v>460</v>
      </c>
      <c r="D873" t="s">
        <v>461</v>
      </c>
      <c r="E873" s="74">
        <v>45926</v>
      </c>
      <c r="F873">
        <v>6833</v>
      </c>
      <c r="G873" t="s">
        <v>383</v>
      </c>
      <c r="H873" s="75">
        <f t="shared" si="13"/>
        <v>69.362748319220188</v>
      </c>
      <c r="I873" s="74">
        <v>45926</v>
      </c>
      <c r="J873">
        <v>2</v>
      </c>
      <c r="K873" t="s">
        <v>512</v>
      </c>
      <c r="L873" t="s">
        <v>384</v>
      </c>
      <c r="M873" t="s">
        <v>356</v>
      </c>
      <c r="N873" s="73">
        <v>67263</v>
      </c>
      <c r="O873" s="73">
        <v>67263</v>
      </c>
      <c r="P873">
        <v>34.681374159610094</v>
      </c>
    </row>
    <row r="874" spans="1:16" hidden="1" x14ac:dyDescent="0.2">
      <c r="A874" s="73">
        <v>67263</v>
      </c>
      <c r="B874" t="s">
        <v>457</v>
      </c>
      <c r="C874" s="73" t="s">
        <v>460</v>
      </c>
      <c r="D874" t="s">
        <v>461</v>
      </c>
      <c r="E874" s="74">
        <v>45926</v>
      </c>
      <c r="F874" t="s">
        <v>357</v>
      </c>
      <c r="G874" t="s">
        <v>358</v>
      </c>
      <c r="H874" s="75">
        <f t="shared" si="13"/>
        <v>69.362748319220188</v>
      </c>
      <c r="I874" s="74">
        <v>45926</v>
      </c>
      <c r="J874">
        <v>2</v>
      </c>
      <c r="K874" t="s">
        <v>512</v>
      </c>
      <c r="L874" t="s">
        <v>359</v>
      </c>
      <c r="M874" t="s">
        <v>356</v>
      </c>
      <c r="N874" s="73">
        <v>67263</v>
      </c>
      <c r="O874" s="73">
        <v>67263</v>
      </c>
      <c r="P874">
        <v>34.681374159610094</v>
      </c>
    </row>
    <row r="875" spans="1:16" hidden="1" x14ac:dyDescent="0.2">
      <c r="A875" s="73">
        <v>67263</v>
      </c>
      <c r="B875" t="s">
        <v>457</v>
      </c>
      <c r="C875" s="73" t="s">
        <v>460</v>
      </c>
      <c r="D875" t="s">
        <v>461</v>
      </c>
      <c r="E875" s="74">
        <v>45929</v>
      </c>
      <c r="F875" t="s">
        <v>357</v>
      </c>
      <c r="G875" t="s">
        <v>358</v>
      </c>
      <c r="H875" s="75">
        <f t="shared" si="13"/>
        <v>69.362748319220188</v>
      </c>
      <c r="I875" s="74">
        <v>45929</v>
      </c>
      <c r="J875">
        <v>2</v>
      </c>
      <c r="K875" t="s">
        <v>512</v>
      </c>
      <c r="L875" t="s">
        <v>359</v>
      </c>
      <c r="M875" t="s">
        <v>356</v>
      </c>
      <c r="N875" s="73">
        <v>67263</v>
      </c>
      <c r="O875" s="73">
        <v>67263</v>
      </c>
      <c r="P875">
        <v>34.681374159610094</v>
      </c>
    </row>
    <row r="876" spans="1:16" hidden="1" x14ac:dyDescent="0.2">
      <c r="A876" s="73">
        <v>67263</v>
      </c>
      <c r="B876" t="s">
        <v>457</v>
      </c>
      <c r="C876" s="73" t="s">
        <v>460</v>
      </c>
      <c r="D876" t="s">
        <v>461</v>
      </c>
      <c r="E876" s="74">
        <v>45930</v>
      </c>
      <c r="F876" t="s">
        <v>357</v>
      </c>
      <c r="G876" t="s">
        <v>358</v>
      </c>
      <c r="H876" s="75">
        <f t="shared" si="13"/>
        <v>69.362748319220188</v>
      </c>
      <c r="I876" s="74">
        <v>45930</v>
      </c>
      <c r="J876">
        <v>2</v>
      </c>
      <c r="K876" t="s">
        <v>512</v>
      </c>
      <c r="L876" t="s">
        <v>359</v>
      </c>
      <c r="M876" t="s">
        <v>356</v>
      </c>
      <c r="N876" s="73">
        <v>67263</v>
      </c>
      <c r="O876" s="73">
        <v>67263</v>
      </c>
      <c r="P876">
        <v>34.681374159610094</v>
      </c>
    </row>
    <row r="877" spans="1:16" hidden="1" x14ac:dyDescent="0.2">
      <c r="A877" s="73">
        <v>67263</v>
      </c>
      <c r="B877" t="s">
        <v>457</v>
      </c>
      <c r="C877" s="73" t="s">
        <v>460</v>
      </c>
      <c r="D877" t="s">
        <v>461</v>
      </c>
      <c r="E877" s="74">
        <v>45933</v>
      </c>
      <c r="F877" t="s">
        <v>357</v>
      </c>
      <c r="G877" t="s">
        <v>358</v>
      </c>
      <c r="H877" s="75">
        <f t="shared" si="13"/>
        <v>69.362748319220188</v>
      </c>
      <c r="I877" s="74">
        <v>45933</v>
      </c>
      <c r="J877">
        <v>2</v>
      </c>
      <c r="K877" t="s">
        <v>513</v>
      </c>
      <c r="L877" t="s">
        <v>359</v>
      </c>
      <c r="M877" t="s">
        <v>356</v>
      </c>
      <c r="N877" s="73">
        <v>67263</v>
      </c>
      <c r="O877" s="73">
        <v>67263</v>
      </c>
      <c r="P877">
        <v>34.681374159610094</v>
      </c>
    </row>
    <row r="878" spans="1:16" hidden="1" x14ac:dyDescent="0.2">
      <c r="A878" s="73">
        <v>67263</v>
      </c>
      <c r="B878" t="s">
        <v>457</v>
      </c>
      <c r="C878" s="73" t="s">
        <v>460</v>
      </c>
      <c r="D878" t="s">
        <v>461</v>
      </c>
      <c r="E878" s="74">
        <v>45936</v>
      </c>
      <c r="F878" t="s">
        <v>357</v>
      </c>
      <c r="G878" t="s">
        <v>358</v>
      </c>
      <c r="H878" s="75">
        <f t="shared" si="13"/>
        <v>69.362748319220188</v>
      </c>
      <c r="I878" s="74">
        <v>45936</v>
      </c>
      <c r="J878">
        <v>2</v>
      </c>
      <c r="K878" t="s">
        <v>513</v>
      </c>
      <c r="L878" t="s">
        <v>359</v>
      </c>
      <c r="M878" t="s">
        <v>356</v>
      </c>
      <c r="N878" s="73">
        <v>67263</v>
      </c>
      <c r="O878" s="73">
        <v>67263</v>
      </c>
      <c r="P878">
        <v>34.681374159610094</v>
      </c>
    </row>
    <row r="879" spans="1:16" hidden="1" x14ac:dyDescent="0.2">
      <c r="A879" s="73">
        <v>67263</v>
      </c>
      <c r="B879" t="s">
        <v>457</v>
      </c>
      <c r="C879" s="73" t="s">
        <v>460</v>
      </c>
      <c r="D879" t="s">
        <v>461</v>
      </c>
      <c r="E879" s="74">
        <v>45937</v>
      </c>
      <c r="F879" t="s">
        <v>357</v>
      </c>
      <c r="G879" t="s">
        <v>358</v>
      </c>
      <c r="H879" s="75">
        <f t="shared" si="13"/>
        <v>69.362748319220188</v>
      </c>
      <c r="I879" s="74">
        <v>45937</v>
      </c>
      <c r="J879">
        <v>2</v>
      </c>
      <c r="K879" t="s">
        <v>513</v>
      </c>
      <c r="L879" t="s">
        <v>359</v>
      </c>
      <c r="M879" t="s">
        <v>356</v>
      </c>
      <c r="N879" s="73">
        <v>67263</v>
      </c>
      <c r="O879" s="73">
        <v>67263</v>
      </c>
      <c r="P879">
        <v>34.681374159610094</v>
      </c>
    </row>
    <row r="880" spans="1:16" hidden="1" x14ac:dyDescent="0.2">
      <c r="A880" s="73">
        <v>67263</v>
      </c>
      <c r="B880" t="s">
        <v>457</v>
      </c>
      <c r="C880" s="73" t="s">
        <v>460</v>
      </c>
      <c r="D880" t="s">
        <v>461</v>
      </c>
      <c r="E880" s="74">
        <v>45938</v>
      </c>
      <c r="F880" t="s">
        <v>357</v>
      </c>
      <c r="G880" t="s">
        <v>358</v>
      </c>
      <c r="H880" s="75">
        <f t="shared" si="13"/>
        <v>69.362748319220188</v>
      </c>
      <c r="I880" s="74">
        <v>45938</v>
      </c>
      <c r="J880">
        <v>2</v>
      </c>
      <c r="K880" t="s">
        <v>513</v>
      </c>
      <c r="L880" t="s">
        <v>359</v>
      </c>
      <c r="M880" t="s">
        <v>356</v>
      </c>
      <c r="N880" s="73">
        <v>67263</v>
      </c>
      <c r="O880" s="73">
        <v>67263</v>
      </c>
      <c r="P880">
        <v>34.681374159610094</v>
      </c>
    </row>
    <row r="881" spans="1:16" hidden="1" x14ac:dyDescent="0.2">
      <c r="A881" s="73">
        <v>67263</v>
      </c>
      <c r="B881" t="s">
        <v>457</v>
      </c>
      <c r="C881" s="73" t="s">
        <v>460</v>
      </c>
      <c r="D881" t="s">
        <v>461</v>
      </c>
      <c r="E881" s="74">
        <v>45939</v>
      </c>
      <c r="F881" t="s">
        <v>357</v>
      </c>
      <c r="G881" t="s">
        <v>358</v>
      </c>
      <c r="H881" s="75">
        <f t="shared" si="13"/>
        <v>69.362748319220188</v>
      </c>
      <c r="I881" s="74">
        <v>45939</v>
      </c>
      <c r="J881">
        <v>2</v>
      </c>
      <c r="K881" t="s">
        <v>513</v>
      </c>
      <c r="L881" t="s">
        <v>359</v>
      </c>
      <c r="M881" t="s">
        <v>356</v>
      </c>
      <c r="N881" s="73">
        <v>67263</v>
      </c>
      <c r="O881" s="73">
        <v>67263</v>
      </c>
      <c r="P881">
        <v>34.681374159610094</v>
      </c>
    </row>
    <row r="882" spans="1:16" hidden="1" x14ac:dyDescent="0.2">
      <c r="A882" s="73">
        <v>67263</v>
      </c>
      <c r="B882" t="s">
        <v>457</v>
      </c>
      <c r="C882" s="73" t="s">
        <v>460</v>
      </c>
      <c r="D882" t="s">
        <v>461</v>
      </c>
      <c r="E882" s="74">
        <v>45940</v>
      </c>
      <c r="F882" t="s">
        <v>357</v>
      </c>
      <c r="G882" t="s">
        <v>358</v>
      </c>
      <c r="H882" s="75">
        <f t="shared" si="13"/>
        <v>69.362748319220188</v>
      </c>
      <c r="I882" s="74">
        <v>45940</v>
      </c>
      <c r="J882">
        <v>2</v>
      </c>
      <c r="K882" t="s">
        <v>513</v>
      </c>
      <c r="L882" t="s">
        <v>359</v>
      </c>
      <c r="M882" t="s">
        <v>356</v>
      </c>
      <c r="N882" s="73">
        <v>67263</v>
      </c>
      <c r="O882" s="73">
        <v>67263</v>
      </c>
      <c r="P882">
        <v>34.681374159610094</v>
      </c>
    </row>
    <row r="883" spans="1:16" hidden="1" x14ac:dyDescent="0.2">
      <c r="A883" s="73">
        <v>67263</v>
      </c>
      <c r="B883" t="s">
        <v>457</v>
      </c>
      <c r="C883" s="73" t="s">
        <v>460</v>
      </c>
      <c r="D883" t="s">
        <v>461</v>
      </c>
      <c r="E883" s="74">
        <v>45940</v>
      </c>
      <c r="F883">
        <v>6833</v>
      </c>
      <c r="G883" t="s">
        <v>383</v>
      </c>
      <c r="H883" s="75">
        <f t="shared" si="13"/>
        <v>104.04412247883027</v>
      </c>
      <c r="I883" s="74">
        <v>45940</v>
      </c>
      <c r="J883">
        <v>3</v>
      </c>
      <c r="K883" t="s">
        <v>513</v>
      </c>
      <c r="L883" t="s">
        <v>384</v>
      </c>
      <c r="M883" t="s">
        <v>356</v>
      </c>
      <c r="N883" s="73">
        <v>67263</v>
      </c>
      <c r="O883" s="73">
        <v>67263</v>
      </c>
      <c r="P883">
        <v>34.681374159610094</v>
      </c>
    </row>
    <row r="884" spans="1:16" hidden="1" x14ac:dyDescent="0.2">
      <c r="A884" s="73">
        <v>67263</v>
      </c>
      <c r="B884" t="s">
        <v>457</v>
      </c>
      <c r="C884" s="73" t="s">
        <v>460</v>
      </c>
      <c r="D884" t="s">
        <v>461</v>
      </c>
      <c r="E884" s="74">
        <v>45943</v>
      </c>
      <c r="F884">
        <v>6833</v>
      </c>
      <c r="G884" t="s">
        <v>383</v>
      </c>
      <c r="H884" s="75">
        <f t="shared" si="13"/>
        <v>138.72549663844038</v>
      </c>
      <c r="I884" s="74">
        <v>45943</v>
      </c>
      <c r="J884">
        <v>4</v>
      </c>
      <c r="K884" t="s">
        <v>513</v>
      </c>
      <c r="L884" t="s">
        <v>384</v>
      </c>
      <c r="M884" t="s">
        <v>356</v>
      </c>
      <c r="N884" s="73">
        <v>67263</v>
      </c>
      <c r="O884" s="73">
        <v>67263</v>
      </c>
      <c r="P884">
        <v>34.681374159610094</v>
      </c>
    </row>
    <row r="885" spans="1:16" hidden="1" x14ac:dyDescent="0.2">
      <c r="A885" s="73">
        <v>67263</v>
      </c>
      <c r="B885" t="s">
        <v>457</v>
      </c>
      <c r="C885" s="73" t="s">
        <v>460</v>
      </c>
      <c r="D885" t="s">
        <v>461</v>
      </c>
      <c r="E885" s="74">
        <v>45943</v>
      </c>
      <c r="F885" t="s">
        <v>357</v>
      </c>
      <c r="G885" t="s">
        <v>358</v>
      </c>
      <c r="H885" s="75">
        <f t="shared" si="13"/>
        <v>69.362748319220188</v>
      </c>
      <c r="I885" s="74">
        <v>45943</v>
      </c>
      <c r="J885">
        <v>2</v>
      </c>
      <c r="K885" t="s">
        <v>513</v>
      </c>
      <c r="L885" t="s">
        <v>359</v>
      </c>
      <c r="M885" t="s">
        <v>356</v>
      </c>
      <c r="N885" s="73">
        <v>67263</v>
      </c>
      <c r="O885" s="73">
        <v>67263</v>
      </c>
      <c r="P885">
        <v>34.681374159610094</v>
      </c>
    </row>
    <row r="886" spans="1:16" hidden="1" x14ac:dyDescent="0.2">
      <c r="A886" s="73">
        <v>67263</v>
      </c>
      <c r="B886" t="s">
        <v>457</v>
      </c>
      <c r="C886" s="73" t="s">
        <v>460</v>
      </c>
      <c r="D886" t="s">
        <v>461</v>
      </c>
      <c r="E886" s="74">
        <v>45944</v>
      </c>
      <c r="F886">
        <v>6833</v>
      </c>
      <c r="G886" t="s">
        <v>383</v>
      </c>
      <c r="H886" s="75">
        <f t="shared" si="13"/>
        <v>138.72549663844038</v>
      </c>
      <c r="I886" s="74">
        <v>45944</v>
      </c>
      <c r="J886">
        <v>4</v>
      </c>
      <c r="K886" t="s">
        <v>513</v>
      </c>
      <c r="L886" t="s">
        <v>384</v>
      </c>
      <c r="M886" t="s">
        <v>356</v>
      </c>
      <c r="N886" s="73">
        <v>67263</v>
      </c>
      <c r="O886" s="73">
        <v>67263</v>
      </c>
      <c r="P886">
        <v>34.681374159610094</v>
      </c>
    </row>
    <row r="887" spans="1:16" hidden="1" x14ac:dyDescent="0.2">
      <c r="A887" s="73">
        <v>67263</v>
      </c>
      <c r="B887" t="s">
        <v>457</v>
      </c>
      <c r="C887" s="73" t="s">
        <v>460</v>
      </c>
      <c r="D887" t="s">
        <v>461</v>
      </c>
      <c r="E887" s="74">
        <v>45944</v>
      </c>
      <c r="F887" t="s">
        <v>357</v>
      </c>
      <c r="G887" t="s">
        <v>358</v>
      </c>
      <c r="H887" s="75">
        <f t="shared" si="13"/>
        <v>69.362748319220188</v>
      </c>
      <c r="I887" s="74">
        <v>45944</v>
      </c>
      <c r="J887">
        <v>2</v>
      </c>
      <c r="K887" t="s">
        <v>513</v>
      </c>
      <c r="L887" t="s">
        <v>359</v>
      </c>
      <c r="M887" t="s">
        <v>356</v>
      </c>
      <c r="N887" s="73">
        <v>67263</v>
      </c>
      <c r="O887" s="73">
        <v>67263</v>
      </c>
      <c r="P887">
        <v>34.681374159610094</v>
      </c>
    </row>
    <row r="888" spans="1:16" hidden="1" x14ac:dyDescent="0.2">
      <c r="A888" s="73">
        <v>67263</v>
      </c>
      <c r="B888" t="s">
        <v>457</v>
      </c>
      <c r="C888" s="73" t="s">
        <v>460</v>
      </c>
      <c r="D888" t="s">
        <v>461</v>
      </c>
      <c r="E888" s="74">
        <v>45945</v>
      </c>
      <c r="F888">
        <v>6833</v>
      </c>
      <c r="G888" t="s">
        <v>383</v>
      </c>
      <c r="H888" s="75">
        <f t="shared" si="13"/>
        <v>138.72549663844038</v>
      </c>
      <c r="I888" s="74">
        <v>45945</v>
      </c>
      <c r="J888">
        <v>4</v>
      </c>
      <c r="K888" t="s">
        <v>513</v>
      </c>
      <c r="L888" t="s">
        <v>384</v>
      </c>
      <c r="M888" t="s">
        <v>356</v>
      </c>
      <c r="N888" s="73">
        <v>67263</v>
      </c>
      <c r="O888" s="73">
        <v>67263</v>
      </c>
      <c r="P888">
        <v>34.681374159610094</v>
      </c>
    </row>
    <row r="889" spans="1:16" hidden="1" x14ac:dyDescent="0.2">
      <c r="A889" s="73">
        <v>67263</v>
      </c>
      <c r="B889" t="s">
        <v>457</v>
      </c>
      <c r="C889" s="73" t="s">
        <v>460</v>
      </c>
      <c r="D889" t="s">
        <v>461</v>
      </c>
      <c r="E889" s="74">
        <v>45945</v>
      </c>
      <c r="F889" t="s">
        <v>357</v>
      </c>
      <c r="G889" t="s">
        <v>358</v>
      </c>
      <c r="H889" s="75">
        <f t="shared" si="13"/>
        <v>69.362748319220188</v>
      </c>
      <c r="I889" s="74">
        <v>45945</v>
      </c>
      <c r="J889">
        <v>2</v>
      </c>
      <c r="K889" t="s">
        <v>513</v>
      </c>
      <c r="L889" t="s">
        <v>359</v>
      </c>
      <c r="M889" t="s">
        <v>356</v>
      </c>
      <c r="N889" s="73">
        <v>67263</v>
      </c>
      <c r="O889" s="73">
        <v>67263</v>
      </c>
      <c r="P889">
        <v>34.681374159610094</v>
      </c>
    </row>
    <row r="890" spans="1:16" hidden="1" x14ac:dyDescent="0.2">
      <c r="A890" s="73">
        <v>67263</v>
      </c>
      <c r="B890" t="s">
        <v>457</v>
      </c>
      <c r="C890" s="73" t="s">
        <v>460</v>
      </c>
      <c r="D890" t="s">
        <v>461</v>
      </c>
      <c r="E890" s="74">
        <v>45946</v>
      </c>
      <c r="F890">
        <v>6833</v>
      </c>
      <c r="G890" t="s">
        <v>383</v>
      </c>
      <c r="H890" s="75">
        <f t="shared" si="13"/>
        <v>138.72549663844038</v>
      </c>
      <c r="I890" s="74">
        <v>45946</v>
      </c>
      <c r="J890">
        <v>4</v>
      </c>
      <c r="K890" t="s">
        <v>513</v>
      </c>
      <c r="L890" t="s">
        <v>384</v>
      </c>
      <c r="M890" t="s">
        <v>356</v>
      </c>
      <c r="N890" s="73">
        <v>67263</v>
      </c>
      <c r="O890" s="73">
        <v>67263</v>
      </c>
      <c r="P890">
        <v>34.681374159610094</v>
      </c>
    </row>
    <row r="891" spans="1:16" hidden="1" x14ac:dyDescent="0.2">
      <c r="A891" s="73">
        <v>67263</v>
      </c>
      <c r="B891" t="s">
        <v>457</v>
      </c>
      <c r="C891" s="73" t="s">
        <v>460</v>
      </c>
      <c r="D891" t="s">
        <v>461</v>
      </c>
      <c r="E891" s="74">
        <v>45946</v>
      </c>
      <c r="F891" t="s">
        <v>357</v>
      </c>
      <c r="G891" t="s">
        <v>358</v>
      </c>
      <c r="H891" s="75">
        <f t="shared" si="13"/>
        <v>69.362748319220188</v>
      </c>
      <c r="I891" s="74">
        <v>45946</v>
      </c>
      <c r="J891">
        <v>2</v>
      </c>
      <c r="K891" t="s">
        <v>513</v>
      </c>
      <c r="L891" t="s">
        <v>359</v>
      </c>
      <c r="M891" t="s">
        <v>356</v>
      </c>
      <c r="N891" s="73">
        <v>67263</v>
      </c>
      <c r="O891" s="73">
        <v>67263</v>
      </c>
      <c r="P891">
        <v>34.681374159610094</v>
      </c>
    </row>
    <row r="892" spans="1:16" hidden="1" x14ac:dyDescent="0.2">
      <c r="A892" s="73">
        <v>67263</v>
      </c>
      <c r="B892" t="s">
        <v>457</v>
      </c>
      <c r="C892" s="73" t="s">
        <v>460</v>
      </c>
      <c r="D892" t="s">
        <v>461</v>
      </c>
      <c r="E892" s="74">
        <v>45947</v>
      </c>
      <c r="F892">
        <v>6833</v>
      </c>
      <c r="G892" t="s">
        <v>383</v>
      </c>
      <c r="H892" s="75">
        <f t="shared" si="13"/>
        <v>138.72549663844038</v>
      </c>
      <c r="I892" s="74">
        <v>45947</v>
      </c>
      <c r="J892">
        <v>4</v>
      </c>
      <c r="K892" t="s">
        <v>513</v>
      </c>
      <c r="L892" t="s">
        <v>384</v>
      </c>
      <c r="M892" t="s">
        <v>356</v>
      </c>
      <c r="N892" s="73">
        <v>67263</v>
      </c>
      <c r="O892" s="73">
        <v>67263</v>
      </c>
      <c r="P892">
        <v>34.681374159610094</v>
      </c>
    </row>
    <row r="893" spans="1:16" hidden="1" x14ac:dyDescent="0.2">
      <c r="A893" s="73">
        <v>67263</v>
      </c>
      <c r="B893" t="s">
        <v>457</v>
      </c>
      <c r="C893" s="73" t="s">
        <v>460</v>
      </c>
      <c r="D893" t="s">
        <v>461</v>
      </c>
      <c r="E893" s="74">
        <v>45947</v>
      </c>
      <c r="F893" t="s">
        <v>357</v>
      </c>
      <c r="G893" t="s">
        <v>358</v>
      </c>
      <c r="H893" s="75">
        <f t="shared" si="13"/>
        <v>69.362748319220188</v>
      </c>
      <c r="I893" s="74">
        <v>45947</v>
      </c>
      <c r="J893">
        <v>2</v>
      </c>
      <c r="K893" t="s">
        <v>513</v>
      </c>
      <c r="L893" t="s">
        <v>359</v>
      </c>
      <c r="M893" t="s">
        <v>356</v>
      </c>
      <c r="N893" s="73">
        <v>67263</v>
      </c>
      <c r="O893" s="73">
        <v>67263</v>
      </c>
      <c r="P893">
        <v>34.681374159610094</v>
      </c>
    </row>
    <row r="894" spans="1:16" hidden="1" x14ac:dyDescent="0.2">
      <c r="A894" s="73">
        <v>67263</v>
      </c>
      <c r="B894" t="s">
        <v>457</v>
      </c>
      <c r="C894" s="73" t="s">
        <v>460</v>
      </c>
      <c r="D894" t="s">
        <v>461</v>
      </c>
      <c r="E894" s="74">
        <v>45950</v>
      </c>
      <c r="F894" t="s">
        <v>357</v>
      </c>
      <c r="G894" t="s">
        <v>358</v>
      </c>
      <c r="H894" s="75">
        <f t="shared" si="13"/>
        <v>34.681374159610094</v>
      </c>
      <c r="I894" s="74">
        <v>45950</v>
      </c>
      <c r="J894">
        <v>1</v>
      </c>
      <c r="K894" t="s">
        <v>513</v>
      </c>
      <c r="L894" t="s">
        <v>359</v>
      </c>
      <c r="M894" t="s">
        <v>356</v>
      </c>
      <c r="N894" s="73">
        <v>67263</v>
      </c>
      <c r="O894" s="73">
        <v>67263</v>
      </c>
      <c r="P894">
        <v>34.681374159610094</v>
      </c>
    </row>
    <row r="895" spans="1:16" hidden="1" x14ac:dyDescent="0.2">
      <c r="A895" s="73">
        <v>67263</v>
      </c>
      <c r="B895" t="s">
        <v>457</v>
      </c>
      <c r="C895" s="73" t="s">
        <v>460</v>
      </c>
      <c r="D895" t="s">
        <v>461</v>
      </c>
      <c r="E895" s="74">
        <v>45952</v>
      </c>
      <c r="F895" t="s">
        <v>357</v>
      </c>
      <c r="G895" t="s">
        <v>358</v>
      </c>
      <c r="H895" s="75">
        <f t="shared" si="13"/>
        <v>34.681374159610094</v>
      </c>
      <c r="I895" s="74">
        <v>45952</v>
      </c>
      <c r="J895">
        <v>1</v>
      </c>
      <c r="K895" t="s">
        <v>513</v>
      </c>
      <c r="L895" t="s">
        <v>359</v>
      </c>
      <c r="M895" t="s">
        <v>356</v>
      </c>
      <c r="N895" s="73">
        <v>67263</v>
      </c>
      <c r="O895" s="73">
        <v>67263</v>
      </c>
      <c r="P895">
        <v>34.681374159610094</v>
      </c>
    </row>
    <row r="896" spans="1:16" hidden="1" x14ac:dyDescent="0.2">
      <c r="A896" s="73">
        <v>67263</v>
      </c>
      <c r="B896" t="s">
        <v>457</v>
      </c>
      <c r="C896" s="73" t="s">
        <v>460</v>
      </c>
      <c r="D896" t="s">
        <v>461</v>
      </c>
      <c r="E896" s="74">
        <v>45952</v>
      </c>
      <c r="F896">
        <v>6833</v>
      </c>
      <c r="G896" t="s">
        <v>383</v>
      </c>
      <c r="H896" s="75">
        <f t="shared" si="13"/>
        <v>34.681374159610094</v>
      </c>
      <c r="I896" s="74">
        <v>45952</v>
      </c>
      <c r="J896">
        <v>1</v>
      </c>
      <c r="K896" t="s">
        <v>513</v>
      </c>
      <c r="L896" t="s">
        <v>384</v>
      </c>
      <c r="M896" t="s">
        <v>356</v>
      </c>
      <c r="N896" s="73">
        <v>67263</v>
      </c>
      <c r="O896" s="73">
        <v>67263</v>
      </c>
      <c r="P896">
        <v>34.681374159610094</v>
      </c>
    </row>
    <row r="897" spans="1:16" hidden="1" x14ac:dyDescent="0.2">
      <c r="A897" s="73">
        <v>67263</v>
      </c>
      <c r="B897" t="s">
        <v>457</v>
      </c>
      <c r="C897" s="73" t="s">
        <v>460</v>
      </c>
      <c r="D897" t="s">
        <v>461</v>
      </c>
      <c r="E897" s="74">
        <v>45953</v>
      </c>
      <c r="F897" t="s">
        <v>357</v>
      </c>
      <c r="G897" t="s">
        <v>358</v>
      </c>
      <c r="H897" s="75">
        <f t="shared" si="13"/>
        <v>34.681374159610094</v>
      </c>
      <c r="I897" s="74">
        <v>45953</v>
      </c>
      <c r="J897">
        <v>1</v>
      </c>
      <c r="K897" t="s">
        <v>513</v>
      </c>
      <c r="L897" t="s">
        <v>359</v>
      </c>
      <c r="M897" t="s">
        <v>356</v>
      </c>
      <c r="N897" s="73">
        <v>67263</v>
      </c>
      <c r="O897" s="73">
        <v>67263</v>
      </c>
      <c r="P897">
        <v>34.681374159610094</v>
      </c>
    </row>
    <row r="898" spans="1:16" hidden="1" x14ac:dyDescent="0.2">
      <c r="A898" s="73">
        <v>67263</v>
      </c>
      <c r="B898" t="s">
        <v>457</v>
      </c>
      <c r="C898" s="73" t="s">
        <v>460</v>
      </c>
      <c r="D898" t="s">
        <v>461</v>
      </c>
      <c r="E898" s="74">
        <v>45953</v>
      </c>
      <c r="F898">
        <v>6833</v>
      </c>
      <c r="G898" t="s">
        <v>383</v>
      </c>
      <c r="H898" s="75">
        <f t="shared" ref="H898:H961" si="14">J898*P898</f>
        <v>34.681374159610094</v>
      </c>
      <c r="I898" s="74">
        <v>45953</v>
      </c>
      <c r="J898">
        <v>1</v>
      </c>
      <c r="K898" t="s">
        <v>513</v>
      </c>
      <c r="L898" t="s">
        <v>384</v>
      </c>
      <c r="M898" t="s">
        <v>356</v>
      </c>
      <c r="N898" s="73">
        <v>67263</v>
      </c>
      <c r="O898" s="73">
        <v>67263</v>
      </c>
      <c r="P898">
        <v>34.681374159610094</v>
      </c>
    </row>
    <row r="899" spans="1:16" hidden="1" x14ac:dyDescent="0.2">
      <c r="A899" s="73">
        <v>67263</v>
      </c>
      <c r="B899" t="s">
        <v>457</v>
      </c>
      <c r="C899" s="73" t="s">
        <v>460</v>
      </c>
      <c r="D899" t="s">
        <v>461</v>
      </c>
      <c r="E899" s="74">
        <v>45954</v>
      </c>
      <c r="F899" t="s">
        <v>357</v>
      </c>
      <c r="G899" t="s">
        <v>358</v>
      </c>
      <c r="H899" s="75">
        <f t="shared" si="14"/>
        <v>34.681374159610094</v>
      </c>
      <c r="I899" s="74">
        <v>45954</v>
      </c>
      <c r="J899">
        <v>1</v>
      </c>
      <c r="K899" t="s">
        <v>513</v>
      </c>
      <c r="L899" t="s">
        <v>359</v>
      </c>
      <c r="M899" t="s">
        <v>356</v>
      </c>
      <c r="N899" s="73">
        <v>67263</v>
      </c>
      <c r="O899" s="73">
        <v>67263</v>
      </c>
      <c r="P899">
        <v>34.681374159610094</v>
      </c>
    </row>
    <row r="900" spans="1:16" hidden="1" x14ac:dyDescent="0.2">
      <c r="A900" s="73">
        <v>67263</v>
      </c>
      <c r="B900" t="s">
        <v>457</v>
      </c>
      <c r="C900" s="73" t="s">
        <v>460</v>
      </c>
      <c r="D900" t="s">
        <v>461</v>
      </c>
      <c r="E900" s="74">
        <v>45954</v>
      </c>
      <c r="F900">
        <v>6833</v>
      </c>
      <c r="G900" t="s">
        <v>383</v>
      </c>
      <c r="H900" s="75">
        <f t="shared" si="14"/>
        <v>34.681374159610094</v>
      </c>
      <c r="I900" s="74">
        <v>45954</v>
      </c>
      <c r="J900">
        <v>1</v>
      </c>
      <c r="K900" t="s">
        <v>513</v>
      </c>
      <c r="L900" t="s">
        <v>384</v>
      </c>
      <c r="M900" t="s">
        <v>356</v>
      </c>
      <c r="N900" s="73">
        <v>67263</v>
      </c>
      <c r="O900" s="73">
        <v>67263</v>
      </c>
      <c r="P900">
        <v>34.681374159610094</v>
      </c>
    </row>
    <row r="901" spans="1:16" hidden="1" x14ac:dyDescent="0.2">
      <c r="A901" s="73">
        <v>67263</v>
      </c>
      <c r="B901" t="s">
        <v>457</v>
      </c>
      <c r="C901" s="73" t="s">
        <v>460</v>
      </c>
      <c r="D901" t="s">
        <v>461</v>
      </c>
      <c r="E901" s="74">
        <v>45957</v>
      </c>
      <c r="F901" t="s">
        <v>357</v>
      </c>
      <c r="G901" t="s">
        <v>358</v>
      </c>
      <c r="H901" s="75">
        <f t="shared" si="14"/>
        <v>34.681374159610094</v>
      </c>
      <c r="I901" s="74">
        <v>45957</v>
      </c>
      <c r="J901">
        <v>1</v>
      </c>
      <c r="K901" t="s">
        <v>513</v>
      </c>
      <c r="L901" t="s">
        <v>359</v>
      </c>
      <c r="M901" t="s">
        <v>356</v>
      </c>
      <c r="N901" s="73">
        <v>67263</v>
      </c>
      <c r="O901" s="73">
        <v>67263</v>
      </c>
      <c r="P901">
        <v>34.681374159610094</v>
      </c>
    </row>
    <row r="902" spans="1:16" hidden="1" x14ac:dyDescent="0.2">
      <c r="A902" s="73">
        <v>67263</v>
      </c>
      <c r="B902" t="s">
        <v>457</v>
      </c>
      <c r="C902" s="73" t="s">
        <v>460</v>
      </c>
      <c r="D902" t="s">
        <v>461</v>
      </c>
      <c r="E902" s="74">
        <v>45957</v>
      </c>
      <c r="F902">
        <v>6833</v>
      </c>
      <c r="G902" t="s">
        <v>383</v>
      </c>
      <c r="H902" s="75">
        <f t="shared" si="14"/>
        <v>69.362748319220188</v>
      </c>
      <c r="I902" s="74">
        <v>45957</v>
      </c>
      <c r="J902">
        <v>2</v>
      </c>
      <c r="K902" t="s">
        <v>513</v>
      </c>
      <c r="L902" t="s">
        <v>384</v>
      </c>
      <c r="M902" t="s">
        <v>356</v>
      </c>
      <c r="N902" s="73">
        <v>67263</v>
      </c>
      <c r="O902" s="73">
        <v>67263</v>
      </c>
      <c r="P902">
        <v>34.681374159610094</v>
      </c>
    </row>
    <row r="903" spans="1:16" hidden="1" x14ac:dyDescent="0.2">
      <c r="A903" s="73">
        <v>67263</v>
      </c>
      <c r="B903" t="s">
        <v>457</v>
      </c>
      <c r="C903" s="73" t="s">
        <v>460</v>
      </c>
      <c r="D903" t="s">
        <v>461</v>
      </c>
      <c r="E903" s="74">
        <v>45958</v>
      </c>
      <c r="F903" t="s">
        <v>357</v>
      </c>
      <c r="G903" t="s">
        <v>358</v>
      </c>
      <c r="H903" s="75">
        <f t="shared" si="14"/>
        <v>34.681374159610094</v>
      </c>
      <c r="I903" s="74">
        <v>45958</v>
      </c>
      <c r="J903">
        <v>1</v>
      </c>
      <c r="K903" t="s">
        <v>513</v>
      </c>
      <c r="L903" t="s">
        <v>359</v>
      </c>
      <c r="M903" t="s">
        <v>356</v>
      </c>
      <c r="N903" s="73">
        <v>67263</v>
      </c>
      <c r="O903" s="73">
        <v>67263</v>
      </c>
      <c r="P903">
        <v>34.681374159610094</v>
      </c>
    </row>
    <row r="904" spans="1:16" hidden="1" x14ac:dyDescent="0.2">
      <c r="A904" s="73">
        <v>67263</v>
      </c>
      <c r="B904" t="s">
        <v>457</v>
      </c>
      <c r="C904" s="73" t="s">
        <v>460</v>
      </c>
      <c r="D904" t="s">
        <v>461</v>
      </c>
      <c r="E904" s="74">
        <v>45958</v>
      </c>
      <c r="F904">
        <v>6833</v>
      </c>
      <c r="G904" t="s">
        <v>383</v>
      </c>
      <c r="H904" s="75">
        <f t="shared" si="14"/>
        <v>69.362748319220188</v>
      </c>
      <c r="I904" s="74">
        <v>45958</v>
      </c>
      <c r="J904">
        <v>2</v>
      </c>
      <c r="K904" t="s">
        <v>513</v>
      </c>
      <c r="L904" t="s">
        <v>384</v>
      </c>
      <c r="M904" t="s">
        <v>356</v>
      </c>
      <c r="N904" s="73">
        <v>67263</v>
      </c>
      <c r="O904" s="73">
        <v>67263</v>
      </c>
      <c r="P904">
        <v>34.681374159610094</v>
      </c>
    </row>
    <row r="905" spans="1:16" hidden="1" x14ac:dyDescent="0.2">
      <c r="A905" s="73">
        <v>67263</v>
      </c>
      <c r="B905" t="s">
        <v>457</v>
      </c>
      <c r="C905" s="73" t="s">
        <v>460</v>
      </c>
      <c r="D905" t="s">
        <v>461</v>
      </c>
      <c r="E905" s="74">
        <v>45959</v>
      </c>
      <c r="F905" t="s">
        <v>357</v>
      </c>
      <c r="G905" t="s">
        <v>358</v>
      </c>
      <c r="H905" s="75">
        <f t="shared" si="14"/>
        <v>34.681374159610094</v>
      </c>
      <c r="I905" s="74">
        <v>45959</v>
      </c>
      <c r="J905">
        <v>1</v>
      </c>
      <c r="K905" t="s">
        <v>513</v>
      </c>
      <c r="L905" t="s">
        <v>359</v>
      </c>
      <c r="M905" t="s">
        <v>356</v>
      </c>
      <c r="N905" s="73">
        <v>67263</v>
      </c>
      <c r="O905" s="73">
        <v>67263</v>
      </c>
      <c r="P905">
        <v>34.681374159610094</v>
      </c>
    </row>
    <row r="906" spans="1:16" hidden="1" x14ac:dyDescent="0.2">
      <c r="A906" s="73">
        <v>67263</v>
      </c>
      <c r="B906" t="s">
        <v>457</v>
      </c>
      <c r="C906" s="73" t="s">
        <v>460</v>
      </c>
      <c r="D906" t="s">
        <v>461</v>
      </c>
      <c r="E906" s="74">
        <v>45959</v>
      </c>
      <c r="F906">
        <v>6833</v>
      </c>
      <c r="G906" t="s">
        <v>383</v>
      </c>
      <c r="H906" s="75">
        <f t="shared" si="14"/>
        <v>34.681374159610094</v>
      </c>
      <c r="I906" s="74">
        <v>45959</v>
      </c>
      <c r="J906">
        <v>1</v>
      </c>
      <c r="K906" t="s">
        <v>513</v>
      </c>
      <c r="L906" t="s">
        <v>384</v>
      </c>
      <c r="M906" t="s">
        <v>356</v>
      </c>
      <c r="N906" s="73">
        <v>67263</v>
      </c>
      <c r="O906" s="73">
        <v>67263</v>
      </c>
      <c r="P906">
        <v>34.681374159610094</v>
      </c>
    </row>
    <row r="907" spans="1:16" hidden="1" x14ac:dyDescent="0.2">
      <c r="A907" s="73">
        <v>67263</v>
      </c>
      <c r="B907" t="s">
        <v>457</v>
      </c>
      <c r="C907" s="73" t="s">
        <v>460</v>
      </c>
      <c r="D907" t="s">
        <v>461</v>
      </c>
      <c r="E907" s="74">
        <v>45960</v>
      </c>
      <c r="F907" t="s">
        <v>357</v>
      </c>
      <c r="G907" t="s">
        <v>358</v>
      </c>
      <c r="H907" s="75">
        <f t="shared" si="14"/>
        <v>34.681374159610094</v>
      </c>
      <c r="I907" s="74">
        <v>45960</v>
      </c>
      <c r="J907">
        <v>1</v>
      </c>
      <c r="K907" t="s">
        <v>513</v>
      </c>
      <c r="L907" t="s">
        <v>359</v>
      </c>
      <c r="M907" t="s">
        <v>356</v>
      </c>
      <c r="N907" s="73">
        <v>67263</v>
      </c>
      <c r="O907" s="73">
        <v>67263</v>
      </c>
      <c r="P907">
        <v>34.681374159610094</v>
      </c>
    </row>
    <row r="908" spans="1:16" hidden="1" x14ac:dyDescent="0.2">
      <c r="A908" s="73">
        <v>67263</v>
      </c>
      <c r="B908" t="s">
        <v>457</v>
      </c>
      <c r="C908" s="73" t="s">
        <v>460</v>
      </c>
      <c r="D908" t="s">
        <v>461</v>
      </c>
      <c r="E908" s="74">
        <v>45961</v>
      </c>
      <c r="F908" t="s">
        <v>357</v>
      </c>
      <c r="G908" t="s">
        <v>358</v>
      </c>
      <c r="H908" s="75">
        <f t="shared" si="14"/>
        <v>34.681374159610094</v>
      </c>
      <c r="I908" s="74">
        <v>45961</v>
      </c>
      <c r="J908">
        <v>1</v>
      </c>
      <c r="K908" t="s">
        <v>513</v>
      </c>
      <c r="L908" t="s">
        <v>359</v>
      </c>
      <c r="M908" t="s">
        <v>356</v>
      </c>
      <c r="N908" s="73">
        <v>67263</v>
      </c>
      <c r="O908" s="73">
        <v>67263</v>
      </c>
      <c r="P908">
        <v>34.681374159610094</v>
      </c>
    </row>
    <row r="909" spans="1:16" hidden="1" x14ac:dyDescent="0.2">
      <c r="A909" s="73">
        <v>67263</v>
      </c>
      <c r="B909" t="s">
        <v>457</v>
      </c>
      <c r="C909" s="73" t="s">
        <v>460</v>
      </c>
      <c r="D909" t="s">
        <v>461</v>
      </c>
      <c r="E909" s="74">
        <v>45960</v>
      </c>
      <c r="F909">
        <v>6833</v>
      </c>
      <c r="G909" t="s">
        <v>383</v>
      </c>
      <c r="H909" s="75">
        <f t="shared" si="14"/>
        <v>34.681374159610094</v>
      </c>
      <c r="I909" s="74">
        <v>45960</v>
      </c>
      <c r="J909">
        <v>1</v>
      </c>
      <c r="K909" t="s">
        <v>513</v>
      </c>
      <c r="L909" t="s">
        <v>384</v>
      </c>
      <c r="M909" t="s">
        <v>356</v>
      </c>
      <c r="N909" s="73">
        <v>67263</v>
      </c>
      <c r="O909" s="73">
        <v>67263</v>
      </c>
      <c r="P909">
        <v>34.681374159610094</v>
      </c>
    </row>
    <row r="910" spans="1:16" hidden="1" x14ac:dyDescent="0.2">
      <c r="A910" s="73">
        <v>67263</v>
      </c>
      <c r="B910" t="s">
        <v>457</v>
      </c>
      <c r="C910" s="73" t="s">
        <v>460</v>
      </c>
      <c r="D910" t="s">
        <v>461</v>
      </c>
      <c r="E910" s="74">
        <v>45961</v>
      </c>
      <c r="F910">
        <v>6833</v>
      </c>
      <c r="G910" t="s">
        <v>383</v>
      </c>
      <c r="H910" s="75">
        <f t="shared" si="14"/>
        <v>69.362748319220188</v>
      </c>
      <c r="I910" s="74">
        <v>45961</v>
      </c>
      <c r="J910">
        <v>2</v>
      </c>
      <c r="K910" t="s">
        <v>513</v>
      </c>
      <c r="L910" t="s">
        <v>384</v>
      </c>
      <c r="M910" t="s">
        <v>356</v>
      </c>
      <c r="N910" s="73">
        <v>67263</v>
      </c>
      <c r="O910" s="73">
        <v>67263</v>
      </c>
      <c r="P910">
        <v>34.681374159610094</v>
      </c>
    </row>
    <row r="911" spans="1:16" hidden="1" x14ac:dyDescent="0.2">
      <c r="A911" s="73">
        <v>67263</v>
      </c>
      <c r="B911" t="s">
        <v>457</v>
      </c>
      <c r="C911" s="73" t="s">
        <v>460</v>
      </c>
      <c r="D911" t="s">
        <v>461</v>
      </c>
      <c r="E911" s="74">
        <v>45964</v>
      </c>
      <c r="F911">
        <v>6833</v>
      </c>
      <c r="G911" t="s">
        <v>383</v>
      </c>
      <c r="H911" s="75">
        <f t="shared" si="14"/>
        <v>34.681374159610094</v>
      </c>
      <c r="I911" s="74">
        <v>45964</v>
      </c>
      <c r="J911">
        <v>1</v>
      </c>
      <c r="K911" t="s">
        <v>514</v>
      </c>
      <c r="L911" t="s">
        <v>384</v>
      </c>
      <c r="M911" t="s">
        <v>356</v>
      </c>
      <c r="N911" s="73">
        <v>67263</v>
      </c>
      <c r="O911" s="73">
        <v>67263</v>
      </c>
      <c r="P911">
        <v>34.681374159610094</v>
      </c>
    </row>
    <row r="912" spans="1:16" hidden="1" x14ac:dyDescent="0.2">
      <c r="A912" s="73">
        <v>67263</v>
      </c>
      <c r="B912" t="s">
        <v>457</v>
      </c>
      <c r="C912" s="73" t="s">
        <v>460</v>
      </c>
      <c r="D912" t="s">
        <v>461</v>
      </c>
      <c r="E912" s="74">
        <v>45964</v>
      </c>
      <c r="F912" t="s">
        <v>357</v>
      </c>
      <c r="G912" t="s">
        <v>358</v>
      </c>
      <c r="H912" s="75">
        <f t="shared" si="14"/>
        <v>34.681374159610094</v>
      </c>
      <c r="I912" s="74">
        <v>45964</v>
      </c>
      <c r="J912">
        <v>1</v>
      </c>
      <c r="K912" t="s">
        <v>514</v>
      </c>
      <c r="L912" t="s">
        <v>359</v>
      </c>
      <c r="M912" t="s">
        <v>356</v>
      </c>
      <c r="N912" s="73">
        <v>67263</v>
      </c>
      <c r="O912" s="73">
        <v>67263</v>
      </c>
      <c r="P912">
        <v>34.681374159610094</v>
      </c>
    </row>
    <row r="913" spans="1:16" hidden="1" x14ac:dyDescent="0.2">
      <c r="A913" s="73">
        <v>67263</v>
      </c>
      <c r="B913" t="s">
        <v>457</v>
      </c>
      <c r="C913" s="73" t="s">
        <v>460</v>
      </c>
      <c r="D913" t="s">
        <v>461</v>
      </c>
      <c r="E913" s="74">
        <v>45965</v>
      </c>
      <c r="F913">
        <v>6833</v>
      </c>
      <c r="G913" t="s">
        <v>383</v>
      </c>
      <c r="H913" s="75">
        <f t="shared" si="14"/>
        <v>34.681374159610094</v>
      </c>
      <c r="I913" s="74">
        <v>45965</v>
      </c>
      <c r="J913">
        <v>1</v>
      </c>
      <c r="K913" t="s">
        <v>514</v>
      </c>
      <c r="L913" t="s">
        <v>384</v>
      </c>
      <c r="M913" t="s">
        <v>356</v>
      </c>
      <c r="N913" s="73">
        <v>67263</v>
      </c>
      <c r="O913" s="73">
        <v>67263</v>
      </c>
      <c r="P913">
        <v>34.681374159610094</v>
      </c>
    </row>
    <row r="914" spans="1:16" hidden="1" x14ac:dyDescent="0.2">
      <c r="A914" s="73">
        <v>67263</v>
      </c>
      <c r="B914" t="s">
        <v>457</v>
      </c>
      <c r="C914" s="73" t="s">
        <v>460</v>
      </c>
      <c r="D914" t="s">
        <v>461</v>
      </c>
      <c r="E914" s="74">
        <v>45965</v>
      </c>
      <c r="F914" t="s">
        <v>357</v>
      </c>
      <c r="G914" t="s">
        <v>358</v>
      </c>
      <c r="H914" s="75">
        <f t="shared" si="14"/>
        <v>34.681374159610094</v>
      </c>
      <c r="I914" s="74">
        <v>45965</v>
      </c>
      <c r="J914">
        <v>1</v>
      </c>
      <c r="K914" t="s">
        <v>514</v>
      </c>
      <c r="L914" t="s">
        <v>359</v>
      </c>
      <c r="M914" t="s">
        <v>356</v>
      </c>
      <c r="N914" s="73">
        <v>67263</v>
      </c>
      <c r="O914" s="73">
        <v>67263</v>
      </c>
      <c r="P914">
        <v>34.681374159610094</v>
      </c>
    </row>
    <row r="915" spans="1:16" hidden="1" x14ac:dyDescent="0.2">
      <c r="A915" s="73">
        <v>67263</v>
      </c>
      <c r="B915" t="s">
        <v>457</v>
      </c>
      <c r="C915" s="73" t="s">
        <v>460</v>
      </c>
      <c r="D915" t="s">
        <v>461</v>
      </c>
      <c r="E915" s="74">
        <v>45966</v>
      </c>
      <c r="F915">
        <v>6833</v>
      </c>
      <c r="G915" t="s">
        <v>383</v>
      </c>
      <c r="H915" s="75">
        <f t="shared" si="14"/>
        <v>34.681374159610094</v>
      </c>
      <c r="I915" s="74">
        <v>45966</v>
      </c>
      <c r="J915">
        <v>1</v>
      </c>
      <c r="K915" t="s">
        <v>514</v>
      </c>
      <c r="L915" t="s">
        <v>384</v>
      </c>
      <c r="M915" t="s">
        <v>356</v>
      </c>
      <c r="N915" s="73">
        <v>67263</v>
      </c>
      <c r="O915" s="73">
        <v>67263</v>
      </c>
      <c r="P915">
        <v>34.681374159610094</v>
      </c>
    </row>
    <row r="916" spans="1:16" hidden="1" x14ac:dyDescent="0.2">
      <c r="A916" s="73">
        <v>67263</v>
      </c>
      <c r="B916" t="s">
        <v>457</v>
      </c>
      <c r="C916" s="73" t="s">
        <v>460</v>
      </c>
      <c r="D916" t="s">
        <v>461</v>
      </c>
      <c r="E916" s="74">
        <v>45966</v>
      </c>
      <c r="F916" t="s">
        <v>357</v>
      </c>
      <c r="G916" t="s">
        <v>358</v>
      </c>
      <c r="H916" s="75">
        <f t="shared" si="14"/>
        <v>34.681374159610094</v>
      </c>
      <c r="I916" s="74">
        <v>45966</v>
      </c>
      <c r="J916">
        <v>1</v>
      </c>
      <c r="K916" t="s">
        <v>514</v>
      </c>
      <c r="L916" t="s">
        <v>359</v>
      </c>
      <c r="M916" t="s">
        <v>356</v>
      </c>
      <c r="N916" s="73">
        <v>67263</v>
      </c>
      <c r="O916" s="73">
        <v>67263</v>
      </c>
      <c r="P916">
        <v>34.681374159610094</v>
      </c>
    </row>
    <row r="917" spans="1:16" hidden="1" x14ac:dyDescent="0.2">
      <c r="A917" s="73">
        <v>67263</v>
      </c>
      <c r="B917" t="s">
        <v>457</v>
      </c>
      <c r="C917" s="73" t="s">
        <v>460</v>
      </c>
      <c r="D917" t="s">
        <v>461</v>
      </c>
      <c r="E917" s="74">
        <v>45967</v>
      </c>
      <c r="F917">
        <v>6833</v>
      </c>
      <c r="G917" t="s">
        <v>383</v>
      </c>
      <c r="H917" s="75">
        <f t="shared" si="14"/>
        <v>34.681374159610094</v>
      </c>
      <c r="I917" s="74">
        <v>45967</v>
      </c>
      <c r="J917">
        <v>1</v>
      </c>
      <c r="K917" t="s">
        <v>514</v>
      </c>
      <c r="L917" t="s">
        <v>384</v>
      </c>
      <c r="M917" t="s">
        <v>356</v>
      </c>
      <c r="N917" s="73">
        <v>67263</v>
      </c>
      <c r="O917" s="73">
        <v>67263</v>
      </c>
      <c r="P917">
        <v>34.681374159610094</v>
      </c>
    </row>
    <row r="918" spans="1:16" hidden="1" x14ac:dyDescent="0.2">
      <c r="A918" s="73">
        <v>67263</v>
      </c>
      <c r="B918" t="s">
        <v>457</v>
      </c>
      <c r="C918" s="73" t="s">
        <v>460</v>
      </c>
      <c r="D918" t="s">
        <v>461</v>
      </c>
      <c r="E918" s="74">
        <v>45967</v>
      </c>
      <c r="F918" t="s">
        <v>357</v>
      </c>
      <c r="G918" t="s">
        <v>358</v>
      </c>
      <c r="H918" s="75">
        <f t="shared" si="14"/>
        <v>34.681374159610094</v>
      </c>
      <c r="I918" s="74">
        <v>45967</v>
      </c>
      <c r="J918">
        <v>1</v>
      </c>
      <c r="K918" t="s">
        <v>514</v>
      </c>
      <c r="L918" t="s">
        <v>359</v>
      </c>
      <c r="M918" t="s">
        <v>356</v>
      </c>
      <c r="N918" s="73">
        <v>67263</v>
      </c>
      <c r="O918" s="73">
        <v>67263</v>
      </c>
      <c r="P918">
        <v>34.681374159610094</v>
      </c>
    </row>
    <row r="919" spans="1:16" hidden="1" x14ac:dyDescent="0.2">
      <c r="A919" s="73">
        <v>67263</v>
      </c>
      <c r="B919" t="s">
        <v>457</v>
      </c>
      <c r="C919" s="73" t="s">
        <v>460</v>
      </c>
      <c r="D919" t="s">
        <v>461</v>
      </c>
      <c r="E919" s="74">
        <v>45968</v>
      </c>
      <c r="F919">
        <v>6833</v>
      </c>
      <c r="G919" t="s">
        <v>383</v>
      </c>
      <c r="H919" s="75">
        <f t="shared" si="14"/>
        <v>34.681374159610094</v>
      </c>
      <c r="I919" s="74">
        <v>45968</v>
      </c>
      <c r="J919">
        <v>1</v>
      </c>
      <c r="K919" t="s">
        <v>514</v>
      </c>
      <c r="L919" t="s">
        <v>384</v>
      </c>
      <c r="M919" t="s">
        <v>356</v>
      </c>
      <c r="N919" s="73">
        <v>67263</v>
      </c>
      <c r="O919" s="73">
        <v>67263</v>
      </c>
      <c r="P919">
        <v>34.681374159610094</v>
      </c>
    </row>
    <row r="920" spans="1:16" hidden="1" x14ac:dyDescent="0.2">
      <c r="A920" s="73">
        <v>67263</v>
      </c>
      <c r="B920" t="s">
        <v>457</v>
      </c>
      <c r="C920" s="73" t="s">
        <v>460</v>
      </c>
      <c r="D920" t="s">
        <v>461</v>
      </c>
      <c r="E920" s="74">
        <v>45968</v>
      </c>
      <c r="F920" t="s">
        <v>357</v>
      </c>
      <c r="G920" t="s">
        <v>358</v>
      </c>
      <c r="H920" s="75">
        <f t="shared" si="14"/>
        <v>34.681374159610094</v>
      </c>
      <c r="I920" s="74">
        <v>45968</v>
      </c>
      <c r="J920">
        <v>1</v>
      </c>
      <c r="K920" t="s">
        <v>514</v>
      </c>
      <c r="L920" t="s">
        <v>359</v>
      </c>
      <c r="M920" t="s">
        <v>356</v>
      </c>
      <c r="N920" s="73">
        <v>67263</v>
      </c>
      <c r="O920" s="73">
        <v>67263</v>
      </c>
      <c r="P920">
        <v>34.681374159610094</v>
      </c>
    </row>
    <row r="921" spans="1:16" hidden="1" x14ac:dyDescent="0.2">
      <c r="A921" s="73">
        <v>67263</v>
      </c>
      <c r="B921" t="s">
        <v>457</v>
      </c>
      <c r="C921" s="73" t="s">
        <v>460</v>
      </c>
      <c r="D921" t="s">
        <v>461</v>
      </c>
      <c r="E921" s="74">
        <v>45971</v>
      </c>
      <c r="F921">
        <v>6833</v>
      </c>
      <c r="G921" t="s">
        <v>383</v>
      </c>
      <c r="H921" s="75">
        <f t="shared" si="14"/>
        <v>34.681374159610094</v>
      </c>
      <c r="I921" s="74">
        <v>45971</v>
      </c>
      <c r="J921">
        <v>1</v>
      </c>
      <c r="K921" t="s">
        <v>514</v>
      </c>
      <c r="L921" t="s">
        <v>384</v>
      </c>
      <c r="M921" t="s">
        <v>356</v>
      </c>
      <c r="N921" s="73">
        <v>67263</v>
      </c>
      <c r="O921" s="73">
        <v>67263</v>
      </c>
      <c r="P921">
        <v>34.681374159610094</v>
      </c>
    </row>
    <row r="922" spans="1:16" hidden="1" x14ac:dyDescent="0.2">
      <c r="A922" s="73">
        <v>67263</v>
      </c>
      <c r="B922" t="s">
        <v>457</v>
      </c>
      <c r="C922" s="73" t="s">
        <v>460</v>
      </c>
      <c r="D922" t="s">
        <v>461</v>
      </c>
      <c r="E922" s="74">
        <v>45972</v>
      </c>
      <c r="F922">
        <v>6833</v>
      </c>
      <c r="G922" t="s">
        <v>383</v>
      </c>
      <c r="H922" s="75">
        <f t="shared" si="14"/>
        <v>34.681374159610094</v>
      </c>
      <c r="I922" s="74">
        <v>45972</v>
      </c>
      <c r="J922">
        <v>1</v>
      </c>
      <c r="K922" t="s">
        <v>514</v>
      </c>
      <c r="L922" t="s">
        <v>384</v>
      </c>
      <c r="M922" t="s">
        <v>356</v>
      </c>
      <c r="N922" s="73">
        <v>67263</v>
      </c>
      <c r="O922" s="73">
        <v>67263</v>
      </c>
      <c r="P922">
        <v>34.681374159610094</v>
      </c>
    </row>
    <row r="923" spans="1:16" hidden="1" x14ac:dyDescent="0.2">
      <c r="A923" s="73">
        <v>67263</v>
      </c>
      <c r="B923" t="s">
        <v>457</v>
      </c>
      <c r="C923" s="73" t="s">
        <v>460</v>
      </c>
      <c r="D923" t="s">
        <v>461</v>
      </c>
      <c r="E923" s="74">
        <v>45973</v>
      </c>
      <c r="F923">
        <v>6833</v>
      </c>
      <c r="G923" t="s">
        <v>383</v>
      </c>
      <c r="H923" s="75">
        <f t="shared" si="14"/>
        <v>69.362748319220188</v>
      </c>
      <c r="I923" s="74">
        <v>45973</v>
      </c>
      <c r="J923">
        <v>2</v>
      </c>
      <c r="K923" t="s">
        <v>514</v>
      </c>
      <c r="L923" t="s">
        <v>384</v>
      </c>
      <c r="M923" t="s">
        <v>356</v>
      </c>
      <c r="N923" s="73">
        <v>67263</v>
      </c>
      <c r="O923" s="73">
        <v>67263</v>
      </c>
      <c r="P923">
        <v>34.681374159610094</v>
      </c>
    </row>
    <row r="924" spans="1:16" hidden="1" x14ac:dyDescent="0.2">
      <c r="A924" s="73">
        <v>67263</v>
      </c>
      <c r="B924" t="s">
        <v>457</v>
      </c>
      <c r="C924" s="73" t="s">
        <v>460</v>
      </c>
      <c r="D924" t="s">
        <v>461</v>
      </c>
      <c r="E924" s="74">
        <v>45975</v>
      </c>
      <c r="F924">
        <v>6833</v>
      </c>
      <c r="G924" t="s">
        <v>383</v>
      </c>
      <c r="H924" s="75">
        <f t="shared" si="14"/>
        <v>34.681374159610094</v>
      </c>
      <c r="I924" s="74">
        <v>45975</v>
      </c>
      <c r="J924">
        <v>1</v>
      </c>
      <c r="K924" t="s">
        <v>514</v>
      </c>
      <c r="L924" t="s">
        <v>384</v>
      </c>
      <c r="M924" t="s">
        <v>356</v>
      </c>
      <c r="N924" s="73">
        <v>67263</v>
      </c>
      <c r="O924" s="73">
        <v>67263</v>
      </c>
      <c r="P924">
        <v>34.681374159610094</v>
      </c>
    </row>
    <row r="925" spans="1:16" hidden="1" x14ac:dyDescent="0.2">
      <c r="A925" s="73">
        <v>67263</v>
      </c>
      <c r="B925" t="s">
        <v>457</v>
      </c>
      <c r="C925" s="73" t="s">
        <v>460</v>
      </c>
      <c r="D925" t="s">
        <v>461</v>
      </c>
      <c r="E925" s="74">
        <v>45978</v>
      </c>
      <c r="F925">
        <v>6833</v>
      </c>
      <c r="G925" t="s">
        <v>383</v>
      </c>
      <c r="H925" s="75">
        <f t="shared" si="14"/>
        <v>69.362748319220188</v>
      </c>
      <c r="I925" s="74">
        <v>45978</v>
      </c>
      <c r="J925">
        <v>2</v>
      </c>
      <c r="K925" t="s">
        <v>514</v>
      </c>
      <c r="L925" t="s">
        <v>384</v>
      </c>
      <c r="M925" t="s">
        <v>356</v>
      </c>
      <c r="N925" s="73">
        <v>67263</v>
      </c>
      <c r="O925" s="73">
        <v>67263</v>
      </c>
      <c r="P925">
        <v>34.681374159610094</v>
      </c>
    </row>
    <row r="926" spans="1:16" hidden="1" x14ac:dyDescent="0.2">
      <c r="A926" s="73">
        <v>67263</v>
      </c>
      <c r="B926" t="s">
        <v>457</v>
      </c>
      <c r="C926" s="73" t="s">
        <v>460</v>
      </c>
      <c r="D926" t="s">
        <v>461</v>
      </c>
      <c r="E926" s="74">
        <v>45979</v>
      </c>
      <c r="F926">
        <v>6833</v>
      </c>
      <c r="G926" t="s">
        <v>383</v>
      </c>
      <c r="H926" s="75">
        <f t="shared" si="14"/>
        <v>69.362748319220188</v>
      </c>
      <c r="I926" s="74">
        <v>45979</v>
      </c>
      <c r="J926">
        <v>2</v>
      </c>
      <c r="K926" t="s">
        <v>514</v>
      </c>
      <c r="L926" t="s">
        <v>384</v>
      </c>
      <c r="M926" t="s">
        <v>356</v>
      </c>
      <c r="N926" s="73">
        <v>67263</v>
      </c>
      <c r="O926" s="73">
        <v>67263</v>
      </c>
      <c r="P926">
        <v>34.681374159610094</v>
      </c>
    </row>
    <row r="927" spans="1:16" hidden="1" x14ac:dyDescent="0.2">
      <c r="A927" s="73">
        <v>67263</v>
      </c>
      <c r="B927" t="s">
        <v>457</v>
      </c>
      <c r="C927" s="73" t="s">
        <v>460</v>
      </c>
      <c r="D927" t="s">
        <v>461</v>
      </c>
      <c r="E927" s="74">
        <v>45980</v>
      </c>
      <c r="F927">
        <v>6833</v>
      </c>
      <c r="G927" t="s">
        <v>383</v>
      </c>
      <c r="H927" s="75">
        <f t="shared" si="14"/>
        <v>69.362748319220188</v>
      </c>
      <c r="I927" s="74">
        <v>45980</v>
      </c>
      <c r="J927">
        <v>2</v>
      </c>
      <c r="K927" t="s">
        <v>514</v>
      </c>
      <c r="L927" t="s">
        <v>384</v>
      </c>
      <c r="M927" t="s">
        <v>356</v>
      </c>
      <c r="N927" s="73">
        <v>67263</v>
      </c>
      <c r="O927" s="73">
        <v>67263</v>
      </c>
      <c r="P927">
        <v>34.681374159610094</v>
      </c>
    </row>
    <row r="928" spans="1:16" hidden="1" x14ac:dyDescent="0.2">
      <c r="A928" s="73">
        <v>67263</v>
      </c>
      <c r="B928" t="s">
        <v>457</v>
      </c>
      <c r="C928" s="73" t="s">
        <v>460</v>
      </c>
      <c r="D928" t="s">
        <v>461</v>
      </c>
      <c r="E928" s="74">
        <v>45981</v>
      </c>
      <c r="F928">
        <v>6833</v>
      </c>
      <c r="G928" t="s">
        <v>383</v>
      </c>
      <c r="H928" s="75">
        <f t="shared" si="14"/>
        <v>69.362748319220188</v>
      </c>
      <c r="I928" s="74">
        <v>45981</v>
      </c>
      <c r="J928">
        <v>2</v>
      </c>
      <c r="K928" t="s">
        <v>514</v>
      </c>
      <c r="L928" t="s">
        <v>384</v>
      </c>
      <c r="M928" t="s">
        <v>356</v>
      </c>
      <c r="N928" s="73">
        <v>67263</v>
      </c>
      <c r="O928" s="73">
        <v>67263</v>
      </c>
      <c r="P928">
        <v>34.681374159610094</v>
      </c>
    </row>
    <row r="929" spans="1:16" hidden="1" x14ac:dyDescent="0.2">
      <c r="A929" s="73">
        <v>67263</v>
      </c>
      <c r="B929" t="s">
        <v>457</v>
      </c>
      <c r="C929" s="73" t="s">
        <v>460</v>
      </c>
      <c r="D929" t="s">
        <v>461</v>
      </c>
      <c r="E929" s="74">
        <v>45982</v>
      </c>
      <c r="F929">
        <v>6833</v>
      </c>
      <c r="G929" t="s">
        <v>383</v>
      </c>
      <c r="H929" s="75">
        <f t="shared" si="14"/>
        <v>69.362748319220188</v>
      </c>
      <c r="I929" s="74">
        <v>45982</v>
      </c>
      <c r="J929">
        <v>2</v>
      </c>
      <c r="K929" t="s">
        <v>514</v>
      </c>
      <c r="L929" t="s">
        <v>384</v>
      </c>
      <c r="M929" t="s">
        <v>356</v>
      </c>
      <c r="N929" s="73">
        <v>67263</v>
      </c>
      <c r="O929" s="73">
        <v>67263</v>
      </c>
      <c r="P929">
        <v>34.681374159610094</v>
      </c>
    </row>
    <row r="930" spans="1:16" hidden="1" x14ac:dyDescent="0.2">
      <c r="A930" s="73">
        <v>67263</v>
      </c>
      <c r="B930" t="s">
        <v>457</v>
      </c>
      <c r="C930" s="73" t="s">
        <v>460</v>
      </c>
      <c r="D930" t="s">
        <v>461</v>
      </c>
      <c r="E930" s="74">
        <v>45985</v>
      </c>
      <c r="F930">
        <v>6833</v>
      </c>
      <c r="G930" t="s">
        <v>383</v>
      </c>
      <c r="H930" s="75">
        <f t="shared" si="14"/>
        <v>69.362748319220188</v>
      </c>
      <c r="I930" s="74">
        <v>45985</v>
      </c>
      <c r="J930">
        <v>2</v>
      </c>
      <c r="K930" t="s">
        <v>514</v>
      </c>
      <c r="L930" t="s">
        <v>384</v>
      </c>
      <c r="M930" t="s">
        <v>356</v>
      </c>
      <c r="N930" s="73">
        <v>67263</v>
      </c>
      <c r="O930" s="73">
        <v>67263</v>
      </c>
      <c r="P930">
        <v>34.681374159610094</v>
      </c>
    </row>
    <row r="931" spans="1:16" hidden="1" x14ac:dyDescent="0.2">
      <c r="A931" s="73">
        <v>67263</v>
      </c>
      <c r="B931" t="s">
        <v>457</v>
      </c>
      <c r="C931" s="73" t="s">
        <v>460</v>
      </c>
      <c r="D931" t="s">
        <v>461</v>
      </c>
      <c r="E931" s="74">
        <v>45986</v>
      </c>
      <c r="F931">
        <v>6833</v>
      </c>
      <c r="G931" t="s">
        <v>383</v>
      </c>
      <c r="H931" s="75">
        <f t="shared" si="14"/>
        <v>34.681374159610094</v>
      </c>
      <c r="I931" s="74">
        <v>45986</v>
      </c>
      <c r="J931">
        <v>1</v>
      </c>
      <c r="K931" t="s">
        <v>514</v>
      </c>
      <c r="L931" t="s">
        <v>384</v>
      </c>
      <c r="M931" t="s">
        <v>356</v>
      </c>
      <c r="N931" s="73">
        <v>67263</v>
      </c>
      <c r="O931" s="73">
        <v>67263</v>
      </c>
      <c r="P931">
        <v>34.681374159610094</v>
      </c>
    </row>
    <row r="932" spans="1:16" hidden="1" x14ac:dyDescent="0.2">
      <c r="A932" s="73">
        <v>67263</v>
      </c>
      <c r="B932" t="s">
        <v>457</v>
      </c>
      <c r="C932" s="73" t="s">
        <v>460</v>
      </c>
      <c r="D932" t="s">
        <v>461</v>
      </c>
      <c r="E932" s="74">
        <v>45987</v>
      </c>
      <c r="F932">
        <v>6833</v>
      </c>
      <c r="G932" t="s">
        <v>383</v>
      </c>
      <c r="H932" s="75">
        <f t="shared" si="14"/>
        <v>34.681374159610094</v>
      </c>
      <c r="I932" s="74">
        <v>45987</v>
      </c>
      <c r="J932">
        <v>1</v>
      </c>
      <c r="K932" t="s">
        <v>514</v>
      </c>
      <c r="L932" t="s">
        <v>384</v>
      </c>
      <c r="M932" t="s">
        <v>356</v>
      </c>
      <c r="N932" s="73">
        <v>67263</v>
      </c>
      <c r="O932" s="73">
        <v>67263</v>
      </c>
      <c r="P932">
        <v>34.681374159610094</v>
      </c>
    </row>
    <row r="933" spans="1:16" hidden="1" x14ac:dyDescent="0.2">
      <c r="A933" s="73">
        <v>67263</v>
      </c>
      <c r="B933" t="s">
        <v>457</v>
      </c>
      <c r="C933" s="73" t="s">
        <v>460</v>
      </c>
      <c r="D933" t="s">
        <v>461</v>
      </c>
      <c r="E933" s="74">
        <v>45988</v>
      </c>
      <c r="F933">
        <v>6833</v>
      </c>
      <c r="G933" t="s">
        <v>383</v>
      </c>
      <c r="H933" s="75">
        <f t="shared" si="14"/>
        <v>34.681374159610094</v>
      </c>
      <c r="I933" s="74">
        <v>45988</v>
      </c>
      <c r="J933">
        <v>1</v>
      </c>
      <c r="K933" t="s">
        <v>514</v>
      </c>
      <c r="L933" t="s">
        <v>384</v>
      </c>
      <c r="M933" t="s">
        <v>356</v>
      </c>
      <c r="N933" s="73">
        <v>67263</v>
      </c>
      <c r="O933" s="73">
        <v>67263</v>
      </c>
      <c r="P933">
        <v>34.681374159610094</v>
      </c>
    </row>
    <row r="934" spans="1:16" hidden="1" x14ac:dyDescent="0.2">
      <c r="A934" s="73">
        <v>67263</v>
      </c>
      <c r="B934" t="s">
        <v>457</v>
      </c>
      <c r="C934" s="73" t="s">
        <v>460</v>
      </c>
      <c r="D934" t="s">
        <v>461</v>
      </c>
      <c r="E934" s="74">
        <v>45989</v>
      </c>
      <c r="F934">
        <v>6833</v>
      </c>
      <c r="G934" t="s">
        <v>383</v>
      </c>
      <c r="H934" s="75">
        <f t="shared" si="14"/>
        <v>34.681374159610094</v>
      </c>
      <c r="I934" s="74">
        <v>45989</v>
      </c>
      <c r="J934">
        <v>1</v>
      </c>
      <c r="K934" t="s">
        <v>514</v>
      </c>
      <c r="L934" t="s">
        <v>384</v>
      </c>
      <c r="M934" t="s">
        <v>356</v>
      </c>
      <c r="N934" s="73">
        <v>67263</v>
      </c>
      <c r="O934" s="73">
        <v>67263</v>
      </c>
      <c r="P934">
        <v>34.681374159610094</v>
      </c>
    </row>
    <row r="935" spans="1:16" hidden="1" x14ac:dyDescent="0.2">
      <c r="A935" s="73">
        <v>67263</v>
      </c>
      <c r="B935" t="s">
        <v>457</v>
      </c>
      <c r="C935" s="73" t="s">
        <v>460</v>
      </c>
      <c r="D935" t="s">
        <v>461</v>
      </c>
      <c r="E935" s="74">
        <v>45992</v>
      </c>
      <c r="F935" t="s">
        <v>357</v>
      </c>
      <c r="G935" t="s">
        <v>358</v>
      </c>
      <c r="H935" s="75">
        <f t="shared" si="14"/>
        <v>34.681374159610094</v>
      </c>
      <c r="I935" s="74">
        <v>45992</v>
      </c>
      <c r="J935">
        <v>1</v>
      </c>
      <c r="K935" t="s">
        <v>515</v>
      </c>
      <c r="L935" t="s">
        <v>359</v>
      </c>
      <c r="M935" t="s">
        <v>356</v>
      </c>
      <c r="N935" s="73">
        <v>67263</v>
      </c>
      <c r="O935" s="73">
        <v>67263</v>
      </c>
      <c r="P935">
        <v>34.681374159610094</v>
      </c>
    </row>
    <row r="936" spans="1:16" hidden="1" x14ac:dyDescent="0.2">
      <c r="A936" s="73">
        <v>67263</v>
      </c>
      <c r="B936" t="s">
        <v>457</v>
      </c>
      <c r="C936" s="73" t="s">
        <v>460</v>
      </c>
      <c r="D936" t="s">
        <v>461</v>
      </c>
      <c r="E936" s="74">
        <v>45993</v>
      </c>
      <c r="F936" t="s">
        <v>357</v>
      </c>
      <c r="G936" t="s">
        <v>358</v>
      </c>
      <c r="H936" s="75">
        <f t="shared" si="14"/>
        <v>34.681374159610094</v>
      </c>
      <c r="I936" s="74">
        <v>45993</v>
      </c>
      <c r="J936">
        <v>1</v>
      </c>
      <c r="K936" t="s">
        <v>515</v>
      </c>
      <c r="L936" t="s">
        <v>359</v>
      </c>
      <c r="M936" t="s">
        <v>356</v>
      </c>
      <c r="N936" s="73">
        <v>67263</v>
      </c>
      <c r="O936" s="73">
        <v>67263</v>
      </c>
      <c r="P936">
        <v>34.681374159610094</v>
      </c>
    </row>
    <row r="937" spans="1:16" hidden="1" x14ac:dyDescent="0.2">
      <c r="A937" s="73">
        <v>67263</v>
      </c>
      <c r="B937" t="s">
        <v>457</v>
      </c>
      <c r="C937" s="73" t="s">
        <v>460</v>
      </c>
      <c r="D937" t="s">
        <v>461</v>
      </c>
      <c r="E937" s="74">
        <v>45994</v>
      </c>
      <c r="F937" t="s">
        <v>357</v>
      </c>
      <c r="G937" t="s">
        <v>358</v>
      </c>
      <c r="H937" s="75">
        <f t="shared" si="14"/>
        <v>34.681374159610094</v>
      </c>
      <c r="I937" s="74">
        <v>45994</v>
      </c>
      <c r="J937">
        <v>1</v>
      </c>
      <c r="K937" t="s">
        <v>515</v>
      </c>
      <c r="L937" t="s">
        <v>359</v>
      </c>
      <c r="M937" t="s">
        <v>356</v>
      </c>
      <c r="N937" s="73">
        <v>67263</v>
      </c>
      <c r="O937" s="73">
        <v>67263</v>
      </c>
      <c r="P937">
        <v>34.681374159610094</v>
      </c>
    </row>
    <row r="938" spans="1:16" hidden="1" x14ac:dyDescent="0.2">
      <c r="A938" s="73">
        <v>67263</v>
      </c>
      <c r="B938" t="s">
        <v>457</v>
      </c>
      <c r="C938" s="73" t="s">
        <v>460</v>
      </c>
      <c r="D938" t="s">
        <v>461</v>
      </c>
      <c r="E938" s="74">
        <v>45999</v>
      </c>
      <c r="F938">
        <v>6833</v>
      </c>
      <c r="G938" t="s">
        <v>383</v>
      </c>
      <c r="H938" s="75">
        <f t="shared" si="14"/>
        <v>69.362748319220188</v>
      </c>
      <c r="I938" s="74">
        <v>45999</v>
      </c>
      <c r="J938">
        <v>2</v>
      </c>
      <c r="K938" t="s">
        <v>515</v>
      </c>
      <c r="L938" t="s">
        <v>384</v>
      </c>
      <c r="M938" t="s">
        <v>356</v>
      </c>
      <c r="N938" s="73">
        <v>67263</v>
      </c>
      <c r="O938" s="73">
        <v>67263</v>
      </c>
      <c r="P938">
        <v>34.681374159610094</v>
      </c>
    </row>
    <row r="939" spans="1:16" hidden="1" x14ac:dyDescent="0.2">
      <c r="A939" s="73">
        <v>67263</v>
      </c>
      <c r="B939" t="s">
        <v>457</v>
      </c>
      <c r="C939" s="73" t="s">
        <v>460</v>
      </c>
      <c r="D939" t="s">
        <v>461</v>
      </c>
      <c r="E939" s="74">
        <v>45999</v>
      </c>
      <c r="F939" t="s">
        <v>357</v>
      </c>
      <c r="G939" t="s">
        <v>358</v>
      </c>
      <c r="H939" s="75">
        <f t="shared" si="14"/>
        <v>34.681374159610094</v>
      </c>
      <c r="I939" s="74">
        <v>45999</v>
      </c>
      <c r="J939">
        <v>1</v>
      </c>
      <c r="K939" t="s">
        <v>515</v>
      </c>
      <c r="L939" t="s">
        <v>359</v>
      </c>
      <c r="M939" t="s">
        <v>356</v>
      </c>
      <c r="N939" s="73">
        <v>67263</v>
      </c>
      <c r="O939" s="73">
        <v>67263</v>
      </c>
      <c r="P939">
        <v>34.681374159610094</v>
      </c>
    </row>
    <row r="940" spans="1:16" hidden="1" x14ac:dyDescent="0.2">
      <c r="A940" s="73">
        <v>67263</v>
      </c>
      <c r="B940" t="s">
        <v>457</v>
      </c>
      <c r="C940" s="73" t="s">
        <v>460</v>
      </c>
      <c r="D940" t="s">
        <v>461</v>
      </c>
      <c r="E940" s="74">
        <v>46000</v>
      </c>
      <c r="F940">
        <v>6833</v>
      </c>
      <c r="G940" t="s">
        <v>383</v>
      </c>
      <c r="H940" s="75">
        <f t="shared" si="14"/>
        <v>69.362748319220188</v>
      </c>
      <c r="I940" s="74">
        <v>46000</v>
      </c>
      <c r="J940">
        <v>2</v>
      </c>
      <c r="K940" t="s">
        <v>515</v>
      </c>
      <c r="L940" t="s">
        <v>384</v>
      </c>
      <c r="M940" t="s">
        <v>356</v>
      </c>
      <c r="N940" s="73">
        <v>67263</v>
      </c>
      <c r="O940" s="73">
        <v>67263</v>
      </c>
      <c r="P940">
        <v>34.681374159610094</v>
      </c>
    </row>
    <row r="941" spans="1:16" hidden="1" x14ac:dyDescent="0.2">
      <c r="A941" s="73">
        <v>67263</v>
      </c>
      <c r="B941" t="s">
        <v>457</v>
      </c>
      <c r="C941" s="73" t="s">
        <v>460</v>
      </c>
      <c r="D941" t="s">
        <v>461</v>
      </c>
      <c r="E941" s="74">
        <v>46000</v>
      </c>
      <c r="F941" t="s">
        <v>357</v>
      </c>
      <c r="G941" t="s">
        <v>358</v>
      </c>
      <c r="H941" s="75">
        <f t="shared" si="14"/>
        <v>34.681374159610094</v>
      </c>
      <c r="I941" s="74">
        <v>46000</v>
      </c>
      <c r="J941">
        <v>1</v>
      </c>
      <c r="K941" t="s">
        <v>515</v>
      </c>
      <c r="L941" t="s">
        <v>359</v>
      </c>
      <c r="M941" t="s">
        <v>356</v>
      </c>
      <c r="N941" s="73">
        <v>67263</v>
      </c>
      <c r="O941" s="73">
        <v>67263</v>
      </c>
      <c r="P941">
        <v>34.681374159610094</v>
      </c>
    </row>
    <row r="942" spans="1:16" hidden="1" x14ac:dyDescent="0.2">
      <c r="A942" s="73">
        <v>67263</v>
      </c>
      <c r="B942" t="s">
        <v>457</v>
      </c>
      <c r="C942" s="73" t="s">
        <v>460</v>
      </c>
      <c r="D942" t="s">
        <v>461</v>
      </c>
      <c r="E942" s="74">
        <v>46001</v>
      </c>
      <c r="F942">
        <v>6833</v>
      </c>
      <c r="G942" t="s">
        <v>383</v>
      </c>
      <c r="H942" s="75">
        <f t="shared" si="14"/>
        <v>69.362748319220188</v>
      </c>
      <c r="I942" s="74">
        <v>46001</v>
      </c>
      <c r="J942">
        <v>2</v>
      </c>
      <c r="K942" t="s">
        <v>515</v>
      </c>
      <c r="L942" t="s">
        <v>384</v>
      </c>
      <c r="M942" t="s">
        <v>356</v>
      </c>
      <c r="N942" s="73">
        <v>67263</v>
      </c>
      <c r="O942" s="73">
        <v>67263</v>
      </c>
      <c r="P942">
        <v>34.681374159610094</v>
      </c>
    </row>
    <row r="943" spans="1:16" hidden="1" x14ac:dyDescent="0.2">
      <c r="A943" s="73">
        <v>67263</v>
      </c>
      <c r="B943" t="s">
        <v>457</v>
      </c>
      <c r="C943" s="73" t="s">
        <v>460</v>
      </c>
      <c r="D943" t="s">
        <v>461</v>
      </c>
      <c r="E943" s="74">
        <v>46001</v>
      </c>
      <c r="F943" t="s">
        <v>357</v>
      </c>
      <c r="G943" t="s">
        <v>358</v>
      </c>
      <c r="H943" s="75">
        <f t="shared" si="14"/>
        <v>34.681374159610094</v>
      </c>
      <c r="I943" s="74">
        <v>46001</v>
      </c>
      <c r="J943">
        <v>1</v>
      </c>
      <c r="K943" t="s">
        <v>515</v>
      </c>
      <c r="L943" t="s">
        <v>359</v>
      </c>
      <c r="M943" t="s">
        <v>356</v>
      </c>
      <c r="N943" s="73">
        <v>67263</v>
      </c>
      <c r="O943" s="73">
        <v>67263</v>
      </c>
      <c r="P943">
        <v>34.681374159610094</v>
      </c>
    </row>
    <row r="944" spans="1:16" hidden="1" x14ac:dyDescent="0.2">
      <c r="A944" s="73">
        <v>67263</v>
      </c>
      <c r="B944" t="s">
        <v>457</v>
      </c>
      <c r="C944" s="73" t="s">
        <v>460</v>
      </c>
      <c r="D944" t="s">
        <v>461</v>
      </c>
      <c r="E944" s="74">
        <v>46002</v>
      </c>
      <c r="F944">
        <v>6833</v>
      </c>
      <c r="G944" t="s">
        <v>383</v>
      </c>
      <c r="H944" s="75">
        <f t="shared" si="14"/>
        <v>69.362748319220188</v>
      </c>
      <c r="I944" s="74">
        <v>46002</v>
      </c>
      <c r="J944">
        <v>2</v>
      </c>
      <c r="K944" t="s">
        <v>515</v>
      </c>
      <c r="L944" t="s">
        <v>384</v>
      </c>
      <c r="M944" t="s">
        <v>356</v>
      </c>
      <c r="N944" s="73">
        <v>67263</v>
      </c>
      <c r="O944" s="73">
        <v>67263</v>
      </c>
      <c r="P944">
        <v>34.681374159610094</v>
      </c>
    </row>
    <row r="945" spans="1:16" hidden="1" x14ac:dyDescent="0.2">
      <c r="A945" s="73">
        <v>67263</v>
      </c>
      <c r="B945" t="s">
        <v>457</v>
      </c>
      <c r="C945" s="73" t="s">
        <v>460</v>
      </c>
      <c r="D945" t="s">
        <v>461</v>
      </c>
      <c r="E945" s="74">
        <v>46002</v>
      </c>
      <c r="F945" t="s">
        <v>357</v>
      </c>
      <c r="G945" t="s">
        <v>358</v>
      </c>
      <c r="H945" s="75">
        <f t="shared" si="14"/>
        <v>34.681374159610094</v>
      </c>
      <c r="I945" s="74">
        <v>46002</v>
      </c>
      <c r="J945">
        <v>1</v>
      </c>
      <c r="K945" t="s">
        <v>515</v>
      </c>
      <c r="L945" t="s">
        <v>359</v>
      </c>
      <c r="M945" t="s">
        <v>356</v>
      </c>
      <c r="N945" s="73">
        <v>67263</v>
      </c>
      <c r="O945" s="73">
        <v>67263</v>
      </c>
      <c r="P945">
        <v>34.681374159610094</v>
      </c>
    </row>
    <row r="946" spans="1:16" hidden="1" x14ac:dyDescent="0.2">
      <c r="A946" s="73">
        <v>67263</v>
      </c>
      <c r="B946" t="s">
        <v>457</v>
      </c>
      <c r="C946" s="73" t="s">
        <v>460</v>
      </c>
      <c r="D946" t="s">
        <v>461</v>
      </c>
      <c r="E946" s="74">
        <v>46003</v>
      </c>
      <c r="F946">
        <v>6833</v>
      </c>
      <c r="G946" t="s">
        <v>383</v>
      </c>
      <c r="H946" s="75">
        <f t="shared" si="14"/>
        <v>69.362748319220188</v>
      </c>
      <c r="I946" s="74">
        <v>46003</v>
      </c>
      <c r="J946">
        <v>2</v>
      </c>
      <c r="K946" t="s">
        <v>515</v>
      </c>
      <c r="L946" t="s">
        <v>384</v>
      </c>
      <c r="M946" t="s">
        <v>356</v>
      </c>
      <c r="N946" s="73">
        <v>67263</v>
      </c>
      <c r="O946" s="73">
        <v>67263</v>
      </c>
      <c r="P946">
        <v>34.681374159610094</v>
      </c>
    </row>
    <row r="947" spans="1:16" hidden="1" x14ac:dyDescent="0.2">
      <c r="A947" s="73">
        <v>67263</v>
      </c>
      <c r="B947" t="s">
        <v>457</v>
      </c>
      <c r="C947" s="73" t="s">
        <v>460</v>
      </c>
      <c r="D947" t="s">
        <v>461</v>
      </c>
      <c r="E947" s="74">
        <v>46003</v>
      </c>
      <c r="F947" t="s">
        <v>357</v>
      </c>
      <c r="G947" t="s">
        <v>358</v>
      </c>
      <c r="H947" s="75">
        <f t="shared" si="14"/>
        <v>34.681374159610094</v>
      </c>
      <c r="I947" s="74">
        <v>46003</v>
      </c>
      <c r="J947">
        <v>1</v>
      </c>
      <c r="K947" t="s">
        <v>515</v>
      </c>
      <c r="L947" t="s">
        <v>359</v>
      </c>
      <c r="M947" t="s">
        <v>356</v>
      </c>
      <c r="N947" s="73">
        <v>67263</v>
      </c>
      <c r="O947" s="73">
        <v>67263</v>
      </c>
      <c r="P947">
        <v>34.681374159610094</v>
      </c>
    </row>
    <row r="948" spans="1:16" hidden="1" x14ac:dyDescent="0.2">
      <c r="A948" s="73">
        <v>67263</v>
      </c>
      <c r="B948" t="s">
        <v>457</v>
      </c>
      <c r="C948" s="73" t="s">
        <v>460</v>
      </c>
      <c r="D948" t="s">
        <v>461</v>
      </c>
      <c r="E948" s="74">
        <v>46003</v>
      </c>
      <c r="F948" t="s">
        <v>357</v>
      </c>
      <c r="G948" t="s">
        <v>358</v>
      </c>
      <c r="H948" s="75">
        <f t="shared" si="14"/>
        <v>-34.681374159610094</v>
      </c>
      <c r="I948" s="74">
        <v>46003</v>
      </c>
      <c r="J948">
        <v>-1</v>
      </c>
      <c r="K948" t="s">
        <v>515</v>
      </c>
      <c r="L948" t="s">
        <v>359</v>
      </c>
      <c r="M948" t="s">
        <v>356</v>
      </c>
      <c r="N948" s="73">
        <v>67263</v>
      </c>
      <c r="O948" s="73">
        <v>67263</v>
      </c>
      <c r="P948">
        <v>34.681374159610094</v>
      </c>
    </row>
    <row r="949" spans="1:16" hidden="1" x14ac:dyDescent="0.2">
      <c r="A949" s="73">
        <v>67263</v>
      </c>
      <c r="B949" t="s">
        <v>457</v>
      </c>
      <c r="C949" s="73" t="s">
        <v>460</v>
      </c>
      <c r="D949" t="s">
        <v>461</v>
      </c>
      <c r="E949" s="74">
        <v>46013</v>
      </c>
      <c r="F949">
        <v>6833</v>
      </c>
      <c r="G949" t="s">
        <v>383</v>
      </c>
      <c r="H949" s="75">
        <f t="shared" si="14"/>
        <v>69.362748319220188</v>
      </c>
      <c r="I949" s="74">
        <v>46013</v>
      </c>
      <c r="J949">
        <v>2</v>
      </c>
      <c r="K949" t="s">
        <v>515</v>
      </c>
      <c r="L949" t="s">
        <v>384</v>
      </c>
      <c r="M949" t="s">
        <v>356</v>
      </c>
      <c r="N949" s="73">
        <v>67263</v>
      </c>
      <c r="O949" s="73">
        <v>67263</v>
      </c>
      <c r="P949">
        <v>34.681374159610094</v>
      </c>
    </row>
    <row r="950" spans="1:16" hidden="1" x14ac:dyDescent="0.2">
      <c r="A950" s="73">
        <v>67263</v>
      </c>
      <c r="B950" t="s">
        <v>457</v>
      </c>
      <c r="C950" s="73" t="s">
        <v>460</v>
      </c>
      <c r="D950" t="s">
        <v>461</v>
      </c>
      <c r="E950" s="74">
        <v>46013</v>
      </c>
      <c r="F950" t="s">
        <v>357</v>
      </c>
      <c r="G950" t="s">
        <v>358</v>
      </c>
      <c r="H950" s="75">
        <f t="shared" si="14"/>
        <v>34.681374159610094</v>
      </c>
      <c r="I950" s="74">
        <v>46013</v>
      </c>
      <c r="J950">
        <v>1</v>
      </c>
      <c r="K950" t="s">
        <v>515</v>
      </c>
      <c r="L950" t="s">
        <v>359</v>
      </c>
      <c r="M950" t="s">
        <v>356</v>
      </c>
      <c r="N950" s="73">
        <v>67263</v>
      </c>
      <c r="O950" s="73">
        <v>67263</v>
      </c>
      <c r="P950">
        <v>34.681374159610094</v>
      </c>
    </row>
    <row r="951" spans="1:16" hidden="1" x14ac:dyDescent="0.2">
      <c r="A951" s="73">
        <v>67263</v>
      </c>
      <c r="B951" t="s">
        <v>457</v>
      </c>
      <c r="C951" s="73" t="s">
        <v>460</v>
      </c>
      <c r="D951" t="s">
        <v>461</v>
      </c>
      <c r="E951" s="74">
        <v>46014</v>
      </c>
      <c r="F951">
        <v>6833</v>
      </c>
      <c r="G951" t="s">
        <v>383</v>
      </c>
      <c r="H951" s="75">
        <f t="shared" si="14"/>
        <v>69.362748319220188</v>
      </c>
      <c r="I951" s="74">
        <v>46014</v>
      </c>
      <c r="J951">
        <v>2</v>
      </c>
      <c r="K951" t="s">
        <v>515</v>
      </c>
      <c r="L951" t="s">
        <v>384</v>
      </c>
      <c r="M951" t="s">
        <v>356</v>
      </c>
      <c r="N951" s="73">
        <v>67263</v>
      </c>
      <c r="O951" s="73">
        <v>67263</v>
      </c>
      <c r="P951">
        <v>34.681374159610094</v>
      </c>
    </row>
    <row r="952" spans="1:16" hidden="1" x14ac:dyDescent="0.2">
      <c r="A952" s="73">
        <v>67263</v>
      </c>
      <c r="B952" t="s">
        <v>457</v>
      </c>
      <c r="C952" s="73" t="s">
        <v>460</v>
      </c>
      <c r="D952" t="s">
        <v>461</v>
      </c>
      <c r="E952" s="74">
        <v>46014</v>
      </c>
      <c r="F952" t="s">
        <v>357</v>
      </c>
      <c r="G952" t="s">
        <v>358</v>
      </c>
      <c r="H952" s="75">
        <f t="shared" si="14"/>
        <v>34.681374159610094</v>
      </c>
      <c r="I952" s="74">
        <v>46014</v>
      </c>
      <c r="J952">
        <v>1</v>
      </c>
      <c r="K952" t="s">
        <v>515</v>
      </c>
      <c r="L952" t="s">
        <v>359</v>
      </c>
      <c r="M952" t="s">
        <v>356</v>
      </c>
      <c r="N952" s="73">
        <v>67263</v>
      </c>
      <c r="O952" s="73">
        <v>67263</v>
      </c>
      <c r="P952">
        <v>34.681374159610094</v>
      </c>
    </row>
    <row r="953" spans="1:16" hidden="1" x14ac:dyDescent="0.2">
      <c r="A953" s="73">
        <v>67263</v>
      </c>
      <c r="B953" t="s">
        <v>457</v>
      </c>
      <c r="C953" s="73" t="s">
        <v>460</v>
      </c>
      <c r="D953" t="s">
        <v>461</v>
      </c>
      <c r="E953" s="74">
        <v>46015</v>
      </c>
      <c r="F953">
        <v>6833</v>
      </c>
      <c r="G953" t="s">
        <v>383</v>
      </c>
      <c r="H953" s="75">
        <f t="shared" si="14"/>
        <v>69.362748319220188</v>
      </c>
      <c r="I953" s="74">
        <v>46015</v>
      </c>
      <c r="J953">
        <v>2</v>
      </c>
      <c r="K953" t="s">
        <v>515</v>
      </c>
      <c r="L953" t="s">
        <v>384</v>
      </c>
      <c r="M953" t="s">
        <v>356</v>
      </c>
      <c r="N953" s="73">
        <v>67263</v>
      </c>
      <c r="O953" s="73">
        <v>67263</v>
      </c>
      <c r="P953">
        <v>34.681374159610094</v>
      </c>
    </row>
    <row r="954" spans="1:16" hidden="1" x14ac:dyDescent="0.2">
      <c r="A954" s="73">
        <v>67263</v>
      </c>
      <c r="B954" t="s">
        <v>457</v>
      </c>
      <c r="C954" s="73" t="s">
        <v>460</v>
      </c>
      <c r="D954" t="s">
        <v>461</v>
      </c>
      <c r="E954" s="74">
        <v>46015</v>
      </c>
      <c r="F954" t="s">
        <v>357</v>
      </c>
      <c r="G954" t="s">
        <v>358</v>
      </c>
      <c r="H954" s="75">
        <f t="shared" si="14"/>
        <v>34.681374159610094</v>
      </c>
      <c r="I954" s="74">
        <v>46015</v>
      </c>
      <c r="J954">
        <v>1</v>
      </c>
      <c r="K954" t="s">
        <v>515</v>
      </c>
      <c r="L954" t="s">
        <v>359</v>
      </c>
      <c r="M954" t="s">
        <v>356</v>
      </c>
      <c r="N954" s="73">
        <v>67263</v>
      </c>
      <c r="O954" s="73">
        <v>67263</v>
      </c>
      <c r="P954">
        <v>34.681374159610094</v>
      </c>
    </row>
    <row r="955" spans="1:16" hidden="1" x14ac:dyDescent="0.2">
      <c r="A955" s="73">
        <v>67263</v>
      </c>
      <c r="B955" t="s">
        <v>457</v>
      </c>
      <c r="C955" s="73" t="s">
        <v>460</v>
      </c>
      <c r="D955" t="s">
        <v>461</v>
      </c>
      <c r="E955" s="74">
        <v>46017</v>
      </c>
      <c r="F955" t="s">
        <v>357</v>
      </c>
      <c r="G955" t="s">
        <v>358</v>
      </c>
      <c r="H955" s="75">
        <f t="shared" si="14"/>
        <v>34.681374159610094</v>
      </c>
      <c r="I955" s="74">
        <v>46017</v>
      </c>
      <c r="J955">
        <v>1</v>
      </c>
      <c r="K955" t="s">
        <v>515</v>
      </c>
      <c r="L955" t="s">
        <v>359</v>
      </c>
      <c r="M955" t="s">
        <v>356</v>
      </c>
      <c r="N955" s="73">
        <v>67263</v>
      </c>
      <c r="O955" s="73">
        <v>67263</v>
      </c>
      <c r="P955">
        <v>34.681374159610094</v>
      </c>
    </row>
    <row r="956" spans="1:16" hidden="1" x14ac:dyDescent="0.2">
      <c r="A956" s="73">
        <v>67263</v>
      </c>
      <c r="B956" t="s">
        <v>457</v>
      </c>
      <c r="C956" s="73" t="s">
        <v>460</v>
      </c>
      <c r="D956" t="s">
        <v>461</v>
      </c>
      <c r="E956" s="74">
        <v>46020</v>
      </c>
      <c r="F956" t="s">
        <v>357</v>
      </c>
      <c r="G956" t="s">
        <v>358</v>
      </c>
      <c r="H956" s="75">
        <f t="shared" si="14"/>
        <v>69.362748319220188</v>
      </c>
      <c r="I956" s="74">
        <v>46020</v>
      </c>
      <c r="J956">
        <v>2</v>
      </c>
      <c r="K956" t="s">
        <v>515</v>
      </c>
      <c r="L956" t="s">
        <v>359</v>
      </c>
      <c r="M956" t="s">
        <v>356</v>
      </c>
      <c r="N956" s="73">
        <v>67263</v>
      </c>
      <c r="O956" s="73">
        <v>67263</v>
      </c>
      <c r="P956">
        <v>34.681374159610094</v>
      </c>
    </row>
    <row r="957" spans="1:16" hidden="1" x14ac:dyDescent="0.2">
      <c r="A957" s="73">
        <v>67263</v>
      </c>
      <c r="B957" t="s">
        <v>457</v>
      </c>
      <c r="C957" s="73" t="s">
        <v>460</v>
      </c>
      <c r="D957" t="s">
        <v>461</v>
      </c>
      <c r="E957" s="74">
        <v>46021</v>
      </c>
      <c r="F957" t="s">
        <v>357</v>
      </c>
      <c r="G957" t="s">
        <v>358</v>
      </c>
      <c r="H957" s="75">
        <f t="shared" si="14"/>
        <v>69.362748319220188</v>
      </c>
      <c r="I957" s="74">
        <v>46021</v>
      </c>
      <c r="J957">
        <v>2</v>
      </c>
      <c r="K957" t="s">
        <v>515</v>
      </c>
      <c r="L957" t="s">
        <v>359</v>
      </c>
      <c r="M957" t="s">
        <v>356</v>
      </c>
      <c r="N957" s="73">
        <v>67263</v>
      </c>
      <c r="O957" s="73">
        <v>67263</v>
      </c>
      <c r="P957">
        <v>34.681374159610094</v>
      </c>
    </row>
    <row r="958" spans="1:16" hidden="1" x14ac:dyDescent="0.2">
      <c r="A958" s="73">
        <v>67263</v>
      </c>
      <c r="B958" t="s">
        <v>457</v>
      </c>
      <c r="C958" s="73" t="s">
        <v>460</v>
      </c>
      <c r="D958" t="s">
        <v>461</v>
      </c>
      <c r="E958" s="74">
        <v>46022</v>
      </c>
      <c r="F958" t="s">
        <v>357</v>
      </c>
      <c r="G958" t="s">
        <v>358</v>
      </c>
      <c r="H958" s="75">
        <f t="shared" si="14"/>
        <v>69.362748319220188</v>
      </c>
      <c r="I958" s="74">
        <v>46022</v>
      </c>
      <c r="J958">
        <v>2</v>
      </c>
      <c r="K958" t="s">
        <v>515</v>
      </c>
      <c r="L958" t="s">
        <v>359</v>
      </c>
      <c r="M958" t="s">
        <v>356</v>
      </c>
      <c r="N958" s="73">
        <v>67263</v>
      </c>
      <c r="O958" s="73">
        <v>67263</v>
      </c>
      <c r="P958">
        <v>34.681374159610094</v>
      </c>
    </row>
    <row r="959" spans="1:16" hidden="1" x14ac:dyDescent="0.2">
      <c r="A959" s="73">
        <v>67263</v>
      </c>
      <c r="B959" t="s">
        <v>457</v>
      </c>
      <c r="C959" s="73" t="s">
        <v>460</v>
      </c>
      <c r="D959" t="s">
        <v>461</v>
      </c>
      <c r="E959" s="74">
        <v>46024</v>
      </c>
      <c r="F959" t="s">
        <v>357</v>
      </c>
      <c r="G959" t="s">
        <v>358</v>
      </c>
      <c r="H959" s="75">
        <f t="shared" si="14"/>
        <v>69.362748319220188</v>
      </c>
      <c r="I959" s="74">
        <v>46024</v>
      </c>
      <c r="J959">
        <v>2</v>
      </c>
      <c r="K959" t="s">
        <v>516</v>
      </c>
      <c r="L959" t="s">
        <v>359</v>
      </c>
      <c r="M959" t="s">
        <v>356</v>
      </c>
      <c r="N959" s="73">
        <v>67263</v>
      </c>
      <c r="O959" s="73">
        <v>67263</v>
      </c>
      <c r="P959">
        <v>34.681374159610094</v>
      </c>
    </row>
    <row r="960" spans="1:16" hidden="1" x14ac:dyDescent="0.2">
      <c r="A960" s="73">
        <v>67263</v>
      </c>
      <c r="B960" t="s">
        <v>457</v>
      </c>
      <c r="C960" s="73" t="s">
        <v>460</v>
      </c>
      <c r="D960" t="s">
        <v>461</v>
      </c>
      <c r="E960" s="74">
        <v>46027</v>
      </c>
      <c r="F960">
        <v>6833</v>
      </c>
      <c r="G960" t="s">
        <v>383</v>
      </c>
      <c r="H960" s="75">
        <f t="shared" si="14"/>
        <v>69.362748319220188</v>
      </c>
      <c r="I960" s="74">
        <v>46027</v>
      </c>
      <c r="J960">
        <v>2</v>
      </c>
      <c r="K960" t="s">
        <v>516</v>
      </c>
      <c r="L960" t="s">
        <v>384</v>
      </c>
      <c r="M960" t="s">
        <v>356</v>
      </c>
      <c r="N960" s="73">
        <v>67263</v>
      </c>
      <c r="O960" s="73">
        <v>67263</v>
      </c>
      <c r="P960">
        <v>34.681374159610094</v>
      </c>
    </row>
    <row r="961" spans="1:16" hidden="1" x14ac:dyDescent="0.2">
      <c r="A961" s="73">
        <v>67263</v>
      </c>
      <c r="B961" t="s">
        <v>457</v>
      </c>
      <c r="C961" s="73" t="s">
        <v>460</v>
      </c>
      <c r="D961" t="s">
        <v>461</v>
      </c>
      <c r="E961" s="74">
        <v>46030</v>
      </c>
      <c r="F961">
        <v>6833</v>
      </c>
      <c r="G961" t="s">
        <v>383</v>
      </c>
      <c r="H961" s="75">
        <f t="shared" si="14"/>
        <v>69.362748319220188</v>
      </c>
      <c r="I961" s="74">
        <v>46030</v>
      </c>
      <c r="J961">
        <v>2</v>
      </c>
      <c r="K961" t="s">
        <v>516</v>
      </c>
      <c r="L961" t="s">
        <v>384</v>
      </c>
      <c r="M961" t="s">
        <v>356</v>
      </c>
      <c r="N961" s="73">
        <v>67263</v>
      </c>
      <c r="O961" s="73">
        <v>67263</v>
      </c>
      <c r="P961">
        <v>34.681374159610094</v>
      </c>
    </row>
    <row r="962" spans="1:16" hidden="1" x14ac:dyDescent="0.2">
      <c r="A962" s="73">
        <v>67263</v>
      </c>
      <c r="B962" t="s">
        <v>457</v>
      </c>
      <c r="C962" s="73" t="s">
        <v>460</v>
      </c>
      <c r="D962" t="s">
        <v>461</v>
      </c>
      <c r="E962" s="74">
        <v>46031</v>
      </c>
      <c r="F962">
        <v>6833</v>
      </c>
      <c r="G962" t="s">
        <v>383</v>
      </c>
      <c r="H962" s="75">
        <f t="shared" ref="H962:H1025" si="15">J962*P962</f>
        <v>69.362748319220188</v>
      </c>
      <c r="I962" s="74">
        <v>46031</v>
      </c>
      <c r="J962">
        <v>2</v>
      </c>
      <c r="K962" t="s">
        <v>516</v>
      </c>
      <c r="L962" t="s">
        <v>384</v>
      </c>
      <c r="M962" t="s">
        <v>356</v>
      </c>
      <c r="N962" s="73">
        <v>67263</v>
      </c>
      <c r="O962" s="73">
        <v>67263</v>
      </c>
      <c r="P962">
        <v>34.681374159610094</v>
      </c>
    </row>
    <row r="963" spans="1:16" hidden="1" x14ac:dyDescent="0.2">
      <c r="A963" s="73">
        <v>67263</v>
      </c>
      <c r="B963" t="s">
        <v>457</v>
      </c>
      <c r="C963" s="73" t="s">
        <v>460</v>
      </c>
      <c r="D963" t="s">
        <v>461</v>
      </c>
      <c r="E963" s="74">
        <v>46034</v>
      </c>
      <c r="F963">
        <v>6833</v>
      </c>
      <c r="G963" t="s">
        <v>383</v>
      </c>
      <c r="H963" s="75">
        <f t="shared" si="15"/>
        <v>69.362748319220188</v>
      </c>
      <c r="I963" s="74">
        <v>46034</v>
      </c>
      <c r="J963">
        <v>2</v>
      </c>
      <c r="K963" t="s">
        <v>516</v>
      </c>
      <c r="L963" t="s">
        <v>384</v>
      </c>
      <c r="M963" t="s">
        <v>356</v>
      </c>
      <c r="N963" s="73">
        <v>67263</v>
      </c>
      <c r="O963" s="73">
        <v>67263</v>
      </c>
      <c r="P963">
        <v>34.681374159610094</v>
      </c>
    </row>
    <row r="964" spans="1:16" hidden="1" x14ac:dyDescent="0.2">
      <c r="A964" s="73">
        <v>67263</v>
      </c>
      <c r="B964" t="s">
        <v>457</v>
      </c>
      <c r="C964" s="73" t="s">
        <v>460</v>
      </c>
      <c r="D964" t="s">
        <v>461</v>
      </c>
      <c r="E964" s="74">
        <v>46035</v>
      </c>
      <c r="F964">
        <v>6833</v>
      </c>
      <c r="G964" t="s">
        <v>383</v>
      </c>
      <c r="H964" s="75">
        <f t="shared" si="15"/>
        <v>69.362748319220188</v>
      </c>
      <c r="I964" s="74">
        <v>46035</v>
      </c>
      <c r="J964">
        <v>2</v>
      </c>
      <c r="K964" t="s">
        <v>516</v>
      </c>
      <c r="L964" t="s">
        <v>384</v>
      </c>
      <c r="M964" t="s">
        <v>356</v>
      </c>
      <c r="N964" s="73">
        <v>67263</v>
      </c>
      <c r="O964" s="73">
        <v>67263</v>
      </c>
      <c r="P964">
        <v>34.681374159610094</v>
      </c>
    </row>
    <row r="965" spans="1:16" hidden="1" x14ac:dyDescent="0.2">
      <c r="A965" s="73">
        <v>67263</v>
      </c>
      <c r="B965" t="s">
        <v>457</v>
      </c>
      <c r="C965" s="73" t="s">
        <v>460</v>
      </c>
      <c r="D965" t="s">
        <v>461</v>
      </c>
      <c r="E965" s="74">
        <v>46036</v>
      </c>
      <c r="F965">
        <v>6833</v>
      </c>
      <c r="G965" t="s">
        <v>383</v>
      </c>
      <c r="H965" s="75">
        <f t="shared" si="15"/>
        <v>69.362748319220188</v>
      </c>
      <c r="I965" s="74">
        <v>46036</v>
      </c>
      <c r="J965">
        <v>2</v>
      </c>
      <c r="K965" t="s">
        <v>516</v>
      </c>
      <c r="L965" t="s">
        <v>384</v>
      </c>
      <c r="M965" t="s">
        <v>356</v>
      </c>
      <c r="N965" s="73">
        <v>67263</v>
      </c>
      <c r="O965" s="73">
        <v>67263</v>
      </c>
      <c r="P965">
        <v>34.681374159610094</v>
      </c>
    </row>
    <row r="966" spans="1:16" hidden="1" x14ac:dyDescent="0.2">
      <c r="A966" s="73">
        <v>67263</v>
      </c>
      <c r="B966" t="s">
        <v>457</v>
      </c>
      <c r="C966" s="73" t="s">
        <v>460</v>
      </c>
      <c r="D966" t="s">
        <v>461</v>
      </c>
      <c r="E966" s="74">
        <v>46038</v>
      </c>
      <c r="F966">
        <v>6833</v>
      </c>
      <c r="G966" t="s">
        <v>383</v>
      </c>
      <c r="H966" s="75">
        <f t="shared" si="15"/>
        <v>69.362748319220188</v>
      </c>
      <c r="I966" s="74">
        <v>46038</v>
      </c>
      <c r="J966">
        <v>2</v>
      </c>
      <c r="K966" t="s">
        <v>516</v>
      </c>
      <c r="L966" t="s">
        <v>384</v>
      </c>
      <c r="M966" t="s">
        <v>356</v>
      </c>
      <c r="N966" s="73">
        <v>67263</v>
      </c>
      <c r="O966" s="73">
        <v>67263</v>
      </c>
      <c r="P966">
        <v>34.681374159610094</v>
      </c>
    </row>
    <row r="967" spans="1:16" hidden="1" x14ac:dyDescent="0.2">
      <c r="A967" s="73">
        <v>67263</v>
      </c>
      <c r="B967" t="s">
        <v>457</v>
      </c>
      <c r="C967" s="73" t="s">
        <v>460</v>
      </c>
      <c r="D967" t="s">
        <v>461</v>
      </c>
      <c r="E967" s="74">
        <v>46041</v>
      </c>
      <c r="F967">
        <v>6833</v>
      </c>
      <c r="G967" t="s">
        <v>383</v>
      </c>
      <c r="H967" s="75">
        <f t="shared" si="15"/>
        <v>69.362748319220188</v>
      </c>
      <c r="I967" s="74">
        <v>46041</v>
      </c>
      <c r="J967">
        <v>2</v>
      </c>
      <c r="K967" t="s">
        <v>516</v>
      </c>
      <c r="L967" t="s">
        <v>384</v>
      </c>
      <c r="M967" t="s">
        <v>356</v>
      </c>
      <c r="N967" s="73">
        <v>67263</v>
      </c>
      <c r="O967" s="73">
        <v>67263</v>
      </c>
      <c r="P967">
        <v>34.681374159610094</v>
      </c>
    </row>
    <row r="968" spans="1:16" hidden="1" x14ac:dyDescent="0.2">
      <c r="A968" s="73">
        <v>67263</v>
      </c>
      <c r="B968" t="s">
        <v>457</v>
      </c>
      <c r="C968" s="73" t="s">
        <v>460</v>
      </c>
      <c r="D968" t="s">
        <v>461</v>
      </c>
      <c r="E968" s="74">
        <v>46042</v>
      </c>
      <c r="F968">
        <v>6833</v>
      </c>
      <c r="G968" t="s">
        <v>383</v>
      </c>
      <c r="H968" s="75">
        <f t="shared" si="15"/>
        <v>69.362748319220188</v>
      </c>
      <c r="I968" s="74">
        <v>46042</v>
      </c>
      <c r="J968">
        <v>2</v>
      </c>
      <c r="K968" t="s">
        <v>516</v>
      </c>
      <c r="L968" t="s">
        <v>384</v>
      </c>
      <c r="M968" t="s">
        <v>356</v>
      </c>
      <c r="N968" s="73">
        <v>67263</v>
      </c>
      <c r="O968" s="73">
        <v>67263</v>
      </c>
      <c r="P968">
        <v>34.681374159610094</v>
      </c>
    </row>
    <row r="969" spans="1:16" hidden="1" x14ac:dyDescent="0.2">
      <c r="A969" s="73">
        <v>67263</v>
      </c>
      <c r="B969" t="s">
        <v>457</v>
      </c>
      <c r="C969" s="73" t="s">
        <v>460</v>
      </c>
      <c r="D969" t="s">
        <v>461</v>
      </c>
      <c r="E969" s="74">
        <v>46043</v>
      </c>
      <c r="F969">
        <v>6833</v>
      </c>
      <c r="G969" t="s">
        <v>383</v>
      </c>
      <c r="H969" s="75">
        <f t="shared" si="15"/>
        <v>69.362748319220188</v>
      </c>
      <c r="I969" s="74">
        <v>46043</v>
      </c>
      <c r="J969">
        <v>2</v>
      </c>
      <c r="K969" t="s">
        <v>516</v>
      </c>
      <c r="L969" t="s">
        <v>384</v>
      </c>
      <c r="M969" t="s">
        <v>356</v>
      </c>
      <c r="N969" s="73">
        <v>67263</v>
      </c>
      <c r="O969" s="73">
        <v>67263</v>
      </c>
      <c r="P969">
        <v>34.681374159610094</v>
      </c>
    </row>
    <row r="970" spans="1:16" hidden="1" x14ac:dyDescent="0.2">
      <c r="A970" s="73">
        <v>67263</v>
      </c>
      <c r="B970" t="s">
        <v>457</v>
      </c>
      <c r="C970" s="73" t="s">
        <v>460</v>
      </c>
      <c r="D970" t="s">
        <v>461</v>
      </c>
      <c r="E970" s="74">
        <v>46044</v>
      </c>
      <c r="F970">
        <v>6833</v>
      </c>
      <c r="G970" t="s">
        <v>383</v>
      </c>
      <c r="H970" s="75">
        <f t="shared" si="15"/>
        <v>69.362748319220188</v>
      </c>
      <c r="I970" s="74">
        <v>46044</v>
      </c>
      <c r="J970">
        <v>2</v>
      </c>
      <c r="K970" t="s">
        <v>516</v>
      </c>
      <c r="L970" t="s">
        <v>384</v>
      </c>
      <c r="M970" t="s">
        <v>356</v>
      </c>
      <c r="N970" s="73">
        <v>67263</v>
      </c>
      <c r="O970" s="73">
        <v>67263</v>
      </c>
      <c r="P970">
        <v>34.681374159610094</v>
      </c>
    </row>
    <row r="971" spans="1:16" hidden="1" x14ac:dyDescent="0.2">
      <c r="A971" s="73">
        <v>67263</v>
      </c>
      <c r="B971" t="s">
        <v>457</v>
      </c>
      <c r="C971" s="73" t="s">
        <v>460</v>
      </c>
      <c r="D971" t="s">
        <v>461</v>
      </c>
      <c r="E971" s="74">
        <v>46045</v>
      </c>
      <c r="F971">
        <v>6833</v>
      </c>
      <c r="G971" t="s">
        <v>383</v>
      </c>
      <c r="H971" s="75">
        <f t="shared" si="15"/>
        <v>69.362748319220188</v>
      </c>
      <c r="I971" s="74">
        <v>46045</v>
      </c>
      <c r="J971">
        <v>2</v>
      </c>
      <c r="K971" t="s">
        <v>516</v>
      </c>
      <c r="L971" t="s">
        <v>384</v>
      </c>
      <c r="M971" t="s">
        <v>356</v>
      </c>
      <c r="N971" s="73">
        <v>67263</v>
      </c>
      <c r="O971" s="73">
        <v>67263</v>
      </c>
      <c r="P971">
        <v>34.681374159610094</v>
      </c>
    </row>
    <row r="972" spans="1:16" hidden="1" x14ac:dyDescent="0.2">
      <c r="A972" s="73">
        <v>67263</v>
      </c>
      <c r="B972" t="s">
        <v>457</v>
      </c>
      <c r="C972" s="73" t="s">
        <v>460</v>
      </c>
      <c r="D972" t="s">
        <v>461</v>
      </c>
      <c r="E972" s="74">
        <v>46049</v>
      </c>
      <c r="F972">
        <v>6833</v>
      </c>
      <c r="G972" t="s">
        <v>383</v>
      </c>
      <c r="H972" s="75">
        <f t="shared" si="15"/>
        <v>34.681374159610094</v>
      </c>
      <c r="I972" s="74">
        <v>46049</v>
      </c>
      <c r="J972">
        <v>1</v>
      </c>
      <c r="K972" t="s">
        <v>516</v>
      </c>
      <c r="L972" t="s">
        <v>384</v>
      </c>
      <c r="M972" t="s">
        <v>356</v>
      </c>
      <c r="N972" s="73">
        <v>67263</v>
      </c>
      <c r="O972" s="73">
        <v>67263</v>
      </c>
      <c r="P972">
        <v>34.681374159610094</v>
      </c>
    </row>
    <row r="973" spans="1:16" hidden="1" x14ac:dyDescent="0.2">
      <c r="A973" s="73">
        <v>67263</v>
      </c>
      <c r="B973" t="s">
        <v>457</v>
      </c>
      <c r="C973" s="73" t="s">
        <v>460</v>
      </c>
      <c r="D973" t="s">
        <v>461</v>
      </c>
      <c r="E973" s="74">
        <v>46050</v>
      </c>
      <c r="F973">
        <v>6833</v>
      </c>
      <c r="G973" t="s">
        <v>383</v>
      </c>
      <c r="H973" s="75">
        <f t="shared" si="15"/>
        <v>34.681374159610094</v>
      </c>
      <c r="I973" s="74">
        <v>46050</v>
      </c>
      <c r="J973">
        <v>1</v>
      </c>
      <c r="K973" t="s">
        <v>516</v>
      </c>
      <c r="L973" t="s">
        <v>384</v>
      </c>
      <c r="M973" t="s">
        <v>356</v>
      </c>
      <c r="N973" s="73">
        <v>67263</v>
      </c>
      <c r="O973" s="73">
        <v>67263</v>
      </c>
      <c r="P973">
        <v>34.681374159610094</v>
      </c>
    </row>
    <row r="974" spans="1:16" hidden="1" x14ac:dyDescent="0.2">
      <c r="A974" s="73">
        <v>67263</v>
      </c>
      <c r="B974" t="s">
        <v>457</v>
      </c>
      <c r="C974" s="73" t="s">
        <v>460</v>
      </c>
      <c r="D974" t="s">
        <v>461</v>
      </c>
      <c r="E974" s="74">
        <v>46051</v>
      </c>
      <c r="F974">
        <v>6833</v>
      </c>
      <c r="G974" t="s">
        <v>383</v>
      </c>
      <c r="H974" s="75">
        <f t="shared" si="15"/>
        <v>34.681374159610094</v>
      </c>
      <c r="I974" s="74">
        <v>46051</v>
      </c>
      <c r="J974">
        <v>1</v>
      </c>
      <c r="K974" t="s">
        <v>516</v>
      </c>
      <c r="L974" t="s">
        <v>384</v>
      </c>
      <c r="M974" t="s">
        <v>356</v>
      </c>
      <c r="N974" s="73">
        <v>67263</v>
      </c>
      <c r="O974" s="73">
        <v>67263</v>
      </c>
      <c r="P974">
        <v>34.681374159610094</v>
      </c>
    </row>
    <row r="975" spans="1:16" hidden="1" x14ac:dyDescent="0.2">
      <c r="A975" s="73">
        <v>67263</v>
      </c>
      <c r="B975" t="s">
        <v>457</v>
      </c>
      <c r="C975" s="73" t="s">
        <v>460</v>
      </c>
      <c r="D975" t="s">
        <v>461</v>
      </c>
      <c r="E975" s="74">
        <v>46052</v>
      </c>
      <c r="F975">
        <v>6833</v>
      </c>
      <c r="G975" t="s">
        <v>383</v>
      </c>
      <c r="H975" s="75">
        <f t="shared" si="15"/>
        <v>34.681374159610094</v>
      </c>
      <c r="I975" s="74">
        <v>46052</v>
      </c>
      <c r="J975">
        <v>1</v>
      </c>
      <c r="K975" t="s">
        <v>516</v>
      </c>
      <c r="L975" t="s">
        <v>384</v>
      </c>
      <c r="M975" t="s">
        <v>356</v>
      </c>
      <c r="N975" s="73">
        <v>67263</v>
      </c>
      <c r="O975" s="73">
        <v>67263</v>
      </c>
      <c r="P975">
        <v>34.681374159610094</v>
      </c>
    </row>
    <row r="976" spans="1:16" hidden="1" x14ac:dyDescent="0.2">
      <c r="A976" s="73">
        <v>67263</v>
      </c>
      <c r="B976" t="s">
        <v>457</v>
      </c>
      <c r="C976" s="73" t="s">
        <v>460</v>
      </c>
      <c r="D976" t="s">
        <v>461</v>
      </c>
      <c r="E976" s="74">
        <v>46055</v>
      </c>
      <c r="F976">
        <v>6833</v>
      </c>
      <c r="G976" t="s">
        <v>383</v>
      </c>
      <c r="H976" s="75">
        <f t="shared" si="15"/>
        <v>52.022061239415137</v>
      </c>
      <c r="I976" s="74">
        <v>46055</v>
      </c>
      <c r="J976">
        <v>1.5</v>
      </c>
      <c r="K976" t="s">
        <v>508</v>
      </c>
      <c r="L976" t="s">
        <v>384</v>
      </c>
      <c r="M976" t="s">
        <v>356</v>
      </c>
      <c r="N976" s="73">
        <v>67263</v>
      </c>
      <c r="O976" s="73">
        <v>67263</v>
      </c>
      <c r="P976">
        <v>34.681374159610094</v>
      </c>
    </row>
    <row r="977" spans="1:16" hidden="1" x14ac:dyDescent="0.2">
      <c r="A977" s="73">
        <v>67263</v>
      </c>
      <c r="B977" t="s">
        <v>457</v>
      </c>
      <c r="C977" s="73" t="s">
        <v>460</v>
      </c>
      <c r="D977" t="s">
        <v>461</v>
      </c>
      <c r="E977" s="74">
        <v>46056</v>
      </c>
      <c r="F977">
        <v>6833</v>
      </c>
      <c r="G977" t="s">
        <v>383</v>
      </c>
      <c r="H977" s="75">
        <f t="shared" si="15"/>
        <v>34.681374159610094</v>
      </c>
      <c r="I977" s="74">
        <v>46056</v>
      </c>
      <c r="J977">
        <v>1</v>
      </c>
      <c r="K977" t="s">
        <v>508</v>
      </c>
      <c r="L977" t="s">
        <v>384</v>
      </c>
      <c r="M977" t="s">
        <v>356</v>
      </c>
      <c r="N977" s="73">
        <v>67263</v>
      </c>
      <c r="O977" s="73">
        <v>67263</v>
      </c>
      <c r="P977">
        <v>34.681374159610094</v>
      </c>
    </row>
    <row r="978" spans="1:16" hidden="1" x14ac:dyDescent="0.2">
      <c r="A978" s="73">
        <v>67263</v>
      </c>
      <c r="B978" t="s">
        <v>457</v>
      </c>
      <c r="C978" s="73" t="s">
        <v>460</v>
      </c>
      <c r="D978" t="s">
        <v>461</v>
      </c>
      <c r="E978" s="74">
        <v>46057</v>
      </c>
      <c r="F978">
        <v>6833</v>
      </c>
      <c r="G978" t="s">
        <v>383</v>
      </c>
      <c r="H978" s="75">
        <f t="shared" si="15"/>
        <v>34.681374159610094</v>
      </c>
      <c r="I978" s="74">
        <v>46057</v>
      </c>
      <c r="J978">
        <v>1</v>
      </c>
      <c r="K978" t="s">
        <v>508</v>
      </c>
      <c r="L978" t="s">
        <v>384</v>
      </c>
      <c r="M978" t="s">
        <v>356</v>
      </c>
      <c r="N978" s="73">
        <v>67263</v>
      </c>
      <c r="O978" s="73">
        <v>67263</v>
      </c>
      <c r="P978">
        <v>34.681374159610094</v>
      </c>
    </row>
    <row r="979" spans="1:16" hidden="1" x14ac:dyDescent="0.2">
      <c r="A979" s="73">
        <v>67263</v>
      </c>
      <c r="B979" t="s">
        <v>457</v>
      </c>
      <c r="C979" s="73" t="s">
        <v>460</v>
      </c>
      <c r="D979" t="s">
        <v>461</v>
      </c>
      <c r="E979" s="74">
        <v>46058</v>
      </c>
      <c r="F979">
        <v>6833</v>
      </c>
      <c r="G979" t="s">
        <v>383</v>
      </c>
      <c r="H979" s="75">
        <f t="shared" si="15"/>
        <v>34.681374159610094</v>
      </c>
      <c r="I979" s="74">
        <v>46058</v>
      </c>
      <c r="J979">
        <v>1</v>
      </c>
      <c r="K979" t="s">
        <v>508</v>
      </c>
      <c r="L979" t="s">
        <v>384</v>
      </c>
      <c r="M979" t="s">
        <v>356</v>
      </c>
      <c r="N979" s="73">
        <v>67263</v>
      </c>
      <c r="O979" s="73">
        <v>67263</v>
      </c>
      <c r="P979">
        <v>34.681374159610094</v>
      </c>
    </row>
    <row r="980" spans="1:16" hidden="1" x14ac:dyDescent="0.2">
      <c r="A980" s="73">
        <v>67263</v>
      </c>
      <c r="B980" t="s">
        <v>457</v>
      </c>
      <c r="C980" s="73" t="s">
        <v>460</v>
      </c>
      <c r="D980" t="s">
        <v>461</v>
      </c>
      <c r="E980" s="74">
        <v>46059</v>
      </c>
      <c r="F980">
        <v>6833</v>
      </c>
      <c r="G980" t="s">
        <v>383</v>
      </c>
      <c r="H980" s="75">
        <f t="shared" si="15"/>
        <v>34.681374159610094</v>
      </c>
      <c r="I980" s="74">
        <v>46059</v>
      </c>
      <c r="J980">
        <v>1</v>
      </c>
      <c r="K980" t="s">
        <v>508</v>
      </c>
      <c r="L980" t="s">
        <v>384</v>
      </c>
      <c r="M980" t="s">
        <v>356</v>
      </c>
      <c r="N980" s="73">
        <v>67263</v>
      </c>
      <c r="O980" s="73">
        <v>67263</v>
      </c>
      <c r="P980">
        <v>34.681374159610094</v>
      </c>
    </row>
    <row r="981" spans="1:16" hidden="1" x14ac:dyDescent="0.2">
      <c r="A981" s="73">
        <v>67263</v>
      </c>
      <c r="B981" t="s">
        <v>457</v>
      </c>
      <c r="C981" s="73" t="s">
        <v>460</v>
      </c>
      <c r="D981" t="s">
        <v>461</v>
      </c>
      <c r="E981" s="74">
        <v>46062</v>
      </c>
      <c r="F981">
        <v>6833</v>
      </c>
      <c r="G981" t="s">
        <v>383</v>
      </c>
      <c r="H981" s="75">
        <f t="shared" si="15"/>
        <v>69.362748319220188</v>
      </c>
      <c r="I981" s="74">
        <v>46062</v>
      </c>
      <c r="J981">
        <v>2</v>
      </c>
      <c r="K981" t="s">
        <v>508</v>
      </c>
      <c r="L981" t="s">
        <v>384</v>
      </c>
      <c r="M981" t="s">
        <v>356</v>
      </c>
      <c r="N981" s="73">
        <v>67263</v>
      </c>
      <c r="O981" s="73">
        <v>67263</v>
      </c>
      <c r="P981">
        <v>34.681374159610094</v>
      </c>
    </row>
    <row r="982" spans="1:16" hidden="1" x14ac:dyDescent="0.2">
      <c r="A982" s="73">
        <v>67263</v>
      </c>
      <c r="B982" t="s">
        <v>457</v>
      </c>
      <c r="C982" s="73" t="s">
        <v>460</v>
      </c>
      <c r="D982" t="s">
        <v>461</v>
      </c>
      <c r="E982" s="74">
        <v>46064</v>
      </c>
      <c r="F982">
        <v>6833</v>
      </c>
      <c r="G982" t="s">
        <v>383</v>
      </c>
      <c r="H982" s="75">
        <f t="shared" si="15"/>
        <v>69.362748319220188</v>
      </c>
      <c r="I982" s="74">
        <v>46064</v>
      </c>
      <c r="J982">
        <v>2</v>
      </c>
      <c r="K982" t="s">
        <v>508</v>
      </c>
      <c r="L982" t="s">
        <v>384</v>
      </c>
      <c r="M982" t="s">
        <v>356</v>
      </c>
      <c r="N982" s="73">
        <v>67263</v>
      </c>
      <c r="O982" s="73">
        <v>67263</v>
      </c>
      <c r="P982">
        <v>34.681374159610094</v>
      </c>
    </row>
    <row r="983" spans="1:16" hidden="1" x14ac:dyDescent="0.2">
      <c r="A983" s="73">
        <v>67263</v>
      </c>
      <c r="B983" t="s">
        <v>457</v>
      </c>
      <c r="C983" s="73" t="s">
        <v>460</v>
      </c>
      <c r="D983" t="s">
        <v>461</v>
      </c>
      <c r="E983" s="74">
        <v>46065</v>
      </c>
      <c r="F983">
        <v>6833</v>
      </c>
      <c r="G983" t="s">
        <v>383</v>
      </c>
      <c r="H983" s="75">
        <f t="shared" si="15"/>
        <v>69.362748319220188</v>
      </c>
      <c r="I983" s="74">
        <v>46065</v>
      </c>
      <c r="J983">
        <v>2</v>
      </c>
      <c r="K983" t="s">
        <v>508</v>
      </c>
      <c r="L983" t="s">
        <v>384</v>
      </c>
      <c r="M983" t="s">
        <v>356</v>
      </c>
      <c r="N983" s="73">
        <v>67263</v>
      </c>
      <c r="O983" s="73">
        <v>67263</v>
      </c>
      <c r="P983">
        <v>34.681374159610094</v>
      </c>
    </row>
    <row r="984" spans="1:16" hidden="1" x14ac:dyDescent="0.2">
      <c r="A984" s="73">
        <v>67263</v>
      </c>
      <c r="B984" t="s">
        <v>457</v>
      </c>
      <c r="C984" s="73" t="s">
        <v>460</v>
      </c>
      <c r="D984" t="s">
        <v>461</v>
      </c>
      <c r="E984" s="74">
        <v>46066</v>
      </c>
      <c r="F984">
        <v>6833</v>
      </c>
      <c r="G984" t="s">
        <v>383</v>
      </c>
      <c r="H984" s="75">
        <f t="shared" si="15"/>
        <v>69.362748319220188</v>
      </c>
      <c r="I984" s="74">
        <v>46066</v>
      </c>
      <c r="J984">
        <v>2</v>
      </c>
      <c r="K984" t="s">
        <v>508</v>
      </c>
      <c r="L984" t="s">
        <v>384</v>
      </c>
      <c r="M984" t="s">
        <v>356</v>
      </c>
      <c r="N984" s="73">
        <v>67263</v>
      </c>
      <c r="O984" s="73">
        <v>67263</v>
      </c>
      <c r="P984">
        <v>34.681374159610094</v>
      </c>
    </row>
    <row r="985" spans="1:16" hidden="1" x14ac:dyDescent="0.2">
      <c r="A985" s="73">
        <v>67263</v>
      </c>
      <c r="B985" t="s">
        <v>457</v>
      </c>
      <c r="C985" s="73" t="s">
        <v>460</v>
      </c>
      <c r="D985" t="s">
        <v>461</v>
      </c>
      <c r="E985" s="74">
        <v>46069</v>
      </c>
      <c r="F985">
        <v>6833</v>
      </c>
      <c r="G985" t="s">
        <v>383</v>
      </c>
      <c r="H985" s="75">
        <f t="shared" si="15"/>
        <v>34.681374159610094</v>
      </c>
      <c r="I985" s="74">
        <v>46069</v>
      </c>
      <c r="J985">
        <v>1</v>
      </c>
      <c r="K985" t="s">
        <v>508</v>
      </c>
      <c r="L985" t="s">
        <v>384</v>
      </c>
      <c r="M985" t="s">
        <v>356</v>
      </c>
      <c r="N985" s="73">
        <v>67263</v>
      </c>
      <c r="O985" s="73">
        <v>67263</v>
      </c>
      <c r="P985">
        <v>34.681374159610094</v>
      </c>
    </row>
    <row r="986" spans="1:16" hidden="1" x14ac:dyDescent="0.2">
      <c r="A986" s="73">
        <v>67263</v>
      </c>
      <c r="B986" t="s">
        <v>457</v>
      </c>
      <c r="C986" s="73" t="s">
        <v>460</v>
      </c>
      <c r="D986" t="s">
        <v>461</v>
      </c>
      <c r="E986" s="74">
        <v>46070</v>
      </c>
      <c r="F986">
        <v>6833</v>
      </c>
      <c r="G986" t="s">
        <v>383</v>
      </c>
      <c r="H986" s="75">
        <f t="shared" si="15"/>
        <v>34.681374159610094</v>
      </c>
      <c r="I986" s="74">
        <v>46070</v>
      </c>
      <c r="J986">
        <v>1</v>
      </c>
      <c r="K986" t="s">
        <v>508</v>
      </c>
      <c r="L986" t="s">
        <v>384</v>
      </c>
      <c r="M986" t="s">
        <v>356</v>
      </c>
      <c r="N986" s="73">
        <v>67263</v>
      </c>
      <c r="O986" s="73">
        <v>67263</v>
      </c>
      <c r="P986">
        <v>34.681374159610094</v>
      </c>
    </row>
    <row r="987" spans="1:16" hidden="1" x14ac:dyDescent="0.2">
      <c r="A987" s="73">
        <v>67263</v>
      </c>
      <c r="B987" t="s">
        <v>457</v>
      </c>
      <c r="C987" s="73" t="s">
        <v>460</v>
      </c>
      <c r="D987" t="s">
        <v>461</v>
      </c>
      <c r="E987" s="74">
        <v>46071</v>
      </c>
      <c r="F987">
        <v>6833</v>
      </c>
      <c r="G987" t="s">
        <v>383</v>
      </c>
      <c r="H987" s="75">
        <f t="shared" si="15"/>
        <v>34.681374159610094</v>
      </c>
      <c r="I987" s="74">
        <v>46071</v>
      </c>
      <c r="J987">
        <v>1</v>
      </c>
      <c r="K987" t="s">
        <v>508</v>
      </c>
      <c r="L987" t="s">
        <v>384</v>
      </c>
      <c r="M987" t="s">
        <v>356</v>
      </c>
      <c r="N987" s="73">
        <v>67263</v>
      </c>
      <c r="O987" s="73">
        <v>67263</v>
      </c>
      <c r="P987">
        <v>34.681374159610094</v>
      </c>
    </row>
    <row r="988" spans="1:16" hidden="1" x14ac:dyDescent="0.2">
      <c r="A988" s="73">
        <v>67263</v>
      </c>
      <c r="B988" t="s">
        <v>457</v>
      </c>
      <c r="C988" s="73" t="s">
        <v>460</v>
      </c>
      <c r="D988" t="s">
        <v>461</v>
      </c>
      <c r="E988" s="74">
        <v>46072</v>
      </c>
      <c r="F988">
        <v>6833</v>
      </c>
      <c r="G988" t="s">
        <v>383</v>
      </c>
      <c r="H988" s="75">
        <f t="shared" si="15"/>
        <v>34.681374159610094</v>
      </c>
      <c r="I988" s="74">
        <v>46072</v>
      </c>
      <c r="J988">
        <v>1</v>
      </c>
      <c r="K988" t="s">
        <v>508</v>
      </c>
      <c r="L988" t="s">
        <v>384</v>
      </c>
      <c r="M988" t="s">
        <v>356</v>
      </c>
      <c r="N988" s="73">
        <v>67263</v>
      </c>
      <c r="O988" s="73">
        <v>67263</v>
      </c>
      <c r="P988">
        <v>34.681374159610094</v>
      </c>
    </row>
    <row r="989" spans="1:16" hidden="1" x14ac:dyDescent="0.2">
      <c r="A989" s="73">
        <v>67263</v>
      </c>
      <c r="B989" t="s">
        <v>457</v>
      </c>
      <c r="C989" s="73" t="s">
        <v>460</v>
      </c>
      <c r="D989" t="s">
        <v>461</v>
      </c>
      <c r="E989" s="74">
        <v>46073</v>
      </c>
      <c r="F989">
        <v>6833</v>
      </c>
      <c r="G989" t="s">
        <v>383</v>
      </c>
      <c r="H989" s="75">
        <f t="shared" si="15"/>
        <v>34.681374159610094</v>
      </c>
      <c r="I989" s="74">
        <v>46073</v>
      </c>
      <c r="J989">
        <v>1</v>
      </c>
      <c r="K989" t="s">
        <v>508</v>
      </c>
      <c r="L989" t="s">
        <v>384</v>
      </c>
      <c r="M989" t="s">
        <v>356</v>
      </c>
      <c r="N989" s="73">
        <v>67263</v>
      </c>
      <c r="O989" s="73">
        <v>67263</v>
      </c>
      <c r="P989">
        <v>34.681374159610094</v>
      </c>
    </row>
    <row r="990" spans="1:16" hidden="1" x14ac:dyDescent="0.2">
      <c r="A990" s="73">
        <v>67263</v>
      </c>
      <c r="B990" t="s">
        <v>457</v>
      </c>
      <c r="C990" s="73" t="s">
        <v>460</v>
      </c>
      <c r="D990" t="s">
        <v>461</v>
      </c>
      <c r="E990" s="74">
        <v>46083</v>
      </c>
      <c r="F990">
        <v>6833</v>
      </c>
      <c r="G990" t="s">
        <v>383</v>
      </c>
      <c r="H990" s="75">
        <f t="shared" si="15"/>
        <v>69.362748319220188</v>
      </c>
      <c r="I990" s="74">
        <v>46083</v>
      </c>
      <c r="J990">
        <v>2</v>
      </c>
      <c r="K990" t="s">
        <v>509</v>
      </c>
      <c r="L990" t="s">
        <v>384</v>
      </c>
      <c r="M990" t="s">
        <v>356</v>
      </c>
      <c r="N990" s="73">
        <v>67263</v>
      </c>
      <c r="O990" s="73">
        <v>67263</v>
      </c>
      <c r="P990">
        <v>34.681374159610094</v>
      </c>
    </row>
    <row r="991" spans="1:16" hidden="1" x14ac:dyDescent="0.2">
      <c r="A991" s="73">
        <v>67263</v>
      </c>
      <c r="B991" t="s">
        <v>457</v>
      </c>
      <c r="C991" s="73" t="s">
        <v>460</v>
      </c>
      <c r="D991" t="s">
        <v>461</v>
      </c>
      <c r="E991" s="74">
        <v>46084</v>
      </c>
      <c r="F991">
        <v>6833</v>
      </c>
      <c r="G991" t="s">
        <v>383</v>
      </c>
      <c r="H991" s="75">
        <f t="shared" si="15"/>
        <v>69.362748319220188</v>
      </c>
      <c r="I991" s="74">
        <v>46084</v>
      </c>
      <c r="J991">
        <v>2</v>
      </c>
      <c r="K991" t="s">
        <v>509</v>
      </c>
      <c r="L991" t="s">
        <v>384</v>
      </c>
      <c r="M991" t="s">
        <v>356</v>
      </c>
      <c r="N991" s="73">
        <v>67263</v>
      </c>
      <c r="O991" s="73">
        <v>67263</v>
      </c>
      <c r="P991">
        <v>34.681374159610094</v>
      </c>
    </row>
    <row r="992" spans="1:16" hidden="1" x14ac:dyDescent="0.2">
      <c r="A992" s="73">
        <v>67263</v>
      </c>
      <c r="B992" t="s">
        <v>457</v>
      </c>
      <c r="C992" s="73" t="s">
        <v>460</v>
      </c>
      <c r="D992" t="s">
        <v>461</v>
      </c>
      <c r="E992" s="74">
        <v>46085</v>
      </c>
      <c r="F992">
        <v>6833</v>
      </c>
      <c r="G992" t="s">
        <v>383</v>
      </c>
      <c r="H992" s="75">
        <f t="shared" si="15"/>
        <v>69.362748319220188</v>
      </c>
      <c r="I992" s="74">
        <v>46085</v>
      </c>
      <c r="J992">
        <v>2</v>
      </c>
      <c r="K992" t="s">
        <v>509</v>
      </c>
      <c r="L992" t="s">
        <v>384</v>
      </c>
      <c r="M992" t="s">
        <v>356</v>
      </c>
      <c r="N992" s="73">
        <v>67263</v>
      </c>
      <c r="O992" s="73">
        <v>67263</v>
      </c>
      <c r="P992">
        <v>34.681374159610094</v>
      </c>
    </row>
    <row r="993" spans="1:16" hidden="1" x14ac:dyDescent="0.2">
      <c r="A993" s="73">
        <v>67263</v>
      </c>
      <c r="B993" t="s">
        <v>457</v>
      </c>
      <c r="C993" s="73" t="s">
        <v>460</v>
      </c>
      <c r="D993" t="s">
        <v>461</v>
      </c>
      <c r="E993" s="74">
        <v>46086</v>
      </c>
      <c r="F993">
        <v>6833</v>
      </c>
      <c r="G993" t="s">
        <v>383</v>
      </c>
      <c r="H993" s="75">
        <f t="shared" si="15"/>
        <v>69.362748319220188</v>
      </c>
      <c r="I993" s="74">
        <v>46086</v>
      </c>
      <c r="J993">
        <v>2</v>
      </c>
      <c r="K993" t="s">
        <v>509</v>
      </c>
      <c r="L993" t="s">
        <v>384</v>
      </c>
      <c r="M993" t="s">
        <v>356</v>
      </c>
      <c r="N993" s="73">
        <v>67263</v>
      </c>
      <c r="O993" s="73">
        <v>67263</v>
      </c>
      <c r="P993">
        <v>34.681374159610094</v>
      </c>
    </row>
    <row r="994" spans="1:16" hidden="1" x14ac:dyDescent="0.2">
      <c r="A994" s="73">
        <v>67263</v>
      </c>
      <c r="B994" t="s">
        <v>457</v>
      </c>
      <c r="C994" s="73" t="s">
        <v>460</v>
      </c>
      <c r="D994" t="s">
        <v>461</v>
      </c>
      <c r="E994" s="74">
        <v>46087</v>
      </c>
      <c r="F994">
        <v>6833</v>
      </c>
      <c r="G994" t="s">
        <v>383</v>
      </c>
      <c r="H994" s="75">
        <f t="shared" si="15"/>
        <v>69.362748319220188</v>
      </c>
      <c r="I994" s="74">
        <v>46087</v>
      </c>
      <c r="J994">
        <v>2</v>
      </c>
      <c r="K994" t="s">
        <v>509</v>
      </c>
      <c r="L994" t="s">
        <v>384</v>
      </c>
      <c r="M994" t="s">
        <v>356</v>
      </c>
      <c r="N994" s="73">
        <v>67263</v>
      </c>
      <c r="O994" s="73">
        <v>67263</v>
      </c>
      <c r="P994">
        <v>34.681374159610094</v>
      </c>
    </row>
    <row r="995" spans="1:16" hidden="1" x14ac:dyDescent="0.2">
      <c r="A995" s="73">
        <v>67263</v>
      </c>
      <c r="B995" t="s">
        <v>457</v>
      </c>
      <c r="C995" s="73" t="s">
        <v>460</v>
      </c>
      <c r="D995" t="s">
        <v>461</v>
      </c>
      <c r="E995" s="74">
        <v>46090</v>
      </c>
      <c r="F995">
        <v>6833</v>
      </c>
      <c r="G995" t="s">
        <v>383</v>
      </c>
      <c r="H995" s="75">
        <f t="shared" si="15"/>
        <v>69.362748319220188</v>
      </c>
      <c r="I995" s="74">
        <v>46090</v>
      </c>
      <c r="J995">
        <v>2</v>
      </c>
      <c r="K995" t="s">
        <v>509</v>
      </c>
      <c r="L995" t="s">
        <v>384</v>
      </c>
      <c r="M995" t="s">
        <v>356</v>
      </c>
      <c r="N995" s="73">
        <v>67263</v>
      </c>
      <c r="O995" s="73">
        <v>67263</v>
      </c>
      <c r="P995">
        <v>34.681374159610094</v>
      </c>
    </row>
    <row r="996" spans="1:16" hidden="1" x14ac:dyDescent="0.2">
      <c r="A996" s="73">
        <v>67263</v>
      </c>
      <c r="B996" t="s">
        <v>457</v>
      </c>
      <c r="C996" s="73" t="s">
        <v>460</v>
      </c>
      <c r="D996" t="s">
        <v>461</v>
      </c>
      <c r="E996" s="74">
        <v>46091</v>
      </c>
      <c r="F996">
        <v>6833</v>
      </c>
      <c r="G996" t="s">
        <v>383</v>
      </c>
      <c r="H996" s="75">
        <f t="shared" si="15"/>
        <v>69.362748319220188</v>
      </c>
      <c r="I996" s="74">
        <v>46091</v>
      </c>
      <c r="J996">
        <v>2</v>
      </c>
      <c r="K996" t="s">
        <v>509</v>
      </c>
      <c r="L996" t="s">
        <v>384</v>
      </c>
      <c r="M996" t="s">
        <v>356</v>
      </c>
      <c r="N996" s="73">
        <v>67263</v>
      </c>
      <c r="O996" s="73">
        <v>67263</v>
      </c>
      <c r="P996">
        <v>34.681374159610094</v>
      </c>
    </row>
    <row r="997" spans="1:16" hidden="1" x14ac:dyDescent="0.2">
      <c r="A997" s="73">
        <v>67263</v>
      </c>
      <c r="B997" t="s">
        <v>457</v>
      </c>
      <c r="C997" s="73" t="s">
        <v>460</v>
      </c>
      <c r="D997" t="s">
        <v>461</v>
      </c>
      <c r="E997" s="74">
        <v>46092</v>
      </c>
      <c r="F997">
        <v>6833</v>
      </c>
      <c r="G997" t="s">
        <v>383</v>
      </c>
      <c r="H997" s="75">
        <f t="shared" si="15"/>
        <v>69.362748319220188</v>
      </c>
      <c r="I997" s="74">
        <v>46092</v>
      </c>
      <c r="J997">
        <v>2</v>
      </c>
      <c r="K997" t="s">
        <v>509</v>
      </c>
      <c r="L997" t="s">
        <v>384</v>
      </c>
      <c r="M997" t="s">
        <v>356</v>
      </c>
      <c r="N997" s="73">
        <v>67263</v>
      </c>
      <c r="O997" s="73">
        <v>67263</v>
      </c>
      <c r="P997">
        <v>34.681374159610094</v>
      </c>
    </row>
    <row r="998" spans="1:16" hidden="1" x14ac:dyDescent="0.2">
      <c r="A998" s="73">
        <v>67263</v>
      </c>
      <c r="B998" t="s">
        <v>457</v>
      </c>
      <c r="C998" s="73" t="s">
        <v>460</v>
      </c>
      <c r="D998" t="s">
        <v>461</v>
      </c>
      <c r="E998" s="74">
        <v>46093</v>
      </c>
      <c r="F998">
        <v>6833</v>
      </c>
      <c r="G998" t="s">
        <v>383</v>
      </c>
      <c r="H998" s="75">
        <f t="shared" si="15"/>
        <v>69.362748319220188</v>
      </c>
      <c r="I998" s="74">
        <v>46093</v>
      </c>
      <c r="J998">
        <v>2</v>
      </c>
      <c r="K998" t="s">
        <v>509</v>
      </c>
      <c r="L998" t="s">
        <v>384</v>
      </c>
      <c r="M998" t="s">
        <v>356</v>
      </c>
      <c r="N998" s="73">
        <v>67263</v>
      </c>
      <c r="O998" s="73">
        <v>67263</v>
      </c>
      <c r="P998">
        <v>34.681374159610094</v>
      </c>
    </row>
    <row r="999" spans="1:16" hidden="1" x14ac:dyDescent="0.2">
      <c r="A999" s="73">
        <v>67259</v>
      </c>
      <c r="B999" t="s">
        <v>462</v>
      </c>
      <c r="C999" s="73" t="s">
        <v>463</v>
      </c>
      <c r="D999" t="s">
        <v>218</v>
      </c>
      <c r="E999" s="74">
        <v>45845</v>
      </c>
      <c r="F999" t="s">
        <v>372</v>
      </c>
      <c r="G999" t="s">
        <v>373</v>
      </c>
      <c r="H999" s="75">
        <f t="shared" si="15"/>
        <v>208.08824495766055</v>
      </c>
      <c r="I999" s="74">
        <v>45845</v>
      </c>
      <c r="J999">
        <v>6</v>
      </c>
      <c r="K999" t="s">
        <v>511</v>
      </c>
      <c r="L999" t="s">
        <v>348</v>
      </c>
      <c r="M999" t="s">
        <v>356</v>
      </c>
      <c r="N999" s="73">
        <v>67259</v>
      </c>
      <c r="O999" s="73">
        <v>67259</v>
      </c>
      <c r="P999">
        <v>34.681374159610094</v>
      </c>
    </row>
    <row r="1000" spans="1:16" hidden="1" x14ac:dyDescent="0.2">
      <c r="A1000" s="73">
        <v>67259</v>
      </c>
      <c r="B1000" t="s">
        <v>462</v>
      </c>
      <c r="C1000" s="73" t="s">
        <v>463</v>
      </c>
      <c r="D1000" t="s">
        <v>218</v>
      </c>
      <c r="E1000" s="74">
        <v>45846</v>
      </c>
      <c r="F1000" t="s">
        <v>372</v>
      </c>
      <c r="G1000" t="s">
        <v>373</v>
      </c>
      <c r="H1000" s="75">
        <f t="shared" si="15"/>
        <v>208.08824495766055</v>
      </c>
      <c r="I1000" s="74">
        <v>45846</v>
      </c>
      <c r="J1000">
        <v>6</v>
      </c>
      <c r="K1000" t="s">
        <v>511</v>
      </c>
      <c r="L1000" t="s">
        <v>348</v>
      </c>
      <c r="M1000" t="s">
        <v>356</v>
      </c>
      <c r="N1000" s="73">
        <v>67259</v>
      </c>
      <c r="O1000" s="73">
        <v>67259</v>
      </c>
      <c r="P1000">
        <v>34.681374159610094</v>
      </c>
    </row>
    <row r="1001" spans="1:16" hidden="1" x14ac:dyDescent="0.2">
      <c r="A1001" s="73">
        <v>67259</v>
      </c>
      <c r="B1001" t="s">
        <v>462</v>
      </c>
      <c r="C1001" s="73" t="s">
        <v>463</v>
      </c>
      <c r="D1001" t="s">
        <v>218</v>
      </c>
      <c r="E1001" s="74">
        <v>45847</v>
      </c>
      <c r="F1001" t="s">
        <v>372</v>
      </c>
      <c r="G1001" t="s">
        <v>373</v>
      </c>
      <c r="H1001" s="75">
        <f t="shared" si="15"/>
        <v>208.08824495766055</v>
      </c>
      <c r="I1001" s="74">
        <v>45847</v>
      </c>
      <c r="J1001">
        <v>6</v>
      </c>
      <c r="K1001" t="s">
        <v>511</v>
      </c>
      <c r="L1001" t="s">
        <v>348</v>
      </c>
      <c r="M1001" t="s">
        <v>356</v>
      </c>
      <c r="N1001" s="73">
        <v>67259</v>
      </c>
      <c r="O1001" s="73">
        <v>67259</v>
      </c>
      <c r="P1001">
        <v>34.681374159610094</v>
      </c>
    </row>
    <row r="1002" spans="1:16" hidden="1" x14ac:dyDescent="0.2">
      <c r="A1002" s="73">
        <v>67259</v>
      </c>
      <c r="B1002" t="s">
        <v>462</v>
      </c>
      <c r="C1002" s="73" t="s">
        <v>463</v>
      </c>
      <c r="D1002" t="s">
        <v>218</v>
      </c>
      <c r="E1002" s="74">
        <v>45848</v>
      </c>
      <c r="F1002" t="s">
        <v>372</v>
      </c>
      <c r="G1002" t="s">
        <v>373</v>
      </c>
      <c r="H1002" s="75">
        <f t="shared" si="15"/>
        <v>208.08824495766055</v>
      </c>
      <c r="I1002" s="74">
        <v>45848</v>
      </c>
      <c r="J1002">
        <v>6</v>
      </c>
      <c r="K1002" t="s">
        <v>511</v>
      </c>
      <c r="L1002" t="s">
        <v>348</v>
      </c>
      <c r="M1002" t="s">
        <v>356</v>
      </c>
      <c r="N1002" s="73">
        <v>67259</v>
      </c>
      <c r="O1002" s="73">
        <v>67259</v>
      </c>
      <c r="P1002">
        <v>34.681374159610094</v>
      </c>
    </row>
    <row r="1003" spans="1:16" hidden="1" x14ac:dyDescent="0.2">
      <c r="A1003" s="73">
        <v>67259</v>
      </c>
      <c r="B1003" t="s">
        <v>462</v>
      </c>
      <c r="C1003" s="73" t="s">
        <v>463</v>
      </c>
      <c r="D1003" t="s">
        <v>218</v>
      </c>
      <c r="E1003" s="74">
        <v>45849</v>
      </c>
      <c r="F1003" t="s">
        <v>372</v>
      </c>
      <c r="G1003" t="s">
        <v>373</v>
      </c>
      <c r="H1003" s="75">
        <f t="shared" si="15"/>
        <v>208.08824495766055</v>
      </c>
      <c r="I1003" s="74">
        <v>45849</v>
      </c>
      <c r="J1003">
        <v>6</v>
      </c>
      <c r="K1003" t="s">
        <v>511</v>
      </c>
      <c r="L1003" t="s">
        <v>348</v>
      </c>
      <c r="M1003" t="s">
        <v>356</v>
      </c>
      <c r="N1003" s="73">
        <v>67259</v>
      </c>
      <c r="O1003" s="73">
        <v>67259</v>
      </c>
      <c r="P1003">
        <v>34.681374159610094</v>
      </c>
    </row>
    <row r="1004" spans="1:16" hidden="1" x14ac:dyDescent="0.2">
      <c r="A1004" s="73">
        <v>67259</v>
      </c>
      <c r="B1004" t="s">
        <v>462</v>
      </c>
      <c r="C1004" s="73" t="s">
        <v>463</v>
      </c>
      <c r="D1004" t="s">
        <v>218</v>
      </c>
      <c r="E1004" s="74">
        <v>45852</v>
      </c>
      <c r="F1004" t="s">
        <v>372</v>
      </c>
      <c r="G1004" t="s">
        <v>373</v>
      </c>
      <c r="H1004" s="75">
        <f t="shared" si="15"/>
        <v>173.40687079805048</v>
      </c>
      <c r="I1004" s="74">
        <v>45852</v>
      </c>
      <c r="J1004">
        <v>5</v>
      </c>
      <c r="K1004" t="s">
        <v>511</v>
      </c>
      <c r="L1004" t="s">
        <v>348</v>
      </c>
      <c r="M1004" t="s">
        <v>356</v>
      </c>
      <c r="N1004" s="73">
        <v>67259</v>
      </c>
      <c r="O1004" s="73">
        <v>67259</v>
      </c>
      <c r="P1004">
        <v>34.681374159610094</v>
      </c>
    </row>
    <row r="1005" spans="1:16" hidden="1" x14ac:dyDescent="0.2">
      <c r="A1005" s="73">
        <v>67259</v>
      </c>
      <c r="B1005" t="s">
        <v>462</v>
      </c>
      <c r="C1005" s="73" t="s">
        <v>463</v>
      </c>
      <c r="D1005" t="s">
        <v>218</v>
      </c>
      <c r="E1005" s="74">
        <v>45853</v>
      </c>
      <c r="F1005" t="s">
        <v>372</v>
      </c>
      <c r="G1005" t="s">
        <v>373</v>
      </c>
      <c r="H1005" s="75">
        <f t="shared" si="15"/>
        <v>173.40687079805048</v>
      </c>
      <c r="I1005" s="74">
        <v>45853</v>
      </c>
      <c r="J1005">
        <v>5</v>
      </c>
      <c r="K1005" t="s">
        <v>511</v>
      </c>
      <c r="L1005" t="s">
        <v>348</v>
      </c>
      <c r="M1005" t="s">
        <v>356</v>
      </c>
      <c r="N1005" s="73">
        <v>67259</v>
      </c>
      <c r="O1005" s="73">
        <v>67259</v>
      </c>
      <c r="P1005">
        <v>34.681374159610094</v>
      </c>
    </row>
    <row r="1006" spans="1:16" hidden="1" x14ac:dyDescent="0.2">
      <c r="A1006" s="73">
        <v>67259</v>
      </c>
      <c r="B1006" t="s">
        <v>462</v>
      </c>
      <c r="C1006" s="73" t="s">
        <v>463</v>
      </c>
      <c r="D1006" t="s">
        <v>218</v>
      </c>
      <c r="E1006" s="74">
        <v>45854</v>
      </c>
      <c r="F1006" t="s">
        <v>372</v>
      </c>
      <c r="G1006" t="s">
        <v>373</v>
      </c>
      <c r="H1006" s="75">
        <f t="shared" si="15"/>
        <v>173.40687079805048</v>
      </c>
      <c r="I1006" s="74">
        <v>45854</v>
      </c>
      <c r="J1006">
        <v>5</v>
      </c>
      <c r="K1006" t="s">
        <v>511</v>
      </c>
      <c r="L1006" t="s">
        <v>348</v>
      </c>
      <c r="M1006" t="s">
        <v>356</v>
      </c>
      <c r="N1006" s="73">
        <v>67259</v>
      </c>
      <c r="O1006" s="73">
        <v>67259</v>
      </c>
      <c r="P1006">
        <v>34.681374159610094</v>
      </c>
    </row>
    <row r="1007" spans="1:16" hidden="1" x14ac:dyDescent="0.2">
      <c r="A1007" s="73">
        <v>67259</v>
      </c>
      <c r="B1007" t="s">
        <v>462</v>
      </c>
      <c r="C1007" s="73" t="s">
        <v>463</v>
      </c>
      <c r="D1007" t="s">
        <v>218</v>
      </c>
      <c r="E1007" s="74">
        <v>45855</v>
      </c>
      <c r="F1007" t="s">
        <v>372</v>
      </c>
      <c r="G1007" t="s">
        <v>373</v>
      </c>
      <c r="H1007" s="75">
        <f t="shared" si="15"/>
        <v>173.40687079805048</v>
      </c>
      <c r="I1007" s="74">
        <v>45855</v>
      </c>
      <c r="J1007">
        <v>5</v>
      </c>
      <c r="K1007" t="s">
        <v>511</v>
      </c>
      <c r="L1007" t="s">
        <v>348</v>
      </c>
      <c r="M1007" t="s">
        <v>356</v>
      </c>
      <c r="N1007" s="73">
        <v>67259</v>
      </c>
      <c r="O1007" s="73">
        <v>67259</v>
      </c>
      <c r="P1007">
        <v>34.681374159610094</v>
      </c>
    </row>
    <row r="1008" spans="1:16" hidden="1" x14ac:dyDescent="0.2">
      <c r="A1008" s="73">
        <v>67259</v>
      </c>
      <c r="B1008" t="s">
        <v>462</v>
      </c>
      <c r="C1008" s="73" t="s">
        <v>463</v>
      </c>
      <c r="D1008" t="s">
        <v>218</v>
      </c>
      <c r="E1008" s="74">
        <v>45859</v>
      </c>
      <c r="F1008" t="s">
        <v>372</v>
      </c>
      <c r="G1008" t="s">
        <v>373</v>
      </c>
      <c r="H1008" s="75">
        <f t="shared" si="15"/>
        <v>208.08824495766055</v>
      </c>
      <c r="I1008" s="74">
        <v>45859</v>
      </c>
      <c r="J1008">
        <v>6</v>
      </c>
      <c r="K1008" t="s">
        <v>511</v>
      </c>
      <c r="L1008" t="s">
        <v>348</v>
      </c>
      <c r="M1008" t="s">
        <v>356</v>
      </c>
      <c r="N1008" s="73">
        <v>67259</v>
      </c>
      <c r="O1008" s="73">
        <v>67259</v>
      </c>
      <c r="P1008">
        <v>34.681374159610094</v>
      </c>
    </row>
    <row r="1009" spans="1:16" hidden="1" x14ac:dyDescent="0.2">
      <c r="A1009" s="73">
        <v>67259</v>
      </c>
      <c r="B1009" t="s">
        <v>462</v>
      </c>
      <c r="C1009" s="73" t="s">
        <v>463</v>
      </c>
      <c r="D1009" t="s">
        <v>218</v>
      </c>
      <c r="E1009" s="74">
        <v>45860</v>
      </c>
      <c r="F1009" t="s">
        <v>372</v>
      </c>
      <c r="G1009" t="s">
        <v>373</v>
      </c>
      <c r="H1009" s="75">
        <f t="shared" si="15"/>
        <v>208.08824495766055</v>
      </c>
      <c r="I1009" s="74">
        <v>45860</v>
      </c>
      <c r="J1009">
        <v>6</v>
      </c>
      <c r="K1009" t="s">
        <v>511</v>
      </c>
      <c r="L1009" t="s">
        <v>348</v>
      </c>
      <c r="M1009" t="s">
        <v>356</v>
      </c>
      <c r="N1009" s="73">
        <v>67259</v>
      </c>
      <c r="O1009" s="73">
        <v>67259</v>
      </c>
      <c r="P1009">
        <v>34.681374159610094</v>
      </c>
    </row>
    <row r="1010" spans="1:16" hidden="1" x14ac:dyDescent="0.2">
      <c r="A1010" s="73">
        <v>67259</v>
      </c>
      <c r="B1010" t="s">
        <v>462</v>
      </c>
      <c r="C1010" s="73" t="s">
        <v>463</v>
      </c>
      <c r="D1010" t="s">
        <v>218</v>
      </c>
      <c r="E1010" s="74">
        <v>45861</v>
      </c>
      <c r="F1010" t="s">
        <v>372</v>
      </c>
      <c r="G1010" t="s">
        <v>373</v>
      </c>
      <c r="H1010" s="75">
        <f t="shared" si="15"/>
        <v>208.08824495766055</v>
      </c>
      <c r="I1010" s="74">
        <v>45861</v>
      </c>
      <c r="J1010">
        <v>6</v>
      </c>
      <c r="K1010" t="s">
        <v>511</v>
      </c>
      <c r="L1010" t="s">
        <v>348</v>
      </c>
      <c r="M1010" t="s">
        <v>356</v>
      </c>
      <c r="N1010" s="73">
        <v>67259</v>
      </c>
      <c r="O1010" s="73">
        <v>67259</v>
      </c>
      <c r="P1010">
        <v>34.681374159610094</v>
      </c>
    </row>
    <row r="1011" spans="1:16" hidden="1" x14ac:dyDescent="0.2">
      <c r="A1011" s="73">
        <v>67259</v>
      </c>
      <c r="B1011" t="s">
        <v>462</v>
      </c>
      <c r="C1011" s="73" t="s">
        <v>463</v>
      </c>
      <c r="D1011" t="s">
        <v>218</v>
      </c>
      <c r="E1011" s="74">
        <v>45862</v>
      </c>
      <c r="F1011" t="s">
        <v>372</v>
      </c>
      <c r="G1011" t="s">
        <v>373</v>
      </c>
      <c r="H1011" s="75">
        <f t="shared" si="15"/>
        <v>208.08824495766055</v>
      </c>
      <c r="I1011" s="74">
        <v>45862</v>
      </c>
      <c r="J1011">
        <v>6</v>
      </c>
      <c r="K1011" t="s">
        <v>511</v>
      </c>
      <c r="L1011" t="s">
        <v>348</v>
      </c>
      <c r="M1011" t="s">
        <v>356</v>
      </c>
      <c r="N1011" s="73">
        <v>67259</v>
      </c>
      <c r="O1011" s="73">
        <v>67259</v>
      </c>
      <c r="P1011">
        <v>34.681374159610094</v>
      </c>
    </row>
    <row r="1012" spans="1:16" hidden="1" x14ac:dyDescent="0.2">
      <c r="A1012" s="73">
        <v>67259</v>
      </c>
      <c r="B1012" t="s">
        <v>462</v>
      </c>
      <c r="C1012" s="73" t="s">
        <v>463</v>
      </c>
      <c r="D1012" t="s">
        <v>218</v>
      </c>
      <c r="E1012" s="74">
        <v>45863</v>
      </c>
      <c r="F1012" t="s">
        <v>372</v>
      </c>
      <c r="G1012" t="s">
        <v>373</v>
      </c>
      <c r="H1012" s="75">
        <f t="shared" si="15"/>
        <v>208.08824495766055</v>
      </c>
      <c r="I1012" s="74">
        <v>45863</v>
      </c>
      <c r="J1012">
        <v>6</v>
      </c>
      <c r="K1012" t="s">
        <v>511</v>
      </c>
      <c r="L1012" t="s">
        <v>348</v>
      </c>
      <c r="M1012" t="s">
        <v>356</v>
      </c>
      <c r="N1012" s="73">
        <v>67259</v>
      </c>
      <c r="O1012" s="73">
        <v>67259</v>
      </c>
      <c r="P1012">
        <v>34.681374159610094</v>
      </c>
    </row>
    <row r="1013" spans="1:16" hidden="1" x14ac:dyDescent="0.2">
      <c r="A1013" s="73">
        <v>67259</v>
      </c>
      <c r="B1013" t="s">
        <v>462</v>
      </c>
      <c r="C1013" s="73" t="s">
        <v>463</v>
      </c>
      <c r="D1013" t="s">
        <v>218</v>
      </c>
      <c r="E1013" s="74">
        <v>45866</v>
      </c>
      <c r="F1013" t="s">
        <v>372</v>
      </c>
      <c r="G1013" t="s">
        <v>373</v>
      </c>
      <c r="H1013" s="75">
        <f t="shared" si="15"/>
        <v>208.08824495766055</v>
      </c>
      <c r="I1013" s="74">
        <v>45866</v>
      </c>
      <c r="J1013">
        <v>6</v>
      </c>
      <c r="K1013" t="s">
        <v>511</v>
      </c>
      <c r="L1013" t="s">
        <v>348</v>
      </c>
      <c r="M1013" t="s">
        <v>356</v>
      </c>
      <c r="N1013" s="73">
        <v>67259</v>
      </c>
      <c r="O1013" s="73">
        <v>67259</v>
      </c>
      <c r="P1013">
        <v>34.681374159610094</v>
      </c>
    </row>
    <row r="1014" spans="1:16" hidden="1" x14ac:dyDescent="0.2">
      <c r="A1014" s="73">
        <v>67259</v>
      </c>
      <c r="B1014" t="s">
        <v>462</v>
      </c>
      <c r="C1014" s="73" t="s">
        <v>463</v>
      </c>
      <c r="D1014" t="s">
        <v>218</v>
      </c>
      <c r="E1014" s="74">
        <v>45867</v>
      </c>
      <c r="F1014" t="s">
        <v>372</v>
      </c>
      <c r="G1014" t="s">
        <v>373</v>
      </c>
      <c r="H1014" s="75">
        <f t="shared" si="15"/>
        <v>208.08824495766055</v>
      </c>
      <c r="I1014" s="74">
        <v>45867</v>
      </c>
      <c r="J1014">
        <v>6</v>
      </c>
      <c r="K1014" t="s">
        <v>511</v>
      </c>
      <c r="L1014" t="s">
        <v>348</v>
      </c>
      <c r="M1014" t="s">
        <v>356</v>
      </c>
      <c r="N1014" s="73">
        <v>67259</v>
      </c>
      <c r="O1014" s="73">
        <v>67259</v>
      </c>
      <c r="P1014">
        <v>34.681374159610094</v>
      </c>
    </row>
    <row r="1015" spans="1:16" hidden="1" x14ac:dyDescent="0.2">
      <c r="A1015" s="73">
        <v>67259</v>
      </c>
      <c r="B1015" t="s">
        <v>462</v>
      </c>
      <c r="C1015" s="73" t="s">
        <v>463</v>
      </c>
      <c r="D1015" t="s">
        <v>218</v>
      </c>
      <c r="E1015" s="74">
        <v>45868</v>
      </c>
      <c r="F1015" t="s">
        <v>372</v>
      </c>
      <c r="G1015" t="s">
        <v>373</v>
      </c>
      <c r="H1015" s="75">
        <f t="shared" si="15"/>
        <v>208.08824495766055</v>
      </c>
      <c r="I1015" s="74">
        <v>45868</v>
      </c>
      <c r="J1015">
        <v>6</v>
      </c>
      <c r="K1015" t="s">
        <v>511</v>
      </c>
      <c r="L1015" t="s">
        <v>348</v>
      </c>
      <c r="M1015" t="s">
        <v>356</v>
      </c>
      <c r="N1015" s="73">
        <v>67259</v>
      </c>
      <c r="O1015" s="73">
        <v>67259</v>
      </c>
      <c r="P1015">
        <v>34.681374159610094</v>
      </c>
    </row>
    <row r="1016" spans="1:16" hidden="1" x14ac:dyDescent="0.2">
      <c r="A1016" s="73">
        <v>67259</v>
      </c>
      <c r="B1016" t="s">
        <v>462</v>
      </c>
      <c r="C1016" s="73" t="s">
        <v>463</v>
      </c>
      <c r="D1016" t="s">
        <v>218</v>
      </c>
      <c r="E1016" s="74">
        <v>45869</v>
      </c>
      <c r="F1016" t="s">
        <v>372</v>
      </c>
      <c r="G1016" t="s">
        <v>373</v>
      </c>
      <c r="H1016" s="75">
        <f t="shared" si="15"/>
        <v>208.08824495766055</v>
      </c>
      <c r="I1016" s="74">
        <v>45869</v>
      </c>
      <c r="J1016">
        <v>6</v>
      </c>
      <c r="K1016" t="s">
        <v>511</v>
      </c>
      <c r="L1016" t="s">
        <v>348</v>
      </c>
      <c r="M1016" t="s">
        <v>356</v>
      </c>
      <c r="N1016" s="73">
        <v>67259</v>
      </c>
      <c r="O1016" s="73">
        <v>67259</v>
      </c>
      <c r="P1016">
        <v>34.681374159610094</v>
      </c>
    </row>
    <row r="1017" spans="1:16" hidden="1" x14ac:dyDescent="0.2">
      <c r="A1017" s="73">
        <v>67259</v>
      </c>
      <c r="B1017" t="s">
        <v>462</v>
      </c>
      <c r="C1017" s="73" t="s">
        <v>463</v>
      </c>
      <c r="D1017" t="s">
        <v>218</v>
      </c>
      <c r="E1017" s="74">
        <v>45870</v>
      </c>
      <c r="F1017" t="s">
        <v>372</v>
      </c>
      <c r="G1017" t="s">
        <v>373</v>
      </c>
      <c r="H1017" s="75">
        <f t="shared" si="15"/>
        <v>208.08824495766055</v>
      </c>
      <c r="I1017" s="74">
        <v>45870</v>
      </c>
      <c r="J1017">
        <v>6</v>
      </c>
      <c r="K1017" t="s">
        <v>288</v>
      </c>
      <c r="L1017" t="s">
        <v>348</v>
      </c>
      <c r="M1017" t="s">
        <v>356</v>
      </c>
      <c r="N1017" s="73">
        <v>67259</v>
      </c>
      <c r="O1017" s="73">
        <v>67259</v>
      </c>
      <c r="P1017">
        <v>34.681374159610094</v>
      </c>
    </row>
    <row r="1018" spans="1:16" hidden="1" x14ac:dyDescent="0.2">
      <c r="A1018" s="73">
        <v>67259</v>
      </c>
      <c r="B1018" t="s">
        <v>462</v>
      </c>
      <c r="C1018" s="73" t="s">
        <v>463</v>
      </c>
      <c r="D1018" t="s">
        <v>218</v>
      </c>
      <c r="E1018" s="74">
        <v>45873</v>
      </c>
      <c r="F1018" t="s">
        <v>372</v>
      </c>
      <c r="G1018" t="s">
        <v>373</v>
      </c>
      <c r="H1018" s="75">
        <f t="shared" si="15"/>
        <v>208.08824495766055</v>
      </c>
      <c r="I1018" s="74">
        <v>45873</v>
      </c>
      <c r="J1018">
        <v>6</v>
      </c>
      <c r="K1018" t="s">
        <v>288</v>
      </c>
      <c r="L1018" t="s">
        <v>348</v>
      </c>
      <c r="M1018" t="s">
        <v>356</v>
      </c>
      <c r="N1018" s="73">
        <v>67259</v>
      </c>
      <c r="O1018" s="73">
        <v>67259</v>
      </c>
      <c r="P1018">
        <v>34.681374159610094</v>
      </c>
    </row>
    <row r="1019" spans="1:16" hidden="1" x14ac:dyDescent="0.2">
      <c r="A1019" s="73">
        <v>67259</v>
      </c>
      <c r="B1019" t="s">
        <v>462</v>
      </c>
      <c r="C1019" s="73" t="s">
        <v>463</v>
      </c>
      <c r="D1019" t="s">
        <v>218</v>
      </c>
      <c r="E1019" s="74">
        <v>45874</v>
      </c>
      <c r="F1019" t="s">
        <v>372</v>
      </c>
      <c r="G1019" t="s">
        <v>373</v>
      </c>
      <c r="H1019" s="75">
        <f t="shared" si="15"/>
        <v>208.08824495766055</v>
      </c>
      <c r="I1019" s="74">
        <v>45874</v>
      </c>
      <c r="J1019">
        <v>6</v>
      </c>
      <c r="K1019" t="s">
        <v>288</v>
      </c>
      <c r="L1019" t="s">
        <v>348</v>
      </c>
      <c r="M1019" t="s">
        <v>356</v>
      </c>
      <c r="N1019" s="73">
        <v>67259</v>
      </c>
      <c r="O1019" s="73">
        <v>67259</v>
      </c>
      <c r="P1019">
        <v>34.681374159610094</v>
      </c>
    </row>
    <row r="1020" spans="1:16" hidden="1" x14ac:dyDescent="0.2">
      <c r="A1020" s="73">
        <v>67259</v>
      </c>
      <c r="B1020" t="s">
        <v>462</v>
      </c>
      <c r="C1020" s="73" t="s">
        <v>463</v>
      </c>
      <c r="D1020" t="s">
        <v>218</v>
      </c>
      <c r="E1020" s="74">
        <v>45875</v>
      </c>
      <c r="F1020" t="s">
        <v>372</v>
      </c>
      <c r="G1020" t="s">
        <v>373</v>
      </c>
      <c r="H1020" s="75">
        <f t="shared" si="15"/>
        <v>208.08824495766055</v>
      </c>
      <c r="I1020" s="74">
        <v>45875</v>
      </c>
      <c r="J1020">
        <v>6</v>
      </c>
      <c r="K1020" t="s">
        <v>288</v>
      </c>
      <c r="L1020" t="s">
        <v>348</v>
      </c>
      <c r="M1020" t="s">
        <v>356</v>
      </c>
      <c r="N1020" s="73">
        <v>67259</v>
      </c>
      <c r="O1020" s="73">
        <v>67259</v>
      </c>
      <c r="P1020">
        <v>34.681374159610094</v>
      </c>
    </row>
    <row r="1021" spans="1:16" hidden="1" x14ac:dyDescent="0.2">
      <c r="A1021" s="73">
        <v>67259</v>
      </c>
      <c r="B1021" t="s">
        <v>462</v>
      </c>
      <c r="C1021" s="73" t="s">
        <v>463</v>
      </c>
      <c r="D1021" t="s">
        <v>218</v>
      </c>
      <c r="E1021" s="74">
        <v>45876</v>
      </c>
      <c r="F1021" t="s">
        <v>372</v>
      </c>
      <c r="G1021" t="s">
        <v>373</v>
      </c>
      <c r="H1021" s="75">
        <f t="shared" si="15"/>
        <v>208.08824495766055</v>
      </c>
      <c r="I1021" s="74">
        <v>45876</v>
      </c>
      <c r="J1021">
        <v>6</v>
      </c>
      <c r="K1021" t="s">
        <v>288</v>
      </c>
      <c r="L1021" t="s">
        <v>348</v>
      </c>
      <c r="M1021" t="s">
        <v>356</v>
      </c>
      <c r="N1021" s="73">
        <v>67259</v>
      </c>
      <c r="O1021" s="73">
        <v>67259</v>
      </c>
      <c r="P1021">
        <v>34.681374159610094</v>
      </c>
    </row>
    <row r="1022" spans="1:16" hidden="1" x14ac:dyDescent="0.2">
      <c r="A1022" s="73">
        <v>67259</v>
      </c>
      <c r="B1022" t="s">
        <v>462</v>
      </c>
      <c r="C1022" s="73" t="s">
        <v>463</v>
      </c>
      <c r="D1022" t="s">
        <v>218</v>
      </c>
      <c r="E1022" s="74">
        <v>45877</v>
      </c>
      <c r="F1022" t="s">
        <v>372</v>
      </c>
      <c r="G1022" t="s">
        <v>373</v>
      </c>
      <c r="H1022" s="75">
        <f t="shared" si="15"/>
        <v>208.08824495766055</v>
      </c>
      <c r="I1022" s="74">
        <v>45877</v>
      </c>
      <c r="J1022">
        <v>6</v>
      </c>
      <c r="K1022" t="s">
        <v>288</v>
      </c>
      <c r="L1022" t="s">
        <v>348</v>
      </c>
      <c r="M1022" t="s">
        <v>356</v>
      </c>
      <c r="N1022" s="73">
        <v>67259</v>
      </c>
      <c r="O1022" s="73">
        <v>67259</v>
      </c>
      <c r="P1022">
        <v>34.681374159610094</v>
      </c>
    </row>
    <row r="1023" spans="1:16" hidden="1" x14ac:dyDescent="0.2">
      <c r="A1023" s="73">
        <v>67259</v>
      </c>
      <c r="B1023" t="s">
        <v>462</v>
      </c>
      <c r="C1023" s="73" t="s">
        <v>463</v>
      </c>
      <c r="D1023" t="s">
        <v>218</v>
      </c>
      <c r="E1023" s="74">
        <v>45880</v>
      </c>
      <c r="F1023" t="s">
        <v>372</v>
      </c>
      <c r="G1023" t="s">
        <v>373</v>
      </c>
      <c r="H1023" s="75">
        <f t="shared" si="15"/>
        <v>208.08824495766055</v>
      </c>
      <c r="I1023" s="74">
        <v>45880</v>
      </c>
      <c r="J1023">
        <v>6</v>
      </c>
      <c r="K1023" t="s">
        <v>288</v>
      </c>
      <c r="L1023" t="s">
        <v>348</v>
      </c>
      <c r="M1023" t="s">
        <v>356</v>
      </c>
      <c r="N1023" s="73">
        <v>67259</v>
      </c>
      <c r="O1023" s="73">
        <v>67259</v>
      </c>
      <c r="P1023">
        <v>34.681374159610094</v>
      </c>
    </row>
    <row r="1024" spans="1:16" hidden="1" x14ac:dyDescent="0.2">
      <c r="A1024" s="73">
        <v>67259</v>
      </c>
      <c r="B1024" t="s">
        <v>462</v>
      </c>
      <c r="C1024" s="73" t="s">
        <v>463</v>
      </c>
      <c r="D1024" t="s">
        <v>218</v>
      </c>
      <c r="E1024" s="74">
        <v>45881</v>
      </c>
      <c r="F1024" t="s">
        <v>372</v>
      </c>
      <c r="G1024" t="s">
        <v>373</v>
      </c>
      <c r="H1024" s="75">
        <f t="shared" si="15"/>
        <v>208.08824495766055</v>
      </c>
      <c r="I1024" s="74">
        <v>45881</v>
      </c>
      <c r="J1024">
        <v>6</v>
      </c>
      <c r="K1024" t="s">
        <v>288</v>
      </c>
      <c r="L1024" t="s">
        <v>348</v>
      </c>
      <c r="M1024" t="s">
        <v>356</v>
      </c>
      <c r="N1024" s="73">
        <v>67259</v>
      </c>
      <c r="O1024" s="73">
        <v>67259</v>
      </c>
      <c r="P1024">
        <v>34.681374159610094</v>
      </c>
    </row>
    <row r="1025" spans="1:16" hidden="1" x14ac:dyDescent="0.2">
      <c r="A1025" s="73">
        <v>67259</v>
      </c>
      <c r="B1025" t="s">
        <v>462</v>
      </c>
      <c r="C1025" s="73" t="s">
        <v>463</v>
      </c>
      <c r="D1025" t="s">
        <v>218</v>
      </c>
      <c r="E1025" s="74">
        <v>45882</v>
      </c>
      <c r="F1025" t="s">
        <v>372</v>
      </c>
      <c r="G1025" t="s">
        <v>373</v>
      </c>
      <c r="H1025" s="75">
        <f t="shared" si="15"/>
        <v>208.08824495766055</v>
      </c>
      <c r="I1025" s="74">
        <v>45882</v>
      </c>
      <c r="J1025">
        <v>6</v>
      </c>
      <c r="K1025" t="s">
        <v>288</v>
      </c>
      <c r="L1025" t="s">
        <v>348</v>
      </c>
      <c r="M1025" t="s">
        <v>356</v>
      </c>
      <c r="N1025" s="73">
        <v>67259</v>
      </c>
      <c r="O1025" s="73">
        <v>67259</v>
      </c>
      <c r="P1025">
        <v>34.681374159610094</v>
      </c>
    </row>
    <row r="1026" spans="1:16" hidden="1" x14ac:dyDescent="0.2">
      <c r="A1026" s="73">
        <v>67259</v>
      </c>
      <c r="B1026" t="s">
        <v>462</v>
      </c>
      <c r="C1026" s="73" t="s">
        <v>463</v>
      </c>
      <c r="D1026" t="s">
        <v>218</v>
      </c>
      <c r="E1026" s="74">
        <v>45883</v>
      </c>
      <c r="F1026" t="s">
        <v>372</v>
      </c>
      <c r="G1026" t="s">
        <v>373</v>
      </c>
      <c r="H1026" s="75">
        <f t="shared" ref="H1026:H1089" si="16">J1026*P1026</f>
        <v>208.08824495766055</v>
      </c>
      <c r="I1026" s="74">
        <v>45883</v>
      </c>
      <c r="J1026">
        <v>6</v>
      </c>
      <c r="K1026" t="s">
        <v>288</v>
      </c>
      <c r="L1026" t="s">
        <v>348</v>
      </c>
      <c r="M1026" t="s">
        <v>356</v>
      </c>
      <c r="N1026" s="73">
        <v>67259</v>
      </c>
      <c r="O1026" s="73">
        <v>67259</v>
      </c>
      <c r="P1026">
        <v>34.681374159610094</v>
      </c>
    </row>
    <row r="1027" spans="1:16" hidden="1" x14ac:dyDescent="0.2">
      <c r="A1027" s="73">
        <v>67259</v>
      </c>
      <c r="B1027" t="s">
        <v>462</v>
      </c>
      <c r="C1027" s="73" t="s">
        <v>463</v>
      </c>
      <c r="D1027" t="s">
        <v>218</v>
      </c>
      <c r="E1027" s="74">
        <v>45887</v>
      </c>
      <c r="F1027" t="s">
        <v>372</v>
      </c>
      <c r="G1027" t="s">
        <v>373</v>
      </c>
      <c r="H1027" s="75">
        <f t="shared" si="16"/>
        <v>208.08824495766055</v>
      </c>
      <c r="I1027" s="74">
        <v>45887</v>
      </c>
      <c r="J1027">
        <v>6</v>
      </c>
      <c r="K1027" t="s">
        <v>288</v>
      </c>
      <c r="L1027" t="s">
        <v>348</v>
      </c>
      <c r="M1027" t="s">
        <v>356</v>
      </c>
      <c r="N1027" s="73">
        <v>67259</v>
      </c>
      <c r="O1027" s="73">
        <v>67259</v>
      </c>
      <c r="P1027">
        <v>34.681374159610094</v>
      </c>
    </row>
    <row r="1028" spans="1:16" hidden="1" x14ac:dyDescent="0.2">
      <c r="A1028" s="73">
        <v>67259</v>
      </c>
      <c r="B1028" t="s">
        <v>462</v>
      </c>
      <c r="C1028" s="73" t="s">
        <v>463</v>
      </c>
      <c r="D1028" t="s">
        <v>218</v>
      </c>
      <c r="E1028" s="74">
        <v>45888</v>
      </c>
      <c r="F1028" t="s">
        <v>372</v>
      </c>
      <c r="G1028" t="s">
        <v>373</v>
      </c>
      <c r="H1028" s="75">
        <f t="shared" si="16"/>
        <v>208.08824495766055</v>
      </c>
      <c r="I1028" s="74">
        <v>45888</v>
      </c>
      <c r="J1028">
        <v>6</v>
      </c>
      <c r="K1028" t="s">
        <v>288</v>
      </c>
      <c r="L1028" t="s">
        <v>348</v>
      </c>
      <c r="M1028" t="s">
        <v>356</v>
      </c>
      <c r="N1028" s="73">
        <v>67259</v>
      </c>
      <c r="O1028" s="73">
        <v>67259</v>
      </c>
      <c r="P1028">
        <v>34.681374159610094</v>
      </c>
    </row>
    <row r="1029" spans="1:16" hidden="1" x14ac:dyDescent="0.2">
      <c r="A1029" s="73">
        <v>67259</v>
      </c>
      <c r="B1029" t="s">
        <v>462</v>
      </c>
      <c r="C1029" s="73" t="s">
        <v>463</v>
      </c>
      <c r="D1029" t="s">
        <v>218</v>
      </c>
      <c r="E1029" s="74">
        <v>45889</v>
      </c>
      <c r="F1029" t="s">
        <v>372</v>
      </c>
      <c r="G1029" t="s">
        <v>373</v>
      </c>
      <c r="H1029" s="75">
        <f t="shared" si="16"/>
        <v>208.08824495766055</v>
      </c>
      <c r="I1029" s="74">
        <v>45889</v>
      </c>
      <c r="J1029">
        <v>6</v>
      </c>
      <c r="K1029" t="s">
        <v>288</v>
      </c>
      <c r="L1029" t="s">
        <v>348</v>
      </c>
      <c r="M1029" t="s">
        <v>356</v>
      </c>
      <c r="N1029" s="73">
        <v>67259</v>
      </c>
      <c r="O1029" s="73">
        <v>67259</v>
      </c>
      <c r="P1029">
        <v>34.681374159610094</v>
      </c>
    </row>
    <row r="1030" spans="1:16" hidden="1" x14ac:dyDescent="0.2">
      <c r="A1030" s="73">
        <v>67259</v>
      </c>
      <c r="B1030" t="s">
        <v>462</v>
      </c>
      <c r="C1030" s="73" t="s">
        <v>463</v>
      </c>
      <c r="D1030" t="s">
        <v>218</v>
      </c>
      <c r="E1030" s="74">
        <v>45890</v>
      </c>
      <c r="F1030" t="s">
        <v>372</v>
      </c>
      <c r="G1030" t="s">
        <v>373</v>
      </c>
      <c r="H1030" s="75">
        <f t="shared" si="16"/>
        <v>208.08824495766055</v>
      </c>
      <c r="I1030" s="74">
        <v>45890</v>
      </c>
      <c r="J1030">
        <v>6</v>
      </c>
      <c r="K1030" t="s">
        <v>288</v>
      </c>
      <c r="L1030" t="s">
        <v>348</v>
      </c>
      <c r="M1030" t="s">
        <v>356</v>
      </c>
      <c r="N1030" s="73">
        <v>67259</v>
      </c>
      <c r="O1030" s="73">
        <v>67259</v>
      </c>
      <c r="P1030">
        <v>34.681374159610094</v>
      </c>
    </row>
    <row r="1031" spans="1:16" hidden="1" x14ac:dyDescent="0.2">
      <c r="A1031" s="73">
        <v>67259</v>
      </c>
      <c r="B1031" t="s">
        <v>462</v>
      </c>
      <c r="C1031" s="73" t="s">
        <v>463</v>
      </c>
      <c r="D1031" t="s">
        <v>218</v>
      </c>
      <c r="E1031" s="74">
        <v>45891</v>
      </c>
      <c r="F1031" t="s">
        <v>372</v>
      </c>
      <c r="G1031" t="s">
        <v>373</v>
      </c>
      <c r="H1031" s="75">
        <f t="shared" si="16"/>
        <v>208.08824495766055</v>
      </c>
      <c r="I1031" s="74">
        <v>45891</v>
      </c>
      <c r="J1031">
        <v>6</v>
      </c>
      <c r="K1031" t="s">
        <v>288</v>
      </c>
      <c r="L1031" t="s">
        <v>348</v>
      </c>
      <c r="M1031" t="s">
        <v>356</v>
      </c>
      <c r="N1031" s="73">
        <v>67259</v>
      </c>
      <c r="O1031" s="73">
        <v>67259</v>
      </c>
      <c r="P1031">
        <v>34.681374159610094</v>
      </c>
    </row>
    <row r="1032" spans="1:16" hidden="1" x14ac:dyDescent="0.2">
      <c r="A1032" s="73">
        <v>67259</v>
      </c>
      <c r="B1032" t="s">
        <v>462</v>
      </c>
      <c r="C1032" s="73" t="s">
        <v>463</v>
      </c>
      <c r="D1032" t="s">
        <v>218</v>
      </c>
      <c r="E1032" s="74">
        <v>45894</v>
      </c>
      <c r="F1032" t="s">
        <v>372</v>
      </c>
      <c r="G1032" t="s">
        <v>373</v>
      </c>
      <c r="H1032" s="75">
        <f t="shared" si="16"/>
        <v>208.08824495766055</v>
      </c>
      <c r="I1032" s="74">
        <v>45894</v>
      </c>
      <c r="J1032">
        <v>6</v>
      </c>
      <c r="K1032" t="s">
        <v>288</v>
      </c>
      <c r="L1032" t="s">
        <v>348</v>
      </c>
      <c r="M1032" t="s">
        <v>356</v>
      </c>
      <c r="N1032" s="73">
        <v>67259</v>
      </c>
      <c r="O1032" s="73">
        <v>67259</v>
      </c>
      <c r="P1032">
        <v>34.681374159610094</v>
      </c>
    </row>
    <row r="1033" spans="1:16" hidden="1" x14ac:dyDescent="0.2">
      <c r="A1033" s="73">
        <v>67259</v>
      </c>
      <c r="B1033" t="s">
        <v>462</v>
      </c>
      <c r="C1033" s="73" t="s">
        <v>463</v>
      </c>
      <c r="D1033" t="s">
        <v>218</v>
      </c>
      <c r="E1033" s="74">
        <v>45895</v>
      </c>
      <c r="F1033" t="s">
        <v>372</v>
      </c>
      <c r="G1033" t="s">
        <v>373</v>
      </c>
      <c r="H1033" s="75">
        <f t="shared" si="16"/>
        <v>208.08824495766055</v>
      </c>
      <c r="I1033" s="74">
        <v>45895</v>
      </c>
      <c r="J1033">
        <v>6</v>
      </c>
      <c r="K1033" t="s">
        <v>288</v>
      </c>
      <c r="L1033" t="s">
        <v>348</v>
      </c>
      <c r="M1033" t="s">
        <v>356</v>
      </c>
      <c r="N1033" s="73">
        <v>67259</v>
      </c>
      <c r="O1033" s="73">
        <v>67259</v>
      </c>
      <c r="P1033">
        <v>34.681374159610094</v>
      </c>
    </row>
    <row r="1034" spans="1:16" hidden="1" x14ac:dyDescent="0.2">
      <c r="A1034" s="73">
        <v>67259</v>
      </c>
      <c r="B1034" t="s">
        <v>462</v>
      </c>
      <c r="C1034" s="73" t="s">
        <v>463</v>
      </c>
      <c r="D1034" t="s">
        <v>218</v>
      </c>
      <c r="E1034" s="74">
        <v>45896</v>
      </c>
      <c r="F1034" t="s">
        <v>372</v>
      </c>
      <c r="G1034" t="s">
        <v>373</v>
      </c>
      <c r="H1034" s="75">
        <f t="shared" si="16"/>
        <v>208.08824495766055</v>
      </c>
      <c r="I1034" s="74">
        <v>45896</v>
      </c>
      <c r="J1034">
        <v>6</v>
      </c>
      <c r="K1034" t="s">
        <v>288</v>
      </c>
      <c r="L1034" t="s">
        <v>348</v>
      </c>
      <c r="M1034" t="s">
        <v>356</v>
      </c>
      <c r="N1034" s="73">
        <v>67259</v>
      </c>
      <c r="O1034" s="73">
        <v>67259</v>
      </c>
      <c r="P1034">
        <v>34.681374159610094</v>
      </c>
    </row>
    <row r="1035" spans="1:16" hidden="1" x14ac:dyDescent="0.2">
      <c r="A1035" s="73">
        <v>67259</v>
      </c>
      <c r="B1035" t="s">
        <v>462</v>
      </c>
      <c r="C1035" s="73" t="s">
        <v>463</v>
      </c>
      <c r="D1035" t="s">
        <v>218</v>
      </c>
      <c r="E1035" s="74">
        <v>45897</v>
      </c>
      <c r="F1035" t="s">
        <v>372</v>
      </c>
      <c r="G1035" t="s">
        <v>373</v>
      </c>
      <c r="H1035" s="75">
        <f t="shared" si="16"/>
        <v>208.08824495766055</v>
      </c>
      <c r="I1035" s="74">
        <v>45897</v>
      </c>
      <c r="J1035">
        <v>6</v>
      </c>
      <c r="K1035" t="s">
        <v>288</v>
      </c>
      <c r="L1035" t="s">
        <v>348</v>
      </c>
      <c r="M1035" t="s">
        <v>356</v>
      </c>
      <c r="N1035" s="73">
        <v>67259</v>
      </c>
      <c r="O1035" s="73">
        <v>67259</v>
      </c>
      <c r="P1035">
        <v>34.681374159610094</v>
      </c>
    </row>
    <row r="1036" spans="1:16" hidden="1" x14ac:dyDescent="0.2">
      <c r="A1036" s="73">
        <v>67259</v>
      </c>
      <c r="B1036" t="s">
        <v>462</v>
      </c>
      <c r="C1036" s="73" t="s">
        <v>463</v>
      </c>
      <c r="D1036" t="s">
        <v>218</v>
      </c>
      <c r="E1036" s="74">
        <v>45901</v>
      </c>
      <c r="F1036" t="s">
        <v>372</v>
      </c>
      <c r="G1036" t="s">
        <v>373</v>
      </c>
      <c r="H1036" s="75">
        <f t="shared" si="16"/>
        <v>173.40687079805048</v>
      </c>
      <c r="I1036" s="74">
        <v>45901</v>
      </c>
      <c r="J1036">
        <v>5</v>
      </c>
      <c r="K1036" t="s">
        <v>512</v>
      </c>
      <c r="L1036" t="s">
        <v>348</v>
      </c>
      <c r="M1036" t="s">
        <v>356</v>
      </c>
      <c r="N1036" s="73">
        <v>67259</v>
      </c>
      <c r="O1036" s="73">
        <v>67259</v>
      </c>
      <c r="P1036">
        <v>34.681374159610094</v>
      </c>
    </row>
    <row r="1037" spans="1:16" hidden="1" x14ac:dyDescent="0.2">
      <c r="A1037" s="73">
        <v>67259</v>
      </c>
      <c r="B1037" t="s">
        <v>462</v>
      </c>
      <c r="C1037" s="73" t="s">
        <v>463</v>
      </c>
      <c r="D1037" t="s">
        <v>218</v>
      </c>
      <c r="E1037" s="74">
        <v>45902</v>
      </c>
      <c r="F1037" t="s">
        <v>372</v>
      </c>
      <c r="G1037" t="s">
        <v>373</v>
      </c>
      <c r="H1037" s="75">
        <f t="shared" si="16"/>
        <v>173.40687079805048</v>
      </c>
      <c r="I1037" s="74">
        <v>45902</v>
      </c>
      <c r="J1037">
        <v>5</v>
      </c>
      <c r="K1037" t="s">
        <v>512</v>
      </c>
      <c r="L1037" t="s">
        <v>348</v>
      </c>
      <c r="M1037" t="s">
        <v>356</v>
      </c>
      <c r="N1037" s="73">
        <v>67259</v>
      </c>
      <c r="O1037" s="73">
        <v>67259</v>
      </c>
      <c r="P1037">
        <v>34.681374159610094</v>
      </c>
    </row>
    <row r="1038" spans="1:16" hidden="1" x14ac:dyDescent="0.2">
      <c r="A1038" s="73">
        <v>67259</v>
      </c>
      <c r="B1038" t="s">
        <v>462</v>
      </c>
      <c r="C1038" s="73" t="s">
        <v>463</v>
      </c>
      <c r="D1038" t="s">
        <v>218</v>
      </c>
      <c r="E1038" s="74">
        <v>45903</v>
      </c>
      <c r="F1038" t="s">
        <v>372</v>
      </c>
      <c r="G1038" t="s">
        <v>373</v>
      </c>
      <c r="H1038" s="75">
        <f t="shared" si="16"/>
        <v>173.40687079805048</v>
      </c>
      <c r="I1038" s="74">
        <v>45903</v>
      </c>
      <c r="J1038">
        <v>5</v>
      </c>
      <c r="K1038" t="s">
        <v>512</v>
      </c>
      <c r="L1038" t="s">
        <v>348</v>
      </c>
      <c r="M1038" t="s">
        <v>356</v>
      </c>
      <c r="N1038" s="73">
        <v>67259</v>
      </c>
      <c r="O1038" s="73">
        <v>67259</v>
      </c>
      <c r="P1038">
        <v>34.681374159610094</v>
      </c>
    </row>
    <row r="1039" spans="1:16" hidden="1" x14ac:dyDescent="0.2">
      <c r="A1039" s="73">
        <v>67259</v>
      </c>
      <c r="B1039" t="s">
        <v>462</v>
      </c>
      <c r="C1039" s="73" t="s">
        <v>463</v>
      </c>
      <c r="D1039" t="s">
        <v>218</v>
      </c>
      <c r="E1039" s="74">
        <v>45904</v>
      </c>
      <c r="F1039" t="s">
        <v>372</v>
      </c>
      <c r="G1039" t="s">
        <v>373</v>
      </c>
      <c r="H1039" s="75">
        <f t="shared" si="16"/>
        <v>173.40687079805048</v>
      </c>
      <c r="I1039" s="74">
        <v>45904</v>
      </c>
      <c r="J1039">
        <v>5</v>
      </c>
      <c r="K1039" t="s">
        <v>512</v>
      </c>
      <c r="L1039" t="s">
        <v>348</v>
      </c>
      <c r="M1039" t="s">
        <v>356</v>
      </c>
      <c r="N1039" s="73">
        <v>67259</v>
      </c>
      <c r="O1039" s="73">
        <v>67259</v>
      </c>
      <c r="P1039">
        <v>34.681374159610094</v>
      </c>
    </row>
    <row r="1040" spans="1:16" hidden="1" x14ac:dyDescent="0.2">
      <c r="A1040" s="73">
        <v>67259</v>
      </c>
      <c r="B1040" t="s">
        <v>462</v>
      </c>
      <c r="C1040" s="73" t="s">
        <v>463</v>
      </c>
      <c r="D1040" t="s">
        <v>218</v>
      </c>
      <c r="E1040" s="74">
        <v>45905</v>
      </c>
      <c r="F1040" t="s">
        <v>372</v>
      </c>
      <c r="G1040" t="s">
        <v>373</v>
      </c>
      <c r="H1040" s="75">
        <f t="shared" si="16"/>
        <v>173.40687079805048</v>
      </c>
      <c r="I1040" s="74">
        <v>45905</v>
      </c>
      <c r="J1040">
        <v>5</v>
      </c>
      <c r="K1040" t="s">
        <v>512</v>
      </c>
      <c r="L1040" t="s">
        <v>348</v>
      </c>
      <c r="M1040" t="s">
        <v>356</v>
      </c>
      <c r="N1040" s="73">
        <v>67259</v>
      </c>
      <c r="O1040" s="73">
        <v>67259</v>
      </c>
      <c r="P1040">
        <v>34.681374159610094</v>
      </c>
    </row>
    <row r="1041" spans="1:16" hidden="1" x14ac:dyDescent="0.2">
      <c r="A1041" s="73">
        <v>67259</v>
      </c>
      <c r="B1041" t="s">
        <v>462</v>
      </c>
      <c r="C1041" s="73" t="s">
        <v>463</v>
      </c>
      <c r="D1041" t="s">
        <v>218</v>
      </c>
      <c r="E1041" s="74">
        <v>45908</v>
      </c>
      <c r="F1041" t="s">
        <v>372</v>
      </c>
      <c r="G1041" t="s">
        <v>373</v>
      </c>
      <c r="H1041" s="75">
        <f t="shared" si="16"/>
        <v>173.40687079805048</v>
      </c>
      <c r="I1041" s="74">
        <v>45908</v>
      </c>
      <c r="J1041">
        <v>5</v>
      </c>
      <c r="K1041" t="s">
        <v>512</v>
      </c>
      <c r="L1041" t="s">
        <v>348</v>
      </c>
      <c r="M1041" t="s">
        <v>356</v>
      </c>
      <c r="N1041" s="73">
        <v>67259</v>
      </c>
      <c r="O1041" s="73">
        <v>67259</v>
      </c>
      <c r="P1041">
        <v>34.681374159610094</v>
      </c>
    </row>
    <row r="1042" spans="1:16" hidden="1" x14ac:dyDescent="0.2">
      <c r="A1042" s="73">
        <v>67259</v>
      </c>
      <c r="B1042" t="s">
        <v>462</v>
      </c>
      <c r="C1042" s="73" t="s">
        <v>463</v>
      </c>
      <c r="D1042" t="s">
        <v>218</v>
      </c>
      <c r="E1042" s="74">
        <v>45909</v>
      </c>
      <c r="F1042" t="s">
        <v>372</v>
      </c>
      <c r="G1042" t="s">
        <v>373</v>
      </c>
      <c r="H1042" s="75">
        <f t="shared" si="16"/>
        <v>173.40687079805048</v>
      </c>
      <c r="I1042" s="74">
        <v>45909</v>
      </c>
      <c r="J1042">
        <v>5</v>
      </c>
      <c r="K1042" t="s">
        <v>512</v>
      </c>
      <c r="L1042" t="s">
        <v>348</v>
      </c>
      <c r="M1042" t="s">
        <v>356</v>
      </c>
      <c r="N1042" s="73">
        <v>67259</v>
      </c>
      <c r="O1042" s="73">
        <v>67259</v>
      </c>
      <c r="P1042">
        <v>34.681374159610094</v>
      </c>
    </row>
    <row r="1043" spans="1:16" hidden="1" x14ac:dyDescent="0.2">
      <c r="A1043" s="73">
        <v>67259</v>
      </c>
      <c r="B1043" t="s">
        <v>462</v>
      </c>
      <c r="C1043" s="73" t="s">
        <v>463</v>
      </c>
      <c r="D1043" t="s">
        <v>218</v>
      </c>
      <c r="E1043" s="74">
        <v>45910</v>
      </c>
      <c r="F1043" t="s">
        <v>372</v>
      </c>
      <c r="G1043" t="s">
        <v>373</v>
      </c>
      <c r="H1043" s="75">
        <f t="shared" si="16"/>
        <v>173.40687079805048</v>
      </c>
      <c r="I1043" s="74">
        <v>45910</v>
      </c>
      <c r="J1043">
        <v>5</v>
      </c>
      <c r="K1043" t="s">
        <v>512</v>
      </c>
      <c r="L1043" t="s">
        <v>348</v>
      </c>
      <c r="M1043" t="s">
        <v>356</v>
      </c>
      <c r="N1043" s="73">
        <v>67259</v>
      </c>
      <c r="O1043" s="73">
        <v>67259</v>
      </c>
      <c r="P1043">
        <v>34.681374159610094</v>
      </c>
    </row>
    <row r="1044" spans="1:16" hidden="1" x14ac:dyDescent="0.2">
      <c r="A1044" s="73">
        <v>67259</v>
      </c>
      <c r="B1044" t="s">
        <v>462</v>
      </c>
      <c r="C1044" s="73" t="s">
        <v>463</v>
      </c>
      <c r="D1044" t="s">
        <v>218</v>
      </c>
      <c r="E1044" s="74">
        <v>45911</v>
      </c>
      <c r="F1044" t="s">
        <v>372</v>
      </c>
      <c r="G1044" t="s">
        <v>373</v>
      </c>
      <c r="H1044" s="75">
        <f t="shared" si="16"/>
        <v>173.40687079805048</v>
      </c>
      <c r="I1044" s="74">
        <v>45911</v>
      </c>
      <c r="J1044">
        <v>5</v>
      </c>
      <c r="K1044" t="s">
        <v>512</v>
      </c>
      <c r="L1044" t="s">
        <v>348</v>
      </c>
      <c r="M1044" t="s">
        <v>356</v>
      </c>
      <c r="N1044" s="73">
        <v>67259</v>
      </c>
      <c r="O1044" s="73">
        <v>67259</v>
      </c>
      <c r="P1044">
        <v>34.681374159610094</v>
      </c>
    </row>
    <row r="1045" spans="1:16" hidden="1" x14ac:dyDescent="0.2">
      <c r="A1045" s="73">
        <v>67259</v>
      </c>
      <c r="B1045" t="s">
        <v>462</v>
      </c>
      <c r="C1045" s="73" t="s">
        <v>463</v>
      </c>
      <c r="D1045" t="s">
        <v>218</v>
      </c>
      <c r="E1045" s="74">
        <v>45912</v>
      </c>
      <c r="F1045" t="s">
        <v>372</v>
      </c>
      <c r="G1045" t="s">
        <v>373</v>
      </c>
      <c r="H1045" s="75">
        <f t="shared" si="16"/>
        <v>173.40687079805048</v>
      </c>
      <c r="I1045" s="74">
        <v>45912</v>
      </c>
      <c r="J1045">
        <v>5</v>
      </c>
      <c r="K1045" t="s">
        <v>512</v>
      </c>
      <c r="L1045" t="s">
        <v>348</v>
      </c>
      <c r="M1045" t="s">
        <v>356</v>
      </c>
      <c r="N1045" s="73">
        <v>67259</v>
      </c>
      <c r="O1045" s="73">
        <v>67259</v>
      </c>
      <c r="P1045">
        <v>34.681374159610094</v>
      </c>
    </row>
    <row r="1046" spans="1:16" hidden="1" x14ac:dyDescent="0.2">
      <c r="A1046" s="73">
        <v>67259</v>
      </c>
      <c r="B1046" t="s">
        <v>462</v>
      </c>
      <c r="C1046" s="73" t="s">
        <v>463</v>
      </c>
      <c r="D1046" t="s">
        <v>218</v>
      </c>
      <c r="E1046" s="74">
        <v>45915</v>
      </c>
      <c r="F1046" t="s">
        <v>372</v>
      </c>
      <c r="G1046" t="s">
        <v>373</v>
      </c>
      <c r="H1046" s="75">
        <f t="shared" si="16"/>
        <v>173.40687079805048</v>
      </c>
      <c r="I1046" s="74">
        <v>45915</v>
      </c>
      <c r="J1046">
        <v>5</v>
      </c>
      <c r="K1046" t="s">
        <v>512</v>
      </c>
      <c r="L1046" t="s">
        <v>348</v>
      </c>
      <c r="M1046" t="s">
        <v>356</v>
      </c>
      <c r="N1046" s="73">
        <v>67259</v>
      </c>
      <c r="O1046" s="73">
        <v>67259</v>
      </c>
      <c r="P1046">
        <v>34.681374159610094</v>
      </c>
    </row>
    <row r="1047" spans="1:16" hidden="1" x14ac:dyDescent="0.2">
      <c r="A1047" s="73">
        <v>67259</v>
      </c>
      <c r="B1047" t="s">
        <v>462</v>
      </c>
      <c r="C1047" s="73" t="s">
        <v>463</v>
      </c>
      <c r="D1047" t="s">
        <v>218</v>
      </c>
      <c r="E1047" s="74">
        <v>45916</v>
      </c>
      <c r="F1047" t="s">
        <v>372</v>
      </c>
      <c r="G1047" t="s">
        <v>373</v>
      </c>
      <c r="H1047" s="75">
        <f t="shared" si="16"/>
        <v>173.40687079805048</v>
      </c>
      <c r="I1047" s="74">
        <v>45916</v>
      </c>
      <c r="J1047">
        <v>5</v>
      </c>
      <c r="K1047" t="s">
        <v>512</v>
      </c>
      <c r="L1047" t="s">
        <v>348</v>
      </c>
      <c r="M1047" t="s">
        <v>356</v>
      </c>
      <c r="N1047" s="73">
        <v>67259</v>
      </c>
      <c r="O1047" s="73">
        <v>67259</v>
      </c>
      <c r="P1047">
        <v>34.681374159610094</v>
      </c>
    </row>
    <row r="1048" spans="1:16" hidden="1" x14ac:dyDescent="0.2">
      <c r="A1048" s="73">
        <v>67259</v>
      </c>
      <c r="B1048" t="s">
        <v>462</v>
      </c>
      <c r="C1048" s="73" t="s">
        <v>463</v>
      </c>
      <c r="D1048" t="s">
        <v>218</v>
      </c>
      <c r="E1048" s="74">
        <v>45917</v>
      </c>
      <c r="F1048" t="s">
        <v>372</v>
      </c>
      <c r="G1048" t="s">
        <v>373</v>
      </c>
      <c r="H1048" s="75">
        <f t="shared" si="16"/>
        <v>173.40687079805048</v>
      </c>
      <c r="I1048" s="74">
        <v>45917</v>
      </c>
      <c r="J1048">
        <v>5</v>
      </c>
      <c r="K1048" t="s">
        <v>512</v>
      </c>
      <c r="L1048" t="s">
        <v>348</v>
      </c>
      <c r="M1048" t="s">
        <v>356</v>
      </c>
      <c r="N1048" s="73">
        <v>67259</v>
      </c>
      <c r="O1048" s="73">
        <v>67259</v>
      </c>
      <c r="P1048">
        <v>34.681374159610094</v>
      </c>
    </row>
    <row r="1049" spans="1:16" hidden="1" x14ac:dyDescent="0.2">
      <c r="A1049" s="73">
        <v>67259</v>
      </c>
      <c r="B1049" t="s">
        <v>462</v>
      </c>
      <c r="C1049" s="73" t="s">
        <v>463</v>
      </c>
      <c r="D1049" t="s">
        <v>218</v>
      </c>
      <c r="E1049" s="74">
        <v>45918</v>
      </c>
      <c r="F1049" t="s">
        <v>372</v>
      </c>
      <c r="G1049" t="s">
        <v>373</v>
      </c>
      <c r="H1049" s="75">
        <f t="shared" si="16"/>
        <v>173.40687079805048</v>
      </c>
      <c r="I1049" s="74">
        <v>45918</v>
      </c>
      <c r="J1049">
        <v>5</v>
      </c>
      <c r="K1049" t="s">
        <v>512</v>
      </c>
      <c r="L1049" t="s">
        <v>348</v>
      </c>
      <c r="M1049" t="s">
        <v>356</v>
      </c>
      <c r="N1049" s="73">
        <v>67259</v>
      </c>
      <c r="O1049" s="73">
        <v>67259</v>
      </c>
      <c r="P1049">
        <v>34.681374159610094</v>
      </c>
    </row>
    <row r="1050" spans="1:16" hidden="1" x14ac:dyDescent="0.2">
      <c r="A1050" s="73">
        <v>67259</v>
      </c>
      <c r="B1050" t="s">
        <v>462</v>
      </c>
      <c r="C1050" s="73" t="s">
        <v>463</v>
      </c>
      <c r="D1050" t="s">
        <v>218</v>
      </c>
      <c r="E1050" s="74">
        <v>45919</v>
      </c>
      <c r="F1050" t="s">
        <v>372</v>
      </c>
      <c r="G1050" t="s">
        <v>373</v>
      </c>
      <c r="H1050" s="75">
        <f t="shared" si="16"/>
        <v>173.40687079805048</v>
      </c>
      <c r="I1050" s="74">
        <v>45919</v>
      </c>
      <c r="J1050">
        <v>5</v>
      </c>
      <c r="K1050" t="s">
        <v>512</v>
      </c>
      <c r="L1050" t="s">
        <v>348</v>
      </c>
      <c r="M1050" t="s">
        <v>356</v>
      </c>
      <c r="N1050" s="73">
        <v>67259</v>
      </c>
      <c r="O1050" s="73">
        <v>67259</v>
      </c>
      <c r="P1050">
        <v>34.681374159610094</v>
      </c>
    </row>
    <row r="1051" spans="1:16" hidden="1" x14ac:dyDescent="0.2">
      <c r="A1051" s="73">
        <v>67259</v>
      </c>
      <c r="B1051" t="s">
        <v>462</v>
      </c>
      <c r="C1051" s="73" t="s">
        <v>463</v>
      </c>
      <c r="D1051" t="s">
        <v>218</v>
      </c>
      <c r="E1051" s="74">
        <v>45922</v>
      </c>
      <c r="F1051" t="s">
        <v>372</v>
      </c>
      <c r="G1051" t="s">
        <v>373</v>
      </c>
      <c r="H1051" s="75">
        <f t="shared" si="16"/>
        <v>173.40687079805048</v>
      </c>
      <c r="I1051" s="74">
        <v>45922</v>
      </c>
      <c r="J1051">
        <v>5</v>
      </c>
      <c r="K1051" t="s">
        <v>512</v>
      </c>
      <c r="L1051" t="s">
        <v>348</v>
      </c>
      <c r="M1051" t="s">
        <v>356</v>
      </c>
      <c r="N1051" s="73">
        <v>67259</v>
      </c>
      <c r="O1051" s="73">
        <v>67259</v>
      </c>
      <c r="P1051">
        <v>34.681374159610094</v>
      </c>
    </row>
    <row r="1052" spans="1:16" hidden="1" x14ac:dyDescent="0.2">
      <c r="A1052" s="73">
        <v>67259</v>
      </c>
      <c r="B1052" t="s">
        <v>462</v>
      </c>
      <c r="C1052" s="73" t="s">
        <v>463</v>
      </c>
      <c r="D1052" t="s">
        <v>218</v>
      </c>
      <c r="E1052" s="74">
        <v>45923</v>
      </c>
      <c r="F1052" t="s">
        <v>372</v>
      </c>
      <c r="G1052" t="s">
        <v>373</v>
      </c>
      <c r="H1052" s="75">
        <f t="shared" si="16"/>
        <v>173.40687079805048</v>
      </c>
      <c r="I1052" s="74">
        <v>45923</v>
      </c>
      <c r="J1052">
        <v>5</v>
      </c>
      <c r="K1052" t="s">
        <v>512</v>
      </c>
      <c r="L1052" t="s">
        <v>348</v>
      </c>
      <c r="M1052" t="s">
        <v>356</v>
      </c>
      <c r="N1052" s="73">
        <v>67259</v>
      </c>
      <c r="O1052" s="73">
        <v>67259</v>
      </c>
      <c r="P1052">
        <v>34.681374159610094</v>
      </c>
    </row>
    <row r="1053" spans="1:16" hidden="1" x14ac:dyDescent="0.2">
      <c r="A1053" s="73">
        <v>67259</v>
      </c>
      <c r="B1053" t="s">
        <v>462</v>
      </c>
      <c r="C1053" s="73" t="s">
        <v>463</v>
      </c>
      <c r="D1053" t="s">
        <v>218</v>
      </c>
      <c r="E1053" s="74">
        <v>45924</v>
      </c>
      <c r="F1053" t="s">
        <v>372</v>
      </c>
      <c r="G1053" t="s">
        <v>373</v>
      </c>
      <c r="H1053" s="75">
        <f t="shared" si="16"/>
        <v>173.40687079805048</v>
      </c>
      <c r="I1053" s="74">
        <v>45924</v>
      </c>
      <c r="J1053">
        <v>5</v>
      </c>
      <c r="K1053" t="s">
        <v>512</v>
      </c>
      <c r="L1053" t="s">
        <v>348</v>
      </c>
      <c r="M1053" t="s">
        <v>356</v>
      </c>
      <c r="N1053" s="73">
        <v>67259</v>
      </c>
      <c r="O1053" s="73">
        <v>67259</v>
      </c>
      <c r="P1053">
        <v>34.681374159610094</v>
      </c>
    </row>
    <row r="1054" spans="1:16" hidden="1" x14ac:dyDescent="0.2">
      <c r="A1054" s="73">
        <v>67259</v>
      </c>
      <c r="B1054" t="s">
        <v>462</v>
      </c>
      <c r="C1054" s="73" t="s">
        <v>463</v>
      </c>
      <c r="D1054" t="s">
        <v>218</v>
      </c>
      <c r="E1054" s="74">
        <v>45925</v>
      </c>
      <c r="F1054" t="s">
        <v>372</v>
      </c>
      <c r="G1054" t="s">
        <v>373</v>
      </c>
      <c r="H1054" s="75">
        <f t="shared" si="16"/>
        <v>173.40687079805048</v>
      </c>
      <c r="I1054" s="74">
        <v>45925</v>
      </c>
      <c r="J1054">
        <v>5</v>
      </c>
      <c r="K1054" t="s">
        <v>512</v>
      </c>
      <c r="L1054" t="s">
        <v>348</v>
      </c>
      <c r="M1054" t="s">
        <v>356</v>
      </c>
      <c r="N1054" s="73">
        <v>67259</v>
      </c>
      <c r="O1054" s="73">
        <v>67259</v>
      </c>
      <c r="P1054">
        <v>34.681374159610094</v>
      </c>
    </row>
    <row r="1055" spans="1:16" hidden="1" x14ac:dyDescent="0.2">
      <c r="A1055" s="73">
        <v>67259</v>
      </c>
      <c r="B1055" t="s">
        <v>462</v>
      </c>
      <c r="C1055" s="73" t="s">
        <v>463</v>
      </c>
      <c r="D1055" t="s">
        <v>218</v>
      </c>
      <c r="E1055" s="74">
        <v>45926</v>
      </c>
      <c r="F1055" t="s">
        <v>372</v>
      </c>
      <c r="G1055" t="s">
        <v>373</v>
      </c>
      <c r="H1055" s="75">
        <f t="shared" si="16"/>
        <v>173.40687079805048</v>
      </c>
      <c r="I1055" s="74">
        <v>45926</v>
      </c>
      <c r="J1055">
        <v>5</v>
      </c>
      <c r="K1055" t="s">
        <v>512</v>
      </c>
      <c r="L1055" t="s">
        <v>348</v>
      </c>
      <c r="M1055" t="s">
        <v>356</v>
      </c>
      <c r="N1055" s="73">
        <v>67259</v>
      </c>
      <c r="O1055" s="73">
        <v>67259</v>
      </c>
      <c r="P1055">
        <v>34.681374159610094</v>
      </c>
    </row>
    <row r="1056" spans="1:16" hidden="1" x14ac:dyDescent="0.2">
      <c r="A1056" s="73">
        <v>67259</v>
      </c>
      <c r="B1056" t="s">
        <v>462</v>
      </c>
      <c r="C1056" s="73" t="s">
        <v>463</v>
      </c>
      <c r="D1056" t="s">
        <v>218</v>
      </c>
      <c r="E1056" s="74">
        <v>45929</v>
      </c>
      <c r="F1056" t="s">
        <v>372</v>
      </c>
      <c r="G1056" t="s">
        <v>373</v>
      </c>
      <c r="H1056" s="75">
        <f t="shared" si="16"/>
        <v>173.40687079805048</v>
      </c>
      <c r="I1056" s="74">
        <v>45929</v>
      </c>
      <c r="J1056">
        <v>5</v>
      </c>
      <c r="K1056" t="s">
        <v>512</v>
      </c>
      <c r="L1056" t="s">
        <v>348</v>
      </c>
      <c r="M1056" t="s">
        <v>356</v>
      </c>
      <c r="N1056" s="73">
        <v>67259</v>
      </c>
      <c r="O1056" s="73">
        <v>67259</v>
      </c>
      <c r="P1056">
        <v>34.681374159610094</v>
      </c>
    </row>
    <row r="1057" spans="1:16" hidden="1" x14ac:dyDescent="0.2">
      <c r="A1057" s="73">
        <v>67259</v>
      </c>
      <c r="B1057" t="s">
        <v>462</v>
      </c>
      <c r="C1057" s="73" t="s">
        <v>463</v>
      </c>
      <c r="D1057" t="s">
        <v>218</v>
      </c>
      <c r="E1057" s="74">
        <v>45930</v>
      </c>
      <c r="F1057" t="s">
        <v>372</v>
      </c>
      <c r="G1057" t="s">
        <v>373</v>
      </c>
      <c r="H1057" s="75">
        <f t="shared" si="16"/>
        <v>104.04412247883027</v>
      </c>
      <c r="I1057" s="74">
        <v>45930</v>
      </c>
      <c r="J1057">
        <v>3</v>
      </c>
      <c r="K1057" t="s">
        <v>512</v>
      </c>
      <c r="L1057" t="s">
        <v>348</v>
      </c>
      <c r="M1057" t="s">
        <v>356</v>
      </c>
      <c r="N1057" s="73">
        <v>67259</v>
      </c>
      <c r="O1057" s="73">
        <v>67259</v>
      </c>
      <c r="P1057">
        <v>34.681374159610094</v>
      </c>
    </row>
    <row r="1058" spans="1:16" hidden="1" x14ac:dyDescent="0.2">
      <c r="A1058" s="73">
        <v>67259</v>
      </c>
      <c r="B1058" t="s">
        <v>462</v>
      </c>
      <c r="C1058" s="73" t="s">
        <v>463</v>
      </c>
      <c r="D1058" t="s">
        <v>218</v>
      </c>
      <c r="E1058" s="74">
        <v>45933</v>
      </c>
      <c r="F1058" t="s">
        <v>372</v>
      </c>
      <c r="G1058" t="s">
        <v>373</v>
      </c>
      <c r="H1058" s="75">
        <f t="shared" si="16"/>
        <v>173.40687079805048</v>
      </c>
      <c r="I1058" s="74">
        <v>45933</v>
      </c>
      <c r="J1058">
        <v>5</v>
      </c>
      <c r="K1058" t="s">
        <v>513</v>
      </c>
      <c r="L1058" t="s">
        <v>348</v>
      </c>
      <c r="M1058" t="s">
        <v>356</v>
      </c>
      <c r="N1058" s="73">
        <v>67259</v>
      </c>
      <c r="O1058" s="73">
        <v>67259</v>
      </c>
      <c r="P1058">
        <v>34.681374159610094</v>
      </c>
    </row>
    <row r="1059" spans="1:16" hidden="1" x14ac:dyDescent="0.2">
      <c r="A1059" s="73">
        <v>67259</v>
      </c>
      <c r="B1059" t="s">
        <v>462</v>
      </c>
      <c r="C1059" s="73" t="s">
        <v>463</v>
      </c>
      <c r="D1059" t="s">
        <v>218</v>
      </c>
      <c r="E1059" s="74">
        <v>45936</v>
      </c>
      <c r="F1059" t="s">
        <v>372</v>
      </c>
      <c r="G1059" t="s">
        <v>373</v>
      </c>
      <c r="H1059" s="75">
        <f t="shared" si="16"/>
        <v>173.40687079805048</v>
      </c>
      <c r="I1059" s="74">
        <v>45936</v>
      </c>
      <c r="J1059">
        <v>5</v>
      </c>
      <c r="K1059" t="s">
        <v>513</v>
      </c>
      <c r="L1059" t="s">
        <v>348</v>
      </c>
      <c r="M1059" t="s">
        <v>356</v>
      </c>
      <c r="N1059" s="73">
        <v>67259</v>
      </c>
      <c r="O1059" s="73">
        <v>67259</v>
      </c>
      <c r="P1059">
        <v>34.681374159610094</v>
      </c>
    </row>
    <row r="1060" spans="1:16" hidden="1" x14ac:dyDescent="0.2">
      <c r="A1060" s="73">
        <v>67259</v>
      </c>
      <c r="B1060" t="s">
        <v>462</v>
      </c>
      <c r="C1060" s="73" t="s">
        <v>463</v>
      </c>
      <c r="D1060" t="s">
        <v>218</v>
      </c>
      <c r="E1060" s="74">
        <v>45937</v>
      </c>
      <c r="F1060" t="s">
        <v>372</v>
      </c>
      <c r="G1060" t="s">
        <v>373</v>
      </c>
      <c r="H1060" s="75">
        <f t="shared" si="16"/>
        <v>138.72549663844038</v>
      </c>
      <c r="I1060" s="74">
        <v>45937</v>
      </c>
      <c r="J1060">
        <v>4</v>
      </c>
      <c r="K1060" t="s">
        <v>513</v>
      </c>
      <c r="L1060" t="s">
        <v>348</v>
      </c>
      <c r="M1060" t="s">
        <v>356</v>
      </c>
      <c r="N1060" s="73">
        <v>67259</v>
      </c>
      <c r="O1060" s="73">
        <v>67259</v>
      </c>
      <c r="P1060">
        <v>34.681374159610094</v>
      </c>
    </row>
    <row r="1061" spans="1:16" hidden="1" x14ac:dyDescent="0.2">
      <c r="A1061" s="73">
        <v>67259</v>
      </c>
      <c r="B1061" t="s">
        <v>462</v>
      </c>
      <c r="C1061" s="73" t="s">
        <v>463</v>
      </c>
      <c r="D1061" t="s">
        <v>218</v>
      </c>
      <c r="E1061" s="74">
        <v>45938</v>
      </c>
      <c r="F1061" t="s">
        <v>372</v>
      </c>
      <c r="G1061" t="s">
        <v>373</v>
      </c>
      <c r="H1061" s="75">
        <f t="shared" si="16"/>
        <v>173.40687079805048</v>
      </c>
      <c r="I1061" s="74">
        <v>45938</v>
      </c>
      <c r="J1061">
        <v>5</v>
      </c>
      <c r="K1061" t="s">
        <v>513</v>
      </c>
      <c r="L1061" t="s">
        <v>348</v>
      </c>
      <c r="M1061" t="s">
        <v>356</v>
      </c>
      <c r="N1061" s="73">
        <v>67259</v>
      </c>
      <c r="O1061" s="73">
        <v>67259</v>
      </c>
      <c r="P1061">
        <v>34.681374159610094</v>
      </c>
    </row>
    <row r="1062" spans="1:16" hidden="1" x14ac:dyDescent="0.2">
      <c r="A1062" s="73">
        <v>67259</v>
      </c>
      <c r="B1062" t="s">
        <v>462</v>
      </c>
      <c r="C1062" s="73" t="s">
        <v>463</v>
      </c>
      <c r="D1062" t="s">
        <v>218</v>
      </c>
      <c r="E1062" s="74">
        <v>45939</v>
      </c>
      <c r="F1062" t="s">
        <v>372</v>
      </c>
      <c r="G1062" t="s">
        <v>373</v>
      </c>
      <c r="H1062" s="75">
        <f t="shared" si="16"/>
        <v>138.72549663844038</v>
      </c>
      <c r="I1062" s="74">
        <v>45939</v>
      </c>
      <c r="J1062">
        <v>4</v>
      </c>
      <c r="K1062" t="s">
        <v>513</v>
      </c>
      <c r="L1062" t="s">
        <v>348</v>
      </c>
      <c r="M1062" t="s">
        <v>356</v>
      </c>
      <c r="N1062" s="73">
        <v>67259</v>
      </c>
      <c r="O1062" s="73">
        <v>67259</v>
      </c>
      <c r="P1062">
        <v>34.681374159610094</v>
      </c>
    </row>
    <row r="1063" spans="1:16" hidden="1" x14ac:dyDescent="0.2">
      <c r="A1063" s="73">
        <v>67259</v>
      </c>
      <c r="B1063" t="s">
        <v>462</v>
      </c>
      <c r="C1063" s="73" t="s">
        <v>463</v>
      </c>
      <c r="D1063" t="s">
        <v>218</v>
      </c>
      <c r="E1063" s="74">
        <v>45940</v>
      </c>
      <c r="F1063" t="s">
        <v>372</v>
      </c>
      <c r="G1063" t="s">
        <v>373</v>
      </c>
      <c r="H1063" s="75">
        <f t="shared" si="16"/>
        <v>173.40687079805048</v>
      </c>
      <c r="I1063" s="74">
        <v>45940</v>
      </c>
      <c r="J1063">
        <v>5</v>
      </c>
      <c r="K1063" t="s">
        <v>513</v>
      </c>
      <c r="L1063" t="s">
        <v>348</v>
      </c>
      <c r="M1063" t="s">
        <v>356</v>
      </c>
      <c r="N1063" s="73">
        <v>67259</v>
      </c>
      <c r="O1063" s="73">
        <v>67259</v>
      </c>
      <c r="P1063">
        <v>34.681374159610094</v>
      </c>
    </row>
    <row r="1064" spans="1:16" hidden="1" x14ac:dyDescent="0.2">
      <c r="A1064" s="73">
        <v>67259</v>
      </c>
      <c r="B1064" t="s">
        <v>462</v>
      </c>
      <c r="C1064" s="73" t="s">
        <v>463</v>
      </c>
      <c r="D1064" t="s">
        <v>218</v>
      </c>
      <c r="E1064" s="74">
        <v>45943</v>
      </c>
      <c r="F1064" t="s">
        <v>372</v>
      </c>
      <c r="G1064" t="s">
        <v>373</v>
      </c>
      <c r="H1064" s="75">
        <f t="shared" si="16"/>
        <v>138.72549663844038</v>
      </c>
      <c r="I1064" s="74">
        <v>45943</v>
      </c>
      <c r="J1064">
        <v>4</v>
      </c>
      <c r="K1064" t="s">
        <v>513</v>
      </c>
      <c r="L1064" t="s">
        <v>348</v>
      </c>
      <c r="M1064" t="s">
        <v>356</v>
      </c>
      <c r="N1064" s="73">
        <v>67259</v>
      </c>
      <c r="O1064" s="73">
        <v>67259</v>
      </c>
      <c r="P1064">
        <v>34.681374159610094</v>
      </c>
    </row>
    <row r="1065" spans="1:16" hidden="1" x14ac:dyDescent="0.2">
      <c r="A1065" s="73">
        <v>67259</v>
      </c>
      <c r="B1065" t="s">
        <v>462</v>
      </c>
      <c r="C1065" s="73" t="s">
        <v>463</v>
      </c>
      <c r="D1065" t="s">
        <v>218</v>
      </c>
      <c r="E1065" s="74">
        <v>45944</v>
      </c>
      <c r="F1065" t="s">
        <v>372</v>
      </c>
      <c r="G1065" t="s">
        <v>373</v>
      </c>
      <c r="H1065" s="75">
        <f t="shared" si="16"/>
        <v>138.72549663844038</v>
      </c>
      <c r="I1065" s="74">
        <v>45944</v>
      </c>
      <c r="J1065">
        <v>4</v>
      </c>
      <c r="K1065" t="s">
        <v>513</v>
      </c>
      <c r="L1065" t="s">
        <v>348</v>
      </c>
      <c r="M1065" t="s">
        <v>356</v>
      </c>
      <c r="N1065" s="73">
        <v>67259</v>
      </c>
      <c r="O1065" s="73">
        <v>67259</v>
      </c>
      <c r="P1065">
        <v>34.681374159610094</v>
      </c>
    </row>
    <row r="1066" spans="1:16" hidden="1" x14ac:dyDescent="0.2">
      <c r="A1066" s="73">
        <v>67259</v>
      </c>
      <c r="B1066" t="s">
        <v>462</v>
      </c>
      <c r="C1066" s="73" t="s">
        <v>463</v>
      </c>
      <c r="D1066" t="s">
        <v>218</v>
      </c>
      <c r="E1066" s="74">
        <v>45945</v>
      </c>
      <c r="F1066" t="s">
        <v>372</v>
      </c>
      <c r="G1066" t="s">
        <v>373</v>
      </c>
      <c r="H1066" s="75">
        <f t="shared" si="16"/>
        <v>138.72549663844038</v>
      </c>
      <c r="I1066" s="74">
        <v>45945</v>
      </c>
      <c r="J1066">
        <v>4</v>
      </c>
      <c r="K1066" t="s">
        <v>513</v>
      </c>
      <c r="L1066" t="s">
        <v>348</v>
      </c>
      <c r="M1066" t="s">
        <v>356</v>
      </c>
      <c r="N1066" s="73">
        <v>67259</v>
      </c>
      <c r="O1066" s="73">
        <v>67259</v>
      </c>
      <c r="P1066">
        <v>34.681374159610094</v>
      </c>
    </row>
    <row r="1067" spans="1:16" hidden="1" x14ac:dyDescent="0.2">
      <c r="A1067" s="73">
        <v>67259</v>
      </c>
      <c r="B1067" t="s">
        <v>462</v>
      </c>
      <c r="C1067" s="73" t="s">
        <v>463</v>
      </c>
      <c r="D1067" t="s">
        <v>218</v>
      </c>
      <c r="E1067" s="74">
        <v>45946</v>
      </c>
      <c r="F1067" t="s">
        <v>372</v>
      </c>
      <c r="G1067" t="s">
        <v>373</v>
      </c>
      <c r="H1067" s="75">
        <f t="shared" si="16"/>
        <v>138.72549663844038</v>
      </c>
      <c r="I1067" s="74">
        <v>45946</v>
      </c>
      <c r="J1067">
        <v>4</v>
      </c>
      <c r="K1067" t="s">
        <v>513</v>
      </c>
      <c r="L1067" t="s">
        <v>348</v>
      </c>
      <c r="M1067" t="s">
        <v>356</v>
      </c>
      <c r="N1067" s="73">
        <v>67259</v>
      </c>
      <c r="O1067" s="73">
        <v>67259</v>
      </c>
      <c r="P1067">
        <v>34.681374159610094</v>
      </c>
    </row>
    <row r="1068" spans="1:16" hidden="1" x14ac:dyDescent="0.2">
      <c r="A1068" s="73">
        <v>67259</v>
      </c>
      <c r="B1068" t="s">
        <v>462</v>
      </c>
      <c r="C1068" s="73" t="s">
        <v>463</v>
      </c>
      <c r="D1068" t="s">
        <v>218</v>
      </c>
      <c r="E1068" s="74">
        <v>45947</v>
      </c>
      <c r="F1068" t="s">
        <v>372</v>
      </c>
      <c r="G1068" t="s">
        <v>373</v>
      </c>
      <c r="H1068" s="75">
        <f t="shared" si="16"/>
        <v>138.72549663844038</v>
      </c>
      <c r="I1068" s="74">
        <v>45947</v>
      </c>
      <c r="J1068">
        <v>4</v>
      </c>
      <c r="K1068" t="s">
        <v>513</v>
      </c>
      <c r="L1068" t="s">
        <v>348</v>
      </c>
      <c r="M1068" t="s">
        <v>356</v>
      </c>
      <c r="N1068" s="73">
        <v>67259</v>
      </c>
      <c r="O1068" s="73">
        <v>67259</v>
      </c>
      <c r="P1068">
        <v>34.681374159610094</v>
      </c>
    </row>
    <row r="1069" spans="1:16" hidden="1" x14ac:dyDescent="0.2">
      <c r="A1069" s="73">
        <v>67259</v>
      </c>
      <c r="B1069" t="s">
        <v>462</v>
      </c>
      <c r="C1069" s="73" t="s">
        <v>463</v>
      </c>
      <c r="D1069" t="s">
        <v>218</v>
      </c>
      <c r="E1069" s="74">
        <v>45952</v>
      </c>
      <c r="F1069" t="s">
        <v>372</v>
      </c>
      <c r="G1069" t="s">
        <v>373</v>
      </c>
      <c r="H1069" s="75">
        <f t="shared" si="16"/>
        <v>173.40687079805048</v>
      </c>
      <c r="I1069" s="74">
        <v>45952</v>
      </c>
      <c r="J1069">
        <v>5</v>
      </c>
      <c r="K1069" t="s">
        <v>513</v>
      </c>
      <c r="L1069" t="s">
        <v>348</v>
      </c>
      <c r="M1069" t="s">
        <v>356</v>
      </c>
      <c r="N1069" s="73">
        <v>67259</v>
      </c>
      <c r="O1069" s="73">
        <v>67259</v>
      </c>
      <c r="P1069">
        <v>34.681374159610094</v>
      </c>
    </row>
    <row r="1070" spans="1:16" hidden="1" x14ac:dyDescent="0.2">
      <c r="A1070" s="73">
        <v>67259</v>
      </c>
      <c r="B1070" t="s">
        <v>462</v>
      </c>
      <c r="C1070" s="73" t="s">
        <v>463</v>
      </c>
      <c r="D1070" t="s">
        <v>218</v>
      </c>
      <c r="E1070" s="74">
        <v>45953</v>
      </c>
      <c r="F1070" t="s">
        <v>372</v>
      </c>
      <c r="G1070" t="s">
        <v>373</v>
      </c>
      <c r="H1070" s="75">
        <f t="shared" si="16"/>
        <v>173.40687079805048</v>
      </c>
      <c r="I1070" s="74">
        <v>45953</v>
      </c>
      <c r="J1070">
        <v>5</v>
      </c>
      <c r="K1070" t="s">
        <v>513</v>
      </c>
      <c r="L1070" t="s">
        <v>348</v>
      </c>
      <c r="M1070" t="s">
        <v>356</v>
      </c>
      <c r="N1070" s="73">
        <v>67259</v>
      </c>
      <c r="O1070" s="73">
        <v>67259</v>
      </c>
      <c r="P1070">
        <v>34.681374159610094</v>
      </c>
    </row>
    <row r="1071" spans="1:16" hidden="1" x14ac:dyDescent="0.2">
      <c r="A1071" s="73">
        <v>67259</v>
      </c>
      <c r="B1071" t="s">
        <v>462</v>
      </c>
      <c r="C1071" s="73" t="s">
        <v>463</v>
      </c>
      <c r="D1071" t="s">
        <v>218</v>
      </c>
      <c r="E1071" s="74">
        <v>45954</v>
      </c>
      <c r="F1071" t="s">
        <v>372</v>
      </c>
      <c r="G1071" t="s">
        <v>373</v>
      </c>
      <c r="H1071" s="75">
        <f t="shared" si="16"/>
        <v>173.40687079805048</v>
      </c>
      <c r="I1071" s="74">
        <v>45954</v>
      </c>
      <c r="J1071">
        <v>5</v>
      </c>
      <c r="K1071" t="s">
        <v>513</v>
      </c>
      <c r="L1071" t="s">
        <v>348</v>
      </c>
      <c r="M1071" t="s">
        <v>356</v>
      </c>
      <c r="N1071" s="73">
        <v>67259</v>
      </c>
      <c r="O1071" s="73">
        <v>67259</v>
      </c>
      <c r="P1071">
        <v>34.681374159610094</v>
      </c>
    </row>
    <row r="1072" spans="1:16" hidden="1" x14ac:dyDescent="0.2">
      <c r="A1072" s="73">
        <v>67259</v>
      </c>
      <c r="B1072" t="s">
        <v>462</v>
      </c>
      <c r="C1072" s="73" t="s">
        <v>463</v>
      </c>
      <c r="D1072" t="s">
        <v>218</v>
      </c>
      <c r="E1072" s="74">
        <v>45957</v>
      </c>
      <c r="F1072" t="s">
        <v>372</v>
      </c>
      <c r="G1072" t="s">
        <v>373</v>
      </c>
      <c r="H1072" s="75">
        <f t="shared" si="16"/>
        <v>173.40687079805048</v>
      </c>
      <c r="I1072" s="74">
        <v>45957</v>
      </c>
      <c r="J1072">
        <v>5</v>
      </c>
      <c r="K1072" t="s">
        <v>513</v>
      </c>
      <c r="L1072" t="s">
        <v>348</v>
      </c>
      <c r="M1072" t="s">
        <v>356</v>
      </c>
      <c r="N1072" s="73">
        <v>67259</v>
      </c>
      <c r="O1072" s="73">
        <v>67259</v>
      </c>
      <c r="P1072">
        <v>34.681374159610094</v>
      </c>
    </row>
    <row r="1073" spans="1:16" hidden="1" x14ac:dyDescent="0.2">
      <c r="A1073" s="73">
        <v>67259</v>
      </c>
      <c r="B1073" t="s">
        <v>462</v>
      </c>
      <c r="C1073" s="73" t="s">
        <v>463</v>
      </c>
      <c r="D1073" t="s">
        <v>218</v>
      </c>
      <c r="E1073" s="74">
        <v>45958</v>
      </c>
      <c r="F1073" t="s">
        <v>372</v>
      </c>
      <c r="G1073" t="s">
        <v>373</v>
      </c>
      <c r="H1073" s="75">
        <f t="shared" si="16"/>
        <v>173.40687079805048</v>
      </c>
      <c r="I1073" s="74">
        <v>45958</v>
      </c>
      <c r="J1073">
        <v>5</v>
      </c>
      <c r="K1073" t="s">
        <v>513</v>
      </c>
      <c r="L1073" t="s">
        <v>348</v>
      </c>
      <c r="M1073" t="s">
        <v>356</v>
      </c>
      <c r="N1073" s="73">
        <v>67259</v>
      </c>
      <c r="O1073" s="73">
        <v>67259</v>
      </c>
      <c r="P1073">
        <v>34.681374159610094</v>
      </c>
    </row>
    <row r="1074" spans="1:16" hidden="1" x14ac:dyDescent="0.2">
      <c r="A1074" s="73">
        <v>67259</v>
      </c>
      <c r="B1074" t="s">
        <v>462</v>
      </c>
      <c r="C1074" s="73" t="s">
        <v>463</v>
      </c>
      <c r="D1074" t="s">
        <v>218</v>
      </c>
      <c r="E1074" s="74">
        <v>45959</v>
      </c>
      <c r="F1074" t="s">
        <v>372</v>
      </c>
      <c r="G1074" t="s">
        <v>373</v>
      </c>
      <c r="H1074" s="75">
        <f t="shared" si="16"/>
        <v>173.40687079805048</v>
      </c>
      <c r="I1074" s="74">
        <v>45959</v>
      </c>
      <c r="J1074">
        <v>5</v>
      </c>
      <c r="K1074" t="s">
        <v>513</v>
      </c>
      <c r="L1074" t="s">
        <v>348</v>
      </c>
      <c r="M1074" t="s">
        <v>356</v>
      </c>
      <c r="N1074" s="73">
        <v>67259</v>
      </c>
      <c r="O1074" s="73">
        <v>67259</v>
      </c>
      <c r="P1074">
        <v>34.681374159610094</v>
      </c>
    </row>
    <row r="1075" spans="1:16" hidden="1" x14ac:dyDescent="0.2">
      <c r="A1075" s="73">
        <v>67259</v>
      </c>
      <c r="B1075" t="s">
        <v>462</v>
      </c>
      <c r="C1075" s="73" t="s">
        <v>463</v>
      </c>
      <c r="D1075" t="s">
        <v>218</v>
      </c>
      <c r="E1075" s="74">
        <v>45960</v>
      </c>
      <c r="F1075" t="s">
        <v>372</v>
      </c>
      <c r="G1075" t="s">
        <v>373</v>
      </c>
      <c r="H1075" s="75">
        <f t="shared" si="16"/>
        <v>173.40687079805048</v>
      </c>
      <c r="I1075" s="74">
        <v>45960</v>
      </c>
      <c r="J1075">
        <v>5</v>
      </c>
      <c r="K1075" t="s">
        <v>513</v>
      </c>
      <c r="L1075" t="s">
        <v>348</v>
      </c>
      <c r="M1075" t="s">
        <v>356</v>
      </c>
      <c r="N1075" s="73">
        <v>67259</v>
      </c>
      <c r="O1075" s="73">
        <v>67259</v>
      </c>
      <c r="P1075">
        <v>34.681374159610094</v>
      </c>
    </row>
    <row r="1076" spans="1:16" hidden="1" x14ac:dyDescent="0.2">
      <c r="A1076" s="73">
        <v>67259</v>
      </c>
      <c r="B1076" t="s">
        <v>462</v>
      </c>
      <c r="C1076" s="73" t="s">
        <v>463</v>
      </c>
      <c r="D1076" t="s">
        <v>218</v>
      </c>
      <c r="E1076" s="74">
        <v>45961</v>
      </c>
      <c r="F1076" t="s">
        <v>372</v>
      </c>
      <c r="G1076" t="s">
        <v>373</v>
      </c>
      <c r="H1076" s="75">
        <f t="shared" si="16"/>
        <v>173.40687079805048</v>
      </c>
      <c r="I1076" s="74">
        <v>45961</v>
      </c>
      <c r="J1076">
        <v>5</v>
      </c>
      <c r="K1076" t="s">
        <v>513</v>
      </c>
      <c r="L1076" t="s">
        <v>348</v>
      </c>
      <c r="M1076" t="s">
        <v>356</v>
      </c>
      <c r="N1076" s="73">
        <v>67259</v>
      </c>
      <c r="O1076" s="73">
        <v>67259</v>
      </c>
      <c r="P1076">
        <v>34.681374159610094</v>
      </c>
    </row>
    <row r="1077" spans="1:16" hidden="1" x14ac:dyDescent="0.2">
      <c r="A1077" s="73">
        <v>67259</v>
      </c>
      <c r="B1077" t="s">
        <v>462</v>
      </c>
      <c r="C1077" s="73" t="s">
        <v>463</v>
      </c>
      <c r="D1077" t="s">
        <v>218</v>
      </c>
      <c r="E1077" s="74">
        <v>45964</v>
      </c>
      <c r="F1077" t="s">
        <v>372</v>
      </c>
      <c r="G1077" t="s">
        <v>373</v>
      </c>
      <c r="H1077" s="75">
        <f t="shared" si="16"/>
        <v>173.40687079805048</v>
      </c>
      <c r="I1077" s="74">
        <v>45964</v>
      </c>
      <c r="J1077">
        <v>5</v>
      </c>
      <c r="K1077" t="s">
        <v>514</v>
      </c>
      <c r="L1077" t="s">
        <v>348</v>
      </c>
      <c r="M1077" t="s">
        <v>356</v>
      </c>
      <c r="N1077" s="73">
        <v>67259</v>
      </c>
      <c r="O1077" s="73">
        <v>67259</v>
      </c>
      <c r="P1077">
        <v>34.681374159610094</v>
      </c>
    </row>
    <row r="1078" spans="1:16" hidden="1" x14ac:dyDescent="0.2">
      <c r="A1078" s="73">
        <v>67259</v>
      </c>
      <c r="B1078" t="s">
        <v>462</v>
      </c>
      <c r="C1078" s="73" t="s">
        <v>463</v>
      </c>
      <c r="D1078" t="s">
        <v>218</v>
      </c>
      <c r="E1078" s="74">
        <v>45964</v>
      </c>
      <c r="F1078" t="s">
        <v>372</v>
      </c>
      <c r="G1078" t="s">
        <v>373</v>
      </c>
      <c r="H1078" s="75">
        <f t="shared" si="16"/>
        <v>-173.40687079805048</v>
      </c>
      <c r="I1078" s="74">
        <v>45964</v>
      </c>
      <c r="J1078">
        <v>-5</v>
      </c>
      <c r="K1078" t="s">
        <v>514</v>
      </c>
      <c r="L1078" t="s">
        <v>348</v>
      </c>
      <c r="M1078" t="s">
        <v>356</v>
      </c>
      <c r="N1078" s="73">
        <v>67259</v>
      </c>
      <c r="O1078" s="73">
        <v>67259</v>
      </c>
      <c r="P1078">
        <v>34.681374159610094</v>
      </c>
    </row>
    <row r="1079" spans="1:16" hidden="1" x14ac:dyDescent="0.2">
      <c r="A1079" s="73">
        <v>67259</v>
      </c>
      <c r="B1079" t="s">
        <v>462</v>
      </c>
      <c r="C1079" s="73" t="s">
        <v>463</v>
      </c>
      <c r="D1079" t="s">
        <v>218</v>
      </c>
      <c r="E1079" s="74">
        <v>45964</v>
      </c>
      <c r="F1079" t="s">
        <v>372</v>
      </c>
      <c r="G1079" t="s">
        <v>373</v>
      </c>
      <c r="H1079" s="75">
        <f t="shared" si="16"/>
        <v>208.08824495766055</v>
      </c>
      <c r="I1079" s="74">
        <v>45964</v>
      </c>
      <c r="J1079">
        <v>6</v>
      </c>
      <c r="K1079" t="s">
        <v>514</v>
      </c>
      <c r="L1079" t="s">
        <v>348</v>
      </c>
      <c r="M1079" t="s">
        <v>356</v>
      </c>
      <c r="N1079" s="73">
        <v>67259</v>
      </c>
      <c r="O1079" s="73">
        <v>67259</v>
      </c>
      <c r="P1079">
        <v>34.681374159610094</v>
      </c>
    </row>
    <row r="1080" spans="1:16" hidden="1" x14ac:dyDescent="0.2">
      <c r="A1080" s="73">
        <v>67259</v>
      </c>
      <c r="B1080" t="s">
        <v>462</v>
      </c>
      <c r="C1080" s="73" t="s">
        <v>463</v>
      </c>
      <c r="D1080" t="s">
        <v>218</v>
      </c>
      <c r="E1080" s="74">
        <v>45965</v>
      </c>
      <c r="F1080" t="s">
        <v>372</v>
      </c>
      <c r="G1080" t="s">
        <v>373</v>
      </c>
      <c r="H1080" s="75">
        <f t="shared" si="16"/>
        <v>173.40687079805048</v>
      </c>
      <c r="I1080" s="74">
        <v>45965</v>
      </c>
      <c r="J1080">
        <v>5</v>
      </c>
      <c r="K1080" t="s">
        <v>514</v>
      </c>
      <c r="L1080" t="s">
        <v>348</v>
      </c>
      <c r="M1080" t="s">
        <v>356</v>
      </c>
      <c r="N1080" s="73">
        <v>67259</v>
      </c>
      <c r="O1080" s="73">
        <v>67259</v>
      </c>
      <c r="P1080">
        <v>34.681374159610094</v>
      </c>
    </row>
    <row r="1081" spans="1:16" hidden="1" x14ac:dyDescent="0.2">
      <c r="A1081" s="73">
        <v>67259</v>
      </c>
      <c r="B1081" t="s">
        <v>462</v>
      </c>
      <c r="C1081" s="73" t="s">
        <v>463</v>
      </c>
      <c r="D1081" t="s">
        <v>218</v>
      </c>
      <c r="E1081" s="74">
        <v>45965</v>
      </c>
      <c r="F1081" t="s">
        <v>372</v>
      </c>
      <c r="G1081" t="s">
        <v>373</v>
      </c>
      <c r="H1081" s="75">
        <f t="shared" si="16"/>
        <v>-173.40687079805048</v>
      </c>
      <c r="I1081" s="74">
        <v>45965</v>
      </c>
      <c r="J1081">
        <v>-5</v>
      </c>
      <c r="K1081" t="s">
        <v>514</v>
      </c>
      <c r="L1081" t="s">
        <v>348</v>
      </c>
      <c r="M1081" t="s">
        <v>356</v>
      </c>
      <c r="N1081" s="73">
        <v>67259</v>
      </c>
      <c r="O1081" s="73">
        <v>67259</v>
      </c>
      <c r="P1081">
        <v>34.681374159610094</v>
      </c>
    </row>
    <row r="1082" spans="1:16" hidden="1" x14ac:dyDescent="0.2">
      <c r="A1082" s="73">
        <v>67259</v>
      </c>
      <c r="B1082" t="s">
        <v>462</v>
      </c>
      <c r="C1082" s="73" t="s">
        <v>463</v>
      </c>
      <c r="D1082" t="s">
        <v>218</v>
      </c>
      <c r="E1082" s="74">
        <v>45965</v>
      </c>
      <c r="F1082" t="s">
        <v>372</v>
      </c>
      <c r="G1082" t="s">
        <v>373</v>
      </c>
      <c r="H1082" s="75">
        <f t="shared" si="16"/>
        <v>208.08824495766055</v>
      </c>
      <c r="I1082" s="74">
        <v>45965</v>
      </c>
      <c r="J1082">
        <v>6</v>
      </c>
      <c r="K1082" t="s">
        <v>514</v>
      </c>
      <c r="L1082" t="s">
        <v>348</v>
      </c>
      <c r="M1082" t="s">
        <v>356</v>
      </c>
      <c r="N1082" s="73">
        <v>67259</v>
      </c>
      <c r="O1082" s="73">
        <v>67259</v>
      </c>
      <c r="P1082">
        <v>34.681374159610094</v>
      </c>
    </row>
    <row r="1083" spans="1:16" hidden="1" x14ac:dyDescent="0.2">
      <c r="A1083" s="73">
        <v>67259</v>
      </c>
      <c r="B1083" t="s">
        <v>462</v>
      </c>
      <c r="C1083" s="73" t="s">
        <v>463</v>
      </c>
      <c r="D1083" t="s">
        <v>218</v>
      </c>
      <c r="E1083" s="74">
        <v>45966</v>
      </c>
      <c r="F1083" t="s">
        <v>372</v>
      </c>
      <c r="G1083" t="s">
        <v>373</v>
      </c>
      <c r="H1083" s="75">
        <f t="shared" si="16"/>
        <v>173.40687079805048</v>
      </c>
      <c r="I1083" s="74">
        <v>45966</v>
      </c>
      <c r="J1083">
        <v>5</v>
      </c>
      <c r="K1083" t="s">
        <v>514</v>
      </c>
      <c r="L1083" t="s">
        <v>348</v>
      </c>
      <c r="M1083" t="s">
        <v>356</v>
      </c>
      <c r="N1083" s="73">
        <v>67259</v>
      </c>
      <c r="O1083" s="73">
        <v>67259</v>
      </c>
      <c r="P1083">
        <v>34.681374159610094</v>
      </c>
    </row>
    <row r="1084" spans="1:16" hidden="1" x14ac:dyDescent="0.2">
      <c r="A1084" s="73">
        <v>67259</v>
      </c>
      <c r="B1084" t="s">
        <v>462</v>
      </c>
      <c r="C1084" s="73" t="s">
        <v>463</v>
      </c>
      <c r="D1084" t="s">
        <v>218</v>
      </c>
      <c r="E1084" s="74">
        <v>45966</v>
      </c>
      <c r="F1084" t="s">
        <v>372</v>
      </c>
      <c r="G1084" t="s">
        <v>373</v>
      </c>
      <c r="H1084" s="75">
        <f t="shared" si="16"/>
        <v>-173.40687079805048</v>
      </c>
      <c r="I1084" s="74">
        <v>45966</v>
      </c>
      <c r="J1084">
        <v>-5</v>
      </c>
      <c r="K1084" t="s">
        <v>514</v>
      </c>
      <c r="L1084" t="s">
        <v>348</v>
      </c>
      <c r="M1084" t="s">
        <v>356</v>
      </c>
      <c r="N1084" s="73">
        <v>67259</v>
      </c>
      <c r="O1084" s="73">
        <v>67259</v>
      </c>
      <c r="P1084">
        <v>34.681374159610094</v>
      </c>
    </row>
    <row r="1085" spans="1:16" hidden="1" x14ac:dyDescent="0.2">
      <c r="A1085" s="73">
        <v>67259</v>
      </c>
      <c r="B1085" t="s">
        <v>462</v>
      </c>
      <c r="C1085" s="73" t="s">
        <v>463</v>
      </c>
      <c r="D1085" t="s">
        <v>218</v>
      </c>
      <c r="E1085" s="74">
        <v>45966</v>
      </c>
      <c r="F1085" t="s">
        <v>372</v>
      </c>
      <c r="G1085" t="s">
        <v>373</v>
      </c>
      <c r="H1085" s="75">
        <f t="shared" si="16"/>
        <v>208.08824495766055</v>
      </c>
      <c r="I1085" s="74">
        <v>45966</v>
      </c>
      <c r="J1085">
        <v>6</v>
      </c>
      <c r="K1085" t="s">
        <v>514</v>
      </c>
      <c r="L1085" t="s">
        <v>348</v>
      </c>
      <c r="M1085" t="s">
        <v>356</v>
      </c>
      <c r="N1085" s="73">
        <v>67259</v>
      </c>
      <c r="O1085" s="73">
        <v>67259</v>
      </c>
      <c r="P1085">
        <v>34.681374159610094</v>
      </c>
    </row>
    <row r="1086" spans="1:16" hidden="1" x14ac:dyDescent="0.2">
      <c r="A1086" s="73">
        <v>67259</v>
      </c>
      <c r="B1086" t="s">
        <v>462</v>
      </c>
      <c r="C1086" s="73" t="s">
        <v>463</v>
      </c>
      <c r="D1086" t="s">
        <v>218</v>
      </c>
      <c r="E1086" s="74">
        <v>45967</v>
      </c>
      <c r="F1086" t="s">
        <v>372</v>
      </c>
      <c r="G1086" t="s">
        <v>373</v>
      </c>
      <c r="H1086" s="75">
        <f t="shared" si="16"/>
        <v>173.40687079805048</v>
      </c>
      <c r="I1086" s="74">
        <v>45967</v>
      </c>
      <c r="J1086">
        <v>5</v>
      </c>
      <c r="K1086" t="s">
        <v>514</v>
      </c>
      <c r="L1086" t="s">
        <v>348</v>
      </c>
      <c r="M1086" t="s">
        <v>356</v>
      </c>
      <c r="N1086" s="73">
        <v>67259</v>
      </c>
      <c r="O1086" s="73">
        <v>67259</v>
      </c>
      <c r="P1086">
        <v>34.681374159610094</v>
      </c>
    </row>
    <row r="1087" spans="1:16" hidden="1" x14ac:dyDescent="0.2">
      <c r="A1087" s="73">
        <v>67259</v>
      </c>
      <c r="B1087" t="s">
        <v>462</v>
      </c>
      <c r="C1087" s="73" t="s">
        <v>463</v>
      </c>
      <c r="D1087" t="s">
        <v>218</v>
      </c>
      <c r="E1087" s="74">
        <v>45967</v>
      </c>
      <c r="F1087" t="s">
        <v>372</v>
      </c>
      <c r="G1087" t="s">
        <v>373</v>
      </c>
      <c r="H1087" s="75">
        <f t="shared" si="16"/>
        <v>-173.40687079805048</v>
      </c>
      <c r="I1087" s="74">
        <v>45967</v>
      </c>
      <c r="J1087">
        <v>-5</v>
      </c>
      <c r="K1087" t="s">
        <v>514</v>
      </c>
      <c r="L1087" t="s">
        <v>348</v>
      </c>
      <c r="M1087" t="s">
        <v>356</v>
      </c>
      <c r="N1087" s="73">
        <v>67259</v>
      </c>
      <c r="O1087" s="73">
        <v>67259</v>
      </c>
      <c r="P1087">
        <v>34.681374159610094</v>
      </c>
    </row>
    <row r="1088" spans="1:16" hidden="1" x14ac:dyDescent="0.2">
      <c r="A1088" s="73">
        <v>67259</v>
      </c>
      <c r="B1088" t="s">
        <v>462</v>
      </c>
      <c r="C1088" s="73" t="s">
        <v>463</v>
      </c>
      <c r="D1088" t="s">
        <v>218</v>
      </c>
      <c r="E1088" s="74">
        <v>45967</v>
      </c>
      <c r="F1088" t="s">
        <v>372</v>
      </c>
      <c r="G1088" t="s">
        <v>373</v>
      </c>
      <c r="H1088" s="75">
        <f t="shared" si="16"/>
        <v>208.08824495766055</v>
      </c>
      <c r="I1088" s="74">
        <v>45967</v>
      </c>
      <c r="J1088">
        <v>6</v>
      </c>
      <c r="K1088" t="s">
        <v>514</v>
      </c>
      <c r="L1088" t="s">
        <v>348</v>
      </c>
      <c r="M1088" t="s">
        <v>356</v>
      </c>
      <c r="N1088" s="73">
        <v>67259</v>
      </c>
      <c r="O1088" s="73">
        <v>67259</v>
      </c>
      <c r="P1088">
        <v>34.681374159610094</v>
      </c>
    </row>
    <row r="1089" spans="1:16" hidden="1" x14ac:dyDescent="0.2">
      <c r="A1089" s="73">
        <v>67259</v>
      </c>
      <c r="B1089" t="s">
        <v>462</v>
      </c>
      <c r="C1089" s="73" t="s">
        <v>463</v>
      </c>
      <c r="D1089" t="s">
        <v>218</v>
      </c>
      <c r="E1089" s="74">
        <v>45968</v>
      </c>
      <c r="F1089" t="s">
        <v>372</v>
      </c>
      <c r="G1089" t="s">
        <v>373</v>
      </c>
      <c r="H1089" s="75">
        <f t="shared" si="16"/>
        <v>173.40687079805048</v>
      </c>
      <c r="I1089" s="74">
        <v>45968</v>
      </c>
      <c r="J1089">
        <v>5</v>
      </c>
      <c r="K1089" t="s">
        <v>514</v>
      </c>
      <c r="L1089" t="s">
        <v>348</v>
      </c>
      <c r="M1089" t="s">
        <v>356</v>
      </c>
      <c r="N1089" s="73">
        <v>67259</v>
      </c>
      <c r="O1089" s="73">
        <v>67259</v>
      </c>
      <c r="P1089">
        <v>34.681374159610094</v>
      </c>
    </row>
    <row r="1090" spans="1:16" hidden="1" x14ac:dyDescent="0.2">
      <c r="A1090" s="73">
        <v>67259</v>
      </c>
      <c r="B1090" t="s">
        <v>462</v>
      </c>
      <c r="C1090" s="73" t="s">
        <v>463</v>
      </c>
      <c r="D1090" t="s">
        <v>218</v>
      </c>
      <c r="E1090" s="74">
        <v>45968</v>
      </c>
      <c r="F1090" t="s">
        <v>372</v>
      </c>
      <c r="G1090" t="s">
        <v>373</v>
      </c>
      <c r="H1090" s="75">
        <f t="shared" ref="H1090:H1153" si="17">J1090*P1090</f>
        <v>-173.40687079805048</v>
      </c>
      <c r="I1090" s="74">
        <v>45968</v>
      </c>
      <c r="J1090">
        <v>-5</v>
      </c>
      <c r="K1090" t="s">
        <v>514</v>
      </c>
      <c r="L1090" t="s">
        <v>348</v>
      </c>
      <c r="M1090" t="s">
        <v>356</v>
      </c>
      <c r="N1090" s="73">
        <v>67259</v>
      </c>
      <c r="O1090" s="73">
        <v>67259</v>
      </c>
      <c r="P1090">
        <v>34.681374159610094</v>
      </c>
    </row>
    <row r="1091" spans="1:16" hidden="1" x14ac:dyDescent="0.2">
      <c r="A1091" s="73">
        <v>67259</v>
      </c>
      <c r="B1091" t="s">
        <v>462</v>
      </c>
      <c r="C1091" s="73" t="s">
        <v>463</v>
      </c>
      <c r="D1091" t="s">
        <v>218</v>
      </c>
      <c r="E1091" s="74">
        <v>45968</v>
      </c>
      <c r="F1091" t="s">
        <v>372</v>
      </c>
      <c r="G1091" t="s">
        <v>373</v>
      </c>
      <c r="H1091" s="75">
        <f t="shared" si="17"/>
        <v>208.08824495766055</v>
      </c>
      <c r="I1091" s="74">
        <v>45968</v>
      </c>
      <c r="J1091">
        <v>6</v>
      </c>
      <c r="K1091" t="s">
        <v>514</v>
      </c>
      <c r="L1091" t="s">
        <v>348</v>
      </c>
      <c r="M1091" t="s">
        <v>356</v>
      </c>
      <c r="N1091" s="73">
        <v>67259</v>
      </c>
      <c r="O1091" s="73">
        <v>67259</v>
      </c>
      <c r="P1091">
        <v>34.681374159610094</v>
      </c>
    </row>
    <row r="1092" spans="1:16" hidden="1" x14ac:dyDescent="0.2">
      <c r="A1092" s="73">
        <v>67259</v>
      </c>
      <c r="B1092" t="s">
        <v>462</v>
      </c>
      <c r="C1092" s="73" t="s">
        <v>463</v>
      </c>
      <c r="D1092" t="s">
        <v>218</v>
      </c>
      <c r="E1092" s="74">
        <v>45971</v>
      </c>
      <c r="F1092" t="s">
        <v>372</v>
      </c>
      <c r="G1092" t="s">
        <v>373</v>
      </c>
      <c r="H1092" s="75">
        <f t="shared" si="17"/>
        <v>208.08824495766055</v>
      </c>
      <c r="I1092" s="74">
        <v>45971</v>
      </c>
      <c r="J1092">
        <v>6</v>
      </c>
      <c r="K1092" t="s">
        <v>514</v>
      </c>
      <c r="L1092" t="s">
        <v>348</v>
      </c>
      <c r="M1092" t="s">
        <v>356</v>
      </c>
      <c r="N1092" s="73">
        <v>67259</v>
      </c>
      <c r="O1092" s="73">
        <v>67259</v>
      </c>
      <c r="P1092">
        <v>34.681374159610094</v>
      </c>
    </row>
    <row r="1093" spans="1:16" hidden="1" x14ac:dyDescent="0.2">
      <c r="A1093" s="73">
        <v>67259</v>
      </c>
      <c r="B1093" t="s">
        <v>462</v>
      </c>
      <c r="C1093" s="73" t="s">
        <v>463</v>
      </c>
      <c r="D1093" t="s">
        <v>218</v>
      </c>
      <c r="E1093" s="74">
        <v>45972</v>
      </c>
      <c r="F1093" t="s">
        <v>372</v>
      </c>
      <c r="G1093" t="s">
        <v>373</v>
      </c>
      <c r="H1093" s="75">
        <f t="shared" si="17"/>
        <v>208.08824495766055</v>
      </c>
      <c r="I1093" s="74">
        <v>45972</v>
      </c>
      <c r="J1093">
        <v>6</v>
      </c>
      <c r="K1093" t="s">
        <v>514</v>
      </c>
      <c r="L1093" t="s">
        <v>348</v>
      </c>
      <c r="M1093" t="s">
        <v>356</v>
      </c>
      <c r="N1093" s="73">
        <v>67259</v>
      </c>
      <c r="O1093" s="73">
        <v>67259</v>
      </c>
      <c r="P1093">
        <v>34.681374159610094</v>
      </c>
    </row>
    <row r="1094" spans="1:16" hidden="1" x14ac:dyDescent="0.2">
      <c r="A1094" s="73">
        <v>67259</v>
      </c>
      <c r="B1094" t="s">
        <v>462</v>
      </c>
      <c r="C1094" s="73" t="s">
        <v>463</v>
      </c>
      <c r="D1094" t="s">
        <v>218</v>
      </c>
      <c r="E1094" s="74">
        <v>45973</v>
      </c>
      <c r="F1094" t="s">
        <v>372</v>
      </c>
      <c r="G1094" t="s">
        <v>373</v>
      </c>
      <c r="H1094" s="75">
        <f t="shared" si="17"/>
        <v>104.04412247883027</v>
      </c>
      <c r="I1094" s="74">
        <v>45973</v>
      </c>
      <c r="J1094">
        <v>3</v>
      </c>
      <c r="K1094" t="s">
        <v>514</v>
      </c>
      <c r="L1094" t="s">
        <v>348</v>
      </c>
      <c r="M1094" t="s">
        <v>356</v>
      </c>
      <c r="N1094" s="73">
        <v>67259</v>
      </c>
      <c r="O1094" s="73">
        <v>67259</v>
      </c>
      <c r="P1094">
        <v>34.681374159610094</v>
      </c>
    </row>
    <row r="1095" spans="1:16" hidden="1" x14ac:dyDescent="0.2">
      <c r="A1095" s="73">
        <v>67259</v>
      </c>
      <c r="B1095" t="s">
        <v>462</v>
      </c>
      <c r="C1095" s="73" t="s">
        <v>463</v>
      </c>
      <c r="D1095" t="s">
        <v>218</v>
      </c>
      <c r="E1095" s="74">
        <v>45974</v>
      </c>
      <c r="F1095" t="s">
        <v>372</v>
      </c>
      <c r="G1095" t="s">
        <v>373</v>
      </c>
      <c r="H1095" s="75">
        <f t="shared" si="17"/>
        <v>208.08824495766055</v>
      </c>
      <c r="I1095" s="74">
        <v>45974</v>
      </c>
      <c r="J1095">
        <v>6</v>
      </c>
      <c r="K1095" t="s">
        <v>514</v>
      </c>
      <c r="L1095" t="s">
        <v>348</v>
      </c>
      <c r="M1095" t="s">
        <v>356</v>
      </c>
      <c r="N1095" s="73">
        <v>67259</v>
      </c>
      <c r="O1095" s="73">
        <v>67259</v>
      </c>
      <c r="P1095">
        <v>34.681374159610094</v>
      </c>
    </row>
    <row r="1096" spans="1:16" hidden="1" x14ac:dyDescent="0.2">
      <c r="A1096" s="73">
        <v>67259</v>
      </c>
      <c r="B1096" t="s">
        <v>462</v>
      </c>
      <c r="C1096" s="73" t="s">
        <v>463</v>
      </c>
      <c r="D1096" t="s">
        <v>218</v>
      </c>
      <c r="E1096" s="74">
        <v>45975</v>
      </c>
      <c r="F1096" t="s">
        <v>372</v>
      </c>
      <c r="G1096" t="s">
        <v>373</v>
      </c>
      <c r="H1096" s="75">
        <f t="shared" si="17"/>
        <v>208.08824495766055</v>
      </c>
      <c r="I1096" s="74">
        <v>45975</v>
      </c>
      <c r="J1096">
        <v>6</v>
      </c>
      <c r="K1096" t="s">
        <v>514</v>
      </c>
      <c r="L1096" t="s">
        <v>348</v>
      </c>
      <c r="M1096" t="s">
        <v>356</v>
      </c>
      <c r="N1096" s="73">
        <v>67259</v>
      </c>
      <c r="O1096" s="73">
        <v>67259</v>
      </c>
      <c r="P1096">
        <v>34.681374159610094</v>
      </c>
    </row>
    <row r="1097" spans="1:16" hidden="1" x14ac:dyDescent="0.2">
      <c r="A1097" s="73">
        <v>67259</v>
      </c>
      <c r="B1097" t="s">
        <v>462</v>
      </c>
      <c r="C1097" s="73" t="s">
        <v>463</v>
      </c>
      <c r="D1097" t="s">
        <v>218</v>
      </c>
      <c r="E1097" s="74">
        <v>45993</v>
      </c>
      <c r="F1097" t="s">
        <v>372</v>
      </c>
      <c r="G1097" t="s">
        <v>373</v>
      </c>
      <c r="H1097" s="75">
        <f t="shared" si="17"/>
        <v>208.08824495766055</v>
      </c>
      <c r="I1097" s="74">
        <v>45993</v>
      </c>
      <c r="J1097">
        <v>6</v>
      </c>
      <c r="K1097" t="s">
        <v>515</v>
      </c>
      <c r="L1097" t="s">
        <v>348</v>
      </c>
      <c r="M1097" t="s">
        <v>356</v>
      </c>
      <c r="N1097" s="73">
        <v>67259</v>
      </c>
      <c r="O1097" s="73">
        <v>67259</v>
      </c>
      <c r="P1097">
        <v>34.681374159610094</v>
      </c>
    </row>
    <row r="1098" spans="1:16" hidden="1" x14ac:dyDescent="0.2">
      <c r="A1098" s="73">
        <v>67259</v>
      </c>
      <c r="B1098" t="s">
        <v>462</v>
      </c>
      <c r="C1098" s="73" t="s">
        <v>463</v>
      </c>
      <c r="D1098" t="s">
        <v>218</v>
      </c>
      <c r="E1098" s="74">
        <v>45994</v>
      </c>
      <c r="F1098" t="s">
        <v>372</v>
      </c>
      <c r="G1098" t="s">
        <v>373</v>
      </c>
      <c r="H1098" s="75">
        <f t="shared" si="17"/>
        <v>208.08824495766055</v>
      </c>
      <c r="I1098" s="74">
        <v>45994</v>
      </c>
      <c r="J1098">
        <v>6</v>
      </c>
      <c r="K1098" t="s">
        <v>515</v>
      </c>
      <c r="L1098" t="s">
        <v>348</v>
      </c>
      <c r="M1098" t="s">
        <v>356</v>
      </c>
      <c r="N1098" s="73">
        <v>67259</v>
      </c>
      <c r="O1098" s="73">
        <v>67259</v>
      </c>
      <c r="P1098">
        <v>34.681374159610094</v>
      </c>
    </row>
    <row r="1099" spans="1:16" hidden="1" x14ac:dyDescent="0.2">
      <c r="A1099" s="73">
        <v>67259</v>
      </c>
      <c r="B1099" t="s">
        <v>462</v>
      </c>
      <c r="C1099" s="73" t="s">
        <v>463</v>
      </c>
      <c r="D1099" t="s">
        <v>218</v>
      </c>
      <c r="E1099" s="74">
        <v>45995</v>
      </c>
      <c r="F1099" t="s">
        <v>372</v>
      </c>
      <c r="G1099" t="s">
        <v>373</v>
      </c>
      <c r="H1099" s="75">
        <f t="shared" si="17"/>
        <v>208.08824495766055</v>
      </c>
      <c r="I1099" s="74">
        <v>45995</v>
      </c>
      <c r="J1099">
        <v>6</v>
      </c>
      <c r="K1099" t="s">
        <v>515</v>
      </c>
      <c r="L1099" t="s">
        <v>348</v>
      </c>
      <c r="M1099" t="s">
        <v>356</v>
      </c>
      <c r="N1099" s="73">
        <v>67259</v>
      </c>
      <c r="O1099" s="73">
        <v>67259</v>
      </c>
      <c r="P1099">
        <v>34.681374159610094</v>
      </c>
    </row>
    <row r="1100" spans="1:16" hidden="1" x14ac:dyDescent="0.2">
      <c r="A1100" s="73">
        <v>67259</v>
      </c>
      <c r="B1100" t="s">
        <v>462</v>
      </c>
      <c r="C1100" s="73" t="s">
        <v>463</v>
      </c>
      <c r="D1100" t="s">
        <v>218</v>
      </c>
      <c r="E1100" s="74">
        <v>45996</v>
      </c>
      <c r="F1100" t="s">
        <v>372</v>
      </c>
      <c r="G1100" t="s">
        <v>373</v>
      </c>
      <c r="H1100" s="75">
        <f t="shared" si="17"/>
        <v>208.08824495766055</v>
      </c>
      <c r="I1100" s="74">
        <v>45996</v>
      </c>
      <c r="J1100">
        <v>6</v>
      </c>
      <c r="K1100" t="s">
        <v>515</v>
      </c>
      <c r="L1100" t="s">
        <v>348</v>
      </c>
      <c r="M1100" t="s">
        <v>356</v>
      </c>
      <c r="N1100" s="73">
        <v>67259</v>
      </c>
      <c r="O1100" s="73">
        <v>67259</v>
      </c>
      <c r="P1100">
        <v>34.681374159610094</v>
      </c>
    </row>
    <row r="1101" spans="1:16" hidden="1" x14ac:dyDescent="0.2">
      <c r="A1101" s="73">
        <v>67259</v>
      </c>
      <c r="B1101" t="s">
        <v>462</v>
      </c>
      <c r="C1101" s="73" t="s">
        <v>463</v>
      </c>
      <c r="D1101" t="s">
        <v>218</v>
      </c>
      <c r="E1101" s="74">
        <v>45999</v>
      </c>
      <c r="F1101" t="s">
        <v>372</v>
      </c>
      <c r="G1101" t="s">
        <v>373</v>
      </c>
      <c r="H1101" s="75">
        <f t="shared" si="17"/>
        <v>208.08824495766055</v>
      </c>
      <c r="I1101" s="74">
        <v>45999</v>
      </c>
      <c r="J1101">
        <v>6</v>
      </c>
      <c r="K1101" t="s">
        <v>515</v>
      </c>
      <c r="L1101" t="s">
        <v>348</v>
      </c>
      <c r="M1101" t="s">
        <v>356</v>
      </c>
      <c r="N1101" s="73">
        <v>67259</v>
      </c>
      <c r="O1101" s="73">
        <v>67259</v>
      </c>
      <c r="P1101">
        <v>34.681374159610094</v>
      </c>
    </row>
    <row r="1102" spans="1:16" hidden="1" x14ac:dyDescent="0.2">
      <c r="A1102" s="73">
        <v>67259</v>
      </c>
      <c r="B1102" t="s">
        <v>462</v>
      </c>
      <c r="C1102" s="73" t="s">
        <v>463</v>
      </c>
      <c r="D1102" t="s">
        <v>218</v>
      </c>
      <c r="E1102" s="74">
        <v>46000</v>
      </c>
      <c r="F1102" t="s">
        <v>372</v>
      </c>
      <c r="G1102" t="s">
        <v>373</v>
      </c>
      <c r="H1102" s="75">
        <f t="shared" si="17"/>
        <v>208.08824495766055</v>
      </c>
      <c r="I1102" s="74">
        <v>46000</v>
      </c>
      <c r="J1102">
        <v>6</v>
      </c>
      <c r="K1102" t="s">
        <v>515</v>
      </c>
      <c r="L1102" t="s">
        <v>348</v>
      </c>
      <c r="M1102" t="s">
        <v>356</v>
      </c>
      <c r="N1102" s="73">
        <v>67259</v>
      </c>
      <c r="O1102" s="73">
        <v>67259</v>
      </c>
      <c r="P1102">
        <v>34.681374159610094</v>
      </c>
    </row>
    <row r="1103" spans="1:16" hidden="1" x14ac:dyDescent="0.2">
      <c r="A1103" s="73">
        <v>67259</v>
      </c>
      <c r="B1103" t="s">
        <v>462</v>
      </c>
      <c r="C1103" s="73" t="s">
        <v>463</v>
      </c>
      <c r="D1103" t="s">
        <v>218</v>
      </c>
      <c r="E1103" s="74">
        <v>46001</v>
      </c>
      <c r="F1103" t="s">
        <v>372</v>
      </c>
      <c r="G1103" t="s">
        <v>373</v>
      </c>
      <c r="H1103" s="75">
        <f t="shared" si="17"/>
        <v>208.08824495766055</v>
      </c>
      <c r="I1103" s="74">
        <v>46001</v>
      </c>
      <c r="J1103">
        <v>6</v>
      </c>
      <c r="K1103" t="s">
        <v>515</v>
      </c>
      <c r="L1103" t="s">
        <v>348</v>
      </c>
      <c r="M1103" t="s">
        <v>356</v>
      </c>
      <c r="N1103" s="73">
        <v>67259</v>
      </c>
      <c r="O1103" s="73">
        <v>67259</v>
      </c>
      <c r="P1103">
        <v>34.681374159610094</v>
      </c>
    </row>
    <row r="1104" spans="1:16" hidden="1" x14ac:dyDescent="0.2">
      <c r="A1104" s="73">
        <v>67259</v>
      </c>
      <c r="B1104" t="s">
        <v>462</v>
      </c>
      <c r="C1104" s="73" t="s">
        <v>463</v>
      </c>
      <c r="D1104" t="s">
        <v>218</v>
      </c>
      <c r="E1104" s="74">
        <v>46002</v>
      </c>
      <c r="F1104" t="s">
        <v>372</v>
      </c>
      <c r="G1104" t="s">
        <v>373</v>
      </c>
      <c r="H1104" s="75">
        <f t="shared" si="17"/>
        <v>208.08824495766055</v>
      </c>
      <c r="I1104" s="74">
        <v>46002</v>
      </c>
      <c r="J1104">
        <v>6</v>
      </c>
      <c r="K1104" t="s">
        <v>515</v>
      </c>
      <c r="L1104" t="s">
        <v>348</v>
      </c>
      <c r="M1104" t="s">
        <v>356</v>
      </c>
      <c r="N1104" s="73">
        <v>67259</v>
      </c>
      <c r="O1104" s="73">
        <v>67259</v>
      </c>
      <c r="P1104">
        <v>34.681374159610094</v>
      </c>
    </row>
    <row r="1105" spans="1:16" hidden="1" x14ac:dyDescent="0.2">
      <c r="A1105" s="73">
        <v>67259</v>
      </c>
      <c r="B1105" t="s">
        <v>462</v>
      </c>
      <c r="C1105" s="73" t="s">
        <v>463</v>
      </c>
      <c r="D1105" t="s">
        <v>218</v>
      </c>
      <c r="E1105" s="74">
        <v>46003</v>
      </c>
      <c r="F1105" t="s">
        <v>372</v>
      </c>
      <c r="G1105" t="s">
        <v>373</v>
      </c>
      <c r="H1105" s="75">
        <f t="shared" si="17"/>
        <v>208.08824495766055</v>
      </c>
      <c r="I1105" s="74">
        <v>46003</v>
      </c>
      <c r="J1105">
        <v>6</v>
      </c>
      <c r="K1105" t="s">
        <v>515</v>
      </c>
      <c r="L1105" t="s">
        <v>348</v>
      </c>
      <c r="M1105" t="s">
        <v>356</v>
      </c>
      <c r="N1105" s="73">
        <v>67259</v>
      </c>
      <c r="O1105" s="73">
        <v>67259</v>
      </c>
      <c r="P1105">
        <v>34.681374159610094</v>
      </c>
    </row>
    <row r="1106" spans="1:16" hidden="1" x14ac:dyDescent="0.2">
      <c r="A1106" s="73">
        <v>67259</v>
      </c>
      <c r="B1106" t="s">
        <v>462</v>
      </c>
      <c r="C1106" s="73" t="s">
        <v>463</v>
      </c>
      <c r="D1106" t="s">
        <v>218</v>
      </c>
      <c r="E1106" s="74">
        <v>46027</v>
      </c>
      <c r="F1106" t="s">
        <v>372</v>
      </c>
      <c r="G1106" t="s">
        <v>373</v>
      </c>
      <c r="H1106" s="75">
        <f t="shared" si="17"/>
        <v>138.72549663844038</v>
      </c>
      <c r="I1106" s="74">
        <v>46027</v>
      </c>
      <c r="J1106">
        <v>4</v>
      </c>
      <c r="K1106" t="s">
        <v>516</v>
      </c>
      <c r="L1106" t="s">
        <v>348</v>
      </c>
      <c r="M1106" t="s">
        <v>356</v>
      </c>
      <c r="N1106" s="73">
        <v>67259</v>
      </c>
      <c r="O1106" s="73">
        <v>67259</v>
      </c>
      <c r="P1106">
        <v>34.681374159610094</v>
      </c>
    </row>
    <row r="1107" spans="1:16" hidden="1" x14ac:dyDescent="0.2">
      <c r="A1107" s="73">
        <v>67259</v>
      </c>
      <c r="B1107" t="s">
        <v>462</v>
      </c>
      <c r="C1107" s="73" t="s">
        <v>463</v>
      </c>
      <c r="D1107" t="s">
        <v>218</v>
      </c>
      <c r="E1107" s="74">
        <v>46028</v>
      </c>
      <c r="F1107" t="s">
        <v>372</v>
      </c>
      <c r="G1107" t="s">
        <v>373</v>
      </c>
      <c r="H1107" s="75">
        <f t="shared" si="17"/>
        <v>138.72549663844038</v>
      </c>
      <c r="I1107" s="74">
        <v>46028</v>
      </c>
      <c r="J1107">
        <v>4</v>
      </c>
      <c r="K1107" t="s">
        <v>516</v>
      </c>
      <c r="L1107" t="s">
        <v>348</v>
      </c>
      <c r="M1107" t="s">
        <v>356</v>
      </c>
      <c r="N1107" s="73">
        <v>67259</v>
      </c>
      <c r="O1107" s="73">
        <v>67259</v>
      </c>
      <c r="P1107">
        <v>34.681374159610094</v>
      </c>
    </row>
    <row r="1108" spans="1:16" hidden="1" x14ac:dyDescent="0.2">
      <c r="A1108" s="73">
        <v>67259</v>
      </c>
      <c r="B1108" t="s">
        <v>462</v>
      </c>
      <c r="C1108" s="73" t="s">
        <v>463</v>
      </c>
      <c r="D1108" t="s">
        <v>218</v>
      </c>
      <c r="E1108" s="74">
        <v>46029</v>
      </c>
      <c r="F1108" t="s">
        <v>372</v>
      </c>
      <c r="G1108" t="s">
        <v>373</v>
      </c>
      <c r="H1108" s="75">
        <f t="shared" si="17"/>
        <v>138.72549663844038</v>
      </c>
      <c r="I1108" s="74">
        <v>46029</v>
      </c>
      <c r="J1108">
        <v>4</v>
      </c>
      <c r="K1108" t="s">
        <v>516</v>
      </c>
      <c r="L1108" t="s">
        <v>348</v>
      </c>
      <c r="M1108" t="s">
        <v>356</v>
      </c>
      <c r="N1108" s="73">
        <v>67259</v>
      </c>
      <c r="O1108" s="73">
        <v>67259</v>
      </c>
      <c r="P1108">
        <v>34.681374159610094</v>
      </c>
    </row>
    <row r="1109" spans="1:16" hidden="1" x14ac:dyDescent="0.2">
      <c r="A1109" s="73">
        <v>67259</v>
      </c>
      <c r="B1109" t="s">
        <v>462</v>
      </c>
      <c r="C1109" s="73" t="s">
        <v>463</v>
      </c>
      <c r="D1109" t="s">
        <v>218</v>
      </c>
      <c r="E1109" s="74">
        <v>46030</v>
      </c>
      <c r="F1109" t="s">
        <v>372</v>
      </c>
      <c r="G1109" t="s">
        <v>373</v>
      </c>
      <c r="H1109" s="75">
        <f t="shared" si="17"/>
        <v>138.72549663844038</v>
      </c>
      <c r="I1109" s="74">
        <v>46030</v>
      </c>
      <c r="J1109">
        <v>4</v>
      </c>
      <c r="K1109" t="s">
        <v>516</v>
      </c>
      <c r="L1109" t="s">
        <v>348</v>
      </c>
      <c r="M1109" t="s">
        <v>356</v>
      </c>
      <c r="N1109" s="73">
        <v>67259</v>
      </c>
      <c r="O1109" s="73">
        <v>67259</v>
      </c>
      <c r="P1109">
        <v>34.681374159610094</v>
      </c>
    </row>
    <row r="1110" spans="1:16" hidden="1" x14ac:dyDescent="0.2">
      <c r="A1110" s="73">
        <v>67259</v>
      </c>
      <c r="B1110" t="s">
        <v>462</v>
      </c>
      <c r="C1110" s="73" t="s">
        <v>463</v>
      </c>
      <c r="D1110" t="s">
        <v>218</v>
      </c>
      <c r="E1110" s="74">
        <v>46034</v>
      </c>
      <c r="F1110" t="s">
        <v>372</v>
      </c>
      <c r="G1110" t="s">
        <v>373</v>
      </c>
      <c r="H1110" s="75">
        <f t="shared" si="17"/>
        <v>138.72549663844038</v>
      </c>
      <c r="I1110" s="74">
        <v>46034</v>
      </c>
      <c r="J1110">
        <v>4</v>
      </c>
      <c r="K1110" t="s">
        <v>516</v>
      </c>
      <c r="L1110" t="s">
        <v>348</v>
      </c>
      <c r="M1110" t="s">
        <v>356</v>
      </c>
      <c r="N1110" s="73">
        <v>67259</v>
      </c>
      <c r="O1110" s="73">
        <v>67259</v>
      </c>
      <c r="P1110">
        <v>34.681374159610094</v>
      </c>
    </row>
    <row r="1111" spans="1:16" hidden="1" x14ac:dyDescent="0.2">
      <c r="A1111" s="73">
        <v>67259</v>
      </c>
      <c r="B1111" t="s">
        <v>462</v>
      </c>
      <c r="C1111" s="73" t="s">
        <v>463</v>
      </c>
      <c r="D1111" t="s">
        <v>218</v>
      </c>
      <c r="E1111" s="74">
        <v>46035</v>
      </c>
      <c r="F1111" t="s">
        <v>372</v>
      </c>
      <c r="G1111" t="s">
        <v>373</v>
      </c>
      <c r="H1111" s="75">
        <f t="shared" si="17"/>
        <v>138.72549663844038</v>
      </c>
      <c r="I1111" s="74">
        <v>46035</v>
      </c>
      <c r="J1111">
        <v>4</v>
      </c>
      <c r="K1111" t="s">
        <v>516</v>
      </c>
      <c r="L1111" t="s">
        <v>348</v>
      </c>
      <c r="M1111" t="s">
        <v>356</v>
      </c>
      <c r="N1111" s="73">
        <v>67259</v>
      </c>
      <c r="O1111" s="73">
        <v>67259</v>
      </c>
      <c r="P1111">
        <v>34.681374159610094</v>
      </c>
    </row>
    <row r="1112" spans="1:16" hidden="1" x14ac:dyDescent="0.2">
      <c r="A1112" s="73">
        <v>67259</v>
      </c>
      <c r="B1112" t="s">
        <v>462</v>
      </c>
      <c r="C1112" s="73" t="s">
        <v>463</v>
      </c>
      <c r="D1112" t="s">
        <v>218</v>
      </c>
      <c r="E1112" s="74">
        <v>46036</v>
      </c>
      <c r="F1112" t="s">
        <v>372</v>
      </c>
      <c r="G1112" t="s">
        <v>373</v>
      </c>
      <c r="H1112" s="75">
        <f t="shared" si="17"/>
        <v>138.72549663844038</v>
      </c>
      <c r="I1112" s="74">
        <v>46036</v>
      </c>
      <c r="J1112">
        <v>4</v>
      </c>
      <c r="K1112" t="s">
        <v>516</v>
      </c>
      <c r="L1112" t="s">
        <v>348</v>
      </c>
      <c r="M1112" t="s">
        <v>356</v>
      </c>
      <c r="N1112" s="73">
        <v>67259</v>
      </c>
      <c r="O1112" s="73">
        <v>67259</v>
      </c>
      <c r="P1112">
        <v>34.681374159610094</v>
      </c>
    </row>
    <row r="1113" spans="1:16" hidden="1" x14ac:dyDescent="0.2">
      <c r="A1113" s="73">
        <v>67259</v>
      </c>
      <c r="B1113" t="s">
        <v>462</v>
      </c>
      <c r="C1113" s="73" t="s">
        <v>463</v>
      </c>
      <c r="D1113" t="s">
        <v>218</v>
      </c>
      <c r="E1113" s="74">
        <v>46041</v>
      </c>
      <c r="F1113" t="s">
        <v>372</v>
      </c>
      <c r="G1113" t="s">
        <v>373</v>
      </c>
      <c r="H1113" s="75">
        <f t="shared" si="17"/>
        <v>138.72549663844038</v>
      </c>
      <c r="I1113" s="74">
        <v>46041</v>
      </c>
      <c r="J1113">
        <v>4</v>
      </c>
      <c r="K1113" t="s">
        <v>516</v>
      </c>
      <c r="L1113" t="s">
        <v>348</v>
      </c>
      <c r="M1113" t="s">
        <v>356</v>
      </c>
      <c r="N1113" s="73">
        <v>67259</v>
      </c>
      <c r="O1113" s="73">
        <v>67259</v>
      </c>
      <c r="P1113">
        <v>34.681374159610094</v>
      </c>
    </row>
    <row r="1114" spans="1:16" hidden="1" x14ac:dyDescent="0.2">
      <c r="A1114" s="73">
        <v>67259</v>
      </c>
      <c r="B1114" t="s">
        <v>462</v>
      </c>
      <c r="C1114" s="73" t="s">
        <v>463</v>
      </c>
      <c r="D1114" t="s">
        <v>218</v>
      </c>
      <c r="E1114" s="74">
        <v>46042</v>
      </c>
      <c r="F1114" t="s">
        <v>372</v>
      </c>
      <c r="G1114" t="s">
        <v>373</v>
      </c>
      <c r="H1114" s="75">
        <f t="shared" si="17"/>
        <v>138.72549663844038</v>
      </c>
      <c r="I1114" s="74">
        <v>46042</v>
      </c>
      <c r="J1114">
        <v>4</v>
      </c>
      <c r="K1114" t="s">
        <v>516</v>
      </c>
      <c r="L1114" t="s">
        <v>348</v>
      </c>
      <c r="M1114" t="s">
        <v>356</v>
      </c>
      <c r="N1114" s="73">
        <v>67259</v>
      </c>
      <c r="O1114" s="73">
        <v>67259</v>
      </c>
      <c r="P1114">
        <v>34.681374159610094</v>
      </c>
    </row>
    <row r="1115" spans="1:16" hidden="1" x14ac:dyDescent="0.2">
      <c r="A1115" s="73">
        <v>67259</v>
      </c>
      <c r="B1115" t="s">
        <v>462</v>
      </c>
      <c r="C1115" s="73" t="s">
        <v>463</v>
      </c>
      <c r="D1115" t="s">
        <v>218</v>
      </c>
      <c r="E1115" s="74">
        <v>46043</v>
      </c>
      <c r="F1115" t="s">
        <v>372</v>
      </c>
      <c r="G1115" t="s">
        <v>373</v>
      </c>
      <c r="H1115" s="75">
        <f t="shared" si="17"/>
        <v>138.72549663844038</v>
      </c>
      <c r="I1115" s="74">
        <v>46043</v>
      </c>
      <c r="J1115">
        <v>4</v>
      </c>
      <c r="K1115" t="s">
        <v>516</v>
      </c>
      <c r="L1115" t="s">
        <v>348</v>
      </c>
      <c r="M1115" t="s">
        <v>356</v>
      </c>
      <c r="N1115" s="73">
        <v>67259</v>
      </c>
      <c r="O1115" s="73">
        <v>67259</v>
      </c>
      <c r="P1115">
        <v>34.681374159610094</v>
      </c>
    </row>
    <row r="1116" spans="1:16" hidden="1" x14ac:dyDescent="0.2">
      <c r="A1116" s="73">
        <v>67259</v>
      </c>
      <c r="B1116" t="s">
        <v>462</v>
      </c>
      <c r="C1116" s="73" t="s">
        <v>463</v>
      </c>
      <c r="D1116" t="s">
        <v>218</v>
      </c>
      <c r="E1116" s="74">
        <v>46044</v>
      </c>
      <c r="F1116" t="s">
        <v>372</v>
      </c>
      <c r="G1116" t="s">
        <v>373</v>
      </c>
      <c r="H1116" s="75">
        <f t="shared" si="17"/>
        <v>138.72549663844038</v>
      </c>
      <c r="I1116" s="74">
        <v>46044</v>
      </c>
      <c r="J1116">
        <v>4</v>
      </c>
      <c r="K1116" t="s">
        <v>516</v>
      </c>
      <c r="L1116" t="s">
        <v>348</v>
      </c>
      <c r="M1116" t="s">
        <v>356</v>
      </c>
      <c r="N1116" s="73">
        <v>67259</v>
      </c>
      <c r="O1116" s="73">
        <v>67259</v>
      </c>
      <c r="P1116">
        <v>34.681374159610094</v>
      </c>
    </row>
    <row r="1117" spans="1:16" hidden="1" x14ac:dyDescent="0.2">
      <c r="A1117" s="73">
        <v>67259</v>
      </c>
      <c r="B1117" t="s">
        <v>462</v>
      </c>
      <c r="C1117" s="73" t="s">
        <v>463</v>
      </c>
      <c r="D1117" t="s">
        <v>218</v>
      </c>
      <c r="E1117" s="74">
        <v>46045</v>
      </c>
      <c r="F1117" t="s">
        <v>372</v>
      </c>
      <c r="G1117" t="s">
        <v>373</v>
      </c>
      <c r="H1117" s="75">
        <f t="shared" si="17"/>
        <v>138.72549663844038</v>
      </c>
      <c r="I1117" s="74">
        <v>46045</v>
      </c>
      <c r="J1117">
        <v>4</v>
      </c>
      <c r="K1117" t="s">
        <v>516</v>
      </c>
      <c r="L1117" t="s">
        <v>348</v>
      </c>
      <c r="M1117" t="s">
        <v>356</v>
      </c>
      <c r="N1117" s="73">
        <v>67259</v>
      </c>
      <c r="O1117" s="73">
        <v>67259</v>
      </c>
      <c r="P1117">
        <v>34.681374159610094</v>
      </c>
    </row>
    <row r="1118" spans="1:16" hidden="1" x14ac:dyDescent="0.2">
      <c r="A1118" s="73">
        <v>67259</v>
      </c>
      <c r="B1118" t="s">
        <v>462</v>
      </c>
      <c r="C1118" s="73" t="s">
        <v>463</v>
      </c>
      <c r="D1118" t="s">
        <v>218</v>
      </c>
      <c r="E1118" s="74">
        <v>46049</v>
      </c>
      <c r="F1118" t="s">
        <v>372</v>
      </c>
      <c r="G1118" t="s">
        <v>373</v>
      </c>
      <c r="H1118" s="75">
        <f t="shared" si="17"/>
        <v>138.72549663844038</v>
      </c>
      <c r="I1118" s="74">
        <v>46049</v>
      </c>
      <c r="J1118">
        <v>4</v>
      </c>
      <c r="K1118" t="s">
        <v>516</v>
      </c>
      <c r="L1118" t="s">
        <v>348</v>
      </c>
      <c r="M1118" t="s">
        <v>356</v>
      </c>
      <c r="N1118" s="73">
        <v>67259</v>
      </c>
      <c r="O1118" s="73">
        <v>67259</v>
      </c>
      <c r="P1118">
        <v>34.681374159610094</v>
      </c>
    </row>
    <row r="1119" spans="1:16" hidden="1" x14ac:dyDescent="0.2">
      <c r="A1119" s="73">
        <v>67259</v>
      </c>
      <c r="B1119" t="s">
        <v>462</v>
      </c>
      <c r="C1119" s="73" t="s">
        <v>463</v>
      </c>
      <c r="D1119" t="s">
        <v>218</v>
      </c>
      <c r="E1119" s="74">
        <v>46050</v>
      </c>
      <c r="F1119" t="s">
        <v>372</v>
      </c>
      <c r="G1119" t="s">
        <v>373</v>
      </c>
      <c r="H1119" s="75">
        <f t="shared" si="17"/>
        <v>138.72549663844038</v>
      </c>
      <c r="I1119" s="74">
        <v>46050</v>
      </c>
      <c r="J1119">
        <v>4</v>
      </c>
      <c r="K1119" t="s">
        <v>516</v>
      </c>
      <c r="L1119" t="s">
        <v>348</v>
      </c>
      <c r="M1119" t="s">
        <v>356</v>
      </c>
      <c r="N1119" s="73">
        <v>67259</v>
      </c>
      <c r="O1119" s="73">
        <v>67259</v>
      </c>
      <c r="P1119">
        <v>34.681374159610094</v>
      </c>
    </row>
    <row r="1120" spans="1:16" hidden="1" x14ac:dyDescent="0.2">
      <c r="A1120" s="73">
        <v>67259</v>
      </c>
      <c r="B1120" t="s">
        <v>462</v>
      </c>
      <c r="C1120" s="73" t="s">
        <v>463</v>
      </c>
      <c r="D1120" t="s">
        <v>218</v>
      </c>
      <c r="E1120" s="74">
        <v>46051</v>
      </c>
      <c r="F1120" t="s">
        <v>372</v>
      </c>
      <c r="G1120" t="s">
        <v>373</v>
      </c>
      <c r="H1120" s="75">
        <f t="shared" si="17"/>
        <v>138.72549663844038</v>
      </c>
      <c r="I1120" s="74">
        <v>46051</v>
      </c>
      <c r="J1120">
        <v>4</v>
      </c>
      <c r="K1120" t="s">
        <v>516</v>
      </c>
      <c r="L1120" t="s">
        <v>348</v>
      </c>
      <c r="M1120" t="s">
        <v>356</v>
      </c>
      <c r="N1120" s="73">
        <v>67259</v>
      </c>
      <c r="O1120" s="73">
        <v>67259</v>
      </c>
      <c r="P1120">
        <v>34.681374159610094</v>
      </c>
    </row>
    <row r="1121" spans="1:16" hidden="1" x14ac:dyDescent="0.2">
      <c r="A1121" s="73">
        <v>67259</v>
      </c>
      <c r="B1121" t="s">
        <v>462</v>
      </c>
      <c r="C1121" s="73" t="s">
        <v>463</v>
      </c>
      <c r="D1121" t="s">
        <v>218</v>
      </c>
      <c r="E1121" s="74">
        <v>46052</v>
      </c>
      <c r="F1121" t="s">
        <v>372</v>
      </c>
      <c r="G1121" t="s">
        <v>373</v>
      </c>
      <c r="H1121" s="75">
        <f t="shared" si="17"/>
        <v>138.72549663844038</v>
      </c>
      <c r="I1121" s="74">
        <v>46052</v>
      </c>
      <c r="J1121">
        <v>4</v>
      </c>
      <c r="K1121" t="s">
        <v>516</v>
      </c>
      <c r="L1121" t="s">
        <v>348</v>
      </c>
      <c r="M1121" t="s">
        <v>356</v>
      </c>
      <c r="N1121" s="73">
        <v>67259</v>
      </c>
      <c r="O1121" s="73">
        <v>67259</v>
      </c>
      <c r="P1121">
        <v>34.681374159610094</v>
      </c>
    </row>
    <row r="1122" spans="1:16" hidden="1" x14ac:dyDescent="0.2">
      <c r="A1122" s="73">
        <v>67259</v>
      </c>
      <c r="B1122" t="s">
        <v>462</v>
      </c>
      <c r="C1122" s="73" t="s">
        <v>463</v>
      </c>
      <c r="D1122" t="s">
        <v>218</v>
      </c>
      <c r="E1122" s="74">
        <v>46055</v>
      </c>
      <c r="F1122" t="s">
        <v>372</v>
      </c>
      <c r="G1122" t="s">
        <v>373</v>
      </c>
      <c r="H1122" s="75">
        <f t="shared" si="17"/>
        <v>208.08824495766055</v>
      </c>
      <c r="I1122" s="74">
        <v>46055</v>
      </c>
      <c r="J1122">
        <v>6</v>
      </c>
      <c r="K1122" t="s">
        <v>508</v>
      </c>
      <c r="L1122" t="s">
        <v>348</v>
      </c>
      <c r="M1122" t="s">
        <v>356</v>
      </c>
      <c r="N1122" s="73">
        <v>67259</v>
      </c>
      <c r="O1122" s="73">
        <v>67259</v>
      </c>
      <c r="P1122">
        <v>34.681374159610094</v>
      </c>
    </row>
    <row r="1123" spans="1:16" hidden="1" x14ac:dyDescent="0.2">
      <c r="A1123" s="73">
        <v>67259</v>
      </c>
      <c r="B1123" t="s">
        <v>462</v>
      </c>
      <c r="C1123" s="73" t="s">
        <v>463</v>
      </c>
      <c r="D1123" t="s">
        <v>218</v>
      </c>
      <c r="E1123" s="74">
        <v>46056</v>
      </c>
      <c r="F1123" t="s">
        <v>372</v>
      </c>
      <c r="G1123" t="s">
        <v>373</v>
      </c>
      <c r="H1123" s="75">
        <f t="shared" si="17"/>
        <v>208.08824495766055</v>
      </c>
      <c r="I1123" s="74">
        <v>46056</v>
      </c>
      <c r="J1123">
        <v>6</v>
      </c>
      <c r="K1123" t="s">
        <v>508</v>
      </c>
      <c r="L1123" t="s">
        <v>348</v>
      </c>
      <c r="M1123" t="s">
        <v>356</v>
      </c>
      <c r="N1123" s="73">
        <v>67259</v>
      </c>
      <c r="O1123" s="73">
        <v>67259</v>
      </c>
      <c r="P1123">
        <v>34.681374159610094</v>
      </c>
    </row>
    <row r="1124" spans="1:16" hidden="1" x14ac:dyDescent="0.2">
      <c r="A1124" s="73">
        <v>67259</v>
      </c>
      <c r="B1124" t="s">
        <v>462</v>
      </c>
      <c r="C1124" s="73" t="s">
        <v>463</v>
      </c>
      <c r="D1124" t="s">
        <v>218</v>
      </c>
      <c r="E1124" s="74">
        <v>46057</v>
      </c>
      <c r="F1124" t="s">
        <v>372</v>
      </c>
      <c r="G1124" t="s">
        <v>373</v>
      </c>
      <c r="H1124" s="75">
        <f t="shared" si="17"/>
        <v>208.08824495766055</v>
      </c>
      <c r="I1124" s="74">
        <v>46057</v>
      </c>
      <c r="J1124">
        <v>6</v>
      </c>
      <c r="K1124" t="s">
        <v>508</v>
      </c>
      <c r="L1124" t="s">
        <v>348</v>
      </c>
      <c r="M1124" t="s">
        <v>356</v>
      </c>
      <c r="N1124" s="73">
        <v>67259</v>
      </c>
      <c r="O1124" s="73">
        <v>67259</v>
      </c>
      <c r="P1124">
        <v>34.681374159610094</v>
      </c>
    </row>
    <row r="1125" spans="1:16" hidden="1" x14ac:dyDescent="0.2">
      <c r="A1125" s="73">
        <v>67259</v>
      </c>
      <c r="B1125" t="s">
        <v>462</v>
      </c>
      <c r="C1125" s="73" t="s">
        <v>463</v>
      </c>
      <c r="D1125" t="s">
        <v>218</v>
      </c>
      <c r="E1125" s="74">
        <v>46058</v>
      </c>
      <c r="F1125" t="s">
        <v>372</v>
      </c>
      <c r="G1125" t="s">
        <v>373</v>
      </c>
      <c r="H1125" s="75">
        <f t="shared" si="17"/>
        <v>208.08824495766055</v>
      </c>
      <c r="I1125" s="74">
        <v>46058</v>
      </c>
      <c r="J1125">
        <v>6</v>
      </c>
      <c r="K1125" t="s">
        <v>508</v>
      </c>
      <c r="L1125" t="s">
        <v>348</v>
      </c>
      <c r="M1125" t="s">
        <v>356</v>
      </c>
      <c r="N1125" s="73">
        <v>67259</v>
      </c>
      <c r="O1125" s="73">
        <v>67259</v>
      </c>
      <c r="P1125">
        <v>34.681374159610094</v>
      </c>
    </row>
    <row r="1126" spans="1:16" hidden="1" x14ac:dyDescent="0.2">
      <c r="A1126" s="73">
        <v>67259</v>
      </c>
      <c r="B1126" t="s">
        <v>462</v>
      </c>
      <c r="C1126" s="73" t="s">
        <v>463</v>
      </c>
      <c r="D1126" t="s">
        <v>218</v>
      </c>
      <c r="E1126" s="74">
        <v>46059</v>
      </c>
      <c r="F1126" t="s">
        <v>372</v>
      </c>
      <c r="G1126" t="s">
        <v>373</v>
      </c>
      <c r="H1126" s="75">
        <f t="shared" si="17"/>
        <v>208.08824495766055</v>
      </c>
      <c r="I1126" s="74">
        <v>46059</v>
      </c>
      <c r="J1126">
        <v>6</v>
      </c>
      <c r="K1126" t="s">
        <v>508</v>
      </c>
      <c r="L1126" t="s">
        <v>348</v>
      </c>
      <c r="M1126" t="s">
        <v>356</v>
      </c>
      <c r="N1126" s="73">
        <v>67259</v>
      </c>
      <c r="O1126" s="73">
        <v>67259</v>
      </c>
      <c r="P1126">
        <v>34.681374159610094</v>
      </c>
    </row>
    <row r="1127" spans="1:16" hidden="1" x14ac:dyDescent="0.2">
      <c r="A1127" s="73">
        <v>67259</v>
      </c>
      <c r="B1127" t="s">
        <v>462</v>
      </c>
      <c r="C1127" s="73" t="s">
        <v>463</v>
      </c>
      <c r="D1127" t="s">
        <v>218</v>
      </c>
      <c r="E1127" s="74">
        <v>46062</v>
      </c>
      <c r="F1127" t="s">
        <v>372</v>
      </c>
      <c r="G1127" t="s">
        <v>373</v>
      </c>
      <c r="H1127" s="75">
        <f t="shared" si="17"/>
        <v>138.72549663844038</v>
      </c>
      <c r="I1127" s="74">
        <v>46062</v>
      </c>
      <c r="J1127">
        <v>4</v>
      </c>
      <c r="K1127" t="s">
        <v>508</v>
      </c>
      <c r="L1127" t="s">
        <v>348</v>
      </c>
      <c r="M1127" t="s">
        <v>356</v>
      </c>
      <c r="N1127" s="73">
        <v>67259</v>
      </c>
      <c r="O1127" s="73">
        <v>67259</v>
      </c>
      <c r="P1127">
        <v>34.681374159610094</v>
      </c>
    </row>
    <row r="1128" spans="1:16" hidden="1" x14ac:dyDescent="0.2">
      <c r="A1128" s="73">
        <v>67259</v>
      </c>
      <c r="B1128" t="s">
        <v>462</v>
      </c>
      <c r="C1128" s="73" t="s">
        <v>463</v>
      </c>
      <c r="D1128" t="s">
        <v>218</v>
      </c>
      <c r="E1128" s="74">
        <v>46063</v>
      </c>
      <c r="F1128" t="s">
        <v>372</v>
      </c>
      <c r="G1128" t="s">
        <v>373</v>
      </c>
      <c r="H1128" s="75">
        <f t="shared" si="17"/>
        <v>138.72549663844038</v>
      </c>
      <c r="I1128" s="74">
        <v>46063</v>
      </c>
      <c r="J1128">
        <v>4</v>
      </c>
      <c r="K1128" t="s">
        <v>508</v>
      </c>
      <c r="L1128" t="s">
        <v>348</v>
      </c>
      <c r="M1128" t="s">
        <v>356</v>
      </c>
      <c r="N1128" s="73">
        <v>67259</v>
      </c>
      <c r="O1128" s="73">
        <v>67259</v>
      </c>
      <c r="P1128">
        <v>34.681374159610094</v>
      </c>
    </row>
    <row r="1129" spans="1:16" hidden="1" x14ac:dyDescent="0.2">
      <c r="A1129" s="73">
        <v>67259</v>
      </c>
      <c r="B1129" t="s">
        <v>462</v>
      </c>
      <c r="C1129" s="73" t="s">
        <v>463</v>
      </c>
      <c r="D1129" t="s">
        <v>218</v>
      </c>
      <c r="E1129" s="74">
        <v>46064</v>
      </c>
      <c r="F1129" t="s">
        <v>372</v>
      </c>
      <c r="G1129" t="s">
        <v>373</v>
      </c>
      <c r="H1129" s="75">
        <f t="shared" si="17"/>
        <v>138.72549663844038</v>
      </c>
      <c r="I1129" s="74">
        <v>46064</v>
      </c>
      <c r="J1129">
        <v>4</v>
      </c>
      <c r="K1129" t="s">
        <v>508</v>
      </c>
      <c r="L1129" t="s">
        <v>348</v>
      </c>
      <c r="M1129" t="s">
        <v>356</v>
      </c>
      <c r="N1129" s="73">
        <v>67259</v>
      </c>
      <c r="O1129" s="73">
        <v>67259</v>
      </c>
      <c r="P1129">
        <v>34.681374159610094</v>
      </c>
    </row>
    <row r="1130" spans="1:16" hidden="1" x14ac:dyDescent="0.2">
      <c r="A1130" s="73">
        <v>67259</v>
      </c>
      <c r="B1130" t="s">
        <v>462</v>
      </c>
      <c r="C1130" s="73" t="s">
        <v>463</v>
      </c>
      <c r="D1130" t="s">
        <v>218</v>
      </c>
      <c r="E1130" s="74">
        <v>46065</v>
      </c>
      <c r="F1130" t="s">
        <v>372</v>
      </c>
      <c r="G1130" t="s">
        <v>373</v>
      </c>
      <c r="H1130" s="75">
        <f t="shared" si="17"/>
        <v>138.72549663844038</v>
      </c>
      <c r="I1130" s="74">
        <v>46065</v>
      </c>
      <c r="J1130">
        <v>4</v>
      </c>
      <c r="K1130" t="s">
        <v>508</v>
      </c>
      <c r="L1130" t="s">
        <v>348</v>
      </c>
      <c r="M1130" t="s">
        <v>356</v>
      </c>
      <c r="N1130" s="73">
        <v>67259</v>
      </c>
      <c r="O1130" s="73">
        <v>67259</v>
      </c>
      <c r="P1130">
        <v>34.681374159610094</v>
      </c>
    </row>
    <row r="1131" spans="1:16" hidden="1" x14ac:dyDescent="0.2">
      <c r="A1131" s="73">
        <v>67259</v>
      </c>
      <c r="B1131" t="s">
        <v>462</v>
      </c>
      <c r="C1131" s="73" t="s">
        <v>463</v>
      </c>
      <c r="D1131" t="s">
        <v>218</v>
      </c>
      <c r="E1131" s="74">
        <v>46066</v>
      </c>
      <c r="F1131" t="s">
        <v>372</v>
      </c>
      <c r="G1131" t="s">
        <v>373</v>
      </c>
      <c r="H1131" s="75">
        <f t="shared" si="17"/>
        <v>138.72549663844038</v>
      </c>
      <c r="I1131" s="74">
        <v>46066</v>
      </c>
      <c r="J1131">
        <v>4</v>
      </c>
      <c r="K1131" t="s">
        <v>508</v>
      </c>
      <c r="L1131" t="s">
        <v>348</v>
      </c>
      <c r="M1131" t="s">
        <v>356</v>
      </c>
      <c r="N1131" s="73">
        <v>67259</v>
      </c>
      <c r="O1131" s="73">
        <v>67259</v>
      </c>
      <c r="P1131">
        <v>34.681374159610094</v>
      </c>
    </row>
    <row r="1132" spans="1:16" hidden="1" x14ac:dyDescent="0.2">
      <c r="A1132" s="73">
        <v>67259</v>
      </c>
      <c r="B1132" t="s">
        <v>462</v>
      </c>
      <c r="C1132" s="73" t="s">
        <v>463</v>
      </c>
      <c r="D1132" t="s">
        <v>218</v>
      </c>
      <c r="E1132" s="74">
        <v>46069</v>
      </c>
      <c r="F1132" t="s">
        <v>372</v>
      </c>
      <c r="G1132" t="s">
        <v>373</v>
      </c>
      <c r="H1132" s="75">
        <f t="shared" si="17"/>
        <v>208.08824495766055</v>
      </c>
      <c r="I1132" s="74">
        <v>46069</v>
      </c>
      <c r="J1132">
        <v>6</v>
      </c>
      <c r="K1132" t="s">
        <v>508</v>
      </c>
      <c r="L1132" t="s">
        <v>348</v>
      </c>
      <c r="M1132" t="s">
        <v>356</v>
      </c>
      <c r="N1132" s="73">
        <v>67259</v>
      </c>
      <c r="O1132" s="73">
        <v>67259</v>
      </c>
      <c r="P1132">
        <v>34.681374159610094</v>
      </c>
    </row>
    <row r="1133" spans="1:16" hidden="1" x14ac:dyDescent="0.2">
      <c r="A1133" s="73">
        <v>67259</v>
      </c>
      <c r="B1133" t="s">
        <v>462</v>
      </c>
      <c r="C1133" s="73" t="s">
        <v>463</v>
      </c>
      <c r="D1133" t="s">
        <v>218</v>
      </c>
      <c r="E1133" s="74">
        <v>46070</v>
      </c>
      <c r="F1133" t="s">
        <v>372</v>
      </c>
      <c r="G1133" t="s">
        <v>373</v>
      </c>
      <c r="H1133" s="75">
        <f t="shared" si="17"/>
        <v>208.08824495766055</v>
      </c>
      <c r="I1133" s="74">
        <v>46070</v>
      </c>
      <c r="J1133">
        <v>6</v>
      </c>
      <c r="K1133" t="s">
        <v>508</v>
      </c>
      <c r="L1133" t="s">
        <v>348</v>
      </c>
      <c r="M1133" t="s">
        <v>356</v>
      </c>
      <c r="N1133" s="73">
        <v>67259</v>
      </c>
      <c r="O1133" s="73">
        <v>67259</v>
      </c>
      <c r="P1133">
        <v>34.681374159610094</v>
      </c>
    </row>
    <row r="1134" spans="1:16" hidden="1" x14ac:dyDescent="0.2">
      <c r="A1134" s="73">
        <v>67259</v>
      </c>
      <c r="B1134" t="s">
        <v>462</v>
      </c>
      <c r="C1134" s="73" t="s">
        <v>463</v>
      </c>
      <c r="D1134" t="s">
        <v>218</v>
      </c>
      <c r="E1134" s="74">
        <v>46071</v>
      </c>
      <c r="F1134" t="s">
        <v>372</v>
      </c>
      <c r="G1134" t="s">
        <v>373</v>
      </c>
      <c r="H1134" s="75">
        <f t="shared" si="17"/>
        <v>208.08824495766055</v>
      </c>
      <c r="I1134" s="74">
        <v>46071</v>
      </c>
      <c r="J1134">
        <v>6</v>
      </c>
      <c r="K1134" t="s">
        <v>508</v>
      </c>
      <c r="L1134" t="s">
        <v>348</v>
      </c>
      <c r="M1134" t="s">
        <v>356</v>
      </c>
      <c r="N1134" s="73">
        <v>67259</v>
      </c>
      <c r="O1134" s="73">
        <v>67259</v>
      </c>
      <c r="P1134">
        <v>34.681374159610094</v>
      </c>
    </row>
    <row r="1135" spans="1:16" hidden="1" x14ac:dyDescent="0.2">
      <c r="A1135" s="73">
        <v>67259</v>
      </c>
      <c r="B1135" t="s">
        <v>462</v>
      </c>
      <c r="C1135" s="73" t="s">
        <v>463</v>
      </c>
      <c r="D1135" t="s">
        <v>218</v>
      </c>
      <c r="E1135" s="74">
        <v>46072</v>
      </c>
      <c r="F1135" t="s">
        <v>372</v>
      </c>
      <c r="G1135" t="s">
        <v>373</v>
      </c>
      <c r="H1135" s="75">
        <f t="shared" si="17"/>
        <v>138.72549663844038</v>
      </c>
      <c r="I1135" s="74">
        <v>46072</v>
      </c>
      <c r="J1135">
        <v>4</v>
      </c>
      <c r="K1135" t="s">
        <v>508</v>
      </c>
      <c r="L1135" t="s">
        <v>348</v>
      </c>
      <c r="M1135" t="s">
        <v>356</v>
      </c>
      <c r="N1135" s="73">
        <v>67259</v>
      </c>
      <c r="O1135" s="73">
        <v>67259</v>
      </c>
      <c r="P1135">
        <v>34.681374159610094</v>
      </c>
    </row>
    <row r="1136" spans="1:16" hidden="1" x14ac:dyDescent="0.2">
      <c r="A1136" s="73">
        <v>67259</v>
      </c>
      <c r="B1136" t="s">
        <v>462</v>
      </c>
      <c r="C1136" s="73" t="s">
        <v>463</v>
      </c>
      <c r="D1136" t="s">
        <v>218</v>
      </c>
      <c r="E1136" s="74">
        <v>46073</v>
      </c>
      <c r="F1136" t="s">
        <v>372</v>
      </c>
      <c r="G1136" t="s">
        <v>373</v>
      </c>
      <c r="H1136" s="75">
        <f t="shared" si="17"/>
        <v>138.72549663844038</v>
      </c>
      <c r="I1136" s="74">
        <v>46073</v>
      </c>
      <c r="J1136">
        <v>4</v>
      </c>
      <c r="K1136" t="s">
        <v>508</v>
      </c>
      <c r="L1136" t="s">
        <v>348</v>
      </c>
      <c r="M1136" t="s">
        <v>356</v>
      </c>
      <c r="N1136" s="73">
        <v>67259</v>
      </c>
      <c r="O1136" s="73">
        <v>67259</v>
      </c>
      <c r="P1136">
        <v>34.681374159610094</v>
      </c>
    </row>
    <row r="1137" spans="1:16" hidden="1" x14ac:dyDescent="0.2">
      <c r="A1137" s="73">
        <v>67259</v>
      </c>
      <c r="B1137" t="s">
        <v>462</v>
      </c>
      <c r="C1137" s="73" t="s">
        <v>463</v>
      </c>
      <c r="D1137" t="s">
        <v>218</v>
      </c>
      <c r="E1137" s="74">
        <v>46076</v>
      </c>
      <c r="F1137" t="s">
        <v>372</v>
      </c>
      <c r="G1137" t="s">
        <v>373</v>
      </c>
      <c r="H1137" s="75">
        <f t="shared" si="17"/>
        <v>138.72549663844038</v>
      </c>
      <c r="I1137" s="74">
        <v>46076</v>
      </c>
      <c r="J1137">
        <v>4</v>
      </c>
      <c r="K1137" t="s">
        <v>508</v>
      </c>
      <c r="L1137" t="s">
        <v>348</v>
      </c>
      <c r="M1137" t="s">
        <v>356</v>
      </c>
      <c r="N1137" s="73">
        <v>67259</v>
      </c>
      <c r="O1137" s="73">
        <v>67259</v>
      </c>
      <c r="P1137">
        <v>34.681374159610094</v>
      </c>
    </row>
    <row r="1138" spans="1:16" hidden="1" x14ac:dyDescent="0.2">
      <c r="A1138" s="73">
        <v>67259</v>
      </c>
      <c r="B1138" t="s">
        <v>462</v>
      </c>
      <c r="C1138" s="73" t="s">
        <v>463</v>
      </c>
      <c r="D1138" t="s">
        <v>218</v>
      </c>
      <c r="E1138" s="74">
        <v>46077</v>
      </c>
      <c r="F1138" t="s">
        <v>372</v>
      </c>
      <c r="G1138" t="s">
        <v>373</v>
      </c>
      <c r="H1138" s="75">
        <f t="shared" si="17"/>
        <v>208.08824495766055</v>
      </c>
      <c r="I1138" s="74">
        <v>46077</v>
      </c>
      <c r="J1138">
        <v>6</v>
      </c>
      <c r="K1138" t="s">
        <v>508</v>
      </c>
      <c r="L1138" t="s">
        <v>348</v>
      </c>
      <c r="M1138" t="s">
        <v>356</v>
      </c>
      <c r="N1138" s="73">
        <v>67259</v>
      </c>
      <c r="O1138" s="73">
        <v>67259</v>
      </c>
      <c r="P1138">
        <v>34.681374159610094</v>
      </c>
    </row>
    <row r="1139" spans="1:16" hidden="1" x14ac:dyDescent="0.2">
      <c r="A1139" s="73">
        <v>67259</v>
      </c>
      <c r="B1139" t="s">
        <v>462</v>
      </c>
      <c r="C1139" s="73" t="s">
        <v>463</v>
      </c>
      <c r="D1139" t="s">
        <v>218</v>
      </c>
      <c r="E1139" s="74">
        <v>46078</v>
      </c>
      <c r="F1139" t="s">
        <v>372</v>
      </c>
      <c r="G1139" t="s">
        <v>373</v>
      </c>
      <c r="H1139" s="75">
        <f t="shared" si="17"/>
        <v>138.72549663844038</v>
      </c>
      <c r="I1139" s="74">
        <v>46078</v>
      </c>
      <c r="J1139">
        <v>4</v>
      </c>
      <c r="K1139" t="s">
        <v>508</v>
      </c>
      <c r="L1139" t="s">
        <v>348</v>
      </c>
      <c r="M1139" t="s">
        <v>356</v>
      </c>
      <c r="N1139" s="73">
        <v>67259</v>
      </c>
      <c r="O1139" s="73">
        <v>67259</v>
      </c>
      <c r="P1139">
        <v>34.681374159610094</v>
      </c>
    </row>
    <row r="1140" spans="1:16" hidden="1" x14ac:dyDescent="0.2">
      <c r="A1140" s="73">
        <v>67259</v>
      </c>
      <c r="B1140" t="s">
        <v>462</v>
      </c>
      <c r="C1140" s="73" t="s">
        <v>463</v>
      </c>
      <c r="D1140" t="s">
        <v>218</v>
      </c>
      <c r="E1140" s="74">
        <v>46079</v>
      </c>
      <c r="F1140" t="s">
        <v>372</v>
      </c>
      <c r="G1140" t="s">
        <v>373</v>
      </c>
      <c r="H1140" s="75">
        <f t="shared" si="17"/>
        <v>138.72549663844038</v>
      </c>
      <c r="I1140" s="74">
        <v>46079</v>
      </c>
      <c r="J1140">
        <v>4</v>
      </c>
      <c r="K1140" t="s">
        <v>508</v>
      </c>
      <c r="L1140" t="s">
        <v>348</v>
      </c>
      <c r="M1140" t="s">
        <v>356</v>
      </c>
      <c r="N1140" s="73">
        <v>67259</v>
      </c>
      <c r="O1140" s="73">
        <v>67259</v>
      </c>
      <c r="P1140">
        <v>34.681374159610094</v>
      </c>
    </row>
    <row r="1141" spans="1:16" hidden="1" x14ac:dyDescent="0.2">
      <c r="A1141" s="73">
        <v>67259</v>
      </c>
      <c r="B1141" t="s">
        <v>462</v>
      </c>
      <c r="C1141" s="73" t="s">
        <v>463</v>
      </c>
      <c r="D1141" t="s">
        <v>218</v>
      </c>
      <c r="E1141" s="74">
        <v>46083</v>
      </c>
      <c r="F1141" t="s">
        <v>372</v>
      </c>
      <c r="G1141" t="s">
        <v>373</v>
      </c>
      <c r="H1141" s="75">
        <f t="shared" si="17"/>
        <v>173.40687079805048</v>
      </c>
      <c r="I1141" s="74">
        <v>46083</v>
      </c>
      <c r="J1141">
        <v>5</v>
      </c>
      <c r="K1141" t="s">
        <v>509</v>
      </c>
      <c r="L1141" t="s">
        <v>348</v>
      </c>
      <c r="M1141" t="s">
        <v>356</v>
      </c>
      <c r="N1141" s="73">
        <v>67259</v>
      </c>
      <c r="O1141" s="73">
        <v>67259</v>
      </c>
      <c r="P1141">
        <v>34.681374159610094</v>
      </c>
    </row>
    <row r="1142" spans="1:16" hidden="1" x14ac:dyDescent="0.2">
      <c r="A1142" s="73">
        <v>67259</v>
      </c>
      <c r="B1142" t="s">
        <v>462</v>
      </c>
      <c r="C1142" s="73" t="s">
        <v>463</v>
      </c>
      <c r="D1142" t="s">
        <v>218</v>
      </c>
      <c r="E1142" s="74">
        <v>46084</v>
      </c>
      <c r="F1142" t="s">
        <v>372</v>
      </c>
      <c r="G1142" t="s">
        <v>373</v>
      </c>
      <c r="H1142" s="75">
        <f t="shared" si="17"/>
        <v>173.40687079805048</v>
      </c>
      <c r="I1142" s="74">
        <v>46084</v>
      </c>
      <c r="J1142">
        <v>5</v>
      </c>
      <c r="K1142" t="s">
        <v>509</v>
      </c>
      <c r="L1142" t="s">
        <v>348</v>
      </c>
      <c r="M1142" t="s">
        <v>356</v>
      </c>
      <c r="N1142" s="73">
        <v>67259</v>
      </c>
      <c r="O1142" s="73">
        <v>67259</v>
      </c>
      <c r="P1142">
        <v>34.681374159610094</v>
      </c>
    </row>
    <row r="1143" spans="1:16" hidden="1" x14ac:dyDescent="0.2">
      <c r="A1143" s="73">
        <v>67259</v>
      </c>
      <c r="B1143" t="s">
        <v>462</v>
      </c>
      <c r="C1143" s="73" t="s">
        <v>463</v>
      </c>
      <c r="D1143" t="s">
        <v>218</v>
      </c>
      <c r="E1143" s="74">
        <v>46085</v>
      </c>
      <c r="F1143" t="s">
        <v>372</v>
      </c>
      <c r="G1143" t="s">
        <v>373</v>
      </c>
      <c r="H1143" s="75">
        <f t="shared" si="17"/>
        <v>173.40687079805048</v>
      </c>
      <c r="I1143" s="74">
        <v>46085</v>
      </c>
      <c r="J1143">
        <v>5</v>
      </c>
      <c r="K1143" t="s">
        <v>509</v>
      </c>
      <c r="L1143" t="s">
        <v>348</v>
      </c>
      <c r="M1143" t="s">
        <v>356</v>
      </c>
      <c r="N1143" s="73">
        <v>67259</v>
      </c>
      <c r="O1143" s="73">
        <v>67259</v>
      </c>
      <c r="P1143">
        <v>34.681374159610094</v>
      </c>
    </row>
    <row r="1144" spans="1:16" hidden="1" x14ac:dyDescent="0.2">
      <c r="A1144" s="73">
        <v>67259</v>
      </c>
      <c r="B1144" t="s">
        <v>462</v>
      </c>
      <c r="C1144" s="73" t="s">
        <v>463</v>
      </c>
      <c r="D1144" t="s">
        <v>218</v>
      </c>
      <c r="E1144" s="74">
        <v>46086</v>
      </c>
      <c r="F1144" t="s">
        <v>372</v>
      </c>
      <c r="G1144" t="s">
        <v>373</v>
      </c>
      <c r="H1144" s="75">
        <f t="shared" si="17"/>
        <v>173.40687079805048</v>
      </c>
      <c r="I1144" s="74">
        <v>46086</v>
      </c>
      <c r="J1144">
        <v>5</v>
      </c>
      <c r="K1144" t="s">
        <v>509</v>
      </c>
      <c r="L1144" t="s">
        <v>348</v>
      </c>
      <c r="M1144" t="s">
        <v>356</v>
      </c>
      <c r="N1144" s="73">
        <v>67259</v>
      </c>
      <c r="O1144" s="73">
        <v>67259</v>
      </c>
      <c r="P1144">
        <v>34.681374159610094</v>
      </c>
    </row>
    <row r="1145" spans="1:16" hidden="1" x14ac:dyDescent="0.2">
      <c r="A1145" s="73">
        <v>67259</v>
      </c>
      <c r="B1145" t="s">
        <v>462</v>
      </c>
      <c r="C1145" s="73" t="s">
        <v>463</v>
      </c>
      <c r="D1145" t="s">
        <v>218</v>
      </c>
      <c r="E1145" s="74">
        <v>46087</v>
      </c>
      <c r="F1145" t="s">
        <v>372</v>
      </c>
      <c r="G1145" t="s">
        <v>373</v>
      </c>
      <c r="H1145" s="75">
        <f t="shared" si="17"/>
        <v>173.40687079805048</v>
      </c>
      <c r="I1145" s="74">
        <v>46087</v>
      </c>
      <c r="J1145">
        <v>5</v>
      </c>
      <c r="K1145" t="s">
        <v>509</v>
      </c>
      <c r="L1145" t="s">
        <v>348</v>
      </c>
      <c r="M1145" t="s">
        <v>356</v>
      </c>
      <c r="N1145" s="73">
        <v>67259</v>
      </c>
      <c r="O1145" s="73">
        <v>67259</v>
      </c>
      <c r="P1145">
        <v>34.681374159610094</v>
      </c>
    </row>
    <row r="1146" spans="1:16" hidden="1" x14ac:dyDescent="0.2">
      <c r="A1146" s="73">
        <v>67259</v>
      </c>
      <c r="B1146" t="s">
        <v>462</v>
      </c>
      <c r="C1146" s="73" t="s">
        <v>463</v>
      </c>
      <c r="D1146" t="s">
        <v>218</v>
      </c>
      <c r="E1146" s="74">
        <v>46090</v>
      </c>
      <c r="F1146" t="s">
        <v>372</v>
      </c>
      <c r="G1146" t="s">
        <v>373</v>
      </c>
      <c r="H1146" s="75">
        <f t="shared" si="17"/>
        <v>173.40687079805048</v>
      </c>
      <c r="I1146" s="74">
        <v>46090</v>
      </c>
      <c r="J1146">
        <v>5</v>
      </c>
      <c r="K1146" t="s">
        <v>509</v>
      </c>
      <c r="L1146" t="s">
        <v>348</v>
      </c>
      <c r="M1146" t="s">
        <v>356</v>
      </c>
      <c r="N1146" s="73">
        <v>67259</v>
      </c>
      <c r="O1146" s="73">
        <v>67259</v>
      </c>
      <c r="P1146">
        <v>34.681374159610094</v>
      </c>
    </row>
    <row r="1147" spans="1:16" hidden="1" x14ac:dyDescent="0.2">
      <c r="A1147" s="73">
        <v>67259</v>
      </c>
      <c r="B1147" t="s">
        <v>462</v>
      </c>
      <c r="C1147" s="73" t="s">
        <v>463</v>
      </c>
      <c r="D1147" t="s">
        <v>218</v>
      </c>
      <c r="E1147" s="74">
        <v>46091</v>
      </c>
      <c r="F1147" t="s">
        <v>372</v>
      </c>
      <c r="G1147" t="s">
        <v>373</v>
      </c>
      <c r="H1147" s="75">
        <f t="shared" si="17"/>
        <v>173.40687079805048</v>
      </c>
      <c r="I1147" s="74">
        <v>46091</v>
      </c>
      <c r="J1147">
        <v>5</v>
      </c>
      <c r="K1147" t="s">
        <v>509</v>
      </c>
      <c r="L1147" t="s">
        <v>348</v>
      </c>
      <c r="M1147" t="s">
        <v>356</v>
      </c>
      <c r="N1147" s="73">
        <v>67259</v>
      </c>
      <c r="O1147" s="73">
        <v>67259</v>
      </c>
      <c r="P1147">
        <v>34.681374159610094</v>
      </c>
    </row>
    <row r="1148" spans="1:16" hidden="1" x14ac:dyDescent="0.2">
      <c r="A1148" s="73">
        <v>67259</v>
      </c>
      <c r="B1148" t="s">
        <v>462</v>
      </c>
      <c r="C1148" s="73" t="s">
        <v>463</v>
      </c>
      <c r="D1148" t="s">
        <v>218</v>
      </c>
      <c r="E1148" s="74">
        <v>46092</v>
      </c>
      <c r="F1148" t="s">
        <v>372</v>
      </c>
      <c r="G1148" t="s">
        <v>373</v>
      </c>
      <c r="H1148" s="75">
        <f t="shared" si="17"/>
        <v>173.40687079805048</v>
      </c>
      <c r="I1148" s="74">
        <v>46092</v>
      </c>
      <c r="J1148">
        <v>5</v>
      </c>
      <c r="K1148" t="s">
        <v>509</v>
      </c>
      <c r="L1148" t="s">
        <v>348</v>
      </c>
      <c r="M1148" t="s">
        <v>356</v>
      </c>
      <c r="N1148" s="73">
        <v>67259</v>
      </c>
      <c r="O1148" s="73">
        <v>67259</v>
      </c>
      <c r="P1148">
        <v>34.681374159610094</v>
      </c>
    </row>
    <row r="1149" spans="1:16" hidden="1" x14ac:dyDescent="0.2">
      <c r="A1149" s="73">
        <v>67259</v>
      </c>
      <c r="B1149" t="s">
        <v>462</v>
      </c>
      <c r="C1149" s="73" t="s">
        <v>463</v>
      </c>
      <c r="D1149" t="s">
        <v>218</v>
      </c>
      <c r="E1149" s="74">
        <v>46093</v>
      </c>
      <c r="F1149" t="s">
        <v>372</v>
      </c>
      <c r="G1149" t="s">
        <v>373</v>
      </c>
      <c r="H1149" s="75">
        <f t="shared" si="17"/>
        <v>173.40687079805048</v>
      </c>
      <c r="I1149" s="74">
        <v>46093</v>
      </c>
      <c r="J1149">
        <v>5</v>
      </c>
      <c r="K1149" t="s">
        <v>509</v>
      </c>
      <c r="L1149" t="s">
        <v>348</v>
      </c>
      <c r="M1149" t="s">
        <v>356</v>
      </c>
      <c r="N1149" s="73">
        <v>67259</v>
      </c>
      <c r="O1149" s="73">
        <v>67259</v>
      </c>
      <c r="P1149">
        <v>34.681374159610094</v>
      </c>
    </row>
    <row r="1150" spans="1:16" hidden="1" x14ac:dyDescent="0.2">
      <c r="A1150" s="73">
        <v>67259</v>
      </c>
      <c r="B1150" t="s">
        <v>462</v>
      </c>
      <c r="C1150" s="73" t="s">
        <v>463</v>
      </c>
      <c r="D1150" t="s">
        <v>218</v>
      </c>
      <c r="E1150" s="74">
        <v>46094</v>
      </c>
      <c r="F1150" t="s">
        <v>372</v>
      </c>
      <c r="G1150" t="s">
        <v>373</v>
      </c>
      <c r="H1150" s="75">
        <f t="shared" si="17"/>
        <v>173.40687079805048</v>
      </c>
      <c r="I1150" s="74">
        <v>46094</v>
      </c>
      <c r="J1150">
        <v>5</v>
      </c>
      <c r="K1150" t="s">
        <v>509</v>
      </c>
      <c r="L1150" t="s">
        <v>348</v>
      </c>
      <c r="M1150" t="s">
        <v>356</v>
      </c>
      <c r="N1150" s="73">
        <v>67259</v>
      </c>
      <c r="O1150" s="73">
        <v>67259</v>
      </c>
      <c r="P1150">
        <v>34.681374159610094</v>
      </c>
    </row>
    <row r="1151" spans="1:16" hidden="1" x14ac:dyDescent="0.2">
      <c r="A1151" s="73">
        <v>67259</v>
      </c>
      <c r="B1151" t="s">
        <v>462</v>
      </c>
      <c r="C1151" s="73" t="s">
        <v>463</v>
      </c>
      <c r="D1151" t="s">
        <v>218</v>
      </c>
      <c r="E1151" s="74">
        <v>46097</v>
      </c>
      <c r="F1151" t="s">
        <v>372</v>
      </c>
      <c r="G1151" t="s">
        <v>373</v>
      </c>
      <c r="H1151" s="75">
        <f t="shared" si="17"/>
        <v>173.40687079805048</v>
      </c>
      <c r="I1151" s="74">
        <v>46097</v>
      </c>
      <c r="J1151">
        <v>5</v>
      </c>
      <c r="K1151" t="s">
        <v>509</v>
      </c>
      <c r="L1151" t="s">
        <v>348</v>
      </c>
      <c r="M1151" t="s">
        <v>356</v>
      </c>
      <c r="N1151" s="73">
        <v>67259</v>
      </c>
      <c r="O1151" s="73">
        <v>67259</v>
      </c>
      <c r="P1151">
        <v>34.681374159610094</v>
      </c>
    </row>
    <row r="1152" spans="1:16" hidden="1" x14ac:dyDescent="0.2">
      <c r="A1152" s="73">
        <v>67259</v>
      </c>
      <c r="B1152" t="s">
        <v>462</v>
      </c>
      <c r="C1152" s="73" t="s">
        <v>463</v>
      </c>
      <c r="D1152" t="s">
        <v>218</v>
      </c>
      <c r="E1152" s="74">
        <v>46098</v>
      </c>
      <c r="F1152" t="s">
        <v>372</v>
      </c>
      <c r="G1152" t="s">
        <v>373</v>
      </c>
      <c r="H1152" s="75">
        <f t="shared" si="17"/>
        <v>173.40687079805048</v>
      </c>
      <c r="I1152" s="74">
        <v>46098</v>
      </c>
      <c r="J1152">
        <v>5</v>
      </c>
      <c r="K1152" t="s">
        <v>509</v>
      </c>
      <c r="L1152" t="s">
        <v>348</v>
      </c>
      <c r="M1152" t="s">
        <v>356</v>
      </c>
      <c r="N1152" s="73">
        <v>67259</v>
      </c>
      <c r="O1152" s="73">
        <v>67259</v>
      </c>
      <c r="P1152">
        <v>34.681374159610094</v>
      </c>
    </row>
    <row r="1153" spans="1:16" hidden="1" x14ac:dyDescent="0.2">
      <c r="A1153" s="73">
        <v>67259</v>
      </c>
      <c r="B1153" t="s">
        <v>462</v>
      </c>
      <c r="C1153" s="73" t="s">
        <v>463</v>
      </c>
      <c r="D1153" t="s">
        <v>218</v>
      </c>
      <c r="E1153" s="74">
        <v>46099</v>
      </c>
      <c r="F1153" t="s">
        <v>372</v>
      </c>
      <c r="G1153" t="s">
        <v>373</v>
      </c>
      <c r="H1153" s="75">
        <f t="shared" si="17"/>
        <v>173.40687079805048</v>
      </c>
      <c r="I1153" s="74">
        <v>46099</v>
      </c>
      <c r="J1153">
        <v>5</v>
      </c>
      <c r="K1153" t="s">
        <v>509</v>
      </c>
      <c r="L1153" t="s">
        <v>348</v>
      </c>
      <c r="M1153" t="s">
        <v>356</v>
      </c>
      <c r="N1153" s="73">
        <v>67259</v>
      </c>
      <c r="O1153" s="73">
        <v>67259</v>
      </c>
      <c r="P1153">
        <v>34.681374159610094</v>
      </c>
    </row>
    <row r="1154" spans="1:16" hidden="1" x14ac:dyDescent="0.2">
      <c r="A1154" s="73">
        <v>67259</v>
      </c>
      <c r="B1154" t="s">
        <v>462</v>
      </c>
      <c r="C1154" s="73" t="s">
        <v>463</v>
      </c>
      <c r="D1154" t="s">
        <v>218</v>
      </c>
      <c r="E1154" s="74">
        <v>46104</v>
      </c>
      <c r="F1154" t="s">
        <v>372</v>
      </c>
      <c r="G1154" t="s">
        <v>373</v>
      </c>
      <c r="H1154" s="75">
        <f t="shared" ref="H1154:H1217" si="18">J1154*P1154</f>
        <v>208.08824495766055</v>
      </c>
      <c r="I1154" s="74">
        <v>46104</v>
      </c>
      <c r="J1154">
        <v>6</v>
      </c>
      <c r="K1154" t="s">
        <v>509</v>
      </c>
      <c r="L1154" t="s">
        <v>348</v>
      </c>
      <c r="M1154" t="s">
        <v>356</v>
      </c>
      <c r="N1154" s="73">
        <v>67259</v>
      </c>
      <c r="O1154" s="73">
        <v>67259</v>
      </c>
      <c r="P1154">
        <v>34.681374159610094</v>
      </c>
    </row>
    <row r="1155" spans="1:16" hidden="1" x14ac:dyDescent="0.2">
      <c r="A1155" s="73">
        <v>67259</v>
      </c>
      <c r="B1155" t="s">
        <v>462</v>
      </c>
      <c r="C1155" s="73" t="s">
        <v>463</v>
      </c>
      <c r="D1155" t="s">
        <v>218</v>
      </c>
      <c r="E1155" s="74">
        <v>46105</v>
      </c>
      <c r="F1155" t="s">
        <v>372</v>
      </c>
      <c r="G1155" t="s">
        <v>373</v>
      </c>
      <c r="H1155" s="75">
        <f t="shared" si="18"/>
        <v>208.08824495766055</v>
      </c>
      <c r="I1155" s="74">
        <v>46105</v>
      </c>
      <c r="J1155">
        <v>6</v>
      </c>
      <c r="K1155" t="s">
        <v>509</v>
      </c>
      <c r="L1155" t="s">
        <v>348</v>
      </c>
      <c r="M1155" t="s">
        <v>356</v>
      </c>
      <c r="N1155" s="73">
        <v>67259</v>
      </c>
      <c r="O1155" s="73">
        <v>67259</v>
      </c>
      <c r="P1155">
        <v>34.681374159610094</v>
      </c>
    </row>
    <row r="1156" spans="1:16" hidden="1" x14ac:dyDescent="0.2">
      <c r="A1156" s="73">
        <v>67259</v>
      </c>
      <c r="B1156" t="s">
        <v>462</v>
      </c>
      <c r="C1156" s="73" t="s">
        <v>463</v>
      </c>
      <c r="D1156" t="s">
        <v>218</v>
      </c>
      <c r="E1156" s="74">
        <v>46106</v>
      </c>
      <c r="F1156" t="s">
        <v>372</v>
      </c>
      <c r="G1156" t="s">
        <v>373</v>
      </c>
      <c r="H1156" s="75">
        <f t="shared" si="18"/>
        <v>208.08824495766055</v>
      </c>
      <c r="I1156" s="74">
        <v>46106</v>
      </c>
      <c r="J1156">
        <v>6</v>
      </c>
      <c r="K1156" t="s">
        <v>509</v>
      </c>
      <c r="L1156" t="s">
        <v>348</v>
      </c>
      <c r="M1156" t="s">
        <v>356</v>
      </c>
      <c r="N1156" s="73">
        <v>67259</v>
      </c>
      <c r="O1156" s="73">
        <v>67259</v>
      </c>
      <c r="P1156">
        <v>34.681374159610094</v>
      </c>
    </row>
    <row r="1157" spans="1:16" hidden="1" x14ac:dyDescent="0.2">
      <c r="A1157" s="73">
        <v>67259</v>
      </c>
      <c r="B1157" t="s">
        <v>462</v>
      </c>
      <c r="C1157" s="73" t="s">
        <v>463</v>
      </c>
      <c r="D1157" t="s">
        <v>218</v>
      </c>
      <c r="E1157" s="74">
        <v>46107</v>
      </c>
      <c r="F1157" t="s">
        <v>372</v>
      </c>
      <c r="G1157" t="s">
        <v>373</v>
      </c>
      <c r="H1157" s="75">
        <f t="shared" si="18"/>
        <v>208.08824495766055</v>
      </c>
      <c r="I1157" s="74">
        <v>46107</v>
      </c>
      <c r="J1157">
        <v>6</v>
      </c>
      <c r="K1157" t="s">
        <v>509</v>
      </c>
      <c r="L1157" t="s">
        <v>348</v>
      </c>
      <c r="M1157" t="s">
        <v>356</v>
      </c>
      <c r="N1157" s="73">
        <v>67259</v>
      </c>
      <c r="O1157" s="73">
        <v>67259</v>
      </c>
      <c r="P1157">
        <v>34.681374159610094</v>
      </c>
    </row>
    <row r="1158" spans="1:16" hidden="1" x14ac:dyDescent="0.2">
      <c r="A1158" s="73">
        <v>67259</v>
      </c>
      <c r="B1158" t="s">
        <v>462</v>
      </c>
      <c r="C1158" s="73" t="s">
        <v>463</v>
      </c>
      <c r="D1158" t="s">
        <v>218</v>
      </c>
      <c r="E1158" s="74">
        <v>46108</v>
      </c>
      <c r="F1158" t="s">
        <v>372</v>
      </c>
      <c r="G1158" t="s">
        <v>373</v>
      </c>
      <c r="H1158" s="75">
        <f t="shared" si="18"/>
        <v>208.08824495766055</v>
      </c>
      <c r="I1158" s="74">
        <v>46108</v>
      </c>
      <c r="J1158">
        <v>6</v>
      </c>
      <c r="K1158" t="s">
        <v>509</v>
      </c>
      <c r="L1158" t="s">
        <v>348</v>
      </c>
      <c r="M1158" t="s">
        <v>356</v>
      </c>
      <c r="N1158" s="73">
        <v>67259</v>
      </c>
      <c r="O1158" s="73">
        <v>67259</v>
      </c>
      <c r="P1158">
        <v>34.681374159610094</v>
      </c>
    </row>
    <row r="1159" spans="1:16" hidden="1" x14ac:dyDescent="0.2">
      <c r="A1159" s="73">
        <v>67259</v>
      </c>
      <c r="B1159" t="s">
        <v>462</v>
      </c>
      <c r="C1159" s="73" t="s">
        <v>463</v>
      </c>
      <c r="D1159" t="s">
        <v>218</v>
      </c>
      <c r="E1159" s="74">
        <v>46111</v>
      </c>
      <c r="F1159" t="s">
        <v>372</v>
      </c>
      <c r="G1159" t="s">
        <v>373</v>
      </c>
      <c r="H1159" s="75">
        <f t="shared" si="18"/>
        <v>138.72549663844038</v>
      </c>
      <c r="I1159" s="74">
        <v>46111</v>
      </c>
      <c r="J1159">
        <v>4</v>
      </c>
      <c r="K1159" t="s">
        <v>509</v>
      </c>
      <c r="L1159" t="s">
        <v>348</v>
      </c>
      <c r="M1159" t="s">
        <v>356</v>
      </c>
      <c r="N1159" s="73">
        <v>67259</v>
      </c>
      <c r="O1159" s="73">
        <v>67259</v>
      </c>
      <c r="P1159">
        <v>34.681374159610094</v>
      </c>
    </row>
    <row r="1160" spans="1:16" hidden="1" x14ac:dyDescent="0.2">
      <c r="A1160" s="73">
        <v>67259</v>
      </c>
      <c r="B1160" t="s">
        <v>462</v>
      </c>
      <c r="C1160" s="73" t="s">
        <v>463</v>
      </c>
      <c r="D1160" t="s">
        <v>218</v>
      </c>
      <c r="E1160" s="74">
        <v>46112</v>
      </c>
      <c r="F1160" t="s">
        <v>372</v>
      </c>
      <c r="G1160" t="s">
        <v>373</v>
      </c>
      <c r="H1160" s="75">
        <f t="shared" si="18"/>
        <v>138.72549663844038</v>
      </c>
      <c r="I1160" s="74">
        <v>46112</v>
      </c>
      <c r="J1160">
        <v>4</v>
      </c>
      <c r="K1160" t="s">
        <v>509</v>
      </c>
      <c r="L1160" t="s">
        <v>348</v>
      </c>
      <c r="M1160" t="s">
        <v>356</v>
      </c>
      <c r="N1160" s="73">
        <v>67259</v>
      </c>
      <c r="O1160" s="73">
        <v>67259</v>
      </c>
      <c r="P1160">
        <v>34.681374159610094</v>
      </c>
    </row>
    <row r="1161" spans="1:16" hidden="1" x14ac:dyDescent="0.2">
      <c r="A1161" s="73">
        <v>67259</v>
      </c>
      <c r="B1161" t="s">
        <v>462</v>
      </c>
      <c r="C1161" s="73" t="s">
        <v>463</v>
      </c>
      <c r="D1161" t="s">
        <v>218</v>
      </c>
      <c r="E1161" s="74">
        <v>46113</v>
      </c>
      <c r="F1161" t="s">
        <v>372</v>
      </c>
      <c r="G1161" t="s">
        <v>373</v>
      </c>
      <c r="H1161" s="75">
        <f t="shared" si="18"/>
        <v>138.72549663844038</v>
      </c>
      <c r="I1161" s="74">
        <v>46113</v>
      </c>
      <c r="J1161">
        <v>4</v>
      </c>
      <c r="K1161" t="s">
        <v>510</v>
      </c>
      <c r="L1161" t="s">
        <v>348</v>
      </c>
      <c r="M1161" t="s">
        <v>356</v>
      </c>
      <c r="N1161" s="73">
        <v>67259</v>
      </c>
      <c r="O1161" s="73">
        <v>67259</v>
      </c>
      <c r="P1161">
        <v>34.681374159610094</v>
      </c>
    </row>
    <row r="1162" spans="1:16" hidden="1" x14ac:dyDescent="0.2">
      <c r="A1162" s="73">
        <v>67259</v>
      </c>
      <c r="B1162" t="s">
        <v>462</v>
      </c>
      <c r="C1162" s="73" t="s">
        <v>463</v>
      </c>
      <c r="D1162" t="s">
        <v>218</v>
      </c>
      <c r="E1162" s="74">
        <v>46114</v>
      </c>
      <c r="F1162" t="s">
        <v>372</v>
      </c>
      <c r="G1162" t="s">
        <v>373</v>
      </c>
      <c r="H1162" s="75">
        <f t="shared" si="18"/>
        <v>138.72549663844038</v>
      </c>
      <c r="I1162" s="74">
        <v>46114</v>
      </c>
      <c r="J1162">
        <v>4</v>
      </c>
      <c r="K1162" t="s">
        <v>510</v>
      </c>
      <c r="L1162" t="s">
        <v>348</v>
      </c>
      <c r="M1162" t="s">
        <v>356</v>
      </c>
      <c r="N1162" s="73">
        <v>67259</v>
      </c>
      <c r="O1162" s="73">
        <v>67259</v>
      </c>
      <c r="P1162">
        <v>34.681374159610094</v>
      </c>
    </row>
    <row r="1163" spans="1:16" hidden="1" x14ac:dyDescent="0.2">
      <c r="A1163" s="73">
        <v>67259</v>
      </c>
      <c r="B1163" t="s">
        <v>462</v>
      </c>
      <c r="C1163" s="73" t="s">
        <v>463</v>
      </c>
      <c r="D1163" t="s">
        <v>218</v>
      </c>
      <c r="E1163" s="74">
        <v>46118</v>
      </c>
      <c r="F1163" t="s">
        <v>372</v>
      </c>
      <c r="G1163" t="s">
        <v>373</v>
      </c>
      <c r="H1163" s="75">
        <f t="shared" si="18"/>
        <v>173.40687079805048</v>
      </c>
      <c r="I1163" s="74">
        <v>46118</v>
      </c>
      <c r="J1163">
        <v>5</v>
      </c>
      <c r="K1163" t="s">
        <v>510</v>
      </c>
      <c r="L1163" t="s">
        <v>348</v>
      </c>
      <c r="M1163" t="s">
        <v>356</v>
      </c>
      <c r="N1163" s="73">
        <v>67259</v>
      </c>
      <c r="O1163" s="73">
        <v>67259</v>
      </c>
      <c r="P1163">
        <v>34.681374159610094</v>
      </c>
    </row>
    <row r="1164" spans="1:16" hidden="1" x14ac:dyDescent="0.2">
      <c r="A1164" s="73">
        <v>67259</v>
      </c>
      <c r="B1164" t="s">
        <v>462</v>
      </c>
      <c r="C1164" s="73" t="s">
        <v>463</v>
      </c>
      <c r="D1164" t="s">
        <v>218</v>
      </c>
      <c r="E1164" s="74">
        <v>46119</v>
      </c>
      <c r="F1164" t="s">
        <v>372</v>
      </c>
      <c r="G1164" t="s">
        <v>373</v>
      </c>
      <c r="H1164" s="75">
        <f t="shared" si="18"/>
        <v>173.40687079805048</v>
      </c>
      <c r="I1164" s="74">
        <v>46119</v>
      </c>
      <c r="J1164">
        <v>5</v>
      </c>
      <c r="K1164" t="s">
        <v>510</v>
      </c>
      <c r="L1164" t="s">
        <v>348</v>
      </c>
      <c r="M1164" t="s">
        <v>356</v>
      </c>
      <c r="N1164" s="73">
        <v>67259</v>
      </c>
      <c r="O1164" s="73">
        <v>67259</v>
      </c>
      <c r="P1164">
        <v>34.681374159610094</v>
      </c>
    </row>
    <row r="1165" spans="1:16" hidden="1" x14ac:dyDescent="0.2">
      <c r="A1165" s="73">
        <v>67259</v>
      </c>
      <c r="B1165" t="s">
        <v>462</v>
      </c>
      <c r="C1165" s="73" t="s">
        <v>463</v>
      </c>
      <c r="D1165" t="s">
        <v>218</v>
      </c>
      <c r="E1165" s="74">
        <v>46120</v>
      </c>
      <c r="F1165" t="s">
        <v>372</v>
      </c>
      <c r="G1165" t="s">
        <v>373</v>
      </c>
      <c r="H1165" s="75">
        <f t="shared" si="18"/>
        <v>173.40687079805048</v>
      </c>
      <c r="I1165" s="74">
        <v>46120</v>
      </c>
      <c r="J1165">
        <v>5</v>
      </c>
      <c r="K1165" t="s">
        <v>510</v>
      </c>
      <c r="L1165" t="s">
        <v>348</v>
      </c>
      <c r="M1165" t="s">
        <v>356</v>
      </c>
      <c r="N1165" s="73">
        <v>67259</v>
      </c>
      <c r="O1165" s="73">
        <v>67259</v>
      </c>
      <c r="P1165">
        <v>34.681374159610094</v>
      </c>
    </row>
    <row r="1166" spans="1:16" hidden="1" x14ac:dyDescent="0.2">
      <c r="A1166" s="73">
        <v>67259</v>
      </c>
      <c r="B1166" t="s">
        <v>462</v>
      </c>
      <c r="C1166" s="73" t="s">
        <v>463</v>
      </c>
      <c r="D1166" t="s">
        <v>218</v>
      </c>
      <c r="E1166" s="74">
        <v>46121</v>
      </c>
      <c r="F1166" t="s">
        <v>372</v>
      </c>
      <c r="G1166" t="s">
        <v>373</v>
      </c>
      <c r="H1166" s="75">
        <f t="shared" si="18"/>
        <v>173.40687079805048</v>
      </c>
      <c r="I1166" s="74">
        <v>46121</v>
      </c>
      <c r="J1166">
        <v>5</v>
      </c>
      <c r="K1166" t="s">
        <v>510</v>
      </c>
      <c r="L1166" t="s">
        <v>348</v>
      </c>
      <c r="M1166" t="s">
        <v>356</v>
      </c>
      <c r="N1166" s="73">
        <v>67259</v>
      </c>
      <c r="O1166" s="73">
        <v>67259</v>
      </c>
      <c r="P1166">
        <v>34.681374159610094</v>
      </c>
    </row>
    <row r="1167" spans="1:16" hidden="1" x14ac:dyDescent="0.2">
      <c r="A1167" s="73">
        <v>67259</v>
      </c>
      <c r="B1167" t="s">
        <v>462</v>
      </c>
      <c r="C1167" s="73" t="s">
        <v>463</v>
      </c>
      <c r="D1167" t="s">
        <v>218</v>
      </c>
      <c r="E1167" s="74">
        <v>46122</v>
      </c>
      <c r="F1167" t="s">
        <v>372</v>
      </c>
      <c r="G1167" t="s">
        <v>373</v>
      </c>
      <c r="H1167" s="75">
        <f t="shared" si="18"/>
        <v>104.04412247883027</v>
      </c>
      <c r="I1167" s="74">
        <v>46122</v>
      </c>
      <c r="J1167">
        <v>3</v>
      </c>
      <c r="K1167" t="s">
        <v>510</v>
      </c>
      <c r="L1167" t="s">
        <v>348</v>
      </c>
      <c r="M1167" t="s">
        <v>356</v>
      </c>
      <c r="N1167" s="73">
        <v>67259</v>
      </c>
      <c r="O1167" s="73">
        <v>67259</v>
      </c>
      <c r="P1167">
        <v>34.681374159610094</v>
      </c>
    </row>
    <row r="1168" spans="1:16" hidden="1" x14ac:dyDescent="0.2">
      <c r="A1168" s="73">
        <v>67259</v>
      </c>
      <c r="B1168" t="s">
        <v>462</v>
      </c>
      <c r="C1168" s="73" t="s">
        <v>463</v>
      </c>
      <c r="D1168" t="s">
        <v>218</v>
      </c>
      <c r="E1168" s="74">
        <v>46125</v>
      </c>
      <c r="F1168" t="s">
        <v>372</v>
      </c>
      <c r="G1168" t="s">
        <v>373</v>
      </c>
      <c r="H1168" s="75">
        <f t="shared" si="18"/>
        <v>242.76961911727065</v>
      </c>
      <c r="I1168" s="74">
        <v>46125</v>
      </c>
      <c r="J1168">
        <v>7</v>
      </c>
      <c r="K1168" t="s">
        <v>510</v>
      </c>
      <c r="L1168" t="s">
        <v>348</v>
      </c>
      <c r="M1168" t="s">
        <v>356</v>
      </c>
      <c r="N1168" s="73">
        <v>67259</v>
      </c>
      <c r="O1168" s="73">
        <v>67259</v>
      </c>
      <c r="P1168">
        <v>34.681374159610094</v>
      </c>
    </row>
    <row r="1169" spans="1:16" hidden="1" x14ac:dyDescent="0.2">
      <c r="A1169" s="73">
        <v>67259</v>
      </c>
      <c r="B1169" t="s">
        <v>462</v>
      </c>
      <c r="C1169" s="73" t="s">
        <v>463</v>
      </c>
      <c r="D1169" t="s">
        <v>218</v>
      </c>
      <c r="E1169" s="74">
        <v>46127</v>
      </c>
      <c r="F1169" t="s">
        <v>372</v>
      </c>
      <c r="G1169" t="s">
        <v>373</v>
      </c>
      <c r="H1169" s="75">
        <f t="shared" si="18"/>
        <v>242.76961911727065</v>
      </c>
      <c r="I1169" s="74">
        <v>46127</v>
      </c>
      <c r="J1169">
        <v>7</v>
      </c>
      <c r="K1169" t="s">
        <v>510</v>
      </c>
      <c r="L1169" t="s">
        <v>348</v>
      </c>
      <c r="M1169" t="s">
        <v>356</v>
      </c>
      <c r="N1169" s="73">
        <v>67259</v>
      </c>
      <c r="O1169" s="73">
        <v>67259</v>
      </c>
      <c r="P1169">
        <v>34.681374159610094</v>
      </c>
    </row>
    <row r="1170" spans="1:16" hidden="1" x14ac:dyDescent="0.2">
      <c r="A1170" s="73">
        <v>67259</v>
      </c>
      <c r="B1170" t="s">
        <v>462</v>
      </c>
      <c r="C1170" s="73" t="s">
        <v>463</v>
      </c>
      <c r="D1170" t="s">
        <v>218</v>
      </c>
      <c r="E1170" s="74">
        <v>46128</v>
      </c>
      <c r="F1170" t="s">
        <v>372</v>
      </c>
      <c r="G1170" t="s">
        <v>373</v>
      </c>
      <c r="H1170" s="75">
        <f t="shared" si="18"/>
        <v>242.76961911727065</v>
      </c>
      <c r="I1170" s="74">
        <v>46128</v>
      </c>
      <c r="J1170">
        <v>7</v>
      </c>
      <c r="K1170" t="s">
        <v>510</v>
      </c>
      <c r="L1170" t="s">
        <v>348</v>
      </c>
      <c r="M1170" t="s">
        <v>356</v>
      </c>
      <c r="N1170" s="73">
        <v>67259</v>
      </c>
      <c r="O1170" s="73">
        <v>67259</v>
      </c>
      <c r="P1170">
        <v>34.681374159610094</v>
      </c>
    </row>
    <row r="1171" spans="1:16" hidden="1" x14ac:dyDescent="0.2">
      <c r="A1171" s="73">
        <v>67259</v>
      </c>
      <c r="B1171" t="s">
        <v>462</v>
      </c>
      <c r="C1171" s="73" t="s">
        <v>463</v>
      </c>
      <c r="D1171" t="s">
        <v>218</v>
      </c>
      <c r="E1171" s="74">
        <v>46132</v>
      </c>
      <c r="F1171" t="s">
        <v>372</v>
      </c>
      <c r="G1171" t="s">
        <v>373</v>
      </c>
      <c r="H1171" s="75">
        <f t="shared" si="18"/>
        <v>242.76961911727065</v>
      </c>
      <c r="I1171" s="74">
        <v>46132</v>
      </c>
      <c r="J1171">
        <v>7</v>
      </c>
      <c r="K1171" t="s">
        <v>510</v>
      </c>
      <c r="L1171" t="s">
        <v>348</v>
      </c>
      <c r="M1171" t="s">
        <v>356</v>
      </c>
      <c r="N1171" s="73">
        <v>67259</v>
      </c>
      <c r="O1171" s="73">
        <v>67259</v>
      </c>
      <c r="P1171">
        <v>34.681374159610094</v>
      </c>
    </row>
    <row r="1172" spans="1:16" hidden="1" x14ac:dyDescent="0.2">
      <c r="A1172" s="73">
        <v>67259</v>
      </c>
      <c r="B1172" t="s">
        <v>462</v>
      </c>
      <c r="C1172" s="73" t="s">
        <v>463</v>
      </c>
      <c r="D1172" t="s">
        <v>218</v>
      </c>
      <c r="E1172" s="74">
        <v>46133</v>
      </c>
      <c r="F1172" t="s">
        <v>372</v>
      </c>
      <c r="G1172" t="s">
        <v>373</v>
      </c>
      <c r="H1172" s="75">
        <f t="shared" si="18"/>
        <v>242.76961911727065</v>
      </c>
      <c r="I1172" s="74">
        <v>46133</v>
      </c>
      <c r="J1172">
        <v>7</v>
      </c>
      <c r="K1172" t="s">
        <v>510</v>
      </c>
      <c r="L1172" t="s">
        <v>348</v>
      </c>
      <c r="M1172" t="s">
        <v>356</v>
      </c>
      <c r="N1172" s="73">
        <v>67259</v>
      </c>
      <c r="O1172" s="73">
        <v>67259</v>
      </c>
      <c r="P1172">
        <v>34.681374159610094</v>
      </c>
    </row>
    <row r="1173" spans="1:16" hidden="1" x14ac:dyDescent="0.2">
      <c r="A1173" s="73">
        <v>67259</v>
      </c>
      <c r="B1173" t="s">
        <v>462</v>
      </c>
      <c r="C1173" s="73" t="s">
        <v>463</v>
      </c>
      <c r="D1173" t="s">
        <v>218</v>
      </c>
      <c r="E1173" s="74">
        <v>46134</v>
      </c>
      <c r="F1173" t="s">
        <v>372</v>
      </c>
      <c r="G1173" t="s">
        <v>373</v>
      </c>
      <c r="H1173" s="75">
        <f t="shared" si="18"/>
        <v>242.76961911727065</v>
      </c>
      <c r="I1173" s="74">
        <v>46134</v>
      </c>
      <c r="J1173">
        <v>7</v>
      </c>
      <c r="K1173" t="s">
        <v>510</v>
      </c>
      <c r="L1173" t="s">
        <v>348</v>
      </c>
      <c r="M1173" t="s">
        <v>356</v>
      </c>
      <c r="N1173" s="73">
        <v>67259</v>
      </c>
      <c r="O1173" s="73">
        <v>67259</v>
      </c>
      <c r="P1173">
        <v>34.681374159610094</v>
      </c>
    </row>
    <row r="1174" spans="1:16" hidden="1" x14ac:dyDescent="0.2">
      <c r="A1174" s="73">
        <v>67259</v>
      </c>
      <c r="B1174" t="s">
        <v>462</v>
      </c>
      <c r="C1174" s="73" t="s">
        <v>463</v>
      </c>
      <c r="D1174" t="s">
        <v>218</v>
      </c>
      <c r="E1174" s="74">
        <v>46135</v>
      </c>
      <c r="F1174" t="s">
        <v>372</v>
      </c>
      <c r="G1174" t="s">
        <v>373</v>
      </c>
      <c r="H1174" s="75">
        <f t="shared" si="18"/>
        <v>242.76961911727065</v>
      </c>
      <c r="I1174" s="74">
        <v>46135</v>
      </c>
      <c r="J1174">
        <v>7</v>
      </c>
      <c r="K1174" t="s">
        <v>510</v>
      </c>
      <c r="L1174" t="s">
        <v>348</v>
      </c>
      <c r="M1174" t="s">
        <v>356</v>
      </c>
      <c r="N1174" s="73">
        <v>67259</v>
      </c>
      <c r="O1174" s="73">
        <v>67259</v>
      </c>
      <c r="P1174">
        <v>34.681374159610094</v>
      </c>
    </row>
    <row r="1175" spans="1:16" hidden="1" x14ac:dyDescent="0.2">
      <c r="A1175" s="73">
        <v>67259</v>
      </c>
      <c r="B1175" t="s">
        <v>462</v>
      </c>
      <c r="C1175" s="73" t="s">
        <v>463</v>
      </c>
      <c r="D1175" t="s">
        <v>218</v>
      </c>
      <c r="E1175" s="74">
        <v>46136</v>
      </c>
      <c r="F1175" t="s">
        <v>372</v>
      </c>
      <c r="G1175" t="s">
        <v>373</v>
      </c>
      <c r="H1175" s="75">
        <f t="shared" si="18"/>
        <v>242.76961911727065</v>
      </c>
      <c r="I1175" s="74">
        <v>46136</v>
      </c>
      <c r="J1175">
        <v>7</v>
      </c>
      <c r="K1175" t="s">
        <v>510</v>
      </c>
      <c r="L1175" t="s">
        <v>348</v>
      </c>
      <c r="M1175" t="s">
        <v>356</v>
      </c>
      <c r="N1175" s="73">
        <v>67259</v>
      </c>
      <c r="O1175" s="73">
        <v>67259</v>
      </c>
      <c r="P1175">
        <v>34.681374159610094</v>
      </c>
    </row>
    <row r="1176" spans="1:16" hidden="1" x14ac:dyDescent="0.2">
      <c r="A1176" s="73">
        <v>67259</v>
      </c>
      <c r="B1176" t="s">
        <v>462</v>
      </c>
      <c r="C1176" s="73" t="s">
        <v>463</v>
      </c>
      <c r="D1176" t="s">
        <v>218</v>
      </c>
      <c r="E1176" s="74">
        <v>46139</v>
      </c>
      <c r="F1176" t="s">
        <v>372</v>
      </c>
      <c r="G1176" t="s">
        <v>373</v>
      </c>
      <c r="H1176" s="75">
        <f t="shared" si="18"/>
        <v>277.45099327688075</v>
      </c>
      <c r="I1176" s="74">
        <v>46139</v>
      </c>
      <c r="J1176">
        <v>8</v>
      </c>
      <c r="K1176" t="s">
        <v>510</v>
      </c>
      <c r="L1176" t="s">
        <v>348</v>
      </c>
      <c r="M1176" t="s">
        <v>356</v>
      </c>
      <c r="N1176" s="73">
        <v>67259</v>
      </c>
      <c r="O1176" s="73">
        <v>67259</v>
      </c>
      <c r="P1176">
        <v>34.681374159610094</v>
      </c>
    </row>
    <row r="1177" spans="1:16" hidden="1" x14ac:dyDescent="0.2">
      <c r="A1177" s="73">
        <v>67259</v>
      </c>
      <c r="B1177" t="s">
        <v>462</v>
      </c>
      <c r="C1177" s="73" t="s">
        <v>463</v>
      </c>
      <c r="D1177" t="s">
        <v>218</v>
      </c>
      <c r="E1177" s="74">
        <v>46140</v>
      </c>
      <c r="F1177" t="s">
        <v>372</v>
      </c>
      <c r="G1177" t="s">
        <v>373</v>
      </c>
      <c r="H1177" s="75">
        <f t="shared" si="18"/>
        <v>277.45099327688075</v>
      </c>
      <c r="I1177" s="74">
        <v>46140</v>
      </c>
      <c r="J1177">
        <v>8</v>
      </c>
      <c r="K1177" t="s">
        <v>510</v>
      </c>
      <c r="L1177" t="s">
        <v>348</v>
      </c>
      <c r="M1177" t="s">
        <v>356</v>
      </c>
      <c r="N1177" s="73">
        <v>67259</v>
      </c>
      <c r="O1177" s="73">
        <v>67259</v>
      </c>
      <c r="P1177">
        <v>34.681374159610094</v>
      </c>
    </row>
    <row r="1178" spans="1:16" hidden="1" x14ac:dyDescent="0.2">
      <c r="A1178" s="73">
        <v>67259</v>
      </c>
      <c r="B1178" t="s">
        <v>462</v>
      </c>
      <c r="C1178" s="73" t="s">
        <v>463</v>
      </c>
      <c r="D1178" t="s">
        <v>218</v>
      </c>
      <c r="E1178" s="74">
        <v>46141</v>
      </c>
      <c r="F1178" t="s">
        <v>372</v>
      </c>
      <c r="G1178" t="s">
        <v>373</v>
      </c>
      <c r="H1178" s="75">
        <f t="shared" si="18"/>
        <v>277.45099327688075</v>
      </c>
      <c r="I1178" s="74">
        <v>46141</v>
      </c>
      <c r="J1178">
        <v>8</v>
      </c>
      <c r="K1178" t="s">
        <v>510</v>
      </c>
      <c r="L1178" t="s">
        <v>348</v>
      </c>
      <c r="M1178" t="s">
        <v>356</v>
      </c>
      <c r="N1178" s="73">
        <v>67259</v>
      </c>
      <c r="O1178" s="73">
        <v>67259</v>
      </c>
      <c r="P1178">
        <v>34.681374159610094</v>
      </c>
    </row>
    <row r="1179" spans="1:16" hidden="1" x14ac:dyDescent="0.2">
      <c r="A1179" s="73">
        <v>67259</v>
      </c>
      <c r="B1179" t="s">
        <v>462</v>
      </c>
      <c r="C1179" s="73" t="s">
        <v>463</v>
      </c>
      <c r="D1179" t="s">
        <v>218</v>
      </c>
      <c r="E1179" s="74">
        <v>46142</v>
      </c>
      <c r="F1179" t="s">
        <v>372</v>
      </c>
      <c r="G1179" t="s">
        <v>373</v>
      </c>
      <c r="H1179" s="75">
        <f t="shared" si="18"/>
        <v>277.45099327688075</v>
      </c>
      <c r="I1179" s="74">
        <v>46142</v>
      </c>
      <c r="J1179">
        <v>8</v>
      </c>
      <c r="K1179" t="s">
        <v>510</v>
      </c>
      <c r="L1179" t="s">
        <v>348</v>
      </c>
      <c r="M1179" t="s">
        <v>356</v>
      </c>
      <c r="N1179" s="73">
        <v>67259</v>
      </c>
      <c r="O1179" s="73">
        <v>67259</v>
      </c>
      <c r="P1179">
        <v>34.681374159610094</v>
      </c>
    </row>
    <row r="1180" spans="1:16" hidden="1" x14ac:dyDescent="0.2">
      <c r="A1180" s="73">
        <v>67259</v>
      </c>
      <c r="B1180" t="s">
        <v>462</v>
      </c>
      <c r="C1180" s="73" t="s">
        <v>463</v>
      </c>
      <c r="D1180" t="s">
        <v>218</v>
      </c>
      <c r="E1180" s="74">
        <v>46147</v>
      </c>
      <c r="F1180" t="s">
        <v>372</v>
      </c>
      <c r="G1180" t="s">
        <v>373</v>
      </c>
      <c r="H1180" s="75">
        <f t="shared" si="18"/>
        <v>242.76961911727065</v>
      </c>
      <c r="I1180" s="74">
        <v>46147</v>
      </c>
      <c r="J1180">
        <v>7</v>
      </c>
      <c r="K1180" t="s">
        <v>517</v>
      </c>
      <c r="L1180" t="s">
        <v>348</v>
      </c>
      <c r="M1180" t="s">
        <v>356</v>
      </c>
      <c r="N1180" s="73">
        <v>67259</v>
      </c>
      <c r="O1180" s="73">
        <v>67259</v>
      </c>
      <c r="P1180">
        <v>34.681374159610094</v>
      </c>
    </row>
    <row r="1181" spans="1:16" hidden="1" x14ac:dyDescent="0.2">
      <c r="A1181" s="73">
        <v>67259</v>
      </c>
      <c r="B1181" t="s">
        <v>462</v>
      </c>
      <c r="C1181" s="73" t="s">
        <v>463</v>
      </c>
      <c r="D1181" t="s">
        <v>218</v>
      </c>
      <c r="E1181" s="74">
        <v>46148</v>
      </c>
      <c r="F1181" t="s">
        <v>372</v>
      </c>
      <c r="G1181" t="s">
        <v>373</v>
      </c>
      <c r="H1181" s="75">
        <f t="shared" si="18"/>
        <v>242.76961911727065</v>
      </c>
      <c r="I1181" s="74">
        <v>46148</v>
      </c>
      <c r="J1181">
        <v>7</v>
      </c>
      <c r="K1181" t="s">
        <v>517</v>
      </c>
      <c r="L1181" t="s">
        <v>348</v>
      </c>
      <c r="M1181" t="s">
        <v>356</v>
      </c>
      <c r="N1181" s="73">
        <v>67259</v>
      </c>
      <c r="O1181" s="73">
        <v>67259</v>
      </c>
      <c r="P1181">
        <v>34.681374159610094</v>
      </c>
    </row>
    <row r="1182" spans="1:16" hidden="1" x14ac:dyDescent="0.2">
      <c r="A1182" s="73">
        <v>67259</v>
      </c>
      <c r="B1182" t="s">
        <v>462</v>
      </c>
      <c r="C1182" s="73" t="s">
        <v>463</v>
      </c>
      <c r="D1182" t="s">
        <v>218</v>
      </c>
      <c r="E1182" s="74">
        <v>46149</v>
      </c>
      <c r="F1182" t="s">
        <v>372</v>
      </c>
      <c r="G1182" t="s">
        <v>373</v>
      </c>
      <c r="H1182" s="75">
        <f t="shared" si="18"/>
        <v>242.76961911727065</v>
      </c>
      <c r="I1182" s="74">
        <v>46149</v>
      </c>
      <c r="J1182">
        <v>7</v>
      </c>
      <c r="K1182" t="s">
        <v>517</v>
      </c>
      <c r="L1182" t="s">
        <v>348</v>
      </c>
      <c r="M1182" t="s">
        <v>356</v>
      </c>
      <c r="N1182" s="73">
        <v>67259</v>
      </c>
      <c r="O1182" s="73">
        <v>67259</v>
      </c>
      <c r="P1182">
        <v>34.681374159610094</v>
      </c>
    </row>
    <row r="1183" spans="1:16" hidden="1" x14ac:dyDescent="0.2">
      <c r="A1183" s="73">
        <v>67259</v>
      </c>
      <c r="B1183" t="s">
        <v>462</v>
      </c>
      <c r="C1183" s="73" t="s">
        <v>463</v>
      </c>
      <c r="D1183" t="s">
        <v>218</v>
      </c>
      <c r="E1183" s="74">
        <v>46150</v>
      </c>
      <c r="F1183" t="s">
        <v>372</v>
      </c>
      <c r="G1183" t="s">
        <v>373</v>
      </c>
      <c r="H1183" s="75">
        <f t="shared" si="18"/>
        <v>242.76961911727065</v>
      </c>
      <c r="I1183" s="74">
        <v>46150</v>
      </c>
      <c r="J1183">
        <v>7</v>
      </c>
      <c r="K1183" t="s">
        <v>517</v>
      </c>
      <c r="L1183" t="s">
        <v>348</v>
      </c>
      <c r="M1183" t="s">
        <v>356</v>
      </c>
      <c r="N1183" s="73">
        <v>67259</v>
      </c>
      <c r="O1183" s="73">
        <v>67259</v>
      </c>
      <c r="P1183">
        <v>34.681374159610094</v>
      </c>
    </row>
    <row r="1184" spans="1:16" hidden="1" x14ac:dyDescent="0.2">
      <c r="A1184" s="73">
        <v>67259</v>
      </c>
      <c r="B1184" t="s">
        <v>462</v>
      </c>
      <c r="C1184" s="73" t="s">
        <v>463</v>
      </c>
      <c r="D1184" t="s">
        <v>218</v>
      </c>
      <c r="E1184" s="74">
        <v>46153</v>
      </c>
      <c r="F1184" t="s">
        <v>372</v>
      </c>
      <c r="G1184" t="s">
        <v>373</v>
      </c>
      <c r="H1184" s="75">
        <f t="shared" si="18"/>
        <v>242.76961911727065</v>
      </c>
      <c r="I1184" s="74">
        <v>46153</v>
      </c>
      <c r="J1184">
        <v>7</v>
      </c>
      <c r="K1184" t="s">
        <v>517</v>
      </c>
      <c r="L1184" t="s">
        <v>348</v>
      </c>
      <c r="M1184" t="s">
        <v>356</v>
      </c>
      <c r="N1184" s="73">
        <v>67259</v>
      </c>
      <c r="O1184" s="73">
        <v>67259</v>
      </c>
      <c r="P1184">
        <v>34.681374159610094</v>
      </c>
    </row>
    <row r="1185" spans="1:16" hidden="1" x14ac:dyDescent="0.2">
      <c r="A1185" s="73">
        <v>67259</v>
      </c>
      <c r="B1185" t="s">
        <v>462</v>
      </c>
      <c r="C1185" s="73" t="s">
        <v>463</v>
      </c>
      <c r="D1185" t="s">
        <v>218</v>
      </c>
      <c r="E1185" s="74">
        <v>46154</v>
      </c>
      <c r="F1185" t="s">
        <v>372</v>
      </c>
      <c r="G1185" t="s">
        <v>373</v>
      </c>
      <c r="H1185" s="75">
        <f t="shared" si="18"/>
        <v>242.76961911727065</v>
      </c>
      <c r="I1185" s="74">
        <v>46154</v>
      </c>
      <c r="J1185">
        <v>7</v>
      </c>
      <c r="K1185" t="s">
        <v>517</v>
      </c>
      <c r="L1185" t="s">
        <v>348</v>
      </c>
      <c r="M1185" t="s">
        <v>356</v>
      </c>
      <c r="N1185" s="73">
        <v>67259</v>
      </c>
      <c r="O1185" s="73">
        <v>67259</v>
      </c>
      <c r="P1185">
        <v>34.681374159610094</v>
      </c>
    </row>
    <row r="1186" spans="1:16" hidden="1" x14ac:dyDescent="0.2">
      <c r="A1186" s="73">
        <v>67259</v>
      </c>
      <c r="B1186" t="s">
        <v>462</v>
      </c>
      <c r="C1186" s="73" t="s">
        <v>463</v>
      </c>
      <c r="D1186" t="s">
        <v>218</v>
      </c>
      <c r="E1186" s="74">
        <v>46155</v>
      </c>
      <c r="F1186" t="s">
        <v>372</v>
      </c>
      <c r="G1186" t="s">
        <v>373</v>
      </c>
      <c r="H1186" s="75">
        <f t="shared" si="18"/>
        <v>242.76961911727065</v>
      </c>
      <c r="I1186" s="74">
        <v>46155</v>
      </c>
      <c r="J1186">
        <v>7</v>
      </c>
      <c r="K1186" t="s">
        <v>517</v>
      </c>
      <c r="L1186" t="s">
        <v>348</v>
      </c>
      <c r="M1186" t="s">
        <v>356</v>
      </c>
      <c r="N1186" s="73">
        <v>67259</v>
      </c>
      <c r="O1186" s="73">
        <v>67259</v>
      </c>
      <c r="P1186">
        <v>34.681374159610094</v>
      </c>
    </row>
    <row r="1187" spans="1:16" hidden="1" x14ac:dyDescent="0.2">
      <c r="A1187" s="73">
        <v>67259</v>
      </c>
      <c r="B1187" t="s">
        <v>462</v>
      </c>
      <c r="C1187" s="73" t="s">
        <v>463</v>
      </c>
      <c r="D1187" t="s">
        <v>218</v>
      </c>
      <c r="E1187" s="74">
        <v>46156</v>
      </c>
      <c r="F1187" t="s">
        <v>372</v>
      </c>
      <c r="G1187" t="s">
        <v>373</v>
      </c>
      <c r="H1187" s="75">
        <f t="shared" si="18"/>
        <v>242.76961911727065</v>
      </c>
      <c r="I1187" s="74">
        <v>46156</v>
      </c>
      <c r="J1187">
        <v>7</v>
      </c>
      <c r="K1187" t="s">
        <v>517</v>
      </c>
      <c r="L1187" t="s">
        <v>348</v>
      </c>
      <c r="M1187" t="s">
        <v>356</v>
      </c>
      <c r="N1187" s="73">
        <v>67259</v>
      </c>
      <c r="O1187" s="73">
        <v>67259</v>
      </c>
      <c r="P1187">
        <v>34.681374159610094</v>
      </c>
    </row>
    <row r="1188" spans="1:16" hidden="1" x14ac:dyDescent="0.2">
      <c r="A1188" s="73">
        <v>67259</v>
      </c>
      <c r="B1188" t="s">
        <v>462</v>
      </c>
      <c r="C1188" s="73" t="s">
        <v>463</v>
      </c>
      <c r="D1188" t="s">
        <v>218</v>
      </c>
      <c r="E1188" s="74">
        <v>46157</v>
      </c>
      <c r="F1188" t="s">
        <v>372</v>
      </c>
      <c r="G1188" t="s">
        <v>373</v>
      </c>
      <c r="H1188" s="75">
        <f t="shared" si="18"/>
        <v>242.76961911727065</v>
      </c>
      <c r="I1188" s="74">
        <v>46157</v>
      </c>
      <c r="J1188">
        <v>7</v>
      </c>
      <c r="K1188" t="s">
        <v>517</v>
      </c>
      <c r="L1188" t="s">
        <v>348</v>
      </c>
      <c r="M1188" t="s">
        <v>356</v>
      </c>
      <c r="N1188" s="73">
        <v>67259</v>
      </c>
      <c r="O1188" s="73">
        <v>67259</v>
      </c>
      <c r="P1188">
        <v>34.681374159610094</v>
      </c>
    </row>
    <row r="1189" spans="1:16" hidden="1" x14ac:dyDescent="0.2">
      <c r="A1189" s="73">
        <v>67259</v>
      </c>
      <c r="B1189" t="s">
        <v>462</v>
      </c>
      <c r="C1189" s="73" t="s">
        <v>463</v>
      </c>
      <c r="D1189" t="s">
        <v>218</v>
      </c>
      <c r="E1189" s="74">
        <v>46160</v>
      </c>
      <c r="F1189" t="s">
        <v>372</v>
      </c>
      <c r="G1189" t="s">
        <v>373</v>
      </c>
      <c r="H1189" s="75">
        <f t="shared" si="18"/>
        <v>242.76961911727065</v>
      </c>
      <c r="I1189" s="74">
        <v>46160</v>
      </c>
      <c r="J1189">
        <v>7</v>
      </c>
      <c r="K1189" t="s">
        <v>517</v>
      </c>
      <c r="L1189" t="s">
        <v>348</v>
      </c>
      <c r="M1189" t="s">
        <v>356</v>
      </c>
      <c r="N1189" s="73">
        <v>67259</v>
      </c>
      <c r="O1189" s="73">
        <v>67259</v>
      </c>
      <c r="P1189">
        <v>34.681374159610094</v>
      </c>
    </row>
    <row r="1190" spans="1:16" hidden="1" x14ac:dyDescent="0.2">
      <c r="A1190" s="73">
        <v>67259</v>
      </c>
      <c r="B1190" t="s">
        <v>462</v>
      </c>
      <c r="C1190" s="73" t="s">
        <v>463</v>
      </c>
      <c r="D1190" t="s">
        <v>218</v>
      </c>
      <c r="E1190" s="74">
        <v>46161</v>
      </c>
      <c r="F1190" t="s">
        <v>372</v>
      </c>
      <c r="G1190" t="s">
        <v>373</v>
      </c>
      <c r="H1190" s="75">
        <f t="shared" si="18"/>
        <v>242.76961911727065</v>
      </c>
      <c r="I1190" s="74">
        <v>46161</v>
      </c>
      <c r="J1190">
        <v>7</v>
      </c>
      <c r="K1190" t="s">
        <v>517</v>
      </c>
      <c r="L1190" t="s">
        <v>348</v>
      </c>
      <c r="M1190" t="s">
        <v>356</v>
      </c>
      <c r="N1190" s="73">
        <v>67259</v>
      </c>
      <c r="O1190" s="73">
        <v>67259</v>
      </c>
      <c r="P1190">
        <v>34.681374159610094</v>
      </c>
    </row>
    <row r="1191" spans="1:16" hidden="1" x14ac:dyDescent="0.2">
      <c r="A1191" s="73">
        <v>67259</v>
      </c>
      <c r="B1191" t="s">
        <v>462</v>
      </c>
      <c r="C1191" s="73" t="s">
        <v>463</v>
      </c>
      <c r="D1191" t="s">
        <v>218</v>
      </c>
      <c r="E1191" s="74">
        <v>46162</v>
      </c>
      <c r="F1191" t="s">
        <v>372</v>
      </c>
      <c r="G1191" t="s">
        <v>373</v>
      </c>
      <c r="H1191" s="75">
        <f t="shared" si="18"/>
        <v>242.76961911727065</v>
      </c>
      <c r="I1191" s="74">
        <v>46162</v>
      </c>
      <c r="J1191">
        <v>7</v>
      </c>
      <c r="K1191" t="s">
        <v>517</v>
      </c>
      <c r="L1191" t="s">
        <v>348</v>
      </c>
      <c r="M1191" t="s">
        <v>356</v>
      </c>
      <c r="N1191" s="73">
        <v>67259</v>
      </c>
      <c r="O1191" s="73">
        <v>67259</v>
      </c>
      <c r="P1191">
        <v>34.681374159610094</v>
      </c>
    </row>
    <row r="1192" spans="1:16" hidden="1" x14ac:dyDescent="0.2">
      <c r="A1192" s="73">
        <v>67259</v>
      </c>
      <c r="B1192" t="s">
        <v>462</v>
      </c>
      <c r="C1192" s="73" t="s">
        <v>463</v>
      </c>
      <c r="D1192" t="s">
        <v>218</v>
      </c>
      <c r="E1192" s="74">
        <v>46163</v>
      </c>
      <c r="F1192" t="s">
        <v>372</v>
      </c>
      <c r="G1192" t="s">
        <v>373</v>
      </c>
      <c r="H1192" s="75">
        <f t="shared" si="18"/>
        <v>242.76961911727065</v>
      </c>
      <c r="I1192" s="74">
        <v>46163</v>
      </c>
      <c r="J1192">
        <v>7</v>
      </c>
      <c r="K1192" t="s">
        <v>517</v>
      </c>
      <c r="L1192" t="s">
        <v>348</v>
      </c>
      <c r="M1192" t="s">
        <v>356</v>
      </c>
      <c r="N1192" s="73">
        <v>67259</v>
      </c>
      <c r="O1192" s="73">
        <v>67259</v>
      </c>
      <c r="P1192">
        <v>34.681374159610094</v>
      </c>
    </row>
    <row r="1193" spans="1:16" hidden="1" x14ac:dyDescent="0.2">
      <c r="A1193" s="73">
        <v>67259</v>
      </c>
      <c r="B1193" t="s">
        <v>462</v>
      </c>
      <c r="C1193" s="73" t="s">
        <v>463</v>
      </c>
      <c r="D1193" t="s">
        <v>218</v>
      </c>
      <c r="E1193" s="74">
        <v>46164</v>
      </c>
      <c r="F1193" t="s">
        <v>372</v>
      </c>
      <c r="G1193" t="s">
        <v>373</v>
      </c>
      <c r="H1193" s="75">
        <f t="shared" si="18"/>
        <v>242.76961911727065</v>
      </c>
      <c r="I1193" s="74">
        <v>46164</v>
      </c>
      <c r="J1193">
        <v>7</v>
      </c>
      <c r="K1193" t="s">
        <v>517</v>
      </c>
      <c r="L1193" t="s">
        <v>348</v>
      </c>
      <c r="M1193" t="s">
        <v>356</v>
      </c>
      <c r="N1193" s="73">
        <v>67259</v>
      </c>
      <c r="O1193" s="73">
        <v>67259</v>
      </c>
      <c r="P1193">
        <v>34.681374159610094</v>
      </c>
    </row>
    <row r="1194" spans="1:16" hidden="1" x14ac:dyDescent="0.2">
      <c r="A1194" s="73">
        <v>67259</v>
      </c>
      <c r="B1194" t="s">
        <v>462</v>
      </c>
      <c r="C1194" s="73" t="s">
        <v>463</v>
      </c>
      <c r="D1194" t="s">
        <v>218</v>
      </c>
      <c r="E1194" s="74">
        <v>46167</v>
      </c>
      <c r="F1194" t="s">
        <v>372</v>
      </c>
      <c r="G1194" t="s">
        <v>373</v>
      </c>
      <c r="H1194" s="75">
        <f t="shared" si="18"/>
        <v>242.76961911727065</v>
      </c>
      <c r="I1194" s="74">
        <v>46167</v>
      </c>
      <c r="J1194">
        <v>7</v>
      </c>
      <c r="K1194" t="s">
        <v>517</v>
      </c>
      <c r="L1194" t="s">
        <v>348</v>
      </c>
      <c r="M1194" t="s">
        <v>356</v>
      </c>
      <c r="N1194" s="73">
        <v>67259</v>
      </c>
      <c r="O1194" s="73">
        <v>67259</v>
      </c>
      <c r="P1194">
        <v>34.681374159610094</v>
      </c>
    </row>
    <row r="1195" spans="1:16" hidden="1" x14ac:dyDescent="0.2">
      <c r="A1195" s="73">
        <v>67259</v>
      </c>
      <c r="B1195" t="s">
        <v>462</v>
      </c>
      <c r="C1195" s="73" t="s">
        <v>463</v>
      </c>
      <c r="D1195" t="s">
        <v>218</v>
      </c>
      <c r="E1195" s="74">
        <v>46168</v>
      </c>
      <c r="F1195" t="s">
        <v>372</v>
      </c>
      <c r="G1195" t="s">
        <v>373</v>
      </c>
      <c r="H1195" s="75">
        <f t="shared" si="18"/>
        <v>242.76961911727065</v>
      </c>
      <c r="I1195" s="74">
        <v>46168</v>
      </c>
      <c r="J1195">
        <v>7</v>
      </c>
      <c r="K1195" t="s">
        <v>517</v>
      </c>
      <c r="L1195" t="s">
        <v>348</v>
      </c>
      <c r="M1195" t="s">
        <v>356</v>
      </c>
      <c r="N1195" s="73">
        <v>67259</v>
      </c>
      <c r="O1195" s="73">
        <v>67259</v>
      </c>
      <c r="P1195">
        <v>34.681374159610094</v>
      </c>
    </row>
    <row r="1196" spans="1:16" hidden="1" x14ac:dyDescent="0.2">
      <c r="A1196" s="73">
        <v>67259</v>
      </c>
      <c r="B1196" t="s">
        <v>462</v>
      </c>
      <c r="C1196" s="73" t="s">
        <v>463</v>
      </c>
      <c r="D1196" t="s">
        <v>218</v>
      </c>
      <c r="E1196" s="74">
        <v>46169</v>
      </c>
      <c r="F1196" t="s">
        <v>372</v>
      </c>
      <c r="G1196" t="s">
        <v>373</v>
      </c>
      <c r="H1196" s="75">
        <f t="shared" si="18"/>
        <v>104.04412247883027</v>
      </c>
      <c r="I1196" s="74">
        <v>46169</v>
      </c>
      <c r="J1196">
        <v>3</v>
      </c>
      <c r="K1196" t="s">
        <v>517</v>
      </c>
      <c r="L1196" t="s">
        <v>348</v>
      </c>
      <c r="M1196" t="s">
        <v>356</v>
      </c>
      <c r="N1196" s="73">
        <v>67259</v>
      </c>
      <c r="O1196" s="73">
        <v>67259</v>
      </c>
      <c r="P1196">
        <v>34.681374159610094</v>
      </c>
    </row>
    <row r="1197" spans="1:16" hidden="1" x14ac:dyDescent="0.2">
      <c r="A1197" s="73">
        <v>67259</v>
      </c>
      <c r="B1197" t="s">
        <v>462</v>
      </c>
      <c r="C1197" s="73" t="s">
        <v>463</v>
      </c>
      <c r="D1197" t="s">
        <v>218</v>
      </c>
      <c r="E1197" s="74">
        <v>46171</v>
      </c>
      <c r="F1197" t="s">
        <v>372</v>
      </c>
      <c r="G1197" t="s">
        <v>373</v>
      </c>
      <c r="H1197" s="75">
        <f t="shared" si="18"/>
        <v>242.76961911727065</v>
      </c>
      <c r="I1197" s="74">
        <v>46171</v>
      </c>
      <c r="J1197">
        <v>7</v>
      </c>
      <c r="K1197" t="s">
        <v>517</v>
      </c>
      <c r="L1197" t="s">
        <v>348</v>
      </c>
      <c r="M1197" t="s">
        <v>356</v>
      </c>
      <c r="N1197" s="73">
        <v>67259</v>
      </c>
      <c r="O1197" s="73">
        <v>67259</v>
      </c>
      <c r="P1197">
        <v>34.681374159610094</v>
      </c>
    </row>
    <row r="1198" spans="1:16" hidden="1" x14ac:dyDescent="0.2">
      <c r="A1198" s="73">
        <v>67259</v>
      </c>
      <c r="B1198" t="s">
        <v>462</v>
      </c>
      <c r="C1198" s="73" t="s">
        <v>463</v>
      </c>
      <c r="D1198" t="s">
        <v>218</v>
      </c>
      <c r="E1198" s="74">
        <v>46174</v>
      </c>
      <c r="F1198" t="s">
        <v>372</v>
      </c>
      <c r="G1198" t="s">
        <v>373</v>
      </c>
      <c r="H1198" s="75">
        <f t="shared" si="18"/>
        <v>242.76961911727065</v>
      </c>
      <c r="I1198" s="74">
        <v>46174</v>
      </c>
      <c r="J1198">
        <v>7</v>
      </c>
      <c r="K1198" t="s">
        <v>518</v>
      </c>
      <c r="L1198" t="s">
        <v>348</v>
      </c>
      <c r="M1198" t="s">
        <v>356</v>
      </c>
      <c r="N1198" s="73">
        <v>67259</v>
      </c>
      <c r="O1198" s="73">
        <v>67259</v>
      </c>
      <c r="P1198">
        <v>34.681374159610094</v>
      </c>
    </row>
    <row r="1199" spans="1:16" hidden="1" x14ac:dyDescent="0.2">
      <c r="A1199" s="73">
        <v>67259</v>
      </c>
      <c r="B1199" t="s">
        <v>462</v>
      </c>
      <c r="C1199" s="73" t="s">
        <v>463</v>
      </c>
      <c r="D1199" t="s">
        <v>218</v>
      </c>
      <c r="E1199" s="74">
        <v>46175</v>
      </c>
      <c r="F1199" t="s">
        <v>372</v>
      </c>
      <c r="G1199" t="s">
        <v>373</v>
      </c>
      <c r="H1199" s="75">
        <f t="shared" si="18"/>
        <v>242.76961911727065</v>
      </c>
      <c r="I1199" s="74">
        <v>46175</v>
      </c>
      <c r="J1199">
        <v>7</v>
      </c>
      <c r="K1199" t="s">
        <v>518</v>
      </c>
      <c r="L1199" t="s">
        <v>348</v>
      </c>
      <c r="M1199" t="s">
        <v>356</v>
      </c>
      <c r="N1199" s="73">
        <v>67259</v>
      </c>
      <c r="O1199" s="73">
        <v>67259</v>
      </c>
      <c r="P1199">
        <v>34.681374159610094</v>
      </c>
    </row>
    <row r="1200" spans="1:16" hidden="1" x14ac:dyDescent="0.2">
      <c r="A1200" s="73">
        <v>67259</v>
      </c>
      <c r="B1200" t="s">
        <v>462</v>
      </c>
      <c r="C1200" s="73" t="s">
        <v>463</v>
      </c>
      <c r="D1200" t="s">
        <v>218</v>
      </c>
      <c r="E1200" s="74">
        <v>46176</v>
      </c>
      <c r="F1200" t="s">
        <v>372</v>
      </c>
      <c r="G1200" t="s">
        <v>373</v>
      </c>
      <c r="H1200" s="75">
        <f t="shared" si="18"/>
        <v>242.76961911727065</v>
      </c>
      <c r="I1200" s="74">
        <v>46176</v>
      </c>
      <c r="J1200">
        <v>7</v>
      </c>
      <c r="K1200" t="s">
        <v>518</v>
      </c>
      <c r="L1200" t="s">
        <v>348</v>
      </c>
      <c r="M1200" t="s">
        <v>356</v>
      </c>
      <c r="N1200" s="73">
        <v>67259</v>
      </c>
      <c r="O1200" s="73">
        <v>67259</v>
      </c>
      <c r="P1200">
        <v>34.681374159610094</v>
      </c>
    </row>
    <row r="1201" spans="1:16" hidden="1" x14ac:dyDescent="0.2">
      <c r="A1201" s="73">
        <v>67259</v>
      </c>
      <c r="B1201" t="s">
        <v>462</v>
      </c>
      <c r="C1201" s="73" t="s">
        <v>463</v>
      </c>
      <c r="D1201" t="s">
        <v>218</v>
      </c>
      <c r="E1201" s="74">
        <v>46177</v>
      </c>
      <c r="F1201" t="s">
        <v>372</v>
      </c>
      <c r="G1201" t="s">
        <v>373</v>
      </c>
      <c r="H1201" s="75">
        <f t="shared" si="18"/>
        <v>242.76961911727065</v>
      </c>
      <c r="I1201" s="74">
        <v>46177</v>
      </c>
      <c r="J1201">
        <v>7</v>
      </c>
      <c r="K1201" t="s">
        <v>518</v>
      </c>
      <c r="L1201" t="s">
        <v>348</v>
      </c>
      <c r="M1201" t="s">
        <v>356</v>
      </c>
      <c r="N1201" s="73">
        <v>67259</v>
      </c>
      <c r="O1201" s="73">
        <v>67259</v>
      </c>
      <c r="P1201">
        <v>34.681374159610094</v>
      </c>
    </row>
    <row r="1202" spans="1:16" hidden="1" x14ac:dyDescent="0.2">
      <c r="A1202" s="73">
        <v>67259</v>
      </c>
      <c r="B1202" t="s">
        <v>462</v>
      </c>
      <c r="C1202" s="73" t="s">
        <v>463</v>
      </c>
      <c r="D1202" t="s">
        <v>218</v>
      </c>
      <c r="E1202" s="74">
        <v>46178</v>
      </c>
      <c r="F1202" t="s">
        <v>372</v>
      </c>
      <c r="G1202" t="s">
        <v>373</v>
      </c>
      <c r="H1202" s="75">
        <f t="shared" si="18"/>
        <v>242.76961911727065</v>
      </c>
      <c r="I1202" s="74">
        <v>46178</v>
      </c>
      <c r="J1202">
        <v>7</v>
      </c>
      <c r="K1202" t="s">
        <v>518</v>
      </c>
      <c r="L1202" t="s">
        <v>348</v>
      </c>
      <c r="M1202" t="s">
        <v>356</v>
      </c>
      <c r="N1202" s="73">
        <v>67259</v>
      </c>
      <c r="O1202" s="73">
        <v>67259</v>
      </c>
      <c r="P1202">
        <v>34.681374159610094</v>
      </c>
    </row>
    <row r="1203" spans="1:16" hidden="1" x14ac:dyDescent="0.2">
      <c r="A1203" s="73">
        <v>67259</v>
      </c>
      <c r="B1203" t="s">
        <v>462</v>
      </c>
      <c r="C1203" s="73" t="s">
        <v>463</v>
      </c>
      <c r="D1203" t="s">
        <v>218</v>
      </c>
      <c r="E1203" s="74">
        <v>46181</v>
      </c>
      <c r="F1203" t="s">
        <v>372</v>
      </c>
      <c r="G1203" t="s">
        <v>373</v>
      </c>
      <c r="H1203" s="75">
        <f t="shared" si="18"/>
        <v>242.76961911727065</v>
      </c>
      <c r="I1203" s="74">
        <v>46181</v>
      </c>
      <c r="J1203">
        <v>7</v>
      </c>
      <c r="K1203" t="s">
        <v>518</v>
      </c>
      <c r="L1203" t="s">
        <v>348</v>
      </c>
      <c r="M1203" t="s">
        <v>356</v>
      </c>
      <c r="N1203" s="73">
        <v>67259</v>
      </c>
      <c r="O1203" s="73">
        <v>67259</v>
      </c>
      <c r="P1203">
        <v>34.681374159610094</v>
      </c>
    </row>
    <row r="1204" spans="1:16" hidden="1" x14ac:dyDescent="0.2">
      <c r="A1204" s="73">
        <v>67259</v>
      </c>
      <c r="B1204" t="s">
        <v>462</v>
      </c>
      <c r="C1204" s="73" t="s">
        <v>463</v>
      </c>
      <c r="D1204" t="s">
        <v>218</v>
      </c>
      <c r="E1204" s="74">
        <v>46182</v>
      </c>
      <c r="F1204" t="s">
        <v>372</v>
      </c>
      <c r="G1204" t="s">
        <v>373</v>
      </c>
      <c r="H1204" s="75">
        <f t="shared" si="18"/>
        <v>242.76961911727065</v>
      </c>
      <c r="I1204" s="74">
        <v>46182</v>
      </c>
      <c r="J1204">
        <v>7</v>
      </c>
      <c r="K1204" t="s">
        <v>518</v>
      </c>
      <c r="L1204" t="s">
        <v>348</v>
      </c>
      <c r="M1204" t="s">
        <v>356</v>
      </c>
      <c r="N1204" s="73">
        <v>67259</v>
      </c>
      <c r="O1204" s="73">
        <v>67259</v>
      </c>
      <c r="P1204">
        <v>34.681374159610094</v>
      </c>
    </row>
    <row r="1205" spans="1:16" hidden="1" x14ac:dyDescent="0.2">
      <c r="A1205" s="73">
        <v>67259</v>
      </c>
      <c r="B1205" t="s">
        <v>462</v>
      </c>
      <c r="C1205" s="73" t="s">
        <v>463</v>
      </c>
      <c r="D1205" t="s">
        <v>218</v>
      </c>
      <c r="E1205" s="74">
        <v>46183</v>
      </c>
      <c r="F1205" t="s">
        <v>372</v>
      </c>
      <c r="G1205" t="s">
        <v>373</v>
      </c>
      <c r="H1205" s="75">
        <f t="shared" si="18"/>
        <v>242.76961911727065</v>
      </c>
      <c r="I1205" s="74">
        <v>46183</v>
      </c>
      <c r="J1205">
        <v>7</v>
      </c>
      <c r="K1205" t="s">
        <v>518</v>
      </c>
      <c r="L1205" t="s">
        <v>348</v>
      </c>
      <c r="M1205" t="s">
        <v>356</v>
      </c>
      <c r="N1205" s="73">
        <v>67259</v>
      </c>
      <c r="O1205" s="73">
        <v>67259</v>
      </c>
      <c r="P1205">
        <v>34.681374159610094</v>
      </c>
    </row>
    <row r="1206" spans="1:16" hidden="1" x14ac:dyDescent="0.2">
      <c r="A1206" s="73">
        <v>67259</v>
      </c>
      <c r="B1206" t="s">
        <v>462</v>
      </c>
      <c r="C1206" s="73" t="s">
        <v>463</v>
      </c>
      <c r="D1206" t="s">
        <v>218</v>
      </c>
      <c r="E1206" s="74">
        <v>46184</v>
      </c>
      <c r="F1206" t="s">
        <v>372</v>
      </c>
      <c r="G1206" t="s">
        <v>373</v>
      </c>
      <c r="H1206" s="75">
        <f t="shared" si="18"/>
        <v>242.76961911727065</v>
      </c>
      <c r="I1206" s="74">
        <v>46184</v>
      </c>
      <c r="J1206">
        <v>7</v>
      </c>
      <c r="K1206" t="s">
        <v>518</v>
      </c>
      <c r="L1206" t="s">
        <v>348</v>
      </c>
      <c r="M1206" t="s">
        <v>356</v>
      </c>
      <c r="N1206" s="73">
        <v>67259</v>
      </c>
      <c r="O1206" s="73">
        <v>67259</v>
      </c>
      <c r="P1206">
        <v>34.681374159610094</v>
      </c>
    </row>
    <row r="1207" spans="1:16" hidden="1" x14ac:dyDescent="0.2">
      <c r="A1207" s="73">
        <v>67259</v>
      </c>
      <c r="B1207" t="s">
        <v>462</v>
      </c>
      <c r="C1207" s="73" t="s">
        <v>463</v>
      </c>
      <c r="D1207" t="s">
        <v>218</v>
      </c>
      <c r="E1207" s="74">
        <v>46185</v>
      </c>
      <c r="F1207" t="s">
        <v>372</v>
      </c>
      <c r="G1207" t="s">
        <v>373</v>
      </c>
      <c r="H1207" s="75">
        <f t="shared" si="18"/>
        <v>242.76961911727065</v>
      </c>
      <c r="I1207" s="74">
        <v>46185</v>
      </c>
      <c r="J1207">
        <v>7</v>
      </c>
      <c r="K1207" t="s">
        <v>518</v>
      </c>
      <c r="L1207" t="s">
        <v>348</v>
      </c>
      <c r="M1207" t="s">
        <v>356</v>
      </c>
      <c r="N1207" s="73">
        <v>67259</v>
      </c>
      <c r="O1207" s="73">
        <v>67259</v>
      </c>
      <c r="P1207">
        <v>34.681374159610094</v>
      </c>
    </row>
    <row r="1208" spans="1:16" hidden="1" x14ac:dyDescent="0.2">
      <c r="A1208" s="73">
        <v>67260</v>
      </c>
      <c r="B1208" t="s">
        <v>423</v>
      </c>
      <c r="C1208" s="73" t="s">
        <v>424</v>
      </c>
      <c r="D1208" t="s">
        <v>506</v>
      </c>
      <c r="E1208" s="74">
        <v>45894</v>
      </c>
      <c r="F1208" t="s">
        <v>360</v>
      </c>
      <c r="G1208" t="s">
        <v>361</v>
      </c>
      <c r="H1208" s="75">
        <f t="shared" si="18"/>
        <v>242.76961911727065</v>
      </c>
      <c r="I1208" s="74">
        <v>45894</v>
      </c>
      <c r="J1208">
        <v>7</v>
      </c>
      <c r="K1208" t="s">
        <v>288</v>
      </c>
      <c r="L1208" t="s">
        <v>262</v>
      </c>
      <c r="M1208" t="s">
        <v>356</v>
      </c>
      <c r="N1208" s="73">
        <v>67260</v>
      </c>
      <c r="O1208" s="73">
        <v>67260</v>
      </c>
      <c r="P1208">
        <v>34.681374159610094</v>
      </c>
    </row>
    <row r="1209" spans="1:16" hidden="1" x14ac:dyDescent="0.2">
      <c r="A1209" s="73">
        <v>67260</v>
      </c>
      <c r="B1209" t="s">
        <v>423</v>
      </c>
      <c r="C1209" s="73" t="s">
        <v>424</v>
      </c>
      <c r="D1209" t="s">
        <v>506</v>
      </c>
      <c r="E1209" s="74">
        <v>45895</v>
      </c>
      <c r="F1209" t="s">
        <v>360</v>
      </c>
      <c r="G1209" t="s">
        <v>361</v>
      </c>
      <c r="H1209" s="75">
        <f t="shared" si="18"/>
        <v>208.08824495766055</v>
      </c>
      <c r="I1209" s="74">
        <v>45895</v>
      </c>
      <c r="J1209">
        <v>6</v>
      </c>
      <c r="K1209" t="s">
        <v>288</v>
      </c>
      <c r="L1209" t="s">
        <v>262</v>
      </c>
      <c r="M1209" t="s">
        <v>356</v>
      </c>
      <c r="N1209" s="73">
        <v>67260</v>
      </c>
      <c r="O1209" s="73">
        <v>67260</v>
      </c>
      <c r="P1209">
        <v>34.681374159610094</v>
      </c>
    </row>
    <row r="1210" spans="1:16" hidden="1" x14ac:dyDescent="0.2">
      <c r="A1210" s="73">
        <v>67260</v>
      </c>
      <c r="B1210" t="s">
        <v>423</v>
      </c>
      <c r="C1210" s="73" t="s">
        <v>424</v>
      </c>
      <c r="D1210" t="s">
        <v>506</v>
      </c>
      <c r="E1210" s="74">
        <v>45896</v>
      </c>
      <c r="F1210" t="s">
        <v>360</v>
      </c>
      <c r="G1210" t="s">
        <v>361</v>
      </c>
      <c r="H1210" s="75">
        <f t="shared" si="18"/>
        <v>69.362748319220188</v>
      </c>
      <c r="I1210" s="74">
        <v>45896</v>
      </c>
      <c r="J1210">
        <v>2</v>
      </c>
      <c r="K1210" t="s">
        <v>288</v>
      </c>
      <c r="L1210" t="s">
        <v>262</v>
      </c>
      <c r="M1210" t="s">
        <v>356</v>
      </c>
      <c r="N1210" s="73">
        <v>67260</v>
      </c>
      <c r="O1210" s="73">
        <v>67260</v>
      </c>
      <c r="P1210">
        <v>34.681374159610094</v>
      </c>
    </row>
    <row r="1211" spans="1:16" hidden="1" x14ac:dyDescent="0.2">
      <c r="A1211" s="73">
        <v>67260</v>
      </c>
      <c r="B1211" t="s">
        <v>423</v>
      </c>
      <c r="C1211" s="73" t="s">
        <v>424</v>
      </c>
      <c r="D1211" t="s">
        <v>506</v>
      </c>
      <c r="E1211" s="74">
        <v>45901</v>
      </c>
      <c r="F1211" t="s">
        <v>410</v>
      </c>
      <c r="G1211" t="s">
        <v>411</v>
      </c>
      <c r="H1211" s="75">
        <f t="shared" si="18"/>
        <v>208.08824495766055</v>
      </c>
      <c r="I1211" s="74">
        <v>45901</v>
      </c>
      <c r="J1211">
        <v>6</v>
      </c>
      <c r="K1211" t="s">
        <v>512</v>
      </c>
      <c r="L1211" t="s">
        <v>262</v>
      </c>
      <c r="M1211" t="s">
        <v>356</v>
      </c>
      <c r="N1211" s="73">
        <v>67260</v>
      </c>
      <c r="O1211" s="73">
        <v>67260</v>
      </c>
      <c r="P1211">
        <v>34.681374159610094</v>
      </c>
    </row>
    <row r="1212" spans="1:16" hidden="1" x14ac:dyDescent="0.2">
      <c r="A1212" s="73">
        <v>67260</v>
      </c>
      <c r="B1212" t="s">
        <v>423</v>
      </c>
      <c r="C1212" s="73" t="s">
        <v>424</v>
      </c>
      <c r="D1212" t="s">
        <v>506</v>
      </c>
      <c r="E1212" s="74">
        <v>45902</v>
      </c>
      <c r="F1212" t="s">
        <v>410</v>
      </c>
      <c r="G1212" t="s">
        <v>411</v>
      </c>
      <c r="H1212" s="75">
        <f t="shared" si="18"/>
        <v>208.08824495766055</v>
      </c>
      <c r="I1212" s="74">
        <v>45902</v>
      </c>
      <c r="J1212">
        <v>6</v>
      </c>
      <c r="K1212" t="s">
        <v>512</v>
      </c>
      <c r="L1212" t="s">
        <v>262</v>
      </c>
      <c r="M1212" t="s">
        <v>356</v>
      </c>
      <c r="N1212" s="73">
        <v>67260</v>
      </c>
      <c r="O1212" s="73">
        <v>67260</v>
      </c>
      <c r="P1212">
        <v>34.681374159610094</v>
      </c>
    </row>
    <row r="1213" spans="1:16" hidden="1" x14ac:dyDescent="0.2">
      <c r="A1213" s="73">
        <v>67260</v>
      </c>
      <c r="B1213" t="s">
        <v>423</v>
      </c>
      <c r="C1213" s="73" t="s">
        <v>424</v>
      </c>
      <c r="D1213" t="s">
        <v>506</v>
      </c>
      <c r="E1213" s="74">
        <v>45903</v>
      </c>
      <c r="F1213" t="s">
        <v>398</v>
      </c>
      <c r="G1213" t="s">
        <v>399</v>
      </c>
      <c r="H1213" s="75">
        <f t="shared" si="18"/>
        <v>208.08824495766055</v>
      </c>
      <c r="I1213" s="74">
        <v>45903</v>
      </c>
      <c r="J1213">
        <v>6</v>
      </c>
      <c r="K1213" t="s">
        <v>512</v>
      </c>
      <c r="L1213" t="s">
        <v>367</v>
      </c>
      <c r="M1213" t="s">
        <v>356</v>
      </c>
      <c r="N1213" s="73">
        <v>67260</v>
      </c>
      <c r="O1213" s="73">
        <v>67260</v>
      </c>
      <c r="P1213">
        <v>34.681374159610094</v>
      </c>
    </row>
    <row r="1214" spans="1:16" hidden="1" x14ac:dyDescent="0.2">
      <c r="A1214" s="73">
        <v>67260</v>
      </c>
      <c r="B1214" t="s">
        <v>423</v>
      </c>
      <c r="C1214" s="73" t="s">
        <v>424</v>
      </c>
      <c r="D1214" t="s">
        <v>506</v>
      </c>
      <c r="E1214" s="74">
        <v>45904</v>
      </c>
      <c r="F1214" t="s">
        <v>360</v>
      </c>
      <c r="G1214" t="s">
        <v>361</v>
      </c>
      <c r="H1214" s="75">
        <f t="shared" si="18"/>
        <v>208.08824495766055</v>
      </c>
      <c r="I1214" s="74">
        <v>45904</v>
      </c>
      <c r="J1214">
        <v>6</v>
      </c>
      <c r="K1214" t="s">
        <v>512</v>
      </c>
      <c r="L1214" t="s">
        <v>262</v>
      </c>
      <c r="M1214" t="s">
        <v>356</v>
      </c>
      <c r="N1214" s="73">
        <v>67260</v>
      </c>
      <c r="O1214" s="73">
        <v>67260</v>
      </c>
      <c r="P1214">
        <v>34.681374159610094</v>
      </c>
    </row>
    <row r="1215" spans="1:16" hidden="1" x14ac:dyDescent="0.2">
      <c r="A1215" s="73">
        <v>67260</v>
      </c>
      <c r="B1215" t="s">
        <v>423</v>
      </c>
      <c r="C1215" s="73" t="s">
        <v>424</v>
      </c>
      <c r="D1215" t="s">
        <v>506</v>
      </c>
      <c r="E1215" s="74">
        <v>45904</v>
      </c>
      <c r="F1215" t="s">
        <v>398</v>
      </c>
      <c r="G1215" t="s">
        <v>399</v>
      </c>
      <c r="H1215" s="75">
        <f t="shared" si="18"/>
        <v>208.08824495766055</v>
      </c>
      <c r="I1215" s="74">
        <v>45904</v>
      </c>
      <c r="J1215">
        <v>6</v>
      </c>
      <c r="K1215" t="s">
        <v>512</v>
      </c>
      <c r="L1215" t="s">
        <v>367</v>
      </c>
      <c r="M1215" t="s">
        <v>356</v>
      </c>
      <c r="N1215" s="73">
        <v>67260</v>
      </c>
      <c r="O1215" s="73">
        <v>67260</v>
      </c>
      <c r="P1215">
        <v>34.681374159610094</v>
      </c>
    </row>
    <row r="1216" spans="1:16" hidden="1" x14ac:dyDescent="0.2">
      <c r="A1216" s="73">
        <v>67260</v>
      </c>
      <c r="B1216" t="s">
        <v>423</v>
      </c>
      <c r="C1216" s="73" t="s">
        <v>424</v>
      </c>
      <c r="D1216" t="s">
        <v>506</v>
      </c>
      <c r="E1216" s="74">
        <v>45967</v>
      </c>
      <c r="F1216" t="s">
        <v>414</v>
      </c>
      <c r="G1216" t="s">
        <v>415</v>
      </c>
      <c r="H1216" s="75">
        <f t="shared" si="18"/>
        <v>-242.76961911727065</v>
      </c>
      <c r="I1216" s="74">
        <v>45967</v>
      </c>
      <c r="J1216">
        <v>-7</v>
      </c>
      <c r="K1216" t="s">
        <v>514</v>
      </c>
      <c r="L1216" t="s">
        <v>262</v>
      </c>
      <c r="M1216" t="s">
        <v>356</v>
      </c>
      <c r="N1216" s="73">
        <v>67260</v>
      </c>
      <c r="O1216" s="73">
        <v>67260</v>
      </c>
      <c r="P1216">
        <v>34.681374159610094</v>
      </c>
    </row>
    <row r="1217" spans="1:16" hidden="1" x14ac:dyDescent="0.2">
      <c r="A1217" s="73">
        <v>67260</v>
      </c>
      <c r="B1217" t="s">
        <v>423</v>
      </c>
      <c r="C1217" s="73" t="s">
        <v>424</v>
      </c>
      <c r="D1217" t="s">
        <v>506</v>
      </c>
      <c r="E1217" s="74">
        <v>45905</v>
      </c>
      <c r="F1217" t="s">
        <v>360</v>
      </c>
      <c r="G1217" t="s">
        <v>361</v>
      </c>
      <c r="H1217" s="75">
        <f t="shared" si="18"/>
        <v>208.08824495766055</v>
      </c>
      <c r="I1217" s="74">
        <v>45905</v>
      </c>
      <c r="J1217">
        <v>6</v>
      </c>
      <c r="K1217" t="s">
        <v>512</v>
      </c>
      <c r="L1217" t="s">
        <v>262</v>
      </c>
      <c r="M1217" t="s">
        <v>356</v>
      </c>
      <c r="N1217" s="73">
        <v>67260</v>
      </c>
      <c r="O1217" s="73">
        <v>67260</v>
      </c>
      <c r="P1217">
        <v>34.681374159610094</v>
      </c>
    </row>
    <row r="1218" spans="1:16" hidden="1" x14ac:dyDescent="0.2">
      <c r="A1218" s="73">
        <v>67260</v>
      </c>
      <c r="B1218" t="s">
        <v>423</v>
      </c>
      <c r="C1218" s="73" t="s">
        <v>424</v>
      </c>
      <c r="D1218" t="s">
        <v>506</v>
      </c>
      <c r="E1218" s="74">
        <v>45905</v>
      </c>
      <c r="F1218" t="s">
        <v>398</v>
      </c>
      <c r="G1218" t="s">
        <v>399</v>
      </c>
      <c r="H1218" s="75">
        <f t="shared" ref="H1218:H1281" si="19">J1218*P1218</f>
        <v>208.08824495766055</v>
      </c>
      <c r="I1218" s="74">
        <v>45905</v>
      </c>
      <c r="J1218">
        <v>6</v>
      </c>
      <c r="K1218" t="s">
        <v>512</v>
      </c>
      <c r="L1218" t="s">
        <v>367</v>
      </c>
      <c r="M1218" t="s">
        <v>356</v>
      </c>
      <c r="N1218" s="73">
        <v>67260</v>
      </c>
      <c r="O1218" s="73">
        <v>67260</v>
      </c>
      <c r="P1218">
        <v>34.681374159610094</v>
      </c>
    </row>
    <row r="1219" spans="1:16" hidden="1" x14ac:dyDescent="0.2">
      <c r="A1219" s="73">
        <v>67260</v>
      </c>
      <c r="B1219" t="s">
        <v>423</v>
      </c>
      <c r="C1219" s="73" t="s">
        <v>424</v>
      </c>
      <c r="D1219" t="s">
        <v>506</v>
      </c>
      <c r="E1219" s="74">
        <v>45908</v>
      </c>
      <c r="F1219" t="s">
        <v>360</v>
      </c>
      <c r="G1219" t="s">
        <v>361</v>
      </c>
      <c r="H1219" s="75">
        <f t="shared" si="19"/>
        <v>242.76961911727065</v>
      </c>
      <c r="I1219" s="74">
        <v>45908</v>
      </c>
      <c r="J1219">
        <v>7</v>
      </c>
      <c r="K1219" t="s">
        <v>512</v>
      </c>
      <c r="L1219" t="s">
        <v>262</v>
      </c>
      <c r="M1219" t="s">
        <v>356</v>
      </c>
      <c r="N1219" s="73">
        <v>67260</v>
      </c>
      <c r="O1219" s="73">
        <v>67260</v>
      </c>
      <c r="P1219">
        <v>34.681374159610094</v>
      </c>
    </row>
    <row r="1220" spans="1:16" hidden="1" x14ac:dyDescent="0.2">
      <c r="A1220" s="73">
        <v>67260</v>
      </c>
      <c r="B1220" t="s">
        <v>423</v>
      </c>
      <c r="C1220" s="73" t="s">
        <v>424</v>
      </c>
      <c r="D1220" t="s">
        <v>506</v>
      </c>
      <c r="E1220" s="74">
        <v>45908</v>
      </c>
      <c r="F1220" t="s">
        <v>398</v>
      </c>
      <c r="G1220" t="s">
        <v>399</v>
      </c>
      <c r="H1220" s="75">
        <f t="shared" si="19"/>
        <v>208.08824495766055</v>
      </c>
      <c r="I1220" s="74">
        <v>45908</v>
      </c>
      <c r="J1220">
        <v>6</v>
      </c>
      <c r="K1220" t="s">
        <v>512</v>
      </c>
      <c r="L1220" t="s">
        <v>367</v>
      </c>
      <c r="M1220" t="s">
        <v>356</v>
      </c>
      <c r="N1220" s="73">
        <v>67260</v>
      </c>
      <c r="O1220" s="73">
        <v>67260</v>
      </c>
      <c r="P1220">
        <v>34.681374159610094</v>
      </c>
    </row>
    <row r="1221" spans="1:16" hidden="1" x14ac:dyDescent="0.2">
      <c r="A1221" s="73">
        <v>67260</v>
      </c>
      <c r="B1221" t="s">
        <v>423</v>
      </c>
      <c r="C1221" s="73" t="s">
        <v>424</v>
      </c>
      <c r="D1221" t="s">
        <v>506</v>
      </c>
      <c r="E1221" s="74">
        <v>45967</v>
      </c>
      <c r="F1221" t="s">
        <v>414</v>
      </c>
      <c r="G1221" t="s">
        <v>415</v>
      </c>
      <c r="H1221" s="75">
        <f t="shared" si="19"/>
        <v>312.13236743649082</v>
      </c>
      <c r="I1221" s="74">
        <v>45967</v>
      </c>
      <c r="J1221">
        <v>9</v>
      </c>
      <c r="K1221" t="s">
        <v>514</v>
      </c>
      <c r="L1221" t="s">
        <v>262</v>
      </c>
      <c r="M1221" t="s">
        <v>356</v>
      </c>
      <c r="N1221" s="73">
        <v>67260</v>
      </c>
      <c r="O1221" s="73">
        <v>67260</v>
      </c>
      <c r="P1221">
        <v>34.681374159610094</v>
      </c>
    </row>
    <row r="1222" spans="1:16" hidden="1" x14ac:dyDescent="0.2">
      <c r="A1222" s="73">
        <v>67260</v>
      </c>
      <c r="B1222" t="s">
        <v>423</v>
      </c>
      <c r="C1222" s="73" t="s">
        <v>424</v>
      </c>
      <c r="D1222" t="s">
        <v>506</v>
      </c>
      <c r="E1222" s="74">
        <v>45909</v>
      </c>
      <c r="F1222" t="s">
        <v>360</v>
      </c>
      <c r="G1222" t="s">
        <v>361</v>
      </c>
      <c r="H1222" s="75">
        <f t="shared" si="19"/>
        <v>242.76961911727065</v>
      </c>
      <c r="I1222" s="74">
        <v>45909</v>
      </c>
      <c r="J1222">
        <v>7</v>
      </c>
      <c r="K1222" t="s">
        <v>512</v>
      </c>
      <c r="L1222" t="s">
        <v>262</v>
      </c>
      <c r="M1222" t="s">
        <v>356</v>
      </c>
      <c r="N1222" s="73">
        <v>67260</v>
      </c>
      <c r="O1222" s="73">
        <v>67260</v>
      </c>
      <c r="P1222">
        <v>34.681374159610094</v>
      </c>
    </row>
    <row r="1223" spans="1:16" hidden="1" x14ac:dyDescent="0.2">
      <c r="A1223" s="73">
        <v>67260</v>
      </c>
      <c r="B1223" t="s">
        <v>423</v>
      </c>
      <c r="C1223" s="73" t="s">
        <v>424</v>
      </c>
      <c r="D1223" t="s">
        <v>506</v>
      </c>
      <c r="E1223" s="74">
        <v>45909</v>
      </c>
      <c r="F1223" t="s">
        <v>398</v>
      </c>
      <c r="G1223" t="s">
        <v>399</v>
      </c>
      <c r="H1223" s="75">
        <f t="shared" si="19"/>
        <v>208.08824495766055</v>
      </c>
      <c r="I1223" s="74">
        <v>45909</v>
      </c>
      <c r="J1223">
        <v>6</v>
      </c>
      <c r="K1223" t="s">
        <v>512</v>
      </c>
      <c r="L1223" t="s">
        <v>367</v>
      </c>
      <c r="M1223" t="s">
        <v>356</v>
      </c>
      <c r="N1223" s="73">
        <v>67260</v>
      </c>
      <c r="O1223" s="73">
        <v>67260</v>
      </c>
      <c r="P1223">
        <v>34.681374159610094</v>
      </c>
    </row>
    <row r="1224" spans="1:16" hidden="1" x14ac:dyDescent="0.2">
      <c r="A1224" s="73">
        <v>67260</v>
      </c>
      <c r="B1224" t="s">
        <v>423</v>
      </c>
      <c r="C1224" s="73" t="s">
        <v>424</v>
      </c>
      <c r="D1224" t="s">
        <v>506</v>
      </c>
      <c r="E1224" s="74">
        <v>45909</v>
      </c>
      <c r="F1224" t="s">
        <v>410</v>
      </c>
      <c r="G1224" t="s">
        <v>411</v>
      </c>
      <c r="H1224" s="75">
        <f t="shared" si="19"/>
        <v>208.08824495766055</v>
      </c>
      <c r="I1224" s="74">
        <v>45909</v>
      </c>
      <c r="J1224">
        <v>6</v>
      </c>
      <c r="K1224" t="s">
        <v>512</v>
      </c>
      <c r="L1224" t="s">
        <v>262</v>
      </c>
      <c r="M1224" t="s">
        <v>356</v>
      </c>
      <c r="N1224" s="73">
        <v>67260</v>
      </c>
      <c r="O1224" s="73">
        <v>67260</v>
      </c>
      <c r="P1224">
        <v>34.681374159610094</v>
      </c>
    </row>
    <row r="1225" spans="1:16" hidden="1" x14ac:dyDescent="0.2">
      <c r="A1225" s="73">
        <v>67260</v>
      </c>
      <c r="B1225" t="s">
        <v>423</v>
      </c>
      <c r="C1225" s="73" t="s">
        <v>424</v>
      </c>
      <c r="D1225" t="s">
        <v>506</v>
      </c>
      <c r="E1225" s="74">
        <v>45910</v>
      </c>
      <c r="F1225" t="s">
        <v>410</v>
      </c>
      <c r="G1225" t="s">
        <v>411</v>
      </c>
      <c r="H1225" s="75">
        <f t="shared" si="19"/>
        <v>208.08824495766055</v>
      </c>
      <c r="I1225" s="74">
        <v>45910</v>
      </c>
      <c r="J1225">
        <v>6</v>
      </c>
      <c r="K1225" t="s">
        <v>512</v>
      </c>
      <c r="L1225" t="s">
        <v>262</v>
      </c>
      <c r="M1225" t="s">
        <v>356</v>
      </c>
      <c r="N1225" s="73">
        <v>67260</v>
      </c>
      <c r="O1225" s="73">
        <v>67260</v>
      </c>
      <c r="P1225">
        <v>34.681374159610094</v>
      </c>
    </row>
    <row r="1226" spans="1:16" hidden="1" x14ac:dyDescent="0.2">
      <c r="A1226" s="73">
        <v>67260</v>
      </c>
      <c r="B1226" t="s">
        <v>423</v>
      </c>
      <c r="C1226" s="73" t="s">
        <v>424</v>
      </c>
      <c r="D1226" t="s">
        <v>506</v>
      </c>
      <c r="E1226" s="74">
        <v>45910</v>
      </c>
      <c r="F1226" t="s">
        <v>360</v>
      </c>
      <c r="G1226" t="s">
        <v>361</v>
      </c>
      <c r="H1226" s="75">
        <f t="shared" si="19"/>
        <v>242.76961911727065</v>
      </c>
      <c r="I1226" s="74">
        <v>45910</v>
      </c>
      <c r="J1226">
        <v>7</v>
      </c>
      <c r="K1226" t="s">
        <v>512</v>
      </c>
      <c r="L1226" t="s">
        <v>262</v>
      </c>
      <c r="M1226" t="s">
        <v>356</v>
      </c>
      <c r="N1226" s="73">
        <v>67260</v>
      </c>
      <c r="O1226" s="73">
        <v>67260</v>
      </c>
      <c r="P1226">
        <v>34.681374159610094</v>
      </c>
    </row>
    <row r="1227" spans="1:16" hidden="1" x14ac:dyDescent="0.2">
      <c r="A1227" s="73">
        <v>67260</v>
      </c>
      <c r="B1227" t="s">
        <v>423</v>
      </c>
      <c r="C1227" s="73" t="s">
        <v>424</v>
      </c>
      <c r="D1227" t="s">
        <v>506</v>
      </c>
      <c r="E1227" s="74">
        <v>45911</v>
      </c>
      <c r="F1227" t="s">
        <v>410</v>
      </c>
      <c r="G1227" t="s">
        <v>411</v>
      </c>
      <c r="H1227" s="75">
        <f t="shared" si="19"/>
        <v>208.08824495766055</v>
      </c>
      <c r="I1227" s="74">
        <v>45911</v>
      </c>
      <c r="J1227">
        <v>6</v>
      </c>
      <c r="K1227" t="s">
        <v>512</v>
      </c>
      <c r="L1227" t="s">
        <v>262</v>
      </c>
      <c r="M1227" t="s">
        <v>356</v>
      </c>
      <c r="N1227" s="73">
        <v>67260</v>
      </c>
      <c r="O1227" s="73">
        <v>67260</v>
      </c>
      <c r="P1227">
        <v>34.681374159610094</v>
      </c>
    </row>
    <row r="1228" spans="1:16" hidden="1" x14ac:dyDescent="0.2">
      <c r="A1228" s="73">
        <v>67260</v>
      </c>
      <c r="B1228" t="s">
        <v>423</v>
      </c>
      <c r="C1228" s="73" t="s">
        <v>424</v>
      </c>
      <c r="D1228" t="s">
        <v>506</v>
      </c>
      <c r="E1228" s="74">
        <v>45912</v>
      </c>
      <c r="F1228" t="s">
        <v>410</v>
      </c>
      <c r="G1228" t="s">
        <v>411</v>
      </c>
      <c r="H1228" s="75">
        <f t="shared" si="19"/>
        <v>208.08824495766055</v>
      </c>
      <c r="I1228" s="74">
        <v>45912</v>
      </c>
      <c r="J1228">
        <v>6</v>
      </c>
      <c r="K1228" t="s">
        <v>512</v>
      </c>
      <c r="L1228" t="s">
        <v>262</v>
      </c>
      <c r="M1228" t="s">
        <v>356</v>
      </c>
      <c r="N1228" s="73">
        <v>67260</v>
      </c>
      <c r="O1228" s="73">
        <v>67260</v>
      </c>
      <c r="P1228">
        <v>34.681374159610094</v>
      </c>
    </row>
    <row r="1229" spans="1:16" hidden="1" x14ac:dyDescent="0.2">
      <c r="A1229" s="73">
        <v>67260</v>
      </c>
      <c r="B1229" t="s">
        <v>423</v>
      </c>
      <c r="C1229" s="73" t="s">
        <v>424</v>
      </c>
      <c r="D1229" t="s">
        <v>506</v>
      </c>
      <c r="E1229" s="74">
        <v>45915</v>
      </c>
      <c r="F1229" t="s">
        <v>410</v>
      </c>
      <c r="G1229" t="s">
        <v>411</v>
      </c>
      <c r="H1229" s="75">
        <f t="shared" si="19"/>
        <v>208.08824495766055</v>
      </c>
      <c r="I1229" s="74">
        <v>45915</v>
      </c>
      <c r="J1229">
        <v>6</v>
      </c>
      <c r="K1229" t="s">
        <v>512</v>
      </c>
      <c r="L1229" t="s">
        <v>262</v>
      </c>
      <c r="M1229" t="s">
        <v>356</v>
      </c>
      <c r="N1229" s="73">
        <v>67260</v>
      </c>
      <c r="O1229" s="73">
        <v>67260</v>
      </c>
      <c r="P1229">
        <v>34.681374159610094</v>
      </c>
    </row>
    <row r="1230" spans="1:16" hidden="1" x14ac:dyDescent="0.2">
      <c r="A1230" s="73">
        <v>67260</v>
      </c>
      <c r="B1230" t="s">
        <v>423</v>
      </c>
      <c r="C1230" s="73" t="s">
        <v>424</v>
      </c>
      <c r="D1230" t="s">
        <v>506</v>
      </c>
      <c r="E1230" s="74">
        <v>45915</v>
      </c>
      <c r="F1230" t="s">
        <v>357</v>
      </c>
      <c r="G1230" t="s">
        <v>358</v>
      </c>
      <c r="H1230" s="75">
        <f t="shared" si="19"/>
        <v>69.362748319220188</v>
      </c>
      <c r="I1230" s="74">
        <v>45915</v>
      </c>
      <c r="J1230">
        <v>2</v>
      </c>
      <c r="K1230" t="s">
        <v>512</v>
      </c>
      <c r="L1230" t="s">
        <v>359</v>
      </c>
      <c r="M1230" t="s">
        <v>356</v>
      </c>
      <c r="N1230" s="73">
        <v>67260</v>
      </c>
      <c r="O1230" s="73">
        <v>67260</v>
      </c>
      <c r="P1230">
        <v>34.681374159610094</v>
      </c>
    </row>
    <row r="1231" spans="1:16" hidden="1" x14ac:dyDescent="0.2">
      <c r="A1231" s="73">
        <v>67260</v>
      </c>
      <c r="B1231" t="s">
        <v>423</v>
      </c>
      <c r="C1231" s="73" t="s">
        <v>424</v>
      </c>
      <c r="D1231" t="s">
        <v>506</v>
      </c>
      <c r="E1231" s="74">
        <v>45915</v>
      </c>
      <c r="F1231" t="s">
        <v>398</v>
      </c>
      <c r="G1231" t="s">
        <v>399</v>
      </c>
      <c r="H1231" s="75">
        <f t="shared" si="19"/>
        <v>208.08824495766055</v>
      </c>
      <c r="I1231" s="74">
        <v>45915</v>
      </c>
      <c r="J1231">
        <v>6</v>
      </c>
      <c r="K1231" t="s">
        <v>512</v>
      </c>
      <c r="L1231" t="s">
        <v>367</v>
      </c>
      <c r="M1231" t="s">
        <v>356</v>
      </c>
      <c r="N1231" s="73">
        <v>67260</v>
      </c>
      <c r="O1231" s="73">
        <v>67260</v>
      </c>
      <c r="P1231">
        <v>34.681374159610094</v>
      </c>
    </row>
    <row r="1232" spans="1:16" hidden="1" x14ac:dyDescent="0.2">
      <c r="A1232" s="73">
        <v>67260</v>
      </c>
      <c r="B1232" t="s">
        <v>423</v>
      </c>
      <c r="C1232" s="73" t="s">
        <v>424</v>
      </c>
      <c r="D1232" t="s">
        <v>506</v>
      </c>
      <c r="E1232" s="74">
        <v>45916</v>
      </c>
      <c r="F1232" t="s">
        <v>410</v>
      </c>
      <c r="G1232" t="s">
        <v>411</v>
      </c>
      <c r="H1232" s="75">
        <f t="shared" si="19"/>
        <v>208.08824495766055</v>
      </c>
      <c r="I1232" s="74">
        <v>45916</v>
      </c>
      <c r="J1232">
        <v>6</v>
      </c>
      <c r="K1232" t="s">
        <v>512</v>
      </c>
      <c r="L1232" t="s">
        <v>262</v>
      </c>
      <c r="M1232" t="s">
        <v>356</v>
      </c>
      <c r="N1232" s="73">
        <v>67260</v>
      </c>
      <c r="O1232" s="73">
        <v>67260</v>
      </c>
      <c r="P1232">
        <v>34.681374159610094</v>
      </c>
    </row>
    <row r="1233" spans="1:16" hidden="1" x14ac:dyDescent="0.2">
      <c r="A1233" s="73">
        <v>67260</v>
      </c>
      <c r="B1233" t="s">
        <v>423</v>
      </c>
      <c r="C1233" s="73" t="s">
        <v>424</v>
      </c>
      <c r="D1233" t="s">
        <v>506</v>
      </c>
      <c r="E1233" s="74">
        <v>45916</v>
      </c>
      <c r="F1233" t="s">
        <v>357</v>
      </c>
      <c r="G1233" t="s">
        <v>358</v>
      </c>
      <c r="H1233" s="75">
        <f t="shared" si="19"/>
        <v>69.362748319220188</v>
      </c>
      <c r="I1233" s="74">
        <v>45916</v>
      </c>
      <c r="J1233">
        <v>2</v>
      </c>
      <c r="K1233" t="s">
        <v>512</v>
      </c>
      <c r="L1233" t="s">
        <v>359</v>
      </c>
      <c r="M1233" t="s">
        <v>356</v>
      </c>
      <c r="N1233" s="73">
        <v>67260</v>
      </c>
      <c r="O1233" s="73">
        <v>67260</v>
      </c>
      <c r="P1233">
        <v>34.681374159610094</v>
      </c>
    </row>
    <row r="1234" spans="1:16" hidden="1" x14ac:dyDescent="0.2">
      <c r="A1234" s="73">
        <v>67260</v>
      </c>
      <c r="B1234" t="s">
        <v>423</v>
      </c>
      <c r="C1234" s="73" t="s">
        <v>424</v>
      </c>
      <c r="D1234" t="s">
        <v>506</v>
      </c>
      <c r="E1234" s="74">
        <v>45916</v>
      </c>
      <c r="F1234" t="s">
        <v>398</v>
      </c>
      <c r="G1234" t="s">
        <v>399</v>
      </c>
      <c r="H1234" s="75">
        <f t="shared" si="19"/>
        <v>208.08824495766055</v>
      </c>
      <c r="I1234" s="74">
        <v>45916</v>
      </c>
      <c r="J1234">
        <v>6</v>
      </c>
      <c r="K1234" t="s">
        <v>512</v>
      </c>
      <c r="L1234" t="s">
        <v>367</v>
      </c>
      <c r="M1234" t="s">
        <v>356</v>
      </c>
      <c r="N1234" s="73">
        <v>67260</v>
      </c>
      <c r="O1234" s="73">
        <v>67260</v>
      </c>
      <c r="P1234">
        <v>34.681374159610094</v>
      </c>
    </row>
    <row r="1235" spans="1:16" hidden="1" x14ac:dyDescent="0.2">
      <c r="A1235" s="73">
        <v>67260</v>
      </c>
      <c r="B1235" t="s">
        <v>423</v>
      </c>
      <c r="C1235" s="73" t="s">
        <v>424</v>
      </c>
      <c r="D1235" t="s">
        <v>506</v>
      </c>
      <c r="E1235" s="74">
        <v>45917</v>
      </c>
      <c r="F1235" t="s">
        <v>410</v>
      </c>
      <c r="G1235" t="s">
        <v>411</v>
      </c>
      <c r="H1235" s="75">
        <f t="shared" si="19"/>
        <v>208.08824495766055</v>
      </c>
      <c r="I1235" s="74">
        <v>45917</v>
      </c>
      <c r="J1235">
        <v>6</v>
      </c>
      <c r="K1235" t="s">
        <v>512</v>
      </c>
      <c r="L1235" t="s">
        <v>262</v>
      </c>
      <c r="M1235" t="s">
        <v>356</v>
      </c>
      <c r="N1235" s="73">
        <v>67260</v>
      </c>
      <c r="O1235" s="73">
        <v>67260</v>
      </c>
      <c r="P1235">
        <v>34.681374159610094</v>
      </c>
    </row>
    <row r="1236" spans="1:16" hidden="1" x14ac:dyDescent="0.2">
      <c r="A1236" s="73">
        <v>67260</v>
      </c>
      <c r="B1236" t="s">
        <v>423</v>
      </c>
      <c r="C1236" s="73" t="s">
        <v>424</v>
      </c>
      <c r="D1236" t="s">
        <v>506</v>
      </c>
      <c r="E1236" s="74">
        <v>45917</v>
      </c>
      <c r="F1236" t="s">
        <v>357</v>
      </c>
      <c r="G1236" t="s">
        <v>358</v>
      </c>
      <c r="H1236" s="75">
        <f t="shared" si="19"/>
        <v>69.362748319220188</v>
      </c>
      <c r="I1236" s="74">
        <v>45917</v>
      </c>
      <c r="J1236">
        <v>2</v>
      </c>
      <c r="K1236" t="s">
        <v>512</v>
      </c>
      <c r="L1236" t="s">
        <v>359</v>
      </c>
      <c r="M1236" t="s">
        <v>356</v>
      </c>
      <c r="N1236" s="73">
        <v>67260</v>
      </c>
      <c r="O1236" s="73">
        <v>67260</v>
      </c>
      <c r="P1236">
        <v>34.681374159610094</v>
      </c>
    </row>
    <row r="1237" spans="1:16" hidden="1" x14ac:dyDescent="0.2">
      <c r="A1237" s="73">
        <v>67260</v>
      </c>
      <c r="B1237" t="s">
        <v>423</v>
      </c>
      <c r="C1237" s="73" t="s">
        <v>424</v>
      </c>
      <c r="D1237" t="s">
        <v>506</v>
      </c>
      <c r="E1237" s="74">
        <v>45917</v>
      </c>
      <c r="F1237" t="s">
        <v>398</v>
      </c>
      <c r="G1237" t="s">
        <v>399</v>
      </c>
      <c r="H1237" s="75">
        <f t="shared" si="19"/>
        <v>208.08824495766055</v>
      </c>
      <c r="I1237" s="74">
        <v>45917</v>
      </c>
      <c r="J1237">
        <v>6</v>
      </c>
      <c r="K1237" t="s">
        <v>512</v>
      </c>
      <c r="L1237" t="s">
        <v>367</v>
      </c>
      <c r="M1237" t="s">
        <v>356</v>
      </c>
      <c r="N1237" s="73">
        <v>67260</v>
      </c>
      <c r="O1237" s="73">
        <v>67260</v>
      </c>
      <c r="P1237">
        <v>34.681374159610094</v>
      </c>
    </row>
    <row r="1238" spans="1:16" hidden="1" x14ac:dyDescent="0.2">
      <c r="A1238" s="73">
        <v>67260</v>
      </c>
      <c r="B1238" t="s">
        <v>423</v>
      </c>
      <c r="C1238" s="73" t="s">
        <v>424</v>
      </c>
      <c r="D1238" t="s">
        <v>506</v>
      </c>
      <c r="E1238" s="74">
        <v>45918</v>
      </c>
      <c r="F1238" t="s">
        <v>410</v>
      </c>
      <c r="G1238" t="s">
        <v>411</v>
      </c>
      <c r="H1238" s="75">
        <f t="shared" si="19"/>
        <v>208.08824495766055</v>
      </c>
      <c r="I1238" s="74">
        <v>45918</v>
      </c>
      <c r="J1238">
        <v>6</v>
      </c>
      <c r="K1238" t="s">
        <v>512</v>
      </c>
      <c r="L1238" t="s">
        <v>262</v>
      </c>
      <c r="M1238" t="s">
        <v>356</v>
      </c>
      <c r="N1238" s="73">
        <v>67260</v>
      </c>
      <c r="O1238" s="73">
        <v>67260</v>
      </c>
      <c r="P1238">
        <v>34.681374159610094</v>
      </c>
    </row>
    <row r="1239" spans="1:16" hidden="1" x14ac:dyDescent="0.2">
      <c r="A1239" s="73">
        <v>67260</v>
      </c>
      <c r="B1239" t="s">
        <v>423</v>
      </c>
      <c r="C1239" s="73" t="s">
        <v>424</v>
      </c>
      <c r="D1239" t="s">
        <v>506</v>
      </c>
      <c r="E1239" s="74">
        <v>45918</v>
      </c>
      <c r="F1239" t="s">
        <v>357</v>
      </c>
      <c r="G1239" t="s">
        <v>358</v>
      </c>
      <c r="H1239" s="75">
        <f t="shared" si="19"/>
        <v>69.362748319220188</v>
      </c>
      <c r="I1239" s="74">
        <v>45918</v>
      </c>
      <c r="J1239">
        <v>2</v>
      </c>
      <c r="K1239" t="s">
        <v>512</v>
      </c>
      <c r="L1239" t="s">
        <v>359</v>
      </c>
      <c r="M1239" t="s">
        <v>356</v>
      </c>
      <c r="N1239" s="73">
        <v>67260</v>
      </c>
      <c r="O1239" s="73">
        <v>67260</v>
      </c>
      <c r="P1239">
        <v>34.681374159610094</v>
      </c>
    </row>
    <row r="1240" spans="1:16" hidden="1" x14ac:dyDescent="0.2">
      <c r="A1240" s="73">
        <v>67260</v>
      </c>
      <c r="B1240" t="s">
        <v>423</v>
      </c>
      <c r="C1240" s="73" t="s">
        <v>424</v>
      </c>
      <c r="D1240" t="s">
        <v>506</v>
      </c>
      <c r="E1240" s="74">
        <v>45918</v>
      </c>
      <c r="F1240" t="s">
        <v>398</v>
      </c>
      <c r="G1240" t="s">
        <v>399</v>
      </c>
      <c r="H1240" s="75">
        <f t="shared" si="19"/>
        <v>208.08824495766055</v>
      </c>
      <c r="I1240" s="74">
        <v>45918</v>
      </c>
      <c r="J1240">
        <v>6</v>
      </c>
      <c r="K1240" t="s">
        <v>512</v>
      </c>
      <c r="L1240" t="s">
        <v>367</v>
      </c>
      <c r="M1240" t="s">
        <v>356</v>
      </c>
      <c r="N1240" s="73">
        <v>67260</v>
      </c>
      <c r="O1240" s="73">
        <v>67260</v>
      </c>
      <c r="P1240">
        <v>34.681374159610094</v>
      </c>
    </row>
    <row r="1241" spans="1:16" hidden="1" x14ac:dyDescent="0.2">
      <c r="A1241" s="73">
        <v>67260</v>
      </c>
      <c r="B1241" t="s">
        <v>423</v>
      </c>
      <c r="C1241" s="73" t="s">
        <v>424</v>
      </c>
      <c r="D1241" t="s">
        <v>506</v>
      </c>
      <c r="E1241" s="74">
        <v>45919</v>
      </c>
      <c r="F1241" t="s">
        <v>410</v>
      </c>
      <c r="G1241" t="s">
        <v>411</v>
      </c>
      <c r="H1241" s="75">
        <f t="shared" si="19"/>
        <v>208.08824495766055</v>
      </c>
      <c r="I1241" s="74">
        <v>45919</v>
      </c>
      <c r="J1241">
        <v>6</v>
      </c>
      <c r="K1241" t="s">
        <v>512</v>
      </c>
      <c r="L1241" t="s">
        <v>262</v>
      </c>
      <c r="M1241" t="s">
        <v>356</v>
      </c>
      <c r="N1241" s="73">
        <v>67260</v>
      </c>
      <c r="O1241" s="73">
        <v>67260</v>
      </c>
      <c r="P1241">
        <v>34.681374159610094</v>
      </c>
    </row>
    <row r="1242" spans="1:16" hidden="1" x14ac:dyDescent="0.2">
      <c r="A1242" s="73">
        <v>67260</v>
      </c>
      <c r="B1242" t="s">
        <v>423</v>
      </c>
      <c r="C1242" s="73" t="s">
        <v>424</v>
      </c>
      <c r="D1242" t="s">
        <v>506</v>
      </c>
      <c r="E1242" s="74">
        <v>45919</v>
      </c>
      <c r="F1242" t="s">
        <v>357</v>
      </c>
      <c r="G1242" t="s">
        <v>358</v>
      </c>
      <c r="H1242" s="75">
        <f t="shared" si="19"/>
        <v>69.362748319220188</v>
      </c>
      <c r="I1242" s="74">
        <v>45919</v>
      </c>
      <c r="J1242">
        <v>2</v>
      </c>
      <c r="K1242" t="s">
        <v>512</v>
      </c>
      <c r="L1242" t="s">
        <v>359</v>
      </c>
      <c r="M1242" t="s">
        <v>356</v>
      </c>
      <c r="N1242" s="73">
        <v>67260</v>
      </c>
      <c r="O1242" s="73">
        <v>67260</v>
      </c>
      <c r="P1242">
        <v>34.681374159610094</v>
      </c>
    </row>
    <row r="1243" spans="1:16" hidden="1" x14ac:dyDescent="0.2">
      <c r="A1243" s="73">
        <v>67260</v>
      </c>
      <c r="B1243" t="s">
        <v>423</v>
      </c>
      <c r="C1243" s="73" t="s">
        <v>424</v>
      </c>
      <c r="D1243" t="s">
        <v>506</v>
      </c>
      <c r="E1243" s="74">
        <v>45922</v>
      </c>
      <c r="F1243" t="s">
        <v>357</v>
      </c>
      <c r="G1243" t="s">
        <v>358</v>
      </c>
      <c r="H1243" s="75">
        <f t="shared" si="19"/>
        <v>69.362748319220188</v>
      </c>
      <c r="I1243" s="74">
        <v>45922</v>
      </c>
      <c r="J1243">
        <v>2</v>
      </c>
      <c r="K1243" t="s">
        <v>512</v>
      </c>
      <c r="L1243" t="s">
        <v>359</v>
      </c>
      <c r="M1243" t="s">
        <v>356</v>
      </c>
      <c r="N1243" s="73">
        <v>67260</v>
      </c>
      <c r="O1243" s="73">
        <v>67260</v>
      </c>
      <c r="P1243">
        <v>34.681374159610094</v>
      </c>
    </row>
    <row r="1244" spans="1:16" hidden="1" x14ac:dyDescent="0.2">
      <c r="A1244" s="73">
        <v>67260</v>
      </c>
      <c r="B1244" t="s">
        <v>423</v>
      </c>
      <c r="C1244" s="73" t="s">
        <v>424</v>
      </c>
      <c r="D1244" t="s">
        <v>506</v>
      </c>
      <c r="E1244" s="74">
        <v>45923</v>
      </c>
      <c r="F1244" t="s">
        <v>357</v>
      </c>
      <c r="G1244" t="s">
        <v>358</v>
      </c>
      <c r="H1244" s="75">
        <f t="shared" si="19"/>
        <v>69.362748319220188</v>
      </c>
      <c r="I1244" s="74">
        <v>45923</v>
      </c>
      <c r="J1244">
        <v>2</v>
      </c>
      <c r="K1244" t="s">
        <v>512</v>
      </c>
      <c r="L1244" t="s">
        <v>359</v>
      </c>
      <c r="M1244" t="s">
        <v>356</v>
      </c>
      <c r="N1244" s="73">
        <v>67260</v>
      </c>
      <c r="O1244" s="73">
        <v>67260</v>
      </c>
      <c r="P1244">
        <v>34.681374159610094</v>
      </c>
    </row>
    <row r="1245" spans="1:16" hidden="1" x14ac:dyDescent="0.2">
      <c r="A1245" s="73">
        <v>67260</v>
      </c>
      <c r="B1245" t="s">
        <v>423</v>
      </c>
      <c r="C1245" s="73" t="s">
        <v>424</v>
      </c>
      <c r="D1245" t="s">
        <v>506</v>
      </c>
      <c r="E1245" s="74">
        <v>45923</v>
      </c>
      <c r="F1245" t="s">
        <v>410</v>
      </c>
      <c r="G1245" t="s">
        <v>411</v>
      </c>
      <c r="H1245" s="75">
        <f t="shared" si="19"/>
        <v>208.08824495766055</v>
      </c>
      <c r="I1245" s="74">
        <v>45923</v>
      </c>
      <c r="J1245">
        <v>6</v>
      </c>
      <c r="K1245" t="s">
        <v>512</v>
      </c>
      <c r="L1245" t="s">
        <v>262</v>
      </c>
      <c r="M1245" t="s">
        <v>356</v>
      </c>
      <c r="N1245" s="73">
        <v>67260</v>
      </c>
      <c r="O1245" s="73">
        <v>67260</v>
      </c>
      <c r="P1245">
        <v>34.681374159610094</v>
      </c>
    </row>
    <row r="1246" spans="1:16" hidden="1" x14ac:dyDescent="0.2">
      <c r="A1246" s="73">
        <v>67260</v>
      </c>
      <c r="B1246" t="s">
        <v>423</v>
      </c>
      <c r="C1246" s="73" t="s">
        <v>424</v>
      </c>
      <c r="D1246" t="s">
        <v>506</v>
      </c>
      <c r="E1246" s="74">
        <v>45924</v>
      </c>
      <c r="F1246" t="s">
        <v>357</v>
      </c>
      <c r="G1246" t="s">
        <v>358</v>
      </c>
      <c r="H1246" s="75">
        <f t="shared" si="19"/>
        <v>69.362748319220188</v>
      </c>
      <c r="I1246" s="74">
        <v>45924</v>
      </c>
      <c r="J1246">
        <v>2</v>
      </c>
      <c r="K1246" t="s">
        <v>512</v>
      </c>
      <c r="L1246" t="s">
        <v>359</v>
      </c>
      <c r="M1246" t="s">
        <v>356</v>
      </c>
      <c r="N1246" s="73">
        <v>67260</v>
      </c>
      <c r="O1246" s="73">
        <v>67260</v>
      </c>
      <c r="P1246">
        <v>34.681374159610094</v>
      </c>
    </row>
    <row r="1247" spans="1:16" hidden="1" x14ac:dyDescent="0.2">
      <c r="A1247" s="73">
        <v>67260</v>
      </c>
      <c r="B1247" t="s">
        <v>423</v>
      </c>
      <c r="C1247" s="73" t="s">
        <v>424</v>
      </c>
      <c r="D1247" t="s">
        <v>506</v>
      </c>
      <c r="E1247" s="74">
        <v>45924</v>
      </c>
      <c r="F1247" t="s">
        <v>410</v>
      </c>
      <c r="G1247" t="s">
        <v>411</v>
      </c>
      <c r="H1247" s="75">
        <f t="shared" si="19"/>
        <v>208.08824495766055</v>
      </c>
      <c r="I1247" s="74">
        <v>45924</v>
      </c>
      <c r="J1247">
        <v>6</v>
      </c>
      <c r="K1247" t="s">
        <v>512</v>
      </c>
      <c r="L1247" t="s">
        <v>262</v>
      </c>
      <c r="M1247" t="s">
        <v>356</v>
      </c>
      <c r="N1247" s="73">
        <v>67260</v>
      </c>
      <c r="O1247" s="73">
        <v>67260</v>
      </c>
      <c r="P1247">
        <v>34.681374159610094</v>
      </c>
    </row>
    <row r="1248" spans="1:16" hidden="1" x14ac:dyDescent="0.2">
      <c r="A1248" s="73">
        <v>67260</v>
      </c>
      <c r="B1248" t="s">
        <v>423</v>
      </c>
      <c r="C1248" s="73" t="s">
        <v>424</v>
      </c>
      <c r="D1248" t="s">
        <v>506</v>
      </c>
      <c r="E1248" s="74">
        <v>45925</v>
      </c>
      <c r="F1248" t="s">
        <v>357</v>
      </c>
      <c r="G1248" t="s">
        <v>358</v>
      </c>
      <c r="H1248" s="75">
        <f t="shared" si="19"/>
        <v>69.362748319220188</v>
      </c>
      <c r="I1248" s="74">
        <v>45925</v>
      </c>
      <c r="J1248">
        <v>2</v>
      </c>
      <c r="K1248" t="s">
        <v>512</v>
      </c>
      <c r="L1248" t="s">
        <v>359</v>
      </c>
      <c r="M1248" t="s">
        <v>356</v>
      </c>
      <c r="N1248" s="73">
        <v>67260</v>
      </c>
      <c r="O1248" s="73">
        <v>67260</v>
      </c>
      <c r="P1248">
        <v>34.681374159610094</v>
      </c>
    </row>
    <row r="1249" spans="1:16" hidden="1" x14ac:dyDescent="0.2">
      <c r="A1249" s="73">
        <v>67260</v>
      </c>
      <c r="B1249" t="s">
        <v>423</v>
      </c>
      <c r="C1249" s="73" t="s">
        <v>424</v>
      </c>
      <c r="D1249" t="s">
        <v>506</v>
      </c>
      <c r="E1249" s="74">
        <v>45925</v>
      </c>
      <c r="F1249" t="s">
        <v>360</v>
      </c>
      <c r="G1249" t="s">
        <v>361</v>
      </c>
      <c r="H1249" s="75">
        <f t="shared" si="19"/>
        <v>173.40687079805048</v>
      </c>
      <c r="I1249" s="74">
        <v>45925</v>
      </c>
      <c r="J1249">
        <v>5</v>
      </c>
      <c r="K1249" t="s">
        <v>512</v>
      </c>
      <c r="L1249" t="s">
        <v>262</v>
      </c>
      <c r="M1249" t="s">
        <v>356</v>
      </c>
      <c r="N1249" s="73">
        <v>67260</v>
      </c>
      <c r="O1249" s="73">
        <v>67260</v>
      </c>
      <c r="P1249">
        <v>34.681374159610094</v>
      </c>
    </row>
    <row r="1250" spans="1:16" hidden="1" x14ac:dyDescent="0.2">
      <c r="A1250" s="73">
        <v>67260</v>
      </c>
      <c r="B1250" t="s">
        <v>423</v>
      </c>
      <c r="C1250" s="73" t="s">
        <v>424</v>
      </c>
      <c r="D1250" t="s">
        <v>506</v>
      </c>
      <c r="E1250" s="74">
        <v>45926</v>
      </c>
      <c r="F1250" t="s">
        <v>357</v>
      </c>
      <c r="G1250" t="s">
        <v>358</v>
      </c>
      <c r="H1250" s="75">
        <f t="shared" si="19"/>
        <v>69.362748319220188</v>
      </c>
      <c r="I1250" s="74">
        <v>45926</v>
      </c>
      <c r="J1250">
        <v>2</v>
      </c>
      <c r="K1250" t="s">
        <v>512</v>
      </c>
      <c r="L1250" t="s">
        <v>359</v>
      </c>
      <c r="M1250" t="s">
        <v>356</v>
      </c>
      <c r="N1250" s="73">
        <v>67260</v>
      </c>
      <c r="O1250" s="73">
        <v>67260</v>
      </c>
      <c r="P1250">
        <v>34.681374159610094</v>
      </c>
    </row>
    <row r="1251" spans="1:16" hidden="1" x14ac:dyDescent="0.2">
      <c r="A1251" s="73">
        <v>67260</v>
      </c>
      <c r="B1251" t="s">
        <v>423</v>
      </c>
      <c r="C1251" s="73" t="s">
        <v>424</v>
      </c>
      <c r="D1251" t="s">
        <v>506</v>
      </c>
      <c r="E1251" s="74">
        <v>45926</v>
      </c>
      <c r="F1251" t="s">
        <v>360</v>
      </c>
      <c r="G1251" t="s">
        <v>361</v>
      </c>
      <c r="H1251" s="75">
        <f t="shared" si="19"/>
        <v>208.08824495766055</v>
      </c>
      <c r="I1251" s="74">
        <v>45926</v>
      </c>
      <c r="J1251">
        <v>6</v>
      </c>
      <c r="K1251" t="s">
        <v>512</v>
      </c>
      <c r="L1251" t="s">
        <v>262</v>
      </c>
      <c r="M1251" t="s">
        <v>356</v>
      </c>
      <c r="N1251" s="73">
        <v>67260</v>
      </c>
      <c r="O1251" s="73">
        <v>67260</v>
      </c>
      <c r="P1251">
        <v>34.681374159610094</v>
      </c>
    </row>
    <row r="1252" spans="1:16" hidden="1" x14ac:dyDescent="0.2">
      <c r="A1252" s="73">
        <v>67260</v>
      </c>
      <c r="B1252" t="s">
        <v>423</v>
      </c>
      <c r="C1252" s="73" t="s">
        <v>424</v>
      </c>
      <c r="D1252" t="s">
        <v>506</v>
      </c>
      <c r="E1252" s="74">
        <v>45929</v>
      </c>
      <c r="F1252" t="s">
        <v>360</v>
      </c>
      <c r="G1252" t="s">
        <v>361</v>
      </c>
      <c r="H1252" s="75">
        <f t="shared" si="19"/>
        <v>208.08824495766055</v>
      </c>
      <c r="I1252" s="74">
        <v>45929</v>
      </c>
      <c r="J1252">
        <v>6</v>
      </c>
      <c r="K1252" t="s">
        <v>512</v>
      </c>
      <c r="L1252" t="s">
        <v>262</v>
      </c>
      <c r="M1252" t="s">
        <v>356</v>
      </c>
      <c r="N1252" s="73">
        <v>67260</v>
      </c>
      <c r="O1252" s="73">
        <v>67260</v>
      </c>
      <c r="P1252">
        <v>34.681374159610094</v>
      </c>
    </row>
    <row r="1253" spans="1:16" hidden="1" x14ac:dyDescent="0.2">
      <c r="A1253" s="73">
        <v>67260</v>
      </c>
      <c r="B1253" t="s">
        <v>423</v>
      </c>
      <c r="C1253" s="73" t="s">
        <v>424</v>
      </c>
      <c r="D1253" t="s">
        <v>506</v>
      </c>
      <c r="E1253" s="74">
        <v>45929</v>
      </c>
      <c r="F1253" t="s">
        <v>357</v>
      </c>
      <c r="G1253" t="s">
        <v>358</v>
      </c>
      <c r="H1253" s="75">
        <f t="shared" si="19"/>
        <v>69.362748319220188</v>
      </c>
      <c r="I1253" s="74">
        <v>45929</v>
      </c>
      <c r="J1253">
        <v>2</v>
      </c>
      <c r="K1253" t="s">
        <v>512</v>
      </c>
      <c r="L1253" t="s">
        <v>359</v>
      </c>
      <c r="M1253" t="s">
        <v>356</v>
      </c>
      <c r="N1253" s="73">
        <v>67260</v>
      </c>
      <c r="O1253" s="73">
        <v>67260</v>
      </c>
      <c r="P1253">
        <v>34.681374159610094</v>
      </c>
    </row>
    <row r="1254" spans="1:16" hidden="1" x14ac:dyDescent="0.2">
      <c r="A1254" s="73">
        <v>67260</v>
      </c>
      <c r="B1254" t="s">
        <v>423</v>
      </c>
      <c r="C1254" s="73" t="s">
        <v>424</v>
      </c>
      <c r="D1254" t="s">
        <v>506</v>
      </c>
      <c r="E1254" s="74">
        <v>45930</v>
      </c>
      <c r="F1254" t="s">
        <v>360</v>
      </c>
      <c r="G1254" t="s">
        <v>361</v>
      </c>
      <c r="H1254" s="75">
        <f t="shared" si="19"/>
        <v>208.08824495766055</v>
      </c>
      <c r="I1254" s="74">
        <v>45930</v>
      </c>
      <c r="J1254">
        <v>6</v>
      </c>
      <c r="K1254" t="s">
        <v>512</v>
      </c>
      <c r="L1254" t="s">
        <v>262</v>
      </c>
      <c r="M1254" t="s">
        <v>356</v>
      </c>
      <c r="N1254" s="73">
        <v>67260</v>
      </c>
      <c r="O1254" s="73">
        <v>67260</v>
      </c>
      <c r="P1254">
        <v>34.681374159610094</v>
      </c>
    </row>
    <row r="1255" spans="1:16" hidden="1" x14ac:dyDescent="0.2">
      <c r="A1255" s="73">
        <v>67260</v>
      </c>
      <c r="B1255" t="s">
        <v>423</v>
      </c>
      <c r="C1255" s="73" t="s">
        <v>424</v>
      </c>
      <c r="D1255" t="s">
        <v>506</v>
      </c>
      <c r="E1255" s="74">
        <v>45930</v>
      </c>
      <c r="F1255" t="s">
        <v>357</v>
      </c>
      <c r="G1255" t="s">
        <v>358</v>
      </c>
      <c r="H1255" s="75">
        <f t="shared" si="19"/>
        <v>69.362748319220188</v>
      </c>
      <c r="I1255" s="74">
        <v>45930</v>
      </c>
      <c r="J1255">
        <v>2</v>
      </c>
      <c r="K1255" t="s">
        <v>512</v>
      </c>
      <c r="L1255" t="s">
        <v>359</v>
      </c>
      <c r="M1255" t="s">
        <v>356</v>
      </c>
      <c r="N1255" s="73">
        <v>67260</v>
      </c>
      <c r="O1255" s="73">
        <v>67260</v>
      </c>
      <c r="P1255">
        <v>34.681374159610094</v>
      </c>
    </row>
    <row r="1256" spans="1:16" hidden="1" x14ac:dyDescent="0.2">
      <c r="A1256" s="73">
        <v>67260</v>
      </c>
      <c r="B1256" t="s">
        <v>423</v>
      </c>
      <c r="C1256" s="73" t="s">
        <v>424</v>
      </c>
      <c r="D1256" t="s">
        <v>506</v>
      </c>
      <c r="E1256" s="74">
        <v>45930</v>
      </c>
      <c r="F1256" t="s">
        <v>410</v>
      </c>
      <c r="G1256" t="s">
        <v>411</v>
      </c>
      <c r="H1256" s="75">
        <f t="shared" si="19"/>
        <v>208.08824495766055</v>
      </c>
      <c r="I1256" s="74">
        <v>45930</v>
      </c>
      <c r="J1256">
        <v>6</v>
      </c>
      <c r="K1256" t="s">
        <v>512</v>
      </c>
      <c r="L1256" t="s">
        <v>262</v>
      </c>
      <c r="M1256" t="s">
        <v>356</v>
      </c>
      <c r="N1256" s="73">
        <v>67260</v>
      </c>
      <c r="O1256" s="73">
        <v>67260</v>
      </c>
      <c r="P1256">
        <v>34.681374159610094</v>
      </c>
    </row>
    <row r="1257" spans="1:16" hidden="1" x14ac:dyDescent="0.2">
      <c r="A1257" s="73">
        <v>67260</v>
      </c>
      <c r="B1257" t="s">
        <v>423</v>
      </c>
      <c r="C1257" s="73" t="s">
        <v>424</v>
      </c>
      <c r="D1257" t="s">
        <v>506</v>
      </c>
      <c r="E1257" s="74">
        <v>45933</v>
      </c>
      <c r="F1257" t="s">
        <v>357</v>
      </c>
      <c r="G1257" t="s">
        <v>358</v>
      </c>
      <c r="H1257" s="75">
        <f t="shared" si="19"/>
        <v>69.362748319220188</v>
      </c>
      <c r="I1257" s="74">
        <v>45933</v>
      </c>
      <c r="J1257">
        <v>2</v>
      </c>
      <c r="K1257" t="s">
        <v>513</v>
      </c>
      <c r="L1257" t="s">
        <v>359</v>
      </c>
      <c r="M1257" t="s">
        <v>356</v>
      </c>
      <c r="N1257" s="73">
        <v>67260</v>
      </c>
      <c r="O1257" s="73">
        <v>67260</v>
      </c>
      <c r="P1257">
        <v>34.681374159610094</v>
      </c>
    </row>
    <row r="1258" spans="1:16" hidden="1" x14ac:dyDescent="0.2">
      <c r="A1258" s="73">
        <v>67260</v>
      </c>
      <c r="B1258" t="s">
        <v>423</v>
      </c>
      <c r="C1258" s="73" t="s">
        <v>424</v>
      </c>
      <c r="D1258" t="s">
        <v>506</v>
      </c>
      <c r="E1258" s="74">
        <v>45936</v>
      </c>
      <c r="F1258" t="s">
        <v>410</v>
      </c>
      <c r="G1258" t="s">
        <v>411</v>
      </c>
      <c r="H1258" s="75">
        <f t="shared" si="19"/>
        <v>208.08824495766055</v>
      </c>
      <c r="I1258" s="74">
        <v>45936</v>
      </c>
      <c r="J1258">
        <v>6</v>
      </c>
      <c r="K1258" t="s">
        <v>513</v>
      </c>
      <c r="L1258" t="s">
        <v>262</v>
      </c>
      <c r="M1258" t="s">
        <v>356</v>
      </c>
      <c r="N1258" s="73">
        <v>67260</v>
      </c>
      <c r="O1258" s="73">
        <v>67260</v>
      </c>
      <c r="P1258">
        <v>34.681374159610094</v>
      </c>
    </row>
    <row r="1259" spans="1:16" hidden="1" x14ac:dyDescent="0.2">
      <c r="A1259" s="73">
        <v>67260</v>
      </c>
      <c r="B1259" t="s">
        <v>423</v>
      </c>
      <c r="C1259" s="73" t="s">
        <v>424</v>
      </c>
      <c r="D1259" t="s">
        <v>506</v>
      </c>
      <c r="E1259" s="74">
        <v>45937</v>
      </c>
      <c r="F1259" t="s">
        <v>398</v>
      </c>
      <c r="G1259" t="s">
        <v>399</v>
      </c>
      <c r="H1259" s="75">
        <f t="shared" si="19"/>
        <v>138.72549663844038</v>
      </c>
      <c r="I1259" s="74">
        <v>45937</v>
      </c>
      <c r="J1259">
        <v>4</v>
      </c>
      <c r="K1259" t="s">
        <v>513</v>
      </c>
      <c r="L1259" t="s">
        <v>367</v>
      </c>
      <c r="M1259" t="s">
        <v>356</v>
      </c>
      <c r="N1259" s="73">
        <v>67260</v>
      </c>
      <c r="O1259" s="73">
        <v>67260</v>
      </c>
      <c r="P1259">
        <v>34.681374159610094</v>
      </c>
    </row>
    <row r="1260" spans="1:16" hidden="1" x14ac:dyDescent="0.2">
      <c r="A1260" s="73">
        <v>67260</v>
      </c>
      <c r="B1260" t="s">
        <v>423</v>
      </c>
      <c r="C1260" s="73" t="s">
        <v>424</v>
      </c>
      <c r="D1260" t="s">
        <v>506</v>
      </c>
      <c r="E1260" s="74">
        <v>45937</v>
      </c>
      <c r="F1260" t="s">
        <v>410</v>
      </c>
      <c r="G1260" t="s">
        <v>411</v>
      </c>
      <c r="H1260" s="75">
        <f t="shared" si="19"/>
        <v>208.08824495766055</v>
      </c>
      <c r="I1260" s="74">
        <v>45937</v>
      </c>
      <c r="J1260">
        <v>6</v>
      </c>
      <c r="K1260" t="s">
        <v>513</v>
      </c>
      <c r="L1260" t="s">
        <v>262</v>
      </c>
      <c r="M1260" t="s">
        <v>356</v>
      </c>
      <c r="N1260" s="73">
        <v>67260</v>
      </c>
      <c r="O1260" s="73">
        <v>67260</v>
      </c>
      <c r="P1260">
        <v>34.681374159610094</v>
      </c>
    </row>
    <row r="1261" spans="1:16" hidden="1" x14ac:dyDescent="0.2">
      <c r="A1261" s="73">
        <v>67260</v>
      </c>
      <c r="B1261" t="s">
        <v>423</v>
      </c>
      <c r="C1261" s="73" t="s">
        <v>424</v>
      </c>
      <c r="D1261" t="s">
        <v>506</v>
      </c>
      <c r="E1261" s="74">
        <v>45968</v>
      </c>
      <c r="F1261" t="s">
        <v>414</v>
      </c>
      <c r="G1261" t="s">
        <v>415</v>
      </c>
      <c r="H1261" s="75">
        <f t="shared" si="19"/>
        <v>208.08824495766055</v>
      </c>
      <c r="I1261" s="74">
        <v>45968</v>
      </c>
      <c r="J1261">
        <v>6</v>
      </c>
      <c r="K1261" t="s">
        <v>514</v>
      </c>
      <c r="L1261" t="s">
        <v>262</v>
      </c>
      <c r="M1261" t="s">
        <v>356</v>
      </c>
      <c r="N1261" s="73">
        <v>67260</v>
      </c>
      <c r="O1261" s="73">
        <v>67260</v>
      </c>
      <c r="P1261">
        <v>34.681374159610094</v>
      </c>
    </row>
    <row r="1262" spans="1:16" hidden="1" x14ac:dyDescent="0.2">
      <c r="A1262" s="73">
        <v>67260</v>
      </c>
      <c r="B1262" t="s">
        <v>423</v>
      </c>
      <c r="C1262" s="73" t="s">
        <v>424</v>
      </c>
      <c r="D1262" t="s">
        <v>506</v>
      </c>
      <c r="E1262" s="74">
        <v>45938</v>
      </c>
      <c r="F1262" t="s">
        <v>398</v>
      </c>
      <c r="G1262" t="s">
        <v>399</v>
      </c>
      <c r="H1262" s="75">
        <f t="shared" si="19"/>
        <v>208.08824495766055</v>
      </c>
      <c r="I1262" s="74">
        <v>45938</v>
      </c>
      <c r="J1262">
        <v>6</v>
      </c>
      <c r="K1262" t="s">
        <v>513</v>
      </c>
      <c r="L1262" t="s">
        <v>367</v>
      </c>
      <c r="M1262" t="s">
        <v>356</v>
      </c>
      <c r="N1262" s="73">
        <v>67260</v>
      </c>
      <c r="O1262" s="73">
        <v>67260</v>
      </c>
      <c r="P1262">
        <v>34.681374159610094</v>
      </c>
    </row>
    <row r="1263" spans="1:16" hidden="1" x14ac:dyDescent="0.2">
      <c r="A1263" s="73">
        <v>67260</v>
      </c>
      <c r="B1263" t="s">
        <v>423</v>
      </c>
      <c r="C1263" s="73" t="s">
        <v>424</v>
      </c>
      <c r="D1263" t="s">
        <v>506</v>
      </c>
      <c r="E1263" s="74">
        <v>45938</v>
      </c>
      <c r="F1263" t="s">
        <v>410</v>
      </c>
      <c r="G1263" t="s">
        <v>411</v>
      </c>
      <c r="H1263" s="75">
        <f t="shared" si="19"/>
        <v>208.08824495766055</v>
      </c>
      <c r="I1263" s="74">
        <v>45938</v>
      </c>
      <c r="J1263">
        <v>6</v>
      </c>
      <c r="K1263" t="s">
        <v>513</v>
      </c>
      <c r="L1263" t="s">
        <v>262</v>
      </c>
      <c r="M1263" t="s">
        <v>356</v>
      </c>
      <c r="N1263" s="73">
        <v>67260</v>
      </c>
      <c r="O1263" s="73">
        <v>67260</v>
      </c>
      <c r="P1263">
        <v>34.681374159610094</v>
      </c>
    </row>
    <row r="1264" spans="1:16" hidden="1" x14ac:dyDescent="0.2">
      <c r="A1264" s="73">
        <v>67260</v>
      </c>
      <c r="B1264" t="s">
        <v>423</v>
      </c>
      <c r="C1264" s="73" t="s">
        <v>424</v>
      </c>
      <c r="D1264" t="s">
        <v>506</v>
      </c>
      <c r="E1264" s="74">
        <v>45968</v>
      </c>
      <c r="F1264" t="s">
        <v>414</v>
      </c>
      <c r="G1264" t="s">
        <v>415</v>
      </c>
      <c r="H1264" s="75">
        <f t="shared" si="19"/>
        <v>-208.08824495766055</v>
      </c>
      <c r="I1264" s="74">
        <v>45968</v>
      </c>
      <c r="J1264">
        <v>-6</v>
      </c>
      <c r="K1264" t="s">
        <v>514</v>
      </c>
      <c r="L1264" t="s">
        <v>262</v>
      </c>
      <c r="M1264" t="s">
        <v>356</v>
      </c>
      <c r="N1264" s="73">
        <v>67260</v>
      </c>
      <c r="O1264" s="73">
        <v>67260</v>
      </c>
      <c r="P1264">
        <v>34.681374159610094</v>
      </c>
    </row>
    <row r="1265" spans="1:16" hidden="1" x14ac:dyDescent="0.2">
      <c r="A1265" s="73">
        <v>67260</v>
      </c>
      <c r="B1265" t="s">
        <v>423</v>
      </c>
      <c r="C1265" s="73" t="s">
        <v>424</v>
      </c>
      <c r="D1265" t="s">
        <v>506</v>
      </c>
      <c r="E1265" s="74">
        <v>45939</v>
      </c>
      <c r="F1265" t="s">
        <v>398</v>
      </c>
      <c r="G1265" t="s">
        <v>399</v>
      </c>
      <c r="H1265" s="75">
        <f t="shared" si="19"/>
        <v>208.08824495766055</v>
      </c>
      <c r="I1265" s="74">
        <v>45939</v>
      </c>
      <c r="J1265">
        <v>6</v>
      </c>
      <c r="K1265" t="s">
        <v>513</v>
      </c>
      <c r="L1265" t="s">
        <v>367</v>
      </c>
      <c r="M1265" t="s">
        <v>356</v>
      </c>
      <c r="N1265" s="73">
        <v>67260</v>
      </c>
      <c r="O1265" s="73">
        <v>67260</v>
      </c>
      <c r="P1265">
        <v>34.681374159610094</v>
      </c>
    </row>
    <row r="1266" spans="1:16" hidden="1" x14ac:dyDescent="0.2">
      <c r="A1266" s="73">
        <v>67260</v>
      </c>
      <c r="B1266" t="s">
        <v>423</v>
      </c>
      <c r="C1266" s="73" t="s">
        <v>424</v>
      </c>
      <c r="D1266" t="s">
        <v>506</v>
      </c>
      <c r="E1266" s="74">
        <v>45939</v>
      </c>
      <c r="F1266" t="s">
        <v>410</v>
      </c>
      <c r="G1266" t="s">
        <v>411</v>
      </c>
      <c r="H1266" s="75">
        <f t="shared" si="19"/>
        <v>208.08824495766055</v>
      </c>
      <c r="I1266" s="74">
        <v>45939</v>
      </c>
      <c r="J1266">
        <v>6</v>
      </c>
      <c r="K1266" t="s">
        <v>513</v>
      </c>
      <c r="L1266" t="s">
        <v>262</v>
      </c>
      <c r="M1266" t="s">
        <v>356</v>
      </c>
      <c r="N1266" s="73">
        <v>67260</v>
      </c>
      <c r="O1266" s="73">
        <v>67260</v>
      </c>
      <c r="P1266">
        <v>34.681374159610094</v>
      </c>
    </row>
    <row r="1267" spans="1:16" hidden="1" x14ac:dyDescent="0.2">
      <c r="A1267" s="73">
        <v>67260</v>
      </c>
      <c r="B1267" t="s">
        <v>423</v>
      </c>
      <c r="C1267" s="73" t="s">
        <v>424</v>
      </c>
      <c r="D1267" t="s">
        <v>506</v>
      </c>
      <c r="E1267" s="74">
        <v>45968</v>
      </c>
      <c r="F1267" t="s">
        <v>414</v>
      </c>
      <c r="G1267" t="s">
        <v>415</v>
      </c>
      <c r="H1267" s="75">
        <f t="shared" si="19"/>
        <v>242.76961911727065</v>
      </c>
      <c r="I1267" s="74">
        <v>45968</v>
      </c>
      <c r="J1267">
        <v>7</v>
      </c>
      <c r="K1267" t="s">
        <v>514</v>
      </c>
      <c r="L1267" t="s">
        <v>262</v>
      </c>
      <c r="M1267" t="s">
        <v>356</v>
      </c>
      <c r="N1267" s="73">
        <v>67260</v>
      </c>
      <c r="O1267" s="73">
        <v>67260</v>
      </c>
      <c r="P1267">
        <v>34.681374159610094</v>
      </c>
    </row>
    <row r="1268" spans="1:16" hidden="1" x14ac:dyDescent="0.2">
      <c r="A1268" s="73">
        <v>67260</v>
      </c>
      <c r="B1268" t="s">
        <v>423</v>
      </c>
      <c r="C1268" s="73" t="s">
        <v>424</v>
      </c>
      <c r="D1268" t="s">
        <v>506</v>
      </c>
      <c r="E1268" s="74">
        <v>45940</v>
      </c>
      <c r="F1268" t="s">
        <v>398</v>
      </c>
      <c r="G1268" t="s">
        <v>399</v>
      </c>
      <c r="H1268" s="75">
        <f t="shared" si="19"/>
        <v>208.08824495766055</v>
      </c>
      <c r="I1268" s="74">
        <v>45940</v>
      </c>
      <c r="J1268">
        <v>6</v>
      </c>
      <c r="K1268" t="s">
        <v>513</v>
      </c>
      <c r="L1268" t="s">
        <v>367</v>
      </c>
      <c r="M1268" t="s">
        <v>356</v>
      </c>
      <c r="N1268" s="73">
        <v>67260</v>
      </c>
      <c r="O1268" s="73">
        <v>67260</v>
      </c>
      <c r="P1268">
        <v>34.681374159610094</v>
      </c>
    </row>
    <row r="1269" spans="1:16" hidden="1" x14ac:dyDescent="0.2">
      <c r="A1269" s="73">
        <v>67260</v>
      </c>
      <c r="B1269" t="s">
        <v>423</v>
      </c>
      <c r="C1269" s="73" t="s">
        <v>424</v>
      </c>
      <c r="D1269" t="s">
        <v>506</v>
      </c>
      <c r="E1269" s="74">
        <v>45940</v>
      </c>
      <c r="F1269" t="s">
        <v>410</v>
      </c>
      <c r="G1269" t="s">
        <v>411</v>
      </c>
      <c r="H1269" s="75">
        <f t="shared" si="19"/>
        <v>208.08824495766055</v>
      </c>
      <c r="I1269" s="74">
        <v>45940</v>
      </c>
      <c r="J1269">
        <v>6</v>
      </c>
      <c r="K1269" t="s">
        <v>513</v>
      </c>
      <c r="L1269" t="s">
        <v>262</v>
      </c>
      <c r="M1269" t="s">
        <v>356</v>
      </c>
      <c r="N1269" s="73">
        <v>67260</v>
      </c>
      <c r="O1269" s="73">
        <v>67260</v>
      </c>
      <c r="P1269">
        <v>34.681374159610094</v>
      </c>
    </row>
    <row r="1270" spans="1:16" hidden="1" x14ac:dyDescent="0.2">
      <c r="A1270" s="73">
        <v>67260</v>
      </c>
      <c r="B1270" t="s">
        <v>423</v>
      </c>
      <c r="C1270" s="73" t="s">
        <v>424</v>
      </c>
      <c r="D1270" t="s">
        <v>506</v>
      </c>
      <c r="E1270" s="74">
        <v>45943</v>
      </c>
      <c r="F1270" t="s">
        <v>406</v>
      </c>
      <c r="G1270" t="s">
        <v>407</v>
      </c>
      <c r="H1270" s="75">
        <f t="shared" si="19"/>
        <v>104.04412247883027</v>
      </c>
      <c r="I1270" s="74">
        <v>45943</v>
      </c>
      <c r="J1270">
        <v>3</v>
      </c>
      <c r="K1270" t="s">
        <v>513</v>
      </c>
      <c r="L1270" t="s">
        <v>355</v>
      </c>
      <c r="M1270" t="s">
        <v>356</v>
      </c>
      <c r="N1270" s="73">
        <v>67260</v>
      </c>
      <c r="O1270" s="73">
        <v>67260</v>
      </c>
      <c r="P1270">
        <v>34.681374159610094</v>
      </c>
    </row>
    <row r="1271" spans="1:16" hidden="1" x14ac:dyDescent="0.2">
      <c r="A1271" s="73">
        <v>67260</v>
      </c>
      <c r="B1271" t="s">
        <v>423</v>
      </c>
      <c r="C1271" s="73" t="s">
        <v>424</v>
      </c>
      <c r="D1271" t="s">
        <v>506</v>
      </c>
      <c r="E1271" s="74">
        <v>45943</v>
      </c>
      <c r="F1271" t="s">
        <v>360</v>
      </c>
      <c r="G1271" t="s">
        <v>361</v>
      </c>
      <c r="H1271" s="75">
        <f t="shared" si="19"/>
        <v>208.08824495766055</v>
      </c>
      <c r="I1271" s="74">
        <v>45943</v>
      </c>
      <c r="J1271">
        <v>6</v>
      </c>
      <c r="K1271" t="s">
        <v>513</v>
      </c>
      <c r="L1271" t="s">
        <v>262</v>
      </c>
      <c r="M1271" t="s">
        <v>356</v>
      </c>
      <c r="N1271" s="73">
        <v>67260</v>
      </c>
      <c r="O1271" s="73">
        <v>67260</v>
      </c>
      <c r="P1271">
        <v>34.681374159610094</v>
      </c>
    </row>
    <row r="1272" spans="1:16" hidden="1" x14ac:dyDescent="0.2">
      <c r="A1272" s="73">
        <v>67260</v>
      </c>
      <c r="B1272" t="s">
        <v>423</v>
      </c>
      <c r="C1272" s="73" t="s">
        <v>424</v>
      </c>
      <c r="D1272" t="s">
        <v>506</v>
      </c>
      <c r="E1272" s="74">
        <v>45943</v>
      </c>
      <c r="F1272" t="s">
        <v>410</v>
      </c>
      <c r="G1272" t="s">
        <v>411</v>
      </c>
      <c r="H1272" s="75">
        <f t="shared" si="19"/>
        <v>208.08824495766055</v>
      </c>
      <c r="I1272" s="74">
        <v>45943</v>
      </c>
      <c r="J1272">
        <v>6</v>
      </c>
      <c r="K1272" t="s">
        <v>513</v>
      </c>
      <c r="L1272" t="s">
        <v>262</v>
      </c>
      <c r="M1272" t="s">
        <v>356</v>
      </c>
      <c r="N1272" s="73">
        <v>67260</v>
      </c>
      <c r="O1272" s="73">
        <v>67260</v>
      </c>
      <c r="P1272">
        <v>34.681374159610094</v>
      </c>
    </row>
    <row r="1273" spans="1:16" hidden="1" x14ac:dyDescent="0.2">
      <c r="A1273" s="73">
        <v>67260</v>
      </c>
      <c r="B1273" t="s">
        <v>423</v>
      </c>
      <c r="C1273" s="73" t="s">
        <v>424</v>
      </c>
      <c r="D1273" t="s">
        <v>506</v>
      </c>
      <c r="E1273" s="74">
        <v>45943</v>
      </c>
      <c r="F1273" t="s">
        <v>398</v>
      </c>
      <c r="G1273" t="s">
        <v>399</v>
      </c>
      <c r="H1273" s="75">
        <f t="shared" si="19"/>
        <v>208.08824495766055</v>
      </c>
      <c r="I1273" s="74">
        <v>45943</v>
      </c>
      <c r="J1273">
        <v>6</v>
      </c>
      <c r="K1273" t="s">
        <v>513</v>
      </c>
      <c r="L1273" t="s">
        <v>367</v>
      </c>
      <c r="M1273" t="s">
        <v>356</v>
      </c>
      <c r="N1273" s="73">
        <v>67260</v>
      </c>
      <c r="O1273" s="73">
        <v>67260</v>
      </c>
      <c r="P1273">
        <v>34.681374159610094</v>
      </c>
    </row>
    <row r="1274" spans="1:16" hidden="1" x14ac:dyDescent="0.2">
      <c r="A1274" s="73">
        <v>67260</v>
      </c>
      <c r="B1274" t="s">
        <v>423</v>
      </c>
      <c r="C1274" s="73" t="s">
        <v>424</v>
      </c>
      <c r="D1274" t="s">
        <v>506</v>
      </c>
      <c r="E1274" s="74">
        <v>45943</v>
      </c>
      <c r="F1274" t="s">
        <v>353</v>
      </c>
      <c r="G1274" t="s">
        <v>354</v>
      </c>
      <c r="H1274" s="75">
        <f t="shared" si="19"/>
        <v>208.08824495766055</v>
      </c>
      <c r="I1274" s="74">
        <v>45943</v>
      </c>
      <c r="J1274">
        <v>6</v>
      </c>
      <c r="K1274" t="s">
        <v>513</v>
      </c>
      <c r="L1274" t="s">
        <v>355</v>
      </c>
      <c r="M1274" t="s">
        <v>356</v>
      </c>
      <c r="N1274" s="73">
        <v>67260</v>
      </c>
      <c r="O1274" s="73">
        <v>67260</v>
      </c>
      <c r="P1274">
        <v>34.681374159610094</v>
      </c>
    </row>
    <row r="1275" spans="1:16" hidden="1" x14ac:dyDescent="0.2">
      <c r="A1275" s="73">
        <v>67260</v>
      </c>
      <c r="B1275" t="s">
        <v>423</v>
      </c>
      <c r="C1275" s="73" t="s">
        <v>424</v>
      </c>
      <c r="D1275" t="s">
        <v>506</v>
      </c>
      <c r="E1275" s="74">
        <v>45943</v>
      </c>
      <c r="F1275" t="s">
        <v>370</v>
      </c>
      <c r="G1275" t="s">
        <v>371</v>
      </c>
      <c r="H1275" s="75">
        <f t="shared" si="19"/>
        <v>104.04412247883027</v>
      </c>
      <c r="I1275" s="74">
        <v>45943</v>
      </c>
      <c r="J1275">
        <v>3</v>
      </c>
      <c r="K1275" t="s">
        <v>513</v>
      </c>
      <c r="L1275" t="s">
        <v>262</v>
      </c>
      <c r="M1275" t="s">
        <v>356</v>
      </c>
      <c r="N1275" s="73">
        <v>67260</v>
      </c>
      <c r="O1275" s="73">
        <v>67260</v>
      </c>
      <c r="P1275">
        <v>34.681374159610094</v>
      </c>
    </row>
    <row r="1276" spans="1:16" hidden="1" x14ac:dyDescent="0.2">
      <c r="A1276" s="73">
        <v>67260</v>
      </c>
      <c r="B1276" t="s">
        <v>423</v>
      </c>
      <c r="C1276" s="73" t="s">
        <v>424</v>
      </c>
      <c r="D1276" t="s">
        <v>506</v>
      </c>
      <c r="E1276" s="74">
        <v>45944</v>
      </c>
      <c r="F1276" t="s">
        <v>360</v>
      </c>
      <c r="G1276" t="s">
        <v>361</v>
      </c>
      <c r="H1276" s="75">
        <f t="shared" si="19"/>
        <v>208.08824495766055</v>
      </c>
      <c r="I1276" s="74">
        <v>45944</v>
      </c>
      <c r="J1276">
        <v>6</v>
      </c>
      <c r="K1276" t="s">
        <v>513</v>
      </c>
      <c r="L1276" t="s">
        <v>262</v>
      </c>
      <c r="M1276" t="s">
        <v>356</v>
      </c>
      <c r="N1276" s="73">
        <v>67260</v>
      </c>
      <c r="O1276" s="73">
        <v>67260</v>
      </c>
      <c r="P1276">
        <v>34.681374159610094</v>
      </c>
    </row>
    <row r="1277" spans="1:16" hidden="1" x14ac:dyDescent="0.2">
      <c r="A1277" s="73">
        <v>67260</v>
      </c>
      <c r="B1277" t="s">
        <v>423</v>
      </c>
      <c r="C1277" s="73" t="s">
        <v>424</v>
      </c>
      <c r="D1277" t="s">
        <v>506</v>
      </c>
      <c r="E1277" s="74">
        <v>45944</v>
      </c>
      <c r="F1277" t="s">
        <v>410</v>
      </c>
      <c r="G1277" t="s">
        <v>411</v>
      </c>
      <c r="H1277" s="75">
        <f t="shared" si="19"/>
        <v>208.08824495766055</v>
      </c>
      <c r="I1277" s="74">
        <v>45944</v>
      </c>
      <c r="J1277">
        <v>6</v>
      </c>
      <c r="K1277" t="s">
        <v>513</v>
      </c>
      <c r="L1277" t="s">
        <v>262</v>
      </c>
      <c r="M1277" t="s">
        <v>356</v>
      </c>
      <c r="N1277" s="73">
        <v>67260</v>
      </c>
      <c r="O1277" s="73">
        <v>67260</v>
      </c>
      <c r="P1277">
        <v>34.681374159610094</v>
      </c>
    </row>
    <row r="1278" spans="1:16" hidden="1" x14ac:dyDescent="0.2">
      <c r="A1278" s="73">
        <v>67260</v>
      </c>
      <c r="B1278" t="s">
        <v>423</v>
      </c>
      <c r="C1278" s="73" t="s">
        <v>424</v>
      </c>
      <c r="D1278" t="s">
        <v>506</v>
      </c>
      <c r="E1278" s="74">
        <v>45944</v>
      </c>
      <c r="F1278" t="s">
        <v>398</v>
      </c>
      <c r="G1278" t="s">
        <v>399</v>
      </c>
      <c r="H1278" s="75">
        <f t="shared" si="19"/>
        <v>208.08824495766055</v>
      </c>
      <c r="I1278" s="74">
        <v>45944</v>
      </c>
      <c r="J1278">
        <v>6</v>
      </c>
      <c r="K1278" t="s">
        <v>513</v>
      </c>
      <c r="L1278" t="s">
        <v>367</v>
      </c>
      <c r="M1278" t="s">
        <v>356</v>
      </c>
      <c r="N1278" s="73">
        <v>67260</v>
      </c>
      <c r="O1278" s="73">
        <v>67260</v>
      </c>
      <c r="P1278">
        <v>34.681374159610094</v>
      </c>
    </row>
    <row r="1279" spans="1:16" hidden="1" x14ac:dyDescent="0.2">
      <c r="A1279" s="73">
        <v>67260</v>
      </c>
      <c r="B1279" t="s">
        <v>423</v>
      </c>
      <c r="C1279" s="73" t="s">
        <v>424</v>
      </c>
      <c r="D1279" t="s">
        <v>506</v>
      </c>
      <c r="E1279" s="74">
        <v>45943</v>
      </c>
      <c r="F1279" t="s">
        <v>357</v>
      </c>
      <c r="G1279" t="s">
        <v>358</v>
      </c>
      <c r="H1279" s="75">
        <f t="shared" si="19"/>
        <v>69.362748319220188</v>
      </c>
      <c r="I1279" s="74">
        <v>45943</v>
      </c>
      <c r="J1279">
        <v>2</v>
      </c>
      <c r="K1279" t="s">
        <v>513</v>
      </c>
      <c r="L1279" t="s">
        <v>359</v>
      </c>
      <c r="M1279" t="s">
        <v>356</v>
      </c>
      <c r="N1279" s="73">
        <v>67260</v>
      </c>
      <c r="O1279" s="73">
        <v>67260</v>
      </c>
      <c r="P1279">
        <v>34.681374159610094</v>
      </c>
    </row>
    <row r="1280" spans="1:16" hidden="1" x14ac:dyDescent="0.2">
      <c r="A1280" s="73">
        <v>67260</v>
      </c>
      <c r="B1280" t="s">
        <v>423</v>
      </c>
      <c r="C1280" s="73" t="s">
        <v>424</v>
      </c>
      <c r="D1280" t="s">
        <v>506</v>
      </c>
      <c r="E1280" s="74">
        <v>45944</v>
      </c>
      <c r="F1280" t="s">
        <v>353</v>
      </c>
      <c r="G1280" t="s">
        <v>354</v>
      </c>
      <c r="H1280" s="75">
        <f t="shared" si="19"/>
        <v>208.08824495766055</v>
      </c>
      <c r="I1280" s="74">
        <v>45944</v>
      </c>
      <c r="J1280">
        <v>6</v>
      </c>
      <c r="K1280" t="s">
        <v>513</v>
      </c>
      <c r="L1280" t="s">
        <v>355</v>
      </c>
      <c r="M1280" t="s">
        <v>356</v>
      </c>
      <c r="N1280" s="73">
        <v>67260</v>
      </c>
      <c r="O1280" s="73">
        <v>67260</v>
      </c>
      <c r="P1280">
        <v>34.681374159610094</v>
      </c>
    </row>
    <row r="1281" spans="1:16" hidden="1" x14ac:dyDescent="0.2">
      <c r="A1281" s="73">
        <v>67260</v>
      </c>
      <c r="B1281" t="s">
        <v>423</v>
      </c>
      <c r="C1281" s="73" t="s">
        <v>424</v>
      </c>
      <c r="D1281" t="s">
        <v>506</v>
      </c>
      <c r="E1281" s="74">
        <v>45944</v>
      </c>
      <c r="F1281" t="s">
        <v>357</v>
      </c>
      <c r="G1281" t="s">
        <v>358</v>
      </c>
      <c r="H1281" s="75">
        <f t="shared" si="19"/>
        <v>69.362748319220188</v>
      </c>
      <c r="I1281" s="74">
        <v>45944</v>
      </c>
      <c r="J1281">
        <v>2</v>
      </c>
      <c r="K1281" t="s">
        <v>513</v>
      </c>
      <c r="L1281" t="s">
        <v>359</v>
      </c>
      <c r="M1281" t="s">
        <v>356</v>
      </c>
      <c r="N1281" s="73">
        <v>67260</v>
      </c>
      <c r="O1281" s="73">
        <v>67260</v>
      </c>
      <c r="P1281">
        <v>34.681374159610094</v>
      </c>
    </row>
    <row r="1282" spans="1:16" hidden="1" x14ac:dyDescent="0.2">
      <c r="A1282" s="73">
        <v>67260</v>
      </c>
      <c r="B1282" t="s">
        <v>423</v>
      </c>
      <c r="C1282" s="73" t="s">
        <v>424</v>
      </c>
      <c r="D1282" t="s">
        <v>506</v>
      </c>
      <c r="E1282" s="74">
        <v>45945</v>
      </c>
      <c r="F1282" t="s">
        <v>360</v>
      </c>
      <c r="G1282" t="s">
        <v>361</v>
      </c>
      <c r="H1282" s="75">
        <f t="shared" ref="H1282:H1345" si="20">J1282*P1282</f>
        <v>208.08824495766055</v>
      </c>
      <c r="I1282" s="74">
        <v>45945</v>
      </c>
      <c r="J1282">
        <v>6</v>
      </c>
      <c r="K1282" t="s">
        <v>513</v>
      </c>
      <c r="L1282" t="s">
        <v>262</v>
      </c>
      <c r="M1282" t="s">
        <v>356</v>
      </c>
      <c r="N1282" s="73">
        <v>67260</v>
      </c>
      <c r="O1282" s="73">
        <v>67260</v>
      </c>
      <c r="P1282">
        <v>34.681374159610094</v>
      </c>
    </row>
    <row r="1283" spans="1:16" hidden="1" x14ac:dyDescent="0.2">
      <c r="A1283" s="73">
        <v>67260</v>
      </c>
      <c r="B1283" t="s">
        <v>423</v>
      </c>
      <c r="C1283" s="73" t="s">
        <v>424</v>
      </c>
      <c r="D1283" t="s">
        <v>506</v>
      </c>
      <c r="E1283" s="74">
        <v>45945</v>
      </c>
      <c r="F1283" t="s">
        <v>410</v>
      </c>
      <c r="G1283" t="s">
        <v>411</v>
      </c>
      <c r="H1283" s="75">
        <f t="shared" si="20"/>
        <v>208.08824495766055</v>
      </c>
      <c r="I1283" s="74">
        <v>45945</v>
      </c>
      <c r="J1283">
        <v>6</v>
      </c>
      <c r="K1283" t="s">
        <v>513</v>
      </c>
      <c r="L1283" t="s">
        <v>262</v>
      </c>
      <c r="M1283" t="s">
        <v>356</v>
      </c>
      <c r="N1283" s="73">
        <v>67260</v>
      </c>
      <c r="O1283" s="73">
        <v>67260</v>
      </c>
      <c r="P1283">
        <v>34.681374159610094</v>
      </c>
    </row>
    <row r="1284" spans="1:16" hidden="1" x14ac:dyDescent="0.2">
      <c r="A1284" s="73">
        <v>67260</v>
      </c>
      <c r="B1284" t="s">
        <v>423</v>
      </c>
      <c r="C1284" s="73" t="s">
        <v>424</v>
      </c>
      <c r="D1284" t="s">
        <v>506</v>
      </c>
      <c r="E1284" s="74">
        <v>45945</v>
      </c>
      <c r="F1284" t="s">
        <v>398</v>
      </c>
      <c r="G1284" t="s">
        <v>399</v>
      </c>
      <c r="H1284" s="75">
        <f t="shared" si="20"/>
        <v>208.08824495766055</v>
      </c>
      <c r="I1284" s="74">
        <v>45945</v>
      </c>
      <c r="J1284">
        <v>6</v>
      </c>
      <c r="K1284" t="s">
        <v>513</v>
      </c>
      <c r="L1284" t="s">
        <v>367</v>
      </c>
      <c r="M1284" t="s">
        <v>356</v>
      </c>
      <c r="N1284" s="73">
        <v>67260</v>
      </c>
      <c r="O1284" s="73">
        <v>67260</v>
      </c>
      <c r="P1284">
        <v>34.681374159610094</v>
      </c>
    </row>
    <row r="1285" spans="1:16" hidden="1" x14ac:dyDescent="0.2">
      <c r="A1285" s="73">
        <v>67260</v>
      </c>
      <c r="B1285" t="s">
        <v>423</v>
      </c>
      <c r="C1285" s="73" t="s">
        <v>424</v>
      </c>
      <c r="D1285" t="s">
        <v>506</v>
      </c>
      <c r="E1285" s="74">
        <v>45971</v>
      </c>
      <c r="F1285" t="s">
        <v>414</v>
      </c>
      <c r="G1285" t="s">
        <v>415</v>
      </c>
      <c r="H1285" s="75">
        <f t="shared" si="20"/>
        <v>121.38480955863533</v>
      </c>
      <c r="I1285" s="74">
        <v>45971</v>
      </c>
      <c r="J1285">
        <v>3.5</v>
      </c>
      <c r="K1285" t="s">
        <v>514</v>
      </c>
      <c r="L1285" t="s">
        <v>262</v>
      </c>
      <c r="M1285" t="s">
        <v>356</v>
      </c>
      <c r="N1285" s="73">
        <v>67260</v>
      </c>
      <c r="O1285" s="73">
        <v>67260</v>
      </c>
      <c r="P1285">
        <v>34.681374159610094</v>
      </c>
    </row>
    <row r="1286" spans="1:16" hidden="1" x14ac:dyDescent="0.2">
      <c r="A1286" s="73">
        <v>67260</v>
      </c>
      <c r="B1286" t="s">
        <v>423</v>
      </c>
      <c r="C1286" s="73" t="s">
        <v>424</v>
      </c>
      <c r="D1286" t="s">
        <v>506</v>
      </c>
      <c r="E1286" s="74">
        <v>45945</v>
      </c>
      <c r="F1286" t="s">
        <v>353</v>
      </c>
      <c r="G1286" t="s">
        <v>354</v>
      </c>
      <c r="H1286" s="75">
        <f t="shared" si="20"/>
        <v>208.08824495766055</v>
      </c>
      <c r="I1286" s="74">
        <v>45945</v>
      </c>
      <c r="J1286">
        <v>6</v>
      </c>
      <c r="K1286" t="s">
        <v>513</v>
      </c>
      <c r="L1286" t="s">
        <v>355</v>
      </c>
      <c r="M1286" t="s">
        <v>356</v>
      </c>
      <c r="N1286" s="73">
        <v>67260</v>
      </c>
      <c r="O1286" s="73">
        <v>67260</v>
      </c>
      <c r="P1286">
        <v>34.681374159610094</v>
      </c>
    </row>
    <row r="1287" spans="1:16" hidden="1" x14ac:dyDescent="0.2">
      <c r="A1287" s="73">
        <v>67260</v>
      </c>
      <c r="B1287" t="s">
        <v>423</v>
      </c>
      <c r="C1287" s="73" t="s">
        <v>424</v>
      </c>
      <c r="D1287" t="s">
        <v>506</v>
      </c>
      <c r="E1287" s="74">
        <v>45945</v>
      </c>
      <c r="F1287" t="s">
        <v>370</v>
      </c>
      <c r="G1287" t="s">
        <v>371</v>
      </c>
      <c r="H1287" s="75">
        <f t="shared" si="20"/>
        <v>69.362748319220188</v>
      </c>
      <c r="I1287" s="74">
        <v>45945</v>
      </c>
      <c r="J1287">
        <v>2</v>
      </c>
      <c r="K1287" t="s">
        <v>513</v>
      </c>
      <c r="L1287" t="s">
        <v>262</v>
      </c>
      <c r="M1287" t="s">
        <v>356</v>
      </c>
      <c r="N1287" s="73">
        <v>67260</v>
      </c>
      <c r="O1287" s="73">
        <v>67260</v>
      </c>
      <c r="P1287">
        <v>34.681374159610094</v>
      </c>
    </row>
    <row r="1288" spans="1:16" hidden="1" x14ac:dyDescent="0.2">
      <c r="A1288" s="73">
        <v>67260</v>
      </c>
      <c r="B1288" t="s">
        <v>423</v>
      </c>
      <c r="C1288" s="73" t="s">
        <v>424</v>
      </c>
      <c r="D1288" t="s">
        <v>506</v>
      </c>
      <c r="E1288" s="74">
        <v>45945</v>
      </c>
      <c r="F1288" t="s">
        <v>357</v>
      </c>
      <c r="G1288" t="s">
        <v>358</v>
      </c>
      <c r="H1288" s="75">
        <f t="shared" si="20"/>
        <v>69.362748319220188</v>
      </c>
      <c r="I1288" s="74">
        <v>45945</v>
      </c>
      <c r="J1288">
        <v>2</v>
      </c>
      <c r="K1288" t="s">
        <v>513</v>
      </c>
      <c r="L1288" t="s">
        <v>359</v>
      </c>
      <c r="M1288" t="s">
        <v>356</v>
      </c>
      <c r="N1288" s="73">
        <v>67260</v>
      </c>
      <c r="O1288" s="73">
        <v>67260</v>
      </c>
      <c r="P1288">
        <v>34.681374159610094</v>
      </c>
    </row>
    <row r="1289" spans="1:16" hidden="1" x14ac:dyDescent="0.2">
      <c r="A1289" s="73">
        <v>67260</v>
      </c>
      <c r="B1289" t="s">
        <v>423</v>
      </c>
      <c r="C1289" s="73" t="s">
        <v>424</v>
      </c>
      <c r="D1289" t="s">
        <v>506</v>
      </c>
      <c r="E1289" s="74">
        <v>45946</v>
      </c>
      <c r="F1289" t="s">
        <v>360</v>
      </c>
      <c r="G1289" t="s">
        <v>361</v>
      </c>
      <c r="H1289" s="75">
        <f t="shared" si="20"/>
        <v>208.08824495766055</v>
      </c>
      <c r="I1289" s="74">
        <v>45946</v>
      </c>
      <c r="J1289">
        <v>6</v>
      </c>
      <c r="K1289" t="s">
        <v>513</v>
      </c>
      <c r="L1289" t="s">
        <v>262</v>
      </c>
      <c r="M1289" t="s">
        <v>356</v>
      </c>
      <c r="N1289" s="73">
        <v>67260</v>
      </c>
      <c r="O1289" s="73">
        <v>67260</v>
      </c>
      <c r="P1289">
        <v>34.681374159610094</v>
      </c>
    </row>
    <row r="1290" spans="1:16" hidden="1" x14ac:dyDescent="0.2">
      <c r="A1290" s="73">
        <v>67260</v>
      </c>
      <c r="B1290" t="s">
        <v>423</v>
      </c>
      <c r="C1290" s="73" t="s">
        <v>424</v>
      </c>
      <c r="D1290" t="s">
        <v>506</v>
      </c>
      <c r="E1290" s="74">
        <v>45946</v>
      </c>
      <c r="F1290" t="s">
        <v>410</v>
      </c>
      <c r="G1290" t="s">
        <v>411</v>
      </c>
      <c r="H1290" s="75">
        <f t="shared" si="20"/>
        <v>208.08824495766055</v>
      </c>
      <c r="I1290" s="74">
        <v>45946</v>
      </c>
      <c r="J1290">
        <v>6</v>
      </c>
      <c r="K1290" t="s">
        <v>513</v>
      </c>
      <c r="L1290" t="s">
        <v>262</v>
      </c>
      <c r="M1290" t="s">
        <v>356</v>
      </c>
      <c r="N1290" s="73">
        <v>67260</v>
      </c>
      <c r="O1290" s="73">
        <v>67260</v>
      </c>
      <c r="P1290">
        <v>34.681374159610094</v>
      </c>
    </row>
    <row r="1291" spans="1:16" hidden="1" x14ac:dyDescent="0.2">
      <c r="A1291" s="73">
        <v>67260</v>
      </c>
      <c r="B1291" t="s">
        <v>423</v>
      </c>
      <c r="C1291" s="73" t="s">
        <v>424</v>
      </c>
      <c r="D1291" t="s">
        <v>506</v>
      </c>
      <c r="E1291" s="74">
        <v>45946</v>
      </c>
      <c r="F1291" t="s">
        <v>398</v>
      </c>
      <c r="G1291" t="s">
        <v>399</v>
      </c>
      <c r="H1291" s="75">
        <f t="shared" si="20"/>
        <v>208.08824495766055</v>
      </c>
      <c r="I1291" s="74">
        <v>45946</v>
      </c>
      <c r="J1291">
        <v>6</v>
      </c>
      <c r="K1291" t="s">
        <v>513</v>
      </c>
      <c r="L1291" t="s">
        <v>367</v>
      </c>
      <c r="M1291" t="s">
        <v>356</v>
      </c>
      <c r="N1291" s="73">
        <v>67260</v>
      </c>
      <c r="O1291" s="73">
        <v>67260</v>
      </c>
      <c r="P1291">
        <v>34.681374159610094</v>
      </c>
    </row>
    <row r="1292" spans="1:16" x14ac:dyDescent="0.2">
      <c r="A1292" s="73">
        <v>67262</v>
      </c>
      <c r="B1292" t="s">
        <v>350</v>
      </c>
      <c r="C1292" s="73" t="s">
        <v>421</v>
      </c>
      <c r="D1292" t="s">
        <v>422</v>
      </c>
      <c r="E1292" s="74">
        <v>45971</v>
      </c>
      <c r="F1292" t="s">
        <v>414</v>
      </c>
      <c r="G1292" t="s">
        <v>415</v>
      </c>
      <c r="H1292" s="75">
        <f t="shared" si="20"/>
        <v>173.40687079805048</v>
      </c>
      <c r="I1292" s="74">
        <v>45971</v>
      </c>
      <c r="J1292">
        <v>5</v>
      </c>
      <c r="K1292" t="s">
        <v>514</v>
      </c>
      <c r="L1292" t="s">
        <v>262</v>
      </c>
      <c r="M1292" t="s">
        <v>356</v>
      </c>
      <c r="N1292" s="73">
        <v>67262</v>
      </c>
      <c r="O1292" s="73">
        <v>67262</v>
      </c>
      <c r="P1292">
        <v>34.681374159610094</v>
      </c>
    </row>
    <row r="1293" spans="1:16" hidden="1" x14ac:dyDescent="0.2">
      <c r="A1293" s="73">
        <v>67260</v>
      </c>
      <c r="B1293" t="s">
        <v>423</v>
      </c>
      <c r="C1293" s="73" t="s">
        <v>424</v>
      </c>
      <c r="D1293" t="s">
        <v>506</v>
      </c>
      <c r="E1293" s="74">
        <v>45946</v>
      </c>
      <c r="F1293" t="s">
        <v>353</v>
      </c>
      <c r="G1293" t="s">
        <v>354</v>
      </c>
      <c r="H1293" s="75">
        <f t="shared" si="20"/>
        <v>208.08824495766055</v>
      </c>
      <c r="I1293" s="74">
        <v>45946</v>
      </c>
      <c r="J1293">
        <v>6</v>
      </c>
      <c r="K1293" t="s">
        <v>513</v>
      </c>
      <c r="L1293" t="s">
        <v>355</v>
      </c>
      <c r="M1293" t="s">
        <v>356</v>
      </c>
      <c r="N1293" s="73">
        <v>67260</v>
      </c>
      <c r="O1293" s="73">
        <v>67260</v>
      </c>
      <c r="P1293">
        <v>34.681374159610094</v>
      </c>
    </row>
    <row r="1294" spans="1:16" hidden="1" x14ac:dyDescent="0.2">
      <c r="A1294" s="73">
        <v>67260</v>
      </c>
      <c r="B1294" t="s">
        <v>423</v>
      </c>
      <c r="C1294" s="73" t="s">
        <v>424</v>
      </c>
      <c r="D1294" t="s">
        <v>506</v>
      </c>
      <c r="E1294" s="74">
        <v>45946</v>
      </c>
      <c r="F1294" t="s">
        <v>370</v>
      </c>
      <c r="G1294" t="s">
        <v>371</v>
      </c>
      <c r="H1294" s="75">
        <f t="shared" si="20"/>
        <v>69.362748319220188</v>
      </c>
      <c r="I1294" s="74">
        <v>45946</v>
      </c>
      <c r="J1294">
        <v>2</v>
      </c>
      <c r="K1294" t="s">
        <v>513</v>
      </c>
      <c r="L1294" t="s">
        <v>262</v>
      </c>
      <c r="M1294" t="s">
        <v>356</v>
      </c>
      <c r="N1294" s="73">
        <v>67260</v>
      </c>
      <c r="O1294" s="73">
        <v>67260</v>
      </c>
      <c r="P1294">
        <v>34.681374159610094</v>
      </c>
    </row>
    <row r="1295" spans="1:16" hidden="1" x14ac:dyDescent="0.2">
      <c r="A1295" s="73">
        <v>67260</v>
      </c>
      <c r="B1295" t="s">
        <v>423</v>
      </c>
      <c r="C1295" s="73" t="s">
        <v>424</v>
      </c>
      <c r="D1295" t="s">
        <v>506</v>
      </c>
      <c r="E1295" s="74">
        <v>45946</v>
      </c>
      <c r="F1295" t="s">
        <v>357</v>
      </c>
      <c r="G1295" t="s">
        <v>358</v>
      </c>
      <c r="H1295" s="75">
        <f t="shared" si="20"/>
        <v>69.362748319220188</v>
      </c>
      <c r="I1295" s="74">
        <v>45946</v>
      </c>
      <c r="J1295">
        <v>2</v>
      </c>
      <c r="K1295" t="s">
        <v>513</v>
      </c>
      <c r="L1295" t="s">
        <v>359</v>
      </c>
      <c r="M1295" t="s">
        <v>356</v>
      </c>
      <c r="N1295" s="73">
        <v>67260</v>
      </c>
      <c r="O1295" s="73">
        <v>67260</v>
      </c>
      <c r="P1295">
        <v>34.681374159610094</v>
      </c>
    </row>
    <row r="1296" spans="1:16" hidden="1" x14ac:dyDescent="0.2">
      <c r="A1296" s="73">
        <v>67260</v>
      </c>
      <c r="B1296" t="s">
        <v>423</v>
      </c>
      <c r="C1296" s="73" t="s">
        <v>424</v>
      </c>
      <c r="D1296" t="s">
        <v>506</v>
      </c>
      <c r="E1296" s="74">
        <v>45947</v>
      </c>
      <c r="F1296" t="s">
        <v>360</v>
      </c>
      <c r="G1296" t="s">
        <v>361</v>
      </c>
      <c r="H1296" s="75">
        <f t="shared" si="20"/>
        <v>208.08824495766055</v>
      </c>
      <c r="I1296" s="74">
        <v>45947</v>
      </c>
      <c r="J1296">
        <v>6</v>
      </c>
      <c r="K1296" t="s">
        <v>513</v>
      </c>
      <c r="L1296" t="s">
        <v>262</v>
      </c>
      <c r="M1296" t="s">
        <v>356</v>
      </c>
      <c r="N1296" s="73">
        <v>67260</v>
      </c>
      <c r="O1296" s="73">
        <v>67260</v>
      </c>
      <c r="P1296">
        <v>34.681374159610094</v>
      </c>
    </row>
    <row r="1297" spans="1:16" hidden="1" x14ac:dyDescent="0.2">
      <c r="A1297" s="73">
        <v>67260</v>
      </c>
      <c r="B1297" t="s">
        <v>423</v>
      </c>
      <c r="C1297" s="73" t="s">
        <v>424</v>
      </c>
      <c r="D1297" t="s">
        <v>506</v>
      </c>
      <c r="E1297" s="74">
        <v>45947</v>
      </c>
      <c r="F1297" t="s">
        <v>410</v>
      </c>
      <c r="G1297" t="s">
        <v>411</v>
      </c>
      <c r="H1297" s="75">
        <f t="shared" si="20"/>
        <v>208.08824495766055</v>
      </c>
      <c r="I1297" s="74">
        <v>45947</v>
      </c>
      <c r="J1297">
        <v>6</v>
      </c>
      <c r="K1297" t="s">
        <v>513</v>
      </c>
      <c r="L1297" t="s">
        <v>262</v>
      </c>
      <c r="M1297" t="s">
        <v>356</v>
      </c>
      <c r="N1297" s="73">
        <v>67260</v>
      </c>
      <c r="O1297" s="73">
        <v>67260</v>
      </c>
      <c r="P1297">
        <v>34.681374159610094</v>
      </c>
    </row>
    <row r="1298" spans="1:16" hidden="1" x14ac:dyDescent="0.2">
      <c r="A1298" s="73">
        <v>67260</v>
      </c>
      <c r="B1298" t="s">
        <v>423</v>
      </c>
      <c r="C1298" s="73" t="s">
        <v>424</v>
      </c>
      <c r="D1298" t="s">
        <v>506</v>
      </c>
      <c r="E1298" s="74">
        <v>45947</v>
      </c>
      <c r="F1298" t="s">
        <v>398</v>
      </c>
      <c r="G1298" t="s">
        <v>399</v>
      </c>
      <c r="H1298" s="75">
        <f t="shared" si="20"/>
        <v>208.08824495766055</v>
      </c>
      <c r="I1298" s="74">
        <v>45947</v>
      </c>
      <c r="J1298">
        <v>6</v>
      </c>
      <c r="K1298" t="s">
        <v>513</v>
      </c>
      <c r="L1298" t="s">
        <v>367</v>
      </c>
      <c r="M1298" t="s">
        <v>356</v>
      </c>
      <c r="N1298" s="73">
        <v>67260</v>
      </c>
      <c r="O1298" s="73">
        <v>67260</v>
      </c>
      <c r="P1298">
        <v>34.681374159610094</v>
      </c>
    </row>
    <row r="1299" spans="1:16" hidden="1" x14ac:dyDescent="0.2">
      <c r="A1299" s="73">
        <v>67260</v>
      </c>
      <c r="B1299" t="s">
        <v>423</v>
      </c>
      <c r="C1299" s="73" t="s">
        <v>424</v>
      </c>
      <c r="D1299" t="s">
        <v>506</v>
      </c>
      <c r="E1299" s="74">
        <v>45947</v>
      </c>
      <c r="F1299" t="s">
        <v>353</v>
      </c>
      <c r="G1299" t="s">
        <v>354</v>
      </c>
      <c r="H1299" s="75">
        <f t="shared" si="20"/>
        <v>208.08824495766055</v>
      </c>
      <c r="I1299" s="74">
        <v>45947</v>
      </c>
      <c r="J1299">
        <v>6</v>
      </c>
      <c r="K1299" t="s">
        <v>513</v>
      </c>
      <c r="L1299" t="s">
        <v>355</v>
      </c>
      <c r="M1299" t="s">
        <v>356</v>
      </c>
      <c r="N1299" s="73">
        <v>67260</v>
      </c>
      <c r="O1299" s="73">
        <v>67260</v>
      </c>
      <c r="P1299">
        <v>34.681374159610094</v>
      </c>
    </row>
    <row r="1300" spans="1:16" hidden="1" x14ac:dyDescent="0.2">
      <c r="A1300" s="73">
        <v>67260</v>
      </c>
      <c r="B1300" t="s">
        <v>423</v>
      </c>
      <c r="C1300" s="73" t="s">
        <v>424</v>
      </c>
      <c r="D1300" t="s">
        <v>506</v>
      </c>
      <c r="E1300" s="74">
        <v>45947</v>
      </c>
      <c r="F1300" t="s">
        <v>357</v>
      </c>
      <c r="G1300" t="s">
        <v>358</v>
      </c>
      <c r="H1300" s="75">
        <f t="shared" si="20"/>
        <v>69.362748319220188</v>
      </c>
      <c r="I1300" s="74">
        <v>45947</v>
      </c>
      <c r="J1300">
        <v>2</v>
      </c>
      <c r="K1300" t="s">
        <v>513</v>
      </c>
      <c r="L1300" t="s">
        <v>359</v>
      </c>
      <c r="M1300" t="s">
        <v>356</v>
      </c>
      <c r="N1300" s="73">
        <v>67260</v>
      </c>
      <c r="O1300" s="73">
        <v>67260</v>
      </c>
      <c r="P1300">
        <v>34.681374159610094</v>
      </c>
    </row>
    <row r="1301" spans="1:16" hidden="1" x14ac:dyDescent="0.2">
      <c r="A1301" s="73">
        <v>67260</v>
      </c>
      <c r="B1301" t="s">
        <v>423</v>
      </c>
      <c r="C1301" s="73" t="s">
        <v>424</v>
      </c>
      <c r="D1301" t="s">
        <v>506</v>
      </c>
      <c r="E1301" s="74">
        <v>45945</v>
      </c>
      <c r="F1301" t="s">
        <v>364</v>
      </c>
      <c r="G1301" t="s">
        <v>365</v>
      </c>
      <c r="H1301" s="75">
        <f t="shared" si="20"/>
        <v>277.45099327688075</v>
      </c>
      <c r="I1301" s="74">
        <v>45945</v>
      </c>
      <c r="J1301">
        <v>8</v>
      </c>
      <c r="K1301" t="s">
        <v>513</v>
      </c>
      <c r="L1301" t="s">
        <v>366</v>
      </c>
      <c r="M1301" t="s">
        <v>356</v>
      </c>
      <c r="N1301" s="73">
        <v>67260</v>
      </c>
      <c r="O1301" s="73">
        <v>67260</v>
      </c>
      <c r="P1301">
        <v>34.681374159610094</v>
      </c>
    </row>
    <row r="1302" spans="1:16" hidden="1" x14ac:dyDescent="0.2">
      <c r="A1302" s="73">
        <v>67260</v>
      </c>
      <c r="B1302" t="s">
        <v>423</v>
      </c>
      <c r="C1302" s="73" t="s">
        <v>424</v>
      </c>
      <c r="D1302" t="s">
        <v>506</v>
      </c>
      <c r="E1302" s="74">
        <v>45950</v>
      </c>
      <c r="F1302" t="s">
        <v>360</v>
      </c>
      <c r="G1302" t="s">
        <v>361</v>
      </c>
      <c r="H1302" s="75">
        <f t="shared" si="20"/>
        <v>69.362748319220188</v>
      </c>
      <c r="I1302" s="74">
        <v>45950</v>
      </c>
      <c r="J1302">
        <v>2</v>
      </c>
      <c r="K1302" t="s">
        <v>513</v>
      </c>
      <c r="L1302" t="s">
        <v>262</v>
      </c>
      <c r="M1302" t="s">
        <v>356</v>
      </c>
      <c r="N1302" s="73">
        <v>67260</v>
      </c>
      <c r="O1302" s="73">
        <v>67260</v>
      </c>
      <c r="P1302">
        <v>34.681374159610094</v>
      </c>
    </row>
    <row r="1303" spans="1:16" hidden="1" x14ac:dyDescent="0.2">
      <c r="A1303" s="73">
        <v>67260</v>
      </c>
      <c r="B1303" t="s">
        <v>423</v>
      </c>
      <c r="C1303" s="73" t="s">
        <v>424</v>
      </c>
      <c r="D1303" t="s">
        <v>506</v>
      </c>
      <c r="E1303" s="74">
        <v>45950</v>
      </c>
      <c r="F1303" t="s">
        <v>357</v>
      </c>
      <c r="G1303" t="s">
        <v>358</v>
      </c>
      <c r="H1303" s="75">
        <f t="shared" si="20"/>
        <v>104.04412247883027</v>
      </c>
      <c r="I1303" s="74">
        <v>45950</v>
      </c>
      <c r="J1303">
        <v>3</v>
      </c>
      <c r="K1303" t="s">
        <v>513</v>
      </c>
      <c r="L1303" t="s">
        <v>359</v>
      </c>
      <c r="M1303" t="s">
        <v>356</v>
      </c>
      <c r="N1303" s="73">
        <v>67260</v>
      </c>
      <c r="O1303" s="73">
        <v>67260</v>
      </c>
      <c r="P1303">
        <v>34.681374159610094</v>
      </c>
    </row>
    <row r="1304" spans="1:16" hidden="1" x14ac:dyDescent="0.2">
      <c r="A1304" s="73">
        <v>67260</v>
      </c>
      <c r="B1304" t="s">
        <v>423</v>
      </c>
      <c r="C1304" s="73" t="s">
        <v>424</v>
      </c>
      <c r="D1304" t="s">
        <v>506</v>
      </c>
      <c r="E1304" s="74">
        <v>45972</v>
      </c>
      <c r="F1304" t="s">
        <v>414</v>
      </c>
      <c r="G1304" t="s">
        <v>415</v>
      </c>
      <c r="H1304" s="75">
        <f t="shared" si="20"/>
        <v>294.79168035668579</v>
      </c>
      <c r="I1304" s="74">
        <v>45972</v>
      </c>
      <c r="J1304">
        <v>8.5</v>
      </c>
      <c r="K1304" t="s">
        <v>514</v>
      </c>
      <c r="L1304" t="s">
        <v>262</v>
      </c>
      <c r="M1304" t="s">
        <v>356</v>
      </c>
      <c r="N1304" s="73">
        <v>67260</v>
      </c>
      <c r="O1304" s="73">
        <v>67260</v>
      </c>
      <c r="P1304">
        <v>34.681374159610094</v>
      </c>
    </row>
    <row r="1305" spans="1:16" hidden="1" x14ac:dyDescent="0.2">
      <c r="A1305" s="73">
        <v>67260</v>
      </c>
      <c r="B1305" t="s">
        <v>423</v>
      </c>
      <c r="C1305" s="73" t="s">
        <v>424</v>
      </c>
      <c r="D1305" t="s">
        <v>506</v>
      </c>
      <c r="E1305" s="74">
        <v>45952</v>
      </c>
      <c r="F1305" t="s">
        <v>360</v>
      </c>
      <c r="G1305" t="s">
        <v>361</v>
      </c>
      <c r="H1305" s="75">
        <f t="shared" si="20"/>
        <v>69.362748319220188</v>
      </c>
      <c r="I1305" s="74">
        <v>45952</v>
      </c>
      <c r="J1305">
        <v>2</v>
      </c>
      <c r="K1305" t="s">
        <v>513</v>
      </c>
      <c r="L1305" t="s">
        <v>262</v>
      </c>
      <c r="M1305" t="s">
        <v>356</v>
      </c>
      <c r="N1305" s="73">
        <v>67260</v>
      </c>
      <c r="O1305" s="73">
        <v>67260</v>
      </c>
      <c r="P1305">
        <v>34.681374159610094</v>
      </c>
    </row>
    <row r="1306" spans="1:16" hidden="1" x14ac:dyDescent="0.2">
      <c r="A1306" s="73">
        <v>67260</v>
      </c>
      <c r="B1306" t="s">
        <v>423</v>
      </c>
      <c r="C1306" s="73" t="s">
        <v>424</v>
      </c>
      <c r="D1306" t="s">
        <v>506</v>
      </c>
      <c r="E1306" s="74">
        <v>45952</v>
      </c>
      <c r="F1306" t="s">
        <v>364</v>
      </c>
      <c r="G1306" t="s">
        <v>365</v>
      </c>
      <c r="H1306" s="75">
        <f t="shared" si="20"/>
        <v>208.08824495766055</v>
      </c>
      <c r="I1306" s="74">
        <v>45952</v>
      </c>
      <c r="J1306">
        <v>6</v>
      </c>
      <c r="K1306" t="s">
        <v>513</v>
      </c>
      <c r="L1306" t="s">
        <v>366</v>
      </c>
      <c r="M1306" t="s">
        <v>356</v>
      </c>
      <c r="N1306" s="73">
        <v>67260</v>
      </c>
      <c r="O1306" s="73">
        <v>67260</v>
      </c>
      <c r="P1306">
        <v>34.681374159610094</v>
      </c>
    </row>
    <row r="1307" spans="1:16" hidden="1" x14ac:dyDescent="0.2">
      <c r="A1307" s="73">
        <v>67260</v>
      </c>
      <c r="B1307" t="s">
        <v>423</v>
      </c>
      <c r="C1307" s="73" t="s">
        <v>424</v>
      </c>
      <c r="D1307" t="s">
        <v>506</v>
      </c>
      <c r="E1307" s="74">
        <v>45952</v>
      </c>
      <c r="F1307" t="s">
        <v>357</v>
      </c>
      <c r="G1307" t="s">
        <v>358</v>
      </c>
      <c r="H1307" s="75">
        <f t="shared" si="20"/>
        <v>104.04412247883027</v>
      </c>
      <c r="I1307" s="74">
        <v>45952</v>
      </c>
      <c r="J1307">
        <v>3</v>
      </c>
      <c r="K1307" t="s">
        <v>513</v>
      </c>
      <c r="L1307" t="s">
        <v>359</v>
      </c>
      <c r="M1307" t="s">
        <v>356</v>
      </c>
      <c r="N1307" s="73">
        <v>67260</v>
      </c>
      <c r="O1307" s="73">
        <v>67260</v>
      </c>
      <c r="P1307">
        <v>34.681374159610094</v>
      </c>
    </row>
    <row r="1308" spans="1:16" hidden="1" x14ac:dyDescent="0.2">
      <c r="A1308" s="73">
        <v>67260</v>
      </c>
      <c r="B1308" t="s">
        <v>423</v>
      </c>
      <c r="C1308" s="73" t="s">
        <v>424</v>
      </c>
      <c r="D1308" t="s">
        <v>506</v>
      </c>
      <c r="E1308" s="74">
        <v>45952</v>
      </c>
      <c r="F1308" t="s">
        <v>370</v>
      </c>
      <c r="G1308" t="s">
        <v>371</v>
      </c>
      <c r="H1308" s="75">
        <f t="shared" si="20"/>
        <v>138.72549663844038</v>
      </c>
      <c r="I1308" s="74">
        <v>45952</v>
      </c>
      <c r="J1308">
        <v>4</v>
      </c>
      <c r="K1308" t="s">
        <v>513</v>
      </c>
      <c r="L1308" t="s">
        <v>262</v>
      </c>
      <c r="M1308" t="s">
        <v>356</v>
      </c>
      <c r="N1308" s="73">
        <v>67260</v>
      </c>
      <c r="O1308" s="73">
        <v>67260</v>
      </c>
      <c r="P1308">
        <v>34.681374159610094</v>
      </c>
    </row>
    <row r="1309" spans="1:16" hidden="1" x14ac:dyDescent="0.2">
      <c r="A1309" s="73">
        <v>67260</v>
      </c>
      <c r="B1309" t="s">
        <v>423</v>
      </c>
      <c r="C1309" s="73" t="s">
        <v>424</v>
      </c>
      <c r="D1309" t="s">
        <v>506</v>
      </c>
      <c r="E1309" s="74">
        <v>45952</v>
      </c>
      <c r="F1309" t="s">
        <v>410</v>
      </c>
      <c r="G1309" t="s">
        <v>411</v>
      </c>
      <c r="H1309" s="75">
        <f t="shared" si="20"/>
        <v>208.08824495766055</v>
      </c>
      <c r="I1309" s="74">
        <v>45952</v>
      </c>
      <c r="J1309">
        <v>6</v>
      </c>
      <c r="K1309" t="s">
        <v>513</v>
      </c>
      <c r="L1309" t="s">
        <v>262</v>
      </c>
      <c r="M1309" t="s">
        <v>356</v>
      </c>
      <c r="N1309" s="73">
        <v>67260</v>
      </c>
      <c r="O1309" s="73">
        <v>67260</v>
      </c>
      <c r="P1309">
        <v>34.681374159610094</v>
      </c>
    </row>
    <row r="1310" spans="1:16" hidden="1" x14ac:dyDescent="0.2">
      <c r="A1310" s="73">
        <v>67260</v>
      </c>
      <c r="B1310" t="s">
        <v>423</v>
      </c>
      <c r="C1310" s="73" t="s">
        <v>424</v>
      </c>
      <c r="D1310" t="s">
        <v>506</v>
      </c>
      <c r="E1310" s="74">
        <v>45953</v>
      </c>
      <c r="F1310" t="s">
        <v>360</v>
      </c>
      <c r="G1310" t="s">
        <v>361</v>
      </c>
      <c r="H1310" s="75">
        <f t="shared" si="20"/>
        <v>208.08824495766055</v>
      </c>
      <c r="I1310" s="74">
        <v>45953</v>
      </c>
      <c r="J1310">
        <v>6</v>
      </c>
      <c r="K1310" t="s">
        <v>513</v>
      </c>
      <c r="L1310" t="s">
        <v>262</v>
      </c>
      <c r="M1310" t="s">
        <v>356</v>
      </c>
      <c r="N1310" s="73">
        <v>67260</v>
      </c>
      <c r="O1310" s="73">
        <v>67260</v>
      </c>
      <c r="P1310">
        <v>34.681374159610094</v>
      </c>
    </row>
    <row r="1311" spans="1:16" hidden="1" x14ac:dyDescent="0.2">
      <c r="A1311" s="73">
        <v>67260</v>
      </c>
      <c r="B1311" t="s">
        <v>423</v>
      </c>
      <c r="C1311" s="73" t="s">
        <v>424</v>
      </c>
      <c r="D1311" t="s">
        <v>506</v>
      </c>
      <c r="E1311" s="74">
        <v>45953</v>
      </c>
      <c r="F1311" t="s">
        <v>364</v>
      </c>
      <c r="G1311" t="s">
        <v>365</v>
      </c>
      <c r="H1311" s="75">
        <f t="shared" si="20"/>
        <v>208.08824495766055</v>
      </c>
      <c r="I1311" s="74">
        <v>45953</v>
      </c>
      <c r="J1311">
        <v>6</v>
      </c>
      <c r="K1311" t="s">
        <v>513</v>
      </c>
      <c r="L1311" t="s">
        <v>366</v>
      </c>
      <c r="M1311" t="s">
        <v>356</v>
      </c>
      <c r="N1311" s="73">
        <v>67260</v>
      </c>
      <c r="O1311" s="73">
        <v>67260</v>
      </c>
      <c r="P1311">
        <v>34.681374159610094</v>
      </c>
    </row>
    <row r="1312" spans="1:16" hidden="1" x14ac:dyDescent="0.2">
      <c r="A1312" s="73">
        <v>67260</v>
      </c>
      <c r="B1312" t="s">
        <v>423</v>
      </c>
      <c r="C1312" s="73" t="s">
        <v>424</v>
      </c>
      <c r="D1312" t="s">
        <v>506</v>
      </c>
      <c r="E1312" s="74">
        <v>45953</v>
      </c>
      <c r="F1312" t="s">
        <v>353</v>
      </c>
      <c r="G1312" t="s">
        <v>354</v>
      </c>
      <c r="H1312" s="75">
        <f t="shared" si="20"/>
        <v>208.08824495766055</v>
      </c>
      <c r="I1312" s="74">
        <v>45953</v>
      </c>
      <c r="J1312">
        <v>6</v>
      </c>
      <c r="K1312" t="s">
        <v>513</v>
      </c>
      <c r="L1312" t="s">
        <v>355</v>
      </c>
      <c r="M1312" t="s">
        <v>356</v>
      </c>
      <c r="N1312" s="73">
        <v>67260</v>
      </c>
      <c r="O1312" s="73">
        <v>67260</v>
      </c>
      <c r="P1312">
        <v>34.681374159610094</v>
      </c>
    </row>
    <row r="1313" spans="1:16" hidden="1" x14ac:dyDescent="0.2">
      <c r="A1313" s="73">
        <v>67260</v>
      </c>
      <c r="B1313" t="s">
        <v>423</v>
      </c>
      <c r="C1313" s="73" t="s">
        <v>424</v>
      </c>
      <c r="D1313" t="s">
        <v>506</v>
      </c>
      <c r="E1313" s="74">
        <v>45953</v>
      </c>
      <c r="F1313" t="s">
        <v>357</v>
      </c>
      <c r="G1313" t="s">
        <v>358</v>
      </c>
      <c r="H1313" s="75">
        <f t="shared" si="20"/>
        <v>104.04412247883027</v>
      </c>
      <c r="I1313" s="74">
        <v>45953</v>
      </c>
      <c r="J1313">
        <v>3</v>
      </c>
      <c r="K1313" t="s">
        <v>513</v>
      </c>
      <c r="L1313" t="s">
        <v>359</v>
      </c>
      <c r="M1313" t="s">
        <v>356</v>
      </c>
      <c r="N1313" s="73">
        <v>67260</v>
      </c>
      <c r="O1313" s="73">
        <v>67260</v>
      </c>
      <c r="P1313">
        <v>34.681374159610094</v>
      </c>
    </row>
    <row r="1314" spans="1:16" hidden="1" x14ac:dyDescent="0.2">
      <c r="A1314" s="73">
        <v>67260</v>
      </c>
      <c r="B1314" t="s">
        <v>423</v>
      </c>
      <c r="C1314" s="73" t="s">
        <v>424</v>
      </c>
      <c r="D1314" t="s">
        <v>506</v>
      </c>
      <c r="E1314" s="74">
        <v>45953</v>
      </c>
      <c r="F1314" t="s">
        <v>398</v>
      </c>
      <c r="G1314" t="s">
        <v>399</v>
      </c>
      <c r="H1314" s="75">
        <f t="shared" si="20"/>
        <v>277.45099327688075</v>
      </c>
      <c r="I1314" s="74">
        <v>45953</v>
      </c>
      <c r="J1314">
        <v>8</v>
      </c>
      <c r="K1314" t="s">
        <v>513</v>
      </c>
      <c r="L1314" t="s">
        <v>367</v>
      </c>
      <c r="M1314" t="s">
        <v>356</v>
      </c>
      <c r="N1314" s="73">
        <v>67260</v>
      </c>
      <c r="O1314" s="73">
        <v>67260</v>
      </c>
      <c r="P1314">
        <v>34.681374159610094</v>
      </c>
    </row>
    <row r="1315" spans="1:16" hidden="1" x14ac:dyDescent="0.2">
      <c r="A1315" s="73">
        <v>67260</v>
      </c>
      <c r="B1315" t="s">
        <v>423</v>
      </c>
      <c r="C1315" s="73" t="s">
        <v>424</v>
      </c>
      <c r="D1315" t="s">
        <v>506</v>
      </c>
      <c r="E1315" s="74">
        <v>45953</v>
      </c>
      <c r="F1315" t="s">
        <v>370</v>
      </c>
      <c r="G1315" t="s">
        <v>371</v>
      </c>
      <c r="H1315" s="75">
        <f t="shared" si="20"/>
        <v>138.72549663844038</v>
      </c>
      <c r="I1315" s="74">
        <v>45953</v>
      </c>
      <c r="J1315">
        <v>4</v>
      </c>
      <c r="K1315" t="s">
        <v>513</v>
      </c>
      <c r="L1315" t="s">
        <v>262</v>
      </c>
      <c r="M1315" t="s">
        <v>356</v>
      </c>
      <c r="N1315" s="73">
        <v>67260</v>
      </c>
      <c r="O1315" s="73">
        <v>67260</v>
      </c>
      <c r="P1315">
        <v>34.681374159610094</v>
      </c>
    </row>
    <row r="1316" spans="1:16" hidden="1" x14ac:dyDescent="0.2">
      <c r="A1316" s="73">
        <v>67260</v>
      </c>
      <c r="B1316" t="s">
        <v>423</v>
      </c>
      <c r="C1316" s="73" t="s">
        <v>424</v>
      </c>
      <c r="D1316" t="s">
        <v>506</v>
      </c>
      <c r="E1316" s="74">
        <v>45953</v>
      </c>
      <c r="F1316" t="s">
        <v>410</v>
      </c>
      <c r="G1316" t="s">
        <v>411</v>
      </c>
      <c r="H1316" s="75">
        <f t="shared" si="20"/>
        <v>208.08824495766055</v>
      </c>
      <c r="I1316" s="74">
        <v>45953</v>
      </c>
      <c r="J1316">
        <v>6</v>
      </c>
      <c r="K1316" t="s">
        <v>513</v>
      </c>
      <c r="L1316" t="s">
        <v>262</v>
      </c>
      <c r="M1316" t="s">
        <v>356</v>
      </c>
      <c r="N1316" s="73">
        <v>67260</v>
      </c>
      <c r="O1316" s="73">
        <v>67260</v>
      </c>
      <c r="P1316">
        <v>34.681374159610094</v>
      </c>
    </row>
    <row r="1317" spans="1:16" hidden="1" x14ac:dyDescent="0.2">
      <c r="A1317" s="73">
        <v>67260</v>
      </c>
      <c r="B1317" t="s">
        <v>423</v>
      </c>
      <c r="C1317" s="73" t="s">
        <v>424</v>
      </c>
      <c r="D1317" t="s">
        <v>506</v>
      </c>
      <c r="E1317" s="74">
        <v>45954</v>
      </c>
      <c r="F1317" t="s">
        <v>360</v>
      </c>
      <c r="G1317" t="s">
        <v>361</v>
      </c>
      <c r="H1317" s="75">
        <f t="shared" si="20"/>
        <v>208.08824495766055</v>
      </c>
      <c r="I1317" s="74">
        <v>45954</v>
      </c>
      <c r="J1317">
        <v>6</v>
      </c>
      <c r="K1317" t="s">
        <v>513</v>
      </c>
      <c r="L1317" t="s">
        <v>262</v>
      </c>
      <c r="M1317" t="s">
        <v>356</v>
      </c>
      <c r="N1317" s="73">
        <v>67260</v>
      </c>
      <c r="O1317" s="73">
        <v>67260</v>
      </c>
      <c r="P1317">
        <v>34.681374159610094</v>
      </c>
    </row>
    <row r="1318" spans="1:16" hidden="1" x14ac:dyDescent="0.2">
      <c r="A1318" s="73">
        <v>67260</v>
      </c>
      <c r="B1318" t="s">
        <v>423</v>
      </c>
      <c r="C1318" s="73" t="s">
        <v>424</v>
      </c>
      <c r="D1318" t="s">
        <v>506</v>
      </c>
      <c r="E1318" s="74">
        <v>45954</v>
      </c>
      <c r="F1318" t="s">
        <v>364</v>
      </c>
      <c r="G1318" t="s">
        <v>365</v>
      </c>
      <c r="H1318" s="75">
        <f t="shared" si="20"/>
        <v>208.08824495766055</v>
      </c>
      <c r="I1318" s="74">
        <v>45954</v>
      </c>
      <c r="J1318">
        <v>6</v>
      </c>
      <c r="K1318" t="s">
        <v>513</v>
      </c>
      <c r="L1318" t="s">
        <v>366</v>
      </c>
      <c r="M1318" t="s">
        <v>356</v>
      </c>
      <c r="N1318" s="73">
        <v>67260</v>
      </c>
      <c r="O1318" s="73">
        <v>67260</v>
      </c>
      <c r="P1318">
        <v>34.681374159610094</v>
      </c>
    </row>
    <row r="1319" spans="1:16" hidden="1" x14ac:dyDescent="0.2">
      <c r="A1319" s="73">
        <v>67260</v>
      </c>
      <c r="B1319" t="s">
        <v>423</v>
      </c>
      <c r="C1319" s="73" t="s">
        <v>424</v>
      </c>
      <c r="D1319" t="s">
        <v>506</v>
      </c>
      <c r="E1319" s="74">
        <v>45954</v>
      </c>
      <c r="F1319" t="s">
        <v>353</v>
      </c>
      <c r="G1319" t="s">
        <v>354</v>
      </c>
      <c r="H1319" s="75">
        <f t="shared" si="20"/>
        <v>208.08824495766055</v>
      </c>
      <c r="I1319" s="74">
        <v>45954</v>
      </c>
      <c r="J1319">
        <v>6</v>
      </c>
      <c r="K1319" t="s">
        <v>513</v>
      </c>
      <c r="L1319" t="s">
        <v>355</v>
      </c>
      <c r="M1319" t="s">
        <v>356</v>
      </c>
      <c r="N1319" s="73">
        <v>67260</v>
      </c>
      <c r="O1319" s="73">
        <v>67260</v>
      </c>
      <c r="P1319">
        <v>34.681374159610094</v>
      </c>
    </row>
    <row r="1320" spans="1:16" hidden="1" x14ac:dyDescent="0.2">
      <c r="A1320" s="73">
        <v>67260</v>
      </c>
      <c r="B1320" t="s">
        <v>423</v>
      </c>
      <c r="C1320" s="73" t="s">
        <v>424</v>
      </c>
      <c r="D1320" t="s">
        <v>506</v>
      </c>
      <c r="E1320" s="74">
        <v>45954</v>
      </c>
      <c r="F1320" t="s">
        <v>357</v>
      </c>
      <c r="G1320" t="s">
        <v>358</v>
      </c>
      <c r="H1320" s="75">
        <f t="shared" si="20"/>
        <v>104.04412247883027</v>
      </c>
      <c r="I1320" s="74">
        <v>45954</v>
      </c>
      <c r="J1320">
        <v>3</v>
      </c>
      <c r="K1320" t="s">
        <v>513</v>
      </c>
      <c r="L1320" t="s">
        <v>359</v>
      </c>
      <c r="M1320" t="s">
        <v>356</v>
      </c>
      <c r="N1320" s="73">
        <v>67260</v>
      </c>
      <c r="O1320" s="73">
        <v>67260</v>
      </c>
      <c r="P1320">
        <v>34.681374159610094</v>
      </c>
    </row>
    <row r="1321" spans="1:16" hidden="1" x14ac:dyDescent="0.2">
      <c r="A1321" s="73">
        <v>67260</v>
      </c>
      <c r="B1321" t="s">
        <v>423</v>
      </c>
      <c r="C1321" s="73" t="s">
        <v>424</v>
      </c>
      <c r="D1321" t="s">
        <v>506</v>
      </c>
      <c r="E1321" s="74">
        <v>45973</v>
      </c>
      <c r="F1321" t="s">
        <v>414</v>
      </c>
      <c r="G1321" t="s">
        <v>415</v>
      </c>
      <c r="H1321" s="75">
        <f t="shared" si="20"/>
        <v>294.79168035668579</v>
      </c>
      <c r="I1321" s="74">
        <v>45973</v>
      </c>
      <c r="J1321">
        <v>8.5</v>
      </c>
      <c r="K1321" t="s">
        <v>514</v>
      </c>
      <c r="L1321" t="s">
        <v>262</v>
      </c>
      <c r="M1321" t="s">
        <v>356</v>
      </c>
      <c r="N1321" s="73">
        <v>67260</v>
      </c>
      <c r="O1321" s="73">
        <v>67260</v>
      </c>
      <c r="P1321">
        <v>34.681374159610094</v>
      </c>
    </row>
    <row r="1322" spans="1:16" hidden="1" x14ac:dyDescent="0.2">
      <c r="A1322" s="73">
        <v>67260</v>
      </c>
      <c r="B1322" t="s">
        <v>423</v>
      </c>
      <c r="C1322" s="73" t="s">
        <v>424</v>
      </c>
      <c r="D1322" t="s">
        <v>506</v>
      </c>
      <c r="E1322" s="74">
        <v>45954</v>
      </c>
      <c r="F1322" t="s">
        <v>370</v>
      </c>
      <c r="G1322" t="s">
        <v>371</v>
      </c>
      <c r="H1322" s="75">
        <f t="shared" si="20"/>
        <v>138.72549663844038</v>
      </c>
      <c r="I1322" s="74">
        <v>45954</v>
      </c>
      <c r="J1322">
        <v>4</v>
      </c>
      <c r="K1322" t="s">
        <v>513</v>
      </c>
      <c r="L1322" t="s">
        <v>262</v>
      </c>
      <c r="M1322" t="s">
        <v>356</v>
      </c>
      <c r="N1322" s="73">
        <v>67260</v>
      </c>
      <c r="O1322" s="73">
        <v>67260</v>
      </c>
      <c r="P1322">
        <v>34.681374159610094</v>
      </c>
    </row>
    <row r="1323" spans="1:16" hidden="1" x14ac:dyDescent="0.2">
      <c r="A1323" s="73">
        <v>67260</v>
      </c>
      <c r="B1323" t="s">
        <v>423</v>
      </c>
      <c r="C1323" s="73" t="s">
        <v>424</v>
      </c>
      <c r="D1323" t="s">
        <v>506</v>
      </c>
      <c r="E1323" s="74">
        <v>45954</v>
      </c>
      <c r="F1323" t="s">
        <v>410</v>
      </c>
      <c r="G1323" t="s">
        <v>411</v>
      </c>
      <c r="H1323" s="75">
        <f t="shared" si="20"/>
        <v>208.08824495766055</v>
      </c>
      <c r="I1323" s="74">
        <v>45954</v>
      </c>
      <c r="J1323">
        <v>6</v>
      </c>
      <c r="K1323" t="s">
        <v>513</v>
      </c>
      <c r="L1323" t="s">
        <v>262</v>
      </c>
      <c r="M1323" t="s">
        <v>356</v>
      </c>
      <c r="N1323" s="73">
        <v>67260</v>
      </c>
      <c r="O1323" s="73">
        <v>67260</v>
      </c>
      <c r="P1323">
        <v>34.681374159610094</v>
      </c>
    </row>
    <row r="1324" spans="1:16" hidden="1" x14ac:dyDescent="0.2">
      <c r="A1324" s="73">
        <v>67260</v>
      </c>
      <c r="B1324" t="s">
        <v>423</v>
      </c>
      <c r="C1324" s="73" t="s">
        <v>424</v>
      </c>
      <c r="D1324" t="s">
        <v>506</v>
      </c>
      <c r="E1324" s="74">
        <v>45957</v>
      </c>
      <c r="F1324" t="s">
        <v>357</v>
      </c>
      <c r="G1324" t="s">
        <v>358</v>
      </c>
      <c r="H1324" s="75">
        <f t="shared" si="20"/>
        <v>104.04412247883027</v>
      </c>
      <c r="I1324" s="74">
        <v>45957</v>
      </c>
      <c r="J1324">
        <v>3</v>
      </c>
      <c r="K1324" t="s">
        <v>513</v>
      </c>
      <c r="L1324" t="s">
        <v>359</v>
      </c>
      <c r="M1324" t="s">
        <v>356</v>
      </c>
      <c r="N1324" s="73">
        <v>67260</v>
      </c>
      <c r="O1324" s="73">
        <v>67260</v>
      </c>
      <c r="P1324">
        <v>34.681374159610094</v>
      </c>
    </row>
    <row r="1325" spans="1:16" hidden="1" x14ac:dyDescent="0.2">
      <c r="A1325" s="73">
        <v>67260</v>
      </c>
      <c r="B1325" t="s">
        <v>423</v>
      </c>
      <c r="C1325" s="73" t="s">
        <v>424</v>
      </c>
      <c r="D1325" t="s">
        <v>506</v>
      </c>
      <c r="E1325" s="74">
        <v>45957</v>
      </c>
      <c r="F1325" t="s">
        <v>370</v>
      </c>
      <c r="G1325" t="s">
        <v>371</v>
      </c>
      <c r="H1325" s="75">
        <f t="shared" si="20"/>
        <v>138.72549663844038</v>
      </c>
      <c r="I1325" s="74">
        <v>45957</v>
      </c>
      <c r="J1325">
        <v>4</v>
      </c>
      <c r="K1325" t="s">
        <v>513</v>
      </c>
      <c r="L1325" t="s">
        <v>262</v>
      </c>
      <c r="M1325" t="s">
        <v>356</v>
      </c>
      <c r="N1325" s="73">
        <v>67260</v>
      </c>
      <c r="O1325" s="73">
        <v>67260</v>
      </c>
      <c r="P1325">
        <v>34.681374159610094</v>
      </c>
    </row>
    <row r="1326" spans="1:16" hidden="1" x14ac:dyDescent="0.2">
      <c r="A1326" s="73">
        <v>67260</v>
      </c>
      <c r="B1326" t="s">
        <v>423</v>
      </c>
      <c r="C1326" s="73" t="s">
        <v>424</v>
      </c>
      <c r="D1326" t="s">
        <v>506</v>
      </c>
      <c r="E1326" s="74">
        <v>45957</v>
      </c>
      <c r="F1326" t="s">
        <v>398</v>
      </c>
      <c r="G1326" t="s">
        <v>399</v>
      </c>
      <c r="H1326" s="75">
        <f t="shared" si="20"/>
        <v>208.08824495766055</v>
      </c>
      <c r="I1326" s="74">
        <v>45957</v>
      </c>
      <c r="J1326">
        <v>6</v>
      </c>
      <c r="K1326" t="s">
        <v>513</v>
      </c>
      <c r="L1326" t="s">
        <v>367</v>
      </c>
      <c r="M1326" t="s">
        <v>356</v>
      </c>
      <c r="N1326" s="73">
        <v>67260</v>
      </c>
      <c r="O1326" s="73">
        <v>67260</v>
      </c>
      <c r="P1326">
        <v>34.681374159610094</v>
      </c>
    </row>
    <row r="1327" spans="1:16" hidden="1" x14ac:dyDescent="0.2">
      <c r="A1327" s="73">
        <v>67260</v>
      </c>
      <c r="B1327" t="s">
        <v>423</v>
      </c>
      <c r="C1327" s="73" t="s">
        <v>424</v>
      </c>
      <c r="D1327" t="s">
        <v>506</v>
      </c>
      <c r="E1327" s="74">
        <v>45957</v>
      </c>
      <c r="F1327" t="s">
        <v>410</v>
      </c>
      <c r="G1327" t="s">
        <v>411</v>
      </c>
      <c r="H1327" s="75">
        <f t="shared" si="20"/>
        <v>208.08824495766055</v>
      </c>
      <c r="I1327" s="74">
        <v>45957</v>
      </c>
      <c r="J1327">
        <v>6</v>
      </c>
      <c r="K1327" t="s">
        <v>513</v>
      </c>
      <c r="L1327" t="s">
        <v>262</v>
      </c>
      <c r="M1327" t="s">
        <v>356</v>
      </c>
      <c r="N1327" s="73">
        <v>67260</v>
      </c>
      <c r="O1327" s="73">
        <v>67260</v>
      </c>
      <c r="P1327">
        <v>34.681374159610094</v>
      </c>
    </row>
    <row r="1328" spans="1:16" hidden="1" x14ac:dyDescent="0.2">
      <c r="A1328" s="73">
        <v>67260</v>
      </c>
      <c r="B1328" t="s">
        <v>423</v>
      </c>
      <c r="C1328" s="73" t="s">
        <v>424</v>
      </c>
      <c r="D1328" t="s">
        <v>506</v>
      </c>
      <c r="E1328" s="74">
        <v>45957</v>
      </c>
      <c r="F1328" t="s">
        <v>360</v>
      </c>
      <c r="G1328" t="s">
        <v>361</v>
      </c>
      <c r="H1328" s="75">
        <f t="shared" si="20"/>
        <v>242.76961911727065</v>
      </c>
      <c r="I1328" s="74">
        <v>45957</v>
      </c>
      <c r="J1328">
        <v>7</v>
      </c>
      <c r="K1328" t="s">
        <v>513</v>
      </c>
      <c r="L1328" t="s">
        <v>262</v>
      </c>
      <c r="M1328" t="s">
        <v>356</v>
      </c>
      <c r="N1328" s="73">
        <v>67260</v>
      </c>
      <c r="O1328" s="73">
        <v>67260</v>
      </c>
      <c r="P1328">
        <v>34.681374159610094</v>
      </c>
    </row>
    <row r="1329" spans="1:16" hidden="1" x14ac:dyDescent="0.2">
      <c r="A1329" s="73">
        <v>67260</v>
      </c>
      <c r="B1329" t="s">
        <v>423</v>
      </c>
      <c r="C1329" s="73" t="s">
        <v>424</v>
      </c>
      <c r="D1329" t="s">
        <v>506</v>
      </c>
      <c r="E1329" s="74">
        <v>45957</v>
      </c>
      <c r="F1329" t="s">
        <v>353</v>
      </c>
      <c r="G1329" t="s">
        <v>354</v>
      </c>
      <c r="H1329" s="75">
        <f t="shared" si="20"/>
        <v>104.04412247883027</v>
      </c>
      <c r="I1329" s="74">
        <v>45957</v>
      </c>
      <c r="J1329">
        <v>3</v>
      </c>
      <c r="K1329" t="s">
        <v>513</v>
      </c>
      <c r="L1329" t="s">
        <v>355</v>
      </c>
      <c r="M1329" t="s">
        <v>356</v>
      </c>
      <c r="N1329" s="73">
        <v>67260</v>
      </c>
      <c r="O1329" s="73">
        <v>67260</v>
      </c>
      <c r="P1329">
        <v>34.681374159610094</v>
      </c>
    </row>
    <row r="1330" spans="1:16" hidden="1" x14ac:dyDescent="0.2">
      <c r="A1330" s="73">
        <v>67260</v>
      </c>
      <c r="B1330" t="s">
        <v>423</v>
      </c>
      <c r="C1330" s="73" t="s">
        <v>424</v>
      </c>
      <c r="D1330" t="s">
        <v>506</v>
      </c>
      <c r="E1330" s="74">
        <v>45958</v>
      </c>
      <c r="F1330" t="s">
        <v>357</v>
      </c>
      <c r="G1330" t="s">
        <v>358</v>
      </c>
      <c r="H1330" s="75">
        <f t="shared" si="20"/>
        <v>104.04412247883027</v>
      </c>
      <c r="I1330" s="74">
        <v>45958</v>
      </c>
      <c r="J1330">
        <v>3</v>
      </c>
      <c r="K1330" t="s">
        <v>513</v>
      </c>
      <c r="L1330" t="s">
        <v>359</v>
      </c>
      <c r="M1330" t="s">
        <v>356</v>
      </c>
      <c r="N1330" s="73">
        <v>67260</v>
      </c>
      <c r="O1330" s="73">
        <v>67260</v>
      </c>
      <c r="P1330">
        <v>34.681374159610094</v>
      </c>
    </row>
    <row r="1331" spans="1:16" hidden="1" x14ac:dyDescent="0.2">
      <c r="A1331" s="73">
        <v>67260</v>
      </c>
      <c r="B1331" t="s">
        <v>423</v>
      </c>
      <c r="C1331" s="73" t="s">
        <v>424</v>
      </c>
      <c r="D1331" t="s">
        <v>506</v>
      </c>
      <c r="E1331" s="74">
        <v>45958</v>
      </c>
      <c r="F1331" t="s">
        <v>370</v>
      </c>
      <c r="G1331" t="s">
        <v>371</v>
      </c>
      <c r="H1331" s="75">
        <f t="shared" si="20"/>
        <v>138.72549663844038</v>
      </c>
      <c r="I1331" s="74">
        <v>45958</v>
      </c>
      <c r="J1331">
        <v>4</v>
      </c>
      <c r="K1331" t="s">
        <v>513</v>
      </c>
      <c r="L1331" t="s">
        <v>262</v>
      </c>
      <c r="M1331" t="s">
        <v>356</v>
      </c>
      <c r="N1331" s="73">
        <v>67260</v>
      </c>
      <c r="O1331" s="73">
        <v>67260</v>
      </c>
      <c r="P1331">
        <v>34.681374159610094</v>
      </c>
    </row>
    <row r="1332" spans="1:16" hidden="1" x14ac:dyDescent="0.2">
      <c r="A1332" s="73">
        <v>67260</v>
      </c>
      <c r="B1332" t="s">
        <v>423</v>
      </c>
      <c r="C1332" s="73" t="s">
        <v>424</v>
      </c>
      <c r="D1332" t="s">
        <v>506</v>
      </c>
      <c r="E1332" s="74">
        <v>45958</v>
      </c>
      <c r="F1332" t="s">
        <v>398</v>
      </c>
      <c r="G1332" t="s">
        <v>399</v>
      </c>
      <c r="H1332" s="75">
        <f t="shared" si="20"/>
        <v>208.08824495766055</v>
      </c>
      <c r="I1332" s="74">
        <v>45958</v>
      </c>
      <c r="J1332">
        <v>6</v>
      </c>
      <c r="K1332" t="s">
        <v>513</v>
      </c>
      <c r="L1332" t="s">
        <v>367</v>
      </c>
      <c r="M1332" t="s">
        <v>356</v>
      </c>
      <c r="N1332" s="73">
        <v>67260</v>
      </c>
      <c r="O1332" s="73">
        <v>67260</v>
      </c>
      <c r="P1332">
        <v>34.681374159610094</v>
      </c>
    </row>
    <row r="1333" spans="1:16" hidden="1" x14ac:dyDescent="0.2">
      <c r="A1333" s="73">
        <v>67260</v>
      </c>
      <c r="B1333" t="s">
        <v>423</v>
      </c>
      <c r="C1333" s="73" t="s">
        <v>424</v>
      </c>
      <c r="D1333" t="s">
        <v>506</v>
      </c>
      <c r="E1333" s="74">
        <v>45958</v>
      </c>
      <c r="F1333" t="s">
        <v>410</v>
      </c>
      <c r="G1333" t="s">
        <v>411</v>
      </c>
      <c r="H1333" s="75">
        <f t="shared" si="20"/>
        <v>208.08824495766055</v>
      </c>
      <c r="I1333" s="74">
        <v>45958</v>
      </c>
      <c r="J1333">
        <v>6</v>
      </c>
      <c r="K1333" t="s">
        <v>513</v>
      </c>
      <c r="L1333" t="s">
        <v>262</v>
      </c>
      <c r="M1333" t="s">
        <v>356</v>
      </c>
      <c r="N1333" s="73">
        <v>67260</v>
      </c>
      <c r="O1333" s="73">
        <v>67260</v>
      </c>
      <c r="P1333">
        <v>34.681374159610094</v>
      </c>
    </row>
    <row r="1334" spans="1:16" hidden="1" x14ac:dyDescent="0.2">
      <c r="A1334" s="73">
        <v>67260</v>
      </c>
      <c r="B1334" t="s">
        <v>423</v>
      </c>
      <c r="C1334" s="73" t="s">
        <v>424</v>
      </c>
      <c r="D1334" t="s">
        <v>506</v>
      </c>
      <c r="E1334" s="74">
        <v>45958</v>
      </c>
      <c r="F1334" t="s">
        <v>360</v>
      </c>
      <c r="G1334" t="s">
        <v>361</v>
      </c>
      <c r="H1334" s="75">
        <f t="shared" si="20"/>
        <v>242.76961911727065</v>
      </c>
      <c r="I1334" s="74">
        <v>45958</v>
      </c>
      <c r="J1334">
        <v>7</v>
      </c>
      <c r="K1334" t="s">
        <v>513</v>
      </c>
      <c r="L1334" t="s">
        <v>262</v>
      </c>
      <c r="M1334" t="s">
        <v>356</v>
      </c>
      <c r="N1334" s="73">
        <v>67260</v>
      </c>
      <c r="O1334" s="73">
        <v>67260</v>
      </c>
      <c r="P1334">
        <v>34.681374159610094</v>
      </c>
    </row>
    <row r="1335" spans="1:16" hidden="1" x14ac:dyDescent="0.2">
      <c r="A1335" s="73">
        <v>67260</v>
      </c>
      <c r="B1335" t="s">
        <v>423</v>
      </c>
      <c r="C1335" s="73" t="s">
        <v>424</v>
      </c>
      <c r="D1335" t="s">
        <v>506</v>
      </c>
      <c r="E1335" s="74">
        <v>45974</v>
      </c>
      <c r="F1335" t="s">
        <v>414</v>
      </c>
      <c r="G1335" t="s">
        <v>415</v>
      </c>
      <c r="H1335" s="75">
        <f t="shared" si="20"/>
        <v>294.79168035668579</v>
      </c>
      <c r="I1335" s="74">
        <v>45974</v>
      </c>
      <c r="J1335">
        <v>8.5</v>
      </c>
      <c r="K1335" t="s">
        <v>514</v>
      </c>
      <c r="L1335" t="s">
        <v>262</v>
      </c>
      <c r="M1335" t="s">
        <v>356</v>
      </c>
      <c r="N1335" s="73">
        <v>67260</v>
      </c>
      <c r="O1335" s="73">
        <v>67260</v>
      </c>
      <c r="P1335">
        <v>34.681374159610094</v>
      </c>
    </row>
    <row r="1336" spans="1:16" hidden="1" x14ac:dyDescent="0.2">
      <c r="A1336" s="73">
        <v>67260</v>
      </c>
      <c r="B1336" t="s">
        <v>423</v>
      </c>
      <c r="C1336" s="73" t="s">
        <v>424</v>
      </c>
      <c r="D1336" t="s">
        <v>506</v>
      </c>
      <c r="E1336" s="74">
        <v>45958</v>
      </c>
      <c r="F1336" t="s">
        <v>353</v>
      </c>
      <c r="G1336" t="s">
        <v>354</v>
      </c>
      <c r="H1336" s="75">
        <f t="shared" si="20"/>
        <v>34.681374159610094</v>
      </c>
      <c r="I1336" s="74">
        <v>45958</v>
      </c>
      <c r="J1336">
        <v>1</v>
      </c>
      <c r="K1336" t="s">
        <v>513</v>
      </c>
      <c r="L1336" t="s">
        <v>355</v>
      </c>
      <c r="M1336" t="s">
        <v>356</v>
      </c>
      <c r="N1336" s="73">
        <v>67260</v>
      </c>
      <c r="O1336" s="73">
        <v>67260</v>
      </c>
      <c r="P1336">
        <v>34.681374159610094</v>
      </c>
    </row>
    <row r="1337" spans="1:16" hidden="1" x14ac:dyDescent="0.2">
      <c r="A1337" s="73">
        <v>67260</v>
      </c>
      <c r="B1337" t="s">
        <v>423</v>
      </c>
      <c r="C1337" s="73" t="s">
        <v>424</v>
      </c>
      <c r="D1337" t="s">
        <v>506</v>
      </c>
      <c r="E1337" s="74">
        <v>45959</v>
      </c>
      <c r="F1337" t="s">
        <v>357</v>
      </c>
      <c r="G1337" t="s">
        <v>358</v>
      </c>
      <c r="H1337" s="75">
        <f t="shared" si="20"/>
        <v>104.04412247883027</v>
      </c>
      <c r="I1337" s="74">
        <v>45959</v>
      </c>
      <c r="J1337">
        <v>3</v>
      </c>
      <c r="K1337" t="s">
        <v>513</v>
      </c>
      <c r="L1337" t="s">
        <v>359</v>
      </c>
      <c r="M1337" t="s">
        <v>356</v>
      </c>
      <c r="N1337" s="73">
        <v>67260</v>
      </c>
      <c r="O1337" s="73">
        <v>67260</v>
      </c>
      <c r="P1337">
        <v>34.681374159610094</v>
      </c>
    </row>
    <row r="1338" spans="1:16" hidden="1" x14ac:dyDescent="0.2">
      <c r="A1338" s="73">
        <v>67260</v>
      </c>
      <c r="B1338" t="s">
        <v>423</v>
      </c>
      <c r="C1338" s="73" t="s">
        <v>424</v>
      </c>
      <c r="D1338" t="s">
        <v>506</v>
      </c>
      <c r="E1338" s="74">
        <v>45959</v>
      </c>
      <c r="F1338" t="s">
        <v>370</v>
      </c>
      <c r="G1338" t="s">
        <v>371</v>
      </c>
      <c r="H1338" s="75">
        <f t="shared" si="20"/>
        <v>138.72549663844038</v>
      </c>
      <c r="I1338" s="74">
        <v>45959</v>
      </c>
      <c r="J1338">
        <v>4</v>
      </c>
      <c r="K1338" t="s">
        <v>513</v>
      </c>
      <c r="L1338" t="s">
        <v>262</v>
      </c>
      <c r="M1338" t="s">
        <v>356</v>
      </c>
      <c r="N1338" s="73">
        <v>67260</v>
      </c>
      <c r="O1338" s="73">
        <v>67260</v>
      </c>
      <c r="P1338">
        <v>34.681374159610094</v>
      </c>
    </row>
    <row r="1339" spans="1:16" hidden="1" x14ac:dyDescent="0.2">
      <c r="A1339" s="73">
        <v>67260</v>
      </c>
      <c r="B1339" t="s">
        <v>423</v>
      </c>
      <c r="C1339" s="73" t="s">
        <v>424</v>
      </c>
      <c r="D1339" t="s">
        <v>506</v>
      </c>
      <c r="E1339" s="74">
        <v>45959</v>
      </c>
      <c r="F1339" t="s">
        <v>398</v>
      </c>
      <c r="G1339" t="s">
        <v>399</v>
      </c>
      <c r="H1339" s="75">
        <f t="shared" si="20"/>
        <v>208.08824495766055</v>
      </c>
      <c r="I1339" s="74">
        <v>45959</v>
      </c>
      <c r="J1339">
        <v>6</v>
      </c>
      <c r="K1339" t="s">
        <v>513</v>
      </c>
      <c r="L1339" t="s">
        <v>367</v>
      </c>
      <c r="M1339" t="s">
        <v>356</v>
      </c>
      <c r="N1339" s="73">
        <v>67260</v>
      </c>
      <c r="O1339" s="73">
        <v>67260</v>
      </c>
      <c r="P1339">
        <v>34.681374159610094</v>
      </c>
    </row>
    <row r="1340" spans="1:16" hidden="1" x14ac:dyDescent="0.2">
      <c r="A1340" s="73">
        <v>67260</v>
      </c>
      <c r="B1340" t="s">
        <v>423</v>
      </c>
      <c r="C1340" s="73" t="s">
        <v>424</v>
      </c>
      <c r="D1340" t="s">
        <v>506</v>
      </c>
      <c r="E1340" s="74">
        <v>45959</v>
      </c>
      <c r="F1340" t="s">
        <v>410</v>
      </c>
      <c r="G1340" t="s">
        <v>411</v>
      </c>
      <c r="H1340" s="75">
        <f t="shared" si="20"/>
        <v>208.08824495766055</v>
      </c>
      <c r="I1340" s="74">
        <v>45959</v>
      </c>
      <c r="J1340">
        <v>6</v>
      </c>
      <c r="K1340" t="s">
        <v>513</v>
      </c>
      <c r="L1340" t="s">
        <v>262</v>
      </c>
      <c r="M1340" t="s">
        <v>356</v>
      </c>
      <c r="N1340" s="73">
        <v>67260</v>
      </c>
      <c r="O1340" s="73">
        <v>67260</v>
      </c>
      <c r="P1340">
        <v>34.681374159610094</v>
      </c>
    </row>
    <row r="1341" spans="1:16" hidden="1" x14ac:dyDescent="0.2">
      <c r="A1341" s="73">
        <v>67260</v>
      </c>
      <c r="B1341" t="s">
        <v>423</v>
      </c>
      <c r="C1341" s="73" t="s">
        <v>424</v>
      </c>
      <c r="D1341" t="s">
        <v>506</v>
      </c>
      <c r="E1341" s="74">
        <v>45959</v>
      </c>
      <c r="F1341" t="s">
        <v>360</v>
      </c>
      <c r="G1341" t="s">
        <v>361</v>
      </c>
      <c r="H1341" s="75">
        <f t="shared" si="20"/>
        <v>242.76961911727065</v>
      </c>
      <c r="I1341" s="74">
        <v>45959</v>
      </c>
      <c r="J1341">
        <v>7</v>
      </c>
      <c r="K1341" t="s">
        <v>513</v>
      </c>
      <c r="L1341" t="s">
        <v>262</v>
      </c>
      <c r="M1341" t="s">
        <v>356</v>
      </c>
      <c r="N1341" s="73">
        <v>67260</v>
      </c>
      <c r="O1341" s="73">
        <v>67260</v>
      </c>
      <c r="P1341">
        <v>34.681374159610094</v>
      </c>
    </row>
    <row r="1342" spans="1:16" hidden="1" x14ac:dyDescent="0.2">
      <c r="A1342" s="73">
        <v>67260</v>
      </c>
      <c r="B1342" t="s">
        <v>423</v>
      </c>
      <c r="C1342" s="73" t="s">
        <v>424</v>
      </c>
      <c r="D1342" t="s">
        <v>506</v>
      </c>
      <c r="E1342" s="74">
        <v>45960</v>
      </c>
      <c r="F1342" t="s">
        <v>357</v>
      </c>
      <c r="G1342" t="s">
        <v>358</v>
      </c>
      <c r="H1342" s="75">
        <f t="shared" si="20"/>
        <v>104.04412247883027</v>
      </c>
      <c r="I1342" s="74">
        <v>45960</v>
      </c>
      <c r="J1342">
        <v>3</v>
      </c>
      <c r="K1342" t="s">
        <v>513</v>
      </c>
      <c r="L1342" t="s">
        <v>359</v>
      </c>
      <c r="M1342" t="s">
        <v>356</v>
      </c>
      <c r="N1342" s="73">
        <v>67260</v>
      </c>
      <c r="O1342" s="73">
        <v>67260</v>
      </c>
      <c r="P1342">
        <v>34.681374159610094</v>
      </c>
    </row>
    <row r="1343" spans="1:16" hidden="1" x14ac:dyDescent="0.2">
      <c r="A1343" s="73">
        <v>67260</v>
      </c>
      <c r="B1343" t="s">
        <v>423</v>
      </c>
      <c r="C1343" s="73" t="s">
        <v>424</v>
      </c>
      <c r="D1343" t="s">
        <v>506</v>
      </c>
      <c r="E1343" s="74">
        <v>45960</v>
      </c>
      <c r="F1343" t="s">
        <v>370</v>
      </c>
      <c r="G1343" t="s">
        <v>371</v>
      </c>
      <c r="H1343" s="75">
        <f t="shared" si="20"/>
        <v>138.72549663844038</v>
      </c>
      <c r="I1343" s="74">
        <v>45960</v>
      </c>
      <c r="J1343">
        <v>4</v>
      </c>
      <c r="K1343" t="s">
        <v>513</v>
      </c>
      <c r="L1343" t="s">
        <v>262</v>
      </c>
      <c r="M1343" t="s">
        <v>356</v>
      </c>
      <c r="N1343" s="73">
        <v>67260</v>
      </c>
      <c r="O1343" s="73">
        <v>67260</v>
      </c>
      <c r="P1343">
        <v>34.681374159610094</v>
      </c>
    </row>
    <row r="1344" spans="1:16" hidden="1" x14ac:dyDescent="0.2">
      <c r="A1344" s="73">
        <v>67260</v>
      </c>
      <c r="B1344" t="s">
        <v>423</v>
      </c>
      <c r="C1344" s="73" t="s">
        <v>424</v>
      </c>
      <c r="D1344" t="s">
        <v>506</v>
      </c>
      <c r="E1344" s="74">
        <v>45960</v>
      </c>
      <c r="F1344" t="s">
        <v>398</v>
      </c>
      <c r="G1344" t="s">
        <v>399</v>
      </c>
      <c r="H1344" s="75">
        <f t="shared" si="20"/>
        <v>208.08824495766055</v>
      </c>
      <c r="I1344" s="74">
        <v>45960</v>
      </c>
      <c r="J1344">
        <v>6</v>
      </c>
      <c r="K1344" t="s">
        <v>513</v>
      </c>
      <c r="L1344" t="s">
        <v>367</v>
      </c>
      <c r="M1344" t="s">
        <v>356</v>
      </c>
      <c r="N1344" s="73">
        <v>67260</v>
      </c>
      <c r="O1344" s="73">
        <v>67260</v>
      </c>
      <c r="P1344">
        <v>34.681374159610094</v>
      </c>
    </row>
    <row r="1345" spans="1:16" hidden="1" x14ac:dyDescent="0.2">
      <c r="A1345" s="73">
        <v>67260</v>
      </c>
      <c r="B1345" t="s">
        <v>423</v>
      </c>
      <c r="C1345" s="73" t="s">
        <v>424</v>
      </c>
      <c r="D1345" t="s">
        <v>506</v>
      </c>
      <c r="E1345" s="74">
        <v>45960</v>
      </c>
      <c r="F1345" t="s">
        <v>410</v>
      </c>
      <c r="G1345" t="s">
        <v>411</v>
      </c>
      <c r="H1345" s="75">
        <f t="shared" si="20"/>
        <v>208.08824495766055</v>
      </c>
      <c r="I1345" s="74">
        <v>45960</v>
      </c>
      <c r="J1345">
        <v>6</v>
      </c>
      <c r="K1345" t="s">
        <v>513</v>
      </c>
      <c r="L1345" t="s">
        <v>262</v>
      </c>
      <c r="M1345" t="s">
        <v>356</v>
      </c>
      <c r="N1345" s="73">
        <v>67260</v>
      </c>
      <c r="O1345" s="73">
        <v>67260</v>
      </c>
      <c r="P1345">
        <v>34.681374159610094</v>
      </c>
    </row>
    <row r="1346" spans="1:16" hidden="1" x14ac:dyDescent="0.2">
      <c r="A1346" s="73">
        <v>67260</v>
      </c>
      <c r="B1346" t="s">
        <v>423</v>
      </c>
      <c r="C1346" s="73" t="s">
        <v>424</v>
      </c>
      <c r="D1346" t="s">
        <v>506</v>
      </c>
      <c r="E1346" s="74">
        <v>45960</v>
      </c>
      <c r="F1346" t="s">
        <v>360</v>
      </c>
      <c r="G1346" t="s">
        <v>361</v>
      </c>
      <c r="H1346" s="75">
        <f t="shared" ref="H1346:H1409" si="21">J1346*P1346</f>
        <v>208.08824495766055</v>
      </c>
      <c r="I1346" s="74">
        <v>45960</v>
      </c>
      <c r="J1346">
        <v>6</v>
      </c>
      <c r="K1346" t="s">
        <v>513</v>
      </c>
      <c r="L1346" t="s">
        <v>262</v>
      </c>
      <c r="M1346" t="s">
        <v>356</v>
      </c>
      <c r="N1346" s="73">
        <v>67260</v>
      </c>
      <c r="O1346" s="73">
        <v>67260</v>
      </c>
      <c r="P1346">
        <v>34.681374159610094</v>
      </c>
    </row>
    <row r="1347" spans="1:16" hidden="1" x14ac:dyDescent="0.2">
      <c r="A1347" s="73">
        <v>67260</v>
      </c>
      <c r="B1347" t="s">
        <v>423</v>
      </c>
      <c r="C1347" s="73" t="s">
        <v>424</v>
      </c>
      <c r="D1347" t="s">
        <v>506</v>
      </c>
      <c r="E1347" s="74">
        <v>45960</v>
      </c>
      <c r="F1347" t="s">
        <v>353</v>
      </c>
      <c r="G1347" t="s">
        <v>354</v>
      </c>
      <c r="H1347" s="75">
        <f t="shared" si="21"/>
        <v>34.681374159610094</v>
      </c>
      <c r="I1347" s="74">
        <v>45960</v>
      </c>
      <c r="J1347">
        <v>1</v>
      </c>
      <c r="K1347" t="s">
        <v>513</v>
      </c>
      <c r="L1347" t="s">
        <v>355</v>
      </c>
      <c r="M1347" t="s">
        <v>356</v>
      </c>
      <c r="N1347" s="73">
        <v>67260</v>
      </c>
      <c r="O1347" s="73">
        <v>67260</v>
      </c>
      <c r="P1347">
        <v>34.681374159610094</v>
      </c>
    </row>
    <row r="1348" spans="1:16" hidden="1" x14ac:dyDescent="0.2">
      <c r="A1348" s="73">
        <v>67260</v>
      </c>
      <c r="B1348" t="s">
        <v>423</v>
      </c>
      <c r="C1348" s="73" t="s">
        <v>424</v>
      </c>
      <c r="D1348" t="s">
        <v>506</v>
      </c>
      <c r="E1348" s="74">
        <v>45961</v>
      </c>
      <c r="F1348" t="s">
        <v>357</v>
      </c>
      <c r="G1348" t="s">
        <v>358</v>
      </c>
      <c r="H1348" s="75">
        <f t="shared" si="21"/>
        <v>104.04412247883027</v>
      </c>
      <c r="I1348" s="74">
        <v>45961</v>
      </c>
      <c r="J1348">
        <v>3</v>
      </c>
      <c r="K1348" t="s">
        <v>513</v>
      </c>
      <c r="L1348" t="s">
        <v>359</v>
      </c>
      <c r="M1348" t="s">
        <v>356</v>
      </c>
      <c r="N1348" s="73">
        <v>67260</v>
      </c>
      <c r="O1348" s="73">
        <v>67260</v>
      </c>
      <c r="P1348">
        <v>34.681374159610094</v>
      </c>
    </row>
    <row r="1349" spans="1:16" hidden="1" x14ac:dyDescent="0.2">
      <c r="A1349" s="73">
        <v>67260</v>
      </c>
      <c r="B1349" t="s">
        <v>423</v>
      </c>
      <c r="C1349" s="73" t="s">
        <v>424</v>
      </c>
      <c r="D1349" t="s">
        <v>506</v>
      </c>
      <c r="E1349" s="74">
        <v>45961</v>
      </c>
      <c r="F1349" t="s">
        <v>370</v>
      </c>
      <c r="G1349" t="s">
        <v>371</v>
      </c>
      <c r="H1349" s="75">
        <f t="shared" si="21"/>
        <v>138.72549663844038</v>
      </c>
      <c r="I1349" s="74">
        <v>45961</v>
      </c>
      <c r="J1349">
        <v>4</v>
      </c>
      <c r="K1349" t="s">
        <v>513</v>
      </c>
      <c r="L1349" t="s">
        <v>262</v>
      </c>
      <c r="M1349" t="s">
        <v>356</v>
      </c>
      <c r="N1349" s="73">
        <v>67260</v>
      </c>
      <c r="O1349" s="73">
        <v>67260</v>
      </c>
      <c r="P1349">
        <v>34.681374159610094</v>
      </c>
    </row>
    <row r="1350" spans="1:16" hidden="1" x14ac:dyDescent="0.2">
      <c r="A1350" s="73">
        <v>67260</v>
      </c>
      <c r="B1350" t="s">
        <v>423</v>
      </c>
      <c r="C1350" s="73" t="s">
        <v>424</v>
      </c>
      <c r="D1350" t="s">
        <v>506</v>
      </c>
      <c r="E1350" s="74">
        <v>45961</v>
      </c>
      <c r="F1350" t="s">
        <v>398</v>
      </c>
      <c r="G1350" t="s">
        <v>399</v>
      </c>
      <c r="H1350" s="75">
        <f t="shared" si="21"/>
        <v>208.08824495766055</v>
      </c>
      <c r="I1350" s="74">
        <v>45961</v>
      </c>
      <c r="J1350">
        <v>6</v>
      </c>
      <c r="K1350" t="s">
        <v>513</v>
      </c>
      <c r="L1350" t="s">
        <v>367</v>
      </c>
      <c r="M1350" t="s">
        <v>356</v>
      </c>
      <c r="N1350" s="73">
        <v>67260</v>
      </c>
      <c r="O1350" s="73">
        <v>67260</v>
      </c>
      <c r="P1350">
        <v>34.681374159610094</v>
      </c>
    </row>
    <row r="1351" spans="1:16" hidden="1" x14ac:dyDescent="0.2">
      <c r="A1351" s="73">
        <v>67260</v>
      </c>
      <c r="B1351" t="s">
        <v>423</v>
      </c>
      <c r="C1351" s="73" t="s">
        <v>424</v>
      </c>
      <c r="D1351" t="s">
        <v>506</v>
      </c>
      <c r="E1351" s="74">
        <v>45961</v>
      </c>
      <c r="F1351" t="s">
        <v>410</v>
      </c>
      <c r="G1351" t="s">
        <v>411</v>
      </c>
      <c r="H1351" s="75">
        <f t="shared" si="21"/>
        <v>208.08824495766055</v>
      </c>
      <c r="I1351" s="74">
        <v>45961</v>
      </c>
      <c r="J1351">
        <v>6</v>
      </c>
      <c r="K1351" t="s">
        <v>513</v>
      </c>
      <c r="L1351" t="s">
        <v>262</v>
      </c>
      <c r="M1351" t="s">
        <v>356</v>
      </c>
      <c r="N1351" s="73">
        <v>67260</v>
      </c>
      <c r="O1351" s="73">
        <v>67260</v>
      </c>
      <c r="P1351">
        <v>34.681374159610094</v>
      </c>
    </row>
    <row r="1352" spans="1:16" hidden="1" x14ac:dyDescent="0.2">
      <c r="A1352" s="73">
        <v>67260</v>
      </c>
      <c r="B1352" t="s">
        <v>423</v>
      </c>
      <c r="C1352" s="73" t="s">
        <v>424</v>
      </c>
      <c r="D1352" t="s">
        <v>506</v>
      </c>
      <c r="E1352" s="74">
        <v>45961</v>
      </c>
      <c r="F1352" t="s">
        <v>360</v>
      </c>
      <c r="G1352" t="s">
        <v>361</v>
      </c>
      <c r="H1352" s="75">
        <f t="shared" si="21"/>
        <v>208.08824495766055</v>
      </c>
      <c r="I1352" s="74">
        <v>45961</v>
      </c>
      <c r="J1352">
        <v>6</v>
      </c>
      <c r="K1352" t="s">
        <v>513</v>
      </c>
      <c r="L1352" t="s">
        <v>262</v>
      </c>
      <c r="M1352" t="s">
        <v>356</v>
      </c>
      <c r="N1352" s="73">
        <v>67260</v>
      </c>
      <c r="O1352" s="73">
        <v>67260</v>
      </c>
      <c r="P1352">
        <v>34.681374159610094</v>
      </c>
    </row>
    <row r="1353" spans="1:16" hidden="1" x14ac:dyDescent="0.2">
      <c r="A1353" s="73">
        <v>67260</v>
      </c>
      <c r="B1353" t="s">
        <v>423</v>
      </c>
      <c r="C1353" s="73" t="s">
        <v>424</v>
      </c>
      <c r="D1353" t="s">
        <v>506</v>
      </c>
      <c r="E1353" s="74">
        <v>45964</v>
      </c>
      <c r="F1353" t="s">
        <v>360</v>
      </c>
      <c r="G1353" t="s">
        <v>361</v>
      </c>
      <c r="H1353" s="75">
        <f t="shared" si="21"/>
        <v>208.08824495766055</v>
      </c>
      <c r="I1353" s="74">
        <v>45964</v>
      </c>
      <c r="J1353">
        <v>6</v>
      </c>
      <c r="K1353" t="s">
        <v>514</v>
      </c>
      <c r="L1353" t="s">
        <v>262</v>
      </c>
      <c r="M1353" t="s">
        <v>356</v>
      </c>
      <c r="N1353" s="73">
        <v>67260</v>
      </c>
      <c r="O1353" s="73">
        <v>67260</v>
      </c>
      <c r="P1353">
        <v>34.681374159610094</v>
      </c>
    </row>
    <row r="1354" spans="1:16" hidden="1" x14ac:dyDescent="0.2">
      <c r="A1354" s="73">
        <v>67260</v>
      </c>
      <c r="B1354" t="s">
        <v>423</v>
      </c>
      <c r="C1354" s="73" t="s">
        <v>424</v>
      </c>
      <c r="D1354" t="s">
        <v>506</v>
      </c>
      <c r="E1354" s="74">
        <v>45964</v>
      </c>
      <c r="F1354" t="s">
        <v>410</v>
      </c>
      <c r="G1354" t="s">
        <v>411</v>
      </c>
      <c r="H1354" s="75">
        <f t="shared" si="21"/>
        <v>208.08824495766055</v>
      </c>
      <c r="I1354" s="74">
        <v>45964</v>
      </c>
      <c r="J1354">
        <v>6</v>
      </c>
      <c r="K1354" t="s">
        <v>514</v>
      </c>
      <c r="L1354" t="s">
        <v>262</v>
      </c>
      <c r="M1354" t="s">
        <v>356</v>
      </c>
      <c r="N1354" s="73">
        <v>67260</v>
      </c>
      <c r="O1354" s="73">
        <v>67260</v>
      </c>
      <c r="P1354">
        <v>34.681374159610094</v>
      </c>
    </row>
    <row r="1355" spans="1:16" hidden="1" x14ac:dyDescent="0.2">
      <c r="A1355" s="73">
        <v>67260</v>
      </c>
      <c r="B1355" t="s">
        <v>423</v>
      </c>
      <c r="C1355" s="73" t="s">
        <v>424</v>
      </c>
      <c r="D1355" t="s">
        <v>506</v>
      </c>
      <c r="E1355" s="74">
        <v>45975</v>
      </c>
      <c r="F1355" t="s">
        <v>414</v>
      </c>
      <c r="G1355" t="s">
        <v>415</v>
      </c>
      <c r="H1355" s="75">
        <f t="shared" si="21"/>
        <v>294.79168035668579</v>
      </c>
      <c r="I1355" s="74">
        <v>45975</v>
      </c>
      <c r="J1355">
        <v>8.5</v>
      </c>
      <c r="K1355" t="s">
        <v>514</v>
      </c>
      <c r="L1355" t="s">
        <v>262</v>
      </c>
      <c r="M1355" t="s">
        <v>356</v>
      </c>
      <c r="N1355" s="73">
        <v>67260</v>
      </c>
      <c r="O1355" s="73">
        <v>67260</v>
      </c>
      <c r="P1355">
        <v>34.681374159610094</v>
      </c>
    </row>
    <row r="1356" spans="1:16" hidden="1" x14ac:dyDescent="0.2">
      <c r="A1356" s="73">
        <v>67260</v>
      </c>
      <c r="B1356" t="s">
        <v>423</v>
      </c>
      <c r="C1356" s="73" t="s">
        <v>424</v>
      </c>
      <c r="D1356" t="s">
        <v>506</v>
      </c>
      <c r="E1356" s="74">
        <v>45964</v>
      </c>
      <c r="F1356" t="s">
        <v>398</v>
      </c>
      <c r="G1356" t="s">
        <v>399</v>
      </c>
      <c r="H1356" s="75">
        <f t="shared" si="21"/>
        <v>208.08824495766055</v>
      </c>
      <c r="I1356" s="74">
        <v>45964</v>
      </c>
      <c r="J1356">
        <v>6</v>
      </c>
      <c r="K1356" t="s">
        <v>514</v>
      </c>
      <c r="L1356" t="s">
        <v>367</v>
      </c>
      <c r="M1356" t="s">
        <v>356</v>
      </c>
      <c r="N1356" s="73">
        <v>67260</v>
      </c>
      <c r="O1356" s="73">
        <v>67260</v>
      </c>
      <c r="P1356">
        <v>34.681374159610094</v>
      </c>
    </row>
    <row r="1357" spans="1:16" hidden="1" x14ac:dyDescent="0.2">
      <c r="A1357" s="73">
        <v>67260</v>
      </c>
      <c r="B1357" t="s">
        <v>423</v>
      </c>
      <c r="C1357" s="73" t="s">
        <v>424</v>
      </c>
      <c r="D1357" t="s">
        <v>506</v>
      </c>
      <c r="E1357" s="74">
        <v>45964</v>
      </c>
      <c r="F1357" t="s">
        <v>357</v>
      </c>
      <c r="G1357" t="s">
        <v>358</v>
      </c>
      <c r="H1357" s="75">
        <f t="shared" si="21"/>
        <v>173.40687079805048</v>
      </c>
      <c r="I1357" s="74">
        <v>45964</v>
      </c>
      <c r="J1357">
        <v>5</v>
      </c>
      <c r="K1357" t="s">
        <v>514</v>
      </c>
      <c r="L1357" t="s">
        <v>359</v>
      </c>
      <c r="M1357" t="s">
        <v>356</v>
      </c>
      <c r="N1357" s="73">
        <v>67260</v>
      </c>
      <c r="O1357" s="73">
        <v>67260</v>
      </c>
      <c r="P1357">
        <v>34.681374159610094</v>
      </c>
    </row>
    <row r="1358" spans="1:16" hidden="1" x14ac:dyDescent="0.2">
      <c r="A1358" s="73">
        <v>67260</v>
      </c>
      <c r="B1358" t="s">
        <v>423</v>
      </c>
      <c r="C1358" s="73" t="s">
        <v>424</v>
      </c>
      <c r="D1358" t="s">
        <v>506</v>
      </c>
      <c r="E1358" s="74">
        <v>45964</v>
      </c>
      <c r="F1358" t="s">
        <v>360</v>
      </c>
      <c r="G1358" t="s">
        <v>361</v>
      </c>
      <c r="H1358" s="75">
        <f t="shared" si="21"/>
        <v>-208.08824495766055</v>
      </c>
      <c r="I1358" s="74">
        <v>45964</v>
      </c>
      <c r="J1358">
        <v>-6</v>
      </c>
      <c r="K1358" t="s">
        <v>514</v>
      </c>
      <c r="L1358" t="s">
        <v>262</v>
      </c>
      <c r="M1358" t="s">
        <v>356</v>
      </c>
      <c r="N1358" s="73">
        <v>67260</v>
      </c>
      <c r="O1358" s="73">
        <v>67260</v>
      </c>
      <c r="P1358">
        <v>34.681374159610094</v>
      </c>
    </row>
    <row r="1359" spans="1:16" hidden="1" x14ac:dyDescent="0.2">
      <c r="A1359" s="73">
        <v>67260</v>
      </c>
      <c r="B1359" t="s">
        <v>423</v>
      </c>
      <c r="C1359" s="73" t="s">
        <v>424</v>
      </c>
      <c r="D1359" t="s">
        <v>506</v>
      </c>
      <c r="E1359" s="74">
        <v>45964</v>
      </c>
      <c r="F1359" t="s">
        <v>360</v>
      </c>
      <c r="G1359" t="s">
        <v>361</v>
      </c>
      <c r="H1359" s="75">
        <f t="shared" si="21"/>
        <v>277.45099327688075</v>
      </c>
      <c r="I1359" s="74">
        <v>45964</v>
      </c>
      <c r="J1359">
        <v>8</v>
      </c>
      <c r="K1359" t="s">
        <v>514</v>
      </c>
      <c r="L1359" t="s">
        <v>262</v>
      </c>
      <c r="M1359" t="s">
        <v>356</v>
      </c>
      <c r="N1359" s="73">
        <v>67260</v>
      </c>
      <c r="O1359" s="73">
        <v>67260</v>
      </c>
      <c r="P1359">
        <v>34.681374159610094</v>
      </c>
    </row>
    <row r="1360" spans="1:16" hidden="1" x14ac:dyDescent="0.2">
      <c r="A1360" s="73">
        <v>67260</v>
      </c>
      <c r="B1360" t="s">
        <v>423</v>
      </c>
      <c r="C1360" s="73" t="s">
        <v>424</v>
      </c>
      <c r="D1360" t="s">
        <v>506</v>
      </c>
      <c r="E1360" s="74">
        <v>45964</v>
      </c>
      <c r="F1360" t="s">
        <v>410</v>
      </c>
      <c r="G1360" t="s">
        <v>411</v>
      </c>
      <c r="H1360" s="75">
        <f t="shared" si="21"/>
        <v>-208.08824495766055</v>
      </c>
      <c r="I1360" s="74">
        <v>45964</v>
      </c>
      <c r="J1360">
        <v>-6</v>
      </c>
      <c r="K1360" t="s">
        <v>514</v>
      </c>
      <c r="L1360" t="s">
        <v>262</v>
      </c>
      <c r="M1360" t="s">
        <v>356</v>
      </c>
      <c r="N1360" s="73">
        <v>67260</v>
      </c>
      <c r="O1360" s="73">
        <v>67260</v>
      </c>
      <c r="P1360">
        <v>34.681374159610094</v>
      </c>
    </row>
    <row r="1361" spans="1:16" hidden="1" x14ac:dyDescent="0.2">
      <c r="A1361" s="73">
        <v>67260</v>
      </c>
      <c r="B1361" t="s">
        <v>423</v>
      </c>
      <c r="C1361" s="73" t="s">
        <v>424</v>
      </c>
      <c r="D1361" t="s">
        <v>506</v>
      </c>
      <c r="E1361" s="74">
        <v>45964</v>
      </c>
      <c r="F1361" t="s">
        <v>410</v>
      </c>
      <c r="G1361" t="s">
        <v>411</v>
      </c>
      <c r="H1361" s="75">
        <f t="shared" si="21"/>
        <v>277.45099327688075</v>
      </c>
      <c r="I1361" s="74">
        <v>45964</v>
      </c>
      <c r="J1361">
        <v>8</v>
      </c>
      <c r="K1361" t="s">
        <v>514</v>
      </c>
      <c r="L1361" t="s">
        <v>262</v>
      </c>
      <c r="M1361" t="s">
        <v>356</v>
      </c>
      <c r="N1361" s="73">
        <v>67260</v>
      </c>
      <c r="O1361" s="73">
        <v>67260</v>
      </c>
      <c r="P1361">
        <v>34.681374159610094</v>
      </c>
    </row>
    <row r="1362" spans="1:16" hidden="1" x14ac:dyDescent="0.2">
      <c r="A1362" s="73">
        <v>67260</v>
      </c>
      <c r="B1362" t="s">
        <v>423</v>
      </c>
      <c r="C1362" s="73" t="s">
        <v>424</v>
      </c>
      <c r="D1362" t="s">
        <v>506</v>
      </c>
      <c r="E1362" s="74">
        <v>45964</v>
      </c>
      <c r="F1362" t="s">
        <v>398</v>
      </c>
      <c r="G1362" t="s">
        <v>399</v>
      </c>
      <c r="H1362" s="75">
        <f t="shared" si="21"/>
        <v>-208.08824495766055</v>
      </c>
      <c r="I1362" s="74">
        <v>45964</v>
      </c>
      <c r="J1362">
        <v>-6</v>
      </c>
      <c r="K1362" t="s">
        <v>514</v>
      </c>
      <c r="L1362" t="s">
        <v>367</v>
      </c>
      <c r="M1362" t="s">
        <v>356</v>
      </c>
      <c r="N1362" s="73">
        <v>67260</v>
      </c>
      <c r="O1362" s="73">
        <v>67260</v>
      </c>
      <c r="P1362">
        <v>34.681374159610094</v>
      </c>
    </row>
    <row r="1363" spans="1:16" hidden="1" x14ac:dyDescent="0.2">
      <c r="A1363" s="73">
        <v>67260</v>
      </c>
      <c r="B1363" t="s">
        <v>423</v>
      </c>
      <c r="C1363" s="73" t="s">
        <v>424</v>
      </c>
      <c r="D1363" t="s">
        <v>506</v>
      </c>
      <c r="E1363" s="74">
        <v>45964</v>
      </c>
      <c r="F1363" t="s">
        <v>398</v>
      </c>
      <c r="G1363" t="s">
        <v>399</v>
      </c>
      <c r="H1363" s="75">
        <f t="shared" si="21"/>
        <v>277.45099327688075</v>
      </c>
      <c r="I1363" s="74">
        <v>45964</v>
      </c>
      <c r="J1363">
        <v>8</v>
      </c>
      <c r="K1363" t="s">
        <v>514</v>
      </c>
      <c r="L1363" t="s">
        <v>367</v>
      </c>
      <c r="M1363" t="s">
        <v>356</v>
      </c>
      <c r="N1363" s="73">
        <v>67260</v>
      </c>
      <c r="O1363" s="73">
        <v>67260</v>
      </c>
      <c r="P1363">
        <v>34.681374159610094</v>
      </c>
    </row>
    <row r="1364" spans="1:16" hidden="1" x14ac:dyDescent="0.2">
      <c r="A1364" s="73">
        <v>67260</v>
      </c>
      <c r="B1364" t="s">
        <v>423</v>
      </c>
      <c r="C1364" s="73" t="s">
        <v>424</v>
      </c>
      <c r="D1364" t="s">
        <v>506</v>
      </c>
      <c r="E1364" s="74">
        <v>45964</v>
      </c>
      <c r="F1364" t="s">
        <v>353</v>
      </c>
      <c r="G1364" t="s">
        <v>354</v>
      </c>
      <c r="H1364" s="75">
        <f t="shared" si="21"/>
        <v>69.362748319220188</v>
      </c>
      <c r="I1364" s="74">
        <v>45964</v>
      </c>
      <c r="J1364">
        <v>2</v>
      </c>
      <c r="K1364" t="s">
        <v>514</v>
      </c>
      <c r="L1364" t="s">
        <v>355</v>
      </c>
      <c r="M1364" t="s">
        <v>356</v>
      </c>
      <c r="N1364" s="73">
        <v>67260</v>
      </c>
      <c r="O1364" s="73">
        <v>67260</v>
      </c>
      <c r="P1364">
        <v>34.681374159610094</v>
      </c>
    </row>
    <row r="1365" spans="1:16" x14ac:dyDescent="0.2">
      <c r="A1365" s="73">
        <v>67262</v>
      </c>
      <c r="B1365" t="s">
        <v>350</v>
      </c>
      <c r="C1365" s="73" t="s">
        <v>421</v>
      </c>
      <c r="D1365" t="s">
        <v>422</v>
      </c>
      <c r="E1365" s="74">
        <v>45980</v>
      </c>
      <c r="F1365" t="s">
        <v>414</v>
      </c>
      <c r="G1365" t="s">
        <v>415</v>
      </c>
      <c r="H1365" s="75">
        <f t="shared" si="21"/>
        <v>329.47305451629592</v>
      </c>
      <c r="I1365" s="74">
        <v>45980</v>
      </c>
      <c r="J1365">
        <v>9.5</v>
      </c>
      <c r="K1365" t="s">
        <v>514</v>
      </c>
      <c r="L1365" t="s">
        <v>262</v>
      </c>
      <c r="M1365" t="s">
        <v>356</v>
      </c>
      <c r="N1365" s="73">
        <v>67262</v>
      </c>
      <c r="O1365" s="73">
        <v>67262</v>
      </c>
      <c r="P1365">
        <v>34.681374159610094</v>
      </c>
    </row>
    <row r="1366" spans="1:16" hidden="1" x14ac:dyDescent="0.2">
      <c r="A1366" s="73">
        <v>67260</v>
      </c>
      <c r="B1366" t="s">
        <v>423</v>
      </c>
      <c r="C1366" s="73" t="s">
        <v>424</v>
      </c>
      <c r="D1366" t="s">
        <v>506</v>
      </c>
      <c r="E1366" s="74">
        <v>45965</v>
      </c>
      <c r="F1366" t="s">
        <v>360</v>
      </c>
      <c r="G1366" t="s">
        <v>361</v>
      </c>
      <c r="H1366" s="75">
        <f t="shared" si="21"/>
        <v>208.08824495766055</v>
      </c>
      <c r="I1366" s="74">
        <v>45965</v>
      </c>
      <c r="J1366">
        <v>6</v>
      </c>
      <c r="K1366" t="s">
        <v>514</v>
      </c>
      <c r="L1366" t="s">
        <v>262</v>
      </c>
      <c r="M1366" t="s">
        <v>356</v>
      </c>
      <c r="N1366" s="73">
        <v>67260</v>
      </c>
      <c r="O1366" s="73">
        <v>67260</v>
      </c>
      <c r="P1366">
        <v>34.681374159610094</v>
      </c>
    </row>
    <row r="1367" spans="1:16" hidden="1" x14ac:dyDescent="0.2">
      <c r="A1367" s="73">
        <v>67260</v>
      </c>
      <c r="B1367" t="s">
        <v>423</v>
      </c>
      <c r="C1367" s="73" t="s">
        <v>424</v>
      </c>
      <c r="D1367" t="s">
        <v>506</v>
      </c>
      <c r="E1367" s="74">
        <v>45965</v>
      </c>
      <c r="F1367" t="s">
        <v>410</v>
      </c>
      <c r="G1367" t="s">
        <v>411</v>
      </c>
      <c r="H1367" s="75">
        <f t="shared" si="21"/>
        <v>208.08824495766055</v>
      </c>
      <c r="I1367" s="74">
        <v>45965</v>
      </c>
      <c r="J1367">
        <v>6</v>
      </c>
      <c r="K1367" t="s">
        <v>514</v>
      </c>
      <c r="L1367" t="s">
        <v>262</v>
      </c>
      <c r="M1367" t="s">
        <v>356</v>
      </c>
      <c r="N1367" s="73">
        <v>67260</v>
      </c>
      <c r="O1367" s="73">
        <v>67260</v>
      </c>
      <c r="P1367">
        <v>34.681374159610094</v>
      </c>
    </row>
    <row r="1368" spans="1:16" hidden="1" x14ac:dyDescent="0.2">
      <c r="A1368" s="73">
        <v>67260</v>
      </c>
      <c r="B1368" t="s">
        <v>423</v>
      </c>
      <c r="C1368" s="73" t="s">
        <v>424</v>
      </c>
      <c r="D1368" t="s">
        <v>506</v>
      </c>
      <c r="E1368" s="74">
        <v>45965</v>
      </c>
      <c r="F1368" t="s">
        <v>398</v>
      </c>
      <c r="G1368" t="s">
        <v>399</v>
      </c>
      <c r="H1368" s="75">
        <f t="shared" si="21"/>
        <v>208.08824495766055</v>
      </c>
      <c r="I1368" s="74">
        <v>45965</v>
      </c>
      <c r="J1368">
        <v>6</v>
      </c>
      <c r="K1368" t="s">
        <v>514</v>
      </c>
      <c r="L1368" t="s">
        <v>367</v>
      </c>
      <c r="M1368" t="s">
        <v>356</v>
      </c>
      <c r="N1368" s="73">
        <v>67260</v>
      </c>
      <c r="O1368" s="73">
        <v>67260</v>
      </c>
      <c r="P1368">
        <v>34.681374159610094</v>
      </c>
    </row>
    <row r="1369" spans="1:16" hidden="1" x14ac:dyDescent="0.2">
      <c r="A1369" s="73">
        <v>67260</v>
      </c>
      <c r="B1369" t="s">
        <v>423</v>
      </c>
      <c r="C1369" s="73" t="s">
        <v>424</v>
      </c>
      <c r="D1369" t="s">
        <v>506</v>
      </c>
      <c r="E1369" s="74">
        <v>45965</v>
      </c>
      <c r="F1369" t="s">
        <v>360</v>
      </c>
      <c r="G1369" t="s">
        <v>361</v>
      </c>
      <c r="H1369" s="75">
        <f t="shared" si="21"/>
        <v>-208.08824495766055</v>
      </c>
      <c r="I1369" s="74">
        <v>45965</v>
      </c>
      <c r="J1369">
        <v>-6</v>
      </c>
      <c r="K1369" t="s">
        <v>514</v>
      </c>
      <c r="L1369" t="s">
        <v>262</v>
      </c>
      <c r="M1369" t="s">
        <v>356</v>
      </c>
      <c r="N1369" s="73">
        <v>67260</v>
      </c>
      <c r="O1369" s="73">
        <v>67260</v>
      </c>
      <c r="P1369">
        <v>34.681374159610094</v>
      </c>
    </row>
    <row r="1370" spans="1:16" hidden="1" x14ac:dyDescent="0.2">
      <c r="A1370" s="73">
        <v>67260</v>
      </c>
      <c r="B1370" t="s">
        <v>423</v>
      </c>
      <c r="C1370" s="73" t="s">
        <v>424</v>
      </c>
      <c r="D1370" t="s">
        <v>506</v>
      </c>
      <c r="E1370" s="74">
        <v>45965</v>
      </c>
      <c r="F1370" t="s">
        <v>360</v>
      </c>
      <c r="G1370" t="s">
        <v>361</v>
      </c>
      <c r="H1370" s="75">
        <f t="shared" si="21"/>
        <v>277.45099327688075</v>
      </c>
      <c r="I1370" s="74">
        <v>45965</v>
      </c>
      <c r="J1370">
        <v>8</v>
      </c>
      <c r="K1370" t="s">
        <v>514</v>
      </c>
      <c r="L1370" t="s">
        <v>262</v>
      </c>
      <c r="M1370" t="s">
        <v>356</v>
      </c>
      <c r="N1370" s="73">
        <v>67260</v>
      </c>
      <c r="O1370" s="73">
        <v>67260</v>
      </c>
      <c r="P1370">
        <v>34.681374159610094</v>
      </c>
    </row>
    <row r="1371" spans="1:16" hidden="1" x14ac:dyDescent="0.2">
      <c r="A1371" s="73">
        <v>67260</v>
      </c>
      <c r="B1371" t="s">
        <v>423</v>
      </c>
      <c r="C1371" s="73" t="s">
        <v>424</v>
      </c>
      <c r="D1371" t="s">
        <v>506</v>
      </c>
      <c r="E1371" s="74">
        <v>45965</v>
      </c>
      <c r="F1371" t="s">
        <v>410</v>
      </c>
      <c r="G1371" t="s">
        <v>411</v>
      </c>
      <c r="H1371" s="75">
        <f t="shared" si="21"/>
        <v>-208.08824495766055</v>
      </c>
      <c r="I1371" s="74">
        <v>45965</v>
      </c>
      <c r="J1371">
        <v>-6</v>
      </c>
      <c r="K1371" t="s">
        <v>514</v>
      </c>
      <c r="L1371" t="s">
        <v>262</v>
      </c>
      <c r="M1371" t="s">
        <v>356</v>
      </c>
      <c r="N1371" s="73">
        <v>67260</v>
      </c>
      <c r="O1371" s="73">
        <v>67260</v>
      </c>
      <c r="P1371">
        <v>34.681374159610094</v>
      </c>
    </row>
    <row r="1372" spans="1:16" hidden="1" x14ac:dyDescent="0.2">
      <c r="A1372" s="73">
        <v>67260</v>
      </c>
      <c r="B1372" t="s">
        <v>423</v>
      </c>
      <c r="C1372" s="73" t="s">
        <v>424</v>
      </c>
      <c r="D1372" t="s">
        <v>506</v>
      </c>
      <c r="E1372" s="74">
        <v>45965</v>
      </c>
      <c r="F1372" t="s">
        <v>410</v>
      </c>
      <c r="G1372" t="s">
        <v>411</v>
      </c>
      <c r="H1372" s="75">
        <f t="shared" si="21"/>
        <v>277.45099327688075</v>
      </c>
      <c r="I1372" s="74">
        <v>45965</v>
      </c>
      <c r="J1372">
        <v>8</v>
      </c>
      <c r="K1372" t="s">
        <v>514</v>
      </c>
      <c r="L1372" t="s">
        <v>262</v>
      </c>
      <c r="M1372" t="s">
        <v>356</v>
      </c>
      <c r="N1372" s="73">
        <v>67260</v>
      </c>
      <c r="O1372" s="73">
        <v>67260</v>
      </c>
      <c r="P1372">
        <v>34.681374159610094</v>
      </c>
    </row>
    <row r="1373" spans="1:16" hidden="1" x14ac:dyDescent="0.2">
      <c r="A1373" s="73">
        <v>67260</v>
      </c>
      <c r="B1373" t="s">
        <v>423</v>
      </c>
      <c r="C1373" s="73" t="s">
        <v>424</v>
      </c>
      <c r="D1373" t="s">
        <v>506</v>
      </c>
      <c r="E1373" s="74">
        <v>45965</v>
      </c>
      <c r="F1373" t="s">
        <v>398</v>
      </c>
      <c r="G1373" t="s">
        <v>399</v>
      </c>
      <c r="H1373" s="75">
        <f t="shared" si="21"/>
        <v>-208.08824495766055</v>
      </c>
      <c r="I1373" s="74">
        <v>45965</v>
      </c>
      <c r="J1373">
        <v>-6</v>
      </c>
      <c r="K1373" t="s">
        <v>514</v>
      </c>
      <c r="L1373" t="s">
        <v>367</v>
      </c>
      <c r="M1373" t="s">
        <v>356</v>
      </c>
      <c r="N1373" s="73">
        <v>67260</v>
      </c>
      <c r="O1373" s="73">
        <v>67260</v>
      </c>
      <c r="P1373">
        <v>34.681374159610094</v>
      </c>
    </row>
    <row r="1374" spans="1:16" hidden="1" x14ac:dyDescent="0.2">
      <c r="A1374" s="73">
        <v>67260</v>
      </c>
      <c r="B1374" t="s">
        <v>423</v>
      </c>
      <c r="C1374" s="73" t="s">
        <v>424</v>
      </c>
      <c r="D1374" t="s">
        <v>506</v>
      </c>
      <c r="E1374" s="74">
        <v>45965</v>
      </c>
      <c r="F1374" t="s">
        <v>398</v>
      </c>
      <c r="G1374" t="s">
        <v>399</v>
      </c>
      <c r="H1374" s="75">
        <f t="shared" si="21"/>
        <v>277.45099327688075</v>
      </c>
      <c r="I1374" s="74">
        <v>45965</v>
      </c>
      <c r="J1374">
        <v>8</v>
      </c>
      <c r="K1374" t="s">
        <v>514</v>
      </c>
      <c r="L1374" t="s">
        <v>367</v>
      </c>
      <c r="M1374" t="s">
        <v>356</v>
      </c>
      <c r="N1374" s="73">
        <v>67260</v>
      </c>
      <c r="O1374" s="73">
        <v>67260</v>
      </c>
      <c r="P1374">
        <v>34.681374159610094</v>
      </c>
    </row>
    <row r="1375" spans="1:16" hidden="1" x14ac:dyDescent="0.2">
      <c r="A1375" s="73">
        <v>67260</v>
      </c>
      <c r="B1375" t="s">
        <v>423</v>
      </c>
      <c r="C1375" s="73" t="s">
        <v>424</v>
      </c>
      <c r="D1375" t="s">
        <v>506</v>
      </c>
      <c r="E1375" s="74">
        <v>45965</v>
      </c>
      <c r="F1375" t="s">
        <v>353</v>
      </c>
      <c r="G1375" t="s">
        <v>354</v>
      </c>
      <c r="H1375" s="75">
        <f t="shared" si="21"/>
        <v>69.362748319220188</v>
      </c>
      <c r="I1375" s="74">
        <v>45965</v>
      </c>
      <c r="J1375">
        <v>2</v>
      </c>
      <c r="K1375" t="s">
        <v>514</v>
      </c>
      <c r="L1375" t="s">
        <v>355</v>
      </c>
      <c r="M1375" t="s">
        <v>356</v>
      </c>
      <c r="N1375" s="73">
        <v>67260</v>
      </c>
      <c r="O1375" s="73">
        <v>67260</v>
      </c>
      <c r="P1375">
        <v>34.681374159610094</v>
      </c>
    </row>
    <row r="1376" spans="1:16" x14ac:dyDescent="0.2">
      <c r="A1376" s="73">
        <v>67262</v>
      </c>
      <c r="B1376" t="s">
        <v>350</v>
      </c>
      <c r="C1376" s="73" t="s">
        <v>421</v>
      </c>
      <c r="D1376" t="s">
        <v>422</v>
      </c>
      <c r="E1376" s="74">
        <v>45981</v>
      </c>
      <c r="F1376" t="s">
        <v>414</v>
      </c>
      <c r="G1376" t="s">
        <v>415</v>
      </c>
      <c r="H1376" s="75">
        <f t="shared" si="21"/>
        <v>329.47305451629592</v>
      </c>
      <c r="I1376" s="74">
        <v>45981</v>
      </c>
      <c r="J1376">
        <v>9.5</v>
      </c>
      <c r="K1376" t="s">
        <v>514</v>
      </c>
      <c r="L1376" t="s">
        <v>262</v>
      </c>
      <c r="M1376" t="s">
        <v>356</v>
      </c>
      <c r="N1376" s="73">
        <v>67262</v>
      </c>
      <c r="O1376" s="73">
        <v>67262</v>
      </c>
      <c r="P1376">
        <v>34.681374159610094</v>
      </c>
    </row>
    <row r="1377" spans="1:16" hidden="1" x14ac:dyDescent="0.2">
      <c r="A1377" s="73">
        <v>67260</v>
      </c>
      <c r="B1377" t="s">
        <v>423</v>
      </c>
      <c r="C1377" s="73" t="s">
        <v>424</v>
      </c>
      <c r="D1377" t="s">
        <v>506</v>
      </c>
      <c r="E1377" s="74">
        <v>45965</v>
      </c>
      <c r="F1377" t="s">
        <v>370</v>
      </c>
      <c r="G1377" t="s">
        <v>371</v>
      </c>
      <c r="H1377" s="75">
        <f t="shared" si="21"/>
        <v>277.45099327688075</v>
      </c>
      <c r="I1377" s="74">
        <v>45965</v>
      </c>
      <c r="J1377">
        <v>8</v>
      </c>
      <c r="K1377" t="s">
        <v>514</v>
      </c>
      <c r="L1377" t="s">
        <v>262</v>
      </c>
      <c r="M1377" t="s">
        <v>356</v>
      </c>
      <c r="N1377" s="73">
        <v>67260</v>
      </c>
      <c r="O1377" s="73">
        <v>67260</v>
      </c>
      <c r="P1377">
        <v>34.681374159610094</v>
      </c>
    </row>
    <row r="1378" spans="1:16" hidden="1" x14ac:dyDescent="0.2">
      <c r="A1378" s="73">
        <v>67260</v>
      </c>
      <c r="B1378" t="s">
        <v>423</v>
      </c>
      <c r="C1378" s="73" t="s">
        <v>424</v>
      </c>
      <c r="D1378" t="s">
        <v>506</v>
      </c>
      <c r="E1378" s="74">
        <v>45965</v>
      </c>
      <c r="F1378" t="s">
        <v>357</v>
      </c>
      <c r="G1378" t="s">
        <v>358</v>
      </c>
      <c r="H1378" s="75">
        <f t="shared" si="21"/>
        <v>173.40687079805048</v>
      </c>
      <c r="I1378" s="74">
        <v>45965</v>
      </c>
      <c r="J1378">
        <v>5</v>
      </c>
      <c r="K1378" t="s">
        <v>514</v>
      </c>
      <c r="L1378" t="s">
        <v>359</v>
      </c>
      <c r="M1378" t="s">
        <v>356</v>
      </c>
      <c r="N1378" s="73">
        <v>67260</v>
      </c>
      <c r="O1378" s="73">
        <v>67260</v>
      </c>
      <c r="P1378">
        <v>34.681374159610094</v>
      </c>
    </row>
    <row r="1379" spans="1:16" hidden="1" x14ac:dyDescent="0.2">
      <c r="A1379" s="73">
        <v>67260</v>
      </c>
      <c r="B1379" t="s">
        <v>423</v>
      </c>
      <c r="C1379" s="73" t="s">
        <v>424</v>
      </c>
      <c r="D1379" t="s">
        <v>506</v>
      </c>
      <c r="E1379" s="74">
        <v>45966</v>
      </c>
      <c r="F1379" t="s">
        <v>360</v>
      </c>
      <c r="G1379" t="s">
        <v>361</v>
      </c>
      <c r="H1379" s="75">
        <f t="shared" si="21"/>
        <v>208.08824495766055</v>
      </c>
      <c r="I1379" s="74">
        <v>45966</v>
      </c>
      <c r="J1379">
        <v>6</v>
      </c>
      <c r="K1379" t="s">
        <v>514</v>
      </c>
      <c r="L1379" t="s">
        <v>262</v>
      </c>
      <c r="M1379" t="s">
        <v>356</v>
      </c>
      <c r="N1379" s="73">
        <v>67260</v>
      </c>
      <c r="O1379" s="73">
        <v>67260</v>
      </c>
      <c r="P1379">
        <v>34.681374159610094</v>
      </c>
    </row>
    <row r="1380" spans="1:16" hidden="1" x14ac:dyDescent="0.2">
      <c r="A1380" s="73">
        <v>67260</v>
      </c>
      <c r="B1380" t="s">
        <v>423</v>
      </c>
      <c r="C1380" s="73" t="s">
        <v>424</v>
      </c>
      <c r="D1380" t="s">
        <v>506</v>
      </c>
      <c r="E1380" s="74">
        <v>45966</v>
      </c>
      <c r="F1380" t="s">
        <v>410</v>
      </c>
      <c r="G1380" t="s">
        <v>411</v>
      </c>
      <c r="H1380" s="75">
        <f t="shared" si="21"/>
        <v>208.08824495766055</v>
      </c>
      <c r="I1380" s="74">
        <v>45966</v>
      </c>
      <c r="J1380">
        <v>6</v>
      </c>
      <c r="K1380" t="s">
        <v>514</v>
      </c>
      <c r="L1380" t="s">
        <v>262</v>
      </c>
      <c r="M1380" t="s">
        <v>356</v>
      </c>
      <c r="N1380" s="73">
        <v>67260</v>
      </c>
      <c r="O1380" s="73">
        <v>67260</v>
      </c>
      <c r="P1380">
        <v>34.681374159610094</v>
      </c>
    </row>
    <row r="1381" spans="1:16" hidden="1" x14ac:dyDescent="0.2">
      <c r="A1381" s="73">
        <v>67260</v>
      </c>
      <c r="B1381" t="s">
        <v>423</v>
      </c>
      <c r="C1381" s="73" t="s">
        <v>424</v>
      </c>
      <c r="D1381" t="s">
        <v>506</v>
      </c>
      <c r="E1381" s="74">
        <v>45966</v>
      </c>
      <c r="F1381" t="s">
        <v>398</v>
      </c>
      <c r="G1381" t="s">
        <v>399</v>
      </c>
      <c r="H1381" s="75">
        <f t="shared" si="21"/>
        <v>208.08824495766055</v>
      </c>
      <c r="I1381" s="74">
        <v>45966</v>
      </c>
      <c r="J1381">
        <v>6</v>
      </c>
      <c r="K1381" t="s">
        <v>514</v>
      </c>
      <c r="L1381" t="s">
        <v>367</v>
      </c>
      <c r="M1381" t="s">
        <v>356</v>
      </c>
      <c r="N1381" s="73">
        <v>67260</v>
      </c>
      <c r="O1381" s="73">
        <v>67260</v>
      </c>
      <c r="P1381">
        <v>34.681374159610094</v>
      </c>
    </row>
    <row r="1382" spans="1:16" x14ac:dyDescent="0.2">
      <c r="A1382" s="73">
        <v>67262</v>
      </c>
      <c r="B1382" t="s">
        <v>350</v>
      </c>
      <c r="C1382" s="73" t="s">
        <v>421</v>
      </c>
      <c r="D1382" t="s">
        <v>422</v>
      </c>
      <c r="E1382" s="74">
        <v>45985</v>
      </c>
      <c r="F1382" t="s">
        <v>414</v>
      </c>
      <c r="G1382" t="s">
        <v>415</v>
      </c>
      <c r="H1382" s="75">
        <f t="shared" si="21"/>
        <v>294.79168035668579</v>
      </c>
      <c r="I1382" s="74">
        <v>45985</v>
      </c>
      <c r="J1382">
        <v>8.5</v>
      </c>
      <c r="K1382" t="s">
        <v>514</v>
      </c>
      <c r="L1382" t="s">
        <v>262</v>
      </c>
      <c r="M1382" t="s">
        <v>356</v>
      </c>
      <c r="N1382" s="73">
        <v>67262</v>
      </c>
      <c r="O1382" s="73">
        <v>67262</v>
      </c>
      <c r="P1382">
        <v>34.681374159610094</v>
      </c>
    </row>
    <row r="1383" spans="1:16" hidden="1" x14ac:dyDescent="0.2">
      <c r="A1383" s="73">
        <v>67260</v>
      </c>
      <c r="B1383" t="s">
        <v>423</v>
      </c>
      <c r="C1383" s="73" t="s">
        <v>424</v>
      </c>
      <c r="D1383" t="s">
        <v>506</v>
      </c>
      <c r="E1383" s="74">
        <v>45966</v>
      </c>
      <c r="F1383" t="s">
        <v>357</v>
      </c>
      <c r="G1383" t="s">
        <v>358</v>
      </c>
      <c r="H1383" s="75">
        <f t="shared" si="21"/>
        <v>173.40687079805048</v>
      </c>
      <c r="I1383" s="74">
        <v>45966</v>
      </c>
      <c r="J1383">
        <v>5</v>
      </c>
      <c r="K1383" t="s">
        <v>514</v>
      </c>
      <c r="L1383" t="s">
        <v>359</v>
      </c>
      <c r="M1383" t="s">
        <v>356</v>
      </c>
      <c r="N1383" s="73">
        <v>67260</v>
      </c>
      <c r="O1383" s="73">
        <v>67260</v>
      </c>
      <c r="P1383">
        <v>34.681374159610094</v>
      </c>
    </row>
    <row r="1384" spans="1:16" hidden="1" x14ac:dyDescent="0.2">
      <c r="A1384" s="73">
        <v>67260</v>
      </c>
      <c r="B1384" t="s">
        <v>423</v>
      </c>
      <c r="C1384" s="73" t="s">
        <v>424</v>
      </c>
      <c r="D1384" t="s">
        <v>506</v>
      </c>
      <c r="E1384" s="74">
        <v>45966</v>
      </c>
      <c r="F1384" t="s">
        <v>360</v>
      </c>
      <c r="G1384" t="s">
        <v>361</v>
      </c>
      <c r="H1384" s="75">
        <f t="shared" si="21"/>
        <v>-208.08824495766055</v>
      </c>
      <c r="I1384" s="74">
        <v>45966</v>
      </c>
      <c r="J1384">
        <v>-6</v>
      </c>
      <c r="K1384" t="s">
        <v>514</v>
      </c>
      <c r="L1384" t="s">
        <v>262</v>
      </c>
      <c r="M1384" t="s">
        <v>356</v>
      </c>
      <c r="N1384" s="73">
        <v>67260</v>
      </c>
      <c r="O1384" s="73">
        <v>67260</v>
      </c>
      <c r="P1384">
        <v>34.681374159610094</v>
      </c>
    </row>
    <row r="1385" spans="1:16" hidden="1" x14ac:dyDescent="0.2">
      <c r="A1385" s="73">
        <v>67260</v>
      </c>
      <c r="B1385" t="s">
        <v>423</v>
      </c>
      <c r="C1385" s="73" t="s">
        <v>424</v>
      </c>
      <c r="D1385" t="s">
        <v>506</v>
      </c>
      <c r="E1385" s="74">
        <v>45966</v>
      </c>
      <c r="F1385" t="s">
        <v>360</v>
      </c>
      <c r="G1385" t="s">
        <v>361</v>
      </c>
      <c r="H1385" s="75">
        <f t="shared" si="21"/>
        <v>277.45099327688075</v>
      </c>
      <c r="I1385" s="74">
        <v>45966</v>
      </c>
      <c r="J1385">
        <v>8</v>
      </c>
      <c r="K1385" t="s">
        <v>514</v>
      </c>
      <c r="L1385" t="s">
        <v>262</v>
      </c>
      <c r="M1385" t="s">
        <v>356</v>
      </c>
      <c r="N1385" s="73">
        <v>67260</v>
      </c>
      <c r="O1385" s="73">
        <v>67260</v>
      </c>
      <c r="P1385">
        <v>34.681374159610094</v>
      </c>
    </row>
    <row r="1386" spans="1:16" hidden="1" x14ac:dyDescent="0.2">
      <c r="A1386" s="73">
        <v>67260</v>
      </c>
      <c r="B1386" t="s">
        <v>423</v>
      </c>
      <c r="C1386" s="73" t="s">
        <v>424</v>
      </c>
      <c r="D1386" t="s">
        <v>506</v>
      </c>
      <c r="E1386" s="74">
        <v>45966</v>
      </c>
      <c r="F1386" t="s">
        <v>410</v>
      </c>
      <c r="G1386" t="s">
        <v>411</v>
      </c>
      <c r="H1386" s="75">
        <f t="shared" si="21"/>
        <v>-208.08824495766055</v>
      </c>
      <c r="I1386" s="74">
        <v>45966</v>
      </c>
      <c r="J1386">
        <v>-6</v>
      </c>
      <c r="K1386" t="s">
        <v>514</v>
      </c>
      <c r="L1386" t="s">
        <v>262</v>
      </c>
      <c r="M1386" t="s">
        <v>356</v>
      </c>
      <c r="N1386" s="73">
        <v>67260</v>
      </c>
      <c r="O1386" s="73">
        <v>67260</v>
      </c>
      <c r="P1386">
        <v>34.681374159610094</v>
      </c>
    </row>
    <row r="1387" spans="1:16" hidden="1" x14ac:dyDescent="0.2">
      <c r="A1387" s="73">
        <v>67260</v>
      </c>
      <c r="B1387" t="s">
        <v>423</v>
      </c>
      <c r="C1387" s="73" t="s">
        <v>424</v>
      </c>
      <c r="D1387" t="s">
        <v>506</v>
      </c>
      <c r="E1387" s="74">
        <v>45966</v>
      </c>
      <c r="F1387" t="s">
        <v>410</v>
      </c>
      <c r="G1387" t="s">
        <v>411</v>
      </c>
      <c r="H1387" s="75">
        <f t="shared" si="21"/>
        <v>277.45099327688075</v>
      </c>
      <c r="I1387" s="74">
        <v>45966</v>
      </c>
      <c r="J1387">
        <v>8</v>
      </c>
      <c r="K1387" t="s">
        <v>514</v>
      </c>
      <c r="L1387" t="s">
        <v>262</v>
      </c>
      <c r="M1387" t="s">
        <v>356</v>
      </c>
      <c r="N1387" s="73">
        <v>67260</v>
      </c>
      <c r="O1387" s="73">
        <v>67260</v>
      </c>
      <c r="P1387">
        <v>34.681374159610094</v>
      </c>
    </row>
    <row r="1388" spans="1:16" hidden="1" x14ac:dyDescent="0.2">
      <c r="A1388" s="73">
        <v>67260</v>
      </c>
      <c r="B1388" t="s">
        <v>423</v>
      </c>
      <c r="C1388" s="73" t="s">
        <v>424</v>
      </c>
      <c r="D1388" t="s">
        <v>506</v>
      </c>
      <c r="E1388" s="74">
        <v>45966</v>
      </c>
      <c r="F1388" t="s">
        <v>398</v>
      </c>
      <c r="G1388" t="s">
        <v>399</v>
      </c>
      <c r="H1388" s="75">
        <f t="shared" si="21"/>
        <v>-208.08824495766055</v>
      </c>
      <c r="I1388" s="74">
        <v>45966</v>
      </c>
      <c r="J1388">
        <v>-6</v>
      </c>
      <c r="K1388" t="s">
        <v>514</v>
      </c>
      <c r="L1388" t="s">
        <v>367</v>
      </c>
      <c r="M1388" t="s">
        <v>356</v>
      </c>
      <c r="N1388" s="73">
        <v>67260</v>
      </c>
      <c r="O1388" s="73">
        <v>67260</v>
      </c>
      <c r="P1388">
        <v>34.681374159610094</v>
      </c>
    </row>
    <row r="1389" spans="1:16" hidden="1" x14ac:dyDescent="0.2">
      <c r="A1389" s="73">
        <v>67260</v>
      </c>
      <c r="B1389" t="s">
        <v>423</v>
      </c>
      <c r="C1389" s="73" t="s">
        <v>424</v>
      </c>
      <c r="D1389" t="s">
        <v>506</v>
      </c>
      <c r="E1389" s="74">
        <v>45966</v>
      </c>
      <c r="F1389" t="s">
        <v>398</v>
      </c>
      <c r="G1389" t="s">
        <v>399</v>
      </c>
      <c r="H1389" s="75">
        <f t="shared" si="21"/>
        <v>277.45099327688075</v>
      </c>
      <c r="I1389" s="74">
        <v>45966</v>
      </c>
      <c r="J1389">
        <v>8</v>
      </c>
      <c r="K1389" t="s">
        <v>514</v>
      </c>
      <c r="L1389" t="s">
        <v>367</v>
      </c>
      <c r="M1389" t="s">
        <v>356</v>
      </c>
      <c r="N1389" s="73">
        <v>67260</v>
      </c>
      <c r="O1389" s="73">
        <v>67260</v>
      </c>
      <c r="P1389">
        <v>34.681374159610094</v>
      </c>
    </row>
    <row r="1390" spans="1:16" hidden="1" x14ac:dyDescent="0.2">
      <c r="A1390" s="73">
        <v>67260</v>
      </c>
      <c r="B1390" t="s">
        <v>423</v>
      </c>
      <c r="C1390" s="73" t="s">
        <v>424</v>
      </c>
      <c r="D1390" t="s">
        <v>506</v>
      </c>
      <c r="E1390" s="74">
        <v>45966</v>
      </c>
      <c r="F1390" t="s">
        <v>353</v>
      </c>
      <c r="G1390" t="s">
        <v>354</v>
      </c>
      <c r="H1390" s="75">
        <f t="shared" si="21"/>
        <v>69.362748319220188</v>
      </c>
      <c r="I1390" s="74">
        <v>45966</v>
      </c>
      <c r="J1390">
        <v>2</v>
      </c>
      <c r="K1390" t="s">
        <v>514</v>
      </c>
      <c r="L1390" t="s">
        <v>355</v>
      </c>
      <c r="M1390" t="s">
        <v>356</v>
      </c>
      <c r="N1390" s="73">
        <v>67260</v>
      </c>
      <c r="O1390" s="73">
        <v>67260</v>
      </c>
      <c r="P1390">
        <v>34.681374159610094</v>
      </c>
    </row>
    <row r="1391" spans="1:16" x14ac:dyDescent="0.2">
      <c r="A1391" s="73">
        <v>67262</v>
      </c>
      <c r="B1391" t="s">
        <v>350</v>
      </c>
      <c r="C1391" s="73" t="s">
        <v>421</v>
      </c>
      <c r="D1391" t="s">
        <v>422</v>
      </c>
      <c r="E1391" s="74">
        <v>45986</v>
      </c>
      <c r="F1391" t="s">
        <v>414</v>
      </c>
      <c r="G1391" t="s">
        <v>415</v>
      </c>
      <c r="H1391" s="75">
        <f t="shared" si="21"/>
        <v>294.79168035668579</v>
      </c>
      <c r="I1391" s="74">
        <v>45986</v>
      </c>
      <c r="J1391">
        <v>8.5</v>
      </c>
      <c r="K1391" t="s">
        <v>514</v>
      </c>
      <c r="L1391" t="s">
        <v>262</v>
      </c>
      <c r="M1391" t="s">
        <v>356</v>
      </c>
      <c r="N1391" s="73">
        <v>67262</v>
      </c>
      <c r="O1391" s="73">
        <v>67262</v>
      </c>
      <c r="P1391">
        <v>34.681374159610094</v>
      </c>
    </row>
    <row r="1392" spans="1:16" hidden="1" x14ac:dyDescent="0.2">
      <c r="A1392" s="73">
        <v>67260</v>
      </c>
      <c r="B1392" t="s">
        <v>423</v>
      </c>
      <c r="C1392" s="73" t="s">
        <v>424</v>
      </c>
      <c r="D1392" t="s">
        <v>506</v>
      </c>
      <c r="E1392" s="74">
        <v>45966</v>
      </c>
      <c r="F1392" t="s">
        <v>370</v>
      </c>
      <c r="G1392" t="s">
        <v>371</v>
      </c>
      <c r="H1392" s="75">
        <f t="shared" si="21"/>
        <v>138.72549663844038</v>
      </c>
      <c r="I1392" s="74">
        <v>45966</v>
      </c>
      <c r="J1392">
        <v>4</v>
      </c>
      <c r="K1392" t="s">
        <v>514</v>
      </c>
      <c r="L1392" t="s">
        <v>262</v>
      </c>
      <c r="M1392" t="s">
        <v>356</v>
      </c>
      <c r="N1392" s="73">
        <v>67260</v>
      </c>
      <c r="O1392" s="73">
        <v>67260</v>
      </c>
      <c r="P1392">
        <v>34.681374159610094</v>
      </c>
    </row>
    <row r="1393" spans="1:16" hidden="1" x14ac:dyDescent="0.2">
      <c r="A1393" s="73">
        <v>67260</v>
      </c>
      <c r="B1393" t="s">
        <v>423</v>
      </c>
      <c r="C1393" s="73" t="s">
        <v>424</v>
      </c>
      <c r="D1393" t="s">
        <v>506</v>
      </c>
      <c r="E1393" s="74">
        <v>45967</v>
      </c>
      <c r="F1393" t="s">
        <v>353</v>
      </c>
      <c r="G1393" t="s">
        <v>354</v>
      </c>
      <c r="H1393" s="75">
        <f t="shared" si="21"/>
        <v>69.362748319220188</v>
      </c>
      <c r="I1393" s="74">
        <v>45967</v>
      </c>
      <c r="J1393">
        <v>2</v>
      </c>
      <c r="K1393" t="s">
        <v>514</v>
      </c>
      <c r="L1393" t="s">
        <v>355</v>
      </c>
      <c r="M1393" t="s">
        <v>356</v>
      </c>
      <c r="N1393" s="73">
        <v>67260</v>
      </c>
      <c r="O1393" s="73">
        <v>67260</v>
      </c>
      <c r="P1393">
        <v>34.681374159610094</v>
      </c>
    </row>
    <row r="1394" spans="1:16" hidden="1" x14ac:dyDescent="0.2">
      <c r="A1394" s="73">
        <v>67260</v>
      </c>
      <c r="B1394" t="s">
        <v>423</v>
      </c>
      <c r="C1394" s="73" t="s">
        <v>424</v>
      </c>
      <c r="D1394" t="s">
        <v>506</v>
      </c>
      <c r="E1394" s="74">
        <v>45967</v>
      </c>
      <c r="F1394" t="s">
        <v>360</v>
      </c>
      <c r="G1394" t="s">
        <v>361</v>
      </c>
      <c r="H1394" s="75">
        <f t="shared" si="21"/>
        <v>208.08824495766055</v>
      </c>
      <c r="I1394" s="74">
        <v>45967</v>
      </c>
      <c r="J1394">
        <v>6</v>
      </c>
      <c r="K1394" t="s">
        <v>514</v>
      </c>
      <c r="L1394" t="s">
        <v>262</v>
      </c>
      <c r="M1394" t="s">
        <v>356</v>
      </c>
      <c r="N1394" s="73">
        <v>67260</v>
      </c>
      <c r="O1394" s="73">
        <v>67260</v>
      </c>
      <c r="P1394">
        <v>34.681374159610094</v>
      </c>
    </row>
    <row r="1395" spans="1:16" hidden="1" x14ac:dyDescent="0.2">
      <c r="A1395" s="73">
        <v>67260</v>
      </c>
      <c r="B1395" t="s">
        <v>423</v>
      </c>
      <c r="C1395" s="73" t="s">
        <v>424</v>
      </c>
      <c r="D1395" t="s">
        <v>506</v>
      </c>
      <c r="E1395" s="74">
        <v>45967</v>
      </c>
      <c r="F1395" t="s">
        <v>410</v>
      </c>
      <c r="G1395" t="s">
        <v>411</v>
      </c>
      <c r="H1395" s="75">
        <f t="shared" si="21"/>
        <v>208.08824495766055</v>
      </c>
      <c r="I1395" s="74">
        <v>45967</v>
      </c>
      <c r="J1395">
        <v>6</v>
      </c>
      <c r="K1395" t="s">
        <v>514</v>
      </c>
      <c r="L1395" t="s">
        <v>262</v>
      </c>
      <c r="M1395" t="s">
        <v>356</v>
      </c>
      <c r="N1395" s="73">
        <v>67260</v>
      </c>
      <c r="O1395" s="73">
        <v>67260</v>
      </c>
      <c r="P1395">
        <v>34.681374159610094</v>
      </c>
    </row>
    <row r="1396" spans="1:16" hidden="1" x14ac:dyDescent="0.2">
      <c r="A1396" s="73">
        <v>67260</v>
      </c>
      <c r="B1396" t="s">
        <v>423</v>
      </c>
      <c r="C1396" s="73" t="s">
        <v>424</v>
      </c>
      <c r="D1396" t="s">
        <v>506</v>
      </c>
      <c r="E1396" s="74">
        <v>45967</v>
      </c>
      <c r="F1396" t="s">
        <v>398</v>
      </c>
      <c r="G1396" t="s">
        <v>399</v>
      </c>
      <c r="H1396" s="75">
        <f t="shared" si="21"/>
        <v>208.08824495766055</v>
      </c>
      <c r="I1396" s="74">
        <v>45967</v>
      </c>
      <c r="J1396">
        <v>6</v>
      </c>
      <c r="K1396" t="s">
        <v>514</v>
      </c>
      <c r="L1396" t="s">
        <v>367</v>
      </c>
      <c r="M1396" t="s">
        <v>356</v>
      </c>
      <c r="N1396" s="73">
        <v>67260</v>
      </c>
      <c r="O1396" s="73">
        <v>67260</v>
      </c>
      <c r="P1396">
        <v>34.681374159610094</v>
      </c>
    </row>
    <row r="1397" spans="1:16" hidden="1" x14ac:dyDescent="0.2">
      <c r="A1397" s="73">
        <v>67260</v>
      </c>
      <c r="B1397" t="s">
        <v>423</v>
      </c>
      <c r="C1397" s="73" t="s">
        <v>424</v>
      </c>
      <c r="D1397" t="s">
        <v>506</v>
      </c>
      <c r="E1397" s="74">
        <v>45967</v>
      </c>
      <c r="F1397" t="s">
        <v>357</v>
      </c>
      <c r="G1397" t="s">
        <v>358</v>
      </c>
      <c r="H1397" s="75">
        <f t="shared" si="21"/>
        <v>173.40687079805048</v>
      </c>
      <c r="I1397" s="74">
        <v>45967</v>
      </c>
      <c r="J1397">
        <v>5</v>
      </c>
      <c r="K1397" t="s">
        <v>514</v>
      </c>
      <c r="L1397" t="s">
        <v>359</v>
      </c>
      <c r="M1397" t="s">
        <v>356</v>
      </c>
      <c r="N1397" s="73">
        <v>67260</v>
      </c>
      <c r="O1397" s="73">
        <v>67260</v>
      </c>
      <c r="P1397">
        <v>34.681374159610094</v>
      </c>
    </row>
    <row r="1398" spans="1:16" hidden="1" x14ac:dyDescent="0.2">
      <c r="A1398" s="73">
        <v>67260</v>
      </c>
      <c r="B1398" t="s">
        <v>423</v>
      </c>
      <c r="C1398" s="73" t="s">
        <v>424</v>
      </c>
      <c r="D1398" t="s">
        <v>506</v>
      </c>
      <c r="E1398" s="74">
        <v>45967</v>
      </c>
      <c r="F1398" t="s">
        <v>360</v>
      </c>
      <c r="G1398" t="s">
        <v>361</v>
      </c>
      <c r="H1398" s="75">
        <f t="shared" si="21"/>
        <v>-208.08824495766055</v>
      </c>
      <c r="I1398" s="74">
        <v>45967</v>
      </c>
      <c r="J1398">
        <v>-6</v>
      </c>
      <c r="K1398" t="s">
        <v>514</v>
      </c>
      <c r="L1398" t="s">
        <v>262</v>
      </c>
      <c r="M1398" t="s">
        <v>356</v>
      </c>
      <c r="N1398" s="73">
        <v>67260</v>
      </c>
      <c r="O1398" s="73">
        <v>67260</v>
      </c>
      <c r="P1398">
        <v>34.681374159610094</v>
      </c>
    </row>
    <row r="1399" spans="1:16" hidden="1" x14ac:dyDescent="0.2">
      <c r="A1399" s="73">
        <v>67260</v>
      </c>
      <c r="B1399" t="s">
        <v>423</v>
      </c>
      <c r="C1399" s="73" t="s">
        <v>424</v>
      </c>
      <c r="D1399" t="s">
        <v>506</v>
      </c>
      <c r="E1399" s="74">
        <v>45967</v>
      </c>
      <c r="F1399" t="s">
        <v>360</v>
      </c>
      <c r="G1399" t="s">
        <v>361</v>
      </c>
      <c r="H1399" s="75">
        <f t="shared" si="21"/>
        <v>277.45099327688075</v>
      </c>
      <c r="I1399" s="74">
        <v>45967</v>
      </c>
      <c r="J1399">
        <v>8</v>
      </c>
      <c r="K1399" t="s">
        <v>514</v>
      </c>
      <c r="L1399" t="s">
        <v>262</v>
      </c>
      <c r="M1399" t="s">
        <v>356</v>
      </c>
      <c r="N1399" s="73">
        <v>67260</v>
      </c>
      <c r="O1399" s="73">
        <v>67260</v>
      </c>
      <c r="P1399">
        <v>34.681374159610094</v>
      </c>
    </row>
    <row r="1400" spans="1:16" hidden="1" x14ac:dyDescent="0.2">
      <c r="A1400" s="73">
        <v>67260</v>
      </c>
      <c r="B1400" t="s">
        <v>423</v>
      </c>
      <c r="C1400" s="73" t="s">
        <v>424</v>
      </c>
      <c r="D1400" t="s">
        <v>506</v>
      </c>
      <c r="E1400" s="74">
        <v>45967</v>
      </c>
      <c r="F1400" t="s">
        <v>410</v>
      </c>
      <c r="G1400" t="s">
        <v>411</v>
      </c>
      <c r="H1400" s="75">
        <f t="shared" si="21"/>
        <v>-208.08824495766055</v>
      </c>
      <c r="I1400" s="74">
        <v>45967</v>
      </c>
      <c r="J1400">
        <v>-6</v>
      </c>
      <c r="K1400" t="s">
        <v>514</v>
      </c>
      <c r="L1400" t="s">
        <v>262</v>
      </c>
      <c r="M1400" t="s">
        <v>356</v>
      </c>
      <c r="N1400" s="73">
        <v>67260</v>
      </c>
      <c r="O1400" s="73">
        <v>67260</v>
      </c>
      <c r="P1400">
        <v>34.681374159610094</v>
      </c>
    </row>
    <row r="1401" spans="1:16" hidden="1" x14ac:dyDescent="0.2">
      <c r="A1401" s="73">
        <v>67260</v>
      </c>
      <c r="B1401" t="s">
        <v>423</v>
      </c>
      <c r="C1401" s="73" t="s">
        <v>424</v>
      </c>
      <c r="D1401" t="s">
        <v>506</v>
      </c>
      <c r="E1401" s="74">
        <v>45967</v>
      </c>
      <c r="F1401" t="s">
        <v>410</v>
      </c>
      <c r="G1401" t="s">
        <v>411</v>
      </c>
      <c r="H1401" s="75">
        <f t="shared" si="21"/>
        <v>277.45099327688075</v>
      </c>
      <c r="I1401" s="74">
        <v>45967</v>
      </c>
      <c r="J1401">
        <v>8</v>
      </c>
      <c r="K1401" t="s">
        <v>514</v>
      </c>
      <c r="L1401" t="s">
        <v>262</v>
      </c>
      <c r="M1401" t="s">
        <v>356</v>
      </c>
      <c r="N1401" s="73">
        <v>67260</v>
      </c>
      <c r="O1401" s="73">
        <v>67260</v>
      </c>
      <c r="P1401">
        <v>34.681374159610094</v>
      </c>
    </row>
    <row r="1402" spans="1:16" hidden="1" x14ac:dyDescent="0.2">
      <c r="A1402" s="73">
        <v>67260</v>
      </c>
      <c r="B1402" t="s">
        <v>423</v>
      </c>
      <c r="C1402" s="73" t="s">
        <v>424</v>
      </c>
      <c r="D1402" t="s">
        <v>506</v>
      </c>
      <c r="E1402" s="74">
        <v>45967</v>
      </c>
      <c r="F1402" t="s">
        <v>398</v>
      </c>
      <c r="G1402" t="s">
        <v>399</v>
      </c>
      <c r="H1402" s="75">
        <f t="shared" si="21"/>
        <v>-208.08824495766055</v>
      </c>
      <c r="I1402" s="74">
        <v>45967</v>
      </c>
      <c r="J1402">
        <v>-6</v>
      </c>
      <c r="K1402" t="s">
        <v>514</v>
      </c>
      <c r="L1402" t="s">
        <v>367</v>
      </c>
      <c r="M1402" t="s">
        <v>356</v>
      </c>
      <c r="N1402" s="73">
        <v>67260</v>
      </c>
      <c r="O1402" s="73">
        <v>67260</v>
      </c>
      <c r="P1402">
        <v>34.681374159610094</v>
      </c>
    </row>
    <row r="1403" spans="1:16" hidden="1" x14ac:dyDescent="0.2">
      <c r="A1403" s="73">
        <v>67260</v>
      </c>
      <c r="B1403" t="s">
        <v>423</v>
      </c>
      <c r="C1403" s="73" t="s">
        <v>424</v>
      </c>
      <c r="D1403" t="s">
        <v>506</v>
      </c>
      <c r="E1403" s="74">
        <v>45967</v>
      </c>
      <c r="F1403" t="s">
        <v>398</v>
      </c>
      <c r="G1403" t="s">
        <v>399</v>
      </c>
      <c r="H1403" s="75">
        <f t="shared" si="21"/>
        <v>277.45099327688075</v>
      </c>
      <c r="I1403" s="74">
        <v>45967</v>
      </c>
      <c r="J1403">
        <v>8</v>
      </c>
      <c r="K1403" t="s">
        <v>514</v>
      </c>
      <c r="L1403" t="s">
        <v>367</v>
      </c>
      <c r="M1403" t="s">
        <v>356</v>
      </c>
      <c r="N1403" s="73">
        <v>67260</v>
      </c>
      <c r="O1403" s="73">
        <v>67260</v>
      </c>
      <c r="P1403">
        <v>34.681374159610094</v>
      </c>
    </row>
    <row r="1404" spans="1:16" hidden="1" x14ac:dyDescent="0.2">
      <c r="A1404" s="73">
        <v>67260</v>
      </c>
      <c r="B1404" t="s">
        <v>423</v>
      </c>
      <c r="C1404" s="73" t="s">
        <v>424</v>
      </c>
      <c r="D1404" t="s">
        <v>506</v>
      </c>
      <c r="E1404" s="74">
        <v>45967</v>
      </c>
      <c r="F1404" t="s">
        <v>353</v>
      </c>
      <c r="G1404" t="s">
        <v>354</v>
      </c>
      <c r="H1404" s="75">
        <f t="shared" si="21"/>
        <v>-69.362748319220188</v>
      </c>
      <c r="I1404" s="74">
        <v>45967</v>
      </c>
      <c r="J1404">
        <v>-2</v>
      </c>
      <c r="K1404" t="s">
        <v>514</v>
      </c>
      <c r="L1404" t="s">
        <v>355</v>
      </c>
      <c r="M1404" t="s">
        <v>356</v>
      </c>
      <c r="N1404" s="73">
        <v>67260</v>
      </c>
      <c r="O1404" s="73">
        <v>67260</v>
      </c>
      <c r="P1404">
        <v>34.681374159610094</v>
      </c>
    </row>
    <row r="1405" spans="1:16" hidden="1" x14ac:dyDescent="0.2">
      <c r="A1405" s="73">
        <v>67260</v>
      </c>
      <c r="B1405" t="s">
        <v>423</v>
      </c>
      <c r="C1405" s="73" t="s">
        <v>424</v>
      </c>
      <c r="D1405" t="s">
        <v>506</v>
      </c>
      <c r="E1405" s="74">
        <v>45967</v>
      </c>
      <c r="F1405" t="s">
        <v>353</v>
      </c>
      <c r="G1405" t="s">
        <v>354</v>
      </c>
      <c r="H1405" s="75">
        <f t="shared" si="21"/>
        <v>138.72549663844038</v>
      </c>
      <c r="I1405" s="74">
        <v>45967</v>
      </c>
      <c r="J1405">
        <v>4</v>
      </c>
      <c r="K1405" t="s">
        <v>514</v>
      </c>
      <c r="L1405" t="s">
        <v>355</v>
      </c>
      <c r="M1405" t="s">
        <v>356</v>
      </c>
      <c r="N1405" s="73">
        <v>67260</v>
      </c>
      <c r="O1405" s="73">
        <v>67260</v>
      </c>
      <c r="P1405">
        <v>34.681374159610094</v>
      </c>
    </row>
    <row r="1406" spans="1:16" x14ac:dyDescent="0.2">
      <c r="A1406" s="73">
        <v>67262</v>
      </c>
      <c r="B1406" t="s">
        <v>350</v>
      </c>
      <c r="C1406" s="73" t="s">
        <v>421</v>
      </c>
      <c r="D1406" t="s">
        <v>422</v>
      </c>
      <c r="E1406" s="74">
        <v>45987</v>
      </c>
      <c r="F1406" t="s">
        <v>414</v>
      </c>
      <c r="G1406" t="s">
        <v>415</v>
      </c>
      <c r="H1406" s="75">
        <f t="shared" si="21"/>
        <v>294.79168035668579</v>
      </c>
      <c r="I1406" s="74">
        <v>45987</v>
      </c>
      <c r="J1406">
        <v>8.5</v>
      </c>
      <c r="K1406" t="s">
        <v>514</v>
      </c>
      <c r="L1406" t="s">
        <v>262</v>
      </c>
      <c r="M1406" t="s">
        <v>356</v>
      </c>
      <c r="N1406" s="73">
        <v>67262</v>
      </c>
      <c r="O1406" s="73">
        <v>67262</v>
      </c>
      <c r="P1406">
        <v>34.681374159610094</v>
      </c>
    </row>
    <row r="1407" spans="1:16" hidden="1" x14ac:dyDescent="0.2">
      <c r="A1407" s="73">
        <v>67260</v>
      </c>
      <c r="B1407" t="s">
        <v>423</v>
      </c>
      <c r="C1407" s="73" t="s">
        <v>424</v>
      </c>
      <c r="D1407" t="s">
        <v>506</v>
      </c>
      <c r="E1407" s="74">
        <v>45967</v>
      </c>
      <c r="F1407" t="s">
        <v>370</v>
      </c>
      <c r="G1407" t="s">
        <v>371</v>
      </c>
      <c r="H1407" s="75">
        <f t="shared" si="21"/>
        <v>242.76961911727065</v>
      </c>
      <c r="I1407" s="74">
        <v>45967</v>
      </c>
      <c r="J1407">
        <v>7</v>
      </c>
      <c r="K1407" t="s">
        <v>514</v>
      </c>
      <c r="L1407" t="s">
        <v>262</v>
      </c>
      <c r="M1407" t="s">
        <v>356</v>
      </c>
      <c r="N1407" s="73">
        <v>67260</v>
      </c>
      <c r="O1407" s="73">
        <v>67260</v>
      </c>
      <c r="P1407">
        <v>34.681374159610094</v>
      </c>
    </row>
    <row r="1408" spans="1:16" hidden="1" x14ac:dyDescent="0.2">
      <c r="A1408" s="73">
        <v>67260</v>
      </c>
      <c r="B1408" t="s">
        <v>423</v>
      </c>
      <c r="C1408" s="73" t="s">
        <v>424</v>
      </c>
      <c r="D1408" t="s">
        <v>506</v>
      </c>
      <c r="E1408" s="74">
        <v>45968</v>
      </c>
      <c r="F1408" t="s">
        <v>353</v>
      </c>
      <c r="G1408" t="s">
        <v>354</v>
      </c>
      <c r="H1408" s="75">
        <f t="shared" si="21"/>
        <v>138.72549663844038</v>
      </c>
      <c r="I1408" s="74">
        <v>45968</v>
      </c>
      <c r="J1408">
        <v>4</v>
      </c>
      <c r="K1408" t="s">
        <v>514</v>
      </c>
      <c r="L1408" t="s">
        <v>355</v>
      </c>
      <c r="M1408" t="s">
        <v>356</v>
      </c>
      <c r="N1408" s="73">
        <v>67260</v>
      </c>
      <c r="O1408" s="73">
        <v>67260</v>
      </c>
      <c r="P1408">
        <v>34.681374159610094</v>
      </c>
    </row>
    <row r="1409" spans="1:16" hidden="1" x14ac:dyDescent="0.2">
      <c r="A1409" s="73">
        <v>67260</v>
      </c>
      <c r="B1409" t="s">
        <v>423</v>
      </c>
      <c r="C1409" s="73" t="s">
        <v>424</v>
      </c>
      <c r="D1409" t="s">
        <v>506</v>
      </c>
      <c r="E1409" s="74">
        <v>45968</v>
      </c>
      <c r="F1409" t="s">
        <v>360</v>
      </c>
      <c r="G1409" t="s">
        <v>361</v>
      </c>
      <c r="H1409" s="75">
        <f t="shared" si="21"/>
        <v>208.08824495766055</v>
      </c>
      <c r="I1409" s="74">
        <v>45968</v>
      </c>
      <c r="J1409">
        <v>6</v>
      </c>
      <c r="K1409" t="s">
        <v>514</v>
      </c>
      <c r="L1409" t="s">
        <v>262</v>
      </c>
      <c r="M1409" t="s">
        <v>356</v>
      </c>
      <c r="N1409" s="73">
        <v>67260</v>
      </c>
      <c r="O1409" s="73">
        <v>67260</v>
      </c>
      <c r="P1409">
        <v>34.681374159610094</v>
      </c>
    </row>
    <row r="1410" spans="1:16" hidden="1" x14ac:dyDescent="0.2">
      <c r="A1410" s="73">
        <v>67260</v>
      </c>
      <c r="B1410" t="s">
        <v>423</v>
      </c>
      <c r="C1410" s="73" t="s">
        <v>424</v>
      </c>
      <c r="D1410" t="s">
        <v>506</v>
      </c>
      <c r="E1410" s="74">
        <v>45968</v>
      </c>
      <c r="F1410" t="s">
        <v>410</v>
      </c>
      <c r="G1410" t="s">
        <v>411</v>
      </c>
      <c r="H1410" s="75">
        <f t="shared" ref="H1410:H1473" si="22">J1410*P1410</f>
        <v>208.08824495766055</v>
      </c>
      <c r="I1410" s="74">
        <v>45968</v>
      </c>
      <c r="J1410">
        <v>6</v>
      </c>
      <c r="K1410" t="s">
        <v>514</v>
      </c>
      <c r="L1410" t="s">
        <v>262</v>
      </c>
      <c r="M1410" t="s">
        <v>356</v>
      </c>
      <c r="N1410" s="73">
        <v>67260</v>
      </c>
      <c r="O1410" s="73">
        <v>67260</v>
      </c>
      <c r="P1410">
        <v>34.681374159610094</v>
      </c>
    </row>
    <row r="1411" spans="1:16" x14ac:dyDescent="0.2">
      <c r="A1411" s="73">
        <v>67262</v>
      </c>
      <c r="B1411" t="s">
        <v>350</v>
      </c>
      <c r="C1411" s="73" t="s">
        <v>421</v>
      </c>
      <c r="D1411" t="s">
        <v>422</v>
      </c>
      <c r="E1411" s="74">
        <v>45988</v>
      </c>
      <c r="F1411" t="s">
        <v>414</v>
      </c>
      <c r="G1411" t="s">
        <v>415</v>
      </c>
      <c r="H1411" s="75">
        <f t="shared" si="22"/>
        <v>294.79168035668579</v>
      </c>
      <c r="I1411" s="74">
        <v>45988</v>
      </c>
      <c r="J1411">
        <v>8.5</v>
      </c>
      <c r="K1411" t="s">
        <v>514</v>
      </c>
      <c r="L1411" t="s">
        <v>262</v>
      </c>
      <c r="M1411" t="s">
        <v>356</v>
      </c>
      <c r="N1411" s="73">
        <v>67262</v>
      </c>
      <c r="O1411" s="73">
        <v>67262</v>
      </c>
      <c r="P1411">
        <v>34.681374159610094</v>
      </c>
    </row>
    <row r="1412" spans="1:16" hidden="1" x14ac:dyDescent="0.2">
      <c r="A1412" s="73">
        <v>67260</v>
      </c>
      <c r="B1412" t="s">
        <v>423</v>
      </c>
      <c r="C1412" s="73" t="s">
        <v>424</v>
      </c>
      <c r="D1412" t="s">
        <v>506</v>
      </c>
      <c r="E1412" s="74">
        <v>45968</v>
      </c>
      <c r="F1412" t="s">
        <v>357</v>
      </c>
      <c r="G1412" t="s">
        <v>358</v>
      </c>
      <c r="H1412" s="75">
        <f t="shared" si="22"/>
        <v>173.40687079805048</v>
      </c>
      <c r="I1412" s="74">
        <v>45968</v>
      </c>
      <c r="J1412">
        <v>5</v>
      </c>
      <c r="K1412" t="s">
        <v>514</v>
      </c>
      <c r="L1412" t="s">
        <v>359</v>
      </c>
      <c r="M1412" t="s">
        <v>356</v>
      </c>
      <c r="N1412" s="73">
        <v>67260</v>
      </c>
      <c r="O1412" s="73">
        <v>67260</v>
      </c>
      <c r="P1412">
        <v>34.681374159610094</v>
      </c>
    </row>
    <row r="1413" spans="1:16" hidden="1" x14ac:dyDescent="0.2">
      <c r="A1413" s="73">
        <v>67260</v>
      </c>
      <c r="B1413" t="s">
        <v>423</v>
      </c>
      <c r="C1413" s="73" t="s">
        <v>424</v>
      </c>
      <c r="D1413" t="s">
        <v>506</v>
      </c>
      <c r="E1413" s="74">
        <v>45968</v>
      </c>
      <c r="F1413" t="s">
        <v>360</v>
      </c>
      <c r="G1413" t="s">
        <v>361</v>
      </c>
      <c r="H1413" s="75">
        <f t="shared" si="22"/>
        <v>-208.08824495766055</v>
      </c>
      <c r="I1413" s="74">
        <v>45968</v>
      </c>
      <c r="J1413">
        <v>-6</v>
      </c>
      <c r="K1413" t="s">
        <v>514</v>
      </c>
      <c r="L1413" t="s">
        <v>262</v>
      </c>
      <c r="M1413" t="s">
        <v>356</v>
      </c>
      <c r="N1413" s="73">
        <v>67260</v>
      </c>
      <c r="O1413" s="73">
        <v>67260</v>
      </c>
      <c r="P1413">
        <v>34.681374159610094</v>
      </c>
    </row>
    <row r="1414" spans="1:16" hidden="1" x14ac:dyDescent="0.2">
      <c r="A1414" s="73">
        <v>67260</v>
      </c>
      <c r="B1414" t="s">
        <v>423</v>
      </c>
      <c r="C1414" s="73" t="s">
        <v>424</v>
      </c>
      <c r="D1414" t="s">
        <v>506</v>
      </c>
      <c r="E1414" s="74">
        <v>45968</v>
      </c>
      <c r="F1414" t="s">
        <v>360</v>
      </c>
      <c r="G1414" t="s">
        <v>361</v>
      </c>
      <c r="H1414" s="75">
        <f t="shared" si="22"/>
        <v>277.45099327688075</v>
      </c>
      <c r="I1414" s="74">
        <v>45968</v>
      </c>
      <c r="J1414">
        <v>8</v>
      </c>
      <c r="K1414" t="s">
        <v>514</v>
      </c>
      <c r="L1414" t="s">
        <v>262</v>
      </c>
      <c r="M1414" t="s">
        <v>356</v>
      </c>
      <c r="N1414" s="73">
        <v>67260</v>
      </c>
      <c r="O1414" s="73">
        <v>67260</v>
      </c>
      <c r="P1414">
        <v>34.681374159610094</v>
      </c>
    </row>
    <row r="1415" spans="1:16" hidden="1" x14ac:dyDescent="0.2">
      <c r="A1415" s="73">
        <v>67260</v>
      </c>
      <c r="B1415" t="s">
        <v>423</v>
      </c>
      <c r="C1415" s="73" t="s">
        <v>424</v>
      </c>
      <c r="D1415" t="s">
        <v>506</v>
      </c>
      <c r="E1415" s="74">
        <v>45968</v>
      </c>
      <c r="F1415" t="s">
        <v>410</v>
      </c>
      <c r="G1415" t="s">
        <v>411</v>
      </c>
      <c r="H1415" s="75">
        <f t="shared" si="22"/>
        <v>-208.08824495766055</v>
      </c>
      <c r="I1415" s="74">
        <v>45968</v>
      </c>
      <c r="J1415">
        <v>-6</v>
      </c>
      <c r="K1415" t="s">
        <v>514</v>
      </c>
      <c r="L1415" t="s">
        <v>262</v>
      </c>
      <c r="M1415" t="s">
        <v>356</v>
      </c>
      <c r="N1415" s="73">
        <v>67260</v>
      </c>
      <c r="O1415" s="73">
        <v>67260</v>
      </c>
      <c r="P1415">
        <v>34.681374159610094</v>
      </c>
    </row>
    <row r="1416" spans="1:16" hidden="1" x14ac:dyDescent="0.2">
      <c r="A1416" s="73">
        <v>67260</v>
      </c>
      <c r="B1416" t="s">
        <v>423</v>
      </c>
      <c r="C1416" s="73" t="s">
        <v>424</v>
      </c>
      <c r="D1416" t="s">
        <v>506</v>
      </c>
      <c r="E1416" s="74">
        <v>45968</v>
      </c>
      <c r="F1416" t="s">
        <v>410</v>
      </c>
      <c r="G1416" t="s">
        <v>411</v>
      </c>
      <c r="H1416" s="75">
        <f t="shared" si="22"/>
        <v>277.45099327688075</v>
      </c>
      <c r="I1416" s="74">
        <v>45968</v>
      </c>
      <c r="J1416">
        <v>8</v>
      </c>
      <c r="K1416" t="s">
        <v>514</v>
      </c>
      <c r="L1416" t="s">
        <v>262</v>
      </c>
      <c r="M1416" t="s">
        <v>356</v>
      </c>
      <c r="N1416" s="73">
        <v>67260</v>
      </c>
      <c r="O1416" s="73">
        <v>67260</v>
      </c>
      <c r="P1416">
        <v>34.681374159610094</v>
      </c>
    </row>
    <row r="1417" spans="1:16" hidden="1" x14ac:dyDescent="0.2">
      <c r="A1417" s="73">
        <v>67260</v>
      </c>
      <c r="B1417" t="s">
        <v>423</v>
      </c>
      <c r="C1417" s="73" t="s">
        <v>424</v>
      </c>
      <c r="D1417" t="s">
        <v>506</v>
      </c>
      <c r="E1417" s="74">
        <v>45968</v>
      </c>
      <c r="F1417" t="s">
        <v>353</v>
      </c>
      <c r="G1417" t="s">
        <v>354</v>
      </c>
      <c r="H1417" s="75">
        <f t="shared" si="22"/>
        <v>-138.72549663844038</v>
      </c>
      <c r="I1417" s="74">
        <v>45968</v>
      </c>
      <c r="J1417">
        <v>-4</v>
      </c>
      <c r="K1417" t="s">
        <v>514</v>
      </c>
      <c r="L1417" t="s">
        <v>355</v>
      </c>
      <c r="M1417" t="s">
        <v>356</v>
      </c>
      <c r="N1417" s="73">
        <v>67260</v>
      </c>
      <c r="O1417" s="73">
        <v>67260</v>
      </c>
      <c r="P1417">
        <v>34.681374159610094</v>
      </c>
    </row>
    <row r="1418" spans="1:16" hidden="1" x14ac:dyDescent="0.2">
      <c r="A1418" s="73">
        <v>67260</v>
      </c>
      <c r="B1418" t="s">
        <v>423</v>
      </c>
      <c r="C1418" s="73" t="s">
        <v>424</v>
      </c>
      <c r="D1418" t="s">
        <v>506</v>
      </c>
      <c r="E1418" s="74">
        <v>45968</v>
      </c>
      <c r="F1418" t="s">
        <v>353</v>
      </c>
      <c r="G1418" t="s">
        <v>354</v>
      </c>
      <c r="H1418" s="75">
        <f t="shared" si="22"/>
        <v>208.08824495766055</v>
      </c>
      <c r="I1418" s="74">
        <v>45968</v>
      </c>
      <c r="J1418">
        <v>6</v>
      </c>
      <c r="K1418" t="s">
        <v>514</v>
      </c>
      <c r="L1418" t="s">
        <v>355</v>
      </c>
      <c r="M1418" t="s">
        <v>356</v>
      </c>
      <c r="N1418" s="73">
        <v>67260</v>
      </c>
      <c r="O1418" s="73">
        <v>67260</v>
      </c>
      <c r="P1418">
        <v>34.681374159610094</v>
      </c>
    </row>
    <row r="1419" spans="1:16" x14ac:dyDescent="0.2">
      <c r="A1419" s="73">
        <v>67262</v>
      </c>
      <c r="B1419" t="s">
        <v>350</v>
      </c>
      <c r="C1419" s="73" t="s">
        <v>421</v>
      </c>
      <c r="D1419" t="s">
        <v>422</v>
      </c>
      <c r="E1419" s="74">
        <v>45992</v>
      </c>
      <c r="F1419" t="s">
        <v>414</v>
      </c>
      <c r="G1419" t="s">
        <v>415</v>
      </c>
      <c r="H1419" s="75">
        <f t="shared" si="22"/>
        <v>294.79168035668579</v>
      </c>
      <c r="I1419" s="74">
        <v>45992</v>
      </c>
      <c r="J1419">
        <v>8.5</v>
      </c>
      <c r="K1419" t="s">
        <v>515</v>
      </c>
      <c r="L1419" t="s">
        <v>262</v>
      </c>
      <c r="M1419" t="s">
        <v>356</v>
      </c>
      <c r="N1419" s="73">
        <v>67262</v>
      </c>
      <c r="O1419" s="73">
        <v>67262</v>
      </c>
      <c r="P1419">
        <v>34.681374159610094</v>
      </c>
    </row>
    <row r="1420" spans="1:16" hidden="1" x14ac:dyDescent="0.2">
      <c r="A1420" s="73">
        <v>67260</v>
      </c>
      <c r="B1420" t="s">
        <v>423</v>
      </c>
      <c r="C1420" s="73" t="s">
        <v>424</v>
      </c>
      <c r="D1420" t="s">
        <v>506</v>
      </c>
      <c r="E1420" s="74">
        <v>45968</v>
      </c>
      <c r="F1420" t="s">
        <v>370</v>
      </c>
      <c r="G1420" t="s">
        <v>371</v>
      </c>
      <c r="H1420" s="75">
        <f t="shared" si="22"/>
        <v>277.45099327688075</v>
      </c>
      <c r="I1420" s="74">
        <v>45968</v>
      </c>
      <c r="J1420">
        <v>8</v>
      </c>
      <c r="K1420" t="s">
        <v>514</v>
      </c>
      <c r="L1420" t="s">
        <v>262</v>
      </c>
      <c r="M1420" t="s">
        <v>356</v>
      </c>
      <c r="N1420" s="73">
        <v>67260</v>
      </c>
      <c r="O1420" s="73">
        <v>67260</v>
      </c>
      <c r="P1420">
        <v>34.681374159610094</v>
      </c>
    </row>
    <row r="1421" spans="1:16" hidden="1" x14ac:dyDescent="0.2">
      <c r="A1421" s="73">
        <v>67260</v>
      </c>
      <c r="B1421" t="s">
        <v>423</v>
      </c>
      <c r="C1421" s="73" t="s">
        <v>424</v>
      </c>
      <c r="D1421" t="s">
        <v>506</v>
      </c>
      <c r="E1421" s="74">
        <v>45971</v>
      </c>
      <c r="F1421" t="s">
        <v>370</v>
      </c>
      <c r="G1421" t="s">
        <v>371</v>
      </c>
      <c r="H1421" s="75">
        <f t="shared" si="22"/>
        <v>277.45099327688075</v>
      </c>
      <c r="I1421" s="74">
        <v>45971</v>
      </c>
      <c r="J1421">
        <v>8</v>
      </c>
      <c r="K1421" t="s">
        <v>514</v>
      </c>
      <c r="L1421" t="s">
        <v>262</v>
      </c>
      <c r="M1421" t="s">
        <v>356</v>
      </c>
      <c r="N1421" s="73">
        <v>67260</v>
      </c>
      <c r="O1421" s="73">
        <v>67260</v>
      </c>
      <c r="P1421">
        <v>34.681374159610094</v>
      </c>
    </row>
    <row r="1422" spans="1:16" hidden="1" x14ac:dyDescent="0.2">
      <c r="A1422" s="73">
        <v>67260</v>
      </c>
      <c r="B1422" t="s">
        <v>423</v>
      </c>
      <c r="C1422" s="73" t="s">
        <v>424</v>
      </c>
      <c r="D1422" t="s">
        <v>506</v>
      </c>
      <c r="E1422" s="74">
        <v>45971</v>
      </c>
      <c r="F1422" t="s">
        <v>406</v>
      </c>
      <c r="G1422" t="s">
        <v>407</v>
      </c>
      <c r="H1422" s="75">
        <f t="shared" si="22"/>
        <v>138.72549663844038</v>
      </c>
      <c r="I1422" s="74">
        <v>45971</v>
      </c>
      <c r="J1422">
        <v>4</v>
      </c>
      <c r="K1422" t="s">
        <v>514</v>
      </c>
      <c r="L1422" t="s">
        <v>355</v>
      </c>
      <c r="M1422" t="s">
        <v>356</v>
      </c>
      <c r="N1422" s="73">
        <v>67260</v>
      </c>
      <c r="O1422" s="73">
        <v>67260</v>
      </c>
      <c r="P1422">
        <v>34.681374159610094</v>
      </c>
    </row>
    <row r="1423" spans="1:16" hidden="1" x14ac:dyDescent="0.2">
      <c r="A1423" s="73">
        <v>67260</v>
      </c>
      <c r="B1423" t="s">
        <v>423</v>
      </c>
      <c r="C1423" s="73" t="s">
        <v>424</v>
      </c>
      <c r="D1423" t="s">
        <v>506</v>
      </c>
      <c r="E1423" s="74">
        <v>45971</v>
      </c>
      <c r="F1423" t="s">
        <v>398</v>
      </c>
      <c r="G1423" t="s">
        <v>399</v>
      </c>
      <c r="H1423" s="75">
        <f t="shared" si="22"/>
        <v>277.45099327688075</v>
      </c>
      <c r="I1423" s="74">
        <v>45971</v>
      </c>
      <c r="J1423">
        <v>8</v>
      </c>
      <c r="K1423" t="s">
        <v>514</v>
      </c>
      <c r="L1423" t="s">
        <v>367</v>
      </c>
      <c r="M1423" t="s">
        <v>356</v>
      </c>
      <c r="N1423" s="73">
        <v>67260</v>
      </c>
      <c r="O1423" s="73">
        <v>67260</v>
      </c>
      <c r="P1423">
        <v>34.681374159610094</v>
      </c>
    </row>
    <row r="1424" spans="1:16" hidden="1" x14ac:dyDescent="0.2">
      <c r="A1424" s="73">
        <v>67260</v>
      </c>
      <c r="B1424" t="s">
        <v>423</v>
      </c>
      <c r="C1424" s="73" t="s">
        <v>424</v>
      </c>
      <c r="D1424" t="s">
        <v>506</v>
      </c>
      <c r="E1424" s="74">
        <v>45971</v>
      </c>
      <c r="F1424" t="s">
        <v>353</v>
      </c>
      <c r="G1424" t="s">
        <v>354</v>
      </c>
      <c r="H1424" s="75">
        <f t="shared" si="22"/>
        <v>208.08824495766055</v>
      </c>
      <c r="I1424" s="74">
        <v>45971</v>
      </c>
      <c r="J1424">
        <v>6</v>
      </c>
      <c r="K1424" t="s">
        <v>514</v>
      </c>
      <c r="L1424" t="s">
        <v>355</v>
      </c>
      <c r="M1424" t="s">
        <v>356</v>
      </c>
      <c r="N1424" s="73">
        <v>67260</v>
      </c>
      <c r="O1424" s="73">
        <v>67260</v>
      </c>
      <c r="P1424">
        <v>34.681374159610094</v>
      </c>
    </row>
    <row r="1425" spans="1:16" hidden="1" x14ac:dyDescent="0.2">
      <c r="A1425" s="73">
        <v>67260</v>
      </c>
      <c r="B1425" t="s">
        <v>423</v>
      </c>
      <c r="C1425" s="73" t="s">
        <v>424</v>
      </c>
      <c r="D1425" t="s">
        <v>506</v>
      </c>
      <c r="E1425" s="74">
        <v>45971</v>
      </c>
      <c r="F1425" t="s">
        <v>357</v>
      </c>
      <c r="G1425" t="s">
        <v>358</v>
      </c>
      <c r="H1425" s="75">
        <f t="shared" si="22"/>
        <v>208.08824495766055</v>
      </c>
      <c r="I1425" s="74">
        <v>45971</v>
      </c>
      <c r="J1425">
        <v>6</v>
      </c>
      <c r="K1425" t="s">
        <v>514</v>
      </c>
      <c r="L1425" t="s">
        <v>359</v>
      </c>
      <c r="M1425" t="s">
        <v>356</v>
      </c>
      <c r="N1425" s="73">
        <v>67260</v>
      </c>
      <c r="O1425" s="73">
        <v>67260</v>
      </c>
      <c r="P1425">
        <v>34.681374159610094</v>
      </c>
    </row>
    <row r="1426" spans="1:16" hidden="1" x14ac:dyDescent="0.2">
      <c r="A1426" s="73">
        <v>67260</v>
      </c>
      <c r="B1426" t="s">
        <v>423</v>
      </c>
      <c r="C1426" s="73" t="s">
        <v>424</v>
      </c>
      <c r="D1426" t="s">
        <v>506</v>
      </c>
      <c r="E1426" s="74">
        <v>45971</v>
      </c>
      <c r="F1426" t="s">
        <v>410</v>
      </c>
      <c r="G1426" t="s">
        <v>411</v>
      </c>
      <c r="H1426" s="75">
        <f t="shared" si="22"/>
        <v>277.45099327688075</v>
      </c>
      <c r="I1426" s="74">
        <v>45971</v>
      </c>
      <c r="J1426">
        <v>8</v>
      </c>
      <c r="K1426" t="s">
        <v>514</v>
      </c>
      <c r="L1426" t="s">
        <v>262</v>
      </c>
      <c r="M1426" t="s">
        <v>356</v>
      </c>
      <c r="N1426" s="73">
        <v>67260</v>
      </c>
      <c r="O1426" s="73">
        <v>67260</v>
      </c>
      <c r="P1426">
        <v>34.681374159610094</v>
      </c>
    </row>
    <row r="1427" spans="1:16" hidden="1" x14ac:dyDescent="0.2">
      <c r="A1427" s="73">
        <v>67260</v>
      </c>
      <c r="B1427" t="s">
        <v>423</v>
      </c>
      <c r="C1427" s="73" t="s">
        <v>424</v>
      </c>
      <c r="D1427" t="s">
        <v>506</v>
      </c>
      <c r="E1427" s="74">
        <v>45972</v>
      </c>
      <c r="F1427" t="s">
        <v>370</v>
      </c>
      <c r="G1427" t="s">
        <v>371</v>
      </c>
      <c r="H1427" s="75">
        <f t="shared" si="22"/>
        <v>277.45099327688075</v>
      </c>
      <c r="I1427" s="74">
        <v>45972</v>
      </c>
      <c r="J1427">
        <v>8</v>
      </c>
      <c r="K1427" t="s">
        <v>514</v>
      </c>
      <c r="L1427" t="s">
        <v>262</v>
      </c>
      <c r="M1427" t="s">
        <v>356</v>
      </c>
      <c r="N1427" s="73">
        <v>67260</v>
      </c>
      <c r="O1427" s="73">
        <v>67260</v>
      </c>
      <c r="P1427">
        <v>34.681374159610094</v>
      </c>
    </row>
    <row r="1428" spans="1:16" hidden="1" x14ac:dyDescent="0.2">
      <c r="A1428" s="73">
        <v>67260</v>
      </c>
      <c r="B1428" t="s">
        <v>423</v>
      </c>
      <c r="C1428" s="73" t="s">
        <v>424</v>
      </c>
      <c r="D1428" t="s">
        <v>506</v>
      </c>
      <c r="E1428" s="74">
        <v>45972</v>
      </c>
      <c r="F1428" t="s">
        <v>406</v>
      </c>
      <c r="G1428" t="s">
        <v>407</v>
      </c>
      <c r="H1428" s="75">
        <f t="shared" si="22"/>
        <v>138.72549663844038</v>
      </c>
      <c r="I1428" s="74">
        <v>45972</v>
      </c>
      <c r="J1428">
        <v>4</v>
      </c>
      <c r="K1428" t="s">
        <v>514</v>
      </c>
      <c r="L1428" t="s">
        <v>355</v>
      </c>
      <c r="M1428" t="s">
        <v>356</v>
      </c>
      <c r="N1428" s="73">
        <v>67260</v>
      </c>
      <c r="O1428" s="73">
        <v>67260</v>
      </c>
      <c r="P1428">
        <v>34.681374159610094</v>
      </c>
    </row>
    <row r="1429" spans="1:16" hidden="1" x14ac:dyDescent="0.2">
      <c r="A1429" s="73">
        <v>67260</v>
      </c>
      <c r="B1429" t="s">
        <v>423</v>
      </c>
      <c r="C1429" s="73" t="s">
        <v>424</v>
      </c>
      <c r="D1429" t="s">
        <v>506</v>
      </c>
      <c r="E1429" s="74">
        <v>45972</v>
      </c>
      <c r="F1429" t="s">
        <v>360</v>
      </c>
      <c r="G1429" t="s">
        <v>361</v>
      </c>
      <c r="H1429" s="75">
        <f t="shared" si="22"/>
        <v>277.45099327688075</v>
      </c>
      <c r="I1429" s="74">
        <v>45972</v>
      </c>
      <c r="J1429">
        <v>8</v>
      </c>
      <c r="K1429" t="s">
        <v>514</v>
      </c>
      <c r="L1429" t="s">
        <v>262</v>
      </c>
      <c r="M1429" t="s">
        <v>356</v>
      </c>
      <c r="N1429" s="73">
        <v>67260</v>
      </c>
      <c r="O1429" s="73">
        <v>67260</v>
      </c>
      <c r="P1429">
        <v>34.681374159610094</v>
      </c>
    </row>
    <row r="1430" spans="1:16" hidden="1" x14ac:dyDescent="0.2">
      <c r="A1430" s="73">
        <v>67260</v>
      </c>
      <c r="B1430" t="s">
        <v>423</v>
      </c>
      <c r="C1430" s="73" t="s">
        <v>424</v>
      </c>
      <c r="D1430" t="s">
        <v>506</v>
      </c>
      <c r="E1430" s="74">
        <v>45972</v>
      </c>
      <c r="F1430" t="s">
        <v>398</v>
      </c>
      <c r="G1430" t="s">
        <v>399</v>
      </c>
      <c r="H1430" s="75">
        <f t="shared" si="22"/>
        <v>277.45099327688075</v>
      </c>
      <c r="I1430" s="74">
        <v>45972</v>
      </c>
      <c r="J1430">
        <v>8</v>
      </c>
      <c r="K1430" t="s">
        <v>514</v>
      </c>
      <c r="L1430" t="s">
        <v>367</v>
      </c>
      <c r="M1430" t="s">
        <v>356</v>
      </c>
      <c r="N1430" s="73">
        <v>67260</v>
      </c>
      <c r="O1430" s="73">
        <v>67260</v>
      </c>
      <c r="P1430">
        <v>34.681374159610094</v>
      </c>
    </row>
    <row r="1431" spans="1:16" hidden="1" x14ac:dyDescent="0.2">
      <c r="A1431" s="73">
        <v>67260</v>
      </c>
      <c r="B1431" t="s">
        <v>423</v>
      </c>
      <c r="C1431" s="73" t="s">
        <v>424</v>
      </c>
      <c r="D1431" t="s">
        <v>506</v>
      </c>
      <c r="E1431" s="74">
        <v>45972</v>
      </c>
      <c r="F1431" t="s">
        <v>353</v>
      </c>
      <c r="G1431" t="s">
        <v>354</v>
      </c>
      <c r="H1431" s="75">
        <f t="shared" si="22"/>
        <v>138.72549663844038</v>
      </c>
      <c r="I1431" s="74">
        <v>45972</v>
      </c>
      <c r="J1431">
        <v>4</v>
      </c>
      <c r="K1431" t="s">
        <v>514</v>
      </c>
      <c r="L1431" t="s">
        <v>355</v>
      </c>
      <c r="M1431" t="s">
        <v>356</v>
      </c>
      <c r="N1431" s="73">
        <v>67260</v>
      </c>
      <c r="O1431" s="73">
        <v>67260</v>
      </c>
      <c r="P1431">
        <v>34.681374159610094</v>
      </c>
    </row>
    <row r="1432" spans="1:16" hidden="1" x14ac:dyDescent="0.2">
      <c r="A1432" s="73">
        <v>67260</v>
      </c>
      <c r="B1432" t="s">
        <v>423</v>
      </c>
      <c r="C1432" s="73" t="s">
        <v>424</v>
      </c>
      <c r="D1432" t="s">
        <v>506</v>
      </c>
      <c r="E1432" s="74">
        <v>45972</v>
      </c>
      <c r="F1432" t="s">
        <v>357</v>
      </c>
      <c r="G1432" t="s">
        <v>358</v>
      </c>
      <c r="H1432" s="75">
        <f t="shared" si="22"/>
        <v>208.08824495766055</v>
      </c>
      <c r="I1432" s="74">
        <v>45972</v>
      </c>
      <c r="J1432">
        <v>6</v>
      </c>
      <c r="K1432" t="s">
        <v>514</v>
      </c>
      <c r="L1432" t="s">
        <v>359</v>
      </c>
      <c r="M1432" t="s">
        <v>356</v>
      </c>
      <c r="N1432" s="73">
        <v>67260</v>
      </c>
      <c r="O1432" s="73">
        <v>67260</v>
      </c>
      <c r="P1432">
        <v>34.681374159610094</v>
      </c>
    </row>
    <row r="1433" spans="1:16" hidden="1" x14ac:dyDescent="0.2">
      <c r="A1433" s="73">
        <v>67260</v>
      </c>
      <c r="B1433" t="s">
        <v>423</v>
      </c>
      <c r="C1433" s="73" t="s">
        <v>424</v>
      </c>
      <c r="D1433" t="s">
        <v>506</v>
      </c>
      <c r="E1433" s="74">
        <v>45972</v>
      </c>
      <c r="F1433" t="s">
        <v>410</v>
      </c>
      <c r="G1433" t="s">
        <v>411</v>
      </c>
      <c r="H1433" s="75">
        <f t="shared" si="22"/>
        <v>277.45099327688075</v>
      </c>
      <c r="I1433" s="74">
        <v>45972</v>
      </c>
      <c r="J1433">
        <v>8</v>
      </c>
      <c r="K1433" t="s">
        <v>514</v>
      </c>
      <c r="L1433" t="s">
        <v>262</v>
      </c>
      <c r="M1433" t="s">
        <v>356</v>
      </c>
      <c r="N1433" s="73">
        <v>67260</v>
      </c>
      <c r="O1433" s="73">
        <v>67260</v>
      </c>
      <c r="P1433">
        <v>34.681374159610094</v>
      </c>
    </row>
    <row r="1434" spans="1:16" x14ac:dyDescent="0.2">
      <c r="A1434" s="73">
        <v>67262</v>
      </c>
      <c r="B1434" t="s">
        <v>350</v>
      </c>
      <c r="C1434" s="73" t="s">
        <v>421</v>
      </c>
      <c r="D1434" t="s">
        <v>422</v>
      </c>
      <c r="E1434" s="74">
        <v>45993</v>
      </c>
      <c r="F1434" t="s">
        <v>414</v>
      </c>
      <c r="G1434" t="s">
        <v>415</v>
      </c>
      <c r="H1434" s="75">
        <f t="shared" si="22"/>
        <v>294.79168035668579</v>
      </c>
      <c r="I1434" s="74">
        <v>45993</v>
      </c>
      <c r="J1434">
        <v>8.5</v>
      </c>
      <c r="K1434" t="s">
        <v>515</v>
      </c>
      <c r="L1434" t="s">
        <v>262</v>
      </c>
      <c r="M1434" t="s">
        <v>356</v>
      </c>
      <c r="N1434" s="73">
        <v>67262</v>
      </c>
      <c r="O1434" s="73">
        <v>67262</v>
      </c>
      <c r="P1434">
        <v>34.681374159610094</v>
      </c>
    </row>
    <row r="1435" spans="1:16" hidden="1" x14ac:dyDescent="0.2">
      <c r="A1435" s="73">
        <v>67260</v>
      </c>
      <c r="B1435" t="s">
        <v>423</v>
      </c>
      <c r="C1435" s="73" t="s">
        <v>424</v>
      </c>
      <c r="D1435" t="s">
        <v>506</v>
      </c>
      <c r="E1435" s="74">
        <v>45973</v>
      </c>
      <c r="F1435" t="s">
        <v>370</v>
      </c>
      <c r="G1435" t="s">
        <v>371</v>
      </c>
      <c r="H1435" s="75">
        <f t="shared" si="22"/>
        <v>277.45099327688075</v>
      </c>
      <c r="I1435" s="74">
        <v>45973</v>
      </c>
      <c r="J1435">
        <v>8</v>
      </c>
      <c r="K1435" t="s">
        <v>514</v>
      </c>
      <c r="L1435" t="s">
        <v>262</v>
      </c>
      <c r="M1435" t="s">
        <v>356</v>
      </c>
      <c r="N1435" s="73">
        <v>67260</v>
      </c>
      <c r="O1435" s="73">
        <v>67260</v>
      </c>
      <c r="P1435">
        <v>34.681374159610094</v>
      </c>
    </row>
    <row r="1436" spans="1:16" hidden="1" x14ac:dyDescent="0.2">
      <c r="A1436" s="73">
        <v>67260</v>
      </c>
      <c r="B1436" t="s">
        <v>423</v>
      </c>
      <c r="C1436" s="73" t="s">
        <v>424</v>
      </c>
      <c r="D1436" t="s">
        <v>506</v>
      </c>
      <c r="E1436" s="74">
        <v>45973</v>
      </c>
      <c r="F1436" t="s">
        <v>406</v>
      </c>
      <c r="G1436" t="s">
        <v>407</v>
      </c>
      <c r="H1436" s="75">
        <f t="shared" si="22"/>
        <v>138.72549663844038</v>
      </c>
      <c r="I1436" s="74">
        <v>45973</v>
      </c>
      <c r="J1436">
        <v>4</v>
      </c>
      <c r="K1436" t="s">
        <v>514</v>
      </c>
      <c r="L1436" t="s">
        <v>355</v>
      </c>
      <c r="M1436" t="s">
        <v>356</v>
      </c>
      <c r="N1436" s="73">
        <v>67260</v>
      </c>
      <c r="O1436" s="73">
        <v>67260</v>
      </c>
      <c r="P1436">
        <v>34.681374159610094</v>
      </c>
    </row>
    <row r="1437" spans="1:16" hidden="1" x14ac:dyDescent="0.2">
      <c r="A1437" s="73">
        <v>67260</v>
      </c>
      <c r="B1437" t="s">
        <v>423</v>
      </c>
      <c r="C1437" s="73" t="s">
        <v>424</v>
      </c>
      <c r="D1437" t="s">
        <v>506</v>
      </c>
      <c r="E1437" s="74">
        <v>45973</v>
      </c>
      <c r="F1437" t="s">
        <v>360</v>
      </c>
      <c r="G1437" t="s">
        <v>361</v>
      </c>
      <c r="H1437" s="75">
        <f t="shared" si="22"/>
        <v>173.40687079805048</v>
      </c>
      <c r="I1437" s="74">
        <v>45973</v>
      </c>
      <c r="J1437">
        <v>5</v>
      </c>
      <c r="K1437" t="s">
        <v>514</v>
      </c>
      <c r="L1437" t="s">
        <v>262</v>
      </c>
      <c r="M1437" t="s">
        <v>356</v>
      </c>
      <c r="N1437" s="73">
        <v>67260</v>
      </c>
      <c r="O1437" s="73">
        <v>67260</v>
      </c>
      <c r="P1437">
        <v>34.681374159610094</v>
      </c>
    </row>
    <row r="1438" spans="1:16" hidden="1" x14ac:dyDescent="0.2">
      <c r="A1438" s="73">
        <v>67260</v>
      </c>
      <c r="B1438" t="s">
        <v>423</v>
      </c>
      <c r="C1438" s="73" t="s">
        <v>424</v>
      </c>
      <c r="D1438" t="s">
        <v>506</v>
      </c>
      <c r="E1438" s="74">
        <v>45973</v>
      </c>
      <c r="F1438" t="s">
        <v>398</v>
      </c>
      <c r="G1438" t="s">
        <v>399</v>
      </c>
      <c r="H1438" s="75">
        <f t="shared" si="22"/>
        <v>277.45099327688075</v>
      </c>
      <c r="I1438" s="74">
        <v>45973</v>
      </c>
      <c r="J1438">
        <v>8</v>
      </c>
      <c r="K1438" t="s">
        <v>514</v>
      </c>
      <c r="L1438" t="s">
        <v>367</v>
      </c>
      <c r="M1438" t="s">
        <v>356</v>
      </c>
      <c r="N1438" s="73">
        <v>67260</v>
      </c>
      <c r="O1438" s="73">
        <v>67260</v>
      </c>
      <c r="P1438">
        <v>34.681374159610094</v>
      </c>
    </row>
    <row r="1439" spans="1:16" hidden="1" x14ac:dyDescent="0.2">
      <c r="A1439" s="73">
        <v>67260</v>
      </c>
      <c r="B1439" t="s">
        <v>423</v>
      </c>
      <c r="C1439" s="73" t="s">
        <v>424</v>
      </c>
      <c r="D1439" t="s">
        <v>506</v>
      </c>
      <c r="E1439" s="74">
        <v>45973</v>
      </c>
      <c r="F1439" t="s">
        <v>353</v>
      </c>
      <c r="G1439" t="s">
        <v>354</v>
      </c>
      <c r="H1439" s="75">
        <f t="shared" si="22"/>
        <v>138.72549663844038</v>
      </c>
      <c r="I1439" s="74">
        <v>45973</v>
      </c>
      <c r="J1439">
        <v>4</v>
      </c>
      <c r="K1439" t="s">
        <v>514</v>
      </c>
      <c r="L1439" t="s">
        <v>355</v>
      </c>
      <c r="M1439" t="s">
        <v>356</v>
      </c>
      <c r="N1439" s="73">
        <v>67260</v>
      </c>
      <c r="O1439" s="73">
        <v>67260</v>
      </c>
      <c r="P1439">
        <v>34.681374159610094</v>
      </c>
    </row>
    <row r="1440" spans="1:16" hidden="1" x14ac:dyDescent="0.2">
      <c r="A1440" s="73">
        <v>67260</v>
      </c>
      <c r="B1440" t="s">
        <v>423</v>
      </c>
      <c r="C1440" s="73" t="s">
        <v>424</v>
      </c>
      <c r="D1440" t="s">
        <v>506</v>
      </c>
      <c r="E1440" s="74">
        <v>45973</v>
      </c>
      <c r="F1440" t="s">
        <v>357</v>
      </c>
      <c r="G1440" t="s">
        <v>358</v>
      </c>
      <c r="H1440" s="75">
        <f t="shared" si="22"/>
        <v>208.08824495766055</v>
      </c>
      <c r="I1440" s="74">
        <v>45973</v>
      </c>
      <c r="J1440">
        <v>6</v>
      </c>
      <c r="K1440" t="s">
        <v>514</v>
      </c>
      <c r="L1440" t="s">
        <v>359</v>
      </c>
      <c r="M1440" t="s">
        <v>356</v>
      </c>
      <c r="N1440" s="73">
        <v>67260</v>
      </c>
      <c r="O1440" s="73">
        <v>67260</v>
      </c>
      <c r="P1440">
        <v>34.681374159610094</v>
      </c>
    </row>
    <row r="1441" spans="1:16" hidden="1" x14ac:dyDescent="0.2">
      <c r="A1441" s="73">
        <v>67260</v>
      </c>
      <c r="B1441" t="s">
        <v>423</v>
      </c>
      <c r="C1441" s="73" t="s">
        <v>424</v>
      </c>
      <c r="D1441" t="s">
        <v>506</v>
      </c>
      <c r="E1441" s="74">
        <v>45973</v>
      </c>
      <c r="F1441" t="s">
        <v>410</v>
      </c>
      <c r="G1441" t="s">
        <v>411</v>
      </c>
      <c r="H1441" s="75">
        <f t="shared" si="22"/>
        <v>277.45099327688075</v>
      </c>
      <c r="I1441" s="74">
        <v>45973</v>
      </c>
      <c r="J1441">
        <v>8</v>
      </c>
      <c r="K1441" t="s">
        <v>514</v>
      </c>
      <c r="L1441" t="s">
        <v>262</v>
      </c>
      <c r="M1441" t="s">
        <v>356</v>
      </c>
      <c r="N1441" s="73">
        <v>67260</v>
      </c>
      <c r="O1441" s="73">
        <v>67260</v>
      </c>
      <c r="P1441">
        <v>34.681374159610094</v>
      </c>
    </row>
    <row r="1442" spans="1:16" hidden="1" x14ac:dyDescent="0.2">
      <c r="A1442" s="73">
        <v>67260</v>
      </c>
      <c r="B1442" t="s">
        <v>423</v>
      </c>
      <c r="C1442" s="73" t="s">
        <v>424</v>
      </c>
      <c r="D1442" t="s">
        <v>506</v>
      </c>
      <c r="E1442" s="74">
        <v>45974</v>
      </c>
      <c r="F1442" t="s">
        <v>370</v>
      </c>
      <c r="G1442" t="s">
        <v>371</v>
      </c>
      <c r="H1442" s="75">
        <f t="shared" si="22"/>
        <v>277.45099327688075</v>
      </c>
      <c r="I1442" s="74">
        <v>45974</v>
      </c>
      <c r="J1442">
        <v>8</v>
      </c>
      <c r="K1442" t="s">
        <v>514</v>
      </c>
      <c r="L1442" t="s">
        <v>262</v>
      </c>
      <c r="M1442" t="s">
        <v>356</v>
      </c>
      <c r="N1442" s="73">
        <v>67260</v>
      </c>
      <c r="O1442" s="73">
        <v>67260</v>
      </c>
      <c r="P1442">
        <v>34.681374159610094</v>
      </c>
    </row>
    <row r="1443" spans="1:16" hidden="1" x14ac:dyDescent="0.2">
      <c r="A1443" s="73">
        <v>67260</v>
      </c>
      <c r="B1443" t="s">
        <v>423</v>
      </c>
      <c r="C1443" s="73" t="s">
        <v>424</v>
      </c>
      <c r="D1443" t="s">
        <v>506</v>
      </c>
      <c r="E1443" s="74">
        <v>45974</v>
      </c>
      <c r="F1443" t="s">
        <v>406</v>
      </c>
      <c r="G1443" t="s">
        <v>407</v>
      </c>
      <c r="H1443" s="75">
        <f t="shared" si="22"/>
        <v>138.72549663844038</v>
      </c>
      <c r="I1443" s="74">
        <v>45974</v>
      </c>
      <c r="J1443">
        <v>4</v>
      </c>
      <c r="K1443" t="s">
        <v>514</v>
      </c>
      <c r="L1443" t="s">
        <v>355</v>
      </c>
      <c r="M1443" t="s">
        <v>356</v>
      </c>
      <c r="N1443" s="73">
        <v>67260</v>
      </c>
      <c r="O1443" s="73">
        <v>67260</v>
      </c>
      <c r="P1443">
        <v>34.681374159610094</v>
      </c>
    </row>
    <row r="1444" spans="1:16" hidden="1" x14ac:dyDescent="0.2">
      <c r="A1444" s="73">
        <v>67260</v>
      </c>
      <c r="B1444" t="s">
        <v>423</v>
      </c>
      <c r="C1444" s="73" t="s">
        <v>424</v>
      </c>
      <c r="D1444" t="s">
        <v>506</v>
      </c>
      <c r="E1444" s="74">
        <v>45974</v>
      </c>
      <c r="F1444" t="s">
        <v>360</v>
      </c>
      <c r="G1444" t="s">
        <v>361</v>
      </c>
      <c r="H1444" s="75">
        <f t="shared" si="22"/>
        <v>138.72549663844038</v>
      </c>
      <c r="I1444" s="74">
        <v>45974</v>
      </c>
      <c r="J1444">
        <v>4</v>
      </c>
      <c r="K1444" t="s">
        <v>514</v>
      </c>
      <c r="L1444" t="s">
        <v>262</v>
      </c>
      <c r="M1444" t="s">
        <v>356</v>
      </c>
      <c r="N1444" s="73">
        <v>67260</v>
      </c>
      <c r="O1444" s="73">
        <v>67260</v>
      </c>
      <c r="P1444">
        <v>34.681374159610094</v>
      </c>
    </row>
    <row r="1445" spans="1:16" hidden="1" x14ac:dyDescent="0.2">
      <c r="A1445" s="73">
        <v>67260</v>
      </c>
      <c r="B1445" t="s">
        <v>423</v>
      </c>
      <c r="C1445" s="73" t="s">
        <v>424</v>
      </c>
      <c r="D1445" t="s">
        <v>506</v>
      </c>
      <c r="E1445" s="74">
        <v>45974</v>
      </c>
      <c r="F1445" t="s">
        <v>357</v>
      </c>
      <c r="G1445" t="s">
        <v>358</v>
      </c>
      <c r="H1445" s="75">
        <f t="shared" si="22"/>
        <v>208.08824495766055</v>
      </c>
      <c r="I1445" s="74">
        <v>45974</v>
      </c>
      <c r="J1445">
        <v>6</v>
      </c>
      <c r="K1445" t="s">
        <v>514</v>
      </c>
      <c r="L1445" t="s">
        <v>359</v>
      </c>
      <c r="M1445" t="s">
        <v>356</v>
      </c>
      <c r="N1445" s="73">
        <v>67260</v>
      </c>
      <c r="O1445" s="73">
        <v>67260</v>
      </c>
      <c r="P1445">
        <v>34.681374159610094</v>
      </c>
    </row>
    <row r="1446" spans="1:16" hidden="1" x14ac:dyDescent="0.2">
      <c r="A1446" s="73">
        <v>67260</v>
      </c>
      <c r="B1446" t="s">
        <v>423</v>
      </c>
      <c r="C1446" s="73" t="s">
        <v>424</v>
      </c>
      <c r="D1446" t="s">
        <v>506</v>
      </c>
      <c r="E1446" s="74">
        <v>45974</v>
      </c>
      <c r="F1446" t="s">
        <v>410</v>
      </c>
      <c r="G1446" t="s">
        <v>411</v>
      </c>
      <c r="H1446" s="75">
        <f t="shared" si="22"/>
        <v>277.45099327688075</v>
      </c>
      <c r="I1446" s="74">
        <v>45974</v>
      </c>
      <c r="J1446">
        <v>8</v>
      </c>
      <c r="K1446" t="s">
        <v>514</v>
      </c>
      <c r="L1446" t="s">
        <v>262</v>
      </c>
      <c r="M1446" t="s">
        <v>356</v>
      </c>
      <c r="N1446" s="73">
        <v>67260</v>
      </c>
      <c r="O1446" s="73">
        <v>67260</v>
      </c>
      <c r="P1446">
        <v>34.681374159610094</v>
      </c>
    </row>
    <row r="1447" spans="1:16" x14ac:dyDescent="0.2">
      <c r="A1447" s="73">
        <v>67262</v>
      </c>
      <c r="B1447" t="s">
        <v>350</v>
      </c>
      <c r="C1447" s="73" t="s">
        <v>421</v>
      </c>
      <c r="D1447" t="s">
        <v>422</v>
      </c>
      <c r="E1447" s="74">
        <v>45994</v>
      </c>
      <c r="F1447" t="s">
        <v>414</v>
      </c>
      <c r="G1447" t="s">
        <v>415</v>
      </c>
      <c r="H1447" s="75">
        <f t="shared" si="22"/>
        <v>294.79168035668579</v>
      </c>
      <c r="I1447" s="74">
        <v>45994</v>
      </c>
      <c r="J1447">
        <v>8.5</v>
      </c>
      <c r="K1447" t="s">
        <v>515</v>
      </c>
      <c r="L1447" t="s">
        <v>262</v>
      </c>
      <c r="M1447" t="s">
        <v>356</v>
      </c>
      <c r="N1447" s="73">
        <v>67262</v>
      </c>
      <c r="O1447" s="73">
        <v>67262</v>
      </c>
      <c r="P1447">
        <v>34.681374159610094</v>
      </c>
    </row>
    <row r="1448" spans="1:16" hidden="1" x14ac:dyDescent="0.2">
      <c r="A1448" s="73">
        <v>67260</v>
      </c>
      <c r="B1448" t="s">
        <v>423</v>
      </c>
      <c r="C1448" s="73" t="s">
        <v>424</v>
      </c>
      <c r="D1448" t="s">
        <v>506</v>
      </c>
      <c r="E1448" s="74">
        <v>45975</v>
      </c>
      <c r="F1448" t="s">
        <v>357</v>
      </c>
      <c r="G1448" t="s">
        <v>358</v>
      </c>
      <c r="H1448" s="75">
        <f t="shared" si="22"/>
        <v>208.08824495766055</v>
      </c>
      <c r="I1448" s="74">
        <v>45975</v>
      </c>
      <c r="J1448">
        <v>6</v>
      </c>
      <c r="K1448" t="s">
        <v>514</v>
      </c>
      <c r="L1448" t="s">
        <v>359</v>
      </c>
      <c r="M1448" t="s">
        <v>356</v>
      </c>
      <c r="N1448" s="73">
        <v>67260</v>
      </c>
      <c r="O1448" s="73">
        <v>67260</v>
      </c>
      <c r="P1448">
        <v>34.681374159610094</v>
      </c>
    </row>
    <row r="1449" spans="1:16" hidden="1" x14ac:dyDescent="0.2">
      <c r="A1449" s="73">
        <v>67260</v>
      </c>
      <c r="B1449" t="s">
        <v>423</v>
      </c>
      <c r="C1449" s="73" t="s">
        <v>424</v>
      </c>
      <c r="D1449" t="s">
        <v>506</v>
      </c>
      <c r="E1449" s="74">
        <v>45975</v>
      </c>
      <c r="F1449" t="s">
        <v>410</v>
      </c>
      <c r="G1449" t="s">
        <v>411</v>
      </c>
      <c r="H1449" s="75">
        <f t="shared" si="22"/>
        <v>277.45099327688075</v>
      </c>
      <c r="I1449" s="74">
        <v>45975</v>
      </c>
      <c r="J1449">
        <v>8</v>
      </c>
      <c r="K1449" t="s">
        <v>514</v>
      </c>
      <c r="L1449" t="s">
        <v>262</v>
      </c>
      <c r="M1449" t="s">
        <v>356</v>
      </c>
      <c r="N1449" s="73">
        <v>67260</v>
      </c>
      <c r="O1449" s="73">
        <v>67260</v>
      </c>
      <c r="P1449">
        <v>34.681374159610094</v>
      </c>
    </row>
    <row r="1450" spans="1:16" hidden="1" x14ac:dyDescent="0.2">
      <c r="A1450" s="73">
        <v>67260</v>
      </c>
      <c r="B1450" t="s">
        <v>423</v>
      </c>
      <c r="C1450" s="73" t="s">
        <v>424</v>
      </c>
      <c r="D1450" t="s">
        <v>506</v>
      </c>
      <c r="E1450" s="74">
        <v>45978</v>
      </c>
      <c r="F1450" t="s">
        <v>362</v>
      </c>
      <c r="G1450" t="s">
        <v>363</v>
      </c>
      <c r="H1450" s="75">
        <f t="shared" si="22"/>
        <v>138.72549663844038</v>
      </c>
      <c r="I1450" s="74">
        <v>45978</v>
      </c>
      <c r="J1450">
        <v>4</v>
      </c>
      <c r="K1450" t="s">
        <v>514</v>
      </c>
      <c r="L1450" t="s">
        <v>355</v>
      </c>
      <c r="M1450" t="s">
        <v>356</v>
      </c>
      <c r="N1450" s="73">
        <v>67260</v>
      </c>
      <c r="O1450" s="73">
        <v>67260</v>
      </c>
      <c r="P1450">
        <v>34.681374159610094</v>
      </c>
    </row>
    <row r="1451" spans="1:16" hidden="1" x14ac:dyDescent="0.2">
      <c r="A1451" s="73">
        <v>67260</v>
      </c>
      <c r="B1451" t="s">
        <v>423</v>
      </c>
      <c r="C1451" s="73" t="s">
        <v>424</v>
      </c>
      <c r="D1451" t="s">
        <v>506</v>
      </c>
      <c r="E1451" s="74">
        <v>45978</v>
      </c>
      <c r="F1451" t="s">
        <v>370</v>
      </c>
      <c r="G1451" t="s">
        <v>371</v>
      </c>
      <c r="H1451" s="75">
        <f t="shared" si="22"/>
        <v>242.76961911727065</v>
      </c>
      <c r="I1451" s="74">
        <v>45978</v>
      </c>
      <c r="J1451">
        <v>7</v>
      </c>
      <c r="K1451" t="s">
        <v>514</v>
      </c>
      <c r="L1451" t="s">
        <v>262</v>
      </c>
      <c r="M1451" t="s">
        <v>356</v>
      </c>
      <c r="N1451" s="73">
        <v>67260</v>
      </c>
      <c r="O1451" s="73">
        <v>67260</v>
      </c>
      <c r="P1451">
        <v>34.681374159610094</v>
      </c>
    </row>
    <row r="1452" spans="1:16" hidden="1" x14ac:dyDescent="0.2">
      <c r="A1452" s="73">
        <v>67260</v>
      </c>
      <c r="B1452" t="s">
        <v>423</v>
      </c>
      <c r="C1452" s="73" t="s">
        <v>424</v>
      </c>
      <c r="D1452" t="s">
        <v>506</v>
      </c>
      <c r="E1452" s="74">
        <v>45978</v>
      </c>
      <c r="F1452" t="s">
        <v>406</v>
      </c>
      <c r="G1452" t="s">
        <v>407</v>
      </c>
      <c r="H1452" s="75">
        <f t="shared" si="22"/>
        <v>277.45099327688075</v>
      </c>
      <c r="I1452" s="74">
        <v>45978</v>
      </c>
      <c r="J1452">
        <v>8</v>
      </c>
      <c r="K1452" t="s">
        <v>514</v>
      </c>
      <c r="L1452" t="s">
        <v>355</v>
      </c>
      <c r="M1452" t="s">
        <v>356</v>
      </c>
      <c r="N1452" s="73">
        <v>67260</v>
      </c>
      <c r="O1452" s="73">
        <v>67260</v>
      </c>
      <c r="P1452">
        <v>34.681374159610094</v>
      </c>
    </row>
    <row r="1453" spans="1:16" hidden="1" x14ac:dyDescent="0.2">
      <c r="A1453" s="73">
        <v>67260</v>
      </c>
      <c r="B1453" t="s">
        <v>423</v>
      </c>
      <c r="C1453" s="73" t="s">
        <v>424</v>
      </c>
      <c r="D1453" t="s">
        <v>506</v>
      </c>
      <c r="E1453" s="74">
        <v>45978</v>
      </c>
      <c r="F1453" t="s">
        <v>353</v>
      </c>
      <c r="G1453" t="s">
        <v>354</v>
      </c>
      <c r="H1453" s="75">
        <f t="shared" si="22"/>
        <v>138.72549663844038</v>
      </c>
      <c r="I1453" s="74">
        <v>45978</v>
      </c>
      <c r="J1453">
        <v>4</v>
      </c>
      <c r="K1453" t="s">
        <v>514</v>
      </c>
      <c r="L1453" t="s">
        <v>355</v>
      </c>
      <c r="M1453" t="s">
        <v>356</v>
      </c>
      <c r="N1453" s="73">
        <v>67260</v>
      </c>
      <c r="O1453" s="73">
        <v>67260</v>
      </c>
      <c r="P1453">
        <v>34.681374159610094</v>
      </c>
    </row>
    <row r="1454" spans="1:16" hidden="1" x14ac:dyDescent="0.2">
      <c r="A1454" s="73">
        <v>67260</v>
      </c>
      <c r="B1454" t="s">
        <v>423</v>
      </c>
      <c r="C1454" s="73" t="s">
        <v>424</v>
      </c>
      <c r="D1454" t="s">
        <v>506</v>
      </c>
      <c r="E1454" s="74">
        <v>45978</v>
      </c>
      <c r="F1454" t="s">
        <v>410</v>
      </c>
      <c r="G1454" t="s">
        <v>411</v>
      </c>
      <c r="H1454" s="75">
        <f t="shared" si="22"/>
        <v>277.45099327688075</v>
      </c>
      <c r="I1454" s="74">
        <v>45978</v>
      </c>
      <c r="J1454">
        <v>8</v>
      </c>
      <c r="K1454" t="s">
        <v>514</v>
      </c>
      <c r="L1454" t="s">
        <v>262</v>
      </c>
      <c r="M1454" t="s">
        <v>356</v>
      </c>
      <c r="N1454" s="73">
        <v>67260</v>
      </c>
      <c r="O1454" s="73">
        <v>67260</v>
      </c>
      <c r="P1454">
        <v>34.681374159610094</v>
      </c>
    </row>
    <row r="1455" spans="1:16" hidden="1" x14ac:dyDescent="0.2">
      <c r="A1455" s="73">
        <v>67260</v>
      </c>
      <c r="B1455" t="s">
        <v>423</v>
      </c>
      <c r="C1455" s="73" t="s">
        <v>424</v>
      </c>
      <c r="D1455" t="s">
        <v>506</v>
      </c>
      <c r="E1455" s="74">
        <v>45978</v>
      </c>
      <c r="F1455" t="s">
        <v>357</v>
      </c>
      <c r="G1455" t="s">
        <v>358</v>
      </c>
      <c r="H1455" s="75">
        <f t="shared" si="22"/>
        <v>242.76961911727065</v>
      </c>
      <c r="I1455" s="74">
        <v>45978</v>
      </c>
      <c r="J1455">
        <v>7</v>
      </c>
      <c r="K1455" t="s">
        <v>514</v>
      </c>
      <c r="L1455" t="s">
        <v>359</v>
      </c>
      <c r="M1455" t="s">
        <v>356</v>
      </c>
      <c r="N1455" s="73">
        <v>67260</v>
      </c>
      <c r="O1455" s="73">
        <v>67260</v>
      </c>
      <c r="P1455">
        <v>34.681374159610094</v>
      </c>
    </row>
    <row r="1456" spans="1:16" hidden="1" x14ac:dyDescent="0.2">
      <c r="A1456" s="73">
        <v>67260</v>
      </c>
      <c r="B1456" t="s">
        <v>423</v>
      </c>
      <c r="C1456" s="73" t="s">
        <v>424</v>
      </c>
      <c r="D1456" t="s">
        <v>506</v>
      </c>
      <c r="E1456" s="74">
        <v>45979</v>
      </c>
      <c r="F1456" t="s">
        <v>362</v>
      </c>
      <c r="G1456" t="s">
        <v>363</v>
      </c>
      <c r="H1456" s="75">
        <f t="shared" si="22"/>
        <v>138.72549663844038</v>
      </c>
      <c r="I1456" s="74">
        <v>45979</v>
      </c>
      <c r="J1456">
        <v>4</v>
      </c>
      <c r="K1456" t="s">
        <v>514</v>
      </c>
      <c r="L1456" t="s">
        <v>355</v>
      </c>
      <c r="M1456" t="s">
        <v>356</v>
      </c>
      <c r="N1456" s="73">
        <v>67260</v>
      </c>
      <c r="O1456" s="73">
        <v>67260</v>
      </c>
      <c r="P1456">
        <v>34.681374159610094</v>
      </c>
    </row>
    <row r="1457" spans="1:16" hidden="1" x14ac:dyDescent="0.2">
      <c r="A1457" s="73">
        <v>67260</v>
      </c>
      <c r="B1457" t="s">
        <v>423</v>
      </c>
      <c r="C1457" s="73" t="s">
        <v>424</v>
      </c>
      <c r="D1457" t="s">
        <v>506</v>
      </c>
      <c r="E1457" s="74">
        <v>45979</v>
      </c>
      <c r="F1457" t="s">
        <v>370</v>
      </c>
      <c r="G1457" t="s">
        <v>371</v>
      </c>
      <c r="H1457" s="75">
        <f t="shared" si="22"/>
        <v>277.45099327688075</v>
      </c>
      <c r="I1457" s="74">
        <v>45979</v>
      </c>
      <c r="J1457">
        <v>8</v>
      </c>
      <c r="K1457" t="s">
        <v>514</v>
      </c>
      <c r="L1457" t="s">
        <v>262</v>
      </c>
      <c r="M1457" t="s">
        <v>356</v>
      </c>
      <c r="N1457" s="73">
        <v>67260</v>
      </c>
      <c r="O1457" s="73">
        <v>67260</v>
      </c>
      <c r="P1457">
        <v>34.681374159610094</v>
      </c>
    </row>
    <row r="1458" spans="1:16" hidden="1" x14ac:dyDescent="0.2">
      <c r="A1458" s="73">
        <v>67260</v>
      </c>
      <c r="B1458" t="s">
        <v>423</v>
      </c>
      <c r="C1458" s="73" t="s">
        <v>424</v>
      </c>
      <c r="D1458" t="s">
        <v>506</v>
      </c>
      <c r="E1458" s="74">
        <v>45979</v>
      </c>
      <c r="F1458" t="s">
        <v>360</v>
      </c>
      <c r="G1458" t="s">
        <v>361</v>
      </c>
      <c r="H1458" s="75">
        <f t="shared" si="22"/>
        <v>138.72549663844038</v>
      </c>
      <c r="I1458" s="74">
        <v>45979</v>
      </c>
      <c r="J1458">
        <v>4</v>
      </c>
      <c r="K1458" t="s">
        <v>514</v>
      </c>
      <c r="L1458" t="s">
        <v>262</v>
      </c>
      <c r="M1458" t="s">
        <v>356</v>
      </c>
      <c r="N1458" s="73">
        <v>67260</v>
      </c>
      <c r="O1458" s="73">
        <v>67260</v>
      </c>
      <c r="P1458">
        <v>34.681374159610094</v>
      </c>
    </row>
    <row r="1459" spans="1:16" hidden="1" x14ac:dyDescent="0.2">
      <c r="A1459" s="73">
        <v>67260</v>
      </c>
      <c r="B1459" t="s">
        <v>423</v>
      </c>
      <c r="C1459" s="73" t="s">
        <v>424</v>
      </c>
      <c r="D1459" t="s">
        <v>506</v>
      </c>
      <c r="E1459" s="74">
        <v>45979</v>
      </c>
      <c r="F1459" t="s">
        <v>398</v>
      </c>
      <c r="G1459" t="s">
        <v>399</v>
      </c>
      <c r="H1459" s="75">
        <f t="shared" si="22"/>
        <v>242.76961911727065</v>
      </c>
      <c r="I1459" s="74">
        <v>45979</v>
      </c>
      <c r="J1459">
        <v>7</v>
      </c>
      <c r="K1459" t="s">
        <v>514</v>
      </c>
      <c r="L1459" t="s">
        <v>367</v>
      </c>
      <c r="M1459" t="s">
        <v>356</v>
      </c>
      <c r="N1459" s="73">
        <v>67260</v>
      </c>
      <c r="O1459" s="73">
        <v>67260</v>
      </c>
      <c r="P1459">
        <v>34.681374159610094</v>
      </c>
    </row>
    <row r="1460" spans="1:16" hidden="1" x14ac:dyDescent="0.2">
      <c r="A1460" s="73">
        <v>67260</v>
      </c>
      <c r="B1460" t="s">
        <v>423</v>
      </c>
      <c r="C1460" s="73" t="s">
        <v>424</v>
      </c>
      <c r="D1460" t="s">
        <v>506</v>
      </c>
      <c r="E1460" s="74">
        <v>45979</v>
      </c>
      <c r="F1460" t="s">
        <v>406</v>
      </c>
      <c r="G1460" t="s">
        <v>407</v>
      </c>
      <c r="H1460" s="75">
        <f t="shared" si="22"/>
        <v>208.08824495766055</v>
      </c>
      <c r="I1460" s="74">
        <v>45979</v>
      </c>
      <c r="J1460">
        <v>6</v>
      </c>
      <c r="K1460" t="s">
        <v>514</v>
      </c>
      <c r="L1460" t="s">
        <v>355</v>
      </c>
      <c r="M1460" t="s">
        <v>356</v>
      </c>
      <c r="N1460" s="73">
        <v>67260</v>
      </c>
      <c r="O1460" s="73">
        <v>67260</v>
      </c>
      <c r="P1460">
        <v>34.681374159610094</v>
      </c>
    </row>
    <row r="1461" spans="1:16" hidden="1" x14ac:dyDescent="0.2">
      <c r="A1461" s="73">
        <v>67260</v>
      </c>
      <c r="B1461" t="s">
        <v>423</v>
      </c>
      <c r="C1461" s="73" t="s">
        <v>424</v>
      </c>
      <c r="D1461" t="s">
        <v>506</v>
      </c>
      <c r="E1461" s="74">
        <v>45979</v>
      </c>
      <c r="F1461" t="s">
        <v>364</v>
      </c>
      <c r="G1461" t="s">
        <v>365</v>
      </c>
      <c r="H1461" s="75">
        <f t="shared" si="22"/>
        <v>104.04412247883027</v>
      </c>
      <c r="I1461" s="74">
        <v>45979</v>
      </c>
      <c r="J1461">
        <v>3</v>
      </c>
      <c r="K1461" t="s">
        <v>514</v>
      </c>
      <c r="L1461" t="s">
        <v>366</v>
      </c>
      <c r="M1461" t="s">
        <v>356</v>
      </c>
      <c r="N1461" s="73">
        <v>67260</v>
      </c>
      <c r="O1461" s="73">
        <v>67260</v>
      </c>
      <c r="P1461">
        <v>34.681374159610094</v>
      </c>
    </row>
    <row r="1462" spans="1:16" hidden="1" x14ac:dyDescent="0.2">
      <c r="A1462" s="73">
        <v>67260</v>
      </c>
      <c r="B1462" t="s">
        <v>423</v>
      </c>
      <c r="C1462" s="73" t="s">
        <v>424</v>
      </c>
      <c r="D1462" t="s">
        <v>506</v>
      </c>
      <c r="E1462" s="74">
        <v>45979</v>
      </c>
      <c r="F1462" t="s">
        <v>353</v>
      </c>
      <c r="G1462" t="s">
        <v>354</v>
      </c>
      <c r="H1462" s="75">
        <f t="shared" si="22"/>
        <v>69.362748319220188</v>
      </c>
      <c r="I1462" s="74">
        <v>45979</v>
      </c>
      <c r="J1462">
        <v>2</v>
      </c>
      <c r="K1462" t="s">
        <v>514</v>
      </c>
      <c r="L1462" t="s">
        <v>355</v>
      </c>
      <c r="M1462" t="s">
        <v>356</v>
      </c>
      <c r="N1462" s="73">
        <v>67260</v>
      </c>
      <c r="O1462" s="73">
        <v>67260</v>
      </c>
      <c r="P1462">
        <v>34.681374159610094</v>
      </c>
    </row>
    <row r="1463" spans="1:16" hidden="1" x14ac:dyDescent="0.2">
      <c r="A1463" s="73">
        <v>67260</v>
      </c>
      <c r="B1463" t="s">
        <v>423</v>
      </c>
      <c r="C1463" s="73" t="s">
        <v>424</v>
      </c>
      <c r="D1463" t="s">
        <v>506</v>
      </c>
      <c r="E1463" s="74">
        <v>45979</v>
      </c>
      <c r="F1463" t="s">
        <v>410</v>
      </c>
      <c r="G1463" t="s">
        <v>411</v>
      </c>
      <c r="H1463" s="75">
        <f t="shared" si="22"/>
        <v>277.45099327688075</v>
      </c>
      <c r="I1463" s="74">
        <v>45979</v>
      </c>
      <c r="J1463">
        <v>8</v>
      </c>
      <c r="K1463" t="s">
        <v>514</v>
      </c>
      <c r="L1463" t="s">
        <v>262</v>
      </c>
      <c r="M1463" t="s">
        <v>356</v>
      </c>
      <c r="N1463" s="73">
        <v>67260</v>
      </c>
      <c r="O1463" s="73">
        <v>67260</v>
      </c>
      <c r="P1463">
        <v>34.681374159610094</v>
      </c>
    </row>
    <row r="1464" spans="1:16" hidden="1" x14ac:dyDescent="0.2">
      <c r="A1464" s="73">
        <v>67260</v>
      </c>
      <c r="B1464" t="s">
        <v>423</v>
      </c>
      <c r="C1464" s="73" t="s">
        <v>424</v>
      </c>
      <c r="D1464" t="s">
        <v>506</v>
      </c>
      <c r="E1464" s="74">
        <v>45979</v>
      </c>
      <c r="F1464" t="s">
        <v>357</v>
      </c>
      <c r="G1464" t="s">
        <v>358</v>
      </c>
      <c r="H1464" s="75">
        <f t="shared" si="22"/>
        <v>242.76961911727065</v>
      </c>
      <c r="I1464" s="74">
        <v>45979</v>
      </c>
      <c r="J1464">
        <v>7</v>
      </c>
      <c r="K1464" t="s">
        <v>514</v>
      </c>
      <c r="L1464" t="s">
        <v>359</v>
      </c>
      <c r="M1464" t="s">
        <v>356</v>
      </c>
      <c r="N1464" s="73">
        <v>67260</v>
      </c>
      <c r="O1464" s="73">
        <v>67260</v>
      </c>
      <c r="P1464">
        <v>34.681374159610094</v>
      </c>
    </row>
    <row r="1465" spans="1:16" hidden="1" x14ac:dyDescent="0.2">
      <c r="A1465" s="73">
        <v>67260</v>
      </c>
      <c r="B1465" t="s">
        <v>423</v>
      </c>
      <c r="C1465" s="73" t="s">
        <v>424</v>
      </c>
      <c r="D1465" t="s">
        <v>506</v>
      </c>
      <c r="E1465" s="74">
        <v>45980</v>
      </c>
      <c r="F1465" t="s">
        <v>370</v>
      </c>
      <c r="G1465" t="s">
        <v>371</v>
      </c>
      <c r="H1465" s="75">
        <f t="shared" si="22"/>
        <v>277.45099327688075</v>
      </c>
      <c r="I1465" s="74">
        <v>45980</v>
      </c>
      <c r="J1465">
        <v>8</v>
      </c>
      <c r="K1465" t="s">
        <v>514</v>
      </c>
      <c r="L1465" t="s">
        <v>262</v>
      </c>
      <c r="M1465" t="s">
        <v>356</v>
      </c>
      <c r="N1465" s="73">
        <v>67260</v>
      </c>
      <c r="O1465" s="73">
        <v>67260</v>
      </c>
      <c r="P1465">
        <v>34.681374159610094</v>
      </c>
    </row>
    <row r="1466" spans="1:16" hidden="1" x14ac:dyDescent="0.2">
      <c r="A1466" s="73">
        <v>67260</v>
      </c>
      <c r="B1466" t="s">
        <v>423</v>
      </c>
      <c r="C1466" s="73" t="s">
        <v>424</v>
      </c>
      <c r="D1466" t="s">
        <v>506</v>
      </c>
      <c r="E1466" s="74">
        <v>45980</v>
      </c>
      <c r="F1466" t="s">
        <v>398</v>
      </c>
      <c r="G1466" t="s">
        <v>399</v>
      </c>
      <c r="H1466" s="75">
        <f t="shared" si="22"/>
        <v>242.76961911727065</v>
      </c>
      <c r="I1466" s="74">
        <v>45980</v>
      </c>
      <c r="J1466">
        <v>7</v>
      </c>
      <c r="K1466" t="s">
        <v>514</v>
      </c>
      <c r="L1466" t="s">
        <v>367</v>
      </c>
      <c r="M1466" t="s">
        <v>356</v>
      </c>
      <c r="N1466" s="73">
        <v>67260</v>
      </c>
      <c r="O1466" s="73">
        <v>67260</v>
      </c>
      <c r="P1466">
        <v>34.681374159610094</v>
      </c>
    </row>
    <row r="1467" spans="1:16" hidden="1" x14ac:dyDescent="0.2">
      <c r="A1467" s="73">
        <v>67260</v>
      </c>
      <c r="B1467" t="s">
        <v>423</v>
      </c>
      <c r="C1467" s="73" t="s">
        <v>424</v>
      </c>
      <c r="D1467" t="s">
        <v>506</v>
      </c>
      <c r="E1467" s="74">
        <v>45980</v>
      </c>
      <c r="F1467" t="s">
        <v>406</v>
      </c>
      <c r="G1467" t="s">
        <v>407</v>
      </c>
      <c r="H1467" s="75">
        <f t="shared" si="22"/>
        <v>208.08824495766055</v>
      </c>
      <c r="I1467" s="74">
        <v>45980</v>
      </c>
      <c r="J1467">
        <v>6</v>
      </c>
      <c r="K1467" t="s">
        <v>514</v>
      </c>
      <c r="L1467" t="s">
        <v>355</v>
      </c>
      <c r="M1467" t="s">
        <v>356</v>
      </c>
      <c r="N1467" s="73">
        <v>67260</v>
      </c>
      <c r="O1467" s="73">
        <v>67260</v>
      </c>
      <c r="P1467">
        <v>34.681374159610094</v>
      </c>
    </row>
    <row r="1468" spans="1:16" hidden="1" x14ac:dyDescent="0.2">
      <c r="A1468" s="73">
        <v>67260</v>
      </c>
      <c r="B1468" t="s">
        <v>423</v>
      </c>
      <c r="C1468" s="73" t="s">
        <v>424</v>
      </c>
      <c r="D1468" t="s">
        <v>506</v>
      </c>
      <c r="E1468" s="74">
        <v>45980</v>
      </c>
      <c r="F1468" t="s">
        <v>364</v>
      </c>
      <c r="G1468" t="s">
        <v>365</v>
      </c>
      <c r="H1468" s="75">
        <f t="shared" si="22"/>
        <v>104.04412247883027</v>
      </c>
      <c r="I1468" s="74">
        <v>45980</v>
      </c>
      <c r="J1468">
        <v>3</v>
      </c>
      <c r="K1468" t="s">
        <v>514</v>
      </c>
      <c r="L1468" t="s">
        <v>366</v>
      </c>
      <c r="M1468" t="s">
        <v>356</v>
      </c>
      <c r="N1468" s="73">
        <v>67260</v>
      </c>
      <c r="O1468" s="73">
        <v>67260</v>
      </c>
      <c r="P1468">
        <v>34.681374159610094</v>
      </c>
    </row>
    <row r="1469" spans="1:16" hidden="1" x14ac:dyDescent="0.2">
      <c r="A1469" s="73">
        <v>67260</v>
      </c>
      <c r="B1469" t="s">
        <v>423</v>
      </c>
      <c r="C1469" s="73" t="s">
        <v>424</v>
      </c>
      <c r="D1469" t="s">
        <v>506</v>
      </c>
      <c r="E1469" s="74">
        <v>45980</v>
      </c>
      <c r="F1469" t="s">
        <v>353</v>
      </c>
      <c r="G1469" t="s">
        <v>354</v>
      </c>
      <c r="H1469" s="75">
        <f t="shared" si="22"/>
        <v>34.681374159610094</v>
      </c>
      <c r="I1469" s="74">
        <v>45980</v>
      </c>
      <c r="J1469">
        <v>1</v>
      </c>
      <c r="K1469" t="s">
        <v>514</v>
      </c>
      <c r="L1469" t="s">
        <v>355</v>
      </c>
      <c r="M1469" t="s">
        <v>356</v>
      </c>
      <c r="N1469" s="73">
        <v>67260</v>
      </c>
      <c r="O1469" s="73">
        <v>67260</v>
      </c>
      <c r="P1469">
        <v>34.681374159610094</v>
      </c>
    </row>
    <row r="1470" spans="1:16" hidden="1" x14ac:dyDescent="0.2">
      <c r="A1470" s="73">
        <v>67260</v>
      </c>
      <c r="B1470" t="s">
        <v>423</v>
      </c>
      <c r="C1470" s="73" t="s">
        <v>424</v>
      </c>
      <c r="D1470" t="s">
        <v>506</v>
      </c>
      <c r="E1470" s="74">
        <v>45980</v>
      </c>
      <c r="F1470" t="s">
        <v>410</v>
      </c>
      <c r="G1470" t="s">
        <v>411</v>
      </c>
      <c r="H1470" s="75">
        <f t="shared" si="22"/>
        <v>208.08824495766055</v>
      </c>
      <c r="I1470" s="74">
        <v>45980</v>
      </c>
      <c r="J1470">
        <v>6</v>
      </c>
      <c r="K1470" t="s">
        <v>514</v>
      </c>
      <c r="L1470" t="s">
        <v>262</v>
      </c>
      <c r="M1470" t="s">
        <v>356</v>
      </c>
      <c r="N1470" s="73">
        <v>67260</v>
      </c>
      <c r="O1470" s="73">
        <v>67260</v>
      </c>
      <c r="P1470">
        <v>34.681374159610094</v>
      </c>
    </row>
    <row r="1471" spans="1:16" hidden="1" x14ac:dyDescent="0.2">
      <c r="A1471" s="73">
        <v>67260</v>
      </c>
      <c r="B1471" t="s">
        <v>423</v>
      </c>
      <c r="C1471" s="73" t="s">
        <v>424</v>
      </c>
      <c r="D1471" t="s">
        <v>506</v>
      </c>
      <c r="E1471" s="74">
        <v>45980</v>
      </c>
      <c r="F1471" t="s">
        <v>357</v>
      </c>
      <c r="G1471" t="s">
        <v>358</v>
      </c>
      <c r="H1471" s="75">
        <f t="shared" si="22"/>
        <v>242.76961911727065</v>
      </c>
      <c r="I1471" s="74">
        <v>45980</v>
      </c>
      <c r="J1471">
        <v>7</v>
      </c>
      <c r="K1471" t="s">
        <v>514</v>
      </c>
      <c r="L1471" t="s">
        <v>359</v>
      </c>
      <c r="M1471" t="s">
        <v>356</v>
      </c>
      <c r="N1471" s="73">
        <v>67260</v>
      </c>
      <c r="O1471" s="73">
        <v>67260</v>
      </c>
      <c r="P1471">
        <v>34.681374159610094</v>
      </c>
    </row>
    <row r="1472" spans="1:16" hidden="1" x14ac:dyDescent="0.2">
      <c r="A1472" s="73">
        <v>67260</v>
      </c>
      <c r="B1472" t="s">
        <v>423</v>
      </c>
      <c r="C1472" s="73" t="s">
        <v>424</v>
      </c>
      <c r="D1472" t="s">
        <v>506</v>
      </c>
      <c r="E1472" s="74">
        <v>45981</v>
      </c>
      <c r="F1472" t="s">
        <v>370</v>
      </c>
      <c r="G1472" t="s">
        <v>371</v>
      </c>
      <c r="H1472" s="75">
        <f t="shared" si="22"/>
        <v>242.76961911727065</v>
      </c>
      <c r="I1472" s="74">
        <v>45981</v>
      </c>
      <c r="J1472">
        <v>7</v>
      </c>
      <c r="K1472" t="s">
        <v>514</v>
      </c>
      <c r="L1472" t="s">
        <v>262</v>
      </c>
      <c r="M1472" t="s">
        <v>356</v>
      </c>
      <c r="N1472" s="73">
        <v>67260</v>
      </c>
      <c r="O1472" s="73">
        <v>67260</v>
      </c>
      <c r="P1472">
        <v>34.681374159610094</v>
      </c>
    </row>
    <row r="1473" spans="1:16" hidden="1" x14ac:dyDescent="0.2">
      <c r="A1473" s="73">
        <v>67260</v>
      </c>
      <c r="B1473" t="s">
        <v>423</v>
      </c>
      <c r="C1473" s="73" t="s">
        <v>424</v>
      </c>
      <c r="D1473" t="s">
        <v>506</v>
      </c>
      <c r="E1473" s="74">
        <v>45981</v>
      </c>
      <c r="F1473" t="s">
        <v>360</v>
      </c>
      <c r="G1473" t="s">
        <v>361</v>
      </c>
      <c r="H1473" s="75">
        <f t="shared" si="22"/>
        <v>138.72549663844038</v>
      </c>
      <c r="I1473" s="74">
        <v>45981</v>
      </c>
      <c r="J1473">
        <v>4</v>
      </c>
      <c r="K1473" t="s">
        <v>514</v>
      </c>
      <c r="L1473" t="s">
        <v>262</v>
      </c>
      <c r="M1473" t="s">
        <v>356</v>
      </c>
      <c r="N1473" s="73">
        <v>67260</v>
      </c>
      <c r="O1473" s="73">
        <v>67260</v>
      </c>
      <c r="P1473">
        <v>34.681374159610094</v>
      </c>
    </row>
    <row r="1474" spans="1:16" hidden="1" x14ac:dyDescent="0.2">
      <c r="A1474" s="73">
        <v>67260</v>
      </c>
      <c r="B1474" t="s">
        <v>423</v>
      </c>
      <c r="C1474" s="73" t="s">
        <v>424</v>
      </c>
      <c r="D1474" t="s">
        <v>506</v>
      </c>
      <c r="E1474" s="74">
        <v>45981</v>
      </c>
      <c r="F1474" t="s">
        <v>398</v>
      </c>
      <c r="G1474" t="s">
        <v>399</v>
      </c>
      <c r="H1474" s="75">
        <f t="shared" ref="H1474:H1537" si="23">J1474*P1474</f>
        <v>242.76961911727065</v>
      </c>
      <c r="I1474" s="74">
        <v>45981</v>
      </c>
      <c r="J1474">
        <v>7</v>
      </c>
      <c r="K1474" t="s">
        <v>514</v>
      </c>
      <c r="L1474" t="s">
        <v>367</v>
      </c>
      <c r="M1474" t="s">
        <v>356</v>
      </c>
      <c r="N1474" s="73">
        <v>67260</v>
      </c>
      <c r="O1474" s="73">
        <v>67260</v>
      </c>
      <c r="P1474">
        <v>34.681374159610094</v>
      </c>
    </row>
    <row r="1475" spans="1:16" hidden="1" x14ac:dyDescent="0.2">
      <c r="A1475" s="73">
        <v>67260</v>
      </c>
      <c r="B1475" t="s">
        <v>423</v>
      </c>
      <c r="C1475" s="73" t="s">
        <v>424</v>
      </c>
      <c r="D1475" t="s">
        <v>506</v>
      </c>
      <c r="E1475" s="74">
        <v>45981</v>
      </c>
      <c r="F1475" t="s">
        <v>364</v>
      </c>
      <c r="G1475" t="s">
        <v>365</v>
      </c>
      <c r="H1475" s="75">
        <f t="shared" si="23"/>
        <v>104.04412247883027</v>
      </c>
      <c r="I1475" s="74">
        <v>45981</v>
      </c>
      <c r="J1475">
        <v>3</v>
      </c>
      <c r="K1475" t="s">
        <v>514</v>
      </c>
      <c r="L1475" t="s">
        <v>366</v>
      </c>
      <c r="M1475" t="s">
        <v>356</v>
      </c>
      <c r="N1475" s="73">
        <v>67260</v>
      </c>
      <c r="O1475" s="73">
        <v>67260</v>
      </c>
      <c r="P1475">
        <v>34.681374159610094</v>
      </c>
    </row>
    <row r="1476" spans="1:16" hidden="1" x14ac:dyDescent="0.2">
      <c r="A1476" s="73">
        <v>67260</v>
      </c>
      <c r="B1476" t="s">
        <v>423</v>
      </c>
      <c r="C1476" s="73" t="s">
        <v>424</v>
      </c>
      <c r="D1476" t="s">
        <v>506</v>
      </c>
      <c r="E1476" s="74">
        <v>45981</v>
      </c>
      <c r="F1476" t="s">
        <v>353</v>
      </c>
      <c r="G1476" t="s">
        <v>354</v>
      </c>
      <c r="H1476" s="75">
        <f t="shared" si="23"/>
        <v>173.40687079805048</v>
      </c>
      <c r="I1476" s="74">
        <v>45981</v>
      </c>
      <c r="J1476">
        <v>5</v>
      </c>
      <c r="K1476" t="s">
        <v>514</v>
      </c>
      <c r="L1476" t="s">
        <v>355</v>
      </c>
      <c r="M1476" t="s">
        <v>356</v>
      </c>
      <c r="N1476" s="73">
        <v>67260</v>
      </c>
      <c r="O1476" s="73">
        <v>67260</v>
      </c>
      <c r="P1476">
        <v>34.681374159610094</v>
      </c>
    </row>
    <row r="1477" spans="1:16" hidden="1" x14ac:dyDescent="0.2">
      <c r="A1477" s="73">
        <v>67260</v>
      </c>
      <c r="B1477" t="s">
        <v>423</v>
      </c>
      <c r="C1477" s="73" t="s">
        <v>424</v>
      </c>
      <c r="D1477" t="s">
        <v>506</v>
      </c>
      <c r="E1477" s="74">
        <v>45981</v>
      </c>
      <c r="F1477" t="s">
        <v>410</v>
      </c>
      <c r="G1477" t="s">
        <v>411</v>
      </c>
      <c r="H1477" s="75">
        <f t="shared" si="23"/>
        <v>208.08824495766055</v>
      </c>
      <c r="I1477" s="74">
        <v>45981</v>
      </c>
      <c r="J1477">
        <v>6</v>
      </c>
      <c r="K1477" t="s">
        <v>514</v>
      </c>
      <c r="L1477" t="s">
        <v>262</v>
      </c>
      <c r="M1477" t="s">
        <v>356</v>
      </c>
      <c r="N1477" s="73">
        <v>67260</v>
      </c>
      <c r="O1477" s="73">
        <v>67260</v>
      </c>
      <c r="P1477">
        <v>34.681374159610094</v>
      </c>
    </row>
    <row r="1478" spans="1:16" hidden="1" x14ac:dyDescent="0.2">
      <c r="A1478" s="73">
        <v>67260</v>
      </c>
      <c r="B1478" t="s">
        <v>423</v>
      </c>
      <c r="C1478" s="73" t="s">
        <v>424</v>
      </c>
      <c r="D1478" t="s">
        <v>506</v>
      </c>
      <c r="E1478" s="74">
        <v>45981</v>
      </c>
      <c r="F1478" t="s">
        <v>357</v>
      </c>
      <c r="G1478" t="s">
        <v>358</v>
      </c>
      <c r="H1478" s="75">
        <f t="shared" si="23"/>
        <v>242.76961911727065</v>
      </c>
      <c r="I1478" s="74">
        <v>45981</v>
      </c>
      <c r="J1478">
        <v>7</v>
      </c>
      <c r="K1478" t="s">
        <v>514</v>
      </c>
      <c r="L1478" t="s">
        <v>359</v>
      </c>
      <c r="M1478" t="s">
        <v>356</v>
      </c>
      <c r="N1478" s="73">
        <v>67260</v>
      </c>
      <c r="O1478" s="73">
        <v>67260</v>
      </c>
      <c r="P1478">
        <v>34.681374159610094</v>
      </c>
    </row>
    <row r="1479" spans="1:16" hidden="1" x14ac:dyDescent="0.2">
      <c r="A1479" s="73">
        <v>67260</v>
      </c>
      <c r="B1479" t="s">
        <v>423</v>
      </c>
      <c r="C1479" s="73" t="s">
        <v>424</v>
      </c>
      <c r="D1479" t="s">
        <v>506</v>
      </c>
      <c r="E1479" s="74">
        <v>45982</v>
      </c>
      <c r="F1479" t="s">
        <v>370</v>
      </c>
      <c r="G1479" t="s">
        <v>371</v>
      </c>
      <c r="H1479" s="75">
        <f t="shared" si="23"/>
        <v>277.45099327688075</v>
      </c>
      <c r="I1479" s="74">
        <v>45982</v>
      </c>
      <c r="J1479">
        <v>8</v>
      </c>
      <c r="K1479" t="s">
        <v>514</v>
      </c>
      <c r="L1479" t="s">
        <v>262</v>
      </c>
      <c r="M1479" t="s">
        <v>356</v>
      </c>
      <c r="N1479" s="73">
        <v>67260</v>
      </c>
      <c r="O1479" s="73">
        <v>67260</v>
      </c>
      <c r="P1479">
        <v>34.681374159610094</v>
      </c>
    </row>
    <row r="1480" spans="1:16" hidden="1" x14ac:dyDescent="0.2">
      <c r="A1480" s="73">
        <v>67260</v>
      </c>
      <c r="B1480" t="s">
        <v>423</v>
      </c>
      <c r="C1480" s="73" t="s">
        <v>424</v>
      </c>
      <c r="D1480" t="s">
        <v>506</v>
      </c>
      <c r="E1480" s="74">
        <v>45982</v>
      </c>
      <c r="F1480" t="s">
        <v>398</v>
      </c>
      <c r="G1480" t="s">
        <v>399</v>
      </c>
      <c r="H1480" s="75">
        <f t="shared" si="23"/>
        <v>208.08824495766055</v>
      </c>
      <c r="I1480" s="74">
        <v>45982</v>
      </c>
      <c r="J1480">
        <v>6</v>
      </c>
      <c r="K1480" t="s">
        <v>514</v>
      </c>
      <c r="L1480" t="s">
        <v>367</v>
      </c>
      <c r="M1480" t="s">
        <v>356</v>
      </c>
      <c r="N1480" s="73">
        <v>67260</v>
      </c>
      <c r="O1480" s="73">
        <v>67260</v>
      </c>
      <c r="P1480">
        <v>34.681374159610094</v>
      </c>
    </row>
    <row r="1481" spans="1:16" hidden="1" x14ac:dyDescent="0.2">
      <c r="A1481" s="73">
        <v>67260</v>
      </c>
      <c r="B1481" t="s">
        <v>423</v>
      </c>
      <c r="C1481" s="73" t="s">
        <v>424</v>
      </c>
      <c r="D1481" t="s">
        <v>506</v>
      </c>
      <c r="E1481" s="74">
        <v>45982</v>
      </c>
      <c r="F1481" t="s">
        <v>364</v>
      </c>
      <c r="G1481" t="s">
        <v>365</v>
      </c>
      <c r="H1481" s="75">
        <f t="shared" si="23"/>
        <v>104.04412247883027</v>
      </c>
      <c r="I1481" s="74">
        <v>45982</v>
      </c>
      <c r="J1481">
        <v>3</v>
      </c>
      <c r="K1481" t="s">
        <v>514</v>
      </c>
      <c r="L1481" t="s">
        <v>366</v>
      </c>
      <c r="M1481" t="s">
        <v>356</v>
      </c>
      <c r="N1481" s="73">
        <v>67260</v>
      </c>
      <c r="O1481" s="73">
        <v>67260</v>
      </c>
      <c r="P1481">
        <v>34.681374159610094</v>
      </c>
    </row>
    <row r="1482" spans="1:16" hidden="1" x14ac:dyDescent="0.2">
      <c r="A1482" s="73">
        <v>67260</v>
      </c>
      <c r="B1482" t="s">
        <v>423</v>
      </c>
      <c r="C1482" s="73" t="s">
        <v>424</v>
      </c>
      <c r="D1482" t="s">
        <v>506</v>
      </c>
      <c r="E1482" s="74">
        <v>45982</v>
      </c>
      <c r="F1482" t="s">
        <v>353</v>
      </c>
      <c r="G1482" t="s">
        <v>354</v>
      </c>
      <c r="H1482" s="75">
        <f t="shared" si="23"/>
        <v>173.40687079805048</v>
      </c>
      <c r="I1482" s="74">
        <v>45982</v>
      </c>
      <c r="J1482">
        <v>5</v>
      </c>
      <c r="K1482" t="s">
        <v>514</v>
      </c>
      <c r="L1482" t="s">
        <v>355</v>
      </c>
      <c r="M1482" t="s">
        <v>356</v>
      </c>
      <c r="N1482" s="73">
        <v>67260</v>
      </c>
      <c r="O1482" s="73">
        <v>67260</v>
      </c>
      <c r="P1482">
        <v>34.681374159610094</v>
      </c>
    </row>
    <row r="1483" spans="1:16" hidden="1" x14ac:dyDescent="0.2">
      <c r="A1483" s="73">
        <v>67260</v>
      </c>
      <c r="B1483" t="s">
        <v>423</v>
      </c>
      <c r="C1483" s="73" t="s">
        <v>424</v>
      </c>
      <c r="D1483" t="s">
        <v>506</v>
      </c>
      <c r="E1483" s="74">
        <v>45982</v>
      </c>
      <c r="F1483" t="s">
        <v>410</v>
      </c>
      <c r="G1483" t="s">
        <v>411</v>
      </c>
      <c r="H1483" s="75">
        <f t="shared" si="23"/>
        <v>277.45099327688075</v>
      </c>
      <c r="I1483" s="74">
        <v>45982</v>
      </c>
      <c r="J1483">
        <v>8</v>
      </c>
      <c r="K1483" t="s">
        <v>514</v>
      </c>
      <c r="L1483" t="s">
        <v>262</v>
      </c>
      <c r="M1483" t="s">
        <v>356</v>
      </c>
      <c r="N1483" s="73">
        <v>67260</v>
      </c>
      <c r="O1483" s="73">
        <v>67260</v>
      </c>
      <c r="P1483">
        <v>34.681374159610094</v>
      </c>
    </row>
    <row r="1484" spans="1:16" hidden="1" x14ac:dyDescent="0.2">
      <c r="A1484" s="73">
        <v>67260</v>
      </c>
      <c r="B1484" t="s">
        <v>423</v>
      </c>
      <c r="C1484" s="73" t="s">
        <v>424</v>
      </c>
      <c r="D1484" t="s">
        <v>506</v>
      </c>
      <c r="E1484" s="74">
        <v>45982</v>
      </c>
      <c r="F1484" t="s">
        <v>357</v>
      </c>
      <c r="G1484" t="s">
        <v>358</v>
      </c>
      <c r="H1484" s="75">
        <f t="shared" si="23"/>
        <v>242.76961911727065</v>
      </c>
      <c r="I1484" s="74">
        <v>45982</v>
      </c>
      <c r="J1484">
        <v>7</v>
      </c>
      <c r="K1484" t="s">
        <v>514</v>
      </c>
      <c r="L1484" t="s">
        <v>359</v>
      </c>
      <c r="M1484" t="s">
        <v>356</v>
      </c>
      <c r="N1484" s="73">
        <v>67260</v>
      </c>
      <c r="O1484" s="73">
        <v>67260</v>
      </c>
      <c r="P1484">
        <v>34.681374159610094</v>
      </c>
    </row>
    <row r="1485" spans="1:16" hidden="1" x14ac:dyDescent="0.2">
      <c r="A1485" s="73">
        <v>67260</v>
      </c>
      <c r="B1485" t="s">
        <v>423</v>
      </c>
      <c r="C1485" s="73" t="s">
        <v>424</v>
      </c>
      <c r="D1485" t="s">
        <v>506</v>
      </c>
      <c r="E1485" s="74">
        <v>45983</v>
      </c>
      <c r="F1485" t="s">
        <v>364</v>
      </c>
      <c r="G1485" t="s">
        <v>365</v>
      </c>
      <c r="H1485" s="75">
        <f t="shared" si="23"/>
        <v>104.04412247883027</v>
      </c>
      <c r="I1485" s="74">
        <v>45983</v>
      </c>
      <c r="J1485">
        <v>3</v>
      </c>
      <c r="K1485" t="s">
        <v>514</v>
      </c>
      <c r="L1485" t="s">
        <v>366</v>
      </c>
      <c r="M1485" t="s">
        <v>356</v>
      </c>
      <c r="N1485" s="73">
        <v>67260</v>
      </c>
      <c r="O1485" s="73">
        <v>67260</v>
      </c>
      <c r="P1485">
        <v>34.681374159610094</v>
      </c>
    </row>
    <row r="1486" spans="1:16" hidden="1" x14ac:dyDescent="0.2">
      <c r="A1486" s="73">
        <v>67260</v>
      </c>
      <c r="B1486" t="s">
        <v>423</v>
      </c>
      <c r="C1486" s="73" t="s">
        <v>424</v>
      </c>
      <c r="D1486" t="s">
        <v>506</v>
      </c>
      <c r="E1486" s="74">
        <v>45985</v>
      </c>
      <c r="F1486" t="s">
        <v>370</v>
      </c>
      <c r="G1486" t="s">
        <v>371</v>
      </c>
      <c r="H1486" s="75">
        <f t="shared" si="23"/>
        <v>277.45099327688075</v>
      </c>
      <c r="I1486" s="74">
        <v>45985</v>
      </c>
      <c r="J1486">
        <v>8</v>
      </c>
      <c r="K1486" t="s">
        <v>514</v>
      </c>
      <c r="L1486" t="s">
        <v>262</v>
      </c>
      <c r="M1486" t="s">
        <v>356</v>
      </c>
      <c r="N1486" s="73">
        <v>67260</v>
      </c>
      <c r="O1486" s="73">
        <v>67260</v>
      </c>
      <c r="P1486">
        <v>34.681374159610094</v>
      </c>
    </row>
    <row r="1487" spans="1:16" hidden="1" x14ac:dyDescent="0.2">
      <c r="A1487" s="73">
        <v>67260</v>
      </c>
      <c r="B1487" t="s">
        <v>423</v>
      </c>
      <c r="C1487" s="73" t="s">
        <v>424</v>
      </c>
      <c r="D1487" t="s">
        <v>506</v>
      </c>
      <c r="E1487" s="74">
        <v>45985</v>
      </c>
      <c r="F1487" t="s">
        <v>406</v>
      </c>
      <c r="G1487" t="s">
        <v>407</v>
      </c>
      <c r="H1487" s="75">
        <f t="shared" si="23"/>
        <v>138.72549663844038</v>
      </c>
      <c r="I1487" s="74">
        <v>45985</v>
      </c>
      <c r="J1487">
        <v>4</v>
      </c>
      <c r="K1487" t="s">
        <v>514</v>
      </c>
      <c r="L1487" t="s">
        <v>355</v>
      </c>
      <c r="M1487" t="s">
        <v>356</v>
      </c>
      <c r="N1487" s="73">
        <v>67260</v>
      </c>
      <c r="O1487" s="73">
        <v>67260</v>
      </c>
      <c r="P1487">
        <v>34.681374159610094</v>
      </c>
    </row>
    <row r="1488" spans="1:16" hidden="1" x14ac:dyDescent="0.2">
      <c r="A1488" s="73">
        <v>67260</v>
      </c>
      <c r="B1488" t="s">
        <v>423</v>
      </c>
      <c r="C1488" s="73" t="s">
        <v>424</v>
      </c>
      <c r="D1488" t="s">
        <v>506</v>
      </c>
      <c r="E1488" s="74">
        <v>45985</v>
      </c>
      <c r="F1488" t="s">
        <v>360</v>
      </c>
      <c r="G1488" t="s">
        <v>361</v>
      </c>
      <c r="H1488" s="75">
        <f t="shared" si="23"/>
        <v>104.04412247883027</v>
      </c>
      <c r="I1488" s="74">
        <v>45985</v>
      </c>
      <c r="J1488">
        <v>3</v>
      </c>
      <c r="K1488" t="s">
        <v>514</v>
      </c>
      <c r="L1488" t="s">
        <v>262</v>
      </c>
      <c r="M1488" t="s">
        <v>356</v>
      </c>
      <c r="N1488" s="73">
        <v>67260</v>
      </c>
      <c r="O1488" s="73">
        <v>67260</v>
      </c>
      <c r="P1488">
        <v>34.681374159610094</v>
      </c>
    </row>
    <row r="1489" spans="1:16" hidden="1" x14ac:dyDescent="0.2">
      <c r="A1489" s="73">
        <v>67260</v>
      </c>
      <c r="B1489" t="s">
        <v>423</v>
      </c>
      <c r="C1489" s="73" t="s">
        <v>424</v>
      </c>
      <c r="D1489" t="s">
        <v>506</v>
      </c>
      <c r="E1489" s="74">
        <v>45985</v>
      </c>
      <c r="F1489" t="s">
        <v>357</v>
      </c>
      <c r="G1489" t="s">
        <v>358</v>
      </c>
      <c r="H1489" s="75">
        <f t="shared" si="23"/>
        <v>242.76961911727065</v>
      </c>
      <c r="I1489" s="74">
        <v>45985</v>
      </c>
      <c r="J1489">
        <v>7</v>
      </c>
      <c r="K1489" t="s">
        <v>514</v>
      </c>
      <c r="L1489" t="s">
        <v>359</v>
      </c>
      <c r="M1489" t="s">
        <v>356</v>
      </c>
      <c r="N1489" s="73">
        <v>67260</v>
      </c>
      <c r="O1489" s="73">
        <v>67260</v>
      </c>
      <c r="P1489">
        <v>34.681374159610094</v>
      </c>
    </row>
    <row r="1490" spans="1:16" hidden="1" x14ac:dyDescent="0.2">
      <c r="A1490" s="73">
        <v>67260</v>
      </c>
      <c r="B1490" t="s">
        <v>423</v>
      </c>
      <c r="C1490" s="73" t="s">
        <v>424</v>
      </c>
      <c r="D1490" t="s">
        <v>506</v>
      </c>
      <c r="E1490" s="74">
        <v>45985</v>
      </c>
      <c r="F1490" t="s">
        <v>353</v>
      </c>
      <c r="G1490" t="s">
        <v>354</v>
      </c>
      <c r="H1490" s="75">
        <f t="shared" si="23"/>
        <v>34.681374159610094</v>
      </c>
      <c r="I1490" s="74">
        <v>45985</v>
      </c>
      <c r="J1490">
        <v>1</v>
      </c>
      <c r="K1490" t="s">
        <v>514</v>
      </c>
      <c r="L1490" t="s">
        <v>355</v>
      </c>
      <c r="M1490" t="s">
        <v>356</v>
      </c>
      <c r="N1490" s="73">
        <v>67260</v>
      </c>
      <c r="O1490" s="73">
        <v>67260</v>
      </c>
      <c r="P1490">
        <v>34.681374159610094</v>
      </c>
    </row>
    <row r="1491" spans="1:16" hidden="1" x14ac:dyDescent="0.2">
      <c r="A1491" s="73">
        <v>67260</v>
      </c>
      <c r="B1491" t="s">
        <v>423</v>
      </c>
      <c r="C1491" s="73" t="s">
        <v>424</v>
      </c>
      <c r="D1491" t="s">
        <v>506</v>
      </c>
      <c r="E1491" s="74">
        <v>45985</v>
      </c>
      <c r="F1491" t="s">
        <v>398</v>
      </c>
      <c r="G1491" t="s">
        <v>399</v>
      </c>
      <c r="H1491" s="75">
        <f t="shared" si="23"/>
        <v>277.45099327688075</v>
      </c>
      <c r="I1491" s="74">
        <v>45985</v>
      </c>
      <c r="J1491">
        <v>8</v>
      </c>
      <c r="K1491" t="s">
        <v>514</v>
      </c>
      <c r="L1491" t="s">
        <v>367</v>
      </c>
      <c r="M1491" t="s">
        <v>356</v>
      </c>
      <c r="N1491" s="73">
        <v>67260</v>
      </c>
      <c r="O1491" s="73">
        <v>67260</v>
      </c>
      <c r="P1491">
        <v>34.681374159610094</v>
      </c>
    </row>
    <row r="1492" spans="1:16" hidden="1" x14ac:dyDescent="0.2">
      <c r="A1492" s="73">
        <v>67260</v>
      </c>
      <c r="B1492" t="s">
        <v>423</v>
      </c>
      <c r="C1492" s="73" t="s">
        <v>424</v>
      </c>
      <c r="D1492" t="s">
        <v>506</v>
      </c>
      <c r="E1492" s="74">
        <v>45985</v>
      </c>
      <c r="F1492" t="s">
        <v>410</v>
      </c>
      <c r="G1492" t="s">
        <v>411</v>
      </c>
      <c r="H1492" s="75">
        <f t="shared" si="23"/>
        <v>277.45099327688075</v>
      </c>
      <c r="I1492" s="74">
        <v>45985</v>
      </c>
      <c r="J1492">
        <v>8</v>
      </c>
      <c r="K1492" t="s">
        <v>514</v>
      </c>
      <c r="L1492" t="s">
        <v>262</v>
      </c>
      <c r="M1492" t="s">
        <v>356</v>
      </c>
      <c r="N1492" s="73">
        <v>67260</v>
      </c>
      <c r="O1492" s="73">
        <v>67260</v>
      </c>
      <c r="P1492">
        <v>34.681374159610094</v>
      </c>
    </row>
    <row r="1493" spans="1:16" hidden="1" x14ac:dyDescent="0.2">
      <c r="A1493" s="73">
        <v>67260</v>
      </c>
      <c r="B1493" t="s">
        <v>423</v>
      </c>
      <c r="C1493" s="73" t="s">
        <v>424</v>
      </c>
      <c r="D1493" t="s">
        <v>506</v>
      </c>
      <c r="E1493" s="74">
        <v>45986</v>
      </c>
      <c r="F1493" t="s">
        <v>370</v>
      </c>
      <c r="G1493" t="s">
        <v>371</v>
      </c>
      <c r="H1493" s="75">
        <f t="shared" si="23"/>
        <v>277.45099327688075</v>
      </c>
      <c r="I1493" s="74">
        <v>45986</v>
      </c>
      <c r="J1493">
        <v>8</v>
      </c>
      <c r="K1493" t="s">
        <v>514</v>
      </c>
      <c r="L1493" t="s">
        <v>262</v>
      </c>
      <c r="M1493" t="s">
        <v>356</v>
      </c>
      <c r="N1493" s="73">
        <v>67260</v>
      </c>
      <c r="O1493" s="73">
        <v>67260</v>
      </c>
      <c r="P1493">
        <v>34.681374159610094</v>
      </c>
    </row>
    <row r="1494" spans="1:16" hidden="1" x14ac:dyDescent="0.2">
      <c r="A1494" s="73">
        <v>67260</v>
      </c>
      <c r="B1494" t="s">
        <v>423</v>
      </c>
      <c r="C1494" s="73" t="s">
        <v>424</v>
      </c>
      <c r="D1494" t="s">
        <v>506</v>
      </c>
      <c r="E1494" s="74">
        <v>45986</v>
      </c>
      <c r="F1494" t="s">
        <v>406</v>
      </c>
      <c r="G1494" t="s">
        <v>407</v>
      </c>
      <c r="H1494" s="75">
        <f t="shared" si="23"/>
        <v>138.72549663844038</v>
      </c>
      <c r="I1494" s="74">
        <v>45986</v>
      </c>
      <c r="J1494">
        <v>4</v>
      </c>
      <c r="K1494" t="s">
        <v>514</v>
      </c>
      <c r="L1494" t="s">
        <v>355</v>
      </c>
      <c r="M1494" t="s">
        <v>356</v>
      </c>
      <c r="N1494" s="73">
        <v>67260</v>
      </c>
      <c r="O1494" s="73">
        <v>67260</v>
      </c>
      <c r="P1494">
        <v>34.681374159610094</v>
      </c>
    </row>
    <row r="1495" spans="1:16" hidden="1" x14ac:dyDescent="0.2">
      <c r="A1495" s="73">
        <v>67260</v>
      </c>
      <c r="B1495" t="s">
        <v>423</v>
      </c>
      <c r="C1495" s="73" t="s">
        <v>424</v>
      </c>
      <c r="D1495" t="s">
        <v>506</v>
      </c>
      <c r="E1495" s="74">
        <v>45986</v>
      </c>
      <c r="F1495" t="s">
        <v>360</v>
      </c>
      <c r="G1495" t="s">
        <v>361</v>
      </c>
      <c r="H1495" s="75">
        <f t="shared" si="23"/>
        <v>138.72549663844038</v>
      </c>
      <c r="I1495" s="74">
        <v>45986</v>
      </c>
      <c r="J1495">
        <v>4</v>
      </c>
      <c r="K1495" t="s">
        <v>514</v>
      </c>
      <c r="L1495" t="s">
        <v>262</v>
      </c>
      <c r="M1495" t="s">
        <v>356</v>
      </c>
      <c r="N1495" s="73">
        <v>67260</v>
      </c>
      <c r="O1495" s="73">
        <v>67260</v>
      </c>
      <c r="P1495">
        <v>34.681374159610094</v>
      </c>
    </row>
    <row r="1496" spans="1:16" hidden="1" x14ac:dyDescent="0.2">
      <c r="A1496" s="73">
        <v>67260</v>
      </c>
      <c r="B1496" t="s">
        <v>423</v>
      </c>
      <c r="C1496" s="73" t="s">
        <v>424</v>
      </c>
      <c r="D1496" t="s">
        <v>506</v>
      </c>
      <c r="E1496" s="74">
        <v>45986</v>
      </c>
      <c r="F1496" t="s">
        <v>357</v>
      </c>
      <c r="G1496" t="s">
        <v>358</v>
      </c>
      <c r="H1496" s="75">
        <f t="shared" si="23"/>
        <v>242.76961911727065</v>
      </c>
      <c r="I1496" s="74">
        <v>45986</v>
      </c>
      <c r="J1496">
        <v>7</v>
      </c>
      <c r="K1496" t="s">
        <v>514</v>
      </c>
      <c r="L1496" t="s">
        <v>359</v>
      </c>
      <c r="M1496" t="s">
        <v>356</v>
      </c>
      <c r="N1496" s="73">
        <v>67260</v>
      </c>
      <c r="O1496" s="73">
        <v>67260</v>
      </c>
      <c r="P1496">
        <v>34.681374159610094</v>
      </c>
    </row>
    <row r="1497" spans="1:16" hidden="1" x14ac:dyDescent="0.2">
      <c r="A1497" s="73">
        <v>67260</v>
      </c>
      <c r="B1497" t="s">
        <v>423</v>
      </c>
      <c r="C1497" s="73" t="s">
        <v>424</v>
      </c>
      <c r="D1497" t="s">
        <v>506</v>
      </c>
      <c r="E1497" s="74">
        <v>45986</v>
      </c>
      <c r="F1497" t="s">
        <v>353</v>
      </c>
      <c r="G1497" t="s">
        <v>354</v>
      </c>
      <c r="H1497" s="75">
        <f t="shared" si="23"/>
        <v>34.681374159610094</v>
      </c>
      <c r="I1497" s="74">
        <v>45986</v>
      </c>
      <c r="J1497">
        <v>1</v>
      </c>
      <c r="K1497" t="s">
        <v>514</v>
      </c>
      <c r="L1497" t="s">
        <v>355</v>
      </c>
      <c r="M1497" t="s">
        <v>356</v>
      </c>
      <c r="N1497" s="73">
        <v>67260</v>
      </c>
      <c r="O1497" s="73">
        <v>67260</v>
      </c>
      <c r="P1497">
        <v>34.681374159610094</v>
      </c>
    </row>
    <row r="1498" spans="1:16" hidden="1" x14ac:dyDescent="0.2">
      <c r="A1498" s="73">
        <v>67260</v>
      </c>
      <c r="B1498" t="s">
        <v>423</v>
      </c>
      <c r="C1498" s="73" t="s">
        <v>424</v>
      </c>
      <c r="D1498" t="s">
        <v>506</v>
      </c>
      <c r="E1498" s="74">
        <v>45986</v>
      </c>
      <c r="F1498" t="s">
        <v>410</v>
      </c>
      <c r="G1498" t="s">
        <v>411</v>
      </c>
      <c r="H1498" s="75">
        <f t="shared" si="23"/>
        <v>242.76961911727065</v>
      </c>
      <c r="I1498" s="74">
        <v>45986</v>
      </c>
      <c r="J1498">
        <v>7</v>
      </c>
      <c r="K1498" t="s">
        <v>514</v>
      </c>
      <c r="L1498" t="s">
        <v>262</v>
      </c>
      <c r="M1498" t="s">
        <v>356</v>
      </c>
      <c r="N1498" s="73">
        <v>67260</v>
      </c>
      <c r="O1498" s="73">
        <v>67260</v>
      </c>
      <c r="P1498">
        <v>34.681374159610094</v>
      </c>
    </row>
    <row r="1499" spans="1:16" hidden="1" x14ac:dyDescent="0.2">
      <c r="A1499" s="73">
        <v>67260</v>
      </c>
      <c r="B1499" t="s">
        <v>423</v>
      </c>
      <c r="C1499" s="73" t="s">
        <v>424</v>
      </c>
      <c r="D1499" t="s">
        <v>506</v>
      </c>
      <c r="E1499" s="74">
        <v>45987</v>
      </c>
      <c r="F1499" t="s">
        <v>406</v>
      </c>
      <c r="G1499" t="s">
        <v>407</v>
      </c>
      <c r="H1499" s="75">
        <f t="shared" si="23"/>
        <v>138.72549663844038</v>
      </c>
      <c r="I1499" s="74">
        <v>45987</v>
      </c>
      <c r="J1499">
        <v>4</v>
      </c>
      <c r="K1499" t="s">
        <v>514</v>
      </c>
      <c r="L1499" t="s">
        <v>355</v>
      </c>
      <c r="M1499" t="s">
        <v>356</v>
      </c>
      <c r="N1499" s="73">
        <v>67260</v>
      </c>
      <c r="O1499" s="73">
        <v>67260</v>
      </c>
      <c r="P1499">
        <v>34.681374159610094</v>
      </c>
    </row>
    <row r="1500" spans="1:16" hidden="1" x14ac:dyDescent="0.2">
      <c r="A1500" s="73">
        <v>67260</v>
      </c>
      <c r="B1500" t="s">
        <v>423</v>
      </c>
      <c r="C1500" s="73" t="s">
        <v>424</v>
      </c>
      <c r="D1500" t="s">
        <v>506</v>
      </c>
      <c r="E1500" s="74">
        <v>45987</v>
      </c>
      <c r="F1500" t="s">
        <v>360</v>
      </c>
      <c r="G1500" t="s">
        <v>361</v>
      </c>
      <c r="H1500" s="75">
        <f t="shared" si="23"/>
        <v>277.45099327688075</v>
      </c>
      <c r="I1500" s="74">
        <v>45987</v>
      </c>
      <c r="J1500">
        <v>8</v>
      </c>
      <c r="K1500" t="s">
        <v>514</v>
      </c>
      <c r="L1500" t="s">
        <v>262</v>
      </c>
      <c r="M1500" t="s">
        <v>356</v>
      </c>
      <c r="N1500" s="73">
        <v>67260</v>
      </c>
      <c r="O1500" s="73">
        <v>67260</v>
      </c>
      <c r="P1500">
        <v>34.681374159610094</v>
      </c>
    </row>
    <row r="1501" spans="1:16" hidden="1" x14ac:dyDescent="0.2">
      <c r="A1501" s="73">
        <v>67260</v>
      </c>
      <c r="B1501" t="s">
        <v>423</v>
      </c>
      <c r="C1501" s="73" t="s">
        <v>424</v>
      </c>
      <c r="D1501" t="s">
        <v>506</v>
      </c>
      <c r="E1501" s="74">
        <v>45987</v>
      </c>
      <c r="F1501" t="s">
        <v>357</v>
      </c>
      <c r="G1501" t="s">
        <v>358</v>
      </c>
      <c r="H1501" s="75">
        <f t="shared" si="23"/>
        <v>242.76961911727065</v>
      </c>
      <c r="I1501" s="74">
        <v>45987</v>
      </c>
      <c r="J1501">
        <v>7</v>
      </c>
      <c r="K1501" t="s">
        <v>514</v>
      </c>
      <c r="L1501" t="s">
        <v>359</v>
      </c>
      <c r="M1501" t="s">
        <v>356</v>
      </c>
      <c r="N1501" s="73">
        <v>67260</v>
      </c>
      <c r="O1501" s="73">
        <v>67260</v>
      </c>
      <c r="P1501">
        <v>34.681374159610094</v>
      </c>
    </row>
    <row r="1502" spans="1:16" hidden="1" x14ac:dyDescent="0.2">
      <c r="A1502" s="73">
        <v>67260</v>
      </c>
      <c r="B1502" t="s">
        <v>423</v>
      </c>
      <c r="C1502" s="73" t="s">
        <v>424</v>
      </c>
      <c r="D1502" t="s">
        <v>506</v>
      </c>
      <c r="E1502" s="74">
        <v>45987</v>
      </c>
      <c r="F1502" t="s">
        <v>353</v>
      </c>
      <c r="G1502" t="s">
        <v>354</v>
      </c>
      <c r="H1502" s="75">
        <f t="shared" si="23"/>
        <v>138.72549663844038</v>
      </c>
      <c r="I1502" s="74">
        <v>45987</v>
      </c>
      <c r="J1502">
        <v>4</v>
      </c>
      <c r="K1502" t="s">
        <v>514</v>
      </c>
      <c r="L1502" t="s">
        <v>355</v>
      </c>
      <c r="M1502" t="s">
        <v>356</v>
      </c>
      <c r="N1502" s="73">
        <v>67260</v>
      </c>
      <c r="O1502" s="73">
        <v>67260</v>
      </c>
      <c r="P1502">
        <v>34.681374159610094</v>
      </c>
    </row>
    <row r="1503" spans="1:16" hidden="1" x14ac:dyDescent="0.2">
      <c r="A1503" s="73">
        <v>67260</v>
      </c>
      <c r="B1503" t="s">
        <v>423</v>
      </c>
      <c r="C1503" s="73" t="s">
        <v>424</v>
      </c>
      <c r="D1503" t="s">
        <v>506</v>
      </c>
      <c r="E1503" s="74">
        <v>45987</v>
      </c>
      <c r="F1503" t="s">
        <v>410</v>
      </c>
      <c r="G1503" t="s">
        <v>411</v>
      </c>
      <c r="H1503" s="75">
        <f t="shared" si="23"/>
        <v>277.45099327688075</v>
      </c>
      <c r="I1503" s="74">
        <v>45987</v>
      </c>
      <c r="J1503">
        <v>8</v>
      </c>
      <c r="K1503" t="s">
        <v>514</v>
      </c>
      <c r="L1503" t="s">
        <v>262</v>
      </c>
      <c r="M1503" t="s">
        <v>356</v>
      </c>
      <c r="N1503" s="73">
        <v>67260</v>
      </c>
      <c r="O1503" s="73">
        <v>67260</v>
      </c>
      <c r="P1503">
        <v>34.681374159610094</v>
      </c>
    </row>
    <row r="1504" spans="1:16" hidden="1" x14ac:dyDescent="0.2">
      <c r="A1504" s="73">
        <v>67260</v>
      </c>
      <c r="B1504" t="s">
        <v>423</v>
      </c>
      <c r="C1504" s="73" t="s">
        <v>424</v>
      </c>
      <c r="D1504" t="s">
        <v>506</v>
      </c>
      <c r="E1504" s="74">
        <v>45988</v>
      </c>
      <c r="F1504" t="s">
        <v>370</v>
      </c>
      <c r="G1504" t="s">
        <v>371</v>
      </c>
      <c r="H1504" s="75">
        <f t="shared" si="23"/>
        <v>277.45099327688075</v>
      </c>
      <c r="I1504" s="74">
        <v>45988</v>
      </c>
      <c r="J1504">
        <v>8</v>
      </c>
      <c r="K1504" t="s">
        <v>514</v>
      </c>
      <c r="L1504" t="s">
        <v>262</v>
      </c>
      <c r="M1504" t="s">
        <v>356</v>
      </c>
      <c r="N1504" s="73">
        <v>67260</v>
      </c>
      <c r="O1504" s="73">
        <v>67260</v>
      </c>
      <c r="P1504">
        <v>34.681374159610094</v>
      </c>
    </row>
    <row r="1505" spans="1:16" hidden="1" x14ac:dyDescent="0.2">
      <c r="A1505" s="73">
        <v>67260</v>
      </c>
      <c r="B1505" t="s">
        <v>423</v>
      </c>
      <c r="C1505" s="73" t="s">
        <v>424</v>
      </c>
      <c r="D1505" t="s">
        <v>506</v>
      </c>
      <c r="E1505" s="74">
        <v>45988</v>
      </c>
      <c r="F1505" t="s">
        <v>360</v>
      </c>
      <c r="G1505" t="s">
        <v>361</v>
      </c>
      <c r="H1505" s="75">
        <f t="shared" si="23"/>
        <v>277.45099327688075</v>
      </c>
      <c r="I1505" s="74">
        <v>45988</v>
      </c>
      <c r="J1505">
        <v>8</v>
      </c>
      <c r="K1505" t="s">
        <v>514</v>
      </c>
      <c r="L1505" t="s">
        <v>262</v>
      </c>
      <c r="M1505" t="s">
        <v>356</v>
      </c>
      <c r="N1505" s="73">
        <v>67260</v>
      </c>
      <c r="O1505" s="73">
        <v>67260</v>
      </c>
      <c r="P1505">
        <v>34.681374159610094</v>
      </c>
    </row>
    <row r="1506" spans="1:16" hidden="1" x14ac:dyDescent="0.2">
      <c r="A1506" s="73">
        <v>67260</v>
      </c>
      <c r="B1506" t="s">
        <v>423</v>
      </c>
      <c r="C1506" s="73" t="s">
        <v>424</v>
      </c>
      <c r="D1506" t="s">
        <v>506</v>
      </c>
      <c r="E1506" s="74">
        <v>45988</v>
      </c>
      <c r="F1506" t="s">
        <v>357</v>
      </c>
      <c r="G1506" t="s">
        <v>358</v>
      </c>
      <c r="H1506" s="75">
        <f t="shared" si="23"/>
        <v>242.76961911727065</v>
      </c>
      <c r="I1506" s="74">
        <v>45988</v>
      </c>
      <c r="J1506">
        <v>7</v>
      </c>
      <c r="K1506" t="s">
        <v>514</v>
      </c>
      <c r="L1506" t="s">
        <v>359</v>
      </c>
      <c r="M1506" t="s">
        <v>356</v>
      </c>
      <c r="N1506" s="73">
        <v>67260</v>
      </c>
      <c r="O1506" s="73">
        <v>67260</v>
      </c>
      <c r="P1506">
        <v>34.681374159610094</v>
      </c>
    </row>
    <row r="1507" spans="1:16" hidden="1" x14ac:dyDescent="0.2">
      <c r="A1507" s="73">
        <v>67260</v>
      </c>
      <c r="B1507" t="s">
        <v>423</v>
      </c>
      <c r="C1507" s="73" t="s">
        <v>424</v>
      </c>
      <c r="D1507" t="s">
        <v>506</v>
      </c>
      <c r="E1507" s="74">
        <v>45988</v>
      </c>
      <c r="F1507" t="s">
        <v>353</v>
      </c>
      <c r="G1507" t="s">
        <v>354</v>
      </c>
      <c r="H1507" s="75">
        <f t="shared" si="23"/>
        <v>34.681374159610094</v>
      </c>
      <c r="I1507" s="74">
        <v>45988</v>
      </c>
      <c r="J1507">
        <v>1</v>
      </c>
      <c r="K1507" t="s">
        <v>514</v>
      </c>
      <c r="L1507" t="s">
        <v>355</v>
      </c>
      <c r="M1507" t="s">
        <v>356</v>
      </c>
      <c r="N1507" s="73">
        <v>67260</v>
      </c>
      <c r="O1507" s="73">
        <v>67260</v>
      </c>
      <c r="P1507">
        <v>34.681374159610094</v>
      </c>
    </row>
    <row r="1508" spans="1:16" hidden="1" x14ac:dyDescent="0.2">
      <c r="A1508" s="73">
        <v>67260</v>
      </c>
      <c r="B1508" t="s">
        <v>423</v>
      </c>
      <c r="C1508" s="73" t="s">
        <v>424</v>
      </c>
      <c r="D1508" t="s">
        <v>506</v>
      </c>
      <c r="E1508" s="74">
        <v>45989</v>
      </c>
      <c r="F1508" t="s">
        <v>370</v>
      </c>
      <c r="G1508" t="s">
        <v>371</v>
      </c>
      <c r="H1508" s="75">
        <f t="shared" si="23"/>
        <v>277.45099327688075</v>
      </c>
      <c r="I1508" s="74">
        <v>45989</v>
      </c>
      <c r="J1508">
        <v>8</v>
      </c>
      <c r="K1508" t="s">
        <v>514</v>
      </c>
      <c r="L1508" t="s">
        <v>262</v>
      </c>
      <c r="M1508" t="s">
        <v>356</v>
      </c>
      <c r="N1508" s="73">
        <v>67260</v>
      </c>
      <c r="O1508" s="73">
        <v>67260</v>
      </c>
      <c r="P1508">
        <v>34.681374159610094</v>
      </c>
    </row>
    <row r="1509" spans="1:16" hidden="1" x14ac:dyDescent="0.2">
      <c r="A1509" s="73">
        <v>67260</v>
      </c>
      <c r="B1509" t="s">
        <v>423</v>
      </c>
      <c r="C1509" s="73" t="s">
        <v>424</v>
      </c>
      <c r="D1509" t="s">
        <v>506</v>
      </c>
      <c r="E1509" s="74">
        <v>45989</v>
      </c>
      <c r="F1509" t="s">
        <v>360</v>
      </c>
      <c r="G1509" t="s">
        <v>361</v>
      </c>
      <c r="H1509" s="75">
        <f t="shared" si="23"/>
        <v>277.45099327688075</v>
      </c>
      <c r="I1509" s="74">
        <v>45989</v>
      </c>
      <c r="J1509">
        <v>8</v>
      </c>
      <c r="K1509" t="s">
        <v>514</v>
      </c>
      <c r="L1509" t="s">
        <v>262</v>
      </c>
      <c r="M1509" t="s">
        <v>356</v>
      </c>
      <c r="N1509" s="73">
        <v>67260</v>
      </c>
      <c r="O1509" s="73">
        <v>67260</v>
      </c>
      <c r="P1509">
        <v>34.681374159610094</v>
      </c>
    </row>
    <row r="1510" spans="1:16" hidden="1" x14ac:dyDescent="0.2">
      <c r="A1510" s="73">
        <v>67260</v>
      </c>
      <c r="B1510" t="s">
        <v>423</v>
      </c>
      <c r="C1510" s="73" t="s">
        <v>424</v>
      </c>
      <c r="D1510" t="s">
        <v>506</v>
      </c>
      <c r="E1510" s="74">
        <v>45989</v>
      </c>
      <c r="F1510" t="s">
        <v>357</v>
      </c>
      <c r="G1510" t="s">
        <v>358</v>
      </c>
      <c r="H1510" s="75">
        <f t="shared" si="23"/>
        <v>242.76961911727065</v>
      </c>
      <c r="I1510" s="74">
        <v>45989</v>
      </c>
      <c r="J1510">
        <v>7</v>
      </c>
      <c r="K1510" t="s">
        <v>514</v>
      </c>
      <c r="L1510" t="s">
        <v>359</v>
      </c>
      <c r="M1510" t="s">
        <v>356</v>
      </c>
      <c r="N1510" s="73">
        <v>67260</v>
      </c>
      <c r="O1510" s="73">
        <v>67260</v>
      </c>
      <c r="P1510">
        <v>34.681374159610094</v>
      </c>
    </row>
    <row r="1511" spans="1:16" hidden="1" x14ac:dyDescent="0.2">
      <c r="A1511" s="73">
        <v>67260</v>
      </c>
      <c r="B1511" t="s">
        <v>423</v>
      </c>
      <c r="C1511" s="73" t="s">
        <v>424</v>
      </c>
      <c r="D1511" t="s">
        <v>506</v>
      </c>
      <c r="E1511" s="74">
        <v>45989</v>
      </c>
      <c r="F1511" t="s">
        <v>353</v>
      </c>
      <c r="G1511" t="s">
        <v>354</v>
      </c>
      <c r="H1511" s="75">
        <f t="shared" si="23"/>
        <v>34.681374159610094</v>
      </c>
      <c r="I1511" s="74">
        <v>45989</v>
      </c>
      <c r="J1511">
        <v>1</v>
      </c>
      <c r="K1511" t="s">
        <v>514</v>
      </c>
      <c r="L1511" t="s">
        <v>355</v>
      </c>
      <c r="M1511" t="s">
        <v>356</v>
      </c>
      <c r="N1511" s="73">
        <v>67260</v>
      </c>
      <c r="O1511" s="73">
        <v>67260</v>
      </c>
      <c r="P1511">
        <v>34.681374159610094</v>
      </c>
    </row>
    <row r="1512" spans="1:16" hidden="1" x14ac:dyDescent="0.2">
      <c r="A1512" s="73">
        <v>67260</v>
      </c>
      <c r="B1512" t="s">
        <v>423</v>
      </c>
      <c r="C1512" s="73" t="s">
        <v>424</v>
      </c>
      <c r="D1512" t="s">
        <v>506</v>
      </c>
      <c r="E1512" s="74">
        <v>45992</v>
      </c>
      <c r="F1512" t="s">
        <v>370</v>
      </c>
      <c r="G1512" t="s">
        <v>371</v>
      </c>
      <c r="H1512" s="75">
        <f t="shared" si="23"/>
        <v>277.45099327688075</v>
      </c>
      <c r="I1512" s="74">
        <v>45992</v>
      </c>
      <c r="J1512">
        <v>8</v>
      </c>
      <c r="K1512" t="s">
        <v>515</v>
      </c>
      <c r="L1512" t="s">
        <v>262</v>
      </c>
      <c r="M1512" t="s">
        <v>356</v>
      </c>
      <c r="N1512" s="73">
        <v>67260</v>
      </c>
      <c r="O1512" s="73">
        <v>67260</v>
      </c>
      <c r="P1512">
        <v>34.681374159610094</v>
      </c>
    </row>
    <row r="1513" spans="1:16" hidden="1" x14ac:dyDescent="0.2">
      <c r="A1513" s="73">
        <v>67260</v>
      </c>
      <c r="B1513" t="s">
        <v>423</v>
      </c>
      <c r="C1513" s="73" t="s">
        <v>424</v>
      </c>
      <c r="D1513" t="s">
        <v>506</v>
      </c>
      <c r="E1513" s="74">
        <v>45992</v>
      </c>
      <c r="F1513" t="s">
        <v>364</v>
      </c>
      <c r="G1513" t="s">
        <v>365</v>
      </c>
      <c r="H1513" s="75">
        <f t="shared" si="23"/>
        <v>69.362748319220188</v>
      </c>
      <c r="I1513" s="74">
        <v>45992</v>
      </c>
      <c r="J1513">
        <v>2</v>
      </c>
      <c r="K1513" t="s">
        <v>515</v>
      </c>
      <c r="L1513" t="s">
        <v>366</v>
      </c>
      <c r="M1513" t="s">
        <v>356</v>
      </c>
      <c r="N1513" s="73">
        <v>67260</v>
      </c>
      <c r="O1513" s="73">
        <v>67260</v>
      </c>
      <c r="P1513">
        <v>34.681374159610094</v>
      </c>
    </row>
    <row r="1514" spans="1:16" hidden="1" x14ac:dyDescent="0.2">
      <c r="A1514" s="73">
        <v>67260</v>
      </c>
      <c r="B1514" t="s">
        <v>423</v>
      </c>
      <c r="C1514" s="73" t="s">
        <v>424</v>
      </c>
      <c r="D1514" t="s">
        <v>506</v>
      </c>
      <c r="E1514" s="74">
        <v>45992</v>
      </c>
      <c r="F1514" t="s">
        <v>357</v>
      </c>
      <c r="G1514" t="s">
        <v>358</v>
      </c>
      <c r="H1514" s="75">
        <f t="shared" si="23"/>
        <v>242.76961911727065</v>
      </c>
      <c r="I1514" s="74">
        <v>45992</v>
      </c>
      <c r="J1514">
        <v>7</v>
      </c>
      <c r="K1514" t="s">
        <v>515</v>
      </c>
      <c r="L1514" t="s">
        <v>359</v>
      </c>
      <c r="M1514" t="s">
        <v>356</v>
      </c>
      <c r="N1514" s="73">
        <v>67260</v>
      </c>
      <c r="O1514" s="73">
        <v>67260</v>
      </c>
      <c r="P1514">
        <v>34.681374159610094</v>
      </c>
    </row>
    <row r="1515" spans="1:16" hidden="1" x14ac:dyDescent="0.2">
      <c r="A1515" s="73">
        <v>67260</v>
      </c>
      <c r="B1515" t="s">
        <v>423</v>
      </c>
      <c r="C1515" s="73" t="s">
        <v>424</v>
      </c>
      <c r="D1515" t="s">
        <v>506</v>
      </c>
      <c r="E1515" s="74">
        <v>45993</v>
      </c>
      <c r="F1515" t="s">
        <v>370</v>
      </c>
      <c r="G1515" t="s">
        <v>371</v>
      </c>
      <c r="H1515" s="75">
        <f t="shared" si="23"/>
        <v>277.45099327688075</v>
      </c>
      <c r="I1515" s="74">
        <v>45993</v>
      </c>
      <c r="J1515">
        <v>8</v>
      </c>
      <c r="K1515" t="s">
        <v>515</v>
      </c>
      <c r="L1515" t="s">
        <v>262</v>
      </c>
      <c r="M1515" t="s">
        <v>356</v>
      </c>
      <c r="N1515" s="73">
        <v>67260</v>
      </c>
      <c r="O1515" s="73">
        <v>67260</v>
      </c>
      <c r="P1515">
        <v>34.681374159610094</v>
      </c>
    </row>
    <row r="1516" spans="1:16" hidden="1" x14ac:dyDescent="0.2">
      <c r="A1516" s="73">
        <v>67260</v>
      </c>
      <c r="B1516" t="s">
        <v>423</v>
      </c>
      <c r="C1516" s="73" t="s">
        <v>424</v>
      </c>
      <c r="D1516" t="s">
        <v>506</v>
      </c>
      <c r="E1516" s="74">
        <v>45993</v>
      </c>
      <c r="F1516" t="s">
        <v>364</v>
      </c>
      <c r="G1516" t="s">
        <v>365</v>
      </c>
      <c r="H1516" s="75">
        <f t="shared" si="23"/>
        <v>69.362748319220188</v>
      </c>
      <c r="I1516" s="74">
        <v>45993</v>
      </c>
      <c r="J1516">
        <v>2</v>
      </c>
      <c r="K1516" t="s">
        <v>515</v>
      </c>
      <c r="L1516" t="s">
        <v>366</v>
      </c>
      <c r="M1516" t="s">
        <v>356</v>
      </c>
      <c r="N1516" s="73">
        <v>67260</v>
      </c>
      <c r="O1516" s="73">
        <v>67260</v>
      </c>
      <c r="P1516">
        <v>34.681374159610094</v>
      </c>
    </row>
    <row r="1517" spans="1:16" hidden="1" x14ac:dyDescent="0.2">
      <c r="A1517" s="73">
        <v>67260</v>
      </c>
      <c r="B1517" t="s">
        <v>423</v>
      </c>
      <c r="C1517" s="73" t="s">
        <v>424</v>
      </c>
      <c r="D1517" t="s">
        <v>506</v>
      </c>
      <c r="E1517" s="74">
        <v>45993</v>
      </c>
      <c r="F1517" t="s">
        <v>357</v>
      </c>
      <c r="G1517" t="s">
        <v>358</v>
      </c>
      <c r="H1517" s="75">
        <f t="shared" si="23"/>
        <v>242.76961911727065</v>
      </c>
      <c r="I1517" s="74">
        <v>45993</v>
      </c>
      <c r="J1517">
        <v>7</v>
      </c>
      <c r="K1517" t="s">
        <v>515</v>
      </c>
      <c r="L1517" t="s">
        <v>359</v>
      </c>
      <c r="M1517" t="s">
        <v>356</v>
      </c>
      <c r="N1517" s="73">
        <v>67260</v>
      </c>
      <c r="O1517" s="73">
        <v>67260</v>
      </c>
      <c r="P1517">
        <v>34.681374159610094</v>
      </c>
    </row>
    <row r="1518" spans="1:16" hidden="1" x14ac:dyDescent="0.2">
      <c r="A1518" s="73">
        <v>67260</v>
      </c>
      <c r="B1518" t="s">
        <v>423</v>
      </c>
      <c r="C1518" s="73" t="s">
        <v>424</v>
      </c>
      <c r="D1518" t="s">
        <v>506</v>
      </c>
      <c r="E1518" s="74">
        <v>45994</v>
      </c>
      <c r="F1518" t="s">
        <v>370</v>
      </c>
      <c r="G1518" t="s">
        <v>371</v>
      </c>
      <c r="H1518" s="75">
        <f t="shared" si="23"/>
        <v>277.45099327688075</v>
      </c>
      <c r="I1518" s="74">
        <v>45994</v>
      </c>
      <c r="J1518">
        <v>8</v>
      </c>
      <c r="K1518" t="s">
        <v>515</v>
      </c>
      <c r="L1518" t="s">
        <v>262</v>
      </c>
      <c r="M1518" t="s">
        <v>356</v>
      </c>
      <c r="N1518" s="73">
        <v>67260</v>
      </c>
      <c r="O1518" s="73">
        <v>67260</v>
      </c>
      <c r="P1518">
        <v>34.681374159610094</v>
      </c>
    </row>
    <row r="1519" spans="1:16" hidden="1" x14ac:dyDescent="0.2">
      <c r="A1519" s="73">
        <v>67260</v>
      </c>
      <c r="B1519" t="s">
        <v>423</v>
      </c>
      <c r="C1519" s="73" t="s">
        <v>424</v>
      </c>
      <c r="D1519" t="s">
        <v>506</v>
      </c>
      <c r="E1519" s="74">
        <v>45994</v>
      </c>
      <c r="F1519" t="s">
        <v>364</v>
      </c>
      <c r="G1519" t="s">
        <v>365</v>
      </c>
      <c r="H1519" s="75">
        <f t="shared" si="23"/>
        <v>69.362748319220188</v>
      </c>
      <c r="I1519" s="74">
        <v>45994</v>
      </c>
      <c r="J1519">
        <v>2</v>
      </c>
      <c r="K1519" t="s">
        <v>515</v>
      </c>
      <c r="L1519" t="s">
        <v>366</v>
      </c>
      <c r="M1519" t="s">
        <v>356</v>
      </c>
      <c r="N1519" s="73">
        <v>67260</v>
      </c>
      <c r="O1519" s="73">
        <v>67260</v>
      </c>
      <c r="P1519">
        <v>34.681374159610094</v>
      </c>
    </row>
    <row r="1520" spans="1:16" hidden="1" x14ac:dyDescent="0.2">
      <c r="A1520" s="73">
        <v>67260</v>
      </c>
      <c r="B1520" t="s">
        <v>423</v>
      </c>
      <c r="C1520" s="73" t="s">
        <v>424</v>
      </c>
      <c r="D1520" t="s">
        <v>506</v>
      </c>
      <c r="E1520" s="74">
        <v>45994</v>
      </c>
      <c r="F1520" t="s">
        <v>357</v>
      </c>
      <c r="G1520" t="s">
        <v>358</v>
      </c>
      <c r="H1520" s="75">
        <f t="shared" si="23"/>
        <v>242.76961911727065</v>
      </c>
      <c r="I1520" s="74">
        <v>45994</v>
      </c>
      <c r="J1520">
        <v>7</v>
      </c>
      <c r="K1520" t="s">
        <v>515</v>
      </c>
      <c r="L1520" t="s">
        <v>359</v>
      </c>
      <c r="M1520" t="s">
        <v>356</v>
      </c>
      <c r="N1520" s="73">
        <v>67260</v>
      </c>
      <c r="O1520" s="73">
        <v>67260</v>
      </c>
      <c r="P1520">
        <v>34.681374159610094</v>
      </c>
    </row>
    <row r="1521" spans="1:16" hidden="1" x14ac:dyDescent="0.2">
      <c r="A1521" s="73">
        <v>67260</v>
      </c>
      <c r="B1521" t="s">
        <v>423</v>
      </c>
      <c r="C1521" s="73" t="s">
        <v>424</v>
      </c>
      <c r="D1521" t="s">
        <v>506</v>
      </c>
      <c r="E1521" s="74">
        <v>45995</v>
      </c>
      <c r="F1521" t="s">
        <v>370</v>
      </c>
      <c r="G1521" t="s">
        <v>371</v>
      </c>
      <c r="H1521" s="75">
        <f t="shared" si="23"/>
        <v>277.45099327688075</v>
      </c>
      <c r="I1521" s="74">
        <v>45995</v>
      </c>
      <c r="J1521">
        <v>8</v>
      </c>
      <c r="K1521" t="s">
        <v>515</v>
      </c>
      <c r="L1521" t="s">
        <v>262</v>
      </c>
      <c r="M1521" t="s">
        <v>356</v>
      </c>
      <c r="N1521" s="73">
        <v>67260</v>
      </c>
      <c r="O1521" s="73">
        <v>67260</v>
      </c>
      <c r="P1521">
        <v>34.681374159610094</v>
      </c>
    </row>
    <row r="1522" spans="1:16" hidden="1" x14ac:dyDescent="0.2">
      <c r="A1522" s="73">
        <v>67260</v>
      </c>
      <c r="B1522" t="s">
        <v>423</v>
      </c>
      <c r="C1522" s="73" t="s">
        <v>424</v>
      </c>
      <c r="D1522" t="s">
        <v>506</v>
      </c>
      <c r="E1522" s="74">
        <v>45996</v>
      </c>
      <c r="F1522" t="s">
        <v>370</v>
      </c>
      <c r="G1522" t="s">
        <v>371</v>
      </c>
      <c r="H1522" s="75">
        <f t="shared" si="23"/>
        <v>277.45099327688075</v>
      </c>
      <c r="I1522" s="74">
        <v>45996</v>
      </c>
      <c r="J1522">
        <v>8</v>
      </c>
      <c r="K1522" t="s">
        <v>515</v>
      </c>
      <c r="L1522" t="s">
        <v>262</v>
      </c>
      <c r="M1522" t="s">
        <v>356</v>
      </c>
      <c r="N1522" s="73">
        <v>67260</v>
      </c>
      <c r="O1522" s="73">
        <v>67260</v>
      </c>
      <c r="P1522">
        <v>34.681374159610094</v>
      </c>
    </row>
    <row r="1523" spans="1:16" hidden="1" x14ac:dyDescent="0.2">
      <c r="A1523" s="73">
        <v>67260</v>
      </c>
      <c r="B1523" t="s">
        <v>423</v>
      </c>
      <c r="C1523" s="73" t="s">
        <v>424</v>
      </c>
      <c r="D1523" t="s">
        <v>506</v>
      </c>
      <c r="E1523" s="74">
        <v>45996</v>
      </c>
      <c r="F1523" t="s">
        <v>360</v>
      </c>
      <c r="G1523" t="s">
        <v>361</v>
      </c>
      <c r="H1523" s="75">
        <f t="shared" si="23"/>
        <v>138.72549663844038</v>
      </c>
      <c r="I1523" s="74">
        <v>45996</v>
      </c>
      <c r="J1523">
        <v>4</v>
      </c>
      <c r="K1523" t="s">
        <v>515</v>
      </c>
      <c r="L1523" t="s">
        <v>262</v>
      </c>
      <c r="M1523" t="s">
        <v>356</v>
      </c>
      <c r="N1523" s="73">
        <v>67260</v>
      </c>
      <c r="O1523" s="73">
        <v>67260</v>
      </c>
      <c r="P1523">
        <v>34.681374159610094</v>
      </c>
    </row>
    <row r="1524" spans="1:16" hidden="1" x14ac:dyDescent="0.2">
      <c r="A1524" s="73">
        <v>67260</v>
      </c>
      <c r="B1524" t="s">
        <v>423</v>
      </c>
      <c r="C1524" s="73" t="s">
        <v>424</v>
      </c>
      <c r="D1524" t="s">
        <v>506</v>
      </c>
      <c r="E1524" s="74">
        <v>45999</v>
      </c>
      <c r="F1524" t="s">
        <v>370</v>
      </c>
      <c r="G1524" t="s">
        <v>371</v>
      </c>
      <c r="H1524" s="75">
        <f t="shared" si="23"/>
        <v>277.45099327688075</v>
      </c>
      <c r="I1524" s="74">
        <v>45999</v>
      </c>
      <c r="J1524">
        <v>8</v>
      </c>
      <c r="K1524" t="s">
        <v>515</v>
      </c>
      <c r="L1524" t="s">
        <v>262</v>
      </c>
      <c r="M1524" t="s">
        <v>356</v>
      </c>
      <c r="N1524" s="73">
        <v>67260</v>
      </c>
      <c r="O1524" s="73">
        <v>67260</v>
      </c>
      <c r="P1524">
        <v>34.681374159610094</v>
      </c>
    </row>
    <row r="1525" spans="1:16" hidden="1" x14ac:dyDescent="0.2">
      <c r="A1525" s="73">
        <v>67260</v>
      </c>
      <c r="B1525" t="s">
        <v>423</v>
      </c>
      <c r="C1525" s="73" t="s">
        <v>424</v>
      </c>
      <c r="D1525" t="s">
        <v>506</v>
      </c>
      <c r="E1525" s="74">
        <v>46000</v>
      </c>
      <c r="F1525" t="s">
        <v>370</v>
      </c>
      <c r="G1525" t="s">
        <v>371</v>
      </c>
      <c r="H1525" s="75">
        <f t="shared" si="23"/>
        <v>277.45099327688075</v>
      </c>
      <c r="I1525" s="74">
        <v>46000</v>
      </c>
      <c r="J1525">
        <v>8</v>
      </c>
      <c r="K1525" t="s">
        <v>515</v>
      </c>
      <c r="L1525" t="s">
        <v>262</v>
      </c>
      <c r="M1525" t="s">
        <v>356</v>
      </c>
      <c r="N1525" s="73">
        <v>67260</v>
      </c>
      <c r="O1525" s="73">
        <v>67260</v>
      </c>
      <c r="P1525">
        <v>34.681374159610094</v>
      </c>
    </row>
    <row r="1526" spans="1:16" hidden="1" x14ac:dyDescent="0.2">
      <c r="A1526" s="73">
        <v>67260</v>
      </c>
      <c r="B1526" t="s">
        <v>423</v>
      </c>
      <c r="C1526" s="73" t="s">
        <v>424</v>
      </c>
      <c r="D1526" t="s">
        <v>506</v>
      </c>
      <c r="E1526" s="74">
        <v>46001</v>
      </c>
      <c r="F1526" t="s">
        <v>370</v>
      </c>
      <c r="G1526" t="s">
        <v>371</v>
      </c>
      <c r="H1526" s="75">
        <f t="shared" si="23"/>
        <v>277.45099327688075</v>
      </c>
      <c r="I1526" s="74">
        <v>46001</v>
      </c>
      <c r="J1526">
        <v>8</v>
      </c>
      <c r="K1526" t="s">
        <v>515</v>
      </c>
      <c r="L1526" t="s">
        <v>262</v>
      </c>
      <c r="M1526" t="s">
        <v>356</v>
      </c>
      <c r="N1526" s="73">
        <v>67260</v>
      </c>
      <c r="O1526" s="73">
        <v>67260</v>
      </c>
      <c r="P1526">
        <v>34.681374159610094</v>
      </c>
    </row>
    <row r="1527" spans="1:16" hidden="1" x14ac:dyDescent="0.2">
      <c r="A1527" s="73">
        <v>67260</v>
      </c>
      <c r="B1527" t="s">
        <v>423</v>
      </c>
      <c r="C1527" s="73" t="s">
        <v>424</v>
      </c>
      <c r="D1527" t="s">
        <v>506</v>
      </c>
      <c r="E1527" s="74">
        <v>46001</v>
      </c>
      <c r="F1527" t="s">
        <v>398</v>
      </c>
      <c r="G1527" t="s">
        <v>399</v>
      </c>
      <c r="H1527" s="75">
        <f t="shared" si="23"/>
        <v>242.76961911727065</v>
      </c>
      <c r="I1527" s="74">
        <v>46001</v>
      </c>
      <c r="J1527">
        <v>7</v>
      </c>
      <c r="K1527" t="s">
        <v>515</v>
      </c>
      <c r="L1527" t="s">
        <v>367</v>
      </c>
      <c r="M1527" t="s">
        <v>356</v>
      </c>
      <c r="N1527" s="73">
        <v>67260</v>
      </c>
      <c r="O1527" s="73">
        <v>67260</v>
      </c>
      <c r="P1527">
        <v>34.681374159610094</v>
      </c>
    </row>
    <row r="1528" spans="1:16" hidden="1" x14ac:dyDescent="0.2">
      <c r="A1528" s="73">
        <v>67260</v>
      </c>
      <c r="B1528" t="s">
        <v>423</v>
      </c>
      <c r="C1528" s="73" t="s">
        <v>424</v>
      </c>
      <c r="D1528" t="s">
        <v>506</v>
      </c>
      <c r="E1528" s="74">
        <v>46002</v>
      </c>
      <c r="F1528" t="s">
        <v>370</v>
      </c>
      <c r="G1528" t="s">
        <v>371</v>
      </c>
      <c r="H1528" s="75">
        <f t="shared" si="23"/>
        <v>277.45099327688075</v>
      </c>
      <c r="I1528" s="74">
        <v>46002</v>
      </c>
      <c r="J1528">
        <v>8</v>
      </c>
      <c r="K1528" t="s">
        <v>515</v>
      </c>
      <c r="L1528" t="s">
        <v>262</v>
      </c>
      <c r="M1528" t="s">
        <v>356</v>
      </c>
      <c r="N1528" s="73">
        <v>67260</v>
      </c>
      <c r="O1528" s="73">
        <v>67260</v>
      </c>
      <c r="P1528">
        <v>34.681374159610094</v>
      </c>
    </row>
    <row r="1529" spans="1:16" hidden="1" x14ac:dyDescent="0.2">
      <c r="A1529" s="73">
        <v>67260</v>
      </c>
      <c r="B1529" t="s">
        <v>423</v>
      </c>
      <c r="C1529" s="73" t="s">
        <v>424</v>
      </c>
      <c r="D1529" t="s">
        <v>506</v>
      </c>
      <c r="E1529" s="74">
        <v>46002</v>
      </c>
      <c r="F1529" t="s">
        <v>398</v>
      </c>
      <c r="G1529" t="s">
        <v>399</v>
      </c>
      <c r="H1529" s="75">
        <f t="shared" si="23"/>
        <v>242.76961911727065</v>
      </c>
      <c r="I1529" s="74">
        <v>46002</v>
      </c>
      <c r="J1529">
        <v>7</v>
      </c>
      <c r="K1529" t="s">
        <v>515</v>
      </c>
      <c r="L1529" t="s">
        <v>367</v>
      </c>
      <c r="M1529" t="s">
        <v>356</v>
      </c>
      <c r="N1529" s="73">
        <v>67260</v>
      </c>
      <c r="O1529" s="73">
        <v>67260</v>
      </c>
      <c r="P1529">
        <v>34.681374159610094</v>
      </c>
    </row>
    <row r="1530" spans="1:16" hidden="1" x14ac:dyDescent="0.2">
      <c r="A1530" s="73">
        <v>67260</v>
      </c>
      <c r="B1530" t="s">
        <v>423</v>
      </c>
      <c r="C1530" s="73" t="s">
        <v>424</v>
      </c>
      <c r="D1530" t="s">
        <v>506</v>
      </c>
      <c r="E1530" s="74">
        <v>46003</v>
      </c>
      <c r="F1530" t="s">
        <v>370</v>
      </c>
      <c r="G1530" t="s">
        <v>371</v>
      </c>
      <c r="H1530" s="75">
        <f t="shared" si="23"/>
        <v>277.45099327688075</v>
      </c>
      <c r="I1530" s="74">
        <v>46003</v>
      </c>
      <c r="J1530">
        <v>8</v>
      </c>
      <c r="K1530" t="s">
        <v>515</v>
      </c>
      <c r="L1530" t="s">
        <v>262</v>
      </c>
      <c r="M1530" t="s">
        <v>356</v>
      </c>
      <c r="N1530" s="73">
        <v>67260</v>
      </c>
      <c r="O1530" s="73">
        <v>67260</v>
      </c>
      <c r="P1530">
        <v>34.681374159610094</v>
      </c>
    </row>
    <row r="1531" spans="1:16" hidden="1" x14ac:dyDescent="0.2">
      <c r="A1531" s="73">
        <v>67260</v>
      </c>
      <c r="B1531" t="s">
        <v>423</v>
      </c>
      <c r="C1531" s="73" t="s">
        <v>424</v>
      </c>
      <c r="D1531" t="s">
        <v>506</v>
      </c>
      <c r="E1531" s="74">
        <v>46003</v>
      </c>
      <c r="F1531" t="s">
        <v>398</v>
      </c>
      <c r="G1531" t="s">
        <v>399</v>
      </c>
      <c r="H1531" s="75">
        <f t="shared" si="23"/>
        <v>242.76961911727065</v>
      </c>
      <c r="I1531" s="74">
        <v>46003</v>
      </c>
      <c r="J1531">
        <v>7</v>
      </c>
      <c r="K1531" t="s">
        <v>515</v>
      </c>
      <c r="L1531" t="s">
        <v>367</v>
      </c>
      <c r="M1531" t="s">
        <v>356</v>
      </c>
      <c r="N1531" s="73">
        <v>67260</v>
      </c>
      <c r="O1531" s="73">
        <v>67260</v>
      </c>
      <c r="P1531">
        <v>34.681374159610094</v>
      </c>
    </row>
    <row r="1532" spans="1:16" hidden="1" x14ac:dyDescent="0.2">
      <c r="A1532" s="73">
        <v>67260</v>
      </c>
      <c r="B1532" t="s">
        <v>423</v>
      </c>
      <c r="C1532" s="73" t="s">
        <v>424</v>
      </c>
      <c r="D1532" t="s">
        <v>506</v>
      </c>
      <c r="E1532" s="74">
        <v>46034</v>
      </c>
      <c r="F1532" t="s">
        <v>385</v>
      </c>
      <c r="G1532" t="s">
        <v>386</v>
      </c>
      <c r="H1532" s="75">
        <f t="shared" si="23"/>
        <v>173.40687079805048</v>
      </c>
      <c r="I1532" s="74">
        <v>46034</v>
      </c>
      <c r="J1532">
        <v>5</v>
      </c>
      <c r="K1532" t="s">
        <v>516</v>
      </c>
      <c r="L1532" t="s">
        <v>374</v>
      </c>
      <c r="M1532" t="s">
        <v>368</v>
      </c>
      <c r="N1532" s="73">
        <v>67260</v>
      </c>
      <c r="O1532" s="73">
        <v>67260</v>
      </c>
      <c r="P1532">
        <v>34.681374159610094</v>
      </c>
    </row>
    <row r="1533" spans="1:16" hidden="1" x14ac:dyDescent="0.2">
      <c r="A1533" s="73">
        <v>67260</v>
      </c>
      <c r="B1533" t="s">
        <v>423</v>
      </c>
      <c r="C1533" s="73" t="s">
        <v>424</v>
      </c>
      <c r="D1533" t="s">
        <v>506</v>
      </c>
      <c r="E1533" s="74">
        <v>46035</v>
      </c>
      <c r="F1533" t="s">
        <v>385</v>
      </c>
      <c r="G1533" t="s">
        <v>386</v>
      </c>
      <c r="H1533" s="75">
        <f t="shared" si="23"/>
        <v>173.40687079805048</v>
      </c>
      <c r="I1533" s="74">
        <v>46035</v>
      </c>
      <c r="J1533">
        <v>5</v>
      </c>
      <c r="K1533" t="s">
        <v>516</v>
      </c>
      <c r="L1533" t="s">
        <v>374</v>
      </c>
      <c r="M1533" t="s">
        <v>368</v>
      </c>
      <c r="N1533" s="73">
        <v>67260</v>
      </c>
      <c r="O1533" s="73">
        <v>67260</v>
      </c>
      <c r="P1533">
        <v>34.681374159610094</v>
      </c>
    </row>
    <row r="1534" spans="1:16" hidden="1" x14ac:dyDescent="0.2">
      <c r="A1534" s="73">
        <v>67260</v>
      </c>
      <c r="B1534" t="s">
        <v>423</v>
      </c>
      <c r="C1534" s="73" t="s">
        <v>424</v>
      </c>
      <c r="D1534" t="s">
        <v>506</v>
      </c>
      <c r="E1534" s="74">
        <v>46036</v>
      </c>
      <c r="F1534" t="s">
        <v>385</v>
      </c>
      <c r="G1534" t="s">
        <v>386</v>
      </c>
      <c r="H1534" s="75">
        <f t="shared" si="23"/>
        <v>173.40687079805048</v>
      </c>
      <c r="I1534" s="74">
        <v>46036</v>
      </c>
      <c r="J1534">
        <v>5</v>
      </c>
      <c r="K1534" t="s">
        <v>516</v>
      </c>
      <c r="L1534" t="s">
        <v>374</v>
      </c>
      <c r="M1534" t="s">
        <v>368</v>
      </c>
      <c r="N1534" s="73">
        <v>67260</v>
      </c>
      <c r="O1534" s="73">
        <v>67260</v>
      </c>
      <c r="P1534">
        <v>34.681374159610094</v>
      </c>
    </row>
    <row r="1535" spans="1:16" hidden="1" x14ac:dyDescent="0.2">
      <c r="A1535" s="73">
        <v>67260</v>
      </c>
      <c r="B1535" t="s">
        <v>423</v>
      </c>
      <c r="C1535" s="73" t="s">
        <v>424</v>
      </c>
      <c r="D1535" t="s">
        <v>506</v>
      </c>
      <c r="E1535" s="74">
        <v>46041</v>
      </c>
      <c r="F1535" t="s">
        <v>385</v>
      </c>
      <c r="G1535" t="s">
        <v>386</v>
      </c>
      <c r="H1535" s="75">
        <f t="shared" si="23"/>
        <v>69.362748319220188</v>
      </c>
      <c r="I1535" s="74">
        <v>46041</v>
      </c>
      <c r="J1535">
        <v>2</v>
      </c>
      <c r="K1535" t="s">
        <v>516</v>
      </c>
      <c r="L1535" t="s">
        <v>374</v>
      </c>
      <c r="M1535" t="s">
        <v>368</v>
      </c>
      <c r="N1535" s="73">
        <v>67260</v>
      </c>
      <c r="O1535" s="73">
        <v>67260</v>
      </c>
      <c r="P1535">
        <v>34.681374159610094</v>
      </c>
    </row>
    <row r="1536" spans="1:16" hidden="1" x14ac:dyDescent="0.2">
      <c r="A1536" s="73">
        <v>67260</v>
      </c>
      <c r="B1536" t="s">
        <v>423</v>
      </c>
      <c r="C1536" s="73" t="s">
        <v>424</v>
      </c>
      <c r="D1536" t="s">
        <v>506</v>
      </c>
      <c r="E1536" s="74">
        <v>46042</v>
      </c>
      <c r="F1536" t="s">
        <v>385</v>
      </c>
      <c r="G1536" t="s">
        <v>386</v>
      </c>
      <c r="H1536" s="75">
        <f t="shared" si="23"/>
        <v>208.08824495766055</v>
      </c>
      <c r="I1536" s="74">
        <v>46042</v>
      </c>
      <c r="J1536">
        <v>6</v>
      </c>
      <c r="K1536" t="s">
        <v>516</v>
      </c>
      <c r="L1536" t="s">
        <v>374</v>
      </c>
      <c r="M1536" t="s">
        <v>368</v>
      </c>
      <c r="N1536" s="73">
        <v>67260</v>
      </c>
      <c r="O1536" s="73">
        <v>67260</v>
      </c>
      <c r="P1536">
        <v>34.681374159610094</v>
      </c>
    </row>
    <row r="1537" spans="1:16" hidden="1" x14ac:dyDescent="0.2">
      <c r="A1537" s="73">
        <v>67260</v>
      </c>
      <c r="B1537" t="s">
        <v>423</v>
      </c>
      <c r="C1537" s="73" t="s">
        <v>424</v>
      </c>
      <c r="D1537" t="s">
        <v>506</v>
      </c>
      <c r="E1537" s="74">
        <v>46043</v>
      </c>
      <c r="F1537" t="s">
        <v>385</v>
      </c>
      <c r="G1537" t="s">
        <v>386</v>
      </c>
      <c r="H1537" s="75">
        <f t="shared" si="23"/>
        <v>208.08824495766055</v>
      </c>
      <c r="I1537" s="74">
        <v>46043</v>
      </c>
      <c r="J1537">
        <v>6</v>
      </c>
      <c r="K1537" t="s">
        <v>516</v>
      </c>
      <c r="L1537" t="s">
        <v>374</v>
      </c>
      <c r="M1537" t="s">
        <v>368</v>
      </c>
      <c r="N1537" s="73">
        <v>67260</v>
      </c>
      <c r="O1537" s="73">
        <v>67260</v>
      </c>
      <c r="P1537">
        <v>34.681374159610094</v>
      </c>
    </row>
    <row r="1538" spans="1:16" hidden="1" x14ac:dyDescent="0.2">
      <c r="A1538" s="73">
        <v>67260</v>
      </c>
      <c r="B1538" t="s">
        <v>423</v>
      </c>
      <c r="C1538" s="73" t="s">
        <v>424</v>
      </c>
      <c r="D1538" t="s">
        <v>506</v>
      </c>
      <c r="E1538" s="74">
        <v>46044</v>
      </c>
      <c r="F1538" t="s">
        <v>385</v>
      </c>
      <c r="G1538" t="s">
        <v>386</v>
      </c>
      <c r="H1538" s="75">
        <f t="shared" ref="H1538:H1601" si="24">J1538*P1538</f>
        <v>208.08824495766055</v>
      </c>
      <c r="I1538" s="74">
        <v>46044</v>
      </c>
      <c r="J1538">
        <v>6</v>
      </c>
      <c r="K1538" t="s">
        <v>516</v>
      </c>
      <c r="L1538" t="s">
        <v>374</v>
      </c>
      <c r="M1538" t="s">
        <v>368</v>
      </c>
      <c r="N1538" s="73">
        <v>67260</v>
      </c>
      <c r="O1538" s="73">
        <v>67260</v>
      </c>
      <c r="P1538">
        <v>34.681374159610094</v>
      </c>
    </row>
    <row r="1539" spans="1:16" hidden="1" x14ac:dyDescent="0.2">
      <c r="A1539" s="73">
        <v>67260</v>
      </c>
      <c r="B1539" t="s">
        <v>423</v>
      </c>
      <c r="C1539" s="73" t="s">
        <v>424</v>
      </c>
      <c r="D1539" t="s">
        <v>506</v>
      </c>
      <c r="E1539" s="74">
        <v>46045</v>
      </c>
      <c r="F1539" t="s">
        <v>385</v>
      </c>
      <c r="G1539" t="s">
        <v>386</v>
      </c>
      <c r="H1539" s="75">
        <f t="shared" si="24"/>
        <v>208.08824495766055</v>
      </c>
      <c r="I1539" s="74">
        <v>46045</v>
      </c>
      <c r="J1539">
        <v>6</v>
      </c>
      <c r="K1539" t="s">
        <v>516</v>
      </c>
      <c r="L1539" t="s">
        <v>374</v>
      </c>
      <c r="M1539" t="s">
        <v>368</v>
      </c>
      <c r="N1539" s="73">
        <v>67260</v>
      </c>
      <c r="O1539" s="73">
        <v>67260</v>
      </c>
      <c r="P1539">
        <v>34.681374159610094</v>
      </c>
    </row>
    <row r="1540" spans="1:16" x14ac:dyDescent="0.2">
      <c r="A1540" s="73">
        <v>67262</v>
      </c>
      <c r="B1540" t="s">
        <v>350</v>
      </c>
      <c r="C1540" s="73" t="s">
        <v>464</v>
      </c>
      <c r="D1540" t="s">
        <v>215</v>
      </c>
      <c r="E1540" s="74">
        <v>45845</v>
      </c>
      <c r="F1540" t="s">
        <v>376</v>
      </c>
      <c r="G1540" t="s">
        <v>377</v>
      </c>
      <c r="H1540" s="75">
        <f t="shared" si="24"/>
        <v>277.45099327688075</v>
      </c>
      <c r="I1540" s="74">
        <v>45845</v>
      </c>
      <c r="J1540">
        <v>8</v>
      </c>
      <c r="K1540" t="s">
        <v>511</v>
      </c>
      <c r="L1540" t="s">
        <v>262</v>
      </c>
      <c r="M1540" t="s">
        <v>356</v>
      </c>
      <c r="N1540" s="73">
        <v>67262</v>
      </c>
      <c r="O1540" s="73">
        <v>67262</v>
      </c>
      <c r="P1540">
        <v>34.681374159610094</v>
      </c>
    </row>
    <row r="1541" spans="1:16" x14ac:dyDescent="0.2">
      <c r="A1541" s="73">
        <v>67262</v>
      </c>
      <c r="B1541" t="s">
        <v>350</v>
      </c>
      <c r="C1541" s="73" t="s">
        <v>464</v>
      </c>
      <c r="D1541" t="s">
        <v>215</v>
      </c>
      <c r="E1541" s="74">
        <v>45845</v>
      </c>
      <c r="F1541" t="s">
        <v>395</v>
      </c>
      <c r="G1541" t="s">
        <v>396</v>
      </c>
      <c r="H1541" s="75">
        <f t="shared" si="24"/>
        <v>242.76961911727065</v>
      </c>
      <c r="I1541" s="74">
        <v>45845</v>
      </c>
      <c r="J1541">
        <v>7</v>
      </c>
      <c r="K1541" t="s">
        <v>511</v>
      </c>
      <c r="L1541" t="s">
        <v>262</v>
      </c>
      <c r="M1541" t="s">
        <v>356</v>
      </c>
      <c r="N1541" s="73">
        <v>67262</v>
      </c>
      <c r="O1541" s="73">
        <v>67262</v>
      </c>
      <c r="P1541">
        <v>34.681374159610094</v>
      </c>
    </row>
    <row r="1542" spans="1:16" x14ac:dyDescent="0.2">
      <c r="A1542" s="73">
        <v>67262</v>
      </c>
      <c r="B1542" t="s">
        <v>350</v>
      </c>
      <c r="C1542" s="73" t="s">
        <v>464</v>
      </c>
      <c r="D1542" t="s">
        <v>215</v>
      </c>
      <c r="E1542" s="74">
        <v>45845</v>
      </c>
      <c r="F1542" t="s">
        <v>404</v>
      </c>
      <c r="G1542" t="s">
        <v>405</v>
      </c>
      <c r="H1542" s="75">
        <f t="shared" si="24"/>
        <v>104.04412247883027</v>
      </c>
      <c r="I1542" s="74">
        <v>45845</v>
      </c>
      <c r="J1542">
        <v>3</v>
      </c>
      <c r="K1542" t="s">
        <v>511</v>
      </c>
      <c r="L1542" t="s">
        <v>262</v>
      </c>
      <c r="M1542" t="s">
        <v>356</v>
      </c>
      <c r="N1542" s="73">
        <v>67262</v>
      </c>
      <c r="O1542" s="73">
        <v>67262</v>
      </c>
      <c r="P1542">
        <v>34.681374159610094</v>
      </c>
    </row>
    <row r="1543" spans="1:16" x14ac:dyDescent="0.2">
      <c r="A1543" s="73">
        <v>67262</v>
      </c>
      <c r="B1543" t="s">
        <v>350</v>
      </c>
      <c r="C1543" s="73" t="s">
        <v>464</v>
      </c>
      <c r="D1543" t="s">
        <v>215</v>
      </c>
      <c r="E1543" s="74">
        <v>45846</v>
      </c>
      <c r="F1543" t="s">
        <v>376</v>
      </c>
      <c r="G1543" t="s">
        <v>377</v>
      </c>
      <c r="H1543" s="75">
        <f t="shared" si="24"/>
        <v>277.45099327688075</v>
      </c>
      <c r="I1543" s="74">
        <v>45846</v>
      </c>
      <c r="J1543">
        <v>8</v>
      </c>
      <c r="K1543" t="s">
        <v>511</v>
      </c>
      <c r="L1543" t="s">
        <v>262</v>
      </c>
      <c r="M1543" t="s">
        <v>356</v>
      </c>
      <c r="N1543" s="73">
        <v>67262</v>
      </c>
      <c r="O1543" s="73">
        <v>67262</v>
      </c>
      <c r="P1543">
        <v>34.681374159610094</v>
      </c>
    </row>
    <row r="1544" spans="1:16" x14ac:dyDescent="0.2">
      <c r="A1544" s="73">
        <v>67262</v>
      </c>
      <c r="B1544" t="s">
        <v>350</v>
      </c>
      <c r="C1544" s="73" t="s">
        <v>464</v>
      </c>
      <c r="D1544" t="s">
        <v>215</v>
      </c>
      <c r="E1544" s="74">
        <v>45846</v>
      </c>
      <c r="F1544" t="s">
        <v>395</v>
      </c>
      <c r="G1544" t="s">
        <v>396</v>
      </c>
      <c r="H1544" s="75">
        <f t="shared" si="24"/>
        <v>242.76961911727065</v>
      </c>
      <c r="I1544" s="74">
        <v>45846</v>
      </c>
      <c r="J1544">
        <v>7</v>
      </c>
      <c r="K1544" t="s">
        <v>511</v>
      </c>
      <c r="L1544" t="s">
        <v>262</v>
      </c>
      <c r="M1544" t="s">
        <v>356</v>
      </c>
      <c r="N1544" s="73">
        <v>67262</v>
      </c>
      <c r="O1544" s="73">
        <v>67262</v>
      </c>
      <c r="P1544">
        <v>34.681374159610094</v>
      </c>
    </row>
    <row r="1545" spans="1:16" x14ac:dyDescent="0.2">
      <c r="A1545" s="73">
        <v>67262</v>
      </c>
      <c r="B1545" t="s">
        <v>350</v>
      </c>
      <c r="C1545" s="73" t="s">
        <v>464</v>
      </c>
      <c r="D1545" t="s">
        <v>215</v>
      </c>
      <c r="E1545" s="74">
        <v>45846</v>
      </c>
      <c r="F1545" t="s">
        <v>404</v>
      </c>
      <c r="G1545" t="s">
        <v>405</v>
      </c>
      <c r="H1545" s="75">
        <f t="shared" si="24"/>
        <v>242.76961911727065</v>
      </c>
      <c r="I1545" s="74">
        <v>45846</v>
      </c>
      <c r="J1545">
        <v>7</v>
      </c>
      <c r="K1545" t="s">
        <v>511</v>
      </c>
      <c r="L1545" t="s">
        <v>262</v>
      </c>
      <c r="M1545" t="s">
        <v>356</v>
      </c>
      <c r="N1545" s="73">
        <v>67262</v>
      </c>
      <c r="O1545" s="73">
        <v>67262</v>
      </c>
      <c r="P1545">
        <v>34.681374159610094</v>
      </c>
    </row>
    <row r="1546" spans="1:16" x14ac:dyDescent="0.2">
      <c r="A1546" s="73">
        <v>67262</v>
      </c>
      <c r="B1546" t="s">
        <v>350</v>
      </c>
      <c r="C1546" s="73" t="s">
        <v>464</v>
      </c>
      <c r="D1546" t="s">
        <v>215</v>
      </c>
      <c r="E1546" s="74">
        <v>45846</v>
      </c>
      <c r="F1546" t="s">
        <v>360</v>
      </c>
      <c r="G1546" t="s">
        <v>361</v>
      </c>
      <c r="H1546" s="75">
        <f t="shared" si="24"/>
        <v>104.04412247883027</v>
      </c>
      <c r="I1546" s="74">
        <v>45846</v>
      </c>
      <c r="J1546">
        <v>3</v>
      </c>
      <c r="K1546" t="s">
        <v>511</v>
      </c>
      <c r="L1546" t="s">
        <v>262</v>
      </c>
      <c r="M1546" t="s">
        <v>356</v>
      </c>
      <c r="N1546" s="73">
        <v>67262</v>
      </c>
      <c r="O1546" s="73">
        <v>67262</v>
      </c>
      <c r="P1546">
        <v>34.681374159610094</v>
      </c>
    </row>
    <row r="1547" spans="1:16" x14ac:dyDescent="0.2">
      <c r="A1547" s="73">
        <v>67262</v>
      </c>
      <c r="B1547" t="s">
        <v>350</v>
      </c>
      <c r="C1547" s="73" t="s">
        <v>464</v>
      </c>
      <c r="D1547" t="s">
        <v>215</v>
      </c>
      <c r="E1547" s="74">
        <v>45847</v>
      </c>
      <c r="F1547" t="s">
        <v>376</v>
      </c>
      <c r="G1547" t="s">
        <v>377</v>
      </c>
      <c r="H1547" s="75">
        <f t="shared" si="24"/>
        <v>277.45099327688075</v>
      </c>
      <c r="I1547" s="74">
        <v>45847</v>
      </c>
      <c r="J1547">
        <v>8</v>
      </c>
      <c r="K1547" t="s">
        <v>511</v>
      </c>
      <c r="L1547" t="s">
        <v>262</v>
      </c>
      <c r="M1547" t="s">
        <v>356</v>
      </c>
      <c r="N1547" s="73">
        <v>67262</v>
      </c>
      <c r="O1547" s="73">
        <v>67262</v>
      </c>
      <c r="P1547">
        <v>34.681374159610094</v>
      </c>
    </row>
    <row r="1548" spans="1:16" x14ac:dyDescent="0.2">
      <c r="A1548" s="73">
        <v>67262</v>
      </c>
      <c r="B1548" t="s">
        <v>350</v>
      </c>
      <c r="C1548" s="73" t="s">
        <v>464</v>
      </c>
      <c r="D1548" t="s">
        <v>215</v>
      </c>
      <c r="E1548" s="74">
        <v>45847</v>
      </c>
      <c r="F1548" t="s">
        <v>395</v>
      </c>
      <c r="G1548" t="s">
        <v>396</v>
      </c>
      <c r="H1548" s="75">
        <f t="shared" si="24"/>
        <v>242.76961911727065</v>
      </c>
      <c r="I1548" s="74">
        <v>45847</v>
      </c>
      <c r="J1548">
        <v>7</v>
      </c>
      <c r="K1548" t="s">
        <v>511</v>
      </c>
      <c r="L1548" t="s">
        <v>262</v>
      </c>
      <c r="M1548" t="s">
        <v>356</v>
      </c>
      <c r="N1548" s="73">
        <v>67262</v>
      </c>
      <c r="O1548" s="73">
        <v>67262</v>
      </c>
      <c r="P1548">
        <v>34.681374159610094</v>
      </c>
    </row>
    <row r="1549" spans="1:16" x14ac:dyDescent="0.2">
      <c r="A1549" s="73">
        <v>67262</v>
      </c>
      <c r="B1549" t="s">
        <v>350</v>
      </c>
      <c r="C1549" s="73" t="s">
        <v>464</v>
      </c>
      <c r="D1549" t="s">
        <v>215</v>
      </c>
      <c r="E1549" s="74">
        <v>45847</v>
      </c>
      <c r="F1549" t="s">
        <v>404</v>
      </c>
      <c r="G1549" t="s">
        <v>405</v>
      </c>
      <c r="H1549" s="75">
        <f t="shared" si="24"/>
        <v>242.76961911727065</v>
      </c>
      <c r="I1549" s="74">
        <v>45847</v>
      </c>
      <c r="J1549">
        <v>7</v>
      </c>
      <c r="K1549" t="s">
        <v>511</v>
      </c>
      <c r="L1549" t="s">
        <v>262</v>
      </c>
      <c r="M1549" t="s">
        <v>356</v>
      </c>
      <c r="N1549" s="73">
        <v>67262</v>
      </c>
      <c r="O1549" s="73">
        <v>67262</v>
      </c>
      <c r="P1549">
        <v>34.681374159610094</v>
      </c>
    </row>
    <row r="1550" spans="1:16" x14ac:dyDescent="0.2">
      <c r="A1550" s="73">
        <v>67262</v>
      </c>
      <c r="B1550" t="s">
        <v>350</v>
      </c>
      <c r="C1550" s="73" t="s">
        <v>464</v>
      </c>
      <c r="D1550" t="s">
        <v>215</v>
      </c>
      <c r="E1550" s="74">
        <v>45847</v>
      </c>
      <c r="F1550" t="s">
        <v>360</v>
      </c>
      <c r="G1550" t="s">
        <v>361</v>
      </c>
      <c r="H1550" s="75">
        <f t="shared" si="24"/>
        <v>34.681374159610094</v>
      </c>
      <c r="I1550" s="74">
        <v>45847</v>
      </c>
      <c r="J1550">
        <v>1</v>
      </c>
      <c r="K1550" t="s">
        <v>511</v>
      </c>
      <c r="L1550" t="s">
        <v>262</v>
      </c>
      <c r="M1550" t="s">
        <v>356</v>
      </c>
      <c r="N1550" s="73">
        <v>67262</v>
      </c>
      <c r="O1550" s="73">
        <v>67262</v>
      </c>
      <c r="P1550">
        <v>34.681374159610094</v>
      </c>
    </row>
    <row r="1551" spans="1:16" x14ac:dyDescent="0.2">
      <c r="A1551" s="73">
        <v>67262</v>
      </c>
      <c r="B1551" t="s">
        <v>350</v>
      </c>
      <c r="C1551" s="73" t="s">
        <v>464</v>
      </c>
      <c r="D1551" t="s">
        <v>215</v>
      </c>
      <c r="E1551" s="74">
        <v>45848</v>
      </c>
      <c r="F1551" t="s">
        <v>376</v>
      </c>
      <c r="G1551" t="s">
        <v>377</v>
      </c>
      <c r="H1551" s="75">
        <f t="shared" si="24"/>
        <v>173.40687079805048</v>
      </c>
      <c r="I1551" s="74">
        <v>45848</v>
      </c>
      <c r="J1551">
        <v>5</v>
      </c>
      <c r="K1551" t="s">
        <v>511</v>
      </c>
      <c r="L1551" t="s">
        <v>262</v>
      </c>
      <c r="M1551" t="s">
        <v>356</v>
      </c>
      <c r="N1551" s="73">
        <v>67262</v>
      </c>
      <c r="O1551" s="73">
        <v>67262</v>
      </c>
      <c r="P1551">
        <v>34.681374159610094</v>
      </c>
    </row>
    <row r="1552" spans="1:16" x14ac:dyDescent="0.2">
      <c r="A1552" s="73">
        <v>67262</v>
      </c>
      <c r="B1552" t="s">
        <v>350</v>
      </c>
      <c r="C1552" s="73" t="s">
        <v>464</v>
      </c>
      <c r="D1552" t="s">
        <v>215</v>
      </c>
      <c r="E1552" s="74">
        <v>45848</v>
      </c>
      <c r="F1552" t="s">
        <v>395</v>
      </c>
      <c r="G1552" t="s">
        <v>396</v>
      </c>
      <c r="H1552" s="75">
        <f t="shared" si="24"/>
        <v>242.76961911727065</v>
      </c>
      <c r="I1552" s="74">
        <v>45848</v>
      </c>
      <c r="J1552">
        <v>7</v>
      </c>
      <c r="K1552" t="s">
        <v>511</v>
      </c>
      <c r="L1552" t="s">
        <v>262</v>
      </c>
      <c r="M1552" t="s">
        <v>356</v>
      </c>
      <c r="N1552" s="73">
        <v>67262</v>
      </c>
      <c r="O1552" s="73">
        <v>67262</v>
      </c>
      <c r="P1552">
        <v>34.681374159610094</v>
      </c>
    </row>
    <row r="1553" spans="1:16" x14ac:dyDescent="0.2">
      <c r="A1553" s="73">
        <v>67262</v>
      </c>
      <c r="B1553" t="s">
        <v>350</v>
      </c>
      <c r="C1553" s="73" t="s">
        <v>464</v>
      </c>
      <c r="D1553" t="s">
        <v>215</v>
      </c>
      <c r="E1553" s="74">
        <v>45848</v>
      </c>
      <c r="F1553" t="s">
        <v>404</v>
      </c>
      <c r="G1553" t="s">
        <v>405</v>
      </c>
      <c r="H1553" s="75">
        <f t="shared" si="24"/>
        <v>242.76961911727065</v>
      </c>
      <c r="I1553" s="74">
        <v>45848</v>
      </c>
      <c r="J1553">
        <v>7</v>
      </c>
      <c r="K1553" t="s">
        <v>511</v>
      </c>
      <c r="L1553" t="s">
        <v>262</v>
      </c>
      <c r="M1553" t="s">
        <v>356</v>
      </c>
      <c r="N1553" s="73">
        <v>67262</v>
      </c>
      <c r="O1553" s="73">
        <v>67262</v>
      </c>
      <c r="P1553">
        <v>34.681374159610094</v>
      </c>
    </row>
    <row r="1554" spans="1:16" x14ac:dyDescent="0.2">
      <c r="A1554" s="73">
        <v>67262</v>
      </c>
      <c r="B1554" t="s">
        <v>350</v>
      </c>
      <c r="C1554" s="73" t="s">
        <v>464</v>
      </c>
      <c r="D1554" t="s">
        <v>215</v>
      </c>
      <c r="E1554" s="74">
        <v>45849</v>
      </c>
      <c r="F1554" t="s">
        <v>376</v>
      </c>
      <c r="G1554" t="s">
        <v>377</v>
      </c>
      <c r="H1554" s="75">
        <f t="shared" si="24"/>
        <v>138.72549663844038</v>
      </c>
      <c r="I1554" s="74">
        <v>45849</v>
      </c>
      <c r="J1554">
        <v>4</v>
      </c>
      <c r="K1554" t="s">
        <v>511</v>
      </c>
      <c r="L1554" t="s">
        <v>262</v>
      </c>
      <c r="M1554" t="s">
        <v>356</v>
      </c>
      <c r="N1554" s="73">
        <v>67262</v>
      </c>
      <c r="O1554" s="73">
        <v>67262</v>
      </c>
      <c r="P1554">
        <v>34.681374159610094</v>
      </c>
    </row>
    <row r="1555" spans="1:16" x14ac:dyDescent="0.2">
      <c r="A1555" s="73">
        <v>67262</v>
      </c>
      <c r="B1555" t="s">
        <v>350</v>
      </c>
      <c r="C1555" s="73" t="s">
        <v>464</v>
      </c>
      <c r="D1555" t="s">
        <v>215</v>
      </c>
      <c r="E1555" s="74">
        <v>45849</v>
      </c>
      <c r="F1555" t="s">
        <v>395</v>
      </c>
      <c r="G1555" t="s">
        <v>396</v>
      </c>
      <c r="H1555" s="75">
        <f t="shared" si="24"/>
        <v>242.76961911727065</v>
      </c>
      <c r="I1555" s="74">
        <v>45849</v>
      </c>
      <c r="J1555">
        <v>7</v>
      </c>
      <c r="K1555" t="s">
        <v>511</v>
      </c>
      <c r="L1555" t="s">
        <v>262</v>
      </c>
      <c r="M1555" t="s">
        <v>356</v>
      </c>
      <c r="N1555" s="73">
        <v>67262</v>
      </c>
      <c r="O1555" s="73">
        <v>67262</v>
      </c>
      <c r="P1555">
        <v>34.681374159610094</v>
      </c>
    </row>
    <row r="1556" spans="1:16" x14ac:dyDescent="0.2">
      <c r="A1556" s="73">
        <v>67262</v>
      </c>
      <c r="B1556" t="s">
        <v>350</v>
      </c>
      <c r="C1556" s="73" t="s">
        <v>464</v>
      </c>
      <c r="D1556" t="s">
        <v>215</v>
      </c>
      <c r="E1556" s="74">
        <v>45849</v>
      </c>
      <c r="F1556" t="s">
        <v>360</v>
      </c>
      <c r="G1556" t="s">
        <v>361</v>
      </c>
      <c r="H1556" s="75">
        <f t="shared" si="24"/>
        <v>69.362748319220188</v>
      </c>
      <c r="I1556" s="74">
        <v>45849</v>
      </c>
      <c r="J1556">
        <v>2</v>
      </c>
      <c r="K1556" t="s">
        <v>511</v>
      </c>
      <c r="L1556" t="s">
        <v>262</v>
      </c>
      <c r="M1556" t="s">
        <v>356</v>
      </c>
      <c r="N1556" s="73">
        <v>67262</v>
      </c>
      <c r="O1556" s="73">
        <v>67262</v>
      </c>
      <c r="P1556">
        <v>34.681374159610094</v>
      </c>
    </row>
    <row r="1557" spans="1:16" x14ac:dyDescent="0.2">
      <c r="A1557" s="73">
        <v>67262</v>
      </c>
      <c r="B1557" t="s">
        <v>350</v>
      </c>
      <c r="C1557" s="73" t="s">
        <v>464</v>
      </c>
      <c r="D1557" t="s">
        <v>215</v>
      </c>
      <c r="E1557" s="74">
        <v>45852</v>
      </c>
      <c r="F1557" t="s">
        <v>404</v>
      </c>
      <c r="G1557" t="s">
        <v>405</v>
      </c>
      <c r="H1557" s="75">
        <f t="shared" si="24"/>
        <v>34.681374159610094</v>
      </c>
      <c r="I1557" s="74">
        <v>45852</v>
      </c>
      <c r="J1557">
        <v>1</v>
      </c>
      <c r="K1557" t="s">
        <v>511</v>
      </c>
      <c r="L1557" t="s">
        <v>262</v>
      </c>
      <c r="M1557" t="s">
        <v>356</v>
      </c>
      <c r="N1557" s="73">
        <v>67262</v>
      </c>
      <c r="O1557" s="73">
        <v>67262</v>
      </c>
      <c r="P1557">
        <v>34.681374159610094</v>
      </c>
    </row>
    <row r="1558" spans="1:16" x14ac:dyDescent="0.2">
      <c r="A1558" s="73">
        <v>67262</v>
      </c>
      <c r="B1558" t="s">
        <v>350</v>
      </c>
      <c r="C1558" s="73" t="s">
        <v>464</v>
      </c>
      <c r="D1558" t="s">
        <v>215</v>
      </c>
      <c r="E1558" s="74">
        <v>45853</v>
      </c>
      <c r="F1558" t="s">
        <v>395</v>
      </c>
      <c r="G1558" t="s">
        <v>396</v>
      </c>
      <c r="H1558" s="75">
        <f t="shared" si="24"/>
        <v>34.681374159610094</v>
      </c>
      <c r="I1558" s="74">
        <v>45853</v>
      </c>
      <c r="J1558">
        <v>1</v>
      </c>
      <c r="K1558" t="s">
        <v>511</v>
      </c>
      <c r="L1558" t="s">
        <v>262</v>
      </c>
      <c r="M1558" t="s">
        <v>356</v>
      </c>
      <c r="N1558" s="73">
        <v>67262</v>
      </c>
      <c r="O1558" s="73">
        <v>67262</v>
      </c>
      <c r="P1558">
        <v>34.681374159610094</v>
      </c>
    </row>
    <row r="1559" spans="1:16" x14ac:dyDescent="0.2">
      <c r="A1559" s="73">
        <v>67262</v>
      </c>
      <c r="B1559" t="s">
        <v>350</v>
      </c>
      <c r="C1559" s="73" t="s">
        <v>464</v>
      </c>
      <c r="D1559" t="s">
        <v>215</v>
      </c>
      <c r="E1559" s="74">
        <v>45854</v>
      </c>
      <c r="F1559" t="s">
        <v>395</v>
      </c>
      <c r="G1559" t="s">
        <v>396</v>
      </c>
      <c r="H1559" s="75">
        <f t="shared" si="24"/>
        <v>69.362748319220188</v>
      </c>
      <c r="I1559" s="74">
        <v>45854</v>
      </c>
      <c r="J1559">
        <v>2</v>
      </c>
      <c r="K1559" t="s">
        <v>511</v>
      </c>
      <c r="L1559" t="s">
        <v>262</v>
      </c>
      <c r="M1559" t="s">
        <v>356</v>
      </c>
      <c r="N1559" s="73">
        <v>67262</v>
      </c>
      <c r="O1559" s="73">
        <v>67262</v>
      </c>
      <c r="P1559">
        <v>34.681374159610094</v>
      </c>
    </row>
    <row r="1560" spans="1:16" x14ac:dyDescent="0.2">
      <c r="A1560" s="73">
        <v>67262</v>
      </c>
      <c r="B1560" t="s">
        <v>350</v>
      </c>
      <c r="C1560" s="73" t="s">
        <v>464</v>
      </c>
      <c r="D1560" t="s">
        <v>215</v>
      </c>
      <c r="E1560" s="74">
        <v>45854</v>
      </c>
      <c r="F1560" t="s">
        <v>376</v>
      </c>
      <c r="G1560" t="s">
        <v>377</v>
      </c>
      <c r="H1560" s="75">
        <f t="shared" si="24"/>
        <v>34.681374159610094</v>
      </c>
      <c r="I1560" s="74">
        <v>45854</v>
      </c>
      <c r="J1560">
        <v>1</v>
      </c>
      <c r="K1560" t="s">
        <v>511</v>
      </c>
      <c r="L1560" t="s">
        <v>262</v>
      </c>
      <c r="M1560" t="s">
        <v>356</v>
      </c>
      <c r="N1560" s="73">
        <v>67262</v>
      </c>
      <c r="O1560" s="73">
        <v>67262</v>
      </c>
      <c r="P1560">
        <v>34.681374159610094</v>
      </c>
    </row>
    <row r="1561" spans="1:16" x14ac:dyDescent="0.2">
      <c r="A1561" s="73">
        <v>67262</v>
      </c>
      <c r="B1561" t="s">
        <v>350</v>
      </c>
      <c r="C1561" s="73" t="s">
        <v>464</v>
      </c>
      <c r="D1561" t="s">
        <v>215</v>
      </c>
      <c r="E1561" s="74">
        <v>45855</v>
      </c>
      <c r="F1561" t="s">
        <v>376</v>
      </c>
      <c r="G1561" t="s">
        <v>377</v>
      </c>
      <c r="H1561" s="75">
        <f t="shared" si="24"/>
        <v>34.681374159610094</v>
      </c>
      <c r="I1561" s="74">
        <v>45855</v>
      </c>
      <c r="J1561">
        <v>1</v>
      </c>
      <c r="K1561" t="s">
        <v>511</v>
      </c>
      <c r="L1561" t="s">
        <v>262</v>
      </c>
      <c r="M1561" t="s">
        <v>356</v>
      </c>
      <c r="N1561" s="73">
        <v>67262</v>
      </c>
      <c r="O1561" s="73">
        <v>67262</v>
      </c>
      <c r="P1561">
        <v>34.681374159610094</v>
      </c>
    </row>
    <row r="1562" spans="1:16" x14ac:dyDescent="0.2">
      <c r="A1562" s="73">
        <v>67262</v>
      </c>
      <c r="B1562" t="s">
        <v>350</v>
      </c>
      <c r="C1562" s="73" t="s">
        <v>464</v>
      </c>
      <c r="D1562" t="s">
        <v>215</v>
      </c>
      <c r="E1562" s="74">
        <v>45856</v>
      </c>
      <c r="F1562" t="s">
        <v>376</v>
      </c>
      <c r="G1562" t="s">
        <v>377</v>
      </c>
      <c r="H1562" s="75">
        <f t="shared" si="24"/>
        <v>34.681374159610094</v>
      </c>
      <c r="I1562" s="74">
        <v>45856</v>
      </c>
      <c r="J1562">
        <v>1</v>
      </c>
      <c r="K1562" t="s">
        <v>511</v>
      </c>
      <c r="L1562" t="s">
        <v>262</v>
      </c>
      <c r="M1562" t="s">
        <v>356</v>
      </c>
      <c r="N1562" s="73">
        <v>67262</v>
      </c>
      <c r="O1562" s="73">
        <v>67262</v>
      </c>
      <c r="P1562">
        <v>34.681374159610094</v>
      </c>
    </row>
    <row r="1563" spans="1:16" x14ac:dyDescent="0.2">
      <c r="A1563" s="73">
        <v>67262</v>
      </c>
      <c r="B1563" t="s">
        <v>350</v>
      </c>
      <c r="C1563" s="73" t="s">
        <v>464</v>
      </c>
      <c r="D1563" t="s">
        <v>215</v>
      </c>
      <c r="E1563" s="74">
        <v>45859</v>
      </c>
      <c r="F1563" t="s">
        <v>376</v>
      </c>
      <c r="G1563" t="s">
        <v>377</v>
      </c>
      <c r="H1563" s="75">
        <f t="shared" si="24"/>
        <v>34.681374159610094</v>
      </c>
      <c r="I1563" s="74">
        <v>45859</v>
      </c>
      <c r="J1563">
        <v>1</v>
      </c>
      <c r="K1563" t="s">
        <v>511</v>
      </c>
      <c r="L1563" t="s">
        <v>262</v>
      </c>
      <c r="M1563" t="s">
        <v>356</v>
      </c>
      <c r="N1563" s="73">
        <v>67262</v>
      </c>
      <c r="O1563" s="73">
        <v>67262</v>
      </c>
      <c r="P1563">
        <v>34.681374159610094</v>
      </c>
    </row>
    <row r="1564" spans="1:16" x14ac:dyDescent="0.2">
      <c r="A1564" s="73">
        <v>67262</v>
      </c>
      <c r="B1564" t="s">
        <v>350</v>
      </c>
      <c r="C1564" s="73" t="s">
        <v>464</v>
      </c>
      <c r="D1564" t="s">
        <v>215</v>
      </c>
      <c r="E1564" s="74">
        <v>45860</v>
      </c>
      <c r="F1564" t="s">
        <v>387</v>
      </c>
      <c r="G1564" t="s">
        <v>388</v>
      </c>
      <c r="H1564" s="75">
        <f t="shared" si="24"/>
        <v>104.04412247883027</v>
      </c>
      <c r="I1564" s="74">
        <v>45860</v>
      </c>
      <c r="J1564">
        <v>3</v>
      </c>
      <c r="K1564" t="s">
        <v>511</v>
      </c>
      <c r="L1564" t="s">
        <v>367</v>
      </c>
      <c r="M1564" t="s">
        <v>356</v>
      </c>
      <c r="N1564" s="73">
        <v>67262</v>
      </c>
      <c r="O1564" s="73">
        <v>67262</v>
      </c>
      <c r="P1564">
        <v>34.681374159610094</v>
      </c>
    </row>
    <row r="1565" spans="1:16" x14ac:dyDescent="0.2">
      <c r="A1565" s="73">
        <v>67262</v>
      </c>
      <c r="B1565" t="s">
        <v>350</v>
      </c>
      <c r="C1565" s="73" t="s">
        <v>464</v>
      </c>
      <c r="D1565" t="s">
        <v>215</v>
      </c>
      <c r="E1565" s="74">
        <v>45860</v>
      </c>
      <c r="F1565" t="s">
        <v>395</v>
      </c>
      <c r="G1565" t="s">
        <v>396</v>
      </c>
      <c r="H1565" s="75">
        <f t="shared" si="24"/>
        <v>138.72549663844038</v>
      </c>
      <c r="I1565" s="74">
        <v>45860</v>
      </c>
      <c r="J1565">
        <v>4</v>
      </c>
      <c r="K1565" t="s">
        <v>511</v>
      </c>
      <c r="L1565" t="s">
        <v>262</v>
      </c>
      <c r="M1565" t="s">
        <v>356</v>
      </c>
      <c r="N1565" s="73">
        <v>67262</v>
      </c>
      <c r="O1565" s="73">
        <v>67262</v>
      </c>
      <c r="P1565">
        <v>34.681374159610094</v>
      </c>
    </row>
    <row r="1566" spans="1:16" x14ac:dyDescent="0.2">
      <c r="A1566" s="73">
        <v>67262</v>
      </c>
      <c r="B1566" t="s">
        <v>350</v>
      </c>
      <c r="C1566" s="73" t="s">
        <v>464</v>
      </c>
      <c r="D1566" t="s">
        <v>215</v>
      </c>
      <c r="E1566" s="74">
        <v>45861</v>
      </c>
      <c r="F1566" t="s">
        <v>387</v>
      </c>
      <c r="G1566" t="s">
        <v>388</v>
      </c>
      <c r="H1566" s="75">
        <f t="shared" si="24"/>
        <v>104.04412247883027</v>
      </c>
      <c r="I1566" s="74">
        <v>45861</v>
      </c>
      <c r="J1566">
        <v>3</v>
      </c>
      <c r="K1566" t="s">
        <v>511</v>
      </c>
      <c r="L1566" t="s">
        <v>367</v>
      </c>
      <c r="M1566" t="s">
        <v>356</v>
      </c>
      <c r="N1566" s="73">
        <v>67262</v>
      </c>
      <c r="O1566" s="73">
        <v>67262</v>
      </c>
      <c r="P1566">
        <v>34.681374159610094</v>
      </c>
    </row>
    <row r="1567" spans="1:16" x14ac:dyDescent="0.2">
      <c r="A1567" s="73">
        <v>67262</v>
      </c>
      <c r="B1567" t="s">
        <v>350</v>
      </c>
      <c r="C1567" s="73" t="s">
        <v>464</v>
      </c>
      <c r="D1567" t="s">
        <v>215</v>
      </c>
      <c r="E1567" s="74">
        <v>45861</v>
      </c>
      <c r="F1567" t="s">
        <v>404</v>
      </c>
      <c r="G1567" t="s">
        <v>405</v>
      </c>
      <c r="H1567" s="75">
        <f t="shared" si="24"/>
        <v>69.362748319220188</v>
      </c>
      <c r="I1567" s="74">
        <v>45861</v>
      </c>
      <c r="J1567">
        <v>2</v>
      </c>
      <c r="K1567" t="s">
        <v>511</v>
      </c>
      <c r="L1567" t="s">
        <v>262</v>
      </c>
      <c r="M1567" t="s">
        <v>356</v>
      </c>
      <c r="N1567" s="73">
        <v>67262</v>
      </c>
      <c r="O1567" s="73">
        <v>67262</v>
      </c>
      <c r="P1567">
        <v>34.681374159610094</v>
      </c>
    </row>
    <row r="1568" spans="1:16" x14ac:dyDescent="0.2">
      <c r="A1568" s="73">
        <v>67262</v>
      </c>
      <c r="B1568" t="s">
        <v>350</v>
      </c>
      <c r="C1568" s="73" t="s">
        <v>464</v>
      </c>
      <c r="D1568" t="s">
        <v>215</v>
      </c>
      <c r="E1568" s="74">
        <v>45861</v>
      </c>
      <c r="F1568" t="s">
        <v>376</v>
      </c>
      <c r="G1568" t="s">
        <v>377</v>
      </c>
      <c r="H1568" s="75">
        <f t="shared" si="24"/>
        <v>34.681374159610094</v>
      </c>
      <c r="I1568" s="74">
        <v>45861</v>
      </c>
      <c r="J1568">
        <v>1</v>
      </c>
      <c r="K1568" t="s">
        <v>511</v>
      </c>
      <c r="L1568" t="s">
        <v>262</v>
      </c>
      <c r="M1568" t="s">
        <v>356</v>
      </c>
      <c r="N1568" s="73">
        <v>67262</v>
      </c>
      <c r="O1568" s="73">
        <v>67262</v>
      </c>
      <c r="P1568">
        <v>34.681374159610094</v>
      </c>
    </row>
    <row r="1569" spans="1:16" x14ac:dyDescent="0.2">
      <c r="A1569" s="73">
        <v>67262</v>
      </c>
      <c r="B1569" t="s">
        <v>350</v>
      </c>
      <c r="C1569" s="73" t="s">
        <v>464</v>
      </c>
      <c r="D1569" t="s">
        <v>215</v>
      </c>
      <c r="E1569" s="74">
        <v>45866</v>
      </c>
      <c r="F1569" t="s">
        <v>376</v>
      </c>
      <c r="G1569" t="s">
        <v>377</v>
      </c>
      <c r="H1569" s="75">
        <f t="shared" si="24"/>
        <v>173.40687079805048</v>
      </c>
      <c r="I1569" s="74">
        <v>45866</v>
      </c>
      <c r="J1569">
        <v>5</v>
      </c>
      <c r="K1569" t="s">
        <v>511</v>
      </c>
      <c r="L1569" t="s">
        <v>262</v>
      </c>
      <c r="M1569" t="s">
        <v>356</v>
      </c>
      <c r="N1569" s="73">
        <v>67262</v>
      </c>
      <c r="O1569" s="73">
        <v>67262</v>
      </c>
      <c r="P1569">
        <v>34.681374159610094</v>
      </c>
    </row>
    <row r="1570" spans="1:16" x14ac:dyDescent="0.2">
      <c r="A1570" s="73">
        <v>67262</v>
      </c>
      <c r="B1570" t="s">
        <v>350</v>
      </c>
      <c r="C1570" s="73" t="s">
        <v>464</v>
      </c>
      <c r="D1570" t="s">
        <v>215</v>
      </c>
      <c r="E1570" s="74">
        <v>45866</v>
      </c>
      <c r="F1570" t="s">
        <v>404</v>
      </c>
      <c r="G1570" t="s">
        <v>405</v>
      </c>
      <c r="H1570" s="75">
        <f t="shared" si="24"/>
        <v>104.04412247883027</v>
      </c>
      <c r="I1570" s="74">
        <v>45866</v>
      </c>
      <c r="J1570">
        <v>3</v>
      </c>
      <c r="K1570" t="s">
        <v>511</v>
      </c>
      <c r="L1570" t="s">
        <v>262</v>
      </c>
      <c r="M1570" t="s">
        <v>356</v>
      </c>
      <c r="N1570" s="73">
        <v>67262</v>
      </c>
      <c r="O1570" s="73">
        <v>67262</v>
      </c>
      <c r="P1570">
        <v>34.681374159610094</v>
      </c>
    </row>
    <row r="1571" spans="1:16" x14ac:dyDescent="0.2">
      <c r="A1571" s="73">
        <v>67262</v>
      </c>
      <c r="B1571" t="s">
        <v>350</v>
      </c>
      <c r="C1571" s="73" t="s">
        <v>464</v>
      </c>
      <c r="D1571" t="s">
        <v>215</v>
      </c>
      <c r="E1571" s="74">
        <v>45866</v>
      </c>
      <c r="F1571" t="s">
        <v>387</v>
      </c>
      <c r="G1571" t="s">
        <v>388</v>
      </c>
      <c r="H1571" s="75">
        <f t="shared" si="24"/>
        <v>173.40687079805048</v>
      </c>
      <c r="I1571" s="74">
        <v>45866</v>
      </c>
      <c r="J1571">
        <v>5</v>
      </c>
      <c r="K1571" t="s">
        <v>511</v>
      </c>
      <c r="L1571" t="s">
        <v>367</v>
      </c>
      <c r="M1571" t="s">
        <v>356</v>
      </c>
      <c r="N1571" s="73">
        <v>67262</v>
      </c>
      <c r="O1571" s="73">
        <v>67262</v>
      </c>
      <c r="P1571">
        <v>34.681374159610094</v>
      </c>
    </row>
    <row r="1572" spans="1:16" x14ac:dyDescent="0.2">
      <c r="A1572" s="73">
        <v>67262</v>
      </c>
      <c r="B1572" t="s">
        <v>350</v>
      </c>
      <c r="C1572" s="73" t="s">
        <v>464</v>
      </c>
      <c r="D1572" t="s">
        <v>215</v>
      </c>
      <c r="E1572" s="74">
        <v>45867</v>
      </c>
      <c r="F1572" t="s">
        <v>360</v>
      </c>
      <c r="G1572" t="s">
        <v>361</v>
      </c>
      <c r="H1572" s="75">
        <f t="shared" si="24"/>
        <v>104.04412247883027</v>
      </c>
      <c r="I1572" s="74">
        <v>45867</v>
      </c>
      <c r="J1572">
        <v>3</v>
      </c>
      <c r="K1572" t="s">
        <v>511</v>
      </c>
      <c r="L1572" t="s">
        <v>262</v>
      </c>
      <c r="M1572" t="s">
        <v>356</v>
      </c>
      <c r="N1572" s="73">
        <v>67262</v>
      </c>
      <c r="O1572" s="73">
        <v>67262</v>
      </c>
      <c r="P1572">
        <v>34.681374159610094</v>
      </c>
    </row>
    <row r="1573" spans="1:16" x14ac:dyDescent="0.2">
      <c r="A1573" s="73">
        <v>67262</v>
      </c>
      <c r="B1573" t="s">
        <v>350</v>
      </c>
      <c r="C1573" s="73" t="s">
        <v>464</v>
      </c>
      <c r="D1573" t="s">
        <v>215</v>
      </c>
      <c r="E1573" s="74">
        <v>45867</v>
      </c>
      <c r="F1573" t="s">
        <v>376</v>
      </c>
      <c r="G1573" t="s">
        <v>377</v>
      </c>
      <c r="H1573" s="75">
        <f t="shared" si="24"/>
        <v>173.40687079805048</v>
      </c>
      <c r="I1573" s="74">
        <v>45867</v>
      </c>
      <c r="J1573">
        <v>5</v>
      </c>
      <c r="K1573" t="s">
        <v>511</v>
      </c>
      <c r="L1573" t="s">
        <v>262</v>
      </c>
      <c r="M1573" t="s">
        <v>356</v>
      </c>
      <c r="N1573" s="73">
        <v>67262</v>
      </c>
      <c r="O1573" s="73">
        <v>67262</v>
      </c>
      <c r="P1573">
        <v>34.681374159610094</v>
      </c>
    </row>
    <row r="1574" spans="1:16" x14ac:dyDescent="0.2">
      <c r="A1574" s="73">
        <v>67262</v>
      </c>
      <c r="B1574" t="s">
        <v>350</v>
      </c>
      <c r="C1574" s="73" t="s">
        <v>464</v>
      </c>
      <c r="D1574" t="s">
        <v>215</v>
      </c>
      <c r="E1574" s="74">
        <v>45867</v>
      </c>
      <c r="F1574" t="s">
        <v>404</v>
      </c>
      <c r="G1574" t="s">
        <v>405</v>
      </c>
      <c r="H1574" s="75">
        <f t="shared" si="24"/>
        <v>69.362748319220188</v>
      </c>
      <c r="I1574" s="74">
        <v>45867</v>
      </c>
      <c r="J1574">
        <v>2</v>
      </c>
      <c r="K1574" t="s">
        <v>511</v>
      </c>
      <c r="L1574" t="s">
        <v>262</v>
      </c>
      <c r="M1574" t="s">
        <v>356</v>
      </c>
      <c r="N1574" s="73">
        <v>67262</v>
      </c>
      <c r="O1574" s="73">
        <v>67262</v>
      </c>
      <c r="P1574">
        <v>34.681374159610094</v>
      </c>
    </row>
    <row r="1575" spans="1:16" x14ac:dyDescent="0.2">
      <c r="A1575" s="73">
        <v>67262</v>
      </c>
      <c r="B1575" t="s">
        <v>350</v>
      </c>
      <c r="C1575" s="73" t="s">
        <v>464</v>
      </c>
      <c r="D1575" t="s">
        <v>215</v>
      </c>
      <c r="E1575" s="74">
        <v>45867</v>
      </c>
      <c r="F1575" t="s">
        <v>387</v>
      </c>
      <c r="G1575" t="s">
        <v>388</v>
      </c>
      <c r="H1575" s="75">
        <f t="shared" si="24"/>
        <v>104.04412247883027</v>
      </c>
      <c r="I1575" s="74">
        <v>45867</v>
      </c>
      <c r="J1575">
        <v>3</v>
      </c>
      <c r="K1575" t="s">
        <v>511</v>
      </c>
      <c r="L1575" t="s">
        <v>367</v>
      </c>
      <c r="M1575" t="s">
        <v>356</v>
      </c>
      <c r="N1575" s="73">
        <v>67262</v>
      </c>
      <c r="O1575" s="73">
        <v>67262</v>
      </c>
      <c r="P1575">
        <v>34.681374159610094</v>
      </c>
    </row>
    <row r="1576" spans="1:16" x14ac:dyDescent="0.2">
      <c r="A1576" s="73">
        <v>67262</v>
      </c>
      <c r="B1576" t="s">
        <v>350</v>
      </c>
      <c r="C1576" s="73" t="s">
        <v>464</v>
      </c>
      <c r="D1576" t="s">
        <v>215</v>
      </c>
      <c r="E1576" s="74">
        <v>45867</v>
      </c>
      <c r="F1576" t="s">
        <v>395</v>
      </c>
      <c r="G1576" t="s">
        <v>396</v>
      </c>
      <c r="H1576" s="75">
        <f t="shared" si="24"/>
        <v>138.72549663844038</v>
      </c>
      <c r="I1576" s="74">
        <v>45867</v>
      </c>
      <c r="J1576">
        <v>4</v>
      </c>
      <c r="K1576" t="s">
        <v>511</v>
      </c>
      <c r="L1576" t="s">
        <v>262</v>
      </c>
      <c r="M1576" t="s">
        <v>356</v>
      </c>
      <c r="N1576" s="73">
        <v>67262</v>
      </c>
      <c r="O1576" s="73">
        <v>67262</v>
      </c>
      <c r="P1576">
        <v>34.681374159610094</v>
      </c>
    </row>
    <row r="1577" spans="1:16" x14ac:dyDescent="0.2">
      <c r="A1577" s="73">
        <v>67262</v>
      </c>
      <c r="B1577" t="s">
        <v>350</v>
      </c>
      <c r="C1577" s="73" t="s">
        <v>464</v>
      </c>
      <c r="D1577" t="s">
        <v>215</v>
      </c>
      <c r="E1577" s="74">
        <v>45868</v>
      </c>
      <c r="F1577" t="s">
        <v>376</v>
      </c>
      <c r="G1577" t="s">
        <v>377</v>
      </c>
      <c r="H1577" s="75">
        <f t="shared" si="24"/>
        <v>173.40687079805048</v>
      </c>
      <c r="I1577" s="74">
        <v>45868</v>
      </c>
      <c r="J1577">
        <v>5</v>
      </c>
      <c r="K1577" t="s">
        <v>511</v>
      </c>
      <c r="L1577" t="s">
        <v>262</v>
      </c>
      <c r="M1577" t="s">
        <v>356</v>
      </c>
      <c r="N1577" s="73">
        <v>67262</v>
      </c>
      <c r="O1577" s="73">
        <v>67262</v>
      </c>
      <c r="P1577">
        <v>34.681374159610094</v>
      </c>
    </row>
    <row r="1578" spans="1:16" x14ac:dyDescent="0.2">
      <c r="A1578" s="73">
        <v>67262</v>
      </c>
      <c r="B1578" t="s">
        <v>350</v>
      </c>
      <c r="C1578" s="73" t="s">
        <v>464</v>
      </c>
      <c r="D1578" t="s">
        <v>215</v>
      </c>
      <c r="E1578" s="74">
        <v>45868</v>
      </c>
      <c r="F1578" t="s">
        <v>404</v>
      </c>
      <c r="G1578" t="s">
        <v>405</v>
      </c>
      <c r="H1578" s="75">
        <f t="shared" si="24"/>
        <v>69.362748319220188</v>
      </c>
      <c r="I1578" s="74">
        <v>45868</v>
      </c>
      <c r="J1578">
        <v>2</v>
      </c>
      <c r="K1578" t="s">
        <v>511</v>
      </c>
      <c r="L1578" t="s">
        <v>262</v>
      </c>
      <c r="M1578" t="s">
        <v>356</v>
      </c>
      <c r="N1578" s="73">
        <v>67262</v>
      </c>
      <c r="O1578" s="73">
        <v>67262</v>
      </c>
      <c r="P1578">
        <v>34.681374159610094</v>
      </c>
    </row>
    <row r="1579" spans="1:16" x14ac:dyDescent="0.2">
      <c r="A1579" s="73">
        <v>67262</v>
      </c>
      <c r="B1579" t="s">
        <v>350</v>
      </c>
      <c r="C1579" s="73" t="s">
        <v>464</v>
      </c>
      <c r="D1579" t="s">
        <v>215</v>
      </c>
      <c r="E1579" s="74">
        <v>45868</v>
      </c>
      <c r="F1579" t="s">
        <v>387</v>
      </c>
      <c r="G1579" t="s">
        <v>388</v>
      </c>
      <c r="H1579" s="75">
        <f t="shared" si="24"/>
        <v>138.72549663844038</v>
      </c>
      <c r="I1579" s="74">
        <v>45868</v>
      </c>
      <c r="J1579">
        <v>4</v>
      </c>
      <c r="K1579" t="s">
        <v>511</v>
      </c>
      <c r="L1579" t="s">
        <v>367</v>
      </c>
      <c r="M1579" t="s">
        <v>356</v>
      </c>
      <c r="N1579" s="73">
        <v>67262</v>
      </c>
      <c r="O1579" s="73">
        <v>67262</v>
      </c>
      <c r="P1579">
        <v>34.681374159610094</v>
      </c>
    </row>
    <row r="1580" spans="1:16" x14ac:dyDescent="0.2">
      <c r="A1580" s="73">
        <v>67262</v>
      </c>
      <c r="B1580" t="s">
        <v>350</v>
      </c>
      <c r="C1580" s="73" t="s">
        <v>464</v>
      </c>
      <c r="D1580" t="s">
        <v>215</v>
      </c>
      <c r="E1580" s="74">
        <v>45868</v>
      </c>
      <c r="F1580" t="s">
        <v>395</v>
      </c>
      <c r="G1580" t="s">
        <v>396</v>
      </c>
      <c r="H1580" s="75">
        <f t="shared" si="24"/>
        <v>242.76961911727065</v>
      </c>
      <c r="I1580" s="74">
        <v>45868</v>
      </c>
      <c r="J1580">
        <v>7</v>
      </c>
      <c r="K1580" t="s">
        <v>511</v>
      </c>
      <c r="L1580" t="s">
        <v>262</v>
      </c>
      <c r="M1580" t="s">
        <v>356</v>
      </c>
      <c r="N1580" s="73">
        <v>67262</v>
      </c>
      <c r="O1580" s="73">
        <v>67262</v>
      </c>
      <c r="P1580">
        <v>34.681374159610094</v>
      </c>
    </row>
    <row r="1581" spans="1:16" x14ac:dyDescent="0.2">
      <c r="A1581" s="73">
        <v>67262</v>
      </c>
      <c r="B1581" t="s">
        <v>350</v>
      </c>
      <c r="C1581" s="73" t="s">
        <v>464</v>
      </c>
      <c r="D1581" t="s">
        <v>215</v>
      </c>
      <c r="E1581" s="74">
        <v>45869</v>
      </c>
      <c r="F1581" t="s">
        <v>404</v>
      </c>
      <c r="G1581" t="s">
        <v>405</v>
      </c>
      <c r="H1581" s="75">
        <f t="shared" si="24"/>
        <v>104.04412247883027</v>
      </c>
      <c r="I1581" s="74">
        <v>45869</v>
      </c>
      <c r="J1581">
        <v>3</v>
      </c>
      <c r="K1581" t="s">
        <v>511</v>
      </c>
      <c r="L1581" t="s">
        <v>262</v>
      </c>
      <c r="M1581" t="s">
        <v>356</v>
      </c>
      <c r="N1581" s="73">
        <v>67262</v>
      </c>
      <c r="O1581" s="73">
        <v>67262</v>
      </c>
      <c r="P1581">
        <v>34.681374159610094</v>
      </c>
    </row>
    <row r="1582" spans="1:16" x14ac:dyDescent="0.2">
      <c r="A1582" s="73">
        <v>67262</v>
      </c>
      <c r="B1582" t="s">
        <v>350</v>
      </c>
      <c r="C1582" s="73" t="s">
        <v>464</v>
      </c>
      <c r="D1582" t="s">
        <v>215</v>
      </c>
      <c r="E1582" s="74">
        <v>45869</v>
      </c>
      <c r="F1582" t="s">
        <v>387</v>
      </c>
      <c r="G1582" t="s">
        <v>388</v>
      </c>
      <c r="H1582" s="75">
        <f t="shared" si="24"/>
        <v>104.04412247883027</v>
      </c>
      <c r="I1582" s="74">
        <v>45869</v>
      </c>
      <c r="J1582">
        <v>3</v>
      </c>
      <c r="K1582" t="s">
        <v>511</v>
      </c>
      <c r="L1582" t="s">
        <v>367</v>
      </c>
      <c r="M1582" t="s">
        <v>356</v>
      </c>
      <c r="N1582" s="73">
        <v>67262</v>
      </c>
      <c r="O1582" s="73">
        <v>67262</v>
      </c>
      <c r="P1582">
        <v>34.681374159610094</v>
      </c>
    </row>
    <row r="1583" spans="1:16" x14ac:dyDescent="0.2">
      <c r="A1583" s="73">
        <v>67262</v>
      </c>
      <c r="B1583" t="s">
        <v>350</v>
      </c>
      <c r="C1583" s="73" t="s">
        <v>464</v>
      </c>
      <c r="D1583" t="s">
        <v>215</v>
      </c>
      <c r="E1583" s="74">
        <v>45869</v>
      </c>
      <c r="F1583">
        <v>6833</v>
      </c>
      <c r="G1583" t="s">
        <v>383</v>
      </c>
      <c r="H1583" s="75">
        <f t="shared" si="24"/>
        <v>34.681374159610094</v>
      </c>
      <c r="I1583" s="74">
        <v>45869</v>
      </c>
      <c r="J1583">
        <v>1</v>
      </c>
      <c r="K1583" t="s">
        <v>511</v>
      </c>
      <c r="L1583" t="s">
        <v>384</v>
      </c>
      <c r="M1583" t="s">
        <v>356</v>
      </c>
      <c r="N1583" s="73">
        <v>67262</v>
      </c>
      <c r="O1583" s="73">
        <v>67262</v>
      </c>
      <c r="P1583">
        <v>34.681374159610094</v>
      </c>
    </row>
    <row r="1584" spans="1:16" x14ac:dyDescent="0.2">
      <c r="A1584" s="73">
        <v>67262</v>
      </c>
      <c r="B1584" t="s">
        <v>350</v>
      </c>
      <c r="C1584" s="73" t="s">
        <v>464</v>
      </c>
      <c r="D1584" t="s">
        <v>215</v>
      </c>
      <c r="E1584" s="74">
        <v>45869</v>
      </c>
      <c r="F1584" t="s">
        <v>395</v>
      </c>
      <c r="G1584" t="s">
        <v>396</v>
      </c>
      <c r="H1584" s="75">
        <f t="shared" si="24"/>
        <v>34.681374159610094</v>
      </c>
      <c r="I1584" s="74">
        <v>45869</v>
      </c>
      <c r="J1584">
        <v>1</v>
      </c>
      <c r="K1584" t="s">
        <v>511</v>
      </c>
      <c r="L1584" t="s">
        <v>262</v>
      </c>
      <c r="M1584" t="s">
        <v>356</v>
      </c>
      <c r="N1584" s="73">
        <v>67262</v>
      </c>
      <c r="O1584" s="73">
        <v>67262</v>
      </c>
      <c r="P1584">
        <v>34.681374159610094</v>
      </c>
    </row>
    <row r="1585" spans="1:16" x14ac:dyDescent="0.2">
      <c r="A1585" s="73">
        <v>67262</v>
      </c>
      <c r="B1585" t="s">
        <v>350</v>
      </c>
      <c r="C1585" s="73" t="s">
        <v>464</v>
      </c>
      <c r="D1585" t="s">
        <v>215</v>
      </c>
      <c r="E1585" s="74">
        <v>45870</v>
      </c>
      <c r="F1585" t="s">
        <v>404</v>
      </c>
      <c r="G1585" t="s">
        <v>405</v>
      </c>
      <c r="H1585" s="75">
        <f t="shared" si="24"/>
        <v>104.04412247883027</v>
      </c>
      <c r="I1585" s="74">
        <v>45870</v>
      </c>
      <c r="J1585">
        <v>3</v>
      </c>
      <c r="K1585" t="s">
        <v>288</v>
      </c>
      <c r="L1585" t="s">
        <v>262</v>
      </c>
      <c r="M1585" t="s">
        <v>356</v>
      </c>
      <c r="N1585" s="73">
        <v>67262</v>
      </c>
      <c r="O1585" s="73">
        <v>67262</v>
      </c>
      <c r="P1585">
        <v>34.681374159610094</v>
      </c>
    </row>
    <row r="1586" spans="1:16" x14ac:dyDescent="0.2">
      <c r="A1586" s="73">
        <v>67262</v>
      </c>
      <c r="B1586" t="s">
        <v>350</v>
      </c>
      <c r="C1586" s="73" t="s">
        <v>464</v>
      </c>
      <c r="D1586" t="s">
        <v>215</v>
      </c>
      <c r="E1586" s="74">
        <v>45870</v>
      </c>
      <c r="F1586" t="s">
        <v>387</v>
      </c>
      <c r="G1586" t="s">
        <v>388</v>
      </c>
      <c r="H1586" s="75">
        <f t="shared" si="24"/>
        <v>173.40687079805048</v>
      </c>
      <c r="I1586" s="74">
        <v>45870</v>
      </c>
      <c r="J1586">
        <v>5</v>
      </c>
      <c r="K1586" t="s">
        <v>288</v>
      </c>
      <c r="L1586" t="s">
        <v>367</v>
      </c>
      <c r="M1586" t="s">
        <v>356</v>
      </c>
      <c r="N1586" s="73">
        <v>67262</v>
      </c>
      <c r="O1586" s="73">
        <v>67262</v>
      </c>
      <c r="P1586">
        <v>34.681374159610094</v>
      </c>
    </row>
    <row r="1587" spans="1:16" x14ac:dyDescent="0.2">
      <c r="A1587" s="73">
        <v>67262</v>
      </c>
      <c r="B1587" t="s">
        <v>350</v>
      </c>
      <c r="C1587" s="73" t="s">
        <v>464</v>
      </c>
      <c r="D1587" t="s">
        <v>215</v>
      </c>
      <c r="E1587" s="74">
        <v>45873</v>
      </c>
      <c r="F1587" t="s">
        <v>404</v>
      </c>
      <c r="G1587" t="s">
        <v>405</v>
      </c>
      <c r="H1587" s="75">
        <f t="shared" si="24"/>
        <v>69.362748319220188</v>
      </c>
      <c r="I1587" s="74">
        <v>45873</v>
      </c>
      <c r="J1587">
        <v>2</v>
      </c>
      <c r="K1587" t="s">
        <v>288</v>
      </c>
      <c r="L1587" t="s">
        <v>262</v>
      </c>
      <c r="M1587" t="s">
        <v>356</v>
      </c>
      <c r="N1587" s="73">
        <v>67262</v>
      </c>
      <c r="O1587" s="73">
        <v>67262</v>
      </c>
      <c r="P1587">
        <v>34.681374159610094</v>
      </c>
    </row>
    <row r="1588" spans="1:16" x14ac:dyDescent="0.2">
      <c r="A1588" s="73">
        <v>67262</v>
      </c>
      <c r="B1588" t="s">
        <v>350</v>
      </c>
      <c r="C1588" s="73" t="s">
        <v>464</v>
      </c>
      <c r="D1588" t="s">
        <v>215</v>
      </c>
      <c r="E1588" s="74">
        <v>45873</v>
      </c>
      <c r="F1588" t="s">
        <v>395</v>
      </c>
      <c r="G1588" t="s">
        <v>396</v>
      </c>
      <c r="H1588" s="75">
        <f t="shared" si="24"/>
        <v>34.681374159610094</v>
      </c>
      <c r="I1588" s="74">
        <v>45873</v>
      </c>
      <c r="J1588">
        <v>1</v>
      </c>
      <c r="K1588" t="s">
        <v>288</v>
      </c>
      <c r="L1588" t="s">
        <v>262</v>
      </c>
      <c r="M1588" t="s">
        <v>356</v>
      </c>
      <c r="N1588" s="73">
        <v>67262</v>
      </c>
      <c r="O1588" s="73">
        <v>67262</v>
      </c>
      <c r="P1588">
        <v>34.681374159610094</v>
      </c>
    </row>
    <row r="1589" spans="1:16" x14ac:dyDescent="0.2">
      <c r="A1589" s="73">
        <v>67262</v>
      </c>
      <c r="B1589" t="s">
        <v>350</v>
      </c>
      <c r="C1589" s="73" t="s">
        <v>464</v>
      </c>
      <c r="D1589" t="s">
        <v>215</v>
      </c>
      <c r="E1589" s="74">
        <v>45874</v>
      </c>
      <c r="F1589" t="s">
        <v>404</v>
      </c>
      <c r="G1589" t="s">
        <v>405</v>
      </c>
      <c r="H1589" s="75">
        <f t="shared" si="24"/>
        <v>104.04412247883027</v>
      </c>
      <c r="I1589" s="74">
        <v>45874</v>
      </c>
      <c r="J1589">
        <v>3</v>
      </c>
      <c r="K1589" t="s">
        <v>288</v>
      </c>
      <c r="L1589" t="s">
        <v>262</v>
      </c>
      <c r="M1589" t="s">
        <v>356</v>
      </c>
      <c r="N1589" s="73">
        <v>67262</v>
      </c>
      <c r="O1589" s="73">
        <v>67262</v>
      </c>
      <c r="P1589">
        <v>34.681374159610094</v>
      </c>
    </row>
    <row r="1590" spans="1:16" x14ac:dyDescent="0.2">
      <c r="A1590" s="73">
        <v>67262</v>
      </c>
      <c r="B1590" t="s">
        <v>350</v>
      </c>
      <c r="C1590" s="73" t="s">
        <v>464</v>
      </c>
      <c r="D1590" t="s">
        <v>215</v>
      </c>
      <c r="E1590" s="74">
        <v>45873</v>
      </c>
      <c r="F1590" t="s">
        <v>387</v>
      </c>
      <c r="G1590" t="s">
        <v>388</v>
      </c>
      <c r="H1590" s="75">
        <f t="shared" si="24"/>
        <v>138.72549663844038</v>
      </c>
      <c r="I1590" s="74">
        <v>45873</v>
      </c>
      <c r="J1590">
        <v>4</v>
      </c>
      <c r="K1590" t="s">
        <v>288</v>
      </c>
      <c r="L1590" t="s">
        <v>367</v>
      </c>
      <c r="M1590" t="s">
        <v>356</v>
      </c>
      <c r="N1590" s="73">
        <v>67262</v>
      </c>
      <c r="O1590" s="73">
        <v>67262</v>
      </c>
      <c r="P1590">
        <v>34.681374159610094</v>
      </c>
    </row>
    <row r="1591" spans="1:16" x14ac:dyDescent="0.2">
      <c r="A1591" s="73">
        <v>67262</v>
      </c>
      <c r="B1591" t="s">
        <v>350</v>
      </c>
      <c r="C1591" s="73" t="s">
        <v>464</v>
      </c>
      <c r="D1591" t="s">
        <v>215</v>
      </c>
      <c r="E1591" s="74">
        <v>45874</v>
      </c>
      <c r="F1591" t="s">
        <v>395</v>
      </c>
      <c r="G1591" t="s">
        <v>396</v>
      </c>
      <c r="H1591" s="75">
        <f t="shared" si="24"/>
        <v>34.681374159610094</v>
      </c>
      <c r="I1591" s="74">
        <v>45874</v>
      </c>
      <c r="J1591">
        <v>1</v>
      </c>
      <c r="K1591" t="s">
        <v>288</v>
      </c>
      <c r="L1591" t="s">
        <v>262</v>
      </c>
      <c r="M1591" t="s">
        <v>356</v>
      </c>
      <c r="N1591" s="73">
        <v>67262</v>
      </c>
      <c r="O1591" s="73">
        <v>67262</v>
      </c>
      <c r="P1591">
        <v>34.681374159610094</v>
      </c>
    </row>
    <row r="1592" spans="1:16" x14ac:dyDescent="0.2">
      <c r="A1592" s="73">
        <v>67262</v>
      </c>
      <c r="B1592" t="s">
        <v>350</v>
      </c>
      <c r="C1592" s="73" t="s">
        <v>464</v>
      </c>
      <c r="D1592" t="s">
        <v>215</v>
      </c>
      <c r="E1592" s="74">
        <v>45874</v>
      </c>
      <c r="F1592" t="s">
        <v>360</v>
      </c>
      <c r="G1592" t="s">
        <v>361</v>
      </c>
      <c r="H1592" s="75">
        <f t="shared" si="24"/>
        <v>242.76961911727065</v>
      </c>
      <c r="I1592" s="74">
        <v>45874</v>
      </c>
      <c r="J1592">
        <v>7</v>
      </c>
      <c r="K1592" t="s">
        <v>288</v>
      </c>
      <c r="L1592" t="s">
        <v>262</v>
      </c>
      <c r="M1592" t="s">
        <v>356</v>
      </c>
      <c r="N1592" s="73">
        <v>67262</v>
      </c>
      <c r="O1592" s="73">
        <v>67262</v>
      </c>
      <c r="P1592">
        <v>34.681374159610094</v>
      </c>
    </row>
    <row r="1593" spans="1:16" x14ac:dyDescent="0.2">
      <c r="A1593" s="73">
        <v>67262</v>
      </c>
      <c r="B1593" t="s">
        <v>350</v>
      </c>
      <c r="C1593" s="73" t="s">
        <v>464</v>
      </c>
      <c r="D1593" t="s">
        <v>215</v>
      </c>
      <c r="E1593" s="74">
        <v>45874</v>
      </c>
      <c r="F1593" t="s">
        <v>387</v>
      </c>
      <c r="G1593" t="s">
        <v>388</v>
      </c>
      <c r="H1593" s="75">
        <f t="shared" si="24"/>
        <v>173.40687079805048</v>
      </c>
      <c r="I1593" s="74">
        <v>45874</v>
      </c>
      <c r="J1593">
        <v>5</v>
      </c>
      <c r="K1593" t="s">
        <v>288</v>
      </c>
      <c r="L1593" t="s">
        <v>367</v>
      </c>
      <c r="M1593" t="s">
        <v>356</v>
      </c>
      <c r="N1593" s="73">
        <v>67262</v>
      </c>
      <c r="O1593" s="73">
        <v>67262</v>
      </c>
      <c r="P1593">
        <v>34.681374159610094</v>
      </c>
    </row>
    <row r="1594" spans="1:16" x14ac:dyDescent="0.2">
      <c r="A1594" s="73">
        <v>67262</v>
      </c>
      <c r="B1594" t="s">
        <v>350</v>
      </c>
      <c r="C1594" s="73" t="s">
        <v>464</v>
      </c>
      <c r="D1594" t="s">
        <v>215</v>
      </c>
      <c r="E1594" s="74">
        <v>45874</v>
      </c>
      <c r="F1594" t="s">
        <v>387</v>
      </c>
      <c r="G1594" t="s">
        <v>388</v>
      </c>
      <c r="H1594" s="75">
        <f t="shared" si="24"/>
        <v>69.362748319220188</v>
      </c>
      <c r="I1594" s="74">
        <v>45874</v>
      </c>
      <c r="J1594">
        <v>2</v>
      </c>
      <c r="K1594" t="s">
        <v>288</v>
      </c>
      <c r="L1594" t="s">
        <v>367</v>
      </c>
      <c r="M1594" t="s">
        <v>356</v>
      </c>
      <c r="N1594" s="73">
        <v>67262</v>
      </c>
      <c r="O1594" s="73">
        <v>67262</v>
      </c>
      <c r="P1594">
        <v>34.681374159610094</v>
      </c>
    </row>
    <row r="1595" spans="1:16" x14ac:dyDescent="0.2">
      <c r="A1595" s="73">
        <v>67262</v>
      </c>
      <c r="B1595" t="s">
        <v>350</v>
      </c>
      <c r="C1595" s="73" t="s">
        <v>464</v>
      </c>
      <c r="D1595" t="s">
        <v>215</v>
      </c>
      <c r="E1595" s="74">
        <v>45875</v>
      </c>
      <c r="F1595" t="s">
        <v>404</v>
      </c>
      <c r="G1595" t="s">
        <v>405</v>
      </c>
      <c r="H1595" s="75">
        <f t="shared" si="24"/>
        <v>104.04412247883027</v>
      </c>
      <c r="I1595" s="74">
        <v>45875</v>
      </c>
      <c r="J1595">
        <v>3</v>
      </c>
      <c r="K1595" t="s">
        <v>288</v>
      </c>
      <c r="L1595" t="s">
        <v>262</v>
      </c>
      <c r="M1595" t="s">
        <v>356</v>
      </c>
      <c r="N1595" s="73">
        <v>67262</v>
      </c>
      <c r="O1595" s="73">
        <v>67262</v>
      </c>
      <c r="P1595">
        <v>34.681374159610094</v>
      </c>
    </row>
    <row r="1596" spans="1:16" x14ac:dyDescent="0.2">
      <c r="A1596" s="73">
        <v>67262</v>
      </c>
      <c r="B1596" t="s">
        <v>350</v>
      </c>
      <c r="C1596" s="73" t="s">
        <v>464</v>
      </c>
      <c r="D1596" t="s">
        <v>215</v>
      </c>
      <c r="E1596" s="74">
        <v>45875</v>
      </c>
      <c r="F1596" t="s">
        <v>395</v>
      </c>
      <c r="G1596" t="s">
        <v>396</v>
      </c>
      <c r="H1596" s="75">
        <f t="shared" si="24"/>
        <v>242.76961911727065</v>
      </c>
      <c r="I1596" s="74">
        <v>45875</v>
      </c>
      <c r="J1596">
        <v>7</v>
      </c>
      <c r="K1596" t="s">
        <v>288</v>
      </c>
      <c r="L1596" t="s">
        <v>262</v>
      </c>
      <c r="M1596" t="s">
        <v>356</v>
      </c>
      <c r="N1596" s="73">
        <v>67262</v>
      </c>
      <c r="O1596" s="73">
        <v>67262</v>
      </c>
      <c r="P1596">
        <v>34.681374159610094</v>
      </c>
    </row>
    <row r="1597" spans="1:16" x14ac:dyDescent="0.2">
      <c r="A1597" s="73">
        <v>67262</v>
      </c>
      <c r="B1597" t="s">
        <v>350</v>
      </c>
      <c r="C1597" s="73" t="s">
        <v>464</v>
      </c>
      <c r="D1597" t="s">
        <v>215</v>
      </c>
      <c r="E1597" s="74">
        <v>45875</v>
      </c>
      <c r="F1597" t="s">
        <v>387</v>
      </c>
      <c r="G1597" t="s">
        <v>388</v>
      </c>
      <c r="H1597" s="75">
        <f t="shared" si="24"/>
        <v>173.40687079805048</v>
      </c>
      <c r="I1597" s="74">
        <v>45875</v>
      </c>
      <c r="J1597">
        <v>5</v>
      </c>
      <c r="K1597" t="s">
        <v>288</v>
      </c>
      <c r="L1597" t="s">
        <v>367</v>
      </c>
      <c r="M1597" t="s">
        <v>356</v>
      </c>
      <c r="N1597" s="73">
        <v>67262</v>
      </c>
      <c r="O1597" s="73">
        <v>67262</v>
      </c>
      <c r="P1597">
        <v>34.681374159610094</v>
      </c>
    </row>
    <row r="1598" spans="1:16" x14ac:dyDescent="0.2">
      <c r="A1598" s="73">
        <v>67262</v>
      </c>
      <c r="B1598" t="s">
        <v>350</v>
      </c>
      <c r="C1598" s="73" t="s">
        <v>464</v>
      </c>
      <c r="D1598" t="s">
        <v>215</v>
      </c>
      <c r="E1598" s="74">
        <v>45875</v>
      </c>
      <c r="F1598" t="s">
        <v>387</v>
      </c>
      <c r="G1598" t="s">
        <v>388</v>
      </c>
      <c r="H1598" s="75">
        <f t="shared" si="24"/>
        <v>69.362748319220188</v>
      </c>
      <c r="I1598" s="74">
        <v>45875</v>
      </c>
      <c r="J1598">
        <v>2</v>
      </c>
      <c r="K1598" t="s">
        <v>288</v>
      </c>
      <c r="L1598" t="s">
        <v>367</v>
      </c>
      <c r="M1598" t="s">
        <v>356</v>
      </c>
      <c r="N1598" s="73">
        <v>67262</v>
      </c>
      <c r="O1598" s="73">
        <v>67262</v>
      </c>
      <c r="P1598">
        <v>34.681374159610094</v>
      </c>
    </row>
    <row r="1599" spans="1:16" x14ac:dyDescent="0.2">
      <c r="A1599" s="73">
        <v>67262</v>
      </c>
      <c r="B1599" t="s">
        <v>350</v>
      </c>
      <c r="C1599" s="73" t="s">
        <v>464</v>
      </c>
      <c r="D1599" t="s">
        <v>215</v>
      </c>
      <c r="E1599" s="74">
        <v>45876</v>
      </c>
      <c r="F1599" t="s">
        <v>404</v>
      </c>
      <c r="G1599" t="s">
        <v>405</v>
      </c>
      <c r="H1599" s="75">
        <f t="shared" si="24"/>
        <v>104.04412247883027</v>
      </c>
      <c r="I1599" s="74">
        <v>45876</v>
      </c>
      <c r="J1599">
        <v>3</v>
      </c>
      <c r="K1599" t="s">
        <v>288</v>
      </c>
      <c r="L1599" t="s">
        <v>262</v>
      </c>
      <c r="M1599" t="s">
        <v>356</v>
      </c>
      <c r="N1599" s="73">
        <v>67262</v>
      </c>
      <c r="O1599" s="73">
        <v>67262</v>
      </c>
      <c r="P1599">
        <v>34.681374159610094</v>
      </c>
    </row>
    <row r="1600" spans="1:16" x14ac:dyDescent="0.2">
      <c r="A1600" s="73">
        <v>67262</v>
      </c>
      <c r="B1600" t="s">
        <v>350</v>
      </c>
      <c r="C1600" s="73" t="s">
        <v>464</v>
      </c>
      <c r="D1600" t="s">
        <v>215</v>
      </c>
      <c r="E1600" s="74">
        <v>45876</v>
      </c>
      <c r="F1600" t="s">
        <v>395</v>
      </c>
      <c r="G1600" t="s">
        <v>396</v>
      </c>
      <c r="H1600" s="75">
        <f t="shared" si="24"/>
        <v>242.76961911727065</v>
      </c>
      <c r="I1600" s="74">
        <v>45876</v>
      </c>
      <c r="J1600">
        <v>7</v>
      </c>
      <c r="K1600" t="s">
        <v>288</v>
      </c>
      <c r="L1600" t="s">
        <v>262</v>
      </c>
      <c r="M1600" t="s">
        <v>356</v>
      </c>
      <c r="N1600" s="73">
        <v>67262</v>
      </c>
      <c r="O1600" s="73">
        <v>67262</v>
      </c>
      <c r="P1600">
        <v>34.681374159610094</v>
      </c>
    </row>
    <row r="1601" spans="1:16" x14ac:dyDescent="0.2">
      <c r="A1601" s="73">
        <v>67262</v>
      </c>
      <c r="B1601" t="s">
        <v>350</v>
      </c>
      <c r="C1601" s="73" t="s">
        <v>464</v>
      </c>
      <c r="D1601" t="s">
        <v>215</v>
      </c>
      <c r="E1601" s="74">
        <v>45876</v>
      </c>
      <c r="F1601" t="s">
        <v>360</v>
      </c>
      <c r="G1601" t="s">
        <v>361</v>
      </c>
      <c r="H1601" s="75">
        <f t="shared" si="24"/>
        <v>69.362748319220188</v>
      </c>
      <c r="I1601" s="74">
        <v>45876</v>
      </c>
      <c r="J1601">
        <v>2</v>
      </c>
      <c r="K1601" t="s">
        <v>288</v>
      </c>
      <c r="L1601" t="s">
        <v>262</v>
      </c>
      <c r="M1601" t="s">
        <v>356</v>
      </c>
      <c r="N1601" s="73">
        <v>67262</v>
      </c>
      <c r="O1601" s="73">
        <v>67262</v>
      </c>
      <c r="P1601">
        <v>34.681374159610094</v>
      </c>
    </row>
    <row r="1602" spans="1:16" x14ac:dyDescent="0.2">
      <c r="A1602" s="73">
        <v>67262</v>
      </c>
      <c r="B1602" t="s">
        <v>350</v>
      </c>
      <c r="C1602" s="73" t="s">
        <v>464</v>
      </c>
      <c r="D1602" t="s">
        <v>215</v>
      </c>
      <c r="E1602" s="74">
        <v>45876</v>
      </c>
      <c r="F1602" t="s">
        <v>387</v>
      </c>
      <c r="G1602" t="s">
        <v>388</v>
      </c>
      <c r="H1602" s="75">
        <f t="shared" ref="H1602:H1665" si="25">J1602*P1602</f>
        <v>138.72549663844038</v>
      </c>
      <c r="I1602" s="74">
        <v>45876</v>
      </c>
      <c r="J1602">
        <v>4</v>
      </c>
      <c r="K1602" t="s">
        <v>288</v>
      </c>
      <c r="L1602" t="s">
        <v>367</v>
      </c>
      <c r="M1602" t="s">
        <v>356</v>
      </c>
      <c r="N1602" s="73">
        <v>67262</v>
      </c>
      <c r="O1602" s="73">
        <v>67262</v>
      </c>
      <c r="P1602">
        <v>34.681374159610094</v>
      </c>
    </row>
    <row r="1603" spans="1:16" x14ac:dyDescent="0.2">
      <c r="A1603" s="73">
        <v>67262</v>
      </c>
      <c r="B1603" t="s">
        <v>350</v>
      </c>
      <c r="C1603" s="73" t="s">
        <v>464</v>
      </c>
      <c r="D1603" t="s">
        <v>215</v>
      </c>
      <c r="E1603" s="74">
        <v>45877</v>
      </c>
      <c r="F1603" t="s">
        <v>404</v>
      </c>
      <c r="G1603" t="s">
        <v>405</v>
      </c>
      <c r="H1603" s="75">
        <f t="shared" si="25"/>
        <v>104.04412247883027</v>
      </c>
      <c r="I1603" s="74">
        <v>45877</v>
      </c>
      <c r="J1603">
        <v>3</v>
      </c>
      <c r="K1603" t="s">
        <v>288</v>
      </c>
      <c r="L1603" t="s">
        <v>262</v>
      </c>
      <c r="M1603" t="s">
        <v>356</v>
      </c>
      <c r="N1603" s="73">
        <v>67262</v>
      </c>
      <c r="O1603" s="73">
        <v>67262</v>
      </c>
      <c r="P1603">
        <v>34.681374159610094</v>
      </c>
    </row>
    <row r="1604" spans="1:16" x14ac:dyDescent="0.2">
      <c r="A1604" s="73">
        <v>67262</v>
      </c>
      <c r="B1604" t="s">
        <v>350</v>
      </c>
      <c r="C1604" s="73" t="s">
        <v>464</v>
      </c>
      <c r="D1604" t="s">
        <v>215</v>
      </c>
      <c r="E1604" s="74">
        <v>45877</v>
      </c>
      <c r="F1604">
        <v>6833</v>
      </c>
      <c r="G1604" t="s">
        <v>383</v>
      </c>
      <c r="H1604" s="75">
        <f t="shared" si="25"/>
        <v>34.681374159610094</v>
      </c>
      <c r="I1604" s="74">
        <v>45877</v>
      </c>
      <c r="J1604">
        <v>1</v>
      </c>
      <c r="K1604" t="s">
        <v>288</v>
      </c>
      <c r="L1604" t="s">
        <v>384</v>
      </c>
      <c r="M1604" t="s">
        <v>356</v>
      </c>
      <c r="N1604" s="73">
        <v>67262</v>
      </c>
      <c r="O1604" s="73">
        <v>67262</v>
      </c>
      <c r="P1604">
        <v>34.681374159610094</v>
      </c>
    </row>
    <row r="1605" spans="1:16" x14ac:dyDescent="0.2">
      <c r="A1605" s="73">
        <v>67262</v>
      </c>
      <c r="B1605" t="s">
        <v>350</v>
      </c>
      <c r="C1605" s="73" t="s">
        <v>464</v>
      </c>
      <c r="D1605" t="s">
        <v>215</v>
      </c>
      <c r="E1605" s="74">
        <v>45877</v>
      </c>
      <c r="F1605" t="s">
        <v>395</v>
      </c>
      <c r="G1605" t="s">
        <v>396</v>
      </c>
      <c r="H1605" s="75">
        <f t="shared" si="25"/>
        <v>34.681374159610094</v>
      </c>
      <c r="I1605" s="74">
        <v>45877</v>
      </c>
      <c r="J1605">
        <v>1</v>
      </c>
      <c r="K1605" t="s">
        <v>288</v>
      </c>
      <c r="L1605" t="s">
        <v>262</v>
      </c>
      <c r="M1605" t="s">
        <v>356</v>
      </c>
      <c r="N1605" s="73">
        <v>67262</v>
      </c>
      <c r="O1605" s="73">
        <v>67262</v>
      </c>
      <c r="P1605">
        <v>34.681374159610094</v>
      </c>
    </row>
    <row r="1606" spans="1:16" x14ac:dyDescent="0.2">
      <c r="A1606" s="73">
        <v>67262</v>
      </c>
      <c r="B1606" t="s">
        <v>350</v>
      </c>
      <c r="C1606" s="73" t="s">
        <v>464</v>
      </c>
      <c r="D1606" t="s">
        <v>215</v>
      </c>
      <c r="E1606" s="74">
        <v>45877</v>
      </c>
      <c r="F1606" t="s">
        <v>387</v>
      </c>
      <c r="G1606" t="s">
        <v>388</v>
      </c>
      <c r="H1606" s="75">
        <f t="shared" si="25"/>
        <v>138.72549663844038</v>
      </c>
      <c r="I1606" s="74">
        <v>45877</v>
      </c>
      <c r="J1606">
        <v>4</v>
      </c>
      <c r="K1606" t="s">
        <v>288</v>
      </c>
      <c r="L1606" t="s">
        <v>367</v>
      </c>
      <c r="M1606" t="s">
        <v>356</v>
      </c>
      <c r="N1606" s="73">
        <v>67262</v>
      </c>
      <c r="O1606" s="73">
        <v>67262</v>
      </c>
      <c r="P1606">
        <v>34.681374159610094</v>
      </c>
    </row>
    <row r="1607" spans="1:16" x14ac:dyDescent="0.2">
      <c r="A1607" s="73">
        <v>67262</v>
      </c>
      <c r="B1607" t="s">
        <v>350</v>
      </c>
      <c r="C1607" s="73" t="s">
        <v>464</v>
      </c>
      <c r="D1607" t="s">
        <v>215</v>
      </c>
      <c r="E1607" s="74">
        <v>45880</v>
      </c>
      <c r="F1607" t="s">
        <v>387</v>
      </c>
      <c r="G1607" t="s">
        <v>388</v>
      </c>
      <c r="H1607" s="75">
        <f t="shared" si="25"/>
        <v>69.362748319220188</v>
      </c>
      <c r="I1607" s="74">
        <v>45880</v>
      </c>
      <c r="J1607">
        <v>2</v>
      </c>
      <c r="K1607" t="s">
        <v>288</v>
      </c>
      <c r="L1607" t="s">
        <v>367</v>
      </c>
      <c r="M1607" t="s">
        <v>356</v>
      </c>
      <c r="N1607" s="73">
        <v>67262</v>
      </c>
      <c r="O1607" s="73">
        <v>67262</v>
      </c>
      <c r="P1607">
        <v>34.681374159610094</v>
      </c>
    </row>
    <row r="1608" spans="1:16" x14ac:dyDescent="0.2">
      <c r="A1608" s="73">
        <v>67262</v>
      </c>
      <c r="B1608" t="s">
        <v>350</v>
      </c>
      <c r="C1608" s="73" t="s">
        <v>464</v>
      </c>
      <c r="D1608" t="s">
        <v>215</v>
      </c>
      <c r="E1608" s="74">
        <v>45880</v>
      </c>
      <c r="F1608" t="s">
        <v>360</v>
      </c>
      <c r="G1608" t="s">
        <v>361</v>
      </c>
      <c r="H1608" s="75">
        <f t="shared" si="25"/>
        <v>69.362748319220188</v>
      </c>
      <c r="I1608" s="74">
        <v>45880</v>
      </c>
      <c r="J1608">
        <v>2</v>
      </c>
      <c r="K1608" t="s">
        <v>288</v>
      </c>
      <c r="L1608" t="s">
        <v>262</v>
      </c>
      <c r="M1608" t="s">
        <v>356</v>
      </c>
      <c r="N1608" s="73">
        <v>67262</v>
      </c>
      <c r="O1608" s="73">
        <v>67262</v>
      </c>
      <c r="P1608">
        <v>34.681374159610094</v>
      </c>
    </row>
    <row r="1609" spans="1:16" x14ac:dyDescent="0.2">
      <c r="A1609" s="73">
        <v>67262</v>
      </c>
      <c r="B1609" t="s">
        <v>350</v>
      </c>
      <c r="C1609" s="73" t="s">
        <v>464</v>
      </c>
      <c r="D1609" t="s">
        <v>215</v>
      </c>
      <c r="E1609" s="74">
        <v>45881</v>
      </c>
      <c r="F1609" t="s">
        <v>404</v>
      </c>
      <c r="G1609" t="s">
        <v>405</v>
      </c>
      <c r="H1609" s="75">
        <f t="shared" si="25"/>
        <v>242.76961911727065</v>
      </c>
      <c r="I1609" s="74">
        <v>45881</v>
      </c>
      <c r="J1609">
        <v>7</v>
      </c>
      <c r="K1609" t="s">
        <v>288</v>
      </c>
      <c r="L1609" t="s">
        <v>262</v>
      </c>
      <c r="M1609" t="s">
        <v>356</v>
      </c>
      <c r="N1609" s="73">
        <v>67262</v>
      </c>
      <c r="O1609" s="73">
        <v>67262</v>
      </c>
      <c r="P1609">
        <v>34.681374159610094</v>
      </c>
    </row>
    <row r="1610" spans="1:16" x14ac:dyDescent="0.2">
      <c r="A1610" s="73">
        <v>67262</v>
      </c>
      <c r="B1610" t="s">
        <v>350</v>
      </c>
      <c r="C1610" s="73" t="s">
        <v>464</v>
      </c>
      <c r="D1610" t="s">
        <v>215</v>
      </c>
      <c r="E1610" s="74">
        <v>45881</v>
      </c>
      <c r="F1610" t="s">
        <v>387</v>
      </c>
      <c r="G1610" t="s">
        <v>388</v>
      </c>
      <c r="H1610" s="75">
        <f t="shared" si="25"/>
        <v>104.04412247883027</v>
      </c>
      <c r="I1610" s="74">
        <v>45881</v>
      </c>
      <c r="J1610">
        <v>3</v>
      </c>
      <c r="K1610" t="s">
        <v>288</v>
      </c>
      <c r="L1610" t="s">
        <v>367</v>
      </c>
      <c r="M1610" t="s">
        <v>356</v>
      </c>
      <c r="N1610" s="73">
        <v>67262</v>
      </c>
      <c r="O1610" s="73">
        <v>67262</v>
      </c>
      <c r="P1610">
        <v>34.681374159610094</v>
      </c>
    </row>
    <row r="1611" spans="1:16" x14ac:dyDescent="0.2">
      <c r="A1611" s="73">
        <v>67262</v>
      </c>
      <c r="B1611" t="s">
        <v>350</v>
      </c>
      <c r="C1611" s="73" t="s">
        <v>464</v>
      </c>
      <c r="D1611" t="s">
        <v>215</v>
      </c>
      <c r="E1611" s="74">
        <v>45882</v>
      </c>
      <c r="F1611" t="s">
        <v>395</v>
      </c>
      <c r="G1611" t="s">
        <v>396</v>
      </c>
      <c r="H1611" s="75">
        <f t="shared" si="25"/>
        <v>242.76961911727065</v>
      </c>
      <c r="I1611" s="74">
        <v>45882</v>
      </c>
      <c r="J1611">
        <v>7</v>
      </c>
      <c r="K1611" t="s">
        <v>288</v>
      </c>
      <c r="L1611" t="s">
        <v>262</v>
      </c>
      <c r="M1611" t="s">
        <v>356</v>
      </c>
      <c r="N1611" s="73">
        <v>67262</v>
      </c>
      <c r="O1611" s="73">
        <v>67262</v>
      </c>
      <c r="P1611">
        <v>34.681374159610094</v>
      </c>
    </row>
    <row r="1612" spans="1:16" x14ac:dyDescent="0.2">
      <c r="A1612" s="73">
        <v>67262</v>
      </c>
      <c r="B1612" t="s">
        <v>350</v>
      </c>
      <c r="C1612" s="73" t="s">
        <v>464</v>
      </c>
      <c r="D1612" t="s">
        <v>215</v>
      </c>
      <c r="E1612" s="74">
        <v>45882</v>
      </c>
      <c r="F1612" t="s">
        <v>387</v>
      </c>
      <c r="G1612" t="s">
        <v>388</v>
      </c>
      <c r="H1612" s="75">
        <f t="shared" si="25"/>
        <v>208.08824495766055</v>
      </c>
      <c r="I1612" s="74">
        <v>45882</v>
      </c>
      <c r="J1612">
        <v>6</v>
      </c>
      <c r="K1612" t="s">
        <v>288</v>
      </c>
      <c r="L1612" t="s">
        <v>367</v>
      </c>
      <c r="M1612" t="s">
        <v>356</v>
      </c>
      <c r="N1612" s="73">
        <v>67262</v>
      </c>
      <c r="O1612" s="73">
        <v>67262</v>
      </c>
      <c r="P1612">
        <v>34.681374159610094</v>
      </c>
    </row>
    <row r="1613" spans="1:16" x14ac:dyDescent="0.2">
      <c r="A1613" s="73">
        <v>67262</v>
      </c>
      <c r="B1613" t="s">
        <v>350</v>
      </c>
      <c r="C1613" s="73" t="s">
        <v>464</v>
      </c>
      <c r="D1613" t="s">
        <v>215</v>
      </c>
      <c r="E1613" s="74">
        <v>45883</v>
      </c>
      <c r="F1613" t="s">
        <v>395</v>
      </c>
      <c r="G1613" t="s">
        <v>396</v>
      </c>
      <c r="H1613" s="75">
        <f t="shared" si="25"/>
        <v>242.76961911727065</v>
      </c>
      <c r="I1613" s="74">
        <v>45883</v>
      </c>
      <c r="J1613">
        <v>7</v>
      </c>
      <c r="K1613" t="s">
        <v>288</v>
      </c>
      <c r="L1613" t="s">
        <v>262</v>
      </c>
      <c r="M1613" t="s">
        <v>356</v>
      </c>
      <c r="N1613" s="73">
        <v>67262</v>
      </c>
      <c r="O1613" s="73">
        <v>67262</v>
      </c>
      <c r="P1613">
        <v>34.681374159610094</v>
      </c>
    </row>
    <row r="1614" spans="1:16" x14ac:dyDescent="0.2">
      <c r="A1614" s="73">
        <v>67262</v>
      </c>
      <c r="B1614" t="s">
        <v>350</v>
      </c>
      <c r="C1614" s="73" t="s">
        <v>464</v>
      </c>
      <c r="D1614" t="s">
        <v>215</v>
      </c>
      <c r="E1614" s="74">
        <v>45887</v>
      </c>
      <c r="F1614" t="s">
        <v>387</v>
      </c>
      <c r="G1614" t="s">
        <v>388</v>
      </c>
      <c r="H1614" s="75">
        <f t="shared" si="25"/>
        <v>69.362748319220188</v>
      </c>
      <c r="I1614" s="74">
        <v>45887</v>
      </c>
      <c r="J1614">
        <v>2</v>
      </c>
      <c r="K1614" t="s">
        <v>288</v>
      </c>
      <c r="L1614" t="s">
        <v>367</v>
      </c>
      <c r="M1614" t="s">
        <v>356</v>
      </c>
      <c r="N1614" s="73">
        <v>67262</v>
      </c>
      <c r="O1614" s="73">
        <v>67262</v>
      </c>
      <c r="P1614">
        <v>34.681374159610094</v>
      </c>
    </row>
    <row r="1615" spans="1:16" x14ac:dyDescent="0.2">
      <c r="A1615" s="73">
        <v>67262</v>
      </c>
      <c r="B1615" t="s">
        <v>350</v>
      </c>
      <c r="C1615" s="73" t="s">
        <v>464</v>
      </c>
      <c r="D1615" t="s">
        <v>215</v>
      </c>
      <c r="E1615" s="74">
        <v>45887</v>
      </c>
      <c r="F1615" t="s">
        <v>360</v>
      </c>
      <c r="G1615" t="s">
        <v>361</v>
      </c>
      <c r="H1615" s="75">
        <f t="shared" si="25"/>
        <v>208.08824495766055</v>
      </c>
      <c r="I1615" s="74">
        <v>45887</v>
      </c>
      <c r="J1615">
        <v>6</v>
      </c>
      <c r="K1615" t="s">
        <v>288</v>
      </c>
      <c r="L1615" t="s">
        <v>262</v>
      </c>
      <c r="M1615" t="s">
        <v>356</v>
      </c>
      <c r="N1615" s="73">
        <v>67262</v>
      </c>
      <c r="O1615" s="73">
        <v>67262</v>
      </c>
      <c r="P1615">
        <v>34.681374159610094</v>
      </c>
    </row>
    <row r="1616" spans="1:16" x14ac:dyDescent="0.2">
      <c r="A1616" s="73">
        <v>67262</v>
      </c>
      <c r="B1616" t="s">
        <v>350</v>
      </c>
      <c r="C1616" s="73" t="s">
        <v>464</v>
      </c>
      <c r="D1616" t="s">
        <v>215</v>
      </c>
      <c r="E1616" s="74">
        <v>45888</v>
      </c>
      <c r="F1616" t="s">
        <v>387</v>
      </c>
      <c r="G1616" t="s">
        <v>388</v>
      </c>
      <c r="H1616" s="75">
        <f t="shared" si="25"/>
        <v>69.362748319220188</v>
      </c>
      <c r="I1616" s="74">
        <v>45888</v>
      </c>
      <c r="J1616">
        <v>2</v>
      </c>
      <c r="K1616" t="s">
        <v>288</v>
      </c>
      <c r="L1616" t="s">
        <v>367</v>
      </c>
      <c r="M1616" t="s">
        <v>356</v>
      </c>
      <c r="N1616" s="73">
        <v>67262</v>
      </c>
      <c r="O1616" s="73">
        <v>67262</v>
      </c>
      <c r="P1616">
        <v>34.681374159610094</v>
      </c>
    </row>
    <row r="1617" spans="1:16" x14ac:dyDescent="0.2">
      <c r="A1617" s="73">
        <v>67262</v>
      </c>
      <c r="B1617" t="s">
        <v>350</v>
      </c>
      <c r="C1617" s="73" t="s">
        <v>464</v>
      </c>
      <c r="D1617" t="s">
        <v>215</v>
      </c>
      <c r="E1617" s="74">
        <v>45889</v>
      </c>
      <c r="F1617" t="s">
        <v>387</v>
      </c>
      <c r="G1617" t="s">
        <v>388</v>
      </c>
      <c r="H1617" s="75">
        <f t="shared" si="25"/>
        <v>69.362748319220188</v>
      </c>
      <c r="I1617" s="74">
        <v>45889</v>
      </c>
      <c r="J1617">
        <v>2</v>
      </c>
      <c r="K1617" t="s">
        <v>288</v>
      </c>
      <c r="L1617" t="s">
        <v>367</v>
      </c>
      <c r="M1617" t="s">
        <v>356</v>
      </c>
      <c r="N1617" s="73">
        <v>67262</v>
      </c>
      <c r="O1617" s="73">
        <v>67262</v>
      </c>
      <c r="P1617">
        <v>34.681374159610094</v>
      </c>
    </row>
    <row r="1618" spans="1:16" x14ac:dyDescent="0.2">
      <c r="A1618" s="73">
        <v>67262</v>
      </c>
      <c r="B1618" t="s">
        <v>350</v>
      </c>
      <c r="C1618" s="73" t="s">
        <v>464</v>
      </c>
      <c r="D1618" t="s">
        <v>215</v>
      </c>
      <c r="E1618" s="74">
        <v>45889</v>
      </c>
      <c r="F1618" t="s">
        <v>360</v>
      </c>
      <c r="G1618" t="s">
        <v>361</v>
      </c>
      <c r="H1618" s="75">
        <f t="shared" si="25"/>
        <v>208.08824495766055</v>
      </c>
      <c r="I1618" s="74">
        <v>45889</v>
      </c>
      <c r="J1618">
        <v>6</v>
      </c>
      <c r="K1618" t="s">
        <v>288</v>
      </c>
      <c r="L1618" t="s">
        <v>262</v>
      </c>
      <c r="M1618" t="s">
        <v>356</v>
      </c>
      <c r="N1618" s="73">
        <v>67262</v>
      </c>
      <c r="O1618" s="73">
        <v>67262</v>
      </c>
      <c r="P1618">
        <v>34.681374159610094</v>
      </c>
    </row>
    <row r="1619" spans="1:16" x14ac:dyDescent="0.2">
      <c r="A1619" s="73">
        <v>67262</v>
      </c>
      <c r="B1619" t="s">
        <v>350</v>
      </c>
      <c r="C1619" s="73" t="s">
        <v>464</v>
      </c>
      <c r="D1619" t="s">
        <v>215</v>
      </c>
      <c r="E1619" s="74">
        <v>45889</v>
      </c>
      <c r="F1619" t="s">
        <v>404</v>
      </c>
      <c r="G1619" t="s">
        <v>405</v>
      </c>
      <c r="H1619" s="75">
        <f t="shared" si="25"/>
        <v>208.08824495766055</v>
      </c>
      <c r="I1619" s="74">
        <v>45889</v>
      </c>
      <c r="J1619">
        <v>6</v>
      </c>
      <c r="K1619" t="s">
        <v>288</v>
      </c>
      <c r="L1619" t="s">
        <v>262</v>
      </c>
      <c r="M1619" t="s">
        <v>356</v>
      </c>
      <c r="N1619" s="73">
        <v>67262</v>
      </c>
      <c r="O1619" s="73">
        <v>67262</v>
      </c>
      <c r="P1619">
        <v>34.681374159610094</v>
      </c>
    </row>
    <row r="1620" spans="1:16" x14ac:dyDescent="0.2">
      <c r="A1620" s="73">
        <v>67262</v>
      </c>
      <c r="B1620" t="s">
        <v>350</v>
      </c>
      <c r="C1620" s="73" t="s">
        <v>464</v>
      </c>
      <c r="D1620" t="s">
        <v>215</v>
      </c>
      <c r="E1620" s="74">
        <v>45890</v>
      </c>
      <c r="F1620" t="s">
        <v>387</v>
      </c>
      <c r="G1620" t="s">
        <v>388</v>
      </c>
      <c r="H1620" s="75">
        <f t="shared" si="25"/>
        <v>69.362748319220188</v>
      </c>
      <c r="I1620" s="74">
        <v>45890</v>
      </c>
      <c r="J1620">
        <v>2</v>
      </c>
      <c r="K1620" t="s">
        <v>288</v>
      </c>
      <c r="L1620" t="s">
        <v>367</v>
      </c>
      <c r="M1620" t="s">
        <v>356</v>
      </c>
      <c r="N1620" s="73">
        <v>67262</v>
      </c>
      <c r="O1620" s="73">
        <v>67262</v>
      </c>
      <c r="P1620">
        <v>34.681374159610094</v>
      </c>
    </row>
    <row r="1621" spans="1:16" x14ac:dyDescent="0.2">
      <c r="A1621" s="73">
        <v>67262</v>
      </c>
      <c r="B1621" t="s">
        <v>350</v>
      </c>
      <c r="C1621" s="73" t="s">
        <v>464</v>
      </c>
      <c r="D1621" t="s">
        <v>215</v>
      </c>
      <c r="E1621" s="74">
        <v>45890</v>
      </c>
      <c r="F1621" t="s">
        <v>360</v>
      </c>
      <c r="G1621" t="s">
        <v>361</v>
      </c>
      <c r="H1621" s="75">
        <f t="shared" si="25"/>
        <v>208.08824495766055</v>
      </c>
      <c r="I1621" s="74">
        <v>45890</v>
      </c>
      <c r="J1621">
        <v>6</v>
      </c>
      <c r="K1621" t="s">
        <v>288</v>
      </c>
      <c r="L1621" t="s">
        <v>262</v>
      </c>
      <c r="M1621" t="s">
        <v>356</v>
      </c>
      <c r="N1621" s="73">
        <v>67262</v>
      </c>
      <c r="O1621" s="73">
        <v>67262</v>
      </c>
      <c r="P1621">
        <v>34.681374159610094</v>
      </c>
    </row>
    <row r="1622" spans="1:16" x14ac:dyDescent="0.2">
      <c r="A1622" s="73">
        <v>67262</v>
      </c>
      <c r="B1622" t="s">
        <v>350</v>
      </c>
      <c r="C1622" s="73" t="s">
        <v>464</v>
      </c>
      <c r="D1622" t="s">
        <v>215</v>
      </c>
      <c r="E1622" s="74">
        <v>45890</v>
      </c>
      <c r="F1622" t="s">
        <v>404</v>
      </c>
      <c r="G1622" t="s">
        <v>405</v>
      </c>
      <c r="H1622" s="75">
        <f t="shared" si="25"/>
        <v>208.08824495766055</v>
      </c>
      <c r="I1622" s="74">
        <v>45890</v>
      </c>
      <c r="J1622">
        <v>6</v>
      </c>
      <c r="K1622" t="s">
        <v>288</v>
      </c>
      <c r="L1622" t="s">
        <v>262</v>
      </c>
      <c r="M1622" t="s">
        <v>356</v>
      </c>
      <c r="N1622" s="73">
        <v>67262</v>
      </c>
      <c r="O1622" s="73">
        <v>67262</v>
      </c>
      <c r="P1622">
        <v>34.681374159610094</v>
      </c>
    </row>
    <row r="1623" spans="1:16" x14ac:dyDescent="0.2">
      <c r="A1623" s="73">
        <v>67262</v>
      </c>
      <c r="B1623" t="s">
        <v>350</v>
      </c>
      <c r="C1623" s="73" t="s">
        <v>464</v>
      </c>
      <c r="D1623" t="s">
        <v>215</v>
      </c>
      <c r="E1623" s="74">
        <v>45891</v>
      </c>
      <c r="F1623" t="s">
        <v>387</v>
      </c>
      <c r="G1623" t="s">
        <v>388</v>
      </c>
      <c r="H1623" s="75">
        <f t="shared" si="25"/>
        <v>69.362748319220188</v>
      </c>
      <c r="I1623" s="74">
        <v>45891</v>
      </c>
      <c r="J1623">
        <v>2</v>
      </c>
      <c r="K1623" t="s">
        <v>288</v>
      </c>
      <c r="L1623" t="s">
        <v>367</v>
      </c>
      <c r="M1623" t="s">
        <v>356</v>
      </c>
      <c r="N1623" s="73">
        <v>67262</v>
      </c>
      <c r="O1623" s="73">
        <v>67262</v>
      </c>
      <c r="P1623">
        <v>34.681374159610094</v>
      </c>
    </row>
    <row r="1624" spans="1:16" x14ac:dyDescent="0.2">
      <c r="A1624" s="73">
        <v>67262</v>
      </c>
      <c r="B1624" t="s">
        <v>350</v>
      </c>
      <c r="C1624" s="73" t="s">
        <v>464</v>
      </c>
      <c r="D1624" t="s">
        <v>215</v>
      </c>
      <c r="E1624" s="74">
        <v>45891</v>
      </c>
      <c r="F1624" t="s">
        <v>360</v>
      </c>
      <c r="G1624" t="s">
        <v>361</v>
      </c>
      <c r="H1624" s="75">
        <f t="shared" si="25"/>
        <v>277.45099327688075</v>
      </c>
      <c r="I1624" s="74">
        <v>45891</v>
      </c>
      <c r="J1624">
        <v>8</v>
      </c>
      <c r="K1624" t="s">
        <v>288</v>
      </c>
      <c r="L1624" t="s">
        <v>262</v>
      </c>
      <c r="M1624" t="s">
        <v>356</v>
      </c>
      <c r="N1624" s="73">
        <v>67262</v>
      </c>
      <c r="O1624" s="73">
        <v>67262</v>
      </c>
      <c r="P1624">
        <v>34.681374159610094</v>
      </c>
    </row>
    <row r="1625" spans="1:16" x14ac:dyDescent="0.2">
      <c r="A1625" s="73">
        <v>67262</v>
      </c>
      <c r="B1625" t="s">
        <v>350</v>
      </c>
      <c r="C1625" s="73" t="s">
        <v>464</v>
      </c>
      <c r="D1625" t="s">
        <v>215</v>
      </c>
      <c r="E1625" s="74">
        <v>45891</v>
      </c>
      <c r="F1625" t="s">
        <v>404</v>
      </c>
      <c r="G1625" t="s">
        <v>405</v>
      </c>
      <c r="H1625" s="75">
        <f t="shared" si="25"/>
        <v>208.08824495766055</v>
      </c>
      <c r="I1625" s="74">
        <v>45891</v>
      </c>
      <c r="J1625">
        <v>6</v>
      </c>
      <c r="K1625" t="s">
        <v>288</v>
      </c>
      <c r="L1625" t="s">
        <v>262</v>
      </c>
      <c r="M1625" t="s">
        <v>356</v>
      </c>
      <c r="N1625" s="73">
        <v>67262</v>
      </c>
      <c r="O1625" s="73">
        <v>67262</v>
      </c>
      <c r="P1625">
        <v>34.681374159610094</v>
      </c>
    </row>
    <row r="1626" spans="1:16" x14ac:dyDescent="0.2">
      <c r="A1626" s="73">
        <v>67262</v>
      </c>
      <c r="B1626" t="s">
        <v>350</v>
      </c>
      <c r="C1626" s="73" t="s">
        <v>464</v>
      </c>
      <c r="D1626" t="s">
        <v>215</v>
      </c>
      <c r="E1626" s="74">
        <v>45894</v>
      </c>
      <c r="F1626" t="s">
        <v>387</v>
      </c>
      <c r="G1626" t="s">
        <v>388</v>
      </c>
      <c r="H1626" s="75">
        <f t="shared" si="25"/>
        <v>-34.681374159610094</v>
      </c>
      <c r="I1626" s="74">
        <v>45894</v>
      </c>
      <c r="J1626">
        <v>-1</v>
      </c>
      <c r="K1626" t="s">
        <v>288</v>
      </c>
      <c r="L1626" t="s">
        <v>367</v>
      </c>
      <c r="M1626" t="s">
        <v>356</v>
      </c>
      <c r="N1626" s="73">
        <v>67262</v>
      </c>
      <c r="O1626" s="73">
        <v>67262</v>
      </c>
      <c r="P1626">
        <v>34.681374159610094</v>
      </c>
    </row>
    <row r="1627" spans="1:16" x14ac:dyDescent="0.2">
      <c r="A1627" s="73">
        <v>67262</v>
      </c>
      <c r="B1627" t="s">
        <v>350</v>
      </c>
      <c r="C1627" s="73" t="s">
        <v>464</v>
      </c>
      <c r="D1627" t="s">
        <v>215</v>
      </c>
      <c r="E1627" s="74">
        <v>45894</v>
      </c>
      <c r="F1627" t="s">
        <v>387</v>
      </c>
      <c r="G1627" t="s">
        <v>388</v>
      </c>
      <c r="H1627" s="75">
        <f t="shared" si="25"/>
        <v>34.681374159610094</v>
      </c>
      <c r="I1627" s="74">
        <v>45894</v>
      </c>
      <c r="J1627">
        <v>1</v>
      </c>
      <c r="K1627" t="s">
        <v>288</v>
      </c>
      <c r="L1627" t="s">
        <v>367</v>
      </c>
      <c r="M1627" t="s">
        <v>356</v>
      </c>
      <c r="N1627" s="73">
        <v>67262</v>
      </c>
      <c r="O1627" s="73">
        <v>67262</v>
      </c>
      <c r="P1627">
        <v>34.681374159610094</v>
      </c>
    </row>
    <row r="1628" spans="1:16" x14ac:dyDescent="0.2">
      <c r="A1628" s="73">
        <v>67262</v>
      </c>
      <c r="B1628" t="s">
        <v>350</v>
      </c>
      <c r="C1628" s="73" t="s">
        <v>464</v>
      </c>
      <c r="D1628" t="s">
        <v>215</v>
      </c>
      <c r="E1628" s="74">
        <v>45894</v>
      </c>
      <c r="F1628" t="s">
        <v>395</v>
      </c>
      <c r="G1628" t="s">
        <v>396</v>
      </c>
      <c r="H1628" s="75">
        <f t="shared" si="25"/>
        <v>208.08824495766055</v>
      </c>
      <c r="I1628" s="74">
        <v>45894</v>
      </c>
      <c r="J1628">
        <v>6</v>
      </c>
      <c r="K1628" t="s">
        <v>288</v>
      </c>
      <c r="L1628" t="s">
        <v>262</v>
      </c>
      <c r="M1628" t="s">
        <v>356</v>
      </c>
      <c r="N1628" s="73">
        <v>67262</v>
      </c>
      <c r="O1628" s="73">
        <v>67262</v>
      </c>
      <c r="P1628">
        <v>34.681374159610094</v>
      </c>
    </row>
    <row r="1629" spans="1:16" x14ac:dyDescent="0.2">
      <c r="A1629" s="73">
        <v>67262</v>
      </c>
      <c r="B1629" t="s">
        <v>350</v>
      </c>
      <c r="C1629" s="73" t="s">
        <v>464</v>
      </c>
      <c r="D1629" t="s">
        <v>215</v>
      </c>
      <c r="E1629" s="74">
        <v>45894</v>
      </c>
      <c r="F1629" t="s">
        <v>387</v>
      </c>
      <c r="G1629" t="s">
        <v>388</v>
      </c>
      <c r="H1629" s="75">
        <f t="shared" si="25"/>
        <v>34.681374159610094</v>
      </c>
      <c r="I1629" s="74">
        <v>45894</v>
      </c>
      <c r="J1629">
        <v>1</v>
      </c>
      <c r="K1629" t="s">
        <v>288</v>
      </c>
      <c r="L1629" t="s">
        <v>367</v>
      </c>
      <c r="M1629" t="s">
        <v>356</v>
      </c>
      <c r="N1629" s="73">
        <v>67262</v>
      </c>
      <c r="O1629" s="73">
        <v>67262</v>
      </c>
      <c r="P1629">
        <v>34.681374159610094</v>
      </c>
    </row>
    <row r="1630" spans="1:16" x14ac:dyDescent="0.2">
      <c r="A1630" s="73">
        <v>67262</v>
      </c>
      <c r="B1630" t="s">
        <v>350</v>
      </c>
      <c r="C1630" s="73" t="s">
        <v>464</v>
      </c>
      <c r="D1630" t="s">
        <v>215</v>
      </c>
      <c r="E1630" s="74">
        <v>45894</v>
      </c>
      <c r="F1630" t="s">
        <v>404</v>
      </c>
      <c r="G1630" t="s">
        <v>405</v>
      </c>
      <c r="H1630" s="75">
        <f t="shared" si="25"/>
        <v>208.08824495766055</v>
      </c>
      <c r="I1630" s="74">
        <v>45894</v>
      </c>
      <c r="J1630">
        <v>6</v>
      </c>
      <c r="K1630" t="s">
        <v>288</v>
      </c>
      <c r="L1630" t="s">
        <v>262</v>
      </c>
      <c r="M1630" t="s">
        <v>356</v>
      </c>
      <c r="N1630" s="73">
        <v>67262</v>
      </c>
      <c r="O1630" s="73">
        <v>67262</v>
      </c>
      <c r="P1630">
        <v>34.681374159610094</v>
      </c>
    </row>
    <row r="1631" spans="1:16" x14ac:dyDescent="0.2">
      <c r="A1631" s="73">
        <v>67262</v>
      </c>
      <c r="B1631" t="s">
        <v>350</v>
      </c>
      <c r="C1631" s="73" t="s">
        <v>464</v>
      </c>
      <c r="D1631" t="s">
        <v>215</v>
      </c>
      <c r="E1631" s="74">
        <v>45894</v>
      </c>
      <c r="F1631" t="s">
        <v>387</v>
      </c>
      <c r="G1631" t="s">
        <v>388</v>
      </c>
      <c r="H1631" s="75">
        <f t="shared" si="25"/>
        <v>-34.681374159610094</v>
      </c>
      <c r="I1631" s="74">
        <v>45894</v>
      </c>
      <c r="J1631">
        <v>-1</v>
      </c>
      <c r="K1631" t="s">
        <v>288</v>
      </c>
      <c r="L1631" t="s">
        <v>367</v>
      </c>
      <c r="M1631" t="s">
        <v>356</v>
      </c>
      <c r="N1631" s="73">
        <v>67262</v>
      </c>
      <c r="O1631" s="73">
        <v>67262</v>
      </c>
      <c r="P1631">
        <v>34.681374159610094</v>
      </c>
    </row>
    <row r="1632" spans="1:16" x14ac:dyDescent="0.2">
      <c r="A1632" s="73">
        <v>67262</v>
      </c>
      <c r="B1632" t="s">
        <v>350</v>
      </c>
      <c r="C1632" s="73" t="s">
        <v>464</v>
      </c>
      <c r="D1632" t="s">
        <v>215</v>
      </c>
      <c r="E1632" s="74">
        <v>45894</v>
      </c>
      <c r="F1632" t="s">
        <v>387</v>
      </c>
      <c r="G1632" t="s">
        <v>388</v>
      </c>
      <c r="H1632" s="75">
        <f t="shared" si="25"/>
        <v>34.681374159610094</v>
      </c>
      <c r="I1632" s="74">
        <v>45894</v>
      </c>
      <c r="J1632">
        <v>1</v>
      </c>
      <c r="K1632" t="s">
        <v>288</v>
      </c>
      <c r="L1632" t="s">
        <v>367</v>
      </c>
      <c r="M1632" t="s">
        <v>356</v>
      </c>
      <c r="N1632" s="73">
        <v>67262</v>
      </c>
      <c r="O1632" s="73">
        <v>67262</v>
      </c>
      <c r="P1632">
        <v>34.681374159610094</v>
      </c>
    </row>
    <row r="1633" spans="1:16" x14ac:dyDescent="0.2">
      <c r="A1633" s="73">
        <v>67262</v>
      </c>
      <c r="B1633" t="s">
        <v>350</v>
      </c>
      <c r="C1633" s="73" t="s">
        <v>464</v>
      </c>
      <c r="D1633" t="s">
        <v>215</v>
      </c>
      <c r="E1633" s="74">
        <v>45895</v>
      </c>
      <c r="F1633" t="s">
        <v>387</v>
      </c>
      <c r="G1633" t="s">
        <v>388</v>
      </c>
      <c r="H1633" s="75">
        <f t="shared" si="25"/>
        <v>-34.681374159610094</v>
      </c>
      <c r="I1633" s="74">
        <v>45895</v>
      </c>
      <c r="J1633">
        <v>-1</v>
      </c>
      <c r="K1633" t="s">
        <v>288</v>
      </c>
      <c r="L1633" t="s">
        <v>367</v>
      </c>
      <c r="M1633" t="s">
        <v>356</v>
      </c>
      <c r="N1633" s="73">
        <v>67262</v>
      </c>
      <c r="O1633" s="73">
        <v>67262</v>
      </c>
      <c r="P1633">
        <v>34.681374159610094</v>
      </c>
    </row>
    <row r="1634" spans="1:16" x14ac:dyDescent="0.2">
      <c r="A1634" s="73">
        <v>67262</v>
      </c>
      <c r="B1634" t="s">
        <v>350</v>
      </c>
      <c r="C1634" s="73" t="s">
        <v>464</v>
      </c>
      <c r="D1634" t="s">
        <v>215</v>
      </c>
      <c r="E1634" s="74">
        <v>45895</v>
      </c>
      <c r="F1634" t="s">
        <v>387</v>
      </c>
      <c r="G1634" t="s">
        <v>388</v>
      </c>
      <c r="H1634" s="75">
        <f t="shared" si="25"/>
        <v>34.681374159610094</v>
      </c>
      <c r="I1634" s="74">
        <v>45895</v>
      </c>
      <c r="J1634">
        <v>1</v>
      </c>
      <c r="K1634" t="s">
        <v>288</v>
      </c>
      <c r="L1634" t="s">
        <v>367</v>
      </c>
      <c r="M1634" t="s">
        <v>356</v>
      </c>
      <c r="N1634" s="73">
        <v>67262</v>
      </c>
      <c r="O1634" s="73">
        <v>67262</v>
      </c>
      <c r="P1634">
        <v>34.681374159610094</v>
      </c>
    </row>
    <row r="1635" spans="1:16" x14ac:dyDescent="0.2">
      <c r="A1635" s="73">
        <v>67262</v>
      </c>
      <c r="B1635" t="s">
        <v>350</v>
      </c>
      <c r="C1635" s="73" t="s">
        <v>464</v>
      </c>
      <c r="D1635" t="s">
        <v>215</v>
      </c>
      <c r="E1635" s="74">
        <v>45895</v>
      </c>
      <c r="F1635" t="s">
        <v>395</v>
      </c>
      <c r="G1635" t="s">
        <v>396</v>
      </c>
      <c r="H1635" s="75">
        <f t="shared" si="25"/>
        <v>34.681374159610094</v>
      </c>
      <c r="I1635" s="74">
        <v>45895</v>
      </c>
      <c r="J1635">
        <v>1</v>
      </c>
      <c r="K1635" t="s">
        <v>288</v>
      </c>
      <c r="L1635" t="s">
        <v>262</v>
      </c>
      <c r="M1635" t="s">
        <v>356</v>
      </c>
      <c r="N1635" s="73">
        <v>67262</v>
      </c>
      <c r="O1635" s="73">
        <v>67262</v>
      </c>
      <c r="P1635">
        <v>34.681374159610094</v>
      </c>
    </row>
    <row r="1636" spans="1:16" x14ac:dyDescent="0.2">
      <c r="A1636" s="73">
        <v>67262</v>
      </c>
      <c r="B1636" t="s">
        <v>350</v>
      </c>
      <c r="C1636" s="73" t="s">
        <v>464</v>
      </c>
      <c r="D1636" t="s">
        <v>215</v>
      </c>
      <c r="E1636" s="74">
        <v>45895</v>
      </c>
      <c r="F1636" t="s">
        <v>387</v>
      </c>
      <c r="G1636" t="s">
        <v>388</v>
      </c>
      <c r="H1636" s="75">
        <f t="shared" si="25"/>
        <v>34.681374159610094</v>
      </c>
      <c r="I1636" s="74">
        <v>45895</v>
      </c>
      <c r="J1636">
        <v>1</v>
      </c>
      <c r="K1636" t="s">
        <v>288</v>
      </c>
      <c r="L1636" t="s">
        <v>367</v>
      </c>
      <c r="M1636" t="s">
        <v>356</v>
      </c>
      <c r="N1636" s="73">
        <v>67262</v>
      </c>
      <c r="O1636" s="73">
        <v>67262</v>
      </c>
      <c r="P1636">
        <v>34.681374159610094</v>
      </c>
    </row>
    <row r="1637" spans="1:16" x14ac:dyDescent="0.2">
      <c r="A1637" s="73">
        <v>67262</v>
      </c>
      <c r="B1637" t="s">
        <v>350</v>
      </c>
      <c r="C1637" s="73" t="s">
        <v>464</v>
      </c>
      <c r="D1637" t="s">
        <v>215</v>
      </c>
      <c r="E1637" s="74">
        <v>45895</v>
      </c>
      <c r="F1637" t="s">
        <v>404</v>
      </c>
      <c r="G1637" t="s">
        <v>405</v>
      </c>
      <c r="H1637" s="75">
        <f t="shared" si="25"/>
        <v>208.08824495766055</v>
      </c>
      <c r="I1637" s="74">
        <v>45895</v>
      </c>
      <c r="J1637">
        <v>6</v>
      </c>
      <c r="K1637" t="s">
        <v>288</v>
      </c>
      <c r="L1637" t="s">
        <v>262</v>
      </c>
      <c r="M1637" t="s">
        <v>356</v>
      </c>
      <c r="N1637" s="73">
        <v>67262</v>
      </c>
      <c r="O1637" s="73">
        <v>67262</v>
      </c>
      <c r="P1637">
        <v>34.681374159610094</v>
      </c>
    </row>
    <row r="1638" spans="1:16" x14ac:dyDescent="0.2">
      <c r="A1638" s="73">
        <v>67262</v>
      </c>
      <c r="B1638" t="s">
        <v>350</v>
      </c>
      <c r="C1638" s="73" t="s">
        <v>464</v>
      </c>
      <c r="D1638" t="s">
        <v>215</v>
      </c>
      <c r="E1638" s="74">
        <v>45895</v>
      </c>
      <c r="F1638" t="s">
        <v>387</v>
      </c>
      <c r="G1638" t="s">
        <v>388</v>
      </c>
      <c r="H1638" s="75">
        <f t="shared" si="25"/>
        <v>-34.681374159610094</v>
      </c>
      <c r="I1638" s="74">
        <v>45895</v>
      </c>
      <c r="J1638">
        <v>-1</v>
      </c>
      <c r="K1638" t="s">
        <v>288</v>
      </c>
      <c r="L1638" t="s">
        <v>367</v>
      </c>
      <c r="M1638" t="s">
        <v>356</v>
      </c>
      <c r="N1638" s="73">
        <v>67262</v>
      </c>
      <c r="O1638" s="73">
        <v>67262</v>
      </c>
      <c r="P1638">
        <v>34.681374159610094</v>
      </c>
    </row>
    <row r="1639" spans="1:16" x14ac:dyDescent="0.2">
      <c r="A1639" s="73">
        <v>67262</v>
      </c>
      <c r="B1639" t="s">
        <v>350</v>
      </c>
      <c r="C1639" s="73" t="s">
        <v>464</v>
      </c>
      <c r="D1639" t="s">
        <v>215</v>
      </c>
      <c r="E1639" s="74">
        <v>45895</v>
      </c>
      <c r="F1639" t="s">
        <v>387</v>
      </c>
      <c r="G1639" t="s">
        <v>388</v>
      </c>
      <c r="H1639" s="75">
        <f t="shared" si="25"/>
        <v>34.681374159610094</v>
      </c>
      <c r="I1639" s="74">
        <v>45895</v>
      </c>
      <c r="J1639">
        <v>1</v>
      </c>
      <c r="K1639" t="s">
        <v>288</v>
      </c>
      <c r="L1639" t="s">
        <v>367</v>
      </c>
      <c r="M1639" t="s">
        <v>356</v>
      </c>
      <c r="N1639" s="73">
        <v>67262</v>
      </c>
      <c r="O1639" s="73">
        <v>67262</v>
      </c>
      <c r="P1639">
        <v>34.681374159610094</v>
      </c>
    </row>
    <row r="1640" spans="1:16" x14ac:dyDescent="0.2">
      <c r="A1640" s="73">
        <v>67262</v>
      </c>
      <c r="B1640" t="s">
        <v>350</v>
      </c>
      <c r="C1640" s="73" t="s">
        <v>464</v>
      </c>
      <c r="D1640" t="s">
        <v>215</v>
      </c>
      <c r="E1640" s="74">
        <v>45896</v>
      </c>
      <c r="F1640" t="s">
        <v>387</v>
      </c>
      <c r="G1640" t="s">
        <v>388</v>
      </c>
      <c r="H1640" s="75">
        <f t="shared" si="25"/>
        <v>-34.681374159610094</v>
      </c>
      <c r="I1640" s="74">
        <v>45896</v>
      </c>
      <c r="J1640">
        <v>-1</v>
      </c>
      <c r="K1640" t="s">
        <v>288</v>
      </c>
      <c r="L1640" t="s">
        <v>367</v>
      </c>
      <c r="M1640" t="s">
        <v>356</v>
      </c>
      <c r="N1640" s="73">
        <v>67262</v>
      </c>
      <c r="O1640" s="73">
        <v>67262</v>
      </c>
      <c r="P1640">
        <v>34.681374159610094</v>
      </c>
    </row>
    <row r="1641" spans="1:16" x14ac:dyDescent="0.2">
      <c r="A1641" s="73">
        <v>67262</v>
      </c>
      <c r="B1641" t="s">
        <v>350</v>
      </c>
      <c r="C1641" s="73" t="s">
        <v>464</v>
      </c>
      <c r="D1641" t="s">
        <v>215</v>
      </c>
      <c r="E1641" s="74">
        <v>45896</v>
      </c>
      <c r="F1641" t="s">
        <v>395</v>
      </c>
      <c r="G1641" t="s">
        <v>396</v>
      </c>
      <c r="H1641" s="75">
        <f t="shared" si="25"/>
        <v>69.362748319220188</v>
      </c>
      <c r="I1641" s="74">
        <v>45896</v>
      </c>
      <c r="J1641">
        <v>2</v>
      </c>
      <c r="K1641" t="s">
        <v>288</v>
      </c>
      <c r="L1641" t="s">
        <v>262</v>
      </c>
      <c r="M1641" t="s">
        <v>356</v>
      </c>
      <c r="N1641" s="73">
        <v>67262</v>
      </c>
      <c r="O1641" s="73">
        <v>67262</v>
      </c>
      <c r="P1641">
        <v>34.681374159610094</v>
      </c>
    </row>
    <row r="1642" spans="1:16" x14ac:dyDescent="0.2">
      <c r="A1642" s="73">
        <v>67262</v>
      </c>
      <c r="B1642" t="s">
        <v>350</v>
      </c>
      <c r="C1642" s="73" t="s">
        <v>464</v>
      </c>
      <c r="D1642" t="s">
        <v>215</v>
      </c>
      <c r="E1642" s="74">
        <v>45896</v>
      </c>
      <c r="F1642" t="s">
        <v>387</v>
      </c>
      <c r="G1642" t="s">
        <v>388</v>
      </c>
      <c r="H1642" s="75">
        <f t="shared" si="25"/>
        <v>34.681374159610094</v>
      </c>
      <c r="I1642" s="74">
        <v>45896</v>
      </c>
      <c r="J1642">
        <v>1</v>
      </c>
      <c r="K1642" t="s">
        <v>288</v>
      </c>
      <c r="L1642" t="s">
        <v>367</v>
      </c>
      <c r="M1642" t="s">
        <v>356</v>
      </c>
      <c r="N1642" s="73">
        <v>67262</v>
      </c>
      <c r="O1642" s="73">
        <v>67262</v>
      </c>
      <c r="P1642">
        <v>34.681374159610094</v>
      </c>
    </row>
    <row r="1643" spans="1:16" x14ac:dyDescent="0.2">
      <c r="A1643" s="73">
        <v>67262</v>
      </c>
      <c r="B1643" t="s">
        <v>350</v>
      </c>
      <c r="C1643" s="73" t="s">
        <v>464</v>
      </c>
      <c r="D1643" t="s">
        <v>215</v>
      </c>
      <c r="E1643" s="74">
        <v>45896</v>
      </c>
      <c r="F1643" t="s">
        <v>404</v>
      </c>
      <c r="G1643" t="s">
        <v>405</v>
      </c>
      <c r="H1643" s="75">
        <f t="shared" si="25"/>
        <v>208.08824495766055</v>
      </c>
      <c r="I1643" s="74">
        <v>45896</v>
      </c>
      <c r="J1643">
        <v>6</v>
      </c>
      <c r="K1643" t="s">
        <v>288</v>
      </c>
      <c r="L1643" t="s">
        <v>262</v>
      </c>
      <c r="M1643" t="s">
        <v>356</v>
      </c>
      <c r="N1643" s="73">
        <v>67262</v>
      </c>
      <c r="O1643" s="73">
        <v>67262</v>
      </c>
      <c r="P1643">
        <v>34.681374159610094</v>
      </c>
    </row>
    <row r="1644" spans="1:16" x14ac:dyDescent="0.2">
      <c r="A1644" s="73">
        <v>67262</v>
      </c>
      <c r="B1644" t="s">
        <v>350</v>
      </c>
      <c r="C1644" s="73" t="s">
        <v>464</v>
      </c>
      <c r="D1644" t="s">
        <v>215</v>
      </c>
      <c r="E1644" s="74">
        <v>45897</v>
      </c>
      <c r="F1644" t="s">
        <v>387</v>
      </c>
      <c r="G1644" t="s">
        <v>388</v>
      </c>
      <c r="H1644" s="75">
        <f t="shared" si="25"/>
        <v>-242.76961911727065</v>
      </c>
      <c r="I1644" s="74">
        <v>45897</v>
      </c>
      <c r="J1644">
        <v>-7</v>
      </c>
      <c r="K1644" t="s">
        <v>288</v>
      </c>
      <c r="L1644" t="s">
        <v>367</v>
      </c>
      <c r="M1644" t="s">
        <v>356</v>
      </c>
      <c r="N1644" s="73">
        <v>67262</v>
      </c>
      <c r="O1644" s="73">
        <v>67262</v>
      </c>
      <c r="P1644">
        <v>34.681374159610094</v>
      </c>
    </row>
    <row r="1645" spans="1:16" x14ac:dyDescent="0.2">
      <c r="A1645" s="73">
        <v>67262</v>
      </c>
      <c r="B1645" t="s">
        <v>350</v>
      </c>
      <c r="C1645" s="73" t="s">
        <v>464</v>
      </c>
      <c r="D1645" t="s">
        <v>215</v>
      </c>
      <c r="E1645" s="74">
        <v>45897</v>
      </c>
      <c r="F1645" t="s">
        <v>387</v>
      </c>
      <c r="G1645" t="s">
        <v>388</v>
      </c>
      <c r="H1645" s="75">
        <f t="shared" si="25"/>
        <v>242.76961911727065</v>
      </c>
      <c r="I1645" s="74">
        <v>45897</v>
      </c>
      <c r="J1645">
        <v>7</v>
      </c>
      <c r="K1645" t="s">
        <v>288</v>
      </c>
      <c r="L1645" t="s">
        <v>367</v>
      </c>
      <c r="M1645" t="s">
        <v>356</v>
      </c>
      <c r="N1645" s="73">
        <v>67262</v>
      </c>
      <c r="O1645" s="73">
        <v>67262</v>
      </c>
      <c r="P1645">
        <v>34.681374159610094</v>
      </c>
    </row>
    <row r="1646" spans="1:16" x14ac:dyDescent="0.2">
      <c r="A1646" s="73">
        <v>67262</v>
      </c>
      <c r="B1646" t="s">
        <v>350</v>
      </c>
      <c r="C1646" s="73" t="s">
        <v>464</v>
      </c>
      <c r="D1646" t="s">
        <v>215</v>
      </c>
      <c r="E1646" s="74">
        <v>45897</v>
      </c>
      <c r="F1646" t="s">
        <v>395</v>
      </c>
      <c r="G1646" t="s">
        <v>396</v>
      </c>
      <c r="H1646" s="75">
        <f t="shared" si="25"/>
        <v>69.362748319220188</v>
      </c>
      <c r="I1646" s="74">
        <v>45897</v>
      </c>
      <c r="J1646">
        <v>2</v>
      </c>
      <c r="K1646" t="s">
        <v>288</v>
      </c>
      <c r="L1646" t="s">
        <v>262</v>
      </c>
      <c r="M1646" t="s">
        <v>356</v>
      </c>
      <c r="N1646" s="73">
        <v>67262</v>
      </c>
      <c r="O1646" s="73">
        <v>67262</v>
      </c>
      <c r="P1646">
        <v>34.681374159610094</v>
      </c>
    </row>
    <row r="1647" spans="1:16" x14ac:dyDescent="0.2">
      <c r="A1647" s="73">
        <v>67262</v>
      </c>
      <c r="B1647" t="s">
        <v>350</v>
      </c>
      <c r="C1647" s="73" t="s">
        <v>464</v>
      </c>
      <c r="D1647" t="s">
        <v>215</v>
      </c>
      <c r="E1647" s="74">
        <v>45897</v>
      </c>
      <c r="F1647" t="s">
        <v>387</v>
      </c>
      <c r="G1647" t="s">
        <v>388</v>
      </c>
      <c r="H1647" s="75">
        <f t="shared" si="25"/>
        <v>242.76961911727065</v>
      </c>
      <c r="I1647" s="74">
        <v>45897</v>
      </c>
      <c r="J1647">
        <v>7</v>
      </c>
      <c r="K1647" t="s">
        <v>288</v>
      </c>
      <c r="L1647" t="s">
        <v>367</v>
      </c>
      <c r="M1647" t="s">
        <v>356</v>
      </c>
      <c r="N1647" s="73">
        <v>67262</v>
      </c>
      <c r="O1647" s="73">
        <v>67262</v>
      </c>
      <c r="P1647">
        <v>34.681374159610094</v>
      </c>
    </row>
    <row r="1648" spans="1:16" x14ac:dyDescent="0.2">
      <c r="A1648" s="73">
        <v>67262</v>
      </c>
      <c r="B1648" t="s">
        <v>350</v>
      </c>
      <c r="C1648" s="73" t="s">
        <v>464</v>
      </c>
      <c r="D1648" t="s">
        <v>215</v>
      </c>
      <c r="E1648" s="74">
        <v>45897</v>
      </c>
      <c r="F1648" t="s">
        <v>404</v>
      </c>
      <c r="G1648" t="s">
        <v>405</v>
      </c>
      <c r="H1648" s="75">
        <f t="shared" si="25"/>
        <v>208.08824495766055</v>
      </c>
      <c r="I1648" s="74">
        <v>45897</v>
      </c>
      <c r="J1648">
        <v>6</v>
      </c>
      <c r="K1648" t="s">
        <v>288</v>
      </c>
      <c r="L1648" t="s">
        <v>262</v>
      </c>
      <c r="M1648" t="s">
        <v>356</v>
      </c>
      <c r="N1648" s="73">
        <v>67262</v>
      </c>
      <c r="O1648" s="73">
        <v>67262</v>
      </c>
      <c r="P1648">
        <v>34.681374159610094</v>
      </c>
    </row>
    <row r="1649" spans="1:16" x14ac:dyDescent="0.2">
      <c r="A1649" s="73">
        <v>67262</v>
      </c>
      <c r="B1649" t="s">
        <v>350</v>
      </c>
      <c r="C1649" s="73" t="s">
        <v>464</v>
      </c>
      <c r="D1649" t="s">
        <v>215</v>
      </c>
      <c r="E1649" s="74">
        <v>45898</v>
      </c>
      <c r="F1649" t="s">
        <v>387</v>
      </c>
      <c r="G1649" t="s">
        <v>388</v>
      </c>
      <c r="H1649" s="75">
        <f t="shared" si="25"/>
        <v>208.08824495766055</v>
      </c>
      <c r="I1649" s="74">
        <v>45898</v>
      </c>
      <c r="J1649">
        <v>6</v>
      </c>
      <c r="K1649" t="s">
        <v>288</v>
      </c>
      <c r="L1649" t="s">
        <v>367</v>
      </c>
      <c r="M1649" t="s">
        <v>356</v>
      </c>
      <c r="N1649" s="73">
        <v>67262</v>
      </c>
      <c r="O1649" s="73">
        <v>67262</v>
      </c>
      <c r="P1649">
        <v>34.681374159610094</v>
      </c>
    </row>
    <row r="1650" spans="1:16" x14ac:dyDescent="0.2">
      <c r="A1650" s="73">
        <v>67262</v>
      </c>
      <c r="B1650" t="s">
        <v>350</v>
      </c>
      <c r="C1650" s="73" t="s">
        <v>464</v>
      </c>
      <c r="D1650" t="s">
        <v>215</v>
      </c>
      <c r="E1650" s="74">
        <v>45898</v>
      </c>
      <c r="F1650" t="s">
        <v>387</v>
      </c>
      <c r="G1650" t="s">
        <v>388</v>
      </c>
      <c r="H1650" s="75">
        <f t="shared" si="25"/>
        <v>-208.08824495766055</v>
      </c>
      <c r="I1650" s="74">
        <v>45898</v>
      </c>
      <c r="J1650">
        <v>-6</v>
      </c>
      <c r="K1650" t="s">
        <v>288</v>
      </c>
      <c r="L1650" t="s">
        <v>367</v>
      </c>
      <c r="M1650" t="s">
        <v>356</v>
      </c>
      <c r="N1650" s="73">
        <v>67262</v>
      </c>
      <c r="O1650" s="73">
        <v>67262</v>
      </c>
      <c r="P1650">
        <v>34.681374159610094</v>
      </c>
    </row>
    <row r="1651" spans="1:16" x14ac:dyDescent="0.2">
      <c r="A1651" s="73">
        <v>67262</v>
      </c>
      <c r="B1651" t="s">
        <v>350</v>
      </c>
      <c r="C1651" s="73" t="s">
        <v>464</v>
      </c>
      <c r="D1651" t="s">
        <v>215</v>
      </c>
      <c r="E1651" s="74">
        <v>45898</v>
      </c>
      <c r="F1651" t="s">
        <v>387</v>
      </c>
      <c r="G1651" t="s">
        <v>388</v>
      </c>
      <c r="H1651" s="75">
        <f t="shared" si="25"/>
        <v>208.08824495766055</v>
      </c>
      <c r="I1651" s="74">
        <v>45898</v>
      </c>
      <c r="J1651">
        <v>6</v>
      </c>
      <c r="K1651" t="s">
        <v>288</v>
      </c>
      <c r="L1651" t="s">
        <v>367</v>
      </c>
      <c r="M1651" t="s">
        <v>356</v>
      </c>
      <c r="N1651" s="73">
        <v>67262</v>
      </c>
      <c r="O1651" s="73">
        <v>67262</v>
      </c>
      <c r="P1651">
        <v>34.681374159610094</v>
      </c>
    </row>
    <row r="1652" spans="1:16" x14ac:dyDescent="0.2">
      <c r="A1652" s="73">
        <v>67262</v>
      </c>
      <c r="B1652" t="s">
        <v>350</v>
      </c>
      <c r="C1652" s="73" t="s">
        <v>464</v>
      </c>
      <c r="D1652" t="s">
        <v>215</v>
      </c>
      <c r="E1652" s="74">
        <v>45898</v>
      </c>
      <c r="F1652" t="s">
        <v>395</v>
      </c>
      <c r="G1652" t="s">
        <v>396</v>
      </c>
      <c r="H1652" s="75">
        <f t="shared" si="25"/>
        <v>69.362748319220188</v>
      </c>
      <c r="I1652" s="74">
        <v>45898</v>
      </c>
      <c r="J1652">
        <v>2</v>
      </c>
      <c r="K1652" t="s">
        <v>288</v>
      </c>
      <c r="L1652" t="s">
        <v>262</v>
      </c>
      <c r="M1652" t="s">
        <v>356</v>
      </c>
      <c r="N1652" s="73">
        <v>67262</v>
      </c>
      <c r="O1652" s="73">
        <v>67262</v>
      </c>
      <c r="P1652">
        <v>34.681374159610094</v>
      </c>
    </row>
    <row r="1653" spans="1:16" x14ac:dyDescent="0.2">
      <c r="A1653" s="73">
        <v>67262</v>
      </c>
      <c r="B1653" t="s">
        <v>350</v>
      </c>
      <c r="C1653" s="73" t="s">
        <v>464</v>
      </c>
      <c r="D1653" t="s">
        <v>215</v>
      </c>
      <c r="E1653" s="74">
        <v>45898</v>
      </c>
      <c r="F1653" t="s">
        <v>387</v>
      </c>
      <c r="G1653" t="s">
        <v>388</v>
      </c>
      <c r="H1653" s="75">
        <f t="shared" si="25"/>
        <v>208.08824495766055</v>
      </c>
      <c r="I1653" s="74">
        <v>45898</v>
      </c>
      <c r="J1653">
        <v>6</v>
      </c>
      <c r="K1653" t="s">
        <v>288</v>
      </c>
      <c r="L1653" t="s">
        <v>367</v>
      </c>
      <c r="M1653" t="s">
        <v>356</v>
      </c>
      <c r="N1653" s="73">
        <v>67262</v>
      </c>
      <c r="O1653" s="73">
        <v>67262</v>
      </c>
      <c r="P1653">
        <v>34.681374159610094</v>
      </c>
    </row>
    <row r="1654" spans="1:16" x14ac:dyDescent="0.2">
      <c r="A1654" s="73">
        <v>67262</v>
      </c>
      <c r="B1654" t="s">
        <v>350</v>
      </c>
      <c r="C1654" s="73" t="s">
        <v>464</v>
      </c>
      <c r="D1654" t="s">
        <v>215</v>
      </c>
      <c r="E1654" s="74">
        <v>45898</v>
      </c>
      <c r="F1654" t="s">
        <v>404</v>
      </c>
      <c r="G1654" t="s">
        <v>405</v>
      </c>
      <c r="H1654" s="75">
        <f t="shared" si="25"/>
        <v>208.08824495766055</v>
      </c>
      <c r="I1654" s="74">
        <v>45898</v>
      </c>
      <c r="J1654">
        <v>6</v>
      </c>
      <c r="K1654" t="s">
        <v>288</v>
      </c>
      <c r="L1654" t="s">
        <v>262</v>
      </c>
      <c r="M1654" t="s">
        <v>356</v>
      </c>
      <c r="N1654" s="73">
        <v>67262</v>
      </c>
      <c r="O1654" s="73">
        <v>67262</v>
      </c>
      <c r="P1654">
        <v>34.681374159610094</v>
      </c>
    </row>
    <row r="1655" spans="1:16" x14ac:dyDescent="0.2">
      <c r="A1655" s="73">
        <v>67262</v>
      </c>
      <c r="B1655" t="s">
        <v>350</v>
      </c>
      <c r="C1655" s="73" t="s">
        <v>464</v>
      </c>
      <c r="D1655" t="s">
        <v>215</v>
      </c>
      <c r="E1655" s="74">
        <v>45897</v>
      </c>
      <c r="F1655" t="s">
        <v>387</v>
      </c>
      <c r="G1655" t="s">
        <v>388</v>
      </c>
      <c r="H1655" s="75">
        <f t="shared" si="25"/>
        <v>-242.76961911727065</v>
      </c>
      <c r="I1655" s="74">
        <v>45897</v>
      </c>
      <c r="J1655">
        <v>-7</v>
      </c>
      <c r="K1655" t="s">
        <v>288</v>
      </c>
      <c r="L1655" t="s">
        <v>367</v>
      </c>
      <c r="M1655" t="s">
        <v>356</v>
      </c>
      <c r="N1655" s="73">
        <v>67262</v>
      </c>
      <c r="O1655" s="73">
        <v>67262</v>
      </c>
      <c r="P1655">
        <v>34.681374159610094</v>
      </c>
    </row>
    <row r="1656" spans="1:16" x14ac:dyDescent="0.2">
      <c r="A1656" s="73">
        <v>67262</v>
      </c>
      <c r="B1656" t="s">
        <v>350</v>
      </c>
      <c r="C1656" s="73" t="s">
        <v>464</v>
      </c>
      <c r="D1656" t="s">
        <v>215</v>
      </c>
      <c r="E1656" s="74">
        <v>45897</v>
      </c>
      <c r="F1656" t="s">
        <v>387</v>
      </c>
      <c r="G1656" t="s">
        <v>388</v>
      </c>
      <c r="H1656" s="75">
        <f t="shared" si="25"/>
        <v>242.76961911727065</v>
      </c>
      <c r="I1656" s="74">
        <v>45897</v>
      </c>
      <c r="J1656">
        <v>7</v>
      </c>
      <c r="K1656" t="s">
        <v>288</v>
      </c>
      <c r="L1656" t="s">
        <v>367</v>
      </c>
      <c r="M1656" t="s">
        <v>356</v>
      </c>
      <c r="N1656" s="73">
        <v>67262</v>
      </c>
      <c r="O1656" s="73">
        <v>67262</v>
      </c>
      <c r="P1656">
        <v>34.681374159610094</v>
      </c>
    </row>
    <row r="1657" spans="1:16" x14ac:dyDescent="0.2">
      <c r="A1657" s="73">
        <v>67262</v>
      </c>
      <c r="B1657" t="s">
        <v>350</v>
      </c>
      <c r="C1657" s="73" t="s">
        <v>464</v>
      </c>
      <c r="D1657" t="s">
        <v>215</v>
      </c>
      <c r="E1657" s="74">
        <v>45898</v>
      </c>
      <c r="F1657" t="s">
        <v>387</v>
      </c>
      <c r="G1657" t="s">
        <v>388</v>
      </c>
      <c r="H1657" s="75">
        <f t="shared" si="25"/>
        <v>-208.08824495766055</v>
      </c>
      <c r="I1657" s="74">
        <v>45898</v>
      </c>
      <c r="J1657">
        <v>-6</v>
      </c>
      <c r="K1657" t="s">
        <v>288</v>
      </c>
      <c r="L1657" t="s">
        <v>367</v>
      </c>
      <c r="M1657" t="s">
        <v>356</v>
      </c>
      <c r="N1657" s="73">
        <v>67262</v>
      </c>
      <c r="O1657" s="73">
        <v>67262</v>
      </c>
      <c r="P1657">
        <v>34.681374159610094</v>
      </c>
    </row>
    <row r="1658" spans="1:16" x14ac:dyDescent="0.2">
      <c r="A1658" s="73">
        <v>67262</v>
      </c>
      <c r="B1658" t="s">
        <v>350</v>
      </c>
      <c r="C1658" s="73" t="s">
        <v>464</v>
      </c>
      <c r="D1658" t="s">
        <v>215</v>
      </c>
      <c r="E1658" s="74">
        <v>45901</v>
      </c>
      <c r="F1658" t="s">
        <v>404</v>
      </c>
      <c r="G1658" t="s">
        <v>405</v>
      </c>
      <c r="H1658" s="75">
        <f t="shared" si="25"/>
        <v>208.08824495766055</v>
      </c>
      <c r="I1658" s="74">
        <v>45901</v>
      </c>
      <c r="J1658">
        <v>6</v>
      </c>
      <c r="K1658" t="s">
        <v>512</v>
      </c>
      <c r="L1658" t="s">
        <v>262</v>
      </c>
      <c r="M1658" t="s">
        <v>356</v>
      </c>
      <c r="N1658" s="73">
        <v>67262</v>
      </c>
      <c r="O1658" s="73">
        <v>67262</v>
      </c>
      <c r="P1658">
        <v>34.681374159610094</v>
      </c>
    </row>
    <row r="1659" spans="1:16" x14ac:dyDescent="0.2">
      <c r="A1659" s="73">
        <v>67262</v>
      </c>
      <c r="B1659" t="s">
        <v>350</v>
      </c>
      <c r="C1659" s="73" t="s">
        <v>464</v>
      </c>
      <c r="D1659" t="s">
        <v>215</v>
      </c>
      <c r="E1659" s="74">
        <v>45901</v>
      </c>
      <c r="F1659" t="s">
        <v>387</v>
      </c>
      <c r="G1659" t="s">
        <v>388</v>
      </c>
      <c r="H1659" s="75">
        <f t="shared" si="25"/>
        <v>138.72549663844038</v>
      </c>
      <c r="I1659" s="74">
        <v>45901</v>
      </c>
      <c r="J1659">
        <v>4</v>
      </c>
      <c r="K1659" t="s">
        <v>512</v>
      </c>
      <c r="L1659" t="s">
        <v>367</v>
      </c>
      <c r="M1659" t="s">
        <v>356</v>
      </c>
      <c r="N1659" s="73">
        <v>67262</v>
      </c>
      <c r="O1659" s="73">
        <v>67262</v>
      </c>
      <c r="P1659">
        <v>34.681374159610094</v>
      </c>
    </row>
    <row r="1660" spans="1:16" x14ac:dyDescent="0.2">
      <c r="A1660" s="73">
        <v>67262</v>
      </c>
      <c r="B1660" t="s">
        <v>350</v>
      </c>
      <c r="C1660" s="73" t="s">
        <v>464</v>
      </c>
      <c r="D1660" t="s">
        <v>215</v>
      </c>
      <c r="E1660" s="74">
        <v>45901</v>
      </c>
      <c r="F1660" t="s">
        <v>360</v>
      </c>
      <c r="G1660" t="s">
        <v>361</v>
      </c>
      <c r="H1660" s="75">
        <f t="shared" si="25"/>
        <v>138.72549663844038</v>
      </c>
      <c r="I1660" s="74">
        <v>45901</v>
      </c>
      <c r="J1660">
        <v>4</v>
      </c>
      <c r="K1660" t="s">
        <v>512</v>
      </c>
      <c r="L1660" t="s">
        <v>262</v>
      </c>
      <c r="M1660" t="s">
        <v>356</v>
      </c>
      <c r="N1660" s="73">
        <v>67262</v>
      </c>
      <c r="O1660" s="73">
        <v>67262</v>
      </c>
      <c r="P1660">
        <v>34.681374159610094</v>
      </c>
    </row>
    <row r="1661" spans="1:16" x14ac:dyDescent="0.2">
      <c r="A1661" s="73">
        <v>67262</v>
      </c>
      <c r="B1661" t="s">
        <v>350</v>
      </c>
      <c r="C1661" s="73" t="s">
        <v>464</v>
      </c>
      <c r="D1661" t="s">
        <v>215</v>
      </c>
      <c r="E1661" s="74">
        <v>45902</v>
      </c>
      <c r="F1661" t="s">
        <v>404</v>
      </c>
      <c r="G1661" t="s">
        <v>405</v>
      </c>
      <c r="H1661" s="75">
        <f t="shared" si="25"/>
        <v>208.08824495766055</v>
      </c>
      <c r="I1661" s="74">
        <v>45902</v>
      </c>
      <c r="J1661">
        <v>6</v>
      </c>
      <c r="K1661" t="s">
        <v>512</v>
      </c>
      <c r="L1661" t="s">
        <v>262</v>
      </c>
      <c r="M1661" t="s">
        <v>356</v>
      </c>
      <c r="N1661" s="73">
        <v>67262</v>
      </c>
      <c r="O1661" s="73">
        <v>67262</v>
      </c>
      <c r="P1661">
        <v>34.681374159610094</v>
      </c>
    </row>
    <row r="1662" spans="1:16" x14ac:dyDescent="0.2">
      <c r="A1662" s="73">
        <v>67262</v>
      </c>
      <c r="B1662" t="s">
        <v>350</v>
      </c>
      <c r="C1662" s="73" t="s">
        <v>464</v>
      </c>
      <c r="D1662" t="s">
        <v>215</v>
      </c>
      <c r="E1662" s="74">
        <v>45902</v>
      </c>
      <c r="F1662" t="s">
        <v>387</v>
      </c>
      <c r="G1662" t="s">
        <v>388</v>
      </c>
      <c r="H1662" s="75">
        <f t="shared" si="25"/>
        <v>138.72549663844038</v>
      </c>
      <c r="I1662" s="74">
        <v>45902</v>
      </c>
      <c r="J1662">
        <v>4</v>
      </c>
      <c r="K1662" t="s">
        <v>512</v>
      </c>
      <c r="L1662" t="s">
        <v>367</v>
      </c>
      <c r="M1662" t="s">
        <v>356</v>
      </c>
      <c r="N1662" s="73">
        <v>67262</v>
      </c>
      <c r="O1662" s="73">
        <v>67262</v>
      </c>
      <c r="P1662">
        <v>34.681374159610094</v>
      </c>
    </row>
    <row r="1663" spans="1:16" x14ac:dyDescent="0.2">
      <c r="A1663" s="73">
        <v>67262</v>
      </c>
      <c r="B1663" t="s">
        <v>350</v>
      </c>
      <c r="C1663" s="73" t="s">
        <v>464</v>
      </c>
      <c r="D1663" t="s">
        <v>215</v>
      </c>
      <c r="E1663" s="74">
        <v>45902</v>
      </c>
      <c r="F1663" t="s">
        <v>360</v>
      </c>
      <c r="G1663" t="s">
        <v>361</v>
      </c>
      <c r="H1663" s="75">
        <f t="shared" si="25"/>
        <v>208.08824495766055</v>
      </c>
      <c r="I1663" s="74">
        <v>45902</v>
      </c>
      <c r="J1663">
        <v>6</v>
      </c>
      <c r="K1663" t="s">
        <v>512</v>
      </c>
      <c r="L1663" t="s">
        <v>262</v>
      </c>
      <c r="M1663" t="s">
        <v>356</v>
      </c>
      <c r="N1663" s="73">
        <v>67262</v>
      </c>
      <c r="O1663" s="73">
        <v>67262</v>
      </c>
      <c r="P1663">
        <v>34.681374159610094</v>
      </c>
    </row>
    <row r="1664" spans="1:16" x14ac:dyDescent="0.2">
      <c r="A1664" s="73">
        <v>67262</v>
      </c>
      <c r="B1664" t="s">
        <v>350</v>
      </c>
      <c r="C1664" s="73" t="s">
        <v>464</v>
      </c>
      <c r="D1664" t="s">
        <v>215</v>
      </c>
      <c r="E1664" s="74">
        <v>45903</v>
      </c>
      <c r="F1664" t="s">
        <v>360</v>
      </c>
      <c r="G1664" t="s">
        <v>361</v>
      </c>
      <c r="H1664" s="75">
        <f t="shared" si="25"/>
        <v>208.08824495766055</v>
      </c>
      <c r="I1664" s="74">
        <v>45903</v>
      </c>
      <c r="J1664">
        <v>6</v>
      </c>
      <c r="K1664" t="s">
        <v>512</v>
      </c>
      <c r="L1664" t="s">
        <v>262</v>
      </c>
      <c r="M1664" t="s">
        <v>356</v>
      </c>
      <c r="N1664" s="73">
        <v>67262</v>
      </c>
      <c r="O1664" s="73">
        <v>67262</v>
      </c>
      <c r="P1664">
        <v>34.681374159610094</v>
      </c>
    </row>
    <row r="1665" spans="1:16" x14ac:dyDescent="0.2">
      <c r="A1665" s="73">
        <v>67262</v>
      </c>
      <c r="B1665" t="s">
        <v>350</v>
      </c>
      <c r="C1665" s="73" t="s">
        <v>464</v>
      </c>
      <c r="D1665" t="s">
        <v>215</v>
      </c>
      <c r="E1665" s="74">
        <v>45903</v>
      </c>
      <c r="F1665" t="s">
        <v>404</v>
      </c>
      <c r="G1665" t="s">
        <v>405</v>
      </c>
      <c r="H1665" s="75">
        <f t="shared" si="25"/>
        <v>208.08824495766055</v>
      </c>
      <c r="I1665" s="74">
        <v>45903</v>
      </c>
      <c r="J1665">
        <v>6</v>
      </c>
      <c r="K1665" t="s">
        <v>512</v>
      </c>
      <c r="L1665" t="s">
        <v>262</v>
      </c>
      <c r="M1665" t="s">
        <v>356</v>
      </c>
      <c r="N1665" s="73">
        <v>67262</v>
      </c>
      <c r="O1665" s="73">
        <v>67262</v>
      </c>
      <c r="P1665">
        <v>34.681374159610094</v>
      </c>
    </row>
    <row r="1666" spans="1:16" x14ac:dyDescent="0.2">
      <c r="A1666" s="73">
        <v>67262</v>
      </c>
      <c r="B1666" t="s">
        <v>350</v>
      </c>
      <c r="C1666" s="73" t="s">
        <v>464</v>
      </c>
      <c r="D1666" t="s">
        <v>215</v>
      </c>
      <c r="E1666" s="74">
        <v>45903</v>
      </c>
      <c r="F1666" t="s">
        <v>387</v>
      </c>
      <c r="G1666" t="s">
        <v>388</v>
      </c>
      <c r="H1666" s="75">
        <f t="shared" ref="H1666:H1729" si="26">J1666*P1666</f>
        <v>173.40687079805048</v>
      </c>
      <c r="I1666" s="74">
        <v>45903</v>
      </c>
      <c r="J1666">
        <v>5</v>
      </c>
      <c r="K1666" t="s">
        <v>512</v>
      </c>
      <c r="L1666" t="s">
        <v>367</v>
      </c>
      <c r="M1666" t="s">
        <v>356</v>
      </c>
      <c r="N1666" s="73">
        <v>67262</v>
      </c>
      <c r="O1666" s="73">
        <v>67262</v>
      </c>
      <c r="P1666">
        <v>34.681374159610094</v>
      </c>
    </row>
    <row r="1667" spans="1:16" x14ac:dyDescent="0.2">
      <c r="A1667" s="73">
        <v>67262</v>
      </c>
      <c r="B1667" t="s">
        <v>350</v>
      </c>
      <c r="C1667" s="73" t="s">
        <v>464</v>
      </c>
      <c r="D1667" t="s">
        <v>215</v>
      </c>
      <c r="E1667" s="74">
        <v>45904</v>
      </c>
      <c r="F1667" t="s">
        <v>404</v>
      </c>
      <c r="G1667" t="s">
        <v>405</v>
      </c>
      <c r="H1667" s="75">
        <f t="shared" si="26"/>
        <v>208.08824495766055</v>
      </c>
      <c r="I1667" s="74">
        <v>45904</v>
      </c>
      <c r="J1667">
        <v>6</v>
      </c>
      <c r="K1667" t="s">
        <v>512</v>
      </c>
      <c r="L1667" t="s">
        <v>262</v>
      </c>
      <c r="M1667" t="s">
        <v>356</v>
      </c>
      <c r="N1667" s="73">
        <v>67262</v>
      </c>
      <c r="O1667" s="73">
        <v>67262</v>
      </c>
      <c r="P1667">
        <v>34.681374159610094</v>
      </c>
    </row>
    <row r="1668" spans="1:16" x14ac:dyDescent="0.2">
      <c r="A1668" s="73">
        <v>67262</v>
      </c>
      <c r="B1668" t="s">
        <v>350</v>
      </c>
      <c r="C1668" s="73" t="s">
        <v>464</v>
      </c>
      <c r="D1668" t="s">
        <v>215</v>
      </c>
      <c r="E1668" s="74">
        <v>45904</v>
      </c>
      <c r="F1668" t="s">
        <v>387</v>
      </c>
      <c r="G1668" t="s">
        <v>388</v>
      </c>
      <c r="H1668" s="75">
        <f t="shared" si="26"/>
        <v>173.40687079805048</v>
      </c>
      <c r="I1668" s="74">
        <v>45904</v>
      </c>
      <c r="J1668">
        <v>5</v>
      </c>
      <c r="K1668" t="s">
        <v>512</v>
      </c>
      <c r="L1668" t="s">
        <v>367</v>
      </c>
      <c r="M1668" t="s">
        <v>356</v>
      </c>
      <c r="N1668" s="73">
        <v>67262</v>
      </c>
      <c r="O1668" s="73">
        <v>67262</v>
      </c>
      <c r="P1668">
        <v>34.681374159610094</v>
      </c>
    </row>
    <row r="1669" spans="1:16" x14ac:dyDescent="0.2">
      <c r="A1669" s="73">
        <v>67262</v>
      </c>
      <c r="B1669" t="s">
        <v>350</v>
      </c>
      <c r="C1669" s="73" t="s">
        <v>464</v>
      </c>
      <c r="D1669" t="s">
        <v>215</v>
      </c>
      <c r="E1669" s="74">
        <v>45905</v>
      </c>
      <c r="F1669" t="s">
        <v>404</v>
      </c>
      <c r="G1669" t="s">
        <v>405</v>
      </c>
      <c r="H1669" s="75">
        <f t="shared" si="26"/>
        <v>208.08824495766055</v>
      </c>
      <c r="I1669" s="74">
        <v>45905</v>
      </c>
      <c r="J1669">
        <v>6</v>
      </c>
      <c r="K1669" t="s">
        <v>512</v>
      </c>
      <c r="L1669" t="s">
        <v>262</v>
      </c>
      <c r="M1669" t="s">
        <v>356</v>
      </c>
      <c r="N1669" s="73">
        <v>67262</v>
      </c>
      <c r="O1669" s="73">
        <v>67262</v>
      </c>
      <c r="P1669">
        <v>34.681374159610094</v>
      </c>
    </row>
    <row r="1670" spans="1:16" x14ac:dyDescent="0.2">
      <c r="A1670" s="73">
        <v>67262</v>
      </c>
      <c r="B1670" t="s">
        <v>350</v>
      </c>
      <c r="C1670" s="73" t="s">
        <v>464</v>
      </c>
      <c r="D1670" t="s">
        <v>215</v>
      </c>
      <c r="E1670" s="74">
        <v>45905</v>
      </c>
      <c r="F1670" t="s">
        <v>387</v>
      </c>
      <c r="G1670" t="s">
        <v>388</v>
      </c>
      <c r="H1670" s="75">
        <f t="shared" si="26"/>
        <v>138.72549663844038</v>
      </c>
      <c r="I1670" s="74">
        <v>45905</v>
      </c>
      <c r="J1670">
        <v>4</v>
      </c>
      <c r="K1670" t="s">
        <v>512</v>
      </c>
      <c r="L1670" t="s">
        <v>367</v>
      </c>
      <c r="M1670" t="s">
        <v>356</v>
      </c>
      <c r="N1670" s="73">
        <v>67262</v>
      </c>
      <c r="O1670" s="73">
        <v>67262</v>
      </c>
      <c r="P1670">
        <v>34.681374159610094</v>
      </c>
    </row>
    <row r="1671" spans="1:16" x14ac:dyDescent="0.2">
      <c r="A1671" s="73">
        <v>67262</v>
      </c>
      <c r="B1671" t="s">
        <v>350</v>
      </c>
      <c r="C1671" s="73" t="s">
        <v>464</v>
      </c>
      <c r="D1671" t="s">
        <v>215</v>
      </c>
      <c r="E1671" s="74">
        <v>45908</v>
      </c>
      <c r="F1671" t="s">
        <v>387</v>
      </c>
      <c r="G1671" t="s">
        <v>388</v>
      </c>
      <c r="H1671" s="75">
        <f t="shared" si="26"/>
        <v>173.40687079805048</v>
      </c>
      <c r="I1671" s="74">
        <v>45908</v>
      </c>
      <c r="J1671">
        <v>5</v>
      </c>
      <c r="K1671" t="s">
        <v>512</v>
      </c>
      <c r="L1671" t="s">
        <v>367</v>
      </c>
      <c r="M1671" t="s">
        <v>356</v>
      </c>
      <c r="N1671" s="73">
        <v>67262</v>
      </c>
      <c r="O1671" s="73">
        <v>67262</v>
      </c>
      <c r="P1671">
        <v>34.681374159610094</v>
      </c>
    </row>
    <row r="1672" spans="1:16" x14ac:dyDescent="0.2">
      <c r="A1672" s="73">
        <v>67262</v>
      </c>
      <c r="B1672" t="s">
        <v>350</v>
      </c>
      <c r="C1672" s="73" t="s">
        <v>464</v>
      </c>
      <c r="D1672" t="s">
        <v>215</v>
      </c>
      <c r="E1672" s="74">
        <v>45908</v>
      </c>
      <c r="F1672" t="s">
        <v>404</v>
      </c>
      <c r="G1672" t="s">
        <v>405</v>
      </c>
      <c r="H1672" s="75">
        <f t="shared" si="26"/>
        <v>208.08824495766055</v>
      </c>
      <c r="I1672" s="74">
        <v>45908</v>
      </c>
      <c r="J1672">
        <v>6</v>
      </c>
      <c r="K1672" t="s">
        <v>512</v>
      </c>
      <c r="L1672" t="s">
        <v>262</v>
      </c>
      <c r="M1672" t="s">
        <v>356</v>
      </c>
      <c r="N1672" s="73">
        <v>67262</v>
      </c>
      <c r="O1672" s="73">
        <v>67262</v>
      </c>
      <c r="P1672">
        <v>34.681374159610094</v>
      </c>
    </row>
    <row r="1673" spans="1:16" x14ac:dyDescent="0.2">
      <c r="A1673" s="73">
        <v>67262</v>
      </c>
      <c r="B1673" t="s">
        <v>350</v>
      </c>
      <c r="C1673" s="73" t="s">
        <v>464</v>
      </c>
      <c r="D1673" t="s">
        <v>215</v>
      </c>
      <c r="E1673" s="74">
        <v>45908</v>
      </c>
      <c r="F1673" t="s">
        <v>395</v>
      </c>
      <c r="G1673" t="s">
        <v>396</v>
      </c>
      <c r="H1673" s="75">
        <f t="shared" si="26"/>
        <v>104.04412247883027</v>
      </c>
      <c r="I1673" s="74">
        <v>45908</v>
      </c>
      <c r="J1673">
        <v>3</v>
      </c>
      <c r="K1673" t="s">
        <v>512</v>
      </c>
      <c r="L1673" t="s">
        <v>262</v>
      </c>
      <c r="M1673" t="s">
        <v>356</v>
      </c>
      <c r="N1673" s="73">
        <v>67262</v>
      </c>
      <c r="O1673" s="73">
        <v>67262</v>
      </c>
      <c r="P1673">
        <v>34.681374159610094</v>
      </c>
    </row>
    <row r="1674" spans="1:16" x14ac:dyDescent="0.2">
      <c r="A1674" s="73">
        <v>67262</v>
      </c>
      <c r="B1674" t="s">
        <v>350</v>
      </c>
      <c r="C1674" s="73" t="s">
        <v>464</v>
      </c>
      <c r="D1674" t="s">
        <v>215</v>
      </c>
      <c r="E1674" s="74">
        <v>45909</v>
      </c>
      <c r="F1674" t="s">
        <v>387</v>
      </c>
      <c r="G1674" t="s">
        <v>388</v>
      </c>
      <c r="H1674" s="75">
        <f t="shared" si="26"/>
        <v>104.04412247883027</v>
      </c>
      <c r="I1674" s="74">
        <v>45909</v>
      </c>
      <c r="J1674">
        <v>3</v>
      </c>
      <c r="K1674" t="s">
        <v>512</v>
      </c>
      <c r="L1674" t="s">
        <v>367</v>
      </c>
      <c r="M1674" t="s">
        <v>356</v>
      </c>
      <c r="N1674" s="73">
        <v>67262</v>
      </c>
      <c r="O1674" s="73">
        <v>67262</v>
      </c>
      <c r="P1674">
        <v>34.681374159610094</v>
      </c>
    </row>
    <row r="1675" spans="1:16" x14ac:dyDescent="0.2">
      <c r="A1675" s="73">
        <v>67262</v>
      </c>
      <c r="B1675" t="s">
        <v>350</v>
      </c>
      <c r="C1675" s="73" t="s">
        <v>464</v>
      </c>
      <c r="D1675" t="s">
        <v>215</v>
      </c>
      <c r="E1675" s="74">
        <v>45909</v>
      </c>
      <c r="F1675" t="s">
        <v>404</v>
      </c>
      <c r="G1675" t="s">
        <v>405</v>
      </c>
      <c r="H1675" s="75">
        <f t="shared" si="26"/>
        <v>208.08824495766055</v>
      </c>
      <c r="I1675" s="74">
        <v>45909</v>
      </c>
      <c r="J1675">
        <v>6</v>
      </c>
      <c r="K1675" t="s">
        <v>512</v>
      </c>
      <c r="L1675" t="s">
        <v>262</v>
      </c>
      <c r="M1675" t="s">
        <v>356</v>
      </c>
      <c r="N1675" s="73">
        <v>67262</v>
      </c>
      <c r="O1675" s="73">
        <v>67262</v>
      </c>
      <c r="P1675">
        <v>34.681374159610094</v>
      </c>
    </row>
    <row r="1676" spans="1:16" x14ac:dyDescent="0.2">
      <c r="A1676" s="73">
        <v>67262</v>
      </c>
      <c r="B1676" t="s">
        <v>350</v>
      </c>
      <c r="C1676" s="73" t="s">
        <v>464</v>
      </c>
      <c r="D1676" t="s">
        <v>215</v>
      </c>
      <c r="E1676" s="74">
        <v>45909</v>
      </c>
      <c r="F1676" t="s">
        <v>395</v>
      </c>
      <c r="G1676" t="s">
        <v>396</v>
      </c>
      <c r="H1676" s="75">
        <f t="shared" si="26"/>
        <v>104.04412247883027</v>
      </c>
      <c r="I1676" s="74">
        <v>45909</v>
      </c>
      <c r="J1676">
        <v>3</v>
      </c>
      <c r="K1676" t="s">
        <v>512</v>
      </c>
      <c r="L1676" t="s">
        <v>262</v>
      </c>
      <c r="M1676" t="s">
        <v>356</v>
      </c>
      <c r="N1676" s="73">
        <v>67262</v>
      </c>
      <c r="O1676" s="73">
        <v>67262</v>
      </c>
      <c r="P1676">
        <v>34.681374159610094</v>
      </c>
    </row>
    <row r="1677" spans="1:16" x14ac:dyDescent="0.2">
      <c r="A1677" s="73">
        <v>67262</v>
      </c>
      <c r="B1677" t="s">
        <v>350</v>
      </c>
      <c r="C1677" s="73" t="s">
        <v>464</v>
      </c>
      <c r="D1677" t="s">
        <v>215</v>
      </c>
      <c r="E1677" s="74">
        <v>45910</v>
      </c>
      <c r="F1677" t="s">
        <v>404</v>
      </c>
      <c r="G1677" t="s">
        <v>405</v>
      </c>
      <c r="H1677" s="75">
        <f t="shared" si="26"/>
        <v>208.08824495766055</v>
      </c>
      <c r="I1677" s="74">
        <v>45910</v>
      </c>
      <c r="J1677">
        <v>6</v>
      </c>
      <c r="K1677" t="s">
        <v>512</v>
      </c>
      <c r="L1677" t="s">
        <v>262</v>
      </c>
      <c r="M1677" t="s">
        <v>356</v>
      </c>
      <c r="N1677" s="73">
        <v>67262</v>
      </c>
      <c r="O1677" s="73">
        <v>67262</v>
      </c>
      <c r="P1677">
        <v>34.681374159610094</v>
      </c>
    </row>
    <row r="1678" spans="1:16" x14ac:dyDescent="0.2">
      <c r="A1678" s="73">
        <v>67262</v>
      </c>
      <c r="B1678" t="s">
        <v>350</v>
      </c>
      <c r="C1678" s="73" t="s">
        <v>464</v>
      </c>
      <c r="D1678" t="s">
        <v>215</v>
      </c>
      <c r="E1678" s="74">
        <v>45910</v>
      </c>
      <c r="F1678" t="s">
        <v>395</v>
      </c>
      <c r="G1678" t="s">
        <v>396</v>
      </c>
      <c r="H1678" s="75">
        <f t="shared" si="26"/>
        <v>104.04412247883027</v>
      </c>
      <c r="I1678" s="74">
        <v>45910</v>
      </c>
      <c r="J1678">
        <v>3</v>
      </c>
      <c r="K1678" t="s">
        <v>512</v>
      </c>
      <c r="L1678" t="s">
        <v>262</v>
      </c>
      <c r="M1678" t="s">
        <v>356</v>
      </c>
      <c r="N1678" s="73">
        <v>67262</v>
      </c>
      <c r="O1678" s="73">
        <v>67262</v>
      </c>
      <c r="P1678">
        <v>34.681374159610094</v>
      </c>
    </row>
    <row r="1679" spans="1:16" x14ac:dyDescent="0.2">
      <c r="A1679" s="73">
        <v>67262</v>
      </c>
      <c r="B1679" t="s">
        <v>350</v>
      </c>
      <c r="C1679" s="73" t="s">
        <v>464</v>
      </c>
      <c r="D1679" t="s">
        <v>215</v>
      </c>
      <c r="E1679" s="74">
        <v>45911</v>
      </c>
      <c r="F1679" t="s">
        <v>387</v>
      </c>
      <c r="G1679" t="s">
        <v>388</v>
      </c>
      <c r="H1679" s="75">
        <f t="shared" si="26"/>
        <v>173.40687079805048</v>
      </c>
      <c r="I1679" s="74">
        <v>45911</v>
      </c>
      <c r="J1679">
        <v>5</v>
      </c>
      <c r="K1679" t="s">
        <v>512</v>
      </c>
      <c r="L1679" t="s">
        <v>367</v>
      </c>
      <c r="M1679" t="s">
        <v>356</v>
      </c>
      <c r="N1679" s="73">
        <v>67262</v>
      </c>
      <c r="O1679" s="73">
        <v>67262</v>
      </c>
      <c r="P1679">
        <v>34.681374159610094</v>
      </c>
    </row>
    <row r="1680" spans="1:16" x14ac:dyDescent="0.2">
      <c r="A1680" s="73">
        <v>67262</v>
      </c>
      <c r="B1680" t="s">
        <v>350</v>
      </c>
      <c r="C1680" s="73" t="s">
        <v>464</v>
      </c>
      <c r="D1680" t="s">
        <v>215</v>
      </c>
      <c r="E1680" s="74">
        <v>45911</v>
      </c>
      <c r="F1680" t="s">
        <v>404</v>
      </c>
      <c r="G1680" t="s">
        <v>405</v>
      </c>
      <c r="H1680" s="75">
        <f t="shared" si="26"/>
        <v>208.08824495766055</v>
      </c>
      <c r="I1680" s="74">
        <v>45911</v>
      </c>
      <c r="J1680">
        <v>6</v>
      </c>
      <c r="K1680" t="s">
        <v>512</v>
      </c>
      <c r="L1680" t="s">
        <v>262</v>
      </c>
      <c r="M1680" t="s">
        <v>356</v>
      </c>
      <c r="N1680" s="73">
        <v>67262</v>
      </c>
      <c r="O1680" s="73">
        <v>67262</v>
      </c>
      <c r="P1680">
        <v>34.681374159610094</v>
      </c>
    </row>
    <row r="1681" spans="1:16" x14ac:dyDescent="0.2">
      <c r="A1681" s="73">
        <v>67262</v>
      </c>
      <c r="B1681" t="s">
        <v>350</v>
      </c>
      <c r="C1681" s="73" t="s">
        <v>464</v>
      </c>
      <c r="D1681" t="s">
        <v>215</v>
      </c>
      <c r="E1681" s="74">
        <v>45911</v>
      </c>
      <c r="F1681" t="s">
        <v>395</v>
      </c>
      <c r="G1681" t="s">
        <v>396</v>
      </c>
      <c r="H1681" s="75">
        <f t="shared" si="26"/>
        <v>242.76961911727065</v>
      </c>
      <c r="I1681" s="74">
        <v>45911</v>
      </c>
      <c r="J1681">
        <v>7</v>
      </c>
      <c r="K1681" t="s">
        <v>512</v>
      </c>
      <c r="L1681" t="s">
        <v>262</v>
      </c>
      <c r="M1681" t="s">
        <v>356</v>
      </c>
      <c r="N1681" s="73">
        <v>67262</v>
      </c>
      <c r="O1681" s="73">
        <v>67262</v>
      </c>
      <c r="P1681">
        <v>34.681374159610094</v>
      </c>
    </row>
    <row r="1682" spans="1:16" x14ac:dyDescent="0.2">
      <c r="A1682" s="73">
        <v>67262</v>
      </c>
      <c r="B1682" t="s">
        <v>350</v>
      </c>
      <c r="C1682" s="73" t="s">
        <v>464</v>
      </c>
      <c r="D1682" t="s">
        <v>215</v>
      </c>
      <c r="E1682" s="74">
        <v>45912</v>
      </c>
      <c r="F1682" t="s">
        <v>387</v>
      </c>
      <c r="G1682" t="s">
        <v>388</v>
      </c>
      <c r="H1682" s="75">
        <f t="shared" si="26"/>
        <v>242.76961911727065</v>
      </c>
      <c r="I1682" s="74">
        <v>45912</v>
      </c>
      <c r="J1682">
        <v>7</v>
      </c>
      <c r="K1682" t="s">
        <v>512</v>
      </c>
      <c r="L1682" t="s">
        <v>367</v>
      </c>
      <c r="M1682" t="s">
        <v>356</v>
      </c>
      <c r="N1682" s="73">
        <v>67262</v>
      </c>
      <c r="O1682" s="73">
        <v>67262</v>
      </c>
      <c r="P1682">
        <v>34.681374159610094</v>
      </c>
    </row>
    <row r="1683" spans="1:16" x14ac:dyDescent="0.2">
      <c r="A1683" s="73">
        <v>67262</v>
      </c>
      <c r="B1683" t="s">
        <v>350</v>
      </c>
      <c r="C1683" s="73" t="s">
        <v>464</v>
      </c>
      <c r="D1683" t="s">
        <v>215</v>
      </c>
      <c r="E1683" s="74">
        <v>45912</v>
      </c>
      <c r="F1683" t="s">
        <v>404</v>
      </c>
      <c r="G1683" t="s">
        <v>405</v>
      </c>
      <c r="H1683" s="75">
        <f t="shared" si="26"/>
        <v>208.08824495766055</v>
      </c>
      <c r="I1683" s="74">
        <v>45912</v>
      </c>
      <c r="J1683">
        <v>6</v>
      </c>
      <c r="K1683" t="s">
        <v>512</v>
      </c>
      <c r="L1683" t="s">
        <v>262</v>
      </c>
      <c r="M1683" t="s">
        <v>356</v>
      </c>
      <c r="N1683" s="73">
        <v>67262</v>
      </c>
      <c r="O1683" s="73">
        <v>67262</v>
      </c>
      <c r="P1683">
        <v>34.681374159610094</v>
      </c>
    </row>
    <row r="1684" spans="1:16" x14ac:dyDescent="0.2">
      <c r="A1684" s="73">
        <v>67262</v>
      </c>
      <c r="B1684" t="s">
        <v>350</v>
      </c>
      <c r="C1684" s="73" t="s">
        <v>464</v>
      </c>
      <c r="D1684" t="s">
        <v>215</v>
      </c>
      <c r="E1684" s="74">
        <v>45912</v>
      </c>
      <c r="F1684" t="s">
        <v>395</v>
      </c>
      <c r="G1684" t="s">
        <v>396</v>
      </c>
      <c r="H1684" s="75">
        <f t="shared" si="26"/>
        <v>242.76961911727065</v>
      </c>
      <c r="I1684" s="74">
        <v>45912</v>
      </c>
      <c r="J1684">
        <v>7</v>
      </c>
      <c r="K1684" t="s">
        <v>512</v>
      </c>
      <c r="L1684" t="s">
        <v>262</v>
      </c>
      <c r="M1684" t="s">
        <v>356</v>
      </c>
      <c r="N1684" s="73">
        <v>67262</v>
      </c>
      <c r="O1684" s="73">
        <v>67262</v>
      </c>
      <c r="P1684">
        <v>34.681374159610094</v>
      </c>
    </row>
    <row r="1685" spans="1:16" x14ac:dyDescent="0.2">
      <c r="A1685" s="73">
        <v>67262</v>
      </c>
      <c r="B1685" t="s">
        <v>350</v>
      </c>
      <c r="C1685" s="73" t="s">
        <v>464</v>
      </c>
      <c r="D1685" t="s">
        <v>215</v>
      </c>
      <c r="E1685" s="74">
        <v>45915</v>
      </c>
      <c r="F1685" t="s">
        <v>360</v>
      </c>
      <c r="G1685" t="s">
        <v>361</v>
      </c>
      <c r="H1685" s="75">
        <f t="shared" si="26"/>
        <v>69.362748319220188</v>
      </c>
      <c r="I1685" s="74">
        <v>45915</v>
      </c>
      <c r="J1685">
        <v>2</v>
      </c>
      <c r="K1685" t="s">
        <v>512</v>
      </c>
      <c r="L1685" t="s">
        <v>262</v>
      </c>
      <c r="M1685" t="s">
        <v>356</v>
      </c>
      <c r="N1685" s="73">
        <v>67262</v>
      </c>
      <c r="O1685" s="73">
        <v>67262</v>
      </c>
      <c r="P1685">
        <v>34.681374159610094</v>
      </c>
    </row>
    <row r="1686" spans="1:16" x14ac:dyDescent="0.2">
      <c r="A1686" s="73">
        <v>67262</v>
      </c>
      <c r="B1686" t="s">
        <v>350</v>
      </c>
      <c r="C1686" s="73" t="s">
        <v>464</v>
      </c>
      <c r="D1686" t="s">
        <v>215</v>
      </c>
      <c r="E1686" s="74">
        <v>45915</v>
      </c>
      <c r="F1686" t="s">
        <v>404</v>
      </c>
      <c r="G1686" t="s">
        <v>405</v>
      </c>
      <c r="H1686" s="75">
        <f t="shared" si="26"/>
        <v>208.08824495766055</v>
      </c>
      <c r="I1686" s="74">
        <v>45915</v>
      </c>
      <c r="J1686">
        <v>6</v>
      </c>
      <c r="K1686" t="s">
        <v>512</v>
      </c>
      <c r="L1686" t="s">
        <v>262</v>
      </c>
      <c r="M1686" t="s">
        <v>356</v>
      </c>
      <c r="N1686" s="73">
        <v>67262</v>
      </c>
      <c r="O1686" s="73">
        <v>67262</v>
      </c>
      <c r="P1686">
        <v>34.681374159610094</v>
      </c>
    </row>
    <row r="1687" spans="1:16" x14ac:dyDescent="0.2">
      <c r="A1687" s="73">
        <v>67262</v>
      </c>
      <c r="B1687" t="s">
        <v>350</v>
      </c>
      <c r="C1687" s="73" t="s">
        <v>464</v>
      </c>
      <c r="D1687" t="s">
        <v>215</v>
      </c>
      <c r="E1687" s="74">
        <v>45916</v>
      </c>
      <c r="F1687" t="s">
        <v>404</v>
      </c>
      <c r="G1687" t="s">
        <v>405</v>
      </c>
      <c r="H1687" s="75">
        <f t="shared" si="26"/>
        <v>208.08824495766055</v>
      </c>
      <c r="I1687" s="74">
        <v>45916</v>
      </c>
      <c r="J1687">
        <v>6</v>
      </c>
      <c r="K1687" t="s">
        <v>512</v>
      </c>
      <c r="L1687" t="s">
        <v>262</v>
      </c>
      <c r="M1687" t="s">
        <v>356</v>
      </c>
      <c r="N1687" s="73">
        <v>67262</v>
      </c>
      <c r="O1687" s="73">
        <v>67262</v>
      </c>
      <c r="P1687">
        <v>34.681374159610094</v>
      </c>
    </row>
    <row r="1688" spans="1:16" x14ac:dyDescent="0.2">
      <c r="A1688" s="73">
        <v>67262</v>
      </c>
      <c r="B1688" t="s">
        <v>350</v>
      </c>
      <c r="C1688" s="73" t="s">
        <v>464</v>
      </c>
      <c r="D1688" t="s">
        <v>215</v>
      </c>
      <c r="E1688" s="74">
        <v>45917</v>
      </c>
      <c r="F1688" t="s">
        <v>404</v>
      </c>
      <c r="G1688" t="s">
        <v>405</v>
      </c>
      <c r="H1688" s="75">
        <f t="shared" si="26"/>
        <v>208.08824495766055</v>
      </c>
      <c r="I1688" s="74">
        <v>45917</v>
      </c>
      <c r="J1688">
        <v>6</v>
      </c>
      <c r="K1688" t="s">
        <v>512</v>
      </c>
      <c r="L1688" t="s">
        <v>262</v>
      </c>
      <c r="M1688" t="s">
        <v>356</v>
      </c>
      <c r="N1688" s="73">
        <v>67262</v>
      </c>
      <c r="O1688" s="73">
        <v>67262</v>
      </c>
      <c r="P1688">
        <v>34.681374159610094</v>
      </c>
    </row>
    <row r="1689" spans="1:16" x14ac:dyDescent="0.2">
      <c r="A1689" s="73">
        <v>67262</v>
      </c>
      <c r="B1689" t="s">
        <v>350</v>
      </c>
      <c r="C1689" s="73" t="s">
        <v>464</v>
      </c>
      <c r="D1689" t="s">
        <v>215</v>
      </c>
      <c r="E1689" s="74">
        <v>45918</v>
      </c>
      <c r="F1689" t="s">
        <v>404</v>
      </c>
      <c r="G1689" t="s">
        <v>405</v>
      </c>
      <c r="H1689" s="75">
        <f t="shared" si="26"/>
        <v>208.08824495766055</v>
      </c>
      <c r="I1689" s="74">
        <v>45918</v>
      </c>
      <c r="J1689">
        <v>6</v>
      </c>
      <c r="K1689" t="s">
        <v>512</v>
      </c>
      <c r="L1689" t="s">
        <v>262</v>
      </c>
      <c r="M1689" t="s">
        <v>356</v>
      </c>
      <c r="N1689" s="73">
        <v>67262</v>
      </c>
      <c r="O1689" s="73">
        <v>67262</v>
      </c>
      <c r="P1689">
        <v>34.681374159610094</v>
      </c>
    </row>
    <row r="1690" spans="1:16" x14ac:dyDescent="0.2">
      <c r="A1690" s="73">
        <v>67262</v>
      </c>
      <c r="B1690" t="s">
        <v>350</v>
      </c>
      <c r="C1690" s="73" t="s">
        <v>464</v>
      </c>
      <c r="D1690" t="s">
        <v>215</v>
      </c>
      <c r="E1690" s="74">
        <v>45919</v>
      </c>
      <c r="F1690" t="s">
        <v>404</v>
      </c>
      <c r="G1690" t="s">
        <v>405</v>
      </c>
      <c r="H1690" s="75">
        <f t="shared" si="26"/>
        <v>208.08824495766055</v>
      </c>
      <c r="I1690" s="74">
        <v>45919</v>
      </c>
      <c r="J1690">
        <v>6</v>
      </c>
      <c r="K1690" t="s">
        <v>512</v>
      </c>
      <c r="L1690" t="s">
        <v>262</v>
      </c>
      <c r="M1690" t="s">
        <v>356</v>
      </c>
      <c r="N1690" s="73">
        <v>67262</v>
      </c>
      <c r="O1690" s="73">
        <v>67262</v>
      </c>
      <c r="P1690">
        <v>34.681374159610094</v>
      </c>
    </row>
    <row r="1691" spans="1:16" x14ac:dyDescent="0.2">
      <c r="A1691" s="73">
        <v>67262</v>
      </c>
      <c r="B1691" t="s">
        <v>350</v>
      </c>
      <c r="C1691" s="73" t="s">
        <v>464</v>
      </c>
      <c r="D1691" t="s">
        <v>215</v>
      </c>
      <c r="E1691" s="74">
        <v>45922</v>
      </c>
      <c r="F1691" t="s">
        <v>387</v>
      </c>
      <c r="G1691" t="s">
        <v>388</v>
      </c>
      <c r="H1691" s="75">
        <f t="shared" si="26"/>
        <v>173.40687079805048</v>
      </c>
      <c r="I1691" s="74">
        <v>45922</v>
      </c>
      <c r="J1691">
        <v>5</v>
      </c>
      <c r="K1691" t="s">
        <v>512</v>
      </c>
      <c r="L1691" t="s">
        <v>367</v>
      </c>
      <c r="M1691" t="s">
        <v>356</v>
      </c>
      <c r="N1691" s="73">
        <v>67262</v>
      </c>
      <c r="O1691" s="73">
        <v>67262</v>
      </c>
      <c r="P1691">
        <v>34.681374159610094</v>
      </c>
    </row>
    <row r="1692" spans="1:16" x14ac:dyDescent="0.2">
      <c r="A1692" s="73">
        <v>67262</v>
      </c>
      <c r="B1692" t="s">
        <v>350</v>
      </c>
      <c r="C1692" s="73" t="s">
        <v>464</v>
      </c>
      <c r="D1692" t="s">
        <v>215</v>
      </c>
      <c r="E1692" s="74">
        <v>45929</v>
      </c>
      <c r="F1692" t="s">
        <v>404</v>
      </c>
      <c r="G1692" t="s">
        <v>405</v>
      </c>
      <c r="H1692" s="75">
        <f t="shared" si="26"/>
        <v>208.08824495766055</v>
      </c>
      <c r="I1692" s="74">
        <v>45929</v>
      </c>
      <c r="J1692">
        <v>6</v>
      </c>
      <c r="K1692" t="s">
        <v>512</v>
      </c>
      <c r="L1692" t="s">
        <v>262</v>
      </c>
      <c r="M1692" t="s">
        <v>356</v>
      </c>
      <c r="N1692" s="73">
        <v>67262</v>
      </c>
      <c r="O1692" s="73">
        <v>67262</v>
      </c>
      <c r="P1692">
        <v>34.681374159610094</v>
      </c>
    </row>
    <row r="1693" spans="1:16" x14ac:dyDescent="0.2">
      <c r="A1693" s="73">
        <v>67262</v>
      </c>
      <c r="B1693" t="s">
        <v>350</v>
      </c>
      <c r="C1693" s="73" t="s">
        <v>464</v>
      </c>
      <c r="D1693" t="s">
        <v>215</v>
      </c>
      <c r="E1693" s="74">
        <v>45933</v>
      </c>
      <c r="F1693" t="s">
        <v>404</v>
      </c>
      <c r="G1693" t="s">
        <v>405</v>
      </c>
      <c r="H1693" s="75">
        <f t="shared" si="26"/>
        <v>208.08824495766055</v>
      </c>
      <c r="I1693" s="74">
        <v>45933</v>
      </c>
      <c r="J1693">
        <v>6</v>
      </c>
      <c r="K1693" t="s">
        <v>513</v>
      </c>
      <c r="L1693" t="s">
        <v>262</v>
      </c>
      <c r="M1693" t="s">
        <v>356</v>
      </c>
      <c r="N1693" s="73">
        <v>67262</v>
      </c>
      <c r="O1693" s="73">
        <v>67262</v>
      </c>
      <c r="P1693">
        <v>34.681374159610094</v>
      </c>
    </row>
    <row r="1694" spans="1:16" x14ac:dyDescent="0.2">
      <c r="A1694" s="73">
        <v>67262</v>
      </c>
      <c r="B1694" t="s">
        <v>350</v>
      </c>
      <c r="C1694" s="73" t="s">
        <v>464</v>
      </c>
      <c r="D1694" t="s">
        <v>215</v>
      </c>
      <c r="E1694" s="74">
        <v>45939</v>
      </c>
      <c r="F1694" t="s">
        <v>387</v>
      </c>
      <c r="G1694" t="s">
        <v>388</v>
      </c>
      <c r="H1694" s="75">
        <f t="shared" si="26"/>
        <v>138.72549663844038</v>
      </c>
      <c r="I1694" s="74">
        <v>45939</v>
      </c>
      <c r="J1694">
        <v>4</v>
      </c>
      <c r="K1694" t="s">
        <v>513</v>
      </c>
      <c r="L1694" t="s">
        <v>367</v>
      </c>
      <c r="M1694" t="s">
        <v>356</v>
      </c>
      <c r="N1694" s="73">
        <v>67262</v>
      </c>
      <c r="O1694" s="73">
        <v>67262</v>
      </c>
      <c r="P1694">
        <v>34.681374159610094</v>
      </c>
    </row>
    <row r="1695" spans="1:16" x14ac:dyDescent="0.2">
      <c r="A1695" s="73">
        <v>67262</v>
      </c>
      <c r="B1695" t="s">
        <v>350</v>
      </c>
      <c r="C1695" s="73" t="s">
        <v>464</v>
      </c>
      <c r="D1695" t="s">
        <v>215</v>
      </c>
      <c r="E1695" s="74">
        <v>45940</v>
      </c>
      <c r="F1695" t="s">
        <v>387</v>
      </c>
      <c r="G1695" t="s">
        <v>388</v>
      </c>
      <c r="H1695" s="75">
        <f t="shared" si="26"/>
        <v>242.76961911727065</v>
      </c>
      <c r="I1695" s="74">
        <v>45940</v>
      </c>
      <c r="J1695">
        <v>7</v>
      </c>
      <c r="K1695" t="s">
        <v>513</v>
      </c>
      <c r="L1695" t="s">
        <v>367</v>
      </c>
      <c r="M1695" t="s">
        <v>356</v>
      </c>
      <c r="N1695" s="73">
        <v>67262</v>
      </c>
      <c r="O1695" s="73">
        <v>67262</v>
      </c>
      <c r="P1695">
        <v>34.681374159610094</v>
      </c>
    </row>
    <row r="1696" spans="1:16" x14ac:dyDescent="0.2">
      <c r="A1696" s="73">
        <v>67262</v>
      </c>
      <c r="B1696" t="s">
        <v>350</v>
      </c>
      <c r="C1696" s="73" t="s">
        <v>464</v>
      </c>
      <c r="D1696" t="s">
        <v>215</v>
      </c>
      <c r="E1696" s="74">
        <v>45938</v>
      </c>
      <c r="F1696" t="s">
        <v>360</v>
      </c>
      <c r="G1696" t="s">
        <v>361</v>
      </c>
      <c r="H1696" s="75">
        <f t="shared" si="26"/>
        <v>69.362748319220188</v>
      </c>
      <c r="I1696" s="74">
        <v>45938</v>
      </c>
      <c r="J1696">
        <v>2</v>
      </c>
      <c r="K1696" t="s">
        <v>513</v>
      </c>
      <c r="L1696" t="s">
        <v>262</v>
      </c>
      <c r="M1696" t="s">
        <v>356</v>
      </c>
      <c r="N1696" s="73">
        <v>67262</v>
      </c>
      <c r="O1696" s="73">
        <v>67262</v>
      </c>
      <c r="P1696">
        <v>34.681374159610094</v>
      </c>
    </row>
    <row r="1697" spans="1:16" x14ac:dyDescent="0.2">
      <c r="A1697" s="73">
        <v>67262</v>
      </c>
      <c r="B1697" t="s">
        <v>350</v>
      </c>
      <c r="C1697" s="73" t="s">
        <v>464</v>
      </c>
      <c r="D1697" t="s">
        <v>215</v>
      </c>
      <c r="E1697" s="74">
        <v>45939</v>
      </c>
      <c r="F1697" t="s">
        <v>360</v>
      </c>
      <c r="G1697" t="s">
        <v>361</v>
      </c>
      <c r="H1697" s="75">
        <f t="shared" si="26"/>
        <v>69.362748319220188</v>
      </c>
      <c r="I1697" s="74">
        <v>45939</v>
      </c>
      <c r="J1697">
        <v>2</v>
      </c>
      <c r="K1697" t="s">
        <v>513</v>
      </c>
      <c r="L1697" t="s">
        <v>262</v>
      </c>
      <c r="M1697" t="s">
        <v>356</v>
      </c>
      <c r="N1697" s="73">
        <v>67262</v>
      </c>
      <c r="O1697" s="73">
        <v>67262</v>
      </c>
      <c r="P1697">
        <v>34.681374159610094</v>
      </c>
    </row>
    <row r="1698" spans="1:16" x14ac:dyDescent="0.2">
      <c r="A1698" s="73">
        <v>67262</v>
      </c>
      <c r="B1698" t="s">
        <v>350</v>
      </c>
      <c r="C1698" s="73" t="s">
        <v>464</v>
      </c>
      <c r="D1698" t="s">
        <v>215</v>
      </c>
      <c r="E1698" s="74">
        <v>45952</v>
      </c>
      <c r="F1698" t="s">
        <v>387</v>
      </c>
      <c r="G1698" t="s">
        <v>388</v>
      </c>
      <c r="H1698" s="75">
        <f t="shared" si="26"/>
        <v>138.72549663844038</v>
      </c>
      <c r="I1698" s="74">
        <v>45952</v>
      </c>
      <c r="J1698">
        <v>4</v>
      </c>
      <c r="K1698" t="s">
        <v>513</v>
      </c>
      <c r="L1698" t="s">
        <v>367</v>
      </c>
      <c r="M1698" t="s">
        <v>356</v>
      </c>
      <c r="N1698" s="73">
        <v>67262</v>
      </c>
      <c r="O1698" s="73">
        <v>67262</v>
      </c>
      <c r="P1698">
        <v>34.681374159610094</v>
      </c>
    </row>
    <row r="1699" spans="1:16" x14ac:dyDescent="0.2">
      <c r="A1699" s="73">
        <v>67262</v>
      </c>
      <c r="B1699" t="s">
        <v>350</v>
      </c>
      <c r="C1699" s="73" t="s">
        <v>464</v>
      </c>
      <c r="D1699" t="s">
        <v>215</v>
      </c>
      <c r="E1699" s="74">
        <v>45957</v>
      </c>
      <c r="F1699" t="s">
        <v>395</v>
      </c>
      <c r="G1699" t="s">
        <v>396</v>
      </c>
      <c r="H1699" s="75">
        <f t="shared" si="26"/>
        <v>34.681374159610094</v>
      </c>
      <c r="I1699" s="74">
        <v>45957</v>
      </c>
      <c r="J1699">
        <v>1</v>
      </c>
      <c r="K1699" t="s">
        <v>513</v>
      </c>
      <c r="L1699" t="s">
        <v>262</v>
      </c>
      <c r="M1699" t="s">
        <v>356</v>
      </c>
      <c r="N1699" s="73">
        <v>67262</v>
      </c>
      <c r="O1699" s="73">
        <v>67262</v>
      </c>
      <c r="P1699">
        <v>34.681374159610094</v>
      </c>
    </row>
    <row r="1700" spans="1:16" x14ac:dyDescent="0.2">
      <c r="A1700" s="73">
        <v>67262</v>
      </c>
      <c r="B1700" t="s">
        <v>350</v>
      </c>
      <c r="C1700" s="73" t="s">
        <v>464</v>
      </c>
      <c r="D1700" t="s">
        <v>215</v>
      </c>
      <c r="E1700" s="74">
        <v>45958</v>
      </c>
      <c r="F1700" t="s">
        <v>387</v>
      </c>
      <c r="G1700" t="s">
        <v>388</v>
      </c>
      <c r="H1700" s="75">
        <f t="shared" si="26"/>
        <v>69.362748319220188</v>
      </c>
      <c r="I1700" s="74">
        <v>45958</v>
      </c>
      <c r="J1700">
        <v>2</v>
      </c>
      <c r="K1700" t="s">
        <v>513</v>
      </c>
      <c r="L1700" t="s">
        <v>367</v>
      </c>
      <c r="M1700" t="s">
        <v>356</v>
      </c>
      <c r="N1700" s="73">
        <v>67262</v>
      </c>
      <c r="O1700" s="73">
        <v>67262</v>
      </c>
      <c r="P1700">
        <v>34.681374159610094</v>
      </c>
    </row>
    <row r="1701" spans="1:16" x14ac:dyDescent="0.2">
      <c r="A1701" s="73">
        <v>67262</v>
      </c>
      <c r="B1701" t="s">
        <v>350</v>
      </c>
      <c r="C1701" s="73" t="s">
        <v>464</v>
      </c>
      <c r="D1701" t="s">
        <v>215</v>
      </c>
      <c r="E1701" s="74">
        <v>45959</v>
      </c>
      <c r="F1701" t="s">
        <v>404</v>
      </c>
      <c r="G1701" t="s">
        <v>405</v>
      </c>
      <c r="H1701" s="75">
        <f t="shared" si="26"/>
        <v>208.08824495766055</v>
      </c>
      <c r="I1701" s="74">
        <v>45959</v>
      </c>
      <c r="J1701">
        <v>6</v>
      </c>
      <c r="K1701" t="s">
        <v>513</v>
      </c>
      <c r="L1701" t="s">
        <v>262</v>
      </c>
      <c r="M1701" t="s">
        <v>356</v>
      </c>
      <c r="N1701" s="73">
        <v>67262</v>
      </c>
      <c r="O1701" s="73">
        <v>67262</v>
      </c>
      <c r="P1701">
        <v>34.681374159610094</v>
      </c>
    </row>
    <row r="1702" spans="1:16" x14ac:dyDescent="0.2">
      <c r="A1702" s="73">
        <v>67262</v>
      </c>
      <c r="B1702" t="s">
        <v>350</v>
      </c>
      <c r="C1702" s="73" t="s">
        <v>464</v>
      </c>
      <c r="D1702" t="s">
        <v>215</v>
      </c>
      <c r="E1702" s="74">
        <v>45959</v>
      </c>
      <c r="F1702" t="s">
        <v>395</v>
      </c>
      <c r="G1702" t="s">
        <v>396</v>
      </c>
      <c r="H1702" s="75">
        <f t="shared" si="26"/>
        <v>69.362748319220188</v>
      </c>
      <c r="I1702" s="74">
        <v>45959</v>
      </c>
      <c r="J1702">
        <v>2</v>
      </c>
      <c r="K1702" t="s">
        <v>513</v>
      </c>
      <c r="L1702" t="s">
        <v>262</v>
      </c>
      <c r="M1702" t="s">
        <v>356</v>
      </c>
      <c r="N1702" s="73">
        <v>67262</v>
      </c>
      <c r="O1702" s="73">
        <v>67262</v>
      </c>
      <c r="P1702">
        <v>34.681374159610094</v>
      </c>
    </row>
    <row r="1703" spans="1:16" x14ac:dyDescent="0.2">
      <c r="A1703" s="73">
        <v>67262</v>
      </c>
      <c r="B1703" t="s">
        <v>350</v>
      </c>
      <c r="C1703" s="73" t="s">
        <v>464</v>
      </c>
      <c r="D1703" t="s">
        <v>215</v>
      </c>
      <c r="E1703" s="74">
        <v>45959</v>
      </c>
      <c r="F1703" t="s">
        <v>387</v>
      </c>
      <c r="G1703" t="s">
        <v>388</v>
      </c>
      <c r="H1703" s="75">
        <f t="shared" si="26"/>
        <v>34.681374159610094</v>
      </c>
      <c r="I1703" s="74">
        <v>45959</v>
      </c>
      <c r="J1703">
        <v>1</v>
      </c>
      <c r="K1703" t="s">
        <v>513</v>
      </c>
      <c r="L1703" t="s">
        <v>367</v>
      </c>
      <c r="M1703" t="s">
        <v>356</v>
      </c>
      <c r="N1703" s="73">
        <v>67262</v>
      </c>
      <c r="O1703" s="73">
        <v>67262</v>
      </c>
      <c r="P1703">
        <v>34.681374159610094</v>
      </c>
    </row>
    <row r="1704" spans="1:16" x14ac:dyDescent="0.2">
      <c r="A1704" s="73">
        <v>67262</v>
      </c>
      <c r="B1704" t="s">
        <v>350</v>
      </c>
      <c r="C1704" s="73" t="s">
        <v>464</v>
      </c>
      <c r="D1704" t="s">
        <v>215</v>
      </c>
      <c r="E1704" s="74">
        <v>45960</v>
      </c>
      <c r="F1704" t="s">
        <v>387</v>
      </c>
      <c r="G1704" t="s">
        <v>388</v>
      </c>
      <c r="H1704" s="75">
        <f t="shared" si="26"/>
        <v>34.681374159610094</v>
      </c>
      <c r="I1704" s="74">
        <v>45960</v>
      </c>
      <c r="J1704">
        <v>1</v>
      </c>
      <c r="K1704" t="s">
        <v>513</v>
      </c>
      <c r="L1704" t="s">
        <v>367</v>
      </c>
      <c r="M1704" t="s">
        <v>356</v>
      </c>
      <c r="N1704" s="73">
        <v>67262</v>
      </c>
      <c r="O1704" s="73">
        <v>67262</v>
      </c>
      <c r="P1704">
        <v>34.681374159610094</v>
      </c>
    </row>
    <row r="1705" spans="1:16" x14ac:dyDescent="0.2">
      <c r="A1705" s="73">
        <v>67262</v>
      </c>
      <c r="B1705" t="s">
        <v>350</v>
      </c>
      <c r="C1705" s="73" t="s">
        <v>464</v>
      </c>
      <c r="D1705" t="s">
        <v>215</v>
      </c>
      <c r="E1705" s="74">
        <v>45960</v>
      </c>
      <c r="F1705" t="s">
        <v>395</v>
      </c>
      <c r="G1705" t="s">
        <v>396</v>
      </c>
      <c r="H1705" s="75">
        <f t="shared" si="26"/>
        <v>34.681374159610094</v>
      </c>
      <c r="I1705" s="74">
        <v>45960</v>
      </c>
      <c r="J1705">
        <v>1</v>
      </c>
      <c r="K1705" t="s">
        <v>513</v>
      </c>
      <c r="L1705" t="s">
        <v>262</v>
      </c>
      <c r="M1705" t="s">
        <v>356</v>
      </c>
      <c r="N1705" s="73">
        <v>67262</v>
      </c>
      <c r="O1705" s="73">
        <v>67262</v>
      </c>
      <c r="P1705">
        <v>34.681374159610094</v>
      </c>
    </row>
    <row r="1706" spans="1:16" x14ac:dyDescent="0.2">
      <c r="A1706" s="73">
        <v>67262</v>
      </c>
      <c r="B1706" t="s">
        <v>350</v>
      </c>
      <c r="C1706" s="73" t="s">
        <v>464</v>
      </c>
      <c r="D1706" t="s">
        <v>215</v>
      </c>
      <c r="E1706" s="74">
        <v>45961</v>
      </c>
      <c r="F1706" t="s">
        <v>395</v>
      </c>
      <c r="G1706" t="s">
        <v>396</v>
      </c>
      <c r="H1706" s="75">
        <f t="shared" si="26"/>
        <v>34.681374159610094</v>
      </c>
      <c r="I1706" s="74">
        <v>45961</v>
      </c>
      <c r="J1706">
        <v>1</v>
      </c>
      <c r="K1706" t="s">
        <v>513</v>
      </c>
      <c r="L1706" t="s">
        <v>262</v>
      </c>
      <c r="M1706" t="s">
        <v>356</v>
      </c>
      <c r="N1706" s="73">
        <v>67262</v>
      </c>
      <c r="O1706" s="73">
        <v>67262</v>
      </c>
      <c r="P1706">
        <v>34.681374159610094</v>
      </c>
    </row>
    <row r="1707" spans="1:16" x14ac:dyDescent="0.2">
      <c r="A1707" s="73">
        <v>67262</v>
      </c>
      <c r="B1707" t="s">
        <v>350</v>
      </c>
      <c r="C1707" s="73" t="s">
        <v>464</v>
      </c>
      <c r="D1707" t="s">
        <v>215</v>
      </c>
      <c r="E1707" s="74">
        <v>45965</v>
      </c>
      <c r="F1707" t="s">
        <v>395</v>
      </c>
      <c r="G1707" t="s">
        <v>396</v>
      </c>
      <c r="H1707" s="75">
        <f t="shared" si="26"/>
        <v>208.08824495766055</v>
      </c>
      <c r="I1707" s="74">
        <v>45965</v>
      </c>
      <c r="J1707">
        <v>6</v>
      </c>
      <c r="K1707" t="s">
        <v>514</v>
      </c>
      <c r="L1707" t="s">
        <v>262</v>
      </c>
      <c r="M1707" t="s">
        <v>356</v>
      </c>
      <c r="N1707" s="73">
        <v>67262</v>
      </c>
      <c r="O1707" s="73">
        <v>67262</v>
      </c>
      <c r="P1707">
        <v>34.681374159610094</v>
      </c>
    </row>
    <row r="1708" spans="1:16" x14ac:dyDescent="0.2">
      <c r="A1708" s="73">
        <v>67262</v>
      </c>
      <c r="B1708" t="s">
        <v>350</v>
      </c>
      <c r="C1708" s="73" t="s">
        <v>464</v>
      </c>
      <c r="D1708" t="s">
        <v>215</v>
      </c>
      <c r="E1708" s="74">
        <v>45965</v>
      </c>
      <c r="F1708" t="s">
        <v>387</v>
      </c>
      <c r="G1708" t="s">
        <v>388</v>
      </c>
      <c r="H1708" s="75">
        <f t="shared" si="26"/>
        <v>34.681374159610094</v>
      </c>
      <c r="I1708" s="74">
        <v>45965</v>
      </c>
      <c r="J1708">
        <v>1</v>
      </c>
      <c r="K1708" t="s">
        <v>514</v>
      </c>
      <c r="L1708" t="s">
        <v>367</v>
      </c>
      <c r="M1708" t="s">
        <v>356</v>
      </c>
      <c r="N1708" s="73">
        <v>67262</v>
      </c>
      <c r="O1708" s="73">
        <v>67262</v>
      </c>
      <c r="P1708">
        <v>34.681374159610094</v>
      </c>
    </row>
    <row r="1709" spans="1:16" x14ac:dyDescent="0.2">
      <c r="A1709" s="73">
        <v>67262</v>
      </c>
      <c r="B1709" t="s">
        <v>350</v>
      </c>
      <c r="C1709" s="73" t="s">
        <v>464</v>
      </c>
      <c r="D1709" t="s">
        <v>215</v>
      </c>
      <c r="E1709" s="74">
        <v>45966</v>
      </c>
      <c r="F1709" t="s">
        <v>395</v>
      </c>
      <c r="G1709" t="s">
        <v>396</v>
      </c>
      <c r="H1709" s="75">
        <f t="shared" si="26"/>
        <v>208.08824495766055</v>
      </c>
      <c r="I1709" s="74">
        <v>45966</v>
      </c>
      <c r="J1709">
        <v>6</v>
      </c>
      <c r="K1709" t="s">
        <v>514</v>
      </c>
      <c r="L1709" t="s">
        <v>262</v>
      </c>
      <c r="M1709" t="s">
        <v>356</v>
      </c>
      <c r="N1709" s="73">
        <v>67262</v>
      </c>
      <c r="O1709" s="73">
        <v>67262</v>
      </c>
      <c r="P1709">
        <v>34.681374159610094</v>
      </c>
    </row>
    <row r="1710" spans="1:16" x14ac:dyDescent="0.2">
      <c r="A1710" s="73">
        <v>67262</v>
      </c>
      <c r="B1710" t="s">
        <v>350</v>
      </c>
      <c r="C1710" s="73" t="s">
        <v>464</v>
      </c>
      <c r="D1710" t="s">
        <v>215</v>
      </c>
      <c r="E1710" s="74">
        <v>45966</v>
      </c>
      <c r="F1710" t="s">
        <v>387</v>
      </c>
      <c r="G1710" t="s">
        <v>388</v>
      </c>
      <c r="H1710" s="75">
        <f t="shared" si="26"/>
        <v>69.362748319220188</v>
      </c>
      <c r="I1710" s="74">
        <v>45966</v>
      </c>
      <c r="J1710">
        <v>2</v>
      </c>
      <c r="K1710" t="s">
        <v>514</v>
      </c>
      <c r="L1710" t="s">
        <v>367</v>
      </c>
      <c r="M1710" t="s">
        <v>356</v>
      </c>
      <c r="N1710" s="73">
        <v>67262</v>
      </c>
      <c r="O1710" s="73">
        <v>67262</v>
      </c>
      <c r="P1710">
        <v>34.681374159610094</v>
      </c>
    </row>
    <row r="1711" spans="1:16" x14ac:dyDescent="0.2">
      <c r="A1711" s="73">
        <v>67262</v>
      </c>
      <c r="B1711" t="s">
        <v>350</v>
      </c>
      <c r="C1711" s="73" t="s">
        <v>464</v>
      </c>
      <c r="D1711" t="s">
        <v>215</v>
      </c>
      <c r="E1711" s="74">
        <v>45967</v>
      </c>
      <c r="F1711" t="s">
        <v>387</v>
      </c>
      <c r="G1711" t="s">
        <v>388</v>
      </c>
      <c r="H1711" s="75">
        <f t="shared" si="26"/>
        <v>34.681374159610094</v>
      </c>
      <c r="I1711" s="74">
        <v>45967</v>
      </c>
      <c r="J1711">
        <v>1</v>
      </c>
      <c r="K1711" t="s">
        <v>514</v>
      </c>
      <c r="L1711" t="s">
        <v>367</v>
      </c>
      <c r="M1711" t="s">
        <v>356</v>
      </c>
      <c r="N1711" s="73">
        <v>67262</v>
      </c>
      <c r="O1711" s="73">
        <v>67262</v>
      </c>
      <c r="P1711">
        <v>34.681374159610094</v>
      </c>
    </row>
    <row r="1712" spans="1:16" x14ac:dyDescent="0.2">
      <c r="A1712" s="73">
        <v>67262</v>
      </c>
      <c r="B1712" t="s">
        <v>350</v>
      </c>
      <c r="C1712" s="73" t="s">
        <v>464</v>
      </c>
      <c r="D1712" t="s">
        <v>215</v>
      </c>
      <c r="E1712" s="74">
        <v>45972</v>
      </c>
      <c r="F1712" t="s">
        <v>387</v>
      </c>
      <c r="G1712" t="s">
        <v>388</v>
      </c>
      <c r="H1712" s="75">
        <f t="shared" si="26"/>
        <v>69.362748319220188</v>
      </c>
      <c r="I1712" s="74">
        <v>45972</v>
      </c>
      <c r="J1712">
        <v>2</v>
      </c>
      <c r="K1712" t="s">
        <v>514</v>
      </c>
      <c r="L1712" t="s">
        <v>367</v>
      </c>
      <c r="M1712" t="s">
        <v>356</v>
      </c>
      <c r="N1712" s="73">
        <v>67262</v>
      </c>
      <c r="O1712" s="73">
        <v>67262</v>
      </c>
      <c r="P1712">
        <v>34.681374159610094</v>
      </c>
    </row>
    <row r="1713" spans="1:16" x14ac:dyDescent="0.2">
      <c r="A1713" s="73">
        <v>67262</v>
      </c>
      <c r="B1713" t="s">
        <v>350</v>
      </c>
      <c r="C1713" s="73" t="s">
        <v>464</v>
      </c>
      <c r="D1713" t="s">
        <v>215</v>
      </c>
      <c r="E1713" s="74">
        <v>45973</v>
      </c>
      <c r="F1713" t="s">
        <v>387</v>
      </c>
      <c r="G1713" t="s">
        <v>388</v>
      </c>
      <c r="H1713" s="75">
        <f t="shared" si="26"/>
        <v>69.362748319220188</v>
      </c>
      <c r="I1713" s="74">
        <v>45973</v>
      </c>
      <c r="J1713">
        <v>2</v>
      </c>
      <c r="K1713" t="s">
        <v>514</v>
      </c>
      <c r="L1713" t="s">
        <v>367</v>
      </c>
      <c r="M1713" t="s">
        <v>356</v>
      </c>
      <c r="N1713" s="73">
        <v>67262</v>
      </c>
      <c r="O1713" s="73">
        <v>67262</v>
      </c>
      <c r="P1713">
        <v>34.681374159610094</v>
      </c>
    </row>
    <row r="1714" spans="1:16" x14ac:dyDescent="0.2">
      <c r="A1714" s="73">
        <v>67262</v>
      </c>
      <c r="B1714" t="s">
        <v>350</v>
      </c>
      <c r="C1714" s="73" t="s">
        <v>464</v>
      </c>
      <c r="D1714" t="s">
        <v>215</v>
      </c>
      <c r="E1714" s="74">
        <v>45978</v>
      </c>
      <c r="F1714" t="s">
        <v>387</v>
      </c>
      <c r="G1714" t="s">
        <v>388</v>
      </c>
      <c r="H1714" s="75">
        <f t="shared" si="26"/>
        <v>34.681374159610094</v>
      </c>
      <c r="I1714" s="74">
        <v>45978</v>
      </c>
      <c r="J1714">
        <v>1</v>
      </c>
      <c r="K1714" t="s">
        <v>514</v>
      </c>
      <c r="L1714" t="s">
        <v>367</v>
      </c>
      <c r="M1714" t="s">
        <v>356</v>
      </c>
      <c r="N1714" s="73">
        <v>67262</v>
      </c>
      <c r="O1714" s="73">
        <v>67262</v>
      </c>
      <c r="P1714">
        <v>34.681374159610094</v>
      </c>
    </row>
    <row r="1715" spans="1:16" x14ac:dyDescent="0.2">
      <c r="A1715" s="73">
        <v>67262</v>
      </c>
      <c r="B1715" t="s">
        <v>350</v>
      </c>
      <c r="C1715" s="73" t="s">
        <v>464</v>
      </c>
      <c r="D1715" t="s">
        <v>215</v>
      </c>
      <c r="E1715" s="74">
        <v>45980</v>
      </c>
      <c r="F1715" t="s">
        <v>387</v>
      </c>
      <c r="G1715" t="s">
        <v>388</v>
      </c>
      <c r="H1715" s="75">
        <f t="shared" si="26"/>
        <v>34.681374159610094</v>
      </c>
      <c r="I1715" s="74">
        <v>45980</v>
      </c>
      <c r="J1715">
        <v>1</v>
      </c>
      <c r="K1715" t="s">
        <v>514</v>
      </c>
      <c r="L1715" t="s">
        <v>367</v>
      </c>
      <c r="M1715" t="s">
        <v>356</v>
      </c>
      <c r="N1715" s="73">
        <v>67262</v>
      </c>
      <c r="O1715" s="73">
        <v>67262</v>
      </c>
      <c r="P1715">
        <v>34.681374159610094</v>
      </c>
    </row>
    <row r="1716" spans="1:16" x14ac:dyDescent="0.2">
      <c r="A1716" s="73">
        <v>67262</v>
      </c>
      <c r="B1716" t="s">
        <v>350</v>
      </c>
      <c r="C1716" s="73" t="s">
        <v>464</v>
      </c>
      <c r="D1716" t="s">
        <v>215</v>
      </c>
      <c r="E1716" s="74">
        <v>45981</v>
      </c>
      <c r="F1716" t="s">
        <v>387</v>
      </c>
      <c r="G1716" t="s">
        <v>388</v>
      </c>
      <c r="H1716" s="75">
        <f t="shared" si="26"/>
        <v>34.681374159610094</v>
      </c>
      <c r="I1716" s="74">
        <v>45981</v>
      </c>
      <c r="J1716">
        <v>1</v>
      </c>
      <c r="K1716" t="s">
        <v>514</v>
      </c>
      <c r="L1716" t="s">
        <v>367</v>
      </c>
      <c r="M1716" t="s">
        <v>356</v>
      </c>
      <c r="N1716" s="73">
        <v>67262</v>
      </c>
      <c r="O1716" s="73">
        <v>67262</v>
      </c>
      <c r="P1716">
        <v>34.681374159610094</v>
      </c>
    </row>
    <row r="1717" spans="1:16" x14ac:dyDescent="0.2">
      <c r="A1717" s="73">
        <v>67262</v>
      </c>
      <c r="B1717" t="s">
        <v>350</v>
      </c>
      <c r="C1717" s="73" t="s">
        <v>464</v>
      </c>
      <c r="D1717" t="s">
        <v>215</v>
      </c>
      <c r="E1717" s="74">
        <v>45982</v>
      </c>
      <c r="F1717" t="s">
        <v>360</v>
      </c>
      <c r="G1717" t="s">
        <v>361</v>
      </c>
      <c r="H1717" s="75">
        <f t="shared" si="26"/>
        <v>69.362748319220188</v>
      </c>
      <c r="I1717" s="74">
        <v>45982</v>
      </c>
      <c r="J1717">
        <v>2</v>
      </c>
      <c r="K1717" t="s">
        <v>514</v>
      </c>
      <c r="L1717" t="s">
        <v>262</v>
      </c>
      <c r="M1717" t="s">
        <v>356</v>
      </c>
      <c r="N1717" s="73">
        <v>67262</v>
      </c>
      <c r="O1717" s="73">
        <v>67262</v>
      </c>
      <c r="P1717">
        <v>34.681374159610094</v>
      </c>
    </row>
    <row r="1718" spans="1:16" x14ac:dyDescent="0.2">
      <c r="A1718" s="73">
        <v>67262</v>
      </c>
      <c r="B1718" t="s">
        <v>350</v>
      </c>
      <c r="C1718" s="73" t="s">
        <v>464</v>
      </c>
      <c r="D1718" t="s">
        <v>215</v>
      </c>
      <c r="E1718" s="74">
        <v>45982</v>
      </c>
      <c r="F1718" t="s">
        <v>387</v>
      </c>
      <c r="G1718" t="s">
        <v>388</v>
      </c>
      <c r="H1718" s="75">
        <f t="shared" si="26"/>
        <v>104.04412247883027</v>
      </c>
      <c r="I1718" s="74">
        <v>45982</v>
      </c>
      <c r="J1718">
        <v>3</v>
      </c>
      <c r="K1718" t="s">
        <v>514</v>
      </c>
      <c r="L1718" t="s">
        <v>367</v>
      </c>
      <c r="M1718" t="s">
        <v>356</v>
      </c>
      <c r="N1718" s="73">
        <v>67262</v>
      </c>
      <c r="O1718" s="73">
        <v>67262</v>
      </c>
      <c r="P1718">
        <v>34.681374159610094</v>
      </c>
    </row>
    <row r="1719" spans="1:16" x14ac:dyDescent="0.2">
      <c r="A1719" s="73">
        <v>67262</v>
      </c>
      <c r="B1719" t="s">
        <v>350</v>
      </c>
      <c r="C1719" s="73" t="s">
        <v>464</v>
      </c>
      <c r="D1719" t="s">
        <v>215</v>
      </c>
      <c r="E1719" s="74">
        <v>45985</v>
      </c>
      <c r="F1719" t="s">
        <v>387</v>
      </c>
      <c r="G1719" t="s">
        <v>388</v>
      </c>
      <c r="H1719" s="75">
        <f t="shared" si="26"/>
        <v>138.72549663844038</v>
      </c>
      <c r="I1719" s="74">
        <v>45985</v>
      </c>
      <c r="J1719">
        <v>4</v>
      </c>
      <c r="K1719" t="s">
        <v>514</v>
      </c>
      <c r="L1719" t="s">
        <v>367</v>
      </c>
      <c r="M1719" t="s">
        <v>356</v>
      </c>
      <c r="N1719" s="73">
        <v>67262</v>
      </c>
      <c r="O1719" s="73">
        <v>67262</v>
      </c>
      <c r="P1719">
        <v>34.681374159610094</v>
      </c>
    </row>
    <row r="1720" spans="1:16" x14ac:dyDescent="0.2">
      <c r="A1720" s="73">
        <v>67262</v>
      </c>
      <c r="B1720" t="s">
        <v>350</v>
      </c>
      <c r="C1720" s="73" t="s">
        <v>464</v>
      </c>
      <c r="D1720" t="s">
        <v>215</v>
      </c>
      <c r="E1720" s="74">
        <v>45986</v>
      </c>
      <c r="F1720" t="s">
        <v>387</v>
      </c>
      <c r="G1720" t="s">
        <v>388</v>
      </c>
      <c r="H1720" s="75">
        <f t="shared" si="26"/>
        <v>138.72549663844038</v>
      </c>
      <c r="I1720" s="74">
        <v>45986</v>
      </c>
      <c r="J1720">
        <v>4</v>
      </c>
      <c r="K1720" t="s">
        <v>514</v>
      </c>
      <c r="L1720" t="s">
        <v>367</v>
      </c>
      <c r="M1720" t="s">
        <v>356</v>
      </c>
      <c r="N1720" s="73">
        <v>67262</v>
      </c>
      <c r="O1720" s="73">
        <v>67262</v>
      </c>
      <c r="P1720">
        <v>34.681374159610094</v>
      </c>
    </row>
    <row r="1721" spans="1:16" x14ac:dyDescent="0.2">
      <c r="A1721" s="73">
        <v>67262</v>
      </c>
      <c r="B1721" t="s">
        <v>350</v>
      </c>
      <c r="C1721" s="73" t="s">
        <v>464</v>
      </c>
      <c r="D1721" t="s">
        <v>215</v>
      </c>
      <c r="E1721" s="74">
        <v>45988</v>
      </c>
      <c r="F1721" t="s">
        <v>387</v>
      </c>
      <c r="G1721" t="s">
        <v>388</v>
      </c>
      <c r="H1721" s="75">
        <f t="shared" si="26"/>
        <v>69.362748319220188</v>
      </c>
      <c r="I1721" s="74">
        <v>45988</v>
      </c>
      <c r="J1721">
        <v>2</v>
      </c>
      <c r="K1721" t="s">
        <v>514</v>
      </c>
      <c r="L1721" t="s">
        <v>367</v>
      </c>
      <c r="M1721" t="s">
        <v>356</v>
      </c>
      <c r="N1721" s="73">
        <v>67262</v>
      </c>
      <c r="O1721" s="73">
        <v>67262</v>
      </c>
      <c r="P1721">
        <v>34.681374159610094</v>
      </c>
    </row>
    <row r="1722" spans="1:16" x14ac:dyDescent="0.2">
      <c r="A1722" s="73">
        <v>67262</v>
      </c>
      <c r="B1722" t="s">
        <v>350</v>
      </c>
      <c r="C1722" s="73" t="s">
        <v>464</v>
      </c>
      <c r="D1722" t="s">
        <v>215</v>
      </c>
      <c r="E1722" s="74">
        <v>45992</v>
      </c>
      <c r="F1722" t="s">
        <v>387</v>
      </c>
      <c r="G1722" t="s">
        <v>388</v>
      </c>
      <c r="H1722" s="75">
        <f t="shared" si="26"/>
        <v>69.362748319220188</v>
      </c>
      <c r="I1722" s="74">
        <v>45992</v>
      </c>
      <c r="J1722">
        <v>2</v>
      </c>
      <c r="K1722" t="s">
        <v>515</v>
      </c>
      <c r="L1722" t="s">
        <v>367</v>
      </c>
      <c r="M1722" t="s">
        <v>356</v>
      </c>
      <c r="N1722" s="73">
        <v>67262</v>
      </c>
      <c r="O1722" s="73">
        <v>67262</v>
      </c>
      <c r="P1722">
        <v>34.681374159610094</v>
      </c>
    </row>
    <row r="1723" spans="1:16" x14ac:dyDescent="0.2">
      <c r="A1723" s="73">
        <v>67262</v>
      </c>
      <c r="B1723" t="s">
        <v>350</v>
      </c>
      <c r="C1723" s="73" t="s">
        <v>464</v>
      </c>
      <c r="D1723" t="s">
        <v>215</v>
      </c>
      <c r="E1723" s="74">
        <v>45992</v>
      </c>
      <c r="F1723" t="s">
        <v>404</v>
      </c>
      <c r="G1723" t="s">
        <v>405</v>
      </c>
      <c r="H1723" s="75">
        <f t="shared" si="26"/>
        <v>242.76961911727065</v>
      </c>
      <c r="I1723" s="74">
        <v>45992</v>
      </c>
      <c r="J1723">
        <v>7</v>
      </c>
      <c r="K1723" t="s">
        <v>515</v>
      </c>
      <c r="L1723" t="s">
        <v>262</v>
      </c>
      <c r="M1723" t="s">
        <v>356</v>
      </c>
      <c r="N1723" s="73">
        <v>67262</v>
      </c>
      <c r="O1723" s="73">
        <v>67262</v>
      </c>
      <c r="P1723">
        <v>34.681374159610094</v>
      </c>
    </row>
    <row r="1724" spans="1:16" x14ac:dyDescent="0.2">
      <c r="A1724" s="73">
        <v>67262</v>
      </c>
      <c r="B1724" t="s">
        <v>350</v>
      </c>
      <c r="C1724" s="73" t="s">
        <v>464</v>
      </c>
      <c r="D1724" t="s">
        <v>215</v>
      </c>
      <c r="E1724" s="74">
        <v>45993</v>
      </c>
      <c r="F1724" t="s">
        <v>404</v>
      </c>
      <c r="G1724" t="s">
        <v>405</v>
      </c>
      <c r="H1724" s="75">
        <f t="shared" si="26"/>
        <v>242.76961911727065</v>
      </c>
      <c r="I1724" s="74">
        <v>45993</v>
      </c>
      <c r="J1724">
        <v>7</v>
      </c>
      <c r="K1724" t="s">
        <v>515</v>
      </c>
      <c r="L1724" t="s">
        <v>262</v>
      </c>
      <c r="M1724" t="s">
        <v>356</v>
      </c>
      <c r="N1724" s="73">
        <v>67262</v>
      </c>
      <c r="O1724" s="73">
        <v>67262</v>
      </c>
      <c r="P1724">
        <v>34.681374159610094</v>
      </c>
    </row>
    <row r="1725" spans="1:16" x14ac:dyDescent="0.2">
      <c r="A1725" s="73">
        <v>67262</v>
      </c>
      <c r="B1725" t="s">
        <v>350</v>
      </c>
      <c r="C1725" s="73" t="s">
        <v>464</v>
      </c>
      <c r="D1725" t="s">
        <v>215</v>
      </c>
      <c r="E1725" s="74">
        <v>45993</v>
      </c>
      <c r="F1725" t="s">
        <v>387</v>
      </c>
      <c r="G1725" t="s">
        <v>388</v>
      </c>
      <c r="H1725" s="75">
        <f t="shared" si="26"/>
        <v>69.362748319220188</v>
      </c>
      <c r="I1725" s="74">
        <v>45993</v>
      </c>
      <c r="J1725">
        <v>2</v>
      </c>
      <c r="K1725" t="s">
        <v>515</v>
      </c>
      <c r="L1725" t="s">
        <v>367</v>
      </c>
      <c r="M1725" t="s">
        <v>356</v>
      </c>
      <c r="N1725" s="73">
        <v>67262</v>
      </c>
      <c r="O1725" s="73">
        <v>67262</v>
      </c>
      <c r="P1725">
        <v>34.681374159610094</v>
      </c>
    </row>
    <row r="1726" spans="1:16" x14ac:dyDescent="0.2">
      <c r="A1726" s="73">
        <v>67262</v>
      </c>
      <c r="B1726" t="s">
        <v>350</v>
      </c>
      <c r="C1726" s="73" t="s">
        <v>464</v>
      </c>
      <c r="D1726" t="s">
        <v>215</v>
      </c>
      <c r="E1726" s="74">
        <v>45994</v>
      </c>
      <c r="F1726" t="s">
        <v>360</v>
      </c>
      <c r="G1726" t="s">
        <v>361</v>
      </c>
      <c r="H1726" s="75">
        <f t="shared" si="26"/>
        <v>173.40687079805048</v>
      </c>
      <c r="I1726" s="74">
        <v>45994</v>
      </c>
      <c r="J1726">
        <v>5</v>
      </c>
      <c r="K1726" t="s">
        <v>515</v>
      </c>
      <c r="L1726" t="s">
        <v>262</v>
      </c>
      <c r="M1726" t="s">
        <v>356</v>
      </c>
      <c r="N1726" s="73">
        <v>67262</v>
      </c>
      <c r="O1726" s="73">
        <v>67262</v>
      </c>
      <c r="P1726">
        <v>34.681374159610094</v>
      </c>
    </row>
    <row r="1727" spans="1:16" x14ac:dyDescent="0.2">
      <c r="A1727" s="73">
        <v>67262</v>
      </c>
      <c r="B1727" t="s">
        <v>350</v>
      </c>
      <c r="C1727" s="73" t="s">
        <v>464</v>
      </c>
      <c r="D1727" t="s">
        <v>215</v>
      </c>
      <c r="E1727" s="74">
        <v>45994</v>
      </c>
      <c r="F1727" t="s">
        <v>404</v>
      </c>
      <c r="G1727" t="s">
        <v>405</v>
      </c>
      <c r="H1727" s="75">
        <f t="shared" si="26"/>
        <v>242.76961911727065</v>
      </c>
      <c r="I1727" s="74">
        <v>45994</v>
      </c>
      <c r="J1727">
        <v>7</v>
      </c>
      <c r="K1727" t="s">
        <v>515</v>
      </c>
      <c r="L1727" t="s">
        <v>262</v>
      </c>
      <c r="M1727" t="s">
        <v>356</v>
      </c>
      <c r="N1727" s="73">
        <v>67262</v>
      </c>
      <c r="O1727" s="73">
        <v>67262</v>
      </c>
      <c r="P1727">
        <v>34.681374159610094</v>
      </c>
    </row>
    <row r="1728" spans="1:16" x14ac:dyDescent="0.2">
      <c r="A1728" s="73">
        <v>67262</v>
      </c>
      <c r="B1728" t="s">
        <v>350</v>
      </c>
      <c r="C1728" s="73" t="s">
        <v>464</v>
      </c>
      <c r="D1728" t="s">
        <v>215</v>
      </c>
      <c r="E1728" s="74">
        <v>45994</v>
      </c>
      <c r="F1728" t="s">
        <v>387</v>
      </c>
      <c r="G1728" t="s">
        <v>388</v>
      </c>
      <c r="H1728" s="75">
        <f t="shared" si="26"/>
        <v>138.72549663844038</v>
      </c>
      <c r="I1728" s="74">
        <v>45994</v>
      </c>
      <c r="J1728">
        <v>4</v>
      </c>
      <c r="K1728" t="s">
        <v>515</v>
      </c>
      <c r="L1728" t="s">
        <v>367</v>
      </c>
      <c r="M1728" t="s">
        <v>356</v>
      </c>
      <c r="N1728" s="73">
        <v>67262</v>
      </c>
      <c r="O1728" s="73">
        <v>67262</v>
      </c>
      <c r="P1728">
        <v>34.681374159610094</v>
      </c>
    </row>
    <row r="1729" spans="1:16" x14ac:dyDescent="0.2">
      <c r="A1729" s="73">
        <v>67262</v>
      </c>
      <c r="B1729" t="s">
        <v>350</v>
      </c>
      <c r="C1729" s="73" t="s">
        <v>464</v>
      </c>
      <c r="D1729" t="s">
        <v>215</v>
      </c>
      <c r="E1729" s="74">
        <v>45995</v>
      </c>
      <c r="F1729" t="s">
        <v>404</v>
      </c>
      <c r="G1729" t="s">
        <v>405</v>
      </c>
      <c r="H1729" s="75">
        <f t="shared" si="26"/>
        <v>242.76961911727065</v>
      </c>
      <c r="I1729" s="74">
        <v>45995</v>
      </c>
      <c r="J1729">
        <v>7</v>
      </c>
      <c r="K1729" t="s">
        <v>515</v>
      </c>
      <c r="L1729" t="s">
        <v>262</v>
      </c>
      <c r="M1729" t="s">
        <v>356</v>
      </c>
      <c r="N1729" s="73">
        <v>67262</v>
      </c>
      <c r="O1729" s="73">
        <v>67262</v>
      </c>
      <c r="P1729">
        <v>34.681374159610094</v>
      </c>
    </row>
    <row r="1730" spans="1:16" x14ac:dyDescent="0.2">
      <c r="A1730" s="73">
        <v>67262</v>
      </c>
      <c r="B1730" t="s">
        <v>350</v>
      </c>
      <c r="C1730" s="73" t="s">
        <v>464</v>
      </c>
      <c r="D1730" t="s">
        <v>215</v>
      </c>
      <c r="E1730" s="74">
        <v>45996</v>
      </c>
      <c r="F1730" t="s">
        <v>360</v>
      </c>
      <c r="G1730" t="s">
        <v>361</v>
      </c>
      <c r="H1730" s="75">
        <f t="shared" ref="H1730:H1793" si="27">J1730*P1730</f>
        <v>69.362748319220188</v>
      </c>
      <c r="I1730" s="74">
        <v>45996</v>
      </c>
      <c r="J1730">
        <v>2</v>
      </c>
      <c r="K1730" t="s">
        <v>515</v>
      </c>
      <c r="L1730" t="s">
        <v>262</v>
      </c>
      <c r="M1730" t="s">
        <v>356</v>
      </c>
      <c r="N1730" s="73">
        <v>67262</v>
      </c>
      <c r="O1730" s="73">
        <v>67262</v>
      </c>
      <c r="P1730">
        <v>34.681374159610094</v>
      </c>
    </row>
    <row r="1731" spans="1:16" x14ac:dyDescent="0.2">
      <c r="A1731" s="73">
        <v>67262</v>
      </c>
      <c r="B1731" t="s">
        <v>350</v>
      </c>
      <c r="C1731" s="73" t="s">
        <v>464</v>
      </c>
      <c r="D1731" t="s">
        <v>215</v>
      </c>
      <c r="E1731" s="74">
        <v>45996</v>
      </c>
      <c r="F1731" t="s">
        <v>404</v>
      </c>
      <c r="G1731" t="s">
        <v>405</v>
      </c>
      <c r="H1731" s="75">
        <f t="shared" si="27"/>
        <v>242.76961911727065</v>
      </c>
      <c r="I1731" s="74">
        <v>45996</v>
      </c>
      <c r="J1731">
        <v>7</v>
      </c>
      <c r="K1731" t="s">
        <v>515</v>
      </c>
      <c r="L1731" t="s">
        <v>262</v>
      </c>
      <c r="M1731" t="s">
        <v>356</v>
      </c>
      <c r="N1731" s="73">
        <v>67262</v>
      </c>
      <c r="O1731" s="73">
        <v>67262</v>
      </c>
      <c r="P1731">
        <v>34.681374159610094</v>
      </c>
    </row>
    <row r="1732" spans="1:16" x14ac:dyDescent="0.2">
      <c r="A1732" s="73">
        <v>67262</v>
      </c>
      <c r="B1732" t="s">
        <v>350</v>
      </c>
      <c r="C1732" s="73" t="s">
        <v>464</v>
      </c>
      <c r="D1732" t="s">
        <v>215</v>
      </c>
      <c r="E1732" s="74">
        <v>46001</v>
      </c>
      <c r="F1732" t="s">
        <v>360</v>
      </c>
      <c r="G1732" t="s">
        <v>361</v>
      </c>
      <c r="H1732" s="75">
        <f t="shared" si="27"/>
        <v>69.362748319220188</v>
      </c>
      <c r="I1732" s="74">
        <v>46001</v>
      </c>
      <c r="J1732">
        <v>2</v>
      </c>
      <c r="K1732" t="s">
        <v>515</v>
      </c>
      <c r="L1732" t="s">
        <v>262</v>
      </c>
      <c r="M1732" t="s">
        <v>356</v>
      </c>
      <c r="N1732" s="73">
        <v>67262</v>
      </c>
      <c r="O1732" s="73">
        <v>67262</v>
      </c>
      <c r="P1732">
        <v>34.681374159610094</v>
      </c>
    </row>
    <row r="1733" spans="1:16" x14ac:dyDescent="0.2">
      <c r="A1733" s="73">
        <v>67262</v>
      </c>
      <c r="B1733" t="s">
        <v>350</v>
      </c>
      <c r="C1733" s="73" t="s">
        <v>464</v>
      </c>
      <c r="D1733" t="s">
        <v>215</v>
      </c>
      <c r="E1733" s="74">
        <v>46013</v>
      </c>
      <c r="F1733" t="s">
        <v>404</v>
      </c>
      <c r="G1733" t="s">
        <v>405</v>
      </c>
      <c r="H1733" s="75">
        <f t="shared" si="27"/>
        <v>242.76961911727065</v>
      </c>
      <c r="I1733" s="74">
        <v>46013</v>
      </c>
      <c r="J1733">
        <v>7</v>
      </c>
      <c r="K1733" t="s">
        <v>515</v>
      </c>
      <c r="L1733" t="s">
        <v>262</v>
      </c>
      <c r="M1733" t="s">
        <v>356</v>
      </c>
      <c r="N1733" s="73">
        <v>67262</v>
      </c>
      <c r="O1733" s="73">
        <v>67262</v>
      </c>
      <c r="P1733">
        <v>34.681374159610094</v>
      </c>
    </row>
    <row r="1734" spans="1:16" x14ac:dyDescent="0.2">
      <c r="A1734" s="73">
        <v>67262</v>
      </c>
      <c r="B1734" t="s">
        <v>350</v>
      </c>
      <c r="C1734" s="73" t="s">
        <v>464</v>
      </c>
      <c r="D1734" t="s">
        <v>215</v>
      </c>
      <c r="E1734" s="74">
        <v>46014</v>
      </c>
      <c r="F1734" t="s">
        <v>404</v>
      </c>
      <c r="G1734" t="s">
        <v>405</v>
      </c>
      <c r="H1734" s="75">
        <f t="shared" si="27"/>
        <v>242.76961911727065</v>
      </c>
      <c r="I1734" s="74">
        <v>46014</v>
      </c>
      <c r="J1734">
        <v>7</v>
      </c>
      <c r="K1734" t="s">
        <v>515</v>
      </c>
      <c r="L1734" t="s">
        <v>262</v>
      </c>
      <c r="M1734" t="s">
        <v>356</v>
      </c>
      <c r="N1734" s="73">
        <v>67262</v>
      </c>
      <c r="O1734" s="73">
        <v>67262</v>
      </c>
      <c r="P1734">
        <v>34.681374159610094</v>
      </c>
    </row>
    <row r="1735" spans="1:16" x14ac:dyDescent="0.2">
      <c r="A1735" s="73">
        <v>67262</v>
      </c>
      <c r="B1735" t="s">
        <v>350</v>
      </c>
      <c r="C1735" s="73" t="s">
        <v>464</v>
      </c>
      <c r="D1735" t="s">
        <v>215</v>
      </c>
      <c r="E1735" s="74">
        <v>46015</v>
      </c>
      <c r="F1735" t="s">
        <v>404</v>
      </c>
      <c r="G1735" t="s">
        <v>405</v>
      </c>
      <c r="H1735" s="75">
        <f t="shared" si="27"/>
        <v>242.76961911727065</v>
      </c>
      <c r="I1735" s="74">
        <v>46015</v>
      </c>
      <c r="J1735">
        <v>7</v>
      </c>
      <c r="K1735" t="s">
        <v>515</v>
      </c>
      <c r="L1735" t="s">
        <v>262</v>
      </c>
      <c r="M1735" t="s">
        <v>356</v>
      </c>
      <c r="N1735" s="73">
        <v>67262</v>
      </c>
      <c r="O1735" s="73">
        <v>67262</v>
      </c>
      <c r="P1735">
        <v>34.681374159610094</v>
      </c>
    </row>
    <row r="1736" spans="1:16" x14ac:dyDescent="0.2">
      <c r="A1736" s="73">
        <v>67262</v>
      </c>
      <c r="B1736" t="s">
        <v>350</v>
      </c>
      <c r="C1736" s="73" t="s">
        <v>464</v>
      </c>
      <c r="D1736" t="s">
        <v>215</v>
      </c>
      <c r="E1736" s="74">
        <v>46017</v>
      </c>
      <c r="F1736" t="s">
        <v>404</v>
      </c>
      <c r="G1736" t="s">
        <v>405</v>
      </c>
      <c r="H1736" s="75">
        <f t="shared" si="27"/>
        <v>138.72549663844038</v>
      </c>
      <c r="I1736" s="74">
        <v>46017</v>
      </c>
      <c r="J1736">
        <v>4</v>
      </c>
      <c r="K1736" t="s">
        <v>515</v>
      </c>
      <c r="L1736" t="s">
        <v>262</v>
      </c>
      <c r="M1736" t="s">
        <v>356</v>
      </c>
      <c r="N1736" s="73">
        <v>67262</v>
      </c>
      <c r="O1736" s="73">
        <v>67262</v>
      </c>
      <c r="P1736">
        <v>34.681374159610094</v>
      </c>
    </row>
    <row r="1737" spans="1:16" x14ac:dyDescent="0.2">
      <c r="A1737" s="73">
        <v>67262</v>
      </c>
      <c r="B1737" t="s">
        <v>350</v>
      </c>
      <c r="C1737" s="73" t="s">
        <v>464</v>
      </c>
      <c r="D1737" t="s">
        <v>215</v>
      </c>
      <c r="E1737" s="74">
        <v>46020</v>
      </c>
      <c r="F1737" t="s">
        <v>404</v>
      </c>
      <c r="G1737" t="s">
        <v>405</v>
      </c>
      <c r="H1737" s="75">
        <f t="shared" si="27"/>
        <v>242.76961911727065</v>
      </c>
      <c r="I1737" s="74">
        <v>46020</v>
      </c>
      <c r="J1737">
        <v>7</v>
      </c>
      <c r="K1737" t="s">
        <v>515</v>
      </c>
      <c r="L1737" t="s">
        <v>262</v>
      </c>
      <c r="M1737" t="s">
        <v>356</v>
      </c>
      <c r="N1737" s="73">
        <v>67262</v>
      </c>
      <c r="O1737" s="73">
        <v>67262</v>
      </c>
      <c r="P1737">
        <v>34.681374159610094</v>
      </c>
    </row>
    <row r="1738" spans="1:16" x14ac:dyDescent="0.2">
      <c r="A1738" s="73">
        <v>67262</v>
      </c>
      <c r="B1738" t="s">
        <v>350</v>
      </c>
      <c r="C1738" s="73" t="s">
        <v>464</v>
      </c>
      <c r="D1738" t="s">
        <v>215</v>
      </c>
      <c r="E1738" s="74">
        <v>46020</v>
      </c>
      <c r="F1738" t="s">
        <v>387</v>
      </c>
      <c r="G1738" t="s">
        <v>388</v>
      </c>
      <c r="H1738" s="75">
        <f t="shared" si="27"/>
        <v>34.681374159610094</v>
      </c>
      <c r="I1738" s="74">
        <v>46020</v>
      </c>
      <c r="J1738">
        <v>1</v>
      </c>
      <c r="K1738" t="s">
        <v>515</v>
      </c>
      <c r="L1738" t="s">
        <v>367</v>
      </c>
      <c r="M1738" t="s">
        <v>356</v>
      </c>
      <c r="N1738" s="73">
        <v>67262</v>
      </c>
      <c r="O1738" s="73">
        <v>67262</v>
      </c>
      <c r="P1738">
        <v>34.681374159610094</v>
      </c>
    </row>
    <row r="1739" spans="1:16" x14ac:dyDescent="0.2">
      <c r="A1739" s="73">
        <v>67262</v>
      </c>
      <c r="B1739" t="s">
        <v>350</v>
      </c>
      <c r="C1739" s="73" t="s">
        <v>464</v>
      </c>
      <c r="D1739" t="s">
        <v>215</v>
      </c>
      <c r="E1739" s="74">
        <v>46021</v>
      </c>
      <c r="F1739" t="s">
        <v>404</v>
      </c>
      <c r="G1739" t="s">
        <v>405</v>
      </c>
      <c r="H1739" s="75">
        <f t="shared" si="27"/>
        <v>242.76961911727065</v>
      </c>
      <c r="I1739" s="74">
        <v>46021</v>
      </c>
      <c r="J1739">
        <v>7</v>
      </c>
      <c r="K1739" t="s">
        <v>515</v>
      </c>
      <c r="L1739" t="s">
        <v>262</v>
      </c>
      <c r="M1739" t="s">
        <v>356</v>
      </c>
      <c r="N1739" s="73">
        <v>67262</v>
      </c>
      <c r="O1739" s="73">
        <v>67262</v>
      </c>
      <c r="P1739">
        <v>34.681374159610094</v>
      </c>
    </row>
    <row r="1740" spans="1:16" x14ac:dyDescent="0.2">
      <c r="A1740" s="73">
        <v>67262</v>
      </c>
      <c r="B1740" t="s">
        <v>350</v>
      </c>
      <c r="C1740" s="73" t="s">
        <v>464</v>
      </c>
      <c r="D1740" t="s">
        <v>215</v>
      </c>
      <c r="E1740" s="74">
        <v>46021</v>
      </c>
      <c r="F1740" t="s">
        <v>387</v>
      </c>
      <c r="G1740" t="s">
        <v>388</v>
      </c>
      <c r="H1740" s="75">
        <f t="shared" si="27"/>
        <v>34.681374159610094</v>
      </c>
      <c r="I1740" s="74">
        <v>46021</v>
      </c>
      <c r="J1740">
        <v>1</v>
      </c>
      <c r="K1740" t="s">
        <v>515</v>
      </c>
      <c r="L1740" t="s">
        <v>367</v>
      </c>
      <c r="M1740" t="s">
        <v>356</v>
      </c>
      <c r="N1740" s="73">
        <v>67262</v>
      </c>
      <c r="O1740" s="73">
        <v>67262</v>
      </c>
      <c r="P1740">
        <v>34.681374159610094</v>
      </c>
    </row>
    <row r="1741" spans="1:16" x14ac:dyDescent="0.2">
      <c r="A1741" s="73">
        <v>67262</v>
      </c>
      <c r="B1741" t="s">
        <v>350</v>
      </c>
      <c r="C1741" s="73" t="s">
        <v>464</v>
      </c>
      <c r="D1741" t="s">
        <v>215</v>
      </c>
      <c r="E1741" s="74">
        <v>46022</v>
      </c>
      <c r="F1741" t="s">
        <v>404</v>
      </c>
      <c r="G1741" t="s">
        <v>405</v>
      </c>
      <c r="H1741" s="75">
        <f t="shared" si="27"/>
        <v>242.76961911727065</v>
      </c>
      <c r="I1741" s="74">
        <v>46022</v>
      </c>
      <c r="J1741">
        <v>7</v>
      </c>
      <c r="K1741" t="s">
        <v>515</v>
      </c>
      <c r="L1741" t="s">
        <v>262</v>
      </c>
      <c r="M1741" t="s">
        <v>356</v>
      </c>
      <c r="N1741" s="73">
        <v>67262</v>
      </c>
      <c r="O1741" s="73">
        <v>67262</v>
      </c>
      <c r="P1741">
        <v>34.681374159610094</v>
      </c>
    </row>
    <row r="1742" spans="1:16" x14ac:dyDescent="0.2">
      <c r="A1742" s="73">
        <v>67262</v>
      </c>
      <c r="B1742" t="s">
        <v>350</v>
      </c>
      <c r="C1742" s="73" t="s">
        <v>464</v>
      </c>
      <c r="D1742" t="s">
        <v>215</v>
      </c>
      <c r="E1742" s="74">
        <v>46022</v>
      </c>
      <c r="F1742" t="s">
        <v>387</v>
      </c>
      <c r="G1742" t="s">
        <v>388</v>
      </c>
      <c r="H1742" s="75">
        <f t="shared" si="27"/>
        <v>104.04412247883027</v>
      </c>
      <c r="I1742" s="74">
        <v>46022</v>
      </c>
      <c r="J1742">
        <v>3</v>
      </c>
      <c r="K1742" t="s">
        <v>515</v>
      </c>
      <c r="L1742" t="s">
        <v>367</v>
      </c>
      <c r="M1742" t="s">
        <v>356</v>
      </c>
      <c r="N1742" s="73">
        <v>67262</v>
      </c>
      <c r="O1742" s="73">
        <v>67262</v>
      </c>
      <c r="P1742">
        <v>34.681374159610094</v>
      </c>
    </row>
    <row r="1743" spans="1:16" x14ac:dyDescent="0.2">
      <c r="A1743" s="73">
        <v>67262</v>
      </c>
      <c r="B1743" t="s">
        <v>350</v>
      </c>
      <c r="C1743" s="73" t="s">
        <v>464</v>
      </c>
      <c r="D1743" t="s">
        <v>215</v>
      </c>
      <c r="E1743" s="74">
        <v>46024</v>
      </c>
      <c r="F1743" t="s">
        <v>404</v>
      </c>
      <c r="G1743" t="s">
        <v>405</v>
      </c>
      <c r="H1743" s="75">
        <f t="shared" si="27"/>
        <v>242.76961911727065</v>
      </c>
      <c r="I1743" s="74">
        <v>46024</v>
      </c>
      <c r="J1743">
        <v>7</v>
      </c>
      <c r="K1743" t="s">
        <v>516</v>
      </c>
      <c r="L1743" t="s">
        <v>262</v>
      </c>
      <c r="M1743" t="s">
        <v>356</v>
      </c>
      <c r="N1743" s="73">
        <v>67262</v>
      </c>
      <c r="O1743" s="73">
        <v>67262</v>
      </c>
      <c r="P1743">
        <v>34.681374159610094</v>
      </c>
    </row>
    <row r="1744" spans="1:16" x14ac:dyDescent="0.2">
      <c r="A1744" s="73">
        <v>67262</v>
      </c>
      <c r="B1744" t="s">
        <v>350</v>
      </c>
      <c r="C1744" s="73" t="s">
        <v>464</v>
      </c>
      <c r="D1744" t="s">
        <v>215</v>
      </c>
      <c r="E1744" s="74">
        <v>46024</v>
      </c>
      <c r="F1744" t="s">
        <v>387</v>
      </c>
      <c r="G1744" t="s">
        <v>388</v>
      </c>
      <c r="H1744" s="75">
        <f t="shared" si="27"/>
        <v>34.681374159610094</v>
      </c>
      <c r="I1744" s="74">
        <v>46024</v>
      </c>
      <c r="J1744">
        <v>1</v>
      </c>
      <c r="K1744" t="s">
        <v>516</v>
      </c>
      <c r="L1744" t="s">
        <v>367</v>
      </c>
      <c r="M1744" t="s">
        <v>356</v>
      </c>
      <c r="N1744" s="73">
        <v>67262</v>
      </c>
      <c r="O1744" s="73">
        <v>67262</v>
      </c>
      <c r="P1744">
        <v>34.681374159610094</v>
      </c>
    </row>
    <row r="1745" spans="1:16" x14ac:dyDescent="0.2">
      <c r="A1745" s="73">
        <v>67262</v>
      </c>
      <c r="B1745" t="s">
        <v>350</v>
      </c>
      <c r="C1745" s="73" t="s">
        <v>464</v>
      </c>
      <c r="D1745" t="s">
        <v>215</v>
      </c>
      <c r="E1745" s="74">
        <v>46027</v>
      </c>
      <c r="F1745" t="s">
        <v>387</v>
      </c>
      <c r="G1745" t="s">
        <v>388</v>
      </c>
      <c r="H1745" s="75">
        <f t="shared" si="27"/>
        <v>69.362748319220188</v>
      </c>
      <c r="I1745" s="74">
        <v>46027</v>
      </c>
      <c r="J1745">
        <v>2</v>
      </c>
      <c r="K1745" t="s">
        <v>516</v>
      </c>
      <c r="L1745" t="s">
        <v>367</v>
      </c>
      <c r="M1745" t="s">
        <v>356</v>
      </c>
      <c r="N1745" s="73">
        <v>67262</v>
      </c>
      <c r="O1745" s="73">
        <v>67262</v>
      </c>
      <c r="P1745">
        <v>34.681374159610094</v>
      </c>
    </row>
    <row r="1746" spans="1:16" x14ac:dyDescent="0.2">
      <c r="A1746" s="73">
        <v>67262</v>
      </c>
      <c r="B1746" t="s">
        <v>350</v>
      </c>
      <c r="C1746" s="73" t="s">
        <v>464</v>
      </c>
      <c r="D1746" t="s">
        <v>215</v>
      </c>
      <c r="E1746" s="74">
        <v>46027</v>
      </c>
      <c r="F1746" t="s">
        <v>404</v>
      </c>
      <c r="G1746" t="s">
        <v>405</v>
      </c>
      <c r="H1746" s="75">
        <f t="shared" si="27"/>
        <v>242.76961911727065</v>
      </c>
      <c r="I1746" s="74">
        <v>46027</v>
      </c>
      <c r="J1746">
        <v>7</v>
      </c>
      <c r="K1746" t="s">
        <v>516</v>
      </c>
      <c r="L1746" t="s">
        <v>262</v>
      </c>
      <c r="M1746" t="s">
        <v>356</v>
      </c>
      <c r="N1746" s="73">
        <v>67262</v>
      </c>
      <c r="O1746" s="73">
        <v>67262</v>
      </c>
      <c r="P1746">
        <v>34.681374159610094</v>
      </c>
    </row>
    <row r="1747" spans="1:16" x14ac:dyDescent="0.2">
      <c r="A1747" s="73">
        <v>67262</v>
      </c>
      <c r="B1747" t="s">
        <v>350</v>
      </c>
      <c r="C1747" s="73" t="s">
        <v>464</v>
      </c>
      <c r="D1747" t="s">
        <v>215</v>
      </c>
      <c r="E1747" s="74">
        <v>46028</v>
      </c>
      <c r="F1747" t="s">
        <v>404</v>
      </c>
      <c r="G1747" t="s">
        <v>405</v>
      </c>
      <c r="H1747" s="75">
        <f t="shared" si="27"/>
        <v>121.38480955863533</v>
      </c>
      <c r="I1747" s="74">
        <v>46028</v>
      </c>
      <c r="J1747">
        <v>3.5</v>
      </c>
      <c r="K1747" t="s">
        <v>516</v>
      </c>
      <c r="L1747" t="s">
        <v>262</v>
      </c>
      <c r="M1747" t="s">
        <v>356</v>
      </c>
      <c r="N1747" s="73">
        <v>67262</v>
      </c>
      <c r="O1747" s="73">
        <v>67262</v>
      </c>
      <c r="P1747">
        <v>34.681374159610094</v>
      </c>
    </row>
    <row r="1748" spans="1:16" x14ac:dyDescent="0.2">
      <c r="A1748" s="73">
        <v>67262</v>
      </c>
      <c r="B1748" t="s">
        <v>350</v>
      </c>
      <c r="C1748" s="73" t="s">
        <v>464</v>
      </c>
      <c r="D1748" t="s">
        <v>215</v>
      </c>
      <c r="E1748" s="74">
        <v>46028</v>
      </c>
      <c r="F1748" t="s">
        <v>387</v>
      </c>
      <c r="G1748" t="s">
        <v>388</v>
      </c>
      <c r="H1748" s="75">
        <f t="shared" si="27"/>
        <v>208.08824495766055</v>
      </c>
      <c r="I1748" s="74">
        <v>46028</v>
      </c>
      <c r="J1748">
        <v>6</v>
      </c>
      <c r="K1748" t="s">
        <v>516</v>
      </c>
      <c r="L1748" t="s">
        <v>367</v>
      </c>
      <c r="M1748" t="s">
        <v>356</v>
      </c>
      <c r="N1748" s="73">
        <v>67262</v>
      </c>
      <c r="O1748" s="73">
        <v>67262</v>
      </c>
      <c r="P1748">
        <v>34.681374159610094</v>
      </c>
    </row>
    <row r="1749" spans="1:16" x14ac:dyDescent="0.2">
      <c r="A1749" s="73">
        <v>67262</v>
      </c>
      <c r="B1749" t="s">
        <v>350</v>
      </c>
      <c r="C1749" s="73" t="s">
        <v>464</v>
      </c>
      <c r="D1749" t="s">
        <v>215</v>
      </c>
      <c r="E1749" s="74">
        <v>46029</v>
      </c>
      <c r="F1749" t="s">
        <v>387</v>
      </c>
      <c r="G1749" t="s">
        <v>388</v>
      </c>
      <c r="H1749" s="75">
        <f t="shared" si="27"/>
        <v>208.08824495766055</v>
      </c>
      <c r="I1749" s="74">
        <v>46029</v>
      </c>
      <c r="J1749">
        <v>6</v>
      </c>
      <c r="K1749" t="s">
        <v>516</v>
      </c>
      <c r="L1749" t="s">
        <v>367</v>
      </c>
      <c r="M1749" t="s">
        <v>356</v>
      </c>
      <c r="N1749" s="73">
        <v>67262</v>
      </c>
      <c r="O1749" s="73">
        <v>67262</v>
      </c>
      <c r="P1749">
        <v>34.681374159610094</v>
      </c>
    </row>
    <row r="1750" spans="1:16" x14ac:dyDescent="0.2">
      <c r="A1750" s="73">
        <v>67262</v>
      </c>
      <c r="B1750" t="s">
        <v>350</v>
      </c>
      <c r="C1750" s="73" t="s">
        <v>464</v>
      </c>
      <c r="D1750" t="s">
        <v>215</v>
      </c>
      <c r="E1750" s="74">
        <v>46034</v>
      </c>
      <c r="F1750" t="s">
        <v>357</v>
      </c>
      <c r="G1750" t="s">
        <v>358</v>
      </c>
      <c r="H1750" s="75">
        <f t="shared" si="27"/>
        <v>69.362748319220188</v>
      </c>
      <c r="I1750" s="74">
        <v>46034</v>
      </c>
      <c r="J1750">
        <v>2</v>
      </c>
      <c r="K1750" t="s">
        <v>516</v>
      </c>
      <c r="L1750" t="s">
        <v>359</v>
      </c>
      <c r="M1750" t="s">
        <v>356</v>
      </c>
      <c r="N1750" s="73">
        <v>67262</v>
      </c>
      <c r="O1750" s="73">
        <v>67262</v>
      </c>
      <c r="P1750">
        <v>34.681374159610094</v>
      </c>
    </row>
    <row r="1751" spans="1:16" x14ac:dyDescent="0.2">
      <c r="A1751" s="73">
        <v>67262</v>
      </c>
      <c r="B1751" t="s">
        <v>350</v>
      </c>
      <c r="C1751" s="73" t="s">
        <v>464</v>
      </c>
      <c r="D1751" t="s">
        <v>215</v>
      </c>
      <c r="E1751" s="74">
        <v>46035</v>
      </c>
      <c r="F1751" t="s">
        <v>357</v>
      </c>
      <c r="G1751" t="s">
        <v>358</v>
      </c>
      <c r="H1751" s="75">
        <f t="shared" si="27"/>
        <v>69.362748319220188</v>
      </c>
      <c r="I1751" s="74">
        <v>46035</v>
      </c>
      <c r="J1751">
        <v>2</v>
      </c>
      <c r="K1751" t="s">
        <v>516</v>
      </c>
      <c r="L1751" t="s">
        <v>359</v>
      </c>
      <c r="M1751" t="s">
        <v>356</v>
      </c>
      <c r="N1751" s="73">
        <v>67262</v>
      </c>
      <c r="O1751" s="73">
        <v>67262</v>
      </c>
      <c r="P1751">
        <v>34.681374159610094</v>
      </c>
    </row>
    <row r="1752" spans="1:16" x14ac:dyDescent="0.2">
      <c r="A1752" s="73">
        <v>67262</v>
      </c>
      <c r="B1752" t="s">
        <v>350</v>
      </c>
      <c r="C1752" s="73" t="s">
        <v>464</v>
      </c>
      <c r="D1752" t="s">
        <v>215</v>
      </c>
      <c r="E1752" s="74">
        <v>46036</v>
      </c>
      <c r="F1752" t="s">
        <v>357</v>
      </c>
      <c r="G1752" t="s">
        <v>358</v>
      </c>
      <c r="H1752" s="75">
        <f t="shared" si="27"/>
        <v>69.362748319220188</v>
      </c>
      <c r="I1752" s="74">
        <v>46036</v>
      </c>
      <c r="J1752">
        <v>2</v>
      </c>
      <c r="K1752" t="s">
        <v>516</v>
      </c>
      <c r="L1752" t="s">
        <v>359</v>
      </c>
      <c r="M1752" t="s">
        <v>356</v>
      </c>
      <c r="N1752" s="73">
        <v>67262</v>
      </c>
      <c r="O1752" s="73">
        <v>67262</v>
      </c>
      <c r="P1752">
        <v>34.681374159610094</v>
      </c>
    </row>
    <row r="1753" spans="1:16" x14ac:dyDescent="0.2">
      <c r="A1753" s="73">
        <v>67262</v>
      </c>
      <c r="B1753" t="s">
        <v>350</v>
      </c>
      <c r="C1753" s="73" t="s">
        <v>464</v>
      </c>
      <c r="D1753" t="s">
        <v>215</v>
      </c>
      <c r="E1753" s="74">
        <v>46037</v>
      </c>
      <c r="F1753" t="s">
        <v>357</v>
      </c>
      <c r="G1753" t="s">
        <v>358</v>
      </c>
      <c r="H1753" s="75">
        <f t="shared" si="27"/>
        <v>69.362748319220188</v>
      </c>
      <c r="I1753" s="74">
        <v>46037</v>
      </c>
      <c r="J1753">
        <v>2</v>
      </c>
      <c r="K1753" t="s">
        <v>516</v>
      </c>
      <c r="L1753" t="s">
        <v>359</v>
      </c>
      <c r="M1753" t="s">
        <v>356</v>
      </c>
      <c r="N1753" s="73">
        <v>67262</v>
      </c>
      <c r="O1753" s="73">
        <v>67262</v>
      </c>
      <c r="P1753">
        <v>34.681374159610094</v>
      </c>
    </row>
    <row r="1754" spans="1:16" x14ac:dyDescent="0.2">
      <c r="A1754" s="73">
        <v>67262</v>
      </c>
      <c r="B1754" t="s">
        <v>350</v>
      </c>
      <c r="C1754" s="73" t="s">
        <v>464</v>
      </c>
      <c r="D1754" t="s">
        <v>215</v>
      </c>
      <c r="E1754" s="74">
        <v>46037</v>
      </c>
      <c r="F1754" t="s">
        <v>357</v>
      </c>
      <c r="G1754" t="s">
        <v>358</v>
      </c>
      <c r="H1754" s="75">
        <f t="shared" si="27"/>
        <v>-69.362748319220188</v>
      </c>
      <c r="I1754" s="74">
        <v>46037</v>
      </c>
      <c r="J1754">
        <v>-2</v>
      </c>
      <c r="K1754" t="s">
        <v>516</v>
      </c>
      <c r="L1754" t="s">
        <v>359</v>
      </c>
      <c r="M1754" t="s">
        <v>356</v>
      </c>
      <c r="N1754" s="73">
        <v>67262</v>
      </c>
      <c r="O1754" s="73">
        <v>67262</v>
      </c>
      <c r="P1754">
        <v>34.681374159610094</v>
      </c>
    </row>
    <row r="1755" spans="1:16" x14ac:dyDescent="0.2">
      <c r="A1755" s="73">
        <v>67262</v>
      </c>
      <c r="B1755" t="s">
        <v>350</v>
      </c>
      <c r="C1755" s="73" t="s">
        <v>464</v>
      </c>
      <c r="D1755" t="s">
        <v>215</v>
      </c>
      <c r="E1755" s="74">
        <v>46041</v>
      </c>
      <c r="F1755" t="s">
        <v>387</v>
      </c>
      <c r="G1755" t="s">
        <v>388</v>
      </c>
      <c r="H1755" s="75">
        <f t="shared" si="27"/>
        <v>69.362748319220188</v>
      </c>
      <c r="I1755" s="74">
        <v>46041</v>
      </c>
      <c r="J1755">
        <v>2</v>
      </c>
      <c r="K1755" t="s">
        <v>516</v>
      </c>
      <c r="L1755" t="s">
        <v>367</v>
      </c>
      <c r="M1755" t="s">
        <v>356</v>
      </c>
      <c r="N1755" s="73">
        <v>67262</v>
      </c>
      <c r="O1755" s="73">
        <v>67262</v>
      </c>
      <c r="P1755">
        <v>34.681374159610094</v>
      </c>
    </row>
    <row r="1756" spans="1:16" x14ac:dyDescent="0.2">
      <c r="A1756" s="73">
        <v>67262</v>
      </c>
      <c r="B1756" t="s">
        <v>350</v>
      </c>
      <c r="C1756" s="73" t="s">
        <v>464</v>
      </c>
      <c r="D1756" t="s">
        <v>215</v>
      </c>
      <c r="E1756" s="74">
        <v>46042</v>
      </c>
      <c r="F1756" t="s">
        <v>387</v>
      </c>
      <c r="G1756" t="s">
        <v>388</v>
      </c>
      <c r="H1756" s="75">
        <f t="shared" si="27"/>
        <v>69.362748319220188</v>
      </c>
      <c r="I1756" s="74">
        <v>46042</v>
      </c>
      <c r="J1756">
        <v>2</v>
      </c>
      <c r="K1756" t="s">
        <v>516</v>
      </c>
      <c r="L1756" t="s">
        <v>367</v>
      </c>
      <c r="M1756" t="s">
        <v>356</v>
      </c>
      <c r="N1756" s="73">
        <v>67262</v>
      </c>
      <c r="O1756" s="73">
        <v>67262</v>
      </c>
      <c r="P1756">
        <v>34.681374159610094</v>
      </c>
    </row>
    <row r="1757" spans="1:16" x14ac:dyDescent="0.2">
      <c r="A1757" s="73">
        <v>67262</v>
      </c>
      <c r="B1757" t="s">
        <v>350</v>
      </c>
      <c r="C1757" s="73" t="s">
        <v>464</v>
      </c>
      <c r="D1757" t="s">
        <v>215</v>
      </c>
      <c r="E1757" s="74">
        <v>46043</v>
      </c>
      <c r="F1757" t="s">
        <v>387</v>
      </c>
      <c r="G1757" t="s">
        <v>388</v>
      </c>
      <c r="H1757" s="75">
        <f t="shared" si="27"/>
        <v>69.362748319220188</v>
      </c>
      <c r="I1757" s="74">
        <v>46043</v>
      </c>
      <c r="J1757">
        <v>2</v>
      </c>
      <c r="K1757" t="s">
        <v>516</v>
      </c>
      <c r="L1757" t="s">
        <v>367</v>
      </c>
      <c r="M1757" t="s">
        <v>356</v>
      </c>
      <c r="N1757" s="73">
        <v>67262</v>
      </c>
      <c r="O1757" s="73">
        <v>67262</v>
      </c>
      <c r="P1757">
        <v>34.681374159610094</v>
      </c>
    </row>
    <row r="1758" spans="1:16" x14ac:dyDescent="0.2">
      <c r="A1758" s="73">
        <v>67262</v>
      </c>
      <c r="B1758" t="s">
        <v>350</v>
      </c>
      <c r="C1758" s="73" t="s">
        <v>464</v>
      </c>
      <c r="D1758" t="s">
        <v>215</v>
      </c>
      <c r="E1758" s="74">
        <v>46049</v>
      </c>
      <c r="F1758" t="s">
        <v>387</v>
      </c>
      <c r="G1758" t="s">
        <v>388</v>
      </c>
      <c r="H1758" s="75">
        <f t="shared" si="27"/>
        <v>69.362748319220188</v>
      </c>
      <c r="I1758" s="74">
        <v>46049</v>
      </c>
      <c r="J1758">
        <v>2</v>
      </c>
      <c r="K1758" t="s">
        <v>516</v>
      </c>
      <c r="L1758" t="s">
        <v>367</v>
      </c>
      <c r="M1758" t="s">
        <v>356</v>
      </c>
      <c r="N1758" s="73">
        <v>67262</v>
      </c>
      <c r="O1758" s="73">
        <v>67262</v>
      </c>
      <c r="P1758">
        <v>34.681374159610094</v>
      </c>
    </row>
    <row r="1759" spans="1:16" x14ac:dyDescent="0.2">
      <c r="A1759" s="73">
        <v>67262</v>
      </c>
      <c r="B1759" t="s">
        <v>350</v>
      </c>
      <c r="C1759" s="73" t="s">
        <v>464</v>
      </c>
      <c r="D1759" t="s">
        <v>215</v>
      </c>
      <c r="E1759" s="74">
        <v>46056</v>
      </c>
      <c r="F1759" t="s">
        <v>387</v>
      </c>
      <c r="G1759" t="s">
        <v>388</v>
      </c>
      <c r="H1759" s="75">
        <f t="shared" si="27"/>
        <v>173.40687079805048</v>
      </c>
      <c r="I1759" s="74">
        <v>46056</v>
      </c>
      <c r="J1759">
        <v>5</v>
      </c>
      <c r="K1759" t="s">
        <v>508</v>
      </c>
      <c r="L1759" t="s">
        <v>367</v>
      </c>
      <c r="M1759" t="s">
        <v>356</v>
      </c>
      <c r="N1759" s="73">
        <v>67262</v>
      </c>
      <c r="O1759" s="73">
        <v>67262</v>
      </c>
      <c r="P1759">
        <v>34.681374159610094</v>
      </c>
    </row>
    <row r="1760" spans="1:16" x14ac:dyDescent="0.2">
      <c r="A1760" s="73">
        <v>67262</v>
      </c>
      <c r="B1760" t="s">
        <v>350</v>
      </c>
      <c r="C1760" s="73" t="s">
        <v>464</v>
      </c>
      <c r="D1760" t="s">
        <v>215</v>
      </c>
      <c r="E1760" s="74">
        <v>46059</v>
      </c>
      <c r="F1760" t="s">
        <v>387</v>
      </c>
      <c r="G1760" t="s">
        <v>388</v>
      </c>
      <c r="H1760" s="75">
        <f t="shared" si="27"/>
        <v>34.681374159610094</v>
      </c>
      <c r="I1760" s="74">
        <v>46059</v>
      </c>
      <c r="J1760">
        <v>1</v>
      </c>
      <c r="K1760" t="s">
        <v>508</v>
      </c>
      <c r="L1760" t="s">
        <v>367</v>
      </c>
      <c r="M1760" t="s">
        <v>356</v>
      </c>
      <c r="N1760" s="73">
        <v>67262</v>
      </c>
      <c r="O1760" s="73">
        <v>67262</v>
      </c>
      <c r="P1760">
        <v>34.681374159610094</v>
      </c>
    </row>
    <row r="1761" spans="1:16" x14ac:dyDescent="0.2">
      <c r="A1761" s="73">
        <v>67262</v>
      </c>
      <c r="B1761" t="s">
        <v>350</v>
      </c>
      <c r="C1761" s="73" t="s">
        <v>464</v>
      </c>
      <c r="D1761" t="s">
        <v>215</v>
      </c>
      <c r="E1761" s="74">
        <v>46065</v>
      </c>
      <c r="F1761" t="s">
        <v>387</v>
      </c>
      <c r="G1761" t="s">
        <v>388</v>
      </c>
      <c r="H1761" s="75">
        <f t="shared" si="27"/>
        <v>69.362748319220188</v>
      </c>
      <c r="I1761" s="74">
        <v>46065</v>
      </c>
      <c r="J1761">
        <v>2</v>
      </c>
      <c r="K1761" t="s">
        <v>508</v>
      </c>
      <c r="L1761" t="s">
        <v>367</v>
      </c>
      <c r="M1761" t="s">
        <v>356</v>
      </c>
      <c r="N1761" s="73">
        <v>67262</v>
      </c>
      <c r="O1761" s="73">
        <v>67262</v>
      </c>
      <c r="P1761">
        <v>34.681374159610094</v>
      </c>
    </row>
    <row r="1762" spans="1:16" x14ac:dyDescent="0.2">
      <c r="A1762" s="73">
        <v>67262</v>
      </c>
      <c r="B1762" t="s">
        <v>350</v>
      </c>
      <c r="C1762" s="73" t="s">
        <v>464</v>
      </c>
      <c r="D1762" t="s">
        <v>215</v>
      </c>
      <c r="E1762" s="74">
        <v>46066</v>
      </c>
      <c r="F1762" t="s">
        <v>387</v>
      </c>
      <c r="G1762" t="s">
        <v>388</v>
      </c>
      <c r="H1762" s="75">
        <f t="shared" si="27"/>
        <v>208.08824495766055</v>
      </c>
      <c r="I1762" s="74">
        <v>46066</v>
      </c>
      <c r="J1762">
        <v>6</v>
      </c>
      <c r="K1762" t="s">
        <v>508</v>
      </c>
      <c r="L1762" t="s">
        <v>367</v>
      </c>
      <c r="M1762" t="s">
        <v>356</v>
      </c>
      <c r="N1762" s="73">
        <v>67262</v>
      </c>
      <c r="O1762" s="73">
        <v>67262</v>
      </c>
      <c r="P1762">
        <v>34.681374159610094</v>
      </c>
    </row>
    <row r="1763" spans="1:16" x14ac:dyDescent="0.2">
      <c r="A1763" s="73">
        <v>67262</v>
      </c>
      <c r="B1763" t="s">
        <v>350</v>
      </c>
      <c r="C1763" s="73" t="s">
        <v>464</v>
      </c>
      <c r="D1763" t="s">
        <v>215</v>
      </c>
      <c r="E1763" s="74">
        <v>46069</v>
      </c>
      <c r="F1763" t="s">
        <v>387</v>
      </c>
      <c r="G1763" t="s">
        <v>388</v>
      </c>
      <c r="H1763" s="75">
        <f t="shared" si="27"/>
        <v>69.362748319220188</v>
      </c>
      <c r="I1763" s="74">
        <v>46069</v>
      </c>
      <c r="J1763">
        <v>2</v>
      </c>
      <c r="K1763" t="s">
        <v>508</v>
      </c>
      <c r="L1763" t="s">
        <v>367</v>
      </c>
      <c r="M1763" t="s">
        <v>356</v>
      </c>
      <c r="N1763" s="73">
        <v>67262</v>
      </c>
      <c r="O1763" s="73">
        <v>67262</v>
      </c>
      <c r="P1763">
        <v>34.681374159610094</v>
      </c>
    </row>
    <row r="1764" spans="1:16" x14ac:dyDescent="0.2">
      <c r="A1764" s="73">
        <v>67262</v>
      </c>
      <c r="B1764" t="s">
        <v>350</v>
      </c>
      <c r="C1764" s="73" t="s">
        <v>464</v>
      </c>
      <c r="D1764" t="s">
        <v>215</v>
      </c>
      <c r="E1764" s="74">
        <v>46069</v>
      </c>
      <c r="F1764" t="s">
        <v>395</v>
      </c>
      <c r="G1764" t="s">
        <v>396</v>
      </c>
      <c r="H1764" s="75">
        <f t="shared" si="27"/>
        <v>277.45099327688075</v>
      </c>
      <c r="I1764" s="74">
        <v>46069</v>
      </c>
      <c r="J1764">
        <v>8</v>
      </c>
      <c r="K1764" t="s">
        <v>508</v>
      </c>
      <c r="L1764" t="s">
        <v>262</v>
      </c>
      <c r="M1764" t="s">
        <v>356</v>
      </c>
      <c r="N1764" s="73">
        <v>67262</v>
      </c>
      <c r="O1764" s="73">
        <v>67262</v>
      </c>
      <c r="P1764">
        <v>34.681374159610094</v>
      </c>
    </row>
    <row r="1765" spans="1:16" x14ac:dyDescent="0.2">
      <c r="A1765" s="73">
        <v>67262</v>
      </c>
      <c r="B1765" t="s">
        <v>350</v>
      </c>
      <c r="C1765" s="73" t="s">
        <v>464</v>
      </c>
      <c r="D1765" t="s">
        <v>215</v>
      </c>
      <c r="E1765" s="74">
        <v>46070</v>
      </c>
      <c r="F1765" t="s">
        <v>395</v>
      </c>
      <c r="G1765" t="s">
        <v>396</v>
      </c>
      <c r="H1765" s="75">
        <f t="shared" si="27"/>
        <v>277.45099327688075</v>
      </c>
      <c r="I1765" s="74">
        <v>46070</v>
      </c>
      <c r="J1765">
        <v>8</v>
      </c>
      <c r="K1765" t="s">
        <v>508</v>
      </c>
      <c r="L1765" t="s">
        <v>262</v>
      </c>
      <c r="M1765" t="s">
        <v>356</v>
      </c>
      <c r="N1765" s="73">
        <v>67262</v>
      </c>
      <c r="O1765" s="73">
        <v>67262</v>
      </c>
      <c r="P1765">
        <v>34.681374159610094</v>
      </c>
    </row>
    <row r="1766" spans="1:16" x14ac:dyDescent="0.2">
      <c r="A1766" s="73">
        <v>67262</v>
      </c>
      <c r="B1766" t="s">
        <v>350</v>
      </c>
      <c r="C1766" s="73" t="s">
        <v>464</v>
      </c>
      <c r="D1766" t="s">
        <v>215</v>
      </c>
      <c r="E1766" s="74">
        <v>46070</v>
      </c>
      <c r="F1766" t="s">
        <v>387</v>
      </c>
      <c r="G1766" t="s">
        <v>388</v>
      </c>
      <c r="H1766" s="75">
        <f t="shared" si="27"/>
        <v>69.362748319220188</v>
      </c>
      <c r="I1766" s="74">
        <v>46070</v>
      </c>
      <c r="J1766">
        <v>2</v>
      </c>
      <c r="K1766" t="s">
        <v>508</v>
      </c>
      <c r="L1766" t="s">
        <v>367</v>
      </c>
      <c r="M1766" t="s">
        <v>356</v>
      </c>
      <c r="N1766" s="73">
        <v>67262</v>
      </c>
      <c r="O1766" s="73">
        <v>67262</v>
      </c>
      <c r="P1766">
        <v>34.681374159610094</v>
      </c>
    </row>
    <row r="1767" spans="1:16" x14ac:dyDescent="0.2">
      <c r="A1767" s="73">
        <v>67262</v>
      </c>
      <c r="B1767" t="s">
        <v>350</v>
      </c>
      <c r="C1767" s="73" t="s">
        <v>464</v>
      </c>
      <c r="D1767" t="s">
        <v>215</v>
      </c>
      <c r="E1767" s="74">
        <v>46071</v>
      </c>
      <c r="F1767" t="s">
        <v>387</v>
      </c>
      <c r="G1767" t="s">
        <v>388</v>
      </c>
      <c r="H1767" s="75">
        <f t="shared" si="27"/>
        <v>104.04412247883027</v>
      </c>
      <c r="I1767" s="74">
        <v>46071</v>
      </c>
      <c r="J1767">
        <v>3</v>
      </c>
      <c r="K1767" t="s">
        <v>508</v>
      </c>
      <c r="L1767" t="s">
        <v>367</v>
      </c>
      <c r="M1767" t="s">
        <v>356</v>
      </c>
      <c r="N1767" s="73">
        <v>67262</v>
      </c>
      <c r="O1767" s="73">
        <v>67262</v>
      </c>
      <c r="P1767">
        <v>34.681374159610094</v>
      </c>
    </row>
    <row r="1768" spans="1:16" x14ac:dyDescent="0.2">
      <c r="A1768" s="73">
        <v>67262</v>
      </c>
      <c r="B1768" t="s">
        <v>350</v>
      </c>
      <c r="C1768" s="73" t="s">
        <v>464</v>
      </c>
      <c r="D1768" t="s">
        <v>215</v>
      </c>
      <c r="E1768" s="74">
        <v>46071</v>
      </c>
      <c r="F1768" t="s">
        <v>360</v>
      </c>
      <c r="G1768" t="s">
        <v>361</v>
      </c>
      <c r="H1768" s="75">
        <f t="shared" si="27"/>
        <v>277.45099327688075</v>
      </c>
      <c r="I1768" s="74">
        <v>46071</v>
      </c>
      <c r="J1768">
        <v>8</v>
      </c>
      <c r="K1768" t="s">
        <v>508</v>
      </c>
      <c r="L1768" t="s">
        <v>262</v>
      </c>
      <c r="M1768" t="s">
        <v>356</v>
      </c>
      <c r="N1768" s="73">
        <v>67262</v>
      </c>
      <c r="O1768" s="73">
        <v>67262</v>
      </c>
      <c r="P1768">
        <v>34.681374159610094</v>
      </c>
    </row>
    <row r="1769" spans="1:16" x14ac:dyDescent="0.2">
      <c r="A1769" s="73">
        <v>67262</v>
      </c>
      <c r="B1769" t="s">
        <v>350</v>
      </c>
      <c r="C1769" s="73" t="s">
        <v>464</v>
      </c>
      <c r="D1769" t="s">
        <v>215</v>
      </c>
      <c r="E1769" s="74">
        <v>46072</v>
      </c>
      <c r="F1769" t="s">
        <v>387</v>
      </c>
      <c r="G1769" t="s">
        <v>388</v>
      </c>
      <c r="H1769" s="75">
        <f t="shared" si="27"/>
        <v>208.08824495766055</v>
      </c>
      <c r="I1769" s="74">
        <v>46072</v>
      </c>
      <c r="J1769">
        <v>6</v>
      </c>
      <c r="K1769" t="s">
        <v>508</v>
      </c>
      <c r="L1769" t="s">
        <v>367</v>
      </c>
      <c r="M1769" t="s">
        <v>356</v>
      </c>
      <c r="N1769" s="73">
        <v>67262</v>
      </c>
      <c r="O1769" s="73">
        <v>67262</v>
      </c>
      <c r="P1769">
        <v>34.681374159610094</v>
      </c>
    </row>
    <row r="1770" spans="1:16" x14ac:dyDescent="0.2">
      <c r="A1770" s="73">
        <v>67262</v>
      </c>
      <c r="B1770" t="s">
        <v>350</v>
      </c>
      <c r="C1770" s="73" t="s">
        <v>464</v>
      </c>
      <c r="D1770" t="s">
        <v>215</v>
      </c>
      <c r="E1770" s="74">
        <v>46076</v>
      </c>
      <c r="F1770" t="s">
        <v>395</v>
      </c>
      <c r="G1770" t="s">
        <v>396</v>
      </c>
      <c r="H1770" s="75">
        <f t="shared" si="27"/>
        <v>277.45099327688075</v>
      </c>
      <c r="I1770" s="74">
        <v>46076</v>
      </c>
      <c r="J1770">
        <v>8</v>
      </c>
      <c r="K1770" t="s">
        <v>508</v>
      </c>
      <c r="L1770" t="s">
        <v>262</v>
      </c>
      <c r="M1770" t="s">
        <v>356</v>
      </c>
      <c r="N1770" s="73">
        <v>67262</v>
      </c>
      <c r="O1770" s="73">
        <v>67262</v>
      </c>
      <c r="P1770">
        <v>34.681374159610094</v>
      </c>
    </row>
    <row r="1771" spans="1:16" x14ac:dyDescent="0.2">
      <c r="A1771" s="73">
        <v>67262</v>
      </c>
      <c r="B1771" t="s">
        <v>350</v>
      </c>
      <c r="C1771" s="73" t="s">
        <v>464</v>
      </c>
      <c r="D1771" t="s">
        <v>215</v>
      </c>
      <c r="E1771" s="74">
        <v>46076</v>
      </c>
      <c r="F1771" t="s">
        <v>387</v>
      </c>
      <c r="G1771" t="s">
        <v>388</v>
      </c>
      <c r="H1771" s="75">
        <f t="shared" si="27"/>
        <v>208.08824495766055</v>
      </c>
      <c r="I1771" s="74">
        <v>46076</v>
      </c>
      <c r="J1771">
        <v>6</v>
      </c>
      <c r="K1771" t="s">
        <v>508</v>
      </c>
      <c r="L1771" t="s">
        <v>367</v>
      </c>
      <c r="M1771" t="s">
        <v>356</v>
      </c>
      <c r="N1771" s="73">
        <v>67262</v>
      </c>
      <c r="O1771" s="73">
        <v>67262</v>
      </c>
      <c r="P1771">
        <v>34.681374159610094</v>
      </c>
    </row>
    <row r="1772" spans="1:16" x14ac:dyDescent="0.2">
      <c r="A1772" s="73">
        <v>67262</v>
      </c>
      <c r="B1772" t="s">
        <v>350</v>
      </c>
      <c r="C1772" s="73" t="s">
        <v>464</v>
      </c>
      <c r="D1772" t="s">
        <v>215</v>
      </c>
      <c r="E1772" s="74">
        <v>46077</v>
      </c>
      <c r="F1772" t="s">
        <v>387</v>
      </c>
      <c r="G1772" t="s">
        <v>388</v>
      </c>
      <c r="H1772" s="75">
        <f t="shared" si="27"/>
        <v>208.08824495766055</v>
      </c>
      <c r="I1772" s="74">
        <v>46077</v>
      </c>
      <c r="J1772">
        <v>6</v>
      </c>
      <c r="K1772" t="s">
        <v>508</v>
      </c>
      <c r="L1772" t="s">
        <v>367</v>
      </c>
      <c r="M1772" t="s">
        <v>356</v>
      </c>
      <c r="N1772" s="73">
        <v>67262</v>
      </c>
      <c r="O1772" s="73">
        <v>67262</v>
      </c>
      <c r="P1772">
        <v>34.681374159610094</v>
      </c>
    </row>
    <row r="1773" spans="1:16" x14ac:dyDescent="0.2">
      <c r="A1773" s="73">
        <v>67262</v>
      </c>
      <c r="B1773" t="s">
        <v>350</v>
      </c>
      <c r="C1773" s="73" t="s">
        <v>464</v>
      </c>
      <c r="D1773" t="s">
        <v>215</v>
      </c>
      <c r="E1773" s="74">
        <v>46078</v>
      </c>
      <c r="F1773" t="s">
        <v>395</v>
      </c>
      <c r="G1773" t="s">
        <v>396</v>
      </c>
      <c r="H1773" s="75">
        <f t="shared" si="27"/>
        <v>277.45099327688075</v>
      </c>
      <c r="I1773" s="74">
        <v>46078</v>
      </c>
      <c r="J1773">
        <v>8</v>
      </c>
      <c r="K1773" t="s">
        <v>508</v>
      </c>
      <c r="L1773" t="s">
        <v>262</v>
      </c>
      <c r="M1773" t="s">
        <v>356</v>
      </c>
      <c r="N1773" s="73">
        <v>67262</v>
      </c>
      <c r="O1773" s="73">
        <v>67262</v>
      </c>
      <c r="P1773">
        <v>34.681374159610094</v>
      </c>
    </row>
    <row r="1774" spans="1:16" x14ac:dyDescent="0.2">
      <c r="A1774" s="73">
        <v>67262</v>
      </c>
      <c r="B1774" t="s">
        <v>350</v>
      </c>
      <c r="C1774" s="73" t="s">
        <v>464</v>
      </c>
      <c r="D1774" t="s">
        <v>215</v>
      </c>
      <c r="E1774" s="74">
        <v>46079</v>
      </c>
      <c r="F1774" t="s">
        <v>395</v>
      </c>
      <c r="G1774" t="s">
        <v>396</v>
      </c>
      <c r="H1774" s="75">
        <f t="shared" si="27"/>
        <v>277.45099327688075</v>
      </c>
      <c r="I1774" s="74">
        <v>46079</v>
      </c>
      <c r="J1774">
        <v>8</v>
      </c>
      <c r="K1774" t="s">
        <v>508</v>
      </c>
      <c r="L1774" t="s">
        <v>262</v>
      </c>
      <c r="M1774" t="s">
        <v>356</v>
      </c>
      <c r="N1774" s="73">
        <v>67262</v>
      </c>
      <c r="O1774" s="73">
        <v>67262</v>
      </c>
      <c r="P1774">
        <v>34.681374159610094</v>
      </c>
    </row>
    <row r="1775" spans="1:16" x14ac:dyDescent="0.2">
      <c r="A1775" s="73">
        <v>67262</v>
      </c>
      <c r="B1775" t="s">
        <v>350</v>
      </c>
      <c r="C1775" s="73" t="s">
        <v>464</v>
      </c>
      <c r="D1775" t="s">
        <v>215</v>
      </c>
      <c r="E1775" s="74">
        <v>46080</v>
      </c>
      <c r="F1775" t="s">
        <v>395</v>
      </c>
      <c r="G1775" t="s">
        <v>396</v>
      </c>
      <c r="H1775" s="75">
        <f t="shared" si="27"/>
        <v>277.45099327688075</v>
      </c>
      <c r="I1775" s="74">
        <v>46080</v>
      </c>
      <c r="J1775">
        <v>8</v>
      </c>
      <c r="K1775" t="s">
        <v>508</v>
      </c>
      <c r="L1775" t="s">
        <v>262</v>
      </c>
      <c r="M1775" t="s">
        <v>356</v>
      </c>
      <c r="N1775" s="73">
        <v>67262</v>
      </c>
      <c r="O1775" s="73">
        <v>67262</v>
      </c>
      <c r="P1775">
        <v>34.681374159610094</v>
      </c>
    </row>
    <row r="1776" spans="1:16" x14ac:dyDescent="0.2">
      <c r="A1776" s="73">
        <v>67262</v>
      </c>
      <c r="B1776" t="s">
        <v>350</v>
      </c>
      <c r="C1776" s="73" t="s">
        <v>464</v>
      </c>
      <c r="D1776" t="s">
        <v>215</v>
      </c>
      <c r="E1776" s="74">
        <v>46083</v>
      </c>
      <c r="F1776" t="s">
        <v>395</v>
      </c>
      <c r="G1776" t="s">
        <v>396</v>
      </c>
      <c r="H1776" s="75">
        <f t="shared" si="27"/>
        <v>242.76961911727065</v>
      </c>
      <c r="I1776" s="74">
        <v>46083</v>
      </c>
      <c r="J1776">
        <v>7</v>
      </c>
      <c r="K1776" t="s">
        <v>509</v>
      </c>
      <c r="L1776" t="s">
        <v>262</v>
      </c>
      <c r="M1776" t="s">
        <v>356</v>
      </c>
      <c r="N1776" s="73">
        <v>67262</v>
      </c>
      <c r="O1776" s="73">
        <v>67262</v>
      </c>
      <c r="P1776">
        <v>34.681374159610094</v>
      </c>
    </row>
    <row r="1777" spans="1:16" x14ac:dyDescent="0.2">
      <c r="A1777" s="73">
        <v>67262</v>
      </c>
      <c r="B1777" t="s">
        <v>350</v>
      </c>
      <c r="C1777" s="73" t="s">
        <v>464</v>
      </c>
      <c r="D1777" t="s">
        <v>215</v>
      </c>
      <c r="E1777" s="74">
        <v>46083</v>
      </c>
      <c r="F1777" t="s">
        <v>387</v>
      </c>
      <c r="G1777" t="s">
        <v>388</v>
      </c>
      <c r="H1777" s="75">
        <f t="shared" si="27"/>
        <v>69.362748319220188</v>
      </c>
      <c r="I1777" s="74">
        <v>46083</v>
      </c>
      <c r="J1777">
        <v>2</v>
      </c>
      <c r="K1777" t="s">
        <v>509</v>
      </c>
      <c r="L1777" t="s">
        <v>367</v>
      </c>
      <c r="M1777" t="s">
        <v>356</v>
      </c>
      <c r="N1777" s="73">
        <v>67262</v>
      </c>
      <c r="O1777" s="73">
        <v>67262</v>
      </c>
      <c r="P1777">
        <v>34.681374159610094</v>
      </c>
    </row>
    <row r="1778" spans="1:16" x14ac:dyDescent="0.2">
      <c r="A1778" s="73">
        <v>67262</v>
      </c>
      <c r="B1778" t="s">
        <v>350</v>
      </c>
      <c r="C1778" s="73" t="s">
        <v>464</v>
      </c>
      <c r="D1778" t="s">
        <v>215</v>
      </c>
      <c r="E1778" s="74">
        <v>46084</v>
      </c>
      <c r="F1778" t="s">
        <v>395</v>
      </c>
      <c r="G1778" t="s">
        <v>396</v>
      </c>
      <c r="H1778" s="75">
        <f t="shared" si="27"/>
        <v>242.76961911727065</v>
      </c>
      <c r="I1778" s="74">
        <v>46084</v>
      </c>
      <c r="J1778">
        <v>7</v>
      </c>
      <c r="K1778" t="s">
        <v>509</v>
      </c>
      <c r="L1778" t="s">
        <v>262</v>
      </c>
      <c r="M1778" t="s">
        <v>356</v>
      </c>
      <c r="N1778" s="73">
        <v>67262</v>
      </c>
      <c r="O1778" s="73">
        <v>67262</v>
      </c>
      <c r="P1778">
        <v>34.681374159610094</v>
      </c>
    </row>
    <row r="1779" spans="1:16" x14ac:dyDescent="0.2">
      <c r="A1779" s="73">
        <v>67262</v>
      </c>
      <c r="B1779" t="s">
        <v>350</v>
      </c>
      <c r="C1779" s="73" t="s">
        <v>464</v>
      </c>
      <c r="D1779" t="s">
        <v>215</v>
      </c>
      <c r="E1779" s="74">
        <v>46084</v>
      </c>
      <c r="F1779" t="s">
        <v>387</v>
      </c>
      <c r="G1779" t="s">
        <v>388</v>
      </c>
      <c r="H1779" s="75">
        <f t="shared" si="27"/>
        <v>69.362748319220188</v>
      </c>
      <c r="I1779" s="74">
        <v>46084</v>
      </c>
      <c r="J1779">
        <v>2</v>
      </c>
      <c r="K1779" t="s">
        <v>509</v>
      </c>
      <c r="L1779" t="s">
        <v>367</v>
      </c>
      <c r="M1779" t="s">
        <v>356</v>
      </c>
      <c r="N1779" s="73">
        <v>67262</v>
      </c>
      <c r="O1779" s="73">
        <v>67262</v>
      </c>
      <c r="P1779">
        <v>34.681374159610094</v>
      </c>
    </row>
    <row r="1780" spans="1:16" x14ac:dyDescent="0.2">
      <c r="A1780" s="73">
        <v>67262</v>
      </c>
      <c r="B1780" t="s">
        <v>350</v>
      </c>
      <c r="C1780" s="73" t="s">
        <v>464</v>
      </c>
      <c r="D1780" t="s">
        <v>215</v>
      </c>
      <c r="E1780" s="74">
        <v>46085</v>
      </c>
      <c r="F1780" t="s">
        <v>395</v>
      </c>
      <c r="G1780" t="s">
        <v>396</v>
      </c>
      <c r="H1780" s="75">
        <f t="shared" si="27"/>
        <v>104.04412247883027</v>
      </c>
      <c r="I1780" s="74">
        <v>46085</v>
      </c>
      <c r="J1780">
        <v>3</v>
      </c>
      <c r="K1780" t="s">
        <v>509</v>
      </c>
      <c r="L1780" t="s">
        <v>262</v>
      </c>
      <c r="M1780" t="s">
        <v>356</v>
      </c>
      <c r="N1780" s="73">
        <v>67262</v>
      </c>
      <c r="O1780" s="73">
        <v>67262</v>
      </c>
      <c r="P1780">
        <v>34.681374159610094</v>
      </c>
    </row>
    <row r="1781" spans="1:16" x14ac:dyDescent="0.2">
      <c r="A1781" s="73">
        <v>67262</v>
      </c>
      <c r="B1781" t="s">
        <v>350</v>
      </c>
      <c r="C1781" s="73" t="s">
        <v>464</v>
      </c>
      <c r="D1781" t="s">
        <v>215</v>
      </c>
      <c r="E1781" s="74">
        <v>46085</v>
      </c>
      <c r="F1781" t="s">
        <v>387</v>
      </c>
      <c r="G1781" t="s">
        <v>388</v>
      </c>
      <c r="H1781" s="75">
        <f t="shared" si="27"/>
        <v>69.362748319220188</v>
      </c>
      <c r="I1781" s="74">
        <v>46085</v>
      </c>
      <c r="J1781">
        <v>2</v>
      </c>
      <c r="K1781" t="s">
        <v>509</v>
      </c>
      <c r="L1781" t="s">
        <v>367</v>
      </c>
      <c r="M1781" t="s">
        <v>356</v>
      </c>
      <c r="N1781" s="73">
        <v>67262</v>
      </c>
      <c r="O1781" s="73">
        <v>67262</v>
      </c>
      <c r="P1781">
        <v>34.681374159610094</v>
      </c>
    </row>
    <row r="1782" spans="1:16" x14ac:dyDescent="0.2">
      <c r="A1782" s="73">
        <v>67262</v>
      </c>
      <c r="B1782" t="s">
        <v>350</v>
      </c>
      <c r="C1782" s="73" t="s">
        <v>464</v>
      </c>
      <c r="D1782" t="s">
        <v>215</v>
      </c>
      <c r="E1782" s="74">
        <v>46086</v>
      </c>
      <c r="F1782" t="s">
        <v>395</v>
      </c>
      <c r="G1782" t="s">
        <v>396</v>
      </c>
      <c r="H1782" s="75">
        <f t="shared" si="27"/>
        <v>104.04412247883027</v>
      </c>
      <c r="I1782" s="74">
        <v>46086</v>
      </c>
      <c r="J1782">
        <v>3</v>
      </c>
      <c r="K1782" t="s">
        <v>509</v>
      </c>
      <c r="L1782" t="s">
        <v>262</v>
      </c>
      <c r="M1782" t="s">
        <v>356</v>
      </c>
      <c r="N1782" s="73">
        <v>67262</v>
      </c>
      <c r="O1782" s="73">
        <v>67262</v>
      </c>
      <c r="P1782">
        <v>34.681374159610094</v>
      </c>
    </row>
    <row r="1783" spans="1:16" x14ac:dyDescent="0.2">
      <c r="A1783" s="73">
        <v>67262</v>
      </c>
      <c r="B1783" t="s">
        <v>350</v>
      </c>
      <c r="C1783" s="73" t="s">
        <v>464</v>
      </c>
      <c r="D1783" t="s">
        <v>215</v>
      </c>
      <c r="E1783" s="74">
        <v>46086</v>
      </c>
      <c r="F1783" t="s">
        <v>387</v>
      </c>
      <c r="G1783" t="s">
        <v>388</v>
      </c>
      <c r="H1783" s="75">
        <f t="shared" si="27"/>
        <v>69.362748319220188</v>
      </c>
      <c r="I1783" s="74">
        <v>46086</v>
      </c>
      <c r="J1783">
        <v>2</v>
      </c>
      <c r="K1783" t="s">
        <v>509</v>
      </c>
      <c r="L1783" t="s">
        <v>367</v>
      </c>
      <c r="M1783" t="s">
        <v>356</v>
      </c>
      <c r="N1783" s="73">
        <v>67262</v>
      </c>
      <c r="O1783" s="73">
        <v>67262</v>
      </c>
      <c r="P1783">
        <v>34.681374159610094</v>
      </c>
    </row>
    <row r="1784" spans="1:16" x14ac:dyDescent="0.2">
      <c r="A1784" s="73">
        <v>67262</v>
      </c>
      <c r="B1784" t="s">
        <v>350</v>
      </c>
      <c r="C1784" s="73" t="s">
        <v>464</v>
      </c>
      <c r="D1784" t="s">
        <v>215</v>
      </c>
      <c r="E1784" s="74">
        <v>46087</v>
      </c>
      <c r="F1784" t="s">
        <v>395</v>
      </c>
      <c r="G1784" t="s">
        <v>396</v>
      </c>
      <c r="H1784" s="75">
        <f t="shared" si="27"/>
        <v>104.04412247883027</v>
      </c>
      <c r="I1784" s="74">
        <v>46087</v>
      </c>
      <c r="J1784">
        <v>3</v>
      </c>
      <c r="K1784" t="s">
        <v>509</v>
      </c>
      <c r="L1784" t="s">
        <v>262</v>
      </c>
      <c r="M1784" t="s">
        <v>356</v>
      </c>
      <c r="N1784" s="73">
        <v>67262</v>
      </c>
      <c r="O1784" s="73">
        <v>67262</v>
      </c>
      <c r="P1784">
        <v>34.681374159610094</v>
      </c>
    </row>
    <row r="1785" spans="1:16" x14ac:dyDescent="0.2">
      <c r="A1785" s="73">
        <v>67262</v>
      </c>
      <c r="B1785" t="s">
        <v>350</v>
      </c>
      <c r="C1785" s="73" t="s">
        <v>464</v>
      </c>
      <c r="D1785" t="s">
        <v>215</v>
      </c>
      <c r="E1785" s="74">
        <v>46090</v>
      </c>
      <c r="F1785" t="s">
        <v>387</v>
      </c>
      <c r="G1785" t="s">
        <v>388</v>
      </c>
      <c r="H1785" s="75">
        <f t="shared" si="27"/>
        <v>104.04412247883027</v>
      </c>
      <c r="I1785" s="74">
        <v>46090</v>
      </c>
      <c r="J1785">
        <v>3</v>
      </c>
      <c r="K1785" t="s">
        <v>509</v>
      </c>
      <c r="L1785" t="s">
        <v>367</v>
      </c>
      <c r="M1785" t="s">
        <v>356</v>
      </c>
      <c r="N1785" s="73">
        <v>67262</v>
      </c>
      <c r="O1785" s="73">
        <v>67262</v>
      </c>
      <c r="P1785">
        <v>34.681374159610094</v>
      </c>
    </row>
    <row r="1786" spans="1:16" x14ac:dyDescent="0.2">
      <c r="A1786" s="73">
        <v>67262</v>
      </c>
      <c r="B1786" t="s">
        <v>350</v>
      </c>
      <c r="C1786" s="73" t="s">
        <v>464</v>
      </c>
      <c r="D1786" t="s">
        <v>215</v>
      </c>
      <c r="E1786" s="74">
        <v>46091</v>
      </c>
      <c r="F1786" t="s">
        <v>387</v>
      </c>
      <c r="G1786" t="s">
        <v>388</v>
      </c>
      <c r="H1786" s="75">
        <f t="shared" si="27"/>
        <v>69.362748319220188</v>
      </c>
      <c r="I1786" s="74">
        <v>46091</v>
      </c>
      <c r="J1786">
        <v>2</v>
      </c>
      <c r="K1786" t="s">
        <v>509</v>
      </c>
      <c r="L1786" t="s">
        <v>367</v>
      </c>
      <c r="M1786" t="s">
        <v>356</v>
      </c>
      <c r="N1786" s="73">
        <v>67262</v>
      </c>
      <c r="O1786" s="73">
        <v>67262</v>
      </c>
      <c r="P1786">
        <v>34.681374159610094</v>
      </c>
    </row>
    <row r="1787" spans="1:16" x14ac:dyDescent="0.2">
      <c r="A1787" s="73">
        <v>67262</v>
      </c>
      <c r="B1787" t="s">
        <v>350</v>
      </c>
      <c r="C1787" s="73" t="s">
        <v>464</v>
      </c>
      <c r="D1787" t="s">
        <v>215</v>
      </c>
      <c r="E1787" s="74">
        <v>46092</v>
      </c>
      <c r="F1787" t="s">
        <v>387</v>
      </c>
      <c r="G1787" t="s">
        <v>388</v>
      </c>
      <c r="H1787" s="75">
        <f t="shared" si="27"/>
        <v>138.72549663844038</v>
      </c>
      <c r="I1787" s="74">
        <v>46092</v>
      </c>
      <c r="J1787">
        <v>4</v>
      </c>
      <c r="K1787" t="s">
        <v>509</v>
      </c>
      <c r="L1787" t="s">
        <v>367</v>
      </c>
      <c r="M1787" t="s">
        <v>356</v>
      </c>
      <c r="N1787" s="73">
        <v>67262</v>
      </c>
      <c r="O1787" s="73">
        <v>67262</v>
      </c>
      <c r="P1787">
        <v>34.681374159610094</v>
      </c>
    </row>
    <row r="1788" spans="1:16" x14ac:dyDescent="0.2">
      <c r="A1788" s="73">
        <v>67262</v>
      </c>
      <c r="B1788" t="s">
        <v>350</v>
      </c>
      <c r="C1788" s="73" t="s">
        <v>464</v>
      </c>
      <c r="D1788" t="s">
        <v>215</v>
      </c>
      <c r="E1788" s="74">
        <v>46093</v>
      </c>
      <c r="F1788" t="s">
        <v>387</v>
      </c>
      <c r="G1788" t="s">
        <v>388</v>
      </c>
      <c r="H1788" s="75">
        <f t="shared" si="27"/>
        <v>34.681374159610094</v>
      </c>
      <c r="I1788" s="74">
        <v>46093</v>
      </c>
      <c r="J1788">
        <v>1</v>
      </c>
      <c r="K1788" t="s">
        <v>509</v>
      </c>
      <c r="L1788" t="s">
        <v>367</v>
      </c>
      <c r="M1788" t="s">
        <v>356</v>
      </c>
      <c r="N1788" s="73">
        <v>67262</v>
      </c>
      <c r="O1788" s="73">
        <v>67262</v>
      </c>
      <c r="P1788">
        <v>34.681374159610094</v>
      </c>
    </row>
    <row r="1789" spans="1:16" x14ac:dyDescent="0.2">
      <c r="A1789" s="73">
        <v>67262</v>
      </c>
      <c r="B1789" t="s">
        <v>350</v>
      </c>
      <c r="C1789" s="73" t="s">
        <v>464</v>
      </c>
      <c r="D1789" t="s">
        <v>215</v>
      </c>
      <c r="E1789" s="74">
        <v>46094</v>
      </c>
      <c r="F1789" t="s">
        <v>360</v>
      </c>
      <c r="G1789" t="s">
        <v>361</v>
      </c>
      <c r="H1789" s="75">
        <f t="shared" si="27"/>
        <v>277.45099327688075</v>
      </c>
      <c r="I1789" s="74">
        <v>46094</v>
      </c>
      <c r="J1789">
        <v>8</v>
      </c>
      <c r="K1789" t="s">
        <v>509</v>
      </c>
      <c r="L1789" t="s">
        <v>262</v>
      </c>
      <c r="M1789" t="s">
        <v>356</v>
      </c>
      <c r="N1789" s="73">
        <v>67262</v>
      </c>
      <c r="O1789" s="73">
        <v>67262</v>
      </c>
      <c r="P1789">
        <v>34.681374159610094</v>
      </c>
    </row>
    <row r="1790" spans="1:16" x14ac:dyDescent="0.2">
      <c r="A1790" s="73">
        <v>67262</v>
      </c>
      <c r="B1790" t="s">
        <v>350</v>
      </c>
      <c r="C1790" s="73" t="s">
        <v>464</v>
      </c>
      <c r="D1790" t="s">
        <v>215</v>
      </c>
      <c r="E1790" s="74">
        <v>46097</v>
      </c>
      <c r="F1790" t="s">
        <v>395</v>
      </c>
      <c r="G1790" t="s">
        <v>396</v>
      </c>
      <c r="H1790" s="75">
        <f t="shared" si="27"/>
        <v>277.45099327688075</v>
      </c>
      <c r="I1790" s="74">
        <v>46097</v>
      </c>
      <c r="J1790">
        <v>8</v>
      </c>
      <c r="K1790" t="s">
        <v>509</v>
      </c>
      <c r="L1790" t="s">
        <v>262</v>
      </c>
      <c r="M1790" t="s">
        <v>356</v>
      </c>
      <c r="N1790" s="73">
        <v>67262</v>
      </c>
      <c r="O1790" s="73">
        <v>67262</v>
      </c>
      <c r="P1790">
        <v>34.681374159610094</v>
      </c>
    </row>
    <row r="1791" spans="1:16" x14ac:dyDescent="0.2">
      <c r="A1791" s="73">
        <v>67262</v>
      </c>
      <c r="B1791" t="s">
        <v>350</v>
      </c>
      <c r="C1791" s="73" t="s">
        <v>464</v>
      </c>
      <c r="D1791" t="s">
        <v>215</v>
      </c>
      <c r="E1791" s="74">
        <v>46097</v>
      </c>
      <c r="F1791" t="s">
        <v>404</v>
      </c>
      <c r="G1791" t="s">
        <v>405</v>
      </c>
      <c r="H1791" s="75">
        <f t="shared" si="27"/>
        <v>260.11030619707572</v>
      </c>
      <c r="I1791" s="74">
        <v>46097</v>
      </c>
      <c r="J1791">
        <v>7.5</v>
      </c>
      <c r="K1791" t="s">
        <v>509</v>
      </c>
      <c r="L1791" t="s">
        <v>262</v>
      </c>
      <c r="M1791" t="s">
        <v>356</v>
      </c>
      <c r="N1791" s="73">
        <v>67262</v>
      </c>
      <c r="O1791" s="73">
        <v>67262</v>
      </c>
      <c r="P1791">
        <v>34.681374159610094</v>
      </c>
    </row>
    <row r="1792" spans="1:16" x14ac:dyDescent="0.2">
      <c r="A1792" s="73">
        <v>67262</v>
      </c>
      <c r="B1792" t="s">
        <v>350</v>
      </c>
      <c r="C1792" s="73" t="s">
        <v>464</v>
      </c>
      <c r="D1792" t="s">
        <v>215</v>
      </c>
      <c r="E1792" s="74">
        <v>46098</v>
      </c>
      <c r="F1792" t="s">
        <v>404</v>
      </c>
      <c r="G1792" t="s">
        <v>405</v>
      </c>
      <c r="H1792" s="75">
        <f t="shared" si="27"/>
        <v>260.11030619707572</v>
      </c>
      <c r="I1792" s="74">
        <v>46098</v>
      </c>
      <c r="J1792">
        <v>7.5</v>
      </c>
      <c r="K1792" t="s">
        <v>509</v>
      </c>
      <c r="L1792" t="s">
        <v>262</v>
      </c>
      <c r="M1792" t="s">
        <v>356</v>
      </c>
      <c r="N1792" s="73">
        <v>67262</v>
      </c>
      <c r="O1792" s="73">
        <v>67262</v>
      </c>
      <c r="P1792">
        <v>34.681374159610094</v>
      </c>
    </row>
    <row r="1793" spans="1:16" x14ac:dyDescent="0.2">
      <c r="A1793" s="73">
        <v>67262</v>
      </c>
      <c r="B1793" t="s">
        <v>350</v>
      </c>
      <c r="C1793" s="73" t="s">
        <v>464</v>
      </c>
      <c r="D1793" t="s">
        <v>215</v>
      </c>
      <c r="E1793" s="74">
        <v>46098</v>
      </c>
      <c r="F1793" t="s">
        <v>395</v>
      </c>
      <c r="G1793" t="s">
        <v>396</v>
      </c>
      <c r="H1793" s="75">
        <f t="shared" si="27"/>
        <v>138.72549663844038</v>
      </c>
      <c r="I1793" s="74">
        <v>46098</v>
      </c>
      <c r="J1793">
        <v>4</v>
      </c>
      <c r="K1793" t="s">
        <v>509</v>
      </c>
      <c r="L1793" t="s">
        <v>262</v>
      </c>
      <c r="M1793" t="s">
        <v>356</v>
      </c>
      <c r="N1793" s="73">
        <v>67262</v>
      </c>
      <c r="O1793" s="73">
        <v>67262</v>
      </c>
      <c r="P1793">
        <v>34.681374159610094</v>
      </c>
    </row>
    <row r="1794" spans="1:16" x14ac:dyDescent="0.2">
      <c r="A1794" s="73">
        <v>67262</v>
      </c>
      <c r="B1794" t="s">
        <v>350</v>
      </c>
      <c r="C1794" s="73" t="s">
        <v>464</v>
      </c>
      <c r="D1794" t="s">
        <v>215</v>
      </c>
      <c r="E1794" s="74">
        <v>46099</v>
      </c>
      <c r="F1794" t="s">
        <v>404</v>
      </c>
      <c r="G1794" t="s">
        <v>405</v>
      </c>
      <c r="H1794" s="75">
        <f t="shared" ref="H1794:H1857" si="28">J1794*P1794</f>
        <v>242.76961911727065</v>
      </c>
      <c r="I1794" s="74">
        <v>46099</v>
      </c>
      <c r="J1794">
        <v>7</v>
      </c>
      <c r="K1794" t="s">
        <v>509</v>
      </c>
      <c r="L1794" t="s">
        <v>262</v>
      </c>
      <c r="M1794" t="s">
        <v>356</v>
      </c>
      <c r="N1794" s="73">
        <v>67262</v>
      </c>
      <c r="O1794" s="73">
        <v>67262</v>
      </c>
      <c r="P1794">
        <v>34.681374159610094</v>
      </c>
    </row>
    <row r="1795" spans="1:16" x14ac:dyDescent="0.2">
      <c r="A1795" s="73">
        <v>67262</v>
      </c>
      <c r="B1795" t="s">
        <v>350</v>
      </c>
      <c r="C1795" s="73" t="s">
        <v>464</v>
      </c>
      <c r="D1795" t="s">
        <v>215</v>
      </c>
      <c r="E1795" s="74">
        <v>46100</v>
      </c>
      <c r="F1795" t="s">
        <v>404</v>
      </c>
      <c r="G1795" t="s">
        <v>405</v>
      </c>
      <c r="H1795" s="75">
        <f t="shared" si="28"/>
        <v>242.76961911727065</v>
      </c>
      <c r="I1795" s="74">
        <v>46100</v>
      </c>
      <c r="J1795">
        <v>7</v>
      </c>
      <c r="K1795" t="s">
        <v>509</v>
      </c>
      <c r="L1795" t="s">
        <v>262</v>
      </c>
      <c r="M1795" t="s">
        <v>356</v>
      </c>
      <c r="N1795" s="73">
        <v>67262</v>
      </c>
      <c r="O1795" s="73">
        <v>67262</v>
      </c>
      <c r="P1795">
        <v>34.681374159610094</v>
      </c>
    </row>
    <row r="1796" spans="1:16" x14ac:dyDescent="0.2">
      <c r="A1796" s="73">
        <v>67262</v>
      </c>
      <c r="B1796" t="s">
        <v>350</v>
      </c>
      <c r="C1796" s="73" t="s">
        <v>464</v>
      </c>
      <c r="D1796" t="s">
        <v>215</v>
      </c>
      <c r="E1796" s="74">
        <v>46104</v>
      </c>
      <c r="F1796" t="s">
        <v>387</v>
      </c>
      <c r="G1796" t="s">
        <v>388</v>
      </c>
      <c r="H1796" s="75">
        <f t="shared" si="28"/>
        <v>69.362748319220188</v>
      </c>
      <c r="I1796" s="74">
        <v>46104</v>
      </c>
      <c r="J1796">
        <v>2</v>
      </c>
      <c r="K1796" t="s">
        <v>509</v>
      </c>
      <c r="L1796" t="s">
        <v>367</v>
      </c>
      <c r="M1796" t="s">
        <v>356</v>
      </c>
      <c r="N1796" s="73">
        <v>67262</v>
      </c>
      <c r="O1796" s="73">
        <v>67262</v>
      </c>
      <c r="P1796">
        <v>34.681374159610094</v>
      </c>
    </row>
    <row r="1797" spans="1:16" x14ac:dyDescent="0.2">
      <c r="A1797" s="73">
        <v>67262</v>
      </c>
      <c r="B1797" t="s">
        <v>350</v>
      </c>
      <c r="C1797" s="73" t="s">
        <v>464</v>
      </c>
      <c r="D1797" t="s">
        <v>215</v>
      </c>
      <c r="E1797" s="74">
        <v>46104</v>
      </c>
      <c r="F1797" t="s">
        <v>404</v>
      </c>
      <c r="G1797" t="s">
        <v>405</v>
      </c>
      <c r="H1797" s="75">
        <f t="shared" si="28"/>
        <v>260.11030619707572</v>
      </c>
      <c r="I1797" s="74">
        <v>46104</v>
      </c>
      <c r="J1797">
        <v>7.5</v>
      </c>
      <c r="K1797" t="s">
        <v>509</v>
      </c>
      <c r="L1797" t="s">
        <v>262</v>
      </c>
      <c r="M1797" t="s">
        <v>356</v>
      </c>
      <c r="N1797" s="73">
        <v>67262</v>
      </c>
      <c r="O1797" s="73">
        <v>67262</v>
      </c>
      <c r="P1797">
        <v>34.681374159610094</v>
      </c>
    </row>
    <row r="1798" spans="1:16" x14ac:dyDescent="0.2">
      <c r="A1798" s="73">
        <v>67262</v>
      </c>
      <c r="B1798" t="s">
        <v>350</v>
      </c>
      <c r="C1798" s="73" t="s">
        <v>464</v>
      </c>
      <c r="D1798" t="s">
        <v>215</v>
      </c>
      <c r="E1798" s="74">
        <v>46104</v>
      </c>
      <c r="F1798" t="s">
        <v>395</v>
      </c>
      <c r="G1798" t="s">
        <v>396</v>
      </c>
      <c r="H1798" s="75">
        <f t="shared" si="28"/>
        <v>69.362748319220188</v>
      </c>
      <c r="I1798" s="74">
        <v>46104</v>
      </c>
      <c r="J1798">
        <v>2</v>
      </c>
      <c r="K1798" t="s">
        <v>509</v>
      </c>
      <c r="L1798" t="s">
        <v>262</v>
      </c>
      <c r="M1798" t="s">
        <v>356</v>
      </c>
      <c r="N1798" s="73">
        <v>67262</v>
      </c>
      <c r="O1798" s="73">
        <v>67262</v>
      </c>
      <c r="P1798">
        <v>34.681374159610094</v>
      </c>
    </row>
    <row r="1799" spans="1:16" x14ac:dyDescent="0.2">
      <c r="A1799" s="73">
        <v>67262</v>
      </c>
      <c r="B1799" t="s">
        <v>350</v>
      </c>
      <c r="C1799" s="73" t="s">
        <v>464</v>
      </c>
      <c r="D1799" t="s">
        <v>215</v>
      </c>
      <c r="E1799" s="74">
        <v>46105</v>
      </c>
      <c r="F1799" t="s">
        <v>387</v>
      </c>
      <c r="G1799" t="s">
        <v>388</v>
      </c>
      <c r="H1799" s="75">
        <f t="shared" si="28"/>
        <v>69.362748319220188</v>
      </c>
      <c r="I1799" s="74">
        <v>46105</v>
      </c>
      <c r="J1799">
        <v>2</v>
      </c>
      <c r="K1799" t="s">
        <v>509</v>
      </c>
      <c r="L1799" t="s">
        <v>367</v>
      </c>
      <c r="M1799" t="s">
        <v>356</v>
      </c>
      <c r="N1799" s="73">
        <v>67262</v>
      </c>
      <c r="O1799" s="73">
        <v>67262</v>
      </c>
      <c r="P1799">
        <v>34.681374159610094</v>
      </c>
    </row>
    <row r="1800" spans="1:16" x14ac:dyDescent="0.2">
      <c r="A1800" s="73">
        <v>67262</v>
      </c>
      <c r="B1800" t="s">
        <v>350</v>
      </c>
      <c r="C1800" s="73" t="s">
        <v>464</v>
      </c>
      <c r="D1800" t="s">
        <v>215</v>
      </c>
      <c r="E1800" s="74">
        <v>46105</v>
      </c>
      <c r="F1800" t="s">
        <v>395</v>
      </c>
      <c r="G1800" t="s">
        <v>396</v>
      </c>
      <c r="H1800" s="75">
        <f t="shared" si="28"/>
        <v>69.362748319220188</v>
      </c>
      <c r="I1800" s="74">
        <v>46105</v>
      </c>
      <c r="J1800">
        <v>2</v>
      </c>
      <c r="K1800" t="s">
        <v>509</v>
      </c>
      <c r="L1800" t="s">
        <v>262</v>
      </c>
      <c r="M1800" t="s">
        <v>356</v>
      </c>
      <c r="N1800" s="73">
        <v>67262</v>
      </c>
      <c r="O1800" s="73">
        <v>67262</v>
      </c>
      <c r="P1800">
        <v>34.681374159610094</v>
      </c>
    </row>
    <row r="1801" spans="1:16" x14ac:dyDescent="0.2">
      <c r="A1801" s="73">
        <v>67262</v>
      </c>
      <c r="B1801" t="s">
        <v>350</v>
      </c>
      <c r="C1801" s="73" t="s">
        <v>464</v>
      </c>
      <c r="D1801" t="s">
        <v>215</v>
      </c>
      <c r="E1801" s="74">
        <v>46106</v>
      </c>
      <c r="F1801" t="s">
        <v>395</v>
      </c>
      <c r="G1801" t="s">
        <v>396</v>
      </c>
      <c r="H1801" s="75">
        <f t="shared" si="28"/>
        <v>69.362748319220188</v>
      </c>
      <c r="I1801" s="74">
        <v>46106</v>
      </c>
      <c r="J1801">
        <v>2</v>
      </c>
      <c r="K1801" t="s">
        <v>509</v>
      </c>
      <c r="L1801" t="s">
        <v>262</v>
      </c>
      <c r="M1801" t="s">
        <v>356</v>
      </c>
      <c r="N1801" s="73">
        <v>67262</v>
      </c>
      <c r="O1801" s="73">
        <v>67262</v>
      </c>
      <c r="P1801">
        <v>34.681374159610094</v>
      </c>
    </row>
    <row r="1802" spans="1:16" x14ac:dyDescent="0.2">
      <c r="A1802" s="73">
        <v>67262</v>
      </c>
      <c r="B1802" t="s">
        <v>350</v>
      </c>
      <c r="C1802" s="73" t="s">
        <v>464</v>
      </c>
      <c r="D1802" t="s">
        <v>215</v>
      </c>
      <c r="E1802" s="74">
        <v>46107</v>
      </c>
      <c r="F1802" t="s">
        <v>387</v>
      </c>
      <c r="G1802" t="s">
        <v>388</v>
      </c>
      <c r="H1802" s="75">
        <f t="shared" si="28"/>
        <v>208.08824495766055</v>
      </c>
      <c r="I1802" s="74">
        <v>46107</v>
      </c>
      <c r="J1802">
        <v>6</v>
      </c>
      <c r="K1802" t="s">
        <v>509</v>
      </c>
      <c r="L1802" t="s">
        <v>367</v>
      </c>
      <c r="M1802" t="s">
        <v>356</v>
      </c>
      <c r="N1802" s="73">
        <v>67262</v>
      </c>
      <c r="O1802" s="73">
        <v>67262</v>
      </c>
      <c r="P1802">
        <v>34.681374159610094</v>
      </c>
    </row>
    <row r="1803" spans="1:16" x14ac:dyDescent="0.2">
      <c r="A1803" s="73">
        <v>67262</v>
      </c>
      <c r="B1803" t="s">
        <v>350</v>
      </c>
      <c r="C1803" s="73" t="s">
        <v>464</v>
      </c>
      <c r="D1803" t="s">
        <v>215</v>
      </c>
      <c r="E1803" s="74">
        <v>46107</v>
      </c>
      <c r="F1803" t="s">
        <v>404</v>
      </c>
      <c r="G1803" t="s">
        <v>405</v>
      </c>
      <c r="H1803" s="75">
        <f t="shared" si="28"/>
        <v>242.76961911727065</v>
      </c>
      <c r="I1803" s="74">
        <v>46107</v>
      </c>
      <c r="J1803">
        <v>7</v>
      </c>
      <c r="K1803" t="s">
        <v>509</v>
      </c>
      <c r="L1803" t="s">
        <v>262</v>
      </c>
      <c r="M1803" t="s">
        <v>356</v>
      </c>
      <c r="N1803" s="73">
        <v>67262</v>
      </c>
      <c r="O1803" s="73">
        <v>67262</v>
      </c>
      <c r="P1803">
        <v>34.681374159610094</v>
      </c>
    </row>
    <row r="1804" spans="1:16" x14ac:dyDescent="0.2">
      <c r="A1804" s="73">
        <v>67262</v>
      </c>
      <c r="B1804" t="s">
        <v>350</v>
      </c>
      <c r="C1804" s="73" t="s">
        <v>464</v>
      </c>
      <c r="D1804" t="s">
        <v>215</v>
      </c>
      <c r="E1804" s="74">
        <v>46107</v>
      </c>
      <c r="F1804" t="s">
        <v>395</v>
      </c>
      <c r="G1804" t="s">
        <v>396</v>
      </c>
      <c r="H1804" s="75">
        <f t="shared" si="28"/>
        <v>69.362748319220188</v>
      </c>
      <c r="I1804" s="74">
        <v>46107</v>
      </c>
      <c r="J1804">
        <v>2</v>
      </c>
      <c r="K1804" t="s">
        <v>509</v>
      </c>
      <c r="L1804" t="s">
        <v>262</v>
      </c>
      <c r="M1804" t="s">
        <v>356</v>
      </c>
      <c r="N1804" s="73">
        <v>67262</v>
      </c>
      <c r="O1804" s="73">
        <v>67262</v>
      </c>
      <c r="P1804">
        <v>34.681374159610094</v>
      </c>
    </row>
    <row r="1805" spans="1:16" x14ac:dyDescent="0.2">
      <c r="A1805" s="73">
        <v>67262</v>
      </c>
      <c r="B1805" t="s">
        <v>350</v>
      </c>
      <c r="C1805" s="73" t="s">
        <v>464</v>
      </c>
      <c r="D1805" t="s">
        <v>215</v>
      </c>
      <c r="E1805" s="74">
        <v>46108</v>
      </c>
      <c r="F1805" t="s">
        <v>387</v>
      </c>
      <c r="G1805" t="s">
        <v>388</v>
      </c>
      <c r="H1805" s="75">
        <f t="shared" si="28"/>
        <v>138.72549663844038</v>
      </c>
      <c r="I1805" s="74">
        <v>46108</v>
      </c>
      <c r="J1805">
        <v>4</v>
      </c>
      <c r="K1805" t="s">
        <v>509</v>
      </c>
      <c r="L1805" t="s">
        <v>367</v>
      </c>
      <c r="M1805" t="s">
        <v>356</v>
      </c>
      <c r="N1805" s="73">
        <v>67262</v>
      </c>
      <c r="O1805" s="73">
        <v>67262</v>
      </c>
      <c r="P1805">
        <v>34.681374159610094</v>
      </c>
    </row>
    <row r="1806" spans="1:16" x14ac:dyDescent="0.2">
      <c r="A1806" s="73">
        <v>67262</v>
      </c>
      <c r="B1806" t="s">
        <v>350</v>
      </c>
      <c r="C1806" s="73" t="s">
        <v>464</v>
      </c>
      <c r="D1806" t="s">
        <v>215</v>
      </c>
      <c r="E1806" s="74">
        <v>46108</v>
      </c>
      <c r="F1806" t="s">
        <v>404</v>
      </c>
      <c r="G1806" t="s">
        <v>405</v>
      </c>
      <c r="H1806" s="75">
        <f t="shared" si="28"/>
        <v>242.76961911727065</v>
      </c>
      <c r="I1806" s="74">
        <v>46108</v>
      </c>
      <c r="J1806">
        <v>7</v>
      </c>
      <c r="K1806" t="s">
        <v>509</v>
      </c>
      <c r="L1806" t="s">
        <v>262</v>
      </c>
      <c r="M1806" t="s">
        <v>356</v>
      </c>
      <c r="N1806" s="73">
        <v>67262</v>
      </c>
      <c r="O1806" s="73">
        <v>67262</v>
      </c>
      <c r="P1806">
        <v>34.681374159610094</v>
      </c>
    </row>
    <row r="1807" spans="1:16" x14ac:dyDescent="0.2">
      <c r="A1807" s="73">
        <v>67262</v>
      </c>
      <c r="B1807" t="s">
        <v>350</v>
      </c>
      <c r="C1807" s="73" t="s">
        <v>464</v>
      </c>
      <c r="D1807" t="s">
        <v>215</v>
      </c>
      <c r="E1807" s="74">
        <v>46108</v>
      </c>
      <c r="F1807" t="s">
        <v>395</v>
      </c>
      <c r="G1807" t="s">
        <v>396</v>
      </c>
      <c r="H1807" s="75">
        <f t="shared" si="28"/>
        <v>69.362748319220188</v>
      </c>
      <c r="I1807" s="74">
        <v>46108</v>
      </c>
      <c r="J1807">
        <v>2</v>
      </c>
      <c r="K1807" t="s">
        <v>509</v>
      </c>
      <c r="L1807" t="s">
        <v>262</v>
      </c>
      <c r="M1807" t="s">
        <v>356</v>
      </c>
      <c r="N1807" s="73">
        <v>67262</v>
      </c>
      <c r="O1807" s="73">
        <v>67262</v>
      </c>
      <c r="P1807">
        <v>34.681374159610094</v>
      </c>
    </row>
    <row r="1808" spans="1:16" x14ac:dyDescent="0.2">
      <c r="A1808" s="73">
        <v>67262</v>
      </c>
      <c r="B1808" t="s">
        <v>350</v>
      </c>
      <c r="C1808" s="73" t="s">
        <v>464</v>
      </c>
      <c r="D1808" t="s">
        <v>215</v>
      </c>
      <c r="E1808" s="74">
        <v>46111</v>
      </c>
      <c r="F1808" t="s">
        <v>395</v>
      </c>
      <c r="G1808" t="s">
        <v>396</v>
      </c>
      <c r="H1808" s="75">
        <f t="shared" si="28"/>
        <v>138.72549663844038</v>
      </c>
      <c r="I1808" s="74">
        <v>46111</v>
      </c>
      <c r="J1808">
        <v>4</v>
      </c>
      <c r="K1808" t="s">
        <v>509</v>
      </c>
      <c r="L1808" t="s">
        <v>262</v>
      </c>
      <c r="M1808" t="s">
        <v>356</v>
      </c>
      <c r="N1808" s="73">
        <v>67262</v>
      </c>
      <c r="O1808" s="73">
        <v>67262</v>
      </c>
      <c r="P1808">
        <v>34.681374159610094</v>
      </c>
    </row>
    <row r="1809" spans="1:16" x14ac:dyDescent="0.2">
      <c r="A1809" s="73">
        <v>67262</v>
      </c>
      <c r="B1809" t="s">
        <v>350</v>
      </c>
      <c r="C1809" s="73" t="s">
        <v>464</v>
      </c>
      <c r="D1809" t="s">
        <v>215</v>
      </c>
      <c r="E1809" s="74">
        <v>46112</v>
      </c>
      <c r="F1809" t="s">
        <v>395</v>
      </c>
      <c r="G1809" t="s">
        <v>396</v>
      </c>
      <c r="H1809" s="75">
        <f t="shared" si="28"/>
        <v>138.72549663844038</v>
      </c>
      <c r="I1809" s="74">
        <v>46112</v>
      </c>
      <c r="J1809">
        <v>4</v>
      </c>
      <c r="K1809" t="s">
        <v>509</v>
      </c>
      <c r="L1809" t="s">
        <v>262</v>
      </c>
      <c r="M1809" t="s">
        <v>356</v>
      </c>
      <c r="N1809" s="73">
        <v>67262</v>
      </c>
      <c r="O1809" s="73">
        <v>67262</v>
      </c>
      <c r="P1809">
        <v>34.681374159610094</v>
      </c>
    </row>
    <row r="1810" spans="1:16" x14ac:dyDescent="0.2">
      <c r="A1810" s="73">
        <v>67262</v>
      </c>
      <c r="B1810" t="s">
        <v>350</v>
      </c>
      <c r="C1810" s="73" t="s">
        <v>464</v>
      </c>
      <c r="D1810" t="s">
        <v>215</v>
      </c>
      <c r="E1810" s="74">
        <v>46111</v>
      </c>
      <c r="F1810" t="s">
        <v>387</v>
      </c>
      <c r="G1810" t="s">
        <v>388</v>
      </c>
      <c r="H1810" s="75">
        <f t="shared" si="28"/>
        <v>208.08824495766055</v>
      </c>
      <c r="I1810" s="74">
        <v>46111</v>
      </c>
      <c r="J1810">
        <v>6</v>
      </c>
      <c r="K1810" t="s">
        <v>509</v>
      </c>
      <c r="L1810" t="s">
        <v>367</v>
      </c>
      <c r="M1810" t="s">
        <v>356</v>
      </c>
      <c r="N1810" s="73">
        <v>67262</v>
      </c>
      <c r="O1810" s="73">
        <v>67262</v>
      </c>
      <c r="P1810">
        <v>34.681374159610094</v>
      </c>
    </row>
    <row r="1811" spans="1:16" x14ac:dyDescent="0.2">
      <c r="A1811" s="73">
        <v>67262</v>
      </c>
      <c r="B1811" t="s">
        <v>350</v>
      </c>
      <c r="C1811" s="73" t="s">
        <v>464</v>
      </c>
      <c r="D1811" t="s">
        <v>215</v>
      </c>
      <c r="E1811" s="74">
        <v>46112</v>
      </c>
      <c r="F1811" t="s">
        <v>404</v>
      </c>
      <c r="G1811" t="s">
        <v>405</v>
      </c>
      <c r="H1811" s="75">
        <f t="shared" si="28"/>
        <v>208.08824495766055</v>
      </c>
      <c r="I1811" s="74">
        <v>46112</v>
      </c>
      <c r="J1811">
        <v>6</v>
      </c>
      <c r="K1811" t="s">
        <v>509</v>
      </c>
      <c r="L1811" t="s">
        <v>262</v>
      </c>
      <c r="M1811" t="s">
        <v>356</v>
      </c>
      <c r="N1811" s="73">
        <v>67262</v>
      </c>
      <c r="O1811" s="73">
        <v>67262</v>
      </c>
      <c r="P1811">
        <v>34.681374159610094</v>
      </c>
    </row>
    <row r="1812" spans="1:16" x14ac:dyDescent="0.2">
      <c r="A1812" s="73">
        <v>67262</v>
      </c>
      <c r="B1812" t="s">
        <v>350</v>
      </c>
      <c r="C1812" s="73" t="s">
        <v>464</v>
      </c>
      <c r="D1812" t="s">
        <v>215</v>
      </c>
      <c r="E1812" s="74">
        <v>46112</v>
      </c>
      <c r="F1812" t="s">
        <v>387</v>
      </c>
      <c r="G1812" t="s">
        <v>388</v>
      </c>
      <c r="H1812" s="75">
        <f t="shared" si="28"/>
        <v>138.72549663844038</v>
      </c>
      <c r="I1812" s="74">
        <v>46112</v>
      </c>
      <c r="J1812">
        <v>4</v>
      </c>
      <c r="K1812" t="s">
        <v>509</v>
      </c>
      <c r="L1812" t="s">
        <v>367</v>
      </c>
      <c r="M1812" t="s">
        <v>356</v>
      </c>
      <c r="N1812" s="73">
        <v>67262</v>
      </c>
      <c r="O1812" s="73">
        <v>67262</v>
      </c>
      <c r="P1812">
        <v>34.681374159610094</v>
      </c>
    </row>
    <row r="1813" spans="1:16" x14ac:dyDescent="0.2">
      <c r="A1813" s="73">
        <v>67262</v>
      </c>
      <c r="B1813" t="s">
        <v>350</v>
      </c>
      <c r="C1813" s="73" t="s">
        <v>464</v>
      </c>
      <c r="D1813" t="s">
        <v>215</v>
      </c>
      <c r="E1813" s="74">
        <v>46113</v>
      </c>
      <c r="F1813" t="s">
        <v>395</v>
      </c>
      <c r="G1813" t="s">
        <v>396</v>
      </c>
      <c r="H1813" s="75">
        <f t="shared" si="28"/>
        <v>138.72549663844038</v>
      </c>
      <c r="I1813" s="74">
        <v>46113</v>
      </c>
      <c r="J1813">
        <v>4</v>
      </c>
      <c r="K1813" t="s">
        <v>510</v>
      </c>
      <c r="L1813" t="s">
        <v>262</v>
      </c>
      <c r="M1813" t="s">
        <v>356</v>
      </c>
      <c r="N1813" s="73">
        <v>67262</v>
      </c>
      <c r="O1813" s="73">
        <v>67262</v>
      </c>
      <c r="P1813">
        <v>34.681374159610094</v>
      </c>
    </row>
    <row r="1814" spans="1:16" x14ac:dyDescent="0.2">
      <c r="A1814" s="73">
        <v>67262</v>
      </c>
      <c r="B1814" t="s">
        <v>350</v>
      </c>
      <c r="C1814" s="73" t="s">
        <v>464</v>
      </c>
      <c r="D1814" t="s">
        <v>215</v>
      </c>
      <c r="E1814" s="74">
        <v>46113</v>
      </c>
      <c r="F1814" t="s">
        <v>404</v>
      </c>
      <c r="G1814" t="s">
        <v>405</v>
      </c>
      <c r="H1814" s="75">
        <f t="shared" si="28"/>
        <v>208.08824495766055</v>
      </c>
      <c r="I1814" s="74">
        <v>46113</v>
      </c>
      <c r="J1814">
        <v>6</v>
      </c>
      <c r="K1814" t="s">
        <v>510</v>
      </c>
      <c r="L1814" t="s">
        <v>262</v>
      </c>
      <c r="M1814" t="s">
        <v>356</v>
      </c>
      <c r="N1814" s="73">
        <v>67262</v>
      </c>
      <c r="O1814" s="73">
        <v>67262</v>
      </c>
      <c r="P1814">
        <v>34.681374159610094</v>
      </c>
    </row>
    <row r="1815" spans="1:16" x14ac:dyDescent="0.2">
      <c r="A1815" s="73">
        <v>67262</v>
      </c>
      <c r="B1815" t="s">
        <v>350</v>
      </c>
      <c r="C1815" s="73" t="s">
        <v>464</v>
      </c>
      <c r="D1815" t="s">
        <v>215</v>
      </c>
      <c r="E1815" s="74">
        <v>46113</v>
      </c>
      <c r="F1815" t="s">
        <v>387</v>
      </c>
      <c r="G1815" t="s">
        <v>388</v>
      </c>
      <c r="H1815" s="75">
        <f t="shared" si="28"/>
        <v>104.04412247883027</v>
      </c>
      <c r="I1815" s="74">
        <v>46113</v>
      </c>
      <c r="J1815">
        <v>3</v>
      </c>
      <c r="K1815" t="s">
        <v>510</v>
      </c>
      <c r="L1815" t="s">
        <v>367</v>
      </c>
      <c r="M1815" t="s">
        <v>356</v>
      </c>
      <c r="N1815" s="73">
        <v>67262</v>
      </c>
      <c r="O1815" s="73">
        <v>67262</v>
      </c>
      <c r="P1815">
        <v>34.681374159610094</v>
      </c>
    </row>
    <row r="1816" spans="1:16" x14ac:dyDescent="0.2">
      <c r="A1816" s="73">
        <v>67262</v>
      </c>
      <c r="B1816" t="s">
        <v>350</v>
      </c>
      <c r="C1816" s="73" t="s">
        <v>464</v>
      </c>
      <c r="D1816" t="s">
        <v>215</v>
      </c>
      <c r="E1816" s="74">
        <v>46114</v>
      </c>
      <c r="F1816" t="s">
        <v>395</v>
      </c>
      <c r="G1816" t="s">
        <v>396</v>
      </c>
      <c r="H1816" s="75">
        <f t="shared" si="28"/>
        <v>69.362748319220188</v>
      </c>
      <c r="I1816" s="74">
        <v>46114</v>
      </c>
      <c r="J1816">
        <v>2</v>
      </c>
      <c r="K1816" t="s">
        <v>510</v>
      </c>
      <c r="L1816" t="s">
        <v>262</v>
      </c>
      <c r="M1816" t="s">
        <v>356</v>
      </c>
      <c r="N1816" s="73">
        <v>67262</v>
      </c>
      <c r="O1816" s="73">
        <v>67262</v>
      </c>
      <c r="P1816">
        <v>34.681374159610094</v>
      </c>
    </row>
    <row r="1817" spans="1:16" x14ac:dyDescent="0.2">
      <c r="A1817" s="73">
        <v>67262</v>
      </c>
      <c r="B1817" t="s">
        <v>350</v>
      </c>
      <c r="C1817" s="73" t="s">
        <v>464</v>
      </c>
      <c r="D1817" t="s">
        <v>215</v>
      </c>
      <c r="E1817" s="74">
        <v>46114</v>
      </c>
      <c r="F1817" t="s">
        <v>404</v>
      </c>
      <c r="G1817" t="s">
        <v>405</v>
      </c>
      <c r="H1817" s="75">
        <f t="shared" si="28"/>
        <v>208.08824495766055</v>
      </c>
      <c r="I1817" s="74">
        <v>46114</v>
      </c>
      <c r="J1817">
        <v>6</v>
      </c>
      <c r="K1817" t="s">
        <v>510</v>
      </c>
      <c r="L1817" t="s">
        <v>262</v>
      </c>
      <c r="M1817" t="s">
        <v>356</v>
      </c>
      <c r="N1817" s="73">
        <v>67262</v>
      </c>
      <c r="O1817" s="73">
        <v>67262</v>
      </c>
      <c r="P1817">
        <v>34.681374159610094</v>
      </c>
    </row>
    <row r="1818" spans="1:16" x14ac:dyDescent="0.2">
      <c r="A1818" s="73">
        <v>67262</v>
      </c>
      <c r="B1818" t="s">
        <v>350</v>
      </c>
      <c r="C1818" s="73" t="s">
        <v>464</v>
      </c>
      <c r="D1818" t="s">
        <v>215</v>
      </c>
      <c r="E1818" s="74">
        <v>46114</v>
      </c>
      <c r="F1818" t="s">
        <v>387</v>
      </c>
      <c r="G1818" t="s">
        <v>388</v>
      </c>
      <c r="H1818" s="75">
        <f t="shared" si="28"/>
        <v>104.04412247883027</v>
      </c>
      <c r="I1818" s="74">
        <v>46114</v>
      </c>
      <c r="J1818">
        <v>3</v>
      </c>
      <c r="K1818" t="s">
        <v>510</v>
      </c>
      <c r="L1818" t="s">
        <v>367</v>
      </c>
      <c r="M1818" t="s">
        <v>356</v>
      </c>
      <c r="N1818" s="73">
        <v>67262</v>
      </c>
      <c r="O1818" s="73">
        <v>67262</v>
      </c>
      <c r="P1818">
        <v>34.681374159610094</v>
      </c>
    </row>
    <row r="1819" spans="1:16" x14ac:dyDescent="0.2">
      <c r="A1819" s="73">
        <v>67262</v>
      </c>
      <c r="B1819" t="s">
        <v>350</v>
      </c>
      <c r="C1819" s="73" t="s">
        <v>464</v>
      </c>
      <c r="D1819" t="s">
        <v>215</v>
      </c>
      <c r="E1819" s="74">
        <v>46115</v>
      </c>
      <c r="F1819" t="s">
        <v>395</v>
      </c>
      <c r="G1819" t="s">
        <v>396</v>
      </c>
      <c r="H1819" s="75">
        <f t="shared" si="28"/>
        <v>69.362748319220188</v>
      </c>
      <c r="I1819" s="74">
        <v>46115</v>
      </c>
      <c r="J1819">
        <v>2</v>
      </c>
      <c r="K1819" t="s">
        <v>510</v>
      </c>
      <c r="L1819" t="s">
        <v>262</v>
      </c>
      <c r="M1819" t="s">
        <v>356</v>
      </c>
      <c r="N1819" s="73">
        <v>67262</v>
      </c>
      <c r="O1819" s="73">
        <v>67262</v>
      </c>
      <c r="P1819">
        <v>34.681374159610094</v>
      </c>
    </row>
    <row r="1820" spans="1:16" x14ac:dyDescent="0.2">
      <c r="A1820" s="73">
        <v>67262</v>
      </c>
      <c r="B1820" t="s">
        <v>350</v>
      </c>
      <c r="C1820" s="73" t="s">
        <v>464</v>
      </c>
      <c r="D1820" t="s">
        <v>215</v>
      </c>
      <c r="E1820" s="74">
        <v>46118</v>
      </c>
      <c r="F1820" t="s">
        <v>395</v>
      </c>
      <c r="G1820" t="s">
        <v>396</v>
      </c>
      <c r="H1820" s="75">
        <f t="shared" si="28"/>
        <v>104.04412247883027</v>
      </c>
      <c r="I1820" s="74">
        <v>46118</v>
      </c>
      <c r="J1820">
        <v>3</v>
      </c>
      <c r="K1820" t="s">
        <v>510</v>
      </c>
      <c r="L1820" t="s">
        <v>262</v>
      </c>
      <c r="M1820" t="s">
        <v>356</v>
      </c>
      <c r="N1820" s="73">
        <v>67262</v>
      </c>
      <c r="O1820" s="73">
        <v>67262</v>
      </c>
      <c r="P1820">
        <v>34.681374159610094</v>
      </c>
    </row>
    <row r="1821" spans="1:16" x14ac:dyDescent="0.2">
      <c r="A1821" s="73">
        <v>67262</v>
      </c>
      <c r="B1821" t="s">
        <v>350</v>
      </c>
      <c r="C1821" s="73" t="s">
        <v>464</v>
      </c>
      <c r="D1821" t="s">
        <v>215</v>
      </c>
      <c r="E1821" s="74">
        <v>46118</v>
      </c>
      <c r="F1821" t="s">
        <v>387</v>
      </c>
      <c r="G1821" t="s">
        <v>388</v>
      </c>
      <c r="H1821" s="75">
        <f t="shared" si="28"/>
        <v>104.04412247883027</v>
      </c>
      <c r="I1821" s="74">
        <v>46118</v>
      </c>
      <c r="J1821">
        <v>3</v>
      </c>
      <c r="K1821" t="s">
        <v>510</v>
      </c>
      <c r="L1821" t="s">
        <v>367</v>
      </c>
      <c r="M1821" t="s">
        <v>356</v>
      </c>
      <c r="N1821" s="73">
        <v>67262</v>
      </c>
      <c r="O1821" s="73">
        <v>67262</v>
      </c>
      <c r="P1821">
        <v>34.681374159610094</v>
      </c>
    </row>
    <row r="1822" spans="1:16" x14ac:dyDescent="0.2">
      <c r="A1822" s="73">
        <v>67262</v>
      </c>
      <c r="B1822" t="s">
        <v>350</v>
      </c>
      <c r="C1822" s="73" t="s">
        <v>464</v>
      </c>
      <c r="D1822" t="s">
        <v>215</v>
      </c>
      <c r="E1822" s="74">
        <v>46119</v>
      </c>
      <c r="F1822" t="s">
        <v>404</v>
      </c>
      <c r="G1822" t="s">
        <v>405</v>
      </c>
      <c r="H1822" s="75">
        <f t="shared" si="28"/>
        <v>190.74755787785551</v>
      </c>
      <c r="I1822" s="74">
        <v>46119</v>
      </c>
      <c r="J1822">
        <v>5.5</v>
      </c>
      <c r="K1822" t="s">
        <v>510</v>
      </c>
      <c r="L1822" t="s">
        <v>262</v>
      </c>
      <c r="M1822" t="s">
        <v>356</v>
      </c>
      <c r="N1822" s="73">
        <v>67262</v>
      </c>
      <c r="O1822" s="73">
        <v>67262</v>
      </c>
      <c r="P1822">
        <v>34.681374159610094</v>
      </c>
    </row>
    <row r="1823" spans="1:16" x14ac:dyDescent="0.2">
      <c r="A1823" s="73">
        <v>67262</v>
      </c>
      <c r="B1823" t="s">
        <v>350</v>
      </c>
      <c r="C1823" s="73" t="s">
        <v>464</v>
      </c>
      <c r="D1823" t="s">
        <v>215</v>
      </c>
      <c r="E1823" s="74">
        <v>46119</v>
      </c>
      <c r="F1823" t="s">
        <v>395</v>
      </c>
      <c r="G1823" t="s">
        <v>396</v>
      </c>
      <c r="H1823" s="75">
        <f t="shared" si="28"/>
        <v>104.04412247883027</v>
      </c>
      <c r="I1823" s="74">
        <v>46119</v>
      </c>
      <c r="J1823">
        <v>3</v>
      </c>
      <c r="K1823" t="s">
        <v>510</v>
      </c>
      <c r="L1823" t="s">
        <v>262</v>
      </c>
      <c r="M1823" t="s">
        <v>356</v>
      </c>
      <c r="N1823" s="73">
        <v>67262</v>
      </c>
      <c r="O1823" s="73">
        <v>67262</v>
      </c>
      <c r="P1823">
        <v>34.681374159610094</v>
      </c>
    </row>
    <row r="1824" spans="1:16" x14ac:dyDescent="0.2">
      <c r="A1824" s="73">
        <v>67262</v>
      </c>
      <c r="B1824" t="s">
        <v>350</v>
      </c>
      <c r="C1824" s="73" t="s">
        <v>464</v>
      </c>
      <c r="D1824" t="s">
        <v>215</v>
      </c>
      <c r="E1824" s="74">
        <v>46119</v>
      </c>
      <c r="F1824" t="s">
        <v>387</v>
      </c>
      <c r="G1824" t="s">
        <v>388</v>
      </c>
      <c r="H1824" s="75">
        <f t="shared" si="28"/>
        <v>138.72549663844038</v>
      </c>
      <c r="I1824" s="74">
        <v>46119</v>
      </c>
      <c r="J1824">
        <v>4</v>
      </c>
      <c r="K1824" t="s">
        <v>510</v>
      </c>
      <c r="L1824" t="s">
        <v>367</v>
      </c>
      <c r="M1824" t="s">
        <v>356</v>
      </c>
      <c r="N1824" s="73">
        <v>67262</v>
      </c>
      <c r="O1824" s="73">
        <v>67262</v>
      </c>
      <c r="P1824">
        <v>34.681374159610094</v>
      </c>
    </row>
    <row r="1825" spans="1:16" x14ac:dyDescent="0.2">
      <c r="A1825" s="73">
        <v>67262</v>
      </c>
      <c r="B1825" t="s">
        <v>350</v>
      </c>
      <c r="C1825" s="73" t="s">
        <v>464</v>
      </c>
      <c r="D1825" t="s">
        <v>215</v>
      </c>
      <c r="E1825" s="74">
        <v>46120</v>
      </c>
      <c r="F1825" t="s">
        <v>404</v>
      </c>
      <c r="G1825" t="s">
        <v>405</v>
      </c>
      <c r="H1825" s="75">
        <f t="shared" si="28"/>
        <v>173.40687079805048</v>
      </c>
      <c r="I1825" s="74">
        <v>46120</v>
      </c>
      <c r="J1825">
        <v>5</v>
      </c>
      <c r="K1825" t="s">
        <v>510</v>
      </c>
      <c r="L1825" t="s">
        <v>262</v>
      </c>
      <c r="M1825" t="s">
        <v>356</v>
      </c>
      <c r="N1825" s="73">
        <v>67262</v>
      </c>
      <c r="O1825" s="73">
        <v>67262</v>
      </c>
      <c r="P1825">
        <v>34.681374159610094</v>
      </c>
    </row>
    <row r="1826" spans="1:16" x14ac:dyDescent="0.2">
      <c r="A1826" s="73">
        <v>67262</v>
      </c>
      <c r="B1826" t="s">
        <v>350</v>
      </c>
      <c r="C1826" s="73" t="s">
        <v>464</v>
      </c>
      <c r="D1826" t="s">
        <v>215</v>
      </c>
      <c r="E1826" s="74">
        <v>46120</v>
      </c>
      <c r="F1826" t="s">
        <v>395</v>
      </c>
      <c r="G1826" t="s">
        <v>396</v>
      </c>
      <c r="H1826" s="75">
        <f t="shared" si="28"/>
        <v>104.04412247883027</v>
      </c>
      <c r="I1826" s="74">
        <v>46120</v>
      </c>
      <c r="J1826">
        <v>3</v>
      </c>
      <c r="K1826" t="s">
        <v>510</v>
      </c>
      <c r="L1826" t="s">
        <v>262</v>
      </c>
      <c r="M1826" t="s">
        <v>356</v>
      </c>
      <c r="N1826" s="73">
        <v>67262</v>
      </c>
      <c r="O1826" s="73">
        <v>67262</v>
      </c>
      <c r="P1826">
        <v>34.681374159610094</v>
      </c>
    </row>
    <row r="1827" spans="1:16" x14ac:dyDescent="0.2">
      <c r="A1827" s="73">
        <v>67262</v>
      </c>
      <c r="B1827" t="s">
        <v>350</v>
      </c>
      <c r="C1827" s="73" t="s">
        <v>464</v>
      </c>
      <c r="D1827" t="s">
        <v>215</v>
      </c>
      <c r="E1827" s="74">
        <v>46121</v>
      </c>
      <c r="F1827" t="s">
        <v>395</v>
      </c>
      <c r="G1827" t="s">
        <v>396</v>
      </c>
      <c r="H1827" s="75">
        <f t="shared" si="28"/>
        <v>104.04412247883027</v>
      </c>
      <c r="I1827" s="74">
        <v>46121</v>
      </c>
      <c r="J1827">
        <v>3</v>
      </c>
      <c r="K1827" t="s">
        <v>510</v>
      </c>
      <c r="L1827" t="s">
        <v>262</v>
      </c>
      <c r="M1827" t="s">
        <v>356</v>
      </c>
      <c r="N1827" s="73">
        <v>67262</v>
      </c>
      <c r="O1827" s="73">
        <v>67262</v>
      </c>
      <c r="P1827">
        <v>34.681374159610094</v>
      </c>
    </row>
    <row r="1828" spans="1:16" x14ac:dyDescent="0.2">
      <c r="A1828" s="73">
        <v>67262</v>
      </c>
      <c r="B1828" t="s">
        <v>350</v>
      </c>
      <c r="C1828" s="73" t="s">
        <v>464</v>
      </c>
      <c r="D1828" t="s">
        <v>215</v>
      </c>
      <c r="E1828" s="74">
        <v>46122</v>
      </c>
      <c r="F1828" t="s">
        <v>404</v>
      </c>
      <c r="G1828" t="s">
        <v>405</v>
      </c>
      <c r="H1828" s="75">
        <f t="shared" si="28"/>
        <v>242.76961911727065</v>
      </c>
      <c r="I1828" s="74">
        <v>46122</v>
      </c>
      <c r="J1828">
        <v>7</v>
      </c>
      <c r="K1828" t="s">
        <v>510</v>
      </c>
      <c r="L1828" t="s">
        <v>262</v>
      </c>
      <c r="M1828" t="s">
        <v>356</v>
      </c>
      <c r="N1828" s="73">
        <v>67262</v>
      </c>
      <c r="O1828" s="73">
        <v>67262</v>
      </c>
      <c r="P1828">
        <v>34.681374159610094</v>
      </c>
    </row>
    <row r="1829" spans="1:16" x14ac:dyDescent="0.2">
      <c r="A1829" s="73">
        <v>67262</v>
      </c>
      <c r="B1829" t="s">
        <v>350</v>
      </c>
      <c r="C1829" s="73" t="s">
        <v>464</v>
      </c>
      <c r="D1829" t="s">
        <v>215</v>
      </c>
      <c r="E1829" s="74">
        <v>46122</v>
      </c>
      <c r="F1829" t="s">
        <v>395</v>
      </c>
      <c r="G1829" t="s">
        <v>396</v>
      </c>
      <c r="H1829" s="75">
        <f t="shared" si="28"/>
        <v>104.04412247883027</v>
      </c>
      <c r="I1829" s="74">
        <v>46122</v>
      </c>
      <c r="J1829">
        <v>3</v>
      </c>
      <c r="K1829" t="s">
        <v>510</v>
      </c>
      <c r="L1829" t="s">
        <v>262</v>
      </c>
      <c r="M1829" t="s">
        <v>356</v>
      </c>
      <c r="N1829" s="73">
        <v>67262</v>
      </c>
      <c r="O1829" s="73">
        <v>67262</v>
      </c>
      <c r="P1829">
        <v>34.681374159610094</v>
      </c>
    </row>
    <row r="1830" spans="1:16" x14ac:dyDescent="0.2">
      <c r="A1830" s="73">
        <v>67262</v>
      </c>
      <c r="B1830" t="s">
        <v>350</v>
      </c>
      <c r="C1830" s="73" t="s">
        <v>464</v>
      </c>
      <c r="D1830" t="s">
        <v>215</v>
      </c>
      <c r="E1830" s="74">
        <v>46122</v>
      </c>
      <c r="F1830" t="s">
        <v>387</v>
      </c>
      <c r="G1830" t="s">
        <v>388</v>
      </c>
      <c r="H1830" s="75">
        <f t="shared" si="28"/>
        <v>104.04412247883027</v>
      </c>
      <c r="I1830" s="74">
        <v>46122</v>
      </c>
      <c r="J1830">
        <v>3</v>
      </c>
      <c r="K1830" t="s">
        <v>510</v>
      </c>
      <c r="L1830" t="s">
        <v>367</v>
      </c>
      <c r="M1830" t="s">
        <v>356</v>
      </c>
      <c r="N1830" s="73">
        <v>67262</v>
      </c>
      <c r="O1830" s="73">
        <v>67262</v>
      </c>
      <c r="P1830">
        <v>34.681374159610094</v>
      </c>
    </row>
    <row r="1831" spans="1:16" x14ac:dyDescent="0.2">
      <c r="A1831" s="73">
        <v>67262</v>
      </c>
      <c r="B1831" t="s">
        <v>350</v>
      </c>
      <c r="C1831" s="73" t="s">
        <v>464</v>
      </c>
      <c r="D1831" t="s">
        <v>215</v>
      </c>
      <c r="E1831" s="74">
        <v>46125</v>
      </c>
      <c r="F1831" t="s">
        <v>395</v>
      </c>
      <c r="G1831" t="s">
        <v>396</v>
      </c>
      <c r="H1831" s="75">
        <f t="shared" si="28"/>
        <v>69.362748319220188</v>
      </c>
      <c r="I1831" s="74">
        <v>46125</v>
      </c>
      <c r="J1831">
        <v>2</v>
      </c>
      <c r="K1831" t="s">
        <v>510</v>
      </c>
      <c r="L1831" t="s">
        <v>262</v>
      </c>
      <c r="M1831" t="s">
        <v>356</v>
      </c>
      <c r="N1831" s="73">
        <v>67262</v>
      </c>
      <c r="O1831" s="73">
        <v>67262</v>
      </c>
      <c r="P1831">
        <v>34.681374159610094</v>
      </c>
    </row>
    <row r="1832" spans="1:16" x14ac:dyDescent="0.2">
      <c r="A1832" s="73">
        <v>67262</v>
      </c>
      <c r="B1832" t="s">
        <v>350</v>
      </c>
      <c r="C1832" s="73" t="s">
        <v>464</v>
      </c>
      <c r="D1832" t="s">
        <v>215</v>
      </c>
      <c r="E1832" s="74">
        <v>46127</v>
      </c>
      <c r="F1832" t="s">
        <v>395</v>
      </c>
      <c r="G1832" t="s">
        <v>396</v>
      </c>
      <c r="H1832" s="75">
        <f t="shared" si="28"/>
        <v>69.362748319220188</v>
      </c>
      <c r="I1832" s="74">
        <v>46127</v>
      </c>
      <c r="J1832">
        <v>2</v>
      </c>
      <c r="K1832" t="s">
        <v>510</v>
      </c>
      <c r="L1832" t="s">
        <v>262</v>
      </c>
      <c r="M1832" t="s">
        <v>356</v>
      </c>
      <c r="N1832" s="73">
        <v>67262</v>
      </c>
      <c r="O1832" s="73">
        <v>67262</v>
      </c>
      <c r="P1832">
        <v>34.681374159610094</v>
      </c>
    </row>
    <row r="1833" spans="1:16" x14ac:dyDescent="0.2">
      <c r="A1833" s="73">
        <v>67262</v>
      </c>
      <c r="B1833" t="s">
        <v>350</v>
      </c>
      <c r="C1833" s="73" t="s">
        <v>464</v>
      </c>
      <c r="D1833" t="s">
        <v>215</v>
      </c>
      <c r="E1833" s="74">
        <v>46128</v>
      </c>
      <c r="F1833" t="s">
        <v>395</v>
      </c>
      <c r="G1833" t="s">
        <v>396</v>
      </c>
      <c r="H1833" s="75">
        <f t="shared" si="28"/>
        <v>69.362748319220188</v>
      </c>
      <c r="I1833" s="74">
        <v>46128</v>
      </c>
      <c r="J1833">
        <v>2</v>
      </c>
      <c r="K1833" t="s">
        <v>510</v>
      </c>
      <c r="L1833" t="s">
        <v>262</v>
      </c>
      <c r="M1833" t="s">
        <v>356</v>
      </c>
      <c r="N1833" s="73">
        <v>67262</v>
      </c>
      <c r="O1833" s="73">
        <v>67262</v>
      </c>
      <c r="P1833">
        <v>34.681374159610094</v>
      </c>
    </row>
    <row r="1834" spans="1:16" x14ac:dyDescent="0.2">
      <c r="A1834" s="73">
        <v>67262</v>
      </c>
      <c r="B1834" t="s">
        <v>350</v>
      </c>
      <c r="C1834" s="73" t="s">
        <v>464</v>
      </c>
      <c r="D1834" t="s">
        <v>215</v>
      </c>
      <c r="E1834" s="74">
        <v>46128</v>
      </c>
      <c r="F1834" t="s">
        <v>387</v>
      </c>
      <c r="G1834" t="s">
        <v>388</v>
      </c>
      <c r="H1834" s="75">
        <f t="shared" si="28"/>
        <v>277.45099327688075</v>
      </c>
      <c r="I1834" s="74">
        <v>46128</v>
      </c>
      <c r="J1834">
        <v>8</v>
      </c>
      <c r="K1834" t="s">
        <v>510</v>
      </c>
      <c r="L1834" t="s">
        <v>367</v>
      </c>
      <c r="M1834" t="s">
        <v>356</v>
      </c>
      <c r="N1834" s="73">
        <v>67262</v>
      </c>
      <c r="O1834" s="73">
        <v>67262</v>
      </c>
      <c r="P1834">
        <v>34.681374159610094</v>
      </c>
    </row>
    <row r="1835" spans="1:16" x14ac:dyDescent="0.2">
      <c r="A1835" s="73">
        <v>67262</v>
      </c>
      <c r="B1835" t="s">
        <v>350</v>
      </c>
      <c r="C1835" s="73" t="s">
        <v>464</v>
      </c>
      <c r="D1835" t="s">
        <v>215</v>
      </c>
      <c r="E1835" s="74">
        <v>46132</v>
      </c>
      <c r="F1835" t="s">
        <v>395</v>
      </c>
      <c r="G1835" t="s">
        <v>396</v>
      </c>
      <c r="H1835" s="75">
        <f t="shared" si="28"/>
        <v>69.362748319220188</v>
      </c>
      <c r="I1835" s="74">
        <v>46132</v>
      </c>
      <c r="J1835">
        <v>2</v>
      </c>
      <c r="K1835" t="s">
        <v>510</v>
      </c>
      <c r="L1835" t="s">
        <v>262</v>
      </c>
      <c r="M1835" t="s">
        <v>356</v>
      </c>
      <c r="N1835" s="73">
        <v>67262</v>
      </c>
      <c r="O1835" s="73">
        <v>67262</v>
      </c>
      <c r="P1835">
        <v>34.681374159610094</v>
      </c>
    </row>
    <row r="1836" spans="1:16" x14ac:dyDescent="0.2">
      <c r="A1836" s="73">
        <v>67262</v>
      </c>
      <c r="B1836" t="s">
        <v>350</v>
      </c>
      <c r="C1836" s="73" t="s">
        <v>464</v>
      </c>
      <c r="D1836" t="s">
        <v>215</v>
      </c>
      <c r="E1836" s="74">
        <v>46132</v>
      </c>
      <c r="F1836" t="s">
        <v>387</v>
      </c>
      <c r="G1836" t="s">
        <v>388</v>
      </c>
      <c r="H1836" s="75">
        <f t="shared" si="28"/>
        <v>277.45099327688075</v>
      </c>
      <c r="I1836" s="74">
        <v>46132</v>
      </c>
      <c r="J1836">
        <v>8</v>
      </c>
      <c r="K1836" t="s">
        <v>510</v>
      </c>
      <c r="L1836" t="s">
        <v>367</v>
      </c>
      <c r="M1836" t="s">
        <v>356</v>
      </c>
      <c r="N1836" s="73">
        <v>67262</v>
      </c>
      <c r="O1836" s="73">
        <v>67262</v>
      </c>
      <c r="P1836">
        <v>34.681374159610094</v>
      </c>
    </row>
    <row r="1837" spans="1:16" x14ac:dyDescent="0.2">
      <c r="A1837" s="73">
        <v>67262</v>
      </c>
      <c r="B1837" t="s">
        <v>350</v>
      </c>
      <c r="C1837" s="73" t="s">
        <v>464</v>
      </c>
      <c r="D1837" t="s">
        <v>215</v>
      </c>
      <c r="E1837" s="74">
        <v>46133</v>
      </c>
      <c r="F1837" t="s">
        <v>395</v>
      </c>
      <c r="G1837" t="s">
        <v>396</v>
      </c>
      <c r="H1837" s="75">
        <f t="shared" si="28"/>
        <v>69.362748319220188</v>
      </c>
      <c r="I1837" s="74">
        <v>46133</v>
      </c>
      <c r="J1837">
        <v>2</v>
      </c>
      <c r="K1837" t="s">
        <v>510</v>
      </c>
      <c r="L1837" t="s">
        <v>262</v>
      </c>
      <c r="M1837" t="s">
        <v>356</v>
      </c>
      <c r="N1837" s="73">
        <v>67262</v>
      </c>
      <c r="O1837" s="73">
        <v>67262</v>
      </c>
      <c r="P1837">
        <v>34.681374159610094</v>
      </c>
    </row>
    <row r="1838" spans="1:16" x14ac:dyDescent="0.2">
      <c r="A1838" s="73">
        <v>67262</v>
      </c>
      <c r="B1838" t="s">
        <v>350</v>
      </c>
      <c r="C1838" s="73" t="s">
        <v>464</v>
      </c>
      <c r="D1838" t="s">
        <v>215</v>
      </c>
      <c r="E1838" s="74">
        <v>46133</v>
      </c>
      <c r="F1838" t="s">
        <v>387</v>
      </c>
      <c r="G1838" t="s">
        <v>388</v>
      </c>
      <c r="H1838" s="75">
        <f t="shared" si="28"/>
        <v>69.362748319220188</v>
      </c>
      <c r="I1838" s="74">
        <v>46133</v>
      </c>
      <c r="J1838">
        <v>2</v>
      </c>
      <c r="K1838" t="s">
        <v>510</v>
      </c>
      <c r="L1838" t="s">
        <v>367</v>
      </c>
      <c r="M1838" t="s">
        <v>356</v>
      </c>
      <c r="N1838" s="73">
        <v>67262</v>
      </c>
      <c r="O1838" s="73">
        <v>67262</v>
      </c>
      <c r="P1838">
        <v>34.681374159610094</v>
      </c>
    </row>
    <row r="1839" spans="1:16" x14ac:dyDescent="0.2">
      <c r="A1839" s="73">
        <v>67262</v>
      </c>
      <c r="B1839" t="s">
        <v>350</v>
      </c>
      <c r="C1839" s="73" t="s">
        <v>464</v>
      </c>
      <c r="D1839" t="s">
        <v>215</v>
      </c>
      <c r="E1839" s="74">
        <v>46135</v>
      </c>
      <c r="F1839" t="s">
        <v>395</v>
      </c>
      <c r="G1839" t="s">
        <v>396</v>
      </c>
      <c r="H1839" s="75">
        <f t="shared" si="28"/>
        <v>69.362748319220188</v>
      </c>
      <c r="I1839" s="74">
        <v>46135</v>
      </c>
      <c r="J1839">
        <v>2</v>
      </c>
      <c r="K1839" t="s">
        <v>510</v>
      </c>
      <c r="L1839" t="s">
        <v>262</v>
      </c>
      <c r="M1839" t="s">
        <v>356</v>
      </c>
      <c r="N1839" s="73">
        <v>67262</v>
      </c>
      <c r="O1839" s="73">
        <v>67262</v>
      </c>
      <c r="P1839">
        <v>34.681374159610094</v>
      </c>
    </row>
    <row r="1840" spans="1:16" x14ac:dyDescent="0.2">
      <c r="A1840" s="73">
        <v>67262</v>
      </c>
      <c r="B1840" t="s">
        <v>350</v>
      </c>
      <c r="C1840" s="73" t="s">
        <v>464</v>
      </c>
      <c r="D1840" t="s">
        <v>215</v>
      </c>
      <c r="E1840" s="74">
        <v>46136</v>
      </c>
      <c r="F1840" t="s">
        <v>395</v>
      </c>
      <c r="G1840" t="s">
        <v>396</v>
      </c>
      <c r="H1840" s="75">
        <f t="shared" si="28"/>
        <v>69.362748319220188</v>
      </c>
      <c r="I1840" s="74">
        <v>46136</v>
      </c>
      <c r="J1840">
        <v>2</v>
      </c>
      <c r="K1840" t="s">
        <v>510</v>
      </c>
      <c r="L1840" t="s">
        <v>262</v>
      </c>
      <c r="M1840" t="s">
        <v>356</v>
      </c>
      <c r="N1840" s="73">
        <v>67262</v>
      </c>
      <c r="O1840" s="73">
        <v>67262</v>
      </c>
      <c r="P1840">
        <v>34.681374159610094</v>
      </c>
    </row>
    <row r="1841" spans="1:16" x14ac:dyDescent="0.2">
      <c r="A1841" s="73">
        <v>67262</v>
      </c>
      <c r="B1841" t="s">
        <v>350</v>
      </c>
      <c r="C1841" s="73" t="s">
        <v>464</v>
      </c>
      <c r="D1841" t="s">
        <v>215</v>
      </c>
      <c r="E1841" s="74">
        <v>46139</v>
      </c>
      <c r="F1841" t="s">
        <v>387</v>
      </c>
      <c r="G1841" t="s">
        <v>388</v>
      </c>
      <c r="H1841" s="75">
        <f t="shared" si="28"/>
        <v>104.04412247883027</v>
      </c>
      <c r="I1841" s="74">
        <v>46139</v>
      </c>
      <c r="J1841">
        <v>3</v>
      </c>
      <c r="K1841" t="s">
        <v>510</v>
      </c>
      <c r="L1841" t="s">
        <v>367</v>
      </c>
      <c r="M1841" t="s">
        <v>356</v>
      </c>
      <c r="N1841" s="73">
        <v>67262</v>
      </c>
      <c r="O1841" s="73">
        <v>67262</v>
      </c>
      <c r="P1841">
        <v>34.681374159610094</v>
      </c>
    </row>
    <row r="1842" spans="1:16" x14ac:dyDescent="0.2">
      <c r="A1842" s="73">
        <v>67262</v>
      </c>
      <c r="B1842" t="s">
        <v>350</v>
      </c>
      <c r="C1842" s="73" t="s">
        <v>464</v>
      </c>
      <c r="D1842" t="s">
        <v>215</v>
      </c>
      <c r="E1842" s="74">
        <v>46140</v>
      </c>
      <c r="F1842" t="s">
        <v>387</v>
      </c>
      <c r="G1842" t="s">
        <v>388</v>
      </c>
      <c r="H1842" s="75">
        <f t="shared" si="28"/>
        <v>156.06618371824541</v>
      </c>
      <c r="I1842" s="74">
        <v>46140</v>
      </c>
      <c r="J1842">
        <v>4.5</v>
      </c>
      <c r="K1842" t="s">
        <v>510</v>
      </c>
      <c r="L1842" t="s">
        <v>367</v>
      </c>
      <c r="M1842" t="s">
        <v>356</v>
      </c>
      <c r="N1842" s="73">
        <v>67262</v>
      </c>
      <c r="O1842" s="73">
        <v>67262</v>
      </c>
      <c r="P1842">
        <v>34.681374159610094</v>
      </c>
    </row>
    <row r="1843" spans="1:16" x14ac:dyDescent="0.2">
      <c r="A1843" s="73">
        <v>67262</v>
      </c>
      <c r="B1843" t="s">
        <v>350</v>
      </c>
      <c r="C1843" s="73" t="s">
        <v>464</v>
      </c>
      <c r="D1843" t="s">
        <v>215</v>
      </c>
      <c r="E1843" s="74">
        <v>46141</v>
      </c>
      <c r="F1843" t="s">
        <v>387</v>
      </c>
      <c r="G1843" t="s">
        <v>388</v>
      </c>
      <c r="H1843" s="75">
        <f t="shared" si="28"/>
        <v>69.362748319220188</v>
      </c>
      <c r="I1843" s="74">
        <v>46141</v>
      </c>
      <c r="J1843">
        <v>2</v>
      </c>
      <c r="K1843" t="s">
        <v>510</v>
      </c>
      <c r="L1843" t="s">
        <v>367</v>
      </c>
      <c r="M1843" t="s">
        <v>356</v>
      </c>
      <c r="N1843" s="73">
        <v>67262</v>
      </c>
      <c r="O1843" s="73">
        <v>67262</v>
      </c>
      <c r="P1843">
        <v>34.681374159610094</v>
      </c>
    </row>
    <row r="1844" spans="1:16" x14ac:dyDescent="0.2">
      <c r="A1844" s="73">
        <v>67262</v>
      </c>
      <c r="B1844" t="s">
        <v>350</v>
      </c>
      <c r="C1844" s="73" t="s">
        <v>464</v>
      </c>
      <c r="D1844" t="s">
        <v>215</v>
      </c>
      <c r="E1844" s="74">
        <v>46149</v>
      </c>
      <c r="F1844" t="s">
        <v>360</v>
      </c>
      <c r="G1844" t="s">
        <v>361</v>
      </c>
      <c r="H1844" s="75">
        <f t="shared" si="28"/>
        <v>277.45099327688075</v>
      </c>
      <c r="I1844" s="74">
        <v>46149</v>
      </c>
      <c r="J1844">
        <v>8</v>
      </c>
      <c r="K1844" t="s">
        <v>517</v>
      </c>
      <c r="L1844" t="s">
        <v>262</v>
      </c>
      <c r="M1844" t="s">
        <v>356</v>
      </c>
      <c r="N1844" s="73">
        <v>67262</v>
      </c>
      <c r="O1844" s="73">
        <v>67262</v>
      </c>
      <c r="P1844">
        <v>34.681374159610094</v>
      </c>
    </row>
    <row r="1845" spans="1:16" x14ac:dyDescent="0.2">
      <c r="A1845" s="73">
        <v>67262</v>
      </c>
      <c r="B1845" t="s">
        <v>350</v>
      </c>
      <c r="C1845" s="73" t="s">
        <v>464</v>
      </c>
      <c r="D1845" t="s">
        <v>215</v>
      </c>
      <c r="E1845" s="74">
        <v>46153</v>
      </c>
      <c r="F1845" t="s">
        <v>395</v>
      </c>
      <c r="G1845" t="s">
        <v>396</v>
      </c>
      <c r="H1845" s="75">
        <f t="shared" si="28"/>
        <v>69.362748319220188</v>
      </c>
      <c r="I1845" s="74">
        <v>46153</v>
      </c>
      <c r="J1845">
        <v>2</v>
      </c>
      <c r="K1845" t="s">
        <v>517</v>
      </c>
      <c r="L1845" t="s">
        <v>262</v>
      </c>
      <c r="M1845" t="s">
        <v>356</v>
      </c>
      <c r="N1845" s="73">
        <v>67262</v>
      </c>
      <c r="O1845" s="73">
        <v>67262</v>
      </c>
      <c r="P1845">
        <v>34.681374159610094</v>
      </c>
    </row>
    <row r="1846" spans="1:16" x14ac:dyDescent="0.2">
      <c r="A1846" s="73">
        <v>67262</v>
      </c>
      <c r="B1846" t="s">
        <v>350</v>
      </c>
      <c r="C1846" s="73" t="s">
        <v>464</v>
      </c>
      <c r="D1846" t="s">
        <v>215</v>
      </c>
      <c r="E1846" s="74">
        <v>46153</v>
      </c>
      <c r="F1846" t="s">
        <v>387</v>
      </c>
      <c r="G1846" t="s">
        <v>388</v>
      </c>
      <c r="H1846" s="75">
        <f t="shared" si="28"/>
        <v>69.362748319220188</v>
      </c>
      <c r="I1846" s="74">
        <v>46153</v>
      </c>
      <c r="J1846">
        <v>2</v>
      </c>
      <c r="K1846" t="s">
        <v>517</v>
      </c>
      <c r="L1846" t="s">
        <v>367</v>
      </c>
      <c r="M1846" t="s">
        <v>356</v>
      </c>
      <c r="N1846" s="73">
        <v>67262</v>
      </c>
      <c r="O1846" s="73">
        <v>67262</v>
      </c>
      <c r="P1846">
        <v>34.681374159610094</v>
      </c>
    </row>
    <row r="1847" spans="1:16" x14ac:dyDescent="0.2">
      <c r="A1847" s="73">
        <v>67262</v>
      </c>
      <c r="B1847" t="s">
        <v>350</v>
      </c>
      <c r="C1847" s="73" t="s">
        <v>464</v>
      </c>
      <c r="D1847" t="s">
        <v>215</v>
      </c>
      <c r="E1847" s="74">
        <v>46154</v>
      </c>
      <c r="F1847" t="s">
        <v>395</v>
      </c>
      <c r="G1847" t="s">
        <v>396</v>
      </c>
      <c r="H1847" s="75">
        <f t="shared" si="28"/>
        <v>69.362748319220188</v>
      </c>
      <c r="I1847" s="74">
        <v>46154</v>
      </c>
      <c r="J1847">
        <v>2</v>
      </c>
      <c r="K1847" t="s">
        <v>517</v>
      </c>
      <c r="L1847" t="s">
        <v>262</v>
      </c>
      <c r="M1847" t="s">
        <v>356</v>
      </c>
      <c r="N1847" s="73">
        <v>67262</v>
      </c>
      <c r="O1847" s="73">
        <v>67262</v>
      </c>
      <c r="P1847">
        <v>34.681374159610094</v>
      </c>
    </row>
    <row r="1848" spans="1:16" x14ac:dyDescent="0.2">
      <c r="A1848" s="73">
        <v>67262</v>
      </c>
      <c r="B1848" t="s">
        <v>350</v>
      </c>
      <c r="C1848" s="73" t="s">
        <v>464</v>
      </c>
      <c r="D1848" t="s">
        <v>215</v>
      </c>
      <c r="E1848" s="74">
        <v>46154</v>
      </c>
      <c r="F1848" t="s">
        <v>387</v>
      </c>
      <c r="G1848" t="s">
        <v>388</v>
      </c>
      <c r="H1848" s="75">
        <f t="shared" si="28"/>
        <v>34.681374159610094</v>
      </c>
      <c r="I1848" s="74">
        <v>46154</v>
      </c>
      <c r="J1848">
        <v>1</v>
      </c>
      <c r="K1848" t="s">
        <v>517</v>
      </c>
      <c r="L1848" t="s">
        <v>367</v>
      </c>
      <c r="M1848" t="s">
        <v>356</v>
      </c>
      <c r="N1848" s="73">
        <v>67262</v>
      </c>
      <c r="O1848" s="73">
        <v>67262</v>
      </c>
      <c r="P1848">
        <v>34.681374159610094</v>
      </c>
    </row>
    <row r="1849" spans="1:16" x14ac:dyDescent="0.2">
      <c r="A1849" s="73">
        <v>67262</v>
      </c>
      <c r="B1849" t="s">
        <v>350</v>
      </c>
      <c r="C1849" s="73" t="s">
        <v>464</v>
      </c>
      <c r="D1849" t="s">
        <v>215</v>
      </c>
      <c r="E1849" s="74">
        <v>46155</v>
      </c>
      <c r="F1849" t="s">
        <v>395</v>
      </c>
      <c r="G1849" t="s">
        <v>396</v>
      </c>
      <c r="H1849" s="75">
        <f t="shared" si="28"/>
        <v>69.362748319220188</v>
      </c>
      <c r="I1849" s="74">
        <v>46155</v>
      </c>
      <c r="J1849">
        <v>2</v>
      </c>
      <c r="K1849" t="s">
        <v>517</v>
      </c>
      <c r="L1849" t="s">
        <v>262</v>
      </c>
      <c r="M1849" t="s">
        <v>356</v>
      </c>
      <c r="N1849" s="73">
        <v>67262</v>
      </c>
      <c r="O1849" s="73">
        <v>67262</v>
      </c>
      <c r="P1849">
        <v>34.681374159610094</v>
      </c>
    </row>
    <row r="1850" spans="1:16" x14ac:dyDescent="0.2">
      <c r="A1850" s="73">
        <v>67262</v>
      </c>
      <c r="B1850" t="s">
        <v>350</v>
      </c>
      <c r="C1850" s="73" t="s">
        <v>464</v>
      </c>
      <c r="D1850" t="s">
        <v>215</v>
      </c>
      <c r="E1850" s="74">
        <v>46155</v>
      </c>
      <c r="F1850" t="s">
        <v>387</v>
      </c>
      <c r="G1850" t="s">
        <v>388</v>
      </c>
      <c r="H1850" s="75">
        <f t="shared" si="28"/>
        <v>34.681374159610094</v>
      </c>
      <c r="I1850" s="74">
        <v>46155</v>
      </c>
      <c r="J1850">
        <v>1</v>
      </c>
      <c r="K1850" t="s">
        <v>517</v>
      </c>
      <c r="L1850" t="s">
        <v>367</v>
      </c>
      <c r="M1850" t="s">
        <v>356</v>
      </c>
      <c r="N1850" s="73">
        <v>67262</v>
      </c>
      <c r="O1850" s="73">
        <v>67262</v>
      </c>
      <c r="P1850">
        <v>34.681374159610094</v>
      </c>
    </row>
    <row r="1851" spans="1:16" x14ac:dyDescent="0.2">
      <c r="A1851" s="73">
        <v>67262</v>
      </c>
      <c r="B1851" t="s">
        <v>350</v>
      </c>
      <c r="C1851" s="73" t="s">
        <v>464</v>
      </c>
      <c r="D1851" t="s">
        <v>215</v>
      </c>
      <c r="E1851" s="74">
        <v>46156</v>
      </c>
      <c r="F1851" t="s">
        <v>395</v>
      </c>
      <c r="G1851" t="s">
        <v>396</v>
      </c>
      <c r="H1851" s="75">
        <f t="shared" si="28"/>
        <v>69.362748319220188</v>
      </c>
      <c r="I1851" s="74">
        <v>46156</v>
      </c>
      <c r="J1851">
        <v>2</v>
      </c>
      <c r="K1851" t="s">
        <v>517</v>
      </c>
      <c r="L1851" t="s">
        <v>262</v>
      </c>
      <c r="M1851" t="s">
        <v>356</v>
      </c>
      <c r="N1851" s="73">
        <v>67262</v>
      </c>
      <c r="O1851" s="73">
        <v>67262</v>
      </c>
      <c r="P1851">
        <v>34.681374159610094</v>
      </c>
    </row>
    <row r="1852" spans="1:16" x14ac:dyDescent="0.2">
      <c r="A1852" s="73">
        <v>67262</v>
      </c>
      <c r="B1852" t="s">
        <v>350</v>
      </c>
      <c r="C1852" s="73" t="s">
        <v>464</v>
      </c>
      <c r="D1852" t="s">
        <v>215</v>
      </c>
      <c r="E1852" s="74">
        <v>46156</v>
      </c>
      <c r="F1852" t="s">
        <v>404</v>
      </c>
      <c r="G1852" t="s">
        <v>405</v>
      </c>
      <c r="H1852" s="75">
        <f t="shared" si="28"/>
        <v>260.11030619707572</v>
      </c>
      <c r="I1852" s="74">
        <v>46156</v>
      </c>
      <c r="J1852">
        <v>7.5</v>
      </c>
      <c r="K1852" t="s">
        <v>517</v>
      </c>
      <c r="L1852" t="s">
        <v>262</v>
      </c>
      <c r="M1852" t="s">
        <v>356</v>
      </c>
      <c r="N1852" s="73">
        <v>67262</v>
      </c>
      <c r="O1852" s="73">
        <v>67262</v>
      </c>
      <c r="P1852">
        <v>34.681374159610094</v>
      </c>
    </row>
    <row r="1853" spans="1:16" x14ac:dyDescent="0.2">
      <c r="A1853" s="73">
        <v>67262</v>
      </c>
      <c r="B1853" t="s">
        <v>350</v>
      </c>
      <c r="C1853" s="73" t="s">
        <v>464</v>
      </c>
      <c r="D1853" t="s">
        <v>215</v>
      </c>
      <c r="E1853" s="74">
        <v>46156</v>
      </c>
      <c r="F1853" t="s">
        <v>387</v>
      </c>
      <c r="G1853" t="s">
        <v>388</v>
      </c>
      <c r="H1853" s="75">
        <f t="shared" si="28"/>
        <v>69.362748319220188</v>
      </c>
      <c r="I1853" s="74">
        <v>46156</v>
      </c>
      <c r="J1853">
        <v>2</v>
      </c>
      <c r="K1853" t="s">
        <v>517</v>
      </c>
      <c r="L1853" t="s">
        <v>367</v>
      </c>
      <c r="M1853" t="s">
        <v>356</v>
      </c>
      <c r="N1853" s="73">
        <v>67262</v>
      </c>
      <c r="O1853" s="73">
        <v>67262</v>
      </c>
      <c r="P1853">
        <v>34.681374159610094</v>
      </c>
    </row>
    <row r="1854" spans="1:16" x14ac:dyDescent="0.2">
      <c r="A1854" s="73">
        <v>67262</v>
      </c>
      <c r="B1854" t="s">
        <v>350</v>
      </c>
      <c r="C1854" s="73" t="s">
        <v>464</v>
      </c>
      <c r="D1854" t="s">
        <v>215</v>
      </c>
      <c r="E1854" s="74">
        <v>46157</v>
      </c>
      <c r="F1854" t="s">
        <v>395</v>
      </c>
      <c r="G1854" t="s">
        <v>396</v>
      </c>
      <c r="H1854" s="75">
        <f t="shared" si="28"/>
        <v>69.362748319220188</v>
      </c>
      <c r="I1854" s="74">
        <v>46157</v>
      </c>
      <c r="J1854">
        <v>2</v>
      </c>
      <c r="K1854" t="s">
        <v>517</v>
      </c>
      <c r="L1854" t="s">
        <v>262</v>
      </c>
      <c r="M1854" t="s">
        <v>356</v>
      </c>
      <c r="N1854" s="73">
        <v>67262</v>
      </c>
      <c r="O1854" s="73">
        <v>67262</v>
      </c>
      <c r="P1854">
        <v>34.681374159610094</v>
      </c>
    </row>
    <row r="1855" spans="1:16" x14ac:dyDescent="0.2">
      <c r="A1855" s="73">
        <v>67262</v>
      </c>
      <c r="B1855" t="s">
        <v>350</v>
      </c>
      <c r="C1855" s="73" t="s">
        <v>464</v>
      </c>
      <c r="D1855" t="s">
        <v>215</v>
      </c>
      <c r="E1855" s="74">
        <v>46157</v>
      </c>
      <c r="F1855" t="s">
        <v>404</v>
      </c>
      <c r="G1855" t="s">
        <v>405</v>
      </c>
      <c r="H1855" s="75">
        <f t="shared" si="28"/>
        <v>34.681374159610094</v>
      </c>
      <c r="I1855" s="74">
        <v>46157</v>
      </c>
      <c r="J1855">
        <v>1</v>
      </c>
      <c r="K1855" t="s">
        <v>517</v>
      </c>
      <c r="L1855" t="s">
        <v>262</v>
      </c>
      <c r="M1855" t="s">
        <v>356</v>
      </c>
      <c r="N1855" s="73">
        <v>67262</v>
      </c>
      <c r="O1855" s="73">
        <v>67262</v>
      </c>
      <c r="P1855">
        <v>34.681374159610094</v>
      </c>
    </row>
    <row r="1856" spans="1:16" x14ac:dyDescent="0.2">
      <c r="A1856" s="73">
        <v>67262</v>
      </c>
      <c r="B1856" t="s">
        <v>350</v>
      </c>
      <c r="C1856" s="73" t="s">
        <v>464</v>
      </c>
      <c r="D1856" t="s">
        <v>215</v>
      </c>
      <c r="E1856" s="74">
        <v>46157</v>
      </c>
      <c r="F1856" t="s">
        <v>387</v>
      </c>
      <c r="G1856" t="s">
        <v>388</v>
      </c>
      <c r="H1856" s="75">
        <f t="shared" si="28"/>
        <v>104.04412247883027</v>
      </c>
      <c r="I1856" s="74">
        <v>46157</v>
      </c>
      <c r="J1856">
        <v>3</v>
      </c>
      <c r="K1856" t="s">
        <v>517</v>
      </c>
      <c r="L1856" t="s">
        <v>367</v>
      </c>
      <c r="M1856" t="s">
        <v>356</v>
      </c>
      <c r="N1856" s="73">
        <v>67262</v>
      </c>
      <c r="O1856" s="73">
        <v>67262</v>
      </c>
      <c r="P1856">
        <v>34.681374159610094</v>
      </c>
    </row>
    <row r="1857" spans="1:16" x14ac:dyDescent="0.2">
      <c r="A1857" s="73">
        <v>67262</v>
      </c>
      <c r="B1857" t="s">
        <v>350</v>
      </c>
      <c r="C1857" s="73" t="s">
        <v>464</v>
      </c>
      <c r="D1857" t="s">
        <v>215</v>
      </c>
      <c r="E1857" s="74">
        <v>46160</v>
      </c>
      <c r="F1857" t="s">
        <v>395</v>
      </c>
      <c r="G1857" t="s">
        <v>396</v>
      </c>
      <c r="H1857" s="75">
        <f t="shared" si="28"/>
        <v>69.362748319220188</v>
      </c>
      <c r="I1857" s="74">
        <v>46160</v>
      </c>
      <c r="J1857">
        <v>2</v>
      </c>
      <c r="K1857" t="s">
        <v>517</v>
      </c>
      <c r="L1857" t="s">
        <v>262</v>
      </c>
      <c r="M1857" t="s">
        <v>356</v>
      </c>
      <c r="N1857" s="73">
        <v>67262</v>
      </c>
      <c r="O1857" s="73">
        <v>67262</v>
      </c>
      <c r="P1857">
        <v>34.681374159610094</v>
      </c>
    </row>
    <row r="1858" spans="1:16" x14ac:dyDescent="0.2">
      <c r="A1858" s="73">
        <v>67262</v>
      </c>
      <c r="B1858" t="s">
        <v>350</v>
      </c>
      <c r="C1858" s="73" t="s">
        <v>464</v>
      </c>
      <c r="D1858" t="s">
        <v>215</v>
      </c>
      <c r="E1858" s="74">
        <v>46161</v>
      </c>
      <c r="F1858" t="s">
        <v>395</v>
      </c>
      <c r="G1858" t="s">
        <v>396</v>
      </c>
      <c r="H1858" s="75">
        <f t="shared" ref="H1858:H1921" si="29">J1858*P1858</f>
        <v>69.362748319220188</v>
      </c>
      <c r="I1858" s="74">
        <v>46161</v>
      </c>
      <c r="J1858">
        <v>2</v>
      </c>
      <c r="K1858" t="s">
        <v>517</v>
      </c>
      <c r="L1858" t="s">
        <v>262</v>
      </c>
      <c r="M1858" t="s">
        <v>356</v>
      </c>
      <c r="N1858" s="73">
        <v>67262</v>
      </c>
      <c r="O1858" s="73">
        <v>67262</v>
      </c>
      <c r="P1858">
        <v>34.681374159610094</v>
      </c>
    </row>
    <row r="1859" spans="1:16" x14ac:dyDescent="0.2">
      <c r="A1859" s="73">
        <v>67262</v>
      </c>
      <c r="B1859" t="s">
        <v>350</v>
      </c>
      <c r="C1859" s="73" t="s">
        <v>464</v>
      </c>
      <c r="D1859" t="s">
        <v>215</v>
      </c>
      <c r="E1859" s="74">
        <v>46161</v>
      </c>
      <c r="F1859" t="s">
        <v>360</v>
      </c>
      <c r="G1859" t="s">
        <v>361</v>
      </c>
      <c r="H1859" s="75">
        <f t="shared" si="29"/>
        <v>138.72549663844038</v>
      </c>
      <c r="I1859" s="74">
        <v>46161</v>
      </c>
      <c r="J1859">
        <v>4</v>
      </c>
      <c r="K1859" t="s">
        <v>517</v>
      </c>
      <c r="L1859" t="s">
        <v>262</v>
      </c>
      <c r="M1859" t="s">
        <v>356</v>
      </c>
      <c r="N1859" s="73">
        <v>67262</v>
      </c>
      <c r="O1859" s="73">
        <v>67262</v>
      </c>
      <c r="P1859">
        <v>34.681374159610094</v>
      </c>
    </row>
    <row r="1860" spans="1:16" x14ac:dyDescent="0.2">
      <c r="A1860" s="73">
        <v>67262</v>
      </c>
      <c r="B1860" t="s">
        <v>350</v>
      </c>
      <c r="C1860" s="73" t="s">
        <v>464</v>
      </c>
      <c r="D1860" t="s">
        <v>215</v>
      </c>
      <c r="E1860" s="74">
        <v>46162</v>
      </c>
      <c r="F1860" t="s">
        <v>395</v>
      </c>
      <c r="G1860" t="s">
        <v>396</v>
      </c>
      <c r="H1860" s="75">
        <f t="shared" si="29"/>
        <v>69.362748319220188</v>
      </c>
      <c r="I1860" s="74">
        <v>46162</v>
      </c>
      <c r="J1860">
        <v>2</v>
      </c>
      <c r="K1860" t="s">
        <v>517</v>
      </c>
      <c r="L1860" t="s">
        <v>262</v>
      </c>
      <c r="M1860" t="s">
        <v>356</v>
      </c>
      <c r="N1860" s="73">
        <v>67262</v>
      </c>
      <c r="O1860" s="73">
        <v>67262</v>
      </c>
      <c r="P1860">
        <v>34.681374159610094</v>
      </c>
    </row>
    <row r="1861" spans="1:16" x14ac:dyDescent="0.2">
      <c r="A1861" s="73">
        <v>67262</v>
      </c>
      <c r="B1861" t="s">
        <v>350</v>
      </c>
      <c r="C1861" s="73" t="s">
        <v>464</v>
      </c>
      <c r="D1861" t="s">
        <v>215</v>
      </c>
      <c r="E1861" s="74">
        <v>46161</v>
      </c>
      <c r="F1861" t="s">
        <v>387</v>
      </c>
      <c r="G1861" t="s">
        <v>388</v>
      </c>
      <c r="H1861" s="75">
        <f t="shared" si="29"/>
        <v>34.681374159610094</v>
      </c>
      <c r="I1861" s="74">
        <v>46161</v>
      </c>
      <c r="J1861">
        <v>1</v>
      </c>
      <c r="K1861" t="s">
        <v>517</v>
      </c>
      <c r="L1861" t="s">
        <v>367</v>
      </c>
      <c r="M1861" t="s">
        <v>356</v>
      </c>
      <c r="N1861" s="73">
        <v>67262</v>
      </c>
      <c r="O1861" s="73">
        <v>67262</v>
      </c>
      <c r="P1861">
        <v>34.681374159610094</v>
      </c>
    </row>
    <row r="1862" spans="1:16" x14ac:dyDescent="0.2">
      <c r="A1862" s="73">
        <v>67262</v>
      </c>
      <c r="B1862" t="s">
        <v>350</v>
      </c>
      <c r="C1862" s="73" t="s">
        <v>464</v>
      </c>
      <c r="D1862" t="s">
        <v>215</v>
      </c>
      <c r="E1862" s="74">
        <v>46162</v>
      </c>
      <c r="F1862" t="s">
        <v>360</v>
      </c>
      <c r="G1862" t="s">
        <v>361</v>
      </c>
      <c r="H1862" s="75">
        <f t="shared" si="29"/>
        <v>34.681374159610094</v>
      </c>
      <c r="I1862" s="74">
        <v>46162</v>
      </c>
      <c r="J1862">
        <v>1</v>
      </c>
      <c r="K1862" t="s">
        <v>517</v>
      </c>
      <c r="L1862" t="s">
        <v>262</v>
      </c>
      <c r="M1862" t="s">
        <v>356</v>
      </c>
      <c r="N1862" s="73">
        <v>67262</v>
      </c>
      <c r="O1862" s="73">
        <v>67262</v>
      </c>
      <c r="P1862">
        <v>34.681374159610094</v>
      </c>
    </row>
    <row r="1863" spans="1:16" x14ac:dyDescent="0.2">
      <c r="A1863" s="73">
        <v>67262</v>
      </c>
      <c r="B1863" t="s">
        <v>350</v>
      </c>
      <c r="C1863" s="73" t="s">
        <v>464</v>
      </c>
      <c r="D1863" t="s">
        <v>215</v>
      </c>
      <c r="E1863" s="74">
        <v>46163</v>
      </c>
      <c r="F1863" t="s">
        <v>395</v>
      </c>
      <c r="G1863" t="s">
        <v>396</v>
      </c>
      <c r="H1863" s="75">
        <f t="shared" si="29"/>
        <v>69.362748319220188</v>
      </c>
      <c r="I1863" s="74">
        <v>46163</v>
      </c>
      <c r="J1863">
        <v>2</v>
      </c>
      <c r="K1863" t="s">
        <v>517</v>
      </c>
      <c r="L1863" t="s">
        <v>262</v>
      </c>
      <c r="M1863" t="s">
        <v>356</v>
      </c>
      <c r="N1863" s="73">
        <v>67262</v>
      </c>
      <c r="O1863" s="73">
        <v>67262</v>
      </c>
      <c r="P1863">
        <v>34.681374159610094</v>
      </c>
    </row>
    <row r="1864" spans="1:16" x14ac:dyDescent="0.2">
      <c r="A1864" s="73">
        <v>67262</v>
      </c>
      <c r="B1864" t="s">
        <v>350</v>
      </c>
      <c r="C1864" s="73" t="s">
        <v>464</v>
      </c>
      <c r="D1864" t="s">
        <v>215</v>
      </c>
      <c r="E1864" s="74">
        <v>46163</v>
      </c>
      <c r="F1864" t="s">
        <v>360</v>
      </c>
      <c r="G1864" t="s">
        <v>361</v>
      </c>
      <c r="H1864" s="75">
        <f t="shared" si="29"/>
        <v>34.681374159610094</v>
      </c>
      <c r="I1864" s="74">
        <v>46163</v>
      </c>
      <c r="J1864">
        <v>1</v>
      </c>
      <c r="K1864" t="s">
        <v>517</v>
      </c>
      <c r="L1864" t="s">
        <v>262</v>
      </c>
      <c r="M1864" t="s">
        <v>356</v>
      </c>
      <c r="N1864" s="73">
        <v>67262</v>
      </c>
      <c r="O1864" s="73">
        <v>67262</v>
      </c>
      <c r="P1864">
        <v>34.681374159610094</v>
      </c>
    </row>
    <row r="1865" spans="1:16" x14ac:dyDescent="0.2">
      <c r="A1865" s="73">
        <v>67262</v>
      </c>
      <c r="B1865" t="s">
        <v>350</v>
      </c>
      <c r="C1865" s="73" t="s">
        <v>464</v>
      </c>
      <c r="D1865" t="s">
        <v>215</v>
      </c>
      <c r="E1865" s="74">
        <v>46164</v>
      </c>
      <c r="F1865" t="s">
        <v>395</v>
      </c>
      <c r="G1865" t="s">
        <v>396</v>
      </c>
      <c r="H1865" s="75">
        <f t="shared" si="29"/>
        <v>69.362748319220188</v>
      </c>
      <c r="I1865" s="74">
        <v>46164</v>
      </c>
      <c r="J1865">
        <v>2</v>
      </c>
      <c r="K1865" t="s">
        <v>517</v>
      </c>
      <c r="L1865" t="s">
        <v>262</v>
      </c>
      <c r="M1865" t="s">
        <v>356</v>
      </c>
      <c r="N1865" s="73">
        <v>67262</v>
      </c>
      <c r="O1865" s="73">
        <v>67262</v>
      </c>
      <c r="P1865">
        <v>34.681374159610094</v>
      </c>
    </row>
    <row r="1866" spans="1:16" x14ac:dyDescent="0.2">
      <c r="A1866" s="73">
        <v>67262</v>
      </c>
      <c r="B1866" t="s">
        <v>350</v>
      </c>
      <c r="C1866" s="73" t="s">
        <v>464</v>
      </c>
      <c r="D1866" t="s">
        <v>215</v>
      </c>
      <c r="E1866" s="74">
        <v>46164</v>
      </c>
      <c r="F1866" t="s">
        <v>360</v>
      </c>
      <c r="G1866" t="s">
        <v>361</v>
      </c>
      <c r="H1866" s="75">
        <f t="shared" si="29"/>
        <v>34.681374159610094</v>
      </c>
      <c r="I1866" s="74">
        <v>46164</v>
      </c>
      <c r="J1866">
        <v>1</v>
      </c>
      <c r="K1866" t="s">
        <v>517</v>
      </c>
      <c r="L1866" t="s">
        <v>262</v>
      </c>
      <c r="M1866" t="s">
        <v>356</v>
      </c>
      <c r="N1866" s="73">
        <v>67262</v>
      </c>
      <c r="O1866" s="73">
        <v>67262</v>
      </c>
      <c r="P1866">
        <v>34.681374159610094</v>
      </c>
    </row>
    <row r="1867" spans="1:16" x14ac:dyDescent="0.2">
      <c r="A1867" s="73">
        <v>67262</v>
      </c>
      <c r="B1867" t="s">
        <v>350</v>
      </c>
      <c r="C1867" s="73" t="s">
        <v>464</v>
      </c>
      <c r="D1867" t="s">
        <v>215</v>
      </c>
      <c r="E1867" s="74">
        <v>46164</v>
      </c>
      <c r="F1867" t="s">
        <v>387</v>
      </c>
      <c r="G1867" t="s">
        <v>388</v>
      </c>
      <c r="H1867" s="75">
        <f t="shared" si="29"/>
        <v>69.362748319220188</v>
      </c>
      <c r="I1867" s="74">
        <v>46164</v>
      </c>
      <c r="J1867">
        <v>2</v>
      </c>
      <c r="K1867" t="s">
        <v>517</v>
      </c>
      <c r="L1867" t="s">
        <v>367</v>
      </c>
      <c r="M1867" t="s">
        <v>356</v>
      </c>
      <c r="N1867" s="73">
        <v>67262</v>
      </c>
      <c r="O1867" s="73">
        <v>67262</v>
      </c>
      <c r="P1867">
        <v>34.681374159610094</v>
      </c>
    </row>
    <row r="1868" spans="1:16" x14ac:dyDescent="0.2">
      <c r="A1868" s="73">
        <v>67262</v>
      </c>
      <c r="B1868" t="s">
        <v>350</v>
      </c>
      <c r="C1868" s="73" t="s">
        <v>464</v>
      </c>
      <c r="D1868" t="s">
        <v>215</v>
      </c>
      <c r="E1868" s="74">
        <v>46167</v>
      </c>
      <c r="F1868" t="s">
        <v>395</v>
      </c>
      <c r="G1868" t="s">
        <v>396</v>
      </c>
      <c r="H1868" s="75">
        <f t="shared" si="29"/>
        <v>69.362748319220188</v>
      </c>
      <c r="I1868" s="74">
        <v>46167</v>
      </c>
      <c r="J1868">
        <v>2</v>
      </c>
      <c r="K1868" t="s">
        <v>517</v>
      </c>
      <c r="L1868" t="s">
        <v>262</v>
      </c>
      <c r="M1868" t="s">
        <v>356</v>
      </c>
      <c r="N1868" s="73">
        <v>67262</v>
      </c>
      <c r="O1868" s="73">
        <v>67262</v>
      </c>
      <c r="P1868">
        <v>34.681374159610094</v>
      </c>
    </row>
    <row r="1869" spans="1:16" x14ac:dyDescent="0.2">
      <c r="A1869" s="73">
        <v>67262</v>
      </c>
      <c r="B1869" t="s">
        <v>350</v>
      </c>
      <c r="C1869" s="73" t="s">
        <v>464</v>
      </c>
      <c r="D1869" t="s">
        <v>215</v>
      </c>
      <c r="E1869" s="74">
        <v>46167</v>
      </c>
      <c r="F1869" t="s">
        <v>387</v>
      </c>
      <c r="G1869" t="s">
        <v>388</v>
      </c>
      <c r="H1869" s="75">
        <f t="shared" si="29"/>
        <v>34.681374159610094</v>
      </c>
      <c r="I1869" s="74">
        <v>46167</v>
      </c>
      <c r="J1869">
        <v>1</v>
      </c>
      <c r="K1869" t="s">
        <v>517</v>
      </c>
      <c r="L1869" t="s">
        <v>367</v>
      </c>
      <c r="M1869" t="s">
        <v>356</v>
      </c>
      <c r="N1869" s="73">
        <v>67262</v>
      </c>
      <c r="O1869" s="73">
        <v>67262</v>
      </c>
      <c r="P1869">
        <v>34.681374159610094</v>
      </c>
    </row>
    <row r="1870" spans="1:16" x14ac:dyDescent="0.2">
      <c r="A1870" s="73">
        <v>67262</v>
      </c>
      <c r="B1870" t="s">
        <v>350</v>
      </c>
      <c r="C1870" s="73" t="s">
        <v>464</v>
      </c>
      <c r="D1870" t="s">
        <v>215</v>
      </c>
      <c r="E1870" s="74">
        <v>46168</v>
      </c>
      <c r="F1870" t="s">
        <v>387</v>
      </c>
      <c r="G1870" t="s">
        <v>388</v>
      </c>
      <c r="H1870" s="75">
        <f t="shared" si="29"/>
        <v>34.681374159610094</v>
      </c>
      <c r="I1870" s="74">
        <v>46168</v>
      </c>
      <c r="J1870">
        <v>1</v>
      </c>
      <c r="K1870" t="s">
        <v>517</v>
      </c>
      <c r="L1870" t="s">
        <v>367</v>
      </c>
      <c r="M1870" t="s">
        <v>356</v>
      </c>
      <c r="N1870" s="73">
        <v>67262</v>
      </c>
      <c r="O1870" s="73">
        <v>67262</v>
      </c>
      <c r="P1870">
        <v>34.681374159610094</v>
      </c>
    </row>
    <row r="1871" spans="1:16" x14ac:dyDescent="0.2">
      <c r="A1871" s="73">
        <v>67262</v>
      </c>
      <c r="B1871" t="s">
        <v>350</v>
      </c>
      <c r="C1871" s="73" t="s">
        <v>464</v>
      </c>
      <c r="D1871" t="s">
        <v>215</v>
      </c>
      <c r="E1871" s="74">
        <v>46170</v>
      </c>
      <c r="F1871" t="s">
        <v>387</v>
      </c>
      <c r="G1871" t="s">
        <v>388</v>
      </c>
      <c r="H1871" s="75">
        <f t="shared" si="29"/>
        <v>69.362748319220188</v>
      </c>
      <c r="I1871" s="74">
        <v>46170</v>
      </c>
      <c r="J1871">
        <v>2</v>
      </c>
      <c r="K1871" t="s">
        <v>517</v>
      </c>
      <c r="L1871" t="s">
        <v>367</v>
      </c>
      <c r="M1871" t="s">
        <v>356</v>
      </c>
      <c r="N1871" s="73">
        <v>67262</v>
      </c>
      <c r="O1871" s="73">
        <v>67262</v>
      </c>
      <c r="P1871">
        <v>34.681374159610094</v>
      </c>
    </row>
    <row r="1872" spans="1:16" x14ac:dyDescent="0.2">
      <c r="A1872" s="73">
        <v>67262</v>
      </c>
      <c r="B1872" t="s">
        <v>350</v>
      </c>
      <c r="C1872" s="73" t="s">
        <v>464</v>
      </c>
      <c r="D1872" t="s">
        <v>215</v>
      </c>
      <c r="E1872" s="74">
        <v>46171</v>
      </c>
      <c r="F1872" t="s">
        <v>387</v>
      </c>
      <c r="G1872" t="s">
        <v>388</v>
      </c>
      <c r="H1872" s="75">
        <f t="shared" si="29"/>
        <v>208.08824495766055</v>
      </c>
      <c r="I1872" s="74">
        <v>46171</v>
      </c>
      <c r="J1872">
        <v>6</v>
      </c>
      <c r="K1872" t="s">
        <v>517</v>
      </c>
      <c r="L1872" t="s">
        <v>367</v>
      </c>
      <c r="M1872" t="s">
        <v>356</v>
      </c>
      <c r="N1872" s="73">
        <v>67262</v>
      </c>
      <c r="O1872" s="73">
        <v>67262</v>
      </c>
      <c r="P1872">
        <v>34.681374159610094</v>
      </c>
    </row>
    <row r="1873" spans="1:16" x14ac:dyDescent="0.2">
      <c r="A1873" s="73">
        <v>67262</v>
      </c>
      <c r="B1873" t="s">
        <v>350</v>
      </c>
      <c r="C1873" s="73" t="s">
        <v>464</v>
      </c>
      <c r="D1873" t="s">
        <v>215</v>
      </c>
      <c r="E1873" s="74">
        <v>46174</v>
      </c>
      <c r="F1873" t="s">
        <v>387</v>
      </c>
      <c r="G1873" t="s">
        <v>388</v>
      </c>
      <c r="H1873" s="75">
        <f t="shared" si="29"/>
        <v>277.45099327688075</v>
      </c>
      <c r="I1873" s="74">
        <v>46174</v>
      </c>
      <c r="J1873">
        <v>8</v>
      </c>
      <c r="K1873" t="s">
        <v>518</v>
      </c>
      <c r="L1873" t="s">
        <v>367</v>
      </c>
      <c r="M1873" t="s">
        <v>356</v>
      </c>
      <c r="N1873" s="73">
        <v>67262</v>
      </c>
      <c r="O1873" s="73">
        <v>67262</v>
      </c>
      <c r="P1873">
        <v>34.681374159610094</v>
      </c>
    </row>
    <row r="1874" spans="1:16" x14ac:dyDescent="0.2">
      <c r="A1874" s="73">
        <v>67262</v>
      </c>
      <c r="B1874" t="s">
        <v>350</v>
      </c>
      <c r="C1874" s="73" t="s">
        <v>464</v>
      </c>
      <c r="D1874" t="s">
        <v>215</v>
      </c>
      <c r="E1874" s="74">
        <v>46177</v>
      </c>
      <c r="F1874" t="s">
        <v>387</v>
      </c>
      <c r="G1874" t="s">
        <v>388</v>
      </c>
      <c r="H1874" s="75">
        <f t="shared" si="29"/>
        <v>104.04412247883027</v>
      </c>
      <c r="I1874" s="74">
        <v>46177</v>
      </c>
      <c r="J1874">
        <v>3</v>
      </c>
      <c r="K1874" t="s">
        <v>518</v>
      </c>
      <c r="L1874" t="s">
        <v>367</v>
      </c>
      <c r="M1874" t="s">
        <v>356</v>
      </c>
      <c r="N1874" s="73">
        <v>67262</v>
      </c>
      <c r="O1874" s="73">
        <v>67262</v>
      </c>
      <c r="P1874">
        <v>34.681374159610094</v>
      </c>
    </row>
    <row r="1875" spans="1:16" x14ac:dyDescent="0.2">
      <c r="A1875" s="73">
        <v>67262</v>
      </c>
      <c r="B1875" t="s">
        <v>350</v>
      </c>
      <c r="C1875" s="73" t="s">
        <v>464</v>
      </c>
      <c r="D1875" t="s">
        <v>215</v>
      </c>
      <c r="E1875" s="74">
        <v>46178</v>
      </c>
      <c r="F1875" t="s">
        <v>387</v>
      </c>
      <c r="G1875" t="s">
        <v>388</v>
      </c>
      <c r="H1875" s="75">
        <f t="shared" si="29"/>
        <v>138.72549663844038</v>
      </c>
      <c r="I1875" s="74">
        <v>46178</v>
      </c>
      <c r="J1875">
        <v>4</v>
      </c>
      <c r="K1875" t="s">
        <v>518</v>
      </c>
      <c r="L1875" t="s">
        <v>367</v>
      </c>
      <c r="M1875" t="s">
        <v>356</v>
      </c>
      <c r="N1875" s="73">
        <v>67262</v>
      </c>
      <c r="O1875" s="73">
        <v>67262</v>
      </c>
      <c r="P1875">
        <v>34.681374159610094</v>
      </c>
    </row>
    <row r="1876" spans="1:16" x14ac:dyDescent="0.2">
      <c r="A1876" s="73">
        <v>67258</v>
      </c>
      <c r="B1876" t="s">
        <v>438</v>
      </c>
      <c r="C1876" s="73" t="s">
        <v>465</v>
      </c>
      <c r="D1876" t="s">
        <v>466</v>
      </c>
      <c r="E1876" s="74">
        <v>45866</v>
      </c>
      <c r="F1876" t="s">
        <v>398</v>
      </c>
      <c r="G1876" t="s">
        <v>399</v>
      </c>
      <c r="H1876" s="75">
        <f t="shared" si="29"/>
        <v>208.08824495766055</v>
      </c>
      <c r="I1876" s="74">
        <v>45866</v>
      </c>
      <c r="J1876">
        <v>6</v>
      </c>
      <c r="K1876" t="s">
        <v>511</v>
      </c>
      <c r="L1876" t="s">
        <v>367</v>
      </c>
      <c r="M1876" t="s">
        <v>356</v>
      </c>
      <c r="N1876" s="73">
        <v>67258</v>
      </c>
      <c r="O1876" s="73">
        <v>67258</v>
      </c>
      <c r="P1876">
        <v>34.681374159610094</v>
      </c>
    </row>
    <row r="1877" spans="1:16" x14ac:dyDescent="0.2">
      <c r="A1877" s="73">
        <v>67258</v>
      </c>
      <c r="B1877" t="s">
        <v>438</v>
      </c>
      <c r="C1877" s="73" t="s">
        <v>465</v>
      </c>
      <c r="D1877" t="s">
        <v>466</v>
      </c>
      <c r="E1877" s="74">
        <v>45867</v>
      </c>
      <c r="F1877" t="s">
        <v>398</v>
      </c>
      <c r="G1877" t="s">
        <v>399</v>
      </c>
      <c r="H1877" s="75">
        <f t="shared" si="29"/>
        <v>208.08824495766055</v>
      </c>
      <c r="I1877" s="74">
        <v>45867</v>
      </c>
      <c r="J1877">
        <v>6</v>
      </c>
      <c r="K1877" t="s">
        <v>511</v>
      </c>
      <c r="L1877" t="s">
        <v>367</v>
      </c>
      <c r="M1877" t="s">
        <v>356</v>
      </c>
      <c r="N1877" s="73">
        <v>67258</v>
      </c>
      <c r="O1877" s="73">
        <v>67258</v>
      </c>
      <c r="P1877">
        <v>34.681374159610094</v>
      </c>
    </row>
    <row r="1878" spans="1:16" x14ac:dyDescent="0.2">
      <c r="A1878" s="73">
        <v>67258</v>
      </c>
      <c r="B1878" t="s">
        <v>438</v>
      </c>
      <c r="C1878" s="73" t="s">
        <v>465</v>
      </c>
      <c r="D1878" t="s">
        <v>466</v>
      </c>
      <c r="E1878" s="74">
        <v>45868</v>
      </c>
      <c r="F1878" t="s">
        <v>398</v>
      </c>
      <c r="G1878" t="s">
        <v>399</v>
      </c>
      <c r="H1878" s="75">
        <f t="shared" si="29"/>
        <v>208.08824495766055</v>
      </c>
      <c r="I1878" s="74">
        <v>45868</v>
      </c>
      <c r="J1878">
        <v>6</v>
      </c>
      <c r="K1878" t="s">
        <v>511</v>
      </c>
      <c r="L1878" t="s">
        <v>367</v>
      </c>
      <c r="M1878" t="s">
        <v>356</v>
      </c>
      <c r="N1878" s="73">
        <v>67258</v>
      </c>
      <c r="O1878" s="73">
        <v>67258</v>
      </c>
      <c r="P1878">
        <v>34.681374159610094</v>
      </c>
    </row>
    <row r="1879" spans="1:16" x14ac:dyDescent="0.2">
      <c r="A1879" s="73">
        <v>67258</v>
      </c>
      <c r="B1879" t="s">
        <v>438</v>
      </c>
      <c r="C1879" s="73" t="s">
        <v>465</v>
      </c>
      <c r="D1879" t="s">
        <v>466</v>
      </c>
      <c r="E1879" s="74">
        <v>45873</v>
      </c>
      <c r="F1879" t="s">
        <v>398</v>
      </c>
      <c r="G1879" t="s">
        <v>399</v>
      </c>
      <c r="H1879" s="75">
        <f t="shared" si="29"/>
        <v>208.08824495766055</v>
      </c>
      <c r="I1879" s="74">
        <v>45873</v>
      </c>
      <c r="J1879">
        <v>6</v>
      </c>
      <c r="K1879" t="s">
        <v>288</v>
      </c>
      <c r="L1879" t="s">
        <v>367</v>
      </c>
      <c r="M1879" t="s">
        <v>356</v>
      </c>
      <c r="N1879" s="73">
        <v>67258</v>
      </c>
      <c r="O1879" s="73">
        <v>67258</v>
      </c>
      <c r="P1879">
        <v>34.681374159610094</v>
      </c>
    </row>
    <row r="1880" spans="1:16" x14ac:dyDescent="0.2">
      <c r="A1880" s="73">
        <v>67258</v>
      </c>
      <c r="B1880" t="s">
        <v>438</v>
      </c>
      <c r="C1880" s="73" t="s">
        <v>467</v>
      </c>
      <c r="D1880" t="s">
        <v>468</v>
      </c>
      <c r="E1880" s="74">
        <v>45940</v>
      </c>
      <c r="F1880" t="s">
        <v>360</v>
      </c>
      <c r="G1880" t="s">
        <v>361</v>
      </c>
      <c r="H1880" s="75">
        <f t="shared" si="29"/>
        <v>208.08824495766055</v>
      </c>
      <c r="I1880" s="74">
        <v>45940</v>
      </c>
      <c r="J1880">
        <v>6</v>
      </c>
      <c r="K1880" t="s">
        <v>513</v>
      </c>
      <c r="L1880" t="s">
        <v>262</v>
      </c>
      <c r="M1880" t="s">
        <v>356</v>
      </c>
      <c r="N1880" s="73">
        <v>67258</v>
      </c>
      <c r="O1880" s="73">
        <v>67258</v>
      </c>
      <c r="P1880">
        <v>34.681374159610094</v>
      </c>
    </row>
    <row r="1881" spans="1:16" x14ac:dyDescent="0.2">
      <c r="A1881" s="73">
        <v>67258</v>
      </c>
      <c r="B1881" t="s">
        <v>438</v>
      </c>
      <c r="C1881" s="73" t="s">
        <v>467</v>
      </c>
      <c r="D1881" t="s">
        <v>468</v>
      </c>
      <c r="E1881" s="74">
        <v>45941</v>
      </c>
      <c r="F1881" t="s">
        <v>360</v>
      </c>
      <c r="G1881" t="s">
        <v>361</v>
      </c>
      <c r="H1881" s="75">
        <f t="shared" si="29"/>
        <v>277.45099327688075</v>
      </c>
      <c r="I1881" s="74">
        <v>45941</v>
      </c>
      <c r="J1881">
        <v>8</v>
      </c>
      <c r="K1881" t="s">
        <v>513</v>
      </c>
      <c r="L1881" t="s">
        <v>262</v>
      </c>
      <c r="M1881" t="s">
        <v>356</v>
      </c>
      <c r="N1881" s="73">
        <v>67258</v>
      </c>
      <c r="O1881" s="73">
        <v>67258</v>
      </c>
      <c r="P1881">
        <v>34.681374159610094</v>
      </c>
    </row>
    <row r="1882" spans="1:16" x14ac:dyDescent="0.2">
      <c r="A1882" s="73">
        <v>67258</v>
      </c>
      <c r="B1882" t="s">
        <v>438</v>
      </c>
      <c r="C1882" s="73" t="s">
        <v>467</v>
      </c>
      <c r="D1882" t="s">
        <v>468</v>
      </c>
      <c r="E1882" s="74">
        <v>45950</v>
      </c>
      <c r="F1882" t="s">
        <v>360</v>
      </c>
      <c r="G1882" t="s">
        <v>361</v>
      </c>
      <c r="H1882" s="75">
        <f t="shared" si="29"/>
        <v>138.72549663844038</v>
      </c>
      <c r="I1882" s="74">
        <v>45950</v>
      </c>
      <c r="J1882">
        <v>4</v>
      </c>
      <c r="K1882" t="s">
        <v>513</v>
      </c>
      <c r="L1882" t="s">
        <v>262</v>
      </c>
      <c r="M1882" t="s">
        <v>356</v>
      </c>
      <c r="N1882" s="73">
        <v>67258</v>
      </c>
      <c r="O1882" s="73">
        <v>67258</v>
      </c>
      <c r="P1882">
        <v>34.681374159610094</v>
      </c>
    </row>
    <row r="1883" spans="1:16" x14ac:dyDescent="0.2">
      <c r="A1883" s="73">
        <v>67258</v>
      </c>
      <c r="B1883" t="s">
        <v>438</v>
      </c>
      <c r="C1883" s="73" t="s">
        <v>467</v>
      </c>
      <c r="D1883" t="s">
        <v>468</v>
      </c>
      <c r="E1883" s="74">
        <v>45980</v>
      </c>
      <c r="F1883" t="s">
        <v>360</v>
      </c>
      <c r="G1883" t="s">
        <v>361</v>
      </c>
      <c r="H1883" s="75">
        <f t="shared" si="29"/>
        <v>138.72549663844038</v>
      </c>
      <c r="I1883" s="74">
        <v>45980</v>
      </c>
      <c r="J1883">
        <v>4</v>
      </c>
      <c r="K1883" t="s">
        <v>514</v>
      </c>
      <c r="L1883" t="s">
        <v>262</v>
      </c>
      <c r="M1883" t="s">
        <v>356</v>
      </c>
      <c r="N1883" s="73">
        <v>67258</v>
      </c>
      <c r="O1883" s="73">
        <v>67258</v>
      </c>
      <c r="P1883">
        <v>34.681374159610094</v>
      </c>
    </row>
    <row r="1884" spans="1:16" x14ac:dyDescent="0.2">
      <c r="A1884" s="73">
        <v>67258</v>
      </c>
      <c r="B1884" t="s">
        <v>438</v>
      </c>
      <c r="C1884" s="73" t="s">
        <v>467</v>
      </c>
      <c r="D1884" t="s">
        <v>468</v>
      </c>
      <c r="E1884" s="74">
        <v>46106</v>
      </c>
      <c r="F1884" t="s">
        <v>360</v>
      </c>
      <c r="G1884" t="s">
        <v>361</v>
      </c>
      <c r="H1884" s="75">
        <f t="shared" si="29"/>
        <v>277.45099327688075</v>
      </c>
      <c r="I1884" s="74">
        <v>46106</v>
      </c>
      <c r="J1884">
        <v>8</v>
      </c>
      <c r="K1884" t="s">
        <v>509</v>
      </c>
      <c r="L1884" t="s">
        <v>262</v>
      </c>
      <c r="M1884" t="s">
        <v>356</v>
      </c>
      <c r="N1884" s="73">
        <v>67258</v>
      </c>
      <c r="O1884" s="73">
        <v>67258</v>
      </c>
      <c r="P1884">
        <v>34.681374159610094</v>
      </c>
    </row>
    <row r="1885" spans="1:16" x14ac:dyDescent="0.2">
      <c r="A1885" s="73">
        <v>67258</v>
      </c>
      <c r="B1885" t="s">
        <v>438</v>
      </c>
      <c r="C1885" s="73" t="s">
        <v>467</v>
      </c>
      <c r="D1885" t="s">
        <v>468</v>
      </c>
      <c r="E1885" s="74">
        <v>46107</v>
      </c>
      <c r="F1885" t="s">
        <v>360</v>
      </c>
      <c r="G1885" t="s">
        <v>361</v>
      </c>
      <c r="H1885" s="75">
        <f t="shared" si="29"/>
        <v>277.45099327688075</v>
      </c>
      <c r="I1885" s="74">
        <v>46107</v>
      </c>
      <c r="J1885">
        <v>8</v>
      </c>
      <c r="K1885" t="s">
        <v>509</v>
      </c>
      <c r="L1885" t="s">
        <v>262</v>
      </c>
      <c r="M1885" t="s">
        <v>356</v>
      </c>
      <c r="N1885" s="73">
        <v>67258</v>
      </c>
      <c r="O1885" s="73">
        <v>67258</v>
      </c>
      <c r="P1885">
        <v>34.681374159610094</v>
      </c>
    </row>
    <row r="1886" spans="1:16" x14ac:dyDescent="0.2">
      <c r="A1886" s="73">
        <v>67258</v>
      </c>
      <c r="B1886" t="s">
        <v>438</v>
      </c>
      <c r="C1886" s="73" t="s">
        <v>467</v>
      </c>
      <c r="D1886" t="s">
        <v>468</v>
      </c>
      <c r="E1886" s="74">
        <v>46108</v>
      </c>
      <c r="F1886" t="s">
        <v>360</v>
      </c>
      <c r="G1886" t="s">
        <v>361</v>
      </c>
      <c r="H1886" s="75">
        <f t="shared" si="29"/>
        <v>277.45099327688075</v>
      </c>
      <c r="I1886" s="74">
        <v>46108</v>
      </c>
      <c r="J1886">
        <v>8</v>
      </c>
      <c r="K1886" t="s">
        <v>509</v>
      </c>
      <c r="L1886" t="s">
        <v>262</v>
      </c>
      <c r="M1886" t="s">
        <v>356</v>
      </c>
      <c r="N1886" s="73">
        <v>67258</v>
      </c>
      <c r="O1886" s="73">
        <v>67258</v>
      </c>
      <c r="P1886">
        <v>34.681374159610094</v>
      </c>
    </row>
    <row r="1887" spans="1:16" x14ac:dyDescent="0.2">
      <c r="A1887" s="73">
        <v>67258</v>
      </c>
      <c r="B1887" t="s">
        <v>438</v>
      </c>
      <c r="C1887" s="73" t="s">
        <v>467</v>
      </c>
      <c r="D1887" t="s">
        <v>468</v>
      </c>
      <c r="E1887" s="74">
        <v>46111</v>
      </c>
      <c r="F1887" t="s">
        <v>360</v>
      </c>
      <c r="G1887" t="s">
        <v>361</v>
      </c>
      <c r="H1887" s="75">
        <f t="shared" si="29"/>
        <v>277.45099327688075</v>
      </c>
      <c r="I1887" s="74">
        <v>46111</v>
      </c>
      <c r="J1887">
        <v>8</v>
      </c>
      <c r="K1887" t="s">
        <v>509</v>
      </c>
      <c r="L1887" t="s">
        <v>262</v>
      </c>
      <c r="M1887" t="s">
        <v>356</v>
      </c>
      <c r="N1887" s="73">
        <v>67258</v>
      </c>
      <c r="O1887" s="73">
        <v>67258</v>
      </c>
      <c r="P1887">
        <v>34.681374159610094</v>
      </c>
    </row>
    <row r="1888" spans="1:16" x14ac:dyDescent="0.2">
      <c r="A1888" s="73">
        <v>67258</v>
      </c>
      <c r="B1888" t="s">
        <v>438</v>
      </c>
      <c r="C1888" s="73" t="s">
        <v>467</v>
      </c>
      <c r="D1888" t="s">
        <v>468</v>
      </c>
      <c r="E1888" s="74">
        <v>46112</v>
      </c>
      <c r="F1888" t="s">
        <v>360</v>
      </c>
      <c r="G1888" t="s">
        <v>361</v>
      </c>
      <c r="H1888" s="75">
        <f t="shared" si="29"/>
        <v>277.45099327688075</v>
      </c>
      <c r="I1888" s="74">
        <v>46112</v>
      </c>
      <c r="J1888">
        <v>8</v>
      </c>
      <c r="K1888" t="s">
        <v>509</v>
      </c>
      <c r="L1888" t="s">
        <v>262</v>
      </c>
      <c r="M1888" t="s">
        <v>356</v>
      </c>
      <c r="N1888" s="73">
        <v>67258</v>
      </c>
      <c r="O1888" s="73">
        <v>67258</v>
      </c>
      <c r="P1888">
        <v>34.681374159610094</v>
      </c>
    </row>
    <row r="1889" spans="1:16" x14ac:dyDescent="0.2">
      <c r="A1889" s="73">
        <v>67258</v>
      </c>
      <c r="B1889" t="s">
        <v>438</v>
      </c>
      <c r="C1889" s="73" t="s">
        <v>467</v>
      </c>
      <c r="D1889" t="s">
        <v>468</v>
      </c>
      <c r="E1889" s="74">
        <v>46113</v>
      </c>
      <c r="F1889" t="s">
        <v>360</v>
      </c>
      <c r="G1889" t="s">
        <v>361</v>
      </c>
      <c r="H1889" s="75">
        <f t="shared" si="29"/>
        <v>277.45099327688075</v>
      </c>
      <c r="I1889" s="74">
        <v>46113</v>
      </c>
      <c r="J1889">
        <v>8</v>
      </c>
      <c r="K1889" t="s">
        <v>510</v>
      </c>
      <c r="L1889" t="s">
        <v>262</v>
      </c>
      <c r="M1889" t="s">
        <v>356</v>
      </c>
      <c r="N1889" s="73">
        <v>67258</v>
      </c>
      <c r="O1889" s="73">
        <v>67258</v>
      </c>
      <c r="P1889">
        <v>34.681374159610094</v>
      </c>
    </row>
    <row r="1890" spans="1:16" x14ac:dyDescent="0.2">
      <c r="A1890" s="73">
        <v>67258</v>
      </c>
      <c r="B1890" t="s">
        <v>438</v>
      </c>
      <c r="C1890" s="73" t="s">
        <v>467</v>
      </c>
      <c r="D1890" t="s">
        <v>468</v>
      </c>
      <c r="E1890" s="74">
        <v>46121</v>
      </c>
      <c r="F1890" t="s">
        <v>360</v>
      </c>
      <c r="G1890" t="s">
        <v>361</v>
      </c>
      <c r="H1890" s="75">
        <f t="shared" si="29"/>
        <v>277.45099327688075</v>
      </c>
      <c r="I1890" s="74">
        <v>46121</v>
      </c>
      <c r="J1890">
        <v>8</v>
      </c>
      <c r="K1890" t="s">
        <v>510</v>
      </c>
      <c r="L1890" t="s">
        <v>262</v>
      </c>
      <c r="M1890" t="s">
        <v>356</v>
      </c>
      <c r="N1890" s="73">
        <v>67258</v>
      </c>
      <c r="O1890" s="73">
        <v>67258</v>
      </c>
      <c r="P1890">
        <v>34.681374159610094</v>
      </c>
    </row>
    <row r="1891" spans="1:16" x14ac:dyDescent="0.2">
      <c r="A1891" s="73">
        <v>67258</v>
      </c>
      <c r="B1891" t="s">
        <v>438</v>
      </c>
      <c r="C1891" s="73" t="s">
        <v>467</v>
      </c>
      <c r="D1891" t="s">
        <v>468</v>
      </c>
      <c r="E1891" s="74">
        <v>46136</v>
      </c>
      <c r="F1891" t="s">
        <v>360</v>
      </c>
      <c r="G1891" t="s">
        <v>361</v>
      </c>
      <c r="H1891" s="75">
        <f t="shared" si="29"/>
        <v>138.72549663844038</v>
      </c>
      <c r="I1891" s="74">
        <v>46136</v>
      </c>
      <c r="J1891">
        <v>4</v>
      </c>
      <c r="K1891" t="s">
        <v>510</v>
      </c>
      <c r="L1891" t="s">
        <v>262</v>
      </c>
      <c r="M1891" t="s">
        <v>356</v>
      </c>
      <c r="N1891" s="73">
        <v>67258</v>
      </c>
      <c r="O1891" s="73">
        <v>67258</v>
      </c>
      <c r="P1891">
        <v>34.681374159610094</v>
      </c>
    </row>
    <row r="1892" spans="1:16" hidden="1" x14ac:dyDescent="0.2">
      <c r="A1892" s="73">
        <v>67263</v>
      </c>
      <c r="B1892" t="s">
        <v>457</v>
      </c>
      <c r="C1892" s="73" t="s">
        <v>469</v>
      </c>
      <c r="D1892" t="s">
        <v>470</v>
      </c>
      <c r="E1892" s="74">
        <v>45894</v>
      </c>
      <c r="F1892" t="s">
        <v>357</v>
      </c>
      <c r="G1892" t="s">
        <v>358</v>
      </c>
      <c r="H1892" s="75">
        <f t="shared" si="29"/>
        <v>138.72549663844038</v>
      </c>
      <c r="I1892" s="74">
        <v>45894</v>
      </c>
      <c r="J1892">
        <v>4</v>
      </c>
      <c r="K1892" t="s">
        <v>288</v>
      </c>
      <c r="L1892" t="s">
        <v>359</v>
      </c>
      <c r="M1892" t="s">
        <v>356</v>
      </c>
      <c r="N1892" s="73">
        <v>67263</v>
      </c>
      <c r="O1892" s="73">
        <v>67263</v>
      </c>
      <c r="P1892">
        <v>34.681374159610094</v>
      </c>
    </row>
    <row r="1893" spans="1:16" hidden="1" x14ac:dyDescent="0.2">
      <c r="A1893" s="73">
        <v>67263</v>
      </c>
      <c r="B1893" t="s">
        <v>457</v>
      </c>
      <c r="C1893" s="73" t="s">
        <v>469</v>
      </c>
      <c r="D1893" t="s">
        <v>470</v>
      </c>
      <c r="E1893" s="74">
        <v>45895</v>
      </c>
      <c r="F1893" t="s">
        <v>357</v>
      </c>
      <c r="G1893" t="s">
        <v>358</v>
      </c>
      <c r="H1893" s="75">
        <f t="shared" si="29"/>
        <v>138.72549663844038</v>
      </c>
      <c r="I1893" s="74">
        <v>45895</v>
      </c>
      <c r="J1893">
        <v>4</v>
      </c>
      <c r="K1893" t="s">
        <v>288</v>
      </c>
      <c r="L1893" t="s">
        <v>359</v>
      </c>
      <c r="M1893" t="s">
        <v>356</v>
      </c>
      <c r="N1893" s="73">
        <v>67263</v>
      </c>
      <c r="O1893" s="73">
        <v>67263</v>
      </c>
      <c r="P1893">
        <v>34.681374159610094</v>
      </c>
    </row>
    <row r="1894" spans="1:16" hidden="1" x14ac:dyDescent="0.2">
      <c r="A1894" s="73">
        <v>67263</v>
      </c>
      <c r="B1894" t="s">
        <v>457</v>
      </c>
      <c r="C1894" s="73" t="s">
        <v>469</v>
      </c>
      <c r="D1894" t="s">
        <v>470</v>
      </c>
      <c r="E1894" s="74">
        <v>45896</v>
      </c>
      <c r="F1894" t="s">
        <v>357</v>
      </c>
      <c r="G1894" t="s">
        <v>358</v>
      </c>
      <c r="H1894" s="75">
        <f t="shared" si="29"/>
        <v>138.72549663844038</v>
      </c>
      <c r="I1894" s="74">
        <v>45896</v>
      </c>
      <c r="J1894">
        <v>4</v>
      </c>
      <c r="K1894" t="s">
        <v>288</v>
      </c>
      <c r="L1894" t="s">
        <v>359</v>
      </c>
      <c r="M1894" t="s">
        <v>356</v>
      </c>
      <c r="N1894" s="73">
        <v>67263</v>
      </c>
      <c r="O1894" s="73">
        <v>67263</v>
      </c>
      <c r="P1894">
        <v>34.681374159610094</v>
      </c>
    </row>
    <row r="1895" spans="1:16" hidden="1" x14ac:dyDescent="0.2">
      <c r="A1895" s="73">
        <v>67263</v>
      </c>
      <c r="B1895" t="s">
        <v>457</v>
      </c>
      <c r="C1895" s="73" t="s">
        <v>469</v>
      </c>
      <c r="D1895" t="s">
        <v>470</v>
      </c>
      <c r="E1895" s="74">
        <v>45897</v>
      </c>
      <c r="F1895" t="s">
        <v>357</v>
      </c>
      <c r="G1895" t="s">
        <v>358</v>
      </c>
      <c r="H1895" s="75">
        <f t="shared" si="29"/>
        <v>138.72549663844038</v>
      </c>
      <c r="I1895" s="74">
        <v>45897</v>
      </c>
      <c r="J1895">
        <v>4</v>
      </c>
      <c r="K1895" t="s">
        <v>288</v>
      </c>
      <c r="L1895" t="s">
        <v>359</v>
      </c>
      <c r="M1895" t="s">
        <v>356</v>
      </c>
      <c r="N1895" s="73">
        <v>67263</v>
      </c>
      <c r="O1895" s="73">
        <v>67263</v>
      </c>
      <c r="P1895">
        <v>34.681374159610094</v>
      </c>
    </row>
    <row r="1896" spans="1:16" hidden="1" x14ac:dyDescent="0.2">
      <c r="A1896" s="73">
        <v>67263</v>
      </c>
      <c r="B1896" t="s">
        <v>457</v>
      </c>
      <c r="C1896" s="73" t="s">
        <v>469</v>
      </c>
      <c r="D1896" t="s">
        <v>470</v>
      </c>
      <c r="E1896" s="74">
        <v>45898</v>
      </c>
      <c r="F1896" t="s">
        <v>357</v>
      </c>
      <c r="G1896" t="s">
        <v>358</v>
      </c>
      <c r="H1896" s="75">
        <f t="shared" si="29"/>
        <v>138.72549663844038</v>
      </c>
      <c r="I1896" s="74">
        <v>45898</v>
      </c>
      <c r="J1896">
        <v>4</v>
      </c>
      <c r="K1896" t="s">
        <v>288</v>
      </c>
      <c r="L1896" t="s">
        <v>359</v>
      </c>
      <c r="M1896" t="s">
        <v>356</v>
      </c>
      <c r="N1896" s="73">
        <v>67263</v>
      </c>
      <c r="O1896" s="73">
        <v>67263</v>
      </c>
      <c r="P1896">
        <v>34.681374159610094</v>
      </c>
    </row>
    <row r="1897" spans="1:16" hidden="1" x14ac:dyDescent="0.2">
      <c r="A1897" s="73">
        <v>67263</v>
      </c>
      <c r="B1897" t="s">
        <v>457</v>
      </c>
      <c r="C1897" s="73" t="s">
        <v>469</v>
      </c>
      <c r="D1897" t="s">
        <v>470</v>
      </c>
      <c r="E1897" s="74">
        <v>45901</v>
      </c>
      <c r="F1897" t="s">
        <v>357</v>
      </c>
      <c r="G1897" t="s">
        <v>358</v>
      </c>
      <c r="H1897" s="75">
        <f t="shared" si="29"/>
        <v>208.08824495766055</v>
      </c>
      <c r="I1897" s="74">
        <v>45901</v>
      </c>
      <c r="J1897">
        <v>6</v>
      </c>
      <c r="K1897" t="s">
        <v>512</v>
      </c>
      <c r="L1897" t="s">
        <v>359</v>
      </c>
      <c r="M1897" t="s">
        <v>356</v>
      </c>
      <c r="N1897" s="73">
        <v>67263</v>
      </c>
      <c r="O1897" s="73">
        <v>67263</v>
      </c>
      <c r="P1897">
        <v>34.681374159610094</v>
      </c>
    </row>
    <row r="1898" spans="1:16" hidden="1" x14ac:dyDescent="0.2">
      <c r="A1898" s="73">
        <v>67263</v>
      </c>
      <c r="B1898" t="s">
        <v>457</v>
      </c>
      <c r="C1898" s="73" t="s">
        <v>469</v>
      </c>
      <c r="D1898" t="s">
        <v>470</v>
      </c>
      <c r="E1898" s="74">
        <v>45902</v>
      </c>
      <c r="F1898" t="s">
        <v>357</v>
      </c>
      <c r="G1898" t="s">
        <v>358</v>
      </c>
      <c r="H1898" s="75">
        <f t="shared" si="29"/>
        <v>208.08824495766055</v>
      </c>
      <c r="I1898" s="74">
        <v>45902</v>
      </c>
      <c r="J1898">
        <v>6</v>
      </c>
      <c r="K1898" t="s">
        <v>512</v>
      </c>
      <c r="L1898" t="s">
        <v>359</v>
      </c>
      <c r="M1898" t="s">
        <v>356</v>
      </c>
      <c r="N1898" s="73">
        <v>67263</v>
      </c>
      <c r="O1898" s="73">
        <v>67263</v>
      </c>
      <c r="P1898">
        <v>34.681374159610094</v>
      </c>
    </row>
    <row r="1899" spans="1:16" hidden="1" x14ac:dyDescent="0.2">
      <c r="A1899" s="73">
        <v>67263</v>
      </c>
      <c r="B1899" t="s">
        <v>457</v>
      </c>
      <c r="C1899" s="73" t="s">
        <v>469</v>
      </c>
      <c r="D1899" t="s">
        <v>470</v>
      </c>
      <c r="E1899" s="74">
        <v>45903</v>
      </c>
      <c r="F1899" t="s">
        <v>357</v>
      </c>
      <c r="G1899" t="s">
        <v>358</v>
      </c>
      <c r="H1899" s="75">
        <f t="shared" si="29"/>
        <v>173.40687079805048</v>
      </c>
      <c r="I1899" s="74">
        <v>45903</v>
      </c>
      <c r="J1899">
        <v>5</v>
      </c>
      <c r="K1899" t="s">
        <v>512</v>
      </c>
      <c r="L1899" t="s">
        <v>359</v>
      </c>
      <c r="M1899" t="s">
        <v>356</v>
      </c>
      <c r="N1899" s="73">
        <v>67263</v>
      </c>
      <c r="O1899" s="73">
        <v>67263</v>
      </c>
      <c r="P1899">
        <v>34.681374159610094</v>
      </c>
    </row>
    <row r="1900" spans="1:16" hidden="1" x14ac:dyDescent="0.2">
      <c r="A1900" s="73">
        <v>67263</v>
      </c>
      <c r="B1900" t="s">
        <v>457</v>
      </c>
      <c r="C1900" s="73" t="s">
        <v>469</v>
      </c>
      <c r="D1900" t="s">
        <v>470</v>
      </c>
      <c r="E1900" s="74">
        <v>45904</v>
      </c>
      <c r="F1900" t="s">
        <v>357</v>
      </c>
      <c r="G1900" t="s">
        <v>358</v>
      </c>
      <c r="H1900" s="75">
        <f t="shared" si="29"/>
        <v>208.08824495766055</v>
      </c>
      <c r="I1900" s="74">
        <v>45904</v>
      </c>
      <c r="J1900">
        <v>6</v>
      </c>
      <c r="K1900" t="s">
        <v>512</v>
      </c>
      <c r="L1900" t="s">
        <v>359</v>
      </c>
      <c r="M1900" t="s">
        <v>356</v>
      </c>
      <c r="N1900" s="73">
        <v>67263</v>
      </c>
      <c r="O1900" s="73">
        <v>67263</v>
      </c>
      <c r="P1900">
        <v>34.681374159610094</v>
      </c>
    </row>
    <row r="1901" spans="1:16" hidden="1" x14ac:dyDescent="0.2">
      <c r="A1901" s="73">
        <v>67263</v>
      </c>
      <c r="B1901" t="s">
        <v>457</v>
      </c>
      <c r="C1901" s="73" t="s">
        <v>469</v>
      </c>
      <c r="D1901" t="s">
        <v>470</v>
      </c>
      <c r="E1901" s="74">
        <v>45905</v>
      </c>
      <c r="F1901" t="s">
        <v>357</v>
      </c>
      <c r="G1901" t="s">
        <v>358</v>
      </c>
      <c r="H1901" s="75">
        <f t="shared" si="29"/>
        <v>208.08824495766055</v>
      </c>
      <c r="I1901" s="74">
        <v>45905</v>
      </c>
      <c r="J1901">
        <v>6</v>
      </c>
      <c r="K1901" t="s">
        <v>512</v>
      </c>
      <c r="L1901" t="s">
        <v>359</v>
      </c>
      <c r="M1901" t="s">
        <v>356</v>
      </c>
      <c r="N1901" s="73">
        <v>67263</v>
      </c>
      <c r="O1901" s="73">
        <v>67263</v>
      </c>
      <c r="P1901">
        <v>34.681374159610094</v>
      </c>
    </row>
    <row r="1902" spans="1:16" hidden="1" x14ac:dyDescent="0.2">
      <c r="A1902" s="73">
        <v>67263</v>
      </c>
      <c r="B1902" t="s">
        <v>457</v>
      </c>
      <c r="C1902" s="73" t="s">
        <v>469</v>
      </c>
      <c r="D1902" t="s">
        <v>470</v>
      </c>
      <c r="E1902" s="74">
        <v>45908</v>
      </c>
      <c r="F1902" t="s">
        <v>357</v>
      </c>
      <c r="G1902" t="s">
        <v>358</v>
      </c>
      <c r="H1902" s="75">
        <f t="shared" si="29"/>
        <v>34.681374159610094</v>
      </c>
      <c r="I1902" s="74">
        <v>45908</v>
      </c>
      <c r="J1902">
        <v>1</v>
      </c>
      <c r="K1902" t="s">
        <v>512</v>
      </c>
      <c r="L1902" t="s">
        <v>359</v>
      </c>
      <c r="M1902" t="s">
        <v>356</v>
      </c>
      <c r="N1902" s="73">
        <v>67263</v>
      </c>
      <c r="O1902" s="73">
        <v>67263</v>
      </c>
      <c r="P1902">
        <v>34.681374159610094</v>
      </c>
    </row>
    <row r="1903" spans="1:16" hidden="1" x14ac:dyDescent="0.2">
      <c r="A1903" s="73">
        <v>67263</v>
      </c>
      <c r="B1903" t="s">
        <v>457</v>
      </c>
      <c r="C1903" s="73" t="s">
        <v>469</v>
      </c>
      <c r="D1903" t="s">
        <v>470</v>
      </c>
      <c r="E1903" s="74">
        <v>45909</v>
      </c>
      <c r="F1903" t="s">
        <v>357</v>
      </c>
      <c r="G1903" t="s">
        <v>358</v>
      </c>
      <c r="H1903" s="75">
        <f t="shared" si="29"/>
        <v>34.681374159610094</v>
      </c>
      <c r="I1903" s="74">
        <v>45909</v>
      </c>
      <c r="J1903">
        <v>1</v>
      </c>
      <c r="K1903" t="s">
        <v>512</v>
      </c>
      <c r="L1903" t="s">
        <v>359</v>
      </c>
      <c r="M1903" t="s">
        <v>356</v>
      </c>
      <c r="N1903" s="73">
        <v>67263</v>
      </c>
      <c r="O1903" s="73">
        <v>67263</v>
      </c>
      <c r="P1903">
        <v>34.681374159610094</v>
      </c>
    </row>
    <row r="1904" spans="1:16" hidden="1" x14ac:dyDescent="0.2">
      <c r="A1904" s="73">
        <v>67263</v>
      </c>
      <c r="B1904" t="s">
        <v>457</v>
      </c>
      <c r="C1904" s="73" t="s">
        <v>469</v>
      </c>
      <c r="D1904" t="s">
        <v>470</v>
      </c>
      <c r="E1904" s="74">
        <v>45910</v>
      </c>
      <c r="F1904" t="s">
        <v>357</v>
      </c>
      <c r="G1904" t="s">
        <v>358</v>
      </c>
      <c r="H1904" s="75">
        <f t="shared" si="29"/>
        <v>34.681374159610094</v>
      </c>
      <c r="I1904" s="74">
        <v>45910</v>
      </c>
      <c r="J1904">
        <v>1</v>
      </c>
      <c r="K1904" t="s">
        <v>512</v>
      </c>
      <c r="L1904" t="s">
        <v>359</v>
      </c>
      <c r="M1904" t="s">
        <v>356</v>
      </c>
      <c r="N1904" s="73">
        <v>67263</v>
      </c>
      <c r="O1904" s="73">
        <v>67263</v>
      </c>
      <c r="P1904">
        <v>34.681374159610094</v>
      </c>
    </row>
    <row r="1905" spans="1:16" hidden="1" x14ac:dyDescent="0.2">
      <c r="A1905" s="73">
        <v>67263</v>
      </c>
      <c r="B1905" t="s">
        <v>457</v>
      </c>
      <c r="C1905" s="73" t="s">
        <v>469</v>
      </c>
      <c r="D1905" t="s">
        <v>470</v>
      </c>
      <c r="E1905" s="74">
        <v>45911</v>
      </c>
      <c r="F1905" t="s">
        <v>357</v>
      </c>
      <c r="G1905" t="s">
        <v>358</v>
      </c>
      <c r="H1905" s="75">
        <f t="shared" si="29"/>
        <v>34.681374159610094</v>
      </c>
      <c r="I1905" s="74">
        <v>45911</v>
      </c>
      <c r="J1905">
        <v>1</v>
      </c>
      <c r="K1905" t="s">
        <v>512</v>
      </c>
      <c r="L1905" t="s">
        <v>359</v>
      </c>
      <c r="M1905" t="s">
        <v>356</v>
      </c>
      <c r="N1905" s="73">
        <v>67263</v>
      </c>
      <c r="O1905" s="73">
        <v>67263</v>
      </c>
      <c r="P1905">
        <v>34.681374159610094</v>
      </c>
    </row>
    <row r="1906" spans="1:16" hidden="1" x14ac:dyDescent="0.2">
      <c r="A1906" s="73">
        <v>67263</v>
      </c>
      <c r="B1906" t="s">
        <v>457</v>
      </c>
      <c r="C1906" s="73" t="s">
        <v>469</v>
      </c>
      <c r="D1906" t="s">
        <v>470</v>
      </c>
      <c r="E1906" s="74">
        <v>45912</v>
      </c>
      <c r="F1906" t="s">
        <v>357</v>
      </c>
      <c r="G1906" t="s">
        <v>358</v>
      </c>
      <c r="H1906" s="75">
        <f t="shared" si="29"/>
        <v>34.681374159610094</v>
      </c>
      <c r="I1906" s="74">
        <v>45912</v>
      </c>
      <c r="J1906">
        <v>1</v>
      </c>
      <c r="K1906" t="s">
        <v>512</v>
      </c>
      <c r="L1906" t="s">
        <v>359</v>
      </c>
      <c r="M1906" t="s">
        <v>356</v>
      </c>
      <c r="N1906" s="73">
        <v>67263</v>
      </c>
      <c r="O1906" s="73">
        <v>67263</v>
      </c>
      <c r="P1906">
        <v>34.681374159610094</v>
      </c>
    </row>
    <row r="1907" spans="1:16" hidden="1" x14ac:dyDescent="0.2">
      <c r="A1907" s="73">
        <v>67263</v>
      </c>
      <c r="B1907" t="s">
        <v>457</v>
      </c>
      <c r="C1907" s="73" t="s">
        <v>469</v>
      </c>
      <c r="D1907" t="s">
        <v>470</v>
      </c>
      <c r="E1907" s="74">
        <v>45971</v>
      </c>
      <c r="F1907" t="s">
        <v>357</v>
      </c>
      <c r="G1907" t="s">
        <v>358</v>
      </c>
      <c r="H1907" s="75">
        <f t="shared" si="29"/>
        <v>69.362748319220188</v>
      </c>
      <c r="I1907" s="74">
        <v>45971</v>
      </c>
      <c r="J1907">
        <v>2</v>
      </c>
      <c r="K1907" t="s">
        <v>514</v>
      </c>
      <c r="L1907" t="s">
        <v>359</v>
      </c>
      <c r="M1907" t="s">
        <v>356</v>
      </c>
      <c r="N1907" s="73">
        <v>67263</v>
      </c>
      <c r="O1907" s="73">
        <v>67263</v>
      </c>
      <c r="P1907">
        <v>34.681374159610094</v>
      </c>
    </row>
    <row r="1908" spans="1:16" hidden="1" x14ac:dyDescent="0.2">
      <c r="A1908" s="73">
        <v>67263</v>
      </c>
      <c r="B1908" t="s">
        <v>457</v>
      </c>
      <c r="C1908" s="73" t="s">
        <v>469</v>
      </c>
      <c r="D1908" t="s">
        <v>470</v>
      </c>
      <c r="E1908" s="74">
        <v>45972</v>
      </c>
      <c r="F1908" t="s">
        <v>357</v>
      </c>
      <c r="G1908" t="s">
        <v>358</v>
      </c>
      <c r="H1908" s="75">
        <f t="shared" si="29"/>
        <v>69.362748319220188</v>
      </c>
      <c r="I1908" s="74">
        <v>45972</v>
      </c>
      <c r="J1908">
        <v>2</v>
      </c>
      <c r="K1908" t="s">
        <v>514</v>
      </c>
      <c r="L1908" t="s">
        <v>359</v>
      </c>
      <c r="M1908" t="s">
        <v>356</v>
      </c>
      <c r="N1908" s="73">
        <v>67263</v>
      </c>
      <c r="O1908" s="73">
        <v>67263</v>
      </c>
      <c r="P1908">
        <v>34.681374159610094</v>
      </c>
    </row>
    <row r="1909" spans="1:16" hidden="1" x14ac:dyDescent="0.2">
      <c r="A1909" s="73">
        <v>67263</v>
      </c>
      <c r="B1909" t="s">
        <v>457</v>
      </c>
      <c r="C1909" s="73" t="s">
        <v>469</v>
      </c>
      <c r="D1909" t="s">
        <v>470</v>
      </c>
      <c r="E1909" s="74">
        <v>45973</v>
      </c>
      <c r="F1909" t="s">
        <v>357</v>
      </c>
      <c r="G1909" t="s">
        <v>358</v>
      </c>
      <c r="H1909" s="75">
        <f t="shared" si="29"/>
        <v>69.362748319220188</v>
      </c>
      <c r="I1909" s="74">
        <v>45973</v>
      </c>
      <c r="J1909">
        <v>2</v>
      </c>
      <c r="K1909" t="s">
        <v>514</v>
      </c>
      <c r="L1909" t="s">
        <v>359</v>
      </c>
      <c r="M1909" t="s">
        <v>356</v>
      </c>
      <c r="N1909" s="73">
        <v>67263</v>
      </c>
      <c r="O1909" s="73">
        <v>67263</v>
      </c>
      <c r="P1909">
        <v>34.681374159610094</v>
      </c>
    </row>
    <row r="1910" spans="1:16" hidden="1" x14ac:dyDescent="0.2">
      <c r="A1910" s="73">
        <v>67263</v>
      </c>
      <c r="B1910" t="s">
        <v>457</v>
      </c>
      <c r="C1910" s="73" t="s">
        <v>469</v>
      </c>
      <c r="D1910" t="s">
        <v>470</v>
      </c>
      <c r="E1910" s="74">
        <v>45974</v>
      </c>
      <c r="F1910" t="s">
        <v>357</v>
      </c>
      <c r="G1910" t="s">
        <v>358</v>
      </c>
      <c r="H1910" s="75">
        <f t="shared" si="29"/>
        <v>69.362748319220188</v>
      </c>
      <c r="I1910" s="74">
        <v>45974</v>
      </c>
      <c r="J1910">
        <v>2</v>
      </c>
      <c r="K1910" t="s">
        <v>514</v>
      </c>
      <c r="L1910" t="s">
        <v>359</v>
      </c>
      <c r="M1910" t="s">
        <v>356</v>
      </c>
      <c r="N1910" s="73">
        <v>67263</v>
      </c>
      <c r="O1910" s="73">
        <v>67263</v>
      </c>
      <c r="P1910">
        <v>34.681374159610094</v>
      </c>
    </row>
    <row r="1911" spans="1:16" hidden="1" x14ac:dyDescent="0.2">
      <c r="A1911" s="73">
        <v>67263</v>
      </c>
      <c r="B1911" t="s">
        <v>457</v>
      </c>
      <c r="C1911" s="73" t="s">
        <v>469</v>
      </c>
      <c r="D1911" t="s">
        <v>470</v>
      </c>
      <c r="E1911" s="74">
        <v>45975</v>
      </c>
      <c r="F1911" t="s">
        <v>357</v>
      </c>
      <c r="G1911" t="s">
        <v>358</v>
      </c>
      <c r="H1911" s="75">
        <f t="shared" si="29"/>
        <v>69.362748319220188</v>
      </c>
      <c r="I1911" s="74">
        <v>45975</v>
      </c>
      <c r="J1911">
        <v>2</v>
      </c>
      <c r="K1911" t="s">
        <v>514</v>
      </c>
      <c r="L1911" t="s">
        <v>359</v>
      </c>
      <c r="M1911" t="s">
        <v>356</v>
      </c>
      <c r="N1911" s="73">
        <v>67263</v>
      </c>
      <c r="O1911" s="73">
        <v>67263</v>
      </c>
      <c r="P1911">
        <v>34.681374159610094</v>
      </c>
    </row>
    <row r="1912" spans="1:16" hidden="1" x14ac:dyDescent="0.2">
      <c r="A1912" s="73">
        <v>67263</v>
      </c>
      <c r="B1912" t="s">
        <v>457</v>
      </c>
      <c r="C1912" s="73" t="s">
        <v>469</v>
      </c>
      <c r="D1912" t="s">
        <v>470</v>
      </c>
      <c r="E1912" s="74">
        <v>46007</v>
      </c>
      <c r="F1912" t="s">
        <v>357</v>
      </c>
      <c r="G1912" t="s">
        <v>358</v>
      </c>
      <c r="H1912" s="75">
        <f t="shared" si="29"/>
        <v>69.362748319220188</v>
      </c>
      <c r="I1912" s="74">
        <v>46007</v>
      </c>
      <c r="J1912">
        <v>2</v>
      </c>
      <c r="K1912" t="s">
        <v>515</v>
      </c>
      <c r="L1912" t="s">
        <v>359</v>
      </c>
      <c r="M1912" t="s">
        <v>356</v>
      </c>
      <c r="N1912" s="73">
        <v>67263</v>
      </c>
      <c r="O1912" s="73">
        <v>67263</v>
      </c>
      <c r="P1912">
        <v>34.681374159610094</v>
      </c>
    </row>
    <row r="1913" spans="1:16" hidden="1" x14ac:dyDescent="0.2">
      <c r="A1913" s="73">
        <v>67263</v>
      </c>
      <c r="B1913" t="s">
        <v>457</v>
      </c>
      <c r="C1913" s="73" t="s">
        <v>469</v>
      </c>
      <c r="D1913" t="s">
        <v>470</v>
      </c>
      <c r="E1913" s="74">
        <v>46008</v>
      </c>
      <c r="F1913" t="s">
        <v>357</v>
      </c>
      <c r="G1913" t="s">
        <v>358</v>
      </c>
      <c r="H1913" s="75">
        <f t="shared" si="29"/>
        <v>69.362748319220188</v>
      </c>
      <c r="I1913" s="74">
        <v>46008</v>
      </c>
      <c r="J1913">
        <v>2</v>
      </c>
      <c r="K1913" t="s">
        <v>515</v>
      </c>
      <c r="L1913" t="s">
        <v>359</v>
      </c>
      <c r="M1913" t="s">
        <v>356</v>
      </c>
      <c r="N1913" s="73">
        <v>67263</v>
      </c>
      <c r="O1913" s="73">
        <v>67263</v>
      </c>
      <c r="P1913">
        <v>34.681374159610094</v>
      </c>
    </row>
    <row r="1914" spans="1:16" hidden="1" x14ac:dyDescent="0.2">
      <c r="A1914" s="73">
        <v>67263</v>
      </c>
      <c r="B1914" t="s">
        <v>457</v>
      </c>
      <c r="C1914" s="73" t="s">
        <v>469</v>
      </c>
      <c r="D1914" t="s">
        <v>470</v>
      </c>
      <c r="E1914" s="74">
        <v>46009</v>
      </c>
      <c r="F1914" t="s">
        <v>357</v>
      </c>
      <c r="G1914" t="s">
        <v>358</v>
      </c>
      <c r="H1914" s="75">
        <f t="shared" si="29"/>
        <v>69.362748319220188</v>
      </c>
      <c r="I1914" s="74">
        <v>46009</v>
      </c>
      <c r="J1914">
        <v>2</v>
      </c>
      <c r="K1914" t="s">
        <v>515</v>
      </c>
      <c r="L1914" t="s">
        <v>359</v>
      </c>
      <c r="M1914" t="s">
        <v>356</v>
      </c>
      <c r="N1914" s="73">
        <v>67263</v>
      </c>
      <c r="O1914" s="73">
        <v>67263</v>
      </c>
      <c r="P1914">
        <v>34.681374159610094</v>
      </c>
    </row>
    <row r="1915" spans="1:16" hidden="1" x14ac:dyDescent="0.2">
      <c r="A1915" s="73">
        <v>67263</v>
      </c>
      <c r="B1915" t="s">
        <v>457</v>
      </c>
      <c r="C1915" s="73" t="s">
        <v>469</v>
      </c>
      <c r="D1915" t="s">
        <v>470</v>
      </c>
      <c r="E1915" s="74">
        <v>46010</v>
      </c>
      <c r="F1915" t="s">
        <v>357</v>
      </c>
      <c r="G1915" t="s">
        <v>358</v>
      </c>
      <c r="H1915" s="75">
        <f t="shared" si="29"/>
        <v>69.362748319220188</v>
      </c>
      <c r="I1915" s="74">
        <v>46010</v>
      </c>
      <c r="J1915">
        <v>2</v>
      </c>
      <c r="K1915" t="s">
        <v>515</v>
      </c>
      <c r="L1915" t="s">
        <v>359</v>
      </c>
      <c r="M1915" t="s">
        <v>356</v>
      </c>
      <c r="N1915" s="73">
        <v>67263</v>
      </c>
      <c r="O1915" s="73">
        <v>67263</v>
      </c>
      <c r="P1915">
        <v>34.681374159610094</v>
      </c>
    </row>
    <row r="1916" spans="1:16" hidden="1" x14ac:dyDescent="0.2">
      <c r="A1916" s="73">
        <v>67263</v>
      </c>
      <c r="B1916" t="s">
        <v>457</v>
      </c>
      <c r="C1916" s="73" t="s">
        <v>469</v>
      </c>
      <c r="D1916" t="s">
        <v>470</v>
      </c>
      <c r="E1916" s="74">
        <v>46020</v>
      </c>
      <c r="F1916" t="s">
        <v>357</v>
      </c>
      <c r="G1916" t="s">
        <v>358</v>
      </c>
      <c r="H1916" s="75">
        <f t="shared" si="29"/>
        <v>69.362748319220188</v>
      </c>
      <c r="I1916" s="74">
        <v>46020</v>
      </c>
      <c r="J1916">
        <v>2</v>
      </c>
      <c r="K1916" t="s">
        <v>515</v>
      </c>
      <c r="L1916" t="s">
        <v>359</v>
      </c>
      <c r="M1916" t="s">
        <v>356</v>
      </c>
      <c r="N1916" s="73">
        <v>67263</v>
      </c>
      <c r="O1916" s="73">
        <v>67263</v>
      </c>
      <c r="P1916">
        <v>34.681374159610094</v>
      </c>
    </row>
    <row r="1917" spans="1:16" hidden="1" x14ac:dyDescent="0.2">
      <c r="A1917" s="73">
        <v>67263</v>
      </c>
      <c r="B1917" t="s">
        <v>457</v>
      </c>
      <c r="C1917" s="73" t="s">
        <v>469</v>
      </c>
      <c r="D1917" t="s">
        <v>470</v>
      </c>
      <c r="E1917" s="74">
        <v>46021</v>
      </c>
      <c r="F1917" t="s">
        <v>357</v>
      </c>
      <c r="G1917" t="s">
        <v>358</v>
      </c>
      <c r="H1917" s="75">
        <f t="shared" si="29"/>
        <v>69.362748319220188</v>
      </c>
      <c r="I1917" s="74">
        <v>46021</v>
      </c>
      <c r="J1917">
        <v>2</v>
      </c>
      <c r="K1917" t="s">
        <v>515</v>
      </c>
      <c r="L1917" t="s">
        <v>359</v>
      </c>
      <c r="M1917" t="s">
        <v>356</v>
      </c>
      <c r="N1917" s="73">
        <v>67263</v>
      </c>
      <c r="O1917" s="73">
        <v>67263</v>
      </c>
      <c r="P1917">
        <v>34.681374159610094</v>
      </c>
    </row>
    <row r="1918" spans="1:16" hidden="1" x14ac:dyDescent="0.2">
      <c r="A1918" s="73">
        <v>67263</v>
      </c>
      <c r="B1918" t="s">
        <v>457</v>
      </c>
      <c r="C1918" s="73" t="s">
        <v>469</v>
      </c>
      <c r="D1918" t="s">
        <v>470</v>
      </c>
      <c r="E1918" s="74">
        <v>46022</v>
      </c>
      <c r="F1918" t="s">
        <v>357</v>
      </c>
      <c r="G1918" t="s">
        <v>358</v>
      </c>
      <c r="H1918" s="75">
        <f t="shared" si="29"/>
        <v>69.362748319220188</v>
      </c>
      <c r="I1918" s="74">
        <v>46022</v>
      </c>
      <c r="J1918">
        <v>2</v>
      </c>
      <c r="K1918" t="s">
        <v>515</v>
      </c>
      <c r="L1918" t="s">
        <v>359</v>
      </c>
      <c r="M1918" t="s">
        <v>356</v>
      </c>
      <c r="N1918" s="73">
        <v>67263</v>
      </c>
      <c r="O1918" s="73">
        <v>67263</v>
      </c>
      <c r="P1918">
        <v>34.681374159610094</v>
      </c>
    </row>
    <row r="1919" spans="1:16" hidden="1" x14ac:dyDescent="0.2">
      <c r="A1919" s="73">
        <v>67263</v>
      </c>
      <c r="B1919" t="s">
        <v>457</v>
      </c>
      <c r="C1919" s="73" t="s">
        <v>469</v>
      </c>
      <c r="D1919" t="s">
        <v>470</v>
      </c>
      <c r="E1919" s="74">
        <v>46024</v>
      </c>
      <c r="F1919" t="s">
        <v>357</v>
      </c>
      <c r="G1919" t="s">
        <v>358</v>
      </c>
      <c r="H1919" s="75">
        <f t="shared" si="29"/>
        <v>69.362748319220188</v>
      </c>
      <c r="I1919" s="74">
        <v>46024</v>
      </c>
      <c r="J1919">
        <v>2</v>
      </c>
      <c r="K1919" t="s">
        <v>516</v>
      </c>
      <c r="L1919" t="s">
        <v>359</v>
      </c>
      <c r="M1919" t="s">
        <v>356</v>
      </c>
      <c r="N1919" s="73">
        <v>67263</v>
      </c>
      <c r="O1919" s="73">
        <v>67263</v>
      </c>
      <c r="P1919">
        <v>34.681374159610094</v>
      </c>
    </row>
    <row r="1920" spans="1:16" hidden="1" x14ac:dyDescent="0.2">
      <c r="A1920" s="73">
        <v>67263</v>
      </c>
      <c r="B1920" t="s">
        <v>457</v>
      </c>
      <c r="C1920" s="73" t="s">
        <v>469</v>
      </c>
      <c r="D1920" t="s">
        <v>470</v>
      </c>
      <c r="E1920" s="74">
        <v>46069</v>
      </c>
      <c r="F1920" t="s">
        <v>357</v>
      </c>
      <c r="G1920" t="s">
        <v>358</v>
      </c>
      <c r="H1920" s="75">
        <f t="shared" si="29"/>
        <v>69.362748319220188</v>
      </c>
      <c r="I1920" s="74">
        <v>46069</v>
      </c>
      <c r="J1920">
        <v>2</v>
      </c>
      <c r="K1920" t="s">
        <v>508</v>
      </c>
      <c r="L1920" t="s">
        <v>359</v>
      </c>
      <c r="M1920" t="s">
        <v>356</v>
      </c>
      <c r="N1920" s="73">
        <v>67263</v>
      </c>
      <c r="O1920" s="73">
        <v>67263</v>
      </c>
      <c r="P1920">
        <v>34.681374159610094</v>
      </c>
    </row>
    <row r="1921" spans="1:16" hidden="1" x14ac:dyDescent="0.2">
      <c r="A1921" s="73">
        <v>67263</v>
      </c>
      <c r="B1921" t="s">
        <v>457</v>
      </c>
      <c r="C1921" s="73" t="s">
        <v>469</v>
      </c>
      <c r="D1921" t="s">
        <v>470</v>
      </c>
      <c r="E1921" s="74">
        <v>46070</v>
      </c>
      <c r="F1921" t="s">
        <v>357</v>
      </c>
      <c r="G1921" t="s">
        <v>358</v>
      </c>
      <c r="H1921" s="75">
        <f t="shared" si="29"/>
        <v>69.362748319220188</v>
      </c>
      <c r="I1921" s="74">
        <v>46070</v>
      </c>
      <c r="J1921">
        <v>2</v>
      </c>
      <c r="K1921" t="s">
        <v>508</v>
      </c>
      <c r="L1921" t="s">
        <v>359</v>
      </c>
      <c r="M1921" t="s">
        <v>356</v>
      </c>
      <c r="N1921" s="73">
        <v>67263</v>
      </c>
      <c r="O1921" s="73">
        <v>67263</v>
      </c>
      <c r="P1921">
        <v>34.681374159610094</v>
      </c>
    </row>
    <row r="1922" spans="1:16" hidden="1" x14ac:dyDescent="0.2">
      <c r="A1922" s="73">
        <v>67263</v>
      </c>
      <c r="B1922" t="s">
        <v>457</v>
      </c>
      <c r="C1922" s="73" t="s">
        <v>469</v>
      </c>
      <c r="D1922" t="s">
        <v>470</v>
      </c>
      <c r="E1922" s="74">
        <v>46071</v>
      </c>
      <c r="F1922" t="s">
        <v>357</v>
      </c>
      <c r="G1922" t="s">
        <v>358</v>
      </c>
      <c r="H1922" s="75">
        <f t="shared" ref="H1922:H1985" si="30">J1922*P1922</f>
        <v>69.362748319220188</v>
      </c>
      <c r="I1922" s="74">
        <v>46071</v>
      </c>
      <c r="J1922">
        <v>2</v>
      </c>
      <c r="K1922" t="s">
        <v>508</v>
      </c>
      <c r="L1922" t="s">
        <v>359</v>
      </c>
      <c r="M1922" t="s">
        <v>356</v>
      </c>
      <c r="N1922" s="73">
        <v>67263</v>
      </c>
      <c r="O1922" s="73">
        <v>67263</v>
      </c>
      <c r="P1922">
        <v>34.681374159610094</v>
      </c>
    </row>
    <row r="1923" spans="1:16" hidden="1" x14ac:dyDescent="0.2">
      <c r="A1923" s="73">
        <v>67263</v>
      </c>
      <c r="B1923" t="s">
        <v>457</v>
      </c>
      <c r="C1923" s="73" t="s">
        <v>469</v>
      </c>
      <c r="D1923" t="s">
        <v>470</v>
      </c>
      <c r="E1923" s="74">
        <v>46072</v>
      </c>
      <c r="F1923" t="s">
        <v>357</v>
      </c>
      <c r="G1923" t="s">
        <v>358</v>
      </c>
      <c r="H1923" s="75">
        <f t="shared" si="30"/>
        <v>69.362748319220188</v>
      </c>
      <c r="I1923" s="74">
        <v>46072</v>
      </c>
      <c r="J1923">
        <v>2</v>
      </c>
      <c r="K1923" t="s">
        <v>508</v>
      </c>
      <c r="L1923" t="s">
        <v>359</v>
      </c>
      <c r="M1923" t="s">
        <v>356</v>
      </c>
      <c r="N1923" s="73">
        <v>67263</v>
      </c>
      <c r="O1923" s="73">
        <v>67263</v>
      </c>
      <c r="P1923">
        <v>34.681374159610094</v>
      </c>
    </row>
    <row r="1924" spans="1:16" hidden="1" x14ac:dyDescent="0.2">
      <c r="A1924" s="73">
        <v>67263</v>
      </c>
      <c r="B1924" t="s">
        <v>457</v>
      </c>
      <c r="C1924" s="73" t="s">
        <v>469</v>
      </c>
      <c r="D1924" t="s">
        <v>470</v>
      </c>
      <c r="E1924" s="74">
        <v>46074</v>
      </c>
      <c r="F1924" t="s">
        <v>357</v>
      </c>
      <c r="G1924" t="s">
        <v>358</v>
      </c>
      <c r="H1924" s="75">
        <f t="shared" si="30"/>
        <v>69.362748319220188</v>
      </c>
      <c r="I1924" s="74">
        <v>46074</v>
      </c>
      <c r="J1924">
        <v>2</v>
      </c>
      <c r="K1924" t="s">
        <v>508</v>
      </c>
      <c r="L1924" t="s">
        <v>359</v>
      </c>
      <c r="M1924" t="s">
        <v>356</v>
      </c>
      <c r="N1924" s="73">
        <v>67263</v>
      </c>
      <c r="O1924" s="73">
        <v>67263</v>
      </c>
      <c r="P1924">
        <v>34.681374159610094</v>
      </c>
    </row>
    <row r="1925" spans="1:16" hidden="1" x14ac:dyDescent="0.2">
      <c r="A1925" s="73">
        <v>67263</v>
      </c>
      <c r="B1925" t="s">
        <v>457</v>
      </c>
      <c r="C1925" s="73" t="s">
        <v>469</v>
      </c>
      <c r="D1925" t="s">
        <v>470</v>
      </c>
      <c r="E1925" s="74">
        <v>46074</v>
      </c>
      <c r="F1925" t="s">
        <v>357</v>
      </c>
      <c r="G1925" t="s">
        <v>358</v>
      </c>
      <c r="H1925" s="75">
        <f t="shared" si="30"/>
        <v>-69.362748319220188</v>
      </c>
      <c r="I1925" s="74">
        <v>46074</v>
      </c>
      <c r="J1925">
        <v>-2</v>
      </c>
      <c r="K1925" t="s">
        <v>508</v>
      </c>
      <c r="L1925" t="s">
        <v>359</v>
      </c>
      <c r="M1925" t="s">
        <v>356</v>
      </c>
      <c r="N1925" s="73">
        <v>67263</v>
      </c>
      <c r="O1925" s="73">
        <v>67263</v>
      </c>
      <c r="P1925">
        <v>34.681374159610094</v>
      </c>
    </row>
    <row r="1926" spans="1:16" x14ac:dyDescent="0.2">
      <c r="A1926" s="73">
        <v>67258</v>
      </c>
      <c r="B1926" t="s">
        <v>438</v>
      </c>
      <c r="C1926" s="73" t="s">
        <v>471</v>
      </c>
      <c r="D1926" t="s">
        <v>472</v>
      </c>
      <c r="E1926" s="74">
        <v>46073</v>
      </c>
      <c r="F1926">
        <v>6319</v>
      </c>
      <c r="G1926" t="s">
        <v>397</v>
      </c>
      <c r="H1926" s="75">
        <f t="shared" si="30"/>
        <v>69.362748319220188</v>
      </c>
      <c r="I1926" s="74">
        <v>46073</v>
      </c>
      <c r="J1926">
        <v>2</v>
      </c>
      <c r="K1926" t="s">
        <v>508</v>
      </c>
      <c r="L1926" t="s">
        <v>359</v>
      </c>
      <c r="M1926" t="s">
        <v>368</v>
      </c>
      <c r="N1926" s="73">
        <v>67258</v>
      </c>
      <c r="O1926" s="73">
        <v>67258</v>
      </c>
      <c r="P1926">
        <v>34.681374159610094</v>
      </c>
    </row>
    <row r="1927" spans="1:16" hidden="1" x14ac:dyDescent="0.2">
      <c r="A1927" s="73">
        <v>67261</v>
      </c>
      <c r="B1927" t="s">
        <v>443</v>
      </c>
      <c r="C1927" s="73" t="s">
        <v>473</v>
      </c>
      <c r="D1927" t="s">
        <v>507</v>
      </c>
      <c r="E1927" s="74">
        <v>46111</v>
      </c>
      <c r="F1927" t="s">
        <v>357</v>
      </c>
      <c r="G1927" t="s">
        <v>358</v>
      </c>
      <c r="H1927" s="75">
        <f t="shared" si="30"/>
        <v>69.362748319220188</v>
      </c>
      <c r="I1927" s="74">
        <v>46111</v>
      </c>
      <c r="J1927">
        <v>2</v>
      </c>
      <c r="K1927" t="s">
        <v>509</v>
      </c>
      <c r="L1927" t="s">
        <v>359</v>
      </c>
      <c r="M1927" t="s">
        <v>356</v>
      </c>
      <c r="N1927" s="73">
        <v>67261</v>
      </c>
      <c r="O1927" s="73">
        <v>67261</v>
      </c>
      <c r="P1927">
        <v>34.681374159610094</v>
      </c>
    </row>
    <row r="1928" spans="1:16" hidden="1" x14ac:dyDescent="0.2">
      <c r="A1928" s="73">
        <v>67261</v>
      </c>
      <c r="B1928" t="s">
        <v>443</v>
      </c>
      <c r="C1928" s="73" t="s">
        <v>473</v>
      </c>
      <c r="D1928" t="s">
        <v>507</v>
      </c>
      <c r="E1928" s="74">
        <v>46112</v>
      </c>
      <c r="F1928" t="s">
        <v>357</v>
      </c>
      <c r="G1928" t="s">
        <v>358</v>
      </c>
      <c r="H1928" s="75">
        <f t="shared" si="30"/>
        <v>69.362748319220188</v>
      </c>
      <c r="I1928" s="74">
        <v>46112</v>
      </c>
      <c r="J1928">
        <v>2</v>
      </c>
      <c r="K1928" t="s">
        <v>509</v>
      </c>
      <c r="L1928" t="s">
        <v>359</v>
      </c>
      <c r="M1928" t="s">
        <v>356</v>
      </c>
      <c r="N1928" s="73">
        <v>67261</v>
      </c>
      <c r="O1928" s="73">
        <v>67261</v>
      </c>
      <c r="P1928">
        <v>34.681374159610094</v>
      </c>
    </row>
    <row r="1929" spans="1:16" hidden="1" x14ac:dyDescent="0.2">
      <c r="A1929" s="73">
        <v>67261</v>
      </c>
      <c r="B1929" t="s">
        <v>443</v>
      </c>
      <c r="C1929" s="73" t="s">
        <v>473</v>
      </c>
      <c r="D1929" t="s">
        <v>507</v>
      </c>
      <c r="E1929" s="74">
        <v>46113</v>
      </c>
      <c r="F1929" t="s">
        <v>357</v>
      </c>
      <c r="G1929" t="s">
        <v>358</v>
      </c>
      <c r="H1929" s="75">
        <f t="shared" si="30"/>
        <v>69.362748319220188</v>
      </c>
      <c r="I1929" s="74">
        <v>46113</v>
      </c>
      <c r="J1929">
        <v>2</v>
      </c>
      <c r="K1929" t="s">
        <v>510</v>
      </c>
      <c r="L1929" t="s">
        <v>359</v>
      </c>
      <c r="M1929" t="s">
        <v>356</v>
      </c>
      <c r="N1929" s="73">
        <v>67261</v>
      </c>
      <c r="O1929" s="73">
        <v>67261</v>
      </c>
      <c r="P1929">
        <v>34.681374159610094</v>
      </c>
    </row>
    <row r="1930" spans="1:16" hidden="1" x14ac:dyDescent="0.2">
      <c r="A1930" s="73">
        <v>67261</v>
      </c>
      <c r="B1930" t="s">
        <v>443</v>
      </c>
      <c r="C1930" s="73" t="s">
        <v>473</v>
      </c>
      <c r="D1930" t="s">
        <v>507</v>
      </c>
      <c r="E1930" s="74">
        <v>46114</v>
      </c>
      <c r="F1930" t="s">
        <v>357</v>
      </c>
      <c r="G1930" t="s">
        <v>358</v>
      </c>
      <c r="H1930" s="75">
        <f t="shared" si="30"/>
        <v>69.362748319220188</v>
      </c>
      <c r="I1930" s="74">
        <v>46114</v>
      </c>
      <c r="J1930">
        <v>2</v>
      </c>
      <c r="K1930" t="s">
        <v>510</v>
      </c>
      <c r="L1930" t="s">
        <v>359</v>
      </c>
      <c r="M1930" t="s">
        <v>356</v>
      </c>
      <c r="N1930" s="73">
        <v>67261</v>
      </c>
      <c r="O1930" s="73">
        <v>67261</v>
      </c>
      <c r="P1930">
        <v>34.681374159610094</v>
      </c>
    </row>
    <row r="1931" spans="1:16" hidden="1" x14ac:dyDescent="0.2">
      <c r="A1931" s="73">
        <v>67261</v>
      </c>
      <c r="B1931" t="s">
        <v>443</v>
      </c>
      <c r="C1931" s="73" t="s">
        <v>473</v>
      </c>
      <c r="D1931" t="s">
        <v>507</v>
      </c>
      <c r="E1931" s="74">
        <v>46118</v>
      </c>
      <c r="F1931" t="s">
        <v>357</v>
      </c>
      <c r="G1931" t="s">
        <v>358</v>
      </c>
      <c r="H1931" s="75">
        <f t="shared" si="30"/>
        <v>104.04412247883027</v>
      </c>
      <c r="I1931" s="74">
        <v>46118</v>
      </c>
      <c r="J1931">
        <v>3</v>
      </c>
      <c r="K1931" t="s">
        <v>510</v>
      </c>
      <c r="L1931" t="s">
        <v>359</v>
      </c>
      <c r="M1931" t="s">
        <v>356</v>
      </c>
      <c r="N1931" s="73">
        <v>67261</v>
      </c>
      <c r="O1931" s="73">
        <v>67261</v>
      </c>
      <c r="P1931">
        <v>34.681374159610094</v>
      </c>
    </row>
    <row r="1932" spans="1:16" hidden="1" x14ac:dyDescent="0.2">
      <c r="A1932" s="73">
        <v>67261</v>
      </c>
      <c r="B1932" t="s">
        <v>443</v>
      </c>
      <c r="C1932" s="73" t="s">
        <v>473</v>
      </c>
      <c r="D1932" t="s">
        <v>507</v>
      </c>
      <c r="E1932" s="74">
        <v>46119</v>
      </c>
      <c r="F1932" t="s">
        <v>357</v>
      </c>
      <c r="G1932" t="s">
        <v>358</v>
      </c>
      <c r="H1932" s="75">
        <f t="shared" si="30"/>
        <v>104.04412247883027</v>
      </c>
      <c r="I1932" s="74">
        <v>46119</v>
      </c>
      <c r="J1932">
        <v>3</v>
      </c>
      <c r="K1932" t="s">
        <v>510</v>
      </c>
      <c r="L1932" t="s">
        <v>359</v>
      </c>
      <c r="M1932" t="s">
        <v>356</v>
      </c>
      <c r="N1932" s="73">
        <v>67261</v>
      </c>
      <c r="O1932" s="73">
        <v>67261</v>
      </c>
      <c r="P1932">
        <v>34.681374159610094</v>
      </c>
    </row>
    <row r="1933" spans="1:16" hidden="1" x14ac:dyDescent="0.2">
      <c r="A1933" s="73">
        <v>67261</v>
      </c>
      <c r="B1933" t="s">
        <v>443</v>
      </c>
      <c r="C1933" s="73" t="s">
        <v>473</v>
      </c>
      <c r="D1933" t="s">
        <v>507</v>
      </c>
      <c r="E1933" s="74">
        <v>46120</v>
      </c>
      <c r="F1933" t="s">
        <v>357</v>
      </c>
      <c r="G1933" t="s">
        <v>358</v>
      </c>
      <c r="H1933" s="75">
        <f t="shared" si="30"/>
        <v>104.04412247883027</v>
      </c>
      <c r="I1933" s="74">
        <v>46120</v>
      </c>
      <c r="J1933">
        <v>3</v>
      </c>
      <c r="K1933" t="s">
        <v>510</v>
      </c>
      <c r="L1933" t="s">
        <v>359</v>
      </c>
      <c r="M1933" t="s">
        <v>356</v>
      </c>
      <c r="N1933" s="73">
        <v>67261</v>
      </c>
      <c r="O1933" s="73">
        <v>67261</v>
      </c>
      <c r="P1933">
        <v>34.681374159610094</v>
      </c>
    </row>
    <row r="1934" spans="1:16" hidden="1" x14ac:dyDescent="0.2">
      <c r="A1934" s="73">
        <v>67261</v>
      </c>
      <c r="B1934" t="s">
        <v>443</v>
      </c>
      <c r="C1934" s="73" t="s">
        <v>473</v>
      </c>
      <c r="D1934" t="s">
        <v>507</v>
      </c>
      <c r="E1934" s="74">
        <v>46121</v>
      </c>
      <c r="F1934" t="s">
        <v>357</v>
      </c>
      <c r="G1934" t="s">
        <v>358</v>
      </c>
      <c r="H1934" s="75">
        <f t="shared" si="30"/>
        <v>104.04412247883027</v>
      </c>
      <c r="I1934" s="74">
        <v>46121</v>
      </c>
      <c r="J1934">
        <v>3</v>
      </c>
      <c r="K1934" t="s">
        <v>510</v>
      </c>
      <c r="L1934" t="s">
        <v>359</v>
      </c>
      <c r="M1934" t="s">
        <v>356</v>
      </c>
      <c r="N1934" s="73">
        <v>67261</v>
      </c>
      <c r="O1934" s="73">
        <v>67261</v>
      </c>
      <c r="P1934">
        <v>34.681374159610094</v>
      </c>
    </row>
    <row r="1935" spans="1:16" hidden="1" x14ac:dyDescent="0.2">
      <c r="A1935" s="73">
        <v>67261</v>
      </c>
      <c r="B1935" t="s">
        <v>443</v>
      </c>
      <c r="C1935" s="73" t="s">
        <v>473</v>
      </c>
      <c r="D1935" t="s">
        <v>507</v>
      </c>
      <c r="E1935" s="74">
        <v>46122</v>
      </c>
      <c r="F1935" t="s">
        <v>357</v>
      </c>
      <c r="G1935" t="s">
        <v>358</v>
      </c>
      <c r="H1935" s="75">
        <f t="shared" si="30"/>
        <v>104.04412247883027</v>
      </c>
      <c r="I1935" s="74">
        <v>46122</v>
      </c>
      <c r="J1935">
        <v>3</v>
      </c>
      <c r="K1935" t="s">
        <v>510</v>
      </c>
      <c r="L1935" t="s">
        <v>359</v>
      </c>
      <c r="M1935" t="s">
        <v>356</v>
      </c>
      <c r="N1935" s="73">
        <v>67261</v>
      </c>
      <c r="O1935" s="73">
        <v>67261</v>
      </c>
      <c r="P1935">
        <v>34.681374159610094</v>
      </c>
    </row>
    <row r="1936" spans="1:16" hidden="1" x14ac:dyDescent="0.2">
      <c r="A1936" s="73">
        <v>67261</v>
      </c>
      <c r="B1936" t="s">
        <v>443</v>
      </c>
      <c r="C1936" s="73" t="s">
        <v>473</v>
      </c>
      <c r="D1936" t="s">
        <v>507</v>
      </c>
      <c r="E1936" s="74">
        <v>46125</v>
      </c>
      <c r="F1936" t="s">
        <v>357</v>
      </c>
      <c r="G1936" t="s">
        <v>358</v>
      </c>
      <c r="H1936" s="75">
        <f t="shared" si="30"/>
        <v>69.362748319220188</v>
      </c>
      <c r="I1936" s="74">
        <v>46125</v>
      </c>
      <c r="J1936">
        <v>2</v>
      </c>
      <c r="K1936" t="s">
        <v>510</v>
      </c>
      <c r="L1936" t="s">
        <v>359</v>
      </c>
      <c r="M1936" t="s">
        <v>356</v>
      </c>
      <c r="N1936" s="73">
        <v>67261</v>
      </c>
      <c r="O1936" s="73">
        <v>67261</v>
      </c>
      <c r="P1936">
        <v>34.681374159610094</v>
      </c>
    </row>
    <row r="1937" spans="1:16" hidden="1" x14ac:dyDescent="0.2">
      <c r="A1937" s="73">
        <v>67261</v>
      </c>
      <c r="B1937" t="s">
        <v>443</v>
      </c>
      <c r="C1937" s="73" t="s">
        <v>473</v>
      </c>
      <c r="D1937" t="s">
        <v>507</v>
      </c>
      <c r="E1937" s="74">
        <v>46127</v>
      </c>
      <c r="F1937" t="s">
        <v>357</v>
      </c>
      <c r="G1937" t="s">
        <v>358</v>
      </c>
      <c r="H1937" s="75">
        <f t="shared" si="30"/>
        <v>69.362748319220188</v>
      </c>
      <c r="I1937" s="74">
        <v>46127</v>
      </c>
      <c r="J1937">
        <v>2</v>
      </c>
      <c r="K1937" t="s">
        <v>510</v>
      </c>
      <c r="L1937" t="s">
        <v>359</v>
      </c>
      <c r="M1937" t="s">
        <v>356</v>
      </c>
      <c r="N1937" s="73">
        <v>67261</v>
      </c>
      <c r="O1937" s="73">
        <v>67261</v>
      </c>
      <c r="P1937">
        <v>34.681374159610094</v>
      </c>
    </row>
    <row r="1938" spans="1:16" hidden="1" x14ac:dyDescent="0.2">
      <c r="A1938" s="73">
        <v>67261</v>
      </c>
      <c r="B1938" t="s">
        <v>443</v>
      </c>
      <c r="C1938" s="73" t="s">
        <v>473</v>
      </c>
      <c r="D1938" t="s">
        <v>507</v>
      </c>
      <c r="E1938" s="74">
        <v>46132</v>
      </c>
      <c r="F1938" t="s">
        <v>357</v>
      </c>
      <c r="G1938" t="s">
        <v>358</v>
      </c>
      <c r="H1938" s="75">
        <f t="shared" si="30"/>
        <v>173.40687079805048</v>
      </c>
      <c r="I1938" s="74">
        <v>46132</v>
      </c>
      <c r="J1938">
        <v>5</v>
      </c>
      <c r="K1938" t="s">
        <v>510</v>
      </c>
      <c r="L1938" t="s">
        <v>359</v>
      </c>
      <c r="M1938" t="s">
        <v>356</v>
      </c>
      <c r="N1938" s="73">
        <v>67261</v>
      </c>
      <c r="O1938" s="73">
        <v>67261</v>
      </c>
      <c r="P1938">
        <v>34.681374159610094</v>
      </c>
    </row>
    <row r="1939" spans="1:16" hidden="1" x14ac:dyDescent="0.2">
      <c r="A1939" s="73">
        <v>67261</v>
      </c>
      <c r="B1939" t="s">
        <v>443</v>
      </c>
      <c r="C1939" s="73" t="s">
        <v>473</v>
      </c>
      <c r="D1939" t="s">
        <v>507</v>
      </c>
      <c r="E1939" s="74">
        <v>46133</v>
      </c>
      <c r="F1939" t="s">
        <v>357</v>
      </c>
      <c r="G1939" t="s">
        <v>358</v>
      </c>
      <c r="H1939" s="75">
        <f t="shared" si="30"/>
        <v>208.08824495766055</v>
      </c>
      <c r="I1939" s="74">
        <v>46133</v>
      </c>
      <c r="J1939">
        <v>6</v>
      </c>
      <c r="K1939" t="s">
        <v>510</v>
      </c>
      <c r="L1939" t="s">
        <v>359</v>
      </c>
      <c r="M1939" t="s">
        <v>356</v>
      </c>
      <c r="N1939" s="73">
        <v>67261</v>
      </c>
      <c r="O1939" s="73">
        <v>67261</v>
      </c>
      <c r="P1939">
        <v>34.681374159610094</v>
      </c>
    </row>
    <row r="1940" spans="1:16" hidden="1" x14ac:dyDescent="0.2">
      <c r="A1940" s="73">
        <v>67261</v>
      </c>
      <c r="B1940" t="s">
        <v>443</v>
      </c>
      <c r="C1940" s="73" t="s">
        <v>473</v>
      </c>
      <c r="D1940" t="s">
        <v>507</v>
      </c>
      <c r="E1940" s="74">
        <v>46133</v>
      </c>
      <c r="F1940" t="s">
        <v>360</v>
      </c>
      <c r="G1940" t="s">
        <v>361</v>
      </c>
      <c r="H1940" s="75">
        <f t="shared" si="30"/>
        <v>277.45099327688075</v>
      </c>
      <c r="I1940" s="74">
        <v>46133</v>
      </c>
      <c r="J1940">
        <v>8</v>
      </c>
      <c r="K1940" t="s">
        <v>510</v>
      </c>
      <c r="L1940" t="s">
        <v>262</v>
      </c>
      <c r="M1940" t="s">
        <v>356</v>
      </c>
      <c r="N1940" s="73">
        <v>67261</v>
      </c>
      <c r="O1940" s="73">
        <v>67261</v>
      </c>
      <c r="P1940">
        <v>34.681374159610094</v>
      </c>
    </row>
    <row r="1941" spans="1:16" hidden="1" x14ac:dyDescent="0.2">
      <c r="A1941" s="73">
        <v>67261</v>
      </c>
      <c r="B1941" t="s">
        <v>443</v>
      </c>
      <c r="C1941" s="73" t="s">
        <v>473</v>
      </c>
      <c r="D1941" t="s">
        <v>507</v>
      </c>
      <c r="E1941" s="74">
        <v>46134</v>
      </c>
      <c r="F1941" t="s">
        <v>357</v>
      </c>
      <c r="G1941" t="s">
        <v>358</v>
      </c>
      <c r="H1941" s="75">
        <f t="shared" si="30"/>
        <v>208.08824495766055</v>
      </c>
      <c r="I1941" s="74">
        <v>46134</v>
      </c>
      <c r="J1941">
        <v>6</v>
      </c>
      <c r="K1941" t="s">
        <v>510</v>
      </c>
      <c r="L1941" t="s">
        <v>359</v>
      </c>
      <c r="M1941" t="s">
        <v>356</v>
      </c>
      <c r="N1941" s="73">
        <v>67261</v>
      </c>
      <c r="O1941" s="73">
        <v>67261</v>
      </c>
      <c r="P1941">
        <v>34.681374159610094</v>
      </c>
    </row>
    <row r="1942" spans="1:16" hidden="1" x14ac:dyDescent="0.2">
      <c r="A1942" s="73">
        <v>67261</v>
      </c>
      <c r="B1942" t="s">
        <v>443</v>
      </c>
      <c r="C1942" s="73" t="s">
        <v>473</v>
      </c>
      <c r="D1942" t="s">
        <v>507</v>
      </c>
      <c r="E1942" s="74">
        <v>46134</v>
      </c>
      <c r="F1942" t="s">
        <v>360</v>
      </c>
      <c r="G1942" t="s">
        <v>361</v>
      </c>
      <c r="H1942" s="75">
        <f t="shared" si="30"/>
        <v>277.45099327688075</v>
      </c>
      <c r="I1942" s="74">
        <v>46134</v>
      </c>
      <c r="J1942">
        <v>8</v>
      </c>
      <c r="K1942" t="s">
        <v>510</v>
      </c>
      <c r="L1942" t="s">
        <v>262</v>
      </c>
      <c r="M1942" t="s">
        <v>356</v>
      </c>
      <c r="N1942" s="73">
        <v>67261</v>
      </c>
      <c r="O1942" s="73">
        <v>67261</v>
      </c>
      <c r="P1942">
        <v>34.681374159610094</v>
      </c>
    </row>
    <row r="1943" spans="1:16" hidden="1" x14ac:dyDescent="0.2">
      <c r="A1943" s="73">
        <v>67261</v>
      </c>
      <c r="B1943" t="s">
        <v>443</v>
      </c>
      <c r="C1943" s="73" t="s">
        <v>473</v>
      </c>
      <c r="D1943" t="s">
        <v>507</v>
      </c>
      <c r="E1943" s="74">
        <v>46135</v>
      </c>
      <c r="F1943" t="s">
        <v>357</v>
      </c>
      <c r="G1943" t="s">
        <v>358</v>
      </c>
      <c r="H1943" s="75">
        <f t="shared" si="30"/>
        <v>208.08824495766055</v>
      </c>
      <c r="I1943" s="74">
        <v>46135</v>
      </c>
      <c r="J1943">
        <v>6</v>
      </c>
      <c r="K1943" t="s">
        <v>510</v>
      </c>
      <c r="L1943" t="s">
        <v>359</v>
      </c>
      <c r="M1943" t="s">
        <v>356</v>
      </c>
      <c r="N1943" s="73">
        <v>67261</v>
      </c>
      <c r="O1943" s="73">
        <v>67261</v>
      </c>
      <c r="P1943">
        <v>34.681374159610094</v>
      </c>
    </row>
    <row r="1944" spans="1:16" hidden="1" x14ac:dyDescent="0.2">
      <c r="A1944" s="73">
        <v>67261</v>
      </c>
      <c r="B1944" t="s">
        <v>443</v>
      </c>
      <c r="C1944" s="73" t="s">
        <v>473</v>
      </c>
      <c r="D1944" t="s">
        <v>507</v>
      </c>
      <c r="E1944" s="74">
        <v>46135</v>
      </c>
      <c r="F1944" t="s">
        <v>360</v>
      </c>
      <c r="G1944" t="s">
        <v>361</v>
      </c>
      <c r="H1944" s="75">
        <f t="shared" si="30"/>
        <v>277.45099327688075</v>
      </c>
      <c r="I1944" s="74">
        <v>46135</v>
      </c>
      <c r="J1944">
        <v>8</v>
      </c>
      <c r="K1944" t="s">
        <v>510</v>
      </c>
      <c r="L1944" t="s">
        <v>262</v>
      </c>
      <c r="M1944" t="s">
        <v>356</v>
      </c>
      <c r="N1944" s="73">
        <v>67261</v>
      </c>
      <c r="O1944" s="73">
        <v>67261</v>
      </c>
      <c r="P1944">
        <v>34.681374159610094</v>
      </c>
    </row>
    <row r="1945" spans="1:16" hidden="1" x14ac:dyDescent="0.2">
      <c r="A1945" s="73">
        <v>67261</v>
      </c>
      <c r="B1945" t="s">
        <v>443</v>
      </c>
      <c r="C1945" s="73" t="s">
        <v>473</v>
      </c>
      <c r="D1945" t="s">
        <v>507</v>
      </c>
      <c r="E1945" s="74">
        <v>46136</v>
      </c>
      <c r="F1945" t="s">
        <v>357</v>
      </c>
      <c r="G1945" t="s">
        <v>358</v>
      </c>
      <c r="H1945" s="75">
        <f t="shared" si="30"/>
        <v>208.08824495766055</v>
      </c>
      <c r="I1945" s="74">
        <v>46136</v>
      </c>
      <c r="J1945">
        <v>6</v>
      </c>
      <c r="K1945" t="s">
        <v>510</v>
      </c>
      <c r="L1945" t="s">
        <v>359</v>
      </c>
      <c r="M1945" t="s">
        <v>356</v>
      </c>
      <c r="N1945" s="73">
        <v>67261</v>
      </c>
      <c r="O1945" s="73">
        <v>67261</v>
      </c>
      <c r="P1945">
        <v>34.681374159610094</v>
      </c>
    </row>
    <row r="1946" spans="1:16" hidden="1" x14ac:dyDescent="0.2">
      <c r="A1946" s="73">
        <v>67261</v>
      </c>
      <c r="B1946" t="s">
        <v>443</v>
      </c>
      <c r="C1946" s="73" t="s">
        <v>473</v>
      </c>
      <c r="D1946" t="s">
        <v>507</v>
      </c>
      <c r="E1946" s="74">
        <v>46136</v>
      </c>
      <c r="F1946" t="s">
        <v>360</v>
      </c>
      <c r="G1946" t="s">
        <v>361</v>
      </c>
      <c r="H1946" s="75">
        <f t="shared" si="30"/>
        <v>138.72549663844038</v>
      </c>
      <c r="I1946" s="74">
        <v>46136</v>
      </c>
      <c r="J1946">
        <v>4</v>
      </c>
      <c r="K1946" t="s">
        <v>510</v>
      </c>
      <c r="L1946" t="s">
        <v>262</v>
      </c>
      <c r="M1946" t="s">
        <v>356</v>
      </c>
      <c r="N1946" s="73">
        <v>67261</v>
      </c>
      <c r="O1946" s="73">
        <v>67261</v>
      </c>
      <c r="P1946">
        <v>34.681374159610094</v>
      </c>
    </row>
    <row r="1947" spans="1:16" hidden="1" x14ac:dyDescent="0.2">
      <c r="A1947" s="73">
        <v>67261</v>
      </c>
      <c r="B1947" t="s">
        <v>443</v>
      </c>
      <c r="C1947" s="73" t="s">
        <v>473</v>
      </c>
      <c r="D1947" t="s">
        <v>507</v>
      </c>
      <c r="E1947" s="74">
        <v>46139</v>
      </c>
      <c r="F1947" t="s">
        <v>398</v>
      </c>
      <c r="G1947" t="s">
        <v>399</v>
      </c>
      <c r="H1947" s="75">
        <f t="shared" si="30"/>
        <v>277.45099327688075</v>
      </c>
      <c r="I1947" s="74">
        <v>46139</v>
      </c>
      <c r="J1947">
        <v>8</v>
      </c>
      <c r="K1947" t="s">
        <v>510</v>
      </c>
      <c r="L1947" t="s">
        <v>367</v>
      </c>
      <c r="M1947" t="s">
        <v>356</v>
      </c>
      <c r="N1947" s="73">
        <v>67261</v>
      </c>
      <c r="O1947" s="73">
        <v>67261</v>
      </c>
      <c r="P1947">
        <v>34.681374159610094</v>
      </c>
    </row>
    <row r="1948" spans="1:16" hidden="1" x14ac:dyDescent="0.2">
      <c r="A1948" s="73">
        <v>67261</v>
      </c>
      <c r="B1948" t="s">
        <v>443</v>
      </c>
      <c r="C1948" s="73" t="s">
        <v>473</v>
      </c>
      <c r="D1948" t="s">
        <v>507</v>
      </c>
      <c r="E1948" s="74">
        <v>46139</v>
      </c>
      <c r="F1948" t="s">
        <v>360</v>
      </c>
      <c r="G1948" t="s">
        <v>361</v>
      </c>
      <c r="H1948" s="75">
        <f t="shared" si="30"/>
        <v>277.45099327688075</v>
      </c>
      <c r="I1948" s="74">
        <v>46139</v>
      </c>
      <c r="J1948">
        <v>8</v>
      </c>
      <c r="K1948" t="s">
        <v>510</v>
      </c>
      <c r="L1948" t="s">
        <v>262</v>
      </c>
      <c r="M1948" t="s">
        <v>356</v>
      </c>
      <c r="N1948" s="73">
        <v>67261</v>
      </c>
      <c r="O1948" s="73">
        <v>67261</v>
      </c>
      <c r="P1948">
        <v>34.681374159610094</v>
      </c>
    </row>
    <row r="1949" spans="1:16" hidden="1" x14ac:dyDescent="0.2">
      <c r="A1949" s="73">
        <v>67261</v>
      </c>
      <c r="B1949" t="s">
        <v>443</v>
      </c>
      <c r="C1949" s="73" t="s">
        <v>473</v>
      </c>
      <c r="D1949" t="s">
        <v>507</v>
      </c>
      <c r="E1949" s="74">
        <v>46140</v>
      </c>
      <c r="F1949" t="s">
        <v>398</v>
      </c>
      <c r="G1949" t="s">
        <v>399</v>
      </c>
      <c r="H1949" s="75">
        <f t="shared" si="30"/>
        <v>277.45099327688075</v>
      </c>
      <c r="I1949" s="74">
        <v>46140</v>
      </c>
      <c r="J1949">
        <v>8</v>
      </c>
      <c r="K1949" t="s">
        <v>510</v>
      </c>
      <c r="L1949" t="s">
        <v>367</v>
      </c>
      <c r="M1949" t="s">
        <v>356</v>
      </c>
      <c r="N1949" s="73">
        <v>67261</v>
      </c>
      <c r="O1949" s="73">
        <v>67261</v>
      </c>
      <c r="P1949">
        <v>34.681374159610094</v>
      </c>
    </row>
    <row r="1950" spans="1:16" hidden="1" x14ac:dyDescent="0.2">
      <c r="A1950" s="73">
        <v>67261</v>
      </c>
      <c r="B1950" t="s">
        <v>443</v>
      </c>
      <c r="C1950" s="73" t="s">
        <v>473</v>
      </c>
      <c r="D1950" t="s">
        <v>507</v>
      </c>
      <c r="E1950" s="74">
        <v>46140</v>
      </c>
      <c r="F1950" t="s">
        <v>360</v>
      </c>
      <c r="G1950" t="s">
        <v>361</v>
      </c>
      <c r="H1950" s="75">
        <f t="shared" si="30"/>
        <v>277.45099327688075</v>
      </c>
      <c r="I1950" s="74">
        <v>46140</v>
      </c>
      <c r="J1950">
        <v>8</v>
      </c>
      <c r="K1950" t="s">
        <v>510</v>
      </c>
      <c r="L1950" t="s">
        <v>262</v>
      </c>
      <c r="M1950" t="s">
        <v>356</v>
      </c>
      <c r="N1950" s="73">
        <v>67261</v>
      </c>
      <c r="O1950" s="73">
        <v>67261</v>
      </c>
      <c r="P1950">
        <v>34.681374159610094</v>
      </c>
    </row>
    <row r="1951" spans="1:16" hidden="1" x14ac:dyDescent="0.2">
      <c r="A1951" s="73">
        <v>67261</v>
      </c>
      <c r="B1951" t="s">
        <v>443</v>
      </c>
      <c r="C1951" s="73" t="s">
        <v>473</v>
      </c>
      <c r="D1951" t="s">
        <v>507</v>
      </c>
      <c r="E1951" s="74">
        <v>46141</v>
      </c>
      <c r="F1951" t="s">
        <v>398</v>
      </c>
      <c r="G1951" t="s">
        <v>399</v>
      </c>
      <c r="H1951" s="75">
        <f t="shared" si="30"/>
        <v>277.45099327688075</v>
      </c>
      <c r="I1951" s="74">
        <v>46141</v>
      </c>
      <c r="J1951">
        <v>8</v>
      </c>
      <c r="K1951" t="s">
        <v>510</v>
      </c>
      <c r="L1951" t="s">
        <v>367</v>
      </c>
      <c r="M1951" t="s">
        <v>356</v>
      </c>
      <c r="N1951" s="73">
        <v>67261</v>
      </c>
      <c r="O1951" s="73">
        <v>67261</v>
      </c>
      <c r="P1951">
        <v>34.681374159610094</v>
      </c>
    </row>
    <row r="1952" spans="1:16" hidden="1" x14ac:dyDescent="0.2">
      <c r="A1952" s="73">
        <v>67261</v>
      </c>
      <c r="B1952" t="s">
        <v>443</v>
      </c>
      <c r="C1952" s="73" t="s">
        <v>473</v>
      </c>
      <c r="D1952" t="s">
        <v>507</v>
      </c>
      <c r="E1952" s="74">
        <v>46141</v>
      </c>
      <c r="F1952" t="s">
        <v>410</v>
      </c>
      <c r="G1952" t="s">
        <v>411</v>
      </c>
      <c r="H1952" s="75">
        <f t="shared" si="30"/>
        <v>277.45099327688075</v>
      </c>
      <c r="I1952" s="74">
        <v>46141</v>
      </c>
      <c r="J1952">
        <v>8</v>
      </c>
      <c r="K1952" t="s">
        <v>510</v>
      </c>
      <c r="L1952" t="s">
        <v>262</v>
      </c>
      <c r="M1952" t="s">
        <v>356</v>
      </c>
      <c r="N1952" s="73">
        <v>67261</v>
      </c>
      <c r="O1952" s="73">
        <v>67261</v>
      </c>
      <c r="P1952">
        <v>34.681374159610094</v>
      </c>
    </row>
    <row r="1953" spans="1:16" hidden="1" x14ac:dyDescent="0.2">
      <c r="A1953" s="73">
        <v>67261</v>
      </c>
      <c r="B1953" t="s">
        <v>443</v>
      </c>
      <c r="C1953" s="73" t="s">
        <v>473</v>
      </c>
      <c r="D1953" t="s">
        <v>507</v>
      </c>
      <c r="E1953" s="74">
        <v>46141</v>
      </c>
      <c r="F1953" t="s">
        <v>360</v>
      </c>
      <c r="G1953" t="s">
        <v>361</v>
      </c>
      <c r="H1953" s="75">
        <f t="shared" si="30"/>
        <v>277.45099327688075</v>
      </c>
      <c r="I1953" s="74">
        <v>46141</v>
      </c>
      <c r="J1953">
        <v>8</v>
      </c>
      <c r="K1953" t="s">
        <v>510</v>
      </c>
      <c r="L1953" t="s">
        <v>262</v>
      </c>
      <c r="M1953" t="s">
        <v>356</v>
      </c>
      <c r="N1953" s="73">
        <v>67261</v>
      </c>
      <c r="O1953" s="73">
        <v>67261</v>
      </c>
      <c r="P1953">
        <v>34.681374159610094</v>
      </c>
    </row>
    <row r="1954" spans="1:16" hidden="1" x14ac:dyDescent="0.2">
      <c r="A1954" s="73">
        <v>67261</v>
      </c>
      <c r="B1954" t="s">
        <v>443</v>
      </c>
      <c r="C1954" s="73" t="s">
        <v>473</v>
      </c>
      <c r="D1954" t="s">
        <v>507</v>
      </c>
      <c r="E1954" s="74">
        <v>46142</v>
      </c>
      <c r="F1954" t="s">
        <v>398</v>
      </c>
      <c r="G1954" t="s">
        <v>399</v>
      </c>
      <c r="H1954" s="75">
        <f t="shared" si="30"/>
        <v>277.45099327688075</v>
      </c>
      <c r="I1954" s="74">
        <v>46142</v>
      </c>
      <c r="J1954">
        <v>8</v>
      </c>
      <c r="K1954" t="s">
        <v>510</v>
      </c>
      <c r="L1954" t="s">
        <v>367</v>
      </c>
      <c r="M1954" t="s">
        <v>356</v>
      </c>
      <c r="N1954" s="73">
        <v>67261</v>
      </c>
      <c r="O1954" s="73">
        <v>67261</v>
      </c>
      <c r="P1954">
        <v>34.681374159610094</v>
      </c>
    </row>
    <row r="1955" spans="1:16" hidden="1" x14ac:dyDescent="0.2">
      <c r="A1955" s="73">
        <v>67261</v>
      </c>
      <c r="B1955" t="s">
        <v>443</v>
      </c>
      <c r="C1955" s="73" t="s">
        <v>473</v>
      </c>
      <c r="D1955" t="s">
        <v>507</v>
      </c>
      <c r="E1955" s="74">
        <v>46142</v>
      </c>
      <c r="F1955" t="s">
        <v>410</v>
      </c>
      <c r="G1955" t="s">
        <v>411</v>
      </c>
      <c r="H1955" s="75">
        <f t="shared" si="30"/>
        <v>277.45099327688075</v>
      </c>
      <c r="I1955" s="74">
        <v>46142</v>
      </c>
      <c r="J1955">
        <v>8</v>
      </c>
      <c r="K1955" t="s">
        <v>510</v>
      </c>
      <c r="L1955" t="s">
        <v>262</v>
      </c>
      <c r="M1955" t="s">
        <v>356</v>
      </c>
      <c r="N1955" s="73">
        <v>67261</v>
      </c>
      <c r="O1955" s="73">
        <v>67261</v>
      </c>
      <c r="P1955">
        <v>34.681374159610094</v>
      </c>
    </row>
    <row r="1956" spans="1:16" hidden="1" x14ac:dyDescent="0.2">
      <c r="A1956" s="73">
        <v>67261</v>
      </c>
      <c r="B1956" t="s">
        <v>443</v>
      </c>
      <c r="C1956" s="73" t="s">
        <v>473</v>
      </c>
      <c r="D1956" t="s">
        <v>507</v>
      </c>
      <c r="E1956" s="74">
        <v>46142</v>
      </c>
      <c r="F1956" t="s">
        <v>360</v>
      </c>
      <c r="G1956" t="s">
        <v>361</v>
      </c>
      <c r="H1956" s="75">
        <f t="shared" si="30"/>
        <v>277.45099327688075</v>
      </c>
      <c r="I1956" s="74">
        <v>46142</v>
      </c>
      <c r="J1956">
        <v>8</v>
      </c>
      <c r="K1956" t="s">
        <v>510</v>
      </c>
      <c r="L1956" t="s">
        <v>262</v>
      </c>
      <c r="M1956" t="s">
        <v>356</v>
      </c>
      <c r="N1956" s="73">
        <v>67261</v>
      </c>
      <c r="O1956" s="73">
        <v>67261</v>
      </c>
      <c r="P1956">
        <v>34.681374159610094</v>
      </c>
    </row>
    <row r="1957" spans="1:16" hidden="1" x14ac:dyDescent="0.2">
      <c r="A1957" s="73">
        <v>67261</v>
      </c>
      <c r="B1957" t="s">
        <v>443</v>
      </c>
      <c r="C1957" s="73" t="s">
        <v>473</v>
      </c>
      <c r="D1957" t="s">
        <v>507</v>
      </c>
      <c r="E1957" s="74">
        <v>46146</v>
      </c>
      <c r="F1957" t="s">
        <v>410</v>
      </c>
      <c r="G1957" t="s">
        <v>411</v>
      </c>
      <c r="H1957" s="75">
        <f t="shared" si="30"/>
        <v>277.45099327688075</v>
      </c>
      <c r="I1957" s="74">
        <v>46146</v>
      </c>
      <c r="J1957">
        <v>8</v>
      </c>
      <c r="K1957" t="s">
        <v>517</v>
      </c>
      <c r="L1957" t="s">
        <v>262</v>
      </c>
      <c r="M1957" t="s">
        <v>356</v>
      </c>
      <c r="N1957" s="73">
        <v>67261</v>
      </c>
      <c r="O1957" s="73">
        <v>67261</v>
      </c>
      <c r="P1957">
        <v>34.681374159610094</v>
      </c>
    </row>
    <row r="1958" spans="1:16" hidden="1" x14ac:dyDescent="0.2">
      <c r="A1958" s="73">
        <v>67261</v>
      </c>
      <c r="B1958" t="s">
        <v>443</v>
      </c>
      <c r="C1958" s="73" t="s">
        <v>473</v>
      </c>
      <c r="D1958" t="s">
        <v>507</v>
      </c>
      <c r="E1958" s="74">
        <v>46146</v>
      </c>
      <c r="F1958" t="s">
        <v>398</v>
      </c>
      <c r="G1958" t="s">
        <v>399</v>
      </c>
      <c r="H1958" s="75">
        <f t="shared" si="30"/>
        <v>277.45099327688075</v>
      </c>
      <c r="I1958" s="74">
        <v>46146</v>
      </c>
      <c r="J1958">
        <v>8</v>
      </c>
      <c r="K1958" t="s">
        <v>517</v>
      </c>
      <c r="L1958" t="s">
        <v>367</v>
      </c>
      <c r="M1958" t="s">
        <v>356</v>
      </c>
      <c r="N1958" s="73">
        <v>67261</v>
      </c>
      <c r="O1958" s="73">
        <v>67261</v>
      </c>
      <c r="P1958">
        <v>34.681374159610094</v>
      </c>
    </row>
    <row r="1959" spans="1:16" hidden="1" x14ac:dyDescent="0.2">
      <c r="A1959" s="73">
        <v>67261</v>
      </c>
      <c r="B1959" t="s">
        <v>443</v>
      </c>
      <c r="C1959" s="73" t="s">
        <v>473</v>
      </c>
      <c r="D1959" t="s">
        <v>507</v>
      </c>
      <c r="E1959" s="74">
        <v>46147</v>
      </c>
      <c r="F1959" t="s">
        <v>410</v>
      </c>
      <c r="G1959" t="s">
        <v>411</v>
      </c>
      <c r="H1959" s="75">
        <f t="shared" si="30"/>
        <v>277.45099327688075</v>
      </c>
      <c r="I1959" s="74">
        <v>46147</v>
      </c>
      <c r="J1959">
        <v>8</v>
      </c>
      <c r="K1959" t="s">
        <v>517</v>
      </c>
      <c r="L1959" t="s">
        <v>262</v>
      </c>
      <c r="M1959" t="s">
        <v>356</v>
      </c>
      <c r="N1959" s="73">
        <v>67261</v>
      </c>
      <c r="O1959" s="73">
        <v>67261</v>
      </c>
      <c r="P1959">
        <v>34.681374159610094</v>
      </c>
    </row>
    <row r="1960" spans="1:16" hidden="1" x14ac:dyDescent="0.2">
      <c r="A1960" s="73">
        <v>67261</v>
      </c>
      <c r="B1960" t="s">
        <v>443</v>
      </c>
      <c r="C1960" s="73" t="s">
        <v>473</v>
      </c>
      <c r="D1960" t="s">
        <v>507</v>
      </c>
      <c r="E1960" s="74">
        <v>46147</v>
      </c>
      <c r="F1960" t="s">
        <v>353</v>
      </c>
      <c r="G1960" t="s">
        <v>354</v>
      </c>
      <c r="H1960" s="75">
        <f t="shared" si="30"/>
        <v>277.45099327688075</v>
      </c>
      <c r="I1960" s="74">
        <v>46147</v>
      </c>
      <c r="J1960">
        <v>8</v>
      </c>
      <c r="K1960" t="s">
        <v>517</v>
      </c>
      <c r="L1960" t="s">
        <v>355</v>
      </c>
      <c r="M1960" t="s">
        <v>356</v>
      </c>
      <c r="N1960" s="73">
        <v>67261</v>
      </c>
      <c r="O1960" s="73">
        <v>67261</v>
      </c>
      <c r="P1960">
        <v>34.681374159610094</v>
      </c>
    </row>
    <row r="1961" spans="1:16" hidden="1" x14ac:dyDescent="0.2">
      <c r="A1961" s="73">
        <v>67261</v>
      </c>
      <c r="B1961" t="s">
        <v>443</v>
      </c>
      <c r="C1961" s="73" t="s">
        <v>473</v>
      </c>
      <c r="D1961" t="s">
        <v>507</v>
      </c>
      <c r="E1961" s="74">
        <v>46147</v>
      </c>
      <c r="F1961" t="s">
        <v>398</v>
      </c>
      <c r="G1961" t="s">
        <v>399</v>
      </c>
      <c r="H1961" s="75">
        <f t="shared" si="30"/>
        <v>277.45099327688075</v>
      </c>
      <c r="I1961" s="74">
        <v>46147</v>
      </c>
      <c r="J1961">
        <v>8</v>
      </c>
      <c r="K1961" t="s">
        <v>517</v>
      </c>
      <c r="L1961" t="s">
        <v>367</v>
      </c>
      <c r="M1961" t="s">
        <v>356</v>
      </c>
      <c r="N1961" s="73">
        <v>67261</v>
      </c>
      <c r="O1961" s="73">
        <v>67261</v>
      </c>
      <c r="P1961">
        <v>34.681374159610094</v>
      </c>
    </row>
    <row r="1962" spans="1:16" hidden="1" x14ac:dyDescent="0.2">
      <c r="A1962" s="73">
        <v>67261</v>
      </c>
      <c r="B1962" t="s">
        <v>443</v>
      </c>
      <c r="C1962" s="73" t="s">
        <v>473</v>
      </c>
      <c r="D1962" t="s">
        <v>507</v>
      </c>
      <c r="E1962" s="74">
        <v>46148</v>
      </c>
      <c r="F1962" t="s">
        <v>410</v>
      </c>
      <c r="G1962" t="s">
        <v>411</v>
      </c>
      <c r="H1962" s="75">
        <f t="shared" si="30"/>
        <v>277.45099327688075</v>
      </c>
      <c r="I1962" s="74">
        <v>46148</v>
      </c>
      <c r="J1962">
        <v>8</v>
      </c>
      <c r="K1962" t="s">
        <v>517</v>
      </c>
      <c r="L1962" t="s">
        <v>262</v>
      </c>
      <c r="M1962" t="s">
        <v>356</v>
      </c>
      <c r="N1962" s="73">
        <v>67261</v>
      </c>
      <c r="O1962" s="73">
        <v>67261</v>
      </c>
      <c r="P1962">
        <v>34.681374159610094</v>
      </c>
    </row>
    <row r="1963" spans="1:16" hidden="1" x14ac:dyDescent="0.2">
      <c r="A1963" s="73">
        <v>67261</v>
      </c>
      <c r="B1963" t="s">
        <v>443</v>
      </c>
      <c r="C1963" s="73" t="s">
        <v>473</v>
      </c>
      <c r="D1963" t="s">
        <v>507</v>
      </c>
      <c r="E1963" s="74">
        <v>46148</v>
      </c>
      <c r="F1963" t="s">
        <v>398</v>
      </c>
      <c r="G1963" t="s">
        <v>399</v>
      </c>
      <c r="H1963" s="75">
        <f t="shared" si="30"/>
        <v>277.45099327688075</v>
      </c>
      <c r="I1963" s="74">
        <v>46148</v>
      </c>
      <c r="J1963">
        <v>8</v>
      </c>
      <c r="K1963" t="s">
        <v>517</v>
      </c>
      <c r="L1963" t="s">
        <v>367</v>
      </c>
      <c r="M1963" t="s">
        <v>356</v>
      </c>
      <c r="N1963" s="73">
        <v>67261</v>
      </c>
      <c r="O1963" s="73">
        <v>67261</v>
      </c>
      <c r="P1963">
        <v>34.681374159610094</v>
      </c>
    </row>
    <row r="1964" spans="1:16" hidden="1" x14ac:dyDescent="0.2">
      <c r="A1964" s="73">
        <v>67261</v>
      </c>
      <c r="B1964" t="s">
        <v>443</v>
      </c>
      <c r="C1964" s="73" t="s">
        <v>473</v>
      </c>
      <c r="D1964" t="s">
        <v>507</v>
      </c>
      <c r="E1964" s="74">
        <v>46148</v>
      </c>
      <c r="F1964" t="s">
        <v>353</v>
      </c>
      <c r="G1964" t="s">
        <v>354</v>
      </c>
      <c r="H1964" s="75">
        <f t="shared" si="30"/>
        <v>277.45099327688075</v>
      </c>
      <c r="I1964" s="74">
        <v>46148</v>
      </c>
      <c r="J1964">
        <v>8</v>
      </c>
      <c r="K1964" t="s">
        <v>517</v>
      </c>
      <c r="L1964" t="s">
        <v>355</v>
      </c>
      <c r="M1964" t="s">
        <v>356</v>
      </c>
      <c r="N1964" s="73">
        <v>67261</v>
      </c>
      <c r="O1964" s="73">
        <v>67261</v>
      </c>
      <c r="P1964">
        <v>34.681374159610094</v>
      </c>
    </row>
    <row r="1965" spans="1:16" hidden="1" x14ac:dyDescent="0.2">
      <c r="A1965" s="73">
        <v>67261</v>
      </c>
      <c r="B1965" t="s">
        <v>443</v>
      </c>
      <c r="C1965" s="73" t="s">
        <v>473</v>
      </c>
      <c r="D1965" t="s">
        <v>507</v>
      </c>
      <c r="E1965" s="74">
        <v>46149</v>
      </c>
      <c r="F1965" t="s">
        <v>387</v>
      </c>
      <c r="G1965" t="s">
        <v>388</v>
      </c>
      <c r="H1965" s="75">
        <f t="shared" si="30"/>
        <v>138.72549663844038</v>
      </c>
      <c r="I1965" s="74">
        <v>46149</v>
      </c>
      <c r="J1965">
        <v>4</v>
      </c>
      <c r="K1965" t="s">
        <v>517</v>
      </c>
      <c r="L1965" t="s">
        <v>367</v>
      </c>
      <c r="M1965" t="s">
        <v>356</v>
      </c>
      <c r="N1965" s="73">
        <v>67261</v>
      </c>
      <c r="O1965" s="73">
        <v>67261</v>
      </c>
      <c r="P1965">
        <v>34.681374159610094</v>
      </c>
    </row>
    <row r="1966" spans="1:16" hidden="1" x14ac:dyDescent="0.2">
      <c r="A1966" s="73">
        <v>67261</v>
      </c>
      <c r="B1966" t="s">
        <v>443</v>
      </c>
      <c r="C1966" s="73" t="s">
        <v>473</v>
      </c>
      <c r="D1966" t="s">
        <v>507</v>
      </c>
      <c r="E1966" s="74">
        <v>46149</v>
      </c>
      <c r="F1966" t="s">
        <v>398</v>
      </c>
      <c r="G1966" t="s">
        <v>399</v>
      </c>
      <c r="H1966" s="75">
        <f t="shared" si="30"/>
        <v>277.45099327688075</v>
      </c>
      <c r="I1966" s="74">
        <v>46149</v>
      </c>
      <c r="J1966">
        <v>8</v>
      </c>
      <c r="K1966" t="s">
        <v>517</v>
      </c>
      <c r="L1966" t="s">
        <v>367</v>
      </c>
      <c r="M1966" t="s">
        <v>356</v>
      </c>
      <c r="N1966" s="73">
        <v>67261</v>
      </c>
      <c r="O1966" s="73">
        <v>67261</v>
      </c>
      <c r="P1966">
        <v>34.681374159610094</v>
      </c>
    </row>
    <row r="1967" spans="1:16" hidden="1" x14ac:dyDescent="0.2">
      <c r="A1967" s="73">
        <v>67261</v>
      </c>
      <c r="B1967" t="s">
        <v>443</v>
      </c>
      <c r="C1967" s="73" t="s">
        <v>473</v>
      </c>
      <c r="D1967" t="s">
        <v>507</v>
      </c>
      <c r="E1967" s="74">
        <v>46149</v>
      </c>
      <c r="F1967" t="s">
        <v>353</v>
      </c>
      <c r="G1967" t="s">
        <v>354</v>
      </c>
      <c r="H1967" s="75">
        <f t="shared" si="30"/>
        <v>277.45099327688075</v>
      </c>
      <c r="I1967" s="74">
        <v>46149</v>
      </c>
      <c r="J1967">
        <v>8</v>
      </c>
      <c r="K1967" t="s">
        <v>517</v>
      </c>
      <c r="L1967" t="s">
        <v>355</v>
      </c>
      <c r="M1967" t="s">
        <v>356</v>
      </c>
      <c r="N1967" s="73">
        <v>67261</v>
      </c>
      <c r="O1967" s="73">
        <v>67261</v>
      </c>
      <c r="P1967">
        <v>34.681374159610094</v>
      </c>
    </row>
    <row r="1968" spans="1:16" hidden="1" x14ac:dyDescent="0.2">
      <c r="A1968" s="73">
        <v>67261</v>
      </c>
      <c r="B1968" t="s">
        <v>443</v>
      </c>
      <c r="C1968" s="73" t="s">
        <v>473</v>
      </c>
      <c r="D1968" t="s">
        <v>507</v>
      </c>
      <c r="E1968" s="74">
        <v>46150</v>
      </c>
      <c r="F1968" t="s">
        <v>410</v>
      </c>
      <c r="G1968" t="s">
        <v>411</v>
      </c>
      <c r="H1968" s="75">
        <f t="shared" si="30"/>
        <v>277.45099327688075</v>
      </c>
      <c r="I1968" s="74">
        <v>46150</v>
      </c>
      <c r="J1968">
        <v>8</v>
      </c>
      <c r="K1968" t="s">
        <v>517</v>
      </c>
      <c r="L1968" t="s">
        <v>262</v>
      </c>
      <c r="M1968" t="s">
        <v>356</v>
      </c>
      <c r="N1968" s="73">
        <v>67261</v>
      </c>
      <c r="O1968" s="73">
        <v>67261</v>
      </c>
      <c r="P1968">
        <v>34.681374159610094</v>
      </c>
    </row>
    <row r="1969" spans="1:16" hidden="1" x14ac:dyDescent="0.2">
      <c r="A1969" s="73">
        <v>67261</v>
      </c>
      <c r="B1969" t="s">
        <v>443</v>
      </c>
      <c r="C1969" s="73" t="s">
        <v>473</v>
      </c>
      <c r="D1969" t="s">
        <v>507</v>
      </c>
      <c r="E1969" s="74">
        <v>46150</v>
      </c>
      <c r="F1969" t="s">
        <v>353</v>
      </c>
      <c r="G1969" t="s">
        <v>354</v>
      </c>
      <c r="H1969" s="75">
        <f t="shared" si="30"/>
        <v>277.45099327688075</v>
      </c>
      <c r="I1969" s="74">
        <v>46150</v>
      </c>
      <c r="J1969">
        <v>8</v>
      </c>
      <c r="K1969" t="s">
        <v>517</v>
      </c>
      <c r="L1969" t="s">
        <v>355</v>
      </c>
      <c r="M1969" t="s">
        <v>356</v>
      </c>
      <c r="N1969" s="73">
        <v>67261</v>
      </c>
      <c r="O1969" s="73">
        <v>67261</v>
      </c>
      <c r="P1969">
        <v>34.681374159610094</v>
      </c>
    </row>
    <row r="1970" spans="1:16" hidden="1" x14ac:dyDescent="0.2">
      <c r="A1970" s="73">
        <v>67261</v>
      </c>
      <c r="B1970" t="s">
        <v>443</v>
      </c>
      <c r="C1970" s="73" t="s">
        <v>473</v>
      </c>
      <c r="D1970" t="s">
        <v>507</v>
      </c>
      <c r="E1970" s="74">
        <v>46153</v>
      </c>
      <c r="F1970" t="s">
        <v>398</v>
      </c>
      <c r="G1970" t="s">
        <v>399</v>
      </c>
      <c r="H1970" s="75">
        <f t="shared" si="30"/>
        <v>277.45099327688075</v>
      </c>
      <c r="I1970" s="74">
        <v>46153</v>
      </c>
      <c r="J1970">
        <v>8</v>
      </c>
      <c r="K1970" t="s">
        <v>517</v>
      </c>
      <c r="L1970" t="s">
        <v>367</v>
      </c>
      <c r="M1970" t="s">
        <v>356</v>
      </c>
      <c r="N1970" s="73">
        <v>67261</v>
      </c>
      <c r="O1970" s="73">
        <v>67261</v>
      </c>
      <c r="P1970">
        <v>34.681374159610094</v>
      </c>
    </row>
    <row r="1971" spans="1:16" hidden="1" x14ac:dyDescent="0.2">
      <c r="A1971" s="73">
        <v>67261</v>
      </c>
      <c r="B1971" t="s">
        <v>443</v>
      </c>
      <c r="C1971" s="73" t="s">
        <v>473</v>
      </c>
      <c r="D1971" t="s">
        <v>507</v>
      </c>
      <c r="E1971" s="74">
        <v>46153</v>
      </c>
      <c r="F1971" t="s">
        <v>362</v>
      </c>
      <c r="G1971" t="s">
        <v>363</v>
      </c>
      <c r="H1971" s="75">
        <f t="shared" si="30"/>
        <v>208.08824495766055</v>
      </c>
      <c r="I1971" s="74">
        <v>46153</v>
      </c>
      <c r="J1971">
        <v>6</v>
      </c>
      <c r="K1971" t="s">
        <v>517</v>
      </c>
      <c r="L1971" t="s">
        <v>355</v>
      </c>
      <c r="M1971" t="s">
        <v>356</v>
      </c>
      <c r="N1971" s="73">
        <v>67261</v>
      </c>
      <c r="O1971" s="73">
        <v>67261</v>
      </c>
      <c r="P1971">
        <v>34.681374159610094</v>
      </c>
    </row>
    <row r="1972" spans="1:16" hidden="1" x14ac:dyDescent="0.2">
      <c r="A1972" s="73">
        <v>67261</v>
      </c>
      <c r="B1972" t="s">
        <v>443</v>
      </c>
      <c r="C1972" s="73" t="s">
        <v>473</v>
      </c>
      <c r="D1972" t="s">
        <v>507</v>
      </c>
      <c r="E1972" s="74">
        <v>46153</v>
      </c>
      <c r="F1972" t="s">
        <v>387</v>
      </c>
      <c r="G1972" t="s">
        <v>388</v>
      </c>
      <c r="H1972" s="75">
        <f t="shared" si="30"/>
        <v>34.681374159610094</v>
      </c>
      <c r="I1972" s="74">
        <v>46153</v>
      </c>
      <c r="J1972">
        <v>1</v>
      </c>
      <c r="K1972" t="s">
        <v>517</v>
      </c>
      <c r="L1972" t="s">
        <v>367</v>
      </c>
      <c r="M1972" t="s">
        <v>356</v>
      </c>
      <c r="N1972" s="73">
        <v>67261</v>
      </c>
      <c r="O1972" s="73">
        <v>67261</v>
      </c>
      <c r="P1972">
        <v>34.681374159610094</v>
      </c>
    </row>
    <row r="1973" spans="1:16" hidden="1" x14ac:dyDescent="0.2">
      <c r="A1973" s="73">
        <v>67261</v>
      </c>
      <c r="B1973" t="s">
        <v>443</v>
      </c>
      <c r="C1973" s="73" t="s">
        <v>473</v>
      </c>
      <c r="D1973" t="s">
        <v>507</v>
      </c>
      <c r="E1973" s="74">
        <v>46153</v>
      </c>
      <c r="F1973" t="s">
        <v>353</v>
      </c>
      <c r="G1973" t="s">
        <v>354</v>
      </c>
      <c r="H1973" s="75">
        <f t="shared" si="30"/>
        <v>277.45099327688075</v>
      </c>
      <c r="I1973" s="74">
        <v>46153</v>
      </c>
      <c r="J1973">
        <v>8</v>
      </c>
      <c r="K1973" t="s">
        <v>517</v>
      </c>
      <c r="L1973" t="s">
        <v>355</v>
      </c>
      <c r="M1973" t="s">
        <v>356</v>
      </c>
      <c r="N1973" s="73">
        <v>67261</v>
      </c>
      <c r="O1973" s="73">
        <v>67261</v>
      </c>
      <c r="P1973">
        <v>34.681374159610094</v>
      </c>
    </row>
    <row r="1974" spans="1:16" hidden="1" x14ac:dyDescent="0.2">
      <c r="A1974" s="73">
        <v>67261</v>
      </c>
      <c r="B1974" t="s">
        <v>443</v>
      </c>
      <c r="C1974" s="73" t="s">
        <v>473</v>
      </c>
      <c r="D1974" t="s">
        <v>507</v>
      </c>
      <c r="E1974" s="74">
        <v>46153</v>
      </c>
      <c r="F1974" t="s">
        <v>410</v>
      </c>
      <c r="G1974" t="s">
        <v>411</v>
      </c>
      <c r="H1974" s="75">
        <f t="shared" si="30"/>
        <v>277.45099327688075</v>
      </c>
      <c r="I1974" s="74">
        <v>46153</v>
      </c>
      <c r="J1974">
        <v>8</v>
      </c>
      <c r="K1974" t="s">
        <v>517</v>
      </c>
      <c r="L1974" t="s">
        <v>262</v>
      </c>
      <c r="M1974" t="s">
        <v>356</v>
      </c>
      <c r="N1974" s="73">
        <v>67261</v>
      </c>
      <c r="O1974" s="73">
        <v>67261</v>
      </c>
      <c r="P1974">
        <v>34.681374159610094</v>
      </c>
    </row>
    <row r="1975" spans="1:16" hidden="1" x14ac:dyDescent="0.2">
      <c r="A1975" s="73">
        <v>67261</v>
      </c>
      <c r="B1975" t="s">
        <v>443</v>
      </c>
      <c r="C1975" s="73" t="s">
        <v>473</v>
      </c>
      <c r="D1975" t="s">
        <v>507</v>
      </c>
      <c r="E1975" s="74">
        <v>46154</v>
      </c>
      <c r="F1975" t="s">
        <v>398</v>
      </c>
      <c r="G1975" t="s">
        <v>399</v>
      </c>
      <c r="H1975" s="75">
        <f t="shared" si="30"/>
        <v>277.45099327688075</v>
      </c>
      <c r="I1975" s="74">
        <v>46154</v>
      </c>
      <c r="J1975">
        <v>8</v>
      </c>
      <c r="K1975" t="s">
        <v>517</v>
      </c>
      <c r="L1975" t="s">
        <v>367</v>
      </c>
      <c r="M1975" t="s">
        <v>356</v>
      </c>
      <c r="N1975" s="73">
        <v>67261</v>
      </c>
      <c r="O1975" s="73">
        <v>67261</v>
      </c>
      <c r="P1975">
        <v>34.681374159610094</v>
      </c>
    </row>
    <row r="1976" spans="1:16" hidden="1" x14ac:dyDescent="0.2">
      <c r="A1976" s="73">
        <v>67261</v>
      </c>
      <c r="B1976" t="s">
        <v>443</v>
      </c>
      <c r="C1976" s="73" t="s">
        <v>473</v>
      </c>
      <c r="D1976" t="s">
        <v>507</v>
      </c>
      <c r="E1976" s="74">
        <v>46154</v>
      </c>
      <c r="F1976" t="s">
        <v>362</v>
      </c>
      <c r="G1976" t="s">
        <v>363</v>
      </c>
      <c r="H1976" s="75">
        <f t="shared" si="30"/>
        <v>208.08824495766055</v>
      </c>
      <c r="I1976" s="74">
        <v>46154</v>
      </c>
      <c r="J1976">
        <v>6</v>
      </c>
      <c r="K1976" t="s">
        <v>517</v>
      </c>
      <c r="L1976" t="s">
        <v>355</v>
      </c>
      <c r="M1976" t="s">
        <v>356</v>
      </c>
      <c r="N1976" s="73">
        <v>67261</v>
      </c>
      <c r="O1976" s="73">
        <v>67261</v>
      </c>
      <c r="P1976">
        <v>34.681374159610094</v>
      </c>
    </row>
    <row r="1977" spans="1:16" hidden="1" x14ac:dyDescent="0.2">
      <c r="A1977" s="73">
        <v>67261</v>
      </c>
      <c r="B1977" t="s">
        <v>443</v>
      </c>
      <c r="C1977" s="73" t="s">
        <v>473</v>
      </c>
      <c r="D1977" t="s">
        <v>507</v>
      </c>
      <c r="E1977" s="74">
        <v>46154</v>
      </c>
      <c r="F1977" t="s">
        <v>387</v>
      </c>
      <c r="G1977" t="s">
        <v>388</v>
      </c>
      <c r="H1977" s="75">
        <f t="shared" si="30"/>
        <v>69.362748319220188</v>
      </c>
      <c r="I1977" s="74">
        <v>46154</v>
      </c>
      <c r="J1977">
        <v>2</v>
      </c>
      <c r="K1977" t="s">
        <v>517</v>
      </c>
      <c r="L1977" t="s">
        <v>367</v>
      </c>
      <c r="M1977" t="s">
        <v>356</v>
      </c>
      <c r="N1977" s="73">
        <v>67261</v>
      </c>
      <c r="O1977" s="73">
        <v>67261</v>
      </c>
      <c r="P1977">
        <v>34.681374159610094</v>
      </c>
    </row>
    <row r="1978" spans="1:16" hidden="1" x14ac:dyDescent="0.2">
      <c r="A1978" s="73">
        <v>67261</v>
      </c>
      <c r="B1978" t="s">
        <v>443</v>
      </c>
      <c r="C1978" s="73" t="s">
        <v>473</v>
      </c>
      <c r="D1978" t="s">
        <v>507</v>
      </c>
      <c r="E1978" s="74">
        <v>46154</v>
      </c>
      <c r="F1978" t="s">
        <v>353</v>
      </c>
      <c r="G1978" t="s">
        <v>354</v>
      </c>
      <c r="H1978" s="75">
        <f t="shared" si="30"/>
        <v>277.45099327688075</v>
      </c>
      <c r="I1978" s="74">
        <v>46154</v>
      </c>
      <c r="J1978">
        <v>8</v>
      </c>
      <c r="K1978" t="s">
        <v>517</v>
      </c>
      <c r="L1978" t="s">
        <v>355</v>
      </c>
      <c r="M1978" t="s">
        <v>356</v>
      </c>
      <c r="N1978" s="73">
        <v>67261</v>
      </c>
      <c r="O1978" s="73">
        <v>67261</v>
      </c>
      <c r="P1978">
        <v>34.681374159610094</v>
      </c>
    </row>
    <row r="1979" spans="1:16" hidden="1" x14ac:dyDescent="0.2">
      <c r="A1979" s="73">
        <v>67261</v>
      </c>
      <c r="B1979" t="s">
        <v>443</v>
      </c>
      <c r="C1979" s="73" t="s">
        <v>473</v>
      </c>
      <c r="D1979" t="s">
        <v>507</v>
      </c>
      <c r="E1979" s="74">
        <v>46154</v>
      </c>
      <c r="F1979" t="s">
        <v>410</v>
      </c>
      <c r="G1979" t="s">
        <v>411</v>
      </c>
      <c r="H1979" s="75">
        <f t="shared" si="30"/>
        <v>277.45099327688075</v>
      </c>
      <c r="I1979" s="74">
        <v>46154</v>
      </c>
      <c r="J1979">
        <v>8</v>
      </c>
      <c r="K1979" t="s">
        <v>517</v>
      </c>
      <c r="L1979" t="s">
        <v>262</v>
      </c>
      <c r="M1979" t="s">
        <v>356</v>
      </c>
      <c r="N1979" s="73">
        <v>67261</v>
      </c>
      <c r="O1979" s="73">
        <v>67261</v>
      </c>
      <c r="P1979">
        <v>34.681374159610094</v>
      </c>
    </row>
    <row r="1980" spans="1:16" hidden="1" x14ac:dyDescent="0.2">
      <c r="A1980" s="73">
        <v>67261</v>
      </c>
      <c r="B1980" t="s">
        <v>443</v>
      </c>
      <c r="C1980" s="73" t="s">
        <v>473</v>
      </c>
      <c r="D1980" t="s">
        <v>507</v>
      </c>
      <c r="E1980" s="74">
        <v>46155</v>
      </c>
      <c r="F1980" t="s">
        <v>398</v>
      </c>
      <c r="G1980" t="s">
        <v>399</v>
      </c>
      <c r="H1980" s="75">
        <f t="shared" si="30"/>
        <v>277.45099327688075</v>
      </c>
      <c r="I1980" s="74">
        <v>46155</v>
      </c>
      <c r="J1980">
        <v>8</v>
      </c>
      <c r="K1980" t="s">
        <v>517</v>
      </c>
      <c r="L1980" t="s">
        <v>367</v>
      </c>
      <c r="M1980" t="s">
        <v>356</v>
      </c>
      <c r="N1980" s="73">
        <v>67261</v>
      </c>
      <c r="O1980" s="73">
        <v>67261</v>
      </c>
      <c r="P1980">
        <v>34.681374159610094</v>
      </c>
    </row>
    <row r="1981" spans="1:16" hidden="1" x14ac:dyDescent="0.2">
      <c r="A1981" s="73">
        <v>67261</v>
      </c>
      <c r="B1981" t="s">
        <v>443</v>
      </c>
      <c r="C1981" s="73" t="s">
        <v>473</v>
      </c>
      <c r="D1981" t="s">
        <v>507</v>
      </c>
      <c r="E1981" s="74">
        <v>46155</v>
      </c>
      <c r="F1981" t="s">
        <v>362</v>
      </c>
      <c r="G1981" t="s">
        <v>363</v>
      </c>
      <c r="H1981" s="75">
        <f t="shared" si="30"/>
        <v>208.08824495766055</v>
      </c>
      <c r="I1981" s="74">
        <v>46155</v>
      </c>
      <c r="J1981">
        <v>6</v>
      </c>
      <c r="K1981" t="s">
        <v>517</v>
      </c>
      <c r="L1981" t="s">
        <v>355</v>
      </c>
      <c r="M1981" t="s">
        <v>356</v>
      </c>
      <c r="N1981" s="73">
        <v>67261</v>
      </c>
      <c r="O1981" s="73">
        <v>67261</v>
      </c>
      <c r="P1981">
        <v>34.681374159610094</v>
      </c>
    </row>
    <row r="1982" spans="1:16" hidden="1" x14ac:dyDescent="0.2">
      <c r="A1982" s="73">
        <v>67261</v>
      </c>
      <c r="B1982" t="s">
        <v>443</v>
      </c>
      <c r="C1982" s="73" t="s">
        <v>473</v>
      </c>
      <c r="D1982" t="s">
        <v>507</v>
      </c>
      <c r="E1982" s="74">
        <v>46155</v>
      </c>
      <c r="F1982" t="s">
        <v>387</v>
      </c>
      <c r="G1982" t="s">
        <v>388</v>
      </c>
      <c r="H1982" s="75">
        <f t="shared" si="30"/>
        <v>34.681374159610094</v>
      </c>
      <c r="I1982" s="74">
        <v>46155</v>
      </c>
      <c r="J1982">
        <v>1</v>
      </c>
      <c r="K1982" t="s">
        <v>517</v>
      </c>
      <c r="L1982" t="s">
        <v>367</v>
      </c>
      <c r="M1982" t="s">
        <v>356</v>
      </c>
      <c r="N1982" s="73">
        <v>67261</v>
      </c>
      <c r="O1982" s="73">
        <v>67261</v>
      </c>
      <c r="P1982">
        <v>34.681374159610094</v>
      </c>
    </row>
    <row r="1983" spans="1:16" hidden="1" x14ac:dyDescent="0.2">
      <c r="A1983" s="73">
        <v>67261</v>
      </c>
      <c r="B1983" t="s">
        <v>443</v>
      </c>
      <c r="C1983" s="73" t="s">
        <v>473</v>
      </c>
      <c r="D1983" t="s">
        <v>507</v>
      </c>
      <c r="E1983" s="74">
        <v>46155</v>
      </c>
      <c r="F1983" t="s">
        <v>353</v>
      </c>
      <c r="G1983" t="s">
        <v>354</v>
      </c>
      <c r="H1983" s="75">
        <f t="shared" si="30"/>
        <v>277.45099327688075</v>
      </c>
      <c r="I1983" s="74">
        <v>46155</v>
      </c>
      <c r="J1983">
        <v>8</v>
      </c>
      <c r="K1983" t="s">
        <v>517</v>
      </c>
      <c r="L1983" t="s">
        <v>355</v>
      </c>
      <c r="M1983" t="s">
        <v>356</v>
      </c>
      <c r="N1983" s="73">
        <v>67261</v>
      </c>
      <c r="O1983" s="73">
        <v>67261</v>
      </c>
      <c r="P1983">
        <v>34.681374159610094</v>
      </c>
    </row>
    <row r="1984" spans="1:16" hidden="1" x14ac:dyDescent="0.2">
      <c r="A1984" s="73">
        <v>67261</v>
      </c>
      <c r="B1984" t="s">
        <v>443</v>
      </c>
      <c r="C1984" s="73" t="s">
        <v>473</v>
      </c>
      <c r="D1984" t="s">
        <v>507</v>
      </c>
      <c r="E1984" s="74">
        <v>46155</v>
      </c>
      <c r="F1984" t="s">
        <v>410</v>
      </c>
      <c r="G1984" t="s">
        <v>411</v>
      </c>
      <c r="H1984" s="75">
        <f t="shared" si="30"/>
        <v>277.45099327688075</v>
      </c>
      <c r="I1984" s="74">
        <v>46155</v>
      </c>
      <c r="J1984">
        <v>8</v>
      </c>
      <c r="K1984" t="s">
        <v>517</v>
      </c>
      <c r="L1984" t="s">
        <v>262</v>
      </c>
      <c r="M1984" t="s">
        <v>356</v>
      </c>
      <c r="N1984" s="73">
        <v>67261</v>
      </c>
      <c r="O1984" s="73">
        <v>67261</v>
      </c>
      <c r="P1984">
        <v>34.681374159610094</v>
      </c>
    </row>
    <row r="1985" spans="1:16" hidden="1" x14ac:dyDescent="0.2">
      <c r="A1985" s="73">
        <v>67261</v>
      </c>
      <c r="B1985" t="s">
        <v>443</v>
      </c>
      <c r="C1985" s="73" t="s">
        <v>473</v>
      </c>
      <c r="D1985" t="s">
        <v>507</v>
      </c>
      <c r="E1985" s="74">
        <v>46156</v>
      </c>
      <c r="F1985" t="s">
        <v>398</v>
      </c>
      <c r="G1985" t="s">
        <v>399</v>
      </c>
      <c r="H1985" s="75">
        <f t="shared" si="30"/>
        <v>277.45099327688075</v>
      </c>
      <c r="I1985" s="74">
        <v>46156</v>
      </c>
      <c r="J1985">
        <v>8</v>
      </c>
      <c r="K1985" t="s">
        <v>517</v>
      </c>
      <c r="L1985" t="s">
        <v>367</v>
      </c>
      <c r="M1985" t="s">
        <v>356</v>
      </c>
      <c r="N1985" s="73">
        <v>67261</v>
      </c>
      <c r="O1985" s="73">
        <v>67261</v>
      </c>
      <c r="P1985">
        <v>34.681374159610094</v>
      </c>
    </row>
    <row r="1986" spans="1:16" hidden="1" x14ac:dyDescent="0.2">
      <c r="A1986" s="73">
        <v>67261</v>
      </c>
      <c r="B1986" t="s">
        <v>443</v>
      </c>
      <c r="C1986" s="73" t="s">
        <v>473</v>
      </c>
      <c r="D1986" t="s">
        <v>507</v>
      </c>
      <c r="E1986" s="74">
        <v>46156</v>
      </c>
      <c r="F1986" t="s">
        <v>362</v>
      </c>
      <c r="G1986" t="s">
        <v>363</v>
      </c>
      <c r="H1986" s="75">
        <f t="shared" ref="H1986:H2049" si="31">J1986*P1986</f>
        <v>208.08824495766055</v>
      </c>
      <c r="I1986" s="74">
        <v>46156</v>
      </c>
      <c r="J1986">
        <v>6</v>
      </c>
      <c r="K1986" t="s">
        <v>517</v>
      </c>
      <c r="L1986" t="s">
        <v>355</v>
      </c>
      <c r="M1986" t="s">
        <v>356</v>
      </c>
      <c r="N1986" s="73">
        <v>67261</v>
      </c>
      <c r="O1986" s="73">
        <v>67261</v>
      </c>
      <c r="P1986">
        <v>34.681374159610094</v>
      </c>
    </row>
    <row r="1987" spans="1:16" hidden="1" x14ac:dyDescent="0.2">
      <c r="A1987" s="73">
        <v>67261</v>
      </c>
      <c r="B1987" t="s">
        <v>443</v>
      </c>
      <c r="C1987" s="73" t="s">
        <v>473</v>
      </c>
      <c r="D1987" t="s">
        <v>507</v>
      </c>
      <c r="E1987" s="74">
        <v>46156</v>
      </c>
      <c r="F1987" t="s">
        <v>387</v>
      </c>
      <c r="G1987" t="s">
        <v>388</v>
      </c>
      <c r="H1987" s="75">
        <f t="shared" si="31"/>
        <v>69.362748319220188</v>
      </c>
      <c r="I1987" s="74">
        <v>46156</v>
      </c>
      <c r="J1987">
        <v>2</v>
      </c>
      <c r="K1987" t="s">
        <v>517</v>
      </c>
      <c r="L1987" t="s">
        <v>367</v>
      </c>
      <c r="M1987" t="s">
        <v>356</v>
      </c>
      <c r="N1987" s="73">
        <v>67261</v>
      </c>
      <c r="O1987" s="73">
        <v>67261</v>
      </c>
      <c r="P1987">
        <v>34.681374159610094</v>
      </c>
    </row>
    <row r="1988" spans="1:16" hidden="1" x14ac:dyDescent="0.2">
      <c r="A1988" s="73">
        <v>67261</v>
      </c>
      <c r="B1988" t="s">
        <v>443</v>
      </c>
      <c r="C1988" s="73" t="s">
        <v>473</v>
      </c>
      <c r="D1988" t="s">
        <v>507</v>
      </c>
      <c r="E1988" s="74">
        <v>46156</v>
      </c>
      <c r="F1988" t="s">
        <v>353</v>
      </c>
      <c r="G1988" t="s">
        <v>354</v>
      </c>
      <c r="H1988" s="75">
        <f t="shared" si="31"/>
        <v>277.45099327688075</v>
      </c>
      <c r="I1988" s="74">
        <v>46156</v>
      </c>
      <c r="J1988">
        <v>8</v>
      </c>
      <c r="K1988" t="s">
        <v>517</v>
      </c>
      <c r="L1988" t="s">
        <v>355</v>
      </c>
      <c r="M1988" t="s">
        <v>356</v>
      </c>
      <c r="N1988" s="73">
        <v>67261</v>
      </c>
      <c r="O1988" s="73">
        <v>67261</v>
      </c>
      <c r="P1988">
        <v>34.681374159610094</v>
      </c>
    </row>
    <row r="1989" spans="1:16" hidden="1" x14ac:dyDescent="0.2">
      <c r="A1989" s="73">
        <v>67261</v>
      </c>
      <c r="B1989" t="s">
        <v>443</v>
      </c>
      <c r="C1989" s="73" t="s">
        <v>473</v>
      </c>
      <c r="D1989" t="s">
        <v>507</v>
      </c>
      <c r="E1989" s="74">
        <v>46157</v>
      </c>
      <c r="F1989" t="s">
        <v>398</v>
      </c>
      <c r="G1989" t="s">
        <v>399</v>
      </c>
      <c r="H1989" s="75">
        <f t="shared" si="31"/>
        <v>277.45099327688075</v>
      </c>
      <c r="I1989" s="74">
        <v>46157</v>
      </c>
      <c r="J1989">
        <v>8</v>
      </c>
      <c r="K1989" t="s">
        <v>517</v>
      </c>
      <c r="L1989" t="s">
        <v>367</v>
      </c>
      <c r="M1989" t="s">
        <v>356</v>
      </c>
      <c r="N1989" s="73">
        <v>67261</v>
      </c>
      <c r="O1989" s="73">
        <v>67261</v>
      </c>
      <c r="P1989">
        <v>34.681374159610094</v>
      </c>
    </row>
    <row r="1990" spans="1:16" hidden="1" x14ac:dyDescent="0.2">
      <c r="A1990" s="73">
        <v>67261</v>
      </c>
      <c r="B1990" t="s">
        <v>443</v>
      </c>
      <c r="C1990" s="73" t="s">
        <v>473</v>
      </c>
      <c r="D1990" t="s">
        <v>507</v>
      </c>
      <c r="E1990" s="74">
        <v>46157</v>
      </c>
      <c r="F1990" t="s">
        <v>362</v>
      </c>
      <c r="G1990" t="s">
        <v>363</v>
      </c>
      <c r="H1990" s="75">
        <f t="shared" si="31"/>
        <v>208.08824495766055</v>
      </c>
      <c r="I1990" s="74">
        <v>46157</v>
      </c>
      <c r="J1990">
        <v>6</v>
      </c>
      <c r="K1990" t="s">
        <v>517</v>
      </c>
      <c r="L1990" t="s">
        <v>355</v>
      </c>
      <c r="M1990" t="s">
        <v>356</v>
      </c>
      <c r="N1990" s="73">
        <v>67261</v>
      </c>
      <c r="O1990" s="73">
        <v>67261</v>
      </c>
      <c r="P1990">
        <v>34.681374159610094</v>
      </c>
    </row>
    <row r="1991" spans="1:16" hidden="1" x14ac:dyDescent="0.2">
      <c r="A1991" s="73">
        <v>67261</v>
      </c>
      <c r="B1991" t="s">
        <v>443</v>
      </c>
      <c r="C1991" s="73" t="s">
        <v>473</v>
      </c>
      <c r="D1991" t="s">
        <v>507</v>
      </c>
      <c r="E1991" s="74">
        <v>46157</v>
      </c>
      <c r="F1991" t="s">
        <v>353</v>
      </c>
      <c r="G1991" t="s">
        <v>354</v>
      </c>
      <c r="H1991" s="75">
        <f t="shared" si="31"/>
        <v>277.45099327688075</v>
      </c>
      <c r="I1991" s="74">
        <v>46157</v>
      </c>
      <c r="J1991">
        <v>8</v>
      </c>
      <c r="K1991" t="s">
        <v>517</v>
      </c>
      <c r="L1991" t="s">
        <v>355</v>
      </c>
      <c r="M1991" t="s">
        <v>356</v>
      </c>
      <c r="N1991" s="73">
        <v>67261</v>
      </c>
      <c r="O1991" s="73">
        <v>67261</v>
      </c>
      <c r="P1991">
        <v>34.681374159610094</v>
      </c>
    </row>
    <row r="1992" spans="1:16" hidden="1" x14ac:dyDescent="0.2">
      <c r="A1992" s="73">
        <v>67261</v>
      </c>
      <c r="B1992" t="s">
        <v>443</v>
      </c>
      <c r="C1992" s="73" t="s">
        <v>473</v>
      </c>
      <c r="D1992" t="s">
        <v>507</v>
      </c>
      <c r="E1992" s="74">
        <v>46156</v>
      </c>
      <c r="F1992" t="s">
        <v>410</v>
      </c>
      <c r="G1992" t="s">
        <v>411</v>
      </c>
      <c r="H1992" s="75">
        <f t="shared" si="31"/>
        <v>277.45099327688075</v>
      </c>
      <c r="I1992" s="74">
        <v>46156</v>
      </c>
      <c r="J1992">
        <v>8</v>
      </c>
      <c r="K1992" t="s">
        <v>517</v>
      </c>
      <c r="L1992" t="s">
        <v>262</v>
      </c>
      <c r="M1992" t="s">
        <v>356</v>
      </c>
      <c r="N1992" s="73">
        <v>67261</v>
      </c>
      <c r="O1992" s="73">
        <v>67261</v>
      </c>
      <c r="P1992">
        <v>34.681374159610094</v>
      </c>
    </row>
    <row r="1993" spans="1:16" hidden="1" x14ac:dyDescent="0.2">
      <c r="A1993" s="73">
        <v>67261</v>
      </c>
      <c r="B1993" t="s">
        <v>443</v>
      </c>
      <c r="C1993" s="73" t="s">
        <v>473</v>
      </c>
      <c r="D1993" t="s">
        <v>507</v>
      </c>
      <c r="E1993" s="74">
        <v>46157</v>
      </c>
      <c r="F1993" t="s">
        <v>410</v>
      </c>
      <c r="G1993" t="s">
        <v>411</v>
      </c>
      <c r="H1993" s="75">
        <f t="shared" si="31"/>
        <v>277.45099327688075</v>
      </c>
      <c r="I1993" s="74">
        <v>46157</v>
      </c>
      <c r="J1993">
        <v>8</v>
      </c>
      <c r="K1993" t="s">
        <v>517</v>
      </c>
      <c r="L1993" t="s">
        <v>262</v>
      </c>
      <c r="M1993" t="s">
        <v>356</v>
      </c>
      <c r="N1993" s="73">
        <v>67261</v>
      </c>
      <c r="O1993" s="73">
        <v>67261</v>
      </c>
      <c r="P1993">
        <v>34.681374159610094</v>
      </c>
    </row>
    <row r="1994" spans="1:16" hidden="1" x14ac:dyDescent="0.2">
      <c r="A1994" s="73">
        <v>67261</v>
      </c>
      <c r="B1994" t="s">
        <v>443</v>
      </c>
      <c r="C1994" s="73" t="s">
        <v>473</v>
      </c>
      <c r="D1994" t="s">
        <v>507</v>
      </c>
      <c r="E1994" s="74">
        <v>46160</v>
      </c>
      <c r="F1994" t="s">
        <v>410</v>
      </c>
      <c r="G1994" t="s">
        <v>411</v>
      </c>
      <c r="H1994" s="75">
        <f t="shared" si="31"/>
        <v>277.45099327688075</v>
      </c>
      <c r="I1994" s="74">
        <v>46160</v>
      </c>
      <c r="J1994">
        <v>8</v>
      </c>
      <c r="K1994" t="s">
        <v>517</v>
      </c>
      <c r="L1994" t="s">
        <v>262</v>
      </c>
      <c r="M1994" t="s">
        <v>356</v>
      </c>
      <c r="N1994" s="73">
        <v>67261</v>
      </c>
      <c r="O1994" s="73">
        <v>67261</v>
      </c>
      <c r="P1994">
        <v>34.681374159610094</v>
      </c>
    </row>
    <row r="1995" spans="1:16" hidden="1" x14ac:dyDescent="0.2">
      <c r="A1995" s="73">
        <v>67261</v>
      </c>
      <c r="B1995" t="s">
        <v>443</v>
      </c>
      <c r="C1995" s="73" t="s">
        <v>473</v>
      </c>
      <c r="D1995" t="s">
        <v>507</v>
      </c>
      <c r="E1995" s="74">
        <v>46160</v>
      </c>
      <c r="F1995" t="s">
        <v>398</v>
      </c>
      <c r="G1995" t="s">
        <v>399</v>
      </c>
      <c r="H1995" s="75">
        <f t="shared" si="31"/>
        <v>242.76961911727065</v>
      </c>
      <c r="I1995" s="74">
        <v>46160</v>
      </c>
      <c r="J1995">
        <v>7</v>
      </c>
      <c r="K1995" t="s">
        <v>517</v>
      </c>
      <c r="L1995" t="s">
        <v>367</v>
      </c>
      <c r="M1995" t="s">
        <v>356</v>
      </c>
      <c r="N1995" s="73">
        <v>67261</v>
      </c>
      <c r="O1995" s="73">
        <v>67261</v>
      </c>
      <c r="P1995">
        <v>34.681374159610094</v>
      </c>
    </row>
    <row r="1996" spans="1:16" hidden="1" x14ac:dyDescent="0.2">
      <c r="A1996" s="73">
        <v>67261</v>
      </c>
      <c r="B1996" t="s">
        <v>443</v>
      </c>
      <c r="C1996" s="73" t="s">
        <v>473</v>
      </c>
      <c r="D1996" t="s">
        <v>507</v>
      </c>
      <c r="E1996" s="74">
        <v>46161</v>
      </c>
      <c r="F1996" t="s">
        <v>398</v>
      </c>
      <c r="G1996" t="s">
        <v>399</v>
      </c>
      <c r="H1996" s="75">
        <f t="shared" si="31"/>
        <v>242.76961911727065</v>
      </c>
      <c r="I1996" s="74">
        <v>46161</v>
      </c>
      <c r="J1996">
        <v>7</v>
      </c>
      <c r="K1996" t="s">
        <v>517</v>
      </c>
      <c r="L1996" t="s">
        <v>367</v>
      </c>
      <c r="M1996" t="s">
        <v>356</v>
      </c>
      <c r="N1996" s="73">
        <v>67261</v>
      </c>
      <c r="O1996" s="73">
        <v>67261</v>
      </c>
      <c r="P1996">
        <v>34.681374159610094</v>
      </c>
    </row>
    <row r="1997" spans="1:16" hidden="1" x14ac:dyDescent="0.2">
      <c r="A1997" s="73">
        <v>67261</v>
      </c>
      <c r="B1997" t="s">
        <v>443</v>
      </c>
      <c r="C1997" s="73" t="s">
        <v>473</v>
      </c>
      <c r="D1997" t="s">
        <v>507</v>
      </c>
      <c r="E1997" s="74">
        <v>46161</v>
      </c>
      <c r="F1997" t="s">
        <v>353</v>
      </c>
      <c r="G1997" t="s">
        <v>354</v>
      </c>
      <c r="H1997" s="75">
        <f t="shared" si="31"/>
        <v>277.45099327688075</v>
      </c>
      <c r="I1997" s="74">
        <v>46161</v>
      </c>
      <c r="J1997">
        <v>8</v>
      </c>
      <c r="K1997" t="s">
        <v>517</v>
      </c>
      <c r="L1997" t="s">
        <v>355</v>
      </c>
      <c r="M1997" t="s">
        <v>356</v>
      </c>
      <c r="N1997" s="73">
        <v>67261</v>
      </c>
      <c r="O1997" s="73">
        <v>67261</v>
      </c>
      <c r="P1997">
        <v>34.681374159610094</v>
      </c>
    </row>
    <row r="1998" spans="1:16" hidden="1" x14ac:dyDescent="0.2">
      <c r="A1998" s="73">
        <v>67261</v>
      </c>
      <c r="B1998" t="s">
        <v>443</v>
      </c>
      <c r="C1998" s="73" t="s">
        <v>473</v>
      </c>
      <c r="D1998" t="s">
        <v>507</v>
      </c>
      <c r="E1998" s="74">
        <v>46161</v>
      </c>
      <c r="F1998" t="s">
        <v>410</v>
      </c>
      <c r="G1998" t="s">
        <v>411</v>
      </c>
      <c r="H1998" s="75">
        <f t="shared" si="31"/>
        <v>277.45099327688075</v>
      </c>
      <c r="I1998" s="74">
        <v>46161</v>
      </c>
      <c r="J1998">
        <v>8</v>
      </c>
      <c r="K1998" t="s">
        <v>517</v>
      </c>
      <c r="L1998" t="s">
        <v>262</v>
      </c>
      <c r="M1998" t="s">
        <v>356</v>
      </c>
      <c r="N1998" s="73">
        <v>67261</v>
      </c>
      <c r="O1998" s="73">
        <v>67261</v>
      </c>
      <c r="P1998">
        <v>34.681374159610094</v>
      </c>
    </row>
    <row r="1999" spans="1:16" hidden="1" x14ac:dyDescent="0.2">
      <c r="A1999" s="73">
        <v>67261</v>
      </c>
      <c r="B1999" t="s">
        <v>443</v>
      </c>
      <c r="C1999" s="73" t="s">
        <v>473</v>
      </c>
      <c r="D1999" t="s">
        <v>507</v>
      </c>
      <c r="E1999" s="74">
        <v>46161</v>
      </c>
      <c r="F1999" t="s">
        <v>360</v>
      </c>
      <c r="G1999" t="s">
        <v>361</v>
      </c>
      <c r="H1999" s="75">
        <f t="shared" si="31"/>
        <v>138.72549663844038</v>
      </c>
      <c r="I1999" s="74">
        <v>46161</v>
      </c>
      <c r="J1999">
        <v>4</v>
      </c>
      <c r="K1999" t="s">
        <v>517</v>
      </c>
      <c r="L1999" t="s">
        <v>262</v>
      </c>
      <c r="M1999" t="s">
        <v>356</v>
      </c>
      <c r="N1999" s="73">
        <v>67261</v>
      </c>
      <c r="O1999" s="73">
        <v>67261</v>
      </c>
      <c r="P1999">
        <v>34.681374159610094</v>
      </c>
    </row>
    <row r="2000" spans="1:16" hidden="1" x14ac:dyDescent="0.2">
      <c r="A2000" s="73">
        <v>67261</v>
      </c>
      <c r="B2000" t="s">
        <v>443</v>
      </c>
      <c r="C2000" s="73" t="s">
        <v>473</v>
      </c>
      <c r="D2000" t="s">
        <v>507</v>
      </c>
      <c r="E2000" s="74">
        <v>46162</v>
      </c>
      <c r="F2000" t="s">
        <v>398</v>
      </c>
      <c r="G2000" t="s">
        <v>399</v>
      </c>
      <c r="H2000" s="75">
        <f t="shared" si="31"/>
        <v>242.76961911727065</v>
      </c>
      <c r="I2000" s="74">
        <v>46162</v>
      </c>
      <c r="J2000">
        <v>7</v>
      </c>
      <c r="K2000" t="s">
        <v>517</v>
      </c>
      <c r="L2000" t="s">
        <v>367</v>
      </c>
      <c r="M2000" t="s">
        <v>356</v>
      </c>
      <c r="N2000" s="73">
        <v>67261</v>
      </c>
      <c r="O2000" s="73">
        <v>67261</v>
      </c>
      <c r="P2000">
        <v>34.681374159610094</v>
      </c>
    </row>
    <row r="2001" spans="1:16" hidden="1" x14ac:dyDescent="0.2">
      <c r="A2001" s="73">
        <v>67261</v>
      </c>
      <c r="B2001" t="s">
        <v>443</v>
      </c>
      <c r="C2001" s="73" t="s">
        <v>473</v>
      </c>
      <c r="D2001" t="s">
        <v>507</v>
      </c>
      <c r="E2001" s="74">
        <v>46162</v>
      </c>
      <c r="F2001" t="s">
        <v>353</v>
      </c>
      <c r="G2001" t="s">
        <v>354</v>
      </c>
      <c r="H2001" s="75">
        <f t="shared" si="31"/>
        <v>277.45099327688075</v>
      </c>
      <c r="I2001" s="74">
        <v>46162</v>
      </c>
      <c r="J2001">
        <v>8</v>
      </c>
      <c r="K2001" t="s">
        <v>517</v>
      </c>
      <c r="L2001" t="s">
        <v>355</v>
      </c>
      <c r="M2001" t="s">
        <v>356</v>
      </c>
      <c r="N2001" s="73">
        <v>67261</v>
      </c>
      <c r="O2001" s="73">
        <v>67261</v>
      </c>
      <c r="P2001">
        <v>34.681374159610094</v>
      </c>
    </row>
    <row r="2002" spans="1:16" hidden="1" x14ac:dyDescent="0.2">
      <c r="A2002" s="73">
        <v>67261</v>
      </c>
      <c r="B2002" t="s">
        <v>443</v>
      </c>
      <c r="C2002" s="73" t="s">
        <v>473</v>
      </c>
      <c r="D2002" t="s">
        <v>507</v>
      </c>
      <c r="E2002" s="74">
        <v>46162</v>
      </c>
      <c r="F2002" t="s">
        <v>410</v>
      </c>
      <c r="G2002" t="s">
        <v>411</v>
      </c>
      <c r="H2002" s="75">
        <f t="shared" si="31"/>
        <v>277.45099327688075</v>
      </c>
      <c r="I2002" s="74">
        <v>46162</v>
      </c>
      <c r="J2002">
        <v>8</v>
      </c>
      <c r="K2002" t="s">
        <v>517</v>
      </c>
      <c r="L2002" t="s">
        <v>262</v>
      </c>
      <c r="M2002" t="s">
        <v>356</v>
      </c>
      <c r="N2002" s="73">
        <v>67261</v>
      </c>
      <c r="O2002" s="73">
        <v>67261</v>
      </c>
      <c r="P2002">
        <v>34.681374159610094</v>
      </c>
    </row>
    <row r="2003" spans="1:16" hidden="1" x14ac:dyDescent="0.2">
      <c r="A2003" s="73">
        <v>67261</v>
      </c>
      <c r="B2003" t="s">
        <v>443</v>
      </c>
      <c r="C2003" s="73" t="s">
        <v>473</v>
      </c>
      <c r="D2003" t="s">
        <v>507</v>
      </c>
      <c r="E2003" s="74">
        <v>46162</v>
      </c>
      <c r="F2003" t="s">
        <v>360</v>
      </c>
      <c r="G2003" t="s">
        <v>361</v>
      </c>
      <c r="H2003" s="75">
        <f t="shared" si="31"/>
        <v>242.76961911727065</v>
      </c>
      <c r="I2003" s="74">
        <v>46162</v>
      </c>
      <c r="J2003">
        <v>7</v>
      </c>
      <c r="K2003" t="s">
        <v>517</v>
      </c>
      <c r="L2003" t="s">
        <v>262</v>
      </c>
      <c r="M2003" t="s">
        <v>356</v>
      </c>
      <c r="N2003" s="73">
        <v>67261</v>
      </c>
      <c r="O2003" s="73">
        <v>67261</v>
      </c>
      <c r="P2003">
        <v>34.681374159610094</v>
      </c>
    </row>
    <row r="2004" spans="1:16" hidden="1" x14ac:dyDescent="0.2">
      <c r="A2004" s="73">
        <v>67261</v>
      </c>
      <c r="B2004" t="s">
        <v>443</v>
      </c>
      <c r="C2004" s="73" t="s">
        <v>473</v>
      </c>
      <c r="D2004" t="s">
        <v>507</v>
      </c>
      <c r="E2004" s="74">
        <v>46163</v>
      </c>
      <c r="F2004" t="s">
        <v>398</v>
      </c>
      <c r="G2004" t="s">
        <v>399</v>
      </c>
      <c r="H2004" s="75">
        <f t="shared" si="31"/>
        <v>242.76961911727065</v>
      </c>
      <c r="I2004" s="74">
        <v>46163</v>
      </c>
      <c r="J2004">
        <v>7</v>
      </c>
      <c r="K2004" t="s">
        <v>517</v>
      </c>
      <c r="L2004" t="s">
        <v>367</v>
      </c>
      <c r="M2004" t="s">
        <v>356</v>
      </c>
      <c r="N2004" s="73">
        <v>67261</v>
      </c>
      <c r="O2004" s="73">
        <v>67261</v>
      </c>
      <c r="P2004">
        <v>34.681374159610094</v>
      </c>
    </row>
    <row r="2005" spans="1:16" hidden="1" x14ac:dyDescent="0.2">
      <c r="A2005" s="73">
        <v>67261</v>
      </c>
      <c r="B2005" t="s">
        <v>443</v>
      </c>
      <c r="C2005" s="73" t="s">
        <v>473</v>
      </c>
      <c r="D2005" t="s">
        <v>507</v>
      </c>
      <c r="E2005" s="74">
        <v>46163</v>
      </c>
      <c r="F2005" t="s">
        <v>353</v>
      </c>
      <c r="G2005" t="s">
        <v>354</v>
      </c>
      <c r="H2005" s="75">
        <f t="shared" si="31"/>
        <v>277.45099327688075</v>
      </c>
      <c r="I2005" s="74">
        <v>46163</v>
      </c>
      <c r="J2005">
        <v>8</v>
      </c>
      <c r="K2005" t="s">
        <v>517</v>
      </c>
      <c r="L2005" t="s">
        <v>355</v>
      </c>
      <c r="M2005" t="s">
        <v>356</v>
      </c>
      <c r="N2005" s="73">
        <v>67261</v>
      </c>
      <c r="O2005" s="73">
        <v>67261</v>
      </c>
      <c r="P2005">
        <v>34.681374159610094</v>
      </c>
    </row>
    <row r="2006" spans="1:16" hidden="1" x14ac:dyDescent="0.2">
      <c r="A2006" s="73">
        <v>67261</v>
      </c>
      <c r="B2006" t="s">
        <v>443</v>
      </c>
      <c r="C2006" s="73" t="s">
        <v>473</v>
      </c>
      <c r="D2006" t="s">
        <v>507</v>
      </c>
      <c r="E2006" s="74">
        <v>46163</v>
      </c>
      <c r="F2006" t="s">
        <v>410</v>
      </c>
      <c r="G2006" t="s">
        <v>411</v>
      </c>
      <c r="H2006" s="75">
        <f t="shared" si="31"/>
        <v>277.45099327688075</v>
      </c>
      <c r="I2006" s="74">
        <v>46163</v>
      </c>
      <c r="J2006">
        <v>8</v>
      </c>
      <c r="K2006" t="s">
        <v>517</v>
      </c>
      <c r="L2006" t="s">
        <v>262</v>
      </c>
      <c r="M2006" t="s">
        <v>356</v>
      </c>
      <c r="N2006" s="73">
        <v>67261</v>
      </c>
      <c r="O2006" s="73">
        <v>67261</v>
      </c>
      <c r="P2006">
        <v>34.681374159610094</v>
      </c>
    </row>
    <row r="2007" spans="1:16" hidden="1" x14ac:dyDescent="0.2">
      <c r="A2007" s="73">
        <v>67261</v>
      </c>
      <c r="B2007" t="s">
        <v>443</v>
      </c>
      <c r="C2007" s="73" t="s">
        <v>473</v>
      </c>
      <c r="D2007" t="s">
        <v>507</v>
      </c>
      <c r="E2007" s="74">
        <v>46163</v>
      </c>
      <c r="F2007" t="s">
        <v>360</v>
      </c>
      <c r="G2007" t="s">
        <v>361</v>
      </c>
      <c r="H2007" s="75">
        <f t="shared" si="31"/>
        <v>242.76961911727065</v>
      </c>
      <c r="I2007" s="74">
        <v>46163</v>
      </c>
      <c r="J2007">
        <v>7</v>
      </c>
      <c r="K2007" t="s">
        <v>517</v>
      </c>
      <c r="L2007" t="s">
        <v>262</v>
      </c>
      <c r="M2007" t="s">
        <v>356</v>
      </c>
      <c r="N2007" s="73">
        <v>67261</v>
      </c>
      <c r="O2007" s="73">
        <v>67261</v>
      </c>
      <c r="P2007">
        <v>34.681374159610094</v>
      </c>
    </row>
    <row r="2008" spans="1:16" hidden="1" x14ac:dyDescent="0.2">
      <c r="A2008" s="73">
        <v>67261</v>
      </c>
      <c r="B2008" t="s">
        <v>443</v>
      </c>
      <c r="C2008" s="73" t="s">
        <v>473</v>
      </c>
      <c r="D2008" t="s">
        <v>507</v>
      </c>
      <c r="E2008" s="74">
        <v>46164</v>
      </c>
      <c r="F2008" t="s">
        <v>398</v>
      </c>
      <c r="G2008" t="s">
        <v>399</v>
      </c>
      <c r="H2008" s="75">
        <f t="shared" si="31"/>
        <v>242.76961911727065</v>
      </c>
      <c r="I2008" s="74">
        <v>46164</v>
      </c>
      <c r="J2008">
        <v>7</v>
      </c>
      <c r="K2008" t="s">
        <v>517</v>
      </c>
      <c r="L2008" t="s">
        <v>367</v>
      </c>
      <c r="M2008" t="s">
        <v>356</v>
      </c>
      <c r="N2008" s="73">
        <v>67261</v>
      </c>
      <c r="O2008" s="73">
        <v>67261</v>
      </c>
      <c r="P2008">
        <v>34.681374159610094</v>
      </c>
    </row>
    <row r="2009" spans="1:16" hidden="1" x14ac:dyDescent="0.2">
      <c r="A2009" s="73">
        <v>67261</v>
      </c>
      <c r="B2009" t="s">
        <v>443</v>
      </c>
      <c r="C2009" s="73" t="s">
        <v>473</v>
      </c>
      <c r="D2009" t="s">
        <v>507</v>
      </c>
      <c r="E2009" s="74">
        <v>46164</v>
      </c>
      <c r="F2009" t="s">
        <v>353</v>
      </c>
      <c r="G2009" t="s">
        <v>354</v>
      </c>
      <c r="H2009" s="75">
        <f t="shared" si="31"/>
        <v>277.45099327688075</v>
      </c>
      <c r="I2009" s="74">
        <v>46164</v>
      </c>
      <c r="J2009">
        <v>8</v>
      </c>
      <c r="K2009" t="s">
        <v>517</v>
      </c>
      <c r="L2009" t="s">
        <v>355</v>
      </c>
      <c r="M2009" t="s">
        <v>356</v>
      </c>
      <c r="N2009" s="73">
        <v>67261</v>
      </c>
      <c r="O2009" s="73">
        <v>67261</v>
      </c>
      <c r="P2009">
        <v>34.681374159610094</v>
      </c>
    </row>
    <row r="2010" spans="1:16" hidden="1" x14ac:dyDescent="0.2">
      <c r="A2010" s="73">
        <v>67261</v>
      </c>
      <c r="B2010" t="s">
        <v>443</v>
      </c>
      <c r="C2010" s="73" t="s">
        <v>473</v>
      </c>
      <c r="D2010" t="s">
        <v>507</v>
      </c>
      <c r="E2010" s="74">
        <v>46164</v>
      </c>
      <c r="F2010" t="s">
        <v>410</v>
      </c>
      <c r="G2010" t="s">
        <v>411</v>
      </c>
      <c r="H2010" s="75">
        <f t="shared" si="31"/>
        <v>277.45099327688075</v>
      </c>
      <c r="I2010" s="74">
        <v>46164</v>
      </c>
      <c r="J2010">
        <v>8</v>
      </c>
      <c r="K2010" t="s">
        <v>517</v>
      </c>
      <c r="L2010" t="s">
        <v>262</v>
      </c>
      <c r="M2010" t="s">
        <v>356</v>
      </c>
      <c r="N2010" s="73">
        <v>67261</v>
      </c>
      <c r="O2010" s="73">
        <v>67261</v>
      </c>
      <c r="P2010">
        <v>34.681374159610094</v>
      </c>
    </row>
    <row r="2011" spans="1:16" hidden="1" x14ac:dyDescent="0.2">
      <c r="A2011" s="73">
        <v>67261</v>
      </c>
      <c r="B2011" t="s">
        <v>443</v>
      </c>
      <c r="C2011" s="73" t="s">
        <v>473</v>
      </c>
      <c r="D2011" t="s">
        <v>507</v>
      </c>
      <c r="E2011" s="74">
        <v>46164</v>
      </c>
      <c r="F2011" t="s">
        <v>360</v>
      </c>
      <c r="G2011" t="s">
        <v>361</v>
      </c>
      <c r="H2011" s="75">
        <f t="shared" si="31"/>
        <v>242.76961911727065</v>
      </c>
      <c r="I2011" s="74">
        <v>46164</v>
      </c>
      <c r="J2011">
        <v>7</v>
      </c>
      <c r="K2011" t="s">
        <v>517</v>
      </c>
      <c r="L2011" t="s">
        <v>262</v>
      </c>
      <c r="M2011" t="s">
        <v>356</v>
      </c>
      <c r="N2011" s="73">
        <v>67261</v>
      </c>
      <c r="O2011" s="73">
        <v>67261</v>
      </c>
      <c r="P2011">
        <v>34.681374159610094</v>
      </c>
    </row>
    <row r="2012" spans="1:16" hidden="1" x14ac:dyDescent="0.2">
      <c r="A2012" s="73">
        <v>67261</v>
      </c>
      <c r="B2012" t="s">
        <v>443</v>
      </c>
      <c r="C2012" s="73" t="s">
        <v>473</v>
      </c>
      <c r="D2012" t="s">
        <v>507</v>
      </c>
      <c r="E2012" s="74">
        <v>46167</v>
      </c>
      <c r="F2012" t="s">
        <v>410</v>
      </c>
      <c r="G2012" t="s">
        <v>411</v>
      </c>
      <c r="H2012" s="75">
        <f t="shared" si="31"/>
        <v>277.45099327688075</v>
      </c>
      <c r="I2012" s="74">
        <v>46167</v>
      </c>
      <c r="J2012">
        <v>8</v>
      </c>
      <c r="K2012" t="s">
        <v>517</v>
      </c>
      <c r="L2012" t="s">
        <v>262</v>
      </c>
      <c r="M2012" t="s">
        <v>356</v>
      </c>
      <c r="N2012" s="73">
        <v>67261</v>
      </c>
      <c r="O2012" s="73">
        <v>67261</v>
      </c>
      <c r="P2012">
        <v>34.681374159610094</v>
      </c>
    </row>
    <row r="2013" spans="1:16" hidden="1" x14ac:dyDescent="0.2">
      <c r="A2013" s="73">
        <v>67261</v>
      </c>
      <c r="B2013" t="s">
        <v>443</v>
      </c>
      <c r="C2013" s="73" t="s">
        <v>473</v>
      </c>
      <c r="D2013" t="s">
        <v>507</v>
      </c>
      <c r="E2013" s="74">
        <v>46167</v>
      </c>
      <c r="F2013" t="s">
        <v>398</v>
      </c>
      <c r="G2013" t="s">
        <v>399</v>
      </c>
      <c r="H2013" s="75">
        <f t="shared" si="31"/>
        <v>277.45099327688075</v>
      </c>
      <c r="I2013" s="74">
        <v>46167</v>
      </c>
      <c r="J2013">
        <v>8</v>
      </c>
      <c r="K2013" t="s">
        <v>517</v>
      </c>
      <c r="L2013" t="s">
        <v>367</v>
      </c>
      <c r="M2013" t="s">
        <v>356</v>
      </c>
      <c r="N2013" s="73">
        <v>67261</v>
      </c>
      <c r="O2013" s="73">
        <v>67261</v>
      </c>
      <c r="P2013">
        <v>34.681374159610094</v>
      </c>
    </row>
    <row r="2014" spans="1:16" hidden="1" x14ac:dyDescent="0.2">
      <c r="A2014" s="73">
        <v>67261</v>
      </c>
      <c r="B2014" t="s">
        <v>443</v>
      </c>
      <c r="C2014" s="73" t="s">
        <v>473</v>
      </c>
      <c r="D2014" t="s">
        <v>507</v>
      </c>
      <c r="E2014" s="74">
        <v>46167</v>
      </c>
      <c r="F2014" t="s">
        <v>353</v>
      </c>
      <c r="G2014" t="s">
        <v>354</v>
      </c>
      <c r="H2014" s="75">
        <f t="shared" si="31"/>
        <v>277.45099327688075</v>
      </c>
      <c r="I2014" s="74">
        <v>46167</v>
      </c>
      <c r="J2014">
        <v>8</v>
      </c>
      <c r="K2014" t="s">
        <v>517</v>
      </c>
      <c r="L2014" t="s">
        <v>355</v>
      </c>
      <c r="M2014" t="s">
        <v>356</v>
      </c>
      <c r="N2014" s="73">
        <v>67261</v>
      </c>
      <c r="O2014" s="73">
        <v>67261</v>
      </c>
      <c r="P2014">
        <v>34.681374159610094</v>
      </c>
    </row>
    <row r="2015" spans="1:16" hidden="1" x14ac:dyDescent="0.2">
      <c r="A2015" s="73">
        <v>67261</v>
      </c>
      <c r="B2015" t="s">
        <v>443</v>
      </c>
      <c r="C2015" s="73" t="s">
        <v>473</v>
      </c>
      <c r="D2015" t="s">
        <v>507</v>
      </c>
      <c r="E2015" s="74">
        <v>46168</v>
      </c>
      <c r="F2015" t="s">
        <v>410</v>
      </c>
      <c r="G2015" t="s">
        <v>411</v>
      </c>
      <c r="H2015" s="75">
        <f t="shared" si="31"/>
        <v>277.45099327688075</v>
      </c>
      <c r="I2015" s="74">
        <v>46168</v>
      </c>
      <c r="J2015">
        <v>8</v>
      </c>
      <c r="K2015" t="s">
        <v>517</v>
      </c>
      <c r="L2015" t="s">
        <v>262</v>
      </c>
      <c r="M2015" t="s">
        <v>356</v>
      </c>
      <c r="N2015" s="73">
        <v>67261</v>
      </c>
      <c r="O2015" s="73">
        <v>67261</v>
      </c>
      <c r="P2015">
        <v>34.681374159610094</v>
      </c>
    </row>
    <row r="2016" spans="1:16" hidden="1" x14ac:dyDescent="0.2">
      <c r="A2016" s="73">
        <v>67261</v>
      </c>
      <c r="B2016" t="s">
        <v>443</v>
      </c>
      <c r="C2016" s="73" t="s">
        <v>473</v>
      </c>
      <c r="D2016" t="s">
        <v>507</v>
      </c>
      <c r="E2016" s="74">
        <v>46168</v>
      </c>
      <c r="F2016" t="s">
        <v>398</v>
      </c>
      <c r="G2016" t="s">
        <v>399</v>
      </c>
      <c r="H2016" s="75">
        <f t="shared" si="31"/>
        <v>277.45099327688075</v>
      </c>
      <c r="I2016" s="74">
        <v>46168</v>
      </c>
      <c r="J2016">
        <v>8</v>
      </c>
      <c r="K2016" t="s">
        <v>517</v>
      </c>
      <c r="L2016" t="s">
        <v>367</v>
      </c>
      <c r="M2016" t="s">
        <v>356</v>
      </c>
      <c r="N2016" s="73">
        <v>67261</v>
      </c>
      <c r="O2016" s="73">
        <v>67261</v>
      </c>
      <c r="P2016">
        <v>34.681374159610094</v>
      </c>
    </row>
    <row r="2017" spans="1:16" hidden="1" x14ac:dyDescent="0.2">
      <c r="A2017" s="73">
        <v>67261</v>
      </c>
      <c r="B2017" t="s">
        <v>443</v>
      </c>
      <c r="C2017" s="73" t="s">
        <v>473</v>
      </c>
      <c r="D2017" t="s">
        <v>507</v>
      </c>
      <c r="E2017" s="74">
        <v>46168</v>
      </c>
      <c r="F2017" t="s">
        <v>353</v>
      </c>
      <c r="G2017" t="s">
        <v>354</v>
      </c>
      <c r="H2017" s="75">
        <f t="shared" si="31"/>
        <v>277.45099327688075</v>
      </c>
      <c r="I2017" s="74">
        <v>46168</v>
      </c>
      <c r="J2017">
        <v>8</v>
      </c>
      <c r="K2017" t="s">
        <v>517</v>
      </c>
      <c r="L2017" t="s">
        <v>355</v>
      </c>
      <c r="M2017" t="s">
        <v>356</v>
      </c>
      <c r="N2017" s="73">
        <v>67261</v>
      </c>
      <c r="O2017" s="73">
        <v>67261</v>
      </c>
      <c r="P2017">
        <v>34.681374159610094</v>
      </c>
    </row>
    <row r="2018" spans="1:16" hidden="1" x14ac:dyDescent="0.2">
      <c r="A2018" s="73">
        <v>67261</v>
      </c>
      <c r="B2018" t="s">
        <v>443</v>
      </c>
      <c r="C2018" s="73" t="s">
        <v>473</v>
      </c>
      <c r="D2018" t="s">
        <v>507</v>
      </c>
      <c r="E2018" s="74">
        <v>46167</v>
      </c>
      <c r="F2018" t="s">
        <v>362</v>
      </c>
      <c r="G2018" t="s">
        <v>363</v>
      </c>
      <c r="H2018" s="75">
        <f t="shared" si="31"/>
        <v>277.45099327688075</v>
      </c>
      <c r="I2018" s="74">
        <v>46167</v>
      </c>
      <c r="J2018">
        <v>8</v>
      </c>
      <c r="K2018" t="s">
        <v>517</v>
      </c>
      <c r="L2018" t="s">
        <v>355</v>
      </c>
      <c r="M2018" t="s">
        <v>356</v>
      </c>
      <c r="N2018" s="73">
        <v>67261</v>
      </c>
      <c r="O2018" s="73">
        <v>67261</v>
      </c>
      <c r="P2018">
        <v>34.681374159610094</v>
      </c>
    </row>
    <row r="2019" spans="1:16" hidden="1" x14ac:dyDescent="0.2">
      <c r="A2019" s="73">
        <v>67261</v>
      </c>
      <c r="B2019" t="s">
        <v>443</v>
      </c>
      <c r="C2019" s="73" t="s">
        <v>473</v>
      </c>
      <c r="D2019" t="s">
        <v>507</v>
      </c>
      <c r="E2019" s="74">
        <v>46168</v>
      </c>
      <c r="F2019" t="s">
        <v>362</v>
      </c>
      <c r="G2019" t="s">
        <v>363</v>
      </c>
      <c r="H2019" s="75">
        <f t="shared" si="31"/>
        <v>277.45099327688075</v>
      </c>
      <c r="I2019" s="74">
        <v>46168</v>
      </c>
      <c r="J2019">
        <v>8</v>
      </c>
      <c r="K2019" t="s">
        <v>517</v>
      </c>
      <c r="L2019" t="s">
        <v>355</v>
      </c>
      <c r="M2019" t="s">
        <v>356</v>
      </c>
      <c r="N2019" s="73">
        <v>67261</v>
      </c>
      <c r="O2019" s="73">
        <v>67261</v>
      </c>
      <c r="P2019">
        <v>34.681374159610094</v>
      </c>
    </row>
    <row r="2020" spans="1:16" hidden="1" x14ac:dyDescent="0.2">
      <c r="A2020" s="73">
        <v>67261</v>
      </c>
      <c r="B2020" t="s">
        <v>443</v>
      </c>
      <c r="C2020" s="73" t="s">
        <v>473</v>
      </c>
      <c r="D2020" t="s">
        <v>507</v>
      </c>
      <c r="E2020" s="74">
        <v>46169</v>
      </c>
      <c r="F2020" t="s">
        <v>410</v>
      </c>
      <c r="G2020" t="s">
        <v>411</v>
      </c>
      <c r="H2020" s="75">
        <f t="shared" si="31"/>
        <v>277.45099327688075</v>
      </c>
      <c r="I2020" s="74">
        <v>46169</v>
      </c>
      <c r="J2020">
        <v>8</v>
      </c>
      <c r="K2020" t="s">
        <v>517</v>
      </c>
      <c r="L2020" t="s">
        <v>262</v>
      </c>
      <c r="M2020" t="s">
        <v>356</v>
      </c>
      <c r="N2020" s="73">
        <v>67261</v>
      </c>
      <c r="O2020" s="73">
        <v>67261</v>
      </c>
      <c r="P2020">
        <v>34.681374159610094</v>
      </c>
    </row>
    <row r="2021" spans="1:16" hidden="1" x14ac:dyDescent="0.2">
      <c r="A2021" s="73">
        <v>67261</v>
      </c>
      <c r="B2021" t="s">
        <v>443</v>
      </c>
      <c r="C2021" s="73" t="s">
        <v>473</v>
      </c>
      <c r="D2021" t="s">
        <v>507</v>
      </c>
      <c r="E2021" s="74">
        <v>46169</v>
      </c>
      <c r="F2021" t="s">
        <v>398</v>
      </c>
      <c r="G2021" t="s">
        <v>399</v>
      </c>
      <c r="H2021" s="75">
        <f t="shared" si="31"/>
        <v>277.45099327688075</v>
      </c>
      <c r="I2021" s="74">
        <v>46169</v>
      </c>
      <c r="J2021">
        <v>8</v>
      </c>
      <c r="K2021" t="s">
        <v>517</v>
      </c>
      <c r="L2021" t="s">
        <v>367</v>
      </c>
      <c r="M2021" t="s">
        <v>356</v>
      </c>
      <c r="N2021" s="73">
        <v>67261</v>
      </c>
      <c r="O2021" s="73">
        <v>67261</v>
      </c>
      <c r="P2021">
        <v>34.681374159610094</v>
      </c>
    </row>
    <row r="2022" spans="1:16" hidden="1" x14ac:dyDescent="0.2">
      <c r="A2022" s="73">
        <v>67261</v>
      </c>
      <c r="B2022" t="s">
        <v>443</v>
      </c>
      <c r="C2022" s="73" t="s">
        <v>473</v>
      </c>
      <c r="D2022" t="s">
        <v>507</v>
      </c>
      <c r="E2022" s="74">
        <v>46169</v>
      </c>
      <c r="F2022" t="s">
        <v>353</v>
      </c>
      <c r="G2022" t="s">
        <v>354</v>
      </c>
      <c r="H2022" s="75">
        <f t="shared" si="31"/>
        <v>277.45099327688075</v>
      </c>
      <c r="I2022" s="74">
        <v>46169</v>
      </c>
      <c r="J2022">
        <v>8</v>
      </c>
      <c r="K2022" t="s">
        <v>517</v>
      </c>
      <c r="L2022" t="s">
        <v>355</v>
      </c>
      <c r="M2022" t="s">
        <v>356</v>
      </c>
      <c r="N2022" s="73">
        <v>67261</v>
      </c>
      <c r="O2022" s="73">
        <v>67261</v>
      </c>
      <c r="P2022">
        <v>34.681374159610094</v>
      </c>
    </row>
    <row r="2023" spans="1:16" hidden="1" x14ac:dyDescent="0.2">
      <c r="A2023" s="73">
        <v>67261</v>
      </c>
      <c r="B2023" t="s">
        <v>443</v>
      </c>
      <c r="C2023" s="73" t="s">
        <v>473</v>
      </c>
      <c r="D2023" t="s">
        <v>507</v>
      </c>
      <c r="E2023" s="74">
        <v>46169</v>
      </c>
      <c r="F2023" t="s">
        <v>362</v>
      </c>
      <c r="G2023" t="s">
        <v>363</v>
      </c>
      <c r="H2023" s="75">
        <f t="shared" si="31"/>
        <v>277.45099327688075</v>
      </c>
      <c r="I2023" s="74">
        <v>46169</v>
      </c>
      <c r="J2023">
        <v>8</v>
      </c>
      <c r="K2023" t="s">
        <v>517</v>
      </c>
      <c r="L2023" t="s">
        <v>355</v>
      </c>
      <c r="M2023" t="s">
        <v>356</v>
      </c>
      <c r="N2023" s="73">
        <v>67261</v>
      </c>
      <c r="O2023" s="73">
        <v>67261</v>
      </c>
      <c r="P2023">
        <v>34.681374159610094</v>
      </c>
    </row>
    <row r="2024" spans="1:16" hidden="1" x14ac:dyDescent="0.2">
      <c r="A2024" s="73">
        <v>67261</v>
      </c>
      <c r="B2024" t="s">
        <v>443</v>
      </c>
      <c r="C2024" s="73" t="s">
        <v>473</v>
      </c>
      <c r="D2024" t="s">
        <v>507</v>
      </c>
      <c r="E2024" s="74">
        <v>46170</v>
      </c>
      <c r="F2024" t="s">
        <v>398</v>
      </c>
      <c r="G2024" t="s">
        <v>399</v>
      </c>
      <c r="H2024" s="75">
        <f t="shared" si="31"/>
        <v>277.45099327688075</v>
      </c>
      <c r="I2024" s="74">
        <v>46170</v>
      </c>
      <c r="J2024">
        <v>8</v>
      </c>
      <c r="K2024" t="s">
        <v>517</v>
      </c>
      <c r="L2024" t="s">
        <v>367</v>
      </c>
      <c r="M2024" t="s">
        <v>356</v>
      </c>
      <c r="N2024" s="73">
        <v>67261</v>
      </c>
      <c r="O2024" s="73">
        <v>67261</v>
      </c>
      <c r="P2024">
        <v>34.681374159610094</v>
      </c>
    </row>
    <row r="2025" spans="1:16" hidden="1" x14ac:dyDescent="0.2">
      <c r="A2025" s="73">
        <v>67261</v>
      </c>
      <c r="B2025" t="s">
        <v>443</v>
      </c>
      <c r="C2025" s="73" t="s">
        <v>473</v>
      </c>
      <c r="D2025" t="s">
        <v>507</v>
      </c>
      <c r="E2025" s="74">
        <v>46170</v>
      </c>
      <c r="F2025" t="s">
        <v>353</v>
      </c>
      <c r="G2025" t="s">
        <v>354</v>
      </c>
      <c r="H2025" s="75">
        <f t="shared" si="31"/>
        <v>277.45099327688075</v>
      </c>
      <c r="I2025" s="74">
        <v>46170</v>
      </c>
      <c r="J2025">
        <v>8</v>
      </c>
      <c r="K2025" t="s">
        <v>517</v>
      </c>
      <c r="L2025" t="s">
        <v>355</v>
      </c>
      <c r="M2025" t="s">
        <v>356</v>
      </c>
      <c r="N2025" s="73">
        <v>67261</v>
      </c>
      <c r="O2025" s="73">
        <v>67261</v>
      </c>
      <c r="P2025">
        <v>34.681374159610094</v>
      </c>
    </row>
    <row r="2026" spans="1:16" hidden="1" x14ac:dyDescent="0.2">
      <c r="A2026" s="73">
        <v>67261</v>
      </c>
      <c r="B2026" t="s">
        <v>443</v>
      </c>
      <c r="C2026" s="73" t="s">
        <v>473</v>
      </c>
      <c r="D2026" t="s">
        <v>507</v>
      </c>
      <c r="E2026" s="74">
        <v>46170</v>
      </c>
      <c r="F2026" t="s">
        <v>410</v>
      </c>
      <c r="G2026" t="s">
        <v>411</v>
      </c>
      <c r="H2026" s="75">
        <f t="shared" si="31"/>
        <v>277.45099327688075</v>
      </c>
      <c r="I2026" s="74">
        <v>46170</v>
      </c>
      <c r="J2026">
        <v>8</v>
      </c>
      <c r="K2026" t="s">
        <v>517</v>
      </c>
      <c r="L2026" t="s">
        <v>262</v>
      </c>
      <c r="M2026" t="s">
        <v>356</v>
      </c>
      <c r="N2026" s="73">
        <v>67261</v>
      </c>
      <c r="O2026" s="73">
        <v>67261</v>
      </c>
      <c r="P2026">
        <v>34.681374159610094</v>
      </c>
    </row>
    <row r="2027" spans="1:16" hidden="1" x14ac:dyDescent="0.2">
      <c r="A2027" s="73">
        <v>67261</v>
      </c>
      <c r="B2027" t="s">
        <v>443</v>
      </c>
      <c r="C2027" s="73" t="s">
        <v>473</v>
      </c>
      <c r="D2027" t="s">
        <v>507</v>
      </c>
      <c r="E2027" s="74">
        <v>46171</v>
      </c>
      <c r="F2027" t="s">
        <v>353</v>
      </c>
      <c r="G2027" t="s">
        <v>354</v>
      </c>
      <c r="H2027" s="75">
        <f t="shared" si="31"/>
        <v>277.45099327688075</v>
      </c>
      <c r="I2027" s="74">
        <v>46171</v>
      </c>
      <c r="J2027">
        <v>8</v>
      </c>
      <c r="K2027" t="s">
        <v>517</v>
      </c>
      <c r="L2027" t="s">
        <v>355</v>
      </c>
      <c r="M2027" t="s">
        <v>356</v>
      </c>
      <c r="N2027" s="73">
        <v>67261</v>
      </c>
      <c r="O2027" s="73">
        <v>67261</v>
      </c>
      <c r="P2027">
        <v>34.681374159610094</v>
      </c>
    </row>
    <row r="2028" spans="1:16" hidden="1" x14ac:dyDescent="0.2">
      <c r="A2028" s="73">
        <v>67261</v>
      </c>
      <c r="B2028" t="s">
        <v>443</v>
      </c>
      <c r="C2028" s="73" t="s">
        <v>473</v>
      </c>
      <c r="D2028" t="s">
        <v>507</v>
      </c>
      <c r="E2028" s="74">
        <v>46175</v>
      </c>
      <c r="F2028" t="s">
        <v>410</v>
      </c>
      <c r="G2028" t="s">
        <v>411</v>
      </c>
      <c r="H2028" s="75">
        <f t="shared" si="31"/>
        <v>277.45099327688075</v>
      </c>
      <c r="I2028" s="74">
        <v>46175</v>
      </c>
      <c r="J2028">
        <v>8</v>
      </c>
      <c r="K2028" t="s">
        <v>518</v>
      </c>
      <c r="L2028" t="s">
        <v>262</v>
      </c>
      <c r="M2028" t="s">
        <v>356</v>
      </c>
      <c r="N2028" s="73">
        <v>67261</v>
      </c>
      <c r="O2028" s="73">
        <v>67261</v>
      </c>
      <c r="P2028">
        <v>34.681374159610094</v>
      </c>
    </row>
    <row r="2029" spans="1:16" hidden="1" x14ac:dyDescent="0.2">
      <c r="A2029" s="73">
        <v>67261</v>
      </c>
      <c r="B2029" t="s">
        <v>443</v>
      </c>
      <c r="C2029" s="73" t="s">
        <v>473</v>
      </c>
      <c r="D2029" t="s">
        <v>507</v>
      </c>
      <c r="E2029" s="74">
        <v>46178</v>
      </c>
      <c r="F2029" t="s">
        <v>410</v>
      </c>
      <c r="G2029" t="s">
        <v>411</v>
      </c>
      <c r="H2029" s="75">
        <f t="shared" si="31"/>
        <v>277.45099327688075</v>
      </c>
      <c r="I2029" s="74">
        <v>46178</v>
      </c>
      <c r="J2029">
        <v>8</v>
      </c>
      <c r="K2029" t="s">
        <v>518</v>
      </c>
      <c r="L2029" t="s">
        <v>262</v>
      </c>
      <c r="M2029" t="s">
        <v>356</v>
      </c>
      <c r="N2029" s="73">
        <v>67261</v>
      </c>
      <c r="O2029" s="73">
        <v>67261</v>
      </c>
      <c r="P2029">
        <v>34.681374159610094</v>
      </c>
    </row>
    <row r="2030" spans="1:16" x14ac:dyDescent="0.2">
      <c r="A2030" s="73">
        <v>67262</v>
      </c>
      <c r="B2030" t="s">
        <v>350</v>
      </c>
      <c r="C2030" s="73" t="s">
        <v>474</v>
      </c>
      <c r="D2030" t="s">
        <v>475</v>
      </c>
      <c r="E2030" s="74">
        <v>45868</v>
      </c>
      <c r="F2030">
        <v>6833</v>
      </c>
      <c r="G2030" t="s">
        <v>383</v>
      </c>
      <c r="H2030" s="75">
        <f t="shared" si="31"/>
        <v>34.681374159610094</v>
      </c>
      <c r="I2030" s="74">
        <v>45868</v>
      </c>
      <c r="J2030">
        <v>1</v>
      </c>
      <c r="K2030" t="s">
        <v>511</v>
      </c>
      <c r="L2030" t="s">
        <v>384</v>
      </c>
      <c r="M2030" t="s">
        <v>356</v>
      </c>
      <c r="N2030" s="73">
        <v>67262</v>
      </c>
      <c r="O2030" s="73">
        <v>67262</v>
      </c>
      <c r="P2030">
        <v>34.681374159610094</v>
      </c>
    </row>
    <row r="2031" spans="1:16" x14ac:dyDescent="0.2">
      <c r="A2031" s="73">
        <v>67262</v>
      </c>
      <c r="B2031" t="s">
        <v>350</v>
      </c>
      <c r="C2031" s="73" t="s">
        <v>474</v>
      </c>
      <c r="D2031" t="s">
        <v>475</v>
      </c>
      <c r="E2031" s="74">
        <v>46006</v>
      </c>
      <c r="F2031">
        <v>6833</v>
      </c>
      <c r="G2031" t="s">
        <v>383</v>
      </c>
      <c r="H2031" s="75">
        <f t="shared" si="31"/>
        <v>138.72549663844038</v>
      </c>
      <c r="I2031" s="74">
        <v>46006</v>
      </c>
      <c r="J2031">
        <v>4</v>
      </c>
      <c r="K2031" t="s">
        <v>515</v>
      </c>
      <c r="L2031" t="s">
        <v>384</v>
      </c>
      <c r="M2031" t="s">
        <v>356</v>
      </c>
      <c r="N2031" s="73">
        <v>67262</v>
      </c>
      <c r="O2031" s="73">
        <v>67262</v>
      </c>
      <c r="P2031">
        <v>34.681374159610094</v>
      </c>
    </row>
    <row r="2032" spans="1:16" x14ac:dyDescent="0.2">
      <c r="A2032" s="73">
        <v>67262</v>
      </c>
      <c r="B2032" t="s">
        <v>350</v>
      </c>
      <c r="C2032" s="73" t="s">
        <v>474</v>
      </c>
      <c r="D2032" t="s">
        <v>475</v>
      </c>
      <c r="E2032" s="74">
        <v>46007</v>
      </c>
      <c r="F2032">
        <v>6833</v>
      </c>
      <c r="G2032" t="s">
        <v>383</v>
      </c>
      <c r="H2032" s="75">
        <f t="shared" si="31"/>
        <v>138.72549663844038</v>
      </c>
      <c r="I2032" s="74">
        <v>46007</v>
      </c>
      <c r="J2032">
        <v>4</v>
      </c>
      <c r="K2032" t="s">
        <v>515</v>
      </c>
      <c r="L2032" t="s">
        <v>384</v>
      </c>
      <c r="M2032" t="s">
        <v>356</v>
      </c>
      <c r="N2032" s="73">
        <v>67262</v>
      </c>
      <c r="O2032" s="73">
        <v>67262</v>
      </c>
      <c r="P2032">
        <v>34.681374159610094</v>
      </c>
    </row>
    <row r="2033" spans="1:16" x14ac:dyDescent="0.2">
      <c r="A2033" s="73">
        <v>67262</v>
      </c>
      <c r="B2033" t="s">
        <v>350</v>
      </c>
      <c r="C2033" s="73" t="s">
        <v>474</v>
      </c>
      <c r="D2033" t="s">
        <v>475</v>
      </c>
      <c r="E2033" s="74">
        <v>46008</v>
      </c>
      <c r="F2033">
        <v>6833</v>
      </c>
      <c r="G2033" t="s">
        <v>383</v>
      </c>
      <c r="H2033" s="75">
        <f t="shared" si="31"/>
        <v>138.72549663844038</v>
      </c>
      <c r="I2033" s="74">
        <v>46008</v>
      </c>
      <c r="J2033">
        <v>4</v>
      </c>
      <c r="K2033" t="s">
        <v>515</v>
      </c>
      <c r="L2033" t="s">
        <v>384</v>
      </c>
      <c r="M2033" t="s">
        <v>356</v>
      </c>
      <c r="N2033" s="73">
        <v>67262</v>
      </c>
      <c r="O2033" s="73">
        <v>67262</v>
      </c>
      <c r="P2033">
        <v>34.681374159610094</v>
      </c>
    </row>
    <row r="2034" spans="1:16" x14ac:dyDescent="0.2">
      <c r="A2034" s="73">
        <v>67262</v>
      </c>
      <c r="B2034" t="s">
        <v>350</v>
      </c>
      <c r="C2034" s="73" t="s">
        <v>474</v>
      </c>
      <c r="D2034" t="s">
        <v>475</v>
      </c>
      <c r="E2034" s="74">
        <v>46009</v>
      </c>
      <c r="F2034">
        <v>6833</v>
      </c>
      <c r="G2034" t="s">
        <v>383</v>
      </c>
      <c r="H2034" s="75">
        <f t="shared" si="31"/>
        <v>173.40687079805048</v>
      </c>
      <c r="I2034" s="74">
        <v>46009</v>
      </c>
      <c r="J2034">
        <v>5</v>
      </c>
      <c r="K2034" t="s">
        <v>515</v>
      </c>
      <c r="L2034" t="s">
        <v>384</v>
      </c>
      <c r="M2034" t="s">
        <v>356</v>
      </c>
      <c r="N2034" s="73">
        <v>67262</v>
      </c>
      <c r="O2034" s="73">
        <v>67262</v>
      </c>
      <c r="P2034">
        <v>34.681374159610094</v>
      </c>
    </row>
    <row r="2035" spans="1:16" x14ac:dyDescent="0.2">
      <c r="A2035" s="73">
        <v>67262</v>
      </c>
      <c r="B2035" t="s">
        <v>350</v>
      </c>
      <c r="C2035" s="73" t="s">
        <v>474</v>
      </c>
      <c r="D2035" t="s">
        <v>475</v>
      </c>
      <c r="E2035" s="74">
        <v>46010</v>
      </c>
      <c r="F2035">
        <v>6833</v>
      </c>
      <c r="G2035" t="s">
        <v>383</v>
      </c>
      <c r="H2035" s="75">
        <f t="shared" si="31"/>
        <v>173.40687079805048</v>
      </c>
      <c r="I2035" s="74">
        <v>46010</v>
      </c>
      <c r="J2035">
        <v>5</v>
      </c>
      <c r="K2035" t="s">
        <v>515</v>
      </c>
      <c r="L2035" t="s">
        <v>384</v>
      </c>
      <c r="M2035" t="s">
        <v>356</v>
      </c>
      <c r="N2035" s="73">
        <v>67262</v>
      </c>
      <c r="O2035" s="73">
        <v>67262</v>
      </c>
      <c r="P2035">
        <v>34.681374159610094</v>
      </c>
    </row>
    <row r="2036" spans="1:16" x14ac:dyDescent="0.2">
      <c r="A2036" s="73">
        <v>67262</v>
      </c>
      <c r="B2036" t="s">
        <v>350</v>
      </c>
      <c r="C2036" s="73" t="s">
        <v>474</v>
      </c>
      <c r="D2036" t="s">
        <v>475</v>
      </c>
      <c r="E2036" s="74">
        <v>46050</v>
      </c>
      <c r="F2036" t="s">
        <v>357</v>
      </c>
      <c r="G2036" t="s">
        <v>358</v>
      </c>
      <c r="H2036" s="75">
        <f t="shared" si="31"/>
        <v>69.362748319220188</v>
      </c>
      <c r="I2036" s="74">
        <v>46050</v>
      </c>
      <c r="J2036">
        <v>2</v>
      </c>
      <c r="K2036" t="s">
        <v>516</v>
      </c>
      <c r="L2036" t="s">
        <v>359</v>
      </c>
      <c r="M2036" t="s">
        <v>356</v>
      </c>
      <c r="N2036" s="73">
        <v>67262</v>
      </c>
      <c r="O2036" s="73">
        <v>67262</v>
      </c>
      <c r="P2036">
        <v>34.681374159610094</v>
      </c>
    </row>
    <row r="2037" spans="1:16" x14ac:dyDescent="0.2">
      <c r="A2037" s="73">
        <v>67262</v>
      </c>
      <c r="B2037" t="s">
        <v>350</v>
      </c>
      <c r="C2037" s="73" t="s">
        <v>474</v>
      </c>
      <c r="D2037" t="s">
        <v>475</v>
      </c>
      <c r="E2037" s="74">
        <v>46051</v>
      </c>
      <c r="F2037" t="s">
        <v>357</v>
      </c>
      <c r="G2037" t="s">
        <v>358</v>
      </c>
      <c r="H2037" s="75">
        <f t="shared" si="31"/>
        <v>69.362748319220188</v>
      </c>
      <c r="I2037" s="74">
        <v>46051</v>
      </c>
      <c r="J2037">
        <v>2</v>
      </c>
      <c r="K2037" t="s">
        <v>516</v>
      </c>
      <c r="L2037" t="s">
        <v>359</v>
      </c>
      <c r="M2037" t="s">
        <v>356</v>
      </c>
      <c r="N2037" s="73">
        <v>67262</v>
      </c>
      <c r="O2037" s="73">
        <v>67262</v>
      </c>
      <c r="P2037">
        <v>34.681374159610094</v>
      </c>
    </row>
    <row r="2038" spans="1:16" x14ac:dyDescent="0.2">
      <c r="A2038" s="73">
        <v>67262</v>
      </c>
      <c r="B2038" t="s">
        <v>350</v>
      </c>
      <c r="C2038" s="73" t="s">
        <v>474</v>
      </c>
      <c r="D2038" t="s">
        <v>475</v>
      </c>
      <c r="E2038" s="74">
        <v>46052</v>
      </c>
      <c r="F2038" t="s">
        <v>357</v>
      </c>
      <c r="G2038" t="s">
        <v>358</v>
      </c>
      <c r="H2038" s="75">
        <f t="shared" si="31"/>
        <v>69.362748319220188</v>
      </c>
      <c r="I2038" s="74">
        <v>46052</v>
      </c>
      <c r="J2038">
        <v>2</v>
      </c>
      <c r="K2038" t="s">
        <v>516</v>
      </c>
      <c r="L2038" t="s">
        <v>359</v>
      </c>
      <c r="M2038" t="s">
        <v>356</v>
      </c>
      <c r="N2038" s="73">
        <v>67262</v>
      </c>
      <c r="O2038" s="73">
        <v>67262</v>
      </c>
      <c r="P2038">
        <v>34.681374159610094</v>
      </c>
    </row>
    <row r="2039" spans="1:16" hidden="1" x14ac:dyDescent="0.2">
      <c r="A2039" s="73">
        <v>67260</v>
      </c>
      <c r="B2039" t="s">
        <v>423</v>
      </c>
      <c r="C2039" s="73" t="s">
        <v>476</v>
      </c>
      <c r="D2039" t="s">
        <v>506</v>
      </c>
      <c r="E2039" s="74">
        <v>45905</v>
      </c>
      <c r="F2039" t="s">
        <v>387</v>
      </c>
      <c r="G2039" t="s">
        <v>388</v>
      </c>
      <c r="H2039" s="75">
        <f t="shared" si="31"/>
        <v>34.681374159610094</v>
      </c>
      <c r="I2039" s="74">
        <v>45905</v>
      </c>
      <c r="J2039">
        <v>1</v>
      </c>
      <c r="K2039" t="s">
        <v>512</v>
      </c>
      <c r="L2039" t="s">
        <v>367</v>
      </c>
      <c r="M2039" t="s">
        <v>356</v>
      </c>
      <c r="N2039" s="73">
        <v>67260</v>
      </c>
      <c r="O2039" s="73">
        <v>67260</v>
      </c>
      <c r="P2039">
        <v>34.681374159610094</v>
      </c>
    </row>
    <row r="2040" spans="1:16" hidden="1" x14ac:dyDescent="0.2">
      <c r="A2040" s="73">
        <v>67260</v>
      </c>
      <c r="B2040" t="s">
        <v>423</v>
      </c>
      <c r="C2040" s="73" t="s">
        <v>476</v>
      </c>
      <c r="D2040" t="s">
        <v>506</v>
      </c>
      <c r="E2040" s="74">
        <v>45916</v>
      </c>
      <c r="F2040" t="s">
        <v>387</v>
      </c>
      <c r="G2040" t="s">
        <v>388</v>
      </c>
      <c r="H2040" s="75">
        <f t="shared" si="31"/>
        <v>173.40687079805048</v>
      </c>
      <c r="I2040" s="74">
        <v>45916</v>
      </c>
      <c r="J2040">
        <v>5</v>
      </c>
      <c r="K2040" t="s">
        <v>512</v>
      </c>
      <c r="L2040" t="s">
        <v>367</v>
      </c>
      <c r="M2040" t="s">
        <v>356</v>
      </c>
      <c r="N2040" s="73">
        <v>67260</v>
      </c>
      <c r="O2040" s="73">
        <v>67260</v>
      </c>
      <c r="P2040">
        <v>34.681374159610094</v>
      </c>
    </row>
    <row r="2041" spans="1:16" hidden="1" x14ac:dyDescent="0.2">
      <c r="A2041" s="73">
        <v>67260</v>
      </c>
      <c r="B2041" t="s">
        <v>423</v>
      </c>
      <c r="C2041" s="73" t="s">
        <v>476</v>
      </c>
      <c r="D2041" t="s">
        <v>506</v>
      </c>
      <c r="E2041" s="74">
        <v>45917</v>
      </c>
      <c r="F2041" t="s">
        <v>387</v>
      </c>
      <c r="G2041" t="s">
        <v>388</v>
      </c>
      <c r="H2041" s="75">
        <f t="shared" si="31"/>
        <v>138.72549663844038</v>
      </c>
      <c r="I2041" s="74">
        <v>45917</v>
      </c>
      <c r="J2041">
        <v>4</v>
      </c>
      <c r="K2041" t="s">
        <v>512</v>
      </c>
      <c r="L2041" t="s">
        <v>367</v>
      </c>
      <c r="M2041" t="s">
        <v>356</v>
      </c>
      <c r="N2041" s="73">
        <v>67260</v>
      </c>
      <c r="O2041" s="73">
        <v>67260</v>
      </c>
      <c r="P2041">
        <v>34.681374159610094</v>
      </c>
    </row>
    <row r="2042" spans="1:16" hidden="1" x14ac:dyDescent="0.2">
      <c r="A2042" s="73">
        <v>67260</v>
      </c>
      <c r="B2042" t="s">
        <v>423</v>
      </c>
      <c r="C2042" s="73" t="s">
        <v>476</v>
      </c>
      <c r="D2042" t="s">
        <v>506</v>
      </c>
      <c r="E2042" s="74">
        <v>45918</v>
      </c>
      <c r="F2042" t="s">
        <v>387</v>
      </c>
      <c r="G2042" t="s">
        <v>388</v>
      </c>
      <c r="H2042" s="75">
        <f t="shared" si="31"/>
        <v>34.681374159610094</v>
      </c>
      <c r="I2042" s="74">
        <v>45918</v>
      </c>
      <c r="J2042">
        <v>1</v>
      </c>
      <c r="K2042" t="s">
        <v>512</v>
      </c>
      <c r="L2042" t="s">
        <v>367</v>
      </c>
      <c r="M2042" t="s">
        <v>356</v>
      </c>
      <c r="N2042" s="73">
        <v>67260</v>
      </c>
      <c r="O2042" s="73">
        <v>67260</v>
      </c>
      <c r="P2042">
        <v>34.681374159610094</v>
      </c>
    </row>
    <row r="2043" spans="1:16" hidden="1" x14ac:dyDescent="0.2">
      <c r="A2043" s="73">
        <v>67260</v>
      </c>
      <c r="B2043" t="s">
        <v>423</v>
      </c>
      <c r="C2043" s="73" t="s">
        <v>476</v>
      </c>
      <c r="D2043" t="s">
        <v>506</v>
      </c>
      <c r="E2043" s="74">
        <v>45919</v>
      </c>
      <c r="F2043" t="s">
        <v>387</v>
      </c>
      <c r="G2043" t="s">
        <v>388</v>
      </c>
      <c r="H2043" s="75">
        <f t="shared" si="31"/>
        <v>104.04412247883027</v>
      </c>
      <c r="I2043" s="74">
        <v>45919</v>
      </c>
      <c r="J2043">
        <v>3</v>
      </c>
      <c r="K2043" t="s">
        <v>512</v>
      </c>
      <c r="L2043" t="s">
        <v>367</v>
      </c>
      <c r="M2043" t="s">
        <v>356</v>
      </c>
      <c r="N2043" s="73">
        <v>67260</v>
      </c>
      <c r="O2043" s="73">
        <v>67260</v>
      </c>
      <c r="P2043">
        <v>34.681374159610094</v>
      </c>
    </row>
    <row r="2044" spans="1:16" hidden="1" x14ac:dyDescent="0.2">
      <c r="A2044" s="73">
        <v>67260</v>
      </c>
      <c r="B2044" t="s">
        <v>423</v>
      </c>
      <c r="C2044" s="73" t="s">
        <v>476</v>
      </c>
      <c r="D2044" t="s">
        <v>506</v>
      </c>
      <c r="E2044" s="74">
        <v>45936</v>
      </c>
      <c r="F2044" t="s">
        <v>387</v>
      </c>
      <c r="G2044" t="s">
        <v>388</v>
      </c>
      <c r="H2044" s="75">
        <f t="shared" si="31"/>
        <v>34.681374159610094</v>
      </c>
      <c r="I2044" s="74">
        <v>45936</v>
      </c>
      <c r="J2044">
        <v>1</v>
      </c>
      <c r="K2044" t="s">
        <v>513</v>
      </c>
      <c r="L2044" t="s">
        <v>367</v>
      </c>
      <c r="M2044" t="s">
        <v>356</v>
      </c>
      <c r="N2044" s="73">
        <v>67260</v>
      </c>
      <c r="O2044" s="73">
        <v>67260</v>
      </c>
      <c r="P2044">
        <v>34.681374159610094</v>
      </c>
    </row>
    <row r="2045" spans="1:16" hidden="1" x14ac:dyDescent="0.2">
      <c r="A2045" s="73">
        <v>67260</v>
      </c>
      <c r="B2045" t="s">
        <v>423</v>
      </c>
      <c r="C2045" s="73" t="s">
        <v>476</v>
      </c>
      <c r="D2045" t="s">
        <v>506</v>
      </c>
      <c r="E2045" s="74">
        <v>45936</v>
      </c>
      <c r="F2045" t="s">
        <v>395</v>
      </c>
      <c r="G2045" t="s">
        <v>396</v>
      </c>
      <c r="H2045" s="75">
        <f t="shared" si="31"/>
        <v>138.72549663844038</v>
      </c>
      <c r="I2045" s="74">
        <v>45936</v>
      </c>
      <c r="J2045">
        <v>4</v>
      </c>
      <c r="K2045" t="s">
        <v>513</v>
      </c>
      <c r="L2045" t="s">
        <v>262</v>
      </c>
      <c r="M2045" t="s">
        <v>356</v>
      </c>
      <c r="N2045" s="73">
        <v>67260</v>
      </c>
      <c r="O2045" s="73">
        <v>67260</v>
      </c>
      <c r="P2045">
        <v>34.681374159610094</v>
      </c>
    </row>
    <row r="2046" spans="1:16" hidden="1" x14ac:dyDescent="0.2">
      <c r="A2046" s="73">
        <v>67260</v>
      </c>
      <c r="B2046" t="s">
        <v>423</v>
      </c>
      <c r="C2046" s="73" t="s">
        <v>476</v>
      </c>
      <c r="D2046" t="s">
        <v>506</v>
      </c>
      <c r="E2046" s="74">
        <v>45937</v>
      </c>
      <c r="F2046" t="s">
        <v>395</v>
      </c>
      <c r="G2046" t="s">
        <v>396</v>
      </c>
      <c r="H2046" s="75">
        <f t="shared" si="31"/>
        <v>208.08824495766055</v>
      </c>
      <c r="I2046" s="74">
        <v>45937</v>
      </c>
      <c r="J2046">
        <v>6</v>
      </c>
      <c r="K2046" t="s">
        <v>513</v>
      </c>
      <c r="L2046" t="s">
        <v>262</v>
      </c>
      <c r="M2046" t="s">
        <v>356</v>
      </c>
      <c r="N2046" s="73">
        <v>67260</v>
      </c>
      <c r="O2046" s="73">
        <v>67260</v>
      </c>
      <c r="P2046">
        <v>34.681374159610094</v>
      </c>
    </row>
    <row r="2047" spans="1:16" hidden="1" x14ac:dyDescent="0.2">
      <c r="A2047" s="73">
        <v>67260</v>
      </c>
      <c r="B2047" t="s">
        <v>423</v>
      </c>
      <c r="C2047" s="73" t="s">
        <v>476</v>
      </c>
      <c r="D2047" t="s">
        <v>506</v>
      </c>
      <c r="E2047" s="74">
        <v>45938</v>
      </c>
      <c r="F2047" t="s">
        <v>395</v>
      </c>
      <c r="G2047" t="s">
        <v>396</v>
      </c>
      <c r="H2047" s="75">
        <f t="shared" si="31"/>
        <v>208.08824495766055</v>
      </c>
      <c r="I2047" s="74">
        <v>45938</v>
      </c>
      <c r="J2047">
        <v>6</v>
      </c>
      <c r="K2047" t="s">
        <v>513</v>
      </c>
      <c r="L2047" t="s">
        <v>262</v>
      </c>
      <c r="M2047" t="s">
        <v>356</v>
      </c>
      <c r="N2047" s="73">
        <v>67260</v>
      </c>
      <c r="O2047" s="73">
        <v>67260</v>
      </c>
      <c r="P2047">
        <v>34.681374159610094</v>
      </c>
    </row>
    <row r="2048" spans="1:16" hidden="1" x14ac:dyDescent="0.2">
      <c r="A2048" s="73">
        <v>67260</v>
      </c>
      <c r="B2048" t="s">
        <v>423</v>
      </c>
      <c r="C2048" s="73" t="s">
        <v>476</v>
      </c>
      <c r="D2048" t="s">
        <v>506</v>
      </c>
      <c r="E2048" s="74">
        <v>45939</v>
      </c>
      <c r="F2048" t="s">
        <v>395</v>
      </c>
      <c r="G2048" t="s">
        <v>396</v>
      </c>
      <c r="H2048" s="75">
        <f t="shared" si="31"/>
        <v>208.08824495766055</v>
      </c>
      <c r="I2048" s="74">
        <v>45939</v>
      </c>
      <c r="J2048">
        <v>6</v>
      </c>
      <c r="K2048" t="s">
        <v>513</v>
      </c>
      <c r="L2048" t="s">
        <v>262</v>
      </c>
      <c r="M2048" t="s">
        <v>356</v>
      </c>
      <c r="N2048" s="73">
        <v>67260</v>
      </c>
      <c r="O2048" s="73">
        <v>67260</v>
      </c>
      <c r="P2048">
        <v>34.681374159610094</v>
      </c>
    </row>
    <row r="2049" spans="1:16" hidden="1" x14ac:dyDescent="0.2">
      <c r="A2049" s="73">
        <v>67260</v>
      </c>
      <c r="B2049" t="s">
        <v>423</v>
      </c>
      <c r="C2049" s="73" t="s">
        <v>476</v>
      </c>
      <c r="D2049" t="s">
        <v>506</v>
      </c>
      <c r="E2049" s="74">
        <v>45940</v>
      </c>
      <c r="F2049" t="s">
        <v>395</v>
      </c>
      <c r="G2049" t="s">
        <v>396</v>
      </c>
      <c r="H2049" s="75">
        <f t="shared" si="31"/>
        <v>208.08824495766055</v>
      </c>
      <c r="I2049" s="74">
        <v>45940</v>
      </c>
      <c r="J2049">
        <v>6</v>
      </c>
      <c r="K2049" t="s">
        <v>513</v>
      </c>
      <c r="L2049" t="s">
        <v>262</v>
      </c>
      <c r="M2049" t="s">
        <v>356</v>
      </c>
      <c r="N2049" s="73">
        <v>67260</v>
      </c>
      <c r="O2049" s="73">
        <v>67260</v>
      </c>
      <c r="P2049">
        <v>34.681374159610094</v>
      </c>
    </row>
    <row r="2050" spans="1:16" hidden="1" x14ac:dyDescent="0.2">
      <c r="A2050" s="73">
        <v>67260</v>
      </c>
      <c r="B2050" t="s">
        <v>423</v>
      </c>
      <c r="C2050" s="73" t="s">
        <v>476</v>
      </c>
      <c r="D2050" t="s">
        <v>506</v>
      </c>
      <c r="E2050" s="74">
        <v>45943</v>
      </c>
      <c r="F2050" t="s">
        <v>395</v>
      </c>
      <c r="G2050" t="s">
        <v>396</v>
      </c>
      <c r="H2050" s="75">
        <f t="shared" ref="H2050:H2113" si="32">J2050*P2050</f>
        <v>208.08824495766055</v>
      </c>
      <c r="I2050" s="74">
        <v>45943</v>
      </c>
      <c r="J2050">
        <v>6</v>
      </c>
      <c r="K2050" t="s">
        <v>513</v>
      </c>
      <c r="L2050" t="s">
        <v>262</v>
      </c>
      <c r="M2050" t="s">
        <v>356</v>
      </c>
      <c r="N2050" s="73">
        <v>67260</v>
      </c>
      <c r="O2050" s="73">
        <v>67260</v>
      </c>
      <c r="P2050">
        <v>34.681374159610094</v>
      </c>
    </row>
    <row r="2051" spans="1:16" hidden="1" x14ac:dyDescent="0.2">
      <c r="A2051" s="73">
        <v>67260</v>
      </c>
      <c r="B2051" t="s">
        <v>423</v>
      </c>
      <c r="C2051" s="73" t="s">
        <v>476</v>
      </c>
      <c r="D2051" t="s">
        <v>506</v>
      </c>
      <c r="E2051" s="74">
        <v>45943</v>
      </c>
      <c r="F2051" t="s">
        <v>387</v>
      </c>
      <c r="G2051" t="s">
        <v>388</v>
      </c>
      <c r="H2051" s="75">
        <f t="shared" si="32"/>
        <v>173.40687079805048</v>
      </c>
      <c r="I2051" s="74">
        <v>45943</v>
      </c>
      <c r="J2051">
        <v>5</v>
      </c>
      <c r="K2051" t="s">
        <v>513</v>
      </c>
      <c r="L2051" t="s">
        <v>367</v>
      </c>
      <c r="M2051" t="s">
        <v>356</v>
      </c>
      <c r="N2051" s="73">
        <v>67260</v>
      </c>
      <c r="O2051" s="73">
        <v>67260</v>
      </c>
      <c r="P2051">
        <v>34.681374159610094</v>
      </c>
    </row>
    <row r="2052" spans="1:16" hidden="1" x14ac:dyDescent="0.2">
      <c r="A2052" s="73">
        <v>67260</v>
      </c>
      <c r="B2052" t="s">
        <v>423</v>
      </c>
      <c r="C2052" s="73" t="s">
        <v>476</v>
      </c>
      <c r="D2052" t="s">
        <v>506</v>
      </c>
      <c r="E2052" s="74">
        <v>45943</v>
      </c>
      <c r="F2052" t="s">
        <v>404</v>
      </c>
      <c r="G2052" t="s">
        <v>405</v>
      </c>
      <c r="H2052" s="75">
        <f t="shared" si="32"/>
        <v>208.08824495766055</v>
      </c>
      <c r="I2052" s="74">
        <v>45943</v>
      </c>
      <c r="J2052">
        <v>6</v>
      </c>
      <c r="K2052" t="s">
        <v>513</v>
      </c>
      <c r="L2052" t="s">
        <v>262</v>
      </c>
      <c r="M2052" t="s">
        <v>356</v>
      </c>
      <c r="N2052" s="73">
        <v>67260</v>
      </c>
      <c r="O2052" s="73">
        <v>67260</v>
      </c>
      <c r="P2052">
        <v>34.681374159610094</v>
      </c>
    </row>
    <row r="2053" spans="1:16" hidden="1" x14ac:dyDescent="0.2">
      <c r="A2053" s="73">
        <v>67260</v>
      </c>
      <c r="B2053" t="s">
        <v>423</v>
      </c>
      <c r="C2053" s="73" t="s">
        <v>476</v>
      </c>
      <c r="D2053" t="s">
        <v>506</v>
      </c>
      <c r="E2053" s="74">
        <v>45944</v>
      </c>
      <c r="F2053" t="s">
        <v>395</v>
      </c>
      <c r="G2053" t="s">
        <v>396</v>
      </c>
      <c r="H2053" s="75">
        <f t="shared" si="32"/>
        <v>208.08824495766055</v>
      </c>
      <c r="I2053" s="74">
        <v>45944</v>
      </c>
      <c r="J2053">
        <v>6</v>
      </c>
      <c r="K2053" t="s">
        <v>513</v>
      </c>
      <c r="L2053" t="s">
        <v>262</v>
      </c>
      <c r="M2053" t="s">
        <v>356</v>
      </c>
      <c r="N2053" s="73">
        <v>67260</v>
      </c>
      <c r="O2053" s="73">
        <v>67260</v>
      </c>
      <c r="P2053">
        <v>34.681374159610094</v>
      </c>
    </row>
    <row r="2054" spans="1:16" hidden="1" x14ac:dyDescent="0.2">
      <c r="A2054" s="73">
        <v>67260</v>
      </c>
      <c r="B2054" t="s">
        <v>423</v>
      </c>
      <c r="C2054" s="73" t="s">
        <v>476</v>
      </c>
      <c r="D2054" t="s">
        <v>506</v>
      </c>
      <c r="E2054" s="74">
        <v>45944</v>
      </c>
      <c r="F2054" t="s">
        <v>387</v>
      </c>
      <c r="G2054" t="s">
        <v>388</v>
      </c>
      <c r="H2054" s="75">
        <f t="shared" si="32"/>
        <v>138.72549663844038</v>
      </c>
      <c r="I2054" s="74">
        <v>45944</v>
      </c>
      <c r="J2054">
        <v>4</v>
      </c>
      <c r="K2054" t="s">
        <v>513</v>
      </c>
      <c r="L2054" t="s">
        <v>367</v>
      </c>
      <c r="M2054" t="s">
        <v>356</v>
      </c>
      <c r="N2054" s="73">
        <v>67260</v>
      </c>
      <c r="O2054" s="73">
        <v>67260</v>
      </c>
      <c r="P2054">
        <v>34.681374159610094</v>
      </c>
    </row>
    <row r="2055" spans="1:16" hidden="1" x14ac:dyDescent="0.2">
      <c r="A2055" s="73">
        <v>67260</v>
      </c>
      <c r="B2055" t="s">
        <v>423</v>
      </c>
      <c r="C2055" s="73" t="s">
        <v>476</v>
      </c>
      <c r="D2055" t="s">
        <v>506</v>
      </c>
      <c r="E2055" s="74">
        <v>45945</v>
      </c>
      <c r="F2055" t="s">
        <v>387</v>
      </c>
      <c r="G2055" t="s">
        <v>388</v>
      </c>
      <c r="H2055" s="75">
        <f t="shared" si="32"/>
        <v>242.76961911727065</v>
      </c>
      <c r="I2055" s="74">
        <v>45945</v>
      </c>
      <c r="J2055">
        <v>7</v>
      </c>
      <c r="K2055" t="s">
        <v>513</v>
      </c>
      <c r="L2055" t="s">
        <v>367</v>
      </c>
      <c r="M2055" t="s">
        <v>356</v>
      </c>
      <c r="N2055" s="73">
        <v>67260</v>
      </c>
      <c r="O2055" s="73">
        <v>67260</v>
      </c>
      <c r="P2055">
        <v>34.681374159610094</v>
      </c>
    </row>
    <row r="2056" spans="1:16" hidden="1" x14ac:dyDescent="0.2">
      <c r="A2056" s="73">
        <v>67260</v>
      </c>
      <c r="B2056" t="s">
        <v>423</v>
      </c>
      <c r="C2056" s="73" t="s">
        <v>476</v>
      </c>
      <c r="D2056" t="s">
        <v>506</v>
      </c>
      <c r="E2056" s="74">
        <v>45946</v>
      </c>
      <c r="F2056" t="s">
        <v>387</v>
      </c>
      <c r="G2056" t="s">
        <v>388</v>
      </c>
      <c r="H2056" s="75">
        <f t="shared" si="32"/>
        <v>173.40687079805048</v>
      </c>
      <c r="I2056" s="74">
        <v>45946</v>
      </c>
      <c r="J2056">
        <v>5</v>
      </c>
      <c r="K2056" t="s">
        <v>513</v>
      </c>
      <c r="L2056" t="s">
        <v>367</v>
      </c>
      <c r="M2056" t="s">
        <v>356</v>
      </c>
      <c r="N2056" s="73">
        <v>67260</v>
      </c>
      <c r="O2056" s="73">
        <v>67260</v>
      </c>
      <c r="P2056">
        <v>34.681374159610094</v>
      </c>
    </row>
    <row r="2057" spans="1:16" hidden="1" x14ac:dyDescent="0.2">
      <c r="A2057" s="73">
        <v>67260</v>
      </c>
      <c r="B2057" t="s">
        <v>423</v>
      </c>
      <c r="C2057" s="73" t="s">
        <v>476</v>
      </c>
      <c r="D2057" t="s">
        <v>506</v>
      </c>
      <c r="E2057" s="74">
        <v>45946</v>
      </c>
      <c r="F2057" t="s">
        <v>404</v>
      </c>
      <c r="G2057" t="s">
        <v>405</v>
      </c>
      <c r="H2057" s="75">
        <f t="shared" si="32"/>
        <v>208.08824495766055</v>
      </c>
      <c r="I2057" s="74">
        <v>45946</v>
      </c>
      <c r="J2057">
        <v>6</v>
      </c>
      <c r="K2057" t="s">
        <v>513</v>
      </c>
      <c r="L2057" t="s">
        <v>262</v>
      </c>
      <c r="M2057" t="s">
        <v>356</v>
      </c>
      <c r="N2057" s="73">
        <v>67260</v>
      </c>
      <c r="O2057" s="73">
        <v>67260</v>
      </c>
      <c r="P2057">
        <v>34.681374159610094</v>
      </c>
    </row>
    <row r="2058" spans="1:16" hidden="1" x14ac:dyDescent="0.2">
      <c r="A2058" s="73">
        <v>67260</v>
      </c>
      <c r="B2058" t="s">
        <v>423</v>
      </c>
      <c r="C2058" s="73" t="s">
        <v>476</v>
      </c>
      <c r="D2058" t="s">
        <v>506</v>
      </c>
      <c r="E2058" s="74">
        <v>45947</v>
      </c>
      <c r="F2058" t="s">
        <v>404</v>
      </c>
      <c r="G2058" t="s">
        <v>405</v>
      </c>
      <c r="H2058" s="75">
        <f t="shared" si="32"/>
        <v>208.08824495766055</v>
      </c>
      <c r="I2058" s="74">
        <v>45947</v>
      </c>
      <c r="J2058">
        <v>6</v>
      </c>
      <c r="K2058" t="s">
        <v>513</v>
      </c>
      <c r="L2058" t="s">
        <v>262</v>
      </c>
      <c r="M2058" t="s">
        <v>356</v>
      </c>
      <c r="N2058" s="73">
        <v>67260</v>
      </c>
      <c r="O2058" s="73">
        <v>67260</v>
      </c>
      <c r="P2058">
        <v>34.681374159610094</v>
      </c>
    </row>
    <row r="2059" spans="1:16" hidden="1" x14ac:dyDescent="0.2">
      <c r="A2059" s="73">
        <v>67260</v>
      </c>
      <c r="B2059" t="s">
        <v>423</v>
      </c>
      <c r="C2059" s="73" t="s">
        <v>476</v>
      </c>
      <c r="D2059" t="s">
        <v>506</v>
      </c>
      <c r="E2059" s="74">
        <v>45950</v>
      </c>
      <c r="F2059" t="s">
        <v>404</v>
      </c>
      <c r="G2059" t="s">
        <v>405</v>
      </c>
      <c r="H2059" s="75">
        <f t="shared" si="32"/>
        <v>208.08824495766055</v>
      </c>
      <c r="I2059" s="74">
        <v>45950</v>
      </c>
      <c r="J2059">
        <v>6</v>
      </c>
      <c r="K2059" t="s">
        <v>513</v>
      </c>
      <c r="L2059" t="s">
        <v>262</v>
      </c>
      <c r="M2059" t="s">
        <v>356</v>
      </c>
      <c r="N2059" s="73">
        <v>67260</v>
      </c>
      <c r="O2059" s="73">
        <v>67260</v>
      </c>
      <c r="P2059">
        <v>34.681374159610094</v>
      </c>
    </row>
    <row r="2060" spans="1:16" hidden="1" x14ac:dyDescent="0.2">
      <c r="A2060" s="73">
        <v>67260</v>
      </c>
      <c r="B2060" t="s">
        <v>423</v>
      </c>
      <c r="C2060" s="73" t="s">
        <v>476</v>
      </c>
      <c r="D2060" t="s">
        <v>506</v>
      </c>
      <c r="E2060" s="74">
        <v>45953</v>
      </c>
      <c r="F2060" t="s">
        <v>395</v>
      </c>
      <c r="G2060" t="s">
        <v>396</v>
      </c>
      <c r="H2060" s="75">
        <f t="shared" si="32"/>
        <v>208.08824495766055</v>
      </c>
      <c r="I2060" s="74">
        <v>45953</v>
      </c>
      <c r="J2060">
        <v>6</v>
      </c>
      <c r="K2060" t="s">
        <v>513</v>
      </c>
      <c r="L2060" t="s">
        <v>262</v>
      </c>
      <c r="M2060" t="s">
        <v>356</v>
      </c>
      <c r="N2060" s="73">
        <v>67260</v>
      </c>
      <c r="O2060" s="73">
        <v>67260</v>
      </c>
      <c r="P2060">
        <v>34.681374159610094</v>
      </c>
    </row>
    <row r="2061" spans="1:16" hidden="1" x14ac:dyDescent="0.2">
      <c r="A2061" s="73">
        <v>67260</v>
      </c>
      <c r="B2061" t="s">
        <v>423</v>
      </c>
      <c r="C2061" s="73" t="s">
        <v>476</v>
      </c>
      <c r="D2061" t="s">
        <v>506</v>
      </c>
      <c r="E2061" s="74">
        <v>45953</v>
      </c>
      <c r="F2061" t="s">
        <v>387</v>
      </c>
      <c r="G2061" t="s">
        <v>388</v>
      </c>
      <c r="H2061" s="75">
        <f t="shared" si="32"/>
        <v>104.04412247883027</v>
      </c>
      <c r="I2061" s="74">
        <v>45953</v>
      </c>
      <c r="J2061">
        <v>3</v>
      </c>
      <c r="K2061" t="s">
        <v>513</v>
      </c>
      <c r="L2061" t="s">
        <v>367</v>
      </c>
      <c r="M2061" t="s">
        <v>356</v>
      </c>
      <c r="N2061" s="73">
        <v>67260</v>
      </c>
      <c r="O2061" s="73">
        <v>67260</v>
      </c>
      <c r="P2061">
        <v>34.681374159610094</v>
      </c>
    </row>
    <row r="2062" spans="1:16" hidden="1" x14ac:dyDescent="0.2">
      <c r="A2062" s="73">
        <v>67260</v>
      </c>
      <c r="B2062" t="s">
        <v>423</v>
      </c>
      <c r="C2062" s="73" t="s">
        <v>476</v>
      </c>
      <c r="D2062" t="s">
        <v>506</v>
      </c>
      <c r="E2062" s="74">
        <v>45953</v>
      </c>
      <c r="F2062" t="s">
        <v>404</v>
      </c>
      <c r="G2062" t="s">
        <v>405</v>
      </c>
      <c r="H2062" s="75">
        <f t="shared" si="32"/>
        <v>208.08824495766055</v>
      </c>
      <c r="I2062" s="74">
        <v>45953</v>
      </c>
      <c r="J2062">
        <v>6</v>
      </c>
      <c r="K2062" t="s">
        <v>513</v>
      </c>
      <c r="L2062" t="s">
        <v>262</v>
      </c>
      <c r="M2062" t="s">
        <v>356</v>
      </c>
      <c r="N2062" s="73">
        <v>67260</v>
      </c>
      <c r="O2062" s="73">
        <v>67260</v>
      </c>
      <c r="P2062">
        <v>34.681374159610094</v>
      </c>
    </row>
    <row r="2063" spans="1:16" hidden="1" x14ac:dyDescent="0.2">
      <c r="A2063" s="73">
        <v>67260</v>
      </c>
      <c r="B2063" t="s">
        <v>423</v>
      </c>
      <c r="C2063" s="73" t="s">
        <v>476</v>
      </c>
      <c r="D2063" t="s">
        <v>506</v>
      </c>
      <c r="E2063" s="74">
        <v>45954</v>
      </c>
      <c r="F2063" t="s">
        <v>395</v>
      </c>
      <c r="G2063" t="s">
        <v>396</v>
      </c>
      <c r="H2063" s="75">
        <f t="shared" si="32"/>
        <v>208.08824495766055</v>
      </c>
      <c r="I2063" s="74">
        <v>45954</v>
      </c>
      <c r="J2063">
        <v>6</v>
      </c>
      <c r="K2063" t="s">
        <v>513</v>
      </c>
      <c r="L2063" t="s">
        <v>262</v>
      </c>
      <c r="M2063" t="s">
        <v>356</v>
      </c>
      <c r="N2063" s="73">
        <v>67260</v>
      </c>
      <c r="O2063" s="73">
        <v>67260</v>
      </c>
      <c r="P2063">
        <v>34.681374159610094</v>
      </c>
    </row>
    <row r="2064" spans="1:16" hidden="1" x14ac:dyDescent="0.2">
      <c r="A2064" s="73">
        <v>67260</v>
      </c>
      <c r="B2064" t="s">
        <v>423</v>
      </c>
      <c r="C2064" s="73" t="s">
        <v>476</v>
      </c>
      <c r="D2064" t="s">
        <v>506</v>
      </c>
      <c r="E2064" s="74">
        <v>45954</v>
      </c>
      <c r="F2064" t="s">
        <v>404</v>
      </c>
      <c r="G2064" t="s">
        <v>405</v>
      </c>
      <c r="H2064" s="75">
        <f t="shared" si="32"/>
        <v>208.08824495766055</v>
      </c>
      <c r="I2064" s="74">
        <v>45954</v>
      </c>
      <c r="J2064">
        <v>6</v>
      </c>
      <c r="K2064" t="s">
        <v>513</v>
      </c>
      <c r="L2064" t="s">
        <v>262</v>
      </c>
      <c r="M2064" t="s">
        <v>356</v>
      </c>
      <c r="N2064" s="73">
        <v>67260</v>
      </c>
      <c r="O2064" s="73">
        <v>67260</v>
      </c>
      <c r="P2064">
        <v>34.681374159610094</v>
      </c>
    </row>
    <row r="2065" spans="1:16" hidden="1" x14ac:dyDescent="0.2">
      <c r="A2065" s="73">
        <v>67260</v>
      </c>
      <c r="B2065" t="s">
        <v>423</v>
      </c>
      <c r="C2065" s="73" t="s">
        <v>476</v>
      </c>
      <c r="D2065" t="s">
        <v>506</v>
      </c>
      <c r="E2065" s="74">
        <v>45957</v>
      </c>
      <c r="F2065" t="s">
        <v>404</v>
      </c>
      <c r="G2065" t="s">
        <v>405</v>
      </c>
      <c r="H2065" s="75">
        <f t="shared" si="32"/>
        <v>208.08824495766055</v>
      </c>
      <c r="I2065" s="74">
        <v>45957</v>
      </c>
      <c r="J2065">
        <v>6</v>
      </c>
      <c r="K2065" t="s">
        <v>513</v>
      </c>
      <c r="L2065" t="s">
        <v>262</v>
      </c>
      <c r="M2065" t="s">
        <v>356</v>
      </c>
      <c r="N2065" s="73">
        <v>67260</v>
      </c>
      <c r="O2065" s="73">
        <v>67260</v>
      </c>
      <c r="P2065">
        <v>34.681374159610094</v>
      </c>
    </row>
    <row r="2066" spans="1:16" hidden="1" x14ac:dyDescent="0.2">
      <c r="A2066" s="73">
        <v>67260</v>
      </c>
      <c r="B2066" t="s">
        <v>423</v>
      </c>
      <c r="C2066" s="73" t="s">
        <v>476</v>
      </c>
      <c r="D2066" t="s">
        <v>506</v>
      </c>
      <c r="E2066" s="74">
        <v>45957</v>
      </c>
      <c r="F2066" t="s">
        <v>395</v>
      </c>
      <c r="G2066" t="s">
        <v>396</v>
      </c>
      <c r="H2066" s="75">
        <f t="shared" si="32"/>
        <v>173.40687079805048</v>
      </c>
      <c r="I2066" s="74">
        <v>45957</v>
      </c>
      <c r="J2066">
        <v>5</v>
      </c>
      <c r="K2066" t="s">
        <v>513</v>
      </c>
      <c r="L2066" t="s">
        <v>262</v>
      </c>
      <c r="M2066" t="s">
        <v>356</v>
      </c>
      <c r="N2066" s="73">
        <v>67260</v>
      </c>
      <c r="O2066" s="73">
        <v>67260</v>
      </c>
      <c r="P2066">
        <v>34.681374159610094</v>
      </c>
    </row>
    <row r="2067" spans="1:16" hidden="1" x14ac:dyDescent="0.2">
      <c r="A2067" s="73">
        <v>67260</v>
      </c>
      <c r="B2067" t="s">
        <v>423</v>
      </c>
      <c r="C2067" s="73" t="s">
        <v>476</v>
      </c>
      <c r="D2067" t="s">
        <v>506</v>
      </c>
      <c r="E2067" s="74">
        <v>45958</v>
      </c>
      <c r="F2067" t="s">
        <v>404</v>
      </c>
      <c r="G2067" t="s">
        <v>405</v>
      </c>
      <c r="H2067" s="75">
        <f t="shared" si="32"/>
        <v>34.681374159610094</v>
      </c>
      <c r="I2067" s="74">
        <v>45958</v>
      </c>
      <c r="J2067">
        <v>1</v>
      </c>
      <c r="K2067" t="s">
        <v>513</v>
      </c>
      <c r="L2067" t="s">
        <v>262</v>
      </c>
      <c r="M2067" t="s">
        <v>356</v>
      </c>
      <c r="N2067" s="73">
        <v>67260</v>
      </c>
      <c r="O2067" s="73">
        <v>67260</v>
      </c>
      <c r="P2067">
        <v>34.681374159610094</v>
      </c>
    </row>
    <row r="2068" spans="1:16" hidden="1" x14ac:dyDescent="0.2">
      <c r="A2068" s="73">
        <v>67260</v>
      </c>
      <c r="B2068" t="s">
        <v>423</v>
      </c>
      <c r="C2068" s="73" t="s">
        <v>476</v>
      </c>
      <c r="D2068" t="s">
        <v>506</v>
      </c>
      <c r="E2068" s="74">
        <v>45958</v>
      </c>
      <c r="F2068" t="s">
        <v>395</v>
      </c>
      <c r="G2068" t="s">
        <v>396</v>
      </c>
      <c r="H2068" s="75">
        <f t="shared" si="32"/>
        <v>208.08824495766055</v>
      </c>
      <c r="I2068" s="74">
        <v>45958</v>
      </c>
      <c r="J2068">
        <v>6</v>
      </c>
      <c r="K2068" t="s">
        <v>513</v>
      </c>
      <c r="L2068" t="s">
        <v>262</v>
      </c>
      <c r="M2068" t="s">
        <v>356</v>
      </c>
      <c r="N2068" s="73">
        <v>67260</v>
      </c>
      <c r="O2068" s="73">
        <v>67260</v>
      </c>
      <c r="P2068">
        <v>34.681374159610094</v>
      </c>
    </row>
    <row r="2069" spans="1:16" hidden="1" x14ac:dyDescent="0.2">
      <c r="A2069" s="73">
        <v>67260</v>
      </c>
      <c r="B2069" t="s">
        <v>423</v>
      </c>
      <c r="C2069" s="73" t="s">
        <v>476</v>
      </c>
      <c r="D2069" t="s">
        <v>506</v>
      </c>
      <c r="E2069" s="74">
        <v>45959</v>
      </c>
      <c r="F2069" t="s">
        <v>395</v>
      </c>
      <c r="G2069" t="s">
        <v>396</v>
      </c>
      <c r="H2069" s="75">
        <f t="shared" si="32"/>
        <v>138.72549663844038</v>
      </c>
      <c r="I2069" s="74">
        <v>45959</v>
      </c>
      <c r="J2069">
        <v>4</v>
      </c>
      <c r="K2069" t="s">
        <v>513</v>
      </c>
      <c r="L2069" t="s">
        <v>262</v>
      </c>
      <c r="M2069" t="s">
        <v>356</v>
      </c>
      <c r="N2069" s="73">
        <v>67260</v>
      </c>
      <c r="O2069" s="73">
        <v>67260</v>
      </c>
      <c r="P2069">
        <v>34.681374159610094</v>
      </c>
    </row>
    <row r="2070" spans="1:16" hidden="1" x14ac:dyDescent="0.2">
      <c r="A2070" s="73">
        <v>67260</v>
      </c>
      <c r="B2070" t="s">
        <v>423</v>
      </c>
      <c r="C2070" s="73" t="s">
        <v>476</v>
      </c>
      <c r="D2070" t="s">
        <v>506</v>
      </c>
      <c r="E2070" s="74">
        <v>45960</v>
      </c>
      <c r="F2070" t="s">
        <v>404</v>
      </c>
      <c r="G2070" t="s">
        <v>405</v>
      </c>
      <c r="H2070" s="75">
        <f t="shared" si="32"/>
        <v>208.08824495766055</v>
      </c>
      <c r="I2070" s="74">
        <v>45960</v>
      </c>
      <c r="J2070">
        <v>6</v>
      </c>
      <c r="K2070" t="s">
        <v>513</v>
      </c>
      <c r="L2070" t="s">
        <v>262</v>
      </c>
      <c r="M2070" t="s">
        <v>356</v>
      </c>
      <c r="N2070" s="73">
        <v>67260</v>
      </c>
      <c r="O2070" s="73">
        <v>67260</v>
      </c>
      <c r="P2070">
        <v>34.681374159610094</v>
      </c>
    </row>
    <row r="2071" spans="1:16" hidden="1" x14ac:dyDescent="0.2">
      <c r="A2071" s="73">
        <v>67260</v>
      </c>
      <c r="B2071" t="s">
        <v>423</v>
      </c>
      <c r="C2071" s="73" t="s">
        <v>476</v>
      </c>
      <c r="D2071" t="s">
        <v>506</v>
      </c>
      <c r="E2071" s="74">
        <v>45960</v>
      </c>
      <c r="F2071" t="s">
        <v>395</v>
      </c>
      <c r="G2071" t="s">
        <v>396</v>
      </c>
      <c r="H2071" s="75">
        <f t="shared" si="32"/>
        <v>104.04412247883027</v>
      </c>
      <c r="I2071" s="74">
        <v>45960</v>
      </c>
      <c r="J2071">
        <v>3</v>
      </c>
      <c r="K2071" t="s">
        <v>513</v>
      </c>
      <c r="L2071" t="s">
        <v>262</v>
      </c>
      <c r="M2071" t="s">
        <v>356</v>
      </c>
      <c r="N2071" s="73">
        <v>67260</v>
      </c>
      <c r="O2071" s="73">
        <v>67260</v>
      </c>
      <c r="P2071">
        <v>34.681374159610094</v>
      </c>
    </row>
    <row r="2072" spans="1:16" hidden="1" x14ac:dyDescent="0.2">
      <c r="A2072" s="73">
        <v>67260</v>
      </c>
      <c r="B2072" t="s">
        <v>423</v>
      </c>
      <c r="C2072" s="73" t="s">
        <v>476</v>
      </c>
      <c r="D2072" t="s">
        <v>506</v>
      </c>
      <c r="E2072" s="74">
        <v>45961</v>
      </c>
      <c r="F2072" t="s">
        <v>404</v>
      </c>
      <c r="G2072" t="s">
        <v>405</v>
      </c>
      <c r="H2072" s="75">
        <f t="shared" si="32"/>
        <v>208.08824495766055</v>
      </c>
      <c r="I2072" s="74">
        <v>45961</v>
      </c>
      <c r="J2072">
        <v>6</v>
      </c>
      <c r="K2072" t="s">
        <v>513</v>
      </c>
      <c r="L2072" t="s">
        <v>262</v>
      </c>
      <c r="M2072" t="s">
        <v>356</v>
      </c>
      <c r="N2072" s="73">
        <v>67260</v>
      </c>
      <c r="O2072" s="73">
        <v>67260</v>
      </c>
      <c r="P2072">
        <v>34.681374159610094</v>
      </c>
    </row>
    <row r="2073" spans="1:16" hidden="1" x14ac:dyDescent="0.2">
      <c r="A2073" s="73">
        <v>67260</v>
      </c>
      <c r="B2073" t="s">
        <v>423</v>
      </c>
      <c r="C2073" s="73" t="s">
        <v>476</v>
      </c>
      <c r="D2073" t="s">
        <v>506</v>
      </c>
      <c r="E2073" s="74">
        <v>45964</v>
      </c>
      <c r="F2073" t="s">
        <v>404</v>
      </c>
      <c r="G2073" t="s">
        <v>405</v>
      </c>
      <c r="H2073" s="75">
        <f t="shared" si="32"/>
        <v>190.74755787785551</v>
      </c>
      <c r="I2073" s="74">
        <v>45964</v>
      </c>
      <c r="J2073">
        <v>5.5</v>
      </c>
      <c r="K2073" t="s">
        <v>514</v>
      </c>
      <c r="L2073" t="s">
        <v>262</v>
      </c>
      <c r="M2073" t="s">
        <v>356</v>
      </c>
      <c r="N2073" s="73">
        <v>67260</v>
      </c>
      <c r="O2073" s="73">
        <v>67260</v>
      </c>
      <c r="P2073">
        <v>34.681374159610094</v>
      </c>
    </row>
    <row r="2074" spans="1:16" hidden="1" x14ac:dyDescent="0.2">
      <c r="A2074" s="73">
        <v>67260</v>
      </c>
      <c r="B2074" t="s">
        <v>423</v>
      </c>
      <c r="C2074" s="73" t="s">
        <v>476</v>
      </c>
      <c r="D2074" t="s">
        <v>506</v>
      </c>
      <c r="E2074" s="74">
        <v>45964</v>
      </c>
      <c r="F2074" t="s">
        <v>395</v>
      </c>
      <c r="G2074" t="s">
        <v>396</v>
      </c>
      <c r="H2074" s="75">
        <f t="shared" si="32"/>
        <v>208.08824495766055</v>
      </c>
      <c r="I2074" s="74">
        <v>45964</v>
      </c>
      <c r="J2074">
        <v>6</v>
      </c>
      <c r="K2074" t="s">
        <v>514</v>
      </c>
      <c r="L2074" t="s">
        <v>262</v>
      </c>
      <c r="M2074" t="s">
        <v>356</v>
      </c>
      <c r="N2074" s="73">
        <v>67260</v>
      </c>
      <c r="O2074" s="73">
        <v>67260</v>
      </c>
      <c r="P2074">
        <v>34.681374159610094</v>
      </c>
    </row>
    <row r="2075" spans="1:16" hidden="1" x14ac:dyDescent="0.2">
      <c r="A2075" s="73">
        <v>67260</v>
      </c>
      <c r="B2075" t="s">
        <v>423</v>
      </c>
      <c r="C2075" s="73" t="s">
        <v>476</v>
      </c>
      <c r="D2075" t="s">
        <v>506</v>
      </c>
      <c r="E2075" s="74">
        <v>45964</v>
      </c>
      <c r="F2075" t="s">
        <v>404</v>
      </c>
      <c r="G2075" t="s">
        <v>405</v>
      </c>
      <c r="H2075" s="75">
        <f t="shared" si="32"/>
        <v>-190.74755787785551</v>
      </c>
      <c r="I2075" s="74">
        <v>45964</v>
      </c>
      <c r="J2075">
        <v>-5.5</v>
      </c>
      <c r="K2075" t="s">
        <v>514</v>
      </c>
      <c r="L2075" t="s">
        <v>262</v>
      </c>
      <c r="M2075" t="s">
        <v>356</v>
      </c>
      <c r="N2075" s="73">
        <v>67260</v>
      </c>
      <c r="O2075" s="73">
        <v>67260</v>
      </c>
      <c r="P2075">
        <v>34.681374159610094</v>
      </c>
    </row>
    <row r="2076" spans="1:16" hidden="1" x14ac:dyDescent="0.2">
      <c r="A2076" s="73">
        <v>67260</v>
      </c>
      <c r="B2076" t="s">
        <v>423</v>
      </c>
      <c r="C2076" s="73" t="s">
        <v>476</v>
      </c>
      <c r="D2076" t="s">
        <v>506</v>
      </c>
      <c r="E2076" s="74">
        <v>45964</v>
      </c>
      <c r="F2076" t="s">
        <v>404</v>
      </c>
      <c r="G2076" t="s">
        <v>405</v>
      </c>
      <c r="H2076" s="75">
        <f t="shared" si="32"/>
        <v>277.45099327688075</v>
      </c>
      <c r="I2076" s="74">
        <v>45964</v>
      </c>
      <c r="J2076">
        <v>8</v>
      </c>
      <c r="K2076" t="s">
        <v>514</v>
      </c>
      <c r="L2076" t="s">
        <v>262</v>
      </c>
      <c r="M2076" t="s">
        <v>356</v>
      </c>
      <c r="N2076" s="73">
        <v>67260</v>
      </c>
      <c r="O2076" s="73">
        <v>67260</v>
      </c>
      <c r="P2076">
        <v>34.681374159610094</v>
      </c>
    </row>
    <row r="2077" spans="1:16" hidden="1" x14ac:dyDescent="0.2">
      <c r="A2077" s="73">
        <v>67260</v>
      </c>
      <c r="B2077" t="s">
        <v>423</v>
      </c>
      <c r="C2077" s="73" t="s">
        <v>476</v>
      </c>
      <c r="D2077" t="s">
        <v>506</v>
      </c>
      <c r="E2077" s="74">
        <v>45964</v>
      </c>
      <c r="F2077" t="s">
        <v>395</v>
      </c>
      <c r="G2077" t="s">
        <v>396</v>
      </c>
      <c r="H2077" s="75">
        <f t="shared" si="32"/>
        <v>-208.08824495766055</v>
      </c>
      <c r="I2077" s="74">
        <v>45964</v>
      </c>
      <c r="J2077">
        <v>-6</v>
      </c>
      <c r="K2077" t="s">
        <v>514</v>
      </c>
      <c r="L2077" t="s">
        <v>262</v>
      </c>
      <c r="M2077" t="s">
        <v>356</v>
      </c>
      <c r="N2077" s="73">
        <v>67260</v>
      </c>
      <c r="O2077" s="73">
        <v>67260</v>
      </c>
      <c r="P2077">
        <v>34.681374159610094</v>
      </c>
    </row>
    <row r="2078" spans="1:16" hidden="1" x14ac:dyDescent="0.2">
      <c r="A2078" s="73">
        <v>67260</v>
      </c>
      <c r="B2078" t="s">
        <v>423</v>
      </c>
      <c r="C2078" s="73" t="s">
        <v>476</v>
      </c>
      <c r="D2078" t="s">
        <v>506</v>
      </c>
      <c r="E2078" s="74">
        <v>45964</v>
      </c>
      <c r="F2078" t="s">
        <v>395</v>
      </c>
      <c r="G2078" t="s">
        <v>396</v>
      </c>
      <c r="H2078" s="75">
        <f t="shared" si="32"/>
        <v>277.45099327688075</v>
      </c>
      <c r="I2078" s="74">
        <v>45964</v>
      </c>
      <c r="J2078">
        <v>8</v>
      </c>
      <c r="K2078" t="s">
        <v>514</v>
      </c>
      <c r="L2078" t="s">
        <v>262</v>
      </c>
      <c r="M2078" t="s">
        <v>356</v>
      </c>
      <c r="N2078" s="73">
        <v>67260</v>
      </c>
      <c r="O2078" s="73">
        <v>67260</v>
      </c>
      <c r="P2078">
        <v>34.681374159610094</v>
      </c>
    </row>
    <row r="2079" spans="1:16" hidden="1" x14ac:dyDescent="0.2">
      <c r="A2079" s="73">
        <v>67260</v>
      </c>
      <c r="B2079" t="s">
        <v>423</v>
      </c>
      <c r="C2079" s="73" t="s">
        <v>476</v>
      </c>
      <c r="D2079" t="s">
        <v>506</v>
      </c>
      <c r="E2079" s="74">
        <v>45964</v>
      </c>
      <c r="F2079" t="s">
        <v>387</v>
      </c>
      <c r="G2079" t="s">
        <v>388</v>
      </c>
      <c r="H2079" s="75">
        <f t="shared" si="32"/>
        <v>242.76961911727065</v>
      </c>
      <c r="I2079" s="74">
        <v>45964</v>
      </c>
      <c r="J2079">
        <v>7</v>
      </c>
      <c r="K2079" t="s">
        <v>514</v>
      </c>
      <c r="L2079" t="s">
        <v>367</v>
      </c>
      <c r="M2079" t="s">
        <v>356</v>
      </c>
      <c r="N2079" s="73">
        <v>67260</v>
      </c>
      <c r="O2079" s="73">
        <v>67260</v>
      </c>
      <c r="P2079">
        <v>34.681374159610094</v>
      </c>
    </row>
    <row r="2080" spans="1:16" hidden="1" x14ac:dyDescent="0.2">
      <c r="A2080" s="73">
        <v>67260</v>
      </c>
      <c r="B2080" t="s">
        <v>423</v>
      </c>
      <c r="C2080" s="73" t="s">
        <v>476</v>
      </c>
      <c r="D2080" t="s">
        <v>506</v>
      </c>
      <c r="E2080" s="74">
        <v>45965</v>
      </c>
      <c r="F2080" t="s">
        <v>404</v>
      </c>
      <c r="G2080" t="s">
        <v>405</v>
      </c>
      <c r="H2080" s="75">
        <f t="shared" si="32"/>
        <v>208.08824495766055</v>
      </c>
      <c r="I2080" s="74">
        <v>45965</v>
      </c>
      <c r="J2080">
        <v>6</v>
      </c>
      <c r="K2080" t="s">
        <v>514</v>
      </c>
      <c r="L2080" t="s">
        <v>262</v>
      </c>
      <c r="M2080" t="s">
        <v>356</v>
      </c>
      <c r="N2080" s="73">
        <v>67260</v>
      </c>
      <c r="O2080" s="73">
        <v>67260</v>
      </c>
      <c r="P2080">
        <v>34.681374159610094</v>
      </c>
    </row>
    <row r="2081" spans="1:16" hidden="1" x14ac:dyDescent="0.2">
      <c r="A2081" s="73">
        <v>67260</v>
      </c>
      <c r="B2081" t="s">
        <v>423</v>
      </c>
      <c r="C2081" s="73" t="s">
        <v>476</v>
      </c>
      <c r="D2081" t="s">
        <v>506</v>
      </c>
      <c r="E2081" s="74">
        <v>45965</v>
      </c>
      <c r="F2081" t="s">
        <v>404</v>
      </c>
      <c r="G2081" t="s">
        <v>405</v>
      </c>
      <c r="H2081" s="75">
        <f t="shared" si="32"/>
        <v>-208.08824495766055</v>
      </c>
      <c r="I2081" s="74">
        <v>45965</v>
      </c>
      <c r="J2081">
        <v>-6</v>
      </c>
      <c r="K2081" t="s">
        <v>514</v>
      </c>
      <c r="L2081" t="s">
        <v>262</v>
      </c>
      <c r="M2081" t="s">
        <v>356</v>
      </c>
      <c r="N2081" s="73">
        <v>67260</v>
      </c>
      <c r="O2081" s="73">
        <v>67260</v>
      </c>
      <c r="P2081">
        <v>34.681374159610094</v>
      </c>
    </row>
    <row r="2082" spans="1:16" hidden="1" x14ac:dyDescent="0.2">
      <c r="A2082" s="73">
        <v>67260</v>
      </c>
      <c r="B2082" t="s">
        <v>423</v>
      </c>
      <c r="C2082" s="73" t="s">
        <v>476</v>
      </c>
      <c r="D2082" t="s">
        <v>506</v>
      </c>
      <c r="E2082" s="74">
        <v>45965</v>
      </c>
      <c r="F2082" t="s">
        <v>404</v>
      </c>
      <c r="G2082" t="s">
        <v>405</v>
      </c>
      <c r="H2082" s="75">
        <f t="shared" si="32"/>
        <v>277.45099327688075</v>
      </c>
      <c r="I2082" s="74">
        <v>45965</v>
      </c>
      <c r="J2082">
        <v>8</v>
      </c>
      <c r="K2082" t="s">
        <v>514</v>
      </c>
      <c r="L2082" t="s">
        <v>262</v>
      </c>
      <c r="M2082" t="s">
        <v>356</v>
      </c>
      <c r="N2082" s="73">
        <v>67260</v>
      </c>
      <c r="O2082" s="73">
        <v>67260</v>
      </c>
      <c r="P2082">
        <v>34.681374159610094</v>
      </c>
    </row>
    <row r="2083" spans="1:16" hidden="1" x14ac:dyDescent="0.2">
      <c r="A2083" s="73">
        <v>67260</v>
      </c>
      <c r="B2083" t="s">
        <v>423</v>
      </c>
      <c r="C2083" s="73" t="s">
        <v>476</v>
      </c>
      <c r="D2083" t="s">
        <v>506</v>
      </c>
      <c r="E2083" s="74">
        <v>45965</v>
      </c>
      <c r="F2083" t="s">
        <v>395</v>
      </c>
      <c r="G2083" t="s">
        <v>396</v>
      </c>
      <c r="H2083" s="75">
        <f t="shared" si="32"/>
        <v>69.362748319220188</v>
      </c>
      <c r="I2083" s="74">
        <v>45965</v>
      </c>
      <c r="J2083">
        <v>2</v>
      </c>
      <c r="K2083" t="s">
        <v>514</v>
      </c>
      <c r="L2083" t="s">
        <v>262</v>
      </c>
      <c r="M2083" t="s">
        <v>356</v>
      </c>
      <c r="N2083" s="73">
        <v>67260</v>
      </c>
      <c r="O2083" s="73">
        <v>67260</v>
      </c>
      <c r="P2083">
        <v>34.681374159610094</v>
      </c>
    </row>
    <row r="2084" spans="1:16" hidden="1" x14ac:dyDescent="0.2">
      <c r="A2084" s="73">
        <v>67260</v>
      </c>
      <c r="B2084" t="s">
        <v>423</v>
      </c>
      <c r="C2084" s="73" t="s">
        <v>476</v>
      </c>
      <c r="D2084" t="s">
        <v>506</v>
      </c>
      <c r="E2084" s="74">
        <v>45965</v>
      </c>
      <c r="F2084" t="s">
        <v>387</v>
      </c>
      <c r="G2084" t="s">
        <v>388</v>
      </c>
      <c r="H2084" s="75">
        <f t="shared" si="32"/>
        <v>208.08824495766055</v>
      </c>
      <c r="I2084" s="74">
        <v>45965</v>
      </c>
      <c r="J2084">
        <v>6</v>
      </c>
      <c r="K2084" t="s">
        <v>514</v>
      </c>
      <c r="L2084" t="s">
        <v>367</v>
      </c>
      <c r="M2084" t="s">
        <v>356</v>
      </c>
      <c r="N2084" s="73">
        <v>67260</v>
      </c>
      <c r="O2084" s="73">
        <v>67260</v>
      </c>
      <c r="P2084">
        <v>34.681374159610094</v>
      </c>
    </row>
    <row r="2085" spans="1:16" hidden="1" x14ac:dyDescent="0.2">
      <c r="A2085" s="73">
        <v>67260</v>
      </c>
      <c r="B2085" t="s">
        <v>423</v>
      </c>
      <c r="C2085" s="73" t="s">
        <v>476</v>
      </c>
      <c r="D2085" t="s">
        <v>506</v>
      </c>
      <c r="E2085" s="74">
        <v>45966</v>
      </c>
      <c r="F2085" t="s">
        <v>404</v>
      </c>
      <c r="G2085" t="s">
        <v>405</v>
      </c>
      <c r="H2085" s="75">
        <f t="shared" si="32"/>
        <v>208.08824495766055</v>
      </c>
      <c r="I2085" s="74">
        <v>45966</v>
      </c>
      <c r="J2085">
        <v>6</v>
      </c>
      <c r="K2085" t="s">
        <v>514</v>
      </c>
      <c r="L2085" t="s">
        <v>262</v>
      </c>
      <c r="M2085" t="s">
        <v>356</v>
      </c>
      <c r="N2085" s="73">
        <v>67260</v>
      </c>
      <c r="O2085" s="73">
        <v>67260</v>
      </c>
      <c r="P2085">
        <v>34.681374159610094</v>
      </c>
    </row>
    <row r="2086" spans="1:16" hidden="1" x14ac:dyDescent="0.2">
      <c r="A2086" s="73">
        <v>67260</v>
      </c>
      <c r="B2086" t="s">
        <v>423</v>
      </c>
      <c r="C2086" s="73" t="s">
        <v>476</v>
      </c>
      <c r="D2086" t="s">
        <v>506</v>
      </c>
      <c r="E2086" s="74">
        <v>45966</v>
      </c>
      <c r="F2086" t="s">
        <v>404</v>
      </c>
      <c r="G2086" t="s">
        <v>405</v>
      </c>
      <c r="H2086" s="75">
        <f t="shared" si="32"/>
        <v>-208.08824495766055</v>
      </c>
      <c r="I2086" s="74">
        <v>45966</v>
      </c>
      <c r="J2086">
        <v>-6</v>
      </c>
      <c r="K2086" t="s">
        <v>514</v>
      </c>
      <c r="L2086" t="s">
        <v>262</v>
      </c>
      <c r="M2086" t="s">
        <v>356</v>
      </c>
      <c r="N2086" s="73">
        <v>67260</v>
      </c>
      <c r="O2086" s="73">
        <v>67260</v>
      </c>
      <c r="P2086">
        <v>34.681374159610094</v>
      </c>
    </row>
    <row r="2087" spans="1:16" hidden="1" x14ac:dyDescent="0.2">
      <c r="A2087" s="73">
        <v>67260</v>
      </c>
      <c r="B2087" t="s">
        <v>423</v>
      </c>
      <c r="C2087" s="73" t="s">
        <v>476</v>
      </c>
      <c r="D2087" t="s">
        <v>506</v>
      </c>
      <c r="E2087" s="74">
        <v>45966</v>
      </c>
      <c r="F2087" t="s">
        <v>404</v>
      </c>
      <c r="G2087" t="s">
        <v>405</v>
      </c>
      <c r="H2087" s="75">
        <f t="shared" si="32"/>
        <v>277.45099327688075</v>
      </c>
      <c r="I2087" s="74">
        <v>45966</v>
      </c>
      <c r="J2087">
        <v>8</v>
      </c>
      <c r="K2087" t="s">
        <v>514</v>
      </c>
      <c r="L2087" t="s">
        <v>262</v>
      </c>
      <c r="M2087" t="s">
        <v>356</v>
      </c>
      <c r="N2087" s="73">
        <v>67260</v>
      </c>
      <c r="O2087" s="73">
        <v>67260</v>
      </c>
      <c r="P2087">
        <v>34.681374159610094</v>
      </c>
    </row>
    <row r="2088" spans="1:16" hidden="1" x14ac:dyDescent="0.2">
      <c r="A2088" s="73">
        <v>67260</v>
      </c>
      <c r="B2088" t="s">
        <v>423</v>
      </c>
      <c r="C2088" s="73" t="s">
        <v>476</v>
      </c>
      <c r="D2088" t="s">
        <v>506</v>
      </c>
      <c r="E2088" s="74">
        <v>45966</v>
      </c>
      <c r="F2088" t="s">
        <v>395</v>
      </c>
      <c r="G2088" t="s">
        <v>396</v>
      </c>
      <c r="H2088" s="75">
        <f t="shared" si="32"/>
        <v>69.362748319220188</v>
      </c>
      <c r="I2088" s="74">
        <v>45966</v>
      </c>
      <c r="J2088">
        <v>2</v>
      </c>
      <c r="K2088" t="s">
        <v>514</v>
      </c>
      <c r="L2088" t="s">
        <v>262</v>
      </c>
      <c r="M2088" t="s">
        <v>356</v>
      </c>
      <c r="N2088" s="73">
        <v>67260</v>
      </c>
      <c r="O2088" s="73">
        <v>67260</v>
      </c>
      <c r="P2088">
        <v>34.681374159610094</v>
      </c>
    </row>
    <row r="2089" spans="1:16" hidden="1" x14ac:dyDescent="0.2">
      <c r="A2089" s="73">
        <v>67260</v>
      </c>
      <c r="B2089" t="s">
        <v>423</v>
      </c>
      <c r="C2089" s="73" t="s">
        <v>476</v>
      </c>
      <c r="D2089" t="s">
        <v>506</v>
      </c>
      <c r="E2089" s="74">
        <v>45966</v>
      </c>
      <c r="F2089" t="s">
        <v>387</v>
      </c>
      <c r="G2089" t="s">
        <v>388</v>
      </c>
      <c r="H2089" s="75">
        <f t="shared" si="32"/>
        <v>173.40687079805048</v>
      </c>
      <c r="I2089" s="74">
        <v>45966</v>
      </c>
      <c r="J2089">
        <v>5</v>
      </c>
      <c r="K2089" t="s">
        <v>514</v>
      </c>
      <c r="L2089" t="s">
        <v>367</v>
      </c>
      <c r="M2089" t="s">
        <v>356</v>
      </c>
      <c r="N2089" s="73">
        <v>67260</v>
      </c>
      <c r="O2089" s="73">
        <v>67260</v>
      </c>
      <c r="P2089">
        <v>34.681374159610094</v>
      </c>
    </row>
    <row r="2090" spans="1:16" hidden="1" x14ac:dyDescent="0.2">
      <c r="A2090" s="73">
        <v>67260</v>
      </c>
      <c r="B2090" t="s">
        <v>423</v>
      </c>
      <c r="C2090" s="73" t="s">
        <v>476</v>
      </c>
      <c r="D2090" t="s">
        <v>506</v>
      </c>
      <c r="E2090" s="74">
        <v>45967</v>
      </c>
      <c r="F2090" t="s">
        <v>404</v>
      </c>
      <c r="G2090" t="s">
        <v>405</v>
      </c>
      <c r="H2090" s="75">
        <f t="shared" si="32"/>
        <v>208.08824495766055</v>
      </c>
      <c r="I2090" s="74">
        <v>45967</v>
      </c>
      <c r="J2090">
        <v>6</v>
      </c>
      <c r="K2090" t="s">
        <v>514</v>
      </c>
      <c r="L2090" t="s">
        <v>262</v>
      </c>
      <c r="M2090" t="s">
        <v>356</v>
      </c>
      <c r="N2090" s="73">
        <v>67260</v>
      </c>
      <c r="O2090" s="73">
        <v>67260</v>
      </c>
      <c r="P2090">
        <v>34.681374159610094</v>
      </c>
    </row>
    <row r="2091" spans="1:16" hidden="1" x14ac:dyDescent="0.2">
      <c r="A2091" s="73">
        <v>67260</v>
      </c>
      <c r="B2091" t="s">
        <v>423</v>
      </c>
      <c r="C2091" s="73" t="s">
        <v>476</v>
      </c>
      <c r="D2091" t="s">
        <v>506</v>
      </c>
      <c r="E2091" s="74">
        <v>45967</v>
      </c>
      <c r="F2091" t="s">
        <v>395</v>
      </c>
      <c r="G2091" t="s">
        <v>396</v>
      </c>
      <c r="H2091" s="75">
        <f t="shared" si="32"/>
        <v>208.08824495766055</v>
      </c>
      <c r="I2091" s="74">
        <v>45967</v>
      </c>
      <c r="J2091">
        <v>6</v>
      </c>
      <c r="K2091" t="s">
        <v>514</v>
      </c>
      <c r="L2091" t="s">
        <v>262</v>
      </c>
      <c r="M2091" t="s">
        <v>356</v>
      </c>
      <c r="N2091" s="73">
        <v>67260</v>
      </c>
      <c r="O2091" s="73">
        <v>67260</v>
      </c>
      <c r="P2091">
        <v>34.681374159610094</v>
      </c>
    </row>
    <row r="2092" spans="1:16" hidden="1" x14ac:dyDescent="0.2">
      <c r="A2092" s="73">
        <v>67260</v>
      </c>
      <c r="B2092" t="s">
        <v>423</v>
      </c>
      <c r="C2092" s="73" t="s">
        <v>476</v>
      </c>
      <c r="D2092" t="s">
        <v>506</v>
      </c>
      <c r="E2092" s="74">
        <v>45967</v>
      </c>
      <c r="F2092" t="s">
        <v>404</v>
      </c>
      <c r="G2092" t="s">
        <v>405</v>
      </c>
      <c r="H2092" s="75">
        <f t="shared" si="32"/>
        <v>-208.08824495766055</v>
      </c>
      <c r="I2092" s="74">
        <v>45967</v>
      </c>
      <c r="J2092">
        <v>-6</v>
      </c>
      <c r="K2092" t="s">
        <v>514</v>
      </c>
      <c r="L2092" t="s">
        <v>262</v>
      </c>
      <c r="M2092" t="s">
        <v>356</v>
      </c>
      <c r="N2092" s="73">
        <v>67260</v>
      </c>
      <c r="O2092" s="73">
        <v>67260</v>
      </c>
      <c r="P2092">
        <v>34.681374159610094</v>
      </c>
    </row>
    <row r="2093" spans="1:16" hidden="1" x14ac:dyDescent="0.2">
      <c r="A2093" s="73">
        <v>67260</v>
      </c>
      <c r="B2093" t="s">
        <v>423</v>
      </c>
      <c r="C2093" s="73" t="s">
        <v>476</v>
      </c>
      <c r="D2093" t="s">
        <v>506</v>
      </c>
      <c r="E2093" s="74">
        <v>45967</v>
      </c>
      <c r="F2093" t="s">
        <v>404</v>
      </c>
      <c r="G2093" t="s">
        <v>405</v>
      </c>
      <c r="H2093" s="75">
        <f t="shared" si="32"/>
        <v>277.45099327688075</v>
      </c>
      <c r="I2093" s="74">
        <v>45967</v>
      </c>
      <c r="J2093">
        <v>8</v>
      </c>
      <c r="K2093" t="s">
        <v>514</v>
      </c>
      <c r="L2093" t="s">
        <v>262</v>
      </c>
      <c r="M2093" t="s">
        <v>356</v>
      </c>
      <c r="N2093" s="73">
        <v>67260</v>
      </c>
      <c r="O2093" s="73">
        <v>67260</v>
      </c>
      <c r="P2093">
        <v>34.681374159610094</v>
      </c>
    </row>
    <row r="2094" spans="1:16" hidden="1" x14ac:dyDescent="0.2">
      <c r="A2094" s="73">
        <v>67260</v>
      </c>
      <c r="B2094" t="s">
        <v>423</v>
      </c>
      <c r="C2094" s="73" t="s">
        <v>476</v>
      </c>
      <c r="D2094" t="s">
        <v>506</v>
      </c>
      <c r="E2094" s="74">
        <v>45967</v>
      </c>
      <c r="F2094" t="s">
        <v>395</v>
      </c>
      <c r="G2094" t="s">
        <v>396</v>
      </c>
      <c r="H2094" s="75">
        <f t="shared" si="32"/>
        <v>-208.08824495766055</v>
      </c>
      <c r="I2094" s="74">
        <v>45967</v>
      </c>
      <c r="J2094">
        <v>-6</v>
      </c>
      <c r="K2094" t="s">
        <v>514</v>
      </c>
      <c r="L2094" t="s">
        <v>262</v>
      </c>
      <c r="M2094" t="s">
        <v>356</v>
      </c>
      <c r="N2094" s="73">
        <v>67260</v>
      </c>
      <c r="O2094" s="73">
        <v>67260</v>
      </c>
      <c r="P2094">
        <v>34.681374159610094</v>
      </c>
    </row>
    <row r="2095" spans="1:16" hidden="1" x14ac:dyDescent="0.2">
      <c r="A2095" s="73">
        <v>67260</v>
      </c>
      <c r="B2095" t="s">
        <v>423</v>
      </c>
      <c r="C2095" s="73" t="s">
        <v>476</v>
      </c>
      <c r="D2095" t="s">
        <v>506</v>
      </c>
      <c r="E2095" s="74">
        <v>45967</v>
      </c>
      <c r="F2095" t="s">
        <v>395</v>
      </c>
      <c r="G2095" t="s">
        <v>396</v>
      </c>
      <c r="H2095" s="75">
        <f t="shared" si="32"/>
        <v>277.45099327688075</v>
      </c>
      <c r="I2095" s="74">
        <v>45967</v>
      </c>
      <c r="J2095">
        <v>8</v>
      </c>
      <c r="K2095" t="s">
        <v>514</v>
      </c>
      <c r="L2095" t="s">
        <v>262</v>
      </c>
      <c r="M2095" t="s">
        <v>356</v>
      </c>
      <c r="N2095" s="73">
        <v>67260</v>
      </c>
      <c r="O2095" s="73">
        <v>67260</v>
      </c>
      <c r="P2095">
        <v>34.681374159610094</v>
      </c>
    </row>
    <row r="2096" spans="1:16" hidden="1" x14ac:dyDescent="0.2">
      <c r="A2096" s="73">
        <v>67260</v>
      </c>
      <c r="B2096" t="s">
        <v>423</v>
      </c>
      <c r="C2096" s="73" t="s">
        <v>476</v>
      </c>
      <c r="D2096" t="s">
        <v>506</v>
      </c>
      <c r="E2096" s="74">
        <v>45967</v>
      </c>
      <c r="F2096" t="s">
        <v>387</v>
      </c>
      <c r="G2096" t="s">
        <v>388</v>
      </c>
      <c r="H2096" s="75">
        <f t="shared" si="32"/>
        <v>208.08824495766055</v>
      </c>
      <c r="I2096" s="74">
        <v>45967</v>
      </c>
      <c r="J2096">
        <v>6</v>
      </c>
      <c r="K2096" t="s">
        <v>514</v>
      </c>
      <c r="L2096" t="s">
        <v>367</v>
      </c>
      <c r="M2096" t="s">
        <v>356</v>
      </c>
      <c r="N2096" s="73">
        <v>67260</v>
      </c>
      <c r="O2096" s="73">
        <v>67260</v>
      </c>
      <c r="P2096">
        <v>34.681374159610094</v>
      </c>
    </row>
    <row r="2097" spans="1:16" hidden="1" x14ac:dyDescent="0.2">
      <c r="A2097" s="73">
        <v>67260</v>
      </c>
      <c r="B2097" t="s">
        <v>423</v>
      </c>
      <c r="C2097" s="73" t="s">
        <v>476</v>
      </c>
      <c r="D2097" t="s">
        <v>506</v>
      </c>
      <c r="E2097" s="74">
        <v>45968</v>
      </c>
      <c r="F2097" t="s">
        <v>404</v>
      </c>
      <c r="G2097" t="s">
        <v>405</v>
      </c>
      <c r="H2097" s="75">
        <f t="shared" si="32"/>
        <v>173.40687079805048</v>
      </c>
      <c r="I2097" s="74">
        <v>45968</v>
      </c>
      <c r="J2097">
        <v>5</v>
      </c>
      <c r="K2097" t="s">
        <v>514</v>
      </c>
      <c r="L2097" t="s">
        <v>262</v>
      </c>
      <c r="M2097" t="s">
        <v>356</v>
      </c>
      <c r="N2097" s="73">
        <v>67260</v>
      </c>
      <c r="O2097" s="73">
        <v>67260</v>
      </c>
      <c r="P2097">
        <v>34.681374159610094</v>
      </c>
    </row>
    <row r="2098" spans="1:16" hidden="1" x14ac:dyDescent="0.2">
      <c r="A2098" s="73">
        <v>67260</v>
      </c>
      <c r="B2098" t="s">
        <v>423</v>
      </c>
      <c r="C2098" s="73" t="s">
        <v>476</v>
      </c>
      <c r="D2098" t="s">
        <v>506</v>
      </c>
      <c r="E2098" s="74">
        <v>45968</v>
      </c>
      <c r="F2098" t="s">
        <v>395</v>
      </c>
      <c r="G2098" t="s">
        <v>396</v>
      </c>
      <c r="H2098" s="75">
        <f t="shared" si="32"/>
        <v>208.08824495766055</v>
      </c>
      <c r="I2098" s="74">
        <v>45968</v>
      </c>
      <c r="J2098">
        <v>6</v>
      </c>
      <c r="K2098" t="s">
        <v>514</v>
      </c>
      <c r="L2098" t="s">
        <v>262</v>
      </c>
      <c r="M2098" t="s">
        <v>356</v>
      </c>
      <c r="N2098" s="73">
        <v>67260</v>
      </c>
      <c r="O2098" s="73">
        <v>67260</v>
      </c>
      <c r="P2098">
        <v>34.681374159610094</v>
      </c>
    </row>
    <row r="2099" spans="1:16" hidden="1" x14ac:dyDescent="0.2">
      <c r="A2099" s="73">
        <v>67260</v>
      </c>
      <c r="B2099" t="s">
        <v>423</v>
      </c>
      <c r="C2099" s="73" t="s">
        <v>476</v>
      </c>
      <c r="D2099" t="s">
        <v>506</v>
      </c>
      <c r="E2099" s="74">
        <v>45968</v>
      </c>
      <c r="F2099" t="s">
        <v>404</v>
      </c>
      <c r="G2099" t="s">
        <v>405</v>
      </c>
      <c r="H2099" s="75">
        <f t="shared" si="32"/>
        <v>-173.40687079805048</v>
      </c>
      <c r="I2099" s="74">
        <v>45968</v>
      </c>
      <c r="J2099">
        <v>-5</v>
      </c>
      <c r="K2099" t="s">
        <v>514</v>
      </c>
      <c r="L2099" t="s">
        <v>262</v>
      </c>
      <c r="M2099" t="s">
        <v>356</v>
      </c>
      <c r="N2099" s="73">
        <v>67260</v>
      </c>
      <c r="O2099" s="73">
        <v>67260</v>
      </c>
      <c r="P2099">
        <v>34.681374159610094</v>
      </c>
    </row>
    <row r="2100" spans="1:16" hidden="1" x14ac:dyDescent="0.2">
      <c r="A2100" s="73">
        <v>67260</v>
      </c>
      <c r="B2100" t="s">
        <v>423</v>
      </c>
      <c r="C2100" s="73" t="s">
        <v>476</v>
      </c>
      <c r="D2100" t="s">
        <v>506</v>
      </c>
      <c r="E2100" s="74">
        <v>45968</v>
      </c>
      <c r="F2100" t="s">
        <v>404</v>
      </c>
      <c r="G2100" t="s">
        <v>405</v>
      </c>
      <c r="H2100" s="75">
        <f t="shared" si="32"/>
        <v>277.45099327688075</v>
      </c>
      <c r="I2100" s="74">
        <v>45968</v>
      </c>
      <c r="J2100">
        <v>8</v>
      </c>
      <c r="K2100" t="s">
        <v>514</v>
      </c>
      <c r="L2100" t="s">
        <v>262</v>
      </c>
      <c r="M2100" t="s">
        <v>356</v>
      </c>
      <c r="N2100" s="73">
        <v>67260</v>
      </c>
      <c r="O2100" s="73">
        <v>67260</v>
      </c>
      <c r="P2100">
        <v>34.681374159610094</v>
      </c>
    </row>
    <row r="2101" spans="1:16" hidden="1" x14ac:dyDescent="0.2">
      <c r="A2101" s="73">
        <v>67260</v>
      </c>
      <c r="B2101" t="s">
        <v>423</v>
      </c>
      <c r="C2101" s="73" t="s">
        <v>476</v>
      </c>
      <c r="D2101" t="s">
        <v>506</v>
      </c>
      <c r="E2101" s="74">
        <v>45968</v>
      </c>
      <c r="F2101" t="s">
        <v>395</v>
      </c>
      <c r="G2101" t="s">
        <v>396</v>
      </c>
      <c r="H2101" s="75">
        <f t="shared" si="32"/>
        <v>-208.08824495766055</v>
      </c>
      <c r="I2101" s="74">
        <v>45968</v>
      </c>
      <c r="J2101">
        <v>-6</v>
      </c>
      <c r="K2101" t="s">
        <v>514</v>
      </c>
      <c r="L2101" t="s">
        <v>262</v>
      </c>
      <c r="M2101" t="s">
        <v>356</v>
      </c>
      <c r="N2101" s="73">
        <v>67260</v>
      </c>
      <c r="O2101" s="73">
        <v>67260</v>
      </c>
      <c r="P2101">
        <v>34.681374159610094</v>
      </c>
    </row>
    <row r="2102" spans="1:16" hidden="1" x14ac:dyDescent="0.2">
      <c r="A2102" s="73">
        <v>67260</v>
      </c>
      <c r="B2102" t="s">
        <v>423</v>
      </c>
      <c r="C2102" s="73" t="s">
        <v>476</v>
      </c>
      <c r="D2102" t="s">
        <v>506</v>
      </c>
      <c r="E2102" s="74">
        <v>45968</v>
      </c>
      <c r="F2102" t="s">
        <v>395</v>
      </c>
      <c r="G2102" t="s">
        <v>396</v>
      </c>
      <c r="H2102" s="75">
        <f t="shared" si="32"/>
        <v>277.45099327688075</v>
      </c>
      <c r="I2102" s="74">
        <v>45968</v>
      </c>
      <c r="J2102">
        <v>8</v>
      </c>
      <c r="K2102" t="s">
        <v>514</v>
      </c>
      <c r="L2102" t="s">
        <v>262</v>
      </c>
      <c r="M2102" t="s">
        <v>356</v>
      </c>
      <c r="N2102" s="73">
        <v>67260</v>
      </c>
      <c r="O2102" s="73">
        <v>67260</v>
      </c>
      <c r="P2102">
        <v>34.681374159610094</v>
      </c>
    </row>
    <row r="2103" spans="1:16" hidden="1" x14ac:dyDescent="0.2">
      <c r="A2103" s="73">
        <v>67260</v>
      </c>
      <c r="B2103" t="s">
        <v>423</v>
      </c>
      <c r="C2103" s="73" t="s">
        <v>476</v>
      </c>
      <c r="D2103" t="s">
        <v>506</v>
      </c>
      <c r="E2103" s="74">
        <v>45968</v>
      </c>
      <c r="F2103" t="s">
        <v>387</v>
      </c>
      <c r="G2103" t="s">
        <v>388</v>
      </c>
      <c r="H2103" s="75">
        <f t="shared" si="32"/>
        <v>242.76961911727065</v>
      </c>
      <c r="I2103" s="74">
        <v>45968</v>
      </c>
      <c r="J2103">
        <v>7</v>
      </c>
      <c r="K2103" t="s">
        <v>514</v>
      </c>
      <c r="L2103" t="s">
        <v>367</v>
      </c>
      <c r="M2103" t="s">
        <v>356</v>
      </c>
      <c r="N2103" s="73">
        <v>67260</v>
      </c>
      <c r="O2103" s="73">
        <v>67260</v>
      </c>
      <c r="P2103">
        <v>34.681374159610094</v>
      </c>
    </row>
    <row r="2104" spans="1:16" hidden="1" x14ac:dyDescent="0.2">
      <c r="A2104" s="73">
        <v>67260</v>
      </c>
      <c r="B2104" t="s">
        <v>423</v>
      </c>
      <c r="C2104" s="73" t="s">
        <v>476</v>
      </c>
      <c r="D2104" t="s">
        <v>506</v>
      </c>
      <c r="E2104" s="74">
        <v>45971</v>
      </c>
      <c r="F2104" t="s">
        <v>395</v>
      </c>
      <c r="G2104" t="s">
        <v>396</v>
      </c>
      <c r="H2104" s="75">
        <f t="shared" si="32"/>
        <v>277.45099327688075</v>
      </c>
      <c r="I2104" s="74">
        <v>45971</v>
      </c>
      <c r="J2104">
        <v>8</v>
      </c>
      <c r="K2104" t="s">
        <v>514</v>
      </c>
      <c r="L2104" t="s">
        <v>262</v>
      </c>
      <c r="M2104" t="s">
        <v>356</v>
      </c>
      <c r="N2104" s="73">
        <v>67260</v>
      </c>
      <c r="O2104" s="73">
        <v>67260</v>
      </c>
      <c r="P2104">
        <v>34.681374159610094</v>
      </c>
    </row>
    <row r="2105" spans="1:16" hidden="1" x14ac:dyDescent="0.2">
      <c r="A2105" s="73">
        <v>67260</v>
      </c>
      <c r="B2105" t="s">
        <v>423</v>
      </c>
      <c r="C2105" s="73" t="s">
        <v>476</v>
      </c>
      <c r="D2105" t="s">
        <v>506</v>
      </c>
      <c r="E2105" s="74">
        <v>45971</v>
      </c>
      <c r="F2105" t="s">
        <v>404</v>
      </c>
      <c r="G2105" t="s">
        <v>405</v>
      </c>
      <c r="H2105" s="75">
        <f t="shared" si="32"/>
        <v>277.45099327688075</v>
      </c>
      <c r="I2105" s="74">
        <v>45971</v>
      </c>
      <c r="J2105">
        <v>8</v>
      </c>
      <c r="K2105" t="s">
        <v>514</v>
      </c>
      <c r="L2105" t="s">
        <v>262</v>
      </c>
      <c r="M2105" t="s">
        <v>356</v>
      </c>
      <c r="N2105" s="73">
        <v>67260</v>
      </c>
      <c r="O2105" s="73">
        <v>67260</v>
      </c>
      <c r="P2105">
        <v>34.681374159610094</v>
      </c>
    </row>
    <row r="2106" spans="1:16" hidden="1" x14ac:dyDescent="0.2">
      <c r="A2106" s="73">
        <v>67260</v>
      </c>
      <c r="B2106" t="s">
        <v>423</v>
      </c>
      <c r="C2106" s="73" t="s">
        <v>476</v>
      </c>
      <c r="D2106" t="s">
        <v>506</v>
      </c>
      <c r="E2106" s="74">
        <v>45971</v>
      </c>
      <c r="F2106" t="s">
        <v>395</v>
      </c>
      <c r="G2106" t="s">
        <v>396</v>
      </c>
      <c r="H2106" s="75">
        <f t="shared" si="32"/>
        <v>-277.45099327688075</v>
      </c>
      <c r="I2106" s="74">
        <v>45971</v>
      </c>
      <c r="J2106">
        <v>-8</v>
      </c>
      <c r="K2106" t="s">
        <v>514</v>
      </c>
      <c r="L2106" t="s">
        <v>262</v>
      </c>
      <c r="M2106" t="s">
        <v>356</v>
      </c>
      <c r="N2106" s="73">
        <v>67260</v>
      </c>
      <c r="O2106" s="73">
        <v>67260</v>
      </c>
      <c r="P2106">
        <v>34.681374159610094</v>
      </c>
    </row>
    <row r="2107" spans="1:16" hidden="1" x14ac:dyDescent="0.2">
      <c r="A2107" s="73">
        <v>67260</v>
      </c>
      <c r="B2107" t="s">
        <v>423</v>
      </c>
      <c r="C2107" s="73" t="s">
        <v>476</v>
      </c>
      <c r="D2107" t="s">
        <v>506</v>
      </c>
      <c r="E2107" s="74">
        <v>45971</v>
      </c>
      <c r="F2107" t="s">
        <v>387</v>
      </c>
      <c r="G2107" t="s">
        <v>388</v>
      </c>
      <c r="H2107" s="75">
        <f t="shared" si="32"/>
        <v>242.76961911727065</v>
      </c>
      <c r="I2107" s="74">
        <v>45971</v>
      </c>
      <c r="J2107">
        <v>7</v>
      </c>
      <c r="K2107" t="s">
        <v>514</v>
      </c>
      <c r="L2107" t="s">
        <v>367</v>
      </c>
      <c r="M2107" t="s">
        <v>356</v>
      </c>
      <c r="N2107" s="73">
        <v>67260</v>
      </c>
      <c r="O2107" s="73">
        <v>67260</v>
      </c>
      <c r="P2107">
        <v>34.681374159610094</v>
      </c>
    </row>
    <row r="2108" spans="1:16" hidden="1" x14ac:dyDescent="0.2">
      <c r="A2108" s="73">
        <v>67260</v>
      </c>
      <c r="B2108" t="s">
        <v>423</v>
      </c>
      <c r="C2108" s="73" t="s">
        <v>476</v>
      </c>
      <c r="D2108" t="s">
        <v>506</v>
      </c>
      <c r="E2108" s="74">
        <v>45972</v>
      </c>
      <c r="F2108" t="s">
        <v>395</v>
      </c>
      <c r="G2108" t="s">
        <v>396</v>
      </c>
      <c r="H2108" s="75">
        <f t="shared" si="32"/>
        <v>277.45099327688075</v>
      </c>
      <c r="I2108" s="74">
        <v>45972</v>
      </c>
      <c r="J2108">
        <v>8</v>
      </c>
      <c r="K2108" t="s">
        <v>514</v>
      </c>
      <c r="L2108" t="s">
        <v>262</v>
      </c>
      <c r="M2108" t="s">
        <v>356</v>
      </c>
      <c r="N2108" s="73">
        <v>67260</v>
      </c>
      <c r="O2108" s="73">
        <v>67260</v>
      </c>
      <c r="P2108">
        <v>34.681374159610094</v>
      </c>
    </row>
    <row r="2109" spans="1:16" hidden="1" x14ac:dyDescent="0.2">
      <c r="A2109" s="73">
        <v>67260</v>
      </c>
      <c r="B2109" t="s">
        <v>423</v>
      </c>
      <c r="C2109" s="73" t="s">
        <v>476</v>
      </c>
      <c r="D2109" t="s">
        <v>506</v>
      </c>
      <c r="E2109" s="74">
        <v>45972</v>
      </c>
      <c r="F2109" t="s">
        <v>404</v>
      </c>
      <c r="G2109" t="s">
        <v>405</v>
      </c>
      <c r="H2109" s="75">
        <f t="shared" si="32"/>
        <v>277.45099327688075</v>
      </c>
      <c r="I2109" s="74">
        <v>45972</v>
      </c>
      <c r="J2109">
        <v>8</v>
      </c>
      <c r="K2109" t="s">
        <v>514</v>
      </c>
      <c r="L2109" t="s">
        <v>262</v>
      </c>
      <c r="M2109" t="s">
        <v>356</v>
      </c>
      <c r="N2109" s="73">
        <v>67260</v>
      </c>
      <c r="O2109" s="73">
        <v>67260</v>
      </c>
      <c r="P2109">
        <v>34.681374159610094</v>
      </c>
    </row>
    <row r="2110" spans="1:16" hidden="1" x14ac:dyDescent="0.2">
      <c r="A2110" s="73">
        <v>67260</v>
      </c>
      <c r="B2110" t="s">
        <v>423</v>
      </c>
      <c r="C2110" s="73" t="s">
        <v>476</v>
      </c>
      <c r="D2110" t="s">
        <v>506</v>
      </c>
      <c r="E2110" s="74">
        <v>45972</v>
      </c>
      <c r="F2110" t="s">
        <v>387</v>
      </c>
      <c r="G2110" t="s">
        <v>388</v>
      </c>
      <c r="H2110" s="75">
        <f t="shared" si="32"/>
        <v>173.40687079805048</v>
      </c>
      <c r="I2110" s="74">
        <v>45972</v>
      </c>
      <c r="J2110">
        <v>5</v>
      </c>
      <c r="K2110" t="s">
        <v>514</v>
      </c>
      <c r="L2110" t="s">
        <v>367</v>
      </c>
      <c r="M2110" t="s">
        <v>356</v>
      </c>
      <c r="N2110" s="73">
        <v>67260</v>
      </c>
      <c r="O2110" s="73">
        <v>67260</v>
      </c>
      <c r="P2110">
        <v>34.681374159610094</v>
      </c>
    </row>
    <row r="2111" spans="1:16" hidden="1" x14ac:dyDescent="0.2">
      <c r="A2111" s="73">
        <v>67260</v>
      </c>
      <c r="B2111" t="s">
        <v>423</v>
      </c>
      <c r="C2111" s="73" t="s">
        <v>476</v>
      </c>
      <c r="D2111" t="s">
        <v>506</v>
      </c>
      <c r="E2111" s="74">
        <v>45973</v>
      </c>
      <c r="F2111" t="s">
        <v>395</v>
      </c>
      <c r="G2111" t="s">
        <v>396</v>
      </c>
      <c r="H2111" s="75">
        <f t="shared" si="32"/>
        <v>277.45099327688075</v>
      </c>
      <c r="I2111" s="74">
        <v>45973</v>
      </c>
      <c r="J2111">
        <v>8</v>
      </c>
      <c r="K2111" t="s">
        <v>514</v>
      </c>
      <c r="L2111" t="s">
        <v>262</v>
      </c>
      <c r="M2111" t="s">
        <v>356</v>
      </c>
      <c r="N2111" s="73">
        <v>67260</v>
      </c>
      <c r="O2111" s="73">
        <v>67260</v>
      </c>
      <c r="P2111">
        <v>34.681374159610094</v>
      </c>
    </row>
    <row r="2112" spans="1:16" hidden="1" x14ac:dyDescent="0.2">
      <c r="A2112" s="73">
        <v>67260</v>
      </c>
      <c r="B2112" t="s">
        <v>423</v>
      </c>
      <c r="C2112" s="73" t="s">
        <v>476</v>
      </c>
      <c r="D2112" t="s">
        <v>506</v>
      </c>
      <c r="E2112" s="74">
        <v>45973</v>
      </c>
      <c r="F2112" t="s">
        <v>404</v>
      </c>
      <c r="G2112" t="s">
        <v>405</v>
      </c>
      <c r="H2112" s="75">
        <f t="shared" si="32"/>
        <v>277.45099327688075</v>
      </c>
      <c r="I2112" s="74">
        <v>45973</v>
      </c>
      <c r="J2112">
        <v>8</v>
      </c>
      <c r="K2112" t="s">
        <v>514</v>
      </c>
      <c r="L2112" t="s">
        <v>262</v>
      </c>
      <c r="M2112" t="s">
        <v>356</v>
      </c>
      <c r="N2112" s="73">
        <v>67260</v>
      </c>
      <c r="O2112" s="73">
        <v>67260</v>
      </c>
      <c r="P2112">
        <v>34.681374159610094</v>
      </c>
    </row>
    <row r="2113" spans="1:16" hidden="1" x14ac:dyDescent="0.2">
      <c r="A2113" s="73">
        <v>67260</v>
      </c>
      <c r="B2113" t="s">
        <v>423</v>
      </c>
      <c r="C2113" s="73" t="s">
        <v>476</v>
      </c>
      <c r="D2113" t="s">
        <v>506</v>
      </c>
      <c r="E2113" s="74">
        <v>45973</v>
      </c>
      <c r="F2113" t="s">
        <v>387</v>
      </c>
      <c r="G2113" t="s">
        <v>388</v>
      </c>
      <c r="H2113" s="75">
        <f t="shared" si="32"/>
        <v>208.08824495766055</v>
      </c>
      <c r="I2113" s="74">
        <v>45973</v>
      </c>
      <c r="J2113">
        <v>6</v>
      </c>
      <c r="K2113" t="s">
        <v>514</v>
      </c>
      <c r="L2113" t="s">
        <v>367</v>
      </c>
      <c r="M2113" t="s">
        <v>356</v>
      </c>
      <c r="N2113" s="73">
        <v>67260</v>
      </c>
      <c r="O2113" s="73">
        <v>67260</v>
      </c>
      <c r="P2113">
        <v>34.681374159610094</v>
      </c>
    </row>
    <row r="2114" spans="1:16" hidden="1" x14ac:dyDescent="0.2">
      <c r="A2114" s="73">
        <v>67260</v>
      </c>
      <c r="B2114" t="s">
        <v>423</v>
      </c>
      <c r="C2114" s="73" t="s">
        <v>476</v>
      </c>
      <c r="D2114" t="s">
        <v>506</v>
      </c>
      <c r="E2114" s="74">
        <v>45974</v>
      </c>
      <c r="F2114" t="s">
        <v>395</v>
      </c>
      <c r="G2114" t="s">
        <v>396</v>
      </c>
      <c r="H2114" s="75">
        <f t="shared" ref="H2114:H2177" si="33">J2114*P2114</f>
        <v>277.45099327688075</v>
      </c>
      <c r="I2114" s="74">
        <v>45974</v>
      </c>
      <c r="J2114">
        <v>8</v>
      </c>
      <c r="K2114" t="s">
        <v>514</v>
      </c>
      <c r="L2114" t="s">
        <v>262</v>
      </c>
      <c r="M2114" t="s">
        <v>356</v>
      </c>
      <c r="N2114" s="73">
        <v>67260</v>
      </c>
      <c r="O2114" s="73">
        <v>67260</v>
      </c>
      <c r="P2114">
        <v>34.681374159610094</v>
      </c>
    </row>
    <row r="2115" spans="1:16" hidden="1" x14ac:dyDescent="0.2">
      <c r="A2115" s="73">
        <v>67260</v>
      </c>
      <c r="B2115" t="s">
        <v>423</v>
      </c>
      <c r="C2115" s="73" t="s">
        <v>476</v>
      </c>
      <c r="D2115" t="s">
        <v>506</v>
      </c>
      <c r="E2115" s="74">
        <v>45974</v>
      </c>
      <c r="F2115" t="s">
        <v>404</v>
      </c>
      <c r="G2115" t="s">
        <v>405</v>
      </c>
      <c r="H2115" s="75">
        <f t="shared" si="33"/>
        <v>277.45099327688075</v>
      </c>
      <c r="I2115" s="74">
        <v>45974</v>
      </c>
      <c r="J2115">
        <v>8</v>
      </c>
      <c r="K2115" t="s">
        <v>514</v>
      </c>
      <c r="L2115" t="s">
        <v>262</v>
      </c>
      <c r="M2115" t="s">
        <v>356</v>
      </c>
      <c r="N2115" s="73">
        <v>67260</v>
      </c>
      <c r="O2115" s="73">
        <v>67260</v>
      </c>
      <c r="P2115">
        <v>34.681374159610094</v>
      </c>
    </row>
    <row r="2116" spans="1:16" hidden="1" x14ac:dyDescent="0.2">
      <c r="A2116" s="73">
        <v>67260</v>
      </c>
      <c r="B2116" t="s">
        <v>423</v>
      </c>
      <c r="C2116" s="73" t="s">
        <v>476</v>
      </c>
      <c r="D2116" t="s">
        <v>506</v>
      </c>
      <c r="E2116" s="74">
        <v>45975</v>
      </c>
      <c r="F2116" t="s">
        <v>395</v>
      </c>
      <c r="G2116" t="s">
        <v>396</v>
      </c>
      <c r="H2116" s="75">
        <f t="shared" si="33"/>
        <v>277.45099327688075</v>
      </c>
      <c r="I2116" s="74">
        <v>45975</v>
      </c>
      <c r="J2116">
        <v>8</v>
      </c>
      <c r="K2116" t="s">
        <v>514</v>
      </c>
      <c r="L2116" t="s">
        <v>262</v>
      </c>
      <c r="M2116" t="s">
        <v>356</v>
      </c>
      <c r="N2116" s="73">
        <v>67260</v>
      </c>
      <c r="O2116" s="73">
        <v>67260</v>
      </c>
      <c r="P2116">
        <v>34.681374159610094</v>
      </c>
    </row>
    <row r="2117" spans="1:16" hidden="1" x14ac:dyDescent="0.2">
      <c r="A2117" s="73">
        <v>67260</v>
      </c>
      <c r="B2117" t="s">
        <v>423</v>
      </c>
      <c r="C2117" s="73" t="s">
        <v>476</v>
      </c>
      <c r="D2117" t="s">
        <v>506</v>
      </c>
      <c r="E2117" s="74">
        <v>45975</v>
      </c>
      <c r="F2117" t="s">
        <v>404</v>
      </c>
      <c r="G2117" t="s">
        <v>405</v>
      </c>
      <c r="H2117" s="75">
        <f t="shared" si="33"/>
        <v>277.45099327688075</v>
      </c>
      <c r="I2117" s="74">
        <v>45975</v>
      </c>
      <c r="J2117">
        <v>8</v>
      </c>
      <c r="K2117" t="s">
        <v>514</v>
      </c>
      <c r="L2117" t="s">
        <v>262</v>
      </c>
      <c r="M2117" t="s">
        <v>356</v>
      </c>
      <c r="N2117" s="73">
        <v>67260</v>
      </c>
      <c r="O2117" s="73">
        <v>67260</v>
      </c>
      <c r="P2117">
        <v>34.681374159610094</v>
      </c>
    </row>
    <row r="2118" spans="1:16" hidden="1" x14ac:dyDescent="0.2">
      <c r="A2118" s="73">
        <v>67260</v>
      </c>
      <c r="B2118" t="s">
        <v>423</v>
      </c>
      <c r="C2118" s="73" t="s">
        <v>476</v>
      </c>
      <c r="D2118" t="s">
        <v>506</v>
      </c>
      <c r="E2118" s="74">
        <v>45978</v>
      </c>
      <c r="F2118" t="s">
        <v>404</v>
      </c>
      <c r="G2118" t="s">
        <v>405</v>
      </c>
      <c r="H2118" s="75">
        <f t="shared" si="33"/>
        <v>277.45099327688075</v>
      </c>
      <c r="I2118" s="74">
        <v>45978</v>
      </c>
      <c r="J2118">
        <v>8</v>
      </c>
      <c r="K2118" t="s">
        <v>514</v>
      </c>
      <c r="L2118" t="s">
        <v>262</v>
      </c>
      <c r="M2118" t="s">
        <v>356</v>
      </c>
      <c r="N2118" s="73">
        <v>67260</v>
      </c>
      <c r="O2118" s="73">
        <v>67260</v>
      </c>
      <c r="P2118">
        <v>34.681374159610094</v>
      </c>
    </row>
    <row r="2119" spans="1:16" hidden="1" x14ac:dyDescent="0.2">
      <c r="A2119" s="73">
        <v>67260</v>
      </c>
      <c r="B2119" t="s">
        <v>423</v>
      </c>
      <c r="C2119" s="73" t="s">
        <v>476</v>
      </c>
      <c r="D2119" t="s">
        <v>506</v>
      </c>
      <c r="E2119" s="74">
        <v>45978</v>
      </c>
      <c r="F2119" t="s">
        <v>387</v>
      </c>
      <c r="G2119" t="s">
        <v>388</v>
      </c>
      <c r="H2119" s="75">
        <f t="shared" si="33"/>
        <v>138.72549663844038</v>
      </c>
      <c r="I2119" s="74">
        <v>45978</v>
      </c>
      <c r="J2119">
        <v>4</v>
      </c>
      <c r="K2119" t="s">
        <v>514</v>
      </c>
      <c r="L2119" t="s">
        <v>367</v>
      </c>
      <c r="M2119" t="s">
        <v>356</v>
      </c>
      <c r="N2119" s="73">
        <v>67260</v>
      </c>
      <c r="O2119" s="73">
        <v>67260</v>
      </c>
      <c r="P2119">
        <v>34.681374159610094</v>
      </c>
    </row>
    <row r="2120" spans="1:16" hidden="1" x14ac:dyDescent="0.2">
      <c r="A2120" s="73">
        <v>67260</v>
      </c>
      <c r="B2120" t="s">
        <v>423</v>
      </c>
      <c r="C2120" s="73" t="s">
        <v>476</v>
      </c>
      <c r="D2120" t="s">
        <v>506</v>
      </c>
      <c r="E2120" s="74">
        <v>45978</v>
      </c>
      <c r="F2120" t="s">
        <v>395</v>
      </c>
      <c r="G2120" t="s">
        <v>396</v>
      </c>
      <c r="H2120" s="75">
        <f t="shared" si="33"/>
        <v>277.45099327688075</v>
      </c>
      <c r="I2120" s="74">
        <v>45978</v>
      </c>
      <c r="J2120">
        <v>8</v>
      </c>
      <c r="K2120" t="s">
        <v>514</v>
      </c>
      <c r="L2120" t="s">
        <v>262</v>
      </c>
      <c r="M2120" t="s">
        <v>356</v>
      </c>
      <c r="N2120" s="73">
        <v>67260</v>
      </c>
      <c r="O2120" s="73">
        <v>67260</v>
      </c>
      <c r="P2120">
        <v>34.681374159610094</v>
      </c>
    </row>
    <row r="2121" spans="1:16" hidden="1" x14ac:dyDescent="0.2">
      <c r="A2121" s="73">
        <v>67260</v>
      </c>
      <c r="B2121" t="s">
        <v>423</v>
      </c>
      <c r="C2121" s="73" t="s">
        <v>476</v>
      </c>
      <c r="D2121" t="s">
        <v>506</v>
      </c>
      <c r="E2121" s="74">
        <v>45979</v>
      </c>
      <c r="F2121" t="s">
        <v>404</v>
      </c>
      <c r="G2121" t="s">
        <v>405</v>
      </c>
      <c r="H2121" s="75">
        <f t="shared" si="33"/>
        <v>277.45099327688075</v>
      </c>
      <c r="I2121" s="74">
        <v>45979</v>
      </c>
      <c r="J2121">
        <v>8</v>
      </c>
      <c r="K2121" t="s">
        <v>514</v>
      </c>
      <c r="L2121" t="s">
        <v>262</v>
      </c>
      <c r="M2121" t="s">
        <v>356</v>
      </c>
      <c r="N2121" s="73">
        <v>67260</v>
      </c>
      <c r="O2121" s="73">
        <v>67260</v>
      </c>
      <c r="P2121">
        <v>34.681374159610094</v>
      </c>
    </row>
    <row r="2122" spans="1:16" hidden="1" x14ac:dyDescent="0.2">
      <c r="A2122" s="73">
        <v>67260</v>
      </c>
      <c r="B2122" t="s">
        <v>423</v>
      </c>
      <c r="C2122" s="73" t="s">
        <v>476</v>
      </c>
      <c r="D2122" t="s">
        <v>506</v>
      </c>
      <c r="E2122" s="74">
        <v>45979</v>
      </c>
      <c r="F2122" t="s">
        <v>387</v>
      </c>
      <c r="G2122" t="s">
        <v>388</v>
      </c>
      <c r="H2122" s="75">
        <f t="shared" si="33"/>
        <v>208.08824495766055</v>
      </c>
      <c r="I2122" s="74">
        <v>45979</v>
      </c>
      <c r="J2122">
        <v>6</v>
      </c>
      <c r="K2122" t="s">
        <v>514</v>
      </c>
      <c r="L2122" t="s">
        <v>367</v>
      </c>
      <c r="M2122" t="s">
        <v>356</v>
      </c>
      <c r="N2122" s="73">
        <v>67260</v>
      </c>
      <c r="O2122" s="73">
        <v>67260</v>
      </c>
      <c r="P2122">
        <v>34.681374159610094</v>
      </c>
    </row>
    <row r="2123" spans="1:16" hidden="1" x14ac:dyDescent="0.2">
      <c r="A2123" s="73">
        <v>67260</v>
      </c>
      <c r="B2123" t="s">
        <v>423</v>
      </c>
      <c r="C2123" s="73" t="s">
        <v>476</v>
      </c>
      <c r="D2123" t="s">
        <v>506</v>
      </c>
      <c r="E2123" s="74">
        <v>45979</v>
      </c>
      <c r="F2123" t="s">
        <v>395</v>
      </c>
      <c r="G2123" t="s">
        <v>396</v>
      </c>
      <c r="H2123" s="75">
        <f t="shared" si="33"/>
        <v>277.45099327688075</v>
      </c>
      <c r="I2123" s="74">
        <v>45979</v>
      </c>
      <c r="J2123">
        <v>8</v>
      </c>
      <c r="K2123" t="s">
        <v>514</v>
      </c>
      <c r="L2123" t="s">
        <v>262</v>
      </c>
      <c r="M2123" t="s">
        <v>356</v>
      </c>
      <c r="N2123" s="73">
        <v>67260</v>
      </c>
      <c r="O2123" s="73">
        <v>67260</v>
      </c>
      <c r="P2123">
        <v>34.681374159610094</v>
      </c>
    </row>
    <row r="2124" spans="1:16" hidden="1" x14ac:dyDescent="0.2">
      <c r="A2124" s="73">
        <v>67260</v>
      </c>
      <c r="B2124" t="s">
        <v>423</v>
      </c>
      <c r="C2124" s="73" t="s">
        <v>476</v>
      </c>
      <c r="D2124" t="s">
        <v>506</v>
      </c>
      <c r="E2124" s="74">
        <v>45980</v>
      </c>
      <c r="F2124" t="s">
        <v>387</v>
      </c>
      <c r="G2124" t="s">
        <v>388</v>
      </c>
      <c r="H2124" s="75">
        <f t="shared" si="33"/>
        <v>208.08824495766055</v>
      </c>
      <c r="I2124" s="74">
        <v>45980</v>
      </c>
      <c r="J2124">
        <v>6</v>
      </c>
      <c r="K2124" t="s">
        <v>514</v>
      </c>
      <c r="L2124" t="s">
        <v>367</v>
      </c>
      <c r="M2124" t="s">
        <v>356</v>
      </c>
      <c r="N2124" s="73">
        <v>67260</v>
      </c>
      <c r="O2124" s="73">
        <v>67260</v>
      </c>
      <c r="P2124">
        <v>34.681374159610094</v>
      </c>
    </row>
    <row r="2125" spans="1:16" hidden="1" x14ac:dyDescent="0.2">
      <c r="A2125" s="73">
        <v>67260</v>
      </c>
      <c r="B2125" t="s">
        <v>423</v>
      </c>
      <c r="C2125" s="73" t="s">
        <v>476</v>
      </c>
      <c r="D2125" t="s">
        <v>506</v>
      </c>
      <c r="E2125" s="74">
        <v>45980</v>
      </c>
      <c r="F2125" t="s">
        <v>395</v>
      </c>
      <c r="G2125" t="s">
        <v>396</v>
      </c>
      <c r="H2125" s="75">
        <f t="shared" si="33"/>
        <v>277.45099327688075</v>
      </c>
      <c r="I2125" s="74">
        <v>45980</v>
      </c>
      <c r="J2125">
        <v>8</v>
      </c>
      <c r="K2125" t="s">
        <v>514</v>
      </c>
      <c r="L2125" t="s">
        <v>262</v>
      </c>
      <c r="M2125" t="s">
        <v>356</v>
      </c>
      <c r="N2125" s="73">
        <v>67260</v>
      </c>
      <c r="O2125" s="73">
        <v>67260</v>
      </c>
      <c r="P2125">
        <v>34.681374159610094</v>
      </c>
    </row>
    <row r="2126" spans="1:16" hidden="1" x14ac:dyDescent="0.2">
      <c r="A2126" s="73">
        <v>67260</v>
      </c>
      <c r="B2126" t="s">
        <v>423</v>
      </c>
      <c r="C2126" s="73" t="s">
        <v>476</v>
      </c>
      <c r="D2126" t="s">
        <v>506</v>
      </c>
      <c r="E2126" s="74">
        <v>45981</v>
      </c>
      <c r="F2126" t="s">
        <v>404</v>
      </c>
      <c r="G2126" t="s">
        <v>405</v>
      </c>
      <c r="H2126" s="75">
        <f t="shared" si="33"/>
        <v>277.45099327688075</v>
      </c>
      <c r="I2126" s="74">
        <v>45981</v>
      </c>
      <c r="J2126">
        <v>8</v>
      </c>
      <c r="K2126" t="s">
        <v>514</v>
      </c>
      <c r="L2126" t="s">
        <v>262</v>
      </c>
      <c r="M2126" t="s">
        <v>356</v>
      </c>
      <c r="N2126" s="73">
        <v>67260</v>
      </c>
      <c r="O2126" s="73">
        <v>67260</v>
      </c>
      <c r="P2126">
        <v>34.681374159610094</v>
      </c>
    </row>
    <row r="2127" spans="1:16" hidden="1" x14ac:dyDescent="0.2">
      <c r="A2127" s="73">
        <v>67260</v>
      </c>
      <c r="B2127" t="s">
        <v>423</v>
      </c>
      <c r="C2127" s="73" t="s">
        <v>476</v>
      </c>
      <c r="D2127" t="s">
        <v>506</v>
      </c>
      <c r="E2127" s="74">
        <v>45981</v>
      </c>
      <c r="F2127" t="s">
        <v>387</v>
      </c>
      <c r="G2127" t="s">
        <v>388</v>
      </c>
      <c r="H2127" s="75">
        <f t="shared" si="33"/>
        <v>242.76961911727065</v>
      </c>
      <c r="I2127" s="74">
        <v>45981</v>
      </c>
      <c r="J2127">
        <v>7</v>
      </c>
      <c r="K2127" t="s">
        <v>514</v>
      </c>
      <c r="L2127" t="s">
        <v>367</v>
      </c>
      <c r="M2127" t="s">
        <v>356</v>
      </c>
      <c r="N2127" s="73">
        <v>67260</v>
      </c>
      <c r="O2127" s="73">
        <v>67260</v>
      </c>
      <c r="P2127">
        <v>34.681374159610094</v>
      </c>
    </row>
    <row r="2128" spans="1:16" hidden="1" x14ac:dyDescent="0.2">
      <c r="A2128" s="73">
        <v>67260</v>
      </c>
      <c r="B2128" t="s">
        <v>423</v>
      </c>
      <c r="C2128" s="73" t="s">
        <v>476</v>
      </c>
      <c r="D2128" t="s">
        <v>506</v>
      </c>
      <c r="E2128" s="74">
        <v>45981</v>
      </c>
      <c r="F2128" t="s">
        <v>395</v>
      </c>
      <c r="G2128" t="s">
        <v>396</v>
      </c>
      <c r="H2128" s="75">
        <f t="shared" si="33"/>
        <v>277.45099327688075</v>
      </c>
      <c r="I2128" s="74">
        <v>45981</v>
      </c>
      <c r="J2128">
        <v>8</v>
      </c>
      <c r="K2128" t="s">
        <v>514</v>
      </c>
      <c r="L2128" t="s">
        <v>262</v>
      </c>
      <c r="M2128" t="s">
        <v>356</v>
      </c>
      <c r="N2128" s="73">
        <v>67260</v>
      </c>
      <c r="O2128" s="73">
        <v>67260</v>
      </c>
      <c r="P2128">
        <v>34.681374159610094</v>
      </c>
    </row>
    <row r="2129" spans="1:16" hidden="1" x14ac:dyDescent="0.2">
      <c r="A2129" s="73">
        <v>67260</v>
      </c>
      <c r="B2129" t="s">
        <v>423</v>
      </c>
      <c r="C2129" s="73" t="s">
        <v>476</v>
      </c>
      <c r="D2129" t="s">
        <v>506</v>
      </c>
      <c r="E2129" s="74">
        <v>45982</v>
      </c>
      <c r="F2129" t="s">
        <v>404</v>
      </c>
      <c r="G2129" t="s">
        <v>405</v>
      </c>
      <c r="H2129" s="75">
        <f t="shared" si="33"/>
        <v>277.45099327688075</v>
      </c>
      <c r="I2129" s="74">
        <v>45982</v>
      </c>
      <c r="J2129">
        <v>8</v>
      </c>
      <c r="K2129" t="s">
        <v>514</v>
      </c>
      <c r="L2129" t="s">
        <v>262</v>
      </c>
      <c r="M2129" t="s">
        <v>356</v>
      </c>
      <c r="N2129" s="73">
        <v>67260</v>
      </c>
      <c r="O2129" s="73">
        <v>67260</v>
      </c>
      <c r="P2129">
        <v>34.681374159610094</v>
      </c>
    </row>
    <row r="2130" spans="1:16" hidden="1" x14ac:dyDescent="0.2">
      <c r="A2130" s="73">
        <v>67260</v>
      </c>
      <c r="B2130" t="s">
        <v>423</v>
      </c>
      <c r="C2130" s="73" t="s">
        <v>476</v>
      </c>
      <c r="D2130" t="s">
        <v>506</v>
      </c>
      <c r="E2130" s="74">
        <v>45982</v>
      </c>
      <c r="F2130" t="s">
        <v>387</v>
      </c>
      <c r="G2130" t="s">
        <v>388</v>
      </c>
      <c r="H2130" s="75">
        <f t="shared" si="33"/>
        <v>104.04412247883027</v>
      </c>
      <c r="I2130" s="74">
        <v>45982</v>
      </c>
      <c r="J2130">
        <v>3</v>
      </c>
      <c r="K2130" t="s">
        <v>514</v>
      </c>
      <c r="L2130" t="s">
        <v>367</v>
      </c>
      <c r="M2130" t="s">
        <v>356</v>
      </c>
      <c r="N2130" s="73">
        <v>67260</v>
      </c>
      <c r="O2130" s="73">
        <v>67260</v>
      </c>
      <c r="P2130">
        <v>34.681374159610094</v>
      </c>
    </row>
    <row r="2131" spans="1:16" hidden="1" x14ac:dyDescent="0.2">
      <c r="A2131" s="73">
        <v>67260</v>
      </c>
      <c r="B2131" t="s">
        <v>423</v>
      </c>
      <c r="C2131" s="73" t="s">
        <v>476</v>
      </c>
      <c r="D2131" t="s">
        <v>506</v>
      </c>
      <c r="E2131" s="74">
        <v>45982</v>
      </c>
      <c r="F2131" t="s">
        <v>395</v>
      </c>
      <c r="G2131" t="s">
        <v>396</v>
      </c>
      <c r="H2131" s="75">
        <f t="shared" si="33"/>
        <v>277.45099327688075</v>
      </c>
      <c r="I2131" s="74">
        <v>45982</v>
      </c>
      <c r="J2131">
        <v>8</v>
      </c>
      <c r="K2131" t="s">
        <v>514</v>
      </c>
      <c r="L2131" t="s">
        <v>262</v>
      </c>
      <c r="M2131" t="s">
        <v>356</v>
      </c>
      <c r="N2131" s="73">
        <v>67260</v>
      </c>
      <c r="O2131" s="73">
        <v>67260</v>
      </c>
      <c r="P2131">
        <v>34.681374159610094</v>
      </c>
    </row>
    <row r="2132" spans="1:16" hidden="1" x14ac:dyDescent="0.2">
      <c r="A2132" s="73">
        <v>67260</v>
      </c>
      <c r="B2132" t="s">
        <v>423</v>
      </c>
      <c r="C2132" s="73" t="s">
        <v>476</v>
      </c>
      <c r="D2132" t="s">
        <v>506</v>
      </c>
      <c r="E2132" s="74">
        <v>45985</v>
      </c>
      <c r="F2132" t="s">
        <v>404</v>
      </c>
      <c r="G2132" t="s">
        <v>405</v>
      </c>
      <c r="H2132" s="75">
        <f t="shared" si="33"/>
        <v>277.45099327688075</v>
      </c>
      <c r="I2132" s="74">
        <v>45985</v>
      </c>
      <c r="J2132">
        <v>8</v>
      </c>
      <c r="K2132" t="s">
        <v>514</v>
      </c>
      <c r="L2132" t="s">
        <v>262</v>
      </c>
      <c r="M2132" t="s">
        <v>356</v>
      </c>
      <c r="N2132" s="73">
        <v>67260</v>
      </c>
      <c r="O2132" s="73">
        <v>67260</v>
      </c>
      <c r="P2132">
        <v>34.681374159610094</v>
      </c>
    </row>
    <row r="2133" spans="1:16" hidden="1" x14ac:dyDescent="0.2">
      <c r="A2133" s="73">
        <v>67260</v>
      </c>
      <c r="B2133" t="s">
        <v>423</v>
      </c>
      <c r="C2133" s="73" t="s">
        <v>476</v>
      </c>
      <c r="D2133" t="s">
        <v>506</v>
      </c>
      <c r="E2133" s="74">
        <v>45985</v>
      </c>
      <c r="F2133" t="s">
        <v>395</v>
      </c>
      <c r="G2133" t="s">
        <v>396</v>
      </c>
      <c r="H2133" s="75">
        <f t="shared" si="33"/>
        <v>277.45099327688075</v>
      </c>
      <c r="I2133" s="74">
        <v>45985</v>
      </c>
      <c r="J2133">
        <v>8</v>
      </c>
      <c r="K2133" t="s">
        <v>514</v>
      </c>
      <c r="L2133" t="s">
        <v>262</v>
      </c>
      <c r="M2133" t="s">
        <v>356</v>
      </c>
      <c r="N2133" s="73">
        <v>67260</v>
      </c>
      <c r="O2133" s="73">
        <v>67260</v>
      </c>
      <c r="P2133">
        <v>34.681374159610094</v>
      </c>
    </row>
    <row r="2134" spans="1:16" hidden="1" x14ac:dyDescent="0.2">
      <c r="A2134" s="73">
        <v>67260</v>
      </c>
      <c r="B2134" t="s">
        <v>423</v>
      </c>
      <c r="C2134" s="73" t="s">
        <v>476</v>
      </c>
      <c r="D2134" t="s">
        <v>506</v>
      </c>
      <c r="E2134" s="74">
        <v>45986</v>
      </c>
      <c r="F2134" t="s">
        <v>404</v>
      </c>
      <c r="G2134" t="s">
        <v>405</v>
      </c>
      <c r="H2134" s="75">
        <f t="shared" si="33"/>
        <v>277.45099327688075</v>
      </c>
      <c r="I2134" s="74">
        <v>45986</v>
      </c>
      <c r="J2134">
        <v>8</v>
      </c>
      <c r="K2134" t="s">
        <v>514</v>
      </c>
      <c r="L2134" t="s">
        <v>262</v>
      </c>
      <c r="M2134" t="s">
        <v>356</v>
      </c>
      <c r="N2134" s="73">
        <v>67260</v>
      </c>
      <c r="O2134" s="73">
        <v>67260</v>
      </c>
      <c r="P2134">
        <v>34.681374159610094</v>
      </c>
    </row>
    <row r="2135" spans="1:16" hidden="1" x14ac:dyDescent="0.2">
      <c r="A2135" s="73">
        <v>67260</v>
      </c>
      <c r="B2135" t="s">
        <v>423</v>
      </c>
      <c r="C2135" s="73" t="s">
        <v>476</v>
      </c>
      <c r="D2135" t="s">
        <v>506</v>
      </c>
      <c r="E2135" s="74">
        <v>45986</v>
      </c>
      <c r="F2135" t="s">
        <v>395</v>
      </c>
      <c r="G2135" t="s">
        <v>396</v>
      </c>
      <c r="H2135" s="75">
        <f t="shared" si="33"/>
        <v>277.45099327688075</v>
      </c>
      <c r="I2135" s="74">
        <v>45986</v>
      </c>
      <c r="J2135">
        <v>8</v>
      </c>
      <c r="K2135" t="s">
        <v>514</v>
      </c>
      <c r="L2135" t="s">
        <v>262</v>
      </c>
      <c r="M2135" t="s">
        <v>356</v>
      </c>
      <c r="N2135" s="73">
        <v>67260</v>
      </c>
      <c r="O2135" s="73">
        <v>67260</v>
      </c>
      <c r="P2135">
        <v>34.681374159610094</v>
      </c>
    </row>
    <row r="2136" spans="1:16" hidden="1" x14ac:dyDescent="0.2">
      <c r="A2136" s="73">
        <v>67260</v>
      </c>
      <c r="B2136" t="s">
        <v>423</v>
      </c>
      <c r="C2136" s="73" t="s">
        <v>476</v>
      </c>
      <c r="D2136" t="s">
        <v>506</v>
      </c>
      <c r="E2136" s="74">
        <v>45985</v>
      </c>
      <c r="F2136" t="s">
        <v>387</v>
      </c>
      <c r="G2136" t="s">
        <v>388</v>
      </c>
      <c r="H2136" s="75">
        <f t="shared" si="33"/>
        <v>138.72549663844038</v>
      </c>
      <c r="I2136" s="74">
        <v>45985</v>
      </c>
      <c r="J2136">
        <v>4</v>
      </c>
      <c r="K2136" t="s">
        <v>514</v>
      </c>
      <c r="L2136" t="s">
        <v>367</v>
      </c>
      <c r="M2136" t="s">
        <v>356</v>
      </c>
      <c r="N2136" s="73">
        <v>67260</v>
      </c>
      <c r="O2136" s="73">
        <v>67260</v>
      </c>
      <c r="P2136">
        <v>34.681374159610094</v>
      </c>
    </row>
    <row r="2137" spans="1:16" hidden="1" x14ac:dyDescent="0.2">
      <c r="A2137" s="73">
        <v>67260</v>
      </c>
      <c r="B2137" t="s">
        <v>423</v>
      </c>
      <c r="C2137" s="73" t="s">
        <v>476</v>
      </c>
      <c r="D2137" t="s">
        <v>506</v>
      </c>
      <c r="E2137" s="74">
        <v>45987</v>
      </c>
      <c r="F2137" t="s">
        <v>404</v>
      </c>
      <c r="G2137" t="s">
        <v>405</v>
      </c>
      <c r="H2137" s="75">
        <f t="shared" si="33"/>
        <v>277.45099327688075</v>
      </c>
      <c r="I2137" s="74">
        <v>45987</v>
      </c>
      <c r="J2137">
        <v>8</v>
      </c>
      <c r="K2137" t="s">
        <v>514</v>
      </c>
      <c r="L2137" t="s">
        <v>262</v>
      </c>
      <c r="M2137" t="s">
        <v>356</v>
      </c>
      <c r="N2137" s="73">
        <v>67260</v>
      </c>
      <c r="O2137" s="73">
        <v>67260</v>
      </c>
      <c r="P2137">
        <v>34.681374159610094</v>
      </c>
    </row>
    <row r="2138" spans="1:16" hidden="1" x14ac:dyDescent="0.2">
      <c r="A2138" s="73">
        <v>67260</v>
      </c>
      <c r="B2138" t="s">
        <v>423</v>
      </c>
      <c r="C2138" s="73" t="s">
        <v>476</v>
      </c>
      <c r="D2138" t="s">
        <v>506</v>
      </c>
      <c r="E2138" s="74">
        <v>45987</v>
      </c>
      <c r="F2138" t="s">
        <v>395</v>
      </c>
      <c r="G2138" t="s">
        <v>396</v>
      </c>
      <c r="H2138" s="75">
        <f t="shared" si="33"/>
        <v>277.45099327688075</v>
      </c>
      <c r="I2138" s="74">
        <v>45987</v>
      </c>
      <c r="J2138">
        <v>8</v>
      </c>
      <c r="K2138" t="s">
        <v>514</v>
      </c>
      <c r="L2138" t="s">
        <v>262</v>
      </c>
      <c r="M2138" t="s">
        <v>356</v>
      </c>
      <c r="N2138" s="73">
        <v>67260</v>
      </c>
      <c r="O2138" s="73">
        <v>67260</v>
      </c>
      <c r="P2138">
        <v>34.681374159610094</v>
      </c>
    </row>
    <row r="2139" spans="1:16" hidden="1" x14ac:dyDescent="0.2">
      <c r="A2139" s="73">
        <v>67260</v>
      </c>
      <c r="B2139" t="s">
        <v>423</v>
      </c>
      <c r="C2139" s="73" t="s">
        <v>476</v>
      </c>
      <c r="D2139" t="s">
        <v>506</v>
      </c>
      <c r="E2139" s="74">
        <v>45988</v>
      </c>
      <c r="F2139" t="s">
        <v>395</v>
      </c>
      <c r="G2139" t="s">
        <v>396</v>
      </c>
      <c r="H2139" s="75">
        <f t="shared" si="33"/>
        <v>138.72549663844038</v>
      </c>
      <c r="I2139" s="74">
        <v>45988</v>
      </c>
      <c r="J2139">
        <v>4</v>
      </c>
      <c r="K2139" t="s">
        <v>514</v>
      </c>
      <c r="L2139" t="s">
        <v>262</v>
      </c>
      <c r="M2139" t="s">
        <v>356</v>
      </c>
      <c r="N2139" s="73">
        <v>67260</v>
      </c>
      <c r="O2139" s="73">
        <v>67260</v>
      </c>
      <c r="P2139">
        <v>34.681374159610094</v>
      </c>
    </row>
    <row r="2140" spans="1:16" hidden="1" x14ac:dyDescent="0.2">
      <c r="A2140" s="73">
        <v>67260</v>
      </c>
      <c r="B2140" t="s">
        <v>423</v>
      </c>
      <c r="C2140" s="73" t="s">
        <v>476</v>
      </c>
      <c r="D2140" t="s">
        <v>506</v>
      </c>
      <c r="E2140" s="74">
        <v>45988</v>
      </c>
      <c r="F2140" t="s">
        <v>387</v>
      </c>
      <c r="G2140" t="s">
        <v>388</v>
      </c>
      <c r="H2140" s="75">
        <f t="shared" si="33"/>
        <v>104.04412247883027</v>
      </c>
      <c r="I2140" s="74">
        <v>45988</v>
      </c>
      <c r="J2140">
        <v>3</v>
      </c>
      <c r="K2140" t="s">
        <v>514</v>
      </c>
      <c r="L2140" t="s">
        <v>367</v>
      </c>
      <c r="M2140" t="s">
        <v>356</v>
      </c>
      <c r="N2140" s="73">
        <v>67260</v>
      </c>
      <c r="O2140" s="73">
        <v>67260</v>
      </c>
      <c r="P2140">
        <v>34.681374159610094</v>
      </c>
    </row>
    <row r="2141" spans="1:16" hidden="1" x14ac:dyDescent="0.2">
      <c r="A2141" s="73">
        <v>67260</v>
      </c>
      <c r="B2141" t="s">
        <v>423</v>
      </c>
      <c r="C2141" s="73" t="s">
        <v>476</v>
      </c>
      <c r="D2141" t="s">
        <v>506</v>
      </c>
      <c r="E2141" s="74">
        <v>45989</v>
      </c>
      <c r="F2141" t="s">
        <v>404</v>
      </c>
      <c r="G2141" t="s">
        <v>405</v>
      </c>
      <c r="H2141" s="75">
        <f t="shared" si="33"/>
        <v>277.45099327688075</v>
      </c>
      <c r="I2141" s="74">
        <v>45989</v>
      </c>
      <c r="J2141">
        <v>8</v>
      </c>
      <c r="K2141" t="s">
        <v>514</v>
      </c>
      <c r="L2141" t="s">
        <v>262</v>
      </c>
      <c r="M2141" t="s">
        <v>356</v>
      </c>
      <c r="N2141" s="73">
        <v>67260</v>
      </c>
      <c r="O2141" s="73">
        <v>67260</v>
      </c>
      <c r="P2141">
        <v>34.681374159610094</v>
      </c>
    </row>
    <row r="2142" spans="1:16" hidden="1" x14ac:dyDescent="0.2">
      <c r="A2142" s="73">
        <v>67260</v>
      </c>
      <c r="B2142" t="s">
        <v>423</v>
      </c>
      <c r="C2142" s="73" t="s">
        <v>476</v>
      </c>
      <c r="D2142" t="s">
        <v>506</v>
      </c>
      <c r="E2142" s="74">
        <v>45989</v>
      </c>
      <c r="F2142" t="s">
        <v>395</v>
      </c>
      <c r="G2142" t="s">
        <v>396</v>
      </c>
      <c r="H2142" s="75">
        <f t="shared" si="33"/>
        <v>138.72549663844038</v>
      </c>
      <c r="I2142" s="74">
        <v>45989</v>
      </c>
      <c r="J2142">
        <v>4</v>
      </c>
      <c r="K2142" t="s">
        <v>514</v>
      </c>
      <c r="L2142" t="s">
        <v>262</v>
      </c>
      <c r="M2142" t="s">
        <v>356</v>
      </c>
      <c r="N2142" s="73">
        <v>67260</v>
      </c>
      <c r="O2142" s="73">
        <v>67260</v>
      </c>
      <c r="P2142">
        <v>34.681374159610094</v>
      </c>
    </row>
    <row r="2143" spans="1:16" hidden="1" x14ac:dyDescent="0.2">
      <c r="A2143" s="73">
        <v>67261</v>
      </c>
      <c r="B2143" t="s">
        <v>443</v>
      </c>
      <c r="C2143" s="73" t="s">
        <v>477</v>
      </c>
      <c r="D2143" t="s">
        <v>478</v>
      </c>
      <c r="E2143" s="74">
        <v>45852</v>
      </c>
      <c r="F2143" t="s">
        <v>362</v>
      </c>
      <c r="G2143" t="s">
        <v>363</v>
      </c>
      <c r="H2143" s="75">
        <f t="shared" si="33"/>
        <v>208.08824495766055</v>
      </c>
      <c r="I2143" s="74">
        <v>45852</v>
      </c>
      <c r="J2143">
        <v>6</v>
      </c>
      <c r="K2143" t="s">
        <v>511</v>
      </c>
      <c r="L2143" t="s">
        <v>355</v>
      </c>
      <c r="M2143" t="s">
        <v>356</v>
      </c>
      <c r="N2143" s="73">
        <v>67261</v>
      </c>
      <c r="O2143" s="73">
        <v>67261</v>
      </c>
      <c r="P2143">
        <v>34.681374159610094</v>
      </c>
    </row>
    <row r="2144" spans="1:16" hidden="1" x14ac:dyDescent="0.2">
      <c r="A2144" s="73">
        <v>67261</v>
      </c>
      <c r="B2144" t="s">
        <v>443</v>
      </c>
      <c r="C2144" s="73" t="s">
        <v>477</v>
      </c>
      <c r="D2144" t="s">
        <v>478</v>
      </c>
      <c r="E2144" s="74">
        <v>45853</v>
      </c>
      <c r="F2144" t="s">
        <v>370</v>
      </c>
      <c r="G2144" t="s">
        <v>371</v>
      </c>
      <c r="H2144" s="75">
        <f t="shared" si="33"/>
        <v>277.45099327688075</v>
      </c>
      <c r="I2144" s="74">
        <v>45853</v>
      </c>
      <c r="J2144">
        <v>8</v>
      </c>
      <c r="K2144" t="s">
        <v>511</v>
      </c>
      <c r="L2144" t="s">
        <v>262</v>
      </c>
      <c r="M2144" t="s">
        <v>356</v>
      </c>
      <c r="N2144" s="73">
        <v>67261</v>
      </c>
      <c r="O2144" s="73">
        <v>67261</v>
      </c>
      <c r="P2144">
        <v>34.681374159610094</v>
      </c>
    </row>
    <row r="2145" spans="1:16" hidden="1" x14ac:dyDescent="0.2">
      <c r="A2145" s="73">
        <v>67261</v>
      </c>
      <c r="B2145" t="s">
        <v>443</v>
      </c>
      <c r="C2145" s="73" t="s">
        <v>477</v>
      </c>
      <c r="D2145" t="s">
        <v>478</v>
      </c>
      <c r="E2145" s="74">
        <v>45854</v>
      </c>
      <c r="F2145" t="s">
        <v>370</v>
      </c>
      <c r="G2145" t="s">
        <v>371</v>
      </c>
      <c r="H2145" s="75">
        <f t="shared" si="33"/>
        <v>277.45099327688075</v>
      </c>
      <c r="I2145" s="74">
        <v>45854</v>
      </c>
      <c r="J2145">
        <v>8</v>
      </c>
      <c r="K2145" t="s">
        <v>511</v>
      </c>
      <c r="L2145" t="s">
        <v>262</v>
      </c>
      <c r="M2145" t="s">
        <v>356</v>
      </c>
      <c r="N2145" s="73">
        <v>67261</v>
      </c>
      <c r="O2145" s="73">
        <v>67261</v>
      </c>
      <c r="P2145">
        <v>34.681374159610094</v>
      </c>
    </row>
    <row r="2146" spans="1:16" hidden="1" x14ac:dyDescent="0.2">
      <c r="A2146" s="73">
        <v>67261</v>
      </c>
      <c r="B2146" t="s">
        <v>443</v>
      </c>
      <c r="C2146" s="73" t="s">
        <v>477</v>
      </c>
      <c r="D2146" t="s">
        <v>478</v>
      </c>
      <c r="E2146" s="74">
        <v>45855</v>
      </c>
      <c r="F2146" t="s">
        <v>370</v>
      </c>
      <c r="G2146" t="s">
        <v>371</v>
      </c>
      <c r="H2146" s="75">
        <f t="shared" si="33"/>
        <v>277.45099327688075</v>
      </c>
      <c r="I2146" s="74">
        <v>45855</v>
      </c>
      <c r="J2146">
        <v>8</v>
      </c>
      <c r="K2146" t="s">
        <v>511</v>
      </c>
      <c r="L2146" t="s">
        <v>262</v>
      </c>
      <c r="M2146" t="s">
        <v>356</v>
      </c>
      <c r="N2146" s="73">
        <v>67261</v>
      </c>
      <c r="O2146" s="73">
        <v>67261</v>
      </c>
      <c r="P2146">
        <v>34.681374159610094</v>
      </c>
    </row>
    <row r="2147" spans="1:16" hidden="1" x14ac:dyDescent="0.2">
      <c r="A2147" s="73">
        <v>67261</v>
      </c>
      <c r="B2147" t="s">
        <v>443</v>
      </c>
      <c r="C2147" s="73" t="s">
        <v>477</v>
      </c>
      <c r="D2147" t="s">
        <v>478</v>
      </c>
      <c r="E2147" s="74">
        <v>45855</v>
      </c>
      <c r="F2147" t="s">
        <v>392</v>
      </c>
      <c r="G2147" t="s">
        <v>393</v>
      </c>
      <c r="H2147" s="75">
        <f t="shared" si="33"/>
        <v>277.45099327688075</v>
      </c>
      <c r="I2147" s="74">
        <v>45855</v>
      </c>
      <c r="J2147">
        <v>8</v>
      </c>
      <c r="K2147" t="s">
        <v>511</v>
      </c>
      <c r="L2147" t="s">
        <v>374</v>
      </c>
      <c r="M2147" t="s">
        <v>369</v>
      </c>
      <c r="N2147" s="73">
        <v>67261</v>
      </c>
      <c r="O2147" s="73">
        <v>67261</v>
      </c>
      <c r="P2147">
        <v>34.681374159610094</v>
      </c>
    </row>
    <row r="2148" spans="1:16" hidden="1" x14ac:dyDescent="0.2">
      <c r="A2148" s="73">
        <v>67261</v>
      </c>
      <c r="B2148" t="s">
        <v>443</v>
      </c>
      <c r="C2148" s="73" t="s">
        <v>477</v>
      </c>
      <c r="D2148" t="s">
        <v>478</v>
      </c>
      <c r="E2148" s="74">
        <v>45856</v>
      </c>
      <c r="F2148" t="s">
        <v>370</v>
      </c>
      <c r="G2148" t="s">
        <v>371</v>
      </c>
      <c r="H2148" s="75">
        <f t="shared" si="33"/>
        <v>277.45099327688075</v>
      </c>
      <c r="I2148" s="74">
        <v>45856</v>
      </c>
      <c r="J2148">
        <v>8</v>
      </c>
      <c r="K2148" t="s">
        <v>511</v>
      </c>
      <c r="L2148" t="s">
        <v>262</v>
      </c>
      <c r="M2148" t="s">
        <v>356</v>
      </c>
      <c r="N2148" s="73">
        <v>67261</v>
      </c>
      <c r="O2148" s="73">
        <v>67261</v>
      </c>
      <c r="P2148">
        <v>34.681374159610094</v>
      </c>
    </row>
    <row r="2149" spans="1:16" hidden="1" x14ac:dyDescent="0.2">
      <c r="A2149" s="73">
        <v>67261</v>
      </c>
      <c r="B2149" t="s">
        <v>443</v>
      </c>
      <c r="C2149" s="73" t="s">
        <v>477</v>
      </c>
      <c r="D2149" t="s">
        <v>478</v>
      </c>
      <c r="E2149" s="74">
        <v>45856</v>
      </c>
      <c r="F2149" t="s">
        <v>392</v>
      </c>
      <c r="G2149" t="s">
        <v>393</v>
      </c>
      <c r="H2149" s="75">
        <f t="shared" si="33"/>
        <v>277.45099327688075</v>
      </c>
      <c r="I2149" s="74">
        <v>45856</v>
      </c>
      <c r="J2149">
        <v>8</v>
      </c>
      <c r="K2149" t="s">
        <v>511</v>
      </c>
      <c r="L2149" t="s">
        <v>374</v>
      </c>
      <c r="M2149" t="s">
        <v>369</v>
      </c>
      <c r="N2149" s="73">
        <v>67261</v>
      </c>
      <c r="O2149" s="73">
        <v>67261</v>
      </c>
      <c r="P2149">
        <v>34.681374159610094</v>
      </c>
    </row>
    <row r="2150" spans="1:16" hidden="1" x14ac:dyDescent="0.2">
      <c r="A2150" s="73">
        <v>67261</v>
      </c>
      <c r="B2150" t="s">
        <v>443</v>
      </c>
      <c r="C2150" s="73" t="s">
        <v>477</v>
      </c>
      <c r="D2150" t="s">
        <v>478</v>
      </c>
      <c r="E2150" s="74">
        <v>45859</v>
      </c>
      <c r="F2150" t="s">
        <v>370</v>
      </c>
      <c r="G2150" t="s">
        <v>371</v>
      </c>
      <c r="H2150" s="75">
        <f t="shared" si="33"/>
        <v>173.40687079805048</v>
      </c>
      <c r="I2150" s="74">
        <v>45859</v>
      </c>
      <c r="J2150">
        <v>5</v>
      </c>
      <c r="K2150" t="s">
        <v>511</v>
      </c>
      <c r="L2150" t="s">
        <v>262</v>
      </c>
      <c r="M2150" t="s">
        <v>356</v>
      </c>
      <c r="N2150" s="73">
        <v>67261</v>
      </c>
      <c r="O2150" s="73">
        <v>67261</v>
      </c>
      <c r="P2150">
        <v>34.681374159610094</v>
      </c>
    </row>
    <row r="2151" spans="1:16" hidden="1" x14ac:dyDescent="0.2">
      <c r="A2151" s="73">
        <v>67261</v>
      </c>
      <c r="B2151" t="s">
        <v>443</v>
      </c>
      <c r="C2151" s="73" t="s">
        <v>477</v>
      </c>
      <c r="D2151" t="s">
        <v>478</v>
      </c>
      <c r="E2151" s="74">
        <v>45860</v>
      </c>
      <c r="F2151" t="s">
        <v>370</v>
      </c>
      <c r="G2151" t="s">
        <v>371</v>
      </c>
      <c r="H2151" s="75">
        <f t="shared" si="33"/>
        <v>173.40687079805048</v>
      </c>
      <c r="I2151" s="74">
        <v>45860</v>
      </c>
      <c r="J2151">
        <v>5</v>
      </c>
      <c r="K2151" t="s">
        <v>511</v>
      </c>
      <c r="L2151" t="s">
        <v>262</v>
      </c>
      <c r="M2151" t="s">
        <v>356</v>
      </c>
      <c r="N2151" s="73">
        <v>67261</v>
      </c>
      <c r="O2151" s="73">
        <v>67261</v>
      </c>
      <c r="P2151">
        <v>34.681374159610094</v>
      </c>
    </row>
    <row r="2152" spans="1:16" hidden="1" x14ac:dyDescent="0.2">
      <c r="A2152" s="73">
        <v>67261</v>
      </c>
      <c r="B2152" t="s">
        <v>443</v>
      </c>
      <c r="C2152" s="73" t="s">
        <v>477</v>
      </c>
      <c r="D2152" t="s">
        <v>478</v>
      </c>
      <c r="E2152" s="74">
        <v>45861</v>
      </c>
      <c r="F2152" t="s">
        <v>370</v>
      </c>
      <c r="G2152" t="s">
        <v>371</v>
      </c>
      <c r="H2152" s="75">
        <f t="shared" si="33"/>
        <v>173.40687079805048</v>
      </c>
      <c r="I2152" s="74">
        <v>45861</v>
      </c>
      <c r="J2152">
        <v>5</v>
      </c>
      <c r="K2152" t="s">
        <v>511</v>
      </c>
      <c r="L2152" t="s">
        <v>262</v>
      </c>
      <c r="M2152" t="s">
        <v>356</v>
      </c>
      <c r="N2152" s="73">
        <v>67261</v>
      </c>
      <c r="O2152" s="73">
        <v>67261</v>
      </c>
      <c r="P2152">
        <v>34.681374159610094</v>
      </c>
    </row>
    <row r="2153" spans="1:16" hidden="1" x14ac:dyDescent="0.2">
      <c r="A2153" s="73">
        <v>67261</v>
      </c>
      <c r="B2153" t="s">
        <v>443</v>
      </c>
      <c r="C2153" s="73" t="s">
        <v>477</v>
      </c>
      <c r="D2153" t="s">
        <v>478</v>
      </c>
      <c r="E2153" s="74">
        <v>45862</v>
      </c>
      <c r="F2153" t="s">
        <v>370</v>
      </c>
      <c r="G2153" t="s">
        <v>371</v>
      </c>
      <c r="H2153" s="75">
        <f t="shared" si="33"/>
        <v>173.40687079805048</v>
      </c>
      <c r="I2153" s="74">
        <v>45862</v>
      </c>
      <c r="J2153">
        <v>5</v>
      </c>
      <c r="K2153" t="s">
        <v>511</v>
      </c>
      <c r="L2153" t="s">
        <v>262</v>
      </c>
      <c r="M2153" t="s">
        <v>356</v>
      </c>
      <c r="N2153" s="73">
        <v>67261</v>
      </c>
      <c r="O2153" s="73">
        <v>67261</v>
      </c>
      <c r="P2153">
        <v>34.681374159610094</v>
      </c>
    </row>
    <row r="2154" spans="1:16" hidden="1" x14ac:dyDescent="0.2">
      <c r="A2154" s="73">
        <v>67261</v>
      </c>
      <c r="B2154" t="s">
        <v>443</v>
      </c>
      <c r="C2154" s="73" t="s">
        <v>477</v>
      </c>
      <c r="D2154" t="s">
        <v>478</v>
      </c>
      <c r="E2154" s="74">
        <v>45863</v>
      </c>
      <c r="F2154" t="s">
        <v>370</v>
      </c>
      <c r="G2154" t="s">
        <v>371</v>
      </c>
      <c r="H2154" s="75">
        <f t="shared" si="33"/>
        <v>173.40687079805048</v>
      </c>
      <c r="I2154" s="74">
        <v>45863</v>
      </c>
      <c r="J2154">
        <v>5</v>
      </c>
      <c r="K2154" t="s">
        <v>511</v>
      </c>
      <c r="L2154" t="s">
        <v>262</v>
      </c>
      <c r="M2154" t="s">
        <v>356</v>
      </c>
      <c r="N2154" s="73">
        <v>67261</v>
      </c>
      <c r="O2154" s="73">
        <v>67261</v>
      </c>
      <c r="P2154">
        <v>34.681374159610094</v>
      </c>
    </row>
    <row r="2155" spans="1:16" hidden="1" x14ac:dyDescent="0.2">
      <c r="A2155" s="73">
        <v>67261</v>
      </c>
      <c r="B2155" t="s">
        <v>443</v>
      </c>
      <c r="C2155" s="73" t="s">
        <v>477</v>
      </c>
      <c r="D2155" t="s">
        <v>478</v>
      </c>
      <c r="E2155" s="74">
        <v>45868</v>
      </c>
      <c r="F2155" t="s">
        <v>370</v>
      </c>
      <c r="G2155" t="s">
        <v>371</v>
      </c>
      <c r="H2155" s="75">
        <f t="shared" si="33"/>
        <v>34.681374159610094</v>
      </c>
      <c r="I2155" s="74">
        <v>45868</v>
      </c>
      <c r="J2155">
        <v>1</v>
      </c>
      <c r="K2155" t="s">
        <v>511</v>
      </c>
      <c r="L2155" t="s">
        <v>262</v>
      </c>
      <c r="M2155" t="s">
        <v>356</v>
      </c>
      <c r="N2155" s="73">
        <v>67261</v>
      </c>
      <c r="O2155" s="73">
        <v>67261</v>
      </c>
      <c r="P2155">
        <v>34.681374159610094</v>
      </c>
    </row>
    <row r="2156" spans="1:16" hidden="1" x14ac:dyDescent="0.2">
      <c r="A2156" s="73">
        <v>67261</v>
      </c>
      <c r="B2156" t="s">
        <v>443</v>
      </c>
      <c r="C2156" s="73" t="s">
        <v>477</v>
      </c>
      <c r="D2156" t="s">
        <v>478</v>
      </c>
      <c r="E2156" s="74">
        <v>45880</v>
      </c>
      <c r="F2156" t="s">
        <v>387</v>
      </c>
      <c r="G2156" t="s">
        <v>388</v>
      </c>
      <c r="H2156" s="75">
        <f t="shared" si="33"/>
        <v>138.72549663844038</v>
      </c>
      <c r="I2156" s="74">
        <v>45880</v>
      </c>
      <c r="J2156">
        <v>4</v>
      </c>
      <c r="K2156" t="s">
        <v>288</v>
      </c>
      <c r="L2156" t="s">
        <v>367</v>
      </c>
      <c r="M2156" t="s">
        <v>356</v>
      </c>
      <c r="N2156" s="73">
        <v>67261</v>
      </c>
      <c r="O2156" s="73">
        <v>67261</v>
      </c>
      <c r="P2156">
        <v>34.681374159610094</v>
      </c>
    </row>
    <row r="2157" spans="1:16" hidden="1" x14ac:dyDescent="0.2">
      <c r="A2157" s="73">
        <v>67261</v>
      </c>
      <c r="B2157" t="s">
        <v>443</v>
      </c>
      <c r="C2157" s="73" t="s">
        <v>477</v>
      </c>
      <c r="D2157" t="s">
        <v>478</v>
      </c>
      <c r="E2157" s="74">
        <v>45881</v>
      </c>
      <c r="F2157" t="s">
        <v>387</v>
      </c>
      <c r="G2157" t="s">
        <v>388</v>
      </c>
      <c r="H2157" s="75">
        <f t="shared" si="33"/>
        <v>138.72549663844038</v>
      </c>
      <c r="I2157" s="74">
        <v>45881</v>
      </c>
      <c r="J2157">
        <v>4</v>
      </c>
      <c r="K2157" t="s">
        <v>288</v>
      </c>
      <c r="L2157" t="s">
        <v>367</v>
      </c>
      <c r="M2157" t="s">
        <v>356</v>
      </c>
      <c r="N2157" s="73">
        <v>67261</v>
      </c>
      <c r="O2157" s="73">
        <v>67261</v>
      </c>
      <c r="P2157">
        <v>34.681374159610094</v>
      </c>
    </row>
    <row r="2158" spans="1:16" hidden="1" x14ac:dyDescent="0.2">
      <c r="A2158" s="73">
        <v>67261</v>
      </c>
      <c r="B2158" t="s">
        <v>443</v>
      </c>
      <c r="C2158" s="73" t="s">
        <v>477</v>
      </c>
      <c r="D2158" t="s">
        <v>478</v>
      </c>
      <c r="E2158" s="74">
        <v>45894</v>
      </c>
      <c r="F2158" t="s">
        <v>362</v>
      </c>
      <c r="G2158" t="s">
        <v>363</v>
      </c>
      <c r="H2158" s="75">
        <f t="shared" si="33"/>
        <v>173.40687079805048</v>
      </c>
      <c r="I2158" s="74">
        <v>45894</v>
      </c>
      <c r="J2158">
        <v>5</v>
      </c>
      <c r="K2158" t="s">
        <v>288</v>
      </c>
      <c r="L2158" t="s">
        <v>355</v>
      </c>
      <c r="M2158" t="s">
        <v>356</v>
      </c>
      <c r="N2158" s="73">
        <v>67261</v>
      </c>
      <c r="O2158" s="73">
        <v>67261</v>
      </c>
      <c r="P2158">
        <v>34.681374159610094</v>
      </c>
    </row>
    <row r="2159" spans="1:16" hidden="1" x14ac:dyDescent="0.2">
      <c r="A2159" s="73">
        <v>67261</v>
      </c>
      <c r="B2159" t="s">
        <v>443</v>
      </c>
      <c r="C2159" s="73" t="s">
        <v>477</v>
      </c>
      <c r="D2159" t="s">
        <v>478</v>
      </c>
      <c r="E2159" s="74">
        <v>45894</v>
      </c>
      <c r="F2159" t="s">
        <v>370</v>
      </c>
      <c r="G2159" t="s">
        <v>371</v>
      </c>
      <c r="H2159" s="75">
        <f t="shared" si="33"/>
        <v>173.40687079805048</v>
      </c>
      <c r="I2159" s="74">
        <v>45894</v>
      </c>
      <c r="J2159">
        <v>5</v>
      </c>
      <c r="K2159" t="s">
        <v>288</v>
      </c>
      <c r="L2159" t="s">
        <v>262</v>
      </c>
      <c r="M2159" t="s">
        <v>356</v>
      </c>
      <c r="N2159" s="73">
        <v>67261</v>
      </c>
      <c r="O2159" s="73">
        <v>67261</v>
      </c>
      <c r="P2159">
        <v>34.681374159610094</v>
      </c>
    </row>
    <row r="2160" spans="1:16" hidden="1" x14ac:dyDescent="0.2">
      <c r="A2160" s="73">
        <v>67261</v>
      </c>
      <c r="B2160" t="s">
        <v>443</v>
      </c>
      <c r="C2160" s="73" t="s">
        <v>477</v>
      </c>
      <c r="D2160" t="s">
        <v>478</v>
      </c>
      <c r="E2160" s="74">
        <v>45895</v>
      </c>
      <c r="F2160" t="s">
        <v>362</v>
      </c>
      <c r="G2160" t="s">
        <v>363</v>
      </c>
      <c r="H2160" s="75">
        <f t="shared" si="33"/>
        <v>173.40687079805048</v>
      </c>
      <c r="I2160" s="74">
        <v>45895</v>
      </c>
      <c r="J2160">
        <v>5</v>
      </c>
      <c r="K2160" t="s">
        <v>288</v>
      </c>
      <c r="L2160" t="s">
        <v>355</v>
      </c>
      <c r="M2160" t="s">
        <v>356</v>
      </c>
      <c r="N2160" s="73">
        <v>67261</v>
      </c>
      <c r="O2160" s="73">
        <v>67261</v>
      </c>
      <c r="P2160">
        <v>34.681374159610094</v>
      </c>
    </row>
    <row r="2161" spans="1:16" hidden="1" x14ac:dyDescent="0.2">
      <c r="A2161" s="73">
        <v>67261</v>
      </c>
      <c r="B2161" t="s">
        <v>443</v>
      </c>
      <c r="C2161" s="73" t="s">
        <v>477</v>
      </c>
      <c r="D2161" t="s">
        <v>478</v>
      </c>
      <c r="E2161" s="74">
        <v>45895</v>
      </c>
      <c r="F2161" t="s">
        <v>370</v>
      </c>
      <c r="G2161" t="s">
        <v>371</v>
      </c>
      <c r="H2161" s="75">
        <f t="shared" si="33"/>
        <v>173.40687079805048</v>
      </c>
      <c r="I2161" s="74">
        <v>45895</v>
      </c>
      <c r="J2161">
        <v>5</v>
      </c>
      <c r="K2161" t="s">
        <v>288</v>
      </c>
      <c r="L2161" t="s">
        <v>262</v>
      </c>
      <c r="M2161" t="s">
        <v>356</v>
      </c>
      <c r="N2161" s="73">
        <v>67261</v>
      </c>
      <c r="O2161" s="73">
        <v>67261</v>
      </c>
      <c r="P2161">
        <v>34.681374159610094</v>
      </c>
    </row>
    <row r="2162" spans="1:16" x14ac:dyDescent="0.2">
      <c r="A2162" s="73">
        <v>67262</v>
      </c>
      <c r="B2162" t="s">
        <v>350</v>
      </c>
      <c r="C2162" s="73" t="s">
        <v>479</v>
      </c>
      <c r="D2162" t="s">
        <v>480</v>
      </c>
      <c r="E2162" s="74">
        <v>46064</v>
      </c>
      <c r="F2162" t="s">
        <v>353</v>
      </c>
      <c r="G2162" t="s">
        <v>354</v>
      </c>
      <c r="H2162" s="75">
        <f t="shared" si="33"/>
        <v>208.08824495766055</v>
      </c>
      <c r="I2162" s="74">
        <v>46064</v>
      </c>
      <c r="J2162">
        <v>6</v>
      </c>
      <c r="K2162" t="s">
        <v>508</v>
      </c>
      <c r="L2162" t="s">
        <v>355</v>
      </c>
      <c r="M2162" t="s">
        <v>356</v>
      </c>
      <c r="N2162" s="73">
        <v>67262</v>
      </c>
      <c r="O2162" s="73">
        <v>67262</v>
      </c>
      <c r="P2162">
        <v>34.681374159610094</v>
      </c>
    </row>
    <row r="2163" spans="1:16" x14ac:dyDescent="0.2">
      <c r="A2163" s="73">
        <v>67262</v>
      </c>
      <c r="B2163" t="s">
        <v>350</v>
      </c>
      <c r="C2163" s="73" t="s">
        <v>479</v>
      </c>
      <c r="D2163" t="s">
        <v>480</v>
      </c>
      <c r="E2163" s="74">
        <v>46064</v>
      </c>
      <c r="F2163" t="s">
        <v>398</v>
      </c>
      <c r="G2163" t="s">
        <v>399</v>
      </c>
      <c r="H2163" s="75">
        <f t="shared" si="33"/>
        <v>242.76961911727065</v>
      </c>
      <c r="I2163" s="74">
        <v>46064</v>
      </c>
      <c r="J2163">
        <v>7</v>
      </c>
      <c r="K2163" t="s">
        <v>508</v>
      </c>
      <c r="L2163" t="s">
        <v>367</v>
      </c>
      <c r="M2163" t="s">
        <v>356</v>
      </c>
      <c r="N2163" s="73">
        <v>67262</v>
      </c>
      <c r="O2163" s="73">
        <v>67262</v>
      </c>
      <c r="P2163">
        <v>34.681374159610094</v>
      </c>
    </row>
    <row r="2164" spans="1:16" x14ac:dyDescent="0.2">
      <c r="A2164" s="73">
        <v>67262</v>
      </c>
      <c r="B2164" t="s">
        <v>350</v>
      </c>
      <c r="C2164" s="73" t="s">
        <v>479</v>
      </c>
      <c r="D2164" t="s">
        <v>480</v>
      </c>
      <c r="E2164" s="74">
        <v>46065</v>
      </c>
      <c r="F2164" t="s">
        <v>353</v>
      </c>
      <c r="G2164" t="s">
        <v>354</v>
      </c>
      <c r="H2164" s="75">
        <f t="shared" si="33"/>
        <v>208.08824495766055</v>
      </c>
      <c r="I2164" s="74">
        <v>46065</v>
      </c>
      <c r="J2164">
        <v>6</v>
      </c>
      <c r="K2164" t="s">
        <v>508</v>
      </c>
      <c r="L2164" t="s">
        <v>355</v>
      </c>
      <c r="M2164" t="s">
        <v>356</v>
      </c>
      <c r="N2164" s="73">
        <v>67262</v>
      </c>
      <c r="O2164" s="73">
        <v>67262</v>
      </c>
      <c r="P2164">
        <v>34.681374159610094</v>
      </c>
    </row>
    <row r="2165" spans="1:16" x14ac:dyDescent="0.2">
      <c r="A2165" s="73">
        <v>67262</v>
      </c>
      <c r="B2165" t="s">
        <v>350</v>
      </c>
      <c r="C2165" s="73" t="s">
        <v>479</v>
      </c>
      <c r="D2165" t="s">
        <v>480</v>
      </c>
      <c r="E2165" s="74">
        <v>46065</v>
      </c>
      <c r="F2165" t="s">
        <v>398</v>
      </c>
      <c r="G2165" t="s">
        <v>399</v>
      </c>
      <c r="H2165" s="75">
        <f t="shared" si="33"/>
        <v>242.76961911727065</v>
      </c>
      <c r="I2165" s="74">
        <v>46065</v>
      </c>
      <c r="J2165">
        <v>7</v>
      </c>
      <c r="K2165" t="s">
        <v>508</v>
      </c>
      <c r="L2165" t="s">
        <v>367</v>
      </c>
      <c r="M2165" t="s">
        <v>356</v>
      </c>
      <c r="N2165" s="73">
        <v>67262</v>
      </c>
      <c r="O2165" s="73">
        <v>67262</v>
      </c>
      <c r="P2165">
        <v>34.681374159610094</v>
      </c>
    </row>
    <row r="2166" spans="1:16" x14ac:dyDescent="0.2">
      <c r="A2166" s="73">
        <v>67262</v>
      </c>
      <c r="B2166" t="s">
        <v>350</v>
      </c>
      <c r="C2166" s="73" t="s">
        <v>479</v>
      </c>
      <c r="D2166" t="s">
        <v>480</v>
      </c>
      <c r="E2166" s="74">
        <v>46066</v>
      </c>
      <c r="F2166" t="s">
        <v>353</v>
      </c>
      <c r="G2166" t="s">
        <v>354</v>
      </c>
      <c r="H2166" s="75">
        <f t="shared" si="33"/>
        <v>208.08824495766055</v>
      </c>
      <c r="I2166" s="74">
        <v>46066</v>
      </c>
      <c r="J2166">
        <v>6</v>
      </c>
      <c r="K2166" t="s">
        <v>508</v>
      </c>
      <c r="L2166" t="s">
        <v>355</v>
      </c>
      <c r="M2166" t="s">
        <v>356</v>
      </c>
      <c r="N2166" s="73">
        <v>67262</v>
      </c>
      <c r="O2166" s="73">
        <v>67262</v>
      </c>
      <c r="P2166">
        <v>34.681374159610094</v>
      </c>
    </row>
    <row r="2167" spans="1:16" x14ac:dyDescent="0.2">
      <c r="A2167" s="73">
        <v>67262</v>
      </c>
      <c r="B2167" t="s">
        <v>350</v>
      </c>
      <c r="C2167" s="73" t="s">
        <v>479</v>
      </c>
      <c r="D2167" t="s">
        <v>480</v>
      </c>
      <c r="E2167" s="74">
        <v>46066</v>
      </c>
      <c r="F2167" t="s">
        <v>398</v>
      </c>
      <c r="G2167" t="s">
        <v>399</v>
      </c>
      <c r="H2167" s="75">
        <f t="shared" si="33"/>
        <v>242.76961911727065</v>
      </c>
      <c r="I2167" s="74">
        <v>46066</v>
      </c>
      <c r="J2167">
        <v>7</v>
      </c>
      <c r="K2167" t="s">
        <v>508</v>
      </c>
      <c r="L2167" t="s">
        <v>367</v>
      </c>
      <c r="M2167" t="s">
        <v>356</v>
      </c>
      <c r="N2167" s="73">
        <v>67262</v>
      </c>
      <c r="O2167" s="73">
        <v>67262</v>
      </c>
      <c r="P2167">
        <v>34.681374159610094</v>
      </c>
    </row>
    <row r="2168" spans="1:16" x14ac:dyDescent="0.2">
      <c r="A2168" s="73">
        <v>67262</v>
      </c>
      <c r="B2168" t="s">
        <v>350</v>
      </c>
      <c r="C2168" s="73" t="s">
        <v>479</v>
      </c>
      <c r="D2168" t="s">
        <v>480</v>
      </c>
      <c r="E2168" s="74">
        <v>46069</v>
      </c>
      <c r="F2168" t="s">
        <v>353</v>
      </c>
      <c r="G2168" t="s">
        <v>354</v>
      </c>
      <c r="H2168" s="75">
        <f t="shared" si="33"/>
        <v>208.08824495766055</v>
      </c>
      <c r="I2168" s="74">
        <v>46069</v>
      </c>
      <c r="J2168">
        <v>6</v>
      </c>
      <c r="K2168" t="s">
        <v>508</v>
      </c>
      <c r="L2168" t="s">
        <v>355</v>
      </c>
      <c r="M2168" t="s">
        <v>356</v>
      </c>
      <c r="N2168" s="73">
        <v>67262</v>
      </c>
      <c r="O2168" s="73">
        <v>67262</v>
      </c>
      <c r="P2168">
        <v>34.681374159610094</v>
      </c>
    </row>
    <row r="2169" spans="1:16" x14ac:dyDescent="0.2">
      <c r="A2169" s="73">
        <v>67262</v>
      </c>
      <c r="B2169" t="s">
        <v>350</v>
      </c>
      <c r="C2169" s="73" t="s">
        <v>479</v>
      </c>
      <c r="D2169" t="s">
        <v>480</v>
      </c>
      <c r="E2169" s="74">
        <v>46070</v>
      </c>
      <c r="F2169" t="s">
        <v>353</v>
      </c>
      <c r="G2169" t="s">
        <v>354</v>
      </c>
      <c r="H2169" s="75">
        <f t="shared" si="33"/>
        <v>208.08824495766055</v>
      </c>
      <c r="I2169" s="74">
        <v>46070</v>
      </c>
      <c r="J2169">
        <v>6</v>
      </c>
      <c r="K2169" t="s">
        <v>508</v>
      </c>
      <c r="L2169" t="s">
        <v>355</v>
      </c>
      <c r="M2169" t="s">
        <v>356</v>
      </c>
      <c r="N2169" s="73">
        <v>67262</v>
      </c>
      <c r="O2169" s="73">
        <v>67262</v>
      </c>
      <c r="P2169">
        <v>34.681374159610094</v>
      </c>
    </row>
    <row r="2170" spans="1:16" x14ac:dyDescent="0.2">
      <c r="A2170" s="73">
        <v>67262</v>
      </c>
      <c r="B2170" t="s">
        <v>350</v>
      </c>
      <c r="C2170" s="73" t="s">
        <v>479</v>
      </c>
      <c r="D2170" t="s">
        <v>480</v>
      </c>
      <c r="E2170" s="74">
        <v>46071</v>
      </c>
      <c r="F2170" t="s">
        <v>353</v>
      </c>
      <c r="G2170" t="s">
        <v>354</v>
      </c>
      <c r="H2170" s="75">
        <f t="shared" si="33"/>
        <v>208.08824495766055</v>
      </c>
      <c r="I2170" s="74">
        <v>46071</v>
      </c>
      <c r="J2170">
        <v>6</v>
      </c>
      <c r="K2170" t="s">
        <v>508</v>
      </c>
      <c r="L2170" t="s">
        <v>355</v>
      </c>
      <c r="M2170" t="s">
        <v>356</v>
      </c>
      <c r="N2170" s="73">
        <v>67262</v>
      </c>
      <c r="O2170" s="73">
        <v>67262</v>
      </c>
      <c r="P2170">
        <v>34.681374159610094</v>
      </c>
    </row>
    <row r="2171" spans="1:16" x14ac:dyDescent="0.2">
      <c r="A2171" s="73">
        <v>67262</v>
      </c>
      <c r="B2171" t="s">
        <v>350</v>
      </c>
      <c r="C2171" s="73" t="s">
        <v>479</v>
      </c>
      <c r="D2171" t="s">
        <v>480</v>
      </c>
      <c r="E2171" s="74">
        <v>46072</v>
      </c>
      <c r="F2171" t="s">
        <v>353</v>
      </c>
      <c r="G2171" t="s">
        <v>354</v>
      </c>
      <c r="H2171" s="75">
        <f t="shared" si="33"/>
        <v>173.40687079805048</v>
      </c>
      <c r="I2171" s="74">
        <v>46072</v>
      </c>
      <c r="J2171">
        <v>5</v>
      </c>
      <c r="K2171" t="s">
        <v>508</v>
      </c>
      <c r="L2171" t="s">
        <v>355</v>
      </c>
      <c r="M2171" t="s">
        <v>356</v>
      </c>
      <c r="N2171" s="73">
        <v>67262</v>
      </c>
      <c r="O2171" s="73">
        <v>67262</v>
      </c>
      <c r="P2171">
        <v>34.681374159610094</v>
      </c>
    </row>
    <row r="2172" spans="1:16" x14ac:dyDescent="0.2">
      <c r="A2172" s="73">
        <v>67262</v>
      </c>
      <c r="B2172" t="s">
        <v>350</v>
      </c>
      <c r="C2172" s="73" t="s">
        <v>479</v>
      </c>
      <c r="D2172" t="s">
        <v>480</v>
      </c>
      <c r="E2172" s="74">
        <v>46076</v>
      </c>
      <c r="F2172" t="s">
        <v>353</v>
      </c>
      <c r="G2172" t="s">
        <v>354</v>
      </c>
      <c r="H2172" s="75">
        <f t="shared" si="33"/>
        <v>242.76961911727065</v>
      </c>
      <c r="I2172" s="74">
        <v>46076</v>
      </c>
      <c r="J2172">
        <v>7</v>
      </c>
      <c r="K2172" t="s">
        <v>508</v>
      </c>
      <c r="L2172" t="s">
        <v>355</v>
      </c>
      <c r="M2172" t="s">
        <v>356</v>
      </c>
      <c r="N2172" s="73">
        <v>67262</v>
      </c>
      <c r="O2172" s="73">
        <v>67262</v>
      </c>
      <c r="P2172">
        <v>34.681374159610094</v>
      </c>
    </row>
    <row r="2173" spans="1:16" x14ac:dyDescent="0.2">
      <c r="A2173" s="73">
        <v>67262</v>
      </c>
      <c r="B2173" t="s">
        <v>350</v>
      </c>
      <c r="C2173" s="73" t="s">
        <v>479</v>
      </c>
      <c r="D2173" t="s">
        <v>480</v>
      </c>
      <c r="E2173" s="74">
        <v>46077</v>
      </c>
      <c r="F2173" t="s">
        <v>353</v>
      </c>
      <c r="G2173" t="s">
        <v>354</v>
      </c>
      <c r="H2173" s="75">
        <f t="shared" si="33"/>
        <v>242.76961911727065</v>
      </c>
      <c r="I2173" s="74">
        <v>46077</v>
      </c>
      <c r="J2173">
        <v>7</v>
      </c>
      <c r="K2173" t="s">
        <v>508</v>
      </c>
      <c r="L2173" t="s">
        <v>355</v>
      </c>
      <c r="M2173" t="s">
        <v>356</v>
      </c>
      <c r="N2173" s="73">
        <v>67262</v>
      </c>
      <c r="O2173" s="73">
        <v>67262</v>
      </c>
      <c r="P2173">
        <v>34.681374159610094</v>
      </c>
    </row>
    <row r="2174" spans="1:16" x14ac:dyDescent="0.2">
      <c r="A2174" s="73">
        <v>67262</v>
      </c>
      <c r="B2174" t="s">
        <v>350</v>
      </c>
      <c r="C2174" s="73" t="s">
        <v>479</v>
      </c>
      <c r="D2174" t="s">
        <v>480</v>
      </c>
      <c r="E2174" s="74">
        <v>46078</v>
      </c>
      <c r="F2174" t="s">
        <v>353</v>
      </c>
      <c r="G2174" t="s">
        <v>354</v>
      </c>
      <c r="H2174" s="75">
        <f t="shared" si="33"/>
        <v>242.76961911727065</v>
      </c>
      <c r="I2174" s="74">
        <v>46078</v>
      </c>
      <c r="J2174">
        <v>7</v>
      </c>
      <c r="K2174" t="s">
        <v>508</v>
      </c>
      <c r="L2174" t="s">
        <v>355</v>
      </c>
      <c r="M2174" t="s">
        <v>356</v>
      </c>
      <c r="N2174" s="73">
        <v>67262</v>
      </c>
      <c r="O2174" s="73">
        <v>67262</v>
      </c>
      <c r="P2174">
        <v>34.681374159610094</v>
      </c>
    </row>
    <row r="2175" spans="1:16" x14ac:dyDescent="0.2">
      <c r="A2175" s="73">
        <v>67262</v>
      </c>
      <c r="B2175" t="s">
        <v>350</v>
      </c>
      <c r="C2175" s="73" t="s">
        <v>479</v>
      </c>
      <c r="D2175" t="s">
        <v>480</v>
      </c>
      <c r="E2175" s="74">
        <v>46079</v>
      </c>
      <c r="F2175" t="s">
        <v>398</v>
      </c>
      <c r="G2175" t="s">
        <v>399</v>
      </c>
      <c r="H2175" s="75">
        <f t="shared" si="33"/>
        <v>242.76961911727065</v>
      </c>
      <c r="I2175" s="74">
        <v>46079</v>
      </c>
      <c r="J2175">
        <v>7</v>
      </c>
      <c r="K2175" t="s">
        <v>508</v>
      </c>
      <c r="L2175" t="s">
        <v>367</v>
      </c>
      <c r="M2175" t="s">
        <v>356</v>
      </c>
      <c r="N2175" s="73">
        <v>67262</v>
      </c>
      <c r="O2175" s="73">
        <v>67262</v>
      </c>
      <c r="P2175">
        <v>34.681374159610094</v>
      </c>
    </row>
    <row r="2176" spans="1:16" x14ac:dyDescent="0.2">
      <c r="A2176" s="73">
        <v>67262</v>
      </c>
      <c r="B2176" t="s">
        <v>350</v>
      </c>
      <c r="C2176" s="73" t="s">
        <v>479</v>
      </c>
      <c r="D2176" t="s">
        <v>480</v>
      </c>
      <c r="E2176" s="74">
        <v>46080</v>
      </c>
      <c r="F2176" t="s">
        <v>398</v>
      </c>
      <c r="G2176" t="s">
        <v>399</v>
      </c>
      <c r="H2176" s="75">
        <f t="shared" si="33"/>
        <v>242.76961911727065</v>
      </c>
      <c r="I2176" s="74">
        <v>46080</v>
      </c>
      <c r="J2176">
        <v>7</v>
      </c>
      <c r="K2176" t="s">
        <v>508</v>
      </c>
      <c r="L2176" t="s">
        <v>367</v>
      </c>
      <c r="M2176" t="s">
        <v>356</v>
      </c>
      <c r="N2176" s="73">
        <v>67262</v>
      </c>
      <c r="O2176" s="73">
        <v>67262</v>
      </c>
      <c r="P2176">
        <v>34.681374159610094</v>
      </c>
    </row>
    <row r="2177" spans="1:16" x14ac:dyDescent="0.2">
      <c r="A2177" s="73">
        <v>67262</v>
      </c>
      <c r="B2177" t="s">
        <v>350</v>
      </c>
      <c r="C2177" s="73" t="s">
        <v>479</v>
      </c>
      <c r="D2177" t="s">
        <v>480</v>
      </c>
      <c r="E2177" s="74">
        <v>46083</v>
      </c>
      <c r="F2177" t="s">
        <v>357</v>
      </c>
      <c r="G2177" t="s">
        <v>358</v>
      </c>
      <c r="H2177" s="75">
        <f t="shared" si="33"/>
        <v>69.362748319220188</v>
      </c>
      <c r="I2177" s="74">
        <v>46083</v>
      </c>
      <c r="J2177">
        <v>2</v>
      </c>
      <c r="K2177" t="s">
        <v>509</v>
      </c>
      <c r="L2177" t="s">
        <v>359</v>
      </c>
      <c r="M2177" t="s">
        <v>356</v>
      </c>
      <c r="N2177" s="73">
        <v>67262</v>
      </c>
      <c r="O2177" s="73">
        <v>67262</v>
      </c>
      <c r="P2177">
        <v>34.681374159610094</v>
      </c>
    </row>
    <row r="2178" spans="1:16" x14ac:dyDescent="0.2">
      <c r="A2178" s="73">
        <v>67262</v>
      </c>
      <c r="B2178" t="s">
        <v>350</v>
      </c>
      <c r="C2178" s="73" t="s">
        <v>479</v>
      </c>
      <c r="D2178" t="s">
        <v>480</v>
      </c>
      <c r="E2178" s="74">
        <v>46083</v>
      </c>
      <c r="F2178" t="s">
        <v>398</v>
      </c>
      <c r="G2178" t="s">
        <v>399</v>
      </c>
      <c r="H2178" s="75">
        <f t="shared" ref="H2178:H2241" si="34">J2178*P2178</f>
        <v>242.76961911727065</v>
      </c>
      <c r="I2178" s="74">
        <v>46083</v>
      </c>
      <c r="J2178">
        <v>7</v>
      </c>
      <c r="K2178" t="s">
        <v>509</v>
      </c>
      <c r="L2178" t="s">
        <v>367</v>
      </c>
      <c r="M2178" t="s">
        <v>356</v>
      </c>
      <c r="N2178" s="73">
        <v>67262</v>
      </c>
      <c r="O2178" s="73">
        <v>67262</v>
      </c>
      <c r="P2178">
        <v>34.681374159610094</v>
      </c>
    </row>
    <row r="2179" spans="1:16" x14ac:dyDescent="0.2">
      <c r="A2179" s="73">
        <v>67262</v>
      </c>
      <c r="B2179" t="s">
        <v>350</v>
      </c>
      <c r="C2179" s="73" t="s">
        <v>479</v>
      </c>
      <c r="D2179" t="s">
        <v>480</v>
      </c>
      <c r="E2179" s="74">
        <v>46084</v>
      </c>
      <c r="F2179" t="s">
        <v>353</v>
      </c>
      <c r="G2179" t="s">
        <v>354</v>
      </c>
      <c r="H2179" s="75">
        <f t="shared" si="34"/>
        <v>242.76961911727065</v>
      </c>
      <c r="I2179" s="74">
        <v>46084</v>
      </c>
      <c r="J2179">
        <v>7</v>
      </c>
      <c r="K2179" t="s">
        <v>509</v>
      </c>
      <c r="L2179" t="s">
        <v>355</v>
      </c>
      <c r="M2179" t="s">
        <v>356</v>
      </c>
      <c r="N2179" s="73">
        <v>67262</v>
      </c>
      <c r="O2179" s="73">
        <v>67262</v>
      </c>
      <c r="P2179">
        <v>34.681374159610094</v>
      </c>
    </row>
    <row r="2180" spans="1:16" x14ac:dyDescent="0.2">
      <c r="A2180" s="73">
        <v>67262</v>
      </c>
      <c r="B2180" t="s">
        <v>350</v>
      </c>
      <c r="C2180" s="73" t="s">
        <v>479</v>
      </c>
      <c r="D2180" t="s">
        <v>480</v>
      </c>
      <c r="E2180" s="74">
        <v>46084</v>
      </c>
      <c r="F2180" t="s">
        <v>357</v>
      </c>
      <c r="G2180" t="s">
        <v>358</v>
      </c>
      <c r="H2180" s="75">
        <f t="shared" si="34"/>
        <v>69.362748319220188</v>
      </c>
      <c r="I2180" s="74">
        <v>46084</v>
      </c>
      <c r="J2180">
        <v>2</v>
      </c>
      <c r="K2180" t="s">
        <v>509</v>
      </c>
      <c r="L2180" t="s">
        <v>359</v>
      </c>
      <c r="M2180" t="s">
        <v>356</v>
      </c>
      <c r="N2180" s="73">
        <v>67262</v>
      </c>
      <c r="O2180" s="73">
        <v>67262</v>
      </c>
      <c r="P2180">
        <v>34.681374159610094</v>
      </c>
    </row>
    <row r="2181" spans="1:16" x14ac:dyDescent="0.2">
      <c r="A2181" s="73">
        <v>67262</v>
      </c>
      <c r="B2181" t="s">
        <v>350</v>
      </c>
      <c r="C2181" s="73" t="s">
        <v>479</v>
      </c>
      <c r="D2181" t="s">
        <v>480</v>
      </c>
      <c r="E2181" s="74">
        <v>46084</v>
      </c>
      <c r="F2181" t="s">
        <v>398</v>
      </c>
      <c r="G2181" t="s">
        <v>399</v>
      </c>
      <c r="H2181" s="75">
        <f t="shared" si="34"/>
        <v>242.76961911727065</v>
      </c>
      <c r="I2181" s="74">
        <v>46084</v>
      </c>
      <c r="J2181">
        <v>7</v>
      </c>
      <c r="K2181" t="s">
        <v>509</v>
      </c>
      <c r="L2181" t="s">
        <v>367</v>
      </c>
      <c r="M2181" t="s">
        <v>356</v>
      </c>
      <c r="N2181" s="73">
        <v>67262</v>
      </c>
      <c r="O2181" s="73">
        <v>67262</v>
      </c>
      <c r="P2181">
        <v>34.681374159610094</v>
      </c>
    </row>
    <row r="2182" spans="1:16" x14ac:dyDescent="0.2">
      <c r="A2182" s="73">
        <v>67262</v>
      </c>
      <c r="B2182" t="s">
        <v>350</v>
      </c>
      <c r="C2182" s="73" t="s">
        <v>479</v>
      </c>
      <c r="D2182" t="s">
        <v>480</v>
      </c>
      <c r="E2182" s="74">
        <v>46085</v>
      </c>
      <c r="F2182" t="s">
        <v>353</v>
      </c>
      <c r="G2182" t="s">
        <v>354</v>
      </c>
      <c r="H2182" s="75">
        <f t="shared" si="34"/>
        <v>242.76961911727065</v>
      </c>
      <c r="I2182" s="74">
        <v>46085</v>
      </c>
      <c r="J2182">
        <v>7</v>
      </c>
      <c r="K2182" t="s">
        <v>509</v>
      </c>
      <c r="L2182" t="s">
        <v>355</v>
      </c>
      <c r="M2182" t="s">
        <v>356</v>
      </c>
      <c r="N2182" s="73">
        <v>67262</v>
      </c>
      <c r="O2182" s="73">
        <v>67262</v>
      </c>
      <c r="P2182">
        <v>34.681374159610094</v>
      </c>
    </row>
    <row r="2183" spans="1:16" x14ac:dyDescent="0.2">
      <c r="A2183" s="73">
        <v>67262</v>
      </c>
      <c r="B2183" t="s">
        <v>350</v>
      </c>
      <c r="C2183" s="73" t="s">
        <v>479</v>
      </c>
      <c r="D2183" t="s">
        <v>480</v>
      </c>
      <c r="E2183" s="74">
        <v>46085</v>
      </c>
      <c r="F2183" t="s">
        <v>398</v>
      </c>
      <c r="G2183" t="s">
        <v>399</v>
      </c>
      <c r="H2183" s="75">
        <f t="shared" si="34"/>
        <v>242.76961911727065</v>
      </c>
      <c r="I2183" s="74">
        <v>46085</v>
      </c>
      <c r="J2183">
        <v>7</v>
      </c>
      <c r="K2183" t="s">
        <v>509</v>
      </c>
      <c r="L2183" t="s">
        <v>367</v>
      </c>
      <c r="M2183" t="s">
        <v>356</v>
      </c>
      <c r="N2183" s="73">
        <v>67262</v>
      </c>
      <c r="O2183" s="73">
        <v>67262</v>
      </c>
      <c r="P2183">
        <v>34.681374159610094</v>
      </c>
    </row>
    <row r="2184" spans="1:16" x14ac:dyDescent="0.2">
      <c r="A2184" s="73">
        <v>67262</v>
      </c>
      <c r="B2184" t="s">
        <v>350</v>
      </c>
      <c r="C2184" s="73" t="s">
        <v>479</v>
      </c>
      <c r="D2184" t="s">
        <v>480</v>
      </c>
      <c r="E2184" s="74">
        <v>46086</v>
      </c>
      <c r="F2184" t="s">
        <v>353</v>
      </c>
      <c r="G2184" t="s">
        <v>354</v>
      </c>
      <c r="H2184" s="75">
        <f t="shared" si="34"/>
        <v>242.76961911727065</v>
      </c>
      <c r="I2184" s="74">
        <v>46086</v>
      </c>
      <c r="J2184">
        <v>7</v>
      </c>
      <c r="K2184" t="s">
        <v>509</v>
      </c>
      <c r="L2184" t="s">
        <v>355</v>
      </c>
      <c r="M2184" t="s">
        <v>356</v>
      </c>
      <c r="N2184" s="73">
        <v>67262</v>
      </c>
      <c r="O2184" s="73">
        <v>67262</v>
      </c>
      <c r="P2184">
        <v>34.681374159610094</v>
      </c>
    </row>
    <row r="2185" spans="1:16" x14ac:dyDescent="0.2">
      <c r="A2185" s="73">
        <v>67262</v>
      </c>
      <c r="B2185" t="s">
        <v>350</v>
      </c>
      <c r="C2185" s="73" t="s">
        <v>479</v>
      </c>
      <c r="D2185" t="s">
        <v>480</v>
      </c>
      <c r="E2185" s="74">
        <v>46086</v>
      </c>
      <c r="F2185" t="s">
        <v>398</v>
      </c>
      <c r="G2185" t="s">
        <v>399</v>
      </c>
      <c r="H2185" s="75">
        <f t="shared" si="34"/>
        <v>242.76961911727065</v>
      </c>
      <c r="I2185" s="74">
        <v>46086</v>
      </c>
      <c r="J2185">
        <v>7</v>
      </c>
      <c r="K2185" t="s">
        <v>509</v>
      </c>
      <c r="L2185" t="s">
        <v>367</v>
      </c>
      <c r="M2185" t="s">
        <v>356</v>
      </c>
      <c r="N2185" s="73">
        <v>67262</v>
      </c>
      <c r="O2185" s="73">
        <v>67262</v>
      </c>
      <c r="P2185">
        <v>34.681374159610094</v>
      </c>
    </row>
    <row r="2186" spans="1:16" x14ac:dyDescent="0.2">
      <c r="A2186" s="73">
        <v>67262</v>
      </c>
      <c r="B2186" t="s">
        <v>350</v>
      </c>
      <c r="C2186" s="73" t="s">
        <v>479</v>
      </c>
      <c r="D2186" t="s">
        <v>480</v>
      </c>
      <c r="E2186" s="74">
        <v>46087</v>
      </c>
      <c r="F2186" t="s">
        <v>398</v>
      </c>
      <c r="G2186" t="s">
        <v>399</v>
      </c>
      <c r="H2186" s="75">
        <f t="shared" si="34"/>
        <v>242.76961911727065</v>
      </c>
      <c r="I2186" s="74">
        <v>46087</v>
      </c>
      <c r="J2186">
        <v>7</v>
      </c>
      <c r="K2186" t="s">
        <v>509</v>
      </c>
      <c r="L2186" t="s">
        <v>367</v>
      </c>
      <c r="M2186" t="s">
        <v>356</v>
      </c>
      <c r="N2186" s="73">
        <v>67262</v>
      </c>
      <c r="O2186" s="73">
        <v>67262</v>
      </c>
      <c r="P2186">
        <v>34.681374159610094</v>
      </c>
    </row>
    <row r="2187" spans="1:16" x14ac:dyDescent="0.2">
      <c r="A2187" s="73">
        <v>67262</v>
      </c>
      <c r="B2187" t="s">
        <v>350</v>
      </c>
      <c r="C2187" s="73" t="s">
        <v>479</v>
      </c>
      <c r="D2187" t="s">
        <v>480</v>
      </c>
      <c r="E2187" s="74">
        <v>46090</v>
      </c>
      <c r="F2187" t="s">
        <v>353</v>
      </c>
      <c r="G2187" t="s">
        <v>354</v>
      </c>
      <c r="H2187" s="75">
        <f t="shared" si="34"/>
        <v>242.76961911727065</v>
      </c>
      <c r="I2187" s="74">
        <v>46090</v>
      </c>
      <c r="J2187">
        <v>7</v>
      </c>
      <c r="K2187" t="s">
        <v>509</v>
      </c>
      <c r="L2187" t="s">
        <v>355</v>
      </c>
      <c r="M2187" t="s">
        <v>356</v>
      </c>
      <c r="N2187" s="73">
        <v>67262</v>
      </c>
      <c r="O2187" s="73">
        <v>67262</v>
      </c>
      <c r="P2187">
        <v>34.681374159610094</v>
      </c>
    </row>
    <row r="2188" spans="1:16" x14ac:dyDescent="0.2">
      <c r="A2188" s="73">
        <v>67262</v>
      </c>
      <c r="B2188" t="s">
        <v>350</v>
      </c>
      <c r="C2188" s="73" t="s">
        <v>479</v>
      </c>
      <c r="D2188" t="s">
        <v>480</v>
      </c>
      <c r="E2188" s="74">
        <v>46091</v>
      </c>
      <c r="F2188" t="s">
        <v>353</v>
      </c>
      <c r="G2188" t="s">
        <v>354</v>
      </c>
      <c r="H2188" s="75">
        <f t="shared" si="34"/>
        <v>242.76961911727065</v>
      </c>
      <c r="I2188" s="74">
        <v>46091</v>
      </c>
      <c r="J2188">
        <v>7</v>
      </c>
      <c r="K2188" t="s">
        <v>509</v>
      </c>
      <c r="L2188" t="s">
        <v>355</v>
      </c>
      <c r="M2188" t="s">
        <v>356</v>
      </c>
      <c r="N2188" s="73">
        <v>67262</v>
      </c>
      <c r="O2188" s="73">
        <v>67262</v>
      </c>
      <c r="P2188">
        <v>34.681374159610094</v>
      </c>
    </row>
    <row r="2189" spans="1:16" x14ac:dyDescent="0.2">
      <c r="A2189" s="73">
        <v>67262</v>
      </c>
      <c r="B2189" t="s">
        <v>350</v>
      </c>
      <c r="C2189" s="73" t="s">
        <v>479</v>
      </c>
      <c r="D2189" t="s">
        <v>480</v>
      </c>
      <c r="E2189" s="74">
        <v>46091</v>
      </c>
      <c r="F2189" t="s">
        <v>398</v>
      </c>
      <c r="G2189" t="s">
        <v>399</v>
      </c>
      <c r="H2189" s="75">
        <f t="shared" si="34"/>
        <v>277.45099327688075</v>
      </c>
      <c r="I2189" s="74">
        <v>46091</v>
      </c>
      <c r="J2189">
        <v>8</v>
      </c>
      <c r="K2189" t="s">
        <v>509</v>
      </c>
      <c r="L2189" t="s">
        <v>367</v>
      </c>
      <c r="M2189" t="s">
        <v>356</v>
      </c>
      <c r="N2189" s="73">
        <v>67262</v>
      </c>
      <c r="O2189" s="73">
        <v>67262</v>
      </c>
      <c r="P2189">
        <v>34.681374159610094</v>
      </c>
    </row>
    <row r="2190" spans="1:16" x14ac:dyDescent="0.2">
      <c r="A2190" s="73">
        <v>67262</v>
      </c>
      <c r="B2190" t="s">
        <v>350</v>
      </c>
      <c r="C2190" s="73" t="s">
        <v>479</v>
      </c>
      <c r="D2190" t="s">
        <v>480</v>
      </c>
      <c r="E2190" s="74">
        <v>46092</v>
      </c>
      <c r="F2190" t="s">
        <v>353</v>
      </c>
      <c r="G2190" t="s">
        <v>354</v>
      </c>
      <c r="H2190" s="75">
        <f t="shared" si="34"/>
        <v>242.76961911727065</v>
      </c>
      <c r="I2190" s="74">
        <v>46092</v>
      </c>
      <c r="J2190">
        <v>7</v>
      </c>
      <c r="K2190" t="s">
        <v>509</v>
      </c>
      <c r="L2190" t="s">
        <v>355</v>
      </c>
      <c r="M2190" t="s">
        <v>356</v>
      </c>
      <c r="N2190" s="73">
        <v>67262</v>
      </c>
      <c r="O2190" s="73">
        <v>67262</v>
      </c>
      <c r="P2190">
        <v>34.681374159610094</v>
      </c>
    </row>
    <row r="2191" spans="1:16" x14ac:dyDescent="0.2">
      <c r="A2191" s="73">
        <v>67262</v>
      </c>
      <c r="B2191" t="s">
        <v>350</v>
      </c>
      <c r="C2191" s="73" t="s">
        <v>479</v>
      </c>
      <c r="D2191" t="s">
        <v>480</v>
      </c>
      <c r="E2191" s="74">
        <v>46092</v>
      </c>
      <c r="F2191" t="s">
        <v>398</v>
      </c>
      <c r="G2191" t="s">
        <v>399</v>
      </c>
      <c r="H2191" s="75">
        <f t="shared" si="34"/>
        <v>277.45099327688075</v>
      </c>
      <c r="I2191" s="74">
        <v>46092</v>
      </c>
      <c r="J2191">
        <v>8</v>
      </c>
      <c r="K2191" t="s">
        <v>509</v>
      </c>
      <c r="L2191" t="s">
        <v>367</v>
      </c>
      <c r="M2191" t="s">
        <v>356</v>
      </c>
      <c r="N2191" s="73">
        <v>67262</v>
      </c>
      <c r="O2191" s="73">
        <v>67262</v>
      </c>
      <c r="P2191">
        <v>34.681374159610094</v>
      </c>
    </row>
    <row r="2192" spans="1:16" x14ac:dyDescent="0.2">
      <c r="A2192" s="73">
        <v>67262</v>
      </c>
      <c r="B2192" t="s">
        <v>350</v>
      </c>
      <c r="C2192" s="73" t="s">
        <v>479</v>
      </c>
      <c r="D2192" t="s">
        <v>480</v>
      </c>
      <c r="E2192" s="74">
        <v>46093</v>
      </c>
      <c r="F2192" t="s">
        <v>353</v>
      </c>
      <c r="G2192" t="s">
        <v>354</v>
      </c>
      <c r="H2192" s="75">
        <f t="shared" si="34"/>
        <v>242.76961911727065</v>
      </c>
      <c r="I2192" s="74">
        <v>46093</v>
      </c>
      <c r="J2192">
        <v>7</v>
      </c>
      <c r="K2192" t="s">
        <v>509</v>
      </c>
      <c r="L2192" t="s">
        <v>355</v>
      </c>
      <c r="M2192" t="s">
        <v>356</v>
      </c>
      <c r="N2192" s="73">
        <v>67262</v>
      </c>
      <c r="O2192" s="73">
        <v>67262</v>
      </c>
      <c r="P2192">
        <v>34.681374159610094</v>
      </c>
    </row>
    <row r="2193" spans="1:16" x14ac:dyDescent="0.2">
      <c r="A2193" s="73">
        <v>67262</v>
      </c>
      <c r="B2193" t="s">
        <v>350</v>
      </c>
      <c r="C2193" s="73" t="s">
        <v>479</v>
      </c>
      <c r="D2193" t="s">
        <v>480</v>
      </c>
      <c r="E2193" s="74">
        <v>46093</v>
      </c>
      <c r="F2193" t="s">
        <v>398</v>
      </c>
      <c r="G2193" t="s">
        <v>399</v>
      </c>
      <c r="H2193" s="75">
        <f t="shared" si="34"/>
        <v>277.45099327688075</v>
      </c>
      <c r="I2193" s="74">
        <v>46093</v>
      </c>
      <c r="J2193">
        <v>8</v>
      </c>
      <c r="K2193" t="s">
        <v>509</v>
      </c>
      <c r="L2193" t="s">
        <v>367</v>
      </c>
      <c r="M2193" t="s">
        <v>356</v>
      </c>
      <c r="N2193" s="73">
        <v>67262</v>
      </c>
      <c r="O2193" s="73">
        <v>67262</v>
      </c>
      <c r="P2193">
        <v>34.681374159610094</v>
      </c>
    </row>
    <row r="2194" spans="1:16" x14ac:dyDescent="0.2">
      <c r="A2194" s="73">
        <v>67262</v>
      </c>
      <c r="B2194" t="s">
        <v>350</v>
      </c>
      <c r="C2194" s="73" t="s">
        <v>479</v>
      </c>
      <c r="D2194" t="s">
        <v>480</v>
      </c>
      <c r="E2194" s="74">
        <v>46094</v>
      </c>
      <c r="F2194" t="s">
        <v>353</v>
      </c>
      <c r="G2194" t="s">
        <v>354</v>
      </c>
      <c r="H2194" s="75">
        <f t="shared" si="34"/>
        <v>242.76961911727065</v>
      </c>
      <c r="I2194" s="74">
        <v>46094</v>
      </c>
      <c r="J2194">
        <v>7</v>
      </c>
      <c r="K2194" t="s">
        <v>509</v>
      </c>
      <c r="L2194" t="s">
        <v>355</v>
      </c>
      <c r="M2194" t="s">
        <v>356</v>
      </c>
      <c r="N2194" s="73">
        <v>67262</v>
      </c>
      <c r="O2194" s="73">
        <v>67262</v>
      </c>
      <c r="P2194">
        <v>34.681374159610094</v>
      </c>
    </row>
    <row r="2195" spans="1:16" x14ac:dyDescent="0.2">
      <c r="A2195" s="73">
        <v>67262</v>
      </c>
      <c r="B2195" t="s">
        <v>350</v>
      </c>
      <c r="C2195" s="73" t="s">
        <v>479</v>
      </c>
      <c r="D2195" t="s">
        <v>480</v>
      </c>
      <c r="E2195" s="74">
        <v>46094</v>
      </c>
      <c r="F2195" t="s">
        <v>398</v>
      </c>
      <c r="G2195" t="s">
        <v>399</v>
      </c>
      <c r="H2195" s="75">
        <f t="shared" si="34"/>
        <v>277.45099327688075</v>
      </c>
      <c r="I2195" s="74">
        <v>46094</v>
      </c>
      <c r="J2195">
        <v>8</v>
      </c>
      <c r="K2195" t="s">
        <v>509</v>
      </c>
      <c r="L2195" t="s">
        <v>367</v>
      </c>
      <c r="M2195" t="s">
        <v>356</v>
      </c>
      <c r="N2195" s="73">
        <v>67262</v>
      </c>
      <c r="O2195" s="73">
        <v>67262</v>
      </c>
      <c r="P2195">
        <v>34.681374159610094</v>
      </c>
    </row>
    <row r="2196" spans="1:16" x14ac:dyDescent="0.2">
      <c r="A2196" s="73">
        <v>67262</v>
      </c>
      <c r="B2196" t="s">
        <v>350</v>
      </c>
      <c r="C2196" s="73" t="s">
        <v>479</v>
      </c>
      <c r="D2196" t="s">
        <v>480</v>
      </c>
      <c r="E2196" s="74">
        <v>46097</v>
      </c>
      <c r="F2196" t="s">
        <v>353</v>
      </c>
      <c r="G2196" t="s">
        <v>354</v>
      </c>
      <c r="H2196" s="75">
        <f t="shared" si="34"/>
        <v>277.45099327688075</v>
      </c>
      <c r="I2196" s="74">
        <v>46097</v>
      </c>
      <c r="J2196">
        <v>8</v>
      </c>
      <c r="K2196" t="s">
        <v>509</v>
      </c>
      <c r="L2196" t="s">
        <v>355</v>
      </c>
      <c r="M2196" t="s">
        <v>356</v>
      </c>
      <c r="N2196" s="73">
        <v>67262</v>
      </c>
      <c r="O2196" s="73">
        <v>67262</v>
      </c>
      <c r="P2196">
        <v>34.681374159610094</v>
      </c>
    </row>
    <row r="2197" spans="1:16" x14ac:dyDescent="0.2">
      <c r="A2197" s="73">
        <v>67262</v>
      </c>
      <c r="B2197" t="s">
        <v>350</v>
      </c>
      <c r="C2197" s="73" t="s">
        <v>479</v>
      </c>
      <c r="D2197" t="s">
        <v>480</v>
      </c>
      <c r="E2197" s="74">
        <v>46098</v>
      </c>
      <c r="F2197" t="s">
        <v>353</v>
      </c>
      <c r="G2197" t="s">
        <v>354</v>
      </c>
      <c r="H2197" s="75">
        <f t="shared" si="34"/>
        <v>34.681374159610094</v>
      </c>
      <c r="I2197" s="74">
        <v>46098</v>
      </c>
      <c r="J2197">
        <v>1</v>
      </c>
      <c r="K2197" t="s">
        <v>509</v>
      </c>
      <c r="L2197" t="s">
        <v>355</v>
      </c>
      <c r="M2197" t="s">
        <v>356</v>
      </c>
      <c r="N2197" s="73">
        <v>67262</v>
      </c>
      <c r="O2197" s="73">
        <v>67262</v>
      </c>
      <c r="P2197">
        <v>34.681374159610094</v>
      </c>
    </row>
    <row r="2198" spans="1:16" x14ac:dyDescent="0.2">
      <c r="A2198" s="73">
        <v>67262</v>
      </c>
      <c r="B2198" t="s">
        <v>350</v>
      </c>
      <c r="C2198" s="73" t="s">
        <v>479</v>
      </c>
      <c r="D2198" t="s">
        <v>480</v>
      </c>
      <c r="E2198" s="74">
        <v>46100</v>
      </c>
      <c r="F2198" t="s">
        <v>353</v>
      </c>
      <c r="G2198" t="s">
        <v>354</v>
      </c>
      <c r="H2198" s="75">
        <f t="shared" si="34"/>
        <v>34.681374159610094</v>
      </c>
      <c r="I2198" s="74">
        <v>46100</v>
      </c>
      <c r="J2198">
        <v>1</v>
      </c>
      <c r="K2198" t="s">
        <v>509</v>
      </c>
      <c r="L2198" t="s">
        <v>355</v>
      </c>
      <c r="M2198" t="s">
        <v>356</v>
      </c>
      <c r="N2198" s="73">
        <v>67262</v>
      </c>
      <c r="O2198" s="73">
        <v>67262</v>
      </c>
      <c r="P2198">
        <v>34.681374159610094</v>
      </c>
    </row>
    <row r="2199" spans="1:16" x14ac:dyDescent="0.2">
      <c r="A2199" s="73">
        <v>67262</v>
      </c>
      <c r="B2199" t="s">
        <v>350</v>
      </c>
      <c r="C2199" s="73" t="s">
        <v>479</v>
      </c>
      <c r="D2199" t="s">
        <v>480</v>
      </c>
      <c r="E2199" s="74">
        <v>46111</v>
      </c>
      <c r="F2199" t="s">
        <v>398</v>
      </c>
      <c r="G2199" t="s">
        <v>399</v>
      </c>
      <c r="H2199" s="75">
        <f t="shared" si="34"/>
        <v>277.45099327688075</v>
      </c>
      <c r="I2199" s="74">
        <v>46111</v>
      </c>
      <c r="J2199">
        <v>8</v>
      </c>
      <c r="K2199" t="s">
        <v>509</v>
      </c>
      <c r="L2199" t="s">
        <v>367</v>
      </c>
      <c r="M2199" t="s">
        <v>356</v>
      </c>
      <c r="N2199" s="73">
        <v>67262</v>
      </c>
      <c r="O2199" s="73">
        <v>67262</v>
      </c>
      <c r="P2199">
        <v>34.681374159610094</v>
      </c>
    </row>
    <row r="2200" spans="1:16" x14ac:dyDescent="0.2">
      <c r="A2200" s="73">
        <v>67262</v>
      </c>
      <c r="B2200" t="s">
        <v>350</v>
      </c>
      <c r="C2200" s="73" t="s">
        <v>479</v>
      </c>
      <c r="D2200" t="s">
        <v>480</v>
      </c>
      <c r="E2200" s="74">
        <v>46112</v>
      </c>
      <c r="F2200" t="s">
        <v>398</v>
      </c>
      <c r="G2200" t="s">
        <v>399</v>
      </c>
      <c r="H2200" s="75">
        <f t="shared" si="34"/>
        <v>277.45099327688075</v>
      </c>
      <c r="I2200" s="74">
        <v>46112</v>
      </c>
      <c r="J2200">
        <v>8</v>
      </c>
      <c r="K2200" t="s">
        <v>509</v>
      </c>
      <c r="L2200" t="s">
        <v>367</v>
      </c>
      <c r="M2200" t="s">
        <v>356</v>
      </c>
      <c r="N2200" s="73">
        <v>67262</v>
      </c>
      <c r="O2200" s="73">
        <v>67262</v>
      </c>
      <c r="P2200">
        <v>34.681374159610094</v>
      </c>
    </row>
    <row r="2201" spans="1:16" x14ac:dyDescent="0.2">
      <c r="A2201" s="73">
        <v>67262</v>
      </c>
      <c r="B2201" t="s">
        <v>350</v>
      </c>
      <c r="C2201" s="73" t="s">
        <v>479</v>
      </c>
      <c r="D2201" t="s">
        <v>480</v>
      </c>
      <c r="E2201" s="74">
        <v>46113</v>
      </c>
      <c r="F2201" t="s">
        <v>398</v>
      </c>
      <c r="G2201" t="s">
        <v>399</v>
      </c>
      <c r="H2201" s="75">
        <f t="shared" si="34"/>
        <v>277.45099327688075</v>
      </c>
      <c r="I2201" s="74">
        <v>46113</v>
      </c>
      <c r="J2201">
        <v>8</v>
      </c>
      <c r="K2201" t="s">
        <v>510</v>
      </c>
      <c r="L2201" t="s">
        <v>367</v>
      </c>
      <c r="M2201" t="s">
        <v>356</v>
      </c>
      <c r="N2201" s="73">
        <v>67262</v>
      </c>
      <c r="O2201" s="73">
        <v>67262</v>
      </c>
      <c r="P2201">
        <v>34.681374159610094</v>
      </c>
    </row>
    <row r="2202" spans="1:16" x14ac:dyDescent="0.2">
      <c r="A2202" s="73">
        <v>67262</v>
      </c>
      <c r="B2202" t="s">
        <v>350</v>
      </c>
      <c r="C2202" s="73" t="s">
        <v>479</v>
      </c>
      <c r="D2202" t="s">
        <v>480</v>
      </c>
      <c r="E2202" s="74">
        <v>46114</v>
      </c>
      <c r="F2202" t="s">
        <v>398</v>
      </c>
      <c r="G2202" t="s">
        <v>399</v>
      </c>
      <c r="H2202" s="75">
        <f t="shared" si="34"/>
        <v>277.45099327688075</v>
      </c>
      <c r="I2202" s="74">
        <v>46114</v>
      </c>
      <c r="J2202">
        <v>8</v>
      </c>
      <c r="K2202" t="s">
        <v>510</v>
      </c>
      <c r="L2202" t="s">
        <v>367</v>
      </c>
      <c r="M2202" t="s">
        <v>356</v>
      </c>
      <c r="N2202" s="73">
        <v>67262</v>
      </c>
      <c r="O2202" s="73">
        <v>67262</v>
      </c>
      <c r="P2202">
        <v>34.681374159610094</v>
      </c>
    </row>
    <row r="2203" spans="1:16" x14ac:dyDescent="0.2">
      <c r="A2203" s="73">
        <v>67262</v>
      </c>
      <c r="B2203" t="s">
        <v>350</v>
      </c>
      <c r="C2203" s="73" t="s">
        <v>479</v>
      </c>
      <c r="D2203" t="s">
        <v>480</v>
      </c>
      <c r="E2203" s="74">
        <v>46121</v>
      </c>
      <c r="F2203" t="s">
        <v>353</v>
      </c>
      <c r="G2203" t="s">
        <v>354</v>
      </c>
      <c r="H2203" s="75">
        <f t="shared" si="34"/>
        <v>277.45099327688075</v>
      </c>
      <c r="I2203" s="74">
        <v>46121</v>
      </c>
      <c r="J2203">
        <v>8</v>
      </c>
      <c r="K2203" t="s">
        <v>510</v>
      </c>
      <c r="L2203" t="s">
        <v>355</v>
      </c>
      <c r="M2203" t="s">
        <v>356</v>
      </c>
      <c r="N2203" s="73">
        <v>67262</v>
      </c>
      <c r="O2203" s="73">
        <v>67262</v>
      </c>
      <c r="P2203">
        <v>34.681374159610094</v>
      </c>
    </row>
    <row r="2204" spans="1:16" x14ac:dyDescent="0.2">
      <c r="A2204" s="73">
        <v>67262</v>
      </c>
      <c r="B2204" t="s">
        <v>350</v>
      </c>
      <c r="C2204" s="73" t="s">
        <v>479</v>
      </c>
      <c r="D2204" t="s">
        <v>480</v>
      </c>
      <c r="E2204" s="74">
        <v>46133</v>
      </c>
      <c r="F2204" t="s">
        <v>398</v>
      </c>
      <c r="G2204" t="s">
        <v>399</v>
      </c>
      <c r="H2204" s="75">
        <f t="shared" si="34"/>
        <v>277.45099327688075</v>
      </c>
      <c r="I2204" s="74">
        <v>46133</v>
      </c>
      <c r="J2204">
        <v>8</v>
      </c>
      <c r="K2204" t="s">
        <v>510</v>
      </c>
      <c r="L2204" t="s">
        <v>367</v>
      </c>
      <c r="M2204" t="s">
        <v>356</v>
      </c>
      <c r="N2204" s="73">
        <v>67262</v>
      </c>
      <c r="O2204" s="73">
        <v>67262</v>
      </c>
      <c r="P2204">
        <v>34.681374159610094</v>
      </c>
    </row>
    <row r="2205" spans="1:16" x14ac:dyDescent="0.2">
      <c r="A2205" s="73">
        <v>67262</v>
      </c>
      <c r="B2205" t="s">
        <v>350</v>
      </c>
      <c r="C2205" s="73" t="s">
        <v>479</v>
      </c>
      <c r="D2205" t="s">
        <v>480</v>
      </c>
      <c r="E2205" s="74">
        <v>46134</v>
      </c>
      <c r="F2205" t="s">
        <v>398</v>
      </c>
      <c r="G2205" t="s">
        <v>399</v>
      </c>
      <c r="H2205" s="75">
        <f t="shared" si="34"/>
        <v>277.45099327688075</v>
      </c>
      <c r="I2205" s="74">
        <v>46134</v>
      </c>
      <c r="J2205">
        <v>8</v>
      </c>
      <c r="K2205" t="s">
        <v>510</v>
      </c>
      <c r="L2205" t="s">
        <v>367</v>
      </c>
      <c r="M2205" t="s">
        <v>356</v>
      </c>
      <c r="N2205" s="73">
        <v>67262</v>
      </c>
      <c r="O2205" s="73">
        <v>67262</v>
      </c>
      <c r="P2205">
        <v>34.681374159610094</v>
      </c>
    </row>
    <row r="2206" spans="1:16" x14ac:dyDescent="0.2">
      <c r="A2206" s="73">
        <v>67262</v>
      </c>
      <c r="B2206" t="s">
        <v>350</v>
      </c>
      <c r="C2206" s="73" t="s">
        <v>479</v>
      </c>
      <c r="D2206" t="s">
        <v>480</v>
      </c>
      <c r="E2206" s="74">
        <v>46135</v>
      </c>
      <c r="F2206" t="s">
        <v>398</v>
      </c>
      <c r="G2206" t="s">
        <v>399</v>
      </c>
      <c r="H2206" s="75">
        <f t="shared" si="34"/>
        <v>277.45099327688075</v>
      </c>
      <c r="I2206" s="74">
        <v>46135</v>
      </c>
      <c r="J2206">
        <v>8</v>
      </c>
      <c r="K2206" t="s">
        <v>510</v>
      </c>
      <c r="L2206" t="s">
        <v>367</v>
      </c>
      <c r="M2206" t="s">
        <v>356</v>
      </c>
      <c r="N2206" s="73">
        <v>67262</v>
      </c>
      <c r="O2206" s="73">
        <v>67262</v>
      </c>
      <c r="P2206">
        <v>34.681374159610094</v>
      </c>
    </row>
    <row r="2207" spans="1:16" x14ac:dyDescent="0.2">
      <c r="A2207" s="73">
        <v>67262</v>
      </c>
      <c r="B2207" t="s">
        <v>350</v>
      </c>
      <c r="C2207" s="73" t="s">
        <v>479</v>
      </c>
      <c r="D2207" t="s">
        <v>480</v>
      </c>
      <c r="E2207" s="74">
        <v>46135</v>
      </c>
      <c r="F2207" t="s">
        <v>353</v>
      </c>
      <c r="G2207" t="s">
        <v>354</v>
      </c>
      <c r="H2207" s="75">
        <f t="shared" si="34"/>
        <v>277.45099327688075</v>
      </c>
      <c r="I2207" s="74">
        <v>46135</v>
      </c>
      <c r="J2207">
        <v>8</v>
      </c>
      <c r="K2207" t="s">
        <v>510</v>
      </c>
      <c r="L2207" t="s">
        <v>355</v>
      </c>
      <c r="M2207" t="s">
        <v>356</v>
      </c>
      <c r="N2207" s="73">
        <v>67262</v>
      </c>
      <c r="O2207" s="73">
        <v>67262</v>
      </c>
      <c r="P2207">
        <v>34.681374159610094</v>
      </c>
    </row>
    <row r="2208" spans="1:16" x14ac:dyDescent="0.2">
      <c r="A2208" s="73">
        <v>67262</v>
      </c>
      <c r="B2208" t="s">
        <v>350</v>
      </c>
      <c r="C2208" s="73" t="s">
        <v>479</v>
      </c>
      <c r="D2208" t="s">
        <v>480</v>
      </c>
      <c r="E2208" s="74">
        <v>46136</v>
      </c>
      <c r="F2208" t="s">
        <v>398</v>
      </c>
      <c r="G2208" t="s">
        <v>399</v>
      </c>
      <c r="H2208" s="75">
        <f t="shared" si="34"/>
        <v>277.45099327688075</v>
      </c>
      <c r="I2208" s="74">
        <v>46136</v>
      </c>
      <c r="J2208">
        <v>8</v>
      </c>
      <c r="K2208" t="s">
        <v>510</v>
      </c>
      <c r="L2208" t="s">
        <v>367</v>
      </c>
      <c r="M2208" t="s">
        <v>356</v>
      </c>
      <c r="N2208" s="73">
        <v>67262</v>
      </c>
      <c r="O2208" s="73">
        <v>67262</v>
      </c>
      <c r="P2208">
        <v>34.681374159610094</v>
      </c>
    </row>
    <row r="2209" spans="1:16" x14ac:dyDescent="0.2">
      <c r="A2209" s="73">
        <v>67262</v>
      </c>
      <c r="B2209" t="s">
        <v>350</v>
      </c>
      <c r="C2209" s="73" t="s">
        <v>479</v>
      </c>
      <c r="D2209" t="s">
        <v>480</v>
      </c>
      <c r="E2209" s="74">
        <v>46141</v>
      </c>
      <c r="F2209" t="s">
        <v>353</v>
      </c>
      <c r="G2209" t="s">
        <v>354</v>
      </c>
      <c r="H2209" s="75">
        <f t="shared" si="34"/>
        <v>138.72549663844038</v>
      </c>
      <c r="I2209" s="74">
        <v>46141</v>
      </c>
      <c r="J2209">
        <v>4</v>
      </c>
      <c r="K2209" t="s">
        <v>510</v>
      </c>
      <c r="L2209" t="s">
        <v>355</v>
      </c>
      <c r="M2209" t="s">
        <v>356</v>
      </c>
      <c r="N2209" s="73">
        <v>67262</v>
      </c>
      <c r="O2209" s="73">
        <v>67262</v>
      </c>
      <c r="P2209">
        <v>34.681374159610094</v>
      </c>
    </row>
    <row r="2210" spans="1:16" hidden="1" x14ac:dyDescent="0.2">
      <c r="A2210" s="73">
        <v>67260</v>
      </c>
      <c r="B2210" t="s">
        <v>423</v>
      </c>
      <c r="C2210" s="73" t="s">
        <v>481</v>
      </c>
      <c r="D2210" t="s">
        <v>506</v>
      </c>
      <c r="E2210" s="74">
        <v>45908</v>
      </c>
      <c r="F2210" t="s">
        <v>357</v>
      </c>
      <c r="G2210" t="s">
        <v>358</v>
      </c>
      <c r="H2210" s="75">
        <f t="shared" si="34"/>
        <v>69.362748319220188</v>
      </c>
      <c r="I2210" s="74">
        <v>45908</v>
      </c>
      <c r="J2210">
        <v>2</v>
      </c>
      <c r="K2210" t="s">
        <v>512</v>
      </c>
      <c r="L2210" t="s">
        <v>359</v>
      </c>
      <c r="M2210" t="s">
        <v>356</v>
      </c>
      <c r="N2210" s="73">
        <v>67260</v>
      </c>
      <c r="O2210" s="73">
        <v>67260</v>
      </c>
      <c r="P2210">
        <v>34.681374159610094</v>
      </c>
    </row>
    <row r="2211" spans="1:16" hidden="1" x14ac:dyDescent="0.2">
      <c r="A2211" s="73">
        <v>67260</v>
      </c>
      <c r="B2211" t="s">
        <v>423</v>
      </c>
      <c r="C2211" s="73" t="s">
        <v>481</v>
      </c>
      <c r="D2211" t="s">
        <v>506</v>
      </c>
      <c r="E2211" s="74">
        <v>45909</v>
      </c>
      <c r="F2211" t="s">
        <v>357</v>
      </c>
      <c r="G2211" t="s">
        <v>358</v>
      </c>
      <c r="H2211" s="75">
        <f t="shared" si="34"/>
        <v>69.362748319220188</v>
      </c>
      <c r="I2211" s="74">
        <v>45909</v>
      </c>
      <c r="J2211">
        <v>2</v>
      </c>
      <c r="K2211" t="s">
        <v>512</v>
      </c>
      <c r="L2211" t="s">
        <v>359</v>
      </c>
      <c r="M2211" t="s">
        <v>356</v>
      </c>
      <c r="N2211" s="73">
        <v>67260</v>
      </c>
      <c r="O2211" s="73">
        <v>67260</v>
      </c>
      <c r="P2211">
        <v>34.681374159610094</v>
      </c>
    </row>
    <row r="2212" spans="1:16" hidden="1" x14ac:dyDescent="0.2">
      <c r="A2212" s="73">
        <v>67260</v>
      </c>
      <c r="B2212" t="s">
        <v>423</v>
      </c>
      <c r="C2212" s="73" t="s">
        <v>481</v>
      </c>
      <c r="D2212" t="s">
        <v>506</v>
      </c>
      <c r="E2212" s="74">
        <v>45910</v>
      </c>
      <c r="F2212" t="s">
        <v>357</v>
      </c>
      <c r="G2212" t="s">
        <v>358</v>
      </c>
      <c r="H2212" s="75">
        <f t="shared" si="34"/>
        <v>69.362748319220188</v>
      </c>
      <c r="I2212" s="74">
        <v>45910</v>
      </c>
      <c r="J2212">
        <v>2</v>
      </c>
      <c r="K2212" t="s">
        <v>512</v>
      </c>
      <c r="L2212" t="s">
        <v>359</v>
      </c>
      <c r="M2212" t="s">
        <v>356</v>
      </c>
      <c r="N2212" s="73">
        <v>67260</v>
      </c>
      <c r="O2212" s="73">
        <v>67260</v>
      </c>
      <c r="P2212">
        <v>34.681374159610094</v>
      </c>
    </row>
    <row r="2213" spans="1:16" hidden="1" x14ac:dyDescent="0.2">
      <c r="A2213" s="73">
        <v>67260</v>
      </c>
      <c r="B2213" t="s">
        <v>423</v>
      </c>
      <c r="C2213" s="73" t="s">
        <v>481</v>
      </c>
      <c r="D2213" t="s">
        <v>506</v>
      </c>
      <c r="E2213" s="74">
        <v>45911</v>
      </c>
      <c r="F2213" t="s">
        <v>357</v>
      </c>
      <c r="G2213" t="s">
        <v>358</v>
      </c>
      <c r="H2213" s="75">
        <f t="shared" si="34"/>
        <v>69.362748319220188</v>
      </c>
      <c r="I2213" s="74">
        <v>45911</v>
      </c>
      <c r="J2213">
        <v>2</v>
      </c>
      <c r="K2213" t="s">
        <v>512</v>
      </c>
      <c r="L2213" t="s">
        <v>359</v>
      </c>
      <c r="M2213" t="s">
        <v>356</v>
      </c>
      <c r="N2213" s="73">
        <v>67260</v>
      </c>
      <c r="O2213" s="73">
        <v>67260</v>
      </c>
      <c r="P2213">
        <v>34.681374159610094</v>
      </c>
    </row>
    <row r="2214" spans="1:16" hidden="1" x14ac:dyDescent="0.2">
      <c r="A2214" s="73">
        <v>67260</v>
      </c>
      <c r="B2214" t="s">
        <v>423</v>
      </c>
      <c r="C2214" s="73" t="s">
        <v>481</v>
      </c>
      <c r="D2214" t="s">
        <v>506</v>
      </c>
      <c r="E2214" s="74">
        <v>45912</v>
      </c>
      <c r="F2214" t="s">
        <v>357</v>
      </c>
      <c r="G2214" t="s">
        <v>358</v>
      </c>
      <c r="H2214" s="75">
        <f t="shared" si="34"/>
        <v>69.362748319220188</v>
      </c>
      <c r="I2214" s="74">
        <v>45912</v>
      </c>
      <c r="J2214">
        <v>2</v>
      </c>
      <c r="K2214" t="s">
        <v>512</v>
      </c>
      <c r="L2214" t="s">
        <v>359</v>
      </c>
      <c r="M2214" t="s">
        <v>356</v>
      </c>
      <c r="N2214" s="73">
        <v>67260</v>
      </c>
      <c r="O2214" s="73">
        <v>67260</v>
      </c>
      <c r="P2214">
        <v>34.681374159610094</v>
      </c>
    </row>
    <row r="2215" spans="1:16" hidden="1" x14ac:dyDescent="0.2">
      <c r="A2215" s="73">
        <v>67261</v>
      </c>
      <c r="B2215" t="s">
        <v>443</v>
      </c>
      <c r="C2215" s="73" t="s">
        <v>482</v>
      </c>
      <c r="D2215" t="s">
        <v>507</v>
      </c>
      <c r="E2215" s="74">
        <v>46007</v>
      </c>
      <c r="F2215" t="s">
        <v>357</v>
      </c>
      <c r="G2215" t="s">
        <v>358</v>
      </c>
      <c r="H2215" s="75">
        <f t="shared" si="34"/>
        <v>34.681374159610094</v>
      </c>
      <c r="I2215" s="74">
        <v>46007</v>
      </c>
      <c r="J2215">
        <v>1</v>
      </c>
      <c r="K2215" t="s">
        <v>515</v>
      </c>
      <c r="L2215" t="s">
        <v>359</v>
      </c>
      <c r="M2215" t="s">
        <v>356</v>
      </c>
      <c r="N2215" s="73">
        <v>67261</v>
      </c>
      <c r="O2215" s="73">
        <v>67261</v>
      </c>
      <c r="P2215">
        <v>34.681374159610094</v>
      </c>
    </row>
    <row r="2216" spans="1:16" hidden="1" x14ac:dyDescent="0.2">
      <c r="A2216" s="73">
        <v>67261</v>
      </c>
      <c r="B2216" t="s">
        <v>443</v>
      </c>
      <c r="C2216" s="73" t="s">
        <v>482</v>
      </c>
      <c r="D2216" t="s">
        <v>507</v>
      </c>
      <c r="E2216" s="74">
        <v>46008</v>
      </c>
      <c r="F2216" t="s">
        <v>357</v>
      </c>
      <c r="G2216" t="s">
        <v>358</v>
      </c>
      <c r="H2216" s="75">
        <f t="shared" si="34"/>
        <v>34.681374159610094</v>
      </c>
      <c r="I2216" s="74">
        <v>46008</v>
      </c>
      <c r="J2216">
        <v>1</v>
      </c>
      <c r="K2216" t="s">
        <v>515</v>
      </c>
      <c r="L2216" t="s">
        <v>359</v>
      </c>
      <c r="M2216" t="s">
        <v>356</v>
      </c>
      <c r="N2216" s="73">
        <v>67261</v>
      </c>
      <c r="O2216" s="73">
        <v>67261</v>
      </c>
      <c r="P2216">
        <v>34.681374159610094</v>
      </c>
    </row>
    <row r="2217" spans="1:16" hidden="1" x14ac:dyDescent="0.2">
      <c r="A2217" s="73">
        <v>67261</v>
      </c>
      <c r="B2217" t="s">
        <v>443</v>
      </c>
      <c r="C2217" s="73" t="s">
        <v>482</v>
      </c>
      <c r="D2217" t="s">
        <v>507</v>
      </c>
      <c r="E2217" s="74">
        <v>46009</v>
      </c>
      <c r="F2217" t="s">
        <v>357</v>
      </c>
      <c r="G2217" t="s">
        <v>358</v>
      </c>
      <c r="H2217" s="75">
        <f t="shared" si="34"/>
        <v>34.681374159610094</v>
      </c>
      <c r="I2217" s="74">
        <v>46009</v>
      </c>
      <c r="J2217">
        <v>1</v>
      </c>
      <c r="K2217" t="s">
        <v>515</v>
      </c>
      <c r="L2217" t="s">
        <v>359</v>
      </c>
      <c r="M2217" t="s">
        <v>356</v>
      </c>
      <c r="N2217" s="73">
        <v>67261</v>
      </c>
      <c r="O2217" s="73">
        <v>67261</v>
      </c>
      <c r="P2217">
        <v>34.681374159610094</v>
      </c>
    </row>
    <row r="2218" spans="1:16" hidden="1" x14ac:dyDescent="0.2">
      <c r="A2218" s="73">
        <v>67261</v>
      </c>
      <c r="B2218" t="s">
        <v>443</v>
      </c>
      <c r="C2218" s="73" t="s">
        <v>482</v>
      </c>
      <c r="D2218" t="s">
        <v>507</v>
      </c>
      <c r="E2218" s="74">
        <v>46010</v>
      </c>
      <c r="F2218" t="s">
        <v>357</v>
      </c>
      <c r="G2218" t="s">
        <v>358</v>
      </c>
      <c r="H2218" s="75">
        <f t="shared" si="34"/>
        <v>34.681374159610094</v>
      </c>
      <c r="I2218" s="74">
        <v>46010</v>
      </c>
      <c r="J2218">
        <v>1</v>
      </c>
      <c r="K2218" t="s">
        <v>515</v>
      </c>
      <c r="L2218" t="s">
        <v>359</v>
      </c>
      <c r="M2218" t="s">
        <v>356</v>
      </c>
      <c r="N2218" s="73">
        <v>67261</v>
      </c>
      <c r="O2218" s="73">
        <v>67261</v>
      </c>
      <c r="P2218">
        <v>34.681374159610094</v>
      </c>
    </row>
    <row r="2219" spans="1:16" hidden="1" x14ac:dyDescent="0.2">
      <c r="A2219" s="73">
        <v>67261</v>
      </c>
      <c r="B2219" t="s">
        <v>443</v>
      </c>
      <c r="C2219" s="73" t="s">
        <v>482</v>
      </c>
      <c r="D2219" t="s">
        <v>507</v>
      </c>
      <c r="E2219" s="74">
        <v>46013</v>
      </c>
      <c r="F2219" t="s">
        <v>357</v>
      </c>
      <c r="G2219" t="s">
        <v>358</v>
      </c>
      <c r="H2219" s="75">
        <f t="shared" si="34"/>
        <v>104.04412247883027</v>
      </c>
      <c r="I2219" s="74">
        <v>46013</v>
      </c>
      <c r="J2219">
        <v>3</v>
      </c>
      <c r="K2219" t="s">
        <v>515</v>
      </c>
      <c r="L2219" t="s">
        <v>359</v>
      </c>
      <c r="M2219" t="s">
        <v>356</v>
      </c>
      <c r="N2219" s="73">
        <v>67261</v>
      </c>
      <c r="O2219" s="73">
        <v>67261</v>
      </c>
      <c r="P2219">
        <v>34.681374159610094</v>
      </c>
    </row>
    <row r="2220" spans="1:16" hidden="1" x14ac:dyDescent="0.2">
      <c r="A2220" s="73">
        <v>67261</v>
      </c>
      <c r="B2220" t="s">
        <v>443</v>
      </c>
      <c r="C2220" s="73" t="s">
        <v>482</v>
      </c>
      <c r="D2220" t="s">
        <v>507</v>
      </c>
      <c r="E2220" s="74">
        <v>46014</v>
      </c>
      <c r="F2220" t="s">
        <v>357</v>
      </c>
      <c r="G2220" t="s">
        <v>358</v>
      </c>
      <c r="H2220" s="75">
        <f t="shared" si="34"/>
        <v>242.76961911727065</v>
      </c>
      <c r="I2220" s="74">
        <v>46014</v>
      </c>
      <c r="J2220">
        <v>7</v>
      </c>
      <c r="K2220" t="s">
        <v>515</v>
      </c>
      <c r="L2220" t="s">
        <v>359</v>
      </c>
      <c r="M2220" t="s">
        <v>356</v>
      </c>
      <c r="N2220" s="73">
        <v>67261</v>
      </c>
      <c r="O2220" s="73">
        <v>67261</v>
      </c>
      <c r="P2220">
        <v>34.681374159610094</v>
      </c>
    </row>
    <row r="2221" spans="1:16" hidden="1" x14ac:dyDescent="0.2">
      <c r="A2221" s="73">
        <v>67261</v>
      </c>
      <c r="B2221" t="s">
        <v>443</v>
      </c>
      <c r="C2221" s="73" t="s">
        <v>482</v>
      </c>
      <c r="D2221" t="s">
        <v>507</v>
      </c>
      <c r="E2221" s="74">
        <v>46015</v>
      </c>
      <c r="F2221" t="s">
        <v>357</v>
      </c>
      <c r="G2221" t="s">
        <v>358</v>
      </c>
      <c r="H2221" s="75">
        <f t="shared" si="34"/>
        <v>242.76961911727065</v>
      </c>
      <c r="I2221" s="74">
        <v>46015</v>
      </c>
      <c r="J2221">
        <v>7</v>
      </c>
      <c r="K2221" t="s">
        <v>515</v>
      </c>
      <c r="L2221" t="s">
        <v>359</v>
      </c>
      <c r="M2221" t="s">
        <v>356</v>
      </c>
      <c r="N2221" s="73">
        <v>67261</v>
      </c>
      <c r="O2221" s="73">
        <v>67261</v>
      </c>
      <c r="P2221">
        <v>34.681374159610094</v>
      </c>
    </row>
    <row r="2222" spans="1:16" hidden="1" x14ac:dyDescent="0.2">
      <c r="A2222" s="73">
        <v>67261</v>
      </c>
      <c r="B2222" t="s">
        <v>443</v>
      </c>
      <c r="C2222" s="73" t="s">
        <v>482</v>
      </c>
      <c r="D2222" t="s">
        <v>507</v>
      </c>
      <c r="E2222" s="74">
        <v>46017</v>
      </c>
      <c r="F2222" t="s">
        <v>357</v>
      </c>
      <c r="G2222" t="s">
        <v>358</v>
      </c>
      <c r="H2222" s="75">
        <f t="shared" si="34"/>
        <v>242.76961911727065</v>
      </c>
      <c r="I2222" s="74">
        <v>46017</v>
      </c>
      <c r="J2222">
        <v>7</v>
      </c>
      <c r="K2222" t="s">
        <v>515</v>
      </c>
      <c r="L2222" t="s">
        <v>359</v>
      </c>
      <c r="M2222" t="s">
        <v>356</v>
      </c>
      <c r="N2222" s="73">
        <v>67261</v>
      </c>
      <c r="O2222" s="73">
        <v>67261</v>
      </c>
      <c r="P2222">
        <v>34.681374159610094</v>
      </c>
    </row>
    <row r="2223" spans="1:16" hidden="1" x14ac:dyDescent="0.2">
      <c r="A2223" s="73">
        <v>67261</v>
      </c>
      <c r="B2223" t="s">
        <v>443</v>
      </c>
      <c r="C2223" s="73" t="s">
        <v>483</v>
      </c>
      <c r="D2223" t="s">
        <v>507</v>
      </c>
      <c r="E2223" s="74">
        <v>46097</v>
      </c>
      <c r="F2223" t="s">
        <v>357</v>
      </c>
      <c r="G2223" t="s">
        <v>358</v>
      </c>
      <c r="H2223" s="75">
        <f t="shared" si="34"/>
        <v>208.08824495766055</v>
      </c>
      <c r="I2223" s="74">
        <v>46097</v>
      </c>
      <c r="J2223">
        <v>6</v>
      </c>
      <c r="K2223" t="s">
        <v>509</v>
      </c>
      <c r="L2223" t="s">
        <v>359</v>
      </c>
      <c r="M2223" t="s">
        <v>356</v>
      </c>
      <c r="N2223" s="73">
        <v>67261</v>
      </c>
      <c r="O2223" s="73">
        <v>67261</v>
      </c>
      <c r="P2223">
        <v>34.681374159610094</v>
      </c>
    </row>
    <row r="2224" spans="1:16" hidden="1" x14ac:dyDescent="0.2">
      <c r="A2224" s="73">
        <v>67261</v>
      </c>
      <c r="B2224" t="s">
        <v>443</v>
      </c>
      <c r="C2224" s="73" t="s">
        <v>483</v>
      </c>
      <c r="D2224" t="s">
        <v>507</v>
      </c>
      <c r="E2224" s="74">
        <v>46098</v>
      </c>
      <c r="F2224" t="s">
        <v>357</v>
      </c>
      <c r="G2224" t="s">
        <v>358</v>
      </c>
      <c r="H2224" s="75">
        <f t="shared" si="34"/>
        <v>208.08824495766055</v>
      </c>
      <c r="I2224" s="74">
        <v>46098</v>
      </c>
      <c r="J2224">
        <v>6</v>
      </c>
      <c r="K2224" t="s">
        <v>509</v>
      </c>
      <c r="L2224" t="s">
        <v>359</v>
      </c>
      <c r="M2224" t="s">
        <v>356</v>
      </c>
      <c r="N2224" s="73">
        <v>67261</v>
      </c>
      <c r="O2224" s="73">
        <v>67261</v>
      </c>
      <c r="P2224">
        <v>34.681374159610094</v>
      </c>
    </row>
    <row r="2225" spans="1:16" hidden="1" x14ac:dyDescent="0.2">
      <c r="A2225" s="73">
        <v>67261</v>
      </c>
      <c r="B2225" t="s">
        <v>443</v>
      </c>
      <c r="C2225" s="73" t="s">
        <v>483</v>
      </c>
      <c r="D2225" t="s">
        <v>507</v>
      </c>
      <c r="E2225" s="74">
        <v>46099</v>
      </c>
      <c r="F2225" t="s">
        <v>357</v>
      </c>
      <c r="G2225" t="s">
        <v>358</v>
      </c>
      <c r="H2225" s="75">
        <f t="shared" si="34"/>
        <v>208.08824495766055</v>
      </c>
      <c r="I2225" s="74">
        <v>46099</v>
      </c>
      <c r="J2225">
        <v>6</v>
      </c>
      <c r="K2225" t="s">
        <v>509</v>
      </c>
      <c r="L2225" t="s">
        <v>359</v>
      </c>
      <c r="M2225" t="s">
        <v>356</v>
      </c>
      <c r="N2225" s="73">
        <v>67261</v>
      </c>
      <c r="O2225" s="73">
        <v>67261</v>
      </c>
      <c r="P2225">
        <v>34.681374159610094</v>
      </c>
    </row>
    <row r="2226" spans="1:16" hidden="1" x14ac:dyDescent="0.2">
      <c r="A2226" s="73">
        <v>67261</v>
      </c>
      <c r="B2226" t="s">
        <v>443</v>
      </c>
      <c r="C2226" s="73" t="s">
        <v>483</v>
      </c>
      <c r="D2226" t="s">
        <v>507</v>
      </c>
      <c r="E2226" s="74">
        <v>46100</v>
      </c>
      <c r="F2226" t="s">
        <v>357</v>
      </c>
      <c r="G2226" t="s">
        <v>358</v>
      </c>
      <c r="H2226" s="75">
        <f t="shared" si="34"/>
        <v>208.08824495766055</v>
      </c>
      <c r="I2226" s="74">
        <v>46100</v>
      </c>
      <c r="J2226">
        <v>6</v>
      </c>
      <c r="K2226" t="s">
        <v>509</v>
      </c>
      <c r="L2226" t="s">
        <v>359</v>
      </c>
      <c r="M2226" t="s">
        <v>356</v>
      </c>
      <c r="N2226" s="73">
        <v>67261</v>
      </c>
      <c r="O2226" s="73">
        <v>67261</v>
      </c>
      <c r="P2226">
        <v>34.681374159610094</v>
      </c>
    </row>
    <row r="2227" spans="1:16" hidden="1" x14ac:dyDescent="0.2">
      <c r="A2227" s="73">
        <v>67261</v>
      </c>
      <c r="B2227" t="s">
        <v>443</v>
      </c>
      <c r="C2227" s="73" t="s">
        <v>483</v>
      </c>
      <c r="D2227" t="s">
        <v>507</v>
      </c>
      <c r="E2227" s="74">
        <v>46101</v>
      </c>
      <c r="F2227" t="s">
        <v>357</v>
      </c>
      <c r="G2227" t="s">
        <v>358</v>
      </c>
      <c r="H2227" s="75">
        <f t="shared" si="34"/>
        <v>-208.08824495766055</v>
      </c>
      <c r="I2227" s="74">
        <v>46101</v>
      </c>
      <c r="J2227">
        <v>-6</v>
      </c>
      <c r="K2227" t="s">
        <v>509</v>
      </c>
      <c r="L2227" t="s">
        <v>359</v>
      </c>
      <c r="M2227" t="s">
        <v>356</v>
      </c>
      <c r="N2227" s="73">
        <v>67261</v>
      </c>
      <c r="O2227" s="73">
        <v>67261</v>
      </c>
      <c r="P2227">
        <v>34.681374159610094</v>
      </c>
    </row>
    <row r="2228" spans="1:16" hidden="1" x14ac:dyDescent="0.2">
      <c r="A2228" s="73">
        <v>67261</v>
      </c>
      <c r="B2228" t="s">
        <v>443</v>
      </c>
      <c r="C2228" s="73" t="s">
        <v>483</v>
      </c>
      <c r="D2228" t="s">
        <v>507</v>
      </c>
      <c r="E2228" s="74">
        <v>46101</v>
      </c>
      <c r="F2228" t="s">
        <v>357</v>
      </c>
      <c r="G2228" t="s">
        <v>358</v>
      </c>
      <c r="H2228" s="75">
        <f t="shared" si="34"/>
        <v>208.08824495766055</v>
      </c>
      <c r="I2228" s="74">
        <v>46101</v>
      </c>
      <c r="J2228">
        <v>6</v>
      </c>
      <c r="K2228" t="s">
        <v>509</v>
      </c>
      <c r="L2228" t="s">
        <v>359</v>
      </c>
      <c r="M2228" t="s">
        <v>356</v>
      </c>
      <c r="N2228" s="73">
        <v>67261</v>
      </c>
      <c r="O2228" s="73">
        <v>67261</v>
      </c>
      <c r="P2228">
        <v>34.681374159610094</v>
      </c>
    </row>
    <row r="2229" spans="1:16" hidden="1" x14ac:dyDescent="0.2">
      <c r="A2229" s="73">
        <v>67261</v>
      </c>
      <c r="B2229" t="s">
        <v>443</v>
      </c>
      <c r="C2229" s="73" t="s">
        <v>483</v>
      </c>
      <c r="D2229" t="s">
        <v>507</v>
      </c>
      <c r="E2229" s="74">
        <v>46104</v>
      </c>
      <c r="F2229" t="s">
        <v>357</v>
      </c>
      <c r="G2229" t="s">
        <v>358</v>
      </c>
      <c r="H2229" s="75">
        <f t="shared" si="34"/>
        <v>69.362748319220188</v>
      </c>
      <c r="I2229" s="74">
        <v>46104</v>
      </c>
      <c r="J2229">
        <v>2</v>
      </c>
      <c r="K2229" t="s">
        <v>509</v>
      </c>
      <c r="L2229" t="s">
        <v>359</v>
      </c>
      <c r="M2229" t="s">
        <v>356</v>
      </c>
      <c r="N2229" s="73">
        <v>67261</v>
      </c>
      <c r="O2229" s="73">
        <v>67261</v>
      </c>
      <c r="P2229">
        <v>34.681374159610094</v>
      </c>
    </row>
    <row r="2230" spans="1:16" hidden="1" x14ac:dyDescent="0.2">
      <c r="A2230" s="73">
        <v>67261</v>
      </c>
      <c r="B2230" t="s">
        <v>443</v>
      </c>
      <c r="C2230" s="73" t="s">
        <v>483</v>
      </c>
      <c r="D2230" t="s">
        <v>507</v>
      </c>
      <c r="E2230" s="74">
        <v>46105</v>
      </c>
      <c r="F2230" t="s">
        <v>362</v>
      </c>
      <c r="G2230" t="s">
        <v>363</v>
      </c>
      <c r="H2230" s="75">
        <f t="shared" si="34"/>
        <v>277.45099327688075</v>
      </c>
      <c r="I2230" s="74">
        <v>46105</v>
      </c>
      <c r="J2230">
        <v>8</v>
      </c>
      <c r="K2230" t="s">
        <v>509</v>
      </c>
      <c r="L2230" t="s">
        <v>355</v>
      </c>
      <c r="M2230" t="s">
        <v>356</v>
      </c>
      <c r="N2230" s="73">
        <v>67261</v>
      </c>
      <c r="O2230" s="73">
        <v>67261</v>
      </c>
      <c r="P2230">
        <v>34.681374159610094</v>
      </c>
    </row>
    <row r="2231" spans="1:16" hidden="1" x14ac:dyDescent="0.2">
      <c r="A2231" s="73">
        <v>67261</v>
      </c>
      <c r="B2231" t="s">
        <v>443</v>
      </c>
      <c r="C2231" s="73" t="s">
        <v>483</v>
      </c>
      <c r="D2231" t="s">
        <v>507</v>
      </c>
      <c r="E2231" s="74">
        <v>46105</v>
      </c>
      <c r="F2231" t="s">
        <v>357</v>
      </c>
      <c r="G2231" t="s">
        <v>358</v>
      </c>
      <c r="H2231" s="75">
        <f t="shared" si="34"/>
        <v>69.362748319220188</v>
      </c>
      <c r="I2231" s="74">
        <v>46105</v>
      </c>
      <c r="J2231">
        <v>2</v>
      </c>
      <c r="K2231" t="s">
        <v>509</v>
      </c>
      <c r="L2231" t="s">
        <v>359</v>
      </c>
      <c r="M2231" t="s">
        <v>356</v>
      </c>
      <c r="N2231" s="73">
        <v>67261</v>
      </c>
      <c r="O2231" s="73">
        <v>67261</v>
      </c>
      <c r="P2231">
        <v>34.681374159610094</v>
      </c>
    </row>
    <row r="2232" spans="1:16" hidden="1" x14ac:dyDescent="0.2">
      <c r="A2232" s="73">
        <v>67261</v>
      </c>
      <c r="B2232" t="s">
        <v>443</v>
      </c>
      <c r="C2232" s="73" t="s">
        <v>483</v>
      </c>
      <c r="D2232" t="s">
        <v>507</v>
      </c>
      <c r="E2232" s="74">
        <v>46106</v>
      </c>
      <c r="F2232" t="s">
        <v>362</v>
      </c>
      <c r="G2232" t="s">
        <v>363</v>
      </c>
      <c r="H2232" s="75">
        <f t="shared" si="34"/>
        <v>277.45099327688075</v>
      </c>
      <c r="I2232" s="74">
        <v>46106</v>
      </c>
      <c r="J2232">
        <v>8</v>
      </c>
      <c r="K2232" t="s">
        <v>509</v>
      </c>
      <c r="L2232" t="s">
        <v>355</v>
      </c>
      <c r="M2232" t="s">
        <v>356</v>
      </c>
      <c r="N2232" s="73">
        <v>67261</v>
      </c>
      <c r="O2232" s="73">
        <v>67261</v>
      </c>
      <c r="P2232">
        <v>34.681374159610094</v>
      </c>
    </row>
    <row r="2233" spans="1:16" hidden="1" x14ac:dyDescent="0.2">
      <c r="A2233" s="73">
        <v>67261</v>
      </c>
      <c r="B2233" t="s">
        <v>443</v>
      </c>
      <c r="C2233" s="73" t="s">
        <v>483</v>
      </c>
      <c r="D2233" t="s">
        <v>507</v>
      </c>
      <c r="E2233" s="74">
        <v>46106</v>
      </c>
      <c r="F2233" t="s">
        <v>357</v>
      </c>
      <c r="G2233" t="s">
        <v>358</v>
      </c>
      <c r="H2233" s="75">
        <f t="shared" si="34"/>
        <v>69.362748319220188</v>
      </c>
      <c r="I2233" s="74">
        <v>46106</v>
      </c>
      <c r="J2233">
        <v>2</v>
      </c>
      <c r="K2233" t="s">
        <v>509</v>
      </c>
      <c r="L2233" t="s">
        <v>359</v>
      </c>
      <c r="M2233" t="s">
        <v>356</v>
      </c>
      <c r="N2233" s="73">
        <v>67261</v>
      </c>
      <c r="O2233" s="73">
        <v>67261</v>
      </c>
      <c r="P2233">
        <v>34.681374159610094</v>
      </c>
    </row>
    <row r="2234" spans="1:16" hidden="1" x14ac:dyDescent="0.2">
      <c r="A2234" s="73">
        <v>67261</v>
      </c>
      <c r="B2234" t="s">
        <v>443</v>
      </c>
      <c r="C2234" s="73" t="s">
        <v>483</v>
      </c>
      <c r="D2234" t="s">
        <v>507</v>
      </c>
      <c r="E2234" s="74">
        <v>46107</v>
      </c>
      <c r="F2234" t="s">
        <v>362</v>
      </c>
      <c r="G2234" t="s">
        <v>363</v>
      </c>
      <c r="H2234" s="75">
        <f t="shared" si="34"/>
        <v>277.45099327688075</v>
      </c>
      <c r="I2234" s="74">
        <v>46107</v>
      </c>
      <c r="J2234">
        <v>8</v>
      </c>
      <c r="K2234" t="s">
        <v>509</v>
      </c>
      <c r="L2234" t="s">
        <v>355</v>
      </c>
      <c r="M2234" t="s">
        <v>356</v>
      </c>
      <c r="N2234" s="73">
        <v>67261</v>
      </c>
      <c r="O2234" s="73">
        <v>67261</v>
      </c>
      <c r="P2234">
        <v>34.681374159610094</v>
      </c>
    </row>
    <row r="2235" spans="1:16" hidden="1" x14ac:dyDescent="0.2">
      <c r="A2235" s="73">
        <v>67261</v>
      </c>
      <c r="B2235" t="s">
        <v>443</v>
      </c>
      <c r="C2235" s="73" t="s">
        <v>483</v>
      </c>
      <c r="D2235" t="s">
        <v>507</v>
      </c>
      <c r="E2235" s="74">
        <v>46107</v>
      </c>
      <c r="F2235" t="s">
        <v>357</v>
      </c>
      <c r="G2235" t="s">
        <v>358</v>
      </c>
      <c r="H2235" s="75">
        <f t="shared" si="34"/>
        <v>69.362748319220188</v>
      </c>
      <c r="I2235" s="74">
        <v>46107</v>
      </c>
      <c r="J2235">
        <v>2</v>
      </c>
      <c r="K2235" t="s">
        <v>509</v>
      </c>
      <c r="L2235" t="s">
        <v>359</v>
      </c>
      <c r="M2235" t="s">
        <v>356</v>
      </c>
      <c r="N2235" s="73">
        <v>67261</v>
      </c>
      <c r="O2235" s="73">
        <v>67261</v>
      </c>
      <c r="P2235">
        <v>34.681374159610094</v>
      </c>
    </row>
    <row r="2236" spans="1:16" hidden="1" x14ac:dyDescent="0.2">
      <c r="A2236" s="73">
        <v>67261</v>
      </c>
      <c r="B2236" t="s">
        <v>443</v>
      </c>
      <c r="C2236" s="73" t="s">
        <v>483</v>
      </c>
      <c r="D2236" t="s">
        <v>507</v>
      </c>
      <c r="E2236" s="74">
        <v>46108</v>
      </c>
      <c r="F2236" t="s">
        <v>362</v>
      </c>
      <c r="G2236" t="s">
        <v>363</v>
      </c>
      <c r="H2236" s="75">
        <f t="shared" si="34"/>
        <v>277.45099327688075</v>
      </c>
      <c r="I2236" s="74">
        <v>46108</v>
      </c>
      <c r="J2236">
        <v>8</v>
      </c>
      <c r="K2236" t="s">
        <v>509</v>
      </c>
      <c r="L2236" t="s">
        <v>355</v>
      </c>
      <c r="M2236" t="s">
        <v>356</v>
      </c>
      <c r="N2236" s="73">
        <v>67261</v>
      </c>
      <c r="O2236" s="73">
        <v>67261</v>
      </c>
      <c r="P2236">
        <v>34.681374159610094</v>
      </c>
    </row>
    <row r="2237" spans="1:16" hidden="1" x14ac:dyDescent="0.2">
      <c r="A2237" s="73">
        <v>67261</v>
      </c>
      <c r="B2237" t="s">
        <v>443</v>
      </c>
      <c r="C2237" s="73" t="s">
        <v>483</v>
      </c>
      <c r="D2237" t="s">
        <v>507</v>
      </c>
      <c r="E2237" s="74">
        <v>46108</v>
      </c>
      <c r="F2237" t="s">
        <v>357</v>
      </c>
      <c r="G2237" t="s">
        <v>358</v>
      </c>
      <c r="H2237" s="75">
        <f t="shared" si="34"/>
        <v>69.362748319220188</v>
      </c>
      <c r="I2237" s="74">
        <v>46108</v>
      </c>
      <c r="J2237">
        <v>2</v>
      </c>
      <c r="K2237" t="s">
        <v>509</v>
      </c>
      <c r="L2237" t="s">
        <v>359</v>
      </c>
      <c r="M2237" t="s">
        <v>356</v>
      </c>
      <c r="N2237" s="73">
        <v>67261</v>
      </c>
      <c r="O2237" s="73">
        <v>67261</v>
      </c>
      <c r="P2237">
        <v>34.681374159610094</v>
      </c>
    </row>
    <row r="2238" spans="1:16" hidden="1" x14ac:dyDescent="0.2">
      <c r="A2238" s="73">
        <v>67261</v>
      </c>
      <c r="B2238" t="s">
        <v>443</v>
      </c>
      <c r="C2238" s="73" t="s">
        <v>483</v>
      </c>
      <c r="D2238" t="s">
        <v>507</v>
      </c>
      <c r="E2238" s="74">
        <v>46118</v>
      </c>
      <c r="F2238" t="s">
        <v>362</v>
      </c>
      <c r="G2238" t="s">
        <v>363</v>
      </c>
      <c r="H2238" s="75">
        <f t="shared" si="34"/>
        <v>277.45099327688075</v>
      </c>
      <c r="I2238" s="74">
        <v>46118</v>
      </c>
      <c r="J2238">
        <v>8</v>
      </c>
      <c r="K2238" t="s">
        <v>510</v>
      </c>
      <c r="L2238" t="s">
        <v>355</v>
      </c>
      <c r="M2238" t="s">
        <v>356</v>
      </c>
      <c r="N2238" s="73">
        <v>67261</v>
      </c>
      <c r="O2238" s="73">
        <v>67261</v>
      </c>
      <c r="P2238">
        <v>34.681374159610094</v>
      </c>
    </row>
    <row r="2239" spans="1:16" hidden="1" x14ac:dyDescent="0.2">
      <c r="A2239" s="73">
        <v>67261</v>
      </c>
      <c r="B2239" t="s">
        <v>443</v>
      </c>
      <c r="C2239" s="73" t="s">
        <v>483</v>
      </c>
      <c r="D2239" t="s">
        <v>507</v>
      </c>
      <c r="E2239" s="74">
        <v>46119</v>
      </c>
      <c r="F2239" t="s">
        <v>362</v>
      </c>
      <c r="G2239" t="s">
        <v>363</v>
      </c>
      <c r="H2239" s="75">
        <f t="shared" si="34"/>
        <v>277.45099327688075</v>
      </c>
      <c r="I2239" s="74">
        <v>46119</v>
      </c>
      <c r="J2239">
        <v>8</v>
      </c>
      <c r="K2239" t="s">
        <v>510</v>
      </c>
      <c r="L2239" t="s">
        <v>355</v>
      </c>
      <c r="M2239" t="s">
        <v>356</v>
      </c>
      <c r="N2239" s="73">
        <v>67261</v>
      </c>
      <c r="O2239" s="73">
        <v>67261</v>
      </c>
      <c r="P2239">
        <v>34.681374159610094</v>
      </c>
    </row>
    <row r="2240" spans="1:16" hidden="1" x14ac:dyDescent="0.2">
      <c r="A2240" s="73">
        <v>67261</v>
      </c>
      <c r="B2240" t="s">
        <v>443</v>
      </c>
      <c r="C2240" s="73" t="s">
        <v>483</v>
      </c>
      <c r="D2240" t="s">
        <v>507</v>
      </c>
      <c r="E2240" s="74">
        <v>46133</v>
      </c>
      <c r="F2240" t="s">
        <v>362</v>
      </c>
      <c r="G2240" t="s">
        <v>363</v>
      </c>
      <c r="H2240" s="75">
        <f t="shared" si="34"/>
        <v>138.72549663844038</v>
      </c>
      <c r="I2240" s="74">
        <v>46133</v>
      </c>
      <c r="J2240">
        <v>4</v>
      </c>
      <c r="K2240" t="s">
        <v>510</v>
      </c>
      <c r="L2240" t="s">
        <v>355</v>
      </c>
      <c r="M2240" t="s">
        <v>356</v>
      </c>
      <c r="N2240" s="73">
        <v>67261</v>
      </c>
      <c r="O2240" s="73">
        <v>67261</v>
      </c>
      <c r="P2240">
        <v>34.681374159610094</v>
      </c>
    </row>
    <row r="2241" spans="1:16" hidden="1" x14ac:dyDescent="0.2">
      <c r="A2241" s="73">
        <v>67261</v>
      </c>
      <c r="B2241" t="s">
        <v>443</v>
      </c>
      <c r="C2241" s="73" t="s">
        <v>483</v>
      </c>
      <c r="D2241" t="s">
        <v>507</v>
      </c>
      <c r="E2241" s="74">
        <v>46134</v>
      </c>
      <c r="F2241" t="s">
        <v>362</v>
      </c>
      <c r="G2241" t="s">
        <v>363</v>
      </c>
      <c r="H2241" s="75">
        <f t="shared" si="34"/>
        <v>138.72549663844038</v>
      </c>
      <c r="I2241" s="74">
        <v>46134</v>
      </c>
      <c r="J2241">
        <v>4</v>
      </c>
      <c r="K2241" t="s">
        <v>510</v>
      </c>
      <c r="L2241" t="s">
        <v>355</v>
      </c>
      <c r="M2241" t="s">
        <v>356</v>
      </c>
      <c r="N2241" s="73">
        <v>67261</v>
      </c>
      <c r="O2241" s="73">
        <v>67261</v>
      </c>
      <c r="P2241">
        <v>34.681374159610094</v>
      </c>
    </row>
    <row r="2242" spans="1:16" hidden="1" x14ac:dyDescent="0.2">
      <c r="A2242" s="73">
        <v>67261</v>
      </c>
      <c r="B2242" t="s">
        <v>443</v>
      </c>
      <c r="C2242" s="73" t="s">
        <v>483</v>
      </c>
      <c r="D2242" t="s">
        <v>507</v>
      </c>
      <c r="E2242" s="74">
        <v>46135</v>
      </c>
      <c r="F2242" t="s">
        <v>362</v>
      </c>
      <c r="G2242" t="s">
        <v>363</v>
      </c>
      <c r="H2242" s="75">
        <f t="shared" ref="H2242:H2305" si="35">J2242*P2242</f>
        <v>138.72549663844038</v>
      </c>
      <c r="I2242" s="74">
        <v>46135</v>
      </c>
      <c r="J2242">
        <v>4</v>
      </c>
      <c r="K2242" t="s">
        <v>510</v>
      </c>
      <c r="L2242" t="s">
        <v>355</v>
      </c>
      <c r="M2242" t="s">
        <v>356</v>
      </c>
      <c r="N2242" s="73">
        <v>67261</v>
      </c>
      <c r="O2242" s="73">
        <v>67261</v>
      </c>
      <c r="P2242">
        <v>34.681374159610094</v>
      </c>
    </row>
    <row r="2243" spans="1:16" hidden="1" x14ac:dyDescent="0.2">
      <c r="A2243" s="73">
        <v>67261</v>
      </c>
      <c r="B2243" t="s">
        <v>443</v>
      </c>
      <c r="C2243" s="73" t="s">
        <v>483</v>
      </c>
      <c r="D2243" t="s">
        <v>507</v>
      </c>
      <c r="E2243" s="74">
        <v>46136</v>
      </c>
      <c r="F2243" t="s">
        <v>362</v>
      </c>
      <c r="G2243" t="s">
        <v>363</v>
      </c>
      <c r="H2243" s="75">
        <f t="shared" si="35"/>
        <v>138.72549663844038</v>
      </c>
      <c r="I2243" s="74">
        <v>46136</v>
      </c>
      <c r="J2243">
        <v>4</v>
      </c>
      <c r="K2243" t="s">
        <v>510</v>
      </c>
      <c r="L2243" t="s">
        <v>355</v>
      </c>
      <c r="M2243" t="s">
        <v>356</v>
      </c>
      <c r="N2243" s="73">
        <v>67261</v>
      </c>
      <c r="O2243" s="73">
        <v>67261</v>
      </c>
      <c r="P2243">
        <v>34.681374159610094</v>
      </c>
    </row>
    <row r="2244" spans="1:16" hidden="1" x14ac:dyDescent="0.2">
      <c r="A2244" s="73">
        <v>67261</v>
      </c>
      <c r="B2244" t="s">
        <v>443</v>
      </c>
      <c r="C2244" s="73" t="s">
        <v>483</v>
      </c>
      <c r="D2244" t="s">
        <v>507</v>
      </c>
      <c r="E2244" s="74">
        <v>46148</v>
      </c>
      <c r="F2244" t="s">
        <v>362</v>
      </c>
      <c r="G2244" t="s">
        <v>363</v>
      </c>
      <c r="H2244" s="75">
        <f t="shared" si="35"/>
        <v>277.45099327688075</v>
      </c>
      <c r="I2244" s="74">
        <v>46148</v>
      </c>
      <c r="J2244">
        <v>8</v>
      </c>
      <c r="K2244" t="s">
        <v>517</v>
      </c>
      <c r="L2244" t="s">
        <v>355</v>
      </c>
      <c r="M2244" t="s">
        <v>356</v>
      </c>
      <c r="N2244" s="73">
        <v>67261</v>
      </c>
      <c r="O2244" s="73">
        <v>67261</v>
      </c>
      <c r="P2244">
        <v>34.681374159610094</v>
      </c>
    </row>
    <row r="2245" spans="1:16" hidden="1" x14ac:dyDescent="0.2">
      <c r="A2245" s="73">
        <v>67263</v>
      </c>
      <c r="B2245" t="s">
        <v>457</v>
      </c>
      <c r="C2245" s="73" t="s">
        <v>484</v>
      </c>
      <c r="D2245" t="s">
        <v>485</v>
      </c>
      <c r="E2245" s="74">
        <v>45901</v>
      </c>
      <c r="F2245" t="s">
        <v>364</v>
      </c>
      <c r="G2245" t="s">
        <v>365</v>
      </c>
      <c r="H2245" s="75">
        <f t="shared" si="35"/>
        <v>69.362748319220188</v>
      </c>
      <c r="I2245" s="74">
        <v>45901</v>
      </c>
      <c r="J2245">
        <v>2</v>
      </c>
      <c r="K2245" t="s">
        <v>512</v>
      </c>
      <c r="L2245" t="s">
        <v>366</v>
      </c>
      <c r="M2245" t="s">
        <v>356</v>
      </c>
      <c r="N2245" s="73">
        <v>67263</v>
      </c>
      <c r="O2245" s="73">
        <v>67263</v>
      </c>
      <c r="P2245">
        <v>34.681374159610094</v>
      </c>
    </row>
    <row r="2246" spans="1:16" hidden="1" x14ac:dyDescent="0.2">
      <c r="A2246" s="73">
        <v>67263</v>
      </c>
      <c r="B2246" t="s">
        <v>457</v>
      </c>
      <c r="C2246" s="73" t="s">
        <v>484</v>
      </c>
      <c r="D2246" t="s">
        <v>485</v>
      </c>
      <c r="E2246" s="74">
        <v>45902</v>
      </c>
      <c r="F2246" t="s">
        <v>364</v>
      </c>
      <c r="G2246" t="s">
        <v>365</v>
      </c>
      <c r="H2246" s="75">
        <f t="shared" si="35"/>
        <v>138.72549663844038</v>
      </c>
      <c r="I2246" s="74">
        <v>45902</v>
      </c>
      <c r="J2246">
        <v>4</v>
      </c>
      <c r="K2246" t="s">
        <v>512</v>
      </c>
      <c r="L2246" t="s">
        <v>366</v>
      </c>
      <c r="M2246" t="s">
        <v>356</v>
      </c>
      <c r="N2246" s="73">
        <v>67263</v>
      </c>
      <c r="O2246" s="73">
        <v>67263</v>
      </c>
      <c r="P2246">
        <v>34.681374159610094</v>
      </c>
    </row>
    <row r="2247" spans="1:16" hidden="1" x14ac:dyDescent="0.2">
      <c r="A2247" s="73">
        <v>67263</v>
      </c>
      <c r="B2247" t="s">
        <v>457</v>
      </c>
      <c r="C2247" s="73" t="s">
        <v>484</v>
      </c>
      <c r="D2247" t="s">
        <v>485</v>
      </c>
      <c r="E2247" s="74">
        <v>45903</v>
      </c>
      <c r="F2247" t="s">
        <v>364</v>
      </c>
      <c r="G2247" t="s">
        <v>365</v>
      </c>
      <c r="H2247" s="75">
        <f t="shared" si="35"/>
        <v>138.72549663844038</v>
      </c>
      <c r="I2247" s="74">
        <v>45903</v>
      </c>
      <c r="J2247">
        <v>4</v>
      </c>
      <c r="K2247" t="s">
        <v>512</v>
      </c>
      <c r="L2247" t="s">
        <v>366</v>
      </c>
      <c r="M2247" t="s">
        <v>356</v>
      </c>
      <c r="N2247" s="73">
        <v>67263</v>
      </c>
      <c r="O2247" s="73">
        <v>67263</v>
      </c>
      <c r="P2247">
        <v>34.681374159610094</v>
      </c>
    </row>
    <row r="2248" spans="1:16" hidden="1" x14ac:dyDescent="0.2">
      <c r="A2248" s="73">
        <v>67263</v>
      </c>
      <c r="B2248" t="s">
        <v>457</v>
      </c>
      <c r="C2248" s="73" t="s">
        <v>484</v>
      </c>
      <c r="D2248" t="s">
        <v>485</v>
      </c>
      <c r="E2248" s="74">
        <v>45904</v>
      </c>
      <c r="F2248" t="s">
        <v>364</v>
      </c>
      <c r="G2248" t="s">
        <v>365</v>
      </c>
      <c r="H2248" s="75">
        <f t="shared" si="35"/>
        <v>69.362748319220188</v>
      </c>
      <c r="I2248" s="74">
        <v>45904</v>
      </c>
      <c r="J2248">
        <v>2</v>
      </c>
      <c r="K2248" t="s">
        <v>512</v>
      </c>
      <c r="L2248" t="s">
        <v>366</v>
      </c>
      <c r="M2248" t="s">
        <v>356</v>
      </c>
      <c r="N2248" s="73">
        <v>67263</v>
      </c>
      <c r="O2248" s="73">
        <v>67263</v>
      </c>
      <c r="P2248">
        <v>34.681374159610094</v>
      </c>
    </row>
    <row r="2249" spans="1:16" hidden="1" x14ac:dyDescent="0.2">
      <c r="A2249" s="73">
        <v>67263</v>
      </c>
      <c r="B2249" t="s">
        <v>457</v>
      </c>
      <c r="C2249" s="73" t="s">
        <v>484</v>
      </c>
      <c r="D2249" t="s">
        <v>485</v>
      </c>
      <c r="E2249" s="74">
        <v>45905</v>
      </c>
      <c r="F2249" t="s">
        <v>364</v>
      </c>
      <c r="G2249" t="s">
        <v>365</v>
      </c>
      <c r="H2249" s="75">
        <f t="shared" si="35"/>
        <v>69.362748319220188</v>
      </c>
      <c r="I2249" s="74">
        <v>45905</v>
      </c>
      <c r="J2249">
        <v>2</v>
      </c>
      <c r="K2249" t="s">
        <v>512</v>
      </c>
      <c r="L2249" t="s">
        <v>366</v>
      </c>
      <c r="M2249" t="s">
        <v>356</v>
      </c>
      <c r="N2249" s="73">
        <v>67263</v>
      </c>
      <c r="O2249" s="73">
        <v>67263</v>
      </c>
      <c r="P2249">
        <v>34.681374159610094</v>
      </c>
    </row>
    <row r="2250" spans="1:16" hidden="1" x14ac:dyDescent="0.2">
      <c r="A2250" s="73">
        <v>67263</v>
      </c>
      <c r="B2250" t="s">
        <v>457</v>
      </c>
      <c r="C2250" s="73" t="s">
        <v>484</v>
      </c>
      <c r="D2250" t="s">
        <v>485</v>
      </c>
      <c r="E2250" s="74">
        <v>45908</v>
      </c>
      <c r="F2250" t="s">
        <v>364</v>
      </c>
      <c r="G2250" t="s">
        <v>365</v>
      </c>
      <c r="H2250" s="75">
        <f t="shared" si="35"/>
        <v>69.362748319220188</v>
      </c>
      <c r="I2250" s="74">
        <v>45908</v>
      </c>
      <c r="J2250">
        <v>2</v>
      </c>
      <c r="K2250" t="s">
        <v>512</v>
      </c>
      <c r="L2250" t="s">
        <v>366</v>
      </c>
      <c r="M2250" t="s">
        <v>356</v>
      </c>
      <c r="N2250" s="73">
        <v>67263</v>
      </c>
      <c r="O2250" s="73">
        <v>67263</v>
      </c>
      <c r="P2250">
        <v>34.681374159610094</v>
      </c>
    </row>
    <row r="2251" spans="1:16" hidden="1" x14ac:dyDescent="0.2">
      <c r="A2251" s="73">
        <v>67263</v>
      </c>
      <c r="B2251" t="s">
        <v>457</v>
      </c>
      <c r="C2251" s="73" t="s">
        <v>484</v>
      </c>
      <c r="D2251" t="s">
        <v>485</v>
      </c>
      <c r="E2251" s="74">
        <v>45908</v>
      </c>
      <c r="F2251" t="s">
        <v>357</v>
      </c>
      <c r="G2251" t="s">
        <v>358</v>
      </c>
      <c r="H2251" s="75">
        <f t="shared" si="35"/>
        <v>69.362748319220188</v>
      </c>
      <c r="I2251" s="74">
        <v>45908</v>
      </c>
      <c r="J2251">
        <v>2</v>
      </c>
      <c r="K2251" t="s">
        <v>512</v>
      </c>
      <c r="L2251" t="s">
        <v>359</v>
      </c>
      <c r="M2251" t="s">
        <v>356</v>
      </c>
      <c r="N2251" s="73">
        <v>67263</v>
      </c>
      <c r="O2251" s="73">
        <v>67263</v>
      </c>
      <c r="P2251">
        <v>34.681374159610094</v>
      </c>
    </row>
    <row r="2252" spans="1:16" hidden="1" x14ac:dyDescent="0.2">
      <c r="A2252" s="73">
        <v>67263</v>
      </c>
      <c r="B2252" t="s">
        <v>457</v>
      </c>
      <c r="C2252" s="73" t="s">
        <v>484</v>
      </c>
      <c r="D2252" t="s">
        <v>485</v>
      </c>
      <c r="E2252" s="74">
        <v>45909</v>
      </c>
      <c r="F2252" t="s">
        <v>364</v>
      </c>
      <c r="G2252" t="s">
        <v>365</v>
      </c>
      <c r="H2252" s="75">
        <f t="shared" si="35"/>
        <v>69.362748319220188</v>
      </c>
      <c r="I2252" s="74">
        <v>45909</v>
      </c>
      <c r="J2252">
        <v>2</v>
      </c>
      <c r="K2252" t="s">
        <v>512</v>
      </c>
      <c r="L2252" t="s">
        <v>366</v>
      </c>
      <c r="M2252" t="s">
        <v>356</v>
      </c>
      <c r="N2252" s="73">
        <v>67263</v>
      </c>
      <c r="O2252" s="73">
        <v>67263</v>
      </c>
      <c r="P2252">
        <v>34.681374159610094</v>
      </c>
    </row>
    <row r="2253" spans="1:16" hidden="1" x14ac:dyDescent="0.2">
      <c r="A2253" s="73">
        <v>67263</v>
      </c>
      <c r="B2253" t="s">
        <v>457</v>
      </c>
      <c r="C2253" s="73" t="s">
        <v>484</v>
      </c>
      <c r="D2253" t="s">
        <v>485</v>
      </c>
      <c r="E2253" s="74">
        <v>45909</v>
      </c>
      <c r="F2253" t="s">
        <v>357</v>
      </c>
      <c r="G2253" t="s">
        <v>358</v>
      </c>
      <c r="H2253" s="75">
        <f t="shared" si="35"/>
        <v>69.362748319220188</v>
      </c>
      <c r="I2253" s="74">
        <v>45909</v>
      </c>
      <c r="J2253">
        <v>2</v>
      </c>
      <c r="K2253" t="s">
        <v>512</v>
      </c>
      <c r="L2253" t="s">
        <v>359</v>
      </c>
      <c r="M2253" t="s">
        <v>356</v>
      </c>
      <c r="N2253" s="73">
        <v>67263</v>
      </c>
      <c r="O2253" s="73">
        <v>67263</v>
      </c>
      <c r="P2253">
        <v>34.681374159610094</v>
      </c>
    </row>
    <row r="2254" spans="1:16" hidden="1" x14ac:dyDescent="0.2">
      <c r="A2254" s="73">
        <v>67263</v>
      </c>
      <c r="B2254" t="s">
        <v>457</v>
      </c>
      <c r="C2254" s="73" t="s">
        <v>484</v>
      </c>
      <c r="D2254" t="s">
        <v>485</v>
      </c>
      <c r="E2254" s="74">
        <v>45910</v>
      </c>
      <c r="F2254" t="s">
        <v>357</v>
      </c>
      <c r="G2254" t="s">
        <v>358</v>
      </c>
      <c r="H2254" s="75">
        <f t="shared" si="35"/>
        <v>69.362748319220188</v>
      </c>
      <c r="I2254" s="74">
        <v>45910</v>
      </c>
      <c r="J2254">
        <v>2</v>
      </c>
      <c r="K2254" t="s">
        <v>512</v>
      </c>
      <c r="L2254" t="s">
        <v>359</v>
      </c>
      <c r="M2254" t="s">
        <v>356</v>
      </c>
      <c r="N2254" s="73">
        <v>67263</v>
      </c>
      <c r="O2254" s="73">
        <v>67263</v>
      </c>
      <c r="P2254">
        <v>34.681374159610094</v>
      </c>
    </row>
    <row r="2255" spans="1:16" hidden="1" x14ac:dyDescent="0.2">
      <c r="A2255" s="73">
        <v>67263</v>
      </c>
      <c r="B2255" t="s">
        <v>457</v>
      </c>
      <c r="C2255" s="73" t="s">
        <v>484</v>
      </c>
      <c r="D2255" t="s">
        <v>485</v>
      </c>
      <c r="E2255" s="74">
        <v>45911</v>
      </c>
      <c r="F2255" t="s">
        <v>364</v>
      </c>
      <c r="G2255" t="s">
        <v>365</v>
      </c>
      <c r="H2255" s="75">
        <f t="shared" si="35"/>
        <v>69.362748319220188</v>
      </c>
      <c r="I2255" s="74">
        <v>45911</v>
      </c>
      <c r="J2255">
        <v>2</v>
      </c>
      <c r="K2255" t="s">
        <v>512</v>
      </c>
      <c r="L2255" t="s">
        <v>366</v>
      </c>
      <c r="M2255" t="s">
        <v>356</v>
      </c>
      <c r="N2255" s="73">
        <v>67263</v>
      </c>
      <c r="O2255" s="73">
        <v>67263</v>
      </c>
      <c r="P2255">
        <v>34.681374159610094</v>
      </c>
    </row>
    <row r="2256" spans="1:16" hidden="1" x14ac:dyDescent="0.2">
      <c r="A2256" s="73">
        <v>67263</v>
      </c>
      <c r="B2256" t="s">
        <v>457</v>
      </c>
      <c r="C2256" s="73" t="s">
        <v>484</v>
      </c>
      <c r="D2256" t="s">
        <v>485</v>
      </c>
      <c r="E2256" s="74">
        <v>45911</v>
      </c>
      <c r="F2256" t="s">
        <v>357</v>
      </c>
      <c r="G2256" t="s">
        <v>358</v>
      </c>
      <c r="H2256" s="75">
        <f t="shared" si="35"/>
        <v>69.362748319220188</v>
      </c>
      <c r="I2256" s="74">
        <v>45911</v>
      </c>
      <c r="J2256">
        <v>2</v>
      </c>
      <c r="K2256" t="s">
        <v>512</v>
      </c>
      <c r="L2256" t="s">
        <v>359</v>
      </c>
      <c r="M2256" t="s">
        <v>356</v>
      </c>
      <c r="N2256" s="73">
        <v>67263</v>
      </c>
      <c r="O2256" s="73">
        <v>67263</v>
      </c>
      <c r="P2256">
        <v>34.681374159610094</v>
      </c>
    </row>
    <row r="2257" spans="1:16" hidden="1" x14ac:dyDescent="0.2">
      <c r="A2257" s="73">
        <v>67263</v>
      </c>
      <c r="B2257" t="s">
        <v>457</v>
      </c>
      <c r="C2257" s="73" t="s">
        <v>484</v>
      </c>
      <c r="D2257" t="s">
        <v>485</v>
      </c>
      <c r="E2257" s="74">
        <v>45912</v>
      </c>
      <c r="F2257" t="s">
        <v>357</v>
      </c>
      <c r="G2257" t="s">
        <v>358</v>
      </c>
      <c r="H2257" s="75">
        <f t="shared" si="35"/>
        <v>69.362748319220188</v>
      </c>
      <c r="I2257" s="74">
        <v>45912</v>
      </c>
      <c r="J2257">
        <v>2</v>
      </c>
      <c r="K2257" t="s">
        <v>512</v>
      </c>
      <c r="L2257" t="s">
        <v>359</v>
      </c>
      <c r="M2257" t="s">
        <v>356</v>
      </c>
      <c r="N2257" s="73">
        <v>67263</v>
      </c>
      <c r="O2257" s="73">
        <v>67263</v>
      </c>
      <c r="P2257">
        <v>34.681374159610094</v>
      </c>
    </row>
    <row r="2258" spans="1:16" hidden="1" x14ac:dyDescent="0.2">
      <c r="A2258" s="73">
        <v>67263</v>
      </c>
      <c r="B2258" t="s">
        <v>457</v>
      </c>
      <c r="C2258" s="73" t="s">
        <v>484</v>
      </c>
      <c r="D2258" t="s">
        <v>485</v>
      </c>
      <c r="E2258" s="74">
        <v>45915</v>
      </c>
      <c r="F2258" t="s">
        <v>357</v>
      </c>
      <c r="G2258" t="s">
        <v>358</v>
      </c>
      <c r="H2258" s="75">
        <f t="shared" si="35"/>
        <v>69.362748319220188</v>
      </c>
      <c r="I2258" s="74">
        <v>45915</v>
      </c>
      <c r="J2258">
        <v>2</v>
      </c>
      <c r="K2258" t="s">
        <v>512</v>
      </c>
      <c r="L2258" t="s">
        <v>359</v>
      </c>
      <c r="M2258" t="s">
        <v>356</v>
      </c>
      <c r="N2258" s="73">
        <v>67263</v>
      </c>
      <c r="O2258" s="73">
        <v>67263</v>
      </c>
      <c r="P2258">
        <v>34.681374159610094</v>
      </c>
    </row>
    <row r="2259" spans="1:16" hidden="1" x14ac:dyDescent="0.2">
      <c r="A2259" s="73">
        <v>67263</v>
      </c>
      <c r="B2259" t="s">
        <v>457</v>
      </c>
      <c r="C2259" s="73" t="s">
        <v>484</v>
      </c>
      <c r="D2259" t="s">
        <v>485</v>
      </c>
      <c r="E2259" s="74">
        <v>45916</v>
      </c>
      <c r="F2259" t="s">
        <v>357</v>
      </c>
      <c r="G2259" t="s">
        <v>358</v>
      </c>
      <c r="H2259" s="75">
        <f t="shared" si="35"/>
        <v>69.362748319220188</v>
      </c>
      <c r="I2259" s="74">
        <v>45916</v>
      </c>
      <c r="J2259">
        <v>2</v>
      </c>
      <c r="K2259" t="s">
        <v>512</v>
      </c>
      <c r="L2259" t="s">
        <v>359</v>
      </c>
      <c r="M2259" t="s">
        <v>356</v>
      </c>
      <c r="N2259" s="73">
        <v>67263</v>
      </c>
      <c r="O2259" s="73">
        <v>67263</v>
      </c>
      <c r="P2259">
        <v>34.681374159610094</v>
      </c>
    </row>
    <row r="2260" spans="1:16" hidden="1" x14ac:dyDescent="0.2">
      <c r="A2260" s="73">
        <v>67263</v>
      </c>
      <c r="B2260" t="s">
        <v>457</v>
      </c>
      <c r="C2260" s="73" t="s">
        <v>484</v>
      </c>
      <c r="D2260" t="s">
        <v>485</v>
      </c>
      <c r="E2260" s="74">
        <v>45917</v>
      </c>
      <c r="F2260" t="s">
        <v>357</v>
      </c>
      <c r="G2260" t="s">
        <v>358</v>
      </c>
      <c r="H2260" s="75">
        <f t="shared" si="35"/>
        <v>69.362748319220188</v>
      </c>
      <c r="I2260" s="74">
        <v>45917</v>
      </c>
      <c r="J2260">
        <v>2</v>
      </c>
      <c r="K2260" t="s">
        <v>512</v>
      </c>
      <c r="L2260" t="s">
        <v>359</v>
      </c>
      <c r="M2260" t="s">
        <v>356</v>
      </c>
      <c r="N2260" s="73">
        <v>67263</v>
      </c>
      <c r="O2260" s="73">
        <v>67263</v>
      </c>
      <c r="P2260">
        <v>34.681374159610094</v>
      </c>
    </row>
    <row r="2261" spans="1:16" hidden="1" x14ac:dyDescent="0.2">
      <c r="A2261" s="73">
        <v>67263</v>
      </c>
      <c r="B2261" t="s">
        <v>457</v>
      </c>
      <c r="C2261" s="73" t="s">
        <v>484</v>
      </c>
      <c r="D2261" t="s">
        <v>485</v>
      </c>
      <c r="E2261" s="74">
        <v>45918</v>
      </c>
      <c r="F2261" t="s">
        <v>357</v>
      </c>
      <c r="G2261" t="s">
        <v>358</v>
      </c>
      <c r="H2261" s="75">
        <f t="shared" si="35"/>
        <v>69.362748319220188</v>
      </c>
      <c r="I2261" s="74">
        <v>45918</v>
      </c>
      <c r="J2261">
        <v>2</v>
      </c>
      <c r="K2261" t="s">
        <v>512</v>
      </c>
      <c r="L2261" t="s">
        <v>359</v>
      </c>
      <c r="M2261" t="s">
        <v>356</v>
      </c>
      <c r="N2261" s="73">
        <v>67263</v>
      </c>
      <c r="O2261" s="73">
        <v>67263</v>
      </c>
      <c r="P2261">
        <v>34.681374159610094</v>
      </c>
    </row>
    <row r="2262" spans="1:16" hidden="1" x14ac:dyDescent="0.2">
      <c r="A2262" s="73">
        <v>67263</v>
      </c>
      <c r="B2262" t="s">
        <v>457</v>
      </c>
      <c r="C2262" s="73" t="s">
        <v>484</v>
      </c>
      <c r="D2262" t="s">
        <v>485</v>
      </c>
      <c r="E2262" s="74">
        <v>45919</v>
      </c>
      <c r="F2262" t="s">
        <v>357</v>
      </c>
      <c r="G2262" t="s">
        <v>358</v>
      </c>
      <c r="H2262" s="75">
        <f t="shared" si="35"/>
        <v>69.362748319220188</v>
      </c>
      <c r="I2262" s="74">
        <v>45919</v>
      </c>
      <c r="J2262">
        <v>2</v>
      </c>
      <c r="K2262" t="s">
        <v>512</v>
      </c>
      <c r="L2262" t="s">
        <v>359</v>
      </c>
      <c r="M2262" t="s">
        <v>356</v>
      </c>
      <c r="N2262" s="73">
        <v>67263</v>
      </c>
      <c r="O2262" s="73">
        <v>67263</v>
      </c>
      <c r="P2262">
        <v>34.681374159610094</v>
      </c>
    </row>
    <row r="2263" spans="1:16" hidden="1" x14ac:dyDescent="0.2">
      <c r="A2263" s="73">
        <v>67263</v>
      </c>
      <c r="B2263" t="s">
        <v>457</v>
      </c>
      <c r="C2263" s="73" t="s">
        <v>484</v>
      </c>
      <c r="D2263" t="s">
        <v>485</v>
      </c>
      <c r="E2263" s="74">
        <v>45922</v>
      </c>
      <c r="F2263" t="s">
        <v>364</v>
      </c>
      <c r="G2263" t="s">
        <v>365</v>
      </c>
      <c r="H2263" s="75">
        <f t="shared" si="35"/>
        <v>138.72549663844038</v>
      </c>
      <c r="I2263" s="74">
        <v>45922</v>
      </c>
      <c r="J2263">
        <v>4</v>
      </c>
      <c r="K2263" t="s">
        <v>512</v>
      </c>
      <c r="L2263" t="s">
        <v>366</v>
      </c>
      <c r="M2263" t="s">
        <v>356</v>
      </c>
      <c r="N2263" s="73">
        <v>67263</v>
      </c>
      <c r="O2263" s="73">
        <v>67263</v>
      </c>
      <c r="P2263">
        <v>34.681374159610094</v>
      </c>
    </row>
    <row r="2264" spans="1:16" hidden="1" x14ac:dyDescent="0.2">
      <c r="A2264" s="73">
        <v>67263</v>
      </c>
      <c r="B2264" t="s">
        <v>457</v>
      </c>
      <c r="C2264" s="73" t="s">
        <v>484</v>
      </c>
      <c r="D2264" t="s">
        <v>485</v>
      </c>
      <c r="E2264" s="74">
        <v>45922</v>
      </c>
      <c r="F2264" t="s">
        <v>357</v>
      </c>
      <c r="G2264" t="s">
        <v>358</v>
      </c>
      <c r="H2264" s="75">
        <f t="shared" si="35"/>
        <v>69.362748319220188</v>
      </c>
      <c r="I2264" s="74">
        <v>45922</v>
      </c>
      <c r="J2264">
        <v>2</v>
      </c>
      <c r="K2264" t="s">
        <v>512</v>
      </c>
      <c r="L2264" t="s">
        <v>359</v>
      </c>
      <c r="M2264" t="s">
        <v>356</v>
      </c>
      <c r="N2264" s="73">
        <v>67263</v>
      </c>
      <c r="O2264" s="73">
        <v>67263</v>
      </c>
      <c r="P2264">
        <v>34.681374159610094</v>
      </c>
    </row>
    <row r="2265" spans="1:16" hidden="1" x14ac:dyDescent="0.2">
      <c r="A2265" s="73">
        <v>67263</v>
      </c>
      <c r="B2265" t="s">
        <v>457</v>
      </c>
      <c r="C2265" s="73" t="s">
        <v>484</v>
      </c>
      <c r="D2265" t="s">
        <v>485</v>
      </c>
      <c r="E2265" s="74">
        <v>45923</v>
      </c>
      <c r="F2265" t="s">
        <v>364</v>
      </c>
      <c r="G2265" t="s">
        <v>365</v>
      </c>
      <c r="H2265" s="75">
        <f t="shared" si="35"/>
        <v>138.72549663844038</v>
      </c>
      <c r="I2265" s="74">
        <v>45923</v>
      </c>
      <c r="J2265">
        <v>4</v>
      </c>
      <c r="K2265" t="s">
        <v>512</v>
      </c>
      <c r="L2265" t="s">
        <v>366</v>
      </c>
      <c r="M2265" t="s">
        <v>356</v>
      </c>
      <c r="N2265" s="73">
        <v>67263</v>
      </c>
      <c r="O2265" s="73">
        <v>67263</v>
      </c>
      <c r="P2265">
        <v>34.681374159610094</v>
      </c>
    </row>
    <row r="2266" spans="1:16" hidden="1" x14ac:dyDescent="0.2">
      <c r="A2266" s="73">
        <v>67263</v>
      </c>
      <c r="B2266" t="s">
        <v>457</v>
      </c>
      <c r="C2266" s="73" t="s">
        <v>484</v>
      </c>
      <c r="D2266" t="s">
        <v>485</v>
      </c>
      <c r="E2266" s="74">
        <v>45923</v>
      </c>
      <c r="F2266" t="s">
        <v>357</v>
      </c>
      <c r="G2266" t="s">
        <v>358</v>
      </c>
      <c r="H2266" s="75">
        <f t="shared" si="35"/>
        <v>69.362748319220188</v>
      </c>
      <c r="I2266" s="74">
        <v>45923</v>
      </c>
      <c r="J2266">
        <v>2</v>
      </c>
      <c r="K2266" t="s">
        <v>512</v>
      </c>
      <c r="L2266" t="s">
        <v>359</v>
      </c>
      <c r="M2266" t="s">
        <v>356</v>
      </c>
      <c r="N2266" s="73">
        <v>67263</v>
      </c>
      <c r="O2266" s="73">
        <v>67263</v>
      </c>
      <c r="P2266">
        <v>34.681374159610094</v>
      </c>
    </row>
    <row r="2267" spans="1:16" hidden="1" x14ac:dyDescent="0.2">
      <c r="A2267" s="73">
        <v>67263</v>
      </c>
      <c r="B2267" t="s">
        <v>457</v>
      </c>
      <c r="C2267" s="73" t="s">
        <v>484</v>
      </c>
      <c r="D2267" t="s">
        <v>485</v>
      </c>
      <c r="E2267" s="74">
        <v>45924</v>
      </c>
      <c r="F2267" t="s">
        <v>364</v>
      </c>
      <c r="G2267" t="s">
        <v>365</v>
      </c>
      <c r="H2267" s="75">
        <f t="shared" si="35"/>
        <v>138.72549663844038</v>
      </c>
      <c r="I2267" s="74">
        <v>45924</v>
      </c>
      <c r="J2267">
        <v>4</v>
      </c>
      <c r="K2267" t="s">
        <v>512</v>
      </c>
      <c r="L2267" t="s">
        <v>366</v>
      </c>
      <c r="M2267" t="s">
        <v>356</v>
      </c>
      <c r="N2267" s="73">
        <v>67263</v>
      </c>
      <c r="O2267" s="73">
        <v>67263</v>
      </c>
      <c r="P2267">
        <v>34.681374159610094</v>
      </c>
    </row>
    <row r="2268" spans="1:16" hidden="1" x14ac:dyDescent="0.2">
      <c r="A2268" s="73">
        <v>67263</v>
      </c>
      <c r="B2268" t="s">
        <v>457</v>
      </c>
      <c r="C2268" s="73" t="s">
        <v>484</v>
      </c>
      <c r="D2268" t="s">
        <v>485</v>
      </c>
      <c r="E2268" s="74">
        <v>45924</v>
      </c>
      <c r="F2268" t="s">
        <v>357</v>
      </c>
      <c r="G2268" t="s">
        <v>358</v>
      </c>
      <c r="H2268" s="75">
        <f t="shared" si="35"/>
        <v>69.362748319220188</v>
      </c>
      <c r="I2268" s="74">
        <v>45924</v>
      </c>
      <c r="J2268">
        <v>2</v>
      </c>
      <c r="K2268" t="s">
        <v>512</v>
      </c>
      <c r="L2268" t="s">
        <v>359</v>
      </c>
      <c r="M2268" t="s">
        <v>356</v>
      </c>
      <c r="N2268" s="73">
        <v>67263</v>
      </c>
      <c r="O2268" s="73">
        <v>67263</v>
      </c>
      <c r="P2268">
        <v>34.681374159610094</v>
      </c>
    </row>
    <row r="2269" spans="1:16" hidden="1" x14ac:dyDescent="0.2">
      <c r="A2269" s="73">
        <v>67263</v>
      </c>
      <c r="B2269" t="s">
        <v>457</v>
      </c>
      <c r="C2269" s="73" t="s">
        <v>484</v>
      </c>
      <c r="D2269" t="s">
        <v>485</v>
      </c>
      <c r="E2269" s="74">
        <v>45925</v>
      </c>
      <c r="F2269" t="s">
        <v>364</v>
      </c>
      <c r="G2269" t="s">
        <v>365</v>
      </c>
      <c r="H2269" s="75">
        <f t="shared" si="35"/>
        <v>138.72549663844038</v>
      </c>
      <c r="I2269" s="74">
        <v>45925</v>
      </c>
      <c r="J2269">
        <v>4</v>
      </c>
      <c r="K2269" t="s">
        <v>512</v>
      </c>
      <c r="L2269" t="s">
        <v>366</v>
      </c>
      <c r="M2269" t="s">
        <v>356</v>
      </c>
      <c r="N2269" s="73">
        <v>67263</v>
      </c>
      <c r="O2269" s="73">
        <v>67263</v>
      </c>
      <c r="P2269">
        <v>34.681374159610094</v>
      </c>
    </row>
    <row r="2270" spans="1:16" hidden="1" x14ac:dyDescent="0.2">
      <c r="A2270" s="73">
        <v>67263</v>
      </c>
      <c r="B2270" t="s">
        <v>457</v>
      </c>
      <c r="C2270" s="73" t="s">
        <v>484</v>
      </c>
      <c r="D2270" t="s">
        <v>485</v>
      </c>
      <c r="E2270" s="74">
        <v>45925</v>
      </c>
      <c r="F2270" t="s">
        <v>357</v>
      </c>
      <c r="G2270" t="s">
        <v>358</v>
      </c>
      <c r="H2270" s="75">
        <f t="shared" si="35"/>
        <v>69.362748319220188</v>
      </c>
      <c r="I2270" s="74">
        <v>45925</v>
      </c>
      <c r="J2270">
        <v>2</v>
      </c>
      <c r="K2270" t="s">
        <v>512</v>
      </c>
      <c r="L2270" t="s">
        <v>359</v>
      </c>
      <c r="M2270" t="s">
        <v>356</v>
      </c>
      <c r="N2270" s="73">
        <v>67263</v>
      </c>
      <c r="O2270" s="73">
        <v>67263</v>
      </c>
      <c r="P2270">
        <v>34.681374159610094</v>
      </c>
    </row>
    <row r="2271" spans="1:16" hidden="1" x14ac:dyDescent="0.2">
      <c r="A2271" s="73">
        <v>67263</v>
      </c>
      <c r="B2271" t="s">
        <v>457</v>
      </c>
      <c r="C2271" s="73" t="s">
        <v>484</v>
      </c>
      <c r="D2271" t="s">
        <v>485</v>
      </c>
      <c r="E2271" s="74">
        <v>45926</v>
      </c>
      <c r="F2271" t="s">
        <v>364</v>
      </c>
      <c r="G2271" t="s">
        <v>365</v>
      </c>
      <c r="H2271" s="75">
        <f t="shared" si="35"/>
        <v>138.72549663844038</v>
      </c>
      <c r="I2271" s="74">
        <v>45926</v>
      </c>
      <c r="J2271">
        <v>4</v>
      </c>
      <c r="K2271" t="s">
        <v>512</v>
      </c>
      <c r="L2271" t="s">
        <v>366</v>
      </c>
      <c r="M2271" t="s">
        <v>356</v>
      </c>
      <c r="N2271" s="73">
        <v>67263</v>
      </c>
      <c r="O2271" s="73">
        <v>67263</v>
      </c>
      <c r="P2271">
        <v>34.681374159610094</v>
      </c>
    </row>
    <row r="2272" spans="1:16" hidden="1" x14ac:dyDescent="0.2">
      <c r="A2272" s="73">
        <v>67263</v>
      </c>
      <c r="B2272" t="s">
        <v>457</v>
      </c>
      <c r="C2272" s="73" t="s">
        <v>484</v>
      </c>
      <c r="D2272" t="s">
        <v>485</v>
      </c>
      <c r="E2272" s="74">
        <v>45926</v>
      </c>
      <c r="F2272" t="s">
        <v>357</v>
      </c>
      <c r="G2272" t="s">
        <v>358</v>
      </c>
      <c r="H2272" s="75">
        <f t="shared" si="35"/>
        <v>69.362748319220188</v>
      </c>
      <c r="I2272" s="74">
        <v>45926</v>
      </c>
      <c r="J2272">
        <v>2</v>
      </c>
      <c r="K2272" t="s">
        <v>512</v>
      </c>
      <c r="L2272" t="s">
        <v>359</v>
      </c>
      <c r="M2272" t="s">
        <v>356</v>
      </c>
      <c r="N2272" s="73">
        <v>67263</v>
      </c>
      <c r="O2272" s="73">
        <v>67263</v>
      </c>
      <c r="P2272">
        <v>34.681374159610094</v>
      </c>
    </row>
    <row r="2273" spans="1:16" hidden="1" x14ac:dyDescent="0.2">
      <c r="A2273" s="73">
        <v>67263</v>
      </c>
      <c r="B2273" t="s">
        <v>457</v>
      </c>
      <c r="C2273" s="73" t="s">
        <v>484</v>
      </c>
      <c r="D2273" t="s">
        <v>485</v>
      </c>
      <c r="E2273" s="74">
        <v>45929</v>
      </c>
      <c r="F2273" t="s">
        <v>357</v>
      </c>
      <c r="G2273" t="s">
        <v>358</v>
      </c>
      <c r="H2273" s="75">
        <f t="shared" si="35"/>
        <v>69.362748319220188</v>
      </c>
      <c r="I2273" s="74">
        <v>45929</v>
      </c>
      <c r="J2273">
        <v>2</v>
      </c>
      <c r="K2273" t="s">
        <v>512</v>
      </c>
      <c r="L2273" t="s">
        <v>359</v>
      </c>
      <c r="M2273" t="s">
        <v>356</v>
      </c>
      <c r="N2273" s="73">
        <v>67263</v>
      </c>
      <c r="O2273" s="73">
        <v>67263</v>
      </c>
      <c r="P2273">
        <v>34.681374159610094</v>
      </c>
    </row>
    <row r="2274" spans="1:16" hidden="1" x14ac:dyDescent="0.2">
      <c r="A2274" s="73">
        <v>67263</v>
      </c>
      <c r="B2274" t="s">
        <v>457</v>
      </c>
      <c r="C2274" s="73" t="s">
        <v>484</v>
      </c>
      <c r="D2274" t="s">
        <v>485</v>
      </c>
      <c r="E2274" s="74">
        <v>45930</v>
      </c>
      <c r="F2274" t="s">
        <v>357</v>
      </c>
      <c r="G2274" t="s">
        <v>358</v>
      </c>
      <c r="H2274" s="75">
        <f t="shared" si="35"/>
        <v>69.362748319220188</v>
      </c>
      <c r="I2274" s="74">
        <v>45930</v>
      </c>
      <c r="J2274">
        <v>2</v>
      </c>
      <c r="K2274" t="s">
        <v>512</v>
      </c>
      <c r="L2274" t="s">
        <v>359</v>
      </c>
      <c r="M2274" t="s">
        <v>356</v>
      </c>
      <c r="N2274" s="73">
        <v>67263</v>
      </c>
      <c r="O2274" s="73">
        <v>67263</v>
      </c>
      <c r="P2274">
        <v>34.681374159610094</v>
      </c>
    </row>
    <row r="2275" spans="1:16" hidden="1" x14ac:dyDescent="0.2">
      <c r="A2275" s="73">
        <v>67263</v>
      </c>
      <c r="B2275" t="s">
        <v>457</v>
      </c>
      <c r="C2275" s="73" t="s">
        <v>484</v>
      </c>
      <c r="D2275" t="s">
        <v>485</v>
      </c>
      <c r="E2275" s="74">
        <v>45930</v>
      </c>
      <c r="F2275" t="s">
        <v>364</v>
      </c>
      <c r="G2275" t="s">
        <v>365</v>
      </c>
      <c r="H2275" s="75">
        <f t="shared" si="35"/>
        <v>69.362748319220188</v>
      </c>
      <c r="I2275" s="74">
        <v>45930</v>
      </c>
      <c r="J2275">
        <v>2</v>
      </c>
      <c r="K2275" t="s">
        <v>512</v>
      </c>
      <c r="L2275" t="s">
        <v>366</v>
      </c>
      <c r="M2275" t="s">
        <v>356</v>
      </c>
      <c r="N2275" s="73">
        <v>67263</v>
      </c>
      <c r="O2275" s="73">
        <v>67263</v>
      </c>
      <c r="P2275">
        <v>34.681374159610094</v>
      </c>
    </row>
    <row r="2276" spans="1:16" hidden="1" x14ac:dyDescent="0.2">
      <c r="A2276" s="73">
        <v>67263</v>
      </c>
      <c r="B2276" t="s">
        <v>457</v>
      </c>
      <c r="C2276" s="73" t="s">
        <v>484</v>
      </c>
      <c r="D2276" t="s">
        <v>485</v>
      </c>
      <c r="E2276" s="74">
        <v>45933</v>
      </c>
      <c r="F2276" t="s">
        <v>357</v>
      </c>
      <c r="G2276" t="s">
        <v>358</v>
      </c>
      <c r="H2276" s="75">
        <f t="shared" si="35"/>
        <v>69.362748319220188</v>
      </c>
      <c r="I2276" s="74">
        <v>45933</v>
      </c>
      <c r="J2276">
        <v>2</v>
      </c>
      <c r="K2276" t="s">
        <v>513</v>
      </c>
      <c r="L2276" t="s">
        <v>359</v>
      </c>
      <c r="M2276" t="s">
        <v>356</v>
      </c>
      <c r="N2276" s="73">
        <v>67263</v>
      </c>
      <c r="O2276" s="73">
        <v>67263</v>
      </c>
      <c r="P2276">
        <v>34.681374159610094</v>
      </c>
    </row>
    <row r="2277" spans="1:16" hidden="1" x14ac:dyDescent="0.2">
      <c r="A2277" s="73">
        <v>67263</v>
      </c>
      <c r="B2277" t="s">
        <v>457</v>
      </c>
      <c r="C2277" s="73" t="s">
        <v>484</v>
      </c>
      <c r="D2277" t="s">
        <v>485</v>
      </c>
      <c r="E2277" s="74">
        <v>45933</v>
      </c>
      <c r="F2277" t="s">
        <v>364</v>
      </c>
      <c r="G2277" t="s">
        <v>365</v>
      </c>
      <c r="H2277" s="75">
        <f t="shared" si="35"/>
        <v>69.362748319220188</v>
      </c>
      <c r="I2277" s="74">
        <v>45933</v>
      </c>
      <c r="J2277">
        <v>2</v>
      </c>
      <c r="K2277" t="s">
        <v>513</v>
      </c>
      <c r="L2277" t="s">
        <v>366</v>
      </c>
      <c r="M2277" t="s">
        <v>356</v>
      </c>
      <c r="N2277" s="73">
        <v>67263</v>
      </c>
      <c r="O2277" s="73">
        <v>67263</v>
      </c>
      <c r="P2277">
        <v>34.681374159610094</v>
      </c>
    </row>
    <row r="2278" spans="1:16" hidden="1" x14ac:dyDescent="0.2">
      <c r="A2278" s="73">
        <v>67263</v>
      </c>
      <c r="B2278" t="s">
        <v>457</v>
      </c>
      <c r="C2278" s="73" t="s">
        <v>484</v>
      </c>
      <c r="D2278" t="s">
        <v>485</v>
      </c>
      <c r="E2278" s="74">
        <v>45936</v>
      </c>
      <c r="F2278" t="s">
        <v>357</v>
      </c>
      <c r="G2278" t="s">
        <v>358</v>
      </c>
      <c r="H2278" s="75">
        <f t="shared" si="35"/>
        <v>69.362748319220188</v>
      </c>
      <c r="I2278" s="74">
        <v>45936</v>
      </c>
      <c r="J2278">
        <v>2</v>
      </c>
      <c r="K2278" t="s">
        <v>513</v>
      </c>
      <c r="L2278" t="s">
        <v>359</v>
      </c>
      <c r="M2278" t="s">
        <v>356</v>
      </c>
      <c r="N2278" s="73">
        <v>67263</v>
      </c>
      <c r="O2278" s="73">
        <v>67263</v>
      </c>
      <c r="P2278">
        <v>34.681374159610094</v>
      </c>
    </row>
    <row r="2279" spans="1:16" hidden="1" x14ac:dyDescent="0.2">
      <c r="A2279" s="73">
        <v>67263</v>
      </c>
      <c r="B2279" t="s">
        <v>457</v>
      </c>
      <c r="C2279" s="73" t="s">
        <v>484</v>
      </c>
      <c r="D2279" t="s">
        <v>485</v>
      </c>
      <c r="E2279" s="74">
        <v>45937</v>
      </c>
      <c r="F2279" t="s">
        <v>357</v>
      </c>
      <c r="G2279" t="s">
        <v>358</v>
      </c>
      <c r="H2279" s="75">
        <f t="shared" si="35"/>
        <v>69.362748319220188</v>
      </c>
      <c r="I2279" s="74">
        <v>45937</v>
      </c>
      <c r="J2279">
        <v>2</v>
      </c>
      <c r="K2279" t="s">
        <v>513</v>
      </c>
      <c r="L2279" t="s">
        <v>359</v>
      </c>
      <c r="M2279" t="s">
        <v>356</v>
      </c>
      <c r="N2279" s="73">
        <v>67263</v>
      </c>
      <c r="O2279" s="73">
        <v>67263</v>
      </c>
      <c r="P2279">
        <v>34.681374159610094</v>
      </c>
    </row>
    <row r="2280" spans="1:16" hidden="1" x14ac:dyDescent="0.2">
      <c r="A2280" s="73">
        <v>67263</v>
      </c>
      <c r="B2280" t="s">
        <v>457</v>
      </c>
      <c r="C2280" s="73" t="s">
        <v>484</v>
      </c>
      <c r="D2280" t="s">
        <v>485</v>
      </c>
      <c r="E2280" s="74">
        <v>45938</v>
      </c>
      <c r="F2280" t="s">
        <v>357</v>
      </c>
      <c r="G2280" t="s">
        <v>358</v>
      </c>
      <c r="H2280" s="75">
        <f t="shared" si="35"/>
        <v>69.362748319220188</v>
      </c>
      <c r="I2280" s="74">
        <v>45938</v>
      </c>
      <c r="J2280">
        <v>2</v>
      </c>
      <c r="K2280" t="s">
        <v>513</v>
      </c>
      <c r="L2280" t="s">
        <v>359</v>
      </c>
      <c r="M2280" t="s">
        <v>356</v>
      </c>
      <c r="N2280" s="73">
        <v>67263</v>
      </c>
      <c r="O2280" s="73">
        <v>67263</v>
      </c>
      <c r="P2280">
        <v>34.681374159610094</v>
      </c>
    </row>
    <row r="2281" spans="1:16" hidden="1" x14ac:dyDescent="0.2">
      <c r="A2281" s="73">
        <v>67263</v>
      </c>
      <c r="B2281" t="s">
        <v>457</v>
      </c>
      <c r="C2281" s="73" t="s">
        <v>484</v>
      </c>
      <c r="D2281" t="s">
        <v>485</v>
      </c>
      <c r="E2281" s="74">
        <v>45939</v>
      </c>
      <c r="F2281" t="s">
        <v>357</v>
      </c>
      <c r="G2281" t="s">
        <v>358</v>
      </c>
      <c r="H2281" s="75">
        <f t="shared" si="35"/>
        <v>69.362748319220188</v>
      </c>
      <c r="I2281" s="74">
        <v>45939</v>
      </c>
      <c r="J2281">
        <v>2</v>
      </c>
      <c r="K2281" t="s">
        <v>513</v>
      </c>
      <c r="L2281" t="s">
        <v>359</v>
      </c>
      <c r="M2281" t="s">
        <v>356</v>
      </c>
      <c r="N2281" s="73">
        <v>67263</v>
      </c>
      <c r="O2281" s="73">
        <v>67263</v>
      </c>
      <c r="P2281">
        <v>34.681374159610094</v>
      </c>
    </row>
    <row r="2282" spans="1:16" hidden="1" x14ac:dyDescent="0.2">
      <c r="A2282" s="73">
        <v>67263</v>
      </c>
      <c r="B2282" t="s">
        <v>457</v>
      </c>
      <c r="C2282" s="73" t="s">
        <v>484</v>
      </c>
      <c r="D2282" t="s">
        <v>485</v>
      </c>
      <c r="E2282" s="74">
        <v>45940</v>
      </c>
      <c r="F2282" t="s">
        <v>357</v>
      </c>
      <c r="G2282" t="s">
        <v>358</v>
      </c>
      <c r="H2282" s="75">
        <f t="shared" si="35"/>
        <v>69.362748319220188</v>
      </c>
      <c r="I2282" s="74">
        <v>45940</v>
      </c>
      <c r="J2282">
        <v>2</v>
      </c>
      <c r="K2282" t="s">
        <v>513</v>
      </c>
      <c r="L2282" t="s">
        <v>359</v>
      </c>
      <c r="M2282" t="s">
        <v>356</v>
      </c>
      <c r="N2282" s="73">
        <v>67263</v>
      </c>
      <c r="O2282" s="73">
        <v>67263</v>
      </c>
      <c r="P2282">
        <v>34.681374159610094</v>
      </c>
    </row>
    <row r="2283" spans="1:16" hidden="1" x14ac:dyDescent="0.2">
      <c r="A2283" s="73">
        <v>67263</v>
      </c>
      <c r="B2283" t="s">
        <v>457</v>
      </c>
      <c r="C2283" s="73" t="s">
        <v>484</v>
      </c>
      <c r="D2283" t="s">
        <v>485</v>
      </c>
      <c r="E2283" s="74">
        <v>45943</v>
      </c>
      <c r="F2283" t="s">
        <v>357</v>
      </c>
      <c r="G2283" t="s">
        <v>358</v>
      </c>
      <c r="H2283" s="75">
        <f t="shared" si="35"/>
        <v>69.362748319220188</v>
      </c>
      <c r="I2283" s="74">
        <v>45943</v>
      </c>
      <c r="J2283">
        <v>2</v>
      </c>
      <c r="K2283" t="s">
        <v>513</v>
      </c>
      <c r="L2283" t="s">
        <v>359</v>
      </c>
      <c r="M2283" t="s">
        <v>356</v>
      </c>
      <c r="N2283" s="73">
        <v>67263</v>
      </c>
      <c r="O2283" s="73">
        <v>67263</v>
      </c>
      <c r="P2283">
        <v>34.681374159610094</v>
      </c>
    </row>
    <row r="2284" spans="1:16" hidden="1" x14ac:dyDescent="0.2">
      <c r="A2284" s="73">
        <v>67263</v>
      </c>
      <c r="B2284" t="s">
        <v>457</v>
      </c>
      <c r="C2284" s="73" t="s">
        <v>484</v>
      </c>
      <c r="D2284" t="s">
        <v>485</v>
      </c>
      <c r="E2284" s="74">
        <v>45944</v>
      </c>
      <c r="F2284" t="s">
        <v>357</v>
      </c>
      <c r="G2284" t="s">
        <v>358</v>
      </c>
      <c r="H2284" s="75">
        <f t="shared" si="35"/>
        <v>69.362748319220188</v>
      </c>
      <c r="I2284" s="74">
        <v>45944</v>
      </c>
      <c r="J2284">
        <v>2</v>
      </c>
      <c r="K2284" t="s">
        <v>513</v>
      </c>
      <c r="L2284" t="s">
        <v>359</v>
      </c>
      <c r="M2284" t="s">
        <v>356</v>
      </c>
      <c r="N2284" s="73">
        <v>67263</v>
      </c>
      <c r="O2284" s="73">
        <v>67263</v>
      </c>
      <c r="P2284">
        <v>34.681374159610094</v>
      </c>
    </row>
    <row r="2285" spans="1:16" hidden="1" x14ac:dyDescent="0.2">
      <c r="A2285" s="73">
        <v>67263</v>
      </c>
      <c r="B2285" t="s">
        <v>457</v>
      </c>
      <c r="C2285" s="73" t="s">
        <v>484</v>
      </c>
      <c r="D2285" t="s">
        <v>485</v>
      </c>
      <c r="E2285" s="74">
        <v>45945</v>
      </c>
      <c r="F2285" t="s">
        <v>357</v>
      </c>
      <c r="G2285" t="s">
        <v>358</v>
      </c>
      <c r="H2285" s="75">
        <f t="shared" si="35"/>
        <v>69.362748319220188</v>
      </c>
      <c r="I2285" s="74">
        <v>45945</v>
      </c>
      <c r="J2285">
        <v>2</v>
      </c>
      <c r="K2285" t="s">
        <v>513</v>
      </c>
      <c r="L2285" t="s">
        <v>359</v>
      </c>
      <c r="M2285" t="s">
        <v>356</v>
      </c>
      <c r="N2285" s="73">
        <v>67263</v>
      </c>
      <c r="O2285" s="73">
        <v>67263</v>
      </c>
      <c r="P2285">
        <v>34.681374159610094</v>
      </c>
    </row>
    <row r="2286" spans="1:16" hidden="1" x14ac:dyDescent="0.2">
      <c r="A2286" s="73">
        <v>67263</v>
      </c>
      <c r="B2286" t="s">
        <v>457</v>
      </c>
      <c r="C2286" s="73" t="s">
        <v>484</v>
      </c>
      <c r="D2286" t="s">
        <v>485</v>
      </c>
      <c r="E2286" s="74">
        <v>45946</v>
      </c>
      <c r="F2286" t="s">
        <v>357</v>
      </c>
      <c r="G2286" t="s">
        <v>358</v>
      </c>
      <c r="H2286" s="75">
        <f t="shared" si="35"/>
        <v>69.362748319220188</v>
      </c>
      <c r="I2286" s="74">
        <v>45946</v>
      </c>
      <c r="J2286">
        <v>2</v>
      </c>
      <c r="K2286" t="s">
        <v>513</v>
      </c>
      <c r="L2286" t="s">
        <v>359</v>
      </c>
      <c r="M2286" t="s">
        <v>356</v>
      </c>
      <c r="N2286" s="73">
        <v>67263</v>
      </c>
      <c r="O2286" s="73">
        <v>67263</v>
      </c>
      <c r="P2286">
        <v>34.681374159610094</v>
      </c>
    </row>
    <row r="2287" spans="1:16" hidden="1" x14ac:dyDescent="0.2">
      <c r="A2287" s="73">
        <v>67263</v>
      </c>
      <c r="B2287" t="s">
        <v>457</v>
      </c>
      <c r="C2287" s="73" t="s">
        <v>484</v>
      </c>
      <c r="D2287" t="s">
        <v>485</v>
      </c>
      <c r="E2287" s="74">
        <v>45947</v>
      </c>
      <c r="F2287" t="s">
        <v>357</v>
      </c>
      <c r="G2287" t="s">
        <v>358</v>
      </c>
      <c r="H2287" s="75">
        <f t="shared" si="35"/>
        <v>69.362748319220188</v>
      </c>
      <c r="I2287" s="74">
        <v>45947</v>
      </c>
      <c r="J2287">
        <v>2</v>
      </c>
      <c r="K2287" t="s">
        <v>513</v>
      </c>
      <c r="L2287" t="s">
        <v>359</v>
      </c>
      <c r="M2287" t="s">
        <v>356</v>
      </c>
      <c r="N2287" s="73">
        <v>67263</v>
      </c>
      <c r="O2287" s="73">
        <v>67263</v>
      </c>
      <c r="P2287">
        <v>34.681374159610094</v>
      </c>
    </row>
    <row r="2288" spans="1:16" hidden="1" x14ac:dyDescent="0.2">
      <c r="A2288" s="73">
        <v>67263</v>
      </c>
      <c r="B2288" t="s">
        <v>457</v>
      </c>
      <c r="C2288" s="73" t="s">
        <v>484</v>
      </c>
      <c r="D2288" t="s">
        <v>485</v>
      </c>
      <c r="E2288" s="74">
        <v>45950</v>
      </c>
      <c r="F2288" t="s">
        <v>357</v>
      </c>
      <c r="G2288" t="s">
        <v>358</v>
      </c>
      <c r="H2288" s="75">
        <f t="shared" si="35"/>
        <v>69.362748319220188</v>
      </c>
      <c r="I2288" s="74">
        <v>45950</v>
      </c>
      <c r="J2288">
        <v>2</v>
      </c>
      <c r="K2288" t="s">
        <v>513</v>
      </c>
      <c r="L2288" t="s">
        <v>359</v>
      </c>
      <c r="M2288" t="s">
        <v>356</v>
      </c>
      <c r="N2288" s="73">
        <v>67263</v>
      </c>
      <c r="O2288" s="73">
        <v>67263</v>
      </c>
      <c r="P2288">
        <v>34.681374159610094</v>
      </c>
    </row>
    <row r="2289" spans="1:16" hidden="1" x14ac:dyDescent="0.2">
      <c r="A2289" s="73">
        <v>67263</v>
      </c>
      <c r="B2289" t="s">
        <v>457</v>
      </c>
      <c r="C2289" s="73" t="s">
        <v>484</v>
      </c>
      <c r="D2289" t="s">
        <v>485</v>
      </c>
      <c r="E2289" s="74">
        <v>45952</v>
      </c>
      <c r="F2289" t="s">
        <v>357</v>
      </c>
      <c r="G2289" t="s">
        <v>358</v>
      </c>
      <c r="H2289" s="75">
        <f t="shared" si="35"/>
        <v>69.362748319220188</v>
      </c>
      <c r="I2289" s="74">
        <v>45952</v>
      </c>
      <c r="J2289">
        <v>2</v>
      </c>
      <c r="K2289" t="s">
        <v>513</v>
      </c>
      <c r="L2289" t="s">
        <v>359</v>
      </c>
      <c r="M2289" t="s">
        <v>356</v>
      </c>
      <c r="N2289" s="73">
        <v>67263</v>
      </c>
      <c r="O2289" s="73">
        <v>67263</v>
      </c>
      <c r="P2289">
        <v>34.681374159610094</v>
      </c>
    </row>
    <row r="2290" spans="1:16" hidden="1" x14ac:dyDescent="0.2">
      <c r="A2290" s="73">
        <v>67263</v>
      </c>
      <c r="B2290" t="s">
        <v>457</v>
      </c>
      <c r="C2290" s="73" t="s">
        <v>484</v>
      </c>
      <c r="D2290" t="s">
        <v>485</v>
      </c>
      <c r="E2290" s="74">
        <v>45953</v>
      </c>
      <c r="F2290" t="s">
        <v>357</v>
      </c>
      <c r="G2290" t="s">
        <v>358</v>
      </c>
      <c r="H2290" s="75">
        <f t="shared" si="35"/>
        <v>69.362748319220188</v>
      </c>
      <c r="I2290" s="74">
        <v>45953</v>
      </c>
      <c r="J2290">
        <v>2</v>
      </c>
      <c r="K2290" t="s">
        <v>513</v>
      </c>
      <c r="L2290" t="s">
        <v>359</v>
      </c>
      <c r="M2290" t="s">
        <v>356</v>
      </c>
      <c r="N2290" s="73">
        <v>67263</v>
      </c>
      <c r="O2290" s="73">
        <v>67263</v>
      </c>
      <c r="P2290">
        <v>34.681374159610094</v>
      </c>
    </row>
    <row r="2291" spans="1:16" hidden="1" x14ac:dyDescent="0.2">
      <c r="A2291" s="73">
        <v>67263</v>
      </c>
      <c r="B2291" t="s">
        <v>457</v>
      </c>
      <c r="C2291" s="73" t="s">
        <v>484</v>
      </c>
      <c r="D2291" t="s">
        <v>485</v>
      </c>
      <c r="E2291" s="74">
        <v>45954</v>
      </c>
      <c r="F2291" t="s">
        <v>357</v>
      </c>
      <c r="G2291" t="s">
        <v>358</v>
      </c>
      <c r="H2291" s="75">
        <f t="shared" si="35"/>
        <v>69.362748319220188</v>
      </c>
      <c r="I2291" s="74">
        <v>45954</v>
      </c>
      <c r="J2291">
        <v>2</v>
      </c>
      <c r="K2291" t="s">
        <v>513</v>
      </c>
      <c r="L2291" t="s">
        <v>359</v>
      </c>
      <c r="M2291" t="s">
        <v>356</v>
      </c>
      <c r="N2291" s="73">
        <v>67263</v>
      </c>
      <c r="O2291" s="73">
        <v>67263</v>
      </c>
      <c r="P2291">
        <v>34.681374159610094</v>
      </c>
    </row>
    <row r="2292" spans="1:16" hidden="1" x14ac:dyDescent="0.2">
      <c r="A2292" s="73">
        <v>67263</v>
      </c>
      <c r="B2292" t="s">
        <v>457</v>
      </c>
      <c r="C2292" s="73" t="s">
        <v>484</v>
      </c>
      <c r="D2292" t="s">
        <v>485</v>
      </c>
      <c r="E2292" s="74">
        <v>45957</v>
      </c>
      <c r="F2292" t="s">
        <v>357</v>
      </c>
      <c r="G2292" t="s">
        <v>358</v>
      </c>
      <c r="H2292" s="75">
        <f t="shared" si="35"/>
        <v>69.362748319220188</v>
      </c>
      <c r="I2292" s="74">
        <v>45957</v>
      </c>
      <c r="J2292">
        <v>2</v>
      </c>
      <c r="K2292" t="s">
        <v>513</v>
      </c>
      <c r="L2292" t="s">
        <v>359</v>
      </c>
      <c r="M2292" t="s">
        <v>356</v>
      </c>
      <c r="N2292" s="73">
        <v>67263</v>
      </c>
      <c r="O2292" s="73">
        <v>67263</v>
      </c>
      <c r="P2292">
        <v>34.681374159610094</v>
      </c>
    </row>
    <row r="2293" spans="1:16" hidden="1" x14ac:dyDescent="0.2">
      <c r="A2293" s="73">
        <v>67263</v>
      </c>
      <c r="B2293" t="s">
        <v>457</v>
      </c>
      <c r="C2293" s="73" t="s">
        <v>484</v>
      </c>
      <c r="D2293" t="s">
        <v>485</v>
      </c>
      <c r="E2293" s="74">
        <v>45958</v>
      </c>
      <c r="F2293" t="s">
        <v>357</v>
      </c>
      <c r="G2293" t="s">
        <v>358</v>
      </c>
      <c r="H2293" s="75">
        <f t="shared" si="35"/>
        <v>69.362748319220188</v>
      </c>
      <c r="I2293" s="74">
        <v>45958</v>
      </c>
      <c r="J2293">
        <v>2</v>
      </c>
      <c r="K2293" t="s">
        <v>513</v>
      </c>
      <c r="L2293" t="s">
        <v>359</v>
      </c>
      <c r="M2293" t="s">
        <v>356</v>
      </c>
      <c r="N2293" s="73">
        <v>67263</v>
      </c>
      <c r="O2293" s="73">
        <v>67263</v>
      </c>
      <c r="P2293">
        <v>34.681374159610094</v>
      </c>
    </row>
    <row r="2294" spans="1:16" hidden="1" x14ac:dyDescent="0.2">
      <c r="A2294" s="73">
        <v>67263</v>
      </c>
      <c r="B2294" t="s">
        <v>457</v>
      </c>
      <c r="C2294" s="73" t="s">
        <v>484</v>
      </c>
      <c r="D2294" t="s">
        <v>485</v>
      </c>
      <c r="E2294" s="74">
        <v>45959</v>
      </c>
      <c r="F2294" t="s">
        <v>357</v>
      </c>
      <c r="G2294" t="s">
        <v>358</v>
      </c>
      <c r="H2294" s="75">
        <f t="shared" si="35"/>
        <v>69.362748319220188</v>
      </c>
      <c r="I2294" s="74">
        <v>45959</v>
      </c>
      <c r="J2294">
        <v>2</v>
      </c>
      <c r="K2294" t="s">
        <v>513</v>
      </c>
      <c r="L2294" t="s">
        <v>359</v>
      </c>
      <c r="M2294" t="s">
        <v>356</v>
      </c>
      <c r="N2294" s="73">
        <v>67263</v>
      </c>
      <c r="O2294" s="73">
        <v>67263</v>
      </c>
      <c r="P2294">
        <v>34.681374159610094</v>
      </c>
    </row>
    <row r="2295" spans="1:16" hidden="1" x14ac:dyDescent="0.2">
      <c r="A2295" s="73">
        <v>67263</v>
      </c>
      <c r="B2295" t="s">
        <v>457</v>
      </c>
      <c r="C2295" s="73" t="s">
        <v>484</v>
      </c>
      <c r="D2295" t="s">
        <v>485</v>
      </c>
      <c r="E2295" s="74">
        <v>45960</v>
      </c>
      <c r="F2295" t="s">
        <v>357</v>
      </c>
      <c r="G2295" t="s">
        <v>358</v>
      </c>
      <c r="H2295" s="75">
        <f t="shared" si="35"/>
        <v>69.362748319220188</v>
      </c>
      <c r="I2295" s="74">
        <v>45960</v>
      </c>
      <c r="J2295">
        <v>2</v>
      </c>
      <c r="K2295" t="s">
        <v>513</v>
      </c>
      <c r="L2295" t="s">
        <v>359</v>
      </c>
      <c r="M2295" t="s">
        <v>356</v>
      </c>
      <c r="N2295" s="73">
        <v>67263</v>
      </c>
      <c r="O2295" s="73">
        <v>67263</v>
      </c>
      <c r="P2295">
        <v>34.681374159610094</v>
      </c>
    </row>
    <row r="2296" spans="1:16" hidden="1" x14ac:dyDescent="0.2">
      <c r="A2296" s="73">
        <v>67263</v>
      </c>
      <c r="B2296" t="s">
        <v>457</v>
      </c>
      <c r="C2296" s="73" t="s">
        <v>484</v>
      </c>
      <c r="D2296" t="s">
        <v>485</v>
      </c>
      <c r="E2296" s="74">
        <v>45961</v>
      </c>
      <c r="F2296" t="s">
        <v>357</v>
      </c>
      <c r="G2296" t="s">
        <v>358</v>
      </c>
      <c r="H2296" s="75">
        <f t="shared" si="35"/>
        <v>69.362748319220188</v>
      </c>
      <c r="I2296" s="74">
        <v>45961</v>
      </c>
      <c r="J2296">
        <v>2</v>
      </c>
      <c r="K2296" t="s">
        <v>513</v>
      </c>
      <c r="L2296" t="s">
        <v>359</v>
      </c>
      <c r="M2296" t="s">
        <v>356</v>
      </c>
      <c r="N2296" s="73">
        <v>67263</v>
      </c>
      <c r="O2296" s="73">
        <v>67263</v>
      </c>
      <c r="P2296">
        <v>34.681374159610094</v>
      </c>
    </row>
    <row r="2297" spans="1:16" hidden="1" x14ac:dyDescent="0.2">
      <c r="A2297" s="73">
        <v>67263</v>
      </c>
      <c r="B2297" t="s">
        <v>457</v>
      </c>
      <c r="C2297" s="73" t="s">
        <v>484</v>
      </c>
      <c r="D2297" t="s">
        <v>485</v>
      </c>
      <c r="E2297" s="74">
        <v>45964</v>
      </c>
      <c r="F2297" t="s">
        <v>357</v>
      </c>
      <c r="G2297" t="s">
        <v>358</v>
      </c>
      <c r="H2297" s="75">
        <f t="shared" si="35"/>
        <v>34.681374159610094</v>
      </c>
      <c r="I2297" s="74">
        <v>45964</v>
      </c>
      <c r="J2297">
        <v>1</v>
      </c>
      <c r="K2297" t="s">
        <v>514</v>
      </c>
      <c r="L2297" t="s">
        <v>359</v>
      </c>
      <c r="M2297" t="s">
        <v>356</v>
      </c>
      <c r="N2297" s="73">
        <v>67263</v>
      </c>
      <c r="O2297" s="73">
        <v>67263</v>
      </c>
      <c r="P2297">
        <v>34.681374159610094</v>
      </c>
    </row>
    <row r="2298" spans="1:16" hidden="1" x14ac:dyDescent="0.2">
      <c r="A2298" s="73">
        <v>67263</v>
      </c>
      <c r="B2298" t="s">
        <v>457</v>
      </c>
      <c r="C2298" s="73" t="s">
        <v>484</v>
      </c>
      <c r="D2298" t="s">
        <v>485</v>
      </c>
      <c r="E2298" s="74">
        <v>45965</v>
      </c>
      <c r="F2298" t="s">
        <v>357</v>
      </c>
      <c r="G2298" t="s">
        <v>358</v>
      </c>
      <c r="H2298" s="75">
        <f t="shared" si="35"/>
        <v>34.681374159610094</v>
      </c>
      <c r="I2298" s="74">
        <v>45965</v>
      </c>
      <c r="J2298">
        <v>1</v>
      </c>
      <c r="K2298" t="s">
        <v>514</v>
      </c>
      <c r="L2298" t="s">
        <v>359</v>
      </c>
      <c r="M2298" t="s">
        <v>356</v>
      </c>
      <c r="N2298" s="73">
        <v>67263</v>
      </c>
      <c r="O2298" s="73">
        <v>67263</v>
      </c>
      <c r="P2298">
        <v>34.681374159610094</v>
      </c>
    </row>
    <row r="2299" spans="1:16" hidden="1" x14ac:dyDescent="0.2">
      <c r="A2299" s="73">
        <v>67263</v>
      </c>
      <c r="B2299" t="s">
        <v>457</v>
      </c>
      <c r="C2299" s="73" t="s">
        <v>484</v>
      </c>
      <c r="D2299" t="s">
        <v>485</v>
      </c>
      <c r="E2299" s="74">
        <v>45966</v>
      </c>
      <c r="F2299" t="s">
        <v>357</v>
      </c>
      <c r="G2299" t="s">
        <v>358</v>
      </c>
      <c r="H2299" s="75">
        <f t="shared" si="35"/>
        <v>34.681374159610094</v>
      </c>
      <c r="I2299" s="74">
        <v>45966</v>
      </c>
      <c r="J2299">
        <v>1</v>
      </c>
      <c r="K2299" t="s">
        <v>514</v>
      </c>
      <c r="L2299" t="s">
        <v>359</v>
      </c>
      <c r="M2299" t="s">
        <v>356</v>
      </c>
      <c r="N2299" s="73">
        <v>67263</v>
      </c>
      <c r="O2299" s="73">
        <v>67263</v>
      </c>
      <c r="P2299">
        <v>34.681374159610094</v>
      </c>
    </row>
    <row r="2300" spans="1:16" hidden="1" x14ac:dyDescent="0.2">
      <c r="A2300" s="73">
        <v>67263</v>
      </c>
      <c r="B2300" t="s">
        <v>457</v>
      </c>
      <c r="C2300" s="73" t="s">
        <v>484</v>
      </c>
      <c r="D2300" t="s">
        <v>485</v>
      </c>
      <c r="E2300" s="74">
        <v>45967</v>
      </c>
      <c r="F2300" t="s">
        <v>357</v>
      </c>
      <c r="G2300" t="s">
        <v>358</v>
      </c>
      <c r="H2300" s="75">
        <f t="shared" si="35"/>
        <v>34.681374159610094</v>
      </c>
      <c r="I2300" s="74">
        <v>45967</v>
      </c>
      <c r="J2300">
        <v>1</v>
      </c>
      <c r="K2300" t="s">
        <v>514</v>
      </c>
      <c r="L2300" t="s">
        <v>359</v>
      </c>
      <c r="M2300" t="s">
        <v>356</v>
      </c>
      <c r="N2300" s="73">
        <v>67263</v>
      </c>
      <c r="O2300" s="73">
        <v>67263</v>
      </c>
      <c r="P2300">
        <v>34.681374159610094</v>
      </c>
    </row>
    <row r="2301" spans="1:16" hidden="1" x14ac:dyDescent="0.2">
      <c r="A2301" s="73">
        <v>67263</v>
      </c>
      <c r="B2301" t="s">
        <v>457</v>
      </c>
      <c r="C2301" s="73" t="s">
        <v>484</v>
      </c>
      <c r="D2301" t="s">
        <v>485</v>
      </c>
      <c r="E2301" s="74">
        <v>45967</v>
      </c>
      <c r="F2301" t="s">
        <v>364</v>
      </c>
      <c r="G2301" t="s">
        <v>365</v>
      </c>
      <c r="H2301" s="75">
        <f t="shared" si="35"/>
        <v>69.362748319220188</v>
      </c>
      <c r="I2301" s="74">
        <v>45967</v>
      </c>
      <c r="J2301">
        <v>2</v>
      </c>
      <c r="K2301" t="s">
        <v>514</v>
      </c>
      <c r="L2301" t="s">
        <v>366</v>
      </c>
      <c r="M2301" t="s">
        <v>356</v>
      </c>
      <c r="N2301" s="73">
        <v>67263</v>
      </c>
      <c r="O2301" s="73">
        <v>67263</v>
      </c>
      <c r="P2301">
        <v>34.681374159610094</v>
      </c>
    </row>
    <row r="2302" spans="1:16" hidden="1" x14ac:dyDescent="0.2">
      <c r="A2302" s="73">
        <v>67263</v>
      </c>
      <c r="B2302" t="s">
        <v>457</v>
      </c>
      <c r="C2302" s="73" t="s">
        <v>484</v>
      </c>
      <c r="D2302" t="s">
        <v>485</v>
      </c>
      <c r="E2302" s="74">
        <v>45968</v>
      </c>
      <c r="F2302" t="s">
        <v>357</v>
      </c>
      <c r="G2302" t="s">
        <v>358</v>
      </c>
      <c r="H2302" s="75">
        <f t="shared" si="35"/>
        <v>34.681374159610094</v>
      </c>
      <c r="I2302" s="74">
        <v>45968</v>
      </c>
      <c r="J2302">
        <v>1</v>
      </c>
      <c r="K2302" t="s">
        <v>514</v>
      </c>
      <c r="L2302" t="s">
        <v>359</v>
      </c>
      <c r="M2302" t="s">
        <v>356</v>
      </c>
      <c r="N2302" s="73">
        <v>67263</v>
      </c>
      <c r="O2302" s="73">
        <v>67263</v>
      </c>
      <c r="P2302">
        <v>34.681374159610094</v>
      </c>
    </row>
    <row r="2303" spans="1:16" hidden="1" x14ac:dyDescent="0.2">
      <c r="A2303" s="73">
        <v>67263</v>
      </c>
      <c r="B2303" t="s">
        <v>457</v>
      </c>
      <c r="C2303" s="73" t="s">
        <v>484</v>
      </c>
      <c r="D2303" t="s">
        <v>485</v>
      </c>
      <c r="E2303" s="74">
        <v>45968</v>
      </c>
      <c r="F2303" t="s">
        <v>364</v>
      </c>
      <c r="G2303" t="s">
        <v>365</v>
      </c>
      <c r="H2303" s="75">
        <f t="shared" si="35"/>
        <v>208.08824495766055</v>
      </c>
      <c r="I2303" s="74">
        <v>45968</v>
      </c>
      <c r="J2303">
        <v>6</v>
      </c>
      <c r="K2303" t="s">
        <v>514</v>
      </c>
      <c r="L2303" t="s">
        <v>366</v>
      </c>
      <c r="M2303" t="s">
        <v>356</v>
      </c>
      <c r="N2303" s="73">
        <v>67263</v>
      </c>
      <c r="O2303" s="73">
        <v>67263</v>
      </c>
      <c r="P2303">
        <v>34.681374159610094</v>
      </c>
    </row>
    <row r="2304" spans="1:16" hidden="1" x14ac:dyDescent="0.2">
      <c r="A2304" s="73">
        <v>67263</v>
      </c>
      <c r="B2304" t="s">
        <v>457</v>
      </c>
      <c r="C2304" s="73" t="s">
        <v>484</v>
      </c>
      <c r="D2304" t="s">
        <v>485</v>
      </c>
      <c r="E2304" s="74">
        <v>45978</v>
      </c>
      <c r="F2304" t="s">
        <v>364</v>
      </c>
      <c r="G2304" t="s">
        <v>365</v>
      </c>
      <c r="H2304" s="75">
        <f t="shared" si="35"/>
        <v>69.362748319220188</v>
      </c>
      <c r="I2304" s="74">
        <v>45978</v>
      </c>
      <c r="J2304">
        <v>2</v>
      </c>
      <c r="K2304" t="s">
        <v>514</v>
      </c>
      <c r="L2304" t="s">
        <v>366</v>
      </c>
      <c r="M2304" t="s">
        <v>356</v>
      </c>
      <c r="N2304" s="73">
        <v>67263</v>
      </c>
      <c r="O2304" s="73">
        <v>67263</v>
      </c>
      <c r="P2304">
        <v>34.681374159610094</v>
      </c>
    </row>
    <row r="2305" spans="1:16" hidden="1" x14ac:dyDescent="0.2">
      <c r="A2305" s="73">
        <v>67263</v>
      </c>
      <c r="B2305" t="s">
        <v>457</v>
      </c>
      <c r="C2305" s="73" t="s">
        <v>484</v>
      </c>
      <c r="D2305" t="s">
        <v>485</v>
      </c>
      <c r="E2305" s="74">
        <v>45978</v>
      </c>
      <c r="F2305" t="s">
        <v>357</v>
      </c>
      <c r="G2305" t="s">
        <v>358</v>
      </c>
      <c r="H2305" s="75">
        <f t="shared" si="35"/>
        <v>34.681374159610094</v>
      </c>
      <c r="I2305" s="74">
        <v>45978</v>
      </c>
      <c r="J2305">
        <v>1</v>
      </c>
      <c r="K2305" t="s">
        <v>514</v>
      </c>
      <c r="L2305" t="s">
        <v>359</v>
      </c>
      <c r="M2305" t="s">
        <v>356</v>
      </c>
      <c r="N2305" s="73">
        <v>67263</v>
      </c>
      <c r="O2305" s="73">
        <v>67263</v>
      </c>
      <c r="P2305">
        <v>34.681374159610094</v>
      </c>
    </row>
    <row r="2306" spans="1:16" hidden="1" x14ac:dyDescent="0.2">
      <c r="A2306" s="73">
        <v>67263</v>
      </c>
      <c r="B2306" t="s">
        <v>457</v>
      </c>
      <c r="C2306" s="73" t="s">
        <v>484</v>
      </c>
      <c r="D2306" t="s">
        <v>485</v>
      </c>
      <c r="E2306" s="74">
        <v>45979</v>
      </c>
      <c r="F2306" t="s">
        <v>364</v>
      </c>
      <c r="G2306" t="s">
        <v>365</v>
      </c>
      <c r="H2306" s="75">
        <f t="shared" ref="H2306:H2369" si="36">J2306*P2306</f>
        <v>69.362748319220188</v>
      </c>
      <c r="I2306" s="74">
        <v>45979</v>
      </c>
      <c r="J2306">
        <v>2</v>
      </c>
      <c r="K2306" t="s">
        <v>514</v>
      </c>
      <c r="L2306" t="s">
        <v>366</v>
      </c>
      <c r="M2306" t="s">
        <v>356</v>
      </c>
      <c r="N2306" s="73">
        <v>67263</v>
      </c>
      <c r="O2306" s="73">
        <v>67263</v>
      </c>
      <c r="P2306">
        <v>34.681374159610094</v>
      </c>
    </row>
    <row r="2307" spans="1:16" hidden="1" x14ac:dyDescent="0.2">
      <c r="A2307" s="73">
        <v>67263</v>
      </c>
      <c r="B2307" t="s">
        <v>457</v>
      </c>
      <c r="C2307" s="73" t="s">
        <v>484</v>
      </c>
      <c r="D2307" t="s">
        <v>485</v>
      </c>
      <c r="E2307" s="74">
        <v>45979</v>
      </c>
      <c r="F2307" t="s">
        <v>357</v>
      </c>
      <c r="G2307" t="s">
        <v>358</v>
      </c>
      <c r="H2307" s="75">
        <f t="shared" si="36"/>
        <v>34.681374159610094</v>
      </c>
      <c r="I2307" s="74">
        <v>45979</v>
      </c>
      <c r="J2307">
        <v>1</v>
      </c>
      <c r="K2307" t="s">
        <v>514</v>
      </c>
      <c r="L2307" t="s">
        <v>359</v>
      </c>
      <c r="M2307" t="s">
        <v>356</v>
      </c>
      <c r="N2307" s="73">
        <v>67263</v>
      </c>
      <c r="O2307" s="73">
        <v>67263</v>
      </c>
      <c r="P2307">
        <v>34.681374159610094</v>
      </c>
    </row>
    <row r="2308" spans="1:16" hidden="1" x14ac:dyDescent="0.2">
      <c r="A2308" s="73">
        <v>67263</v>
      </c>
      <c r="B2308" t="s">
        <v>457</v>
      </c>
      <c r="C2308" s="73" t="s">
        <v>484</v>
      </c>
      <c r="D2308" t="s">
        <v>485</v>
      </c>
      <c r="E2308" s="74">
        <v>45980</v>
      </c>
      <c r="F2308" t="s">
        <v>364</v>
      </c>
      <c r="G2308" t="s">
        <v>365</v>
      </c>
      <c r="H2308" s="75">
        <f t="shared" si="36"/>
        <v>69.362748319220188</v>
      </c>
      <c r="I2308" s="74">
        <v>45980</v>
      </c>
      <c r="J2308">
        <v>2</v>
      </c>
      <c r="K2308" t="s">
        <v>514</v>
      </c>
      <c r="L2308" t="s">
        <v>366</v>
      </c>
      <c r="M2308" t="s">
        <v>356</v>
      </c>
      <c r="N2308" s="73">
        <v>67263</v>
      </c>
      <c r="O2308" s="73">
        <v>67263</v>
      </c>
      <c r="P2308">
        <v>34.681374159610094</v>
      </c>
    </row>
    <row r="2309" spans="1:16" hidden="1" x14ac:dyDescent="0.2">
      <c r="A2309" s="73">
        <v>67263</v>
      </c>
      <c r="B2309" t="s">
        <v>457</v>
      </c>
      <c r="C2309" s="73" t="s">
        <v>484</v>
      </c>
      <c r="D2309" t="s">
        <v>485</v>
      </c>
      <c r="E2309" s="74">
        <v>45980</v>
      </c>
      <c r="F2309" t="s">
        <v>357</v>
      </c>
      <c r="G2309" t="s">
        <v>358</v>
      </c>
      <c r="H2309" s="75">
        <f t="shared" si="36"/>
        <v>34.681374159610094</v>
      </c>
      <c r="I2309" s="74">
        <v>45980</v>
      </c>
      <c r="J2309">
        <v>1</v>
      </c>
      <c r="K2309" t="s">
        <v>514</v>
      </c>
      <c r="L2309" t="s">
        <v>359</v>
      </c>
      <c r="M2309" t="s">
        <v>356</v>
      </c>
      <c r="N2309" s="73">
        <v>67263</v>
      </c>
      <c r="O2309" s="73">
        <v>67263</v>
      </c>
      <c r="P2309">
        <v>34.681374159610094</v>
      </c>
    </row>
    <row r="2310" spans="1:16" hidden="1" x14ac:dyDescent="0.2">
      <c r="A2310" s="73">
        <v>67263</v>
      </c>
      <c r="B2310" t="s">
        <v>457</v>
      </c>
      <c r="C2310" s="73" t="s">
        <v>484</v>
      </c>
      <c r="D2310" t="s">
        <v>485</v>
      </c>
      <c r="E2310" s="74">
        <v>45981</v>
      </c>
      <c r="F2310" t="s">
        <v>364</v>
      </c>
      <c r="G2310" t="s">
        <v>365</v>
      </c>
      <c r="H2310" s="75">
        <f t="shared" si="36"/>
        <v>69.362748319220188</v>
      </c>
      <c r="I2310" s="74">
        <v>45981</v>
      </c>
      <c r="J2310">
        <v>2</v>
      </c>
      <c r="K2310" t="s">
        <v>514</v>
      </c>
      <c r="L2310" t="s">
        <v>366</v>
      </c>
      <c r="M2310" t="s">
        <v>356</v>
      </c>
      <c r="N2310" s="73">
        <v>67263</v>
      </c>
      <c r="O2310" s="73">
        <v>67263</v>
      </c>
      <c r="P2310">
        <v>34.681374159610094</v>
      </c>
    </row>
    <row r="2311" spans="1:16" hidden="1" x14ac:dyDescent="0.2">
      <c r="A2311" s="73">
        <v>67263</v>
      </c>
      <c r="B2311" t="s">
        <v>457</v>
      </c>
      <c r="C2311" s="73" t="s">
        <v>484</v>
      </c>
      <c r="D2311" t="s">
        <v>485</v>
      </c>
      <c r="E2311" s="74">
        <v>45981</v>
      </c>
      <c r="F2311" t="s">
        <v>357</v>
      </c>
      <c r="G2311" t="s">
        <v>358</v>
      </c>
      <c r="H2311" s="75">
        <f t="shared" si="36"/>
        <v>34.681374159610094</v>
      </c>
      <c r="I2311" s="74">
        <v>45981</v>
      </c>
      <c r="J2311">
        <v>1</v>
      </c>
      <c r="K2311" t="s">
        <v>514</v>
      </c>
      <c r="L2311" t="s">
        <v>359</v>
      </c>
      <c r="M2311" t="s">
        <v>356</v>
      </c>
      <c r="N2311" s="73">
        <v>67263</v>
      </c>
      <c r="O2311" s="73">
        <v>67263</v>
      </c>
      <c r="P2311">
        <v>34.681374159610094</v>
      </c>
    </row>
    <row r="2312" spans="1:16" hidden="1" x14ac:dyDescent="0.2">
      <c r="A2312" s="73">
        <v>67263</v>
      </c>
      <c r="B2312" t="s">
        <v>457</v>
      </c>
      <c r="C2312" s="73" t="s">
        <v>484</v>
      </c>
      <c r="D2312" t="s">
        <v>485</v>
      </c>
      <c r="E2312" s="74">
        <v>45982</v>
      </c>
      <c r="F2312" t="s">
        <v>364</v>
      </c>
      <c r="G2312" t="s">
        <v>365</v>
      </c>
      <c r="H2312" s="75">
        <f t="shared" si="36"/>
        <v>69.362748319220188</v>
      </c>
      <c r="I2312" s="74">
        <v>45982</v>
      </c>
      <c r="J2312">
        <v>2</v>
      </c>
      <c r="K2312" t="s">
        <v>514</v>
      </c>
      <c r="L2312" t="s">
        <v>366</v>
      </c>
      <c r="M2312" t="s">
        <v>356</v>
      </c>
      <c r="N2312" s="73">
        <v>67263</v>
      </c>
      <c r="O2312" s="73">
        <v>67263</v>
      </c>
      <c r="P2312">
        <v>34.681374159610094</v>
      </c>
    </row>
    <row r="2313" spans="1:16" hidden="1" x14ac:dyDescent="0.2">
      <c r="A2313" s="73">
        <v>67263</v>
      </c>
      <c r="B2313" t="s">
        <v>457</v>
      </c>
      <c r="C2313" s="73" t="s">
        <v>484</v>
      </c>
      <c r="D2313" t="s">
        <v>485</v>
      </c>
      <c r="E2313" s="74">
        <v>45982</v>
      </c>
      <c r="F2313" t="s">
        <v>357</v>
      </c>
      <c r="G2313" t="s">
        <v>358</v>
      </c>
      <c r="H2313" s="75">
        <f t="shared" si="36"/>
        <v>34.681374159610094</v>
      </c>
      <c r="I2313" s="74">
        <v>45982</v>
      </c>
      <c r="J2313">
        <v>1</v>
      </c>
      <c r="K2313" t="s">
        <v>514</v>
      </c>
      <c r="L2313" t="s">
        <v>359</v>
      </c>
      <c r="M2313" t="s">
        <v>356</v>
      </c>
      <c r="N2313" s="73">
        <v>67263</v>
      </c>
      <c r="O2313" s="73">
        <v>67263</v>
      </c>
      <c r="P2313">
        <v>34.681374159610094</v>
      </c>
    </row>
    <row r="2314" spans="1:16" hidden="1" x14ac:dyDescent="0.2">
      <c r="A2314" s="73">
        <v>67263</v>
      </c>
      <c r="B2314" t="s">
        <v>457</v>
      </c>
      <c r="C2314" s="73" t="s">
        <v>484</v>
      </c>
      <c r="D2314" t="s">
        <v>485</v>
      </c>
      <c r="E2314" s="74">
        <v>45983</v>
      </c>
      <c r="F2314" t="s">
        <v>364</v>
      </c>
      <c r="G2314" t="s">
        <v>365</v>
      </c>
      <c r="H2314" s="75">
        <f t="shared" si="36"/>
        <v>69.362748319220188</v>
      </c>
      <c r="I2314" s="74">
        <v>45983</v>
      </c>
      <c r="J2314">
        <v>2</v>
      </c>
      <c r="K2314" t="s">
        <v>514</v>
      </c>
      <c r="L2314" t="s">
        <v>366</v>
      </c>
      <c r="M2314" t="s">
        <v>356</v>
      </c>
      <c r="N2314" s="73">
        <v>67263</v>
      </c>
      <c r="O2314" s="73">
        <v>67263</v>
      </c>
      <c r="P2314">
        <v>34.681374159610094</v>
      </c>
    </row>
    <row r="2315" spans="1:16" hidden="1" x14ac:dyDescent="0.2">
      <c r="A2315" s="73">
        <v>67263</v>
      </c>
      <c r="B2315" t="s">
        <v>457</v>
      </c>
      <c r="C2315" s="73" t="s">
        <v>484</v>
      </c>
      <c r="D2315" t="s">
        <v>485</v>
      </c>
      <c r="E2315" s="74">
        <v>45985</v>
      </c>
      <c r="F2315" t="s">
        <v>357</v>
      </c>
      <c r="G2315" t="s">
        <v>358</v>
      </c>
      <c r="H2315" s="75">
        <f t="shared" si="36"/>
        <v>34.681374159610094</v>
      </c>
      <c r="I2315" s="74">
        <v>45985</v>
      </c>
      <c r="J2315">
        <v>1</v>
      </c>
      <c r="K2315" t="s">
        <v>514</v>
      </c>
      <c r="L2315" t="s">
        <v>359</v>
      </c>
      <c r="M2315" t="s">
        <v>356</v>
      </c>
      <c r="N2315" s="73">
        <v>67263</v>
      </c>
      <c r="O2315" s="73">
        <v>67263</v>
      </c>
      <c r="P2315">
        <v>34.681374159610094</v>
      </c>
    </row>
    <row r="2316" spans="1:16" hidden="1" x14ac:dyDescent="0.2">
      <c r="A2316" s="73">
        <v>67263</v>
      </c>
      <c r="B2316" t="s">
        <v>457</v>
      </c>
      <c r="C2316" s="73" t="s">
        <v>484</v>
      </c>
      <c r="D2316" t="s">
        <v>485</v>
      </c>
      <c r="E2316" s="74">
        <v>45986</v>
      </c>
      <c r="F2316" t="s">
        <v>357</v>
      </c>
      <c r="G2316" t="s">
        <v>358</v>
      </c>
      <c r="H2316" s="75">
        <f t="shared" si="36"/>
        <v>34.681374159610094</v>
      </c>
      <c r="I2316" s="74">
        <v>45986</v>
      </c>
      <c r="J2316">
        <v>1</v>
      </c>
      <c r="K2316" t="s">
        <v>514</v>
      </c>
      <c r="L2316" t="s">
        <v>359</v>
      </c>
      <c r="M2316" t="s">
        <v>356</v>
      </c>
      <c r="N2316" s="73">
        <v>67263</v>
      </c>
      <c r="O2316" s="73">
        <v>67263</v>
      </c>
      <c r="P2316">
        <v>34.681374159610094</v>
      </c>
    </row>
    <row r="2317" spans="1:16" hidden="1" x14ac:dyDescent="0.2">
      <c r="A2317" s="73">
        <v>67263</v>
      </c>
      <c r="B2317" t="s">
        <v>457</v>
      </c>
      <c r="C2317" s="73" t="s">
        <v>484</v>
      </c>
      <c r="D2317" t="s">
        <v>485</v>
      </c>
      <c r="E2317" s="74">
        <v>45987</v>
      </c>
      <c r="F2317" t="s">
        <v>357</v>
      </c>
      <c r="G2317" t="s">
        <v>358</v>
      </c>
      <c r="H2317" s="75">
        <f t="shared" si="36"/>
        <v>34.681374159610094</v>
      </c>
      <c r="I2317" s="74">
        <v>45987</v>
      </c>
      <c r="J2317">
        <v>1</v>
      </c>
      <c r="K2317" t="s">
        <v>514</v>
      </c>
      <c r="L2317" t="s">
        <v>359</v>
      </c>
      <c r="M2317" t="s">
        <v>356</v>
      </c>
      <c r="N2317" s="73">
        <v>67263</v>
      </c>
      <c r="O2317" s="73">
        <v>67263</v>
      </c>
      <c r="P2317">
        <v>34.681374159610094</v>
      </c>
    </row>
    <row r="2318" spans="1:16" hidden="1" x14ac:dyDescent="0.2">
      <c r="A2318" s="73">
        <v>67263</v>
      </c>
      <c r="B2318" t="s">
        <v>457</v>
      </c>
      <c r="C2318" s="73" t="s">
        <v>484</v>
      </c>
      <c r="D2318" t="s">
        <v>485</v>
      </c>
      <c r="E2318" s="74">
        <v>45988</v>
      </c>
      <c r="F2318" t="s">
        <v>357</v>
      </c>
      <c r="G2318" t="s">
        <v>358</v>
      </c>
      <c r="H2318" s="75">
        <f t="shared" si="36"/>
        <v>34.681374159610094</v>
      </c>
      <c r="I2318" s="74">
        <v>45988</v>
      </c>
      <c r="J2318">
        <v>1</v>
      </c>
      <c r="K2318" t="s">
        <v>514</v>
      </c>
      <c r="L2318" t="s">
        <v>359</v>
      </c>
      <c r="M2318" t="s">
        <v>356</v>
      </c>
      <c r="N2318" s="73">
        <v>67263</v>
      </c>
      <c r="O2318" s="73">
        <v>67263</v>
      </c>
      <c r="P2318">
        <v>34.681374159610094</v>
      </c>
    </row>
    <row r="2319" spans="1:16" hidden="1" x14ac:dyDescent="0.2">
      <c r="A2319" s="73">
        <v>67263</v>
      </c>
      <c r="B2319" t="s">
        <v>457</v>
      </c>
      <c r="C2319" s="73" t="s">
        <v>484</v>
      </c>
      <c r="D2319" t="s">
        <v>485</v>
      </c>
      <c r="E2319" s="74">
        <v>45989</v>
      </c>
      <c r="F2319" t="s">
        <v>357</v>
      </c>
      <c r="G2319" t="s">
        <v>358</v>
      </c>
      <c r="H2319" s="75">
        <f t="shared" si="36"/>
        <v>34.681374159610094</v>
      </c>
      <c r="I2319" s="74">
        <v>45989</v>
      </c>
      <c r="J2319">
        <v>1</v>
      </c>
      <c r="K2319" t="s">
        <v>514</v>
      </c>
      <c r="L2319" t="s">
        <v>359</v>
      </c>
      <c r="M2319" t="s">
        <v>356</v>
      </c>
      <c r="N2319" s="73">
        <v>67263</v>
      </c>
      <c r="O2319" s="73">
        <v>67263</v>
      </c>
      <c r="P2319">
        <v>34.681374159610094</v>
      </c>
    </row>
    <row r="2320" spans="1:16" hidden="1" x14ac:dyDescent="0.2">
      <c r="A2320" s="73">
        <v>67263</v>
      </c>
      <c r="B2320" t="s">
        <v>457</v>
      </c>
      <c r="C2320" s="73" t="s">
        <v>484</v>
      </c>
      <c r="D2320" t="s">
        <v>485</v>
      </c>
      <c r="E2320" s="74">
        <v>45992</v>
      </c>
      <c r="F2320" t="s">
        <v>364</v>
      </c>
      <c r="G2320" t="s">
        <v>365</v>
      </c>
      <c r="H2320" s="75">
        <f t="shared" si="36"/>
        <v>69.362748319220188</v>
      </c>
      <c r="I2320" s="74">
        <v>45992</v>
      </c>
      <c r="J2320">
        <v>2</v>
      </c>
      <c r="K2320" t="s">
        <v>515</v>
      </c>
      <c r="L2320" t="s">
        <v>366</v>
      </c>
      <c r="M2320" t="s">
        <v>356</v>
      </c>
      <c r="N2320" s="73">
        <v>67263</v>
      </c>
      <c r="O2320" s="73">
        <v>67263</v>
      </c>
      <c r="P2320">
        <v>34.681374159610094</v>
      </c>
    </row>
    <row r="2321" spans="1:16" hidden="1" x14ac:dyDescent="0.2">
      <c r="A2321" s="73">
        <v>67263</v>
      </c>
      <c r="B2321" t="s">
        <v>457</v>
      </c>
      <c r="C2321" s="73" t="s">
        <v>484</v>
      </c>
      <c r="D2321" t="s">
        <v>485</v>
      </c>
      <c r="E2321" s="74">
        <v>45992</v>
      </c>
      <c r="F2321" t="s">
        <v>357</v>
      </c>
      <c r="G2321" t="s">
        <v>358</v>
      </c>
      <c r="H2321" s="75">
        <f t="shared" si="36"/>
        <v>34.681374159610094</v>
      </c>
      <c r="I2321" s="74">
        <v>45992</v>
      </c>
      <c r="J2321">
        <v>1</v>
      </c>
      <c r="K2321" t="s">
        <v>515</v>
      </c>
      <c r="L2321" t="s">
        <v>359</v>
      </c>
      <c r="M2321" t="s">
        <v>356</v>
      </c>
      <c r="N2321" s="73">
        <v>67263</v>
      </c>
      <c r="O2321" s="73">
        <v>67263</v>
      </c>
      <c r="P2321">
        <v>34.681374159610094</v>
      </c>
    </row>
    <row r="2322" spans="1:16" hidden="1" x14ac:dyDescent="0.2">
      <c r="A2322" s="73">
        <v>67263</v>
      </c>
      <c r="B2322" t="s">
        <v>457</v>
      </c>
      <c r="C2322" s="73" t="s">
        <v>484</v>
      </c>
      <c r="D2322" t="s">
        <v>485</v>
      </c>
      <c r="E2322" s="74">
        <v>45993</v>
      </c>
      <c r="F2322" t="s">
        <v>364</v>
      </c>
      <c r="G2322" t="s">
        <v>365</v>
      </c>
      <c r="H2322" s="75">
        <f t="shared" si="36"/>
        <v>69.362748319220188</v>
      </c>
      <c r="I2322" s="74">
        <v>45993</v>
      </c>
      <c r="J2322">
        <v>2</v>
      </c>
      <c r="K2322" t="s">
        <v>515</v>
      </c>
      <c r="L2322" t="s">
        <v>366</v>
      </c>
      <c r="M2322" t="s">
        <v>356</v>
      </c>
      <c r="N2322" s="73">
        <v>67263</v>
      </c>
      <c r="O2322" s="73">
        <v>67263</v>
      </c>
      <c r="P2322">
        <v>34.681374159610094</v>
      </c>
    </row>
    <row r="2323" spans="1:16" hidden="1" x14ac:dyDescent="0.2">
      <c r="A2323" s="73">
        <v>67263</v>
      </c>
      <c r="B2323" t="s">
        <v>457</v>
      </c>
      <c r="C2323" s="73" t="s">
        <v>484</v>
      </c>
      <c r="D2323" t="s">
        <v>485</v>
      </c>
      <c r="E2323" s="74">
        <v>45993</v>
      </c>
      <c r="F2323" t="s">
        <v>357</v>
      </c>
      <c r="G2323" t="s">
        <v>358</v>
      </c>
      <c r="H2323" s="75">
        <f t="shared" si="36"/>
        <v>34.681374159610094</v>
      </c>
      <c r="I2323" s="74">
        <v>45993</v>
      </c>
      <c r="J2323">
        <v>1</v>
      </c>
      <c r="K2323" t="s">
        <v>515</v>
      </c>
      <c r="L2323" t="s">
        <v>359</v>
      </c>
      <c r="M2323" t="s">
        <v>356</v>
      </c>
      <c r="N2323" s="73">
        <v>67263</v>
      </c>
      <c r="O2323" s="73">
        <v>67263</v>
      </c>
      <c r="P2323">
        <v>34.681374159610094</v>
      </c>
    </row>
    <row r="2324" spans="1:16" hidden="1" x14ac:dyDescent="0.2">
      <c r="A2324" s="73">
        <v>67263</v>
      </c>
      <c r="B2324" t="s">
        <v>457</v>
      </c>
      <c r="C2324" s="73" t="s">
        <v>484</v>
      </c>
      <c r="D2324" t="s">
        <v>485</v>
      </c>
      <c r="E2324" s="74">
        <v>45994</v>
      </c>
      <c r="F2324" t="s">
        <v>364</v>
      </c>
      <c r="G2324" t="s">
        <v>365</v>
      </c>
      <c r="H2324" s="75">
        <f t="shared" si="36"/>
        <v>69.362748319220188</v>
      </c>
      <c r="I2324" s="74">
        <v>45994</v>
      </c>
      <c r="J2324">
        <v>2</v>
      </c>
      <c r="K2324" t="s">
        <v>515</v>
      </c>
      <c r="L2324" t="s">
        <v>366</v>
      </c>
      <c r="M2324" t="s">
        <v>356</v>
      </c>
      <c r="N2324" s="73">
        <v>67263</v>
      </c>
      <c r="O2324" s="73">
        <v>67263</v>
      </c>
      <c r="P2324">
        <v>34.681374159610094</v>
      </c>
    </row>
    <row r="2325" spans="1:16" hidden="1" x14ac:dyDescent="0.2">
      <c r="A2325" s="73">
        <v>67263</v>
      </c>
      <c r="B2325" t="s">
        <v>457</v>
      </c>
      <c r="C2325" s="73" t="s">
        <v>484</v>
      </c>
      <c r="D2325" t="s">
        <v>485</v>
      </c>
      <c r="E2325" s="74">
        <v>45994</v>
      </c>
      <c r="F2325" t="s">
        <v>357</v>
      </c>
      <c r="G2325" t="s">
        <v>358</v>
      </c>
      <c r="H2325" s="75">
        <f t="shared" si="36"/>
        <v>34.681374159610094</v>
      </c>
      <c r="I2325" s="74">
        <v>45994</v>
      </c>
      <c r="J2325">
        <v>1</v>
      </c>
      <c r="K2325" t="s">
        <v>515</v>
      </c>
      <c r="L2325" t="s">
        <v>359</v>
      </c>
      <c r="M2325" t="s">
        <v>356</v>
      </c>
      <c r="N2325" s="73">
        <v>67263</v>
      </c>
      <c r="O2325" s="73">
        <v>67263</v>
      </c>
      <c r="P2325">
        <v>34.681374159610094</v>
      </c>
    </row>
    <row r="2326" spans="1:16" hidden="1" x14ac:dyDescent="0.2">
      <c r="A2326" s="73">
        <v>67263</v>
      </c>
      <c r="B2326" t="s">
        <v>457</v>
      </c>
      <c r="C2326" s="73" t="s">
        <v>484</v>
      </c>
      <c r="D2326" t="s">
        <v>485</v>
      </c>
      <c r="E2326" s="74">
        <v>45999</v>
      </c>
      <c r="F2326" t="s">
        <v>357</v>
      </c>
      <c r="G2326" t="s">
        <v>358</v>
      </c>
      <c r="H2326" s="75">
        <f t="shared" si="36"/>
        <v>69.362748319220188</v>
      </c>
      <c r="I2326" s="74">
        <v>45999</v>
      </c>
      <c r="J2326">
        <v>2</v>
      </c>
      <c r="K2326" t="s">
        <v>515</v>
      </c>
      <c r="L2326" t="s">
        <v>359</v>
      </c>
      <c r="M2326" t="s">
        <v>356</v>
      </c>
      <c r="N2326" s="73">
        <v>67263</v>
      </c>
      <c r="O2326" s="73">
        <v>67263</v>
      </c>
      <c r="P2326">
        <v>34.681374159610094</v>
      </c>
    </row>
    <row r="2327" spans="1:16" hidden="1" x14ac:dyDescent="0.2">
      <c r="A2327" s="73">
        <v>67263</v>
      </c>
      <c r="B2327" t="s">
        <v>457</v>
      </c>
      <c r="C2327" s="73" t="s">
        <v>484</v>
      </c>
      <c r="D2327" t="s">
        <v>485</v>
      </c>
      <c r="E2327" s="74">
        <v>46000</v>
      </c>
      <c r="F2327" t="s">
        <v>357</v>
      </c>
      <c r="G2327" t="s">
        <v>358</v>
      </c>
      <c r="H2327" s="75">
        <f t="shared" si="36"/>
        <v>69.362748319220188</v>
      </c>
      <c r="I2327" s="74">
        <v>46000</v>
      </c>
      <c r="J2327">
        <v>2</v>
      </c>
      <c r="K2327" t="s">
        <v>515</v>
      </c>
      <c r="L2327" t="s">
        <v>359</v>
      </c>
      <c r="M2327" t="s">
        <v>356</v>
      </c>
      <c r="N2327" s="73">
        <v>67263</v>
      </c>
      <c r="O2327" s="73">
        <v>67263</v>
      </c>
      <c r="P2327">
        <v>34.681374159610094</v>
      </c>
    </row>
    <row r="2328" spans="1:16" hidden="1" x14ac:dyDescent="0.2">
      <c r="A2328" s="73">
        <v>67263</v>
      </c>
      <c r="B2328" t="s">
        <v>457</v>
      </c>
      <c r="C2328" s="73" t="s">
        <v>484</v>
      </c>
      <c r="D2328" t="s">
        <v>485</v>
      </c>
      <c r="E2328" s="74">
        <v>46001</v>
      </c>
      <c r="F2328" t="s">
        <v>357</v>
      </c>
      <c r="G2328" t="s">
        <v>358</v>
      </c>
      <c r="H2328" s="75">
        <f t="shared" si="36"/>
        <v>69.362748319220188</v>
      </c>
      <c r="I2328" s="74">
        <v>46001</v>
      </c>
      <c r="J2328">
        <v>2</v>
      </c>
      <c r="K2328" t="s">
        <v>515</v>
      </c>
      <c r="L2328" t="s">
        <v>359</v>
      </c>
      <c r="M2328" t="s">
        <v>356</v>
      </c>
      <c r="N2328" s="73">
        <v>67263</v>
      </c>
      <c r="O2328" s="73">
        <v>67263</v>
      </c>
      <c r="P2328">
        <v>34.681374159610094</v>
      </c>
    </row>
    <row r="2329" spans="1:16" hidden="1" x14ac:dyDescent="0.2">
      <c r="A2329" s="73">
        <v>67263</v>
      </c>
      <c r="B2329" t="s">
        <v>457</v>
      </c>
      <c r="C2329" s="73" t="s">
        <v>484</v>
      </c>
      <c r="D2329" t="s">
        <v>485</v>
      </c>
      <c r="E2329" s="74">
        <v>46002</v>
      </c>
      <c r="F2329" t="s">
        <v>357</v>
      </c>
      <c r="G2329" t="s">
        <v>358</v>
      </c>
      <c r="H2329" s="75">
        <f t="shared" si="36"/>
        <v>69.362748319220188</v>
      </c>
      <c r="I2329" s="74">
        <v>46002</v>
      </c>
      <c r="J2329">
        <v>2</v>
      </c>
      <c r="K2329" t="s">
        <v>515</v>
      </c>
      <c r="L2329" t="s">
        <v>359</v>
      </c>
      <c r="M2329" t="s">
        <v>356</v>
      </c>
      <c r="N2329" s="73">
        <v>67263</v>
      </c>
      <c r="O2329" s="73">
        <v>67263</v>
      </c>
      <c r="P2329">
        <v>34.681374159610094</v>
      </c>
    </row>
    <row r="2330" spans="1:16" hidden="1" x14ac:dyDescent="0.2">
      <c r="A2330" s="73">
        <v>67263</v>
      </c>
      <c r="B2330" t="s">
        <v>457</v>
      </c>
      <c r="C2330" s="73" t="s">
        <v>484</v>
      </c>
      <c r="D2330" t="s">
        <v>485</v>
      </c>
      <c r="E2330" s="74">
        <v>46003</v>
      </c>
      <c r="F2330" t="s">
        <v>357</v>
      </c>
      <c r="G2330" t="s">
        <v>358</v>
      </c>
      <c r="H2330" s="75">
        <f t="shared" si="36"/>
        <v>69.362748319220188</v>
      </c>
      <c r="I2330" s="74">
        <v>46003</v>
      </c>
      <c r="J2330">
        <v>2</v>
      </c>
      <c r="K2330" t="s">
        <v>515</v>
      </c>
      <c r="L2330" t="s">
        <v>359</v>
      </c>
      <c r="M2330" t="s">
        <v>356</v>
      </c>
      <c r="N2330" s="73">
        <v>67263</v>
      </c>
      <c r="O2330" s="73">
        <v>67263</v>
      </c>
      <c r="P2330">
        <v>34.681374159610094</v>
      </c>
    </row>
    <row r="2331" spans="1:16" hidden="1" x14ac:dyDescent="0.2">
      <c r="A2331" s="73">
        <v>67263</v>
      </c>
      <c r="B2331" t="s">
        <v>457</v>
      </c>
      <c r="C2331" s="73" t="s">
        <v>484</v>
      </c>
      <c r="D2331" t="s">
        <v>485</v>
      </c>
      <c r="E2331" s="74">
        <v>46003</v>
      </c>
      <c r="F2331" t="s">
        <v>357</v>
      </c>
      <c r="G2331" t="s">
        <v>358</v>
      </c>
      <c r="H2331" s="75">
        <f t="shared" si="36"/>
        <v>-69.362748319220188</v>
      </c>
      <c r="I2331" s="74">
        <v>46003</v>
      </c>
      <c r="J2331">
        <v>-2</v>
      </c>
      <c r="K2331" t="s">
        <v>515</v>
      </c>
      <c r="L2331" t="s">
        <v>359</v>
      </c>
      <c r="M2331" t="s">
        <v>356</v>
      </c>
      <c r="N2331" s="73">
        <v>67263</v>
      </c>
      <c r="O2331" s="73">
        <v>67263</v>
      </c>
      <c r="P2331">
        <v>34.681374159610094</v>
      </c>
    </row>
    <row r="2332" spans="1:16" hidden="1" x14ac:dyDescent="0.2">
      <c r="A2332" s="73">
        <v>67263</v>
      </c>
      <c r="B2332" t="s">
        <v>457</v>
      </c>
      <c r="C2332" s="73" t="s">
        <v>484</v>
      </c>
      <c r="D2332" t="s">
        <v>485</v>
      </c>
      <c r="E2332" s="74">
        <v>46006</v>
      </c>
      <c r="F2332" t="s">
        <v>364</v>
      </c>
      <c r="G2332" t="s">
        <v>365</v>
      </c>
      <c r="H2332" s="75">
        <f t="shared" si="36"/>
        <v>69.362748319220188</v>
      </c>
      <c r="I2332" s="74">
        <v>46006</v>
      </c>
      <c r="J2332">
        <v>2</v>
      </c>
      <c r="K2332" t="s">
        <v>515</v>
      </c>
      <c r="L2332" t="s">
        <v>366</v>
      </c>
      <c r="M2332" t="s">
        <v>356</v>
      </c>
      <c r="N2332" s="73">
        <v>67263</v>
      </c>
      <c r="O2332" s="73">
        <v>67263</v>
      </c>
      <c r="P2332">
        <v>34.681374159610094</v>
      </c>
    </row>
    <row r="2333" spans="1:16" hidden="1" x14ac:dyDescent="0.2">
      <c r="A2333" s="73">
        <v>67263</v>
      </c>
      <c r="B2333" t="s">
        <v>457</v>
      </c>
      <c r="C2333" s="73" t="s">
        <v>484</v>
      </c>
      <c r="D2333" t="s">
        <v>485</v>
      </c>
      <c r="E2333" s="74">
        <v>46007</v>
      </c>
      <c r="F2333" t="s">
        <v>364</v>
      </c>
      <c r="G2333" t="s">
        <v>365</v>
      </c>
      <c r="H2333" s="75">
        <f t="shared" si="36"/>
        <v>69.362748319220188</v>
      </c>
      <c r="I2333" s="74">
        <v>46007</v>
      </c>
      <c r="J2333">
        <v>2</v>
      </c>
      <c r="K2333" t="s">
        <v>515</v>
      </c>
      <c r="L2333" t="s">
        <v>366</v>
      </c>
      <c r="M2333" t="s">
        <v>356</v>
      </c>
      <c r="N2333" s="73">
        <v>67263</v>
      </c>
      <c r="O2333" s="73">
        <v>67263</v>
      </c>
      <c r="P2333">
        <v>34.681374159610094</v>
      </c>
    </row>
    <row r="2334" spans="1:16" hidden="1" x14ac:dyDescent="0.2">
      <c r="A2334" s="73">
        <v>67263</v>
      </c>
      <c r="B2334" t="s">
        <v>457</v>
      </c>
      <c r="C2334" s="73" t="s">
        <v>484</v>
      </c>
      <c r="D2334" t="s">
        <v>485</v>
      </c>
      <c r="E2334" s="74">
        <v>46007</v>
      </c>
      <c r="F2334" t="s">
        <v>357</v>
      </c>
      <c r="G2334" t="s">
        <v>358</v>
      </c>
      <c r="H2334" s="75">
        <f t="shared" si="36"/>
        <v>173.40687079805048</v>
      </c>
      <c r="I2334" s="74">
        <v>46007</v>
      </c>
      <c r="J2334">
        <v>5</v>
      </c>
      <c r="K2334" t="s">
        <v>515</v>
      </c>
      <c r="L2334" t="s">
        <v>359</v>
      </c>
      <c r="M2334" t="s">
        <v>356</v>
      </c>
      <c r="N2334" s="73">
        <v>67263</v>
      </c>
      <c r="O2334" s="73">
        <v>67263</v>
      </c>
      <c r="P2334">
        <v>34.681374159610094</v>
      </c>
    </row>
    <row r="2335" spans="1:16" hidden="1" x14ac:dyDescent="0.2">
      <c r="A2335" s="73">
        <v>67263</v>
      </c>
      <c r="B2335" t="s">
        <v>457</v>
      </c>
      <c r="C2335" s="73" t="s">
        <v>484</v>
      </c>
      <c r="D2335" t="s">
        <v>485</v>
      </c>
      <c r="E2335" s="74">
        <v>46008</v>
      </c>
      <c r="F2335" t="s">
        <v>364</v>
      </c>
      <c r="G2335" t="s">
        <v>365</v>
      </c>
      <c r="H2335" s="75">
        <f t="shared" si="36"/>
        <v>69.362748319220188</v>
      </c>
      <c r="I2335" s="74">
        <v>46008</v>
      </c>
      <c r="J2335">
        <v>2</v>
      </c>
      <c r="K2335" t="s">
        <v>515</v>
      </c>
      <c r="L2335" t="s">
        <v>366</v>
      </c>
      <c r="M2335" t="s">
        <v>356</v>
      </c>
      <c r="N2335" s="73">
        <v>67263</v>
      </c>
      <c r="O2335" s="73">
        <v>67263</v>
      </c>
      <c r="P2335">
        <v>34.681374159610094</v>
      </c>
    </row>
    <row r="2336" spans="1:16" hidden="1" x14ac:dyDescent="0.2">
      <c r="A2336" s="73">
        <v>67263</v>
      </c>
      <c r="B2336" t="s">
        <v>457</v>
      </c>
      <c r="C2336" s="73" t="s">
        <v>484</v>
      </c>
      <c r="D2336" t="s">
        <v>485</v>
      </c>
      <c r="E2336" s="74">
        <v>46008</v>
      </c>
      <c r="F2336" t="s">
        <v>357</v>
      </c>
      <c r="G2336" t="s">
        <v>358</v>
      </c>
      <c r="H2336" s="75">
        <f t="shared" si="36"/>
        <v>173.40687079805048</v>
      </c>
      <c r="I2336" s="74">
        <v>46008</v>
      </c>
      <c r="J2336">
        <v>5</v>
      </c>
      <c r="K2336" t="s">
        <v>515</v>
      </c>
      <c r="L2336" t="s">
        <v>359</v>
      </c>
      <c r="M2336" t="s">
        <v>356</v>
      </c>
      <c r="N2336" s="73">
        <v>67263</v>
      </c>
      <c r="O2336" s="73">
        <v>67263</v>
      </c>
      <c r="P2336">
        <v>34.681374159610094</v>
      </c>
    </row>
    <row r="2337" spans="1:16" hidden="1" x14ac:dyDescent="0.2">
      <c r="A2337" s="73">
        <v>67263</v>
      </c>
      <c r="B2337" t="s">
        <v>457</v>
      </c>
      <c r="C2337" s="73" t="s">
        <v>484</v>
      </c>
      <c r="D2337" t="s">
        <v>485</v>
      </c>
      <c r="E2337" s="74">
        <v>46009</v>
      </c>
      <c r="F2337" t="s">
        <v>357</v>
      </c>
      <c r="G2337" t="s">
        <v>358</v>
      </c>
      <c r="H2337" s="75">
        <f t="shared" si="36"/>
        <v>173.40687079805048</v>
      </c>
      <c r="I2337" s="74">
        <v>46009</v>
      </c>
      <c r="J2337">
        <v>5</v>
      </c>
      <c r="K2337" t="s">
        <v>515</v>
      </c>
      <c r="L2337" t="s">
        <v>359</v>
      </c>
      <c r="M2337" t="s">
        <v>356</v>
      </c>
      <c r="N2337" s="73">
        <v>67263</v>
      </c>
      <c r="O2337" s="73">
        <v>67263</v>
      </c>
      <c r="P2337">
        <v>34.681374159610094</v>
      </c>
    </row>
    <row r="2338" spans="1:16" hidden="1" x14ac:dyDescent="0.2">
      <c r="A2338" s="73">
        <v>67263</v>
      </c>
      <c r="B2338" t="s">
        <v>457</v>
      </c>
      <c r="C2338" s="73" t="s">
        <v>484</v>
      </c>
      <c r="D2338" t="s">
        <v>485</v>
      </c>
      <c r="E2338" s="74">
        <v>46010</v>
      </c>
      <c r="F2338" t="s">
        <v>357</v>
      </c>
      <c r="G2338" t="s">
        <v>358</v>
      </c>
      <c r="H2338" s="75">
        <f t="shared" si="36"/>
        <v>173.40687079805048</v>
      </c>
      <c r="I2338" s="74">
        <v>46010</v>
      </c>
      <c r="J2338">
        <v>5</v>
      </c>
      <c r="K2338" t="s">
        <v>515</v>
      </c>
      <c r="L2338" t="s">
        <v>359</v>
      </c>
      <c r="M2338" t="s">
        <v>356</v>
      </c>
      <c r="N2338" s="73">
        <v>67263</v>
      </c>
      <c r="O2338" s="73">
        <v>67263</v>
      </c>
      <c r="P2338">
        <v>34.681374159610094</v>
      </c>
    </row>
    <row r="2339" spans="1:16" hidden="1" x14ac:dyDescent="0.2">
      <c r="A2339" s="73">
        <v>67263</v>
      </c>
      <c r="B2339" t="s">
        <v>457</v>
      </c>
      <c r="C2339" s="73" t="s">
        <v>484</v>
      </c>
      <c r="D2339" t="s">
        <v>485</v>
      </c>
      <c r="E2339" s="74">
        <v>46027</v>
      </c>
      <c r="F2339" t="s">
        <v>357</v>
      </c>
      <c r="G2339" t="s">
        <v>358</v>
      </c>
      <c r="H2339" s="75">
        <f t="shared" si="36"/>
        <v>69.362748319220188</v>
      </c>
      <c r="I2339" s="74">
        <v>46027</v>
      </c>
      <c r="J2339">
        <v>2</v>
      </c>
      <c r="K2339" t="s">
        <v>516</v>
      </c>
      <c r="L2339" t="s">
        <v>359</v>
      </c>
      <c r="M2339" t="s">
        <v>356</v>
      </c>
      <c r="N2339" s="73">
        <v>67263</v>
      </c>
      <c r="O2339" s="73">
        <v>67263</v>
      </c>
      <c r="P2339">
        <v>34.681374159610094</v>
      </c>
    </row>
    <row r="2340" spans="1:16" hidden="1" x14ac:dyDescent="0.2">
      <c r="A2340" s="73">
        <v>67263</v>
      </c>
      <c r="B2340" t="s">
        <v>457</v>
      </c>
      <c r="C2340" s="73" t="s">
        <v>484</v>
      </c>
      <c r="D2340" t="s">
        <v>485</v>
      </c>
      <c r="E2340" s="74">
        <v>46028</v>
      </c>
      <c r="F2340" t="s">
        <v>357</v>
      </c>
      <c r="G2340" t="s">
        <v>358</v>
      </c>
      <c r="H2340" s="75">
        <f t="shared" si="36"/>
        <v>69.362748319220188</v>
      </c>
      <c r="I2340" s="74">
        <v>46028</v>
      </c>
      <c r="J2340">
        <v>2</v>
      </c>
      <c r="K2340" t="s">
        <v>516</v>
      </c>
      <c r="L2340" t="s">
        <v>359</v>
      </c>
      <c r="M2340" t="s">
        <v>356</v>
      </c>
      <c r="N2340" s="73">
        <v>67263</v>
      </c>
      <c r="O2340" s="73">
        <v>67263</v>
      </c>
      <c r="P2340">
        <v>34.681374159610094</v>
      </c>
    </row>
    <row r="2341" spans="1:16" hidden="1" x14ac:dyDescent="0.2">
      <c r="A2341" s="73">
        <v>67263</v>
      </c>
      <c r="B2341" t="s">
        <v>457</v>
      </c>
      <c r="C2341" s="73" t="s">
        <v>484</v>
      </c>
      <c r="D2341" t="s">
        <v>485</v>
      </c>
      <c r="E2341" s="74">
        <v>46029</v>
      </c>
      <c r="F2341" t="s">
        <v>357</v>
      </c>
      <c r="G2341" t="s">
        <v>358</v>
      </c>
      <c r="H2341" s="75">
        <f t="shared" si="36"/>
        <v>69.362748319220188</v>
      </c>
      <c r="I2341" s="74">
        <v>46029</v>
      </c>
      <c r="J2341">
        <v>2</v>
      </c>
      <c r="K2341" t="s">
        <v>516</v>
      </c>
      <c r="L2341" t="s">
        <v>359</v>
      </c>
      <c r="M2341" t="s">
        <v>356</v>
      </c>
      <c r="N2341" s="73">
        <v>67263</v>
      </c>
      <c r="O2341" s="73">
        <v>67263</v>
      </c>
      <c r="P2341">
        <v>34.681374159610094</v>
      </c>
    </row>
    <row r="2342" spans="1:16" hidden="1" x14ac:dyDescent="0.2">
      <c r="A2342" s="73">
        <v>67263</v>
      </c>
      <c r="B2342" t="s">
        <v>457</v>
      </c>
      <c r="C2342" s="73" t="s">
        <v>484</v>
      </c>
      <c r="D2342" t="s">
        <v>485</v>
      </c>
      <c r="E2342" s="74">
        <v>46030</v>
      </c>
      <c r="F2342" t="s">
        <v>357</v>
      </c>
      <c r="G2342" t="s">
        <v>358</v>
      </c>
      <c r="H2342" s="75">
        <f t="shared" si="36"/>
        <v>69.362748319220188</v>
      </c>
      <c r="I2342" s="74">
        <v>46030</v>
      </c>
      <c r="J2342">
        <v>2</v>
      </c>
      <c r="K2342" t="s">
        <v>516</v>
      </c>
      <c r="L2342" t="s">
        <v>359</v>
      </c>
      <c r="M2342" t="s">
        <v>356</v>
      </c>
      <c r="N2342" s="73">
        <v>67263</v>
      </c>
      <c r="O2342" s="73">
        <v>67263</v>
      </c>
      <c r="P2342">
        <v>34.681374159610094</v>
      </c>
    </row>
    <row r="2343" spans="1:16" hidden="1" x14ac:dyDescent="0.2">
      <c r="A2343" s="73">
        <v>67263</v>
      </c>
      <c r="B2343" t="s">
        <v>457</v>
      </c>
      <c r="C2343" s="73" t="s">
        <v>484</v>
      </c>
      <c r="D2343" t="s">
        <v>485</v>
      </c>
      <c r="E2343" s="74">
        <v>46031</v>
      </c>
      <c r="F2343" t="s">
        <v>357</v>
      </c>
      <c r="G2343" t="s">
        <v>358</v>
      </c>
      <c r="H2343" s="75">
        <f t="shared" si="36"/>
        <v>69.362748319220188</v>
      </c>
      <c r="I2343" s="74">
        <v>46031</v>
      </c>
      <c r="J2343">
        <v>2</v>
      </c>
      <c r="K2343" t="s">
        <v>516</v>
      </c>
      <c r="L2343" t="s">
        <v>359</v>
      </c>
      <c r="M2343" t="s">
        <v>356</v>
      </c>
      <c r="N2343" s="73">
        <v>67263</v>
      </c>
      <c r="O2343" s="73">
        <v>67263</v>
      </c>
      <c r="P2343">
        <v>34.681374159610094</v>
      </c>
    </row>
    <row r="2344" spans="1:16" hidden="1" x14ac:dyDescent="0.2">
      <c r="A2344" s="73">
        <v>67263</v>
      </c>
      <c r="B2344" t="s">
        <v>457</v>
      </c>
      <c r="C2344" s="73" t="s">
        <v>484</v>
      </c>
      <c r="D2344" t="s">
        <v>485</v>
      </c>
      <c r="E2344" s="74">
        <v>46034</v>
      </c>
      <c r="F2344" t="s">
        <v>357</v>
      </c>
      <c r="G2344" t="s">
        <v>358</v>
      </c>
      <c r="H2344" s="75">
        <f t="shared" si="36"/>
        <v>69.362748319220188</v>
      </c>
      <c r="I2344" s="74">
        <v>46034</v>
      </c>
      <c r="J2344">
        <v>2</v>
      </c>
      <c r="K2344" t="s">
        <v>516</v>
      </c>
      <c r="L2344" t="s">
        <v>359</v>
      </c>
      <c r="M2344" t="s">
        <v>356</v>
      </c>
      <c r="N2344" s="73">
        <v>67263</v>
      </c>
      <c r="O2344" s="73">
        <v>67263</v>
      </c>
      <c r="P2344">
        <v>34.681374159610094</v>
      </c>
    </row>
    <row r="2345" spans="1:16" hidden="1" x14ac:dyDescent="0.2">
      <c r="A2345" s="73">
        <v>67263</v>
      </c>
      <c r="B2345" t="s">
        <v>457</v>
      </c>
      <c r="C2345" s="73" t="s">
        <v>484</v>
      </c>
      <c r="D2345" t="s">
        <v>485</v>
      </c>
      <c r="E2345" s="74">
        <v>46035</v>
      </c>
      <c r="F2345" t="s">
        <v>357</v>
      </c>
      <c r="G2345" t="s">
        <v>358</v>
      </c>
      <c r="H2345" s="75">
        <f t="shared" si="36"/>
        <v>69.362748319220188</v>
      </c>
      <c r="I2345" s="74">
        <v>46035</v>
      </c>
      <c r="J2345">
        <v>2</v>
      </c>
      <c r="K2345" t="s">
        <v>516</v>
      </c>
      <c r="L2345" t="s">
        <v>359</v>
      </c>
      <c r="M2345" t="s">
        <v>356</v>
      </c>
      <c r="N2345" s="73">
        <v>67263</v>
      </c>
      <c r="O2345" s="73">
        <v>67263</v>
      </c>
      <c r="P2345">
        <v>34.681374159610094</v>
      </c>
    </row>
    <row r="2346" spans="1:16" hidden="1" x14ac:dyDescent="0.2">
      <c r="A2346" s="73">
        <v>67263</v>
      </c>
      <c r="B2346" t="s">
        <v>457</v>
      </c>
      <c r="C2346" s="73" t="s">
        <v>484</v>
      </c>
      <c r="D2346" t="s">
        <v>485</v>
      </c>
      <c r="E2346" s="74">
        <v>46036</v>
      </c>
      <c r="F2346" t="s">
        <v>357</v>
      </c>
      <c r="G2346" t="s">
        <v>358</v>
      </c>
      <c r="H2346" s="75">
        <f t="shared" si="36"/>
        <v>69.362748319220188</v>
      </c>
      <c r="I2346" s="74">
        <v>46036</v>
      </c>
      <c r="J2346">
        <v>2</v>
      </c>
      <c r="K2346" t="s">
        <v>516</v>
      </c>
      <c r="L2346" t="s">
        <v>359</v>
      </c>
      <c r="M2346" t="s">
        <v>356</v>
      </c>
      <c r="N2346" s="73">
        <v>67263</v>
      </c>
      <c r="O2346" s="73">
        <v>67263</v>
      </c>
      <c r="P2346">
        <v>34.681374159610094</v>
      </c>
    </row>
    <row r="2347" spans="1:16" hidden="1" x14ac:dyDescent="0.2">
      <c r="A2347" s="73">
        <v>67263</v>
      </c>
      <c r="B2347" t="s">
        <v>457</v>
      </c>
      <c r="C2347" s="73" t="s">
        <v>484</v>
      </c>
      <c r="D2347" t="s">
        <v>485</v>
      </c>
      <c r="E2347" s="74">
        <v>46037</v>
      </c>
      <c r="F2347" t="s">
        <v>357</v>
      </c>
      <c r="G2347" t="s">
        <v>358</v>
      </c>
      <c r="H2347" s="75">
        <f t="shared" si="36"/>
        <v>69.362748319220188</v>
      </c>
      <c r="I2347" s="74">
        <v>46037</v>
      </c>
      <c r="J2347">
        <v>2</v>
      </c>
      <c r="K2347" t="s">
        <v>516</v>
      </c>
      <c r="L2347" t="s">
        <v>359</v>
      </c>
      <c r="M2347" t="s">
        <v>356</v>
      </c>
      <c r="N2347" s="73">
        <v>67263</v>
      </c>
      <c r="O2347" s="73">
        <v>67263</v>
      </c>
      <c r="P2347">
        <v>34.681374159610094</v>
      </c>
    </row>
    <row r="2348" spans="1:16" hidden="1" x14ac:dyDescent="0.2">
      <c r="A2348" s="73">
        <v>67263</v>
      </c>
      <c r="B2348" t="s">
        <v>457</v>
      </c>
      <c r="C2348" s="73" t="s">
        <v>484</v>
      </c>
      <c r="D2348" t="s">
        <v>485</v>
      </c>
      <c r="E2348" s="74">
        <v>46037</v>
      </c>
      <c r="F2348" t="s">
        <v>357</v>
      </c>
      <c r="G2348" t="s">
        <v>358</v>
      </c>
      <c r="H2348" s="75">
        <f t="shared" si="36"/>
        <v>-69.362748319220188</v>
      </c>
      <c r="I2348" s="74">
        <v>46037</v>
      </c>
      <c r="J2348">
        <v>-2</v>
      </c>
      <c r="K2348" t="s">
        <v>516</v>
      </c>
      <c r="L2348" t="s">
        <v>359</v>
      </c>
      <c r="M2348" t="s">
        <v>356</v>
      </c>
      <c r="N2348" s="73">
        <v>67263</v>
      </c>
      <c r="O2348" s="73">
        <v>67263</v>
      </c>
      <c r="P2348">
        <v>34.681374159610094</v>
      </c>
    </row>
    <row r="2349" spans="1:16" hidden="1" x14ac:dyDescent="0.2">
      <c r="A2349" s="73">
        <v>67263</v>
      </c>
      <c r="B2349" t="s">
        <v>457</v>
      </c>
      <c r="C2349" s="73" t="s">
        <v>484</v>
      </c>
      <c r="D2349" t="s">
        <v>485</v>
      </c>
      <c r="E2349" s="74">
        <v>46043</v>
      </c>
      <c r="F2349" t="s">
        <v>357</v>
      </c>
      <c r="G2349" t="s">
        <v>358</v>
      </c>
      <c r="H2349" s="75">
        <f t="shared" si="36"/>
        <v>69.362748319220188</v>
      </c>
      <c r="I2349" s="74">
        <v>46043</v>
      </c>
      <c r="J2349">
        <v>2</v>
      </c>
      <c r="K2349" t="s">
        <v>516</v>
      </c>
      <c r="L2349" t="s">
        <v>359</v>
      </c>
      <c r="M2349" t="s">
        <v>356</v>
      </c>
      <c r="N2349" s="73">
        <v>67263</v>
      </c>
      <c r="O2349" s="73">
        <v>67263</v>
      </c>
      <c r="P2349">
        <v>34.681374159610094</v>
      </c>
    </row>
    <row r="2350" spans="1:16" hidden="1" x14ac:dyDescent="0.2">
      <c r="A2350" s="73">
        <v>67263</v>
      </c>
      <c r="B2350" t="s">
        <v>457</v>
      </c>
      <c r="C2350" s="73" t="s">
        <v>484</v>
      </c>
      <c r="D2350" t="s">
        <v>485</v>
      </c>
      <c r="E2350" s="74">
        <v>46044</v>
      </c>
      <c r="F2350" t="s">
        <v>357</v>
      </c>
      <c r="G2350" t="s">
        <v>358</v>
      </c>
      <c r="H2350" s="75">
        <f t="shared" si="36"/>
        <v>69.362748319220188</v>
      </c>
      <c r="I2350" s="74">
        <v>46044</v>
      </c>
      <c r="J2350">
        <v>2</v>
      </c>
      <c r="K2350" t="s">
        <v>516</v>
      </c>
      <c r="L2350" t="s">
        <v>359</v>
      </c>
      <c r="M2350" t="s">
        <v>356</v>
      </c>
      <c r="N2350" s="73">
        <v>67263</v>
      </c>
      <c r="O2350" s="73">
        <v>67263</v>
      </c>
      <c r="P2350">
        <v>34.681374159610094</v>
      </c>
    </row>
    <row r="2351" spans="1:16" hidden="1" x14ac:dyDescent="0.2">
      <c r="A2351" s="73">
        <v>67263</v>
      </c>
      <c r="B2351" t="s">
        <v>457</v>
      </c>
      <c r="C2351" s="73" t="s">
        <v>484</v>
      </c>
      <c r="D2351" t="s">
        <v>485</v>
      </c>
      <c r="E2351" s="74">
        <v>46045</v>
      </c>
      <c r="F2351" t="s">
        <v>357</v>
      </c>
      <c r="G2351" t="s">
        <v>358</v>
      </c>
      <c r="H2351" s="75">
        <f t="shared" si="36"/>
        <v>69.362748319220188</v>
      </c>
      <c r="I2351" s="74">
        <v>46045</v>
      </c>
      <c r="J2351">
        <v>2</v>
      </c>
      <c r="K2351" t="s">
        <v>516</v>
      </c>
      <c r="L2351" t="s">
        <v>359</v>
      </c>
      <c r="M2351" t="s">
        <v>356</v>
      </c>
      <c r="N2351" s="73">
        <v>67263</v>
      </c>
      <c r="O2351" s="73">
        <v>67263</v>
      </c>
      <c r="P2351">
        <v>34.681374159610094</v>
      </c>
    </row>
    <row r="2352" spans="1:16" hidden="1" x14ac:dyDescent="0.2">
      <c r="A2352" s="73">
        <v>67263</v>
      </c>
      <c r="B2352" t="s">
        <v>457</v>
      </c>
      <c r="C2352" s="73" t="s">
        <v>484</v>
      </c>
      <c r="D2352" t="s">
        <v>485</v>
      </c>
      <c r="E2352" s="74">
        <v>46055</v>
      </c>
      <c r="F2352" t="s">
        <v>357</v>
      </c>
      <c r="G2352" t="s">
        <v>358</v>
      </c>
      <c r="H2352" s="75">
        <f t="shared" si="36"/>
        <v>69.362748319220188</v>
      </c>
      <c r="I2352" s="74">
        <v>46055</v>
      </c>
      <c r="J2352">
        <v>2</v>
      </c>
      <c r="K2352" t="s">
        <v>508</v>
      </c>
      <c r="L2352" t="s">
        <v>359</v>
      </c>
      <c r="M2352" t="s">
        <v>356</v>
      </c>
      <c r="N2352" s="73">
        <v>67263</v>
      </c>
      <c r="O2352" s="73">
        <v>67263</v>
      </c>
      <c r="P2352">
        <v>34.681374159610094</v>
      </c>
    </row>
    <row r="2353" spans="1:16" hidden="1" x14ac:dyDescent="0.2">
      <c r="A2353" s="73">
        <v>67263</v>
      </c>
      <c r="B2353" t="s">
        <v>457</v>
      </c>
      <c r="C2353" s="73" t="s">
        <v>484</v>
      </c>
      <c r="D2353" t="s">
        <v>485</v>
      </c>
      <c r="E2353" s="74">
        <v>46056</v>
      </c>
      <c r="F2353" t="s">
        <v>357</v>
      </c>
      <c r="G2353" t="s">
        <v>358</v>
      </c>
      <c r="H2353" s="75">
        <f t="shared" si="36"/>
        <v>69.362748319220188</v>
      </c>
      <c r="I2353" s="74">
        <v>46056</v>
      </c>
      <c r="J2353">
        <v>2</v>
      </c>
      <c r="K2353" t="s">
        <v>508</v>
      </c>
      <c r="L2353" t="s">
        <v>359</v>
      </c>
      <c r="M2353" t="s">
        <v>356</v>
      </c>
      <c r="N2353" s="73">
        <v>67263</v>
      </c>
      <c r="O2353" s="73">
        <v>67263</v>
      </c>
      <c r="P2353">
        <v>34.681374159610094</v>
      </c>
    </row>
    <row r="2354" spans="1:16" hidden="1" x14ac:dyDescent="0.2">
      <c r="A2354" s="73">
        <v>67263</v>
      </c>
      <c r="B2354" t="s">
        <v>457</v>
      </c>
      <c r="C2354" s="73" t="s">
        <v>484</v>
      </c>
      <c r="D2354" t="s">
        <v>485</v>
      </c>
      <c r="E2354" s="74">
        <v>46057</v>
      </c>
      <c r="F2354" t="s">
        <v>357</v>
      </c>
      <c r="G2354" t="s">
        <v>358</v>
      </c>
      <c r="H2354" s="75">
        <f t="shared" si="36"/>
        <v>69.362748319220188</v>
      </c>
      <c r="I2354" s="74">
        <v>46057</v>
      </c>
      <c r="J2354">
        <v>2</v>
      </c>
      <c r="K2354" t="s">
        <v>508</v>
      </c>
      <c r="L2354" t="s">
        <v>359</v>
      </c>
      <c r="M2354" t="s">
        <v>356</v>
      </c>
      <c r="N2354" s="73">
        <v>67263</v>
      </c>
      <c r="O2354" s="73">
        <v>67263</v>
      </c>
      <c r="P2354">
        <v>34.681374159610094</v>
      </c>
    </row>
    <row r="2355" spans="1:16" hidden="1" x14ac:dyDescent="0.2">
      <c r="A2355" s="73">
        <v>67263</v>
      </c>
      <c r="B2355" t="s">
        <v>457</v>
      </c>
      <c r="C2355" s="73" t="s">
        <v>484</v>
      </c>
      <c r="D2355" t="s">
        <v>485</v>
      </c>
      <c r="E2355" s="74">
        <v>46058</v>
      </c>
      <c r="F2355" t="s">
        <v>357</v>
      </c>
      <c r="G2355" t="s">
        <v>358</v>
      </c>
      <c r="H2355" s="75">
        <f t="shared" si="36"/>
        <v>69.362748319220188</v>
      </c>
      <c r="I2355" s="74">
        <v>46058</v>
      </c>
      <c r="J2355">
        <v>2</v>
      </c>
      <c r="K2355" t="s">
        <v>508</v>
      </c>
      <c r="L2355" t="s">
        <v>359</v>
      </c>
      <c r="M2355" t="s">
        <v>356</v>
      </c>
      <c r="N2355" s="73">
        <v>67263</v>
      </c>
      <c r="O2355" s="73">
        <v>67263</v>
      </c>
      <c r="P2355">
        <v>34.681374159610094</v>
      </c>
    </row>
    <row r="2356" spans="1:16" hidden="1" x14ac:dyDescent="0.2">
      <c r="A2356" s="73">
        <v>67263</v>
      </c>
      <c r="B2356" t="s">
        <v>457</v>
      </c>
      <c r="C2356" s="73" t="s">
        <v>484</v>
      </c>
      <c r="D2356" t="s">
        <v>485</v>
      </c>
      <c r="E2356" s="74">
        <v>46059</v>
      </c>
      <c r="F2356" t="s">
        <v>357</v>
      </c>
      <c r="G2356" t="s">
        <v>358</v>
      </c>
      <c r="H2356" s="75">
        <f t="shared" si="36"/>
        <v>69.362748319220188</v>
      </c>
      <c r="I2356" s="74">
        <v>46059</v>
      </c>
      <c r="J2356">
        <v>2</v>
      </c>
      <c r="K2356" t="s">
        <v>508</v>
      </c>
      <c r="L2356" t="s">
        <v>359</v>
      </c>
      <c r="M2356" t="s">
        <v>356</v>
      </c>
      <c r="N2356" s="73">
        <v>67263</v>
      </c>
      <c r="O2356" s="73">
        <v>67263</v>
      </c>
      <c r="P2356">
        <v>34.681374159610094</v>
      </c>
    </row>
    <row r="2357" spans="1:16" hidden="1" x14ac:dyDescent="0.2">
      <c r="A2357" s="73">
        <v>67263</v>
      </c>
      <c r="B2357" t="s">
        <v>457</v>
      </c>
      <c r="C2357" s="73" t="s">
        <v>484</v>
      </c>
      <c r="D2357" t="s">
        <v>485</v>
      </c>
      <c r="E2357" s="74">
        <v>46062</v>
      </c>
      <c r="F2357" t="s">
        <v>357</v>
      </c>
      <c r="G2357" t="s">
        <v>358</v>
      </c>
      <c r="H2357" s="75">
        <f t="shared" si="36"/>
        <v>69.362748319220188</v>
      </c>
      <c r="I2357" s="74">
        <v>46062</v>
      </c>
      <c r="J2357">
        <v>2</v>
      </c>
      <c r="K2357" t="s">
        <v>508</v>
      </c>
      <c r="L2357" t="s">
        <v>359</v>
      </c>
      <c r="M2357" t="s">
        <v>356</v>
      </c>
      <c r="N2357" s="73">
        <v>67263</v>
      </c>
      <c r="O2357" s="73">
        <v>67263</v>
      </c>
      <c r="P2357">
        <v>34.681374159610094</v>
      </c>
    </row>
    <row r="2358" spans="1:16" hidden="1" x14ac:dyDescent="0.2">
      <c r="A2358" s="73">
        <v>67263</v>
      </c>
      <c r="B2358" t="s">
        <v>457</v>
      </c>
      <c r="C2358" s="73" t="s">
        <v>484</v>
      </c>
      <c r="D2358" t="s">
        <v>485</v>
      </c>
      <c r="E2358" s="74">
        <v>46063</v>
      </c>
      <c r="F2358" t="s">
        <v>357</v>
      </c>
      <c r="G2358" t="s">
        <v>358</v>
      </c>
      <c r="H2358" s="75">
        <f t="shared" si="36"/>
        <v>69.362748319220188</v>
      </c>
      <c r="I2358" s="74">
        <v>46063</v>
      </c>
      <c r="J2358">
        <v>2</v>
      </c>
      <c r="K2358" t="s">
        <v>508</v>
      </c>
      <c r="L2358" t="s">
        <v>359</v>
      </c>
      <c r="M2358" t="s">
        <v>356</v>
      </c>
      <c r="N2358" s="73">
        <v>67263</v>
      </c>
      <c r="O2358" s="73">
        <v>67263</v>
      </c>
      <c r="P2358">
        <v>34.681374159610094</v>
      </c>
    </row>
    <row r="2359" spans="1:16" hidden="1" x14ac:dyDescent="0.2">
      <c r="A2359" s="73">
        <v>67263</v>
      </c>
      <c r="B2359" t="s">
        <v>457</v>
      </c>
      <c r="C2359" s="73" t="s">
        <v>484</v>
      </c>
      <c r="D2359" t="s">
        <v>485</v>
      </c>
      <c r="E2359" s="74">
        <v>46064</v>
      </c>
      <c r="F2359" t="s">
        <v>357</v>
      </c>
      <c r="G2359" t="s">
        <v>358</v>
      </c>
      <c r="H2359" s="75">
        <f t="shared" si="36"/>
        <v>69.362748319220188</v>
      </c>
      <c r="I2359" s="74">
        <v>46064</v>
      </c>
      <c r="J2359">
        <v>2</v>
      </c>
      <c r="K2359" t="s">
        <v>508</v>
      </c>
      <c r="L2359" t="s">
        <v>359</v>
      </c>
      <c r="M2359" t="s">
        <v>356</v>
      </c>
      <c r="N2359" s="73">
        <v>67263</v>
      </c>
      <c r="O2359" s="73">
        <v>67263</v>
      </c>
      <c r="P2359">
        <v>34.681374159610094</v>
      </c>
    </row>
    <row r="2360" spans="1:16" hidden="1" x14ac:dyDescent="0.2">
      <c r="A2360" s="73">
        <v>67263</v>
      </c>
      <c r="B2360" t="s">
        <v>457</v>
      </c>
      <c r="C2360" s="73" t="s">
        <v>484</v>
      </c>
      <c r="D2360" t="s">
        <v>485</v>
      </c>
      <c r="E2360" s="74">
        <v>46065</v>
      </c>
      <c r="F2360" t="s">
        <v>357</v>
      </c>
      <c r="G2360" t="s">
        <v>358</v>
      </c>
      <c r="H2360" s="75">
        <f t="shared" si="36"/>
        <v>69.362748319220188</v>
      </c>
      <c r="I2360" s="74">
        <v>46065</v>
      </c>
      <c r="J2360">
        <v>2</v>
      </c>
      <c r="K2360" t="s">
        <v>508</v>
      </c>
      <c r="L2360" t="s">
        <v>359</v>
      </c>
      <c r="M2360" t="s">
        <v>356</v>
      </c>
      <c r="N2360" s="73">
        <v>67263</v>
      </c>
      <c r="O2360" s="73">
        <v>67263</v>
      </c>
      <c r="P2360">
        <v>34.681374159610094</v>
      </c>
    </row>
    <row r="2361" spans="1:16" hidden="1" x14ac:dyDescent="0.2">
      <c r="A2361" s="73">
        <v>67263</v>
      </c>
      <c r="B2361" t="s">
        <v>457</v>
      </c>
      <c r="C2361" s="73" t="s">
        <v>484</v>
      </c>
      <c r="D2361" t="s">
        <v>485</v>
      </c>
      <c r="E2361" s="74">
        <v>46066</v>
      </c>
      <c r="F2361" t="s">
        <v>357</v>
      </c>
      <c r="G2361" t="s">
        <v>358</v>
      </c>
      <c r="H2361" s="75">
        <f t="shared" si="36"/>
        <v>69.362748319220188</v>
      </c>
      <c r="I2361" s="74">
        <v>46066</v>
      </c>
      <c r="J2361">
        <v>2</v>
      </c>
      <c r="K2361" t="s">
        <v>508</v>
      </c>
      <c r="L2361" t="s">
        <v>359</v>
      </c>
      <c r="M2361" t="s">
        <v>356</v>
      </c>
      <c r="N2361" s="73">
        <v>67263</v>
      </c>
      <c r="O2361" s="73">
        <v>67263</v>
      </c>
      <c r="P2361">
        <v>34.681374159610094</v>
      </c>
    </row>
    <row r="2362" spans="1:16" hidden="1" x14ac:dyDescent="0.2">
      <c r="A2362" s="73">
        <v>67263</v>
      </c>
      <c r="B2362" t="s">
        <v>457</v>
      </c>
      <c r="C2362" s="73" t="s">
        <v>484</v>
      </c>
      <c r="D2362" t="s">
        <v>485</v>
      </c>
      <c r="E2362" s="74">
        <v>46067</v>
      </c>
      <c r="F2362" t="s">
        <v>357</v>
      </c>
      <c r="G2362" t="s">
        <v>358</v>
      </c>
      <c r="H2362" s="75">
        <f t="shared" si="36"/>
        <v>69.362748319220188</v>
      </c>
      <c r="I2362" s="74">
        <v>46067</v>
      </c>
      <c r="J2362">
        <v>2</v>
      </c>
      <c r="K2362" t="s">
        <v>508</v>
      </c>
      <c r="L2362" t="s">
        <v>359</v>
      </c>
      <c r="M2362" t="s">
        <v>356</v>
      </c>
      <c r="N2362" s="73">
        <v>67263</v>
      </c>
      <c r="O2362" s="73">
        <v>67263</v>
      </c>
      <c r="P2362">
        <v>34.681374159610094</v>
      </c>
    </row>
    <row r="2363" spans="1:16" hidden="1" x14ac:dyDescent="0.2">
      <c r="A2363" s="73">
        <v>66194</v>
      </c>
      <c r="B2363" t="s">
        <v>416</v>
      </c>
      <c r="C2363" s="73" t="s">
        <v>417</v>
      </c>
      <c r="D2363" t="s">
        <v>418</v>
      </c>
      <c r="E2363" s="74">
        <v>45839</v>
      </c>
      <c r="F2363" t="s">
        <v>376</v>
      </c>
      <c r="G2363" t="s">
        <v>377</v>
      </c>
      <c r="H2363" s="75">
        <f t="shared" si="36"/>
        <v>242.76961911727065</v>
      </c>
      <c r="I2363" s="74">
        <v>45839</v>
      </c>
      <c r="J2363">
        <v>7</v>
      </c>
      <c r="K2363" t="s">
        <v>511</v>
      </c>
      <c r="L2363" t="s">
        <v>262</v>
      </c>
      <c r="M2363" t="s">
        <v>356</v>
      </c>
      <c r="N2363" s="73">
        <v>66194</v>
      </c>
      <c r="O2363" s="73">
        <v>66194</v>
      </c>
      <c r="P2363">
        <v>34.681374159610094</v>
      </c>
    </row>
    <row r="2364" spans="1:16" hidden="1" x14ac:dyDescent="0.2">
      <c r="A2364" s="73">
        <v>66194</v>
      </c>
      <c r="B2364" t="s">
        <v>416</v>
      </c>
      <c r="C2364" s="73" t="s">
        <v>417</v>
      </c>
      <c r="D2364" t="s">
        <v>418</v>
      </c>
      <c r="E2364" s="74">
        <v>45839</v>
      </c>
      <c r="F2364" t="s">
        <v>357</v>
      </c>
      <c r="G2364" t="s">
        <v>358</v>
      </c>
      <c r="H2364" s="75">
        <f t="shared" si="36"/>
        <v>138.72549663844038</v>
      </c>
      <c r="I2364" s="74">
        <v>45839</v>
      </c>
      <c r="J2364">
        <v>4</v>
      </c>
      <c r="K2364" t="s">
        <v>511</v>
      </c>
      <c r="L2364" t="s">
        <v>359</v>
      </c>
      <c r="M2364" t="s">
        <v>356</v>
      </c>
      <c r="N2364" s="73">
        <v>66194</v>
      </c>
      <c r="O2364" s="73">
        <v>66194</v>
      </c>
      <c r="P2364">
        <v>34.681374159610094</v>
      </c>
    </row>
    <row r="2365" spans="1:16" x14ac:dyDescent="0.2">
      <c r="A2365" s="73">
        <v>67262</v>
      </c>
      <c r="B2365" t="s">
        <v>350</v>
      </c>
      <c r="C2365" s="73" t="s">
        <v>421</v>
      </c>
      <c r="D2365" t="s">
        <v>422</v>
      </c>
      <c r="E2365" s="74">
        <v>45995</v>
      </c>
      <c r="F2365" t="s">
        <v>414</v>
      </c>
      <c r="G2365" t="s">
        <v>415</v>
      </c>
      <c r="H2365" s="75">
        <f t="shared" si="36"/>
        <v>294.79168035668579</v>
      </c>
      <c r="I2365" s="74">
        <v>45995</v>
      </c>
      <c r="J2365">
        <v>8.5</v>
      </c>
      <c r="K2365" t="s">
        <v>515</v>
      </c>
      <c r="L2365" t="s">
        <v>262</v>
      </c>
      <c r="M2365" t="s">
        <v>356</v>
      </c>
      <c r="N2365" s="73">
        <v>67262</v>
      </c>
      <c r="O2365" s="73">
        <v>67262</v>
      </c>
      <c r="P2365">
        <v>34.681374159610094</v>
      </c>
    </row>
    <row r="2366" spans="1:16" hidden="1" x14ac:dyDescent="0.2">
      <c r="A2366" s="73">
        <v>66194</v>
      </c>
      <c r="B2366" t="s">
        <v>416</v>
      </c>
      <c r="C2366" s="73" t="s">
        <v>417</v>
      </c>
      <c r="D2366" t="s">
        <v>418</v>
      </c>
      <c r="E2366" s="74">
        <v>45839</v>
      </c>
      <c r="F2366" t="s">
        <v>404</v>
      </c>
      <c r="G2366" t="s">
        <v>405</v>
      </c>
      <c r="H2366" s="75">
        <f t="shared" si="36"/>
        <v>242.76961911727065</v>
      </c>
      <c r="I2366" s="74">
        <v>45839</v>
      </c>
      <c r="J2366">
        <v>7</v>
      </c>
      <c r="K2366" t="s">
        <v>511</v>
      </c>
      <c r="L2366" t="s">
        <v>262</v>
      </c>
      <c r="M2366" t="s">
        <v>356</v>
      </c>
      <c r="N2366" s="73">
        <v>66194</v>
      </c>
      <c r="O2366" s="73">
        <v>66194</v>
      </c>
      <c r="P2366">
        <v>34.681374159610094</v>
      </c>
    </row>
    <row r="2367" spans="1:16" hidden="1" x14ac:dyDescent="0.2">
      <c r="A2367" s="73">
        <v>66194</v>
      </c>
      <c r="B2367" t="s">
        <v>416</v>
      </c>
      <c r="C2367" s="73" t="s">
        <v>417</v>
      </c>
      <c r="D2367" t="s">
        <v>418</v>
      </c>
      <c r="E2367" s="74">
        <v>45840</v>
      </c>
      <c r="F2367" t="s">
        <v>376</v>
      </c>
      <c r="G2367" t="s">
        <v>377</v>
      </c>
      <c r="H2367" s="75">
        <f t="shared" si="36"/>
        <v>208.08824495766055</v>
      </c>
      <c r="I2367" s="74">
        <v>45840</v>
      </c>
      <c r="J2367">
        <v>6</v>
      </c>
      <c r="K2367" t="s">
        <v>511</v>
      </c>
      <c r="L2367" t="s">
        <v>262</v>
      </c>
      <c r="M2367" t="s">
        <v>356</v>
      </c>
      <c r="N2367" s="73">
        <v>66194</v>
      </c>
      <c r="O2367" s="73">
        <v>66194</v>
      </c>
      <c r="P2367">
        <v>34.681374159610094</v>
      </c>
    </row>
    <row r="2368" spans="1:16" hidden="1" x14ac:dyDescent="0.2">
      <c r="A2368" s="73">
        <v>66194</v>
      </c>
      <c r="B2368" t="s">
        <v>416</v>
      </c>
      <c r="C2368" s="73" t="s">
        <v>417</v>
      </c>
      <c r="D2368" t="s">
        <v>418</v>
      </c>
      <c r="E2368" s="74">
        <v>45840</v>
      </c>
      <c r="F2368" t="s">
        <v>357</v>
      </c>
      <c r="G2368" t="s">
        <v>358</v>
      </c>
      <c r="H2368" s="75">
        <f t="shared" si="36"/>
        <v>138.72549663844038</v>
      </c>
      <c r="I2368" s="74">
        <v>45840</v>
      </c>
      <c r="J2368">
        <v>4</v>
      </c>
      <c r="K2368" t="s">
        <v>511</v>
      </c>
      <c r="L2368" t="s">
        <v>359</v>
      </c>
      <c r="M2368" t="s">
        <v>356</v>
      </c>
      <c r="N2368" s="73">
        <v>66194</v>
      </c>
      <c r="O2368" s="73">
        <v>66194</v>
      </c>
      <c r="P2368">
        <v>34.681374159610094</v>
      </c>
    </row>
    <row r="2369" spans="1:16" hidden="1" x14ac:dyDescent="0.2">
      <c r="A2369" s="73">
        <v>66194</v>
      </c>
      <c r="B2369" t="s">
        <v>416</v>
      </c>
      <c r="C2369" s="73" t="s">
        <v>417</v>
      </c>
      <c r="D2369" t="s">
        <v>418</v>
      </c>
      <c r="E2369" s="74">
        <v>45840</v>
      </c>
      <c r="F2369" t="s">
        <v>395</v>
      </c>
      <c r="G2369" t="s">
        <v>396</v>
      </c>
      <c r="H2369" s="75">
        <f t="shared" si="36"/>
        <v>277.45099327688075</v>
      </c>
      <c r="I2369" s="74">
        <v>45840</v>
      </c>
      <c r="J2369">
        <v>8</v>
      </c>
      <c r="K2369" t="s">
        <v>511</v>
      </c>
      <c r="L2369" t="s">
        <v>262</v>
      </c>
      <c r="M2369" t="s">
        <v>356</v>
      </c>
      <c r="N2369" s="73">
        <v>66194</v>
      </c>
      <c r="O2369" s="73">
        <v>66194</v>
      </c>
      <c r="P2369">
        <v>34.681374159610094</v>
      </c>
    </row>
    <row r="2370" spans="1:16" hidden="1" x14ac:dyDescent="0.2">
      <c r="A2370" s="73">
        <v>66194</v>
      </c>
      <c r="B2370" t="s">
        <v>416</v>
      </c>
      <c r="C2370" s="73" t="s">
        <v>417</v>
      </c>
      <c r="D2370" t="s">
        <v>418</v>
      </c>
      <c r="E2370" s="74">
        <v>45840</v>
      </c>
      <c r="F2370" t="s">
        <v>404</v>
      </c>
      <c r="G2370" t="s">
        <v>405</v>
      </c>
      <c r="H2370" s="75">
        <f t="shared" ref="H2370:H2433" si="37">J2370*P2370</f>
        <v>208.08824495766055</v>
      </c>
      <c r="I2370" s="74">
        <v>45840</v>
      </c>
      <c r="J2370">
        <v>6</v>
      </c>
      <c r="K2370" t="s">
        <v>511</v>
      </c>
      <c r="L2370" t="s">
        <v>262</v>
      </c>
      <c r="M2370" t="s">
        <v>356</v>
      </c>
      <c r="N2370" s="73">
        <v>66194</v>
      </c>
      <c r="O2370" s="73">
        <v>66194</v>
      </c>
      <c r="P2370">
        <v>34.681374159610094</v>
      </c>
    </row>
    <row r="2371" spans="1:16" hidden="1" x14ac:dyDescent="0.2">
      <c r="A2371" s="73">
        <v>66194</v>
      </c>
      <c r="B2371" t="s">
        <v>416</v>
      </c>
      <c r="C2371" s="73" t="s">
        <v>417</v>
      </c>
      <c r="D2371" t="s">
        <v>418</v>
      </c>
      <c r="E2371" s="74">
        <v>45841</v>
      </c>
      <c r="F2371" t="s">
        <v>376</v>
      </c>
      <c r="G2371" t="s">
        <v>377</v>
      </c>
      <c r="H2371" s="75">
        <f t="shared" si="37"/>
        <v>208.08824495766055</v>
      </c>
      <c r="I2371" s="74">
        <v>45841</v>
      </c>
      <c r="J2371">
        <v>6</v>
      </c>
      <c r="K2371" t="s">
        <v>511</v>
      </c>
      <c r="L2371" t="s">
        <v>262</v>
      </c>
      <c r="M2371" t="s">
        <v>356</v>
      </c>
      <c r="N2371" s="73">
        <v>66194</v>
      </c>
      <c r="O2371" s="73">
        <v>66194</v>
      </c>
      <c r="P2371">
        <v>34.681374159610094</v>
      </c>
    </row>
    <row r="2372" spans="1:16" hidden="1" x14ac:dyDescent="0.2">
      <c r="A2372" s="73">
        <v>66194</v>
      </c>
      <c r="B2372" t="s">
        <v>416</v>
      </c>
      <c r="C2372" s="73" t="s">
        <v>417</v>
      </c>
      <c r="D2372" t="s">
        <v>418</v>
      </c>
      <c r="E2372" s="74">
        <v>45841</v>
      </c>
      <c r="F2372" t="s">
        <v>357</v>
      </c>
      <c r="G2372" t="s">
        <v>358</v>
      </c>
      <c r="H2372" s="75">
        <f t="shared" si="37"/>
        <v>138.72549663844038</v>
      </c>
      <c r="I2372" s="74">
        <v>45841</v>
      </c>
      <c r="J2372">
        <v>4</v>
      </c>
      <c r="K2372" t="s">
        <v>511</v>
      </c>
      <c r="L2372" t="s">
        <v>359</v>
      </c>
      <c r="M2372" t="s">
        <v>356</v>
      </c>
      <c r="N2372" s="73">
        <v>66194</v>
      </c>
      <c r="O2372" s="73">
        <v>66194</v>
      </c>
      <c r="P2372">
        <v>34.681374159610094</v>
      </c>
    </row>
    <row r="2373" spans="1:16" hidden="1" x14ac:dyDescent="0.2">
      <c r="A2373" s="73">
        <v>66194</v>
      </c>
      <c r="B2373" t="s">
        <v>416</v>
      </c>
      <c r="C2373" s="73" t="s">
        <v>417</v>
      </c>
      <c r="D2373" t="s">
        <v>418</v>
      </c>
      <c r="E2373" s="74">
        <v>45841</v>
      </c>
      <c r="F2373" t="s">
        <v>395</v>
      </c>
      <c r="G2373" t="s">
        <v>396</v>
      </c>
      <c r="H2373" s="75">
        <f t="shared" si="37"/>
        <v>69.362748319220188</v>
      </c>
      <c r="I2373" s="74">
        <v>45841</v>
      </c>
      <c r="J2373">
        <v>2</v>
      </c>
      <c r="K2373" t="s">
        <v>511</v>
      </c>
      <c r="L2373" t="s">
        <v>262</v>
      </c>
      <c r="M2373" t="s">
        <v>356</v>
      </c>
      <c r="N2373" s="73">
        <v>66194</v>
      </c>
      <c r="O2373" s="73">
        <v>66194</v>
      </c>
      <c r="P2373">
        <v>34.681374159610094</v>
      </c>
    </row>
    <row r="2374" spans="1:16" hidden="1" x14ac:dyDescent="0.2">
      <c r="A2374" s="73">
        <v>66194</v>
      </c>
      <c r="B2374" t="s">
        <v>416</v>
      </c>
      <c r="C2374" s="73" t="s">
        <v>417</v>
      </c>
      <c r="D2374" t="s">
        <v>418</v>
      </c>
      <c r="E2374" s="74">
        <v>45842</v>
      </c>
      <c r="F2374" t="s">
        <v>376</v>
      </c>
      <c r="G2374" t="s">
        <v>377</v>
      </c>
      <c r="H2374" s="75">
        <f t="shared" si="37"/>
        <v>104.04412247883027</v>
      </c>
      <c r="I2374" s="74">
        <v>45842</v>
      </c>
      <c r="J2374">
        <v>3</v>
      </c>
      <c r="K2374" t="s">
        <v>511</v>
      </c>
      <c r="L2374" t="s">
        <v>262</v>
      </c>
      <c r="M2374" t="s">
        <v>356</v>
      </c>
      <c r="N2374" s="73">
        <v>66194</v>
      </c>
      <c r="O2374" s="73">
        <v>66194</v>
      </c>
      <c r="P2374">
        <v>34.681374159610094</v>
      </c>
    </row>
    <row r="2375" spans="1:16" hidden="1" x14ac:dyDescent="0.2">
      <c r="A2375" s="73">
        <v>66194</v>
      </c>
      <c r="B2375" t="s">
        <v>416</v>
      </c>
      <c r="C2375" s="73" t="s">
        <v>417</v>
      </c>
      <c r="D2375" t="s">
        <v>418</v>
      </c>
      <c r="E2375" s="74">
        <v>45842</v>
      </c>
      <c r="F2375" t="s">
        <v>357</v>
      </c>
      <c r="G2375" t="s">
        <v>358</v>
      </c>
      <c r="H2375" s="75">
        <f t="shared" si="37"/>
        <v>138.72549663844038</v>
      </c>
      <c r="I2375" s="74">
        <v>45842</v>
      </c>
      <c r="J2375">
        <v>4</v>
      </c>
      <c r="K2375" t="s">
        <v>511</v>
      </c>
      <c r="L2375" t="s">
        <v>359</v>
      </c>
      <c r="M2375" t="s">
        <v>356</v>
      </c>
      <c r="N2375" s="73">
        <v>66194</v>
      </c>
      <c r="O2375" s="73">
        <v>66194</v>
      </c>
      <c r="P2375">
        <v>34.681374159610094</v>
      </c>
    </row>
    <row r="2376" spans="1:16" hidden="1" x14ac:dyDescent="0.2">
      <c r="A2376" s="73">
        <v>66194</v>
      </c>
      <c r="B2376" t="s">
        <v>416</v>
      </c>
      <c r="C2376" s="73" t="s">
        <v>417</v>
      </c>
      <c r="D2376" t="s">
        <v>418</v>
      </c>
      <c r="E2376" s="74">
        <v>45842</v>
      </c>
      <c r="F2376" t="s">
        <v>387</v>
      </c>
      <c r="G2376" t="s">
        <v>388</v>
      </c>
      <c r="H2376" s="75">
        <f t="shared" si="37"/>
        <v>138.72549663844038</v>
      </c>
      <c r="I2376" s="74">
        <v>45842</v>
      </c>
      <c r="J2376">
        <v>4</v>
      </c>
      <c r="K2376" t="s">
        <v>511</v>
      </c>
      <c r="L2376" t="s">
        <v>367</v>
      </c>
      <c r="M2376" t="s">
        <v>356</v>
      </c>
      <c r="N2376" s="73">
        <v>66194</v>
      </c>
      <c r="O2376" s="73">
        <v>66194</v>
      </c>
      <c r="P2376">
        <v>34.681374159610094</v>
      </c>
    </row>
    <row r="2377" spans="1:16" x14ac:dyDescent="0.2">
      <c r="A2377" s="73">
        <v>67262</v>
      </c>
      <c r="B2377" t="s">
        <v>350</v>
      </c>
      <c r="C2377" s="73" t="s">
        <v>421</v>
      </c>
      <c r="D2377" t="s">
        <v>422</v>
      </c>
      <c r="E2377" s="74">
        <v>45999</v>
      </c>
      <c r="F2377" t="s">
        <v>414</v>
      </c>
      <c r="G2377" t="s">
        <v>415</v>
      </c>
      <c r="H2377" s="75">
        <f t="shared" si="37"/>
        <v>242.76961911727065</v>
      </c>
      <c r="I2377" s="74">
        <v>45999</v>
      </c>
      <c r="J2377">
        <v>7</v>
      </c>
      <c r="K2377" t="s">
        <v>515</v>
      </c>
      <c r="L2377" t="s">
        <v>262</v>
      </c>
      <c r="M2377" t="s">
        <v>356</v>
      </c>
      <c r="N2377" s="73">
        <v>67262</v>
      </c>
      <c r="O2377" s="73">
        <v>67262</v>
      </c>
      <c r="P2377">
        <v>34.681374159610094</v>
      </c>
    </row>
    <row r="2378" spans="1:16" hidden="1" x14ac:dyDescent="0.2">
      <c r="A2378" s="73">
        <v>67261</v>
      </c>
      <c r="B2378" t="s">
        <v>443</v>
      </c>
      <c r="C2378" s="73" t="s">
        <v>486</v>
      </c>
      <c r="D2378" t="s">
        <v>507</v>
      </c>
      <c r="E2378" s="74">
        <v>45999</v>
      </c>
      <c r="F2378" t="s">
        <v>357</v>
      </c>
      <c r="G2378" t="s">
        <v>358</v>
      </c>
      <c r="H2378" s="75">
        <f t="shared" si="37"/>
        <v>104.04412247883027</v>
      </c>
      <c r="I2378" s="74">
        <v>45999</v>
      </c>
      <c r="J2378">
        <v>3</v>
      </c>
      <c r="K2378" t="s">
        <v>515</v>
      </c>
      <c r="L2378" t="s">
        <v>359</v>
      </c>
      <c r="M2378" t="s">
        <v>356</v>
      </c>
      <c r="N2378" s="73">
        <v>67261</v>
      </c>
      <c r="O2378" s="73">
        <v>67261</v>
      </c>
      <c r="P2378">
        <v>34.681374159610094</v>
      </c>
    </row>
    <row r="2379" spans="1:16" hidden="1" x14ac:dyDescent="0.2">
      <c r="A2379" s="73">
        <v>67261</v>
      </c>
      <c r="B2379" t="s">
        <v>443</v>
      </c>
      <c r="C2379" s="73" t="s">
        <v>486</v>
      </c>
      <c r="D2379" t="s">
        <v>507</v>
      </c>
      <c r="E2379" s="74">
        <v>45999</v>
      </c>
      <c r="F2379" t="s">
        <v>398</v>
      </c>
      <c r="G2379" t="s">
        <v>399</v>
      </c>
      <c r="H2379" s="75">
        <f t="shared" si="37"/>
        <v>242.76961911727065</v>
      </c>
      <c r="I2379" s="74">
        <v>45999</v>
      </c>
      <c r="J2379">
        <v>7</v>
      </c>
      <c r="K2379" t="s">
        <v>515</v>
      </c>
      <c r="L2379" t="s">
        <v>367</v>
      </c>
      <c r="M2379" t="s">
        <v>356</v>
      </c>
      <c r="N2379" s="73">
        <v>67261</v>
      </c>
      <c r="O2379" s="73">
        <v>67261</v>
      </c>
      <c r="P2379">
        <v>34.681374159610094</v>
      </c>
    </row>
    <row r="2380" spans="1:16" hidden="1" x14ac:dyDescent="0.2">
      <c r="A2380" s="73">
        <v>67261</v>
      </c>
      <c r="B2380" t="s">
        <v>443</v>
      </c>
      <c r="C2380" s="73" t="s">
        <v>486</v>
      </c>
      <c r="D2380" t="s">
        <v>507</v>
      </c>
      <c r="E2380" s="74">
        <v>45999</v>
      </c>
      <c r="F2380" t="s">
        <v>353</v>
      </c>
      <c r="G2380" t="s">
        <v>354</v>
      </c>
      <c r="H2380" s="75">
        <f t="shared" si="37"/>
        <v>173.40687079805048</v>
      </c>
      <c r="I2380" s="74">
        <v>45999</v>
      </c>
      <c r="J2380">
        <v>5</v>
      </c>
      <c r="K2380" t="s">
        <v>515</v>
      </c>
      <c r="L2380" t="s">
        <v>355</v>
      </c>
      <c r="M2380" t="s">
        <v>356</v>
      </c>
      <c r="N2380" s="73">
        <v>67261</v>
      </c>
      <c r="O2380" s="73">
        <v>67261</v>
      </c>
      <c r="P2380">
        <v>34.681374159610094</v>
      </c>
    </row>
    <row r="2381" spans="1:16" hidden="1" x14ac:dyDescent="0.2">
      <c r="A2381" s="73">
        <v>67261</v>
      </c>
      <c r="B2381" t="s">
        <v>443</v>
      </c>
      <c r="C2381" s="73" t="s">
        <v>486</v>
      </c>
      <c r="D2381" t="s">
        <v>507</v>
      </c>
      <c r="E2381" s="74">
        <v>46000</v>
      </c>
      <c r="F2381" t="s">
        <v>357</v>
      </c>
      <c r="G2381" t="s">
        <v>358</v>
      </c>
      <c r="H2381" s="75">
        <f t="shared" si="37"/>
        <v>104.04412247883027</v>
      </c>
      <c r="I2381" s="74">
        <v>46000</v>
      </c>
      <c r="J2381">
        <v>3</v>
      </c>
      <c r="K2381" t="s">
        <v>515</v>
      </c>
      <c r="L2381" t="s">
        <v>359</v>
      </c>
      <c r="M2381" t="s">
        <v>356</v>
      </c>
      <c r="N2381" s="73">
        <v>67261</v>
      </c>
      <c r="O2381" s="73">
        <v>67261</v>
      </c>
      <c r="P2381">
        <v>34.681374159610094</v>
      </c>
    </row>
    <row r="2382" spans="1:16" hidden="1" x14ac:dyDescent="0.2">
      <c r="A2382" s="73">
        <v>67261</v>
      </c>
      <c r="B2382" t="s">
        <v>443</v>
      </c>
      <c r="C2382" s="73" t="s">
        <v>486</v>
      </c>
      <c r="D2382" t="s">
        <v>507</v>
      </c>
      <c r="E2382" s="74">
        <v>46000</v>
      </c>
      <c r="F2382" t="s">
        <v>398</v>
      </c>
      <c r="G2382" t="s">
        <v>399</v>
      </c>
      <c r="H2382" s="75">
        <f t="shared" si="37"/>
        <v>242.76961911727065</v>
      </c>
      <c r="I2382" s="74">
        <v>46000</v>
      </c>
      <c r="J2382">
        <v>7</v>
      </c>
      <c r="K2382" t="s">
        <v>515</v>
      </c>
      <c r="L2382" t="s">
        <v>367</v>
      </c>
      <c r="M2382" t="s">
        <v>356</v>
      </c>
      <c r="N2382" s="73">
        <v>67261</v>
      </c>
      <c r="O2382" s="73">
        <v>67261</v>
      </c>
      <c r="P2382">
        <v>34.681374159610094</v>
      </c>
    </row>
    <row r="2383" spans="1:16" hidden="1" x14ac:dyDescent="0.2">
      <c r="A2383" s="73">
        <v>67261</v>
      </c>
      <c r="B2383" t="s">
        <v>443</v>
      </c>
      <c r="C2383" s="73" t="s">
        <v>486</v>
      </c>
      <c r="D2383" t="s">
        <v>507</v>
      </c>
      <c r="E2383" s="74">
        <v>46000</v>
      </c>
      <c r="F2383" t="s">
        <v>353</v>
      </c>
      <c r="G2383" t="s">
        <v>354</v>
      </c>
      <c r="H2383" s="75">
        <f t="shared" si="37"/>
        <v>173.40687079805048</v>
      </c>
      <c r="I2383" s="74">
        <v>46000</v>
      </c>
      <c r="J2383">
        <v>5</v>
      </c>
      <c r="K2383" t="s">
        <v>515</v>
      </c>
      <c r="L2383" t="s">
        <v>355</v>
      </c>
      <c r="M2383" t="s">
        <v>356</v>
      </c>
      <c r="N2383" s="73">
        <v>67261</v>
      </c>
      <c r="O2383" s="73">
        <v>67261</v>
      </c>
      <c r="P2383">
        <v>34.681374159610094</v>
      </c>
    </row>
    <row r="2384" spans="1:16" hidden="1" x14ac:dyDescent="0.2">
      <c r="A2384" s="73">
        <v>67261</v>
      </c>
      <c r="B2384" t="s">
        <v>443</v>
      </c>
      <c r="C2384" s="73" t="s">
        <v>486</v>
      </c>
      <c r="D2384" t="s">
        <v>507</v>
      </c>
      <c r="E2384" s="74">
        <v>46001</v>
      </c>
      <c r="F2384" t="s">
        <v>357</v>
      </c>
      <c r="G2384" t="s">
        <v>358</v>
      </c>
      <c r="H2384" s="75">
        <f t="shared" si="37"/>
        <v>104.04412247883027</v>
      </c>
      <c r="I2384" s="74">
        <v>46001</v>
      </c>
      <c r="J2384">
        <v>3</v>
      </c>
      <c r="K2384" t="s">
        <v>515</v>
      </c>
      <c r="L2384" t="s">
        <v>359</v>
      </c>
      <c r="M2384" t="s">
        <v>356</v>
      </c>
      <c r="N2384" s="73">
        <v>67261</v>
      </c>
      <c r="O2384" s="73">
        <v>67261</v>
      </c>
      <c r="P2384">
        <v>34.681374159610094</v>
      </c>
    </row>
    <row r="2385" spans="1:16" hidden="1" x14ac:dyDescent="0.2">
      <c r="A2385" s="73">
        <v>67261</v>
      </c>
      <c r="B2385" t="s">
        <v>443</v>
      </c>
      <c r="C2385" s="73" t="s">
        <v>486</v>
      </c>
      <c r="D2385" t="s">
        <v>507</v>
      </c>
      <c r="E2385" s="74">
        <v>46002</v>
      </c>
      <c r="F2385" t="s">
        <v>357</v>
      </c>
      <c r="G2385" t="s">
        <v>358</v>
      </c>
      <c r="H2385" s="75">
        <f t="shared" si="37"/>
        <v>104.04412247883027</v>
      </c>
      <c r="I2385" s="74">
        <v>46002</v>
      </c>
      <c r="J2385">
        <v>3</v>
      </c>
      <c r="K2385" t="s">
        <v>515</v>
      </c>
      <c r="L2385" t="s">
        <v>359</v>
      </c>
      <c r="M2385" t="s">
        <v>356</v>
      </c>
      <c r="N2385" s="73">
        <v>67261</v>
      </c>
      <c r="O2385" s="73">
        <v>67261</v>
      </c>
      <c r="P2385">
        <v>34.681374159610094</v>
      </c>
    </row>
    <row r="2386" spans="1:16" hidden="1" x14ac:dyDescent="0.2">
      <c r="A2386" s="73">
        <v>67261</v>
      </c>
      <c r="B2386" t="s">
        <v>443</v>
      </c>
      <c r="C2386" s="73" t="s">
        <v>486</v>
      </c>
      <c r="D2386" t="s">
        <v>507</v>
      </c>
      <c r="E2386" s="74">
        <v>46002</v>
      </c>
      <c r="F2386" t="s">
        <v>404</v>
      </c>
      <c r="G2386" t="s">
        <v>405</v>
      </c>
      <c r="H2386" s="75">
        <f t="shared" si="37"/>
        <v>242.76961911727065</v>
      </c>
      <c r="I2386" s="74">
        <v>46002</v>
      </c>
      <c r="J2386">
        <v>7</v>
      </c>
      <c r="K2386" t="s">
        <v>515</v>
      </c>
      <c r="L2386" t="s">
        <v>262</v>
      </c>
      <c r="M2386" t="s">
        <v>356</v>
      </c>
      <c r="N2386" s="73">
        <v>67261</v>
      </c>
      <c r="O2386" s="73">
        <v>67261</v>
      </c>
      <c r="P2386">
        <v>34.681374159610094</v>
      </c>
    </row>
    <row r="2387" spans="1:16" hidden="1" x14ac:dyDescent="0.2">
      <c r="A2387" s="73">
        <v>67261</v>
      </c>
      <c r="B2387" t="s">
        <v>443</v>
      </c>
      <c r="C2387" s="73" t="s">
        <v>486</v>
      </c>
      <c r="D2387" t="s">
        <v>507</v>
      </c>
      <c r="E2387" s="74">
        <v>46003</v>
      </c>
      <c r="F2387" t="s">
        <v>357</v>
      </c>
      <c r="G2387" t="s">
        <v>358</v>
      </c>
      <c r="H2387" s="75">
        <f t="shared" si="37"/>
        <v>104.04412247883027</v>
      </c>
      <c r="I2387" s="74">
        <v>46003</v>
      </c>
      <c r="J2387">
        <v>3</v>
      </c>
      <c r="K2387" t="s">
        <v>515</v>
      </c>
      <c r="L2387" t="s">
        <v>359</v>
      </c>
      <c r="M2387" t="s">
        <v>356</v>
      </c>
      <c r="N2387" s="73">
        <v>67261</v>
      </c>
      <c r="O2387" s="73">
        <v>67261</v>
      </c>
      <c r="P2387">
        <v>34.681374159610094</v>
      </c>
    </row>
    <row r="2388" spans="1:16" hidden="1" x14ac:dyDescent="0.2">
      <c r="A2388" s="73">
        <v>67261</v>
      </c>
      <c r="B2388" t="s">
        <v>443</v>
      </c>
      <c r="C2388" s="73" t="s">
        <v>486</v>
      </c>
      <c r="D2388" t="s">
        <v>507</v>
      </c>
      <c r="E2388" s="74">
        <v>46003</v>
      </c>
      <c r="F2388" t="s">
        <v>357</v>
      </c>
      <c r="G2388" t="s">
        <v>358</v>
      </c>
      <c r="H2388" s="75">
        <f t="shared" si="37"/>
        <v>-104.04412247883027</v>
      </c>
      <c r="I2388" s="74">
        <v>46003</v>
      </c>
      <c r="J2388">
        <v>-3</v>
      </c>
      <c r="K2388" t="s">
        <v>515</v>
      </c>
      <c r="L2388" t="s">
        <v>359</v>
      </c>
      <c r="M2388" t="s">
        <v>356</v>
      </c>
      <c r="N2388" s="73">
        <v>67261</v>
      </c>
      <c r="O2388" s="73">
        <v>67261</v>
      </c>
      <c r="P2388">
        <v>34.681374159610094</v>
      </c>
    </row>
    <row r="2389" spans="1:16" hidden="1" x14ac:dyDescent="0.2">
      <c r="A2389" s="73">
        <v>67261</v>
      </c>
      <c r="B2389" t="s">
        <v>443</v>
      </c>
      <c r="C2389" s="73" t="s">
        <v>486</v>
      </c>
      <c r="D2389" t="s">
        <v>507</v>
      </c>
      <c r="E2389" s="74">
        <v>46003</v>
      </c>
      <c r="F2389" t="s">
        <v>357</v>
      </c>
      <c r="G2389" t="s">
        <v>358</v>
      </c>
      <c r="H2389" s="75">
        <f t="shared" si="37"/>
        <v>69.362748319220188</v>
      </c>
      <c r="I2389" s="74">
        <v>46003</v>
      </c>
      <c r="J2389">
        <v>2</v>
      </c>
      <c r="K2389" t="s">
        <v>515</v>
      </c>
      <c r="L2389" t="s">
        <v>359</v>
      </c>
      <c r="M2389" t="s">
        <v>356</v>
      </c>
      <c r="N2389" s="73">
        <v>67261</v>
      </c>
      <c r="O2389" s="73">
        <v>67261</v>
      </c>
      <c r="P2389">
        <v>34.681374159610094</v>
      </c>
    </row>
    <row r="2390" spans="1:16" hidden="1" x14ac:dyDescent="0.2">
      <c r="A2390" s="73">
        <v>67261</v>
      </c>
      <c r="B2390" t="s">
        <v>443</v>
      </c>
      <c r="C2390" s="73" t="s">
        <v>486</v>
      </c>
      <c r="D2390" t="s">
        <v>507</v>
      </c>
      <c r="E2390" s="74">
        <v>46003</v>
      </c>
      <c r="F2390" t="s">
        <v>387</v>
      </c>
      <c r="G2390" t="s">
        <v>388</v>
      </c>
      <c r="H2390" s="75">
        <f t="shared" si="37"/>
        <v>69.362748319220188</v>
      </c>
      <c r="I2390" s="74">
        <v>46003</v>
      </c>
      <c r="J2390">
        <v>2</v>
      </c>
      <c r="K2390" t="s">
        <v>515</v>
      </c>
      <c r="L2390" t="s">
        <v>367</v>
      </c>
      <c r="M2390" t="s">
        <v>356</v>
      </c>
      <c r="N2390" s="73">
        <v>67261</v>
      </c>
      <c r="O2390" s="73">
        <v>67261</v>
      </c>
      <c r="P2390">
        <v>34.681374159610094</v>
      </c>
    </row>
    <row r="2391" spans="1:16" hidden="1" x14ac:dyDescent="0.2">
      <c r="A2391" s="73">
        <v>67261</v>
      </c>
      <c r="B2391" t="s">
        <v>443</v>
      </c>
      <c r="C2391" s="73" t="s">
        <v>486</v>
      </c>
      <c r="D2391" t="s">
        <v>507</v>
      </c>
      <c r="E2391" s="74">
        <v>46003</v>
      </c>
      <c r="F2391" t="s">
        <v>404</v>
      </c>
      <c r="G2391" t="s">
        <v>405</v>
      </c>
      <c r="H2391" s="75">
        <f t="shared" si="37"/>
        <v>242.76961911727065</v>
      </c>
      <c r="I2391" s="74">
        <v>46003</v>
      </c>
      <c r="J2391">
        <v>7</v>
      </c>
      <c r="K2391" t="s">
        <v>515</v>
      </c>
      <c r="L2391" t="s">
        <v>262</v>
      </c>
      <c r="M2391" t="s">
        <v>356</v>
      </c>
      <c r="N2391" s="73">
        <v>67261</v>
      </c>
      <c r="O2391" s="73">
        <v>67261</v>
      </c>
      <c r="P2391">
        <v>34.681374159610094</v>
      </c>
    </row>
    <row r="2392" spans="1:16" hidden="1" x14ac:dyDescent="0.2">
      <c r="A2392" s="73">
        <v>67261</v>
      </c>
      <c r="B2392" t="s">
        <v>443</v>
      </c>
      <c r="C2392" s="73" t="s">
        <v>486</v>
      </c>
      <c r="D2392" t="s">
        <v>507</v>
      </c>
      <c r="E2392" s="74">
        <v>46002</v>
      </c>
      <c r="F2392" t="s">
        <v>387</v>
      </c>
      <c r="G2392" t="s">
        <v>388</v>
      </c>
      <c r="H2392" s="75">
        <f t="shared" si="37"/>
        <v>69.362748319220188</v>
      </c>
      <c r="I2392" s="74">
        <v>46002</v>
      </c>
      <c r="J2392">
        <v>2</v>
      </c>
      <c r="K2392" t="s">
        <v>515</v>
      </c>
      <c r="L2392" t="s">
        <v>367</v>
      </c>
      <c r="M2392" t="s">
        <v>356</v>
      </c>
      <c r="N2392" s="73">
        <v>67261</v>
      </c>
      <c r="O2392" s="73">
        <v>67261</v>
      </c>
      <c r="P2392">
        <v>34.681374159610094</v>
      </c>
    </row>
    <row r="2393" spans="1:16" hidden="1" x14ac:dyDescent="0.2">
      <c r="A2393" s="73">
        <v>67261</v>
      </c>
      <c r="B2393" t="s">
        <v>443</v>
      </c>
      <c r="C2393" s="73" t="s">
        <v>486</v>
      </c>
      <c r="D2393" t="s">
        <v>507</v>
      </c>
      <c r="E2393" s="74">
        <v>46006</v>
      </c>
      <c r="F2393" t="s">
        <v>372</v>
      </c>
      <c r="G2393" t="s">
        <v>373</v>
      </c>
      <c r="H2393" s="75">
        <f t="shared" si="37"/>
        <v>173.40687079805048</v>
      </c>
      <c r="I2393" s="74">
        <v>46006</v>
      </c>
      <c r="J2393">
        <v>5</v>
      </c>
      <c r="K2393" t="s">
        <v>515</v>
      </c>
      <c r="L2393" t="s">
        <v>348</v>
      </c>
      <c r="M2393" t="s">
        <v>356</v>
      </c>
      <c r="N2393" s="73">
        <v>67261</v>
      </c>
      <c r="O2393" s="73">
        <v>67261</v>
      </c>
      <c r="P2393">
        <v>34.681374159610094</v>
      </c>
    </row>
    <row r="2394" spans="1:16" hidden="1" x14ac:dyDescent="0.2">
      <c r="A2394" s="73">
        <v>67261</v>
      </c>
      <c r="B2394" t="s">
        <v>443</v>
      </c>
      <c r="C2394" s="73" t="s">
        <v>486</v>
      </c>
      <c r="D2394" t="s">
        <v>507</v>
      </c>
      <c r="E2394" s="74">
        <v>46006</v>
      </c>
      <c r="F2394" t="s">
        <v>387</v>
      </c>
      <c r="G2394" t="s">
        <v>388</v>
      </c>
      <c r="H2394" s="75">
        <f t="shared" si="37"/>
        <v>277.45099327688075</v>
      </c>
      <c r="I2394" s="74">
        <v>46006</v>
      </c>
      <c r="J2394">
        <v>8</v>
      </c>
      <c r="K2394" t="s">
        <v>515</v>
      </c>
      <c r="L2394" t="s">
        <v>367</v>
      </c>
      <c r="M2394" t="s">
        <v>356</v>
      </c>
      <c r="N2394" s="73">
        <v>67261</v>
      </c>
      <c r="O2394" s="73">
        <v>67261</v>
      </c>
      <c r="P2394">
        <v>34.681374159610094</v>
      </c>
    </row>
    <row r="2395" spans="1:16" hidden="1" x14ac:dyDescent="0.2">
      <c r="A2395" s="73">
        <v>67261</v>
      </c>
      <c r="B2395" t="s">
        <v>443</v>
      </c>
      <c r="C2395" s="73" t="s">
        <v>486</v>
      </c>
      <c r="D2395" t="s">
        <v>507</v>
      </c>
      <c r="E2395" s="74">
        <v>46007</v>
      </c>
      <c r="F2395" t="s">
        <v>372</v>
      </c>
      <c r="G2395" t="s">
        <v>373</v>
      </c>
      <c r="H2395" s="75">
        <f t="shared" si="37"/>
        <v>173.40687079805048</v>
      </c>
      <c r="I2395" s="74">
        <v>46007</v>
      </c>
      <c r="J2395">
        <v>5</v>
      </c>
      <c r="K2395" t="s">
        <v>515</v>
      </c>
      <c r="L2395" t="s">
        <v>348</v>
      </c>
      <c r="M2395" t="s">
        <v>356</v>
      </c>
      <c r="N2395" s="73">
        <v>67261</v>
      </c>
      <c r="O2395" s="73">
        <v>67261</v>
      </c>
      <c r="P2395">
        <v>34.681374159610094</v>
      </c>
    </row>
    <row r="2396" spans="1:16" hidden="1" x14ac:dyDescent="0.2">
      <c r="A2396" s="73">
        <v>67261</v>
      </c>
      <c r="B2396" t="s">
        <v>443</v>
      </c>
      <c r="C2396" s="73" t="s">
        <v>486</v>
      </c>
      <c r="D2396" t="s">
        <v>507</v>
      </c>
      <c r="E2396" s="74">
        <v>46008</v>
      </c>
      <c r="F2396" t="s">
        <v>372</v>
      </c>
      <c r="G2396" t="s">
        <v>373</v>
      </c>
      <c r="H2396" s="75">
        <f t="shared" si="37"/>
        <v>173.40687079805048</v>
      </c>
      <c r="I2396" s="74">
        <v>46008</v>
      </c>
      <c r="J2396">
        <v>5</v>
      </c>
      <c r="K2396" t="s">
        <v>515</v>
      </c>
      <c r="L2396" t="s">
        <v>348</v>
      </c>
      <c r="M2396" t="s">
        <v>356</v>
      </c>
      <c r="N2396" s="73">
        <v>67261</v>
      </c>
      <c r="O2396" s="73">
        <v>67261</v>
      </c>
      <c r="P2396">
        <v>34.681374159610094</v>
      </c>
    </row>
    <row r="2397" spans="1:16" hidden="1" x14ac:dyDescent="0.2">
      <c r="A2397" s="73">
        <v>67261</v>
      </c>
      <c r="B2397" t="s">
        <v>443</v>
      </c>
      <c r="C2397" s="73" t="s">
        <v>486</v>
      </c>
      <c r="D2397" t="s">
        <v>507</v>
      </c>
      <c r="E2397" s="74">
        <v>46008</v>
      </c>
      <c r="F2397" t="s">
        <v>387</v>
      </c>
      <c r="G2397" t="s">
        <v>388</v>
      </c>
      <c r="H2397" s="75">
        <f t="shared" si="37"/>
        <v>208.08824495766055</v>
      </c>
      <c r="I2397" s="74">
        <v>46008</v>
      </c>
      <c r="J2397">
        <v>6</v>
      </c>
      <c r="K2397" t="s">
        <v>515</v>
      </c>
      <c r="L2397" t="s">
        <v>367</v>
      </c>
      <c r="M2397" t="s">
        <v>356</v>
      </c>
      <c r="N2397" s="73">
        <v>67261</v>
      </c>
      <c r="O2397" s="73">
        <v>67261</v>
      </c>
      <c r="P2397">
        <v>34.681374159610094</v>
      </c>
    </row>
    <row r="2398" spans="1:16" hidden="1" x14ac:dyDescent="0.2">
      <c r="A2398" s="73">
        <v>67261</v>
      </c>
      <c r="B2398" t="s">
        <v>443</v>
      </c>
      <c r="C2398" s="73" t="s">
        <v>486</v>
      </c>
      <c r="D2398" t="s">
        <v>507</v>
      </c>
      <c r="E2398" s="74">
        <v>46009</v>
      </c>
      <c r="F2398" t="s">
        <v>372</v>
      </c>
      <c r="G2398" t="s">
        <v>373</v>
      </c>
      <c r="H2398" s="75">
        <f t="shared" si="37"/>
        <v>173.40687079805048</v>
      </c>
      <c r="I2398" s="74">
        <v>46009</v>
      </c>
      <c r="J2398">
        <v>5</v>
      </c>
      <c r="K2398" t="s">
        <v>515</v>
      </c>
      <c r="L2398" t="s">
        <v>348</v>
      </c>
      <c r="M2398" t="s">
        <v>356</v>
      </c>
      <c r="N2398" s="73">
        <v>67261</v>
      </c>
      <c r="O2398" s="73">
        <v>67261</v>
      </c>
      <c r="P2398">
        <v>34.681374159610094</v>
      </c>
    </row>
    <row r="2399" spans="1:16" hidden="1" x14ac:dyDescent="0.2">
      <c r="A2399" s="73">
        <v>67261</v>
      </c>
      <c r="B2399" t="s">
        <v>443</v>
      </c>
      <c r="C2399" s="73" t="s">
        <v>486</v>
      </c>
      <c r="D2399" t="s">
        <v>507</v>
      </c>
      <c r="E2399" s="74">
        <v>46009</v>
      </c>
      <c r="F2399" t="s">
        <v>387</v>
      </c>
      <c r="G2399" t="s">
        <v>388</v>
      </c>
      <c r="H2399" s="75">
        <f t="shared" si="37"/>
        <v>138.72549663844038</v>
      </c>
      <c r="I2399" s="74">
        <v>46009</v>
      </c>
      <c r="J2399">
        <v>4</v>
      </c>
      <c r="K2399" t="s">
        <v>515</v>
      </c>
      <c r="L2399" t="s">
        <v>367</v>
      </c>
      <c r="M2399" t="s">
        <v>356</v>
      </c>
      <c r="N2399" s="73">
        <v>67261</v>
      </c>
      <c r="O2399" s="73">
        <v>67261</v>
      </c>
      <c r="P2399">
        <v>34.681374159610094</v>
      </c>
    </row>
    <row r="2400" spans="1:16" hidden="1" x14ac:dyDescent="0.2">
      <c r="A2400" s="73">
        <v>67261</v>
      </c>
      <c r="B2400" t="s">
        <v>443</v>
      </c>
      <c r="C2400" s="73" t="s">
        <v>486</v>
      </c>
      <c r="D2400" t="s">
        <v>507</v>
      </c>
      <c r="E2400" s="74">
        <v>46010</v>
      </c>
      <c r="F2400" t="s">
        <v>372</v>
      </c>
      <c r="G2400" t="s">
        <v>373</v>
      </c>
      <c r="H2400" s="75">
        <f t="shared" si="37"/>
        <v>173.40687079805048</v>
      </c>
      <c r="I2400" s="74">
        <v>46010</v>
      </c>
      <c r="J2400">
        <v>5</v>
      </c>
      <c r="K2400" t="s">
        <v>515</v>
      </c>
      <c r="L2400" t="s">
        <v>348</v>
      </c>
      <c r="M2400" t="s">
        <v>356</v>
      </c>
      <c r="N2400" s="73">
        <v>67261</v>
      </c>
      <c r="O2400" s="73">
        <v>67261</v>
      </c>
      <c r="P2400">
        <v>34.681374159610094</v>
      </c>
    </row>
    <row r="2401" spans="1:16" hidden="1" x14ac:dyDescent="0.2">
      <c r="A2401" s="73">
        <v>67261</v>
      </c>
      <c r="B2401" t="s">
        <v>443</v>
      </c>
      <c r="C2401" s="73" t="s">
        <v>486</v>
      </c>
      <c r="D2401" t="s">
        <v>507</v>
      </c>
      <c r="E2401" s="74">
        <v>46010</v>
      </c>
      <c r="F2401" t="s">
        <v>387</v>
      </c>
      <c r="G2401" t="s">
        <v>388</v>
      </c>
      <c r="H2401" s="75">
        <f t="shared" si="37"/>
        <v>312.13236743649082</v>
      </c>
      <c r="I2401" s="74">
        <v>46010</v>
      </c>
      <c r="J2401">
        <v>9</v>
      </c>
      <c r="K2401" t="s">
        <v>515</v>
      </c>
      <c r="L2401" t="s">
        <v>367</v>
      </c>
      <c r="M2401" t="s">
        <v>356</v>
      </c>
      <c r="N2401" s="73">
        <v>67261</v>
      </c>
      <c r="O2401" s="73">
        <v>67261</v>
      </c>
      <c r="P2401">
        <v>34.681374159610094</v>
      </c>
    </row>
    <row r="2402" spans="1:16" hidden="1" x14ac:dyDescent="0.2">
      <c r="A2402" s="73">
        <v>67261</v>
      </c>
      <c r="B2402" t="s">
        <v>443</v>
      </c>
      <c r="C2402" s="73" t="s">
        <v>486</v>
      </c>
      <c r="D2402" t="s">
        <v>507</v>
      </c>
      <c r="E2402" s="74">
        <v>46013</v>
      </c>
      <c r="F2402" t="s">
        <v>387</v>
      </c>
      <c r="G2402" t="s">
        <v>388</v>
      </c>
      <c r="H2402" s="75">
        <f t="shared" si="37"/>
        <v>173.40687079805048</v>
      </c>
      <c r="I2402" s="74">
        <v>46013</v>
      </c>
      <c r="J2402">
        <v>5</v>
      </c>
      <c r="K2402" t="s">
        <v>515</v>
      </c>
      <c r="L2402" t="s">
        <v>367</v>
      </c>
      <c r="M2402" t="s">
        <v>356</v>
      </c>
      <c r="N2402" s="73">
        <v>67261</v>
      </c>
      <c r="O2402" s="73">
        <v>67261</v>
      </c>
      <c r="P2402">
        <v>34.681374159610094</v>
      </c>
    </row>
    <row r="2403" spans="1:16" hidden="1" x14ac:dyDescent="0.2">
      <c r="A2403" s="73">
        <v>67261</v>
      </c>
      <c r="B2403" t="s">
        <v>443</v>
      </c>
      <c r="C2403" s="73" t="s">
        <v>486</v>
      </c>
      <c r="D2403" t="s">
        <v>507</v>
      </c>
      <c r="E2403" s="74">
        <v>46014</v>
      </c>
      <c r="F2403" t="s">
        <v>387</v>
      </c>
      <c r="G2403" t="s">
        <v>388</v>
      </c>
      <c r="H2403" s="75">
        <f t="shared" si="37"/>
        <v>277.45099327688075</v>
      </c>
      <c r="I2403" s="74">
        <v>46014</v>
      </c>
      <c r="J2403">
        <v>8</v>
      </c>
      <c r="K2403" t="s">
        <v>515</v>
      </c>
      <c r="L2403" t="s">
        <v>367</v>
      </c>
      <c r="M2403" t="s">
        <v>356</v>
      </c>
      <c r="N2403" s="73">
        <v>67261</v>
      </c>
      <c r="O2403" s="73">
        <v>67261</v>
      </c>
      <c r="P2403">
        <v>34.681374159610094</v>
      </c>
    </row>
    <row r="2404" spans="1:16" hidden="1" x14ac:dyDescent="0.2">
      <c r="A2404" s="73">
        <v>67261</v>
      </c>
      <c r="B2404" t="s">
        <v>443</v>
      </c>
      <c r="C2404" s="73" t="s">
        <v>486</v>
      </c>
      <c r="D2404" t="s">
        <v>507</v>
      </c>
      <c r="E2404" s="74">
        <v>46015</v>
      </c>
      <c r="F2404" t="s">
        <v>372</v>
      </c>
      <c r="G2404" t="s">
        <v>373</v>
      </c>
      <c r="H2404" s="75">
        <f t="shared" si="37"/>
        <v>208.08824495766055</v>
      </c>
      <c r="I2404" s="74">
        <v>46015</v>
      </c>
      <c r="J2404">
        <v>6</v>
      </c>
      <c r="K2404" t="s">
        <v>515</v>
      </c>
      <c r="L2404" t="s">
        <v>348</v>
      </c>
      <c r="M2404" t="s">
        <v>356</v>
      </c>
      <c r="N2404" s="73">
        <v>67261</v>
      </c>
      <c r="O2404" s="73">
        <v>67261</v>
      </c>
      <c r="P2404">
        <v>34.681374159610094</v>
      </c>
    </row>
    <row r="2405" spans="1:16" hidden="1" x14ac:dyDescent="0.2">
      <c r="A2405" s="73">
        <v>67261</v>
      </c>
      <c r="B2405" t="s">
        <v>443</v>
      </c>
      <c r="C2405" s="73" t="s">
        <v>486</v>
      </c>
      <c r="D2405" t="s">
        <v>507</v>
      </c>
      <c r="E2405" s="74">
        <v>46015</v>
      </c>
      <c r="F2405" t="s">
        <v>387</v>
      </c>
      <c r="G2405" t="s">
        <v>388</v>
      </c>
      <c r="H2405" s="75">
        <f t="shared" si="37"/>
        <v>242.76961911727065</v>
      </c>
      <c r="I2405" s="74">
        <v>46015</v>
      </c>
      <c r="J2405">
        <v>7</v>
      </c>
      <c r="K2405" t="s">
        <v>515</v>
      </c>
      <c r="L2405" t="s">
        <v>367</v>
      </c>
      <c r="M2405" t="s">
        <v>356</v>
      </c>
      <c r="N2405" s="73">
        <v>67261</v>
      </c>
      <c r="O2405" s="73">
        <v>67261</v>
      </c>
      <c r="P2405">
        <v>34.681374159610094</v>
      </c>
    </row>
    <row r="2406" spans="1:16" hidden="1" x14ac:dyDescent="0.2">
      <c r="A2406" s="73">
        <v>67261</v>
      </c>
      <c r="B2406" t="s">
        <v>443</v>
      </c>
      <c r="C2406" s="73" t="s">
        <v>486</v>
      </c>
      <c r="D2406" t="s">
        <v>507</v>
      </c>
      <c r="E2406" s="74">
        <v>46020</v>
      </c>
      <c r="F2406" t="s">
        <v>372</v>
      </c>
      <c r="G2406" t="s">
        <v>373</v>
      </c>
      <c r="H2406" s="75">
        <f t="shared" si="37"/>
        <v>208.08824495766055</v>
      </c>
      <c r="I2406" s="74">
        <v>46020</v>
      </c>
      <c r="J2406">
        <v>6</v>
      </c>
      <c r="K2406" t="s">
        <v>515</v>
      </c>
      <c r="L2406" t="s">
        <v>348</v>
      </c>
      <c r="M2406" t="s">
        <v>356</v>
      </c>
      <c r="N2406" s="73">
        <v>67261</v>
      </c>
      <c r="O2406" s="73">
        <v>67261</v>
      </c>
      <c r="P2406">
        <v>34.681374159610094</v>
      </c>
    </row>
    <row r="2407" spans="1:16" hidden="1" x14ac:dyDescent="0.2">
      <c r="A2407" s="73">
        <v>67261</v>
      </c>
      <c r="B2407" t="s">
        <v>443</v>
      </c>
      <c r="C2407" s="73" t="s">
        <v>486</v>
      </c>
      <c r="D2407" t="s">
        <v>507</v>
      </c>
      <c r="E2407" s="74">
        <v>46021</v>
      </c>
      <c r="F2407" t="s">
        <v>360</v>
      </c>
      <c r="G2407" t="s">
        <v>361</v>
      </c>
      <c r="H2407" s="75">
        <f t="shared" si="37"/>
        <v>277.45099327688075</v>
      </c>
      <c r="I2407" s="74">
        <v>46021</v>
      </c>
      <c r="J2407">
        <v>8</v>
      </c>
      <c r="K2407" t="s">
        <v>515</v>
      </c>
      <c r="L2407" t="s">
        <v>262</v>
      </c>
      <c r="M2407" t="s">
        <v>356</v>
      </c>
      <c r="N2407" s="73">
        <v>67261</v>
      </c>
      <c r="O2407" s="73">
        <v>67261</v>
      </c>
      <c r="P2407">
        <v>34.681374159610094</v>
      </c>
    </row>
    <row r="2408" spans="1:16" hidden="1" x14ac:dyDescent="0.2">
      <c r="A2408" s="73">
        <v>67261</v>
      </c>
      <c r="B2408" t="s">
        <v>443</v>
      </c>
      <c r="C2408" s="73" t="s">
        <v>486</v>
      </c>
      <c r="D2408" t="s">
        <v>507</v>
      </c>
      <c r="E2408" s="74">
        <v>46022</v>
      </c>
      <c r="F2408" t="s">
        <v>387</v>
      </c>
      <c r="G2408" t="s">
        <v>388</v>
      </c>
      <c r="H2408" s="75">
        <f t="shared" si="37"/>
        <v>173.40687079805048</v>
      </c>
      <c r="I2408" s="74">
        <v>46022</v>
      </c>
      <c r="J2408">
        <v>5</v>
      </c>
      <c r="K2408" t="s">
        <v>515</v>
      </c>
      <c r="L2408" t="s">
        <v>367</v>
      </c>
      <c r="M2408" t="s">
        <v>356</v>
      </c>
      <c r="N2408" s="73">
        <v>67261</v>
      </c>
      <c r="O2408" s="73">
        <v>67261</v>
      </c>
      <c r="P2408">
        <v>34.681374159610094</v>
      </c>
    </row>
    <row r="2409" spans="1:16" hidden="1" x14ac:dyDescent="0.2">
      <c r="A2409" s="73">
        <v>67261</v>
      </c>
      <c r="B2409" t="s">
        <v>443</v>
      </c>
      <c r="C2409" s="73" t="s">
        <v>486</v>
      </c>
      <c r="D2409" t="s">
        <v>507</v>
      </c>
      <c r="E2409" s="74">
        <v>46024</v>
      </c>
      <c r="F2409" t="s">
        <v>372</v>
      </c>
      <c r="G2409" t="s">
        <v>373</v>
      </c>
      <c r="H2409" s="75">
        <f t="shared" si="37"/>
        <v>208.08824495766055</v>
      </c>
      <c r="I2409" s="74">
        <v>46024</v>
      </c>
      <c r="J2409">
        <v>6</v>
      </c>
      <c r="K2409" t="s">
        <v>516</v>
      </c>
      <c r="L2409" t="s">
        <v>348</v>
      </c>
      <c r="M2409" t="s">
        <v>356</v>
      </c>
      <c r="N2409" s="73">
        <v>67261</v>
      </c>
      <c r="O2409" s="73">
        <v>67261</v>
      </c>
      <c r="P2409">
        <v>34.681374159610094</v>
      </c>
    </row>
    <row r="2410" spans="1:16" hidden="1" x14ac:dyDescent="0.2">
      <c r="A2410" s="73">
        <v>67261</v>
      </c>
      <c r="B2410" t="s">
        <v>443</v>
      </c>
      <c r="C2410" s="73" t="s">
        <v>486</v>
      </c>
      <c r="D2410" t="s">
        <v>507</v>
      </c>
      <c r="E2410" s="74">
        <v>46024</v>
      </c>
      <c r="F2410" t="s">
        <v>387</v>
      </c>
      <c r="G2410" t="s">
        <v>388</v>
      </c>
      <c r="H2410" s="75">
        <f t="shared" si="37"/>
        <v>242.76961911727065</v>
      </c>
      <c r="I2410" s="74">
        <v>46024</v>
      </c>
      <c r="J2410">
        <v>7</v>
      </c>
      <c r="K2410" t="s">
        <v>516</v>
      </c>
      <c r="L2410" t="s">
        <v>367</v>
      </c>
      <c r="M2410" t="s">
        <v>356</v>
      </c>
      <c r="N2410" s="73">
        <v>67261</v>
      </c>
      <c r="O2410" s="73">
        <v>67261</v>
      </c>
      <c r="P2410">
        <v>34.681374159610094</v>
      </c>
    </row>
    <row r="2411" spans="1:16" hidden="1" x14ac:dyDescent="0.2">
      <c r="A2411" s="73">
        <v>67261</v>
      </c>
      <c r="B2411" t="s">
        <v>443</v>
      </c>
      <c r="C2411" s="73" t="s">
        <v>486</v>
      </c>
      <c r="D2411" t="s">
        <v>507</v>
      </c>
      <c r="E2411" s="74">
        <v>46027</v>
      </c>
      <c r="F2411" t="s">
        <v>387</v>
      </c>
      <c r="G2411" t="s">
        <v>388</v>
      </c>
      <c r="H2411" s="75">
        <f t="shared" si="37"/>
        <v>208.08824495766055</v>
      </c>
      <c r="I2411" s="74">
        <v>46027</v>
      </c>
      <c r="J2411">
        <v>6</v>
      </c>
      <c r="K2411" t="s">
        <v>516</v>
      </c>
      <c r="L2411" t="s">
        <v>367</v>
      </c>
      <c r="M2411" t="s">
        <v>356</v>
      </c>
      <c r="N2411" s="73">
        <v>67261</v>
      </c>
      <c r="O2411" s="73">
        <v>67261</v>
      </c>
      <c r="P2411">
        <v>34.681374159610094</v>
      </c>
    </row>
    <row r="2412" spans="1:16" hidden="1" x14ac:dyDescent="0.2">
      <c r="A2412" s="73">
        <v>67261</v>
      </c>
      <c r="B2412" t="s">
        <v>443</v>
      </c>
      <c r="C2412" s="73" t="s">
        <v>486</v>
      </c>
      <c r="D2412" t="s">
        <v>507</v>
      </c>
      <c r="E2412" s="74">
        <v>46027</v>
      </c>
      <c r="F2412" t="s">
        <v>360</v>
      </c>
      <c r="G2412" t="s">
        <v>361</v>
      </c>
      <c r="H2412" s="75">
        <f t="shared" si="37"/>
        <v>277.45099327688075</v>
      </c>
      <c r="I2412" s="74">
        <v>46027</v>
      </c>
      <c r="J2412">
        <v>8</v>
      </c>
      <c r="K2412" t="s">
        <v>516</v>
      </c>
      <c r="L2412" t="s">
        <v>262</v>
      </c>
      <c r="M2412" t="s">
        <v>356</v>
      </c>
      <c r="N2412" s="73">
        <v>67261</v>
      </c>
      <c r="O2412" s="73">
        <v>67261</v>
      </c>
      <c r="P2412">
        <v>34.681374159610094</v>
      </c>
    </row>
    <row r="2413" spans="1:16" hidden="1" x14ac:dyDescent="0.2">
      <c r="A2413" s="73">
        <v>67261</v>
      </c>
      <c r="B2413" t="s">
        <v>443</v>
      </c>
      <c r="C2413" s="73" t="s">
        <v>486</v>
      </c>
      <c r="D2413" t="s">
        <v>507</v>
      </c>
      <c r="E2413" s="74">
        <v>46027</v>
      </c>
      <c r="F2413" t="s">
        <v>372</v>
      </c>
      <c r="G2413" t="s">
        <v>373</v>
      </c>
      <c r="H2413" s="75">
        <f t="shared" si="37"/>
        <v>69.362748319220188</v>
      </c>
      <c r="I2413" s="74">
        <v>46027</v>
      </c>
      <c r="J2413">
        <v>2</v>
      </c>
      <c r="K2413" t="s">
        <v>516</v>
      </c>
      <c r="L2413" t="s">
        <v>348</v>
      </c>
      <c r="M2413" t="s">
        <v>356</v>
      </c>
      <c r="N2413" s="73">
        <v>67261</v>
      </c>
      <c r="O2413" s="73">
        <v>67261</v>
      </c>
      <c r="P2413">
        <v>34.681374159610094</v>
      </c>
    </row>
    <row r="2414" spans="1:16" hidden="1" x14ac:dyDescent="0.2">
      <c r="A2414" s="73">
        <v>67261</v>
      </c>
      <c r="B2414" t="s">
        <v>443</v>
      </c>
      <c r="C2414" s="73" t="s">
        <v>486</v>
      </c>
      <c r="D2414" t="s">
        <v>507</v>
      </c>
      <c r="E2414" s="74">
        <v>46028</v>
      </c>
      <c r="F2414" t="s">
        <v>387</v>
      </c>
      <c r="G2414" t="s">
        <v>388</v>
      </c>
      <c r="H2414" s="75">
        <f t="shared" si="37"/>
        <v>69.362748319220188</v>
      </c>
      <c r="I2414" s="74">
        <v>46028</v>
      </c>
      <c r="J2414">
        <v>2</v>
      </c>
      <c r="K2414" t="s">
        <v>516</v>
      </c>
      <c r="L2414" t="s">
        <v>367</v>
      </c>
      <c r="M2414" t="s">
        <v>356</v>
      </c>
      <c r="N2414" s="73">
        <v>67261</v>
      </c>
      <c r="O2414" s="73">
        <v>67261</v>
      </c>
      <c r="P2414">
        <v>34.681374159610094</v>
      </c>
    </row>
    <row r="2415" spans="1:16" hidden="1" x14ac:dyDescent="0.2">
      <c r="A2415" s="73">
        <v>67261</v>
      </c>
      <c r="B2415" t="s">
        <v>443</v>
      </c>
      <c r="C2415" s="73" t="s">
        <v>486</v>
      </c>
      <c r="D2415" t="s">
        <v>507</v>
      </c>
      <c r="E2415" s="74">
        <v>46028</v>
      </c>
      <c r="F2415" t="s">
        <v>360</v>
      </c>
      <c r="G2415" t="s">
        <v>361</v>
      </c>
      <c r="H2415" s="75">
        <f t="shared" si="37"/>
        <v>277.45099327688075</v>
      </c>
      <c r="I2415" s="74">
        <v>46028</v>
      </c>
      <c r="J2415">
        <v>8</v>
      </c>
      <c r="K2415" t="s">
        <v>516</v>
      </c>
      <c r="L2415" t="s">
        <v>262</v>
      </c>
      <c r="M2415" t="s">
        <v>356</v>
      </c>
      <c r="N2415" s="73">
        <v>67261</v>
      </c>
      <c r="O2415" s="73">
        <v>67261</v>
      </c>
      <c r="P2415">
        <v>34.681374159610094</v>
      </c>
    </row>
    <row r="2416" spans="1:16" hidden="1" x14ac:dyDescent="0.2">
      <c r="A2416" s="73">
        <v>67261</v>
      </c>
      <c r="B2416" t="s">
        <v>443</v>
      </c>
      <c r="C2416" s="73" t="s">
        <v>486</v>
      </c>
      <c r="D2416" t="s">
        <v>507</v>
      </c>
      <c r="E2416" s="74">
        <v>46028</v>
      </c>
      <c r="F2416" t="s">
        <v>372</v>
      </c>
      <c r="G2416" t="s">
        <v>373</v>
      </c>
      <c r="H2416" s="75">
        <f t="shared" si="37"/>
        <v>69.362748319220188</v>
      </c>
      <c r="I2416" s="74">
        <v>46028</v>
      </c>
      <c r="J2416">
        <v>2</v>
      </c>
      <c r="K2416" t="s">
        <v>516</v>
      </c>
      <c r="L2416" t="s">
        <v>348</v>
      </c>
      <c r="M2416" t="s">
        <v>356</v>
      </c>
      <c r="N2416" s="73">
        <v>67261</v>
      </c>
      <c r="O2416" s="73">
        <v>67261</v>
      </c>
      <c r="P2416">
        <v>34.681374159610094</v>
      </c>
    </row>
    <row r="2417" spans="1:16" hidden="1" x14ac:dyDescent="0.2">
      <c r="A2417" s="73">
        <v>67261</v>
      </c>
      <c r="B2417" t="s">
        <v>443</v>
      </c>
      <c r="C2417" s="73" t="s">
        <v>486</v>
      </c>
      <c r="D2417" t="s">
        <v>507</v>
      </c>
      <c r="E2417" s="74">
        <v>46029</v>
      </c>
      <c r="F2417" t="s">
        <v>387</v>
      </c>
      <c r="G2417" t="s">
        <v>388</v>
      </c>
      <c r="H2417" s="75">
        <f t="shared" si="37"/>
        <v>69.362748319220188</v>
      </c>
      <c r="I2417" s="74">
        <v>46029</v>
      </c>
      <c r="J2417">
        <v>2</v>
      </c>
      <c r="K2417" t="s">
        <v>516</v>
      </c>
      <c r="L2417" t="s">
        <v>367</v>
      </c>
      <c r="M2417" t="s">
        <v>356</v>
      </c>
      <c r="N2417" s="73">
        <v>67261</v>
      </c>
      <c r="O2417" s="73">
        <v>67261</v>
      </c>
      <c r="P2417">
        <v>34.681374159610094</v>
      </c>
    </row>
    <row r="2418" spans="1:16" hidden="1" x14ac:dyDescent="0.2">
      <c r="A2418" s="73">
        <v>67261</v>
      </c>
      <c r="B2418" t="s">
        <v>443</v>
      </c>
      <c r="C2418" s="73" t="s">
        <v>486</v>
      </c>
      <c r="D2418" t="s">
        <v>507</v>
      </c>
      <c r="E2418" s="74">
        <v>46029</v>
      </c>
      <c r="F2418" t="s">
        <v>372</v>
      </c>
      <c r="G2418" t="s">
        <v>373</v>
      </c>
      <c r="H2418" s="75">
        <f t="shared" si="37"/>
        <v>69.362748319220188</v>
      </c>
      <c r="I2418" s="74">
        <v>46029</v>
      </c>
      <c r="J2418">
        <v>2</v>
      </c>
      <c r="K2418" t="s">
        <v>516</v>
      </c>
      <c r="L2418" t="s">
        <v>348</v>
      </c>
      <c r="M2418" t="s">
        <v>356</v>
      </c>
      <c r="N2418" s="73">
        <v>67261</v>
      </c>
      <c r="O2418" s="73">
        <v>67261</v>
      </c>
      <c r="P2418">
        <v>34.681374159610094</v>
      </c>
    </row>
    <row r="2419" spans="1:16" hidden="1" x14ac:dyDescent="0.2">
      <c r="A2419" s="73">
        <v>67261</v>
      </c>
      <c r="B2419" t="s">
        <v>443</v>
      </c>
      <c r="C2419" s="73" t="s">
        <v>486</v>
      </c>
      <c r="D2419" t="s">
        <v>507</v>
      </c>
      <c r="E2419" s="74">
        <v>46030</v>
      </c>
      <c r="F2419" t="s">
        <v>387</v>
      </c>
      <c r="G2419" t="s">
        <v>388</v>
      </c>
      <c r="H2419" s="75">
        <f t="shared" si="37"/>
        <v>277.45099327688075</v>
      </c>
      <c r="I2419" s="74">
        <v>46030</v>
      </c>
      <c r="J2419">
        <v>8</v>
      </c>
      <c r="K2419" t="s">
        <v>516</v>
      </c>
      <c r="L2419" t="s">
        <v>367</v>
      </c>
      <c r="M2419" t="s">
        <v>356</v>
      </c>
      <c r="N2419" s="73">
        <v>67261</v>
      </c>
      <c r="O2419" s="73">
        <v>67261</v>
      </c>
      <c r="P2419">
        <v>34.681374159610094</v>
      </c>
    </row>
    <row r="2420" spans="1:16" hidden="1" x14ac:dyDescent="0.2">
      <c r="A2420" s="73">
        <v>67261</v>
      </c>
      <c r="B2420" t="s">
        <v>443</v>
      </c>
      <c r="C2420" s="73" t="s">
        <v>486</v>
      </c>
      <c r="D2420" t="s">
        <v>507</v>
      </c>
      <c r="E2420" s="74">
        <v>46030</v>
      </c>
      <c r="F2420" t="s">
        <v>372</v>
      </c>
      <c r="G2420" t="s">
        <v>373</v>
      </c>
      <c r="H2420" s="75">
        <f t="shared" si="37"/>
        <v>69.362748319220188</v>
      </c>
      <c r="I2420" s="74">
        <v>46030</v>
      </c>
      <c r="J2420">
        <v>2</v>
      </c>
      <c r="K2420" t="s">
        <v>516</v>
      </c>
      <c r="L2420" t="s">
        <v>348</v>
      </c>
      <c r="M2420" t="s">
        <v>356</v>
      </c>
      <c r="N2420" s="73">
        <v>67261</v>
      </c>
      <c r="O2420" s="73">
        <v>67261</v>
      </c>
      <c r="P2420">
        <v>34.681374159610094</v>
      </c>
    </row>
    <row r="2421" spans="1:16" hidden="1" x14ac:dyDescent="0.2">
      <c r="A2421" s="73">
        <v>67261</v>
      </c>
      <c r="B2421" t="s">
        <v>443</v>
      </c>
      <c r="C2421" s="73" t="s">
        <v>486</v>
      </c>
      <c r="D2421" t="s">
        <v>507</v>
      </c>
      <c r="E2421" s="74">
        <v>46031</v>
      </c>
      <c r="F2421" t="s">
        <v>387</v>
      </c>
      <c r="G2421" t="s">
        <v>388</v>
      </c>
      <c r="H2421" s="75">
        <f t="shared" si="37"/>
        <v>277.45099327688075</v>
      </c>
      <c r="I2421" s="74">
        <v>46031</v>
      </c>
      <c r="J2421">
        <v>8</v>
      </c>
      <c r="K2421" t="s">
        <v>516</v>
      </c>
      <c r="L2421" t="s">
        <v>367</v>
      </c>
      <c r="M2421" t="s">
        <v>356</v>
      </c>
      <c r="N2421" s="73">
        <v>67261</v>
      </c>
      <c r="O2421" s="73">
        <v>67261</v>
      </c>
      <c r="P2421">
        <v>34.681374159610094</v>
      </c>
    </row>
    <row r="2422" spans="1:16" hidden="1" x14ac:dyDescent="0.2">
      <c r="A2422" s="73">
        <v>67261</v>
      </c>
      <c r="B2422" t="s">
        <v>443</v>
      </c>
      <c r="C2422" s="73" t="s">
        <v>486</v>
      </c>
      <c r="D2422" t="s">
        <v>507</v>
      </c>
      <c r="E2422" s="74">
        <v>46034</v>
      </c>
      <c r="F2422" t="s">
        <v>387</v>
      </c>
      <c r="G2422" t="s">
        <v>388</v>
      </c>
      <c r="H2422" s="75">
        <f t="shared" si="37"/>
        <v>277.45099327688075</v>
      </c>
      <c r="I2422" s="74">
        <v>46034</v>
      </c>
      <c r="J2422">
        <v>8</v>
      </c>
      <c r="K2422" t="s">
        <v>516</v>
      </c>
      <c r="L2422" t="s">
        <v>367</v>
      </c>
      <c r="M2422" t="s">
        <v>356</v>
      </c>
      <c r="N2422" s="73">
        <v>67261</v>
      </c>
      <c r="O2422" s="73">
        <v>67261</v>
      </c>
      <c r="P2422">
        <v>34.681374159610094</v>
      </c>
    </row>
    <row r="2423" spans="1:16" hidden="1" x14ac:dyDescent="0.2">
      <c r="A2423" s="73">
        <v>67261</v>
      </c>
      <c r="B2423" t="s">
        <v>443</v>
      </c>
      <c r="C2423" s="73" t="s">
        <v>486</v>
      </c>
      <c r="D2423" t="s">
        <v>507</v>
      </c>
      <c r="E2423" s="74">
        <v>46034</v>
      </c>
      <c r="F2423" t="s">
        <v>372</v>
      </c>
      <c r="G2423" t="s">
        <v>373</v>
      </c>
      <c r="H2423" s="75">
        <f t="shared" si="37"/>
        <v>69.362748319220188</v>
      </c>
      <c r="I2423" s="74">
        <v>46034</v>
      </c>
      <c r="J2423">
        <v>2</v>
      </c>
      <c r="K2423" t="s">
        <v>516</v>
      </c>
      <c r="L2423" t="s">
        <v>348</v>
      </c>
      <c r="M2423" t="s">
        <v>356</v>
      </c>
      <c r="N2423" s="73">
        <v>67261</v>
      </c>
      <c r="O2423" s="73">
        <v>67261</v>
      </c>
      <c r="P2423">
        <v>34.681374159610094</v>
      </c>
    </row>
    <row r="2424" spans="1:16" hidden="1" x14ac:dyDescent="0.2">
      <c r="A2424" s="73">
        <v>67261</v>
      </c>
      <c r="B2424" t="s">
        <v>443</v>
      </c>
      <c r="C2424" s="73" t="s">
        <v>486</v>
      </c>
      <c r="D2424" t="s">
        <v>507</v>
      </c>
      <c r="E2424" s="74">
        <v>46035</v>
      </c>
      <c r="F2424" t="s">
        <v>372</v>
      </c>
      <c r="G2424" t="s">
        <v>373</v>
      </c>
      <c r="H2424" s="75">
        <f t="shared" si="37"/>
        <v>69.362748319220188</v>
      </c>
      <c r="I2424" s="74">
        <v>46035</v>
      </c>
      <c r="J2424">
        <v>2</v>
      </c>
      <c r="K2424" t="s">
        <v>516</v>
      </c>
      <c r="L2424" t="s">
        <v>348</v>
      </c>
      <c r="M2424" t="s">
        <v>356</v>
      </c>
      <c r="N2424" s="73">
        <v>67261</v>
      </c>
      <c r="O2424" s="73">
        <v>67261</v>
      </c>
      <c r="P2424">
        <v>34.681374159610094</v>
      </c>
    </row>
    <row r="2425" spans="1:16" hidden="1" x14ac:dyDescent="0.2">
      <c r="A2425" s="73">
        <v>67261</v>
      </c>
      <c r="B2425" t="s">
        <v>443</v>
      </c>
      <c r="C2425" s="73" t="s">
        <v>486</v>
      </c>
      <c r="D2425" t="s">
        <v>507</v>
      </c>
      <c r="E2425" s="74">
        <v>46036</v>
      </c>
      <c r="F2425" t="s">
        <v>372</v>
      </c>
      <c r="G2425" t="s">
        <v>373</v>
      </c>
      <c r="H2425" s="75">
        <f t="shared" si="37"/>
        <v>69.362748319220188</v>
      </c>
      <c r="I2425" s="74">
        <v>46036</v>
      </c>
      <c r="J2425">
        <v>2</v>
      </c>
      <c r="K2425" t="s">
        <v>516</v>
      </c>
      <c r="L2425" t="s">
        <v>348</v>
      </c>
      <c r="M2425" t="s">
        <v>356</v>
      </c>
      <c r="N2425" s="73">
        <v>67261</v>
      </c>
      <c r="O2425" s="73">
        <v>67261</v>
      </c>
      <c r="P2425">
        <v>34.681374159610094</v>
      </c>
    </row>
    <row r="2426" spans="1:16" hidden="1" x14ac:dyDescent="0.2">
      <c r="A2426" s="73">
        <v>67261</v>
      </c>
      <c r="B2426" t="s">
        <v>443</v>
      </c>
      <c r="C2426" s="73" t="s">
        <v>486</v>
      </c>
      <c r="D2426" t="s">
        <v>507</v>
      </c>
      <c r="E2426" s="74">
        <v>46041</v>
      </c>
      <c r="F2426" t="s">
        <v>372</v>
      </c>
      <c r="G2426" t="s">
        <v>373</v>
      </c>
      <c r="H2426" s="75">
        <f t="shared" si="37"/>
        <v>69.362748319220188</v>
      </c>
      <c r="I2426" s="74">
        <v>46041</v>
      </c>
      <c r="J2426">
        <v>2</v>
      </c>
      <c r="K2426" t="s">
        <v>516</v>
      </c>
      <c r="L2426" t="s">
        <v>348</v>
      </c>
      <c r="M2426" t="s">
        <v>356</v>
      </c>
      <c r="N2426" s="73">
        <v>67261</v>
      </c>
      <c r="O2426" s="73">
        <v>67261</v>
      </c>
      <c r="P2426">
        <v>34.681374159610094</v>
      </c>
    </row>
    <row r="2427" spans="1:16" hidden="1" x14ac:dyDescent="0.2">
      <c r="A2427" s="73">
        <v>67261</v>
      </c>
      <c r="B2427" t="s">
        <v>443</v>
      </c>
      <c r="C2427" s="73" t="s">
        <v>486</v>
      </c>
      <c r="D2427" t="s">
        <v>507</v>
      </c>
      <c r="E2427" s="74">
        <v>46041</v>
      </c>
      <c r="F2427" t="s">
        <v>387</v>
      </c>
      <c r="G2427" t="s">
        <v>388</v>
      </c>
      <c r="H2427" s="75">
        <f t="shared" si="37"/>
        <v>104.04412247883027</v>
      </c>
      <c r="I2427" s="74">
        <v>46041</v>
      </c>
      <c r="J2427">
        <v>3</v>
      </c>
      <c r="K2427" t="s">
        <v>516</v>
      </c>
      <c r="L2427" t="s">
        <v>367</v>
      </c>
      <c r="M2427" t="s">
        <v>356</v>
      </c>
      <c r="N2427" s="73">
        <v>67261</v>
      </c>
      <c r="O2427" s="73">
        <v>67261</v>
      </c>
      <c r="P2427">
        <v>34.681374159610094</v>
      </c>
    </row>
    <row r="2428" spans="1:16" hidden="1" x14ac:dyDescent="0.2">
      <c r="A2428" s="73">
        <v>67261</v>
      </c>
      <c r="B2428" t="s">
        <v>443</v>
      </c>
      <c r="C2428" s="73" t="s">
        <v>486</v>
      </c>
      <c r="D2428" t="s">
        <v>507</v>
      </c>
      <c r="E2428" s="74">
        <v>46042</v>
      </c>
      <c r="F2428" t="s">
        <v>372</v>
      </c>
      <c r="G2428" t="s">
        <v>373</v>
      </c>
      <c r="H2428" s="75">
        <f t="shared" si="37"/>
        <v>69.362748319220188</v>
      </c>
      <c r="I2428" s="74">
        <v>46042</v>
      </c>
      <c r="J2428">
        <v>2</v>
      </c>
      <c r="K2428" t="s">
        <v>516</v>
      </c>
      <c r="L2428" t="s">
        <v>348</v>
      </c>
      <c r="M2428" t="s">
        <v>356</v>
      </c>
      <c r="N2428" s="73">
        <v>67261</v>
      </c>
      <c r="O2428" s="73">
        <v>67261</v>
      </c>
      <c r="P2428">
        <v>34.681374159610094</v>
      </c>
    </row>
    <row r="2429" spans="1:16" hidden="1" x14ac:dyDescent="0.2">
      <c r="A2429" s="73">
        <v>67261</v>
      </c>
      <c r="B2429" t="s">
        <v>443</v>
      </c>
      <c r="C2429" s="73" t="s">
        <v>486</v>
      </c>
      <c r="D2429" t="s">
        <v>507</v>
      </c>
      <c r="E2429" s="74">
        <v>46042</v>
      </c>
      <c r="F2429" t="s">
        <v>387</v>
      </c>
      <c r="G2429" t="s">
        <v>388</v>
      </c>
      <c r="H2429" s="75">
        <f t="shared" si="37"/>
        <v>69.362748319220188</v>
      </c>
      <c r="I2429" s="74">
        <v>46042</v>
      </c>
      <c r="J2429">
        <v>2</v>
      </c>
      <c r="K2429" t="s">
        <v>516</v>
      </c>
      <c r="L2429" t="s">
        <v>367</v>
      </c>
      <c r="M2429" t="s">
        <v>356</v>
      </c>
      <c r="N2429" s="73">
        <v>67261</v>
      </c>
      <c r="O2429" s="73">
        <v>67261</v>
      </c>
      <c r="P2429">
        <v>34.681374159610094</v>
      </c>
    </row>
    <row r="2430" spans="1:16" hidden="1" x14ac:dyDescent="0.2">
      <c r="A2430" s="73">
        <v>67261</v>
      </c>
      <c r="B2430" t="s">
        <v>443</v>
      </c>
      <c r="C2430" s="73" t="s">
        <v>486</v>
      </c>
      <c r="D2430" t="s">
        <v>507</v>
      </c>
      <c r="E2430" s="74">
        <v>46043</v>
      </c>
      <c r="F2430" t="s">
        <v>372</v>
      </c>
      <c r="G2430" t="s">
        <v>373</v>
      </c>
      <c r="H2430" s="75">
        <f t="shared" si="37"/>
        <v>69.362748319220188</v>
      </c>
      <c r="I2430" s="74">
        <v>46043</v>
      </c>
      <c r="J2430">
        <v>2</v>
      </c>
      <c r="K2430" t="s">
        <v>516</v>
      </c>
      <c r="L2430" t="s">
        <v>348</v>
      </c>
      <c r="M2430" t="s">
        <v>356</v>
      </c>
      <c r="N2430" s="73">
        <v>67261</v>
      </c>
      <c r="O2430" s="73">
        <v>67261</v>
      </c>
      <c r="P2430">
        <v>34.681374159610094</v>
      </c>
    </row>
    <row r="2431" spans="1:16" hidden="1" x14ac:dyDescent="0.2">
      <c r="A2431" s="73">
        <v>67261</v>
      </c>
      <c r="B2431" t="s">
        <v>443</v>
      </c>
      <c r="C2431" s="73" t="s">
        <v>486</v>
      </c>
      <c r="D2431" t="s">
        <v>507</v>
      </c>
      <c r="E2431" s="74">
        <v>46043</v>
      </c>
      <c r="F2431" t="s">
        <v>387</v>
      </c>
      <c r="G2431" t="s">
        <v>388</v>
      </c>
      <c r="H2431" s="75">
        <f t="shared" si="37"/>
        <v>173.40687079805048</v>
      </c>
      <c r="I2431" s="74">
        <v>46043</v>
      </c>
      <c r="J2431">
        <v>5</v>
      </c>
      <c r="K2431" t="s">
        <v>516</v>
      </c>
      <c r="L2431" t="s">
        <v>367</v>
      </c>
      <c r="M2431" t="s">
        <v>356</v>
      </c>
      <c r="N2431" s="73">
        <v>67261</v>
      </c>
      <c r="O2431" s="73">
        <v>67261</v>
      </c>
      <c r="P2431">
        <v>34.681374159610094</v>
      </c>
    </row>
    <row r="2432" spans="1:16" hidden="1" x14ac:dyDescent="0.2">
      <c r="A2432" s="73">
        <v>67261</v>
      </c>
      <c r="B2432" t="s">
        <v>443</v>
      </c>
      <c r="C2432" s="73" t="s">
        <v>486</v>
      </c>
      <c r="D2432" t="s">
        <v>507</v>
      </c>
      <c r="E2432" s="74">
        <v>46044</v>
      </c>
      <c r="F2432" t="s">
        <v>372</v>
      </c>
      <c r="G2432" t="s">
        <v>373</v>
      </c>
      <c r="H2432" s="75">
        <f t="shared" si="37"/>
        <v>69.362748319220188</v>
      </c>
      <c r="I2432" s="74">
        <v>46044</v>
      </c>
      <c r="J2432">
        <v>2</v>
      </c>
      <c r="K2432" t="s">
        <v>516</v>
      </c>
      <c r="L2432" t="s">
        <v>348</v>
      </c>
      <c r="M2432" t="s">
        <v>356</v>
      </c>
      <c r="N2432" s="73">
        <v>67261</v>
      </c>
      <c r="O2432" s="73">
        <v>67261</v>
      </c>
      <c r="P2432">
        <v>34.681374159610094</v>
      </c>
    </row>
    <row r="2433" spans="1:16" hidden="1" x14ac:dyDescent="0.2">
      <c r="A2433" s="73">
        <v>67261</v>
      </c>
      <c r="B2433" t="s">
        <v>443</v>
      </c>
      <c r="C2433" s="73" t="s">
        <v>486</v>
      </c>
      <c r="D2433" t="s">
        <v>507</v>
      </c>
      <c r="E2433" s="74">
        <v>46044</v>
      </c>
      <c r="F2433" t="s">
        <v>387</v>
      </c>
      <c r="G2433" t="s">
        <v>388</v>
      </c>
      <c r="H2433" s="75">
        <f t="shared" si="37"/>
        <v>104.04412247883027</v>
      </c>
      <c r="I2433" s="74">
        <v>46044</v>
      </c>
      <c r="J2433">
        <v>3</v>
      </c>
      <c r="K2433" t="s">
        <v>516</v>
      </c>
      <c r="L2433" t="s">
        <v>367</v>
      </c>
      <c r="M2433" t="s">
        <v>356</v>
      </c>
      <c r="N2433" s="73">
        <v>67261</v>
      </c>
      <c r="O2433" s="73">
        <v>67261</v>
      </c>
      <c r="P2433">
        <v>34.681374159610094</v>
      </c>
    </row>
    <row r="2434" spans="1:16" hidden="1" x14ac:dyDescent="0.2">
      <c r="A2434" s="73">
        <v>67261</v>
      </c>
      <c r="B2434" t="s">
        <v>443</v>
      </c>
      <c r="C2434" s="73" t="s">
        <v>486</v>
      </c>
      <c r="D2434" t="s">
        <v>507</v>
      </c>
      <c r="E2434" s="74">
        <v>46045</v>
      </c>
      <c r="F2434" t="s">
        <v>372</v>
      </c>
      <c r="G2434" t="s">
        <v>373</v>
      </c>
      <c r="H2434" s="75">
        <f t="shared" ref="H2434:H2497" si="38">J2434*P2434</f>
        <v>69.362748319220188</v>
      </c>
      <c r="I2434" s="74">
        <v>46045</v>
      </c>
      <c r="J2434">
        <v>2</v>
      </c>
      <c r="K2434" t="s">
        <v>516</v>
      </c>
      <c r="L2434" t="s">
        <v>348</v>
      </c>
      <c r="M2434" t="s">
        <v>356</v>
      </c>
      <c r="N2434" s="73">
        <v>67261</v>
      </c>
      <c r="O2434" s="73">
        <v>67261</v>
      </c>
      <c r="P2434">
        <v>34.681374159610094</v>
      </c>
    </row>
    <row r="2435" spans="1:16" hidden="1" x14ac:dyDescent="0.2">
      <c r="A2435" s="73">
        <v>67261</v>
      </c>
      <c r="B2435" t="s">
        <v>443</v>
      </c>
      <c r="C2435" s="73" t="s">
        <v>486</v>
      </c>
      <c r="D2435" t="s">
        <v>507</v>
      </c>
      <c r="E2435" s="74">
        <v>46045</v>
      </c>
      <c r="F2435" t="s">
        <v>387</v>
      </c>
      <c r="G2435" t="s">
        <v>388</v>
      </c>
      <c r="H2435" s="75">
        <f t="shared" si="38"/>
        <v>69.362748319220188</v>
      </c>
      <c r="I2435" s="74">
        <v>46045</v>
      </c>
      <c r="J2435">
        <v>2</v>
      </c>
      <c r="K2435" t="s">
        <v>516</v>
      </c>
      <c r="L2435" t="s">
        <v>367</v>
      </c>
      <c r="M2435" t="s">
        <v>356</v>
      </c>
      <c r="N2435" s="73">
        <v>67261</v>
      </c>
      <c r="O2435" s="73">
        <v>67261</v>
      </c>
      <c r="P2435">
        <v>34.681374159610094</v>
      </c>
    </row>
    <row r="2436" spans="1:16" hidden="1" x14ac:dyDescent="0.2">
      <c r="A2436" s="73">
        <v>67261</v>
      </c>
      <c r="B2436" t="s">
        <v>443</v>
      </c>
      <c r="C2436" s="73" t="s">
        <v>486</v>
      </c>
      <c r="D2436" t="s">
        <v>507</v>
      </c>
      <c r="E2436" s="74">
        <v>46049</v>
      </c>
      <c r="F2436" t="s">
        <v>387</v>
      </c>
      <c r="G2436" t="s">
        <v>388</v>
      </c>
      <c r="H2436" s="75">
        <f t="shared" si="38"/>
        <v>104.04412247883027</v>
      </c>
      <c r="I2436" s="74">
        <v>46049</v>
      </c>
      <c r="J2436">
        <v>3</v>
      </c>
      <c r="K2436" t="s">
        <v>516</v>
      </c>
      <c r="L2436" t="s">
        <v>367</v>
      </c>
      <c r="M2436" t="s">
        <v>356</v>
      </c>
      <c r="N2436" s="73">
        <v>67261</v>
      </c>
      <c r="O2436" s="73">
        <v>67261</v>
      </c>
      <c r="P2436">
        <v>34.681374159610094</v>
      </c>
    </row>
    <row r="2437" spans="1:16" hidden="1" x14ac:dyDescent="0.2">
      <c r="A2437" s="73">
        <v>67261</v>
      </c>
      <c r="B2437" t="s">
        <v>443</v>
      </c>
      <c r="C2437" s="73" t="s">
        <v>486</v>
      </c>
      <c r="D2437" t="s">
        <v>507</v>
      </c>
      <c r="E2437" s="74">
        <v>46049</v>
      </c>
      <c r="F2437" t="s">
        <v>372</v>
      </c>
      <c r="G2437" t="s">
        <v>373</v>
      </c>
      <c r="H2437" s="75">
        <f t="shared" si="38"/>
        <v>69.362748319220188</v>
      </c>
      <c r="I2437" s="74">
        <v>46049</v>
      </c>
      <c r="J2437">
        <v>2</v>
      </c>
      <c r="K2437" t="s">
        <v>516</v>
      </c>
      <c r="L2437" t="s">
        <v>348</v>
      </c>
      <c r="M2437" t="s">
        <v>356</v>
      </c>
      <c r="N2437" s="73">
        <v>67261</v>
      </c>
      <c r="O2437" s="73">
        <v>67261</v>
      </c>
      <c r="P2437">
        <v>34.681374159610094</v>
      </c>
    </row>
    <row r="2438" spans="1:16" hidden="1" x14ac:dyDescent="0.2">
      <c r="A2438" s="73">
        <v>67261</v>
      </c>
      <c r="B2438" t="s">
        <v>443</v>
      </c>
      <c r="C2438" s="73" t="s">
        <v>486</v>
      </c>
      <c r="D2438" t="s">
        <v>507</v>
      </c>
      <c r="E2438" s="74">
        <v>46050</v>
      </c>
      <c r="F2438" t="s">
        <v>372</v>
      </c>
      <c r="G2438" t="s">
        <v>373</v>
      </c>
      <c r="H2438" s="75">
        <f t="shared" si="38"/>
        <v>69.362748319220188</v>
      </c>
      <c r="I2438" s="74">
        <v>46050</v>
      </c>
      <c r="J2438">
        <v>2</v>
      </c>
      <c r="K2438" t="s">
        <v>516</v>
      </c>
      <c r="L2438" t="s">
        <v>348</v>
      </c>
      <c r="M2438" t="s">
        <v>356</v>
      </c>
      <c r="N2438" s="73">
        <v>67261</v>
      </c>
      <c r="O2438" s="73">
        <v>67261</v>
      </c>
      <c r="P2438">
        <v>34.681374159610094</v>
      </c>
    </row>
    <row r="2439" spans="1:16" hidden="1" x14ac:dyDescent="0.2">
      <c r="A2439" s="73">
        <v>67261</v>
      </c>
      <c r="B2439" t="s">
        <v>443</v>
      </c>
      <c r="C2439" s="73" t="s">
        <v>486</v>
      </c>
      <c r="D2439" t="s">
        <v>507</v>
      </c>
      <c r="E2439" s="74">
        <v>46051</v>
      </c>
      <c r="F2439" t="s">
        <v>372</v>
      </c>
      <c r="G2439" t="s">
        <v>373</v>
      </c>
      <c r="H2439" s="75">
        <f t="shared" si="38"/>
        <v>69.362748319220188</v>
      </c>
      <c r="I2439" s="74">
        <v>46051</v>
      </c>
      <c r="J2439">
        <v>2</v>
      </c>
      <c r="K2439" t="s">
        <v>516</v>
      </c>
      <c r="L2439" t="s">
        <v>348</v>
      </c>
      <c r="M2439" t="s">
        <v>356</v>
      </c>
      <c r="N2439" s="73">
        <v>67261</v>
      </c>
      <c r="O2439" s="73">
        <v>67261</v>
      </c>
      <c r="P2439">
        <v>34.681374159610094</v>
      </c>
    </row>
    <row r="2440" spans="1:16" hidden="1" x14ac:dyDescent="0.2">
      <c r="A2440" s="73">
        <v>67261</v>
      </c>
      <c r="B2440" t="s">
        <v>443</v>
      </c>
      <c r="C2440" s="73" t="s">
        <v>486</v>
      </c>
      <c r="D2440" t="s">
        <v>507</v>
      </c>
      <c r="E2440" s="74">
        <v>46052</v>
      </c>
      <c r="F2440" t="s">
        <v>387</v>
      </c>
      <c r="G2440" t="s">
        <v>388</v>
      </c>
      <c r="H2440" s="75">
        <f t="shared" si="38"/>
        <v>34.681374159610094</v>
      </c>
      <c r="I2440" s="74">
        <v>46052</v>
      </c>
      <c r="J2440">
        <v>1</v>
      </c>
      <c r="K2440" t="s">
        <v>516</v>
      </c>
      <c r="L2440" t="s">
        <v>367</v>
      </c>
      <c r="M2440" t="s">
        <v>356</v>
      </c>
      <c r="N2440" s="73">
        <v>67261</v>
      </c>
      <c r="O2440" s="73">
        <v>67261</v>
      </c>
      <c r="P2440">
        <v>34.681374159610094</v>
      </c>
    </row>
    <row r="2441" spans="1:16" hidden="1" x14ac:dyDescent="0.2">
      <c r="A2441" s="73">
        <v>67261</v>
      </c>
      <c r="B2441" t="s">
        <v>443</v>
      </c>
      <c r="C2441" s="73" t="s">
        <v>486</v>
      </c>
      <c r="D2441" t="s">
        <v>507</v>
      </c>
      <c r="E2441" s="74">
        <v>46052</v>
      </c>
      <c r="F2441" t="s">
        <v>372</v>
      </c>
      <c r="G2441" t="s">
        <v>373</v>
      </c>
      <c r="H2441" s="75">
        <f t="shared" si="38"/>
        <v>69.362748319220188</v>
      </c>
      <c r="I2441" s="74">
        <v>46052</v>
      </c>
      <c r="J2441">
        <v>2</v>
      </c>
      <c r="K2441" t="s">
        <v>516</v>
      </c>
      <c r="L2441" t="s">
        <v>348</v>
      </c>
      <c r="M2441" t="s">
        <v>356</v>
      </c>
      <c r="N2441" s="73">
        <v>67261</v>
      </c>
      <c r="O2441" s="73">
        <v>67261</v>
      </c>
      <c r="P2441">
        <v>34.681374159610094</v>
      </c>
    </row>
    <row r="2442" spans="1:16" hidden="1" x14ac:dyDescent="0.2">
      <c r="A2442" s="73">
        <v>67261</v>
      </c>
      <c r="B2442" t="s">
        <v>443</v>
      </c>
      <c r="C2442" s="73" t="s">
        <v>486</v>
      </c>
      <c r="D2442" t="s">
        <v>507</v>
      </c>
      <c r="E2442" s="74">
        <v>46057</v>
      </c>
      <c r="F2442" t="s">
        <v>387</v>
      </c>
      <c r="G2442" t="s">
        <v>388</v>
      </c>
      <c r="H2442" s="75">
        <f t="shared" si="38"/>
        <v>34.681374159610094</v>
      </c>
      <c r="I2442" s="74">
        <v>46057</v>
      </c>
      <c r="J2442">
        <v>1</v>
      </c>
      <c r="K2442" t="s">
        <v>508</v>
      </c>
      <c r="L2442" t="s">
        <v>367</v>
      </c>
      <c r="M2442" t="s">
        <v>356</v>
      </c>
      <c r="N2442" s="73">
        <v>67261</v>
      </c>
      <c r="O2442" s="73">
        <v>67261</v>
      </c>
      <c r="P2442">
        <v>34.681374159610094</v>
      </c>
    </row>
    <row r="2443" spans="1:16" hidden="1" x14ac:dyDescent="0.2">
      <c r="A2443" s="73">
        <v>67261</v>
      </c>
      <c r="B2443" t="s">
        <v>443</v>
      </c>
      <c r="C2443" s="73" t="s">
        <v>486</v>
      </c>
      <c r="D2443" t="s">
        <v>507</v>
      </c>
      <c r="E2443" s="74">
        <v>46058</v>
      </c>
      <c r="F2443" t="s">
        <v>360</v>
      </c>
      <c r="G2443" t="s">
        <v>361</v>
      </c>
      <c r="H2443" s="75">
        <f t="shared" si="38"/>
        <v>69.362748319220188</v>
      </c>
      <c r="I2443" s="74">
        <v>46058</v>
      </c>
      <c r="J2443">
        <v>2</v>
      </c>
      <c r="K2443" t="s">
        <v>508</v>
      </c>
      <c r="L2443" t="s">
        <v>262</v>
      </c>
      <c r="M2443" t="s">
        <v>356</v>
      </c>
      <c r="N2443" s="73">
        <v>67261</v>
      </c>
      <c r="O2443" s="73">
        <v>67261</v>
      </c>
      <c r="P2443">
        <v>34.681374159610094</v>
      </c>
    </row>
    <row r="2444" spans="1:16" hidden="1" x14ac:dyDescent="0.2">
      <c r="A2444" s="73">
        <v>67261</v>
      </c>
      <c r="B2444" t="s">
        <v>443</v>
      </c>
      <c r="C2444" s="73" t="s">
        <v>486</v>
      </c>
      <c r="D2444" t="s">
        <v>507</v>
      </c>
      <c r="E2444" s="74">
        <v>46059</v>
      </c>
      <c r="F2444" t="s">
        <v>387</v>
      </c>
      <c r="G2444" t="s">
        <v>388</v>
      </c>
      <c r="H2444" s="75">
        <f t="shared" si="38"/>
        <v>104.04412247883027</v>
      </c>
      <c r="I2444" s="74">
        <v>46059</v>
      </c>
      <c r="J2444">
        <v>3</v>
      </c>
      <c r="K2444" t="s">
        <v>508</v>
      </c>
      <c r="L2444" t="s">
        <v>367</v>
      </c>
      <c r="M2444" t="s">
        <v>356</v>
      </c>
      <c r="N2444" s="73">
        <v>67261</v>
      </c>
      <c r="O2444" s="73">
        <v>67261</v>
      </c>
      <c r="P2444">
        <v>34.681374159610094</v>
      </c>
    </row>
    <row r="2445" spans="1:16" hidden="1" x14ac:dyDescent="0.2">
      <c r="A2445" s="73">
        <v>67261</v>
      </c>
      <c r="B2445" t="s">
        <v>443</v>
      </c>
      <c r="C2445" s="73" t="s">
        <v>486</v>
      </c>
      <c r="D2445" t="s">
        <v>507</v>
      </c>
      <c r="E2445" s="74">
        <v>46062</v>
      </c>
      <c r="F2445" t="s">
        <v>372</v>
      </c>
      <c r="G2445" t="s">
        <v>373</v>
      </c>
      <c r="H2445" s="75">
        <f t="shared" si="38"/>
        <v>69.362748319220188</v>
      </c>
      <c r="I2445" s="74">
        <v>46062</v>
      </c>
      <c r="J2445">
        <v>2</v>
      </c>
      <c r="K2445" t="s">
        <v>508</v>
      </c>
      <c r="L2445" t="s">
        <v>348</v>
      </c>
      <c r="M2445" t="s">
        <v>356</v>
      </c>
      <c r="N2445" s="73">
        <v>67261</v>
      </c>
      <c r="O2445" s="73">
        <v>67261</v>
      </c>
      <c r="P2445">
        <v>34.681374159610094</v>
      </c>
    </row>
    <row r="2446" spans="1:16" hidden="1" x14ac:dyDescent="0.2">
      <c r="A2446" s="73">
        <v>67261</v>
      </c>
      <c r="B2446" t="s">
        <v>443</v>
      </c>
      <c r="C2446" s="73" t="s">
        <v>486</v>
      </c>
      <c r="D2446" t="s">
        <v>507</v>
      </c>
      <c r="E2446" s="74">
        <v>46063</v>
      </c>
      <c r="F2446" t="s">
        <v>372</v>
      </c>
      <c r="G2446" t="s">
        <v>373</v>
      </c>
      <c r="H2446" s="75">
        <f t="shared" si="38"/>
        <v>69.362748319220188</v>
      </c>
      <c r="I2446" s="74">
        <v>46063</v>
      </c>
      <c r="J2446">
        <v>2</v>
      </c>
      <c r="K2446" t="s">
        <v>508</v>
      </c>
      <c r="L2446" t="s">
        <v>348</v>
      </c>
      <c r="M2446" t="s">
        <v>356</v>
      </c>
      <c r="N2446" s="73">
        <v>67261</v>
      </c>
      <c r="O2446" s="73">
        <v>67261</v>
      </c>
      <c r="P2446">
        <v>34.681374159610094</v>
      </c>
    </row>
    <row r="2447" spans="1:16" hidden="1" x14ac:dyDescent="0.2">
      <c r="A2447" s="73">
        <v>67261</v>
      </c>
      <c r="B2447" t="s">
        <v>443</v>
      </c>
      <c r="C2447" s="73" t="s">
        <v>486</v>
      </c>
      <c r="D2447" t="s">
        <v>507</v>
      </c>
      <c r="E2447" s="74">
        <v>46064</v>
      </c>
      <c r="F2447" t="s">
        <v>372</v>
      </c>
      <c r="G2447" t="s">
        <v>373</v>
      </c>
      <c r="H2447" s="75">
        <f t="shared" si="38"/>
        <v>69.362748319220188</v>
      </c>
      <c r="I2447" s="74">
        <v>46064</v>
      </c>
      <c r="J2447">
        <v>2</v>
      </c>
      <c r="K2447" t="s">
        <v>508</v>
      </c>
      <c r="L2447" t="s">
        <v>348</v>
      </c>
      <c r="M2447" t="s">
        <v>356</v>
      </c>
      <c r="N2447" s="73">
        <v>67261</v>
      </c>
      <c r="O2447" s="73">
        <v>67261</v>
      </c>
      <c r="P2447">
        <v>34.681374159610094</v>
      </c>
    </row>
    <row r="2448" spans="1:16" hidden="1" x14ac:dyDescent="0.2">
      <c r="A2448" s="73">
        <v>67261</v>
      </c>
      <c r="B2448" t="s">
        <v>443</v>
      </c>
      <c r="C2448" s="73" t="s">
        <v>486</v>
      </c>
      <c r="D2448" t="s">
        <v>507</v>
      </c>
      <c r="E2448" s="74">
        <v>46065</v>
      </c>
      <c r="F2448" t="s">
        <v>372</v>
      </c>
      <c r="G2448" t="s">
        <v>373</v>
      </c>
      <c r="H2448" s="75">
        <f t="shared" si="38"/>
        <v>69.362748319220188</v>
      </c>
      <c r="I2448" s="74">
        <v>46065</v>
      </c>
      <c r="J2448">
        <v>2</v>
      </c>
      <c r="K2448" t="s">
        <v>508</v>
      </c>
      <c r="L2448" t="s">
        <v>348</v>
      </c>
      <c r="M2448" t="s">
        <v>356</v>
      </c>
      <c r="N2448" s="73">
        <v>67261</v>
      </c>
      <c r="O2448" s="73">
        <v>67261</v>
      </c>
      <c r="P2448">
        <v>34.681374159610094</v>
      </c>
    </row>
    <row r="2449" spans="1:16" hidden="1" x14ac:dyDescent="0.2">
      <c r="A2449" s="73">
        <v>67261</v>
      </c>
      <c r="B2449" t="s">
        <v>443</v>
      </c>
      <c r="C2449" s="73" t="s">
        <v>486</v>
      </c>
      <c r="D2449" t="s">
        <v>507</v>
      </c>
      <c r="E2449" s="74">
        <v>46066</v>
      </c>
      <c r="F2449" t="s">
        <v>372</v>
      </c>
      <c r="G2449" t="s">
        <v>373</v>
      </c>
      <c r="H2449" s="75">
        <f t="shared" si="38"/>
        <v>69.362748319220188</v>
      </c>
      <c r="I2449" s="74">
        <v>46066</v>
      </c>
      <c r="J2449">
        <v>2</v>
      </c>
      <c r="K2449" t="s">
        <v>508</v>
      </c>
      <c r="L2449" t="s">
        <v>348</v>
      </c>
      <c r="M2449" t="s">
        <v>356</v>
      </c>
      <c r="N2449" s="73">
        <v>67261</v>
      </c>
      <c r="O2449" s="73">
        <v>67261</v>
      </c>
      <c r="P2449">
        <v>34.681374159610094</v>
      </c>
    </row>
    <row r="2450" spans="1:16" hidden="1" x14ac:dyDescent="0.2">
      <c r="A2450" s="73">
        <v>67261</v>
      </c>
      <c r="B2450" t="s">
        <v>443</v>
      </c>
      <c r="C2450" s="73" t="s">
        <v>486</v>
      </c>
      <c r="D2450" t="s">
        <v>507</v>
      </c>
      <c r="E2450" s="74">
        <v>46066</v>
      </c>
      <c r="F2450" t="s">
        <v>387</v>
      </c>
      <c r="G2450" t="s">
        <v>388</v>
      </c>
      <c r="H2450" s="75">
        <f t="shared" si="38"/>
        <v>69.362748319220188</v>
      </c>
      <c r="I2450" s="74">
        <v>46066</v>
      </c>
      <c r="J2450">
        <v>2</v>
      </c>
      <c r="K2450" t="s">
        <v>508</v>
      </c>
      <c r="L2450" t="s">
        <v>367</v>
      </c>
      <c r="M2450" t="s">
        <v>356</v>
      </c>
      <c r="N2450" s="73">
        <v>67261</v>
      </c>
      <c r="O2450" s="73">
        <v>67261</v>
      </c>
      <c r="P2450">
        <v>34.681374159610094</v>
      </c>
    </row>
    <row r="2451" spans="1:16" hidden="1" x14ac:dyDescent="0.2">
      <c r="A2451" s="73">
        <v>67261</v>
      </c>
      <c r="B2451" t="s">
        <v>443</v>
      </c>
      <c r="C2451" s="73" t="s">
        <v>486</v>
      </c>
      <c r="D2451" t="s">
        <v>507</v>
      </c>
      <c r="E2451" s="74">
        <v>46069</v>
      </c>
      <c r="F2451" t="s">
        <v>387</v>
      </c>
      <c r="G2451" t="s">
        <v>388</v>
      </c>
      <c r="H2451" s="75">
        <f t="shared" si="38"/>
        <v>69.362748319220188</v>
      </c>
      <c r="I2451" s="74">
        <v>46069</v>
      </c>
      <c r="J2451">
        <v>2</v>
      </c>
      <c r="K2451" t="s">
        <v>508</v>
      </c>
      <c r="L2451" t="s">
        <v>367</v>
      </c>
      <c r="M2451" t="s">
        <v>356</v>
      </c>
      <c r="N2451" s="73">
        <v>67261</v>
      </c>
      <c r="O2451" s="73">
        <v>67261</v>
      </c>
      <c r="P2451">
        <v>34.681374159610094</v>
      </c>
    </row>
    <row r="2452" spans="1:16" hidden="1" x14ac:dyDescent="0.2">
      <c r="A2452" s="73">
        <v>67261</v>
      </c>
      <c r="B2452" t="s">
        <v>443</v>
      </c>
      <c r="C2452" s="73" t="s">
        <v>486</v>
      </c>
      <c r="D2452" t="s">
        <v>507</v>
      </c>
      <c r="E2452" s="74">
        <v>46070</v>
      </c>
      <c r="F2452" t="s">
        <v>387</v>
      </c>
      <c r="G2452" t="s">
        <v>388</v>
      </c>
      <c r="H2452" s="75">
        <f t="shared" si="38"/>
        <v>69.362748319220188</v>
      </c>
      <c r="I2452" s="74">
        <v>46070</v>
      </c>
      <c r="J2452">
        <v>2</v>
      </c>
      <c r="K2452" t="s">
        <v>508</v>
      </c>
      <c r="L2452" t="s">
        <v>367</v>
      </c>
      <c r="M2452" t="s">
        <v>356</v>
      </c>
      <c r="N2452" s="73">
        <v>67261</v>
      </c>
      <c r="O2452" s="73">
        <v>67261</v>
      </c>
      <c r="P2452">
        <v>34.681374159610094</v>
      </c>
    </row>
    <row r="2453" spans="1:16" hidden="1" x14ac:dyDescent="0.2">
      <c r="A2453" s="73">
        <v>67261</v>
      </c>
      <c r="B2453" t="s">
        <v>443</v>
      </c>
      <c r="C2453" s="73" t="s">
        <v>486</v>
      </c>
      <c r="D2453" t="s">
        <v>507</v>
      </c>
      <c r="E2453" s="74">
        <v>46071</v>
      </c>
      <c r="F2453" t="s">
        <v>404</v>
      </c>
      <c r="G2453" t="s">
        <v>405</v>
      </c>
      <c r="H2453" s="75">
        <f t="shared" si="38"/>
        <v>242.76961911727065</v>
      </c>
      <c r="I2453" s="74">
        <v>46071</v>
      </c>
      <c r="J2453">
        <v>7</v>
      </c>
      <c r="K2453" t="s">
        <v>508</v>
      </c>
      <c r="L2453" t="s">
        <v>262</v>
      </c>
      <c r="M2453" t="s">
        <v>356</v>
      </c>
      <c r="N2453" s="73">
        <v>67261</v>
      </c>
      <c r="O2453" s="73">
        <v>67261</v>
      </c>
      <c r="P2453">
        <v>34.681374159610094</v>
      </c>
    </row>
    <row r="2454" spans="1:16" hidden="1" x14ac:dyDescent="0.2">
      <c r="A2454" s="73">
        <v>67261</v>
      </c>
      <c r="B2454" t="s">
        <v>443</v>
      </c>
      <c r="C2454" s="73" t="s">
        <v>486</v>
      </c>
      <c r="D2454" t="s">
        <v>507</v>
      </c>
      <c r="E2454" s="74">
        <v>46072</v>
      </c>
      <c r="F2454" t="s">
        <v>404</v>
      </c>
      <c r="G2454" t="s">
        <v>405</v>
      </c>
      <c r="H2454" s="75">
        <f t="shared" si="38"/>
        <v>242.76961911727065</v>
      </c>
      <c r="I2454" s="74">
        <v>46072</v>
      </c>
      <c r="J2454">
        <v>7</v>
      </c>
      <c r="K2454" t="s">
        <v>508</v>
      </c>
      <c r="L2454" t="s">
        <v>262</v>
      </c>
      <c r="M2454" t="s">
        <v>356</v>
      </c>
      <c r="N2454" s="73">
        <v>67261</v>
      </c>
      <c r="O2454" s="73">
        <v>67261</v>
      </c>
      <c r="P2454">
        <v>34.681374159610094</v>
      </c>
    </row>
    <row r="2455" spans="1:16" hidden="1" x14ac:dyDescent="0.2">
      <c r="A2455" s="73">
        <v>67261</v>
      </c>
      <c r="B2455" t="s">
        <v>443</v>
      </c>
      <c r="C2455" s="73" t="s">
        <v>486</v>
      </c>
      <c r="D2455" t="s">
        <v>507</v>
      </c>
      <c r="E2455" s="74">
        <v>46072</v>
      </c>
      <c r="F2455" t="s">
        <v>372</v>
      </c>
      <c r="G2455" t="s">
        <v>373</v>
      </c>
      <c r="H2455" s="75">
        <f t="shared" si="38"/>
        <v>69.362748319220188</v>
      </c>
      <c r="I2455" s="74">
        <v>46072</v>
      </c>
      <c r="J2455">
        <v>2</v>
      </c>
      <c r="K2455" t="s">
        <v>508</v>
      </c>
      <c r="L2455" t="s">
        <v>348</v>
      </c>
      <c r="M2455" t="s">
        <v>356</v>
      </c>
      <c r="N2455" s="73">
        <v>67261</v>
      </c>
      <c r="O2455" s="73">
        <v>67261</v>
      </c>
      <c r="P2455">
        <v>34.681374159610094</v>
      </c>
    </row>
    <row r="2456" spans="1:16" hidden="1" x14ac:dyDescent="0.2">
      <c r="A2456" s="73">
        <v>67261</v>
      </c>
      <c r="B2456" t="s">
        <v>443</v>
      </c>
      <c r="C2456" s="73" t="s">
        <v>486</v>
      </c>
      <c r="D2456" t="s">
        <v>507</v>
      </c>
      <c r="E2456" s="74">
        <v>46073</v>
      </c>
      <c r="F2456" t="s">
        <v>372</v>
      </c>
      <c r="G2456" t="s">
        <v>373</v>
      </c>
      <c r="H2456" s="75">
        <f t="shared" si="38"/>
        <v>69.362748319220188</v>
      </c>
      <c r="I2456" s="74">
        <v>46073</v>
      </c>
      <c r="J2456">
        <v>2</v>
      </c>
      <c r="K2456" t="s">
        <v>508</v>
      </c>
      <c r="L2456" t="s">
        <v>348</v>
      </c>
      <c r="M2456" t="s">
        <v>356</v>
      </c>
      <c r="N2456" s="73">
        <v>67261</v>
      </c>
      <c r="O2456" s="73">
        <v>67261</v>
      </c>
      <c r="P2456">
        <v>34.681374159610094</v>
      </c>
    </row>
    <row r="2457" spans="1:16" hidden="1" x14ac:dyDescent="0.2">
      <c r="A2457" s="73">
        <v>67261</v>
      </c>
      <c r="B2457" t="s">
        <v>443</v>
      </c>
      <c r="C2457" s="73" t="s">
        <v>486</v>
      </c>
      <c r="D2457" t="s">
        <v>507</v>
      </c>
      <c r="E2457" s="74">
        <v>46076</v>
      </c>
      <c r="F2457" t="s">
        <v>372</v>
      </c>
      <c r="G2457" t="s">
        <v>373</v>
      </c>
      <c r="H2457" s="75">
        <f t="shared" si="38"/>
        <v>69.362748319220188</v>
      </c>
      <c r="I2457" s="74">
        <v>46076</v>
      </c>
      <c r="J2457">
        <v>2</v>
      </c>
      <c r="K2457" t="s">
        <v>508</v>
      </c>
      <c r="L2457" t="s">
        <v>348</v>
      </c>
      <c r="M2457" t="s">
        <v>356</v>
      </c>
      <c r="N2457" s="73">
        <v>67261</v>
      </c>
      <c r="O2457" s="73">
        <v>67261</v>
      </c>
      <c r="P2457">
        <v>34.681374159610094</v>
      </c>
    </row>
    <row r="2458" spans="1:16" hidden="1" x14ac:dyDescent="0.2">
      <c r="A2458" s="73">
        <v>67261</v>
      </c>
      <c r="B2458" t="s">
        <v>443</v>
      </c>
      <c r="C2458" s="73" t="s">
        <v>486</v>
      </c>
      <c r="D2458" t="s">
        <v>507</v>
      </c>
      <c r="E2458" s="74">
        <v>46076</v>
      </c>
      <c r="F2458" t="s">
        <v>387</v>
      </c>
      <c r="G2458" t="s">
        <v>388</v>
      </c>
      <c r="H2458" s="75">
        <f t="shared" si="38"/>
        <v>69.362748319220188</v>
      </c>
      <c r="I2458" s="74">
        <v>46076</v>
      </c>
      <c r="J2458">
        <v>2</v>
      </c>
      <c r="K2458" t="s">
        <v>508</v>
      </c>
      <c r="L2458" t="s">
        <v>367</v>
      </c>
      <c r="M2458" t="s">
        <v>356</v>
      </c>
      <c r="N2458" s="73">
        <v>67261</v>
      </c>
      <c r="O2458" s="73">
        <v>67261</v>
      </c>
      <c r="P2458">
        <v>34.681374159610094</v>
      </c>
    </row>
    <row r="2459" spans="1:16" hidden="1" x14ac:dyDescent="0.2">
      <c r="A2459" s="73">
        <v>67261</v>
      </c>
      <c r="B2459" t="s">
        <v>443</v>
      </c>
      <c r="C2459" s="73" t="s">
        <v>486</v>
      </c>
      <c r="D2459" t="s">
        <v>507</v>
      </c>
      <c r="E2459" s="74">
        <v>46077</v>
      </c>
      <c r="F2459" t="s">
        <v>387</v>
      </c>
      <c r="G2459" t="s">
        <v>388</v>
      </c>
      <c r="H2459" s="75">
        <f t="shared" si="38"/>
        <v>69.362748319220188</v>
      </c>
      <c r="I2459" s="74">
        <v>46077</v>
      </c>
      <c r="J2459">
        <v>2</v>
      </c>
      <c r="K2459" t="s">
        <v>508</v>
      </c>
      <c r="L2459" t="s">
        <v>367</v>
      </c>
      <c r="M2459" t="s">
        <v>356</v>
      </c>
      <c r="N2459" s="73">
        <v>67261</v>
      </c>
      <c r="O2459" s="73">
        <v>67261</v>
      </c>
      <c r="P2459">
        <v>34.681374159610094</v>
      </c>
    </row>
    <row r="2460" spans="1:16" hidden="1" x14ac:dyDescent="0.2">
      <c r="A2460" s="73">
        <v>67261</v>
      </c>
      <c r="B2460" t="s">
        <v>443</v>
      </c>
      <c r="C2460" s="73" t="s">
        <v>486</v>
      </c>
      <c r="D2460" t="s">
        <v>507</v>
      </c>
      <c r="E2460" s="74">
        <v>46078</v>
      </c>
      <c r="F2460" t="s">
        <v>372</v>
      </c>
      <c r="G2460" t="s">
        <v>373</v>
      </c>
      <c r="H2460" s="75">
        <f t="shared" si="38"/>
        <v>69.362748319220188</v>
      </c>
      <c r="I2460" s="74">
        <v>46078</v>
      </c>
      <c r="J2460">
        <v>2</v>
      </c>
      <c r="K2460" t="s">
        <v>508</v>
      </c>
      <c r="L2460" t="s">
        <v>348</v>
      </c>
      <c r="M2460" t="s">
        <v>356</v>
      </c>
      <c r="N2460" s="73">
        <v>67261</v>
      </c>
      <c r="O2460" s="73">
        <v>67261</v>
      </c>
      <c r="P2460">
        <v>34.681374159610094</v>
      </c>
    </row>
    <row r="2461" spans="1:16" hidden="1" x14ac:dyDescent="0.2">
      <c r="A2461" s="73">
        <v>67261</v>
      </c>
      <c r="B2461" t="s">
        <v>443</v>
      </c>
      <c r="C2461" s="73" t="s">
        <v>486</v>
      </c>
      <c r="D2461" t="s">
        <v>507</v>
      </c>
      <c r="E2461" s="74">
        <v>46078</v>
      </c>
      <c r="F2461" t="s">
        <v>387</v>
      </c>
      <c r="G2461" t="s">
        <v>388</v>
      </c>
      <c r="H2461" s="75">
        <f t="shared" si="38"/>
        <v>69.362748319220188</v>
      </c>
      <c r="I2461" s="74">
        <v>46078</v>
      </c>
      <c r="J2461">
        <v>2</v>
      </c>
      <c r="K2461" t="s">
        <v>508</v>
      </c>
      <c r="L2461" t="s">
        <v>367</v>
      </c>
      <c r="M2461" t="s">
        <v>356</v>
      </c>
      <c r="N2461" s="73">
        <v>67261</v>
      </c>
      <c r="O2461" s="73">
        <v>67261</v>
      </c>
      <c r="P2461">
        <v>34.681374159610094</v>
      </c>
    </row>
    <row r="2462" spans="1:16" hidden="1" x14ac:dyDescent="0.2">
      <c r="A2462" s="73">
        <v>67261</v>
      </c>
      <c r="B2462" t="s">
        <v>443</v>
      </c>
      <c r="C2462" s="73" t="s">
        <v>486</v>
      </c>
      <c r="D2462" t="s">
        <v>507</v>
      </c>
      <c r="E2462" s="74">
        <v>46079</v>
      </c>
      <c r="F2462" t="s">
        <v>372</v>
      </c>
      <c r="G2462" t="s">
        <v>373</v>
      </c>
      <c r="H2462" s="75">
        <f t="shared" si="38"/>
        <v>69.362748319220188</v>
      </c>
      <c r="I2462" s="74">
        <v>46079</v>
      </c>
      <c r="J2462">
        <v>2</v>
      </c>
      <c r="K2462" t="s">
        <v>508</v>
      </c>
      <c r="L2462" t="s">
        <v>348</v>
      </c>
      <c r="M2462" t="s">
        <v>356</v>
      </c>
      <c r="N2462" s="73">
        <v>67261</v>
      </c>
      <c r="O2462" s="73">
        <v>67261</v>
      </c>
      <c r="P2462">
        <v>34.681374159610094</v>
      </c>
    </row>
    <row r="2463" spans="1:16" hidden="1" x14ac:dyDescent="0.2">
      <c r="A2463" s="73">
        <v>67261</v>
      </c>
      <c r="B2463" t="s">
        <v>443</v>
      </c>
      <c r="C2463" s="73" t="s">
        <v>486</v>
      </c>
      <c r="D2463" t="s">
        <v>507</v>
      </c>
      <c r="E2463" s="74">
        <v>46083</v>
      </c>
      <c r="F2463" t="s">
        <v>387</v>
      </c>
      <c r="G2463" t="s">
        <v>388</v>
      </c>
      <c r="H2463" s="75">
        <f t="shared" si="38"/>
        <v>138.72549663844038</v>
      </c>
      <c r="I2463" s="74">
        <v>46083</v>
      </c>
      <c r="J2463">
        <v>4</v>
      </c>
      <c r="K2463" t="s">
        <v>509</v>
      </c>
      <c r="L2463" t="s">
        <v>367</v>
      </c>
      <c r="M2463" t="s">
        <v>356</v>
      </c>
      <c r="N2463" s="73">
        <v>67261</v>
      </c>
      <c r="O2463" s="73">
        <v>67261</v>
      </c>
      <c r="P2463">
        <v>34.681374159610094</v>
      </c>
    </row>
    <row r="2464" spans="1:16" hidden="1" x14ac:dyDescent="0.2">
      <c r="A2464" s="73">
        <v>67261</v>
      </c>
      <c r="B2464" t="s">
        <v>443</v>
      </c>
      <c r="C2464" s="73" t="s">
        <v>486</v>
      </c>
      <c r="D2464" t="s">
        <v>507</v>
      </c>
      <c r="E2464" s="74">
        <v>46083</v>
      </c>
      <c r="F2464" t="s">
        <v>372</v>
      </c>
      <c r="G2464" t="s">
        <v>373</v>
      </c>
      <c r="H2464" s="75">
        <f t="shared" si="38"/>
        <v>69.362748319220188</v>
      </c>
      <c r="I2464" s="74">
        <v>46083</v>
      </c>
      <c r="J2464">
        <v>2</v>
      </c>
      <c r="K2464" t="s">
        <v>509</v>
      </c>
      <c r="L2464" t="s">
        <v>348</v>
      </c>
      <c r="M2464" t="s">
        <v>356</v>
      </c>
      <c r="N2464" s="73">
        <v>67261</v>
      </c>
      <c r="O2464" s="73">
        <v>67261</v>
      </c>
      <c r="P2464">
        <v>34.681374159610094</v>
      </c>
    </row>
    <row r="2465" spans="1:16" hidden="1" x14ac:dyDescent="0.2">
      <c r="A2465" s="73">
        <v>67261</v>
      </c>
      <c r="B2465" t="s">
        <v>443</v>
      </c>
      <c r="C2465" s="73" t="s">
        <v>486</v>
      </c>
      <c r="D2465" t="s">
        <v>507</v>
      </c>
      <c r="E2465" s="74">
        <v>46084</v>
      </c>
      <c r="F2465" t="s">
        <v>387</v>
      </c>
      <c r="G2465" t="s">
        <v>388</v>
      </c>
      <c r="H2465" s="75">
        <f t="shared" si="38"/>
        <v>138.72549663844038</v>
      </c>
      <c r="I2465" s="74">
        <v>46084</v>
      </c>
      <c r="J2465">
        <v>4</v>
      </c>
      <c r="K2465" t="s">
        <v>509</v>
      </c>
      <c r="L2465" t="s">
        <v>367</v>
      </c>
      <c r="M2465" t="s">
        <v>356</v>
      </c>
      <c r="N2465" s="73">
        <v>67261</v>
      </c>
      <c r="O2465" s="73">
        <v>67261</v>
      </c>
      <c r="P2465">
        <v>34.681374159610094</v>
      </c>
    </row>
    <row r="2466" spans="1:16" hidden="1" x14ac:dyDescent="0.2">
      <c r="A2466" s="73">
        <v>67261</v>
      </c>
      <c r="B2466" t="s">
        <v>443</v>
      </c>
      <c r="C2466" s="73" t="s">
        <v>486</v>
      </c>
      <c r="D2466" t="s">
        <v>507</v>
      </c>
      <c r="E2466" s="74">
        <v>46084</v>
      </c>
      <c r="F2466" t="s">
        <v>372</v>
      </c>
      <c r="G2466" t="s">
        <v>373</v>
      </c>
      <c r="H2466" s="75">
        <f t="shared" si="38"/>
        <v>69.362748319220188</v>
      </c>
      <c r="I2466" s="74">
        <v>46084</v>
      </c>
      <c r="J2466">
        <v>2</v>
      </c>
      <c r="K2466" t="s">
        <v>509</v>
      </c>
      <c r="L2466" t="s">
        <v>348</v>
      </c>
      <c r="M2466" t="s">
        <v>356</v>
      </c>
      <c r="N2466" s="73">
        <v>67261</v>
      </c>
      <c r="O2466" s="73">
        <v>67261</v>
      </c>
      <c r="P2466">
        <v>34.681374159610094</v>
      </c>
    </row>
    <row r="2467" spans="1:16" hidden="1" x14ac:dyDescent="0.2">
      <c r="A2467" s="73">
        <v>67261</v>
      </c>
      <c r="B2467" t="s">
        <v>443</v>
      </c>
      <c r="C2467" s="73" t="s">
        <v>486</v>
      </c>
      <c r="D2467" t="s">
        <v>507</v>
      </c>
      <c r="E2467" s="74">
        <v>46085</v>
      </c>
      <c r="F2467" t="s">
        <v>387</v>
      </c>
      <c r="G2467" t="s">
        <v>388</v>
      </c>
      <c r="H2467" s="75">
        <f t="shared" si="38"/>
        <v>138.72549663844038</v>
      </c>
      <c r="I2467" s="74">
        <v>46085</v>
      </c>
      <c r="J2467">
        <v>4</v>
      </c>
      <c r="K2467" t="s">
        <v>509</v>
      </c>
      <c r="L2467" t="s">
        <v>367</v>
      </c>
      <c r="M2467" t="s">
        <v>356</v>
      </c>
      <c r="N2467" s="73">
        <v>67261</v>
      </c>
      <c r="O2467" s="73">
        <v>67261</v>
      </c>
      <c r="P2467">
        <v>34.681374159610094</v>
      </c>
    </row>
    <row r="2468" spans="1:16" hidden="1" x14ac:dyDescent="0.2">
      <c r="A2468" s="73">
        <v>67261</v>
      </c>
      <c r="B2468" t="s">
        <v>443</v>
      </c>
      <c r="C2468" s="73" t="s">
        <v>486</v>
      </c>
      <c r="D2468" t="s">
        <v>507</v>
      </c>
      <c r="E2468" s="74">
        <v>46085</v>
      </c>
      <c r="F2468" t="s">
        <v>372</v>
      </c>
      <c r="G2468" t="s">
        <v>373</v>
      </c>
      <c r="H2468" s="75">
        <f t="shared" si="38"/>
        <v>69.362748319220188</v>
      </c>
      <c r="I2468" s="74">
        <v>46085</v>
      </c>
      <c r="J2468">
        <v>2</v>
      </c>
      <c r="K2468" t="s">
        <v>509</v>
      </c>
      <c r="L2468" t="s">
        <v>348</v>
      </c>
      <c r="M2468" t="s">
        <v>356</v>
      </c>
      <c r="N2468" s="73">
        <v>67261</v>
      </c>
      <c r="O2468" s="73">
        <v>67261</v>
      </c>
      <c r="P2468">
        <v>34.681374159610094</v>
      </c>
    </row>
    <row r="2469" spans="1:16" hidden="1" x14ac:dyDescent="0.2">
      <c r="A2469" s="73">
        <v>67261</v>
      </c>
      <c r="B2469" t="s">
        <v>443</v>
      </c>
      <c r="C2469" s="73" t="s">
        <v>486</v>
      </c>
      <c r="D2469" t="s">
        <v>507</v>
      </c>
      <c r="E2469" s="74">
        <v>46086</v>
      </c>
      <c r="F2469" t="s">
        <v>372</v>
      </c>
      <c r="G2469" t="s">
        <v>373</v>
      </c>
      <c r="H2469" s="75">
        <f t="shared" si="38"/>
        <v>69.362748319220188</v>
      </c>
      <c r="I2469" s="74">
        <v>46086</v>
      </c>
      <c r="J2469">
        <v>2</v>
      </c>
      <c r="K2469" t="s">
        <v>509</v>
      </c>
      <c r="L2469" t="s">
        <v>348</v>
      </c>
      <c r="M2469" t="s">
        <v>356</v>
      </c>
      <c r="N2469" s="73">
        <v>67261</v>
      </c>
      <c r="O2469" s="73">
        <v>67261</v>
      </c>
      <c r="P2469">
        <v>34.681374159610094</v>
      </c>
    </row>
    <row r="2470" spans="1:16" hidden="1" x14ac:dyDescent="0.2">
      <c r="A2470" s="73">
        <v>67261</v>
      </c>
      <c r="B2470" t="s">
        <v>443</v>
      </c>
      <c r="C2470" s="73" t="s">
        <v>486</v>
      </c>
      <c r="D2470" t="s">
        <v>507</v>
      </c>
      <c r="E2470" s="74">
        <v>46087</v>
      </c>
      <c r="F2470" t="s">
        <v>372</v>
      </c>
      <c r="G2470" t="s">
        <v>373</v>
      </c>
      <c r="H2470" s="75">
        <f t="shared" si="38"/>
        <v>69.362748319220188</v>
      </c>
      <c r="I2470" s="74">
        <v>46087</v>
      </c>
      <c r="J2470">
        <v>2</v>
      </c>
      <c r="K2470" t="s">
        <v>509</v>
      </c>
      <c r="L2470" t="s">
        <v>348</v>
      </c>
      <c r="M2470" t="s">
        <v>356</v>
      </c>
      <c r="N2470" s="73">
        <v>67261</v>
      </c>
      <c r="O2470" s="73">
        <v>67261</v>
      </c>
      <c r="P2470">
        <v>34.681374159610094</v>
      </c>
    </row>
    <row r="2471" spans="1:16" hidden="1" x14ac:dyDescent="0.2">
      <c r="A2471" s="73">
        <v>67261</v>
      </c>
      <c r="B2471" t="s">
        <v>443</v>
      </c>
      <c r="C2471" s="73" t="s">
        <v>486</v>
      </c>
      <c r="D2471" t="s">
        <v>507</v>
      </c>
      <c r="E2471" s="74">
        <v>46090</v>
      </c>
      <c r="F2471" t="s">
        <v>372</v>
      </c>
      <c r="G2471" t="s">
        <v>373</v>
      </c>
      <c r="H2471" s="75">
        <f t="shared" si="38"/>
        <v>69.362748319220188</v>
      </c>
      <c r="I2471" s="74">
        <v>46090</v>
      </c>
      <c r="J2471">
        <v>2</v>
      </c>
      <c r="K2471" t="s">
        <v>509</v>
      </c>
      <c r="L2471" t="s">
        <v>348</v>
      </c>
      <c r="M2471" t="s">
        <v>356</v>
      </c>
      <c r="N2471" s="73">
        <v>67261</v>
      </c>
      <c r="O2471" s="73">
        <v>67261</v>
      </c>
      <c r="P2471">
        <v>34.681374159610094</v>
      </c>
    </row>
    <row r="2472" spans="1:16" hidden="1" x14ac:dyDescent="0.2">
      <c r="A2472" s="73">
        <v>67261</v>
      </c>
      <c r="B2472" t="s">
        <v>443</v>
      </c>
      <c r="C2472" s="73" t="s">
        <v>486</v>
      </c>
      <c r="D2472" t="s">
        <v>507</v>
      </c>
      <c r="E2472" s="74">
        <v>46090</v>
      </c>
      <c r="F2472" t="s">
        <v>387</v>
      </c>
      <c r="G2472" t="s">
        <v>388</v>
      </c>
      <c r="H2472" s="75">
        <f t="shared" si="38"/>
        <v>138.72549663844038</v>
      </c>
      <c r="I2472" s="74">
        <v>46090</v>
      </c>
      <c r="J2472">
        <v>4</v>
      </c>
      <c r="K2472" t="s">
        <v>509</v>
      </c>
      <c r="L2472" t="s">
        <v>367</v>
      </c>
      <c r="M2472" t="s">
        <v>356</v>
      </c>
      <c r="N2472" s="73">
        <v>67261</v>
      </c>
      <c r="O2472" s="73">
        <v>67261</v>
      </c>
      <c r="P2472">
        <v>34.681374159610094</v>
      </c>
    </row>
    <row r="2473" spans="1:16" hidden="1" x14ac:dyDescent="0.2">
      <c r="A2473" s="73">
        <v>67261</v>
      </c>
      <c r="B2473" t="s">
        <v>443</v>
      </c>
      <c r="C2473" s="73" t="s">
        <v>486</v>
      </c>
      <c r="D2473" t="s">
        <v>507</v>
      </c>
      <c r="E2473" s="74">
        <v>46091</v>
      </c>
      <c r="F2473" t="s">
        <v>372</v>
      </c>
      <c r="G2473" t="s">
        <v>373</v>
      </c>
      <c r="H2473" s="75">
        <f t="shared" si="38"/>
        <v>69.362748319220188</v>
      </c>
      <c r="I2473" s="74">
        <v>46091</v>
      </c>
      <c r="J2473">
        <v>2</v>
      </c>
      <c r="K2473" t="s">
        <v>509</v>
      </c>
      <c r="L2473" t="s">
        <v>348</v>
      </c>
      <c r="M2473" t="s">
        <v>356</v>
      </c>
      <c r="N2473" s="73">
        <v>67261</v>
      </c>
      <c r="O2473" s="73">
        <v>67261</v>
      </c>
      <c r="P2473">
        <v>34.681374159610094</v>
      </c>
    </row>
    <row r="2474" spans="1:16" hidden="1" x14ac:dyDescent="0.2">
      <c r="A2474" s="73">
        <v>67261</v>
      </c>
      <c r="B2474" t="s">
        <v>443</v>
      </c>
      <c r="C2474" s="73" t="s">
        <v>486</v>
      </c>
      <c r="D2474" t="s">
        <v>507</v>
      </c>
      <c r="E2474" s="74">
        <v>46091</v>
      </c>
      <c r="F2474" t="s">
        <v>387</v>
      </c>
      <c r="G2474" t="s">
        <v>388</v>
      </c>
      <c r="H2474" s="75">
        <f t="shared" si="38"/>
        <v>208.08824495766055</v>
      </c>
      <c r="I2474" s="74">
        <v>46091</v>
      </c>
      <c r="J2474">
        <v>6</v>
      </c>
      <c r="K2474" t="s">
        <v>509</v>
      </c>
      <c r="L2474" t="s">
        <v>367</v>
      </c>
      <c r="M2474" t="s">
        <v>356</v>
      </c>
      <c r="N2474" s="73">
        <v>67261</v>
      </c>
      <c r="O2474" s="73">
        <v>67261</v>
      </c>
      <c r="P2474">
        <v>34.681374159610094</v>
      </c>
    </row>
    <row r="2475" spans="1:16" hidden="1" x14ac:dyDescent="0.2">
      <c r="A2475" s="73">
        <v>67261</v>
      </c>
      <c r="B2475" t="s">
        <v>443</v>
      </c>
      <c r="C2475" s="73" t="s">
        <v>486</v>
      </c>
      <c r="D2475" t="s">
        <v>507</v>
      </c>
      <c r="E2475" s="74">
        <v>46092</v>
      </c>
      <c r="F2475" t="s">
        <v>372</v>
      </c>
      <c r="G2475" t="s">
        <v>373</v>
      </c>
      <c r="H2475" s="75">
        <f t="shared" si="38"/>
        <v>69.362748319220188</v>
      </c>
      <c r="I2475" s="74">
        <v>46092</v>
      </c>
      <c r="J2475">
        <v>2</v>
      </c>
      <c r="K2475" t="s">
        <v>509</v>
      </c>
      <c r="L2475" t="s">
        <v>348</v>
      </c>
      <c r="M2475" t="s">
        <v>356</v>
      </c>
      <c r="N2475" s="73">
        <v>67261</v>
      </c>
      <c r="O2475" s="73">
        <v>67261</v>
      </c>
      <c r="P2475">
        <v>34.681374159610094</v>
      </c>
    </row>
    <row r="2476" spans="1:16" hidden="1" x14ac:dyDescent="0.2">
      <c r="A2476" s="73">
        <v>67261</v>
      </c>
      <c r="B2476" t="s">
        <v>443</v>
      </c>
      <c r="C2476" s="73" t="s">
        <v>486</v>
      </c>
      <c r="D2476" t="s">
        <v>507</v>
      </c>
      <c r="E2476" s="74">
        <v>46092</v>
      </c>
      <c r="F2476" t="s">
        <v>387</v>
      </c>
      <c r="G2476" t="s">
        <v>388</v>
      </c>
      <c r="H2476" s="75">
        <f t="shared" si="38"/>
        <v>69.362748319220188</v>
      </c>
      <c r="I2476" s="74">
        <v>46092</v>
      </c>
      <c r="J2476">
        <v>2</v>
      </c>
      <c r="K2476" t="s">
        <v>509</v>
      </c>
      <c r="L2476" t="s">
        <v>367</v>
      </c>
      <c r="M2476" t="s">
        <v>356</v>
      </c>
      <c r="N2476" s="73">
        <v>67261</v>
      </c>
      <c r="O2476" s="73">
        <v>67261</v>
      </c>
      <c r="P2476">
        <v>34.681374159610094</v>
      </c>
    </row>
    <row r="2477" spans="1:16" hidden="1" x14ac:dyDescent="0.2">
      <c r="A2477" s="73">
        <v>67261</v>
      </c>
      <c r="B2477" t="s">
        <v>443</v>
      </c>
      <c r="C2477" s="73" t="s">
        <v>486</v>
      </c>
      <c r="D2477" t="s">
        <v>507</v>
      </c>
      <c r="E2477" s="74">
        <v>46093</v>
      </c>
      <c r="F2477" t="s">
        <v>372</v>
      </c>
      <c r="G2477" t="s">
        <v>373</v>
      </c>
      <c r="H2477" s="75">
        <f t="shared" si="38"/>
        <v>69.362748319220188</v>
      </c>
      <c r="I2477" s="74">
        <v>46093</v>
      </c>
      <c r="J2477">
        <v>2</v>
      </c>
      <c r="K2477" t="s">
        <v>509</v>
      </c>
      <c r="L2477" t="s">
        <v>348</v>
      </c>
      <c r="M2477" t="s">
        <v>356</v>
      </c>
      <c r="N2477" s="73">
        <v>67261</v>
      </c>
      <c r="O2477" s="73">
        <v>67261</v>
      </c>
      <c r="P2477">
        <v>34.681374159610094</v>
      </c>
    </row>
    <row r="2478" spans="1:16" hidden="1" x14ac:dyDescent="0.2">
      <c r="A2478" s="73">
        <v>67261</v>
      </c>
      <c r="B2478" t="s">
        <v>443</v>
      </c>
      <c r="C2478" s="73" t="s">
        <v>486</v>
      </c>
      <c r="D2478" t="s">
        <v>507</v>
      </c>
      <c r="E2478" s="74">
        <v>46093</v>
      </c>
      <c r="F2478" t="s">
        <v>387</v>
      </c>
      <c r="G2478" t="s">
        <v>388</v>
      </c>
      <c r="H2478" s="75">
        <f t="shared" si="38"/>
        <v>69.362748319220188</v>
      </c>
      <c r="I2478" s="74">
        <v>46093</v>
      </c>
      <c r="J2478">
        <v>2</v>
      </c>
      <c r="K2478" t="s">
        <v>509</v>
      </c>
      <c r="L2478" t="s">
        <v>367</v>
      </c>
      <c r="M2478" t="s">
        <v>356</v>
      </c>
      <c r="N2478" s="73">
        <v>67261</v>
      </c>
      <c r="O2478" s="73">
        <v>67261</v>
      </c>
      <c r="P2478">
        <v>34.681374159610094</v>
      </c>
    </row>
    <row r="2479" spans="1:16" hidden="1" x14ac:dyDescent="0.2">
      <c r="A2479" s="73">
        <v>67261</v>
      </c>
      <c r="B2479" t="s">
        <v>443</v>
      </c>
      <c r="C2479" s="73" t="s">
        <v>486</v>
      </c>
      <c r="D2479" t="s">
        <v>507</v>
      </c>
      <c r="E2479" s="74">
        <v>46094</v>
      </c>
      <c r="F2479" t="s">
        <v>372</v>
      </c>
      <c r="G2479" t="s">
        <v>373</v>
      </c>
      <c r="H2479" s="75">
        <f t="shared" si="38"/>
        <v>69.362748319220188</v>
      </c>
      <c r="I2479" s="74">
        <v>46094</v>
      </c>
      <c r="J2479">
        <v>2</v>
      </c>
      <c r="K2479" t="s">
        <v>509</v>
      </c>
      <c r="L2479" t="s">
        <v>348</v>
      </c>
      <c r="M2479" t="s">
        <v>356</v>
      </c>
      <c r="N2479" s="73">
        <v>67261</v>
      </c>
      <c r="O2479" s="73">
        <v>67261</v>
      </c>
      <c r="P2479">
        <v>34.681374159610094</v>
      </c>
    </row>
    <row r="2480" spans="1:16" hidden="1" x14ac:dyDescent="0.2">
      <c r="A2480" s="73">
        <v>67261</v>
      </c>
      <c r="B2480" t="s">
        <v>443</v>
      </c>
      <c r="C2480" s="73" t="s">
        <v>486</v>
      </c>
      <c r="D2480" t="s">
        <v>507</v>
      </c>
      <c r="E2480" s="74">
        <v>46097</v>
      </c>
      <c r="F2480" t="s">
        <v>372</v>
      </c>
      <c r="G2480" t="s">
        <v>373</v>
      </c>
      <c r="H2480" s="75">
        <f t="shared" si="38"/>
        <v>34.681374159610094</v>
      </c>
      <c r="I2480" s="74">
        <v>46097</v>
      </c>
      <c r="J2480">
        <v>1</v>
      </c>
      <c r="K2480" t="s">
        <v>509</v>
      </c>
      <c r="L2480" t="s">
        <v>348</v>
      </c>
      <c r="M2480" t="s">
        <v>356</v>
      </c>
      <c r="N2480" s="73">
        <v>67261</v>
      </c>
      <c r="O2480" s="73">
        <v>67261</v>
      </c>
      <c r="P2480">
        <v>34.681374159610094</v>
      </c>
    </row>
    <row r="2481" spans="1:16" hidden="1" x14ac:dyDescent="0.2">
      <c r="A2481" s="73">
        <v>67261</v>
      </c>
      <c r="B2481" t="s">
        <v>443</v>
      </c>
      <c r="C2481" s="73" t="s">
        <v>486</v>
      </c>
      <c r="D2481" t="s">
        <v>507</v>
      </c>
      <c r="E2481" s="74">
        <v>46098</v>
      </c>
      <c r="F2481" t="s">
        <v>372</v>
      </c>
      <c r="G2481" t="s">
        <v>373</v>
      </c>
      <c r="H2481" s="75">
        <f t="shared" si="38"/>
        <v>34.681374159610094</v>
      </c>
      <c r="I2481" s="74">
        <v>46098</v>
      </c>
      <c r="J2481">
        <v>1</v>
      </c>
      <c r="K2481" t="s">
        <v>509</v>
      </c>
      <c r="L2481" t="s">
        <v>348</v>
      </c>
      <c r="M2481" t="s">
        <v>356</v>
      </c>
      <c r="N2481" s="73">
        <v>67261</v>
      </c>
      <c r="O2481" s="73">
        <v>67261</v>
      </c>
      <c r="P2481">
        <v>34.681374159610094</v>
      </c>
    </row>
    <row r="2482" spans="1:16" hidden="1" x14ac:dyDescent="0.2">
      <c r="A2482" s="73">
        <v>67261</v>
      </c>
      <c r="B2482" t="s">
        <v>443</v>
      </c>
      <c r="C2482" s="73" t="s">
        <v>486</v>
      </c>
      <c r="D2482" t="s">
        <v>507</v>
      </c>
      <c r="E2482" s="74">
        <v>46099</v>
      </c>
      <c r="F2482" t="s">
        <v>387</v>
      </c>
      <c r="G2482" t="s">
        <v>388</v>
      </c>
      <c r="H2482" s="75">
        <f t="shared" si="38"/>
        <v>34.681374159610094</v>
      </c>
      <c r="I2482" s="74">
        <v>46099</v>
      </c>
      <c r="J2482">
        <v>1</v>
      </c>
      <c r="K2482" t="s">
        <v>509</v>
      </c>
      <c r="L2482" t="s">
        <v>367</v>
      </c>
      <c r="M2482" t="s">
        <v>356</v>
      </c>
      <c r="N2482" s="73">
        <v>67261</v>
      </c>
      <c r="O2482" s="73">
        <v>67261</v>
      </c>
      <c r="P2482">
        <v>34.681374159610094</v>
      </c>
    </row>
    <row r="2483" spans="1:16" hidden="1" x14ac:dyDescent="0.2">
      <c r="A2483" s="73">
        <v>67261</v>
      </c>
      <c r="B2483" t="s">
        <v>443</v>
      </c>
      <c r="C2483" s="73" t="s">
        <v>486</v>
      </c>
      <c r="D2483" t="s">
        <v>507</v>
      </c>
      <c r="E2483" s="74">
        <v>46099</v>
      </c>
      <c r="F2483" t="s">
        <v>372</v>
      </c>
      <c r="G2483" t="s">
        <v>373</v>
      </c>
      <c r="H2483" s="75">
        <f t="shared" si="38"/>
        <v>34.681374159610094</v>
      </c>
      <c r="I2483" s="74">
        <v>46099</v>
      </c>
      <c r="J2483">
        <v>1</v>
      </c>
      <c r="K2483" t="s">
        <v>509</v>
      </c>
      <c r="L2483" t="s">
        <v>348</v>
      </c>
      <c r="M2483" t="s">
        <v>356</v>
      </c>
      <c r="N2483" s="73">
        <v>67261</v>
      </c>
      <c r="O2483" s="73">
        <v>67261</v>
      </c>
      <c r="P2483">
        <v>34.681374159610094</v>
      </c>
    </row>
    <row r="2484" spans="1:16" hidden="1" x14ac:dyDescent="0.2">
      <c r="A2484" s="73">
        <v>67261</v>
      </c>
      <c r="B2484" t="s">
        <v>443</v>
      </c>
      <c r="C2484" s="73" t="s">
        <v>486</v>
      </c>
      <c r="D2484" t="s">
        <v>507</v>
      </c>
      <c r="E2484" s="74">
        <v>46100</v>
      </c>
      <c r="F2484" t="s">
        <v>387</v>
      </c>
      <c r="G2484" t="s">
        <v>388</v>
      </c>
      <c r="H2484" s="75">
        <f t="shared" si="38"/>
        <v>69.362748319220188</v>
      </c>
      <c r="I2484" s="74">
        <v>46100</v>
      </c>
      <c r="J2484">
        <v>2</v>
      </c>
      <c r="K2484" t="s">
        <v>509</v>
      </c>
      <c r="L2484" t="s">
        <v>367</v>
      </c>
      <c r="M2484" t="s">
        <v>356</v>
      </c>
      <c r="N2484" s="73">
        <v>67261</v>
      </c>
      <c r="O2484" s="73">
        <v>67261</v>
      </c>
      <c r="P2484">
        <v>34.681374159610094</v>
      </c>
    </row>
    <row r="2485" spans="1:16" hidden="1" x14ac:dyDescent="0.2">
      <c r="A2485" s="73">
        <v>67261</v>
      </c>
      <c r="B2485" t="s">
        <v>443</v>
      </c>
      <c r="C2485" s="73" t="s">
        <v>486</v>
      </c>
      <c r="D2485" t="s">
        <v>507</v>
      </c>
      <c r="E2485" s="74">
        <v>46111</v>
      </c>
      <c r="F2485" t="s">
        <v>372</v>
      </c>
      <c r="G2485" t="s">
        <v>373</v>
      </c>
      <c r="H2485" s="75">
        <f t="shared" si="38"/>
        <v>69.362748319220188</v>
      </c>
      <c r="I2485" s="74">
        <v>46111</v>
      </c>
      <c r="J2485">
        <v>2</v>
      </c>
      <c r="K2485" t="s">
        <v>509</v>
      </c>
      <c r="L2485" t="s">
        <v>348</v>
      </c>
      <c r="M2485" t="s">
        <v>356</v>
      </c>
      <c r="N2485" s="73">
        <v>67261</v>
      </c>
      <c r="O2485" s="73">
        <v>67261</v>
      </c>
      <c r="P2485">
        <v>34.681374159610094</v>
      </c>
    </row>
    <row r="2486" spans="1:16" hidden="1" x14ac:dyDescent="0.2">
      <c r="A2486" s="73">
        <v>67261</v>
      </c>
      <c r="B2486" t="s">
        <v>443</v>
      </c>
      <c r="C2486" s="73" t="s">
        <v>486</v>
      </c>
      <c r="D2486" t="s">
        <v>507</v>
      </c>
      <c r="E2486" s="74">
        <v>46111</v>
      </c>
      <c r="F2486" t="s">
        <v>404</v>
      </c>
      <c r="G2486" t="s">
        <v>405</v>
      </c>
      <c r="H2486" s="75">
        <f t="shared" si="38"/>
        <v>173.40687079805048</v>
      </c>
      <c r="I2486" s="74">
        <v>46111</v>
      </c>
      <c r="J2486">
        <v>5</v>
      </c>
      <c r="K2486" t="s">
        <v>509</v>
      </c>
      <c r="L2486" t="s">
        <v>262</v>
      </c>
      <c r="M2486" t="s">
        <v>356</v>
      </c>
      <c r="N2486" s="73">
        <v>67261</v>
      </c>
      <c r="O2486" s="73">
        <v>67261</v>
      </c>
      <c r="P2486">
        <v>34.681374159610094</v>
      </c>
    </row>
    <row r="2487" spans="1:16" hidden="1" x14ac:dyDescent="0.2">
      <c r="A2487" s="73">
        <v>67261</v>
      </c>
      <c r="B2487" t="s">
        <v>443</v>
      </c>
      <c r="C2487" s="73" t="s">
        <v>486</v>
      </c>
      <c r="D2487" t="s">
        <v>507</v>
      </c>
      <c r="E2487" s="74">
        <v>46112</v>
      </c>
      <c r="F2487" t="s">
        <v>372</v>
      </c>
      <c r="G2487" t="s">
        <v>373</v>
      </c>
      <c r="H2487" s="75">
        <f t="shared" si="38"/>
        <v>69.362748319220188</v>
      </c>
      <c r="I2487" s="74">
        <v>46112</v>
      </c>
      <c r="J2487">
        <v>2</v>
      </c>
      <c r="K2487" t="s">
        <v>509</v>
      </c>
      <c r="L2487" t="s">
        <v>348</v>
      </c>
      <c r="M2487" t="s">
        <v>356</v>
      </c>
      <c r="N2487" s="73">
        <v>67261</v>
      </c>
      <c r="O2487" s="73">
        <v>67261</v>
      </c>
      <c r="P2487">
        <v>34.681374159610094</v>
      </c>
    </row>
    <row r="2488" spans="1:16" hidden="1" x14ac:dyDescent="0.2">
      <c r="A2488" s="73">
        <v>67261</v>
      </c>
      <c r="B2488" t="s">
        <v>443</v>
      </c>
      <c r="C2488" s="73" t="s">
        <v>486</v>
      </c>
      <c r="D2488" t="s">
        <v>507</v>
      </c>
      <c r="E2488" s="74">
        <v>46113</v>
      </c>
      <c r="F2488" t="s">
        <v>372</v>
      </c>
      <c r="G2488" t="s">
        <v>373</v>
      </c>
      <c r="H2488" s="75">
        <f t="shared" si="38"/>
        <v>69.362748319220188</v>
      </c>
      <c r="I2488" s="74">
        <v>46113</v>
      </c>
      <c r="J2488">
        <v>2</v>
      </c>
      <c r="K2488" t="s">
        <v>510</v>
      </c>
      <c r="L2488" t="s">
        <v>348</v>
      </c>
      <c r="M2488" t="s">
        <v>356</v>
      </c>
      <c r="N2488" s="73">
        <v>67261</v>
      </c>
      <c r="O2488" s="73">
        <v>67261</v>
      </c>
      <c r="P2488">
        <v>34.681374159610094</v>
      </c>
    </row>
    <row r="2489" spans="1:16" hidden="1" x14ac:dyDescent="0.2">
      <c r="A2489" s="73">
        <v>67261</v>
      </c>
      <c r="B2489" t="s">
        <v>443</v>
      </c>
      <c r="C2489" s="73" t="s">
        <v>486</v>
      </c>
      <c r="D2489" t="s">
        <v>507</v>
      </c>
      <c r="E2489" s="74">
        <v>46113</v>
      </c>
      <c r="F2489" t="s">
        <v>353</v>
      </c>
      <c r="G2489" t="s">
        <v>354</v>
      </c>
      <c r="H2489" s="75">
        <f t="shared" si="38"/>
        <v>242.76961911727065</v>
      </c>
      <c r="I2489" s="74">
        <v>46113</v>
      </c>
      <c r="J2489">
        <v>7</v>
      </c>
      <c r="K2489" t="s">
        <v>510</v>
      </c>
      <c r="L2489" t="s">
        <v>355</v>
      </c>
      <c r="M2489" t="s">
        <v>356</v>
      </c>
      <c r="N2489" s="73">
        <v>67261</v>
      </c>
      <c r="O2489" s="73">
        <v>67261</v>
      </c>
      <c r="P2489">
        <v>34.681374159610094</v>
      </c>
    </row>
    <row r="2490" spans="1:16" hidden="1" x14ac:dyDescent="0.2">
      <c r="A2490" s="73">
        <v>67261</v>
      </c>
      <c r="B2490" t="s">
        <v>443</v>
      </c>
      <c r="C2490" s="73" t="s">
        <v>486</v>
      </c>
      <c r="D2490" t="s">
        <v>507</v>
      </c>
      <c r="E2490" s="74">
        <v>46114</v>
      </c>
      <c r="F2490" t="s">
        <v>372</v>
      </c>
      <c r="G2490" t="s">
        <v>373</v>
      </c>
      <c r="H2490" s="75">
        <f t="shared" si="38"/>
        <v>69.362748319220188</v>
      </c>
      <c r="I2490" s="74">
        <v>46114</v>
      </c>
      <c r="J2490">
        <v>2</v>
      </c>
      <c r="K2490" t="s">
        <v>510</v>
      </c>
      <c r="L2490" t="s">
        <v>348</v>
      </c>
      <c r="M2490" t="s">
        <v>356</v>
      </c>
      <c r="N2490" s="73">
        <v>67261</v>
      </c>
      <c r="O2490" s="73">
        <v>67261</v>
      </c>
      <c r="P2490">
        <v>34.681374159610094</v>
      </c>
    </row>
    <row r="2491" spans="1:16" hidden="1" x14ac:dyDescent="0.2">
      <c r="A2491" s="73">
        <v>67261</v>
      </c>
      <c r="B2491" t="s">
        <v>443</v>
      </c>
      <c r="C2491" s="73" t="s">
        <v>486</v>
      </c>
      <c r="D2491" t="s">
        <v>507</v>
      </c>
      <c r="E2491" s="74">
        <v>46114</v>
      </c>
      <c r="F2491" t="s">
        <v>353</v>
      </c>
      <c r="G2491" t="s">
        <v>354</v>
      </c>
      <c r="H2491" s="75">
        <f t="shared" si="38"/>
        <v>138.72549663844038</v>
      </c>
      <c r="I2491" s="74">
        <v>46114</v>
      </c>
      <c r="J2491">
        <v>4</v>
      </c>
      <c r="K2491" t="s">
        <v>510</v>
      </c>
      <c r="L2491" t="s">
        <v>355</v>
      </c>
      <c r="M2491" t="s">
        <v>356</v>
      </c>
      <c r="N2491" s="73">
        <v>67261</v>
      </c>
      <c r="O2491" s="73">
        <v>67261</v>
      </c>
      <c r="P2491">
        <v>34.681374159610094</v>
      </c>
    </row>
    <row r="2492" spans="1:16" hidden="1" x14ac:dyDescent="0.2">
      <c r="A2492" s="73">
        <v>67261</v>
      </c>
      <c r="B2492" t="s">
        <v>443</v>
      </c>
      <c r="C2492" s="73" t="s">
        <v>486</v>
      </c>
      <c r="D2492" t="s">
        <v>507</v>
      </c>
      <c r="E2492" s="74">
        <v>46115</v>
      </c>
      <c r="F2492" t="s">
        <v>387</v>
      </c>
      <c r="G2492" t="s">
        <v>388</v>
      </c>
      <c r="H2492" s="75">
        <f t="shared" si="38"/>
        <v>104.04412247883027</v>
      </c>
      <c r="I2492" s="74">
        <v>46115</v>
      </c>
      <c r="J2492">
        <v>3</v>
      </c>
      <c r="K2492" t="s">
        <v>510</v>
      </c>
      <c r="L2492" t="s">
        <v>367</v>
      </c>
      <c r="M2492" t="s">
        <v>356</v>
      </c>
      <c r="N2492" s="73">
        <v>67261</v>
      </c>
      <c r="O2492" s="73">
        <v>67261</v>
      </c>
      <c r="P2492">
        <v>34.681374159610094</v>
      </c>
    </row>
    <row r="2493" spans="1:16" hidden="1" x14ac:dyDescent="0.2">
      <c r="A2493" s="73">
        <v>67261</v>
      </c>
      <c r="B2493" t="s">
        <v>443</v>
      </c>
      <c r="C2493" s="73" t="s">
        <v>486</v>
      </c>
      <c r="D2493" t="s">
        <v>507</v>
      </c>
      <c r="E2493" s="74">
        <v>46118</v>
      </c>
      <c r="F2493" t="s">
        <v>372</v>
      </c>
      <c r="G2493" t="s">
        <v>373</v>
      </c>
      <c r="H2493" s="75">
        <f t="shared" si="38"/>
        <v>34.681374159610094</v>
      </c>
      <c r="I2493" s="74">
        <v>46118</v>
      </c>
      <c r="J2493">
        <v>1</v>
      </c>
      <c r="K2493" t="s">
        <v>510</v>
      </c>
      <c r="L2493" t="s">
        <v>348</v>
      </c>
      <c r="M2493" t="s">
        <v>356</v>
      </c>
      <c r="N2493" s="73">
        <v>67261</v>
      </c>
      <c r="O2493" s="73">
        <v>67261</v>
      </c>
      <c r="P2493">
        <v>34.681374159610094</v>
      </c>
    </row>
    <row r="2494" spans="1:16" hidden="1" x14ac:dyDescent="0.2">
      <c r="A2494" s="73">
        <v>67261</v>
      </c>
      <c r="B2494" t="s">
        <v>443</v>
      </c>
      <c r="C2494" s="73" t="s">
        <v>486</v>
      </c>
      <c r="D2494" t="s">
        <v>507</v>
      </c>
      <c r="E2494" s="74">
        <v>46118</v>
      </c>
      <c r="F2494" t="s">
        <v>404</v>
      </c>
      <c r="G2494" t="s">
        <v>405</v>
      </c>
      <c r="H2494" s="75">
        <f t="shared" si="38"/>
        <v>242.76961911727065</v>
      </c>
      <c r="I2494" s="74">
        <v>46118</v>
      </c>
      <c r="J2494">
        <v>7</v>
      </c>
      <c r="K2494" t="s">
        <v>510</v>
      </c>
      <c r="L2494" t="s">
        <v>262</v>
      </c>
      <c r="M2494" t="s">
        <v>356</v>
      </c>
      <c r="N2494" s="73">
        <v>67261</v>
      </c>
      <c r="O2494" s="73">
        <v>67261</v>
      </c>
      <c r="P2494">
        <v>34.681374159610094</v>
      </c>
    </row>
    <row r="2495" spans="1:16" hidden="1" x14ac:dyDescent="0.2">
      <c r="A2495" s="73">
        <v>67261</v>
      </c>
      <c r="B2495" t="s">
        <v>443</v>
      </c>
      <c r="C2495" s="73" t="s">
        <v>486</v>
      </c>
      <c r="D2495" t="s">
        <v>507</v>
      </c>
      <c r="E2495" s="74">
        <v>46118</v>
      </c>
      <c r="F2495" t="s">
        <v>387</v>
      </c>
      <c r="G2495" t="s">
        <v>388</v>
      </c>
      <c r="H2495" s="75">
        <f t="shared" si="38"/>
        <v>34.681374159610094</v>
      </c>
      <c r="I2495" s="74">
        <v>46118</v>
      </c>
      <c r="J2495">
        <v>1</v>
      </c>
      <c r="K2495" t="s">
        <v>510</v>
      </c>
      <c r="L2495" t="s">
        <v>367</v>
      </c>
      <c r="M2495" t="s">
        <v>356</v>
      </c>
      <c r="N2495" s="73">
        <v>67261</v>
      </c>
      <c r="O2495" s="73">
        <v>67261</v>
      </c>
      <c r="P2495">
        <v>34.681374159610094</v>
      </c>
    </row>
    <row r="2496" spans="1:16" hidden="1" x14ac:dyDescent="0.2">
      <c r="A2496" s="73">
        <v>67261</v>
      </c>
      <c r="B2496" t="s">
        <v>443</v>
      </c>
      <c r="C2496" s="73" t="s">
        <v>486</v>
      </c>
      <c r="D2496" t="s">
        <v>507</v>
      </c>
      <c r="E2496" s="74">
        <v>46119</v>
      </c>
      <c r="F2496" t="s">
        <v>372</v>
      </c>
      <c r="G2496" t="s">
        <v>373</v>
      </c>
      <c r="H2496" s="75">
        <f t="shared" si="38"/>
        <v>34.681374159610094</v>
      </c>
      <c r="I2496" s="74">
        <v>46119</v>
      </c>
      <c r="J2496">
        <v>1</v>
      </c>
      <c r="K2496" t="s">
        <v>510</v>
      </c>
      <c r="L2496" t="s">
        <v>348</v>
      </c>
      <c r="M2496" t="s">
        <v>356</v>
      </c>
      <c r="N2496" s="73">
        <v>67261</v>
      </c>
      <c r="O2496" s="73">
        <v>67261</v>
      </c>
      <c r="P2496">
        <v>34.681374159610094</v>
      </c>
    </row>
    <row r="2497" spans="1:16" hidden="1" x14ac:dyDescent="0.2">
      <c r="A2497" s="73">
        <v>67261</v>
      </c>
      <c r="B2497" t="s">
        <v>443</v>
      </c>
      <c r="C2497" s="73" t="s">
        <v>486</v>
      </c>
      <c r="D2497" t="s">
        <v>507</v>
      </c>
      <c r="E2497" s="74">
        <v>46119</v>
      </c>
      <c r="F2497" t="s">
        <v>404</v>
      </c>
      <c r="G2497" t="s">
        <v>405</v>
      </c>
      <c r="H2497" s="75">
        <f t="shared" si="38"/>
        <v>34.681374159610094</v>
      </c>
      <c r="I2497" s="74">
        <v>46119</v>
      </c>
      <c r="J2497">
        <v>1</v>
      </c>
      <c r="K2497" t="s">
        <v>510</v>
      </c>
      <c r="L2497" t="s">
        <v>262</v>
      </c>
      <c r="M2497" t="s">
        <v>356</v>
      </c>
      <c r="N2497" s="73">
        <v>67261</v>
      </c>
      <c r="O2497" s="73">
        <v>67261</v>
      </c>
      <c r="P2497">
        <v>34.681374159610094</v>
      </c>
    </row>
    <row r="2498" spans="1:16" hidden="1" x14ac:dyDescent="0.2">
      <c r="A2498" s="73">
        <v>67261</v>
      </c>
      <c r="B2498" t="s">
        <v>443</v>
      </c>
      <c r="C2498" s="73" t="s">
        <v>486</v>
      </c>
      <c r="D2498" t="s">
        <v>507</v>
      </c>
      <c r="E2498" s="74">
        <v>46119</v>
      </c>
      <c r="F2498" t="s">
        <v>387</v>
      </c>
      <c r="G2498" t="s">
        <v>388</v>
      </c>
      <c r="H2498" s="75">
        <f t="shared" ref="H2498:H2561" si="39">J2498*P2498</f>
        <v>34.681374159610094</v>
      </c>
      <c r="I2498" s="74">
        <v>46119</v>
      </c>
      <c r="J2498">
        <v>1</v>
      </c>
      <c r="K2498" t="s">
        <v>510</v>
      </c>
      <c r="L2498" t="s">
        <v>367</v>
      </c>
      <c r="M2498" t="s">
        <v>356</v>
      </c>
      <c r="N2498" s="73">
        <v>67261</v>
      </c>
      <c r="O2498" s="73">
        <v>67261</v>
      </c>
      <c r="P2498">
        <v>34.681374159610094</v>
      </c>
    </row>
    <row r="2499" spans="1:16" hidden="1" x14ac:dyDescent="0.2">
      <c r="A2499" s="73">
        <v>67261</v>
      </c>
      <c r="B2499" t="s">
        <v>443</v>
      </c>
      <c r="C2499" s="73" t="s">
        <v>486</v>
      </c>
      <c r="D2499" t="s">
        <v>507</v>
      </c>
      <c r="E2499" s="74">
        <v>46120</v>
      </c>
      <c r="F2499" t="s">
        <v>372</v>
      </c>
      <c r="G2499" t="s">
        <v>373</v>
      </c>
      <c r="H2499" s="75">
        <f t="shared" si="39"/>
        <v>34.681374159610094</v>
      </c>
      <c r="I2499" s="74">
        <v>46120</v>
      </c>
      <c r="J2499">
        <v>1</v>
      </c>
      <c r="K2499" t="s">
        <v>510</v>
      </c>
      <c r="L2499" t="s">
        <v>348</v>
      </c>
      <c r="M2499" t="s">
        <v>356</v>
      </c>
      <c r="N2499" s="73">
        <v>67261</v>
      </c>
      <c r="O2499" s="73">
        <v>67261</v>
      </c>
      <c r="P2499">
        <v>34.681374159610094</v>
      </c>
    </row>
    <row r="2500" spans="1:16" hidden="1" x14ac:dyDescent="0.2">
      <c r="A2500" s="73">
        <v>67261</v>
      </c>
      <c r="B2500" t="s">
        <v>443</v>
      </c>
      <c r="C2500" s="73" t="s">
        <v>486</v>
      </c>
      <c r="D2500" t="s">
        <v>507</v>
      </c>
      <c r="E2500" s="74">
        <v>46120</v>
      </c>
      <c r="F2500" t="s">
        <v>404</v>
      </c>
      <c r="G2500" t="s">
        <v>405</v>
      </c>
      <c r="H2500" s="75">
        <f t="shared" si="39"/>
        <v>52.022061239415137</v>
      </c>
      <c r="I2500" s="74">
        <v>46120</v>
      </c>
      <c r="J2500">
        <v>1.5</v>
      </c>
      <c r="K2500" t="s">
        <v>510</v>
      </c>
      <c r="L2500" t="s">
        <v>262</v>
      </c>
      <c r="M2500" t="s">
        <v>356</v>
      </c>
      <c r="N2500" s="73">
        <v>67261</v>
      </c>
      <c r="O2500" s="73">
        <v>67261</v>
      </c>
      <c r="P2500">
        <v>34.681374159610094</v>
      </c>
    </row>
    <row r="2501" spans="1:16" hidden="1" x14ac:dyDescent="0.2">
      <c r="A2501" s="73">
        <v>67261</v>
      </c>
      <c r="B2501" t="s">
        <v>443</v>
      </c>
      <c r="C2501" s="73" t="s">
        <v>486</v>
      </c>
      <c r="D2501" t="s">
        <v>507</v>
      </c>
      <c r="E2501" s="74">
        <v>46121</v>
      </c>
      <c r="F2501" t="s">
        <v>372</v>
      </c>
      <c r="G2501" t="s">
        <v>373</v>
      </c>
      <c r="H2501" s="75">
        <f t="shared" si="39"/>
        <v>34.681374159610094</v>
      </c>
      <c r="I2501" s="74">
        <v>46121</v>
      </c>
      <c r="J2501">
        <v>1</v>
      </c>
      <c r="K2501" t="s">
        <v>510</v>
      </c>
      <c r="L2501" t="s">
        <v>348</v>
      </c>
      <c r="M2501" t="s">
        <v>356</v>
      </c>
      <c r="N2501" s="73">
        <v>67261</v>
      </c>
      <c r="O2501" s="73">
        <v>67261</v>
      </c>
      <c r="P2501">
        <v>34.681374159610094</v>
      </c>
    </row>
    <row r="2502" spans="1:16" hidden="1" x14ac:dyDescent="0.2">
      <c r="A2502" s="73">
        <v>67261</v>
      </c>
      <c r="B2502" t="s">
        <v>443</v>
      </c>
      <c r="C2502" s="73" t="s">
        <v>486</v>
      </c>
      <c r="D2502" t="s">
        <v>507</v>
      </c>
      <c r="E2502" s="74">
        <v>46122</v>
      </c>
      <c r="F2502" t="s">
        <v>387</v>
      </c>
      <c r="G2502" t="s">
        <v>388</v>
      </c>
      <c r="H2502" s="75">
        <f t="shared" si="39"/>
        <v>69.362748319220188</v>
      </c>
      <c r="I2502" s="74">
        <v>46122</v>
      </c>
      <c r="J2502">
        <v>2</v>
      </c>
      <c r="K2502" t="s">
        <v>510</v>
      </c>
      <c r="L2502" t="s">
        <v>367</v>
      </c>
      <c r="M2502" t="s">
        <v>356</v>
      </c>
      <c r="N2502" s="73">
        <v>67261</v>
      </c>
      <c r="O2502" s="73">
        <v>67261</v>
      </c>
      <c r="P2502">
        <v>34.681374159610094</v>
      </c>
    </row>
    <row r="2503" spans="1:16" hidden="1" x14ac:dyDescent="0.2">
      <c r="A2503" s="73">
        <v>67261</v>
      </c>
      <c r="B2503" t="s">
        <v>443</v>
      </c>
      <c r="C2503" s="73" t="s">
        <v>486</v>
      </c>
      <c r="D2503" t="s">
        <v>507</v>
      </c>
      <c r="E2503" s="74">
        <v>46125</v>
      </c>
      <c r="F2503" t="s">
        <v>404</v>
      </c>
      <c r="G2503" t="s">
        <v>405</v>
      </c>
      <c r="H2503" s="75">
        <f t="shared" si="39"/>
        <v>138.72549663844038</v>
      </c>
      <c r="I2503" s="74">
        <v>46125</v>
      </c>
      <c r="J2503">
        <v>4</v>
      </c>
      <c r="K2503" t="s">
        <v>510</v>
      </c>
      <c r="L2503" t="s">
        <v>262</v>
      </c>
      <c r="M2503" t="s">
        <v>356</v>
      </c>
      <c r="N2503" s="73">
        <v>67261</v>
      </c>
      <c r="O2503" s="73">
        <v>67261</v>
      </c>
      <c r="P2503">
        <v>34.681374159610094</v>
      </c>
    </row>
    <row r="2504" spans="1:16" hidden="1" x14ac:dyDescent="0.2">
      <c r="A2504" s="73">
        <v>67261</v>
      </c>
      <c r="B2504" t="s">
        <v>443</v>
      </c>
      <c r="C2504" s="73" t="s">
        <v>486</v>
      </c>
      <c r="D2504" t="s">
        <v>507</v>
      </c>
      <c r="E2504" s="74">
        <v>46135</v>
      </c>
      <c r="F2504" t="s">
        <v>387</v>
      </c>
      <c r="G2504" t="s">
        <v>388</v>
      </c>
      <c r="H2504" s="75">
        <f t="shared" si="39"/>
        <v>277.45099327688075</v>
      </c>
      <c r="I2504" s="74">
        <v>46135</v>
      </c>
      <c r="J2504">
        <v>8</v>
      </c>
      <c r="K2504" t="s">
        <v>510</v>
      </c>
      <c r="L2504" t="s">
        <v>367</v>
      </c>
      <c r="M2504" t="s">
        <v>356</v>
      </c>
      <c r="N2504" s="73">
        <v>67261</v>
      </c>
      <c r="O2504" s="73">
        <v>67261</v>
      </c>
      <c r="P2504">
        <v>34.681374159610094</v>
      </c>
    </row>
    <row r="2505" spans="1:16" hidden="1" x14ac:dyDescent="0.2">
      <c r="A2505" s="73">
        <v>67261</v>
      </c>
      <c r="B2505" t="s">
        <v>443</v>
      </c>
      <c r="C2505" s="73" t="s">
        <v>486</v>
      </c>
      <c r="D2505" t="s">
        <v>507</v>
      </c>
      <c r="E2505" s="74">
        <v>46136</v>
      </c>
      <c r="F2505" t="s">
        <v>387</v>
      </c>
      <c r="G2505" t="s">
        <v>388</v>
      </c>
      <c r="H2505" s="75">
        <f t="shared" si="39"/>
        <v>277.45099327688075</v>
      </c>
      <c r="I2505" s="74">
        <v>46136</v>
      </c>
      <c r="J2505">
        <v>8</v>
      </c>
      <c r="K2505" t="s">
        <v>510</v>
      </c>
      <c r="L2505" t="s">
        <v>367</v>
      </c>
      <c r="M2505" t="s">
        <v>356</v>
      </c>
      <c r="N2505" s="73">
        <v>67261</v>
      </c>
      <c r="O2505" s="73">
        <v>67261</v>
      </c>
      <c r="P2505">
        <v>34.681374159610094</v>
      </c>
    </row>
    <row r="2506" spans="1:16" hidden="1" x14ac:dyDescent="0.2">
      <c r="A2506" s="73">
        <v>67261</v>
      </c>
      <c r="B2506" t="s">
        <v>443</v>
      </c>
      <c r="C2506" s="73" t="s">
        <v>486</v>
      </c>
      <c r="D2506" t="s">
        <v>507</v>
      </c>
      <c r="E2506" s="74">
        <v>46139</v>
      </c>
      <c r="F2506" t="s">
        <v>410</v>
      </c>
      <c r="G2506" t="s">
        <v>411</v>
      </c>
      <c r="H2506" s="75">
        <f t="shared" si="39"/>
        <v>277.45099327688075</v>
      </c>
      <c r="I2506" s="74">
        <v>46139</v>
      </c>
      <c r="J2506">
        <v>8</v>
      </c>
      <c r="K2506" t="s">
        <v>510</v>
      </c>
      <c r="L2506" t="s">
        <v>262</v>
      </c>
      <c r="M2506" t="s">
        <v>356</v>
      </c>
      <c r="N2506" s="73">
        <v>67261</v>
      </c>
      <c r="O2506" s="73">
        <v>67261</v>
      </c>
      <c r="P2506">
        <v>34.681374159610094</v>
      </c>
    </row>
    <row r="2507" spans="1:16" hidden="1" x14ac:dyDescent="0.2">
      <c r="A2507" s="73">
        <v>67261</v>
      </c>
      <c r="B2507" t="s">
        <v>443</v>
      </c>
      <c r="C2507" s="73" t="s">
        <v>486</v>
      </c>
      <c r="D2507" t="s">
        <v>507</v>
      </c>
      <c r="E2507" s="74">
        <v>46140</v>
      </c>
      <c r="F2507" t="s">
        <v>410</v>
      </c>
      <c r="G2507" t="s">
        <v>411</v>
      </c>
      <c r="H2507" s="75">
        <f t="shared" si="39"/>
        <v>277.45099327688075</v>
      </c>
      <c r="I2507" s="74">
        <v>46140</v>
      </c>
      <c r="J2507">
        <v>8</v>
      </c>
      <c r="K2507" t="s">
        <v>510</v>
      </c>
      <c r="L2507" t="s">
        <v>262</v>
      </c>
      <c r="M2507" t="s">
        <v>356</v>
      </c>
      <c r="N2507" s="73">
        <v>67261</v>
      </c>
      <c r="O2507" s="73">
        <v>67261</v>
      </c>
      <c r="P2507">
        <v>34.681374159610094</v>
      </c>
    </row>
    <row r="2508" spans="1:16" hidden="1" x14ac:dyDescent="0.2">
      <c r="A2508" s="73">
        <v>67261</v>
      </c>
      <c r="B2508" t="s">
        <v>443</v>
      </c>
      <c r="C2508" s="73" t="s">
        <v>486</v>
      </c>
      <c r="D2508" t="s">
        <v>507</v>
      </c>
      <c r="E2508" s="74">
        <v>46141</v>
      </c>
      <c r="F2508" t="s">
        <v>410</v>
      </c>
      <c r="G2508" t="s">
        <v>411</v>
      </c>
      <c r="H2508" s="75">
        <f t="shared" si="39"/>
        <v>277.45099327688075</v>
      </c>
      <c r="I2508" s="74">
        <v>46141</v>
      </c>
      <c r="J2508">
        <v>8</v>
      </c>
      <c r="K2508" t="s">
        <v>510</v>
      </c>
      <c r="L2508" t="s">
        <v>262</v>
      </c>
      <c r="M2508" t="s">
        <v>356</v>
      </c>
      <c r="N2508" s="73">
        <v>67261</v>
      </c>
      <c r="O2508" s="73">
        <v>67261</v>
      </c>
      <c r="P2508">
        <v>34.681374159610094</v>
      </c>
    </row>
    <row r="2509" spans="1:16" hidden="1" x14ac:dyDescent="0.2">
      <c r="A2509" s="73">
        <v>67261</v>
      </c>
      <c r="B2509" t="s">
        <v>443</v>
      </c>
      <c r="C2509" s="73" t="s">
        <v>486</v>
      </c>
      <c r="D2509" t="s">
        <v>507</v>
      </c>
      <c r="E2509" s="74">
        <v>46141</v>
      </c>
      <c r="F2509" t="s">
        <v>410</v>
      </c>
      <c r="G2509" t="s">
        <v>411</v>
      </c>
      <c r="H2509" s="75">
        <f t="shared" si="39"/>
        <v>-277.45099327688075</v>
      </c>
      <c r="I2509" s="74">
        <v>46141</v>
      </c>
      <c r="J2509">
        <v>-8</v>
      </c>
      <c r="K2509" t="s">
        <v>510</v>
      </c>
      <c r="L2509" t="s">
        <v>262</v>
      </c>
      <c r="M2509" t="s">
        <v>356</v>
      </c>
      <c r="N2509" s="73">
        <v>67261</v>
      </c>
      <c r="O2509" s="73">
        <v>67261</v>
      </c>
      <c r="P2509">
        <v>34.681374159610094</v>
      </c>
    </row>
    <row r="2510" spans="1:16" hidden="1" x14ac:dyDescent="0.2">
      <c r="A2510" s="73">
        <v>67261</v>
      </c>
      <c r="B2510" t="s">
        <v>443</v>
      </c>
      <c r="C2510" s="73" t="s">
        <v>486</v>
      </c>
      <c r="D2510" t="s">
        <v>507</v>
      </c>
      <c r="E2510" s="74">
        <v>46142</v>
      </c>
      <c r="F2510" t="s">
        <v>410</v>
      </c>
      <c r="G2510" t="s">
        <v>411</v>
      </c>
      <c r="H2510" s="75">
        <f t="shared" si="39"/>
        <v>277.45099327688075</v>
      </c>
      <c r="I2510" s="74">
        <v>46142</v>
      </c>
      <c r="J2510">
        <v>8</v>
      </c>
      <c r="K2510" t="s">
        <v>510</v>
      </c>
      <c r="L2510" t="s">
        <v>262</v>
      </c>
      <c r="M2510" t="s">
        <v>356</v>
      </c>
      <c r="N2510" s="73">
        <v>67261</v>
      </c>
      <c r="O2510" s="73">
        <v>67261</v>
      </c>
      <c r="P2510">
        <v>34.681374159610094</v>
      </c>
    </row>
    <row r="2511" spans="1:16" hidden="1" x14ac:dyDescent="0.2">
      <c r="A2511" s="73">
        <v>67261</v>
      </c>
      <c r="B2511" t="s">
        <v>443</v>
      </c>
      <c r="C2511" s="73" t="s">
        <v>486</v>
      </c>
      <c r="D2511" t="s">
        <v>507</v>
      </c>
      <c r="E2511" s="74">
        <v>46142</v>
      </c>
      <c r="F2511" t="s">
        <v>410</v>
      </c>
      <c r="G2511" t="s">
        <v>411</v>
      </c>
      <c r="H2511" s="75">
        <f t="shared" si="39"/>
        <v>-277.45099327688075</v>
      </c>
      <c r="I2511" s="74">
        <v>46142</v>
      </c>
      <c r="J2511">
        <v>-8</v>
      </c>
      <c r="K2511" t="s">
        <v>510</v>
      </c>
      <c r="L2511" t="s">
        <v>262</v>
      </c>
      <c r="M2511" t="s">
        <v>356</v>
      </c>
      <c r="N2511" s="73">
        <v>67261</v>
      </c>
      <c r="O2511" s="73">
        <v>67261</v>
      </c>
      <c r="P2511">
        <v>34.681374159610094</v>
      </c>
    </row>
    <row r="2512" spans="1:16" hidden="1" x14ac:dyDescent="0.2">
      <c r="A2512" s="73">
        <v>67261</v>
      </c>
      <c r="B2512" t="s">
        <v>443</v>
      </c>
      <c r="C2512" s="73" t="s">
        <v>486</v>
      </c>
      <c r="D2512" t="s">
        <v>507</v>
      </c>
      <c r="E2512" s="74">
        <v>46142</v>
      </c>
      <c r="F2512" t="s">
        <v>404</v>
      </c>
      <c r="G2512" t="s">
        <v>405</v>
      </c>
      <c r="H2512" s="75">
        <f t="shared" si="39"/>
        <v>52.022061239415137</v>
      </c>
      <c r="I2512" s="74">
        <v>46142</v>
      </c>
      <c r="J2512">
        <v>1.5</v>
      </c>
      <c r="K2512" t="s">
        <v>510</v>
      </c>
      <c r="L2512" t="s">
        <v>262</v>
      </c>
      <c r="M2512" t="s">
        <v>356</v>
      </c>
      <c r="N2512" s="73">
        <v>67261</v>
      </c>
      <c r="O2512" s="73">
        <v>67261</v>
      </c>
      <c r="P2512">
        <v>34.681374159610094</v>
      </c>
    </row>
    <row r="2513" spans="1:16" hidden="1" x14ac:dyDescent="0.2">
      <c r="A2513" s="73">
        <v>67261</v>
      </c>
      <c r="B2513" t="s">
        <v>443</v>
      </c>
      <c r="C2513" s="73" t="s">
        <v>486</v>
      </c>
      <c r="D2513" t="s">
        <v>507</v>
      </c>
      <c r="E2513" s="74">
        <v>46157</v>
      </c>
      <c r="F2513" t="s">
        <v>404</v>
      </c>
      <c r="G2513" t="s">
        <v>405</v>
      </c>
      <c r="H2513" s="75">
        <f t="shared" si="39"/>
        <v>69.362748319220188</v>
      </c>
      <c r="I2513" s="74">
        <v>46157</v>
      </c>
      <c r="J2513">
        <v>2</v>
      </c>
      <c r="K2513" t="s">
        <v>517</v>
      </c>
      <c r="L2513" t="s">
        <v>262</v>
      </c>
      <c r="M2513" t="s">
        <v>356</v>
      </c>
      <c r="N2513" s="73">
        <v>67261</v>
      </c>
      <c r="O2513" s="73">
        <v>67261</v>
      </c>
      <c r="P2513">
        <v>34.681374159610094</v>
      </c>
    </row>
    <row r="2514" spans="1:16" hidden="1" x14ac:dyDescent="0.2">
      <c r="A2514" s="73">
        <v>67261</v>
      </c>
      <c r="B2514" t="s">
        <v>443</v>
      </c>
      <c r="C2514" s="73" t="s">
        <v>486</v>
      </c>
      <c r="D2514" t="s">
        <v>507</v>
      </c>
      <c r="E2514" s="74">
        <v>46161</v>
      </c>
      <c r="F2514" t="s">
        <v>404</v>
      </c>
      <c r="G2514" t="s">
        <v>405</v>
      </c>
      <c r="H2514" s="75">
        <f t="shared" si="39"/>
        <v>173.40687079805048</v>
      </c>
      <c r="I2514" s="74">
        <v>46161</v>
      </c>
      <c r="J2514">
        <v>5</v>
      </c>
      <c r="K2514" t="s">
        <v>517</v>
      </c>
      <c r="L2514" t="s">
        <v>262</v>
      </c>
      <c r="M2514" t="s">
        <v>356</v>
      </c>
      <c r="N2514" s="73">
        <v>67261</v>
      </c>
      <c r="O2514" s="73">
        <v>67261</v>
      </c>
      <c r="P2514">
        <v>34.681374159610094</v>
      </c>
    </row>
    <row r="2515" spans="1:16" hidden="1" x14ac:dyDescent="0.2">
      <c r="A2515" s="73">
        <v>67261</v>
      </c>
      <c r="B2515" t="s">
        <v>443</v>
      </c>
      <c r="C2515" s="73" t="s">
        <v>486</v>
      </c>
      <c r="D2515" t="s">
        <v>507</v>
      </c>
      <c r="E2515" s="74">
        <v>46162</v>
      </c>
      <c r="F2515" t="s">
        <v>404</v>
      </c>
      <c r="G2515" t="s">
        <v>405</v>
      </c>
      <c r="H2515" s="75">
        <f t="shared" si="39"/>
        <v>208.08824495766055</v>
      </c>
      <c r="I2515" s="74">
        <v>46162</v>
      </c>
      <c r="J2515">
        <v>6</v>
      </c>
      <c r="K2515" t="s">
        <v>517</v>
      </c>
      <c r="L2515" t="s">
        <v>262</v>
      </c>
      <c r="M2515" t="s">
        <v>356</v>
      </c>
      <c r="N2515" s="73">
        <v>67261</v>
      </c>
      <c r="O2515" s="73">
        <v>67261</v>
      </c>
      <c r="P2515">
        <v>34.681374159610094</v>
      </c>
    </row>
    <row r="2516" spans="1:16" hidden="1" x14ac:dyDescent="0.2">
      <c r="A2516" s="73">
        <v>67261</v>
      </c>
      <c r="B2516" t="s">
        <v>443</v>
      </c>
      <c r="C2516" s="73" t="s">
        <v>486</v>
      </c>
      <c r="D2516" t="s">
        <v>507</v>
      </c>
      <c r="E2516" s="74">
        <v>46163</v>
      </c>
      <c r="F2516" t="s">
        <v>404</v>
      </c>
      <c r="G2516" t="s">
        <v>405</v>
      </c>
      <c r="H2516" s="75">
        <f t="shared" si="39"/>
        <v>208.08824495766055</v>
      </c>
      <c r="I2516" s="74">
        <v>46163</v>
      </c>
      <c r="J2516">
        <v>6</v>
      </c>
      <c r="K2516" t="s">
        <v>517</v>
      </c>
      <c r="L2516" t="s">
        <v>262</v>
      </c>
      <c r="M2516" t="s">
        <v>356</v>
      </c>
      <c r="N2516" s="73">
        <v>67261</v>
      </c>
      <c r="O2516" s="73">
        <v>67261</v>
      </c>
      <c r="P2516">
        <v>34.681374159610094</v>
      </c>
    </row>
    <row r="2517" spans="1:16" hidden="1" x14ac:dyDescent="0.2">
      <c r="A2517" s="73">
        <v>67261</v>
      </c>
      <c r="B2517" t="s">
        <v>443</v>
      </c>
      <c r="C2517" s="73" t="s">
        <v>486</v>
      </c>
      <c r="D2517" t="s">
        <v>507</v>
      </c>
      <c r="E2517" s="74">
        <v>46164</v>
      </c>
      <c r="F2517" t="s">
        <v>404</v>
      </c>
      <c r="G2517" t="s">
        <v>405</v>
      </c>
      <c r="H2517" s="75">
        <f t="shared" si="39"/>
        <v>173.40687079805048</v>
      </c>
      <c r="I2517" s="74">
        <v>46164</v>
      </c>
      <c r="J2517">
        <v>5</v>
      </c>
      <c r="K2517" t="s">
        <v>517</v>
      </c>
      <c r="L2517" t="s">
        <v>262</v>
      </c>
      <c r="M2517" t="s">
        <v>356</v>
      </c>
      <c r="N2517" s="73">
        <v>67261</v>
      </c>
      <c r="O2517" s="73">
        <v>67261</v>
      </c>
      <c r="P2517">
        <v>34.681374159610094</v>
      </c>
    </row>
    <row r="2518" spans="1:16" hidden="1" x14ac:dyDescent="0.2">
      <c r="A2518" s="73">
        <v>67261</v>
      </c>
      <c r="B2518" t="s">
        <v>443</v>
      </c>
      <c r="C2518" s="73" t="s">
        <v>486</v>
      </c>
      <c r="D2518" t="s">
        <v>507</v>
      </c>
      <c r="E2518" s="74">
        <v>46168</v>
      </c>
      <c r="F2518" t="s">
        <v>404</v>
      </c>
      <c r="G2518" t="s">
        <v>405</v>
      </c>
      <c r="H2518" s="75">
        <f t="shared" si="39"/>
        <v>242.76961911727065</v>
      </c>
      <c r="I2518" s="74">
        <v>46168</v>
      </c>
      <c r="J2518">
        <v>7</v>
      </c>
      <c r="K2518" t="s">
        <v>517</v>
      </c>
      <c r="L2518" t="s">
        <v>262</v>
      </c>
      <c r="M2518" t="s">
        <v>356</v>
      </c>
      <c r="N2518" s="73">
        <v>67261</v>
      </c>
      <c r="O2518" s="73">
        <v>67261</v>
      </c>
      <c r="P2518">
        <v>34.681374159610094</v>
      </c>
    </row>
    <row r="2519" spans="1:16" hidden="1" x14ac:dyDescent="0.2">
      <c r="A2519" s="73">
        <v>67261</v>
      </c>
      <c r="B2519" t="s">
        <v>443</v>
      </c>
      <c r="C2519" s="73" t="s">
        <v>486</v>
      </c>
      <c r="D2519" t="s">
        <v>507</v>
      </c>
      <c r="E2519" s="74">
        <v>46169</v>
      </c>
      <c r="F2519" t="s">
        <v>404</v>
      </c>
      <c r="G2519" t="s">
        <v>405</v>
      </c>
      <c r="H2519" s="75">
        <f t="shared" si="39"/>
        <v>242.76961911727065</v>
      </c>
      <c r="I2519" s="74">
        <v>46169</v>
      </c>
      <c r="J2519">
        <v>7</v>
      </c>
      <c r="K2519" t="s">
        <v>517</v>
      </c>
      <c r="L2519" t="s">
        <v>262</v>
      </c>
      <c r="M2519" t="s">
        <v>356</v>
      </c>
      <c r="N2519" s="73">
        <v>67261</v>
      </c>
      <c r="O2519" s="73">
        <v>67261</v>
      </c>
      <c r="P2519">
        <v>34.681374159610094</v>
      </c>
    </row>
    <row r="2520" spans="1:16" hidden="1" x14ac:dyDescent="0.2">
      <c r="A2520" s="73">
        <v>67261</v>
      </c>
      <c r="B2520" t="s">
        <v>443</v>
      </c>
      <c r="C2520" s="73" t="s">
        <v>486</v>
      </c>
      <c r="D2520" t="s">
        <v>507</v>
      </c>
      <c r="E2520" s="74">
        <v>46170</v>
      </c>
      <c r="F2520" t="s">
        <v>404</v>
      </c>
      <c r="G2520" t="s">
        <v>405</v>
      </c>
      <c r="H2520" s="75">
        <f t="shared" si="39"/>
        <v>242.76961911727065</v>
      </c>
      <c r="I2520" s="74">
        <v>46170</v>
      </c>
      <c r="J2520">
        <v>7</v>
      </c>
      <c r="K2520" t="s">
        <v>517</v>
      </c>
      <c r="L2520" t="s">
        <v>262</v>
      </c>
      <c r="M2520" t="s">
        <v>356</v>
      </c>
      <c r="N2520" s="73">
        <v>67261</v>
      </c>
      <c r="O2520" s="73">
        <v>67261</v>
      </c>
      <c r="P2520">
        <v>34.681374159610094</v>
      </c>
    </row>
    <row r="2521" spans="1:16" hidden="1" x14ac:dyDescent="0.2">
      <c r="A2521" s="73">
        <v>67261</v>
      </c>
      <c r="B2521" t="s">
        <v>443</v>
      </c>
      <c r="C2521" s="73" t="s">
        <v>487</v>
      </c>
      <c r="D2521" t="s">
        <v>507</v>
      </c>
      <c r="E2521" s="74">
        <v>46090</v>
      </c>
      <c r="F2521" t="s">
        <v>357</v>
      </c>
      <c r="G2521" t="s">
        <v>358</v>
      </c>
      <c r="H2521" s="75">
        <f t="shared" si="39"/>
        <v>121.38480955863533</v>
      </c>
      <c r="I2521" s="74">
        <v>46090</v>
      </c>
      <c r="J2521">
        <v>3.5</v>
      </c>
      <c r="K2521" t="s">
        <v>509</v>
      </c>
      <c r="L2521" t="s">
        <v>359</v>
      </c>
      <c r="M2521" t="s">
        <v>356</v>
      </c>
      <c r="N2521" s="73">
        <v>67261</v>
      </c>
      <c r="O2521" s="73">
        <v>67261</v>
      </c>
      <c r="P2521">
        <v>34.681374159610094</v>
      </c>
    </row>
    <row r="2522" spans="1:16" hidden="1" x14ac:dyDescent="0.2">
      <c r="A2522" s="73">
        <v>67261</v>
      </c>
      <c r="B2522" t="s">
        <v>443</v>
      </c>
      <c r="C2522" s="73" t="s">
        <v>487</v>
      </c>
      <c r="D2522" t="s">
        <v>507</v>
      </c>
      <c r="E2522" s="74">
        <v>46104</v>
      </c>
      <c r="F2522" t="s">
        <v>353</v>
      </c>
      <c r="G2522" t="s">
        <v>354</v>
      </c>
      <c r="H2522" s="75">
        <f t="shared" si="39"/>
        <v>225.42893203746561</v>
      </c>
      <c r="I2522" s="74">
        <v>46104</v>
      </c>
      <c r="J2522">
        <v>6.5</v>
      </c>
      <c r="K2522" t="s">
        <v>509</v>
      </c>
      <c r="L2522" t="s">
        <v>355</v>
      </c>
      <c r="M2522" t="s">
        <v>356</v>
      </c>
      <c r="N2522" s="73">
        <v>67261</v>
      </c>
      <c r="O2522" s="73">
        <v>67261</v>
      </c>
      <c r="P2522">
        <v>34.681374159610094</v>
      </c>
    </row>
    <row r="2523" spans="1:16" hidden="1" x14ac:dyDescent="0.2">
      <c r="A2523" s="73">
        <v>67261</v>
      </c>
      <c r="B2523" t="s">
        <v>443</v>
      </c>
      <c r="C2523" s="73" t="s">
        <v>487</v>
      </c>
      <c r="D2523" t="s">
        <v>507</v>
      </c>
      <c r="E2523" s="74">
        <v>46105</v>
      </c>
      <c r="F2523" t="s">
        <v>353</v>
      </c>
      <c r="G2523" t="s">
        <v>354</v>
      </c>
      <c r="H2523" s="75">
        <f t="shared" si="39"/>
        <v>242.76961911727065</v>
      </c>
      <c r="I2523" s="74">
        <v>46105</v>
      </c>
      <c r="J2523">
        <v>7</v>
      </c>
      <c r="K2523" t="s">
        <v>509</v>
      </c>
      <c r="L2523" t="s">
        <v>355</v>
      </c>
      <c r="M2523" t="s">
        <v>356</v>
      </c>
      <c r="N2523" s="73">
        <v>67261</v>
      </c>
      <c r="O2523" s="73">
        <v>67261</v>
      </c>
      <c r="P2523">
        <v>34.681374159610094</v>
      </c>
    </row>
    <row r="2524" spans="1:16" hidden="1" x14ac:dyDescent="0.2">
      <c r="A2524" s="73">
        <v>67261</v>
      </c>
      <c r="B2524" t="s">
        <v>443</v>
      </c>
      <c r="C2524" s="73" t="s">
        <v>487</v>
      </c>
      <c r="D2524" t="s">
        <v>507</v>
      </c>
      <c r="E2524" s="74">
        <v>46106</v>
      </c>
      <c r="F2524" t="s">
        <v>353</v>
      </c>
      <c r="G2524" t="s">
        <v>354</v>
      </c>
      <c r="H2524" s="75">
        <f t="shared" si="39"/>
        <v>242.76961911727065</v>
      </c>
      <c r="I2524" s="74">
        <v>46106</v>
      </c>
      <c r="J2524">
        <v>7</v>
      </c>
      <c r="K2524" t="s">
        <v>509</v>
      </c>
      <c r="L2524" t="s">
        <v>355</v>
      </c>
      <c r="M2524" t="s">
        <v>356</v>
      </c>
      <c r="N2524" s="73">
        <v>67261</v>
      </c>
      <c r="O2524" s="73">
        <v>67261</v>
      </c>
      <c r="P2524">
        <v>34.681374159610094</v>
      </c>
    </row>
    <row r="2525" spans="1:16" hidden="1" x14ac:dyDescent="0.2">
      <c r="A2525" s="73">
        <v>67261</v>
      </c>
      <c r="B2525" t="s">
        <v>443</v>
      </c>
      <c r="C2525" s="73" t="s">
        <v>487</v>
      </c>
      <c r="D2525" t="s">
        <v>507</v>
      </c>
      <c r="E2525" s="74">
        <v>46107</v>
      </c>
      <c r="F2525" t="s">
        <v>353</v>
      </c>
      <c r="G2525" t="s">
        <v>354</v>
      </c>
      <c r="H2525" s="75">
        <f t="shared" si="39"/>
        <v>242.76961911727065</v>
      </c>
      <c r="I2525" s="74">
        <v>46107</v>
      </c>
      <c r="J2525">
        <v>7</v>
      </c>
      <c r="K2525" t="s">
        <v>509</v>
      </c>
      <c r="L2525" t="s">
        <v>355</v>
      </c>
      <c r="M2525" t="s">
        <v>356</v>
      </c>
      <c r="N2525" s="73">
        <v>67261</v>
      </c>
      <c r="O2525" s="73">
        <v>67261</v>
      </c>
      <c r="P2525">
        <v>34.681374159610094</v>
      </c>
    </row>
    <row r="2526" spans="1:16" hidden="1" x14ac:dyDescent="0.2">
      <c r="A2526" s="73">
        <v>67261</v>
      </c>
      <c r="B2526" t="s">
        <v>443</v>
      </c>
      <c r="C2526" s="73" t="s">
        <v>487</v>
      </c>
      <c r="D2526" t="s">
        <v>507</v>
      </c>
      <c r="E2526" s="74">
        <v>46108</v>
      </c>
      <c r="F2526" t="s">
        <v>353</v>
      </c>
      <c r="G2526" t="s">
        <v>354</v>
      </c>
      <c r="H2526" s="75">
        <f t="shared" si="39"/>
        <v>121.38480955863533</v>
      </c>
      <c r="I2526" s="74">
        <v>46108</v>
      </c>
      <c r="J2526">
        <v>3.5</v>
      </c>
      <c r="K2526" t="s">
        <v>509</v>
      </c>
      <c r="L2526" t="s">
        <v>355</v>
      </c>
      <c r="M2526" t="s">
        <v>356</v>
      </c>
      <c r="N2526" s="73">
        <v>67261</v>
      </c>
      <c r="O2526" s="73">
        <v>67261</v>
      </c>
      <c r="P2526">
        <v>34.681374159610094</v>
      </c>
    </row>
    <row r="2527" spans="1:16" hidden="1" x14ac:dyDescent="0.2">
      <c r="A2527" s="73">
        <v>67261</v>
      </c>
      <c r="B2527" t="s">
        <v>443</v>
      </c>
      <c r="C2527" s="73" t="s">
        <v>487</v>
      </c>
      <c r="D2527" t="s">
        <v>507</v>
      </c>
      <c r="E2527" s="74">
        <v>46111</v>
      </c>
      <c r="F2527" t="s">
        <v>353</v>
      </c>
      <c r="G2527" t="s">
        <v>354</v>
      </c>
      <c r="H2527" s="75">
        <f t="shared" si="39"/>
        <v>260.11030619707572</v>
      </c>
      <c r="I2527" s="74">
        <v>46111</v>
      </c>
      <c r="J2527">
        <v>7.5</v>
      </c>
      <c r="K2527" t="s">
        <v>509</v>
      </c>
      <c r="L2527" t="s">
        <v>355</v>
      </c>
      <c r="M2527" t="s">
        <v>356</v>
      </c>
      <c r="N2527" s="73">
        <v>67261</v>
      </c>
      <c r="O2527" s="73">
        <v>67261</v>
      </c>
      <c r="P2527">
        <v>34.681374159610094</v>
      </c>
    </row>
    <row r="2528" spans="1:16" hidden="1" x14ac:dyDescent="0.2">
      <c r="A2528" s="73">
        <v>67261</v>
      </c>
      <c r="B2528" t="s">
        <v>443</v>
      </c>
      <c r="C2528" s="73" t="s">
        <v>487</v>
      </c>
      <c r="D2528" t="s">
        <v>507</v>
      </c>
      <c r="E2528" s="74">
        <v>46113</v>
      </c>
      <c r="F2528" t="s">
        <v>353</v>
      </c>
      <c r="G2528" t="s">
        <v>354</v>
      </c>
      <c r="H2528" s="75">
        <f t="shared" si="39"/>
        <v>17.340687079805047</v>
      </c>
      <c r="I2528" s="74">
        <v>46113</v>
      </c>
      <c r="J2528">
        <v>0.5</v>
      </c>
      <c r="K2528" t="s">
        <v>510</v>
      </c>
      <c r="L2528" t="s">
        <v>355</v>
      </c>
      <c r="M2528" t="s">
        <v>356</v>
      </c>
      <c r="N2528" s="73">
        <v>67261</v>
      </c>
      <c r="O2528" s="73">
        <v>67261</v>
      </c>
      <c r="P2528">
        <v>34.681374159610094</v>
      </c>
    </row>
    <row r="2529" spans="1:16" hidden="1" x14ac:dyDescent="0.2">
      <c r="A2529" s="73">
        <v>67261</v>
      </c>
      <c r="B2529" t="s">
        <v>443</v>
      </c>
      <c r="C2529" s="73" t="s">
        <v>487</v>
      </c>
      <c r="D2529" t="s">
        <v>507</v>
      </c>
      <c r="E2529" s="74">
        <v>46114</v>
      </c>
      <c r="F2529" t="s">
        <v>353</v>
      </c>
      <c r="G2529" t="s">
        <v>354</v>
      </c>
      <c r="H2529" s="75">
        <f t="shared" si="39"/>
        <v>121.38480955863533</v>
      </c>
      <c r="I2529" s="74">
        <v>46114</v>
      </c>
      <c r="J2529">
        <v>3.5</v>
      </c>
      <c r="K2529" t="s">
        <v>510</v>
      </c>
      <c r="L2529" t="s">
        <v>355</v>
      </c>
      <c r="M2529" t="s">
        <v>356</v>
      </c>
      <c r="N2529" s="73">
        <v>67261</v>
      </c>
      <c r="O2529" s="73">
        <v>67261</v>
      </c>
      <c r="P2529">
        <v>34.681374159610094</v>
      </c>
    </row>
    <row r="2530" spans="1:16" hidden="1" x14ac:dyDescent="0.2">
      <c r="A2530" s="73">
        <v>67261</v>
      </c>
      <c r="B2530" t="s">
        <v>443</v>
      </c>
      <c r="C2530" s="73" t="s">
        <v>487</v>
      </c>
      <c r="D2530" t="s">
        <v>507</v>
      </c>
      <c r="E2530" s="74">
        <v>46118</v>
      </c>
      <c r="F2530" t="s">
        <v>353</v>
      </c>
      <c r="G2530" t="s">
        <v>354</v>
      </c>
      <c r="H2530" s="75">
        <f t="shared" si="39"/>
        <v>277.45099327688075</v>
      </c>
      <c r="I2530" s="74">
        <v>46118</v>
      </c>
      <c r="J2530">
        <v>8</v>
      </c>
      <c r="K2530" t="s">
        <v>510</v>
      </c>
      <c r="L2530" t="s">
        <v>355</v>
      </c>
      <c r="M2530" t="s">
        <v>356</v>
      </c>
      <c r="N2530" s="73">
        <v>67261</v>
      </c>
      <c r="O2530" s="73">
        <v>67261</v>
      </c>
      <c r="P2530">
        <v>34.681374159610094</v>
      </c>
    </row>
    <row r="2531" spans="1:16" hidden="1" x14ac:dyDescent="0.2">
      <c r="A2531" s="73">
        <v>67261</v>
      </c>
      <c r="B2531" t="s">
        <v>443</v>
      </c>
      <c r="C2531" s="73" t="s">
        <v>487</v>
      </c>
      <c r="D2531" t="s">
        <v>507</v>
      </c>
      <c r="E2531" s="74">
        <v>46119</v>
      </c>
      <c r="F2531" t="s">
        <v>353</v>
      </c>
      <c r="G2531" t="s">
        <v>354</v>
      </c>
      <c r="H2531" s="75">
        <f t="shared" si="39"/>
        <v>277.45099327688075</v>
      </c>
      <c r="I2531" s="74">
        <v>46119</v>
      </c>
      <c r="J2531">
        <v>8</v>
      </c>
      <c r="K2531" t="s">
        <v>510</v>
      </c>
      <c r="L2531" t="s">
        <v>355</v>
      </c>
      <c r="M2531" t="s">
        <v>356</v>
      </c>
      <c r="N2531" s="73">
        <v>67261</v>
      </c>
      <c r="O2531" s="73">
        <v>67261</v>
      </c>
      <c r="P2531">
        <v>34.681374159610094</v>
      </c>
    </row>
    <row r="2532" spans="1:16" hidden="1" x14ac:dyDescent="0.2">
      <c r="A2532" s="73">
        <v>67261</v>
      </c>
      <c r="B2532" t="s">
        <v>443</v>
      </c>
      <c r="C2532" s="73" t="s">
        <v>487</v>
      </c>
      <c r="D2532" t="s">
        <v>507</v>
      </c>
      <c r="E2532" s="74">
        <v>46120</v>
      </c>
      <c r="F2532" t="s">
        <v>353</v>
      </c>
      <c r="G2532" t="s">
        <v>354</v>
      </c>
      <c r="H2532" s="75">
        <f t="shared" si="39"/>
        <v>277.45099327688075</v>
      </c>
      <c r="I2532" s="74">
        <v>46120</v>
      </c>
      <c r="J2532">
        <v>8</v>
      </c>
      <c r="K2532" t="s">
        <v>510</v>
      </c>
      <c r="L2532" t="s">
        <v>355</v>
      </c>
      <c r="M2532" t="s">
        <v>356</v>
      </c>
      <c r="N2532" s="73">
        <v>67261</v>
      </c>
      <c r="O2532" s="73">
        <v>67261</v>
      </c>
      <c r="P2532">
        <v>34.681374159610094</v>
      </c>
    </row>
    <row r="2533" spans="1:16" hidden="1" x14ac:dyDescent="0.2">
      <c r="A2533" s="73">
        <v>67261</v>
      </c>
      <c r="B2533" t="s">
        <v>443</v>
      </c>
      <c r="C2533" s="73" t="s">
        <v>487</v>
      </c>
      <c r="D2533" t="s">
        <v>507</v>
      </c>
      <c r="E2533" s="74">
        <v>46122</v>
      </c>
      <c r="F2533" t="s">
        <v>353</v>
      </c>
      <c r="G2533" t="s">
        <v>354</v>
      </c>
      <c r="H2533" s="75">
        <f t="shared" si="39"/>
        <v>277.45099327688075</v>
      </c>
      <c r="I2533" s="74">
        <v>46122</v>
      </c>
      <c r="J2533">
        <v>8</v>
      </c>
      <c r="K2533" t="s">
        <v>510</v>
      </c>
      <c r="L2533" t="s">
        <v>355</v>
      </c>
      <c r="M2533" t="s">
        <v>356</v>
      </c>
      <c r="N2533" s="73">
        <v>67261</v>
      </c>
      <c r="O2533" s="73">
        <v>67261</v>
      </c>
      <c r="P2533">
        <v>34.681374159610094</v>
      </c>
    </row>
    <row r="2534" spans="1:16" hidden="1" x14ac:dyDescent="0.2">
      <c r="A2534" s="73">
        <v>67261</v>
      </c>
      <c r="B2534" t="s">
        <v>443</v>
      </c>
      <c r="C2534" s="73" t="s">
        <v>487</v>
      </c>
      <c r="D2534" t="s">
        <v>507</v>
      </c>
      <c r="E2534" s="74">
        <v>46125</v>
      </c>
      <c r="F2534" t="s">
        <v>353</v>
      </c>
      <c r="G2534" t="s">
        <v>354</v>
      </c>
      <c r="H2534" s="75">
        <f t="shared" si="39"/>
        <v>277.45099327688075</v>
      </c>
      <c r="I2534" s="74">
        <v>46125</v>
      </c>
      <c r="J2534">
        <v>8</v>
      </c>
      <c r="K2534" t="s">
        <v>510</v>
      </c>
      <c r="L2534" t="s">
        <v>355</v>
      </c>
      <c r="M2534" t="s">
        <v>356</v>
      </c>
      <c r="N2534" s="73">
        <v>67261</v>
      </c>
      <c r="O2534" s="73">
        <v>67261</v>
      </c>
      <c r="P2534">
        <v>34.681374159610094</v>
      </c>
    </row>
    <row r="2535" spans="1:16" hidden="1" x14ac:dyDescent="0.2">
      <c r="A2535" s="73">
        <v>67261</v>
      </c>
      <c r="B2535" t="s">
        <v>443</v>
      </c>
      <c r="C2535" s="73" t="s">
        <v>487</v>
      </c>
      <c r="D2535" t="s">
        <v>507</v>
      </c>
      <c r="E2535" s="74">
        <v>46127</v>
      </c>
      <c r="F2535" t="s">
        <v>353</v>
      </c>
      <c r="G2535" t="s">
        <v>354</v>
      </c>
      <c r="H2535" s="75">
        <f t="shared" si="39"/>
        <v>277.45099327688075</v>
      </c>
      <c r="I2535" s="74">
        <v>46127</v>
      </c>
      <c r="J2535">
        <v>8</v>
      </c>
      <c r="K2535" t="s">
        <v>510</v>
      </c>
      <c r="L2535" t="s">
        <v>355</v>
      </c>
      <c r="M2535" t="s">
        <v>356</v>
      </c>
      <c r="N2535" s="73">
        <v>67261</v>
      </c>
      <c r="O2535" s="73">
        <v>67261</v>
      </c>
      <c r="P2535">
        <v>34.681374159610094</v>
      </c>
    </row>
    <row r="2536" spans="1:16" hidden="1" x14ac:dyDescent="0.2">
      <c r="A2536" s="73">
        <v>67261</v>
      </c>
      <c r="B2536" t="s">
        <v>443</v>
      </c>
      <c r="C2536" s="73" t="s">
        <v>487</v>
      </c>
      <c r="D2536" t="s">
        <v>507</v>
      </c>
      <c r="E2536" s="74">
        <v>46128</v>
      </c>
      <c r="F2536" t="s">
        <v>353</v>
      </c>
      <c r="G2536" t="s">
        <v>354</v>
      </c>
      <c r="H2536" s="75">
        <f t="shared" si="39"/>
        <v>277.45099327688075</v>
      </c>
      <c r="I2536" s="74">
        <v>46128</v>
      </c>
      <c r="J2536">
        <v>8</v>
      </c>
      <c r="K2536" t="s">
        <v>510</v>
      </c>
      <c r="L2536" t="s">
        <v>355</v>
      </c>
      <c r="M2536" t="s">
        <v>356</v>
      </c>
      <c r="N2536" s="73">
        <v>67261</v>
      </c>
      <c r="O2536" s="73">
        <v>67261</v>
      </c>
      <c r="P2536">
        <v>34.681374159610094</v>
      </c>
    </row>
    <row r="2537" spans="1:16" hidden="1" x14ac:dyDescent="0.2">
      <c r="A2537" s="73">
        <v>67261</v>
      </c>
      <c r="B2537" t="s">
        <v>443</v>
      </c>
      <c r="C2537" s="73" t="s">
        <v>487</v>
      </c>
      <c r="D2537" t="s">
        <v>507</v>
      </c>
      <c r="E2537" s="74">
        <v>46132</v>
      </c>
      <c r="F2537" t="s">
        <v>353</v>
      </c>
      <c r="G2537" t="s">
        <v>354</v>
      </c>
      <c r="H2537" s="75">
        <f t="shared" si="39"/>
        <v>277.45099327688075</v>
      </c>
      <c r="I2537" s="74">
        <v>46132</v>
      </c>
      <c r="J2537">
        <v>8</v>
      </c>
      <c r="K2537" t="s">
        <v>510</v>
      </c>
      <c r="L2537" t="s">
        <v>355</v>
      </c>
      <c r="M2537" t="s">
        <v>356</v>
      </c>
      <c r="N2537" s="73">
        <v>67261</v>
      </c>
      <c r="O2537" s="73">
        <v>67261</v>
      </c>
      <c r="P2537">
        <v>34.681374159610094</v>
      </c>
    </row>
    <row r="2538" spans="1:16" hidden="1" x14ac:dyDescent="0.2">
      <c r="A2538" s="73">
        <v>67261</v>
      </c>
      <c r="B2538" t="s">
        <v>443</v>
      </c>
      <c r="C2538" s="73" t="s">
        <v>487</v>
      </c>
      <c r="D2538" t="s">
        <v>507</v>
      </c>
      <c r="E2538" s="74">
        <v>46133</v>
      </c>
      <c r="F2538" t="s">
        <v>353</v>
      </c>
      <c r="G2538" t="s">
        <v>354</v>
      </c>
      <c r="H2538" s="75">
        <f t="shared" si="39"/>
        <v>277.45099327688075</v>
      </c>
      <c r="I2538" s="74">
        <v>46133</v>
      </c>
      <c r="J2538">
        <v>8</v>
      </c>
      <c r="K2538" t="s">
        <v>510</v>
      </c>
      <c r="L2538" t="s">
        <v>355</v>
      </c>
      <c r="M2538" t="s">
        <v>356</v>
      </c>
      <c r="N2538" s="73">
        <v>67261</v>
      </c>
      <c r="O2538" s="73">
        <v>67261</v>
      </c>
      <c r="P2538">
        <v>34.681374159610094</v>
      </c>
    </row>
    <row r="2539" spans="1:16" hidden="1" x14ac:dyDescent="0.2">
      <c r="A2539" s="73">
        <v>67261</v>
      </c>
      <c r="B2539" t="s">
        <v>443</v>
      </c>
      <c r="C2539" s="73" t="s">
        <v>487</v>
      </c>
      <c r="D2539" t="s">
        <v>507</v>
      </c>
      <c r="E2539" s="74">
        <v>46134</v>
      </c>
      <c r="F2539" t="s">
        <v>353</v>
      </c>
      <c r="G2539" t="s">
        <v>354</v>
      </c>
      <c r="H2539" s="75">
        <f t="shared" si="39"/>
        <v>277.45099327688075</v>
      </c>
      <c r="I2539" s="74">
        <v>46134</v>
      </c>
      <c r="J2539">
        <v>8</v>
      </c>
      <c r="K2539" t="s">
        <v>510</v>
      </c>
      <c r="L2539" t="s">
        <v>355</v>
      </c>
      <c r="M2539" t="s">
        <v>356</v>
      </c>
      <c r="N2539" s="73">
        <v>67261</v>
      </c>
      <c r="O2539" s="73">
        <v>67261</v>
      </c>
      <c r="P2539">
        <v>34.681374159610094</v>
      </c>
    </row>
    <row r="2540" spans="1:16" hidden="1" x14ac:dyDescent="0.2">
      <c r="A2540" s="73">
        <v>67261</v>
      </c>
      <c r="B2540" t="s">
        <v>443</v>
      </c>
      <c r="C2540" s="73" t="s">
        <v>487</v>
      </c>
      <c r="D2540" t="s">
        <v>507</v>
      </c>
      <c r="E2540" s="74">
        <v>46136</v>
      </c>
      <c r="F2540" t="s">
        <v>353</v>
      </c>
      <c r="G2540" t="s">
        <v>354</v>
      </c>
      <c r="H2540" s="75">
        <f t="shared" si="39"/>
        <v>277.45099327688075</v>
      </c>
      <c r="I2540" s="74">
        <v>46136</v>
      </c>
      <c r="J2540">
        <v>8</v>
      </c>
      <c r="K2540" t="s">
        <v>510</v>
      </c>
      <c r="L2540" t="s">
        <v>355</v>
      </c>
      <c r="M2540" t="s">
        <v>356</v>
      </c>
      <c r="N2540" s="73">
        <v>67261</v>
      </c>
      <c r="O2540" s="73">
        <v>67261</v>
      </c>
      <c r="P2540">
        <v>34.681374159610094</v>
      </c>
    </row>
    <row r="2541" spans="1:16" hidden="1" x14ac:dyDescent="0.2">
      <c r="A2541" s="73">
        <v>67261</v>
      </c>
      <c r="B2541" t="s">
        <v>443</v>
      </c>
      <c r="C2541" s="73" t="s">
        <v>487</v>
      </c>
      <c r="D2541" t="s">
        <v>507</v>
      </c>
      <c r="E2541" s="74">
        <v>46139</v>
      </c>
      <c r="F2541" t="s">
        <v>353</v>
      </c>
      <c r="G2541" t="s">
        <v>354</v>
      </c>
      <c r="H2541" s="75">
        <f t="shared" si="39"/>
        <v>277.45099327688075</v>
      </c>
      <c r="I2541" s="74">
        <v>46139</v>
      </c>
      <c r="J2541">
        <v>8</v>
      </c>
      <c r="K2541" t="s">
        <v>510</v>
      </c>
      <c r="L2541" t="s">
        <v>355</v>
      </c>
      <c r="M2541" t="s">
        <v>356</v>
      </c>
      <c r="N2541" s="73">
        <v>67261</v>
      </c>
      <c r="O2541" s="73">
        <v>67261</v>
      </c>
      <c r="P2541">
        <v>34.681374159610094</v>
      </c>
    </row>
    <row r="2542" spans="1:16" hidden="1" x14ac:dyDescent="0.2">
      <c r="A2542" s="73">
        <v>67261</v>
      </c>
      <c r="B2542" t="s">
        <v>443</v>
      </c>
      <c r="C2542" s="73" t="s">
        <v>487</v>
      </c>
      <c r="D2542" t="s">
        <v>507</v>
      </c>
      <c r="E2542" s="74">
        <v>46140</v>
      </c>
      <c r="F2542" t="s">
        <v>353</v>
      </c>
      <c r="G2542" t="s">
        <v>354</v>
      </c>
      <c r="H2542" s="75">
        <f t="shared" si="39"/>
        <v>277.45099327688075</v>
      </c>
      <c r="I2542" s="74">
        <v>46140</v>
      </c>
      <c r="J2542">
        <v>8</v>
      </c>
      <c r="K2542" t="s">
        <v>510</v>
      </c>
      <c r="L2542" t="s">
        <v>355</v>
      </c>
      <c r="M2542" t="s">
        <v>356</v>
      </c>
      <c r="N2542" s="73">
        <v>67261</v>
      </c>
      <c r="O2542" s="73">
        <v>67261</v>
      </c>
      <c r="P2542">
        <v>34.681374159610094</v>
      </c>
    </row>
    <row r="2543" spans="1:16" hidden="1" x14ac:dyDescent="0.2">
      <c r="A2543" s="73">
        <v>67261</v>
      </c>
      <c r="B2543" t="s">
        <v>443</v>
      </c>
      <c r="C2543" s="73" t="s">
        <v>487</v>
      </c>
      <c r="D2543" t="s">
        <v>507</v>
      </c>
      <c r="E2543" s="74">
        <v>46142</v>
      </c>
      <c r="F2543" t="s">
        <v>353</v>
      </c>
      <c r="G2543" t="s">
        <v>354</v>
      </c>
      <c r="H2543" s="75">
        <f t="shared" si="39"/>
        <v>277.45099327688075</v>
      </c>
      <c r="I2543" s="74">
        <v>46142</v>
      </c>
      <c r="J2543">
        <v>8</v>
      </c>
      <c r="K2543" t="s">
        <v>510</v>
      </c>
      <c r="L2543" t="s">
        <v>355</v>
      </c>
      <c r="M2543" t="s">
        <v>356</v>
      </c>
      <c r="N2543" s="73">
        <v>67261</v>
      </c>
      <c r="O2543" s="73">
        <v>67261</v>
      </c>
      <c r="P2543">
        <v>34.681374159610094</v>
      </c>
    </row>
    <row r="2544" spans="1:16" hidden="1" x14ac:dyDescent="0.2">
      <c r="A2544" s="73">
        <v>67261</v>
      </c>
      <c r="B2544" t="s">
        <v>443</v>
      </c>
      <c r="C2544" s="73" t="s">
        <v>487</v>
      </c>
      <c r="D2544" t="s">
        <v>507</v>
      </c>
      <c r="E2544" s="74">
        <v>46146</v>
      </c>
      <c r="F2544" t="s">
        <v>353</v>
      </c>
      <c r="G2544" t="s">
        <v>354</v>
      </c>
      <c r="H2544" s="75">
        <f t="shared" si="39"/>
        <v>277.45099327688075</v>
      </c>
      <c r="I2544" s="74">
        <v>46146</v>
      </c>
      <c r="J2544">
        <v>8</v>
      </c>
      <c r="K2544" t="s">
        <v>517</v>
      </c>
      <c r="L2544" t="s">
        <v>355</v>
      </c>
      <c r="M2544" t="s">
        <v>356</v>
      </c>
      <c r="N2544" s="73">
        <v>67261</v>
      </c>
      <c r="O2544" s="73">
        <v>67261</v>
      </c>
      <c r="P2544">
        <v>34.681374159610094</v>
      </c>
    </row>
    <row r="2545" spans="1:16" x14ac:dyDescent="0.2">
      <c r="A2545" s="73">
        <v>67262</v>
      </c>
      <c r="B2545" t="s">
        <v>350</v>
      </c>
      <c r="C2545" s="73" t="s">
        <v>421</v>
      </c>
      <c r="D2545" t="s">
        <v>422</v>
      </c>
      <c r="E2545" s="74">
        <v>45845</v>
      </c>
      <c r="F2545" t="s">
        <v>398</v>
      </c>
      <c r="G2545" t="s">
        <v>399</v>
      </c>
      <c r="H2545" s="75">
        <f t="shared" si="39"/>
        <v>208.08824495766055</v>
      </c>
      <c r="I2545" s="74">
        <v>45845</v>
      </c>
      <c r="J2545">
        <v>6</v>
      </c>
      <c r="K2545" t="s">
        <v>511</v>
      </c>
      <c r="L2545" t="s">
        <v>367</v>
      </c>
      <c r="M2545" t="s">
        <v>356</v>
      </c>
      <c r="N2545" s="73">
        <v>67262</v>
      </c>
      <c r="O2545" s="73">
        <v>67262</v>
      </c>
      <c r="P2545">
        <v>34.681374159610094</v>
      </c>
    </row>
    <row r="2546" spans="1:16" x14ac:dyDescent="0.2">
      <c r="A2546" s="73">
        <v>67262</v>
      </c>
      <c r="B2546" t="s">
        <v>350</v>
      </c>
      <c r="C2546" s="73" t="s">
        <v>421</v>
      </c>
      <c r="D2546" t="s">
        <v>422</v>
      </c>
      <c r="E2546" s="74">
        <v>45845</v>
      </c>
      <c r="F2546" t="s">
        <v>353</v>
      </c>
      <c r="G2546" t="s">
        <v>354</v>
      </c>
      <c r="H2546" s="75">
        <f t="shared" si="39"/>
        <v>208.08824495766055</v>
      </c>
      <c r="I2546" s="74">
        <v>45845</v>
      </c>
      <c r="J2546">
        <v>6</v>
      </c>
      <c r="K2546" t="s">
        <v>511</v>
      </c>
      <c r="L2546" t="s">
        <v>355</v>
      </c>
      <c r="M2546" t="s">
        <v>356</v>
      </c>
      <c r="N2546" s="73">
        <v>67262</v>
      </c>
      <c r="O2546" s="73">
        <v>67262</v>
      </c>
      <c r="P2546">
        <v>34.681374159610094</v>
      </c>
    </row>
    <row r="2547" spans="1:16" x14ac:dyDescent="0.2">
      <c r="A2547" s="73">
        <v>67262</v>
      </c>
      <c r="B2547" t="s">
        <v>350</v>
      </c>
      <c r="C2547" s="73" t="s">
        <v>421</v>
      </c>
      <c r="D2547" t="s">
        <v>422</v>
      </c>
      <c r="E2547" s="74">
        <v>45845</v>
      </c>
      <c r="F2547" t="s">
        <v>404</v>
      </c>
      <c r="G2547" t="s">
        <v>405</v>
      </c>
      <c r="H2547" s="75">
        <f t="shared" si="39"/>
        <v>104.04412247883027</v>
      </c>
      <c r="I2547" s="74">
        <v>45845</v>
      </c>
      <c r="J2547">
        <v>3</v>
      </c>
      <c r="K2547" t="s">
        <v>511</v>
      </c>
      <c r="L2547" t="s">
        <v>262</v>
      </c>
      <c r="M2547" t="s">
        <v>356</v>
      </c>
      <c r="N2547" s="73">
        <v>67262</v>
      </c>
      <c r="O2547" s="73">
        <v>67262</v>
      </c>
      <c r="P2547">
        <v>34.681374159610094</v>
      </c>
    </row>
    <row r="2548" spans="1:16" x14ac:dyDescent="0.2">
      <c r="A2548" s="73">
        <v>67262</v>
      </c>
      <c r="B2548" t="s">
        <v>350</v>
      </c>
      <c r="C2548" s="73" t="s">
        <v>421</v>
      </c>
      <c r="D2548" t="s">
        <v>422</v>
      </c>
      <c r="E2548" s="74">
        <v>45845</v>
      </c>
      <c r="F2548" t="s">
        <v>360</v>
      </c>
      <c r="G2548" t="s">
        <v>361</v>
      </c>
      <c r="H2548" s="75">
        <f t="shared" si="39"/>
        <v>208.08824495766055</v>
      </c>
      <c r="I2548" s="74">
        <v>45845</v>
      </c>
      <c r="J2548">
        <v>6</v>
      </c>
      <c r="K2548" t="s">
        <v>511</v>
      </c>
      <c r="L2548" t="s">
        <v>262</v>
      </c>
      <c r="M2548" t="s">
        <v>356</v>
      </c>
      <c r="N2548" s="73">
        <v>67262</v>
      </c>
      <c r="O2548" s="73">
        <v>67262</v>
      </c>
      <c r="P2548">
        <v>34.681374159610094</v>
      </c>
    </row>
    <row r="2549" spans="1:16" x14ac:dyDescent="0.2">
      <c r="A2549" s="73">
        <v>67262</v>
      </c>
      <c r="B2549" t="s">
        <v>350</v>
      </c>
      <c r="C2549" s="73" t="s">
        <v>421</v>
      </c>
      <c r="D2549" t="s">
        <v>422</v>
      </c>
      <c r="E2549" s="74">
        <v>45845</v>
      </c>
      <c r="F2549" t="s">
        <v>410</v>
      </c>
      <c r="G2549" t="s">
        <v>411</v>
      </c>
      <c r="H2549" s="75">
        <f t="shared" si="39"/>
        <v>208.08824495766055</v>
      </c>
      <c r="I2549" s="74">
        <v>45845</v>
      </c>
      <c r="J2549">
        <v>6</v>
      </c>
      <c r="K2549" t="s">
        <v>511</v>
      </c>
      <c r="L2549" t="s">
        <v>262</v>
      </c>
      <c r="M2549" t="s">
        <v>356</v>
      </c>
      <c r="N2549" s="73">
        <v>67262</v>
      </c>
      <c r="O2549" s="73">
        <v>67262</v>
      </c>
      <c r="P2549">
        <v>34.681374159610094</v>
      </c>
    </row>
    <row r="2550" spans="1:16" x14ac:dyDescent="0.2">
      <c r="A2550" s="73">
        <v>67262</v>
      </c>
      <c r="B2550" t="s">
        <v>350</v>
      </c>
      <c r="C2550" s="73" t="s">
        <v>421</v>
      </c>
      <c r="D2550" t="s">
        <v>422</v>
      </c>
      <c r="E2550" s="74">
        <v>45845</v>
      </c>
      <c r="F2550" t="s">
        <v>357</v>
      </c>
      <c r="G2550" t="s">
        <v>358</v>
      </c>
      <c r="H2550" s="75">
        <f t="shared" si="39"/>
        <v>208.08824495766055</v>
      </c>
      <c r="I2550" s="74">
        <v>45845</v>
      </c>
      <c r="J2550">
        <v>6</v>
      </c>
      <c r="K2550" t="s">
        <v>511</v>
      </c>
      <c r="L2550" t="s">
        <v>359</v>
      </c>
      <c r="M2550" t="s">
        <v>356</v>
      </c>
      <c r="N2550" s="73">
        <v>67262</v>
      </c>
      <c r="O2550" s="73">
        <v>67262</v>
      </c>
      <c r="P2550">
        <v>34.681374159610094</v>
      </c>
    </row>
    <row r="2551" spans="1:16" x14ac:dyDescent="0.2">
      <c r="A2551" s="73">
        <v>67262</v>
      </c>
      <c r="B2551" t="s">
        <v>350</v>
      </c>
      <c r="C2551" s="73" t="s">
        <v>421</v>
      </c>
      <c r="D2551" t="s">
        <v>422</v>
      </c>
      <c r="E2551" s="74">
        <v>45846</v>
      </c>
      <c r="F2551" t="s">
        <v>398</v>
      </c>
      <c r="G2551" t="s">
        <v>399</v>
      </c>
      <c r="H2551" s="75">
        <f t="shared" si="39"/>
        <v>208.08824495766055</v>
      </c>
      <c r="I2551" s="74">
        <v>45846</v>
      </c>
      <c r="J2551">
        <v>6</v>
      </c>
      <c r="K2551" t="s">
        <v>511</v>
      </c>
      <c r="L2551" t="s">
        <v>367</v>
      </c>
      <c r="M2551" t="s">
        <v>356</v>
      </c>
      <c r="N2551" s="73">
        <v>67262</v>
      </c>
      <c r="O2551" s="73">
        <v>67262</v>
      </c>
      <c r="P2551">
        <v>34.681374159610094</v>
      </c>
    </row>
    <row r="2552" spans="1:16" x14ac:dyDescent="0.2">
      <c r="A2552" s="73">
        <v>67262</v>
      </c>
      <c r="B2552" t="s">
        <v>350</v>
      </c>
      <c r="C2552" s="73" t="s">
        <v>421</v>
      </c>
      <c r="D2552" t="s">
        <v>422</v>
      </c>
      <c r="E2552" s="74">
        <v>45846</v>
      </c>
      <c r="F2552" t="s">
        <v>353</v>
      </c>
      <c r="G2552" t="s">
        <v>354</v>
      </c>
      <c r="H2552" s="75">
        <f t="shared" si="39"/>
        <v>104.04412247883027</v>
      </c>
      <c r="I2552" s="74">
        <v>45846</v>
      </c>
      <c r="J2552">
        <v>3</v>
      </c>
      <c r="K2552" t="s">
        <v>511</v>
      </c>
      <c r="L2552" t="s">
        <v>355</v>
      </c>
      <c r="M2552" t="s">
        <v>356</v>
      </c>
      <c r="N2552" s="73">
        <v>67262</v>
      </c>
      <c r="O2552" s="73">
        <v>67262</v>
      </c>
      <c r="P2552">
        <v>34.681374159610094</v>
      </c>
    </row>
    <row r="2553" spans="1:16" x14ac:dyDescent="0.2">
      <c r="A2553" s="73">
        <v>67262</v>
      </c>
      <c r="B2553" t="s">
        <v>350</v>
      </c>
      <c r="C2553" s="73" t="s">
        <v>421</v>
      </c>
      <c r="D2553" t="s">
        <v>422</v>
      </c>
      <c r="E2553" s="74">
        <v>45846</v>
      </c>
      <c r="F2553" t="s">
        <v>360</v>
      </c>
      <c r="G2553" t="s">
        <v>361</v>
      </c>
      <c r="H2553" s="75">
        <f t="shared" si="39"/>
        <v>104.04412247883027</v>
      </c>
      <c r="I2553" s="74">
        <v>45846</v>
      </c>
      <c r="J2553">
        <v>3</v>
      </c>
      <c r="K2553" t="s">
        <v>511</v>
      </c>
      <c r="L2553" t="s">
        <v>262</v>
      </c>
      <c r="M2553" t="s">
        <v>356</v>
      </c>
      <c r="N2553" s="73">
        <v>67262</v>
      </c>
      <c r="O2553" s="73">
        <v>67262</v>
      </c>
      <c r="P2553">
        <v>34.681374159610094</v>
      </c>
    </row>
    <row r="2554" spans="1:16" x14ac:dyDescent="0.2">
      <c r="A2554" s="73">
        <v>67262</v>
      </c>
      <c r="B2554" t="s">
        <v>350</v>
      </c>
      <c r="C2554" s="73" t="s">
        <v>421</v>
      </c>
      <c r="D2554" t="s">
        <v>422</v>
      </c>
      <c r="E2554" s="74">
        <v>46000</v>
      </c>
      <c r="F2554" t="s">
        <v>414</v>
      </c>
      <c r="G2554" t="s">
        <v>415</v>
      </c>
      <c r="H2554" s="75">
        <f t="shared" si="39"/>
        <v>242.76961911727065</v>
      </c>
      <c r="I2554" s="74">
        <v>46000</v>
      </c>
      <c r="J2554">
        <v>7</v>
      </c>
      <c r="K2554" t="s">
        <v>515</v>
      </c>
      <c r="L2554" t="s">
        <v>262</v>
      </c>
      <c r="M2554" t="s">
        <v>356</v>
      </c>
      <c r="N2554" s="73">
        <v>67262</v>
      </c>
      <c r="O2554" s="73">
        <v>67262</v>
      </c>
      <c r="P2554">
        <v>34.681374159610094</v>
      </c>
    </row>
    <row r="2555" spans="1:16" x14ac:dyDescent="0.2">
      <c r="A2555" s="73">
        <v>67262</v>
      </c>
      <c r="B2555" t="s">
        <v>350</v>
      </c>
      <c r="C2555" s="73" t="s">
        <v>421</v>
      </c>
      <c r="D2555" t="s">
        <v>422</v>
      </c>
      <c r="E2555" s="74">
        <v>45846</v>
      </c>
      <c r="F2555" t="s">
        <v>410</v>
      </c>
      <c r="G2555" t="s">
        <v>411</v>
      </c>
      <c r="H2555" s="75">
        <f t="shared" si="39"/>
        <v>208.08824495766055</v>
      </c>
      <c r="I2555" s="74">
        <v>45846</v>
      </c>
      <c r="J2555">
        <v>6</v>
      </c>
      <c r="K2555" t="s">
        <v>511</v>
      </c>
      <c r="L2555" t="s">
        <v>262</v>
      </c>
      <c r="M2555" t="s">
        <v>356</v>
      </c>
      <c r="N2555" s="73">
        <v>67262</v>
      </c>
      <c r="O2555" s="73">
        <v>67262</v>
      </c>
      <c r="P2555">
        <v>34.681374159610094</v>
      </c>
    </row>
    <row r="2556" spans="1:16" x14ac:dyDescent="0.2">
      <c r="A2556" s="73">
        <v>67262</v>
      </c>
      <c r="B2556" t="s">
        <v>350</v>
      </c>
      <c r="C2556" s="73" t="s">
        <v>421</v>
      </c>
      <c r="D2556" t="s">
        <v>422</v>
      </c>
      <c r="E2556" s="74">
        <v>45846</v>
      </c>
      <c r="F2556" t="s">
        <v>357</v>
      </c>
      <c r="G2556" t="s">
        <v>358</v>
      </c>
      <c r="H2556" s="75">
        <f t="shared" si="39"/>
        <v>208.08824495766055</v>
      </c>
      <c r="I2556" s="74">
        <v>45846</v>
      </c>
      <c r="J2556">
        <v>6</v>
      </c>
      <c r="K2556" t="s">
        <v>511</v>
      </c>
      <c r="L2556" t="s">
        <v>359</v>
      </c>
      <c r="M2556" t="s">
        <v>356</v>
      </c>
      <c r="N2556" s="73">
        <v>67262</v>
      </c>
      <c r="O2556" s="73">
        <v>67262</v>
      </c>
      <c r="P2556">
        <v>34.681374159610094</v>
      </c>
    </row>
    <row r="2557" spans="1:16" x14ac:dyDescent="0.2">
      <c r="A2557" s="73">
        <v>67262</v>
      </c>
      <c r="B2557" t="s">
        <v>350</v>
      </c>
      <c r="C2557" s="73" t="s">
        <v>421</v>
      </c>
      <c r="D2557" t="s">
        <v>422</v>
      </c>
      <c r="E2557" s="74">
        <v>45847</v>
      </c>
      <c r="F2557" t="s">
        <v>398</v>
      </c>
      <c r="G2557" t="s">
        <v>399</v>
      </c>
      <c r="H2557" s="75">
        <f t="shared" si="39"/>
        <v>208.08824495766055</v>
      </c>
      <c r="I2557" s="74">
        <v>45847</v>
      </c>
      <c r="J2557">
        <v>6</v>
      </c>
      <c r="K2557" t="s">
        <v>511</v>
      </c>
      <c r="L2557" t="s">
        <v>367</v>
      </c>
      <c r="M2557" t="s">
        <v>356</v>
      </c>
      <c r="N2557" s="73">
        <v>67262</v>
      </c>
      <c r="O2557" s="73">
        <v>67262</v>
      </c>
      <c r="P2557">
        <v>34.681374159610094</v>
      </c>
    </row>
    <row r="2558" spans="1:16" x14ac:dyDescent="0.2">
      <c r="A2558" s="73">
        <v>67262</v>
      </c>
      <c r="B2558" t="s">
        <v>350</v>
      </c>
      <c r="C2558" s="73" t="s">
        <v>421</v>
      </c>
      <c r="D2558" t="s">
        <v>422</v>
      </c>
      <c r="E2558" s="74">
        <v>45847</v>
      </c>
      <c r="F2558" t="s">
        <v>353</v>
      </c>
      <c r="G2558" t="s">
        <v>354</v>
      </c>
      <c r="H2558" s="75">
        <f t="shared" si="39"/>
        <v>208.08824495766055</v>
      </c>
      <c r="I2558" s="74">
        <v>45847</v>
      </c>
      <c r="J2558">
        <v>6</v>
      </c>
      <c r="K2558" t="s">
        <v>511</v>
      </c>
      <c r="L2558" t="s">
        <v>355</v>
      </c>
      <c r="M2558" t="s">
        <v>356</v>
      </c>
      <c r="N2558" s="73">
        <v>67262</v>
      </c>
      <c r="O2558" s="73">
        <v>67262</v>
      </c>
      <c r="P2558">
        <v>34.681374159610094</v>
      </c>
    </row>
    <row r="2559" spans="1:16" x14ac:dyDescent="0.2">
      <c r="A2559" s="73">
        <v>67262</v>
      </c>
      <c r="B2559" t="s">
        <v>350</v>
      </c>
      <c r="C2559" s="73" t="s">
        <v>421</v>
      </c>
      <c r="D2559" t="s">
        <v>422</v>
      </c>
      <c r="E2559" s="74">
        <v>45847</v>
      </c>
      <c r="F2559" t="s">
        <v>360</v>
      </c>
      <c r="G2559" t="s">
        <v>361</v>
      </c>
      <c r="H2559" s="75">
        <f t="shared" si="39"/>
        <v>208.08824495766055</v>
      </c>
      <c r="I2559" s="74">
        <v>45847</v>
      </c>
      <c r="J2559">
        <v>6</v>
      </c>
      <c r="K2559" t="s">
        <v>511</v>
      </c>
      <c r="L2559" t="s">
        <v>262</v>
      </c>
      <c r="M2559" t="s">
        <v>356</v>
      </c>
      <c r="N2559" s="73">
        <v>67262</v>
      </c>
      <c r="O2559" s="73">
        <v>67262</v>
      </c>
      <c r="P2559">
        <v>34.681374159610094</v>
      </c>
    </row>
    <row r="2560" spans="1:16" x14ac:dyDescent="0.2">
      <c r="A2560" s="73">
        <v>67262</v>
      </c>
      <c r="B2560" t="s">
        <v>350</v>
      </c>
      <c r="C2560" s="73" t="s">
        <v>421</v>
      </c>
      <c r="D2560" t="s">
        <v>422</v>
      </c>
      <c r="E2560" s="74">
        <v>45847</v>
      </c>
      <c r="F2560" t="s">
        <v>357</v>
      </c>
      <c r="G2560" t="s">
        <v>358</v>
      </c>
      <c r="H2560" s="75">
        <f t="shared" si="39"/>
        <v>208.08824495766055</v>
      </c>
      <c r="I2560" s="74">
        <v>45847</v>
      </c>
      <c r="J2560">
        <v>6</v>
      </c>
      <c r="K2560" t="s">
        <v>511</v>
      </c>
      <c r="L2560" t="s">
        <v>359</v>
      </c>
      <c r="M2560" t="s">
        <v>356</v>
      </c>
      <c r="N2560" s="73">
        <v>67262</v>
      </c>
      <c r="O2560" s="73">
        <v>67262</v>
      </c>
      <c r="P2560">
        <v>34.681374159610094</v>
      </c>
    </row>
    <row r="2561" spans="1:16" x14ac:dyDescent="0.2">
      <c r="A2561" s="73">
        <v>67262</v>
      </c>
      <c r="B2561" t="s">
        <v>350</v>
      </c>
      <c r="C2561" s="73" t="s">
        <v>421</v>
      </c>
      <c r="D2561" t="s">
        <v>422</v>
      </c>
      <c r="E2561" s="74">
        <v>45848</v>
      </c>
      <c r="F2561" t="s">
        <v>376</v>
      </c>
      <c r="G2561" t="s">
        <v>377</v>
      </c>
      <c r="H2561" s="75">
        <f t="shared" si="39"/>
        <v>34.681374159610094</v>
      </c>
      <c r="I2561" s="74">
        <v>45848</v>
      </c>
      <c r="J2561">
        <v>1</v>
      </c>
      <c r="K2561" t="s">
        <v>511</v>
      </c>
      <c r="L2561" t="s">
        <v>262</v>
      </c>
      <c r="M2561" t="s">
        <v>356</v>
      </c>
      <c r="N2561" s="73">
        <v>67262</v>
      </c>
      <c r="O2561" s="73">
        <v>67262</v>
      </c>
      <c r="P2561">
        <v>34.681374159610094</v>
      </c>
    </row>
    <row r="2562" spans="1:16" x14ac:dyDescent="0.2">
      <c r="A2562" s="73">
        <v>67262</v>
      </c>
      <c r="B2562" t="s">
        <v>350</v>
      </c>
      <c r="C2562" s="73" t="s">
        <v>421</v>
      </c>
      <c r="D2562" t="s">
        <v>422</v>
      </c>
      <c r="E2562" s="74">
        <v>45848</v>
      </c>
      <c r="F2562" t="s">
        <v>398</v>
      </c>
      <c r="G2562" t="s">
        <v>399</v>
      </c>
      <c r="H2562" s="75">
        <f t="shared" ref="H2562:H2625" si="40">J2562*P2562</f>
        <v>208.08824495766055</v>
      </c>
      <c r="I2562" s="74">
        <v>45848</v>
      </c>
      <c r="J2562">
        <v>6</v>
      </c>
      <c r="K2562" t="s">
        <v>511</v>
      </c>
      <c r="L2562" t="s">
        <v>367</v>
      </c>
      <c r="M2562" t="s">
        <v>356</v>
      </c>
      <c r="N2562" s="73">
        <v>67262</v>
      </c>
      <c r="O2562" s="73">
        <v>67262</v>
      </c>
      <c r="P2562">
        <v>34.681374159610094</v>
      </c>
    </row>
    <row r="2563" spans="1:16" x14ac:dyDescent="0.2">
      <c r="A2563" s="73">
        <v>67262</v>
      </c>
      <c r="B2563" t="s">
        <v>350</v>
      </c>
      <c r="C2563" s="73" t="s">
        <v>421</v>
      </c>
      <c r="D2563" t="s">
        <v>422</v>
      </c>
      <c r="E2563" s="74">
        <v>45848</v>
      </c>
      <c r="F2563" t="s">
        <v>360</v>
      </c>
      <c r="G2563" t="s">
        <v>361</v>
      </c>
      <c r="H2563" s="75">
        <f t="shared" si="40"/>
        <v>208.08824495766055</v>
      </c>
      <c r="I2563" s="74">
        <v>45848</v>
      </c>
      <c r="J2563">
        <v>6</v>
      </c>
      <c r="K2563" t="s">
        <v>511</v>
      </c>
      <c r="L2563" t="s">
        <v>262</v>
      </c>
      <c r="M2563" t="s">
        <v>356</v>
      </c>
      <c r="N2563" s="73">
        <v>67262</v>
      </c>
      <c r="O2563" s="73">
        <v>67262</v>
      </c>
      <c r="P2563">
        <v>34.681374159610094</v>
      </c>
    </row>
    <row r="2564" spans="1:16" x14ac:dyDescent="0.2">
      <c r="A2564" s="73">
        <v>67262</v>
      </c>
      <c r="B2564" t="s">
        <v>350</v>
      </c>
      <c r="C2564" s="73" t="s">
        <v>421</v>
      </c>
      <c r="D2564" t="s">
        <v>422</v>
      </c>
      <c r="E2564" s="74">
        <v>46001</v>
      </c>
      <c r="F2564" t="s">
        <v>414</v>
      </c>
      <c r="G2564" t="s">
        <v>415</v>
      </c>
      <c r="H2564" s="75">
        <f t="shared" si="40"/>
        <v>242.76961911727065</v>
      </c>
      <c r="I2564" s="74">
        <v>46001</v>
      </c>
      <c r="J2564">
        <v>7</v>
      </c>
      <c r="K2564" t="s">
        <v>515</v>
      </c>
      <c r="L2564" t="s">
        <v>262</v>
      </c>
      <c r="M2564" t="s">
        <v>356</v>
      </c>
      <c r="N2564" s="73">
        <v>67262</v>
      </c>
      <c r="O2564" s="73">
        <v>67262</v>
      </c>
      <c r="P2564">
        <v>34.681374159610094</v>
      </c>
    </row>
    <row r="2565" spans="1:16" x14ac:dyDescent="0.2">
      <c r="A2565" s="73">
        <v>67262</v>
      </c>
      <c r="B2565" t="s">
        <v>350</v>
      </c>
      <c r="C2565" s="73" t="s">
        <v>421</v>
      </c>
      <c r="D2565" t="s">
        <v>422</v>
      </c>
      <c r="E2565" s="74">
        <v>45848</v>
      </c>
      <c r="F2565" t="s">
        <v>410</v>
      </c>
      <c r="G2565" t="s">
        <v>411</v>
      </c>
      <c r="H2565" s="75">
        <f t="shared" si="40"/>
        <v>208.08824495766055</v>
      </c>
      <c r="I2565" s="74">
        <v>45848</v>
      </c>
      <c r="J2565">
        <v>6</v>
      </c>
      <c r="K2565" t="s">
        <v>511</v>
      </c>
      <c r="L2565" t="s">
        <v>262</v>
      </c>
      <c r="M2565" t="s">
        <v>356</v>
      </c>
      <c r="N2565" s="73">
        <v>67262</v>
      </c>
      <c r="O2565" s="73">
        <v>67262</v>
      </c>
      <c r="P2565">
        <v>34.681374159610094</v>
      </c>
    </row>
    <row r="2566" spans="1:16" x14ac:dyDescent="0.2">
      <c r="A2566" s="73">
        <v>67262</v>
      </c>
      <c r="B2566" t="s">
        <v>350</v>
      </c>
      <c r="C2566" s="73" t="s">
        <v>421</v>
      </c>
      <c r="D2566" t="s">
        <v>422</v>
      </c>
      <c r="E2566" s="74">
        <v>45848</v>
      </c>
      <c r="F2566" t="s">
        <v>357</v>
      </c>
      <c r="G2566" t="s">
        <v>358</v>
      </c>
      <c r="H2566" s="75">
        <f t="shared" si="40"/>
        <v>208.08824495766055</v>
      </c>
      <c r="I2566" s="74">
        <v>45848</v>
      </c>
      <c r="J2566">
        <v>6</v>
      </c>
      <c r="K2566" t="s">
        <v>511</v>
      </c>
      <c r="L2566" t="s">
        <v>359</v>
      </c>
      <c r="M2566" t="s">
        <v>356</v>
      </c>
      <c r="N2566" s="73">
        <v>67262</v>
      </c>
      <c r="O2566" s="73">
        <v>67262</v>
      </c>
      <c r="P2566">
        <v>34.681374159610094</v>
      </c>
    </row>
    <row r="2567" spans="1:16" x14ac:dyDescent="0.2">
      <c r="A2567" s="73">
        <v>67262</v>
      </c>
      <c r="B2567" t="s">
        <v>350</v>
      </c>
      <c r="C2567" s="73" t="s">
        <v>421</v>
      </c>
      <c r="D2567" t="s">
        <v>422</v>
      </c>
      <c r="E2567" s="74">
        <v>45849</v>
      </c>
      <c r="F2567" t="s">
        <v>376</v>
      </c>
      <c r="G2567" t="s">
        <v>377</v>
      </c>
      <c r="H2567" s="75">
        <f t="shared" si="40"/>
        <v>69.362748319220188</v>
      </c>
      <c r="I2567" s="74">
        <v>45849</v>
      </c>
      <c r="J2567">
        <v>2</v>
      </c>
      <c r="K2567" t="s">
        <v>511</v>
      </c>
      <c r="L2567" t="s">
        <v>262</v>
      </c>
      <c r="M2567" t="s">
        <v>356</v>
      </c>
      <c r="N2567" s="73">
        <v>67262</v>
      </c>
      <c r="O2567" s="73">
        <v>67262</v>
      </c>
      <c r="P2567">
        <v>34.681374159610094</v>
      </c>
    </row>
    <row r="2568" spans="1:16" x14ac:dyDescent="0.2">
      <c r="A2568" s="73">
        <v>67262</v>
      </c>
      <c r="B2568" t="s">
        <v>350</v>
      </c>
      <c r="C2568" s="73" t="s">
        <v>421</v>
      </c>
      <c r="D2568" t="s">
        <v>422</v>
      </c>
      <c r="E2568" s="74">
        <v>45849</v>
      </c>
      <c r="F2568" t="s">
        <v>398</v>
      </c>
      <c r="G2568" t="s">
        <v>399</v>
      </c>
      <c r="H2568" s="75">
        <f t="shared" si="40"/>
        <v>208.08824495766055</v>
      </c>
      <c r="I2568" s="74">
        <v>45849</v>
      </c>
      <c r="J2568">
        <v>6</v>
      </c>
      <c r="K2568" t="s">
        <v>511</v>
      </c>
      <c r="L2568" t="s">
        <v>367</v>
      </c>
      <c r="M2568" t="s">
        <v>356</v>
      </c>
      <c r="N2568" s="73">
        <v>67262</v>
      </c>
      <c r="O2568" s="73">
        <v>67262</v>
      </c>
      <c r="P2568">
        <v>34.681374159610094</v>
      </c>
    </row>
    <row r="2569" spans="1:16" x14ac:dyDescent="0.2">
      <c r="A2569" s="73">
        <v>67262</v>
      </c>
      <c r="B2569" t="s">
        <v>350</v>
      </c>
      <c r="C2569" s="73" t="s">
        <v>421</v>
      </c>
      <c r="D2569" t="s">
        <v>422</v>
      </c>
      <c r="E2569" s="74">
        <v>45849</v>
      </c>
      <c r="F2569" t="s">
        <v>404</v>
      </c>
      <c r="G2569" t="s">
        <v>405</v>
      </c>
      <c r="H2569" s="75">
        <f t="shared" si="40"/>
        <v>277.45099327688075</v>
      </c>
      <c r="I2569" s="74">
        <v>45849</v>
      </c>
      <c r="J2569">
        <v>8</v>
      </c>
      <c r="K2569" t="s">
        <v>511</v>
      </c>
      <c r="L2569" t="s">
        <v>262</v>
      </c>
      <c r="M2569" t="s">
        <v>356</v>
      </c>
      <c r="N2569" s="73">
        <v>67262</v>
      </c>
      <c r="O2569" s="73">
        <v>67262</v>
      </c>
      <c r="P2569">
        <v>34.681374159610094</v>
      </c>
    </row>
    <row r="2570" spans="1:16" x14ac:dyDescent="0.2">
      <c r="A2570" s="73">
        <v>67262</v>
      </c>
      <c r="B2570" t="s">
        <v>350</v>
      </c>
      <c r="C2570" s="73" t="s">
        <v>421</v>
      </c>
      <c r="D2570" t="s">
        <v>422</v>
      </c>
      <c r="E2570" s="74">
        <v>45849</v>
      </c>
      <c r="F2570" t="s">
        <v>360</v>
      </c>
      <c r="G2570" t="s">
        <v>361</v>
      </c>
      <c r="H2570" s="75">
        <f t="shared" si="40"/>
        <v>138.72549663844038</v>
      </c>
      <c r="I2570" s="74">
        <v>45849</v>
      </c>
      <c r="J2570">
        <v>4</v>
      </c>
      <c r="K2570" t="s">
        <v>511</v>
      </c>
      <c r="L2570" t="s">
        <v>262</v>
      </c>
      <c r="M2570" t="s">
        <v>356</v>
      </c>
      <c r="N2570" s="73">
        <v>67262</v>
      </c>
      <c r="O2570" s="73">
        <v>67262</v>
      </c>
      <c r="P2570">
        <v>34.681374159610094</v>
      </c>
    </row>
    <row r="2571" spans="1:16" x14ac:dyDescent="0.2">
      <c r="A2571" s="73">
        <v>67262</v>
      </c>
      <c r="B2571" t="s">
        <v>350</v>
      </c>
      <c r="C2571" s="73" t="s">
        <v>421</v>
      </c>
      <c r="D2571" t="s">
        <v>422</v>
      </c>
      <c r="E2571" s="74">
        <v>45849</v>
      </c>
      <c r="F2571" t="s">
        <v>410</v>
      </c>
      <c r="G2571" t="s">
        <v>411</v>
      </c>
      <c r="H2571" s="75">
        <f t="shared" si="40"/>
        <v>208.08824495766055</v>
      </c>
      <c r="I2571" s="74">
        <v>45849</v>
      </c>
      <c r="J2571">
        <v>6</v>
      </c>
      <c r="K2571" t="s">
        <v>511</v>
      </c>
      <c r="L2571" t="s">
        <v>262</v>
      </c>
      <c r="M2571" t="s">
        <v>356</v>
      </c>
      <c r="N2571" s="73">
        <v>67262</v>
      </c>
      <c r="O2571" s="73">
        <v>67262</v>
      </c>
      <c r="P2571">
        <v>34.681374159610094</v>
      </c>
    </row>
    <row r="2572" spans="1:16" x14ac:dyDescent="0.2">
      <c r="A2572" s="73">
        <v>67262</v>
      </c>
      <c r="B2572" t="s">
        <v>350</v>
      </c>
      <c r="C2572" s="73" t="s">
        <v>421</v>
      </c>
      <c r="D2572" t="s">
        <v>422</v>
      </c>
      <c r="E2572" s="74">
        <v>45849</v>
      </c>
      <c r="F2572" t="s">
        <v>357</v>
      </c>
      <c r="G2572" t="s">
        <v>358</v>
      </c>
      <c r="H2572" s="75">
        <f t="shared" si="40"/>
        <v>208.08824495766055</v>
      </c>
      <c r="I2572" s="74">
        <v>45849</v>
      </c>
      <c r="J2572">
        <v>6</v>
      </c>
      <c r="K2572" t="s">
        <v>511</v>
      </c>
      <c r="L2572" t="s">
        <v>359</v>
      </c>
      <c r="M2572" t="s">
        <v>356</v>
      </c>
      <c r="N2572" s="73">
        <v>67262</v>
      </c>
      <c r="O2572" s="73">
        <v>67262</v>
      </c>
      <c r="P2572">
        <v>34.681374159610094</v>
      </c>
    </row>
    <row r="2573" spans="1:16" x14ac:dyDescent="0.2">
      <c r="A2573" s="73">
        <v>67262</v>
      </c>
      <c r="B2573" t="s">
        <v>350</v>
      </c>
      <c r="C2573" s="73" t="s">
        <v>421</v>
      </c>
      <c r="D2573" t="s">
        <v>422</v>
      </c>
      <c r="E2573" s="74">
        <v>45852</v>
      </c>
      <c r="F2573" t="s">
        <v>360</v>
      </c>
      <c r="G2573" t="s">
        <v>361</v>
      </c>
      <c r="H2573" s="75">
        <f t="shared" si="40"/>
        <v>242.76961911727065</v>
      </c>
      <c r="I2573" s="74">
        <v>45852</v>
      </c>
      <c r="J2573">
        <v>7</v>
      </c>
      <c r="K2573" t="s">
        <v>511</v>
      </c>
      <c r="L2573" t="s">
        <v>262</v>
      </c>
      <c r="M2573" t="s">
        <v>356</v>
      </c>
      <c r="N2573" s="73">
        <v>67262</v>
      </c>
      <c r="O2573" s="73">
        <v>67262</v>
      </c>
      <c r="P2573">
        <v>34.681374159610094</v>
      </c>
    </row>
    <row r="2574" spans="1:16" x14ac:dyDescent="0.2">
      <c r="A2574" s="73">
        <v>67262</v>
      </c>
      <c r="B2574" t="s">
        <v>350</v>
      </c>
      <c r="C2574" s="73" t="s">
        <v>421</v>
      </c>
      <c r="D2574" t="s">
        <v>422</v>
      </c>
      <c r="E2574" s="74">
        <v>45852</v>
      </c>
      <c r="F2574" t="s">
        <v>398</v>
      </c>
      <c r="G2574" t="s">
        <v>399</v>
      </c>
      <c r="H2574" s="75">
        <f t="shared" si="40"/>
        <v>208.08824495766055</v>
      </c>
      <c r="I2574" s="74">
        <v>45852</v>
      </c>
      <c r="J2574">
        <v>6</v>
      </c>
      <c r="K2574" t="s">
        <v>511</v>
      </c>
      <c r="L2574" t="s">
        <v>367</v>
      </c>
      <c r="M2574" t="s">
        <v>356</v>
      </c>
      <c r="N2574" s="73">
        <v>67262</v>
      </c>
      <c r="O2574" s="73">
        <v>67262</v>
      </c>
      <c r="P2574">
        <v>34.681374159610094</v>
      </c>
    </row>
    <row r="2575" spans="1:16" x14ac:dyDescent="0.2">
      <c r="A2575" s="73">
        <v>67262</v>
      </c>
      <c r="B2575" t="s">
        <v>350</v>
      </c>
      <c r="C2575" s="73" t="s">
        <v>421</v>
      </c>
      <c r="D2575" t="s">
        <v>422</v>
      </c>
      <c r="E2575" s="74">
        <v>45852</v>
      </c>
      <c r="F2575" t="s">
        <v>353</v>
      </c>
      <c r="G2575" t="s">
        <v>354</v>
      </c>
      <c r="H2575" s="75">
        <f t="shared" si="40"/>
        <v>208.08824495766055</v>
      </c>
      <c r="I2575" s="74">
        <v>45852</v>
      </c>
      <c r="J2575">
        <v>6</v>
      </c>
      <c r="K2575" t="s">
        <v>511</v>
      </c>
      <c r="L2575" t="s">
        <v>355</v>
      </c>
      <c r="M2575" t="s">
        <v>356</v>
      </c>
      <c r="N2575" s="73">
        <v>67262</v>
      </c>
      <c r="O2575" s="73">
        <v>67262</v>
      </c>
      <c r="P2575">
        <v>34.681374159610094</v>
      </c>
    </row>
    <row r="2576" spans="1:16" x14ac:dyDescent="0.2">
      <c r="A2576" s="73">
        <v>67262</v>
      </c>
      <c r="B2576" t="s">
        <v>350</v>
      </c>
      <c r="C2576" s="73" t="s">
        <v>421</v>
      </c>
      <c r="D2576" t="s">
        <v>422</v>
      </c>
      <c r="E2576" s="74">
        <v>45852</v>
      </c>
      <c r="F2576" t="s">
        <v>410</v>
      </c>
      <c r="G2576" t="s">
        <v>411</v>
      </c>
      <c r="H2576" s="75">
        <f t="shared" si="40"/>
        <v>208.08824495766055</v>
      </c>
      <c r="I2576" s="74">
        <v>45852</v>
      </c>
      <c r="J2576">
        <v>6</v>
      </c>
      <c r="K2576" t="s">
        <v>511</v>
      </c>
      <c r="L2576" t="s">
        <v>262</v>
      </c>
      <c r="M2576" t="s">
        <v>356</v>
      </c>
      <c r="N2576" s="73">
        <v>67262</v>
      </c>
      <c r="O2576" s="73">
        <v>67262</v>
      </c>
      <c r="P2576">
        <v>34.681374159610094</v>
      </c>
    </row>
    <row r="2577" spans="1:16" x14ac:dyDescent="0.2">
      <c r="A2577" s="73">
        <v>67262</v>
      </c>
      <c r="B2577" t="s">
        <v>350</v>
      </c>
      <c r="C2577" s="73" t="s">
        <v>421</v>
      </c>
      <c r="D2577" t="s">
        <v>422</v>
      </c>
      <c r="E2577" s="74">
        <v>45852</v>
      </c>
      <c r="F2577" t="s">
        <v>395</v>
      </c>
      <c r="G2577" t="s">
        <v>396</v>
      </c>
      <c r="H2577" s="75">
        <f t="shared" si="40"/>
        <v>208.08824495766055</v>
      </c>
      <c r="I2577" s="74">
        <v>45852</v>
      </c>
      <c r="J2577">
        <v>6</v>
      </c>
      <c r="K2577" t="s">
        <v>511</v>
      </c>
      <c r="L2577" t="s">
        <v>262</v>
      </c>
      <c r="M2577" t="s">
        <v>356</v>
      </c>
      <c r="N2577" s="73">
        <v>67262</v>
      </c>
      <c r="O2577" s="73">
        <v>67262</v>
      </c>
      <c r="P2577">
        <v>34.681374159610094</v>
      </c>
    </row>
    <row r="2578" spans="1:16" x14ac:dyDescent="0.2">
      <c r="A2578" s="73">
        <v>67262</v>
      </c>
      <c r="B2578" t="s">
        <v>350</v>
      </c>
      <c r="C2578" s="73" t="s">
        <v>421</v>
      </c>
      <c r="D2578" t="s">
        <v>422</v>
      </c>
      <c r="E2578" s="74">
        <v>45852</v>
      </c>
      <c r="F2578" t="s">
        <v>404</v>
      </c>
      <c r="G2578" t="s">
        <v>405</v>
      </c>
      <c r="H2578" s="75">
        <f t="shared" si="40"/>
        <v>34.681374159610094</v>
      </c>
      <c r="I2578" s="74">
        <v>45852</v>
      </c>
      <c r="J2578">
        <v>1</v>
      </c>
      <c r="K2578" t="s">
        <v>511</v>
      </c>
      <c r="L2578" t="s">
        <v>262</v>
      </c>
      <c r="M2578" t="s">
        <v>356</v>
      </c>
      <c r="N2578" s="73">
        <v>67262</v>
      </c>
      <c r="O2578" s="73">
        <v>67262</v>
      </c>
      <c r="P2578">
        <v>34.681374159610094</v>
      </c>
    </row>
    <row r="2579" spans="1:16" x14ac:dyDescent="0.2">
      <c r="A2579" s="73">
        <v>67262</v>
      </c>
      <c r="B2579" t="s">
        <v>350</v>
      </c>
      <c r="C2579" s="73" t="s">
        <v>421</v>
      </c>
      <c r="D2579" t="s">
        <v>422</v>
      </c>
      <c r="E2579" s="74">
        <v>46002</v>
      </c>
      <c r="F2579" t="s">
        <v>414</v>
      </c>
      <c r="G2579" t="s">
        <v>415</v>
      </c>
      <c r="H2579" s="75">
        <f t="shared" si="40"/>
        <v>242.76961911727065</v>
      </c>
      <c r="I2579" s="74">
        <v>46002</v>
      </c>
      <c r="J2579">
        <v>7</v>
      </c>
      <c r="K2579" t="s">
        <v>515</v>
      </c>
      <c r="L2579" t="s">
        <v>262</v>
      </c>
      <c r="M2579" t="s">
        <v>356</v>
      </c>
      <c r="N2579" s="73">
        <v>67262</v>
      </c>
      <c r="O2579" s="73">
        <v>67262</v>
      </c>
      <c r="P2579">
        <v>34.681374159610094</v>
      </c>
    </row>
    <row r="2580" spans="1:16" x14ac:dyDescent="0.2">
      <c r="A2580" s="73">
        <v>67262</v>
      </c>
      <c r="B2580" t="s">
        <v>350</v>
      </c>
      <c r="C2580" s="73" t="s">
        <v>421</v>
      </c>
      <c r="D2580" t="s">
        <v>422</v>
      </c>
      <c r="E2580" s="74">
        <v>45852</v>
      </c>
      <c r="F2580" t="s">
        <v>357</v>
      </c>
      <c r="G2580" t="s">
        <v>358</v>
      </c>
      <c r="H2580" s="75">
        <f t="shared" si="40"/>
        <v>208.08824495766055</v>
      </c>
      <c r="I2580" s="74">
        <v>45852</v>
      </c>
      <c r="J2580">
        <v>6</v>
      </c>
      <c r="K2580" t="s">
        <v>511</v>
      </c>
      <c r="L2580" t="s">
        <v>359</v>
      </c>
      <c r="M2580" t="s">
        <v>356</v>
      </c>
      <c r="N2580" s="73">
        <v>67262</v>
      </c>
      <c r="O2580" s="73">
        <v>67262</v>
      </c>
      <c r="P2580">
        <v>34.681374159610094</v>
      </c>
    </row>
    <row r="2581" spans="1:16" x14ac:dyDescent="0.2">
      <c r="A2581" s="73">
        <v>67262</v>
      </c>
      <c r="B2581" t="s">
        <v>350</v>
      </c>
      <c r="C2581" s="73" t="s">
        <v>421</v>
      </c>
      <c r="D2581" t="s">
        <v>422</v>
      </c>
      <c r="E2581" s="74">
        <v>45853</v>
      </c>
      <c r="F2581" t="s">
        <v>398</v>
      </c>
      <c r="G2581" t="s">
        <v>399</v>
      </c>
      <c r="H2581" s="75">
        <f t="shared" si="40"/>
        <v>208.08824495766055</v>
      </c>
      <c r="I2581" s="74">
        <v>45853</v>
      </c>
      <c r="J2581">
        <v>6</v>
      </c>
      <c r="K2581" t="s">
        <v>511</v>
      </c>
      <c r="L2581" t="s">
        <v>367</v>
      </c>
      <c r="M2581" t="s">
        <v>356</v>
      </c>
      <c r="N2581" s="73">
        <v>67262</v>
      </c>
      <c r="O2581" s="73">
        <v>67262</v>
      </c>
      <c r="P2581">
        <v>34.681374159610094</v>
      </c>
    </row>
    <row r="2582" spans="1:16" x14ac:dyDescent="0.2">
      <c r="A2582" s="73">
        <v>67262</v>
      </c>
      <c r="B2582" t="s">
        <v>350</v>
      </c>
      <c r="C2582" s="73" t="s">
        <v>421</v>
      </c>
      <c r="D2582" t="s">
        <v>422</v>
      </c>
      <c r="E2582" s="74">
        <v>45853</v>
      </c>
      <c r="F2582" t="s">
        <v>353</v>
      </c>
      <c r="G2582" t="s">
        <v>354</v>
      </c>
      <c r="H2582" s="75">
        <f t="shared" si="40"/>
        <v>208.08824495766055</v>
      </c>
      <c r="I2582" s="74">
        <v>45853</v>
      </c>
      <c r="J2582">
        <v>6</v>
      </c>
      <c r="K2582" t="s">
        <v>511</v>
      </c>
      <c r="L2582" t="s">
        <v>355</v>
      </c>
      <c r="M2582" t="s">
        <v>356</v>
      </c>
      <c r="N2582" s="73">
        <v>67262</v>
      </c>
      <c r="O2582" s="73">
        <v>67262</v>
      </c>
      <c r="P2582">
        <v>34.681374159610094</v>
      </c>
    </row>
    <row r="2583" spans="1:16" x14ac:dyDescent="0.2">
      <c r="A2583" s="73">
        <v>67262</v>
      </c>
      <c r="B2583" t="s">
        <v>350</v>
      </c>
      <c r="C2583" s="73" t="s">
        <v>421</v>
      </c>
      <c r="D2583" t="s">
        <v>422</v>
      </c>
      <c r="E2583" s="74">
        <v>45853</v>
      </c>
      <c r="F2583" t="s">
        <v>410</v>
      </c>
      <c r="G2583" t="s">
        <v>411</v>
      </c>
      <c r="H2583" s="75">
        <f t="shared" si="40"/>
        <v>208.08824495766055</v>
      </c>
      <c r="I2583" s="74">
        <v>45853</v>
      </c>
      <c r="J2583">
        <v>6</v>
      </c>
      <c r="K2583" t="s">
        <v>511</v>
      </c>
      <c r="L2583" t="s">
        <v>262</v>
      </c>
      <c r="M2583" t="s">
        <v>356</v>
      </c>
      <c r="N2583" s="73">
        <v>67262</v>
      </c>
      <c r="O2583" s="73">
        <v>67262</v>
      </c>
      <c r="P2583">
        <v>34.681374159610094</v>
      </c>
    </row>
    <row r="2584" spans="1:16" x14ac:dyDescent="0.2">
      <c r="A2584" s="73">
        <v>67262</v>
      </c>
      <c r="B2584" t="s">
        <v>350</v>
      </c>
      <c r="C2584" s="73" t="s">
        <v>421</v>
      </c>
      <c r="D2584" t="s">
        <v>422</v>
      </c>
      <c r="E2584" s="74">
        <v>45853</v>
      </c>
      <c r="F2584" t="s">
        <v>395</v>
      </c>
      <c r="G2584" t="s">
        <v>396</v>
      </c>
      <c r="H2584" s="75">
        <f t="shared" si="40"/>
        <v>173.40687079805048</v>
      </c>
      <c r="I2584" s="74">
        <v>45853</v>
      </c>
      <c r="J2584">
        <v>5</v>
      </c>
      <c r="K2584" t="s">
        <v>511</v>
      </c>
      <c r="L2584" t="s">
        <v>262</v>
      </c>
      <c r="M2584" t="s">
        <v>356</v>
      </c>
      <c r="N2584" s="73">
        <v>67262</v>
      </c>
      <c r="O2584" s="73">
        <v>67262</v>
      </c>
      <c r="P2584">
        <v>34.681374159610094</v>
      </c>
    </row>
    <row r="2585" spans="1:16" x14ac:dyDescent="0.2">
      <c r="A2585" s="73">
        <v>67262</v>
      </c>
      <c r="B2585" t="s">
        <v>350</v>
      </c>
      <c r="C2585" s="73" t="s">
        <v>421</v>
      </c>
      <c r="D2585" t="s">
        <v>422</v>
      </c>
      <c r="E2585" s="74">
        <v>45853</v>
      </c>
      <c r="F2585" t="s">
        <v>360</v>
      </c>
      <c r="G2585" t="s">
        <v>361</v>
      </c>
      <c r="H2585" s="75">
        <f t="shared" si="40"/>
        <v>208.08824495766055</v>
      </c>
      <c r="I2585" s="74">
        <v>45853</v>
      </c>
      <c r="J2585">
        <v>6</v>
      </c>
      <c r="K2585" t="s">
        <v>511</v>
      </c>
      <c r="L2585" t="s">
        <v>262</v>
      </c>
      <c r="M2585" t="s">
        <v>356</v>
      </c>
      <c r="N2585" s="73">
        <v>67262</v>
      </c>
      <c r="O2585" s="73">
        <v>67262</v>
      </c>
      <c r="P2585">
        <v>34.681374159610094</v>
      </c>
    </row>
    <row r="2586" spans="1:16" x14ac:dyDescent="0.2">
      <c r="A2586" s="73">
        <v>67262</v>
      </c>
      <c r="B2586" t="s">
        <v>350</v>
      </c>
      <c r="C2586" s="73" t="s">
        <v>421</v>
      </c>
      <c r="D2586" t="s">
        <v>422</v>
      </c>
      <c r="E2586" s="74">
        <v>45853</v>
      </c>
      <c r="F2586" t="s">
        <v>357</v>
      </c>
      <c r="G2586" t="s">
        <v>358</v>
      </c>
      <c r="H2586" s="75">
        <f t="shared" si="40"/>
        <v>208.08824495766055</v>
      </c>
      <c r="I2586" s="74">
        <v>45853</v>
      </c>
      <c r="J2586">
        <v>6</v>
      </c>
      <c r="K2586" t="s">
        <v>511</v>
      </c>
      <c r="L2586" t="s">
        <v>359</v>
      </c>
      <c r="M2586" t="s">
        <v>356</v>
      </c>
      <c r="N2586" s="73">
        <v>67262</v>
      </c>
      <c r="O2586" s="73">
        <v>67262</v>
      </c>
      <c r="P2586">
        <v>34.681374159610094</v>
      </c>
    </row>
    <row r="2587" spans="1:16" x14ac:dyDescent="0.2">
      <c r="A2587" s="73">
        <v>67262</v>
      </c>
      <c r="B2587" t="s">
        <v>350</v>
      </c>
      <c r="C2587" s="73" t="s">
        <v>421</v>
      </c>
      <c r="D2587" t="s">
        <v>422</v>
      </c>
      <c r="E2587" s="74">
        <v>45854</v>
      </c>
      <c r="F2587" t="s">
        <v>398</v>
      </c>
      <c r="G2587" t="s">
        <v>399</v>
      </c>
      <c r="H2587" s="75">
        <f t="shared" si="40"/>
        <v>208.08824495766055</v>
      </c>
      <c r="I2587" s="74">
        <v>45854</v>
      </c>
      <c r="J2587">
        <v>6</v>
      </c>
      <c r="K2587" t="s">
        <v>511</v>
      </c>
      <c r="L2587" t="s">
        <v>367</v>
      </c>
      <c r="M2587" t="s">
        <v>356</v>
      </c>
      <c r="N2587" s="73">
        <v>67262</v>
      </c>
      <c r="O2587" s="73">
        <v>67262</v>
      </c>
      <c r="P2587">
        <v>34.681374159610094</v>
      </c>
    </row>
    <row r="2588" spans="1:16" x14ac:dyDescent="0.2">
      <c r="A2588" s="73">
        <v>67262</v>
      </c>
      <c r="B2588" t="s">
        <v>350</v>
      </c>
      <c r="C2588" s="73" t="s">
        <v>421</v>
      </c>
      <c r="D2588" t="s">
        <v>422</v>
      </c>
      <c r="E2588" s="74">
        <v>45854</v>
      </c>
      <c r="F2588" t="s">
        <v>353</v>
      </c>
      <c r="G2588" t="s">
        <v>354</v>
      </c>
      <c r="H2588" s="75">
        <f t="shared" si="40"/>
        <v>208.08824495766055</v>
      </c>
      <c r="I2588" s="74">
        <v>45854</v>
      </c>
      <c r="J2588">
        <v>6</v>
      </c>
      <c r="K2588" t="s">
        <v>511</v>
      </c>
      <c r="L2588" t="s">
        <v>355</v>
      </c>
      <c r="M2588" t="s">
        <v>356</v>
      </c>
      <c r="N2588" s="73">
        <v>67262</v>
      </c>
      <c r="O2588" s="73">
        <v>67262</v>
      </c>
      <c r="P2588">
        <v>34.681374159610094</v>
      </c>
    </row>
    <row r="2589" spans="1:16" x14ac:dyDescent="0.2">
      <c r="A2589" s="73">
        <v>67262</v>
      </c>
      <c r="B2589" t="s">
        <v>350</v>
      </c>
      <c r="C2589" s="73" t="s">
        <v>421</v>
      </c>
      <c r="D2589" t="s">
        <v>422</v>
      </c>
      <c r="E2589" s="74">
        <v>45854</v>
      </c>
      <c r="F2589" t="s">
        <v>410</v>
      </c>
      <c r="G2589" t="s">
        <v>411</v>
      </c>
      <c r="H2589" s="75">
        <f t="shared" si="40"/>
        <v>208.08824495766055</v>
      </c>
      <c r="I2589" s="74">
        <v>45854</v>
      </c>
      <c r="J2589">
        <v>6</v>
      </c>
      <c r="K2589" t="s">
        <v>511</v>
      </c>
      <c r="L2589" t="s">
        <v>262</v>
      </c>
      <c r="M2589" t="s">
        <v>356</v>
      </c>
      <c r="N2589" s="73">
        <v>67262</v>
      </c>
      <c r="O2589" s="73">
        <v>67262</v>
      </c>
      <c r="P2589">
        <v>34.681374159610094</v>
      </c>
    </row>
    <row r="2590" spans="1:16" x14ac:dyDescent="0.2">
      <c r="A2590" s="73">
        <v>67262</v>
      </c>
      <c r="B2590" t="s">
        <v>350</v>
      </c>
      <c r="C2590" s="73" t="s">
        <v>421</v>
      </c>
      <c r="D2590" t="s">
        <v>422</v>
      </c>
      <c r="E2590" s="74">
        <v>45854</v>
      </c>
      <c r="F2590" t="s">
        <v>404</v>
      </c>
      <c r="G2590" t="s">
        <v>405</v>
      </c>
      <c r="H2590" s="75">
        <f t="shared" si="40"/>
        <v>208.08824495766055</v>
      </c>
      <c r="I2590" s="74">
        <v>45854</v>
      </c>
      <c r="J2590">
        <v>6</v>
      </c>
      <c r="K2590" t="s">
        <v>511</v>
      </c>
      <c r="L2590" t="s">
        <v>262</v>
      </c>
      <c r="M2590" t="s">
        <v>356</v>
      </c>
      <c r="N2590" s="73">
        <v>67262</v>
      </c>
      <c r="O2590" s="73">
        <v>67262</v>
      </c>
      <c r="P2590">
        <v>34.681374159610094</v>
      </c>
    </row>
    <row r="2591" spans="1:16" x14ac:dyDescent="0.2">
      <c r="A2591" s="73">
        <v>67262</v>
      </c>
      <c r="B2591" t="s">
        <v>350</v>
      </c>
      <c r="C2591" s="73" t="s">
        <v>421</v>
      </c>
      <c r="D2591" t="s">
        <v>422</v>
      </c>
      <c r="E2591" s="74">
        <v>45854</v>
      </c>
      <c r="F2591" t="s">
        <v>360</v>
      </c>
      <c r="G2591" t="s">
        <v>361</v>
      </c>
      <c r="H2591" s="75">
        <f t="shared" si="40"/>
        <v>208.08824495766055</v>
      </c>
      <c r="I2591" s="74">
        <v>45854</v>
      </c>
      <c r="J2591">
        <v>6</v>
      </c>
      <c r="K2591" t="s">
        <v>511</v>
      </c>
      <c r="L2591" t="s">
        <v>262</v>
      </c>
      <c r="M2591" t="s">
        <v>356</v>
      </c>
      <c r="N2591" s="73">
        <v>67262</v>
      </c>
      <c r="O2591" s="73">
        <v>67262</v>
      </c>
      <c r="P2591">
        <v>34.681374159610094</v>
      </c>
    </row>
    <row r="2592" spans="1:16" x14ac:dyDescent="0.2">
      <c r="A2592" s="73">
        <v>67262</v>
      </c>
      <c r="B2592" t="s">
        <v>350</v>
      </c>
      <c r="C2592" s="73" t="s">
        <v>421</v>
      </c>
      <c r="D2592" t="s">
        <v>422</v>
      </c>
      <c r="E2592" s="74">
        <v>46003</v>
      </c>
      <c r="F2592" t="s">
        <v>414</v>
      </c>
      <c r="G2592" t="s">
        <v>415</v>
      </c>
      <c r="H2592" s="75">
        <f t="shared" si="40"/>
        <v>242.76961911727065</v>
      </c>
      <c r="I2592" s="74">
        <v>46003</v>
      </c>
      <c r="J2592">
        <v>7</v>
      </c>
      <c r="K2592" t="s">
        <v>515</v>
      </c>
      <c r="L2592" t="s">
        <v>262</v>
      </c>
      <c r="M2592" t="s">
        <v>356</v>
      </c>
      <c r="N2592" s="73">
        <v>67262</v>
      </c>
      <c r="O2592" s="73">
        <v>67262</v>
      </c>
      <c r="P2592">
        <v>34.681374159610094</v>
      </c>
    </row>
    <row r="2593" spans="1:16" x14ac:dyDescent="0.2">
      <c r="A2593" s="73">
        <v>67262</v>
      </c>
      <c r="B2593" t="s">
        <v>350</v>
      </c>
      <c r="C2593" s="73" t="s">
        <v>421</v>
      </c>
      <c r="D2593" t="s">
        <v>422</v>
      </c>
      <c r="E2593" s="74">
        <v>45854</v>
      </c>
      <c r="F2593" t="s">
        <v>376</v>
      </c>
      <c r="G2593" t="s">
        <v>377</v>
      </c>
      <c r="H2593" s="75">
        <f t="shared" si="40"/>
        <v>208.08824495766055</v>
      </c>
      <c r="I2593" s="74">
        <v>45854</v>
      </c>
      <c r="J2593">
        <v>6</v>
      </c>
      <c r="K2593" t="s">
        <v>511</v>
      </c>
      <c r="L2593" t="s">
        <v>262</v>
      </c>
      <c r="M2593" t="s">
        <v>356</v>
      </c>
      <c r="N2593" s="73">
        <v>67262</v>
      </c>
      <c r="O2593" s="73">
        <v>67262</v>
      </c>
      <c r="P2593">
        <v>34.681374159610094</v>
      </c>
    </row>
    <row r="2594" spans="1:16" x14ac:dyDescent="0.2">
      <c r="A2594" s="73">
        <v>67262</v>
      </c>
      <c r="B2594" t="s">
        <v>350</v>
      </c>
      <c r="C2594" s="73" t="s">
        <v>421</v>
      </c>
      <c r="D2594" t="s">
        <v>422</v>
      </c>
      <c r="E2594" s="74">
        <v>45854</v>
      </c>
      <c r="F2594" t="s">
        <v>357</v>
      </c>
      <c r="G2594" t="s">
        <v>358</v>
      </c>
      <c r="H2594" s="75">
        <f t="shared" si="40"/>
        <v>208.08824495766055</v>
      </c>
      <c r="I2594" s="74">
        <v>45854</v>
      </c>
      <c r="J2594">
        <v>6</v>
      </c>
      <c r="K2594" t="s">
        <v>511</v>
      </c>
      <c r="L2594" t="s">
        <v>359</v>
      </c>
      <c r="M2594" t="s">
        <v>356</v>
      </c>
      <c r="N2594" s="73">
        <v>67262</v>
      </c>
      <c r="O2594" s="73">
        <v>67262</v>
      </c>
      <c r="P2594">
        <v>34.681374159610094</v>
      </c>
    </row>
    <row r="2595" spans="1:16" x14ac:dyDescent="0.2">
      <c r="A2595" s="73">
        <v>67262</v>
      </c>
      <c r="B2595" t="s">
        <v>350</v>
      </c>
      <c r="C2595" s="73" t="s">
        <v>421</v>
      </c>
      <c r="D2595" t="s">
        <v>422</v>
      </c>
      <c r="E2595" s="74">
        <v>45855</v>
      </c>
      <c r="F2595" t="s">
        <v>398</v>
      </c>
      <c r="G2595" t="s">
        <v>399</v>
      </c>
      <c r="H2595" s="75">
        <f t="shared" si="40"/>
        <v>208.08824495766055</v>
      </c>
      <c r="I2595" s="74">
        <v>45855</v>
      </c>
      <c r="J2595">
        <v>6</v>
      </c>
      <c r="K2595" t="s">
        <v>511</v>
      </c>
      <c r="L2595" t="s">
        <v>367</v>
      </c>
      <c r="M2595" t="s">
        <v>356</v>
      </c>
      <c r="N2595" s="73">
        <v>67262</v>
      </c>
      <c r="O2595" s="73">
        <v>67262</v>
      </c>
      <c r="P2595">
        <v>34.681374159610094</v>
      </c>
    </row>
    <row r="2596" spans="1:16" x14ac:dyDescent="0.2">
      <c r="A2596" s="73">
        <v>67262</v>
      </c>
      <c r="B2596" t="s">
        <v>350</v>
      </c>
      <c r="C2596" s="73" t="s">
        <v>421</v>
      </c>
      <c r="D2596" t="s">
        <v>422</v>
      </c>
      <c r="E2596" s="74">
        <v>45855</v>
      </c>
      <c r="F2596" t="s">
        <v>353</v>
      </c>
      <c r="G2596" t="s">
        <v>354</v>
      </c>
      <c r="H2596" s="75">
        <f t="shared" si="40"/>
        <v>208.08824495766055</v>
      </c>
      <c r="I2596" s="74">
        <v>45855</v>
      </c>
      <c r="J2596">
        <v>6</v>
      </c>
      <c r="K2596" t="s">
        <v>511</v>
      </c>
      <c r="L2596" t="s">
        <v>355</v>
      </c>
      <c r="M2596" t="s">
        <v>356</v>
      </c>
      <c r="N2596" s="73">
        <v>67262</v>
      </c>
      <c r="O2596" s="73">
        <v>67262</v>
      </c>
      <c r="P2596">
        <v>34.681374159610094</v>
      </c>
    </row>
    <row r="2597" spans="1:16" x14ac:dyDescent="0.2">
      <c r="A2597" s="73">
        <v>67262</v>
      </c>
      <c r="B2597" t="s">
        <v>350</v>
      </c>
      <c r="C2597" s="73" t="s">
        <v>421</v>
      </c>
      <c r="D2597" t="s">
        <v>422</v>
      </c>
      <c r="E2597" s="74">
        <v>45855</v>
      </c>
      <c r="F2597" t="s">
        <v>410</v>
      </c>
      <c r="G2597" t="s">
        <v>411</v>
      </c>
      <c r="H2597" s="75">
        <f t="shared" si="40"/>
        <v>208.08824495766055</v>
      </c>
      <c r="I2597" s="74">
        <v>45855</v>
      </c>
      <c r="J2597">
        <v>6</v>
      </c>
      <c r="K2597" t="s">
        <v>511</v>
      </c>
      <c r="L2597" t="s">
        <v>262</v>
      </c>
      <c r="M2597" t="s">
        <v>356</v>
      </c>
      <c r="N2597" s="73">
        <v>67262</v>
      </c>
      <c r="O2597" s="73">
        <v>67262</v>
      </c>
      <c r="P2597">
        <v>34.681374159610094</v>
      </c>
    </row>
    <row r="2598" spans="1:16" x14ac:dyDescent="0.2">
      <c r="A2598" s="73">
        <v>67262</v>
      </c>
      <c r="B2598" t="s">
        <v>350</v>
      </c>
      <c r="C2598" s="73" t="s">
        <v>421</v>
      </c>
      <c r="D2598" t="s">
        <v>422</v>
      </c>
      <c r="E2598" s="74">
        <v>45855</v>
      </c>
      <c r="F2598" t="s">
        <v>404</v>
      </c>
      <c r="G2598" t="s">
        <v>405</v>
      </c>
      <c r="H2598" s="75">
        <f t="shared" si="40"/>
        <v>208.08824495766055</v>
      </c>
      <c r="I2598" s="74">
        <v>45855</v>
      </c>
      <c r="J2598">
        <v>6</v>
      </c>
      <c r="K2598" t="s">
        <v>511</v>
      </c>
      <c r="L2598" t="s">
        <v>262</v>
      </c>
      <c r="M2598" t="s">
        <v>356</v>
      </c>
      <c r="N2598" s="73">
        <v>67262</v>
      </c>
      <c r="O2598" s="73">
        <v>67262</v>
      </c>
      <c r="P2598">
        <v>34.681374159610094</v>
      </c>
    </row>
    <row r="2599" spans="1:16" x14ac:dyDescent="0.2">
      <c r="A2599" s="73">
        <v>67262</v>
      </c>
      <c r="B2599" t="s">
        <v>350</v>
      </c>
      <c r="C2599" s="73" t="s">
        <v>421</v>
      </c>
      <c r="D2599" t="s">
        <v>422</v>
      </c>
      <c r="E2599" s="74">
        <v>45855</v>
      </c>
      <c r="F2599" t="s">
        <v>360</v>
      </c>
      <c r="G2599" t="s">
        <v>361</v>
      </c>
      <c r="H2599" s="75">
        <f t="shared" si="40"/>
        <v>208.08824495766055</v>
      </c>
      <c r="I2599" s="74">
        <v>45855</v>
      </c>
      <c r="J2599">
        <v>6</v>
      </c>
      <c r="K2599" t="s">
        <v>511</v>
      </c>
      <c r="L2599" t="s">
        <v>262</v>
      </c>
      <c r="M2599" t="s">
        <v>356</v>
      </c>
      <c r="N2599" s="73">
        <v>67262</v>
      </c>
      <c r="O2599" s="73">
        <v>67262</v>
      </c>
      <c r="P2599">
        <v>34.681374159610094</v>
      </c>
    </row>
    <row r="2600" spans="1:16" x14ac:dyDescent="0.2">
      <c r="A2600" s="73">
        <v>67262</v>
      </c>
      <c r="B2600" t="s">
        <v>350</v>
      </c>
      <c r="C2600" s="73" t="s">
        <v>421</v>
      </c>
      <c r="D2600" t="s">
        <v>422</v>
      </c>
      <c r="E2600" s="74">
        <v>45855</v>
      </c>
      <c r="F2600" t="s">
        <v>376</v>
      </c>
      <c r="G2600" t="s">
        <v>377</v>
      </c>
      <c r="H2600" s="75">
        <f t="shared" si="40"/>
        <v>208.08824495766055</v>
      </c>
      <c r="I2600" s="74">
        <v>45855</v>
      </c>
      <c r="J2600">
        <v>6</v>
      </c>
      <c r="K2600" t="s">
        <v>511</v>
      </c>
      <c r="L2600" t="s">
        <v>262</v>
      </c>
      <c r="M2600" t="s">
        <v>356</v>
      </c>
      <c r="N2600" s="73">
        <v>67262</v>
      </c>
      <c r="O2600" s="73">
        <v>67262</v>
      </c>
      <c r="P2600">
        <v>34.681374159610094</v>
      </c>
    </row>
    <row r="2601" spans="1:16" x14ac:dyDescent="0.2">
      <c r="A2601" s="73">
        <v>67262</v>
      </c>
      <c r="B2601" t="s">
        <v>350</v>
      </c>
      <c r="C2601" s="73" t="s">
        <v>421</v>
      </c>
      <c r="D2601" t="s">
        <v>422</v>
      </c>
      <c r="E2601" s="74">
        <v>45855</v>
      </c>
      <c r="F2601" t="s">
        <v>357</v>
      </c>
      <c r="G2601" t="s">
        <v>358</v>
      </c>
      <c r="H2601" s="75">
        <f t="shared" si="40"/>
        <v>208.08824495766055</v>
      </c>
      <c r="I2601" s="74">
        <v>45855</v>
      </c>
      <c r="J2601">
        <v>6</v>
      </c>
      <c r="K2601" t="s">
        <v>511</v>
      </c>
      <c r="L2601" t="s">
        <v>359</v>
      </c>
      <c r="M2601" t="s">
        <v>356</v>
      </c>
      <c r="N2601" s="73">
        <v>67262</v>
      </c>
      <c r="O2601" s="73">
        <v>67262</v>
      </c>
      <c r="P2601">
        <v>34.681374159610094</v>
      </c>
    </row>
    <row r="2602" spans="1:16" x14ac:dyDescent="0.2">
      <c r="A2602" s="73">
        <v>67262</v>
      </c>
      <c r="B2602" t="s">
        <v>350</v>
      </c>
      <c r="C2602" s="73" t="s">
        <v>421</v>
      </c>
      <c r="D2602" t="s">
        <v>422</v>
      </c>
      <c r="E2602" s="74">
        <v>45856</v>
      </c>
      <c r="F2602" t="s">
        <v>398</v>
      </c>
      <c r="G2602" t="s">
        <v>399</v>
      </c>
      <c r="H2602" s="75">
        <f t="shared" si="40"/>
        <v>208.08824495766055</v>
      </c>
      <c r="I2602" s="74">
        <v>45856</v>
      </c>
      <c r="J2602">
        <v>6</v>
      </c>
      <c r="K2602" t="s">
        <v>511</v>
      </c>
      <c r="L2602" t="s">
        <v>367</v>
      </c>
      <c r="M2602" t="s">
        <v>356</v>
      </c>
      <c r="N2602" s="73">
        <v>67262</v>
      </c>
      <c r="O2602" s="73">
        <v>67262</v>
      </c>
      <c r="P2602">
        <v>34.681374159610094</v>
      </c>
    </row>
    <row r="2603" spans="1:16" x14ac:dyDescent="0.2">
      <c r="A2603" s="73">
        <v>67262</v>
      </c>
      <c r="B2603" t="s">
        <v>350</v>
      </c>
      <c r="C2603" s="73" t="s">
        <v>421</v>
      </c>
      <c r="D2603" t="s">
        <v>422</v>
      </c>
      <c r="E2603" s="74">
        <v>45856</v>
      </c>
      <c r="F2603" t="s">
        <v>353</v>
      </c>
      <c r="G2603" t="s">
        <v>354</v>
      </c>
      <c r="H2603" s="75">
        <f t="shared" si="40"/>
        <v>208.08824495766055</v>
      </c>
      <c r="I2603" s="74">
        <v>45856</v>
      </c>
      <c r="J2603">
        <v>6</v>
      </c>
      <c r="K2603" t="s">
        <v>511</v>
      </c>
      <c r="L2603" t="s">
        <v>355</v>
      </c>
      <c r="M2603" t="s">
        <v>356</v>
      </c>
      <c r="N2603" s="73">
        <v>67262</v>
      </c>
      <c r="O2603" s="73">
        <v>67262</v>
      </c>
      <c r="P2603">
        <v>34.681374159610094</v>
      </c>
    </row>
    <row r="2604" spans="1:16" x14ac:dyDescent="0.2">
      <c r="A2604" s="73">
        <v>67262</v>
      </c>
      <c r="B2604" t="s">
        <v>350</v>
      </c>
      <c r="C2604" s="73" t="s">
        <v>421</v>
      </c>
      <c r="D2604" t="s">
        <v>422</v>
      </c>
      <c r="E2604" s="74">
        <v>45856</v>
      </c>
      <c r="F2604" t="s">
        <v>410</v>
      </c>
      <c r="G2604" t="s">
        <v>411</v>
      </c>
      <c r="H2604" s="75">
        <f t="shared" si="40"/>
        <v>208.08824495766055</v>
      </c>
      <c r="I2604" s="74">
        <v>45856</v>
      </c>
      <c r="J2604">
        <v>6</v>
      </c>
      <c r="K2604" t="s">
        <v>511</v>
      </c>
      <c r="L2604" t="s">
        <v>262</v>
      </c>
      <c r="M2604" t="s">
        <v>356</v>
      </c>
      <c r="N2604" s="73">
        <v>67262</v>
      </c>
      <c r="O2604" s="73">
        <v>67262</v>
      </c>
      <c r="P2604">
        <v>34.681374159610094</v>
      </c>
    </row>
    <row r="2605" spans="1:16" x14ac:dyDescent="0.2">
      <c r="A2605" s="73">
        <v>67262</v>
      </c>
      <c r="B2605" t="s">
        <v>350</v>
      </c>
      <c r="C2605" s="73" t="s">
        <v>421</v>
      </c>
      <c r="D2605" t="s">
        <v>422</v>
      </c>
      <c r="E2605" s="74">
        <v>45856</v>
      </c>
      <c r="F2605" t="s">
        <v>404</v>
      </c>
      <c r="G2605" t="s">
        <v>405</v>
      </c>
      <c r="H2605" s="75">
        <f t="shared" si="40"/>
        <v>208.08824495766055</v>
      </c>
      <c r="I2605" s="74">
        <v>45856</v>
      </c>
      <c r="J2605">
        <v>6</v>
      </c>
      <c r="K2605" t="s">
        <v>511</v>
      </c>
      <c r="L2605" t="s">
        <v>262</v>
      </c>
      <c r="M2605" t="s">
        <v>356</v>
      </c>
      <c r="N2605" s="73">
        <v>67262</v>
      </c>
      <c r="O2605" s="73">
        <v>67262</v>
      </c>
      <c r="P2605">
        <v>34.681374159610094</v>
      </c>
    </row>
    <row r="2606" spans="1:16" x14ac:dyDescent="0.2">
      <c r="A2606" s="73">
        <v>67262</v>
      </c>
      <c r="B2606" t="s">
        <v>350</v>
      </c>
      <c r="C2606" s="73" t="s">
        <v>421</v>
      </c>
      <c r="D2606" t="s">
        <v>422</v>
      </c>
      <c r="E2606" s="74">
        <v>45856</v>
      </c>
      <c r="F2606" t="s">
        <v>360</v>
      </c>
      <c r="G2606" t="s">
        <v>361</v>
      </c>
      <c r="H2606" s="75">
        <f t="shared" si="40"/>
        <v>208.08824495766055</v>
      </c>
      <c r="I2606" s="74">
        <v>45856</v>
      </c>
      <c r="J2606">
        <v>6</v>
      </c>
      <c r="K2606" t="s">
        <v>511</v>
      </c>
      <c r="L2606" t="s">
        <v>262</v>
      </c>
      <c r="M2606" t="s">
        <v>356</v>
      </c>
      <c r="N2606" s="73">
        <v>67262</v>
      </c>
      <c r="O2606" s="73">
        <v>67262</v>
      </c>
      <c r="P2606">
        <v>34.681374159610094</v>
      </c>
    </row>
    <row r="2607" spans="1:16" hidden="1" x14ac:dyDescent="0.2">
      <c r="A2607" s="73">
        <v>67260</v>
      </c>
      <c r="B2607" t="s">
        <v>423</v>
      </c>
      <c r="C2607" s="73" t="s">
        <v>454</v>
      </c>
      <c r="D2607" t="s">
        <v>455</v>
      </c>
      <c r="E2607" s="74">
        <v>46006</v>
      </c>
      <c r="F2607" t="s">
        <v>414</v>
      </c>
      <c r="G2607" t="s">
        <v>415</v>
      </c>
      <c r="H2607" s="75">
        <f t="shared" si="40"/>
        <v>121.38480955863533</v>
      </c>
      <c r="I2607" s="74">
        <v>46006</v>
      </c>
      <c r="J2607">
        <v>3.5</v>
      </c>
      <c r="K2607" t="s">
        <v>515</v>
      </c>
      <c r="L2607" t="s">
        <v>262</v>
      </c>
      <c r="M2607" t="s">
        <v>356</v>
      </c>
      <c r="N2607" s="73">
        <v>67260</v>
      </c>
      <c r="O2607" s="73">
        <v>67260</v>
      </c>
      <c r="P2607">
        <v>34.681374159610094</v>
      </c>
    </row>
    <row r="2608" spans="1:16" x14ac:dyDescent="0.2">
      <c r="A2608" s="73">
        <v>67262</v>
      </c>
      <c r="B2608" t="s">
        <v>350</v>
      </c>
      <c r="C2608" s="73" t="s">
        <v>421</v>
      </c>
      <c r="D2608" t="s">
        <v>422</v>
      </c>
      <c r="E2608" s="74">
        <v>45856</v>
      </c>
      <c r="F2608" t="s">
        <v>376</v>
      </c>
      <c r="G2608" t="s">
        <v>377</v>
      </c>
      <c r="H2608" s="75">
        <f t="shared" si="40"/>
        <v>208.08824495766055</v>
      </c>
      <c r="I2608" s="74">
        <v>45856</v>
      </c>
      <c r="J2608">
        <v>6</v>
      </c>
      <c r="K2608" t="s">
        <v>511</v>
      </c>
      <c r="L2608" t="s">
        <v>262</v>
      </c>
      <c r="M2608" t="s">
        <v>356</v>
      </c>
      <c r="N2608" s="73">
        <v>67262</v>
      </c>
      <c r="O2608" s="73">
        <v>67262</v>
      </c>
      <c r="P2608">
        <v>34.681374159610094</v>
      </c>
    </row>
    <row r="2609" spans="1:16" x14ac:dyDescent="0.2">
      <c r="A2609" s="73">
        <v>67262</v>
      </c>
      <c r="B2609" t="s">
        <v>350</v>
      </c>
      <c r="C2609" s="73" t="s">
        <v>421</v>
      </c>
      <c r="D2609" t="s">
        <v>422</v>
      </c>
      <c r="E2609" s="74">
        <v>45856</v>
      </c>
      <c r="F2609" t="s">
        <v>357</v>
      </c>
      <c r="G2609" t="s">
        <v>358</v>
      </c>
      <c r="H2609" s="75">
        <f t="shared" si="40"/>
        <v>208.08824495766055</v>
      </c>
      <c r="I2609" s="74">
        <v>45856</v>
      </c>
      <c r="J2609">
        <v>6</v>
      </c>
      <c r="K2609" t="s">
        <v>511</v>
      </c>
      <c r="L2609" t="s">
        <v>359</v>
      </c>
      <c r="M2609" t="s">
        <v>356</v>
      </c>
      <c r="N2609" s="73">
        <v>67262</v>
      </c>
      <c r="O2609" s="73">
        <v>67262</v>
      </c>
      <c r="P2609">
        <v>34.681374159610094</v>
      </c>
    </row>
    <row r="2610" spans="1:16" x14ac:dyDescent="0.2">
      <c r="A2610" s="73">
        <v>67262</v>
      </c>
      <c r="B2610" t="s">
        <v>350</v>
      </c>
      <c r="C2610" s="73" t="s">
        <v>421</v>
      </c>
      <c r="D2610" t="s">
        <v>422</v>
      </c>
      <c r="E2610" s="74">
        <v>45859</v>
      </c>
      <c r="F2610" t="s">
        <v>398</v>
      </c>
      <c r="G2610" t="s">
        <v>399</v>
      </c>
      <c r="H2610" s="75">
        <f t="shared" si="40"/>
        <v>208.08824495766055</v>
      </c>
      <c r="I2610" s="74">
        <v>45859</v>
      </c>
      <c r="J2610">
        <v>6</v>
      </c>
      <c r="K2610" t="s">
        <v>511</v>
      </c>
      <c r="L2610" t="s">
        <v>367</v>
      </c>
      <c r="M2610" t="s">
        <v>356</v>
      </c>
      <c r="N2610" s="73">
        <v>67262</v>
      </c>
      <c r="O2610" s="73">
        <v>67262</v>
      </c>
      <c r="P2610">
        <v>34.681374159610094</v>
      </c>
    </row>
    <row r="2611" spans="1:16" x14ac:dyDescent="0.2">
      <c r="A2611" s="73">
        <v>67262</v>
      </c>
      <c r="B2611" t="s">
        <v>350</v>
      </c>
      <c r="C2611" s="73" t="s">
        <v>421</v>
      </c>
      <c r="D2611" t="s">
        <v>422</v>
      </c>
      <c r="E2611" s="74">
        <v>45859</v>
      </c>
      <c r="F2611" t="s">
        <v>410</v>
      </c>
      <c r="G2611" t="s">
        <v>411</v>
      </c>
      <c r="H2611" s="75">
        <f t="shared" si="40"/>
        <v>208.08824495766055</v>
      </c>
      <c r="I2611" s="74">
        <v>45859</v>
      </c>
      <c r="J2611">
        <v>6</v>
      </c>
      <c r="K2611" t="s">
        <v>511</v>
      </c>
      <c r="L2611" t="s">
        <v>262</v>
      </c>
      <c r="M2611" t="s">
        <v>356</v>
      </c>
      <c r="N2611" s="73">
        <v>67262</v>
      </c>
      <c r="O2611" s="73">
        <v>67262</v>
      </c>
      <c r="P2611">
        <v>34.681374159610094</v>
      </c>
    </row>
    <row r="2612" spans="1:16" x14ac:dyDescent="0.2">
      <c r="A2612" s="73">
        <v>67262</v>
      </c>
      <c r="B2612" t="s">
        <v>350</v>
      </c>
      <c r="C2612" s="73" t="s">
        <v>421</v>
      </c>
      <c r="D2612" t="s">
        <v>422</v>
      </c>
      <c r="E2612" s="74">
        <v>45859</v>
      </c>
      <c r="F2612" t="s">
        <v>353</v>
      </c>
      <c r="G2612" t="s">
        <v>354</v>
      </c>
      <c r="H2612" s="75">
        <f t="shared" si="40"/>
        <v>208.08824495766055</v>
      </c>
      <c r="I2612" s="74">
        <v>45859</v>
      </c>
      <c r="J2612">
        <v>6</v>
      </c>
      <c r="K2612" t="s">
        <v>511</v>
      </c>
      <c r="L2612" t="s">
        <v>355</v>
      </c>
      <c r="M2612" t="s">
        <v>356</v>
      </c>
      <c r="N2612" s="73">
        <v>67262</v>
      </c>
      <c r="O2612" s="73">
        <v>67262</v>
      </c>
      <c r="P2612">
        <v>34.681374159610094</v>
      </c>
    </row>
    <row r="2613" spans="1:16" x14ac:dyDescent="0.2">
      <c r="A2613" s="73">
        <v>67262</v>
      </c>
      <c r="B2613" t="s">
        <v>350</v>
      </c>
      <c r="C2613" s="73" t="s">
        <v>421</v>
      </c>
      <c r="D2613" t="s">
        <v>422</v>
      </c>
      <c r="E2613" s="74">
        <v>45859</v>
      </c>
      <c r="F2613" t="s">
        <v>357</v>
      </c>
      <c r="G2613" t="s">
        <v>358</v>
      </c>
      <c r="H2613" s="75">
        <f t="shared" si="40"/>
        <v>208.08824495766055</v>
      </c>
      <c r="I2613" s="74">
        <v>45859</v>
      </c>
      <c r="J2613">
        <v>6</v>
      </c>
      <c r="K2613" t="s">
        <v>511</v>
      </c>
      <c r="L2613" t="s">
        <v>359</v>
      </c>
      <c r="M2613" t="s">
        <v>356</v>
      </c>
      <c r="N2613" s="73">
        <v>67262</v>
      </c>
      <c r="O2613" s="73">
        <v>67262</v>
      </c>
      <c r="P2613">
        <v>34.681374159610094</v>
      </c>
    </row>
    <row r="2614" spans="1:16" x14ac:dyDescent="0.2">
      <c r="A2614" s="73">
        <v>67262</v>
      </c>
      <c r="B2614" t="s">
        <v>350</v>
      </c>
      <c r="C2614" s="73" t="s">
        <v>421</v>
      </c>
      <c r="D2614" t="s">
        <v>422</v>
      </c>
      <c r="E2614" s="74">
        <v>45859</v>
      </c>
      <c r="F2614" t="s">
        <v>387</v>
      </c>
      <c r="G2614" t="s">
        <v>388</v>
      </c>
      <c r="H2614" s="75">
        <f t="shared" si="40"/>
        <v>34.681374159610094</v>
      </c>
      <c r="I2614" s="74">
        <v>45859</v>
      </c>
      <c r="J2614">
        <v>1</v>
      </c>
      <c r="K2614" t="s">
        <v>511</v>
      </c>
      <c r="L2614" t="s">
        <v>367</v>
      </c>
      <c r="M2614" t="s">
        <v>356</v>
      </c>
      <c r="N2614" s="73">
        <v>67262</v>
      </c>
      <c r="O2614" s="73">
        <v>67262</v>
      </c>
      <c r="P2614">
        <v>34.681374159610094</v>
      </c>
    </row>
    <row r="2615" spans="1:16" x14ac:dyDescent="0.2">
      <c r="A2615" s="73">
        <v>67262</v>
      </c>
      <c r="B2615" t="s">
        <v>350</v>
      </c>
      <c r="C2615" s="73" t="s">
        <v>421</v>
      </c>
      <c r="D2615" t="s">
        <v>422</v>
      </c>
      <c r="E2615" s="74">
        <v>45859</v>
      </c>
      <c r="F2615" t="s">
        <v>404</v>
      </c>
      <c r="G2615" t="s">
        <v>405</v>
      </c>
      <c r="H2615" s="75">
        <f t="shared" si="40"/>
        <v>242.76961911727065</v>
      </c>
      <c r="I2615" s="74">
        <v>45859</v>
      </c>
      <c r="J2615">
        <v>7</v>
      </c>
      <c r="K2615" t="s">
        <v>511</v>
      </c>
      <c r="L2615" t="s">
        <v>262</v>
      </c>
      <c r="M2615" t="s">
        <v>356</v>
      </c>
      <c r="N2615" s="73">
        <v>67262</v>
      </c>
      <c r="O2615" s="73">
        <v>67262</v>
      </c>
      <c r="P2615">
        <v>34.681374159610094</v>
      </c>
    </row>
    <row r="2616" spans="1:16" x14ac:dyDescent="0.2">
      <c r="A2616" s="73">
        <v>67262</v>
      </c>
      <c r="B2616" t="s">
        <v>350</v>
      </c>
      <c r="C2616" s="73" t="s">
        <v>421</v>
      </c>
      <c r="D2616" t="s">
        <v>422</v>
      </c>
      <c r="E2616" s="74">
        <v>45859</v>
      </c>
      <c r="F2616" t="s">
        <v>395</v>
      </c>
      <c r="G2616" t="s">
        <v>396</v>
      </c>
      <c r="H2616" s="75">
        <f t="shared" si="40"/>
        <v>34.681374159610094</v>
      </c>
      <c r="I2616" s="74">
        <v>45859</v>
      </c>
      <c r="J2616">
        <v>1</v>
      </c>
      <c r="K2616" t="s">
        <v>511</v>
      </c>
      <c r="L2616" t="s">
        <v>262</v>
      </c>
      <c r="M2616" t="s">
        <v>356</v>
      </c>
      <c r="N2616" s="73">
        <v>67262</v>
      </c>
      <c r="O2616" s="73">
        <v>67262</v>
      </c>
      <c r="P2616">
        <v>34.681374159610094</v>
      </c>
    </row>
    <row r="2617" spans="1:16" x14ac:dyDescent="0.2">
      <c r="A2617" s="73">
        <v>67262</v>
      </c>
      <c r="B2617" t="s">
        <v>350</v>
      </c>
      <c r="C2617" s="73" t="s">
        <v>421</v>
      </c>
      <c r="D2617" t="s">
        <v>422</v>
      </c>
      <c r="E2617" s="74">
        <v>46006</v>
      </c>
      <c r="F2617" t="s">
        <v>414</v>
      </c>
      <c r="G2617" t="s">
        <v>415</v>
      </c>
      <c r="H2617" s="75">
        <f t="shared" si="40"/>
        <v>138.72549663844038</v>
      </c>
      <c r="I2617" s="74">
        <v>46006</v>
      </c>
      <c r="J2617">
        <v>4</v>
      </c>
      <c r="K2617" t="s">
        <v>515</v>
      </c>
      <c r="L2617" t="s">
        <v>262</v>
      </c>
      <c r="M2617" t="s">
        <v>356</v>
      </c>
      <c r="N2617" s="73">
        <v>67262</v>
      </c>
      <c r="O2617" s="73">
        <v>67262</v>
      </c>
      <c r="P2617">
        <v>34.681374159610094</v>
      </c>
    </row>
    <row r="2618" spans="1:16" x14ac:dyDescent="0.2">
      <c r="A2618" s="73">
        <v>67262</v>
      </c>
      <c r="B2618" t="s">
        <v>350</v>
      </c>
      <c r="C2618" s="73" t="s">
        <v>421</v>
      </c>
      <c r="D2618" t="s">
        <v>422</v>
      </c>
      <c r="E2618" s="74">
        <v>45859</v>
      </c>
      <c r="F2618" t="s">
        <v>360</v>
      </c>
      <c r="G2618" t="s">
        <v>361</v>
      </c>
      <c r="H2618" s="75">
        <f t="shared" si="40"/>
        <v>208.08824495766055</v>
      </c>
      <c r="I2618" s="74">
        <v>45859</v>
      </c>
      <c r="J2618">
        <v>6</v>
      </c>
      <c r="K2618" t="s">
        <v>511</v>
      </c>
      <c r="L2618" t="s">
        <v>262</v>
      </c>
      <c r="M2618" t="s">
        <v>356</v>
      </c>
      <c r="N2618" s="73">
        <v>67262</v>
      </c>
      <c r="O2618" s="73">
        <v>67262</v>
      </c>
      <c r="P2618">
        <v>34.681374159610094</v>
      </c>
    </row>
    <row r="2619" spans="1:16" x14ac:dyDescent="0.2">
      <c r="A2619" s="73">
        <v>67262</v>
      </c>
      <c r="B2619" t="s">
        <v>350</v>
      </c>
      <c r="C2619" s="73" t="s">
        <v>421</v>
      </c>
      <c r="D2619" t="s">
        <v>422</v>
      </c>
      <c r="E2619" s="74">
        <v>45859</v>
      </c>
      <c r="F2619" t="s">
        <v>376</v>
      </c>
      <c r="G2619" t="s">
        <v>377</v>
      </c>
      <c r="H2619" s="75">
        <f t="shared" si="40"/>
        <v>208.08824495766055</v>
      </c>
      <c r="I2619" s="74">
        <v>45859</v>
      </c>
      <c r="J2619">
        <v>6</v>
      </c>
      <c r="K2619" t="s">
        <v>511</v>
      </c>
      <c r="L2619" t="s">
        <v>262</v>
      </c>
      <c r="M2619" t="s">
        <v>356</v>
      </c>
      <c r="N2619" s="73">
        <v>67262</v>
      </c>
      <c r="O2619" s="73">
        <v>67262</v>
      </c>
      <c r="P2619">
        <v>34.681374159610094</v>
      </c>
    </row>
    <row r="2620" spans="1:16" x14ac:dyDescent="0.2">
      <c r="A2620" s="73">
        <v>67262</v>
      </c>
      <c r="B2620" t="s">
        <v>350</v>
      </c>
      <c r="C2620" s="73" t="s">
        <v>421</v>
      </c>
      <c r="D2620" t="s">
        <v>422</v>
      </c>
      <c r="E2620" s="74">
        <v>45860</v>
      </c>
      <c r="F2620" t="s">
        <v>410</v>
      </c>
      <c r="G2620" t="s">
        <v>411</v>
      </c>
      <c r="H2620" s="75">
        <f t="shared" si="40"/>
        <v>208.08824495766055</v>
      </c>
      <c r="I2620" s="74">
        <v>45860</v>
      </c>
      <c r="J2620">
        <v>6</v>
      </c>
      <c r="K2620" t="s">
        <v>511</v>
      </c>
      <c r="L2620" t="s">
        <v>262</v>
      </c>
      <c r="M2620" t="s">
        <v>356</v>
      </c>
      <c r="N2620" s="73">
        <v>67262</v>
      </c>
      <c r="O2620" s="73">
        <v>67262</v>
      </c>
      <c r="P2620">
        <v>34.681374159610094</v>
      </c>
    </row>
    <row r="2621" spans="1:16" x14ac:dyDescent="0.2">
      <c r="A2621" s="73">
        <v>67262</v>
      </c>
      <c r="B2621" t="s">
        <v>350</v>
      </c>
      <c r="C2621" s="73" t="s">
        <v>421</v>
      </c>
      <c r="D2621" t="s">
        <v>422</v>
      </c>
      <c r="E2621" s="74">
        <v>45860</v>
      </c>
      <c r="F2621" t="s">
        <v>353</v>
      </c>
      <c r="G2621" t="s">
        <v>354</v>
      </c>
      <c r="H2621" s="75">
        <f t="shared" si="40"/>
        <v>208.08824495766055</v>
      </c>
      <c r="I2621" s="74">
        <v>45860</v>
      </c>
      <c r="J2621">
        <v>6</v>
      </c>
      <c r="K2621" t="s">
        <v>511</v>
      </c>
      <c r="L2621" t="s">
        <v>355</v>
      </c>
      <c r="M2621" t="s">
        <v>356</v>
      </c>
      <c r="N2621" s="73">
        <v>67262</v>
      </c>
      <c r="O2621" s="73">
        <v>67262</v>
      </c>
      <c r="P2621">
        <v>34.681374159610094</v>
      </c>
    </row>
    <row r="2622" spans="1:16" x14ac:dyDescent="0.2">
      <c r="A2622" s="73">
        <v>67262</v>
      </c>
      <c r="B2622" t="s">
        <v>350</v>
      </c>
      <c r="C2622" s="73" t="s">
        <v>421</v>
      </c>
      <c r="D2622" t="s">
        <v>422</v>
      </c>
      <c r="E2622" s="74">
        <v>45860</v>
      </c>
      <c r="F2622" t="s">
        <v>387</v>
      </c>
      <c r="G2622" t="s">
        <v>388</v>
      </c>
      <c r="H2622" s="75">
        <f t="shared" si="40"/>
        <v>34.681374159610094</v>
      </c>
      <c r="I2622" s="74">
        <v>45860</v>
      </c>
      <c r="J2622">
        <v>1</v>
      </c>
      <c r="K2622" t="s">
        <v>511</v>
      </c>
      <c r="L2622" t="s">
        <v>367</v>
      </c>
      <c r="M2622" t="s">
        <v>356</v>
      </c>
      <c r="N2622" s="73">
        <v>67262</v>
      </c>
      <c r="O2622" s="73">
        <v>67262</v>
      </c>
      <c r="P2622">
        <v>34.681374159610094</v>
      </c>
    </row>
    <row r="2623" spans="1:16" x14ac:dyDescent="0.2">
      <c r="A2623" s="73">
        <v>67262</v>
      </c>
      <c r="B2623" t="s">
        <v>350</v>
      </c>
      <c r="C2623" s="73" t="s">
        <v>421</v>
      </c>
      <c r="D2623" t="s">
        <v>422</v>
      </c>
      <c r="E2623" s="74">
        <v>45860</v>
      </c>
      <c r="F2623" t="s">
        <v>404</v>
      </c>
      <c r="G2623" t="s">
        <v>405</v>
      </c>
      <c r="H2623" s="75">
        <f t="shared" si="40"/>
        <v>242.76961911727065</v>
      </c>
      <c r="I2623" s="74">
        <v>45860</v>
      </c>
      <c r="J2623">
        <v>7</v>
      </c>
      <c r="K2623" t="s">
        <v>511</v>
      </c>
      <c r="L2623" t="s">
        <v>262</v>
      </c>
      <c r="M2623" t="s">
        <v>356</v>
      </c>
      <c r="N2623" s="73">
        <v>67262</v>
      </c>
      <c r="O2623" s="73">
        <v>67262</v>
      </c>
      <c r="P2623">
        <v>34.681374159610094</v>
      </c>
    </row>
    <row r="2624" spans="1:16" x14ac:dyDescent="0.2">
      <c r="A2624" s="73">
        <v>67262</v>
      </c>
      <c r="B2624" t="s">
        <v>350</v>
      </c>
      <c r="C2624" s="73" t="s">
        <v>421</v>
      </c>
      <c r="D2624" t="s">
        <v>422</v>
      </c>
      <c r="E2624" s="74">
        <v>45860</v>
      </c>
      <c r="F2624" t="s">
        <v>395</v>
      </c>
      <c r="G2624" t="s">
        <v>396</v>
      </c>
      <c r="H2624" s="75">
        <f t="shared" si="40"/>
        <v>104.04412247883027</v>
      </c>
      <c r="I2624" s="74">
        <v>45860</v>
      </c>
      <c r="J2624">
        <v>3</v>
      </c>
      <c r="K2624" t="s">
        <v>511</v>
      </c>
      <c r="L2624" t="s">
        <v>262</v>
      </c>
      <c r="M2624" t="s">
        <v>356</v>
      </c>
      <c r="N2624" s="73">
        <v>67262</v>
      </c>
      <c r="O2624" s="73">
        <v>67262</v>
      </c>
      <c r="P2624">
        <v>34.681374159610094</v>
      </c>
    </row>
    <row r="2625" spans="1:16" x14ac:dyDescent="0.2">
      <c r="A2625" s="73">
        <v>67262</v>
      </c>
      <c r="B2625" t="s">
        <v>350</v>
      </c>
      <c r="C2625" s="73" t="s">
        <v>421</v>
      </c>
      <c r="D2625" t="s">
        <v>422</v>
      </c>
      <c r="E2625" s="74">
        <v>45860</v>
      </c>
      <c r="F2625" t="s">
        <v>357</v>
      </c>
      <c r="G2625" t="s">
        <v>358</v>
      </c>
      <c r="H2625" s="75">
        <f t="shared" si="40"/>
        <v>208.08824495766055</v>
      </c>
      <c r="I2625" s="74">
        <v>45860</v>
      </c>
      <c r="J2625">
        <v>6</v>
      </c>
      <c r="K2625" t="s">
        <v>511</v>
      </c>
      <c r="L2625" t="s">
        <v>359</v>
      </c>
      <c r="M2625" t="s">
        <v>356</v>
      </c>
      <c r="N2625" s="73">
        <v>67262</v>
      </c>
      <c r="O2625" s="73">
        <v>67262</v>
      </c>
      <c r="P2625">
        <v>34.681374159610094</v>
      </c>
    </row>
    <row r="2626" spans="1:16" x14ac:dyDescent="0.2">
      <c r="A2626" s="73">
        <v>67262</v>
      </c>
      <c r="B2626" t="s">
        <v>350</v>
      </c>
      <c r="C2626" s="73" t="s">
        <v>421</v>
      </c>
      <c r="D2626" t="s">
        <v>422</v>
      </c>
      <c r="E2626" s="74">
        <v>45860</v>
      </c>
      <c r="F2626" t="s">
        <v>360</v>
      </c>
      <c r="G2626" t="s">
        <v>361</v>
      </c>
      <c r="H2626" s="75">
        <f t="shared" ref="H2626:H2689" si="41">J2626*P2626</f>
        <v>208.08824495766055</v>
      </c>
      <c r="I2626" s="74">
        <v>45860</v>
      </c>
      <c r="J2626">
        <v>6</v>
      </c>
      <c r="K2626" t="s">
        <v>511</v>
      </c>
      <c r="L2626" t="s">
        <v>262</v>
      </c>
      <c r="M2626" t="s">
        <v>356</v>
      </c>
      <c r="N2626" s="73">
        <v>67262</v>
      </c>
      <c r="O2626" s="73">
        <v>67262</v>
      </c>
      <c r="P2626">
        <v>34.681374159610094</v>
      </c>
    </row>
    <row r="2627" spans="1:16" x14ac:dyDescent="0.2">
      <c r="A2627" s="73">
        <v>67262</v>
      </c>
      <c r="B2627" t="s">
        <v>350</v>
      </c>
      <c r="C2627" s="73" t="s">
        <v>421</v>
      </c>
      <c r="D2627" t="s">
        <v>422</v>
      </c>
      <c r="E2627" s="74">
        <v>45860</v>
      </c>
      <c r="F2627" t="s">
        <v>376</v>
      </c>
      <c r="G2627" t="s">
        <v>377</v>
      </c>
      <c r="H2627" s="75">
        <f t="shared" si="41"/>
        <v>242.76961911727065</v>
      </c>
      <c r="I2627" s="74">
        <v>45860</v>
      </c>
      <c r="J2627">
        <v>7</v>
      </c>
      <c r="K2627" t="s">
        <v>511</v>
      </c>
      <c r="L2627" t="s">
        <v>262</v>
      </c>
      <c r="M2627" t="s">
        <v>356</v>
      </c>
      <c r="N2627" s="73">
        <v>67262</v>
      </c>
      <c r="O2627" s="73">
        <v>67262</v>
      </c>
      <c r="P2627">
        <v>34.681374159610094</v>
      </c>
    </row>
    <row r="2628" spans="1:16" x14ac:dyDescent="0.2">
      <c r="A2628" s="73">
        <v>67262</v>
      </c>
      <c r="B2628" t="s">
        <v>350</v>
      </c>
      <c r="C2628" s="73" t="s">
        <v>421</v>
      </c>
      <c r="D2628" t="s">
        <v>422</v>
      </c>
      <c r="E2628" s="74">
        <v>45861</v>
      </c>
      <c r="F2628" t="s">
        <v>398</v>
      </c>
      <c r="G2628" t="s">
        <v>399</v>
      </c>
      <c r="H2628" s="75">
        <f t="shared" si="41"/>
        <v>208.08824495766055</v>
      </c>
      <c r="I2628" s="74">
        <v>45861</v>
      </c>
      <c r="J2628">
        <v>6</v>
      </c>
      <c r="K2628" t="s">
        <v>511</v>
      </c>
      <c r="L2628" t="s">
        <v>367</v>
      </c>
      <c r="M2628" t="s">
        <v>356</v>
      </c>
      <c r="N2628" s="73">
        <v>67262</v>
      </c>
      <c r="O2628" s="73">
        <v>67262</v>
      </c>
      <c r="P2628">
        <v>34.681374159610094</v>
      </c>
    </row>
    <row r="2629" spans="1:16" x14ac:dyDescent="0.2">
      <c r="A2629" s="73">
        <v>67262</v>
      </c>
      <c r="B2629" t="s">
        <v>350</v>
      </c>
      <c r="C2629" s="73" t="s">
        <v>421</v>
      </c>
      <c r="D2629" t="s">
        <v>422</v>
      </c>
      <c r="E2629" s="74">
        <v>45861</v>
      </c>
      <c r="F2629" t="s">
        <v>410</v>
      </c>
      <c r="G2629" t="s">
        <v>411</v>
      </c>
      <c r="H2629" s="75">
        <f t="shared" si="41"/>
        <v>208.08824495766055</v>
      </c>
      <c r="I2629" s="74">
        <v>45861</v>
      </c>
      <c r="J2629">
        <v>6</v>
      </c>
      <c r="K2629" t="s">
        <v>511</v>
      </c>
      <c r="L2629" t="s">
        <v>262</v>
      </c>
      <c r="M2629" t="s">
        <v>356</v>
      </c>
      <c r="N2629" s="73">
        <v>67262</v>
      </c>
      <c r="O2629" s="73">
        <v>67262</v>
      </c>
      <c r="P2629">
        <v>34.681374159610094</v>
      </c>
    </row>
    <row r="2630" spans="1:16" x14ac:dyDescent="0.2">
      <c r="A2630" s="73">
        <v>67262</v>
      </c>
      <c r="B2630" t="s">
        <v>350</v>
      </c>
      <c r="C2630" s="73" t="s">
        <v>421</v>
      </c>
      <c r="D2630" t="s">
        <v>422</v>
      </c>
      <c r="E2630" s="74">
        <v>45861</v>
      </c>
      <c r="F2630" t="s">
        <v>353</v>
      </c>
      <c r="G2630" t="s">
        <v>354</v>
      </c>
      <c r="H2630" s="75">
        <f t="shared" si="41"/>
        <v>208.08824495766055</v>
      </c>
      <c r="I2630" s="74">
        <v>45861</v>
      </c>
      <c r="J2630">
        <v>6</v>
      </c>
      <c r="K2630" t="s">
        <v>511</v>
      </c>
      <c r="L2630" t="s">
        <v>355</v>
      </c>
      <c r="M2630" t="s">
        <v>356</v>
      </c>
      <c r="N2630" s="73">
        <v>67262</v>
      </c>
      <c r="O2630" s="73">
        <v>67262</v>
      </c>
      <c r="P2630">
        <v>34.681374159610094</v>
      </c>
    </row>
    <row r="2631" spans="1:16" x14ac:dyDescent="0.2">
      <c r="A2631" s="73">
        <v>67262</v>
      </c>
      <c r="B2631" t="s">
        <v>350</v>
      </c>
      <c r="C2631" s="73" t="s">
        <v>421</v>
      </c>
      <c r="D2631" t="s">
        <v>422</v>
      </c>
      <c r="E2631" s="74">
        <v>45861</v>
      </c>
      <c r="F2631" t="s">
        <v>404</v>
      </c>
      <c r="G2631" t="s">
        <v>405</v>
      </c>
      <c r="H2631" s="75">
        <f t="shared" si="41"/>
        <v>173.40687079805048</v>
      </c>
      <c r="I2631" s="74">
        <v>45861</v>
      </c>
      <c r="J2631">
        <v>5</v>
      </c>
      <c r="K2631" t="s">
        <v>511</v>
      </c>
      <c r="L2631" t="s">
        <v>262</v>
      </c>
      <c r="M2631" t="s">
        <v>356</v>
      </c>
      <c r="N2631" s="73">
        <v>67262</v>
      </c>
      <c r="O2631" s="73">
        <v>67262</v>
      </c>
      <c r="P2631">
        <v>34.681374159610094</v>
      </c>
    </row>
    <row r="2632" spans="1:16" x14ac:dyDescent="0.2">
      <c r="A2632" s="73">
        <v>67262</v>
      </c>
      <c r="B2632" t="s">
        <v>350</v>
      </c>
      <c r="C2632" s="73" t="s">
        <v>421</v>
      </c>
      <c r="D2632" t="s">
        <v>422</v>
      </c>
      <c r="E2632" s="74">
        <v>45861</v>
      </c>
      <c r="F2632" t="s">
        <v>395</v>
      </c>
      <c r="G2632" t="s">
        <v>396</v>
      </c>
      <c r="H2632" s="75">
        <f t="shared" si="41"/>
        <v>242.76961911727065</v>
      </c>
      <c r="I2632" s="74">
        <v>45861</v>
      </c>
      <c r="J2632">
        <v>7</v>
      </c>
      <c r="K2632" t="s">
        <v>511</v>
      </c>
      <c r="L2632" t="s">
        <v>262</v>
      </c>
      <c r="M2632" t="s">
        <v>356</v>
      </c>
      <c r="N2632" s="73">
        <v>67262</v>
      </c>
      <c r="O2632" s="73">
        <v>67262</v>
      </c>
      <c r="P2632">
        <v>34.681374159610094</v>
      </c>
    </row>
    <row r="2633" spans="1:16" x14ac:dyDescent="0.2">
      <c r="A2633" s="73">
        <v>67262</v>
      </c>
      <c r="B2633" t="s">
        <v>350</v>
      </c>
      <c r="C2633" s="73" t="s">
        <v>421</v>
      </c>
      <c r="D2633" t="s">
        <v>422</v>
      </c>
      <c r="E2633" s="74">
        <v>45861</v>
      </c>
      <c r="F2633" t="s">
        <v>357</v>
      </c>
      <c r="G2633" t="s">
        <v>358</v>
      </c>
      <c r="H2633" s="75">
        <f t="shared" si="41"/>
        <v>208.08824495766055</v>
      </c>
      <c r="I2633" s="74">
        <v>45861</v>
      </c>
      <c r="J2633">
        <v>6</v>
      </c>
      <c r="K2633" t="s">
        <v>511</v>
      </c>
      <c r="L2633" t="s">
        <v>359</v>
      </c>
      <c r="M2633" t="s">
        <v>356</v>
      </c>
      <c r="N2633" s="73">
        <v>67262</v>
      </c>
      <c r="O2633" s="73">
        <v>67262</v>
      </c>
      <c r="P2633">
        <v>34.681374159610094</v>
      </c>
    </row>
    <row r="2634" spans="1:16" hidden="1" x14ac:dyDescent="0.2">
      <c r="A2634" s="73">
        <v>67260</v>
      </c>
      <c r="B2634" t="s">
        <v>423</v>
      </c>
      <c r="C2634" s="73" t="s">
        <v>454</v>
      </c>
      <c r="D2634" t="s">
        <v>455</v>
      </c>
      <c r="E2634" s="74">
        <v>46007</v>
      </c>
      <c r="F2634" t="s">
        <v>414</v>
      </c>
      <c r="G2634" t="s">
        <v>415</v>
      </c>
      <c r="H2634" s="75">
        <f t="shared" si="41"/>
        <v>260.11030619707572</v>
      </c>
      <c r="I2634" s="74">
        <v>46007</v>
      </c>
      <c r="J2634">
        <v>7.5</v>
      </c>
      <c r="K2634" t="s">
        <v>515</v>
      </c>
      <c r="L2634" t="s">
        <v>262</v>
      </c>
      <c r="M2634" t="s">
        <v>356</v>
      </c>
      <c r="N2634" s="73">
        <v>67260</v>
      </c>
      <c r="O2634" s="73">
        <v>67260</v>
      </c>
      <c r="P2634">
        <v>34.681374159610094</v>
      </c>
    </row>
    <row r="2635" spans="1:16" x14ac:dyDescent="0.2">
      <c r="A2635" s="73">
        <v>67262</v>
      </c>
      <c r="B2635" t="s">
        <v>350</v>
      </c>
      <c r="C2635" s="73" t="s">
        <v>421</v>
      </c>
      <c r="D2635" t="s">
        <v>422</v>
      </c>
      <c r="E2635" s="74">
        <v>45861</v>
      </c>
      <c r="F2635" t="s">
        <v>360</v>
      </c>
      <c r="G2635" t="s">
        <v>361</v>
      </c>
      <c r="H2635" s="75">
        <f t="shared" si="41"/>
        <v>242.76961911727065</v>
      </c>
      <c r="I2635" s="74">
        <v>45861</v>
      </c>
      <c r="J2635">
        <v>7</v>
      </c>
      <c r="K2635" t="s">
        <v>511</v>
      </c>
      <c r="L2635" t="s">
        <v>262</v>
      </c>
      <c r="M2635" t="s">
        <v>356</v>
      </c>
      <c r="N2635" s="73">
        <v>67262</v>
      </c>
      <c r="O2635" s="73">
        <v>67262</v>
      </c>
      <c r="P2635">
        <v>34.681374159610094</v>
      </c>
    </row>
    <row r="2636" spans="1:16" x14ac:dyDescent="0.2">
      <c r="A2636" s="73">
        <v>67262</v>
      </c>
      <c r="B2636" t="s">
        <v>350</v>
      </c>
      <c r="C2636" s="73" t="s">
        <v>421</v>
      </c>
      <c r="D2636" t="s">
        <v>422</v>
      </c>
      <c r="E2636" s="74">
        <v>45861</v>
      </c>
      <c r="F2636" t="s">
        <v>376</v>
      </c>
      <c r="G2636" t="s">
        <v>377</v>
      </c>
      <c r="H2636" s="75">
        <f t="shared" si="41"/>
        <v>208.08824495766055</v>
      </c>
      <c r="I2636" s="74">
        <v>45861</v>
      </c>
      <c r="J2636">
        <v>6</v>
      </c>
      <c r="K2636" t="s">
        <v>511</v>
      </c>
      <c r="L2636" t="s">
        <v>262</v>
      </c>
      <c r="M2636" t="s">
        <v>356</v>
      </c>
      <c r="N2636" s="73">
        <v>67262</v>
      </c>
      <c r="O2636" s="73">
        <v>67262</v>
      </c>
      <c r="P2636">
        <v>34.681374159610094</v>
      </c>
    </row>
    <row r="2637" spans="1:16" x14ac:dyDescent="0.2">
      <c r="A2637" s="73">
        <v>67262</v>
      </c>
      <c r="B2637" t="s">
        <v>350</v>
      </c>
      <c r="C2637" s="73" t="s">
        <v>421</v>
      </c>
      <c r="D2637" t="s">
        <v>422</v>
      </c>
      <c r="E2637" s="74">
        <v>45862</v>
      </c>
      <c r="F2637" t="s">
        <v>398</v>
      </c>
      <c r="G2637" t="s">
        <v>399</v>
      </c>
      <c r="H2637" s="75">
        <f t="shared" si="41"/>
        <v>208.08824495766055</v>
      </c>
      <c r="I2637" s="74">
        <v>45862</v>
      </c>
      <c r="J2637">
        <v>6</v>
      </c>
      <c r="K2637" t="s">
        <v>511</v>
      </c>
      <c r="L2637" t="s">
        <v>367</v>
      </c>
      <c r="M2637" t="s">
        <v>356</v>
      </c>
      <c r="N2637" s="73">
        <v>67262</v>
      </c>
      <c r="O2637" s="73">
        <v>67262</v>
      </c>
      <c r="P2637">
        <v>34.681374159610094</v>
      </c>
    </row>
    <row r="2638" spans="1:16" x14ac:dyDescent="0.2">
      <c r="A2638" s="73">
        <v>67262</v>
      </c>
      <c r="B2638" t="s">
        <v>350</v>
      </c>
      <c r="C2638" s="73" t="s">
        <v>421</v>
      </c>
      <c r="D2638" t="s">
        <v>422</v>
      </c>
      <c r="E2638" s="74">
        <v>45862</v>
      </c>
      <c r="F2638" t="s">
        <v>410</v>
      </c>
      <c r="G2638" t="s">
        <v>411</v>
      </c>
      <c r="H2638" s="75">
        <f t="shared" si="41"/>
        <v>208.08824495766055</v>
      </c>
      <c r="I2638" s="74">
        <v>45862</v>
      </c>
      <c r="J2638">
        <v>6</v>
      </c>
      <c r="K2638" t="s">
        <v>511</v>
      </c>
      <c r="L2638" t="s">
        <v>262</v>
      </c>
      <c r="M2638" t="s">
        <v>356</v>
      </c>
      <c r="N2638" s="73">
        <v>67262</v>
      </c>
      <c r="O2638" s="73">
        <v>67262</v>
      </c>
      <c r="P2638">
        <v>34.681374159610094</v>
      </c>
    </row>
    <row r="2639" spans="1:16" x14ac:dyDescent="0.2">
      <c r="A2639" s="73">
        <v>67262</v>
      </c>
      <c r="B2639" t="s">
        <v>350</v>
      </c>
      <c r="C2639" s="73" t="s">
        <v>421</v>
      </c>
      <c r="D2639" t="s">
        <v>422</v>
      </c>
      <c r="E2639" s="74">
        <v>45862</v>
      </c>
      <c r="F2639" t="s">
        <v>353</v>
      </c>
      <c r="G2639" t="s">
        <v>354</v>
      </c>
      <c r="H2639" s="75">
        <f t="shared" si="41"/>
        <v>104.04412247883027</v>
      </c>
      <c r="I2639" s="74">
        <v>45862</v>
      </c>
      <c r="J2639">
        <v>3</v>
      </c>
      <c r="K2639" t="s">
        <v>511</v>
      </c>
      <c r="L2639" t="s">
        <v>355</v>
      </c>
      <c r="M2639" t="s">
        <v>356</v>
      </c>
      <c r="N2639" s="73">
        <v>67262</v>
      </c>
      <c r="O2639" s="73">
        <v>67262</v>
      </c>
      <c r="P2639">
        <v>34.681374159610094</v>
      </c>
    </row>
    <row r="2640" spans="1:16" x14ac:dyDescent="0.2">
      <c r="A2640" s="73">
        <v>67262</v>
      </c>
      <c r="B2640" t="s">
        <v>350</v>
      </c>
      <c r="C2640" s="73" t="s">
        <v>421</v>
      </c>
      <c r="D2640" t="s">
        <v>422</v>
      </c>
      <c r="E2640" s="74">
        <v>45862</v>
      </c>
      <c r="F2640" t="s">
        <v>404</v>
      </c>
      <c r="G2640" t="s">
        <v>405</v>
      </c>
      <c r="H2640" s="75">
        <f t="shared" si="41"/>
        <v>242.76961911727065</v>
      </c>
      <c r="I2640" s="74">
        <v>45862</v>
      </c>
      <c r="J2640">
        <v>7</v>
      </c>
      <c r="K2640" t="s">
        <v>511</v>
      </c>
      <c r="L2640" t="s">
        <v>262</v>
      </c>
      <c r="M2640" t="s">
        <v>356</v>
      </c>
      <c r="N2640" s="73">
        <v>67262</v>
      </c>
      <c r="O2640" s="73">
        <v>67262</v>
      </c>
      <c r="P2640">
        <v>34.681374159610094</v>
      </c>
    </row>
    <row r="2641" spans="1:16" x14ac:dyDescent="0.2">
      <c r="A2641" s="73">
        <v>67262</v>
      </c>
      <c r="B2641" t="s">
        <v>350</v>
      </c>
      <c r="C2641" s="73" t="s">
        <v>421</v>
      </c>
      <c r="D2641" t="s">
        <v>422</v>
      </c>
      <c r="E2641" s="74">
        <v>45862</v>
      </c>
      <c r="F2641" t="s">
        <v>395</v>
      </c>
      <c r="G2641" t="s">
        <v>396</v>
      </c>
      <c r="H2641" s="75">
        <f t="shared" si="41"/>
        <v>208.08824495766055</v>
      </c>
      <c r="I2641" s="74">
        <v>45862</v>
      </c>
      <c r="J2641">
        <v>6</v>
      </c>
      <c r="K2641" t="s">
        <v>511</v>
      </c>
      <c r="L2641" t="s">
        <v>262</v>
      </c>
      <c r="M2641" t="s">
        <v>356</v>
      </c>
      <c r="N2641" s="73">
        <v>67262</v>
      </c>
      <c r="O2641" s="73">
        <v>67262</v>
      </c>
      <c r="P2641">
        <v>34.681374159610094</v>
      </c>
    </row>
    <row r="2642" spans="1:16" x14ac:dyDescent="0.2">
      <c r="A2642" s="73">
        <v>67262</v>
      </c>
      <c r="B2642" t="s">
        <v>350</v>
      </c>
      <c r="C2642" s="73" t="s">
        <v>421</v>
      </c>
      <c r="D2642" t="s">
        <v>422</v>
      </c>
      <c r="E2642" s="74">
        <v>45862</v>
      </c>
      <c r="F2642" t="s">
        <v>357</v>
      </c>
      <c r="G2642" t="s">
        <v>358</v>
      </c>
      <c r="H2642" s="75">
        <f t="shared" si="41"/>
        <v>208.08824495766055</v>
      </c>
      <c r="I2642" s="74">
        <v>45862</v>
      </c>
      <c r="J2642">
        <v>6</v>
      </c>
      <c r="K2642" t="s">
        <v>511</v>
      </c>
      <c r="L2642" t="s">
        <v>359</v>
      </c>
      <c r="M2642" t="s">
        <v>356</v>
      </c>
      <c r="N2642" s="73">
        <v>67262</v>
      </c>
      <c r="O2642" s="73">
        <v>67262</v>
      </c>
      <c r="P2642">
        <v>34.681374159610094</v>
      </c>
    </row>
    <row r="2643" spans="1:16" x14ac:dyDescent="0.2">
      <c r="A2643" s="73">
        <v>67262</v>
      </c>
      <c r="B2643" t="s">
        <v>350</v>
      </c>
      <c r="C2643" s="73" t="s">
        <v>421</v>
      </c>
      <c r="D2643" t="s">
        <v>422</v>
      </c>
      <c r="E2643" s="74">
        <v>45862</v>
      </c>
      <c r="F2643" t="s">
        <v>360</v>
      </c>
      <c r="G2643" t="s">
        <v>361</v>
      </c>
      <c r="H2643" s="75">
        <f t="shared" si="41"/>
        <v>242.76961911727065</v>
      </c>
      <c r="I2643" s="74">
        <v>45862</v>
      </c>
      <c r="J2643">
        <v>7</v>
      </c>
      <c r="K2643" t="s">
        <v>511</v>
      </c>
      <c r="L2643" t="s">
        <v>262</v>
      </c>
      <c r="M2643" t="s">
        <v>356</v>
      </c>
      <c r="N2643" s="73">
        <v>67262</v>
      </c>
      <c r="O2643" s="73">
        <v>67262</v>
      </c>
      <c r="P2643">
        <v>34.681374159610094</v>
      </c>
    </row>
    <row r="2644" spans="1:16" x14ac:dyDescent="0.2">
      <c r="A2644" s="73">
        <v>67262</v>
      </c>
      <c r="B2644" t="s">
        <v>350</v>
      </c>
      <c r="C2644" s="73" t="s">
        <v>421</v>
      </c>
      <c r="D2644" t="s">
        <v>422</v>
      </c>
      <c r="E2644" s="74">
        <v>45862</v>
      </c>
      <c r="F2644" t="s">
        <v>376</v>
      </c>
      <c r="G2644" t="s">
        <v>377</v>
      </c>
      <c r="H2644" s="75">
        <f t="shared" si="41"/>
        <v>242.76961911727065</v>
      </c>
      <c r="I2644" s="74">
        <v>45862</v>
      </c>
      <c r="J2644">
        <v>7</v>
      </c>
      <c r="K2644" t="s">
        <v>511</v>
      </c>
      <c r="L2644" t="s">
        <v>262</v>
      </c>
      <c r="M2644" t="s">
        <v>356</v>
      </c>
      <c r="N2644" s="73">
        <v>67262</v>
      </c>
      <c r="O2644" s="73">
        <v>67262</v>
      </c>
      <c r="P2644">
        <v>34.681374159610094</v>
      </c>
    </row>
    <row r="2645" spans="1:16" x14ac:dyDescent="0.2">
      <c r="A2645" s="73">
        <v>67262</v>
      </c>
      <c r="B2645" t="s">
        <v>350</v>
      </c>
      <c r="C2645" s="73" t="s">
        <v>421</v>
      </c>
      <c r="D2645" t="s">
        <v>422</v>
      </c>
      <c r="E2645" s="74">
        <v>45863</v>
      </c>
      <c r="F2645" t="s">
        <v>398</v>
      </c>
      <c r="G2645" t="s">
        <v>399</v>
      </c>
      <c r="H2645" s="75">
        <f t="shared" si="41"/>
        <v>208.08824495766055</v>
      </c>
      <c r="I2645" s="74">
        <v>45863</v>
      </c>
      <c r="J2645">
        <v>6</v>
      </c>
      <c r="K2645" t="s">
        <v>511</v>
      </c>
      <c r="L2645" t="s">
        <v>367</v>
      </c>
      <c r="M2645" t="s">
        <v>356</v>
      </c>
      <c r="N2645" s="73">
        <v>67262</v>
      </c>
      <c r="O2645" s="73">
        <v>67262</v>
      </c>
      <c r="P2645">
        <v>34.681374159610094</v>
      </c>
    </row>
    <row r="2646" spans="1:16" x14ac:dyDescent="0.2">
      <c r="A2646" s="73">
        <v>67262</v>
      </c>
      <c r="B2646" t="s">
        <v>350</v>
      </c>
      <c r="C2646" s="73" t="s">
        <v>421</v>
      </c>
      <c r="D2646" t="s">
        <v>422</v>
      </c>
      <c r="E2646" s="74">
        <v>45863</v>
      </c>
      <c r="F2646" t="s">
        <v>410</v>
      </c>
      <c r="G2646" t="s">
        <v>411</v>
      </c>
      <c r="H2646" s="75">
        <f t="shared" si="41"/>
        <v>208.08824495766055</v>
      </c>
      <c r="I2646" s="74">
        <v>45863</v>
      </c>
      <c r="J2646">
        <v>6</v>
      </c>
      <c r="K2646" t="s">
        <v>511</v>
      </c>
      <c r="L2646" t="s">
        <v>262</v>
      </c>
      <c r="M2646" t="s">
        <v>356</v>
      </c>
      <c r="N2646" s="73">
        <v>67262</v>
      </c>
      <c r="O2646" s="73">
        <v>67262</v>
      </c>
      <c r="P2646">
        <v>34.681374159610094</v>
      </c>
    </row>
    <row r="2647" spans="1:16" x14ac:dyDescent="0.2">
      <c r="A2647" s="73">
        <v>67262</v>
      </c>
      <c r="B2647" t="s">
        <v>350</v>
      </c>
      <c r="C2647" s="73" t="s">
        <v>421</v>
      </c>
      <c r="D2647" t="s">
        <v>422</v>
      </c>
      <c r="E2647" s="74">
        <v>45863</v>
      </c>
      <c r="F2647" t="s">
        <v>353</v>
      </c>
      <c r="G2647" t="s">
        <v>354</v>
      </c>
      <c r="H2647" s="75">
        <f t="shared" si="41"/>
        <v>208.08824495766055</v>
      </c>
      <c r="I2647" s="74">
        <v>45863</v>
      </c>
      <c r="J2647">
        <v>6</v>
      </c>
      <c r="K2647" t="s">
        <v>511</v>
      </c>
      <c r="L2647" t="s">
        <v>355</v>
      </c>
      <c r="M2647" t="s">
        <v>356</v>
      </c>
      <c r="N2647" s="73">
        <v>67262</v>
      </c>
      <c r="O2647" s="73">
        <v>67262</v>
      </c>
      <c r="P2647">
        <v>34.681374159610094</v>
      </c>
    </row>
    <row r="2648" spans="1:16" x14ac:dyDescent="0.2">
      <c r="A2648" s="73">
        <v>67262</v>
      </c>
      <c r="B2648" t="s">
        <v>350</v>
      </c>
      <c r="C2648" s="73" t="s">
        <v>421</v>
      </c>
      <c r="D2648" t="s">
        <v>422</v>
      </c>
      <c r="E2648" s="74">
        <v>45863</v>
      </c>
      <c r="F2648" t="s">
        <v>404</v>
      </c>
      <c r="G2648" t="s">
        <v>405</v>
      </c>
      <c r="H2648" s="75">
        <f t="shared" si="41"/>
        <v>242.76961911727065</v>
      </c>
      <c r="I2648" s="74">
        <v>45863</v>
      </c>
      <c r="J2648">
        <v>7</v>
      </c>
      <c r="K2648" t="s">
        <v>511</v>
      </c>
      <c r="L2648" t="s">
        <v>262</v>
      </c>
      <c r="M2648" t="s">
        <v>356</v>
      </c>
      <c r="N2648" s="73">
        <v>67262</v>
      </c>
      <c r="O2648" s="73">
        <v>67262</v>
      </c>
      <c r="P2648">
        <v>34.681374159610094</v>
      </c>
    </row>
    <row r="2649" spans="1:16" x14ac:dyDescent="0.2">
      <c r="A2649" s="73">
        <v>67262</v>
      </c>
      <c r="B2649" t="s">
        <v>350</v>
      </c>
      <c r="C2649" s="73" t="s">
        <v>421</v>
      </c>
      <c r="D2649" t="s">
        <v>422</v>
      </c>
      <c r="E2649" s="74">
        <v>45863</v>
      </c>
      <c r="F2649" t="s">
        <v>395</v>
      </c>
      <c r="G2649" t="s">
        <v>396</v>
      </c>
      <c r="H2649" s="75">
        <f t="shared" si="41"/>
        <v>242.76961911727065</v>
      </c>
      <c r="I2649" s="74">
        <v>45863</v>
      </c>
      <c r="J2649">
        <v>7</v>
      </c>
      <c r="K2649" t="s">
        <v>511</v>
      </c>
      <c r="L2649" t="s">
        <v>262</v>
      </c>
      <c r="M2649" t="s">
        <v>356</v>
      </c>
      <c r="N2649" s="73">
        <v>67262</v>
      </c>
      <c r="O2649" s="73">
        <v>67262</v>
      </c>
      <c r="P2649">
        <v>34.681374159610094</v>
      </c>
    </row>
    <row r="2650" spans="1:16" x14ac:dyDescent="0.2">
      <c r="A2650" s="73">
        <v>67262</v>
      </c>
      <c r="B2650" t="s">
        <v>350</v>
      </c>
      <c r="C2650" s="73" t="s">
        <v>421</v>
      </c>
      <c r="D2650" t="s">
        <v>422</v>
      </c>
      <c r="E2650" s="74">
        <v>45863</v>
      </c>
      <c r="F2650" t="s">
        <v>357</v>
      </c>
      <c r="G2650" t="s">
        <v>358</v>
      </c>
      <c r="H2650" s="75">
        <f t="shared" si="41"/>
        <v>208.08824495766055</v>
      </c>
      <c r="I2650" s="74">
        <v>45863</v>
      </c>
      <c r="J2650">
        <v>6</v>
      </c>
      <c r="K2650" t="s">
        <v>511</v>
      </c>
      <c r="L2650" t="s">
        <v>359</v>
      </c>
      <c r="M2650" t="s">
        <v>356</v>
      </c>
      <c r="N2650" s="73">
        <v>67262</v>
      </c>
      <c r="O2650" s="73">
        <v>67262</v>
      </c>
      <c r="P2650">
        <v>34.681374159610094</v>
      </c>
    </row>
    <row r="2651" spans="1:16" hidden="1" x14ac:dyDescent="0.2">
      <c r="A2651" s="73">
        <v>67260</v>
      </c>
      <c r="B2651" t="s">
        <v>423</v>
      </c>
      <c r="C2651" s="73" t="s">
        <v>454</v>
      </c>
      <c r="D2651" t="s">
        <v>455</v>
      </c>
      <c r="E2651" s="74">
        <v>46008</v>
      </c>
      <c r="F2651" t="s">
        <v>414</v>
      </c>
      <c r="G2651" t="s">
        <v>415</v>
      </c>
      <c r="H2651" s="75">
        <f t="shared" si="41"/>
        <v>260.11030619707572</v>
      </c>
      <c r="I2651" s="74">
        <v>46008</v>
      </c>
      <c r="J2651">
        <v>7.5</v>
      </c>
      <c r="K2651" t="s">
        <v>515</v>
      </c>
      <c r="L2651" t="s">
        <v>262</v>
      </c>
      <c r="M2651" t="s">
        <v>356</v>
      </c>
      <c r="N2651" s="73">
        <v>67260</v>
      </c>
      <c r="O2651" s="73">
        <v>67260</v>
      </c>
      <c r="P2651">
        <v>34.681374159610094</v>
      </c>
    </row>
    <row r="2652" spans="1:16" x14ac:dyDescent="0.2">
      <c r="A2652" s="73">
        <v>67262</v>
      </c>
      <c r="B2652" t="s">
        <v>350</v>
      </c>
      <c r="C2652" s="73" t="s">
        <v>421</v>
      </c>
      <c r="D2652" t="s">
        <v>422</v>
      </c>
      <c r="E2652" s="74">
        <v>45863</v>
      </c>
      <c r="F2652" t="s">
        <v>360</v>
      </c>
      <c r="G2652" t="s">
        <v>361</v>
      </c>
      <c r="H2652" s="75">
        <f t="shared" si="41"/>
        <v>208.08824495766055</v>
      </c>
      <c r="I2652" s="74">
        <v>45863</v>
      </c>
      <c r="J2652">
        <v>6</v>
      </c>
      <c r="K2652" t="s">
        <v>511</v>
      </c>
      <c r="L2652" t="s">
        <v>262</v>
      </c>
      <c r="M2652" t="s">
        <v>356</v>
      </c>
      <c r="N2652" s="73">
        <v>67262</v>
      </c>
      <c r="O2652" s="73">
        <v>67262</v>
      </c>
      <c r="P2652">
        <v>34.681374159610094</v>
      </c>
    </row>
    <row r="2653" spans="1:16" x14ac:dyDescent="0.2">
      <c r="A2653" s="73">
        <v>67262</v>
      </c>
      <c r="B2653" t="s">
        <v>350</v>
      </c>
      <c r="C2653" s="73" t="s">
        <v>421</v>
      </c>
      <c r="D2653" t="s">
        <v>422</v>
      </c>
      <c r="E2653" s="74">
        <v>45863</v>
      </c>
      <c r="F2653" t="s">
        <v>376</v>
      </c>
      <c r="G2653" t="s">
        <v>377</v>
      </c>
      <c r="H2653" s="75">
        <f t="shared" si="41"/>
        <v>242.76961911727065</v>
      </c>
      <c r="I2653" s="74">
        <v>45863</v>
      </c>
      <c r="J2653">
        <v>7</v>
      </c>
      <c r="K2653" t="s">
        <v>511</v>
      </c>
      <c r="L2653" t="s">
        <v>262</v>
      </c>
      <c r="M2653" t="s">
        <v>356</v>
      </c>
      <c r="N2653" s="73">
        <v>67262</v>
      </c>
      <c r="O2653" s="73">
        <v>67262</v>
      </c>
      <c r="P2653">
        <v>34.681374159610094</v>
      </c>
    </row>
    <row r="2654" spans="1:16" x14ac:dyDescent="0.2">
      <c r="A2654" s="73">
        <v>67262</v>
      </c>
      <c r="B2654" t="s">
        <v>350</v>
      </c>
      <c r="C2654" s="73" t="s">
        <v>421</v>
      </c>
      <c r="D2654" t="s">
        <v>422</v>
      </c>
      <c r="E2654" s="74">
        <v>45866</v>
      </c>
      <c r="F2654" t="s">
        <v>360</v>
      </c>
      <c r="G2654" t="s">
        <v>361</v>
      </c>
      <c r="H2654" s="75">
        <f t="shared" si="41"/>
        <v>242.76961911727065</v>
      </c>
      <c r="I2654" s="74">
        <v>45866</v>
      </c>
      <c r="J2654">
        <v>7</v>
      </c>
      <c r="K2654" t="s">
        <v>511</v>
      </c>
      <c r="L2654" t="s">
        <v>262</v>
      </c>
      <c r="M2654" t="s">
        <v>356</v>
      </c>
      <c r="N2654" s="73">
        <v>67262</v>
      </c>
      <c r="O2654" s="73">
        <v>67262</v>
      </c>
      <c r="P2654">
        <v>34.681374159610094</v>
      </c>
    </row>
    <row r="2655" spans="1:16" x14ac:dyDescent="0.2">
      <c r="A2655" s="73">
        <v>67262</v>
      </c>
      <c r="B2655" t="s">
        <v>350</v>
      </c>
      <c r="C2655" s="73" t="s">
        <v>421</v>
      </c>
      <c r="D2655" t="s">
        <v>422</v>
      </c>
      <c r="E2655" s="74">
        <v>45866</v>
      </c>
      <c r="F2655" t="s">
        <v>376</v>
      </c>
      <c r="G2655" t="s">
        <v>377</v>
      </c>
      <c r="H2655" s="75">
        <f t="shared" si="41"/>
        <v>69.362748319220188</v>
      </c>
      <c r="I2655" s="74">
        <v>45866</v>
      </c>
      <c r="J2655">
        <v>2</v>
      </c>
      <c r="K2655" t="s">
        <v>511</v>
      </c>
      <c r="L2655" t="s">
        <v>262</v>
      </c>
      <c r="M2655" t="s">
        <v>356</v>
      </c>
      <c r="N2655" s="73">
        <v>67262</v>
      </c>
      <c r="O2655" s="73">
        <v>67262</v>
      </c>
      <c r="P2655">
        <v>34.681374159610094</v>
      </c>
    </row>
    <row r="2656" spans="1:16" x14ac:dyDescent="0.2">
      <c r="A2656" s="73">
        <v>67262</v>
      </c>
      <c r="B2656" t="s">
        <v>350</v>
      </c>
      <c r="C2656" s="73" t="s">
        <v>421</v>
      </c>
      <c r="D2656" t="s">
        <v>422</v>
      </c>
      <c r="E2656" s="74">
        <v>45866</v>
      </c>
      <c r="F2656" t="s">
        <v>357</v>
      </c>
      <c r="G2656" t="s">
        <v>358</v>
      </c>
      <c r="H2656" s="75">
        <f t="shared" si="41"/>
        <v>208.08824495766055</v>
      </c>
      <c r="I2656" s="74">
        <v>45866</v>
      </c>
      <c r="J2656">
        <v>6</v>
      </c>
      <c r="K2656" t="s">
        <v>511</v>
      </c>
      <c r="L2656" t="s">
        <v>359</v>
      </c>
      <c r="M2656" t="s">
        <v>356</v>
      </c>
      <c r="N2656" s="73">
        <v>67262</v>
      </c>
      <c r="O2656" s="73">
        <v>67262</v>
      </c>
      <c r="P2656">
        <v>34.681374159610094</v>
      </c>
    </row>
    <row r="2657" spans="1:16" x14ac:dyDescent="0.2">
      <c r="A2657" s="73">
        <v>67262</v>
      </c>
      <c r="B2657" t="s">
        <v>350</v>
      </c>
      <c r="C2657" s="73" t="s">
        <v>421</v>
      </c>
      <c r="D2657" t="s">
        <v>422</v>
      </c>
      <c r="E2657" s="74">
        <v>45866</v>
      </c>
      <c r="F2657" t="s">
        <v>404</v>
      </c>
      <c r="G2657" t="s">
        <v>405</v>
      </c>
      <c r="H2657" s="75">
        <f t="shared" si="41"/>
        <v>138.72549663844038</v>
      </c>
      <c r="I2657" s="74">
        <v>45866</v>
      </c>
      <c r="J2657">
        <v>4</v>
      </c>
      <c r="K2657" t="s">
        <v>511</v>
      </c>
      <c r="L2657" t="s">
        <v>262</v>
      </c>
      <c r="M2657" t="s">
        <v>356</v>
      </c>
      <c r="N2657" s="73">
        <v>67262</v>
      </c>
      <c r="O2657" s="73">
        <v>67262</v>
      </c>
      <c r="P2657">
        <v>34.681374159610094</v>
      </c>
    </row>
    <row r="2658" spans="1:16" x14ac:dyDescent="0.2">
      <c r="A2658" s="73">
        <v>67262</v>
      </c>
      <c r="B2658" t="s">
        <v>350</v>
      </c>
      <c r="C2658" s="73" t="s">
        <v>421</v>
      </c>
      <c r="D2658" t="s">
        <v>422</v>
      </c>
      <c r="E2658" s="74">
        <v>45866</v>
      </c>
      <c r="F2658" t="s">
        <v>387</v>
      </c>
      <c r="G2658" t="s">
        <v>388</v>
      </c>
      <c r="H2658" s="75">
        <f t="shared" si="41"/>
        <v>69.362748319220188</v>
      </c>
      <c r="I2658" s="74">
        <v>45866</v>
      </c>
      <c r="J2658">
        <v>2</v>
      </c>
      <c r="K2658" t="s">
        <v>511</v>
      </c>
      <c r="L2658" t="s">
        <v>367</v>
      </c>
      <c r="M2658" t="s">
        <v>356</v>
      </c>
      <c r="N2658" s="73">
        <v>67262</v>
      </c>
      <c r="O2658" s="73">
        <v>67262</v>
      </c>
      <c r="P2658">
        <v>34.681374159610094</v>
      </c>
    </row>
    <row r="2659" spans="1:16" x14ac:dyDescent="0.2">
      <c r="A2659" s="73">
        <v>67262</v>
      </c>
      <c r="B2659" t="s">
        <v>350</v>
      </c>
      <c r="C2659" s="73" t="s">
        <v>421</v>
      </c>
      <c r="D2659" t="s">
        <v>422</v>
      </c>
      <c r="E2659" s="74">
        <v>45866</v>
      </c>
      <c r="F2659" t="s">
        <v>410</v>
      </c>
      <c r="G2659" t="s">
        <v>411</v>
      </c>
      <c r="H2659" s="75">
        <f t="shared" si="41"/>
        <v>208.08824495766055</v>
      </c>
      <c r="I2659" s="74">
        <v>45866</v>
      </c>
      <c r="J2659">
        <v>6</v>
      </c>
      <c r="K2659" t="s">
        <v>511</v>
      </c>
      <c r="L2659" t="s">
        <v>262</v>
      </c>
      <c r="M2659" t="s">
        <v>356</v>
      </c>
      <c r="N2659" s="73">
        <v>67262</v>
      </c>
      <c r="O2659" s="73">
        <v>67262</v>
      </c>
      <c r="P2659">
        <v>34.681374159610094</v>
      </c>
    </row>
    <row r="2660" spans="1:16" x14ac:dyDescent="0.2">
      <c r="A2660" s="73">
        <v>67262</v>
      </c>
      <c r="B2660" t="s">
        <v>350</v>
      </c>
      <c r="C2660" s="73" t="s">
        <v>421</v>
      </c>
      <c r="D2660" t="s">
        <v>422</v>
      </c>
      <c r="E2660" s="74">
        <v>45867</v>
      </c>
      <c r="F2660" t="s">
        <v>360</v>
      </c>
      <c r="G2660" t="s">
        <v>361</v>
      </c>
      <c r="H2660" s="75">
        <f t="shared" si="41"/>
        <v>34.681374159610094</v>
      </c>
      <c r="I2660" s="74">
        <v>45867</v>
      </c>
      <c r="J2660">
        <v>1</v>
      </c>
      <c r="K2660" t="s">
        <v>511</v>
      </c>
      <c r="L2660" t="s">
        <v>262</v>
      </c>
      <c r="M2660" t="s">
        <v>356</v>
      </c>
      <c r="N2660" s="73">
        <v>67262</v>
      </c>
      <c r="O2660" s="73">
        <v>67262</v>
      </c>
      <c r="P2660">
        <v>34.681374159610094</v>
      </c>
    </row>
    <row r="2661" spans="1:16" x14ac:dyDescent="0.2">
      <c r="A2661" s="73">
        <v>67262</v>
      </c>
      <c r="B2661" t="s">
        <v>350</v>
      </c>
      <c r="C2661" s="73" t="s">
        <v>421</v>
      </c>
      <c r="D2661" t="s">
        <v>422</v>
      </c>
      <c r="E2661" s="74">
        <v>45867</v>
      </c>
      <c r="F2661" t="s">
        <v>376</v>
      </c>
      <c r="G2661" t="s">
        <v>377</v>
      </c>
      <c r="H2661" s="75">
        <f t="shared" si="41"/>
        <v>69.362748319220188</v>
      </c>
      <c r="I2661" s="74">
        <v>45867</v>
      </c>
      <c r="J2661">
        <v>2</v>
      </c>
      <c r="K2661" t="s">
        <v>511</v>
      </c>
      <c r="L2661" t="s">
        <v>262</v>
      </c>
      <c r="M2661" t="s">
        <v>356</v>
      </c>
      <c r="N2661" s="73">
        <v>67262</v>
      </c>
      <c r="O2661" s="73">
        <v>67262</v>
      </c>
      <c r="P2661">
        <v>34.681374159610094</v>
      </c>
    </row>
    <row r="2662" spans="1:16" hidden="1" x14ac:dyDescent="0.2">
      <c r="A2662" s="73">
        <v>67260</v>
      </c>
      <c r="B2662" t="s">
        <v>423</v>
      </c>
      <c r="C2662" s="73" t="s">
        <v>454</v>
      </c>
      <c r="D2662" t="s">
        <v>455</v>
      </c>
      <c r="E2662" s="74">
        <v>46009</v>
      </c>
      <c r="F2662" t="s">
        <v>414</v>
      </c>
      <c r="G2662" t="s">
        <v>415</v>
      </c>
      <c r="H2662" s="75">
        <f t="shared" si="41"/>
        <v>260.11030619707572</v>
      </c>
      <c r="I2662" s="74">
        <v>46009</v>
      </c>
      <c r="J2662">
        <v>7.5</v>
      </c>
      <c r="K2662" t="s">
        <v>515</v>
      </c>
      <c r="L2662" t="s">
        <v>262</v>
      </c>
      <c r="M2662" t="s">
        <v>356</v>
      </c>
      <c r="N2662" s="73">
        <v>67260</v>
      </c>
      <c r="O2662" s="73">
        <v>67260</v>
      </c>
      <c r="P2662">
        <v>34.681374159610094</v>
      </c>
    </row>
    <row r="2663" spans="1:16" x14ac:dyDescent="0.2">
      <c r="A2663" s="73">
        <v>67262</v>
      </c>
      <c r="B2663" t="s">
        <v>350</v>
      </c>
      <c r="C2663" s="73" t="s">
        <v>421</v>
      </c>
      <c r="D2663" t="s">
        <v>422</v>
      </c>
      <c r="E2663" s="74">
        <v>45867</v>
      </c>
      <c r="F2663" t="s">
        <v>357</v>
      </c>
      <c r="G2663" t="s">
        <v>358</v>
      </c>
      <c r="H2663" s="75">
        <f t="shared" si="41"/>
        <v>208.08824495766055</v>
      </c>
      <c r="I2663" s="74">
        <v>45867</v>
      </c>
      <c r="J2663">
        <v>6</v>
      </c>
      <c r="K2663" t="s">
        <v>511</v>
      </c>
      <c r="L2663" t="s">
        <v>359</v>
      </c>
      <c r="M2663" t="s">
        <v>356</v>
      </c>
      <c r="N2663" s="73">
        <v>67262</v>
      </c>
      <c r="O2663" s="73">
        <v>67262</v>
      </c>
      <c r="P2663">
        <v>34.681374159610094</v>
      </c>
    </row>
    <row r="2664" spans="1:16" x14ac:dyDescent="0.2">
      <c r="A2664" s="73">
        <v>67262</v>
      </c>
      <c r="B2664" t="s">
        <v>350</v>
      </c>
      <c r="C2664" s="73" t="s">
        <v>421</v>
      </c>
      <c r="D2664" t="s">
        <v>422</v>
      </c>
      <c r="E2664" s="74">
        <v>45867</v>
      </c>
      <c r="F2664" t="s">
        <v>404</v>
      </c>
      <c r="G2664" t="s">
        <v>405</v>
      </c>
      <c r="H2664" s="75">
        <f t="shared" si="41"/>
        <v>173.40687079805048</v>
      </c>
      <c r="I2664" s="74">
        <v>45867</v>
      </c>
      <c r="J2664">
        <v>5</v>
      </c>
      <c r="K2664" t="s">
        <v>511</v>
      </c>
      <c r="L2664" t="s">
        <v>262</v>
      </c>
      <c r="M2664" t="s">
        <v>356</v>
      </c>
      <c r="N2664" s="73">
        <v>67262</v>
      </c>
      <c r="O2664" s="73">
        <v>67262</v>
      </c>
      <c r="P2664">
        <v>34.681374159610094</v>
      </c>
    </row>
    <row r="2665" spans="1:16" x14ac:dyDescent="0.2">
      <c r="A2665" s="73">
        <v>67262</v>
      </c>
      <c r="B2665" t="s">
        <v>350</v>
      </c>
      <c r="C2665" s="73" t="s">
        <v>421</v>
      </c>
      <c r="D2665" t="s">
        <v>422</v>
      </c>
      <c r="E2665" s="74">
        <v>45867</v>
      </c>
      <c r="F2665" t="s">
        <v>387</v>
      </c>
      <c r="G2665" t="s">
        <v>388</v>
      </c>
      <c r="H2665" s="75">
        <f t="shared" si="41"/>
        <v>138.72549663844038</v>
      </c>
      <c r="I2665" s="74">
        <v>45867</v>
      </c>
      <c r="J2665">
        <v>4</v>
      </c>
      <c r="K2665" t="s">
        <v>511</v>
      </c>
      <c r="L2665" t="s">
        <v>367</v>
      </c>
      <c r="M2665" t="s">
        <v>356</v>
      </c>
      <c r="N2665" s="73">
        <v>67262</v>
      </c>
      <c r="O2665" s="73">
        <v>67262</v>
      </c>
      <c r="P2665">
        <v>34.681374159610094</v>
      </c>
    </row>
    <row r="2666" spans="1:16" x14ac:dyDescent="0.2">
      <c r="A2666" s="73">
        <v>67262</v>
      </c>
      <c r="B2666" t="s">
        <v>350</v>
      </c>
      <c r="C2666" s="73" t="s">
        <v>421</v>
      </c>
      <c r="D2666" t="s">
        <v>422</v>
      </c>
      <c r="E2666" s="74">
        <v>45866</v>
      </c>
      <c r="F2666" t="s">
        <v>395</v>
      </c>
      <c r="G2666" t="s">
        <v>396</v>
      </c>
      <c r="H2666" s="75">
        <f t="shared" si="41"/>
        <v>242.76961911727065</v>
      </c>
      <c r="I2666" s="74">
        <v>45866</v>
      </c>
      <c r="J2666">
        <v>7</v>
      </c>
      <c r="K2666" t="s">
        <v>511</v>
      </c>
      <c r="L2666" t="s">
        <v>262</v>
      </c>
      <c r="M2666" t="s">
        <v>356</v>
      </c>
      <c r="N2666" s="73">
        <v>67262</v>
      </c>
      <c r="O2666" s="73">
        <v>67262</v>
      </c>
      <c r="P2666">
        <v>34.681374159610094</v>
      </c>
    </row>
    <row r="2667" spans="1:16" x14ac:dyDescent="0.2">
      <c r="A2667" s="73">
        <v>67262</v>
      </c>
      <c r="B2667" t="s">
        <v>350</v>
      </c>
      <c r="C2667" s="73" t="s">
        <v>421</v>
      </c>
      <c r="D2667" t="s">
        <v>422</v>
      </c>
      <c r="E2667" s="74">
        <v>45866</v>
      </c>
      <c r="F2667" t="s">
        <v>353</v>
      </c>
      <c r="G2667" t="s">
        <v>354</v>
      </c>
      <c r="H2667" s="75">
        <f t="shared" si="41"/>
        <v>156.06618371824541</v>
      </c>
      <c r="I2667" s="74">
        <v>45866</v>
      </c>
      <c r="J2667">
        <v>4.5</v>
      </c>
      <c r="K2667" t="s">
        <v>511</v>
      </c>
      <c r="L2667" t="s">
        <v>355</v>
      </c>
      <c r="M2667" t="s">
        <v>356</v>
      </c>
      <c r="N2667" s="73">
        <v>67262</v>
      </c>
      <c r="O2667" s="73">
        <v>67262</v>
      </c>
      <c r="P2667">
        <v>34.681374159610094</v>
      </c>
    </row>
    <row r="2668" spans="1:16" x14ac:dyDescent="0.2">
      <c r="A2668" s="73">
        <v>67262</v>
      </c>
      <c r="B2668" t="s">
        <v>350</v>
      </c>
      <c r="C2668" s="73" t="s">
        <v>421</v>
      </c>
      <c r="D2668" t="s">
        <v>422</v>
      </c>
      <c r="E2668" s="74">
        <v>45867</v>
      </c>
      <c r="F2668" t="s">
        <v>410</v>
      </c>
      <c r="G2668" t="s">
        <v>411</v>
      </c>
      <c r="H2668" s="75">
        <f t="shared" si="41"/>
        <v>208.08824495766055</v>
      </c>
      <c r="I2668" s="74">
        <v>45867</v>
      </c>
      <c r="J2668">
        <v>6</v>
      </c>
      <c r="K2668" t="s">
        <v>511</v>
      </c>
      <c r="L2668" t="s">
        <v>262</v>
      </c>
      <c r="M2668" t="s">
        <v>356</v>
      </c>
      <c r="N2668" s="73">
        <v>67262</v>
      </c>
      <c r="O2668" s="73">
        <v>67262</v>
      </c>
      <c r="P2668">
        <v>34.681374159610094</v>
      </c>
    </row>
    <row r="2669" spans="1:16" x14ac:dyDescent="0.2">
      <c r="A2669" s="73">
        <v>67262</v>
      </c>
      <c r="B2669" t="s">
        <v>350</v>
      </c>
      <c r="C2669" s="73" t="s">
        <v>421</v>
      </c>
      <c r="D2669" t="s">
        <v>422</v>
      </c>
      <c r="E2669" s="74">
        <v>45867</v>
      </c>
      <c r="F2669" t="s">
        <v>395</v>
      </c>
      <c r="G2669" t="s">
        <v>396</v>
      </c>
      <c r="H2669" s="75">
        <f t="shared" si="41"/>
        <v>104.04412247883027</v>
      </c>
      <c r="I2669" s="74">
        <v>45867</v>
      </c>
      <c r="J2669">
        <v>3</v>
      </c>
      <c r="K2669" t="s">
        <v>511</v>
      </c>
      <c r="L2669" t="s">
        <v>262</v>
      </c>
      <c r="M2669" t="s">
        <v>356</v>
      </c>
      <c r="N2669" s="73">
        <v>67262</v>
      </c>
      <c r="O2669" s="73">
        <v>67262</v>
      </c>
      <c r="P2669">
        <v>34.681374159610094</v>
      </c>
    </row>
    <row r="2670" spans="1:16" x14ac:dyDescent="0.2">
      <c r="A2670" s="73">
        <v>67262</v>
      </c>
      <c r="B2670" t="s">
        <v>350</v>
      </c>
      <c r="C2670" s="73" t="s">
        <v>421</v>
      </c>
      <c r="D2670" t="s">
        <v>422</v>
      </c>
      <c r="E2670" s="74">
        <v>45867</v>
      </c>
      <c r="F2670" t="s">
        <v>353</v>
      </c>
      <c r="G2670" t="s">
        <v>354</v>
      </c>
      <c r="H2670" s="75">
        <f t="shared" si="41"/>
        <v>156.06618371824541</v>
      </c>
      <c r="I2670" s="74">
        <v>45867</v>
      </c>
      <c r="J2670">
        <v>4.5</v>
      </c>
      <c r="K2670" t="s">
        <v>511</v>
      </c>
      <c r="L2670" t="s">
        <v>355</v>
      </c>
      <c r="M2670" t="s">
        <v>356</v>
      </c>
      <c r="N2670" s="73">
        <v>67262</v>
      </c>
      <c r="O2670" s="73">
        <v>67262</v>
      </c>
      <c r="P2670">
        <v>34.681374159610094</v>
      </c>
    </row>
    <row r="2671" spans="1:16" x14ac:dyDescent="0.2">
      <c r="A2671" s="73">
        <v>67262</v>
      </c>
      <c r="B2671" t="s">
        <v>350</v>
      </c>
      <c r="C2671" s="73" t="s">
        <v>421</v>
      </c>
      <c r="D2671" t="s">
        <v>422</v>
      </c>
      <c r="E2671" s="74">
        <v>45868</v>
      </c>
      <c r="F2671" t="s">
        <v>360</v>
      </c>
      <c r="G2671" t="s">
        <v>361</v>
      </c>
      <c r="H2671" s="75">
        <f t="shared" si="41"/>
        <v>242.76961911727065</v>
      </c>
      <c r="I2671" s="74">
        <v>45868</v>
      </c>
      <c r="J2671">
        <v>7</v>
      </c>
      <c r="K2671" t="s">
        <v>511</v>
      </c>
      <c r="L2671" t="s">
        <v>262</v>
      </c>
      <c r="M2671" t="s">
        <v>356</v>
      </c>
      <c r="N2671" s="73">
        <v>67262</v>
      </c>
      <c r="O2671" s="73">
        <v>67262</v>
      </c>
      <c r="P2671">
        <v>34.681374159610094</v>
      </c>
    </row>
    <row r="2672" spans="1:16" x14ac:dyDescent="0.2">
      <c r="A2672" s="73">
        <v>67262</v>
      </c>
      <c r="B2672" t="s">
        <v>350</v>
      </c>
      <c r="C2672" s="73" t="s">
        <v>421</v>
      </c>
      <c r="D2672" t="s">
        <v>422</v>
      </c>
      <c r="E2672" s="74">
        <v>45868</v>
      </c>
      <c r="F2672" t="s">
        <v>376</v>
      </c>
      <c r="G2672" t="s">
        <v>377</v>
      </c>
      <c r="H2672" s="75">
        <f t="shared" si="41"/>
        <v>69.362748319220188</v>
      </c>
      <c r="I2672" s="74">
        <v>45868</v>
      </c>
      <c r="J2672">
        <v>2</v>
      </c>
      <c r="K2672" t="s">
        <v>511</v>
      </c>
      <c r="L2672" t="s">
        <v>262</v>
      </c>
      <c r="M2672" t="s">
        <v>356</v>
      </c>
      <c r="N2672" s="73">
        <v>67262</v>
      </c>
      <c r="O2672" s="73">
        <v>67262</v>
      </c>
      <c r="P2672">
        <v>34.681374159610094</v>
      </c>
    </row>
    <row r="2673" spans="1:16" x14ac:dyDescent="0.2">
      <c r="A2673" s="73">
        <v>67262</v>
      </c>
      <c r="B2673" t="s">
        <v>350</v>
      </c>
      <c r="C2673" s="73" t="s">
        <v>421</v>
      </c>
      <c r="D2673" t="s">
        <v>422</v>
      </c>
      <c r="E2673" s="74">
        <v>45868</v>
      </c>
      <c r="F2673" t="s">
        <v>357</v>
      </c>
      <c r="G2673" t="s">
        <v>358</v>
      </c>
      <c r="H2673" s="75">
        <f t="shared" si="41"/>
        <v>208.08824495766055</v>
      </c>
      <c r="I2673" s="74">
        <v>45868</v>
      </c>
      <c r="J2673">
        <v>6</v>
      </c>
      <c r="K2673" t="s">
        <v>511</v>
      </c>
      <c r="L2673" t="s">
        <v>359</v>
      </c>
      <c r="M2673" t="s">
        <v>356</v>
      </c>
      <c r="N2673" s="73">
        <v>67262</v>
      </c>
      <c r="O2673" s="73">
        <v>67262</v>
      </c>
      <c r="P2673">
        <v>34.681374159610094</v>
      </c>
    </row>
    <row r="2674" spans="1:16" x14ac:dyDescent="0.2">
      <c r="A2674" s="73">
        <v>67262</v>
      </c>
      <c r="B2674" t="s">
        <v>350</v>
      </c>
      <c r="C2674" s="73" t="s">
        <v>421</v>
      </c>
      <c r="D2674" t="s">
        <v>422</v>
      </c>
      <c r="E2674" s="74">
        <v>45868</v>
      </c>
      <c r="F2674" t="s">
        <v>404</v>
      </c>
      <c r="G2674" t="s">
        <v>405</v>
      </c>
      <c r="H2674" s="75">
        <f t="shared" si="41"/>
        <v>173.40687079805048</v>
      </c>
      <c r="I2674" s="74">
        <v>45868</v>
      </c>
      <c r="J2674">
        <v>5</v>
      </c>
      <c r="K2674" t="s">
        <v>511</v>
      </c>
      <c r="L2674" t="s">
        <v>262</v>
      </c>
      <c r="M2674" t="s">
        <v>356</v>
      </c>
      <c r="N2674" s="73">
        <v>67262</v>
      </c>
      <c r="O2674" s="73">
        <v>67262</v>
      </c>
      <c r="P2674">
        <v>34.681374159610094</v>
      </c>
    </row>
    <row r="2675" spans="1:16" x14ac:dyDescent="0.2">
      <c r="A2675" s="73">
        <v>67262</v>
      </c>
      <c r="B2675" t="s">
        <v>350</v>
      </c>
      <c r="C2675" s="73" t="s">
        <v>421</v>
      </c>
      <c r="D2675" t="s">
        <v>422</v>
      </c>
      <c r="E2675" s="74">
        <v>45868</v>
      </c>
      <c r="F2675" t="s">
        <v>387</v>
      </c>
      <c r="G2675" t="s">
        <v>388</v>
      </c>
      <c r="H2675" s="75">
        <f t="shared" si="41"/>
        <v>104.04412247883027</v>
      </c>
      <c r="I2675" s="74">
        <v>45868</v>
      </c>
      <c r="J2675">
        <v>3</v>
      </c>
      <c r="K2675" t="s">
        <v>511</v>
      </c>
      <c r="L2675" t="s">
        <v>367</v>
      </c>
      <c r="M2675" t="s">
        <v>356</v>
      </c>
      <c r="N2675" s="73">
        <v>67262</v>
      </c>
      <c r="O2675" s="73">
        <v>67262</v>
      </c>
      <c r="P2675">
        <v>34.681374159610094</v>
      </c>
    </row>
    <row r="2676" spans="1:16" x14ac:dyDescent="0.2">
      <c r="A2676" s="73">
        <v>67262</v>
      </c>
      <c r="B2676" t="s">
        <v>350</v>
      </c>
      <c r="C2676" s="73" t="s">
        <v>421</v>
      </c>
      <c r="D2676" t="s">
        <v>422</v>
      </c>
      <c r="E2676" s="74">
        <v>45868</v>
      </c>
      <c r="F2676" t="s">
        <v>410</v>
      </c>
      <c r="G2676" t="s">
        <v>411</v>
      </c>
      <c r="H2676" s="75">
        <f t="shared" si="41"/>
        <v>208.08824495766055</v>
      </c>
      <c r="I2676" s="74">
        <v>45868</v>
      </c>
      <c r="J2676">
        <v>6</v>
      </c>
      <c r="K2676" t="s">
        <v>511</v>
      </c>
      <c r="L2676" t="s">
        <v>262</v>
      </c>
      <c r="M2676" t="s">
        <v>356</v>
      </c>
      <c r="N2676" s="73">
        <v>67262</v>
      </c>
      <c r="O2676" s="73">
        <v>67262</v>
      </c>
      <c r="P2676">
        <v>34.681374159610094</v>
      </c>
    </row>
    <row r="2677" spans="1:16" x14ac:dyDescent="0.2">
      <c r="A2677" s="73">
        <v>67262</v>
      </c>
      <c r="B2677" t="s">
        <v>350</v>
      </c>
      <c r="C2677" s="73" t="s">
        <v>421</v>
      </c>
      <c r="D2677" t="s">
        <v>422</v>
      </c>
      <c r="E2677" s="74">
        <v>45868</v>
      </c>
      <c r="F2677" t="s">
        <v>353</v>
      </c>
      <c r="G2677" t="s">
        <v>354</v>
      </c>
      <c r="H2677" s="75">
        <f t="shared" si="41"/>
        <v>156.06618371824541</v>
      </c>
      <c r="I2677" s="74">
        <v>45868</v>
      </c>
      <c r="J2677">
        <v>4.5</v>
      </c>
      <c r="K2677" t="s">
        <v>511</v>
      </c>
      <c r="L2677" t="s">
        <v>355</v>
      </c>
      <c r="M2677" t="s">
        <v>356</v>
      </c>
      <c r="N2677" s="73">
        <v>67262</v>
      </c>
      <c r="O2677" s="73">
        <v>67262</v>
      </c>
      <c r="P2677">
        <v>34.681374159610094</v>
      </c>
    </row>
    <row r="2678" spans="1:16" x14ac:dyDescent="0.2">
      <c r="A2678" s="73">
        <v>67262</v>
      </c>
      <c r="B2678" t="s">
        <v>350</v>
      </c>
      <c r="C2678" s="73" t="s">
        <v>421</v>
      </c>
      <c r="D2678" t="s">
        <v>422</v>
      </c>
      <c r="E2678" s="74">
        <v>45869</v>
      </c>
      <c r="F2678" t="s">
        <v>360</v>
      </c>
      <c r="G2678" t="s">
        <v>361</v>
      </c>
      <c r="H2678" s="75">
        <f t="shared" si="41"/>
        <v>208.08824495766055</v>
      </c>
      <c r="I2678" s="74">
        <v>45869</v>
      </c>
      <c r="J2678">
        <v>6</v>
      </c>
      <c r="K2678" t="s">
        <v>511</v>
      </c>
      <c r="L2678" t="s">
        <v>262</v>
      </c>
      <c r="M2678" t="s">
        <v>356</v>
      </c>
      <c r="N2678" s="73">
        <v>67262</v>
      </c>
      <c r="O2678" s="73">
        <v>67262</v>
      </c>
      <c r="P2678">
        <v>34.681374159610094</v>
      </c>
    </row>
    <row r="2679" spans="1:16" x14ac:dyDescent="0.2">
      <c r="A2679" s="73">
        <v>67262</v>
      </c>
      <c r="B2679" t="s">
        <v>350</v>
      </c>
      <c r="C2679" s="73" t="s">
        <v>421</v>
      </c>
      <c r="D2679" t="s">
        <v>422</v>
      </c>
      <c r="E2679" s="74">
        <v>45869</v>
      </c>
      <c r="F2679" t="s">
        <v>376</v>
      </c>
      <c r="G2679" t="s">
        <v>377</v>
      </c>
      <c r="H2679" s="75">
        <f t="shared" si="41"/>
        <v>138.72549663844038</v>
      </c>
      <c r="I2679" s="74">
        <v>45869</v>
      </c>
      <c r="J2679">
        <v>4</v>
      </c>
      <c r="K2679" t="s">
        <v>511</v>
      </c>
      <c r="L2679" t="s">
        <v>262</v>
      </c>
      <c r="M2679" t="s">
        <v>356</v>
      </c>
      <c r="N2679" s="73">
        <v>67262</v>
      </c>
      <c r="O2679" s="73">
        <v>67262</v>
      </c>
      <c r="P2679">
        <v>34.681374159610094</v>
      </c>
    </row>
    <row r="2680" spans="1:16" hidden="1" x14ac:dyDescent="0.2">
      <c r="A2680" s="73">
        <v>67260</v>
      </c>
      <c r="B2680" t="s">
        <v>423</v>
      </c>
      <c r="C2680" s="73" t="s">
        <v>454</v>
      </c>
      <c r="D2680" t="s">
        <v>455</v>
      </c>
      <c r="E2680" s="74">
        <v>46013</v>
      </c>
      <c r="F2680" t="s">
        <v>414</v>
      </c>
      <c r="G2680" t="s">
        <v>415</v>
      </c>
      <c r="H2680" s="75">
        <f t="shared" si="41"/>
        <v>260.11030619707572</v>
      </c>
      <c r="I2680" s="74">
        <v>46013</v>
      </c>
      <c r="J2680">
        <v>7.5</v>
      </c>
      <c r="K2680" t="s">
        <v>515</v>
      </c>
      <c r="L2680" t="s">
        <v>262</v>
      </c>
      <c r="M2680" t="s">
        <v>356</v>
      </c>
      <c r="N2680" s="73">
        <v>67260</v>
      </c>
      <c r="O2680" s="73">
        <v>67260</v>
      </c>
      <c r="P2680">
        <v>34.681374159610094</v>
      </c>
    </row>
    <row r="2681" spans="1:16" x14ac:dyDescent="0.2">
      <c r="A2681" s="73">
        <v>67262</v>
      </c>
      <c r="B2681" t="s">
        <v>350</v>
      </c>
      <c r="C2681" s="73" t="s">
        <v>421</v>
      </c>
      <c r="D2681" t="s">
        <v>422</v>
      </c>
      <c r="E2681" s="74">
        <v>45869</v>
      </c>
      <c r="F2681" t="s">
        <v>357</v>
      </c>
      <c r="G2681" t="s">
        <v>358</v>
      </c>
      <c r="H2681" s="75">
        <f t="shared" si="41"/>
        <v>208.08824495766055</v>
      </c>
      <c r="I2681" s="74">
        <v>45869</v>
      </c>
      <c r="J2681">
        <v>6</v>
      </c>
      <c r="K2681" t="s">
        <v>511</v>
      </c>
      <c r="L2681" t="s">
        <v>359</v>
      </c>
      <c r="M2681" t="s">
        <v>356</v>
      </c>
      <c r="N2681" s="73">
        <v>67262</v>
      </c>
      <c r="O2681" s="73">
        <v>67262</v>
      </c>
      <c r="P2681">
        <v>34.681374159610094</v>
      </c>
    </row>
    <row r="2682" spans="1:16" x14ac:dyDescent="0.2">
      <c r="A2682" s="73">
        <v>67262</v>
      </c>
      <c r="B2682" t="s">
        <v>350</v>
      </c>
      <c r="C2682" s="73" t="s">
        <v>421</v>
      </c>
      <c r="D2682" t="s">
        <v>422</v>
      </c>
      <c r="E2682" s="74">
        <v>45869</v>
      </c>
      <c r="F2682" t="s">
        <v>404</v>
      </c>
      <c r="G2682" t="s">
        <v>405</v>
      </c>
      <c r="H2682" s="75">
        <f t="shared" si="41"/>
        <v>138.72549663844038</v>
      </c>
      <c r="I2682" s="74">
        <v>45869</v>
      </c>
      <c r="J2682">
        <v>4</v>
      </c>
      <c r="K2682" t="s">
        <v>511</v>
      </c>
      <c r="L2682" t="s">
        <v>262</v>
      </c>
      <c r="M2682" t="s">
        <v>356</v>
      </c>
      <c r="N2682" s="73">
        <v>67262</v>
      </c>
      <c r="O2682" s="73">
        <v>67262</v>
      </c>
      <c r="P2682">
        <v>34.681374159610094</v>
      </c>
    </row>
    <row r="2683" spans="1:16" x14ac:dyDescent="0.2">
      <c r="A2683" s="73">
        <v>67262</v>
      </c>
      <c r="B2683" t="s">
        <v>350</v>
      </c>
      <c r="C2683" s="73" t="s">
        <v>421</v>
      </c>
      <c r="D2683" t="s">
        <v>422</v>
      </c>
      <c r="E2683" s="74">
        <v>45869</v>
      </c>
      <c r="F2683" t="s">
        <v>387</v>
      </c>
      <c r="G2683" t="s">
        <v>388</v>
      </c>
      <c r="H2683" s="75">
        <f t="shared" si="41"/>
        <v>104.04412247883027</v>
      </c>
      <c r="I2683" s="74">
        <v>45869</v>
      </c>
      <c r="J2683">
        <v>3</v>
      </c>
      <c r="K2683" t="s">
        <v>511</v>
      </c>
      <c r="L2683" t="s">
        <v>367</v>
      </c>
      <c r="M2683" t="s">
        <v>356</v>
      </c>
      <c r="N2683" s="73">
        <v>67262</v>
      </c>
      <c r="O2683" s="73">
        <v>67262</v>
      </c>
      <c r="P2683">
        <v>34.681374159610094</v>
      </c>
    </row>
    <row r="2684" spans="1:16" x14ac:dyDescent="0.2">
      <c r="A2684" s="73">
        <v>67262</v>
      </c>
      <c r="B2684" t="s">
        <v>350</v>
      </c>
      <c r="C2684" s="73" t="s">
        <v>421</v>
      </c>
      <c r="D2684" t="s">
        <v>422</v>
      </c>
      <c r="E2684" s="74">
        <v>45869</v>
      </c>
      <c r="F2684" t="s">
        <v>410</v>
      </c>
      <c r="G2684" t="s">
        <v>411</v>
      </c>
      <c r="H2684" s="75">
        <f t="shared" si="41"/>
        <v>208.08824495766055</v>
      </c>
      <c r="I2684" s="74">
        <v>45869</v>
      </c>
      <c r="J2684">
        <v>6</v>
      </c>
      <c r="K2684" t="s">
        <v>511</v>
      </c>
      <c r="L2684" t="s">
        <v>262</v>
      </c>
      <c r="M2684" t="s">
        <v>356</v>
      </c>
      <c r="N2684" s="73">
        <v>67262</v>
      </c>
      <c r="O2684" s="73">
        <v>67262</v>
      </c>
      <c r="P2684">
        <v>34.681374159610094</v>
      </c>
    </row>
    <row r="2685" spans="1:16" x14ac:dyDescent="0.2">
      <c r="A2685" s="73">
        <v>67262</v>
      </c>
      <c r="B2685" t="s">
        <v>350</v>
      </c>
      <c r="C2685" s="73" t="s">
        <v>421</v>
      </c>
      <c r="D2685" t="s">
        <v>422</v>
      </c>
      <c r="E2685" s="74">
        <v>45869</v>
      </c>
      <c r="F2685" t="s">
        <v>353</v>
      </c>
      <c r="G2685" t="s">
        <v>354</v>
      </c>
      <c r="H2685" s="75">
        <f t="shared" si="41"/>
        <v>156.06618371824541</v>
      </c>
      <c r="I2685" s="74">
        <v>45869</v>
      </c>
      <c r="J2685">
        <v>4.5</v>
      </c>
      <c r="K2685" t="s">
        <v>511</v>
      </c>
      <c r="L2685" t="s">
        <v>355</v>
      </c>
      <c r="M2685" t="s">
        <v>356</v>
      </c>
      <c r="N2685" s="73">
        <v>67262</v>
      </c>
      <c r="O2685" s="73">
        <v>67262</v>
      </c>
      <c r="P2685">
        <v>34.681374159610094</v>
      </c>
    </row>
    <row r="2686" spans="1:16" x14ac:dyDescent="0.2">
      <c r="A2686" s="73">
        <v>67262</v>
      </c>
      <c r="B2686" t="s">
        <v>350</v>
      </c>
      <c r="C2686" s="73" t="s">
        <v>421</v>
      </c>
      <c r="D2686" t="s">
        <v>422</v>
      </c>
      <c r="E2686" s="74">
        <v>45870</v>
      </c>
      <c r="F2686" t="s">
        <v>360</v>
      </c>
      <c r="G2686" t="s">
        <v>361</v>
      </c>
      <c r="H2686" s="75">
        <f t="shared" si="41"/>
        <v>173.40687079805048</v>
      </c>
      <c r="I2686" s="74">
        <v>45870</v>
      </c>
      <c r="J2686">
        <v>5</v>
      </c>
      <c r="K2686" t="s">
        <v>288</v>
      </c>
      <c r="L2686" t="s">
        <v>262</v>
      </c>
      <c r="M2686" t="s">
        <v>356</v>
      </c>
      <c r="N2686" s="73">
        <v>67262</v>
      </c>
      <c r="O2686" s="73">
        <v>67262</v>
      </c>
      <c r="P2686">
        <v>34.681374159610094</v>
      </c>
    </row>
    <row r="2687" spans="1:16" x14ac:dyDescent="0.2">
      <c r="A2687" s="73">
        <v>67262</v>
      </c>
      <c r="B2687" t="s">
        <v>350</v>
      </c>
      <c r="C2687" s="73" t="s">
        <v>421</v>
      </c>
      <c r="D2687" t="s">
        <v>422</v>
      </c>
      <c r="E2687" s="74">
        <v>45870</v>
      </c>
      <c r="F2687" t="s">
        <v>376</v>
      </c>
      <c r="G2687" t="s">
        <v>377</v>
      </c>
      <c r="H2687" s="75">
        <f t="shared" si="41"/>
        <v>138.72549663844038</v>
      </c>
      <c r="I2687" s="74">
        <v>45870</v>
      </c>
      <c r="J2687">
        <v>4</v>
      </c>
      <c r="K2687" t="s">
        <v>288</v>
      </c>
      <c r="L2687" t="s">
        <v>262</v>
      </c>
      <c r="M2687" t="s">
        <v>356</v>
      </c>
      <c r="N2687" s="73">
        <v>67262</v>
      </c>
      <c r="O2687" s="73">
        <v>67262</v>
      </c>
      <c r="P2687">
        <v>34.681374159610094</v>
      </c>
    </row>
    <row r="2688" spans="1:16" x14ac:dyDescent="0.2">
      <c r="A2688" s="73">
        <v>67262</v>
      </c>
      <c r="B2688" t="s">
        <v>350</v>
      </c>
      <c r="C2688" s="73" t="s">
        <v>421</v>
      </c>
      <c r="D2688" t="s">
        <v>422</v>
      </c>
      <c r="E2688" s="74">
        <v>45870</v>
      </c>
      <c r="F2688" t="s">
        <v>357</v>
      </c>
      <c r="G2688" t="s">
        <v>358</v>
      </c>
      <c r="H2688" s="75">
        <f t="shared" si="41"/>
        <v>208.08824495766055</v>
      </c>
      <c r="I2688" s="74">
        <v>45870</v>
      </c>
      <c r="J2688">
        <v>6</v>
      </c>
      <c r="K2688" t="s">
        <v>288</v>
      </c>
      <c r="L2688" t="s">
        <v>359</v>
      </c>
      <c r="M2688" t="s">
        <v>356</v>
      </c>
      <c r="N2688" s="73">
        <v>67262</v>
      </c>
      <c r="O2688" s="73">
        <v>67262</v>
      </c>
      <c r="P2688">
        <v>34.681374159610094</v>
      </c>
    </row>
    <row r="2689" spans="1:16" x14ac:dyDescent="0.2">
      <c r="A2689" s="73">
        <v>67262</v>
      </c>
      <c r="B2689" t="s">
        <v>350</v>
      </c>
      <c r="C2689" s="73" t="s">
        <v>421</v>
      </c>
      <c r="D2689" t="s">
        <v>422</v>
      </c>
      <c r="E2689" s="74">
        <v>45870</v>
      </c>
      <c r="F2689" t="s">
        <v>404</v>
      </c>
      <c r="G2689" t="s">
        <v>405</v>
      </c>
      <c r="H2689" s="75">
        <f t="shared" si="41"/>
        <v>138.72549663844038</v>
      </c>
      <c r="I2689" s="74">
        <v>45870</v>
      </c>
      <c r="J2689">
        <v>4</v>
      </c>
      <c r="K2689" t="s">
        <v>288</v>
      </c>
      <c r="L2689" t="s">
        <v>262</v>
      </c>
      <c r="M2689" t="s">
        <v>356</v>
      </c>
      <c r="N2689" s="73">
        <v>67262</v>
      </c>
      <c r="O2689" s="73">
        <v>67262</v>
      </c>
      <c r="P2689">
        <v>34.681374159610094</v>
      </c>
    </row>
    <row r="2690" spans="1:16" x14ac:dyDescent="0.2">
      <c r="A2690" s="73">
        <v>67262</v>
      </c>
      <c r="B2690" t="s">
        <v>350</v>
      </c>
      <c r="C2690" s="73" t="s">
        <v>421</v>
      </c>
      <c r="D2690" t="s">
        <v>422</v>
      </c>
      <c r="E2690" s="74">
        <v>45870</v>
      </c>
      <c r="F2690" t="s">
        <v>387</v>
      </c>
      <c r="G2690" t="s">
        <v>388</v>
      </c>
      <c r="H2690" s="75">
        <f t="shared" ref="H2690:H2753" si="42">J2690*P2690</f>
        <v>69.362748319220188</v>
      </c>
      <c r="I2690" s="74">
        <v>45870</v>
      </c>
      <c r="J2690">
        <v>2</v>
      </c>
      <c r="K2690" t="s">
        <v>288</v>
      </c>
      <c r="L2690" t="s">
        <v>367</v>
      </c>
      <c r="M2690" t="s">
        <v>356</v>
      </c>
      <c r="N2690" s="73">
        <v>67262</v>
      </c>
      <c r="O2690" s="73">
        <v>67262</v>
      </c>
      <c r="P2690">
        <v>34.681374159610094</v>
      </c>
    </row>
    <row r="2691" spans="1:16" x14ac:dyDescent="0.2">
      <c r="A2691" s="73">
        <v>67262</v>
      </c>
      <c r="B2691" t="s">
        <v>350</v>
      </c>
      <c r="C2691" s="73" t="s">
        <v>421</v>
      </c>
      <c r="D2691" t="s">
        <v>422</v>
      </c>
      <c r="E2691" s="74">
        <v>45870</v>
      </c>
      <c r="F2691" t="s">
        <v>410</v>
      </c>
      <c r="G2691" t="s">
        <v>411</v>
      </c>
      <c r="H2691" s="75">
        <f t="shared" si="42"/>
        <v>208.08824495766055</v>
      </c>
      <c r="I2691" s="74">
        <v>45870</v>
      </c>
      <c r="J2691">
        <v>6</v>
      </c>
      <c r="K2691" t="s">
        <v>288</v>
      </c>
      <c r="L2691" t="s">
        <v>262</v>
      </c>
      <c r="M2691" t="s">
        <v>356</v>
      </c>
      <c r="N2691" s="73">
        <v>67262</v>
      </c>
      <c r="O2691" s="73">
        <v>67262</v>
      </c>
      <c r="P2691">
        <v>34.681374159610094</v>
      </c>
    </row>
    <row r="2692" spans="1:16" x14ac:dyDescent="0.2">
      <c r="A2692" s="73">
        <v>67262</v>
      </c>
      <c r="B2692" t="s">
        <v>350</v>
      </c>
      <c r="C2692" s="73" t="s">
        <v>421</v>
      </c>
      <c r="D2692" t="s">
        <v>422</v>
      </c>
      <c r="E2692" s="74">
        <v>45873</v>
      </c>
      <c r="F2692" t="s">
        <v>410</v>
      </c>
      <c r="G2692" t="s">
        <v>411</v>
      </c>
      <c r="H2692" s="75">
        <f t="shared" si="42"/>
        <v>242.76961911727065</v>
      </c>
      <c r="I2692" s="74">
        <v>45873</v>
      </c>
      <c r="J2692">
        <v>7</v>
      </c>
      <c r="K2692" t="s">
        <v>288</v>
      </c>
      <c r="L2692" t="s">
        <v>262</v>
      </c>
      <c r="M2692" t="s">
        <v>356</v>
      </c>
      <c r="N2692" s="73">
        <v>67262</v>
      </c>
      <c r="O2692" s="73">
        <v>67262</v>
      </c>
      <c r="P2692">
        <v>34.681374159610094</v>
      </c>
    </row>
    <row r="2693" spans="1:16" x14ac:dyDescent="0.2">
      <c r="A2693" s="73">
        <v>67262</v>
      </c>
      <c r="B2693" t="s">
        <v>350</v>
      </c>
      <c r="C2693" s="73" t="s">
        <v>421</v>
      </c>
      <c r="D2693" t="s">
        <v>422</v>
      </c>
      <c r="E2693" s="74">
        <v>45873</v>
      </c>
      <c r="F2693" t="s">
        <v>404</v>
      </c>
      <c r="G2693" t="s">
        <v>405</v>
      </c>
      <c r="H2693" s="75">
        <f t="shared" si="42"/>
        <v>138.72549663844038</v>
      </c>
      <c r="I2693" s="74">
        <v>45873</v>
      </c>
      <c r="J2693">
        <v>4</v>
      </c>
      <c r="K2693" t="s">
        <v>288</v>
      </c>
      <c r="L2693" t="s">
        <v>262</v>
      </c>
      <c r="M2693" t="s">
        <v>356</v>
      </c>
      <c r="N2693" s="73">
        <v>67262</v>
      </c>
      <c r="O2693" s="73">
        <v>67262</v>
      </c>
      <c r="P2693">
        <v>34.681374159610094</v>
      </c>
    </row>
    <row r="2694" spans="1:16" x14ac:dyDescent="0.2">
      <c r="A2694" s="73">
        <v>67262</v>
      </c>
      <c r="B2694" t="s">
        <v>350</v>
      </c>
      <c r="C2694" s="73" t="s">
        <v>421</v>
      </c>
      <c r="D2694" t="s">
        <v>422</v>
      </c>
      <c r="E2694" s="74">
        <v>45873</v>
      </c>
      <c r="F2694" t="s">
        <v>395</v>
      </c>
      <c r="G2694" t="s">
        <v>396</v>
      </c>
      <c r="H2694" s="75">
        <f t="shared" si="42"/>
        <v>208.08824495766055</v>
      </c>
      <c r="I2694" s="74">
        <v>45873</v>
      </c>
      <c r="J2694">
        <v>6</v>
      </c>
      <c r="K2694" t="s">
        <v>288</v>
      </c>
      <c r="L2694" t="s">
        <v>262</v>
      </c>
      <c r="M2694" t="s">
        <v>356</v>
      </c>
      <c r="N2694" s="73">
        <v>67262</v>
      </c>
      <c r="O2694" s="73">
        <v>67262</v>
      </c>
      <c r="P2694">
        <v>34.681374159610094</v>
      </c>
    </row>
    <row r="2695" spans="1:16" hidden="1" x14ac:dyDescent="0.2">
      <c r="A2695" s="73">
        <v>67260</v>
      </c>
      <c r="B2695" t="s">
        <v>423</v>
      </c>
      <c r="C2695" s="73" t="s">
        <v>454</v>
      </c>
      <c r="D2695" t="s">
        <v>455</v>
      </c>
      <c r="E2695" s="74">
        <v>46014</v>
      </c>
      <c r="F2695" t="s">
        <v>414</v>
      </c>
      <c r="G2695" t="s">
        <v>415</v>
      </c>
      <c r="H2695" s="75">
        <f t="shared" si="42"/>
        <v>260.11030619707572</v>
      </c>
      <c r="I2695" s="74">
        <v>46014</v>
      </c>
      <c r="J2695">
        <v>7.5</v>
      </c>
      <c r="K2695" t="s">
        <v>515</v>
      </c>
      <c r="L2695" t="s">
        <v>262</v>
      </c>
      <c r="M2695" t="s">
        <v>356</v>
      </c>
      <c r="N2695" s="73">
        <v>67260</v>
      </c>
      <c r="O2695" s="73">
        <v>67260</v>
      </c>
      <c r="P2695">
        <v>34.681374159610094</v>
      </c>
    </row>
    <row r="2696" spans="1:16" x14ac:dyDescent="0.2">
      <c r="A2696" s="73">
        <v>67262</v>
      </c>
      <c r="B2696" t="s">
        <v>350</v>
      </c>
      <c r="C2696" s="73" t="s">
        <v>421</v>
      </c>
      <c r="D2696" t="s">
        <v>422</v>
      </c>
      <c r="E2696" s="74">
        <v>45874</v>
      </c>
      <c r="F2696" t="s">
        <v>410</v>
      </c>
      <c r="G2696" t="s">
        <v>411</v>
      </c>
      <c r="H2696" s="75">
        <f t="shared" si="42"/>
        <v>242.76961911727065</v>
      </c>
      <c r="I2696" s="74">
        <v>45874</v>
      </c>
      <c r="J2696">
        <v>7</v>
      </c>
      <c r="K2696" t="s">
        <v>288</v>
      </c>
      <c r="L2696" t="s">
        <v>262</v>
      </c>
      <c r="M2696" t="s">
        <v>356</v>
      </c>
      <c r="N2696" s="73">
        <v>67262</v>
      </c>
      <c r="O2696" s="73">
        <v>67262</v>
      </c>
      <c r="P2696">
        <v>34.681374159610094</v>
      </c>
    </row>
    <row r="2697" spans="1:16" x14ac:dyDescent="0.2">
      <c r="A2697" s="73">
        <v>67262</v>
      </c>
      <c r="B2697" t="s">
        <v>350</v>
      </c>
      <c r="C2697" s="73" t="s">
        <v>421</v>
      </c>
      <c r="D2697" t="s">
        <v>422</v>
      </c>
      <c r="E2697" s="74">
        <v>45874</v>
      </c>
      <c r="F2697" t="s">
        <v>398</v>
      </c>
      <c r="G2697" t="s">
        <v>399</v>
      </c>
      <c r="H2697" s="75">
        <f t="shared" si="42"/>
        <v>208.08824495766055</v>
      </c>
      <c r="I2697" s="74">
        <v>45874</v>
      </c>
      <c r="J2697">
        <v>6</v>
      </c>
      <c r="K2697" t="s">
        <v>288</v>
      </c>
      <c r="L2697" t="s">
        <v>367</v>
      </c>
      <c r="M2697" t="s">
        <v>356</v>
      </c>
      <c r="N2697" s="73">
        <v>67262</v>
      </c>
      <c r="O2697" s="73">
        <v>67262</v>
      </c>
      <c r="P2697">
        <v>34.681374159610094</v>
      </c>
    </row>
    <row r="2698" spans="1:16" x14ac:dyDescent="0.2">
      <c r="A2698" s="73">
        <v>67262</v>
      </c>
      <c r="B2698" t="s">
        <v>350</v>
      </c>
      <c r="C2698" s="73" t="s">
        <v>421</v>
      </c>
      <c r="D2698" t="s">
        <v>422</v>
      </c>
      <c r="E2698" s="74">
        <v>45874</v>
      </c>
      <c r="F2698" t="s">
        <v>404</v>
      </c>
      <c r="G2698" t="s">
        <v>405</v>
      </c>
      <c r="H2698" s="75">
        <f t="shared" si="42"/>
        <v>104.04412247883027</v>
      </c>
      <c r="I2698" s="74">
        <v>45874</v>
      </c>
      <c r="J2698">
        <v>3</v>
      </c>
      <c r="K2698" t="s">
        <v>288</v>
      </c>
      <c r="L2698" t="s">
        <v>262</v>
      </c>
      <c r="M2698" t="s">
        <v>356</v>
      </c>
      <c r="N2698" s="73">
        <v>67262</v>
      </c>
      <c r="O2698" s="73">
        <v>67262</v>
      </c>
      <c r="P2698">
        <v>34.681374159610094</v>
      </c>
    </row>
    <row r="2699" spans="1:16" x14ac:dyDescent="0.2">
      <c r="A2699" s="73">
        <v>67262</v>
      </c>
      <c r="B2699" t="s">
        <v>350</v>
      </c>
      <c r="C2699" s="73" t="s">
        <v>421</v>
      </c>
      <c r="D2699" t="s">
        <v>422</v>
      </c>
      <c r="E2699" s="74">
        <v>45874</v>
      </c>
      <c r="F2699" t="s">
        <v>353</v>
      </c>
      <c r="G2699" t="s">
        <v>354</v>
      </c>
      <c r="H2699" s="75">
        <f t="shared" si="42"/>
        <v>190.74755787785551</v>
      </c>
      <c r="I2699" s="74">
        <v>45874</v>
      </c>
      <c r="J2699">
        <v>5.5</v>
      </c>
      <c r="K2699" t="s">
        <v>288</v>
      </c>
      <c r="L2699" t="s">
        <v>355</v>
      </c>
      <c r="M2699" t="s">
        <v>356</v>
      </c>
      <c r="N2699" s="73">
        <v>67262</v>
      </c>
      <c r="O2699" s="73">
        <v>67262</v>
      </c>
      <c r="P2699">
        <v>34.681374159610094</v>
      </c>
    </row>
    <row r="2700" spans="1:16" x14ac:dyDescent="0.2">
      <c r="A2700" s="73">
        <v>67262</v>
      </c>
      <c r="B2700" t="s">
        <v>350</v>
      </c>
      <c r="C2700" s="73" t="s">
        <v>421</v>
      </c>
      <c r="D2700" t="s">
        <v>422</v>
      </c>
      <c r="E2700" s="74">
        <v>45873</v>
      </c>
      <c r="F2700" t="s">
        <v>360</v>
      </c>
      <c r="G2700" t="s">
        <v>361</v>
      </c>
      <c r="H2700" s="75">
        <f t="shared" si="42"/>
        <v>242.76961911727065</v>
      </c>
      <c r="I2700" s="74">
        <v>45873</v>
      </c>
      <c r="J2700">
        <v>7</v>
      </c>
      <c r="K2700" t="s">
        <v>288</v>
      </c>
      <c r="L2700" t="s">
        <v>262</v>
      </c>
      <c r="M2700" t="s">
        <v>356</v>
      </c>
      <c r="N2700" s="73">
        <v>67262</v>
      </c>
      <c r="O2700" s="73">
        <v>67262</v>
      </c>
      <c r="P2700">
        <v>34.681374159610094</v>
      </c>
    </row>
    <row r="2701" spans="1:16" x14ac:dyDescent="0.2">
      <c r="A2701" s="73">
        <v>67262</v>
      </c>
      <c r="B2701" t="s">
        <v>350</v>
      </c>
      <c r="C2701" s="73" t="s">
        <v>421</v>
      </c>
      <c r="D2701" t="s">
        <v>422</v>
      </c>
      <c r="E2701" s="74">
        <v>45873</v>
      </c>
      <c r="F2701" t="s">
        <v>387</v>
      </c>
      <c r="G2701" t="s">
        <v>388</v>
      </c>
      <c r="H2701" s="75">
        <f t="shared" si="42"/>
        <v>104.04412247883027</v>
      </c>
      <c r="I2701" s="74">
        <v>45873</v>
      </c>
      <c r="J2701">
        <v>3</v>
      </c>
      <c r="K2701" t="s">
        <v>288</v>
      </c>
      <c r="L2701" t="s">
        <v>367</v>
      </c>
      <c r="M2701" t="s">
        <v>356</v>
      </c>
      <c r="N2701" s="73">
        <v>67262</v>
      </c>
      <c r="O2701" s="73">
        <v>67262</v>
      </c>
      <c r="P2701">
        <v>34.681374159610094</v>
      </c>
    </row>
    <row r="2702" spans="1:16" x14ac:dyDescent="0.2">
      <c r="A2702" s="73">
        <v>67262</v>
      </c>
      <c r="B2702" t="s">
        <v>350</v>
      </c>
      <c r="C2702" s="73" t="s">
        <v>421</v>
      </c>
      <c r="D2702" t="s">
        <v>422</v>
      </c>
      <c r="E2702" s="74">
        <v>45874</v>
      </c>
      <c r="F2702" t="s">
        <v>395</v>
      </c>
      <c r="G2702" t="s">
        <v>396</v>
      </c>
      <c r="H2702" s="75">
        <f t="shared" si="42"/>
        <v>208.08824495766055</v>
      </c>
      <c r="I2702" s="74">
        <v>45874</v>
      </c>
      <c r="J2702">
        <v>6</v>
      </c>
      <c r="K2702" t="s">
        <v>288</v>
      </c>
      <c r="L2702" t="s">
        <v>262</v>
      </c>
      <c r="M2702" t="s">
        <v>356</v>
      </c>
      <c r="N2702" s="73">
        <v>67262</v>
      </c>
      <c r="O2702" s="73">
        <v>67262</v>
      </c>
      <c r="P2702">
        <v>34.681374159610094</v>
      </c>
    </row>
    <row r="2703" spans="1:16" x14ac:dyDescent="0.2">
      <c r="A2703" s="73">
        <v>67262</v>
      </c>
      <c r="B2703" t="s">
        <v>350</v>
      </c>
      <c r="C2703" s="73" t="s">
        <v>421</v>
      </c>
      <c r="D2703" t="s">
        <v>422</v>
      </c>
      <c r="E2703" s="74">
        <v>45875</v>
      </c>
      <c r="F2703" t="s">
        <v>410</v>
      </c>
      <c r="G2703" t="s">
        <v>411</v>
      </c>
      <c r="H2703" s="75">
        <f t="shared" si="42"/>
        <v>242.76961911727065</v>
      </c>
      <c r="I2703" s="74">
        <v>45875</v>
      </c>
      <c r="J2703">
        <v>7</v>
      </c>
      <c r="K2703" t="s">
        <v>288</v>
      </c>
      <c r="L2703" t="s">
        <v>262</v>
      </c>
      <c r="M2703" t="s">
        <v>356</v>
      </c>
      <c r="N2703" s="73">
        <v>67262</v>
      </c>
      <c r="O2703" s="73">
        <v>67262</v>
      </c>
      <c r="P2703">
        <v>34.681374159610094</v>
      </c>
    </row>
    <row r="2704" spans="1:16" x14ac:dyDescent="0.2">
      <c r="A2704" s="73">
        <v>67262</v>
      </c>
      <c r="B2704" t="s">
        <v>350</v>
      </c>
      <c r="C2704" s="73" t="s">
        <v>421</v>
      </c>
      <c r="D2704" t="s">
        <v>422</v>
      </c>
      <c r="E2704" s="74">
        <v>45875</v>
      </c>
      <c r="F2704" t="s">
        <v>398</v>
      </c>
      <c r="G2704" t="s">
        <v>399</v>
      </c>
      <c r="H2704" s="75">
        <f t="shared" si="42"/>
        <v>208.08824495766055</v>
      </c>
      <c r="I2704" s="74">
        <v>45875</v>
      </c>
      <c r="J2704">
        <v>6</v>
      </c>
      <c r="K2704" t="s">
        <v>288</v>
      </c>
      <c r="L2704" t="s">
        <v>367</v>
      </c>
      <c r="M2704" t="s">
        <v>356</v>
      </c>
      <c r="N2704" s="73">
        <v>67262</v>
      </c>
      <c r="O2704" s="73">
        <v>67262</v>
      </c>
      <c r="P2704">
        <v>34.681374159610094</v>
      </c>
    </row>
    <row r="2705" spans="1:16" x14ac:dyDescent="0.2">
      <c r="A2705" s="73">
        <v>67262</v>
      </c>
      <c r="B2705" t="s">
        <v>350</v>
      </c>
      <c r="C2705" s="73" t="s">
        <v>421</v>
      </c>
      <c r="D2705" t="s">
        <v>422</v>
      </c>
      <c r="E2705" s="74">
        <v>45875</v>
      </c>
      <c r="F2705" t="s">
        <v>404</v>
      </c>
      <c r="G2705" t="s">
        <v>405</v>
      </c>
      <c r="H2705" s="75">
        <f t="shared" si="42"/>
        <v>138.72549663844038</v>
      </c>
      <c r="I2705" s="74">
        <v>45875</v>
      </c>
      <c r="J2705">
        <v>4</v>
      </c>
      <c r="K2705" t="s">
        <v>288</v>
      </c>
      <c r="L2705" t="s">
        <v>262</v>
      </c>
      <c r="M2705" t="s">
        <v>356</v>
      </c>
      <c r="N2705" s="73">
        <v>67262</v>
      </c>
      <c r="O2705" s="73">
        <v>67262</v>
      </c>
      <c r="P2705">
        <v>34.681374159610094</v>
      </c>
    </row>
    <row r="2706" spans="1:16" x14ac:dyDescent="0.2">
      <c r="A2706" s="73">
        <v>67262</v>
      </c>
      <c r="B2706" t="s">
        <v>350</v>
      </c>
      <c r="C2706" s="73" t="s">
        <v>421</v>
      </c>
      <c r="D2706" t="s">
        <v>422</v>
      </c>
      <c r="E2706" s="74">
        <v>45875</v>
      </c>
      <c r="F2706" t="s">
        <v>353</v>
      </c>
      <c r="G2706" t="s">
        <v>354</v>
      </c>
      <c r="H2706" s="75">
        <f t="shared" si="42"/>
        <v>190.74755787785551</v>
      </c>
      <c r="I2706" s="74">
        <v>45875</v>
      </c>
      <c r="J2706">
        <v>5.5</v>
      </c>
      <c r="K2706" t="s">
        <v>288</v>
      </c>
      <c r="L2706" t="s">
        <v>355</v>
      </c>
      <c r="M2706" t="s">
        <v>356</v>
      </c>
      <c r="N2706" s="73">
        <v>67262</v>
      </c>
      <c r="O2706" s="73">
        <v>67262</v>
      </c>
      <c r="P2706">
        <v>34.681374159610094</v>
      </c>
    </row>
    <row r="2707" spans="1:16" hidden="1" x14ac:dyDescent="0.2">
      <c r="A2707" s="73">
        <v>67260</v>
      </c>
      <c r="B2707" t="s">
        <v>423</v>
      </c>
      <c r="C2707" s="73" t="s">
        <v>454</v>
      </c>
      <c r="D2707" t="s">
        <v>455</v>
      </c>
      <c r="E2707" s="74">
        <v>46027</v>
      </c>
      <c r="F2707" t="s">
        <v>414</v>
      </c>
      <c r="G2707" t="s">
        <v>415</v>
      </c>
      <c r="H2707" s="75">
        <f t="shared" si="42"/>
        <v>260.11030619707572</v>
      </c>
      <c r="I2707" s="74">
        <v>46027</v>
      </c>
      <c r="J2707">
        <v>7.5</v>
      </c>
      <c r="K2707" t="s">
        <v>516</v>
      </c>
      <c r="L2707" t="s">
        <v>262</v>
      </c>
      <c r="M2707" t="s">
        <v>356</v>
      </c>
      <c r="N2707" s="73">
        <v>67260</v>
      </c>
      <c r="O2707" s="73">
        <v>67260</v>
      </c>
      <c r="P2707">
        <v>34.681374159610094</v>
      </c>
    </row>
    <row r="2708" spans="1:16" x14ac:dyDescent="0.2">
      <c r="A2708" s="73">
        <v>67262</v>
      </c>
      <c r="B2708" t="s">
        <v>350</v>
      </c>
      <c r="C2708" s="73" t="s">
        <v>421</v>
      </c>
      <c r="D2708" t="s">
        <v>422</v>
      </c>
      <c r="E2708" s="74">
        <v>45875</v>
      </c>
      <c r="F2708" t="s">
        <v>360</v>
      </c>
      <c r="G2708" t="s">
        <v>361</v>
      </c>
      <c r="H2708" s="75">
        <f t="shared" si="42"/>
        <v>242.76961911727065</v>
      </c>
      <c r="I2708" s="74">
        <v>45875</v>
      </c>
      <c r="J2708">
        <v>7</v>
      </c>
      <c r="K2708" t="s">
        <v>288</v>
      </c>
      <c r="L2708" t="s">
        <v>262</v>
      </c>
      <c r="M2708" t="s">
        <v>356</v>
      </c>
      <c r="N2708" s="73">
        <v>67262</v>
      </c>
      <c r="O2708" s="73">
        <v>67262</v>
      </c>
      <c r="P2708">
        <v>34.681374159610094</v>
      </c>
    </row>
    <row r="2709" spans="1:16" x14ac:dyDescent="0.2">
      <c r="A2709" s="73">
        <v>67262</v>
      </c>
      <c r="B2709" t="s">
        <v>350</v>
      </c>
      <c r="C2709" s="73" t="s">
        <v>421</v>
      </c>
      <c r="D2709" t="s">
        <v>422</v>
      </c>
      <c r="E2709" s="74">
        <v>45876</v>
      </c>
      <c r="F2709" t="s">
        <v>410</v>
      </c>
      <c r="G2709" t="s">
        <v>411</v>
      </c>
      <c r="H2709" s="75">
        <f t="shared" si="42"/>
        <v>208.08824495766055</v>
      </c>
      <c r="I2709" s="74">
        <v>45876</v>
      </c>
      <c r="J2709">
        <v>6</v>
      </c>
      <c r="K2709" t="s">
        <v>288</v>
      </c>
      <c r="L2709" t="s">
        <v>262</v>
      </c>
      <c r="M2709" t="s">
        <v>356</v>
      </c>
      <c r="N2709" s="73">
        <v>67262</v>
      </c>
      <c r="O2709" s="73">
        <v>67262</v>
      </c>
      <c r="P2709">
        <v>34.681374159610094</v>
      </c>
    </row>
    <row r="2710" spans="1:16" x14ac:dyDescent="0.2">
      <c r="A2710" s="73">
        <v>67262</v>
      </c>
      <c r="B2710" t="s">
        <v>350</v>
      </c>
      <c r="C2710" s="73" t="s">
        <v>421</v>
      </c>
      <c r="D2710" t="s">
        <v>422</v>
      </c>
      <c r="E2710" s="74">
        <v>45876</v>
      </c>
      <c r="F2710" t="s">
        <v>398</v>
      </c>
      <c r="G2710" t="s">
        <v>399</v>
      </c>
      <c r="H2710" s="75">
        <f t="shared" si="42"/>
        <v>208.08824495766055</v>
      </c>
      <c r="I2710" s="74">
        <v>45876</v>
      </c>
      <c r="J2710">
        <v>6</v>
      </c>
      <c r="K2710" t="s">
        <v>288</v>
      </c>
      <c r="L2710" t="s">
        <v>367</v>
      </c>
      <c r="M2710" t="s">
        <v>356</v>
      </c>
      <c r="N2710" s="73">
        <v>67262</v>
      </c>
      <c r="O2710" s="73">
        <v>67262</v>
      </c>
      <c r="P2710">
        <v>34.681374159610094</v>
      </c>
    </row>
    <row r="2711" spans="1:16" x14ac:dyDescent="0.2">
      <c r="A2711" s="73">
        <v>67262</v>
      </c>
      <c r="B2711" t="s">
        <v>350</v>
      </c>
      <c r="C2711" s="73" t="s">
        <v>421</v>
      </c>
      <c r="D2711" t="s">
        <v>422</v>
      </c>
      <c r="E2711" s="74">
        <v>45876</v>
      </c>
      <c r="F2711" t="s">
        <v>404</v>
      </c>
      <c r="G2711" t="s">
        <v>405</v>
      </c>
      <c r="H2711" s="75">
        <f t="shared" si="42"/>
        <v>138.72549663844038</v>
      </c>
      <c r="I2711" s="74">
        <v>45876</v>
      </c>
      <c r="J2711">
        <v>4</v>
      </c>
      <c r="K2711" t="s">
        <v>288</v>
      </c>
      <c r="L2711" t="s">
        <v>262</v>
      </c>
      <c r="M2711" t="s">
        <v>356</v>
      </c>
      <c r="N2711" s="73">
        <v>67262</v>
      </c>
      <c r="O2711" s="73">
        <v>67262</v>
      </c>
      <c r="P2711">
        <v>34.681374159610094</v>
      </c>
    </row>
    <row r="2712" spans="1:16" x14ac:dyDescent="0.2">
      <c r="A2712" s="73">
        <v>67262</v>
      </c>
      <c r="B2712" t="s">
        <v>350</v>
      </c>
      <c r="C2712" s="73" t="s">
        <v>421</v>
      </c>
      <c r="D2712" t="s">
        <v>422</v>
      </c>
      <c r="E2712" s="74">
        <v>45876</v>
      </c>
      <c r="F2712" t="s">
        <v>353</v>
      </c>
      <c r="G2712" t="s">
        <v>354</v>
      </c>
      <c r="H2712" s="75">
        <f t="shared" si="42"/>
        <v>242.76961911727065</v>
      </c>
      <c r="I2712" s="74">
        <v>45876</v>
      </c>
      <c r="J2712">
        <v>7</v>
      </c>
      <c r="K2712" t="s">
        <v>288</v>
      </c>
      <c r="L2712" t="s">
        <v>355</v>
      </c>
      <c r="M2712" t="s">
        <v>356</v>
      </c>
      <c r="N2712" s="73">
        <v>67262</v>
      </c>
      <c r="O2712" s="73">
        <v>67262</v>
      </c>
      <c r="P2712">
        <v>34.681374159610094</v>
      </c>
    </row>
    <row r="2713" spans="1:16" x14ac:dyDescent="0.2">
      <c r="A2713" s="73">
        <v>67262</v>
      </c>
      <c r="B2713" t="s">
        <v>350</v>
      </c>
      <c r="C2713" s="73" t="s">
        <v>421</v>
      </c>
      <c r="D2713" t="s">
        <v>422</v>
      </c>
      <c r="E2713" s="74">
        <v>45876</v>
      </c>
      <c r="F2713" t="s">
        <v>360</v>
      </c>
      <c r="G2713" t="s">
        <v>361</v>
      </c>
      <c r="H2713" s="75">
        <f t="shared" si="42"/>
        <v>173.40687079805048</v>
      </c>
      <c r="I2713" s="74">
        <v>45876</v>
      </c>
      <c r="J2713">
        <v>5</v>
      </c>
      <c r="K2713" t="s">
        <v>288</v>
      </c>
      <c r="L2713" t="s">
        <v>262</v>
      </c>
      <c r="M2713" t="s">
        <v>356</v>
      </c>
      <c r="N2713" s="73">
        <v>67262</v>
      </c>
      <c r="O2713" s="73">
        <v>67262</v>
      </c>
      <c r="P2713">
        <v>34.681374159610094</v>
      </c>
    </row>
    <row r="2714" spans="1:16" x14ac:dyDescent="0.2">
      <c r="A2714" s="73">
        <v>67262</v>
      </c>
      <c r="B2714" t="s">
        <v>350</v>
      </c>
      <c r="C2714" s="73" t="s">
        <v>421</v>
      </c>
      <c r="D2714" t="s">
        <v>422</v>
      </c>
      <c r="E2714" s="74">
        <v>45876</v>
      </c>
      <c r="F2714" t="s">
        <v>387</v>
      </c>
      <c r="G2714" t="s">
        <v>388</v>
      </c>
      <c r="H2714" s="75">
        <f t="shared" si="42"/>
        <v>104.04412247883027</v>
      </c>
      <c r="I2714" s="74">
        <v>45876</v>
      </c>
      <c r="J2714">
        <v>3</v>
      </c>
      <c r="K2714" t="s">
        <v>288</v>
      </c>
      <c r="L2714" t="s">
        <v>367</v>
      </c>
      <c r="M2714" t="s">
        <v>356</v>
      </c>
      <c r="N2714" s="73">
        <v>67262</v>
      </c>
      <c r="O2714" s="73">
        <v>67262</v>
      </c>
      <c r="P2714">
        <v>34.681374159610094</v>
      </c>
    </row>
    <row r="2715" spans="1:16" x14ac:dyDescent="0.2">
      <c r="A2715" s="73">
        <v>67262</v>
      </c>
      <c r="B2715" t="s">
        <v>350</v>
      </c>
      <c r="C2715" s="73" t="s">
        <v>421</v>
      </c>
      <c r="D2715" t="s">
        <v>422</v>
      </c>
      <c r="E2715" s="74">
        <v>45877</v>
      </c>
      <c r="F2715" t="s">
        <v>410</v>
      </c>
      <c r="G2715" t="s">
        <v>411</v>
      </c>
      <c r="H2715" s="75">
        <f t="shared" si="42"/>
        <v>208.08824495766055</v>
      </c>
      <c r="I2715" s="74">
        <v>45877</v>
      </c>
      <c r="J2715">
        <v>6</v>
      </c>
      <c r="K2715" t="s">
        <v>288</v>
      </c>
      <c r="L2715" t="s">
        <v>262</v>
      </c>
      <c r="M2715" t="s">
        <v>356</v>
      </c>
      <c r="N2715" s="73">
        <v>67262</v>
      </c>
      <c r="O2715" s="73">
        <v>67262</v>
      </c>
      <c r="P2715">
        <v>34.681374159610094</v>
      </c>
    </row>
    <row r="2716" spans="1:16" x14ac:dyDescent="0.2">
      <c r="A2716" s="73">
        <v>67262</v>
      </c>
      <c r="B2716" t="s">
        <v>350</v>
      </c>
      <c r="C2716" s="73" t="s">
        <v>421</v>
      </c>
      <c r="D2716" t="s">
        <v>422</v>
      </c>
      <c r="E2716" s="74">
        <v>45877</v>
      </c>
      <c r="F2716" t="s">
        <v>398</v>
      </c>
      <c r="G2716" t="s">
        <v>399</v>
      </c>
      <c r="H2716" s="75">
        <f t="shared" si="42"/>
        <v>208.08824495766055</v>
      </c>
      <c r="I2716" s="74">
        <v>45877</v>
      </c>
      <c r="J2716">
        <v>6</v>
      </c>
      <c r="K2716" t="s">
        <v>288</v>
      </c>
      <c r="L2716" t="s">
        <v>367</v>
      </c>
      <c r="M2716" t="s">
        <v>356</v>
      </c>
      <c r="N2716" s="73">
        <v>67262</v>
      </c>
      <c r="O2716" s="73">
        <v>67262</v>
      </c>
      <c r="P2716">
        <v>34.681374159610094</v>
      </c>
    </row>
    <row r="2717" spans="1:16" x14ac:dyDescent="0.2">
      <c r="A2717" s="73">
        <v>67262</v>
      </c>
      <c r="B2717" t="s">
        <v>350</v>
      </c>
      <c r="C2717" s="73" t="s">
        <v>421</v>
      </c>
      <c r="D2717" t="s">
        <v>422</v>
      </c>
      <c r="E2717" s="74">
        <v>45877</v>
      </c>
      <c r="F2717" t="s">
        <v>404</v>
      </c>
      <c r="G2717" t="s">
        <v>405</v>
      </c>
      <c r="H2717" s="75">
        <f t="shared" si="42"/>
        <v>138.72549663844038</v>
      </c>
      <c r="I2717" s="74">
        <v>45877</v>
      </c>
      <c r="J2717">
        <v>4</v>
      </c>
      <c r="K2717" t="s">
        <v>288</v>
      </c>
      <c r="L2717" t="s">
        <v>262</v>
      </c>
      <c r="M2717" t="s">
        <v>356</v>
      </c>
      <c r="N2717" s="73">
        <v>67262</v>
      </c>
      <c r="O2717" s="73">
        <v>67262</v>
      </c>
      <c r="P2717">
        <v>34.681374159610094</v>
      </c>
    </row>
    <row r="2718" spans="1:16" hidden="1" x14ac:dyDescent="0.2">
      <c r="A2718" s="73">
        <v>67260</v>
      </c>
      <c r="B2718" t="s">
        <v>423</v>
      </c>
      <c r="C2718" s="73" t="s">
        <v>454</v>
      </c>
      <c r="D2718" t="s">
        <v>455</v>
      </c>
      <c r="E2718" s="74">
        <v>46028</v>
      </c>
      <c r="F2718" t="s">
        <v>414</v>
      </c>
      <c r="G2718" t="s">
        <v>415</v>
      </c>
      <c r="H2718" s="75">
        <f t="shared" si="42"/>
        <v>260.11030619707572</v>
      </c>
      <c r="I2718" s="74">
        <v>46028</v>
      </c>
      <c r="J2718">
        <v>7.5</v>
      </c>
      <c r="K2718" t="s">
        <v>516</v>
      </c>
      <c r="L2718" t="s">
        <v>262</v>
      </c>
      <c r="M2718" t="s">
        <v>356</v>
      </c>
      <c r="N2718" s="73">
        <v>67260</v>
      </c>
      <c r="O2718" s="73">
        <v>67260</v>
      </c>
      <c r="P2718">
        <v>34.681374159610094</v>
      </c>
    </row>
    <row r="2719" spans="1:16" x14ac:dyDescent="0.2">
      <c r="A2719" s="73">
        <v>67262</v>
      </c>
      <c r="B2719" t="s">
        <v>350</v>
      </c>
      <c r="C2719" s="73" t="s">
        <v>421</v>
      </c>
      <c r="D2719" t="s">
        <v>422</v>
      </c>
      <c r="E2719" s="74">
        <v>45877</v>
      </c>
      <c r="F2719" t="s">
        <v>395</v>
      </c>
      <c r="G2719" t="s">
        <v>396</v>
      </c>
      <c r="H2719" s="75">
        <f t="shared" si="42"/>
        <v>173.40687079805048</v>
      </c>
      <c r="I2719" s="74">
        <v>45877</v>
      </c>
      <c r="J2719">
        <v>5</v>
      </c>
      <c r="K2719" t="s">
        <v>288</v>
      </c>
      <c r="L2719" t="s">
        <v>262</v>
      </c>
      <c r="M2719" t="s">
        <v>356</v>
      </c>
      <c r="N2719" s="73">
        <v>67262</v>
      </c>
      <c r="O2719" s="73">
        <v>67262</v>
      </c>
      <c r="P2719">
        <v>34.681374159610094</v>
      </c>
    </row>
    <row r="2720" spans="1:16" x14ac:dyDescent="0.2">
      <c r="A2720" s="73">
        <v>67262</v>
      </c>
      <c r="B2720" t="s">
        <v>350</v>
      </c>
      <c r="C2720" s="73" t="s">
        <v>421</v>
      </c>
      <c r="D2720" t="s">
        <v>422</v>
      </c>
      <c r="E2720" s="74">
        <v>45877</v>
      </c>
      <c r="F2720" t="s">
        <v>353</v>
      </c>
      <c r="G2720" t="s">
        <v>354</v>
      </c>
      <c r="H2720" s="75">
        <f t="shared" si="42"/>
        <v>242.76961911727065</v>
      </c>
      <c r="I2720" s="74">
        <v>45877</v>
      </c>
      <c r="J2720">
        <v>7</v>
      </c>
      <c r="K2720" t="s">
        <v>288</v>
      </c>
      <c r="L2720" t="s">
        <v>355</v>
      </c>
      <c r="M2720" t="s">
        <v>356</v>
      </c>
      <c r="N2720" s="73">
        <v>67262</v>
      </c>
      <c r="O2720" s="73">
        <v>67262</v>
      </c>
      <c r="P2720">
        <v>34.681374159610094</v>
      </c>
    </row>
    <row r="2721" spans="1:16" x14ac:dyDescent="0.2">
      <c r="A2721" s="73">
        <v>67262</v>
      </c>
      <c r="B2721" t="s">
        <v>350</v>
      </c>
      <c r="C2721" s="73" t="s">
        <v>421</v>
      </c>
      <c r="D2721" t="s">
        <v>422</v>
      </c>
      <c r="E2721" s="74">
        <v>45877</v>
      </c>
      <c r="F2721" t="s">
        <v>360</v>
      </c>
      <c r="G2721" t="s">
        <v>361</v>
      </c>
      <c r="H2721" s="75">
        <f t="shared" si="42"/>
        <v>242.76961911727065</v>
      </c>
      <c r="I2721" s="74">
        <v>45877</v>
      </c>
      <c r="J2721">
        <v>7</v>
      </c>
      <c r="K2721" t="s">
        <v>288</v>
      </c>
      <c r="L2721" t="s">
        <v>262</v>
      </c>
      <c r="M2721" t="s">
        <v>356</v>
      </c>
      <c r="N2721" s="73">
        <v>67262</v>
      </c>
      <c r="O2721" s="73">
        <v>67262</v>
      </c>
      <c r="P2721">
        <v>34.681374159610094</v>
      </c>
    </row>
    <row r="2722" spans="1:16" x14ac:dyDescent="0.2">
      <c r="A2722" s="73">
        <v>67262</v>
      </c>
      <c r="B2722" t="s">
        <v>350</v>
      </c>
      <c r="C2722" s="73" t="s">
        <v>421</v>
      </c>
      <c r="D2722" t="s">
        <v>422</v>
      </c>
      <c r="E2722" s="74">
        <v>45877</v>
      </c>
      <c r="F2722" t="s">
        <v>387</v>
      </c>
      <c r="G2722" t="s">
        <v>388</v>
      </c>
      <c r="H2722" s="75">
        <f t="shared" si="42"/>
        <v>104.04412247883027</v>
      </c>
      <c r="I2722" s="74">
        <v>45877</v>
      </c>
      <c r="J2722">
        <v>3</v>
      </c>
      <c r="K2722" t="s">
        <v>288</v>
      </c>
      <c r="L2722" t="s">
        <v>367</v>
      </c>
      <c r="M2722" t="s">
        <v>356</v>
      </c>
      <c r="N2722" s="73">
        <v>67262</v>
      </c>
      <c r="O2722" s="73">
        <v>67262</v>
      </c>
      <c r="P2722">
        <v>34.681374159610094</v>
      </c>
    </row>
    <row r="2723" spans="1:16" x14ac:dyDescent="0.2">
      <c r="A2723" s="73">
        <v>67262</v>
      </c>
      <c r="B2723" t="s">
        <v>350</v>
      </c>
      <c r="C2723" s="73" t="s">
        <v>421</v>
      </c>
      <c r="D2723" t="s">
        <v>422</v>
      </c>
      <c r="E2723" s="74">
        <v>45880</v>
      </c>
      <c r="F2723" t="s">
        <v>395</v>
      </c>
      <c r="G2723" t="s">
        <v>396</v>
      </c>
      <c r="H2723" s="75">
        <f t="shared" si="42"/>
        <v>242.76961911727065</v>
      </c>
      <c r="I2723" s="74">
        <v>45880</v>
      </c>
      <c r="J2723">
        <v>7</v>
      </c>
      <c r="K2723" t="s">
        <v>288</v>
      </c>
      <c r="L2723" t="s">
        <v>262</v>
      </c>
      <c r="M2723" t="s">
        <v>356</v>
      </c>
      <c r="N2723" s="73">
        <v>67262</v>
      </c>
      <c r="O2723" s="73">
        <v>67262</v>
      </c>
      <c r="P2723">
        <v>34.681374159610094</v>
      </c>
    </row>
    <row r="2724" spans="1:16" x14ac:dyDescent="0.2">
      <c r="A2724" s="73">
        <v>67262</v>
      </c>
      <c r="B2724" t="s">
        <v>350</v>
      </c>
      <c r="C2724" s="73" t="s">
        <v>421</v>
      </c>
      <c r="D2724" t="s">
        <v>422</v>
      </c>
      <c r="E2724" s="74">
        <v>45880</v>
      </c>
      <c r="F2724" t="s">
        <v>404</v>
      </c>
      <c r="G2724" t="s">
        <v>405</v>
      </c>
      <c r="H2724" s="75">
        <f t="shared" si="42"/>
        <v>208.08824495766055</v>
      </c>
      <c r="I2724" s="74">
        <v>45880</v>
      </c>
      <c r="J2724">
        <v>6</v>
      </c>
      <c r="K2724" t="s">
        <v>288</v>
      </c>
      <c r="L2724" t="s">
        <v>262</v>
      </c>
      <c r="M2724" t="s">
        <v>356</v>
      </c>
      <c r="N2724" s="73">
        <v>67262</v>
      </c>
      <c r="O2724" s="73">
        <v>67262</v>
      </c>
      <c r="P2724">
        <v>34.681374159610094</v>
      </c>
    </row>
    <row r="2725" spans="1:16" x14ac:dyDescent="0.2">
      <c r="A2725" s="73">
        <v>67262</v>
      </c>
      <c r="B2725" t="s">
        <v>350</v>
      </c>
      <c r="C2725" s="73" t="s">
        <v>421</v>
      </c>
      <c r="D2725" t="s">
        <v>422</v>
      </c>
      <c r="E2725" s="74">
        <v>45880</v>
      </c>
      <c r="F2725" t="s">
        <v>357</v>
      </c>
      <c r="G2725" t="s">
        <v>358</v>
      </c>
      <c r="H2725" s="75">
        <f t="shared" si="42"/>
        <v>208.08824495766055</v>
      </c>
      <c r="I2725" s="74">
        <v>45880</v>
      </c>
      <c r="J2725">
        <v>6</v>
      </c>
      <c r="K2725" t="s">
        <v>288</v>
      </c>
      <c r="L2725" t="s">
        <v>359</v>
      </c>
      <c r="M2725" t="s">
        <v>356</v>
      </c>
      <c r="N2725" s="73">
        <v>67262</v>
      </c>
      <c r="O2725" s="73">
        <v>67262</v>
      </c>
      <c r="P2725">
        <v>34.681374159610094</v>
      </c>
    </row>
    <row r="2726" spans="1:16" x14ac:dyDescent="0.2">
      <c r="A2726" s="73">
        <v>67262</v>
      </c>
      <c r="B2726" t="s">
        <v>350</v>
      </c>
      <c r="C2726" s="73" t="s">
        <v>421</v>
      </c>
      <c r="D2726" t="s">
        <v>422</v>
      </c>
      <c r="E2726" s="74">
        <v>45880</v>
      </c>
      <c r="F2726" t="s">
        <v>360</v>
      </c>
      <c r="G2726" t="s">
        <v>361</v>
      </c>
      <c r="H2726" s="75">
        <f t="shared" si="42"/>
        <v>173.40687079805048</v>
      </c>
      <c r="I2726" s="74">
        <v>45880</v>
      </c>
      <c r="J2726">
        <v>5</v>
      </c>
      <c r="K2726" t="s">
        <v>288</v>
      </c>
      <c r="L2726" t="s">
        <v>262</v>
      </c>
      <c r="M2726" t="s">
        <v>356</v>
      </c>
      <c r="N2726" s="73">
        <v>67262</v>
      </c>
      <c r="O2726" s="73">
        <v>67262</v>
      </c>
      <c r="P2726">
        <v>34.681374159610094</v>
      </c>
    </row>
    <row r="2727" spans="1:16" x14ac:dyDescent="0.2">
      <c r="A2727" s="73">
        <v>67262</v>
      </c>
      <c r="B2727" t="s">
        <v>350</v>
      </c>
      <c r="C2727" s="73" t="s">
        <v>421</v>
      </c>
      <c r="D2727" t="s">
        <v>422</v>
      </c>
      <c r="E2727" s="74">
        <v>45880</v>
      </c>
      <c r="F2727" t="s">
        <v>410</v>
      </c>
      <c r="G2727" t="s">
        <v>411</v>
      </c>
      <c r="H2727" s="75">
        <f t="shared" si="42"/>
        <v>208.08824495766055</v>
      </c>
      <c r="I2727" s="74">
        <v>45880</v>
      </c>
      <c r="J2727">
        <v>6</v>
      </c>
      <c r="K2727" t="s">
        <v>288</v>
      </c>
      <c r="L2727" t="s">
        <v>262</v>
      </c>
      <c r="M2727" t="s">
        <v>356</v>
      </c>
      <c r="N2727" s="73">
        <v>67262</v>
      </c>
      <c r="O2727" s="73">
        <v>67262</v>
      </c>
      <c r="P2727">
        <v>34.681374159610094</v>
      </c>
    </row>
    <row r="2728" spans="1:16" x14ac:dyDescent="0.2">
      <c r="A2728" s="73">
        <v>67262</v>
      </c>
      <c r="B2728" t="s">
        <v>350</v>
      </c>
      <c r="C2728" s="73" t="s">
        <v>421</v>
      </c>
      <c r="D2728" t="s">
        <v>422</v>
      </c>
      <c r="E2728" s="74">
        <v>45880</v>
      </c>
      <c r="F2728" t="s">
        <v>398</v>
      </c>
      <c r="G2728" t="s">
        <v>399</v>
      </c>
      <c r="H2728" s="75">
        <f t="shared" si="42"/>
        <v>208.08824495766055</v>
      </c>
      <c r="I2728" s="74">
        <v>45880</v>
      </c>
      <c r="J2728">
        <v>6</v>
      </c>
      <c r="K2728" t="s">
        <v>288</v>
      </c>
      <c r="L2728" t="s">
        <v>367</v>
      </c>
      <c r="M2728" t="s">
        <v>356</v>
      </c>
      <c r="N2728" s="73">
        <v>67262</v>
      </c>
      <c r="O2728" s="73">
        <v>67262</v>
      </c>
      <c r="P2728">
        <v>34.681374159610094</v>
      </c>
    </row>
    <row r="2729" spans="1:16" x14ac:dyDescent="0.2">
      <c r="A2729" s="73">
        <v>67262</v>
      </c>
      <c r="B2729" t="s">
        <v>350</v>
      </c>
      <c r="C2729" s="73" t="s">
        <v>421</v>
      </c>
      <c r="D2729" t="s">
        <v>422</v>
      </c>
      <c r="E2729" s="74">
        <v>45880</v>
      </c>
      <c r="F2729" t="s">
        <v>353</v>
      </c>
      <c r="G2729" t="s">
        <v>354</v>
      </c>
      <c r="H2729" s="75">
        <f t="shared" si="42"/>
        <v>208.08824495766055</v>
      </c>
      <c r="I2729" s="74">
        <v>45880</v>
      </c>
      <c r="J2729">
        <v>6</v>
      </c>
      <c r="K2729" t="s">
        <v>288</v>
      </c>
      <c r="L2729" t="s">
        <v>355</v>
      </c>
      <c r="M2729" t="s">
        <v>356</v>
      </c>
      <c r="N2729" s="73">
        <v>67262</v>
      </c>
      <c r="O2729" s="73">
        <v>67262</v>
      </c>
      <c r="P2729">
        <v>34.681374159610094</v>
      </c>
    </row>
    <row r="2730" spans="1:16" x14ac:dyDescent="0.2">
      <c r="A2730" s="73">
        <v>67262</v>
      </c>
      <c r="B2730" t="s">
        <v>350</v>
      </c>
      <c r="C2730" s="73" t="s">
        <v>421</v>
      </c>
      <c r="D2730" t="s">
        <v>422</v>
      </c>
      <c r="E2730" s="74">
        <v>45881</v>
      </c>
      <c r="F2730" t="s">
        <v>357</v>
      </c>
      <c r="G2730" t="s">
        <v>358</v>
      </c>
      <c r="H2730" s="75">
        <f t="shared" si="42"/>
        <v>208.08824495766055</v>
      </c>
      <c r="I2730" s="74">
        <v>45881</v>
      </c>
      <c r="J2730">
        <v>6</v>
      </c>
      <c r="K2730" t="s">
        <v>288</v>
      </c>
      <c r="L2730" t="s">
        <v>359</v>
      </c>
      <c r="M2730" t="s">
        <v>356</v>
      </c>
      <c r="N2730" s="73">
        <v>67262</v>
      </c>
      <c r="O2730" s="73">
        <v>67262</v>
      </c>
      <c r="P2730">
        <v>34.681374159610094</v>
      </c>
    </row>
    <row r="2731" spans="1:16" hidden="1" x14ac:dyDescent="0.2">
      <c r="A2731" s="73">
        <v>67260</v>
      </c>
      <c r="B2731" t="s">
        <v>423</v>
      </c>
      <c r="C2731" s="73" t="s">
        <v>454</v>
      </c>
      <c r="D2731" t="s">
        <v>455</v>
      </c>
      <c r="E2731" s="74">
        <v>46029</v>
      </c>
      <c r="F2731" t="s">
        <v>414</v>
      </c>
      <c r="G2731" t="s">
        <v>415</v>
      </c>
      <c r="H2731" s="75">
        <f t="shared" si="42"/>
        <v>260.11030619707572</v>
      </c>
      <c r="I2731" s="74">
        <v>46029</v>
      </c>
      <c r="J2731">
        <v>7.5</v>
      </c>
      <c r="K2731" t="s">
        <v>516</v>
      </c>
      <c r="L2731" t="s">
        <v>262</v>
      </c>
      <c r="M2731" t="s">
        <v>356</v>
      </c>
      <c r="N2731" s="73">
        <v>67260</v>
      </c>
      <c r="O2731" s="73">
        <v>67260</v>
      </c>
      <c r="P2731">
        <v>34.681374159610094</v>
      </c>
    </row>
    <row r="2732" spans="1:16" x14ac:dyDescent="0.2">
      <c r="A2732" s="73">
        <v>67262</v>
      </c>
      <c r="B2732" t="s">
        <v>350</v>
      </c>
      <c r="C2732" s="73" t="s">
        <v>421</v>
      </c>
      <c r="D2732" t="s">
        <v>422</v>
      </c>
      <c r="E2732" s="74">
        <v>45881</v>
      </c>
      <c r="F2732" t="s">
        <v>360</v>
      </c>
      <c r="G2732" t="s">
        <v>361</v>
      </c>
      <c r="H2732" s="75">
        <f t="shared" si="42"/>
        <v>242.76961911727065</v>
      </c>
      <c r="I2732" s="74">
        <v>45881</v>
      </c>
      <c r="J2732">
        <v>7</v>
      </c>
      <c r="K2732" t="s">
        <v>288</v>
      </c>
      <c r="L2732" t="s">
        <v>262</v>
      </c>
      <c r="M2732" t="s">
        <v>356</v>
      </c>
      <c r="N2732" s="73">
        <v>67262</v>
      </c>
      <c r="O2732" s="73">
        <v>67262</v>
      </c>
      <c r="P2732">
        <v>34.681374159610094</v>
      </c>
    </row>
    <row r="2733" spans="1:16" x14ac:dyDescent="0.2">
      <c r="A2733" s="73">
        <v>67262</v>
      </c>
      <c r="B2733" t="s">
        <v>350</v>
      </c>
      <c r="C2733" s="73" t="s">
        <v>421</v>
      </c>
      <c r="D2733" t="s">
        <v>422</v>
      </c>
      <c r="E2733" s="74">
        <v>45881</v>
      </c>
      <c r="F2733" t="s">
        <v>410</v>
      </c>
      <c r="G2733" t="s">
        <v>411</v>
      </c>
      <c r="H2733" s="75">
        <f t="shared" si="42"/>
        <v>208.08824495766055</v>
      </c>
      <c r="I2733" s="74">
        <v>45881</v>
      </c>
      <c r="J2733">
        <v>6</v>
      </c>
      <c r="K2733" t="s">
        <v>288</v>
      </c>
      <c r="L2733" t="s">
        <v>262</v>
      </c>
      <c r="M2733" t="s">
        <v>356</v>
      </c>
      <c r="N2733" s="73">
        <v>67262</v>
      </c>
      <c r="O2733" s="73">
        <v>67262</v>
      </c>
      <c r="P2733">
        <v>34.681374159610094</v>
      </c>
    </row>
    <row r="2734" spans="1:16" x14ac:dyDescent="0.2">
      <c r="A2734" s="73">
        <v>67262</v>
      </c>
      <c r="B2734" t="s">
        <v>350</v>
      </c>
      <c r="C2734" s="73" t="s">
        <v>421</v>
      </c>
      <c r="D2734" t="s">
        <v>422</v>
      </c>
      <c r="E2734" s="74">
        <v>45881</v>
      </c>
      <c r="F2734" t="s">
        <v>398</v>
      </c>
      <c r="G2734" t="s">
        <v>399</v>
      </c>
      <c r="H2734" s="75">
        <f t="shared" si="42"/>
        <v>208.08824495766055</v>
      </c>
      <c r="I2734" s="74">
        <v>45881</v>
      </c>
      <c r="J2734">
        <v>6</v>
      </c>
      <c r="K2734" t="s">
        <v>288</v>
      </c>
      <c r="L2734" t="s">
        <v>367</v>
      </c>
      <c r="M2734" t="s">
        <v>356</v>
      </c>
      <c r="N2734" s="73">
        <v>67262</v>
      </c>
      <c r="O2734" s="73">
        <v>67262</v>
      </c>
      <c r="P2734">
        <v>34.681374159610094</v>
      </c>
    </row>
    <row r="2735" spans="1:16" x14ac:dyDescent="0.2">
      <c r="A2735" s="73">
        <v>67262</v>
      </c>
      <c r="B2735" t="s">
        <v>350</v>
      </c>
      <c r="C2735" s="73" t="s">
        <v>421</v>
      </c>
      <c r="D2735" t="s">
        <v>422</v>
      </c>
      <c r="E2735" s="74">
        <v>45881</v>
      </c>
      <c r="F2735" t="s">
        <v>353</v>
      </c>
      <c r="G2735" t="s">
        <v>354</v>
      </c>
      <c r="H2735" s="75">
        <f t="shared" si="42"/>
        <v>208.08824495766055</v>
      </c>
      <c r="I2735" s="74">
        <v>45881</v>
      </c>
      <c r="J2735">
        <v>6</v>
      </c>
      <c r="K2735" t="s">
        <v>288</v>
      </c>
      <c r="L2735" t="s">
        <v>355</v>
      </c>
      <c r="M2735" t="s">
        <v>356</v>
      </c>
      <c r="N2735" s="73">
        <v>67262</v>
      </c>
      <c r="O2735" s="73">
        <v>67262</v>
      </c>
      <c r="P2735">
        <v>34.681374159610094</v>
      </c>
    </row>
    <row r="2736" spans="1:16" x14ac:dyDescent="0.2">
      <c r="A2736" s="73">
        <v>67262</v>
      </c>
      <c r="B2736" t="s">
        <v>350</v>
      </c>
      <c r="C2736" s="73" t="s">
        <v>421</v>
      </c>
      <c r="D2736" t="s">
        <v>422</v>
      </c>
      <c r="E2736" s="74">
        <v>45882</v>
      </c>
      <c r="F2736" t="s">
        <v>357</v>
      </c>
      <c r="G2736" t="s">
        <v>358</v>
      </c>
      <c r="H2736" s="75">
        <f t="shared" si="42"/>
        <v>208.08824495766055</v>
      </c>
      <c r="I2736" s="74">
        <v>45882</v>
      </c>
      <c r="J2736">
        <v>6</v>
      </c>
      <c r="K2736" t="s">
        <v>288</v>
      </c>
      <c r="L2736" t="s">
        <v>359</v>
      </c>
      <c r="M2736" t="s">
        <v>356</v>
      </c>
      <c r="N2736" s="73">
        <v>67262</v>
      </c>
      <c r="O2736" s="73">
        <v>67262</v>
      </c>
      <c r="P2736">
        <v>34.681374159610094</v>
      </c>
    </row>
    <row r="2737" spans="1:16" x14ac:dyDescent="0.2">
      <c r="A2737" s="73">
        <v>67262</v>
      </c>
      <c r="B2737" t="s">
        <v>350</v>
      </c>
      <c r="C2737" s="73" t="s">
        <v>421</v>
      </c>
      <c r="D2737" t="s">
        <v>422</v>
      </c>
      <c r="E2737" s="74">
        <v>45882</v>
      </c>
      <c r="F2737" t="s">
        <v>410</v>
      </c>
      <c r="G2737" t="s">
        <v>411</v>
      </c>
      <c r="H2737" s="75">
        <f t="shared" si="42"/>
        <v>208.08824495766055</v>
      </c>
      <c r="I2737" s="74">
        <v>45882</v>
      </c>
      <c r="J2737">
        <v>6</v>
      </c>
      <c r="K2737" t="s">
        <v>288</v>
      </c>
      <c r="L2737" t="s">
        <v>262</v>
      </c>
      <c r="M2737" t="s">
        <v>356</v>
      </c>
      <c r="N2737" s="73">
        <v>67262</v>
      </c>
      <c r="O2737" s="73">
        <v>67262</v>
      </c>
      <c r="P2737">
        <v>34.681374159610094</v>
      </c>
    </row>
    <row r="2738" spans="1:16" x14ac:dyDescent="0.2">
      <c r="A2738" s="73">
        <v>67262</v>
      </c>
      <c r="B2738" t="s">
        <v>350</v>
      </c>
      <c r="C2738" s="73" t="s">
        <v>421</v>
      </c>
      <c r="D2738" t="s">
        <v>422</v>
      </c>
      <c r="E2738" s="74">
        <v>45882</v>
      </c>
      <c r="F2738" t="s">
        <v>353</v>
      </c>
      <c r="G2738" t="s">
        <v>354</v>
      </c>
      <c r="H2738" s="75">
        <f t="shared" si="42"/>
        <v>208.08824495766055</v>
      </c>
      <c r="I2738" s="74">
        <v>45882</v>
      </c>
      <c r="J2738">
        <v>6</v>
      </c>
      <c r="K2738" t="s">
        <v>288</v>
      </c>
      <c r="L2738" t="s">
        <v>355</v>
      </c>
      <c r="M2738" t="s">
        <v>356</v>
      </c>
      <c r="N2738" s="73">
        <v>67262</v>
      </c>
      <c r="O2738" s="73">
        <v>67262</v>
      </c>
      <c r="P2738">
        <v>34.681374159610094</v>
      </c>
    </row>
    <row r="2739" spans="1:16" x14ac:dyDescent="0.2">
      <c r="A2739" s="73">
        <v>67262</v>
      </c>
      <c r="B2739" t="s">
        <v>350</v>
      </c>
      <c r="C2739" s="73" t="s">
        <v>421</v>
      </c>
      <c r="D2739" t="s">
        <v>422</v>
      </c>
      <c r="E2739" s="74">
        <v>45883</v>
      </c>
      <c r="F2739" t="s">
        <v>387</v>
      </c>
      <c r="G2739" t="s">
        <v>388</v>
      </c>
      <c r="H2739" s="75">
        <f t="shared" si="42"/>
        <v>138.72549663844038</v>
      </c>
      <c r="I2739" s="74">
        <v>45883</v>
      </c>
      <c r="J2739">
        <v>4</v>
      </c>
      <c r="K2739" t="s">
        <v>288</v>
      </c>
      <c r="L2739" t="s">
        <v>367</v>
      </c>
      <c r="M2739" t="s">
        <v>356</v>
      </c>
      <c r="N2739" s="73">
        <v>67262</v>
      </c>
      <c r="O2739" s="73">
        <v>67262</v>
      </c>
      <c r="P2739">
        <v>34.681374159610094</v>
      </c>
    </row>
    <row r="2740" spans="1:16" x14ac:dyDescent="0.2">
      <c r="A2740" s="73">
        <v>67262</v>
      </c>
      <c r="B2740" t="s">
        <v>350</v>
      </c>
      <c r="C2740" s="73" t="s">
        <v>421</v>
      </c>
      <c r="D2740" t="s">
        <v>422</v>
      </c>
      <c r="E2740" s="74">
        <v>45883</v>
      </c>
      <c r="F2740" t="s">
        <v>357</v>
      </c>
      <c r="G2740" t="s">
        <v>358</v>
      </c>
      <c r="H2740" s="75">
        <f t="shared" si="42"/>
        <v>208.08824495766055</v>
      </c>
      <c r="I2740" s="74">
        <v>45883</v>
      </c>
      <c r="J2740">
        <v>6</v>
      </c>
      <c r="K2740" t="s">
        <v>288</v>
      </c>
      <c r="L2740" t="s">
        <v>359</v>
      </c>
      <c r="M2740" t="s">
        <v>356</v>
      </c>
      <c r="N2740" s="73">
        <v>67262</v>
      </c>
      <c r="O2740" s="73">
        <v>67262</v>
      </c>
      <c r="P2740">
        <v>34.681374159610094</v>
      </c>
    </row>
    <row r="2741" spans="1:16" hidden="1" x14ac:dyDescent="0.2">
      <c r="A2741" s="73">
        <v>67260</v>
      </c>
      <c r="B2741" t="s">
        <v>423</v>
      </c>
      <c r="C2741" s="73" t="s">
        <v>454</v>
      </c>
      <c r="D2741" t="s">
        <v>455</v>
      </c>
      <c r="E2741" s="74">
        <v>46030</v>
      </c>
      <c r="F2741" t="s">
        <v>414</v>
      </c>
      <c r="G2741" t="s">
        <v>415</v>
      </c>
      <c r="H2741" s="75">
        <f t="shared" si="42"/>
        <v>260.11030619707572</v>
      </c>
      <c r="I2741" s="74">
        <v>46030</v>
      </c>
      <c r="J2741">
        <v>7.5</v>
      </c>
      <c r="K2741" t="s">
        <v>516</v>
      </c>
      <c r="L2741" t="s">
        <v>262</v>
      </c>
      <c r="M2741" t="s">
        <v>356</v>
      </c>
      <c r="N2741" s="73">
        <v>67260</v>
      </c>
      <c r="O2741" s="73">
        <v>67260</v>
      </c>
      <c r="P2741">
        <v>34.681374159610094</v>
      </c>
    </row>
    <row r="2742" spans="1:16" x14ac:dyDescent="0.2">
      <c r="A2742" s="73">
        <v>67262</v>
      </c>
      <c r="B2742" t="s">
        <v>350</v>
      </c>
      <c r="C2742" s="73" t="s">
        <v>421</v>
      </c>
      <c r="D2742" t="s">
        <v>422</v>
      </c>
      <c r="E2742" s="74">
        <v>45883</v>
      </c>
      <c r="F2742" t="s">
        <v>410</v>
      </c>
      <c r="G2742" t="s">
        <v>411</v>
      </c>
      <c r="H2742" s="75">
        <f t="shared" si="42"/>
        <v>208.08824495766055</v>
      </c>
      <c r="I2742" s="74">
        <v>45883</v>
      </c>
      <c r="J2742">
        <v>6</v>
      </c>
      <c r="K2742" t="s">
        <v>288</v>
      </c>
      <c r="L2742" t="s">
        <v>262</v>
      </c>
      <c r="M2742" t="s">
        <v>356</v>
      </c>
      <c r="N2742" s="73">
        <v>67262</v>
      </c>
      <c r="O2742" s="73">
        <v>67262</v>
      </c>
      <c r="P2742">
        <v>34.681374159610094</v>
      </c>
    </row>
    <row r="2743" spans="1:16" x14ac:dyDescent="0.2">
      <c r="A2743" s="73">
        <v>67262</v>
      </c>
      <c r="B2743" t="s">
        <v>350</v>
      </c>
      <c r="C2743" s="73" t="s">
        <v>421</v>
      </c>
      <c r="D2743" t="s">
        <v>422</v>
      </c>
      <c r="E2743" s="74">
        <v>45883</v>
      </c>
      <c r="F2743" t="s">
        <v>353</v>
      </c>
      <c r="G2743" t="s">
        <v>354</v>
      </c>
      <c r="H2743" s="75">
        <f t="shared" si="42"/>
        <v>208.08824495766055</v>
      </c>
      <c r="I2743" s="74">
        <v>45883</v>
      </c>
      <c r="J2743">
        <v>6</v>
      </c>
      <c r="K2743" t="s">
        <v>288</v>
      </c>
      <c r="L2743" t="s">
        <v>355</v>
      </c>
      <c r="M2743" t="s">
        <v>356</v>
      </c>
      <c r="N2743" s="73">
        <v>67262</v>
      </c>
      <c r="O2743" s="73">
        <v>67262</v>
      </c>
      <c r="P2743">
        <v>34.681374159610094</v>
      </c>
    </row>
    <row r="2744" spans="1:16" x14ac:dyDescent="0.2">
      <c r="A2744" s="73">
        <v>67262</v>
      </c>
      <c r="B2744" t="s">
        <v>350</v>
      </c>
      <c r="C2744" s="73" t="s">
        <v>421</v>
      </c>
      <c r="D2744" t="s">
        <v>422</v>
      </c>
      <c r="E2744" s="74">
        <v>45884</v>
      </c>
      <c r="F2744" t="s">
        <v>398</v>
      </c>
      <c r="G2744" t="s">
        <v>399</v>
      </c>
      <c r="H2744" s="75">
        <f t="shared" si="42"/>
        <v>208.08824495766055</v>
      </c>
      <c r="I2744" s="74">
        <v>45884</v>
      </c>
      <c r="J2744">
        <v>6</v>
      </c>
      <c r="K2744" t="s">
        <v>288</v>
      </c>
      <c r="L2744" t="s">
        <v>367</v>
      </c>
      <c r="M2744" t="s">
        <v>356</v>
      </c>
      <c r="N2744" s="73">
        <v>67262</v>
      </c>
      <c r="O2744" s="73">
        <v>67262</v>
      </c>
      <c r="P2744">
        <v>34.681374159610094</v>
      </c>
    </row>
    <row r="2745" spans="1:16" x14ac:dyDescent="0.2">
      <c r="A2745" s="73">
        <v>67262</v>
      </c>
      <c r="B2745" t="s">
        <v>350</v>
      </c>
      <c r="C2745" s="73" t="s">
        <v>421</v>
      </c>
      <c r="D2745" t="s">
        <v>422</v>
      </c>
      <c r="E2745" s="74">
        <v>45884</v>
      </c>
      <c r="F2745" t="s">
        <v>398</v>
      </c>
      <c r="G2745" t="s">
        <v>399</v>
      </c>
      <c r="H2745" s="75">
        <f t="shared" si="42"/>
        <v>-208.08824495766055</v>
      </c>
      <c r="I2745" s="74">
        <v>45884</v>
      </c>
      <c r="J2745">
        <v>-6</v>
      </c>
      <c r="K2745" t="s">
        <v>288</v>
      </c>
      <c r="L2745" t="s">
        <v>367</v>
      </c>
      <c r="M2745" t="s">
        <v>356</v>
      </c>
      <c r="N2745" s="73">
        <v>67262</v>
      </c>
      <c r="O2745" s="73">
        <v>67262</v>
      </c>
      <c r="P2745">
        <v>34.681374159610094</v>
      </c>
    </row>
    <row r="2746" spans="1:16" x14ac:dyDescent="0.2">
      <c r="A2746" s="73">
        <v>67262</v>
      </c>
      <c r="B2746" t="s">
        <v>350</v>
      </c>
      <c r="C2746" s="73" t="s">
        <v>421</v>
      </c>
      <c r="D2746" t="s">
        <v>422</v>
      </c>
      <c r="E2746" s="74">
        <v>45882</v>
      </c>
      <c r="F2746" t="s">
        <v>398</v>
      </c>
      <c r="G2746" t="s">
        <v>399</v>
      </c>
      <c r="H2746" s="75">
        <f t="shared" si="42"/>
        <v>208.08824495766055</v>
      </c>
      <c r="I2746" s="74">
        <v>45882</v>
      </c>
      <c r="J2746">
        <v>6</v>
      </c>
      <c r="K2746" t="s">
        <v>288</v>
      </c>
      <c r="L2746" t="s">
        <v>367</v>
      </c>
      <c r="M2746" t="s">
        <v>356</v>
      </c>
      <c r="N2746" s="73">
        <v>67262</v>
      </c>
      <c r="O2746" s="73">
        <v>67262</v>
      </c>
      <c r="P2746">
        <v>34.681374159610094</v>
      </c>
    </row>
    <row r="2747" spans="1:16" x14ac:dyDescent="0.2">
      <c r="A2747" s="73">
        <v>67262</v>
      </c>
      <c r="B2747" t="s">
        <v>350</v>
      </c>
      <c r="C2747" s="73" t="s">
        <v>421</v>
      </c>
      <c r="D2747" t="s">
        <v>422</v>
      </c>
      <c r="E2747" s="74">
        <v>45883</v>
      </c>
      <c r="F2747" t="s">
        <v>398</v>
      </c>
      <c r="G2747" t="s">
        <v>399</v>
      </c>
      <c r="H2747" s="75">
        <f t="shared" si="42"/>
        <v>208.08824495766055</v>
      </c>
      <c r="I2747" s="74">
        <v>45883</v>
      </c>
      <c r="J2747">
        <v>6</v>
      </c>
      <c r="K2747" t="s">
        <v>288</v>
      </c>
      <c r="L2747" t="s">
        <v>367</v>
      </c>
      <c r="M2747" t="s">
        <v>356</v>
      </c>
      <c r="N2747" s="73">
        <v>67262</v>
      </c>
      <c r="O2747" s="73">
        <v>67262</v>
      </c>
      <c r="P2747">
        <v>34.681374159610094</v>
      </c>
    </row>
    <row r="2748" spans="1:16" x14ac:dyDescent="0.2">
      <c r="A2748" s="73">
        <v>67262</v>
      </c>
      <c r="B2748" t="s">
        <v>350</v>
      </c>
      <c r="C2748" s="73" t="s">
        <v>421</v>
      </c>
      <c r="D2748" t="s">
        <v>422</v>
      </c>
      <c r="E2748" s="74">
        <v>45887</v>
      </c>
      <c r="F2748" t="s">
        <v>410</v>
      </c>
      <c r="G2748" t="s">
        <v>411</v>
      </c>
      <c r="H2748" s="75">
        <f t="shared" si="42"/>
        <v>208.08824495766055</v>
      </c>
      <c r="I2748" s="74">
        <v>45887</v>
      </c>
      <c r="J2748">
        <v>6</v>
      </c>
      <c r="K2748" t="s">
        <v>288</v>
      </c>
      <c r="L2748" t="s">
        <v>262</v>
      </c>
      <c r="M2748" t="s">
        <v>356</v>
      </c>
      <c r="N2748" s="73">
        <v>67262</v>
      </c>
      <c r="O2748" s="73">
        <v>67262</v>
      </c>
      <c r="P2748">
        <v>34.681374159610094</v>
      </c>
    </row>
    <row r="2749" spans="1:16" x14ac:dyDescent="0.2">
      <c r="A2749" s="73">
        <v>67262</v>
      </c>
      <c r="B2749" t="s">
        <v>350</v>
      </c>
      <c r="C2749" s="73" t="s">
        <v>421</v>
      </c>
      <c r="D2749" t="s">
        <v>422</v>
      </c>
      <c r="E2749" s="74">
        <v>45887</v>
      </c>
      <c r="F2749" t="s">
        <v>353</v>
      </c>
      <c r="G2749" t="s">
        <v>354</v>
      </c>
      <c r="H2749" s="75">
        <f t="shared" si="42"/>
        <v>173.40687079805048</v>
      </c>
      <c r="I2749" s="74">
        <v>45887</v>
      </c>
      <c r="J2749">
        <v>5</v>
      </c>
      <c r="K2749" t="s">
        <v>288</v>
      </c>
      <c r="L2749" t="s">
        <v>355</v>
      </c>
      <c r="M2749" t="s">
        <v>356</v>
      </c>
      <c r="N2749" s="73">
        <v>67262</v>
      </c>
      <c r="O2749" s="73">
        <v>67262</v>
      </c>
      <c r="P2749">
        <v>34.681374159610094</v>
      </c>
    </row>
    <row r="2750" spans="1:16" x14ac:dyDescent="0.2">
      <c r="A2750" s="73">
        <v>67262</v>
      </c>
      <c r="B2750" t="s">
        <v>350</v>
      </c>
      <c r="C2750" s="73" t="s">
        <v>421</v>
      </c>
      <c r="D2750" t="s">
        <v>422</v>
      </c>
      <c r="E2750" s="74">
        <v>45887</v>
      </c>
      <c r="F2750" t="s">
        <v>387</v>
      </c>
      <c r="G2750" t="s">
        <v>388</v>
      </c>
      <c r="H2750" s="75">
        <f t="shared" si="42"/>
        <v>138.72549663844038</v>
      </c>
      <c r="I2750" s="74">
        <v>45887</v>
      </c>
      <c r="J2750">
        <v>4</v>
      </c>
      <c r="K2750" t="s">
        <v>288</v>
      </c>
      <c r="L2750" t="s">
        <v>367</v>
      </c>
      <c r="M2750" t="s">
        <v>356</v>
      </c>
      <c r="N2750" s="73">
        <v>67262</v>
      </c>
      <c r="O2750" s="73">
        <v>67262</v>
      </c>
      <c r="P2750">
        <v>34.681374159610094</v>
      </c>
    </row>
    <row r="2751" spans="1:16" x14ac:dyDescent="0.2">
      <c r="A2751" s="73">
        <v>67262</v>
      </c>
      <c r="B2751" t="s">
        <v>350</v>
      </c>
      <c r="C2751" s="73" t="s">
        <v>421</v>
      </c>
      <c r="D2751" t="s">
        <v>422</v>
      </c>
      <c r="E2751" s="74">
        <v>45887</v>
      </c>
      <c r="F2751" t="s">
        <v>398</v>
      </c>
      <c r="G2751" t="s">
        <v>399</v>
      </c>
      <c r="H2751" s="75">
        <f t="shared" si="42"/>
        <v>208.08824495766055</v>
      </c>
      <c r="I2751" s="74">
        <v>45887</v>
      </c>
      <c r="J2751">
        <v>6</v>
      </c>
      <c r="K2751" t="s">
        <v>288</v>
      </c>
      <c r="L2751" t="s">
        <v>367</v>
      </c>
      <c r="M2751" t="s">
        <v>356</v>
      </c>
      <c r="N2751" s="73">
        <v>67262</v>
      </c>
      <c r="O2751" s="73">
        <v>67262</v>
      </c>
      <c r="P2751">
        <v>34.681374159610094</v>
      </c>
    </row>
    <row r="2752" spans="1:16" x14ac:dyDescent="0.2">
      <c r="A2752" s="73">
        <v>67262</v>
      </c>
      <c r="B2752" t="s">
        <v>350</v>
      </c>
      <c r="C2752" s="73" t="s">
        <v>421</v>
      </c>
      <c r="D2752" t="s">
        <v>422</v>
      </c>
      <c r="E2752" s="74">
        <v>45887</v>
      </c>
      <c r="F2752" t="s">
        <v>404</v>
      </c>
      <c r="G2752" t="s">
        <v>405</v>
      </c>
      <c r="H2752" s="75">
        <f t="shared" si="42"/>
        <v>208.08824495766055</v>
      </c>
      <c r="I2752" s="74">
        <v>45887</v>
      </c>
      <c r="J2752">
        <v>6</v>
      </c>
      <c r="K2752" t="s">
        <v>288</v>
      </c>
      <c r="L2752" t="s">
        <v>262</v>
      </c>
      <c r="M2752" t="s">
        <v>356</v>
      </c>
      <c r="N2752" s="73">
        <v>67262</v>
      </c>
      <c r="O2752" s="73">
        <v>67262</v>
      </c>
      <c r="P2752">
        <v>34.681374159610094</v>
      </c>
    </row>
    <row r="2753" spans="1:16" hidden="1" x14ac:dyDescent="0.2">
      <c r="A2753" s="73">
        <v>67260</v>
      </c>
      <c r="B2753" t="s">
        <v>423</v>
      </c>
      <c r="C2753" s="73" t="s">
        <v>454</v>
      </c>
      <c r="D2753" t="s">
        <v>455</v>
      </c>
      <c r="E2753" s="74">
        <v>46031</v>
      </c>
      <c r="F2753" t="s">
        <v>414</v>
      </c>
      <c r="G2753" t="s">
        <v>415</v>
      </c>
      <c r="H2753" s="75">
        <f t="shared" si="42"/>
        <v>260.11030619707572</v>
      </c>
      <c r="I2753" s="74">
        <v>46031</v>
      </c>
      <c r="J2753">
        <v>7.5</v>
      </c>
      <c r="K2753" t="s">
        <v>516</v>
      </c>
      <c r="L2753" t="s">
        <v>262</v>
      </c>
      <c r="M2753" t="s">
        <v>356</v>
      </c>
      <c r="N2753" s="73">
        <v>67260</v>
      </c>
      <c r="O2753" s="73">
        <v>67260</v>
      </c>
      <c r="P2753">
        <v>34.681374159610094</v>
      </c>
    </row>
    <row r="2754" spans="1:16" x14ac:dyDescent="0.2">
      <c r="A2754" s="73">
        <v>67262</v>
      </c>
      <c r="B2754" t="s">
        <v>350</v>
      </c>
      <c r="C2754" s="73" t="s">
        <v>421</v>
      </c>
      <c r="D2754" t="s">
        <v>422</v>
      </c>
      <c r="E2754" s="74">
        <v>45888</v>
      </c>
      <c r="F2754" t="s">
        <v>410</v>
      </c>
      <c r="G2754" t="s">
        <v>411</v>
      </c>
      <c r="H2754" s="75">
        <f t="shared" ref="H2754:H2817" si="43">J2754*P2754</f>
        <v>208.08824495766055</v>
      </c>
      <c r="I2754" s="74">
        <v>45888</v>
      </c>
      <c r="J2754">
        <v>6</v>
      </c>
      <c r="K2754" t="s">
        <v>288</v>
      </c>
      <c r="L2754" t="s">
        <v>262</v>
      </c>
      <c r="M2754" t="s">
        <v>356</v>
      </c>
      <c r="N2754" s="73">
        <v>67262</v>
      </c>
      <c r="O2754" s="73">
        <v>67262</v>
      </c>
      <c r="P2754">
        <v>34.681374159610094</v>
      </c>
    </row>
    <row r="2755" spans="1:16" x14ac:dyDescent="0.2">
      <c r="A2755" s="73">
        <v>67262</v>
      </c>
      <c r="B2755" t="s">
        <v>350</v>
      </c>
      <c r="C2755" s="73" t="s">
        <v>421</v>
      </c>
      <c r="D2755" t="s">
        <v>422</v>
      </c>
      <c r="E2755" s="74">
        <v>45888</v>
      </c>
      <c r="F2755" t="s">
        <v>353</v>
      </c>
      <c r="G2755" t="s">
        <v>354</v>
      </c>
      <c r="H2755" s="75">
        <f t="shared" si="43"/>
        <v>173.40687079805048</v>
      </c>
      <c r="I2755" s="74">
        <v>45888</v>
      </c>
      <c r="J2755">
        <v>5</v>
      </c>
      <c r="K2755" t="s">
        <v>288</v>
      </c>
      <c r="L2755" t="s">
        <v>355</v>
      </c>
      <c r="M2755" t="s">
        <v>356</v>
      </c>
      <c r="N2755" s="73">
        <v>67262</v>
      </c>
      <c r="O2755" s="73">
        <v>67262</v>
      </c>
      <c r="P2755">
        <v>34.681374159610094</v>
      </c>
    </row>
    <row r="2756" spans="1:16" x14ac:dyDescent="0.2">
      <c r="A2756" s="73">
        <v>67262</v>
      </c>
      <c r="B2756" t="s">
        <v>350</v>
      </c>
      <c r="C2756" s="73" t="s">
        <v>421</v>
      </c>
      <c r="D2756" t="s">
        <v>422</v>
      </c>
      <c r="E2756" s="74">
        <v>45888</v>
      </c>
      <c r="F2756" t="s">
        <v>387</v>
      </c>
      <c r="G2756" t="s">
        <v>388</v>
      </c>
      <c r="H2756" s="75">
        <f t="shared" si="43"/>
        <v>208.08824495766055</v>
      </c>
      <c r="I2756" s="74">
        <v>45888</v>
      </c>
      <c r="J2756">
        <v>6</v>
      </c>
      <c r="K2756" t="s">
        <v>288</v>
      </c>
      <c r="L2756" t="s">
        <v>367</v>
      </c>
      <c r="M2756" t="s">
        <v>356</v>
      </c>
      <c r="N2756" s="73">
        <v>67262</v>
      </c>
      <c r="O2756" s="73">
        <v>67262</v>
      </c>
      <c r="P2756">
        <v>34.681374159610094</v>
      </c>
    </row>
    <row r="2757" spans="1:16" x14ac:dyDescent="0.2">
      <c r="A2757" s="73">
        <v>67262</v>
      </c>
      <c r="B2757" t="s">
        <v>350</v>
      </c>
      <c r="C2757" s="73" t="s">
        <v>421</v>
      </c>
      <c r="D2757" t="s">
        <v>422</v>
      </c>
      <c r="E2757" s="74">
        <v>45888</v>
      </c>
      <c r="F2757" t="s">
        <v>360</v>
      </c>
      <c r="G2757" t="s">
        <v>361</v>
      </c>
      <c r="H2757" s="75">
        <f t="shared" si="43"/>
        <v>208.08824495766055</v>
      </c>
      <c r="I2757" s="74">
        <v>45888</v>
      </c>
      <c r="J2757">
        <v>6</v>
      </c>
      <c r="K2757" t="s">
        <v>288</v>
      </c>
      <c r="L2757" t="s">
        <v>262</v>
      </c>
      <c r="M2757" t="s">
        <v>356</v>
      </c>
      <c r="N2757" s="73">
        <v>67262</v>
      </c>
      <c r="O2757" s="73">
        <v>67262</v>
      </c>
      <c r="P2757">
        <v>34.681374159610094</v>
      </c>
    </row>
    <row r="2758" spans="1:16" x14ac:dyDescent="0.2">
      <c r="A2758" s="73">
        <v>67262</v>
      </c>
      <c r="B2758" t="s">
        <v>350</v>
      </c>
      <c r="C2758" s="73" t="s">
        <v>421</v>
      </c>
      <c r="D2758" t="s">
        <v>422</v>
      </c>
      <c r="E2758" s="74">
        <v>45888</v>
      </c>
      <c r="F2758" t="s">
        <v>398</v>
      </c>
      <c r="G2758" t="s">
        <v>399</v>
      </c>
      <c r="H2758" s="75">
        <f t="shared" si="43"/>
        <v>208.08824495766055</v>
      </c>
      <c r="I2758" s="74">
        <v>45888</v>
      </c>
      <c r="J2758">
        <v>6</v>
      </c>
      <c r="K2758" t="s">
        <v>288</v>
      </c>
      <c r="L2758" t="s">
        <v>367</v>
      </c>
      <c r="M2758" t="s">
        <v>356</v>
      </c>
      <c r="N2758" s="73">
        <v>67262</v>
      </c>
      <c r="O2758" s="73">
        <v>67262</v>
      </c>
      <c r="P2758">
        <v>34.681374159610094</v>
      </c>
    </row>
    <row r="2759" spans="1:16" x14ac:dyDescent="0.2">
      <c r="A2759" s="73">
        <v>67262</v>
      </c>
      <c r="B2759" t="s">
        <v>350</v>
      </c>
      <c r="C2759" s="73" t="s">
        <v>421</v>
      </c>
      <c r="D2759" t="s">
        <v>422</v>
      </c>
      <c r="E2759" s="74">
        <v>45888</v>
      </c>
      <c r="F2759" t="s">
        <v>404</v>
      </c>
      <c r="G2759" t="s">
        <v>405</v>
      </c>
      <c r="H2759" s="75">
        <f t="shared" si="43"/>
        <v>208.08824495766055</v>
      </c>
      <c r="I2759" s="74">
        <v>45888</v>
      </c>
      <c r="J2759">
        <v>6</v>
      </c>
      <c r="K2759" t="s">
        <v>288</v>
      </c>
      <c r="L2759" t="s">
        <v>262</v>
      </c>
      <c r="M2759" t="s">
        <v>356</v>
      </c>
      <c r="N2759" s="73">
        <v>67262</v>
      </c>
      <c r="O2759" s="73">
        <v>67262</v>
      </c>
      <c r="P2759">
        <v>34.681374159610094</v>
      </c>
    </row>
    <row r="2760" spans="1:16" x14ac:dyDescent="0.2">
      <c r="A2760" s="73">
        <v>67262</v>
      </c>
      <c r="B2760" t="s">
        <v>350</v>
      </c>
      <c r="C2760" s="73" t="s">
        <v>421</v>
      </c>
      <c r="D2760" t="s">
        <v>422</v>
      </c>
      <c r="E2760" s="74">
        <v>45889</v>
      </c>
      <c r="F2760" t="s">
        <v>410</v>
      </c>
      <c r="G2760" t="s">
        <v>411</v>
      </c>
      <c r="H2760" s="75">
        <f t="shared" si="43"/>
        <v>138.72549663844038</v>
      </c>
      <c r="I2760" s="74">
        <v>45889</v>
      </c>
      <c r="J2760">
        <v>4</v>
      </c>
      <c r="K2760" t="s">
        <v>288</v>
      </c>
      <c r="L2760" t="s">
        <v>262</v>
      </c>
      <c r="M2760" t="s">
        <v>356</v>
      </c>
      <c r="N2760" s="73">
        <v>67262</v>
      </c>
      <c r="O2760" s="73">
        <v>67262</v>
      </c>
      <c r="P2760">
        <v>34.681374159610094</v>
      </c>
    </row>
    <row r="2761" spans="1:16" x14ac:dyDescent="0.2">
      <c r="A2761" s="73">
        <v>67262</v>
      </c>
      <c r="B2761" t="s">
        <v>350</v>
      </c>
      <c r="C2761" s="73" t="s">
        <v>421</v>
      </c>
      <c r="D2761" t="s">
        <v>422</v>
      </c>
      <c r="E2761" s="74">
        <v>45889</v>
      </c>
      <c r="F2761" t="s">
        <v>353</v>
      </c>
      <c r="G2761" t="s">
        <v>354</v>
      </c>
      <c r="H2761" s="75">
        <f t="shared" si="43"/>
        <v>173.40687079805048</v>
      </c>
      <c r="I2761" s="74">
        <v>45889</v>
      </c>
      <c r="J2761">
        <v>5</v>
      </c>
      <c r="K2761" t="s">
        <v>288</v>
      </c>
      <c r="L2761" t="s">
        <v>355</v>
      </c>
      <c r="M2761" t="s">
        <v>356</v>
      </c>
      <c r="N2761" s="73">
        <v>67262</v>
      </c>
      <c r="O2761" s="73">
        <v>67262</v>
      </c>
      <c r="P2761">
        <v>34.681374159610094</v>
      </c>
    </row>
    <row r="2762" spans="1:16" x14ac:dyDescent="0.2">
      <c r="A2762" s="73">
        <v>67262</v>
      </c>
      <c r="B2762" t="s">
        <v>350</v>
      </c>
      <c r="C2762" s="73" t="s">
        <v>421</v>
      </c>
      <c r="D2762" t="s">
        <v>422</v>
      </c>
      <c r="E2762" s="74">
        <v>45889</v>
      </c>
      <c r="F2762" t="s">
        <v>387</v>
      </c>
      <c r="G2762" t="s">
        <v>388</v>
      </c>
      <c r="H2762" s="75">
        <f t="shared" si="43"/>
        <v>104.04412247883027</v>
      </c>
      <c r="I2762" s="74">
        <v>45889</v>
      </c>
      <c r="J2762">
        <v>3</v>
      </c>
      <c r="K2762" t="s">
        <v>288</v>
      </c>
      <c r="L2762" t="s">
        <v>367</v>
      </c>
      <c r="M2762" t="s">
        <v>356</v>
      </c>
      <c r="N2762" s="73">
        <v>67262</v>
      </c>
      <c r="O2762" s="73">
        <v>67262</v>
      </c>
      <c r="P2762">
        <v>34.681374159610094</v>
      </c>
    </row>
    <row r="2763" spans="1:16" x14ac:dyDescent="0.2">
      <c r="A2763" s="73">
        <v>67262</v>
      </c>
      <c r="B2763" t="s">
        <v>350</v>
      </c>
      <c r="C2763" s="73" t="s">
        <v>421</v>
      </c>
      <c r="D2763" t="s">
        <v>422</v>
      </c>
      <c r="E2763" s="74">
        <v>45889</v>
      </c>
      <c r="F2763" t="s">
        <v>398</v>
      </c>
      <c r="G2763" t="s">
        <v>399</v>
      </c>
      <c r="H2763" s="75">
        <f t="shared" si="43"/>
        <v>208.08824495766055</v>
      </c>
      <c r="I2763" s="74">
        <v>45889</v>
      </c>
      <c r="J2763">
        <v>6</v>
      </c>
      <c r="K2763" t="s">
        <v>288</v>
      </c>
      <c r="L2763" t="s">
        <v>367</v>
      </c>
      <c r="M2763" t="s">
        <v>356</v>
      </c>
      <c r="N2763" s="73">
        <v>67262</v>
      </c>
      <c r="O2763" s="73">
        <v>67262</v>
      </c>
      <c r="P2763">
        <v>34.681374159610094</v>
      </c>
    </row>
    <row r="2764" spans="1:16" hidden="1" x14ac:dyDescent="0.2">
      <c r="A2764" s="73">
        <v>67260</v>
      </c>
      <c r="B2764" t="s">
        <v>423</v>
      </c>
      <c r="C2764" s="73" t="s">
        <v>454</v>
      </c>
      <c r="D2764" t="s">
        <v>455</v>
      </c>
      <c r="E2764" s="74">
        <v>46034</v>
      </c>
      <c r="F2764" t="s">
        <v>414</v>
      </c>
      <c r="G2764" t="s">
        <v>415</v>
      </c>
      <c r="H2764" s="75">
        <f t="shared" si="43"/>
        <v>260.11030619707572</v>
      </c>
      <c r="I2764" s="74">
        <v>46034</v>
      </c>
      <c r="J2764">
        <v>7.5</v>
      </c>
      <c r="K2764" t="s">
        <v>516</v>
      </c>
      <c r="L2764" t="s">
        <v>262</v>
      </c>
      <c r="M2764" t="s">
        <v>356</v>
      </c>
      <c r="N2764" s="73">
        <v>67260</v>
      </c>
      <c r="O2764" s="73">
        <v>67260</v>
      </c>
      <c r="P2764">
        <v>34.681374159610094</v>
      </c>
    </row>
    <row r="2765" spans="1:16" x14ac:dyDescent="0.2">
      <c r="A2765" s="73">
        <v>67262</v>
      </c>
      <c r="B2765" t="s">
        <v>350</v>
      </c>
      <c r="C2765" s="73" t="s">
        <v>421</v>
      </c>
      <c r="D2765" t="s">
        <v>422</v>
      </c>
      <c r="E2765" s="74">
        <v>45890</v>
      </c>
      <c r="F2765" t="s">
        <v>353</v>
      </c>
      <c r="G2765" t="s">
        <v>354</v>
      </c>
      <c r="H2765" s="75">
        <f t="shared" si="43"/>
        <v>173.40687079805048</v>
      </c>
      <c r="I2765" s="74">
        <v>45890</v>
      </c>
      <c r="J2765">
        <v>5</v>
      </c>
      <c r="K2765" t="s">
        <v>288</v>
      </c>
      <c r="L2765" t="s">
        <v>355</v>
      </c>
      <c r="M2765" t="s">
        <v>356</v>
      </c>
      <c r="N2765" s="73">
        <v>67262</v>
      </c>
      <c r="O2765" s="73">
        <v>67262</v>
      </c>
      <c r="P2765">
        <v>34.681374159610094</v>
      </c>
    </row>
    <row r="2766" spans="1:16" x14ac:dyDescent="0.2">
      <c r="A2766" s="73">
        <v>67262</v>
      </c>
      <c r="B2766" t="s">
        <v>350</v>
      </c>
      <c r="C2766" s="73" t="s">
        <v>421</v>
      </c>
      <c r="D2766" t="s">
        <v>422</v>
      </c>
      <c r="E2766" s="74">
        <v>45890</v>
      </c>
      <c r="F2766" t="s">
        <v>387</v>
      </c>
      <c r="G2766" t="s">
        <v>388</v>
      </c>
      <c r="H2766" s="75">
        <f t="shared" si="43"/>
        <v>138.72549663844038</v>
      </c>
      <c r="I2766" s="74">
        <v>45890</v>
      </c>
      <c r="J2766">
        <v>4</v>
      </c>
      <c r="K2766" t="s">
        <v>288</v>
      </c>
      <c r="L2766" t="s">
        <v>367</v>
      </c>
      <c r="M2766" t="s">
        <v>356</v>
      </c>
      <c r="N2766" s="73">
        <v>67262</v>
      </c>
      <c r="O2766" s="73">
        <v>67262</v>
      </c>
      <c r="P2766">
        <v>34.681374159610094</v>
      </c>
    </row>
    <row r="2767" spans="1:16" x14ac:dyDescent="0.2">
      <c r="A2767" s="73">
        <v>67262</v>
      </c>
      <c r="B2767" t="s">
        <v>350</v>
      </c>
      <c r="C2767" s="73" t="s">
        <v>421</v>
      </c>
      <c r="D2767" t="s">
        <v>422</v>
      </c>
      <c r="E2767" s="74">
        <v>45890</v>
      </c>
      <c r="F2767" t="s">
        <v>398</v>
      </c>
      <c r="G2767" t="s">
        <v>399</v>
      </c>
      <c r="H2767" s="75">
        <f t="shared" si="43"/>
        <v>208.08824495766055</v>
      </c>
      <c r="I2767" s="74">
        <v>45890</v>
      </c>
      <c r="J2767">
        <v>6</v>
      </c>
      <c r="K2767" t="s">
        <v>288</v>
      </c>
      <c r="L2767" t="s">
        <v>367</v>
      </c>
      <c r="M2767" t="s">
        <v>356</v>
      </c>
      <c r="N2767" s="73">
        <v>67262</v>
      </c>
      <c r="O2767" s="73">
        <v>67262</v>
      </c>
      <c r="P2767">
        <v>34.681374159610094</v>
      </c>
    </row>
    <row r="2768" spans="1:16" x14ac:dyDescent="0.2">
      <c r="A2768" s="73">
        <v>67262</v>
      </c>
      <c r="B2768" t="s">
        <v>350</v>
      </c>
      <c r="C2768" s="73" t="s">
        <v>421</v>
      </c>
      <c r="D2768" t="s">
        <v>422</v>
      </c>
      <c r="E2768" s="74">
        <v>45891</v>
      </c>
      <c r="F2768" t="s">
        <v>353</v>
      </c>
      <c r="G2768" t="s">
        <v>354</v>
      </c>
      <c r="H2768" s="75">
        <f t="shared" si="43"/>
        <v>173.40687079805048</v>
      </c>
      <c r="I2768" s="74">
        <v>45891</v>
      </c>
      <c r="J2768">
        <v>5</v>
      </c>
      <c r="K2768" t="s">
        <v>288</v>
      </c>
      <c r="L2768" t="s">
        <v>355</v>
      </c>
      <c r="M2768" t="s">
        <v>356</v>
      </c>
      <c r="N2768" s="73">
        <v>67262</v>
      </c>
      <c r="O2768" s="73">
        <v>67262</v>
      </c>
      <c r="P2768">
        <v>34.681374159610094</v>
      </c>
    </row>
    <row r="2769" spans="1:16" x14ac:dyDescent="0.2">
      <c r="A2769" s="73">
        <v>67262</v>
      </c>
      <c r="B2769" t="s">
        <v>350</v>
      </c>
      <c r="C2769" s="73" t="s">
        <v>421</v>
      </c>
      <c r="D2769" t="s">
        <v>422</v>
      </c>
      <c r="E2769" s="74">
        <v>45891</v>
      </c>
      <c r="F2769" t="s">
        <v>387</v>
      </c>
      <c r="G2769" t="s">
        <v>388</v>
      </c>
      <c r="H2769" s="75">
        <f t="shared" si="43"/>
        <v>138.72549663844038</v>
      </c>
      <c r="I2769" s="74">
        <v>45891</v>
      </c>
      <c r="J2769">
        <v>4</v>
      </c>
      <c r="K2769" t="s">
        <v>288</v>
      </c>
      <c r="L2769" t="s">
        <v>367</v>
      </c>
      <c r="M2769" t="s">
        <v>356</v>
      </c>
      <c r="N2769" s="73">
        <v>67262</v>
      </c>
      <c r="O2769" s="73">
        <v>67262</v>
      </c>
      <c r="P2769">
        <v>34.681374159610094</v>
      </c>
    </row>
    <row r="2770" spans="1:16" x14ac:dyDescent="0.2">
      <c r="A2770" s="73">
        <v>67262</v>
      </c>
      <c r="B2770" t="s">
        <v>350</v>
      </c>
      <c r="C2770" s="73" t="s">
        <v>421</v>
      </c>
      <c r="D2770" t="s">
        <v>422</v>
      </c>
      <c r="E2770" s="74">
        <v>45891</v>
      </c>
      <c r="F2770" t="s">
        <v>398</v>
      </c>
      <c r="G2770" t="s">
        <v>399</v>
      </c>
      <c r="H2770" s="75">
        <f t="shared" si="43"/>
        <v>208.08824495766055</v>
      </c>
      <c r="I2770" s="74">
        <v>45891</v>
      </c>
      <c r="J2770">
        <v>6</v>
      </c>
      <c r="K2770" t="s">
        <v>288</v>
      </c>
      <c r="L2770" t="s">
        <v>367</v>
      </c>
      <c r="M2770" t="s">
        <v>356</v>
      </c>
      <c r="N2770" s="73">
        <v>67262</v>
      </c>
      <c r="O2770" s="73">
        <v>67262</v>
      </c>
      <c r="P2770">
        <v>34.681374159610094</v>
      </c>
    </row>
    <row r="2771" spans="1:16" x14ac:dyDescent="0.2">
      <c r="A2771" s="73">
        <v>67262</v>
      </c>
      <c r="B2771" t="s">
        <v>350</v>
      </c>
      <c r="C2771" s="73" t="s">
        <v>421</v>
      </c>
      <c r="D2771" t="s">
        <v>422</v>
      </c>
      <c r="E2771" s="74">
        <v>45894</v>
      </c>
      <c r="F2771" t="s">
        <v>410</v>
      </c>
      <c r="G2771" t="s">
        <v>411</v>
      </c>
      <c r="H2771" s="75">
        <f t="shared" si="43"/>
        <v>208.08824495766055</v>
      </c>
      <c r="I2771" s="74">
        <v>45894</v>
      </c>
      <c r="J2771">
        <v>6</v>
      </c>
      <c r="K2771" t="s">
        <v>288</v>
      </c>
      <c r="L2771" t="s">
        <v>262</v>
      </c>
      <c r="M2771" t="s">
        <v>356</v>
      </c>
      <c r="N2771" s="73">
        <v>67262</v>
      </c>
      <c r="O2771" s="73">
        <v>67262</v>
      </c>
      <c r="P2771">
        <v>34.681374159610094</v>
      </c>
    </row>
    <row r="2772" spans="1:16" x14ac:dyDescent="0.2">
      <c r="A2772" s="73">
        <v>67262</v>
      </c>
      <c r="B2772" t="s">
        <v>350</v>
      </c>
      <c r="C2772" s="73" t="s">
        <v>421</v>
      </c>
      <c r="D2772" t="s">
        <v>422</v>
      </c>
      <c r="E2772" s="74">
        <v>45894</v>
      </c>
      <c r="F2772" t="s">
        <v>387</v>
      </c>
      <c r="G2772" t="s">
        <v>388</v>
      </c>
      <c r="H2772" s="75">
        <f t="shared" si="43"/>
        <v>-173.40687079805048</v>
      </c>
      <c r="I2772" s="74">
        <v>45894</v>
      </c>
      <c r="J2772">
        <v>-5</v>
      </c>
      <c r="K2772" t="s">
        <v>288</v>
      </c>
      <c r="L2772" t="s">
        <v>367</v>
      </c>
      <c r="M2772" t="s">
        <v>356</v>
      </c>
      <c r="N2772" s="73">
        <v>67262</v>
      </c>
      <c r="O2772" s="73">
        <v>67262</v>
      </c>
      <c r="P2772">
        <v>34.681374159610094</v>
      </c>
    </row>
    <row r="2773" spans="1:16" x14ac:dyDescent="0.2">
      <c r="A2773" s="73">
        <v>67262</v>
      </c>
      <c r="B2773" t="s">
        <v>350</v>
      </c>
      <c r="C2773" s="73" t="s">
        <v>421</v>
      </c>
      <c r="D2773" t="s">
        <v>422</v>
      </c>
      <c r="E2773" s="74">
        <v>45894</v>
      </c>
      <c r="F2773" t="s">
        <v>387</v>
      </c>
      <c r="G2773" t="s">
        <v>388</v>
      </c>
      <c r="H2773" s="75">
        <f t="shared" si="43"/>
        <v>173.40687079805048</v>
      </c>
      <c r="I2773" s="74">
        <v>45894</v>
      </c>
      <c r="J2773">
        <v>5</v>
      </c>
      <c r="K2773" t="s">
        <v>288</v>
      </c>
      <c r="L2773" t="s">
        <v>367</v>
      </c>
      <c r="M2773" t="s">
        <v>356</v>
      </c>
      <c r="N2773" s="73">
        <v>67262</v>
      </c>
      <c r="O2773" s="73">
        <v>67262</v>
      </c>
      <c r="P2773">
        <v>34.681374159610094</v>
      </c>
    </row>
    <row r="2774" spans="1:16" x14ac:dyDescent="0.2">
      <c r="A2774" s="73">
        <v>67262</v>
      </c>
      <c r="B2774" t="s">
        <v>350</v>
      </c>
      <c r="C2774" s="73" t="s">
        <v>421</v>
      </c>
      <c r="D2774" t="s">
        <v>422</v>
      </c>
      <c r="E2774" s="74">
        <v>45894</v>
      </c>
      <c r="F2774" t="s">
        <v>395</v>
      </c>
      <c r="G2774" t="s">
        <v>396</v>
      </c>
      <c r="H2774" s="75">
        <f t="shared" si="43"/>
        <v>34.681374159610094</v>
      </c>
      <c r="I2774" s="74">
        <v>45894</v>
      </c>
      <c r="J2774">
        <v>1</v>
      </c>
      <c r="K2774" t="s">
        <v>288</v>
      </c>
      <c r="L2774" t="s">
        <v>262</v>
      </c>
      <c r="M2774" t="s">
        <v>356</v>
      </c>
      <c r="N2774" s="73">
        <v>67262</v>
      </c>
      <c r="O2774" s="73">
        <v>67262</v>
      </c>
      <c r="P2774">
        <v>34.681374159610094</v>
      </c>
    </row>
    <row r="2775" spans="1:16" x14ac:dyDescent="0.2">
      <c r="A2775" s="73">
        <v>67262</v>
      </c>
      <c r="B2775" t="s">
        <v>350</v>
      </c>
      <c r="C2775" s="73" t="s">
        <v>421</v>
      </c>
      <c r="D2775" t="s">
        <v>422</v>
      </c>
      <c r="E2775" s="74">
        <v>45894</v>
      </c>
      <c r="F2775" t="s">
        <v>398</v>
      </c>
      <c r="G2775" t="s">
        <v>399</v>
      </c>
      <c r="H2775" s="75">
        <f t="shared" si="43"/>
        <v>208.08824495766055</v>
      </c>
      <c r="I2775" s="74">
        <v>45894</v>
      </c>
      <c r="J2775">
        <v>6</v>
      </c>
      <c r="K2775" t="s">
        <v>288</v>
      </c>
      <c r="L2775" t="s">
        <v>367</v>
      </c>
      <c r="M2775" t="s">
        <v>356</v>
      </c>
      <c r="N2775" s="73">
        <v>67262</v>
      </c>
      <c r="O2775" s="73">
        <v>67262</v>
      </c>
      <c r="P2775">
        <v>34.681374159610094</v>
      </c>
    </row>
    <row r="2776" spans="1:16" x14ac:dyDescent="0.2">
      <c r="A2776" s="73">
        <v>67262</v>
      </c>
      <c r="B2776" t="s">
        <v>350</v>
      </c>
      <c r="C2776" s="73" t="s">
        <v>421</v>
      </c>
      <c r="D2776" t="s">
        <v>422</v>
      </c>
      <c r="E2776" s="74">
        <v>45894</v>
      </c>
      <c r="F2776" t="s">
        <v>353</v>
      </c>
      <c r="G2776" t="s">
        <v>354</v>
      </c>
      <c r="H2776" s="75">
        <f t="shared" si="43"/>
        <v>104.04412247883027</v>
      </c>
      <c r="I2776" s="74">
        <v>45894</v>
      </c>
      <c r="J2776">
        <v>3</v>
      </c>
      <c r="K2776" t="s">
        <v>288</v>
      </c>
      <c r="L2776" t="s">
        <v>355</v>
      </c>
      <c r="M2776" t="s">
        <v>356</v>
      </c>
      <c r="N2776" s="73">
        <v>67262</v>
      </c>
      <c r="O2776" s="73">
        <v>67262</v>
      </c>
      <c r="P2776">
        <v>34.681374159610094</v>
      </c>
    </row>
    <row r="2777" spans="1:16" x14ac:dyDescent="0.2">
      <c r="A2777" s="73">
        <v>67262</v>
      </c>
      <c r="B2777" t="s">
        <v>350</v>
      </c>
      <c r="C2777" s="73" t="s">
        <v>421</v>
      </c>
      <c r="D2777" t="s">
        <v>422</v>
      </c>
      <c r="E2777" s="74">
        <v>45894</v>
      </c>
      <c r="F2777" t="s">
        <v>387</v>
      </c>
      <c r="G2777" t="s">
        <v>388</v>
      </c>
      <c r="H2777" s="75">
        <f t="shared" si="43"/>
        <v>173.40687079805048</v>
      </c>
      <c r="I2777" s="74">
        <v>45894</v>
      </c>
      <c r="J2777">
        <v>5</v>
      </c>
      <c r="K2777" t="s">
        <v>288</v>
      </c>
      <c r="L2777" t="s">
        <v>367</v>
      </c>
      <c r="M2777" t="s">
        <v>356</v>
      </c>
      <c r="N2777" s="73">
        <v>67262</v>
      </c>
      <c r="O2777" s="73">
        <v>67262</v>
      </c>
      <c r="P2777">
        <v>34.681374159610094</v>
      </c>
    </row>
    <row r="2778" spans="1:16" hidden="1" x14ac:dyDescent="0.2">
      <c r="A2778" s="73">
        <v>67260</v>
      </c>
      <c r="B2778" t="s">
        <v>423</v>
      </c>
      <c r="C2778" s="73" t="s">
        <v>454</v>
      </c>
      <c r="D2778" t="s">
        <v>455</v>
      </c>
      <c r="E2778" s="74">
        <v>46035</v>
      </c>
      <c r="F2778" t="s">
        <v>414</v>
      </c>
      <c r="G2778" t="s">
        <v>415</v>
      </c>
      <c r="H2778" s="75">
        <f t="shared" si="43"/>
        <v>260.11030619707572</v>
      </c>
      <c r="I2778" s="74">
        <v>46035</v>
      </c>
      <c r="J2778">
        <v>7.5</v>
      </c>
      <c r="K2778" t="s">
        <v>516</v>
      </c>
      <c r="L2778" t="s">
        <v>262</v>
      </c>
      <c r="M2778" t="s">
        <v>356</v>
      </c>
      <c r="N2778" s="73">
        <v>67260</v>
      </c>
      <c r="O2778" s="73">
        <v>67260</v>
      </c>
      <c r="P2778">
        <v>34.681374159610094</v>
      </c>
    </row>
    <row r="2779" spans="1:16" x14ac:dyDescent="0.2">
      <c r="A2779" s="73">
        <v>67262</v>
      </c>
      <c r="B2779" t="s">
        <v>350</v>
      </c>
      <c r="C2779" s="73" t="s">
        <v>421</v>
      </c>
      <c r="D2779" t="s">
        <v>422</v>
      </c>
      <c r="E2779" s="74">
        <v>45894</v>
      </c>
      <c r="F2779" t="s">
        <v>387</v>
      </c>
      <c r="G2779" t="s">
        <v>388</v>
      </c>
      <c r="H2779" s="75">
        <f t="shared" si="43"/>
        <v>-173.40687079805048</v>
      </c>
      <c r="I2779" s="74">
        <v>45894</v>
      </c>
      <c r="J2779">
        <v>-5</v>
      </c>
      <c r="K2779" t="s">
        <v>288</v>
      </c>
      <c r="L2779" t="s">
        <v>367</v>
      </c>
      <c r="M2779" t="s">
        <v>356</v>
      </c>
      <c r="N2779" s="73">
        <v>67262</v>
      </c>
      <c r="O2779" s="73">
        <v>67262</v>
      </c>
      <c r="P2779">
        <v>34.681374159610094</v>
      </c>
    </row>
    <row r="2780" spans="1:16" x14ac:dyDescent="0.2">
      <c r="A2780" s="73">
        <v>67262</v>
      </c>
      <c r="B2780" t="s">
        <v>350</v>
      </c>
      <c r="C2780" s="73" t="s">
        <v>421</v>
      </c>
      <c r="D2780" t="s">
        <v>422</v>
      </c>
      <c r="E2780" s="74">
        <v>45894</v>
      </c>
      <c r="F2780" t="s">
        <v>387</v>
      </c>
      <c r="G2780" t="s">
        <v>388</v>
      </c>
      <c r="H2780" s="75">
        <f t="shared" si="43"/>
        <v>173.40687079805048</v>
      </c>
      <c r="I2780" s="74">
        <v>45894</v>
      </c>
      <c r="J2780">
        <v>5</v>
      </c>
      <c r="K2780" t="s">
        <v>288</v>
      </c>
      <c r="L2780" t="s">
        <v>367</v>
      </c>
      <c r="M2780" t="s">
        <v>356</v>
      </c>
      <c r="N2780" s="73">
        <v>67262</v>
      </c>
      <c r="O2780" s="73">
        <v>67262</v>
      </c>
      <c r="P2780">
        <v>34.681374159610094</v>
      </c>
    </row>
    <row r="2781" spans="1:16" x14ac:dyDescent="0.2">
      <c r="A2781" s="73">
        <v>67262</v>
      </c>
      <c r="B2781" t="s">
        <v>350</v>
      </c>
      <c r="C2781" s="73" t="s">
        <v>421</v>
      </c>
      <c r="D2781" t="s">
        <v>422</v>
      </c>
      <c r="E2781" s="74">
        <v>45895</v>
      </c>
      <c r="F2781" t="s">
        <v>387</v>
      </c>
      <c r="G2781" t="s">
        <v>388</v>
      </c>
      <c r="H2781" s="75">
        <f t="shared" si="43"/>
        <v>-173.40687079805048</v>
      </c>
      <c r="I2781" s="74">
        <v>45895</v>
      </c>
      <c r="J2781">
        <v>-5</v>
      </c>
      <c r="K2781" t="s">
        <v>288</v>
      </c>
      <c r="L2781" t="s">
        <v>367</v>
      </c>
      <c r="M2781" t="s">
        <v>356</v>
      </c>
      <c r="N2781" s="73">
        <v>67262</v>
      </c>
      <c r="O2781" s="73">
        <v>67262</v>
      </c>
      <c r="P2781">
        <v>34.681374159610094</v>
      </c>
    </row>
    <row r="2782" spans="1:16" x14ac:dyDescent="0.2">
      <c r="A2782" s="73">
        <v>67262</v>
      </c>
      <c r="B2782" t="s">
        <v>350</v>
      </c>
      <c r="C2782" s="73" t="s">
        <v>421</v>
      </c>
      <c r="D2782" t="s">
        <v>422</v>
      </c>
      <c r="E2782" s="74">
        <v>45895</v>
      </c>
      <c r="F2782" t="s">
        <v>387</v>
      </c>
      <c r="G2782" t="s">
        <v>388</v>
      </c>
      <c r="H2782" s="75">
        <f t="shared" si="43"/>
        <v>173.40687079805048</v>
      </c>
      <c r="I2782" s="74">
        <v>45895</v>
      </c>
      <c r="J2782">
        <v>5</v>
      </c>
      <c r="K2782" t="s">
        <v>288</v>
      </c>
      <c r="L2782" t="s">
        <v>367</v>
      </c>
      <c r="M2782" t="s">
        <v>356</v>
      </c>
      <c r="N2782" s="73">
        <v>67262</v>
      </c>
      <c r="O2782" s="73">
        <v>67262</v>
      </c>
      <c r="P2782">
        <v>34.681374159610094</v>
      </c>
    </row>
    <row r="2783" spans="1:16" x14ac:dyDescent="0.2">
      <c r="A2783" s="73">
        <v>67262</v>
      </c>
      <c r="B2783" t="s">
        <v>350</v>
      </c>
      <c r="C2783" s="73" t="s">
        <v>421</v>
      </c>
      <c r="D2783" t="s">
        <v>422</v>
      </c>
      <c r="E2783" s="74">
        <v>45895</v>
      </c>
      <c r="F2783" t="s">
        <v>398</v>
      </c>
      <c r="G2783" t="s">
        <v>399</v>
      </c>
      <c r="H2783" s="75">
        <f t="shared" si="43"/>
        <v>208.08824495766055</v>
      </c>
      <c r="I2783" s="74">
        <v>45895</v>
      </c>
      <c r="J2783">
        <v>6</v>
      </c>
      <c r="K2783" t="s">
        <v>288</v>
      </c>
      <c r="L2783" t="s">
        <v>367</v>
      </c>
      <c r="M2783" t="s">
        <v>356</v>
      </c>
      <c r="N2783" s="73">
        <v>67262</v>
      </c>
      <c r="O2783" s="73">
        <v>67262</v>
      </c>
      <c r="P2783">
        <v>34.681374159610094</v>
      </c>
    </row>
    <row r="2784" spans="1:16" x14ac:dyDescent="0.2">
      <c r="A2784" s="73">
        <v>67262</v>
      </c>
      <c r="B2784" t="s">
        <v>350</v>
      </c>
      <c r="C2784" s="73" t="s">
        <v>421</v>
      </c>
      <c r="D2784" t="s">
        <v>422</v>
      </c>
      <c r="E2784" s="74">
        <v>45895</v>
      </c>
      <c r="F2784" t="s">
        <v>395</v>
      </c>
      <c r="G2784" t="s">
        <v>396</v>
      </c>
      <c r="H2784" s="75">
        <f t="shared" si="43"/>
        <v>208.08824495766055</v>
      </c>
      <c r="I2784" s="74">
        <v>45895</v>
      </c>
      <c r="J2784">
        <v>6</v>
      </c>
      <c r="K2784" t="s">
        <v>288</v>
      </c>
      <c r="L2784" t="s">
        <v>262</v>
      </c>
      <c r="M2784" t="s">
        <v>356</v>
      </c>
      <c r="N2784" s="73">
        <v>67262</v>
      </c>
      <c r="O2784" s="73">
        <v>67262</v>
      </c>
      <c r="P2784">
        <v>34.681374159610094</v>
      </c>
    </row>
    <row r="2785" spans="1:16" x14ac:dyDescent="0.2">
      <c r="A2785" s="73">
        <v>67262</v>
      </c>
      <c r="B2785" t="s">
        <v>350</v>
      </c>
      <c r="C2785" s="73" t="s">
        <v>421</v>
      </c>
      <c r="D2785" t="s">
        <v>422</v>
      </c>
      <c r="E2785" s="74">
        <v>45895</v>
      </c>
      <c r="F2785" t="s">
        <v>353</v>
      </c>
      <c r="G2785" t="s">
        <v>354</v>
      </c>
      <c r="H2785" s="75">
        <f t="shared" si="43"/>
        <v>104.04412247883027</v>
      </c>
      <c r="I2785" s="74">
        <v>45895</v>
      </c>
      <c r="J2785">
        <v>3</v>
      </c>
      <c r="K2785" t="s">
        <v>288</v>
      </c>
      <c r="L2785" t="s">
        <v>355</v>
      </c>
      <c r="M2785" t="s">
        <v>356</v>
      </c>
      <c r="N2785" s="73">
        <v>67262</v>
      </c>
      <c r="O2785" s="73">
        <v>67262</v>
      </c>
      <c r="P2785">
        <v>34.681374159610094</v>
      </c>
    </row>
    <row r="2786" spans="1:16" x14ac:dyDescent="0.2">
      <c r="A2786" s="73">
        <v>67262</v>
      </c>
      <c r="B2786" t="s">
        <v>350</v>
      </c>
      <c r="C2786" s="73" t="s">
        <v>421</v>
      </c>
      <c r="D2786" t="s">
        <v>422</v>
      </c>
      <c r="E2786" s="74">
        <v>45895</v>
      </c>
      <c r="F2786" t="s">
        <v>387</v>
      </c>
      <c r="G2786" t="s">
        <v>388</v>
      </c>
      <c r="H2786" s="75">
        <f t="shared" si="43"/>
        <v>173.40687079805048</v>
      </c>
      <c r="I2786" s="74">
        <v>45895</v>
      </c>
      <c r="J2786">
        <v>5</v>
      </c>
      <c r="K2786" t="s">
        <v>288</v>
      </c>
      <c r="L2786" t="s">
        <v>367</v>
      </c>
      <c r="M2786" t="s">
        <v>356</v>
      </c>
      <c r="N2786" s="73">
        <v>67262</v>
      </c>
      <c r="O2786" s="73">
        <v>67262</v>
      </c>
      <c r="P2786">
        <v>34.681374159610094</v>
      </c>
    </row>
    <row r="2787" spans="1:16" x14ac:dyDescent="0.2">
      <c r="A2787" s="73">
        <v>67262</v>
      </c>
      <c r="B2787" t="s">
        <v>350</v>
      </c>
      <c r="C2787" s="73" t="s">
        <v>421</v>
      </c>
      <c r="D2787" t="s">
        <v>422</v>
      </c>
      <c r="E2787" s="74">
        <v>45895</v>
      </c>
      <c r="F2787" t="s">
        <v>387</v>
      </c>
      <c r="G2787" t="s">
        <v>388</v>
      </c>
      <c r="H2787" s="75">
        <f t="shared" si="43"/>
        <v>-173.40687079805048</v>
      </c>
      <c r="I2787" s="74">
        <v>45895</v>
      </c>
      <c r="J2787">
        <v>-5</v>
      </c>
      <c r="K2787" t="s">
        <v>288</v>
      </c>
      <c r="L2787" t="s">
        <v>367</v>
      </c>
      <c r="M2787" t="s">
        <v>356</v>
      </c>
      <c r="N2787" s="73">
        <v>67262</v>
      </c>
      <c r="O2787" s="73">
        <v>67262</v>
      </c>
      <c r="P2787">
        <v>34.681374159610094</v>
      </c>
    </row>
    <row r="2788" spans="1:16" x14ac:dyDescent="0.2">
      <c r="A2788" s="73">
        <v>67262</v>
      </c>
      <c r="B2788" t="s">
        <v>350</v>
      </c>
      <c r="C2788" s="73" t="s">
        <v>421</v>
      </c>
      <c r="D2788" t="s">
        <v>422</v>
      </c>
      <c r="E2788" s="74">
        <v>45895</v>
      </c>
      <c r="F2788" t="s">
        <v>387</v>
      </c>
      <c r="G2788" t="s">
        <v>388</v>
      </c>
      <c r="H2788" s="75">
        <f t="shared" si="43"/>
        <v>173.40687079805048</v>
      </c>
      <c r="I2788" s="74">
        <v>45895</v>
      </c>
      <c r="J2788">
        <v>5</v>
      </c>
      <c r="K2788" t="s">
        <v>288</v>
      </c>
      <c r="L2788" t="s">
        <v>367</v>
      </c>
      <c r="M2788" t="s">
        <v>356</v>
      </c>
      <c r="N2788" s="73">
        <v>67262</v>
      </c>
      <c r="O2788" s="73">
        <v>67262</v>
      </c>
      <c r="P2788">
        <v>34.681374159610094</v>
      </c>
    </row>
    <row r="2789" spans="1:16" x14ac:dyDescent="0.2">
      <c r="A2789" s="73">
        <v>67262</v>
      </c>
      <c r="B2789" t="s">
        <v>350</v>
      </c>
      <c r="C2789" s="73" t="s">
        <v>421</v>
      </c>
      <c r="D2789" t="s">
        <v>422</v>
      </c>
      <c r="E2789" s="74">
        <v>45896</v>
      </c>
      <c r="F2789" t="s">
        <v>398</v>
      </c>
      <c r="G2789" t="s">
        <v>399</v>
      </c>
      <c r="H2789" s="75">
        <f t="shared" si="43"/>
        <v>208.08824495766055</v>
      </c>
      <c r="I2789" s="74">
        <v>45896</v>
      </c>
      <c r="J2789">
        <v>6</v>
      </c>
      <c r="K2789" t="s">
        <v>288</v>
      </c>
      <c r="L2789" t="s">
        <v>367</v>
      </c>
      <c r="M2789" t="s">
        <v>356</v>
      </c>
      <c r="N2789" s="73">
        <v>67262</v>
      </c>
      <c r="O2789" s="73">
        <v>67262</v>
      </c>
      <c r="P2789">
        <v>34.681374159610094</v>
      </c>
    </row>
    <row r="2790" spans="1:16" x14ac:dyDescent="0.2">
      <c r="A2790" s="73">
        <v>67262</v>
      </c>
      <c r="B2790" t="s">
        <v>350</v>
      </c>
      <c r="C2790" s="73" t="s">
        <v>421</v>
      </c>
      <c r="D2790" t="s">
        <v>422</v>
      </c>
      <c r="E2790" s="74">
        <v>45896</v>
      </c>
      <c r="F2790" t="s">
        <v>395</v>
      </c>
      <c r="G2790" t="s">
        <v>396</v>
      </c>
      <c r="H2790" s="75">
        <f t="shared" si="43"/>
        <v>173.40687079805048</v>
      </c>
      <c r="I2790" s="74">
        <v>45896</v>
      </c>
      <c r="J2790">
        <v>5</v>
      </c>
      <c r="K2790" t="s">
        <v>288</v>
      </c>
      <c r="L2790" t="s">
        <v>262</v>
      </c>
      <c r="M2790" t="s">
        <v>356</v>
      </c>
      <c r="N2790" s="73">
        <v>67262</v>
      </c>
      <c r="O2790" s="73">
        <v>67262</v>
      </c>
      <c r="P2790">
        <v>34.681374159610094</v>
      </c>
    </row>
    <row r="2791" spans="1:16" x14ac:dyDescent="0.2">
      <c r="A2791" s="73">
        <v>67262</v>
      </c>
      <c r="B2791" t="s">
        <v>350</v>
      </c>
      <c r="C2791" s="73" t="s">
        <v>421</v>
      </c>
      <c r="D2791" t="s">
        <v>422</v>
      </c>
      <c r="E2791" s="74">
        <v>45896</v>
      </c>
      <c r="F2791" t="s">
        <v>360</v>
      </c>
      <c r="G2791" t="s">
        <v>361</v>
      </c>
      <c r="H2791" s="75">
        <f t="shared" si="43"/>
        <v>138.72549663844038</v>
      </c>
      <c r="I2791" s="74">
        <v>45896</v>
      </c>
      <c r="J2791">
        <v>4</v>
      </c>
      <c r="K2791" t="s">
        <v>288</v>
      </c>
      <c r="L2791" t="s">
        <v>262</v>
      </c>
      <c r="M2791" t="s">
        <v>356</v>
      </c>
      <c r="N2791" s="73">
        <v>67262</v>
      </c>
      <c r="O2791" s="73">
        <v>67262</v>
      </c>
      <c r="P2791">
        <v>34.681374159610094</v>
      </c>
    </row>
    <row r="2792" spans="1:16" x14ac:dyDescent="0.2">
      <c r="A2792" s="73">
        <v>67262</v>
      </c>
      <c r="B2792" t="s">
        <v>350</v>
      </c>
      <c r="C2792" s="73" t="s">
        <v>421</v>
      </c>
      <c r="D2792" t="s">
        <v>422</v>
      </c>
      <c r="E2792" s="74">
        <v>45896</v>
      </c>
      <c r="F2792" t="s">
        <v>353</v>
      </c>
      <c r="G2792" t="s">
        <v>354</v>
      </c>
      <c r="H2792" s="75">
        <f t="shared" si="43"/>
        <v>104.04412247883027</v>
      </c>
      <c r="I2792" s="74">
        <v>45896</v>
      </c>
      <c r="J2792">
        <v>3</v>
      </c>
      <c r="K2792" t="s">
        <v>288</v>
      </c>
      <c r="L2792" t="s">
        <v>355</v>
      </c>
      <c r="M2792" t="s">
        <v>356</v>
      </c>
      <c r="N2792" s="73">
        <v>67262</v>
      </c>
      <c r="O2792" s="73">
        <v>67262</v>
      </c>
      <c r="P2792">
        <v>34.681374159610094</v>
      </c>
    </row>
    <row r="2793" spans="1:16" x14ac:dyDescent="0.2">
      <c r="A2793" s="73">
        <v>67262</v>
      </c>
      <c r="B2793" t="s">
        <v>350</v>
      </c>
      <c r="C2793" s="73" t="s">
        <v>421</v>
      </c>
      <c r="D2793" t="s">
        <v>422</v>
      </c>
      <c r="E2793" s="74">
        <v>45896</v>
      </c>
      <c r="F2793" t="s">
        <v>387</v>
      </c>
      <c r="G2793" t="s">
        <v>388</v>
      </c>
      <c r="H2793" s="75">
        <f t="shared" si="43"/>
        <v>138.72549663844038</v>
      </c>
      <c r="I2793" s="74">
        <v>45896</v>
      </c>
      <c r="J2793">
        <v>4</v>
      </c>
      <c r="K2793" t="s">
        <v>288</v>
      </c>
      <c r="L2793" t="s">
        <v>367</v>
      </c>
      <c r="M2793" t="s">
        <v>356</v>
      </c>
      <c r="N2793" s="73">
        <v>67262</v>
      </c>
      <c r="O2793" s="73">
        <v>67262</v>
      </c>
      <c r="P2793">
        <v>34.681374159610094</v>
      </c>
    </row>
    <row r="2794" spans="1:16" hidden="1" x14ac:dyDescent="0.2">
      <c r="A2794" s="73">
        <v>67260</v>
      </c>
      <c r="B2794" t="s">
        <v>423</v>
      </c>
      <c r="C2794" s="73" t="s">
        <v>454</v>
      </c>
      <c r="D2794" t="s">
        <v>455</v>
      </c>
      <c r="E2794" s="74">
        <v>46038</v>
      </c>
      <c r="F2794" t="s">
        <v>414</v>
      </c>
      <c r="G2794" t="s">
        <v>415</v>
      </c>
      <c r="H2794" s="75">
        <f t="shared" si="43"/>
        <v>260.11030619707572</v>
      </c>
      <c r="I2794" s="74">
        <v>46038</v>
      </c>
      <c r="J2794">
        <v>7.5</v>
      </c>
      <c r="K2794" t="s">
        <v>516</v>
      </c>
      <c r="L2794" t="s">
        <v>262</v>
      </c>
      <c r="M2794" t="s">
        <v>356</v>
      </c>
      <c r="N2794" s="73">
        <v>67260</v>
      </c>
      <c r="O2794" s="73">
        <v>67260</v>
      </c>
      <c r="P2794">
        <v>34.681374159610094</v>
      </c>
    </row>
    <row r="2795" spans="1:16" x14ac:dyDescent="0.2">
      <c r="A2795" s="73">
        <v>67262</v>
      </c>
      <c r="B2795" t="s">
        <v>350</v>
      </c>
      <c r="C2795" s="73" t="s">
        <v>421</v>
      </c>
      <c r="D2795" t="s">
        <v>422</v>
      </c>
      <c r="E2795" s="74">
        <v>45896</v>
      </c>
      <c r="F2795" t="s">
        <v>387</v>
      </c>
      <c r="G2795" t="s">
        <v>388</v>
      </c>
      <c r="H2795" s="75">
        <f t="shared" si="43"/>
        <v>-138.72549663844038</v>
      </c>
      <c r="I2795" s="74">
        <v>45896</v>
      </c>
      <c r="J2795">
        <v>-4</v>
      </c>
      <c r="K2795" t="s">
        <v>288</v>
      </c>
      <c r="L2795" t="s">
        <v>367</v>
      </c>
      <c r="M2795" t="s">
        <v>356</v>
      </c>
      <c r="N2795" s="73">
        <v>67262</v>
      </c>
      <c r="O2795" s="73">
        <v>67262</v>
      </c>
      <c r="P2795">
        <v>34.681374159610094</v>
      </c>
    </row>
    <row r="2796" spans="1:16" x14ac:dyDescent="0.2">
      <c r="A2796" s="73">
        <v>67262</v>
      </c>
      <c r="B2796" t="s">
        <v>350</v>
      </c>
      <c r="C2796" s="73" t="s">
        <v>421</v>
      </c>
      <c r="D2796" t="s">
        <v>422</v>
      </c>
      <c r="E2796" s="74">
        <v>45897</v>
      </c>
      <c r="F2796" t="s">
        <v>398</v>
      </c>
      <c r="G2796" t="s">
        <v>399</v>
      </c>
      <c r="H2796" s="75">
        <f t="shared" si="43"/>
        <v>208.08824495766055</v>
      </c>
      <c r="I2796" s="74">
        <v>45897</v>
      </c>
      <c r="J2796">
        <v>6</v>
      </c>
      <c r="K2796" t="s">
        <v>288</v>
      </c>
      <c r="L2796" t="s">
        <v>367</v>
      </c>
      <c r="M2796" t="s">
        <v>356</v>
      </c>
      <c r="N2796" s="73">
        <v>67262</v>
      </c>
      <c r="O2796" s="73">
        <v>67262</v>
      </c>
      <c r="P2796">
        <v>34.681374159610094</v>
      </c>
    </row>
    <row r="2797" spans="1:16" x14ac:dyDescent="0.2">
      <c r="A2797" s="73">
        <v>67262</v>
      </c>
      <c r="B2797" t="s">
        <v>350</v>
      </c>
      <c r="C2797" s="73" t="s">
        <v>421</v>
      </c>
      <c r="D2797" t="s">
        <v>422</v>
      </c>
      <c r="E2797" s="74">
        <v>45897</v>
      </c>
      <c r="F2797" t="s">
        <v>395</v>
      </c>
      <c r="G2797" t="s">
        <v>396</v>
      </c>
      <c r="H2797" s="75">
        <f t="shared" si="43"/>
        <v>173.40687079805048</v>
      </c>
      <c r="I2797" s="74">
        <v>45897</v>
      </c>
      <c r="J2797">
        <v>5</v>
      </c>
      <c r="K2797" t="s">
        <v>288</v>
      </c>
      <c r="L2797" t="s">
        <v>262</v>
      </c>
      <c r="M2797" t="s">
        <v>356</v>
      </c>
      <c r="N2797" s="73">
        <v>67262</v>
      </c>
      <c r="O2797" s="73">
        <v>67262</v>
      </c>
      <c r="P2797">
        <v>34.681374159610094</v>
      </c>
    </row>
    <row r="2798" spans="1:16" x14ac:dyDescent="0.2">
      <c r="A2798" s="73">
        <v>67262</v>
      </c>
      <c r="B2798" t="s">
        <v>350</v>
      </c>
      <c r="C2798" s="73" t="s">
        <v>421</v>
      </c>
      <c r="D2798" t="s">
        <v>422</v>
      </c>
      <c r="E2798" s="74">
        <v>45897</v>
      </c>
      <c r="F2798" t="s">
        <v>353</v>
      </c>
      <c r="G2798" t="s">
        <v>354</v>
      </c>
      <c r="H2798" s="75">
        <f t="shared" si="43"/>
        <v>173.40687079805048</v>
      </c>
      <c r="I2798" s="74">
        <v>45897</v>
      </c>
      <c r="J2798">
        <v>5</v>
      </c>
      <c r="K2798" t="s">
        <v>288</v>
      </c>
      <c r="L2798" t="s">
        <v>355</v>
      </c>
      <c r="M2798" t="s">
        <v>356</v>
      </c>
      <c r="N2798" s="73">
        <v>67262</v>
      </c>
      <c r="O2798" s="73">
        <v>67262</v>
      </c>
      <c r="P2798">
        <v>34.681374159610094</v>
      </c>
    </row>
    <row r="2799" spans="1:16" x14ac:dyDescent="0.2">
      <c r="A2799" s="73">
        <v>67262</v>
      </c>
      <c r="B2799" t="s">
        <v>350</v>
      </c>
      <c r="C2799" s="73" t="s">
        <v>421</v>
      </c>
      <c r="D2799" t="s">
        <v>422</v>
      </c>
      <c r="E2799" s="74">
        <v>45898</v>
      </c>
      <c r="F2799" t="s">
        <v>398</v>
      </c>
      <c r="G2799" t="s">
        <v>399</v>
      </c>
      <c r="H2799" s="75">
        <f t="shared" si="43"/>
        <v>208.08824495766055</v>
      </c>
      <c r="I2799" s="74">
        <v>45898</v>
      </c>
      <c r="J2799">
        <v>6</v>
      </c>
      <c r="K2799" t="s">
        <v>288</v>
      </c>
      <c r="L2799" t="s">
        <v>367</v>
      </c>
      <c r="M2799" t="s">
        <v>356</v>
      </c>
      <c r="N2799" s="73">
        <v>67262</v>
      </c>
      <c r="O2799" s="73">
        <v>67262</v>
      </c>
      <c r="P2799">
        <v>34.681374159610094</v>
      </c>
    </row>
    <row r="2800" spans="1:16" x14ac:dyDescent="0.2">
      <c r="A2800" s="73">
        <v>67262</v>
      </c>
      <c r="B2800" t="s">
        <v>350</v>
      </c>
      <c r="C2800" s="73" t="s">
        <v>421</v>
      </c>
      <c r="D2800" t="s">
        <v>422</v>
      </c>
      <c r="E2800" s="74">
        <v>45898</v>
      </c>
      <c r="F2800" t="s">
        <v>395</v>
      </c>
      <c r="G2800" t="s">
        <v>396</v>
      </c>
      <c r="H2800" s="75">
        <f t="shared" si="43"/>
        <v>173.40687079805048</v>
      </c>
      <c r="I2800" s="74">
        <v>45898</v>
      </c>
      <c r="J2800">
        <v>5</v>
      </c>
      <c r="K2800" t="s">
        <v>288</v>
      </c>
      <c r="L2800" t="s">
        <v>262</v>
      </c>
      <c r="M2800" t="s">
        <v>356</v>
      </c>
      <c r="N2800" s="73">
        <v>67262</v>
      </c>
      <c r="O2800" s="73">
        <v>67262</v>
      </c>
      <c r="P2800">
        <v>34.681374159610094</v>
      </c>
    </row>
    <row r="2801" spans="1:16" x14ac:dyDescent="0.2">
      <c r="A2801" s="73">
        <v>67262</v>
      </c>
      <c r="B2801" t="s">
        <v>350</v>
      </c>
      <c r="C2801" s="73" t="s">
        <v>421</v>
      </c>
      <c r="D2801" t="s">
        <v>422</v>
      </c>
      <c r="E2801" s="74">
        <v>45898</v>
      </c>
      <c r="F2801" t="s">
        <v>360</v>
      </c>
      <c r="G2801" t="s">
        <v>361</v>
      </c>
      <c r="H2801" s="75">
        <f t="shared" si="43"/>
        <v>208.08824495766055</v>
      </c>
      <c r="I2801" s="74">
        <v>45898</v>
      </c>
      <c r="J2801">
        <v>6</v>
      </c>
      <c r="K2801" t="s">
        <v>288</v>
      </c>
      <c r="L2801" t="s">
        <v>262</v>
      </c>
      <c r="M2801" t="s">
        <v>356</v>
      </c>
      <c r="N2801" s="73">
        <v>67262</v>
      </c>
      <c r="O2801" s="73">
        <v>67262</v>
      </c>
      <c r="P2801">
        <v>34.681374159610094</v>
      </c>
    </row>
    <row r="2802" spans="1:16" x14ac:dyDescent="0.2">
      <c r="A2802" s="73">
        <v>67262</v>
      </c>
      <c r="B2802" t="s">
        <v>350</v>
      </c>
      <c r="C2802" s="73" t="s">
        <v>421</v>
      </c>
      <c r="D2802" t="s">
        <v>422</v>
      </c>
      <c r="E2802" s="74">
        <v>45898</v>
      </c>
      <c r="F2802" t="s">
        <v>353</v>
      </c>
      <c r="G2802" t="s">
        <v>354</v>
      </c>
      <c r="H2802" s="75">
        <f t="shared" si="43"/>
        <v>138.72549663844038</v>
      </c>
      <c r="I2802" s="74">
        <v>45898</v>
      </c>
      <c r="J2802">
        <v>4</v>
      </c>
      <c r="K2802" t="s">
        <v>288</v>
      </c>
      <c r="L2802" t="s">
        <v>355</v>
      </c>
      <c r="M2802" t="s">
        <v>356</v>
      </c>
      <c r="N2802" s="73">
        <v>67262</v>
      </c>
      <c r="O2802" s="73">
        <v>67262</v>
      </c>
      <c r="P2802">
        <v>34.681374159610094</v>
      </c>
    </row>
    <row r="2803" spans="1:16" hidden="1" x14ac:dyDescent="0.2">
      <c r="A2803" s="73">
        <v>67260</v>
      </c>
      <c r="B2803" t="s">
        <v>423</v>
      </c>
      <c r="C2803" s="73" t="s">
        <v>454</v>
      </c>
      <c r="D2803" t="s">
        <v>455</v>
      </c>
      <c r="E2803" s="74">
        <v>46041</v>
      </c>
      <c r="F2803" t="s">
        <v>414</v>
      </c>
      <c r="G2803" t="s">
        <v>415</v>
      </c>
      <c r="H2803" s="75">
        <f t="shared" si="43"/>
        <v>260.11030619707572</v>
      </c>
      <c r="I2803" s="74">
        <v>46041</v>
      </c>
      <c r="J2803">
        <v>7.5</v>
      </c>
      <c r="K2803" t="s">
        <v>516</v>
      </c>
      <c r="L2803" t="s">
        <v>262</v>
      </c>
      <c r="M2803" t="s">
        <v>356</v>
      </c>
      <c r="N2803" s="73">
        <v>67260</v>
      </c>
      <c r="O2803" s="73">
        <v>67260</v>
      </c>
      <c r="P2803">
        <v>34.681374159610094</v>
      </c>
    </row>
    <row r="2804" spans="1:16" x14ac:dyDescent="0.2">
      <c r="A2804" s="73">
        <v>67262</v>
      </c>
      <c r="B2804" t="s">
        <v>350</v>
      </c>
      <c r="C2804" s="73" t="s">
        <v>421</v>
      </c>
      <c r="D2804" t="s">
        <v>422</v>
      </c>
      <c r="E2804" s="74">
        <v>45901</v>
      </c>
      <c r="F2804" t="s">
        <v>353</v>
      </c>
      <c r="G2804" t="s">
        <v>354</v>
      </c>
      <c r="H2804" s="75">
        <f t="shared" si="43"/>
        <v>104.04412247883027</v>
      </c>
      <c r="I2804" s="74">
        <v>45901</v>
      </c>
      <c r="J2804">
        <v>3</v>
      </c>
      <c r="K2804" t="s">
        <v>512</v>
      </c>
      <c r="L2804" t="s">
        <v>355</v>
      </c>
      <c r="M2804" t="s">
        <v>356</v>
      </c>
      <c r="N2804" s="73">
        <v>67262</v>
      </c>
      <c r="O2804" s="73">
        <v>67262</v>
      </c>
      <c r="P2804">
        <v>34.681374159610094</v>
      </c>
    </row>
    <row r="2805" spans="1:16" x14ac:dyDescent="0.2">
      <c r="A2805" s="73">
        <v>67262</v>
      </c>
      <c r="B2805" t="s">
        <v>350</v>
      </c>
      <c r="C2805" s="73" t="s">
        <v>421</v>
      </c>
      <c r="D2805" t="s">
        <v>422</v>
      </c>
      <c r="E2805" s="74">
        <v>45901</v>
      </c>
      <c r="F2805" t="s">
        <v>387</v>
      </c>
      <c r="G2805" t="s">
        <v>388</v>
      </c>
      <c r="H2805" s="75">
        <f t="shared" si="43"/>
        <v>69.362748319220188</v>
      </c>
      <c r="I2805" s="74">
        <v>45901</v>
      </c>
      <c r="J2805">
        <v>2</v>
      </c>
      <c r="K2805" t="s">
        <v>512</v>
      </c>
      <c r="L2805" t="s">
        <v>367</v>
      </c>
      <c r="M2805" t="s">
        <v>356</v>
      </c>
      <c r="N2805" s="73">
        <v>67262</v>
      </c>
      <c r="O2805" s="73">
        <v>67262</v>
      </c>
      <c r="P2805">
        <v>34.681374159610094</v>
      </c>
    </row>
    <row r="2806" spans="1:16" x14ac:dyDescent="0.2">
      <c r="A2806" s="73">
        <v>67262</v>
      </c>
      <c r="B2806" t="s">
        <v>350</v>
      </c>
      <c r="C2806" s="73" t="s">
        <v>421</v>
      </c>
      <c r="D2806" t="s">
        <v>422</v>
      </c>
      <c r="E2806" s="74">
        <v>45901</v>
      </c>
      <c r="F2806" t="s">
        <v>398</v>
      </c>
      <c r="G2806" t="s">
        <v>399</v>
      </c>
      <c r="H2806" s="75">
        <f t="shared" si="43"/>
        <v>208.08824495766055</v>
      </c>
      <c r="I2806" s="74">
        <v>45901</v>
      </c>
      <c r="J2806">
        <v>6</v>
      </c>
      <c r="K2806" t="s">
        <v>512</v>
      </c>
      <c r="L2806" t="s">
        <v>367</v>
      </c>
      <c r="M2806" t="s">
        <v>356</v>
      </c>
      <c r="N2806" s="73">
        <v>67262</v>
      </c>
      <c r="O2806" s="73">
        <v>67262</v>
      </c>
      <c r="P2806">
        <v>34.681374159610094</v>
      </c>
    </row>
    <row r="2807" spans="1:16" x14ac:dyDescent="0.2">
      <c r="A2807" s="73">
        <v>67262</v>
      </c>
      <c r="B2807" t="s">
        <v>350</v>
      </c>
      <c r="C2807" s="73" t="s">
        <v>421</v>
      </c>
      <c r="D2807" t="s">
        <v>422</v>
      </c>
      <c r="E2807" s="74">
        <v>45901</v>
      </c>
      <c r="F2807" t="s">
        <v>395</v>
      </c>
      <c r="G2807" t="s">
        <v>396</v>
      </c>
      <c r="H2807" s="75">
        <f t="shared" si="43"/>
        <v>208.08824495766055</v>
      </c>
      <c r="I2807" s="74">
        <v>45901</v>
      </c>
      <c r="J2807">
        <v>6</v>
      </c>
      <c r="K2807" t="s">
        <v>512</v>
      </c>
      <c r="L2807" t="s">
        <v>262</v>
      </c>
      <c r="M2807" t="s">
        <v>356</v>
      </c>
      <c r="N2807" s="73">
        <v>67262</v>
      </c>
      <c r="O2807" s="73">
        <v>67262</v>
      </c>
      <c r="P2807">
        <v>34.681374159610094</v>
      </c>
    </row>
    <row r="2808" spans="1:16" hidden="1" x14ac:dyDescent="0.2">
      <c r="A2808" s="73">
        <v>67260</v>
      </c>
      <c r="B2808" t="s">
        <v>423</v>
      </c>
      <c r="C2808" s="73" t="s">
        <v>454</v>
      </c>
      <c r="D2808" t="s">
        <v>455</v>
      </c>
      <c r="E2808" s="74">
        <v>46042</v>
      </c>
      <c r="F2808" t="s">
        <v>414</v>
      </c>
      <c r="G2808" t="s">
        <v>415</v>
      </c>
      <c r="H2808" s="75">
        <f t="shared" si="43"/>
        <v>260.11030619707572</v>
      </c>
      <c r="I2808" s="74">
        <v>46042</v>
      </c>
      <c r="J2808">
        <v>7.5</v>
      </c>
      <c r="K2808" t="s">
        <v>516</v>
      </c>
      <c r="L2808" t="s">
        <v>262</v>
      </c>
      <c r="M2808" t="s">
        <v>356</v>
      </c>
      <c r="N2808" s="73">
        <v>67260</v>
      </c>
      <c r="O2808" s="73">
        <v>67260</v>
      </c>
      <c r="P2808">
        <v>34.681374159610094</v>
      </c>
    </row>
    <row r="2809" spans="1:16" x14ac:dyDescent="0.2">
      <c r="A2809" s="73">
        <v>67262</v>
      </c>
      <c r="B2809" t="s">
        <v>350</v>
      </c>
      <c r="C2809" s="73" t="s">
        <v>421</v>
      </c>
      <c r="D2809" t="s">
        <v>422</v>
      </c>
      <c r="E2809" s="74">
        <v>45902</v>
      </c>
      <c r="F2809" t="s">
        <v>353</v>
      </c>
      <c r="G2809" t="s">
        <v>354</v>
      </c>
      <c r="H2809" s="75">
        <f t="shared" si="43"/>
        <v>104.04412247883027</v>
      </c>
      <c r="I2809" s="74">
        <v>45902</v>
      </c>
      <c r="J2809">
        <v>3</v>
      </c>
      <c r="K2809" t="s">
        <v>512</v>
      </c>
      <c r="L2809" t="s">
        <v>355</v>
      </c>
      <c r="M2809" t="s">
        <v>356</v>
      </c>
      <c r="N2809" s="73">
        <v>67262</v>
      </c>
      <c r="O2809" s="73">
        <v>67262</v>
      </c>
      <c r="P2809">
        <v>34.681374159610094</v>
      </c>
    </row>
    <row r="2810" spans="1:16" x14ac:dyDescent="0.2">
      <c r="A2810" s="73">
        <v>67262</v>
      </c>
      <c r="B2810" t="s">
        <v>350</v>
      </c>
      <c r="C2810" s="73" t="s">
        <v>421</v>
      </c>
      <c r="D2810" t="s">
        <v>422</v>
      </c>
      <c r="E2810" s="74">
        <v>45902</v>
      </c>
      <c r="F2810" t="s">
        <v>395</v>
      </c>
      <c r="G2810" t="s">
        <v>396</v>
      </c>
      <c r="H2810" s="75">
        <f t="shared" si="43"/>
        <v>208.08824495766055</v>
      </c>
      <c r="I2810" s="74">
        <v>45902</v>
      </c>
      <c r="J2810">
        <v>6</v>
      </c>
      <c r="K2810" t="s">
        <v>512</v>
      </c>
      <c r="L2810" t="s">
        <v>262</v>
      </c>
      <c r="M2810" t="s">
        <v>356</v>
      </c>
      <c r="N2810" s="73">
        <v>67262</v>
      </c>
      <c r="O2810" s="73">
        <v>67262</v>
      </c>
      <c r="P2810">
        <v>34.681374159610094</v>
      </c>
    </row>
    <row r="2811" spans="1:16" x14ac:dyDescent="0.2">
      <c r="A2811" s="73">
        <v>67262</v>
      </c>
      <c r="B2811" t="s">
        <v>350</v>
      </c>
      <c r="C2811" s="73" t="s">
        <v>421</v>
      </c>
      <c r="D2811" t="s">
        <v>422</v>
      </c>
      <c r="E2811" s="74">
        <v>45902</v>
      </c>
      <c r="F2811" t="s">
        <v>387</v>
      </c>
      <c r="G2811" t="s">
        <v>388</v>
      </c>
      <c r="H2811" s="75">
        <f t="shared" si="43"/>
        <v>69.362748319220188</v>
      </c>
      <c r="I2811" s="74">
        <v>45902</v>
      </c>
      <c r="J2811">
        <v>2</v>
      </c>
      <c r="K2811" t="s">
        <v>512</v>
      </c>
      <c r="L2811" t="s">
        <v>367</v>
      </c>
      <c r="M2811" t="s">
        <v>356</v>
      </c>
      <c r="N2811" s="73">
        <v>67262</v>
      </c>
      <c r="O2811" s="73">
        <v>67262</v>
      </c>
      <c r="P2811">
        <v>34.681374159610094</v>
      </c>
    </row>
    <row r="2812" spans="1:16" x14ac:dyDescent="0.2">
      <c r="A2812" s="73">
        <v>67262</v>
      </c>
      <c r="B2812" t="s">
        <v>350</v>
      </c>
      <c r="C2812" s="73" t="s">
        <v>421</v>
      </c>
      <c r="D2812" t="s">
        <v>422</v>
      </c>
      <c r="E2812" s="74">
        <v>45902</v>
      </c>
      <c r="F2812" t="s">
        <v>398</v>
      </c>
      <c r="G2812" t="s">
        <v>399</v>
      </c>
      <c r="H2812" s="75">
        <f t="shared" si="43"/>
        <v>208.08824495766055</v>
      </c>
      <c r="I2812" s="74">
        <v>45902</v>
      </c>
      <c r="J2812">
        <v>6</v>
      </c>
      <c r="K2812" t="s">
        <v>512</v>
      </c>
      <c r="L2812" t="s">
        <v>367</v>
      </c>
      <c r="M2812" t="s">
        <v>356</v>
      </c>
      <c r="N2812" s="73">
        <v>67262</v>
      </c>
      <c r="O2812" s="73">
        <v>67262</v>
      </c>
      <c r="P2812">
        <v>34.681374159610094</v>
      </c>
    </row>
    <row r="2813" spans="1:16" x14ac:dyDescent="0.2">
      <c r="A2813" s="73">
        <v>67262</v>
      </c>
      <c r="B2813" t="s">
        <v>350</v>
      </c>
      <c r="C2813" s="73" t="s">
        <v>421</v>
      </c>
      <c r="D2813" t="s">
        <v>422</v>
      </c>
      <c r="E2813" s="74">
        <v>45903</v>
      </c>
      <c r="F2813" t="s">
        <v>353</v>
      </c>
      <c r="G2813" t="s">
        <v>354</v>
      </c>
      <c r="H2813" s="75">
        <f t="shared" si="43"/>
        <v>104.04412247883027</v>
      </c>
      <c r="I2813" s="74">
        <v>45903</v>
      </c>
      <c r="J2813">
        <v>3</v>
      </c>
      <c r="K2813" t="s">
        <v>512</v>
      </c>
      <c r="L2813" t="s">
        <v>355</v>
      </c>
      <c r="M2813" t="s">
        <v>356</v>
      </c>
      <c r="N2813" s="73">
        <v>67262</v>
      </c>
      <c r="O2813" s="73">
        <v>67262</v>
      </c>
      <c r="P2813">
        <v>34.681374159610094</v>
      </c>
    </row>
    <row r="2814" spans="1:16" x14ac:dyDescent="0.2">
      <c r="A2814" s="73">
        <v>67262</v>
      </c>
      <c r="B2814" t="s">
        <v>350</v>
      </c>
      <c r="C2814" s="73" t="s">
        <v>421</v>
      </c>
      <c r="D2814" t="s">
        <v>422</v>
      </c>
      <c r="E2814" s="74">
        <v>45903</v>
      </c>
      <c r="F2814" t="s">
        <v>410</v>
      </c>
      <c r="G2814" t="s">
        <v>411</v>
      </c>
      <c r="H2814" s="75">
        <f t="shared" si="43"/>
        <v>208.08824495766055</v>
      </c>
      <c r="I2814" s="74">
        <v>45903</v>
      </c>
      <c r="J2814">
        <v>6</v>
      </c>
      <c r="K2814" t="s">
        <v>512</v>
      </c>
      <c r="L2814" t="s">
        <v>262</v>
      </c>
      <c r="M2814" t="s">
        <v>356</v>
      </c>
      <c r="N2814" s="73">
        <v>67262</v>
      </c>
      <c r="O2814" s="73">
        <v>67262</v>
      </c>
      <c r="P2814">
        <v>34.681374159610094</v>
      </c>
    </row>
    <row r="2815" spans="1:16" hidden="1" x14ac:dyDescent="0.2">
      <c r="A2815" s="73">
        <v>67260</v>
      </c>
      <c r="B2815" t="s">
        <v>423</v>
      </c>
      <c r="C2815" s="73" t="s">
        <v>454</v>
      </c>
      <c r="D2815" t="s">
        <v>455</v>
      </c>
      <c r="E2815" s="74">
        <v>46044</v>
      </c>
      <c r="F2815" t="s">
        <v>414</v>
      </c>
      <c r="G2815" t="s">
        <v>415</v>
      </c>
      <c r="H2815" s="75">
        <f t="shared" si="43"/>
        <v>260.11030619707572</v>
      </c>
      <c r="I2815" s="74">
        <v>46044</v>
      </c>
      <c r="J2815">
        <v>7.5</v>
      </c>
      <c r="K2815" t="s">
        <v>516</v>
      </c>
      <c r="L2815" t="s">
        <v>262</v>
      </c>
      <c r="M2815" t="s">
        <v>356</v>
      </c>
      <c r="N2815" s="73">
        <v>67260</v>
      </c>
      <c r="O2815" s="73">
        <v>67260</v>
      </c>
      <c r="P2815">
        <v>34.681374159610094</v>
      </c>
    </row>
    <row r="2816" spans="1:16" x14ac:dyDescent="0.2">
      <c r="A2816" s="73">
        <v>67262</v>
      </c>
      <c r="B2816" t="s">
        <v>350</v>
      </c>
      <c r="C2816" s="73" t="s">
        <v>421</v>
      </c>
      <c r="D2816" t="s">
        <v>422</v>
      </c>
      <c r="E2816" s="74">
        <v>45904</v>
      </c>
      <c r="F2816" t="s">
        <v>353</v>
      </c>
      <c r="G2816" t="s">
        <v>354</v>
      </c>
      <c r="H2816" s="75">
        <f t="shared" si="43"/>
        <v>138.72549663844038</v>
      </c>
      <c r="I2816" s="74">
        <v>45904</v>
      </c>
      <c r="J2816">
        <v>4</v>
      </c>
      <c r="K2816" t="s">
        <v>512</v>
      </c>
      <c r="L2816" t="s">
        <v>355</v>
      </c>
      <c r="M2816" t="s">
        <v>356</v>
      </c>
      <c r="N2816" s="73">
        <v>67262</v>
      </c>
      <c r="O2816" s="73">
        <v>67262</v>
      </c>
      <c r="P2816">
        <v>34.681374159610094</v>
      </c>
    </row>
    <row r="2817" spans="1:16" x14ac:dyDescent="0.2">
      <c r="A2817" s="73">
        <v>67262</v>
      </c>
      <c r="B2817" t="s">
        <v>350</v>
      </c>
      <c r="C2817" s="73" t="s">
        <v>421</v>
      </c>
      <c r="D2817" t="s">
        <v>422</v>
      </c>
      <c r="E2817" s="74">
        <v>45904</v>
      </c>
      <c r="F2817" t="s">
        <v>410</v>
      </c>
      <c r="G2817" t="s">
        <v>411</v>
      </c>
      <c r="H2817" s="75">
        <f t="shared" si="43"/>
        <v>208.08824495766055</v>
      </c>
      <c r="I2817" s="74">
        <v>45904</v>
      </c>
      <c r="J2817">
        <v>6</v>
      </c>
      <c r="K2817" t="s">
        <v>512</v>
      </c>
      <c r="L2817" t="s">
        <v>262</v>
      </c>
      <c r="M2817" t="s">
        <v>356</v>
      </c>
      <c r="N2817" s="73">
        <v>67262</v>
      </c>
      <c r="O2817" s="73">
        <v>67262</v>
      </c>
      <c r="P2817">
        <v>34.681374159610094</v>
      </c>
    </row>
    <row r="2818" spans="1:16" x14ac:dyDescent="0.2">
      <c r="A2818" s="73">
        <v>67262</v>
      </c>
      <c r="B2818" t="s">
        <v>350</v>
      </c>
      <c r="C2818" s="73" t="s">
        <v>421</v>
      </c>
      <c r="D2818" t="s">
        <v>422</v>
      </c>
      <c r="E2818" s="74">
        <v>45905</v>
      </c>
      <c r="F2818" t="s">
        <v>353</v>
      </c>
      <c r="G2818" t="s">
        <v>354</v>
      </c>
      <c r="H2818" s="75">
        <f t="shared" ref="H2818:H2881" si="44">J2818*P2818</f>
        <v>104.04412247883027</v>
      </c>
      <c r="I2818" s="74">
        <v>45905</v>
      </c>
      <c r="J2818">
        <v>3</v>
      </c>
      <c r="K2818" t="s">
        <v>512</v>
      </c>
      <c r="L2818" t="s">
        <v>355</v>
      </c>
      <c r="M2818" t="s">
        <v>356</v>
      </c>
      <c r="N2818" s="73">
        <v>67262</v>
      </c>
      <c r="O2818" s="73">
        <v>67262</v>
      </c>
      <c r="P2818">
        <v>34.681374159610094</v>
      </c>
    </row>
    <row r="2819" spans="1:16" x14ac:dyDescent="0.2">
      <c r="A2819" s="73">
        <v>67262</v>
      </c>
      <c r="B2819" t="s">
        <v>350</v>
      </c>
      <c r="C2819" s="73" t="s">
        <v>421</v>
      </c>
      <c r="D2819" t="s">
        <v>422</v>
      </c>
      <c r="E2819" s="74">
        <v>45905</v>
      </c>
      <c r="F2819" t="s">
        <v>387</v>
      </c>
      <c r="G2819" t="s">
        <v>388</v>
      </c>
      <c r="H2819" s="75">
        <f t="shared" si="44"/>
        <v>34.681374159610094</v>
      </c>
      <c r="I2819" s="74">
        <v>45905</v>
      </c>
      <c r="J2819">
        <v>1</v>
      </c>
      <c r="K2819" t="s">
        <v>512</v>
      </c>
      <c r="L2819" t="s">
        <v>367</v>
      </c>
      <c r="M2819" t="s">
        <v>356</v>
      </c>
      <c r="N2819" s="73">
        <v>67262</v>
      </c>
      <c r="O2819" s="73">
        <v>67262</v>
      </c>
      <c r="P2819">
        <v>34.681374159610094</v>
      </c>
    </row>
    <row r="2820" spans="1:16" x14ac:dyDescent="0.2">
      <c r="A2820" s="73">
        <v>67262</v>
      </c>
      <c r="B2820" t="s">
        <v>350</v>
      </c>
      <c r="C2820" s="73" t="s">
        <v>421</v>
      </c>
      <c r="D2820" t="s">
        <v>422</v>
      </c>
      <c r="E2820" s="74">
        <v>45905</v>
      </c>
      <c r="F2820" t="s">
        <v>410</v>
      </c>
      <c r="G2820" t="s">
        <v>411</v>
      </c>
      <c r="H2820" s="75">
        <f t="shared" si="44"/>
        <v>208.08824495766055</v>
      </c>
      <c r="I2820" s="74">
        <v>45905</v>
      </c>
      <c r="J2820">
        <v>6</v>
      </c>
      <c r="K2820" t="s">
        <v>512</v>
      </c>
      <c r="L2820" t="s">
        <v>262</v>
      </c>
      <c r="M2820" t="s">
        <v>356</v>
      </c>
      <c r="N2820" s="73">
        <v>67262</v>
      </c>
      <c r="O2820" s="73">
        <v>67262</v>
      </c>
      <c r="P2820">
        <v>34.681374159610094</v>
      </c>
    </row>
    <row r="2821" spans="1:16" x14ac:dyDescent="0.2">
      <c r="A2821" s="73">
        <v>67262</v>
      </c>
      <c r="B2821" t="s">
        <v>350</v>
      </c>
      <c r="C2821" s="73" t="s">
        <v>421</v>
      </c>
      <c r="D2821" t="s">
        <v>422</v>
      </c>
      <c r="E2821" s="74">
        <v>45908</v>
      </c>
      <c r="F2821" t="s">
        <v>410</v>
      </c>
      <c r="G2821" t="s">
        <v>411</v>
      </c>
      <c r="H2821" s="75">
        <f t="shared" si="44"/>
        <v>208.08824495766055</v>
      </c>
      <c r="I2821" s="74">
        <v>45908</v>
      </c>
      <c r="J2821">
        <v>6</v>
      </c>
      <c r="K2821" t="s">
        <v>512</v>
      </c>
      <c r="L2821" t="s">
        <v>262</v>
      </c>
      <c r="M2821" t="s">
        <v>356</v>
      </c>
      <c r="N2821" s="73">
        <v>67262</v>
      </c>
      <c r="O2821" s="73">
        <v>67262</v>
      </c>
      <c r="P2821">
        <v>34.681374159610094</v>
      </c>
    </row>
    <row r="2822" spans="1:16" x14ac:dyDescent="0.2">
      <c r="A2822" s="73">
        <v>67262</v>
      </c>
      <c r="B2822" t="s">
        <v>350</v>
      </c>
      <c r="C2822" s="73" t="s">
        <v>421</v>
      </c>
      <c r="D2822" t="s">
        <v>422</v>
      </c>
      <c r="E2822" s="74">
        <v>45908</v>
      </c>
      <c r="F2822" t="s">
        <v>353</v>
      </c>
      <c r="G2822" t="s">
        <v>354</v>
      </c>
      <c r="H2822" s="75">
        <f t="shared" si="44"/>
        <v>104.04412247883027</v>
      </c>
      <c r="I2822" s="74">
        <v>45908</v>
      </c>
      <c r="J2822">
        <v>3</v>
      </c>
      <c r="K2822" t="s">
        <v>512</v>
      </c>
      <c r="L2822" t="s">
        <v>355</v>
      </c>
      <c r="M2822" t="s">
        <v>356</v>
      </c>
      <c r="N2822" s="73">
        <v>67262</v>
      </c>
      <c r="O2822" s="73">
        <v>67262</v>
      </c>
      <c r="P2822">
        <v>34.681374159610094</v>
      </c>
    </row>
    <row r="2823" spans="1:16" x14ac:dyDescent="0.2">
      <c r="A2823" s="73">
        <v>67262</v>
      </c>
      <c r="B2823" t="s">
        <v>350</v>
      </c>
      <c r="C2823" s="73" t="s">
        <v>421</v>
      </c>
      <c r="D2823" t="s">
        <v>422</v>
      </c>
      <c r="E2823" s="74">
        <v>45908</v>
      </c>
      <c r="F2823" t="s">
        <v>395</v>
      </c>
      <c r="G2823" t="s">
        <v>396</v>
      </c>
      <c r="H2823" s="75">
        <f t="shared" si="44"/>
        <v>138.72549663844038</v>
      </c>
      <c r="I2823" s="74">
        <v>45908</v>
      </c>
      <c r="J2823">
        <v>4</v>
      </c>
      <c r="K2823" t="s">
        <v>512</v>
      </c>
      <c r="L2823" t="s">
        <v>262</v>
      </c>
      <c r="M2823" t="s">
        <v>356</v>
      </c>
      <c r="N2823" s="73">
        <v>67262</v>
      </c>
      <c r="O2823" s="73">
        <v>67262</v>
      </c>
      <c r="P2823">
        <v>34.681374159610094</v>
      </c>
    </row>
    <row r="2824" spans="1:16" x14ac:dyDescent="0.2">
      <c r="A2824" s="73">
        <v>67262</v>
      </c>
      <c r="B2824" t="s">
        <v>350</v>
      </c>
      <c r="C2824" s="73" t="s">
        <v>421</v>
      </c>
      <c r="D2824" t="s">
        <v>422</v>
      </c>
      <c r="E2824" s="74">
        <v>45909</v>
      </c>
      <c r="F2824" t="s">
        <v>353</v>
      </c>
      <c r="G2824" t="s">
        <v>354</v>
      </c>
      <c r="H2824" s="75">
        <f t="shared" si="44"/>
        <v>104.04412247883027</v>
      </c>
      <c r="I2824" s="74">
        <v>45909</v>
      </c>
      <c r="J2824">
        <v>3</v>
      </c>
      <c r="K2824" t="s">
        <v>512</v>
      </c>
      <c r="L2824" t="s">
        <v>355</v>
      </c>
      <c r="M2824" t="s">
        <v>356</v>
      </c>
      <c r="N2824" s="73">
        <v>67262</v>
      </c>
      <c r="O2824" s="73">
        <v>67262</v>
      </c>
      <c r="P2824">
        <v>34.681374159610094</v>
      </c>
    </row>
    <row r="2825" spans="1:16" x14ac:dyDescent="0.2">
      <c r="A2825" s="73">
        <v>67262</v>
      </c>
      <c r="B2825" t="s">
        <v>350</v>
      </c>
      <c r="C2825" s="73" t="s">
        <v>421</v>
      </c>
      <c r="D2825" t="s">
        <v>422</v>
      </c>
      <c r="E2825" s="74">
        <v>45909</v>
      </c>
      <c r="F2825" t="s">
        <v>395</v>
      </c>
      <c r="G2825" t="s">
        <v>396</v>
      </c>
      <c r="H2825" s="75">
        <f t="shared" si="44"/>
        <v>138.72549663844038</v>
      </c>
      <c r="I2825" s="74">
        <v>45909</v>
      </c>
      <c r="J2825">
        <v>4</v>
      </c>
      <c r="K2825" t="s">
        <v>512</v>
      </c>
      <c r="L2825" t="s">
        <v>262</v>
      </c>
      <c r="M2825" t="s">
        <v>356</v>
      </c>
      <c r="N2825" s="73">
        <v>67262</v>
      </c>
      <c r="O2825" s="73">
        <v>67262</v>
      </c>
      <c r="P2825">
        <v>34.681374159610094</v>
      </c>
    </row>
    <row r="2826" spans="1:16" x14ac:dyDescent="0.2">
      <c r="A2826" s="73">
        <v>67262</v>
      </c>
      <c r="B2826" t="s">
        <v>350</v>
      </c>
      <c r="C2826" s="73" t="s">
        <v>421</v>
      </c>
      <c r="D2826" t="s">
        <v>422</v>
      </c>
      <c r="E2826" s="74">
        <v>45910</v>
      </c>
      <c r="F2826" t="s">
        <v>353</v>
      </c>
      <c r="G2826" t="s">
        <v>354</v>
      </c>
      <c r="H2826" s="75">
        <f t="shared" si="44"/>
        <v>104.04412247883027</v>
      </c>
      <c r="I2826" s="74">
        <v>45910</v>
      </c>
      <c r="J2826">
        <v>3</v>
      </c>
      <c r="K2826" t="s">
        <v>512</v>
      </c>
      <c r="L2826" t="s">
        <v>355</v>
      </c>
      <c r="M2826" t="s">
        <v>356</v>
      </c>
      <c r="N2826" s="73">
        <v>67262</v>
      </c>
      <c r="O2826" s="73">
        <v>67262</v>
      </c>
      <c r="P2826">
        <v>34.681374159610094</v>
      </c>
    </row>
    <row r="2827" spans="1:16" x14ac:dyDescent="0.2">
      <c r="A2827" s="73">
        <v>67262</v>
      </c>
      <c r="B2827" t="s">
        <v>350</v>
      </c>
      <c r="C2827" s="73" t="s">
        <v>421</v>
      </c>
      <c r="D2827" t="s">
        <v>422</v>
      </c>
      <c r="E2827" s="74">
        <v>45910</v>
      </c>
      <c r="F2827" t="s">
        <v>398</v>
      </c>
      <c r="G2827" t="s">
        <v>399</v>
      </c>
      <c r="H2827" s="75">
        <f t="shared" si="44"/>
        <v>208.08824495766055</v>
      </c>
      <c r="I2827" s="74">
        <v>45910</v>
      </c>
      <c r="J2827">
        <v>6</v>
      </c>
      <c r="K2827" t="s">
        <v>512</v>
      </c>
      <c r="L2827" t="s">
        <v>367</v>
      </c>
      <c r="M2827" t="s">
        <v>356</v>
      </c>
      <c r="N2827" s="73">
        <v>67262</v>
      </c>
      <c r="O2827" s="73">
        <v>67262</v>
      </c>
      <c r="P2827">
        <v>34.681374159610094</v>
      </c>
    </row>
    <row r="2828" spans="1:16" x14ac:dyDescent="0.2">
      <c r="A2828" s="73">
        <v>67262</v>
      </c>
      <c r="B2828" t="s">
        <v>350</v>
      </c>
      <c r="C2828" s="73" t="s">
        <v>421</v>
      </c>
      <c r="D2828" t="s">
        <v>422</v>
      </c>
      <c r="E2828" s="74">
        <v>45910</v>
      </c>
      <c r="F2828" t="s">
        <v>395</v>
      </c>
      <c r="G2828" t="s">
        <v>396</v>
      </c>
      <c r="H2828" s="75">
        <f t="shared" si="44"/>
        <v>138.72549663844038</v>
      </c>
      <c r="I2828" s="74">
        <v>45910</v>
      </c>
      <c r="J2828">
        <v>4</v>
      </c>
      <c r="K2828" t="s">
        <v>512</v>
      </c>
      <c r="L2828" t="s">
        <v>262</v>
      </c>
      <c r="M2828" t="s">
        <v>356</v>
      </c>
      <c r="N2828" s="73">
        <v>67262</v>
      </c>
      <c r="O2828" s="73">
        <v>67262</v>
      </c>
      <c r="P2828">
        <v>34.681374159610094</v>
      </c>
    </row>
    <row r="2829" spans="1:16" x14ac:dyDescent="0.2">
      <c r="A2829" s="73">
        <v>67262</v>
      </c>
      <c r="B2829" t="s">
        <v>350</v>
      </c>
      <c r="C2829" s="73" t="s">
        <v>421</v>
      </c>
      <c r="D2829" t="s">
        <v>422</v>
      </c>
      <c r="E2829" s="74">
        <v>45911</v>
      </c>
      <c r="F2829" t="s">
        <v>398</v>
      </c>
      <c r="G2829" t="s">
        <v>399</v>
      </c>
      <c r="H2829" s="75">
        <f t="shared" si="44"/>
        <v>208.08824495766055</v>
      </c>
      <c r="I2829" s="74">
        <v>45911</v>
      </c>
      <c r="J2829">
        <v>6</v>
      </c>
      <c r="K2829" t="s">
        <v>512</v>
      </c>
      <c r="L2829" t="s">
        <v>367</v>
      </c>
      <c r="M2829" t="s">
        <v>356</v>
      </c>
      <c r="N2829" s="73">
        <v>67262</v>
      </c>
      <c r="O2829" s="73">
        <v>67262</v>
      </c>
      <c r="P2829">
        <v>34.681374159610094</v>
      </c>
    </row>
    <row r="2830" spans="1:16" hidden="1" x14ac:dyDescent="0.2">
      <c r="A2830" s="73">
        <v>67260</v>
      </c>
      <c r="B2830" t="s">
        <v>423</v>
      </c>
      <c r="C2830" s="73" t="s">
        <v>454</v>
      </c>
      <c r="D2830" t="s">
        <v>455</v>
      </c>
      <c r="E2830" s="74">
        <v>46045</v>
      </c>
      <c r="F2830" t="s">
        <v>414</v>
      </c>
      <c r="G2830" t="s">
        <v>415</v>
      </c>
      <c r="H2830" s="75">
        <f t="shared" si="44"/>
        <v>260.11030619707572</v>
      </c>
      <c r="I2830" s="74">
        <v>46045</v>
      </c>
      <c r="J2830">
        <v>7.5</v>
      </c>
      <c r="K2830" t="s">
        <v>516</v>
      </c>
      <c r="L2830" t="s">
        <v>262</v>
      </c>
      <c r="M2830" t="s">
        <v>356</v>
      </c>
      <c r="N2830" s="73">
        <v>67260</v>
      </c>
      <c r="O2830" s="73">
        <v>67260</v>
      </c>
      <c r="P2830">
        <v>34.681374159610094</v>
      </c>
    </row>
    <row r="2831" spans="1:16" x14ac:dyDescent="0.2">
      <c r="A2831" s="73">
        <v>67262</v>
      </c>
      <c r="B2831" t="s">
        <v>350</v>
      </c>
      <c r="C2831" s="73" t="s">
        <v>421</v>
      </c>
      <c r="D2831" t="s">
        <v>422</v>
      </c>
      <c r="E2831" s="74">
        <v>45912</v>
      </c>
      <c r="F2831" t="s">
        <v>398</v>
      </c>
      <c r="G2831" t="s">
        <v>399</v>
      </c>
      <c r="H2831" s="75">
        <f t="shared" si="44"/>
        <v>208.08824495766055</v>
      </c>
      <c r="I2831" s="74">
        <v>45912</v>
      </c>
      <c r="J2831">
        <v>6</v>
      </c>
      <c r="K2831" t="s">
        <v>512</v>
      </c>
      <c r="L2831" t="s">
        <v>367</v>
      </c>
      <c r="M2831" t="s">
        <v>356</v>
      </c>
      <c r="N2831" s="73">
        <v>67262</v>
      </c>
      <c r="O2831" s="73">
        <v>67262</v>
      </c>
      <c r="P2831">
        <v>34.681374159610094</v>
      </c>
    </row>
    <row r="2832" spans="1:16" hidden="1" x14ac:dyDescent="0.2">
      <c r="A2832" s="73">
        <v>67260</v>
      </c>
      <c r="B2832" t="s">
        <v>423</v>
      </c>
      <c r="C2832" s="73" t="s">
        <v>454</v>
      </c>
      <c r="D2832" t="s">
        <v>455</v>
      </c>
      <c r="E2832" s="74">
        <v>46049</v>
      </c>
      <c r="F2832" t="s">
        <v>414</v>
      </c>
      <c r="G2832" t="s">
        <v>415</v>
      </c>
      <c r="H2832" s="75">
        <f t="shared" si="44"/>
        <v>260.11030619707572</v>
      </c>
      <c r="I2832" s="74">
        <v>46049</v>
      </c>
      <c r="J2832">
        <v>7.5</v>
      </c>
      <c r="K2832" t="s">
        <v>516</v>
      </c>
      <c r="L2832" t="s">
        <v>262</v>
      </c>
      <c r="M2832" t="s">
        <v>356</v>
      </c>
      <c r="N2832" s="73">
        <v>67260</v>
      </c>
      <c r="O2832" s="73">
        <v>67260</v>
      </c>
      <c r="P2832">
        <v>34.681374159610094</v>
      </c>
    </row>
    <row r="2833" spans="1:16" x14ac:dyDescent="0.2">
      <c r="A2833" s="73">
        <v>67262</v>
      </c>
      <c r="B2833" t="s">
        <v>350</v>
      </c>
      <c r="C2833" s="73" t="s">
        <v>421</v>
      </c>
      <c r="D2833" t="s">
        <v>422</v>
      </c>
      <c r="E2833" s="74">
        <v>45915</v>
      </c>
      <c r="F2833" t="s">
        <v>353</v>
      </c>
      <c r="G2833" t="s">
        <v>354</v>
      </c>
      <c r="H2833" s="75">
        <f t="shared" si="44"/>
        <v>104.04412247883027</v>
      </c>
      <c r="I2833" s="74">
        <v>45915</v>
      </c>
      <c r="J2833">
        <v>3</v>
      </c>
      <c r="K2833" t="s">
        <v>512</v>
      </c>
      <c r="L2833" t="s">
        <v>355</v>
      </c>
      <c r="M2833" t="s">
        <v>356</v>
      </c>
      <c r="N2833" s="73">
        <v>67262</v>
      </c>
      <c r="O2833" s="73">
        <v>67262</v>
      </c>
      <c r="P2833">
        <v>34.681374159610094</v>
      </c>
    </row>
    <row r="2834" spans="1:16" x14ac:dyDescent="0.2">
      <c r="A2834" s="73">
        <v>67262</v>
      </c>
      <c r="B2834" t="s">
        <v>350</v>
      </c>
      <c r="C2834" s="73" t="s">
        <v>421</v>
      </c>
      <c r="D2834" t="s">
        <v>422</v>
      </c>
      <c r="E2834" s="74">
        <v>45916</v>
      </c>
      <c r="F2834" t="s">
        <v>353</v>
      </c>
      <c r="G2834" t="s">
        <v>354</v>
      </c>
      <c r="H2834" s="75">
        <f t="shared" si="44"/>
        <v>104.04412247883027</v>
      </c>
      <c r="I2834" s="74">
        <v>45916</v>
      </c>
      <c r="J2834">
        <v>3</v>
      </c>
      <c r="K2834" t="s">
        <v>512</v>
      </c>
      <c r="L2834" t="s">
        <v>355</v>
      </c>
      <c r="M2834" t="s">
        <v>356</v>
      </c>
      <c r="N2834" s="73">
        <v>67262</v>
      </c>
      <c r="O2834" s="73">
        <v>67262</v>
      </c>
      <c r="P2834">
        <v>34.681374159610094</v>
      </c>
    </row>
    <row r="2835" spans="1:16" hidden="1" x14ac:dyDescent="0.2">
      <c r="A2835" s="73">
        <v>67260</v>
      </c>
      <c r="B2835" t="s">
        <v>423</v>
      </c>
      <c r="C2835" s="73" t="s">
        <v>454</v>
      </c>
      <c r="D2835" t="s">
        <v>455</v>
      </c>
      <c r="E2835" s="74">
        <v>46050</v>
      </c>
      <c r="F2835" t="s">
        <v>414</v>
      </c>
      <c r="G2835" t="s">
        <v>415</v>
      </c>
      <c r="H2835" s="75">
        <f t="shared" si="44"/>
        <v>260.11030619707572</v>
      </c>
      <c r="I2835" s="74">
        <v>46050</v>
      </c>
      <c r="J2835">
        <v>7.5</v>
      </c>
      <c r="K2835" t="s">
        <v>516</v>
      </c>
      <c r="L2835" t="s">
        <v>262</v>
      </c>
      <c r="M2835" t="s">
        <v>356</v>
      </c>
      <c r="N2835" s="73">
        <v>67260</v>
      </c>
      <c r="O2835" s="73">
        <v>67260</v>
      </c>
      <c r="P2835">
        <v>34.681374159610094</v>
      </c>
    </row>
    <row r="2836" spans="1:16" x14ac:dyDescent="0.2">
      <c r="A2836" s="73">
        <v>67262</v>
      </c>
      <c r="B2836" t="s">
        <v>350</v>
      </c>
      <c r="C2836" s="73" t="s">
        <v>421</v>
      </c>
      <c r="D2836" t="s">
        <v>422</v>
      </c>
      <c r="E2836" s="74">
        <v>45917</v>
      </c>
      <c r="F2836" t="s">
        <v>353</v>
      </c>
      <c r="G2836" t="s">
        <v>354</v>
      </c>
      <c r="H2836" s="75">
        <f t="shared" si="44"/>
        <v>104.04412247883027</v>
      </c>
      <c r="I2836" s="74">
        <v>45917</v>
      </c>
      <c r="J2836">
        <v>3</v>
      </c>
      <c r="K2836" t="s">
        <v>512</v>
      </c>
      <c r="L2836" t="s">
        <v>355</v>
      </c>
      <c r="M2836" t="s">
        <v>356</v>
      </c>
      <c r="N2836" s="73">
        <v>67262</v>
      </c>
      <c r="O2836" s="73">
        <v>67262</v>
      </c>
      <c r="P2836">
        <v>34.681374159610094</v>
      </c>
    </row>
    <row r="2837" spans="1:16" x14ac:dyDescent="0.2">
      <c r="A2837" s="73">
        <v>67262</v>
      </c>
      <c r="B2837" t="s">
        <v>350</v>
      </c>
      <c r="C2837" s="73" t="s">
        <v>421</v>
      </c>
      <c r="D2837" t="s">
        <v>422</v>
      </c>
      <c r="E2837" s="74">
        <v>45918</v>
      </c>
      <c r="F2837" t="s">
        <v>353</v>
      </c>
      <c r="G2837" t="s">
        <v>354</v>
      </c>
      <c r="H2837" s="75">
        <f t="shared" si="44"/>
        <v>104.04412247883027</v>
      </c>
      <c r="I2837" s="74">
        <v>45918</v>
      </c>
      <c r="J2837">
        <v>3</v>
      </c>
      <c r="K2837" t="s">
        <v>512</v>
      </c>
      <c r="L2837" t="s">
        <v>355</v>
      </c>
      <c r="M2837" t="s">
        <v>356</v>
      </c>
      <c r="N2837" s="73">
        <v>67262</v>
      </c>
      <c r="O2837" s="73">
        <v>67262</v>
      </c>
      <c r="P2837">
        <v>34.681374159610094</v>
      </c>
    </row>
    <row r="2838" spans="1:16" x14ac:dyDescent="0.2">
      <c r="A2838" s="73">
        <v>67262</v>
      </c>
      <c r="B2838" t="s">
        <v>350</v>
      </c>
      <c r="C2838" s="73" t="s">
        <v>421</v>
      </c>
      <c r="D2838" t="s">
        <v>422</v>
      </c>
      <c r="E2838" s="74">
        <v>45918</v>
      </c>
      <c r="F2838" t="s">
        <v>387</v>
      </c>
      <c r="G2838" t="s">
        <v>388</v>
      </c>
      <c r="H2838" s="75">
        <f t="shared" si="44"/>
        <v>104.04412247883027</v>
      </c>
      <c r="I2838" s="74">
        <v>45918</v>
      </c>
      <c r="J2838">
        <v>3</v>
      </c>
      <c r="K2838" t="s">
        <v>512</v>
      </c>
      <c r="L2838" t="s">
        <v>367</v>
      </c>
      <c r="M2838" t="s">
        <v>356</v>
      </c>
      <c r="N2838" s="73">
        <v>67262</v>
      </c>
      <c r="O2838" s="73">
        <v>67262</v>
      </c>
      <c r="P2838">
        <v>34.681374159610094</v>
      </c>
    </row>
    <row r="2839" spans="1:16" hidden="1" x14ac:dyDescent="0.2">
      <c r="A2839" s="73">
        <v>67260</v>
      </c>
      <c r="B2839" t="s">
        <v>423</v>
      </c>
      <c r="C2839" s="73" t="s">
        <v>454</v>
      </c>
      <c r="D2839" t="s">
        <v>455</v>
      </c>
      <c r="E2839" s="74">
        <v>46051</v>
      </c>
      <c r="F2839" t="s">
        <v>414</v>
      </c>
      <c r="G2839" t="s">
        <v>415</v>
      </c>
      <c r="H2839" s="75">
        <f t="shared" si="44"/>
        <v>121.38480955863533</v>
      </c>
      <c r="I2839" s="74">
        <v>46051</v>
      </c>
      <c r="J2839">
        <v>3.5</v>
      </c>
      <c r="K2839" t="s">
        <v>516</v>
      </c>
      <c r="L2839" t="s">
        <v>262</v>
      </c>
      <c r="M2839" t="s">
        <v>356</v>
      </c>
      <c r="N2839" s="73">
        <v>67260</v>
      </c>
      <c r="O2839" s="73">
        <v>67260</v>
      </c>
      <c r="P2839">
        <v>34.681374159610094</v>
      </c>
    </row>
    <row r="2840" spans="1:16" x14ac:dyDescent="0.2">
      <c r="A2840" s="73">
        <v>67262</v>
      </c>
      <c r="B2840" t="s">
        <v>350</v>
      </c>
      <c r="C2840" s="73" t="s">
        <v>421</v>
      </c>
      <c r="D2840" t="s">
        <v>422</v>
      </c>
      <c r="E2840" s="74">
        <v>45919</v>
      </c>
      <c r="F2840" t="s">
        <v>353</v>
      </c>
      <c r="G2840" t="s">
        <v>354</v>
      </c>
      <c r="H2840" s="75">
        <f t="shared" si="44"/>
        <v>104.04412247883027</v>
      </c>
      <c r="I2840" s="74">
        <v>45919</v>
      </c>
      <c r="J2840">
        <v>3</v>
      </c>
      <c r="K2840" t="s">
        <v>512</v>
      </c>
      <c r="L2840" t="s">
        <v>355</v>
      </c>
      <c r="M2840" t="s">
        <v>356</v>
      </c>
      <c r="N2840" s="73">
        <v>67262</v>
      </c>
      <c r="O2840" s="73">
        <v>67262</v>
      </c>
      <c r="P2840">
        <v>34.681374159610094</v>
      </c>
    </row>
    <row r="2841" spans="1:16" x14ac:dyDescent="0.2">
      <c r="A2841" s="73">
        <v>67262</v>
      </c>
      <c r="B2841" t="s">
        <v>350</v>
      </c>
      <c r="C2841" s="73" t="s">
        <v>421</v>
      </c>
      <c r="D2841" t="s">
        <v>422</v>
      </c>
      <c r="E2841" s="74">
        <v>45919</v>
      </c>
      <c r="F2841" t="s">
        <v>387</v>
      </c>
      <c r="G2841" t="s">
        <v>388</v>
      </c>
      <c r="H2841" s="75">
        <f t="shared" si="44"/>
        <v>138.72549663844038</v>
      </c>
      <c r="I2841" s="74">
        <v>45919</v>
      </c>
      <c r="J2841">
        <v>4</v>
      </c>
      <c r="K2841" t="s">
        <v>512</v>
      </c>
      <c r="L2841" t="s">
        <v>367</v>
      </c>
      <c r="M2841" t="s">
        <v>356</v>
      </c>
      <c r="N2841" s="73">
        <v>67262</v>
      </c>
      <c r="O2841" s="73">
        <v>67262</v>
      </c>
      <c r="P2841">
        <v>34.681374159610094</v>
      </c>
    </row>
    <row r="2842" spans="1:16" x14ac:dyDescent="0.2">
      <c r="A2842" s="73">
        <v>67262</v>
      </c>
      <c r="B2842" t="s">
        <v>350</v>
      </c>
      <c r="C2842" s="73" t="s">
        <v>421</v>
      </c>
      <c r="D2842" t="s">
        <v>422</v>
      </c>
      <c r="E2842" s="74">
        <v>46051</v>
      </c>
      <c r="F2842" t="s">
        <v>414</v>
      </c>
      <c r="G2842" t="s">
        <v>415</v>
      </c>
      <c r="H2842" s="75">
        <f t="shared" si="44"/>
        <v>138.72549663844038</v>
      </c>
      <c r="I2842" s="74">
        <v>46051</v>
      </c>
      <c r="J2842">
        <v>4</v>
      </c>
      <c r="K2842" t="s">
        <v>516</v>
      </c>
      <c r="L2842" t="s">
        <v>262</v>
      </c>
      <c r="M2842" t="s">
        <v>356</v>
      </c>
      <c r="N2842" s="73">
        <v>67262</v>
      </c>
      <c r="O2842" s="73">
        <v>67262</v>
      </c>
      <c r="P2842">
        <v>34.681374159610094</v>
      </c>
    </row>
    <row r="2843" spans="1:16" x14ac:dyDescent="0.2">
      <c r="A2843" s="73">
        <v>67262</v>
      </c>
      <c r="B2843" t="s">
        <v>350</v>
      </c>
      <c r="C2843" s="73" t="s">
        <v>421</v>
      </c>
      <c r="D2843" t="s">
        <v>422</v>
      </c>
      <c r="E2843" s="74">
        <v>45919</v>
      </c>
      <c r="F2843" t="s">
        <v>360</v>
      </c>
      <c r="G2843" t="s">
        <v>361</v>
      </c>
      <c r="H2843" s="75">
        <f t="shared" si="44"/>
        <v>173.40687079805048</v>
      </c>
      <c r="I2843" s="74">
        <v>45919</v>
      </c>
      <c r="J2843">
        <v>5</v>
      </c>
      <c r="K2843" t="s">
        <v>512</v>
      </c>
      <c r="L2843" t="s">
        <v>262</v>
      </c>
      <c r="M2843" t="s">
        <v>356</v>
      </c>
      <c r="N2843" s="73">
        <v>67262</v>
      </c>
      <c r="O2843" s="73">
        <v>67262</v>
      </c>
      <c r="P2843">
        <v>34.681374159610094</v>
      </c>
    </row>
    <row r="2844" spans="1:16" x14ac:dyDescent="0.2">
      <c r="A2844" s="73">
        <v>67262</v>
      </c>
      <c r="B2844" t="s">
        <v>350</v>
      </c>
      <c r="C2844" s="73" t="s">
        <v>421</v>
      </c>
      <c r="D2844" t="s">
        <v>422</v>
      </c>
      <c r="E2844" s="74">
        <v>45917</v>
      </c>
      <c r="F2844" t="s">
        <v>387</v>
      </c>
      <c r="G2844" t="s">
        <v>388</v>
      </c>
      <c r="H2844" s="75">
        <f t="shared" si="44"/>
        <v>69.362748319220188</v>
      </c>
      <c r="I2844" s="74">
        <v>45917</v>
      </c>
      <c r="J2844">
        <v>2</v>
      </c>
      <c r="K2844" t="s">
        <v>512</v>
      </c>
      <c r="L2844" t="s">
        <v>367</v>
      </c>
      <c r="M2844" t="s">
        <v>356</v>
      </c>
      <c r="N2844" s="73">
        <v>67262</v>
      </c>
      <c r="O2844" s="73">
        <v>67262</v>
      </c>
      <c r="P2844">
        <v>34.681374159610094</v>
      </c>
    </row>
    <row r="2845" spans="1:16" x14ac:dyDescent="0.2">
      <c r="A2845" s="73">
        <v>67262</v>
      </c>
      <c r="B2845" t="s">
        <v>350</v>
      </c>
      <c r="C2845" s="73" t="s">
        <v>421</v>
      </c>
      <c r="D2845" t="s">
        <v>422</v>
      </c>
      <c r="E2845" s="74">
        <v>45922</v>
      </c>
      <c r="F2845" t="s">
        <v>410</v>
      </c>
      <c r="G2845" t="s">
        <v>411</v>
      </c>
      <c r="H2845" s="75">
        <f t="shared" si="44"/>
        <v>208.08824495766055</v>
      </c>
      <c r="I2845" s="74">
        <v>45922</v>
      </c>
      <c r="J2845">
        <v>6</v>
      </c>
      <c r="K2845" t="s">
        <v>512</v>
      </c>
      <c r="L2845" t="s">
        <v>262</v>
      </c>
      <c r="M2845" t="s">
        <v>356</v>
      </c>
      <c r="N2845" s="73">
        <v>67262</v>
      </c>
      <c r="O2845" s="73">
        <v>67262</v>
      </c>
      <c r="P2845">
        <v>34.681374159610094</v>
      </c>
    </row>
    <row r="2846" spans="1:16" x14ac:dyDescent="0.2">
      <c r="A2846" s="73">
        <v>67262</v>
      </c>
      <c r="B2846" t="s">
        <v>350</v>
      </c>
      <c r="C2846" s="73" t="s">
        <v>421</v>
      </c>
      <c r="D2846" t="s">
        <v>422</v>
      </c>
      <c r="E2846" s="74">
        <v>45922</v>
      </c>
      <c r="F2846" t="s">
        <v>398</v>
      </c>
      <c r="G2846" t="s">
        <v>399</v>
      </c>
      <c r="H2846" s="75">
        <f t="shared" si="44"/>
        <v>208.08824495766055</v>
      </c>
      <c r="I2846" s="74">
        <v>45922</v>
      </c>
      <c r="J2846">
        <v>6</v>
      </c>
      <c r="K2846" t="s">
        <v>512</v>
      </c>
      <c r="L2846" t="s">
        <v>367</v>
      </c>
      <c r="M2846" t="s">
        <v>356</v>
      </c>
      <c r="N2846" s="73">
        <v>67262</v>
      </c>
      <c r="O2846" s="73">
        <v>67262</v>
      </c>
      <c r="P2846">
        <v>34.681374159610094</v>
      </c>
    </row>
    <row r="2847" spans="1:16" x14ac:dyDescent="0.2">
      <c r="A2847" s="73">
        <v>67262</v>
      </c>
      <c r="B2847" t="s">
        <v>350</v>
      </c>
      <c r="C2847" s="73" t="s">
        <v>421</v>
      </c>
      <c r="D2847" t="s">
        <v>422</v>
      </c>
      <c r="E2847" s="74">
        <v>45922</v>
      </c>
      <c r="F2847" t="s">
        <v>353</v>
      </c>
      <c r="G2847" t="s">
        <v>354</v>
      </c>
      <c r="H2847" s="75">
        <f t="shared" si="44"/>
        <v>104.04412247883027</v>
      </c>
      <c r="I2847" s="74">
        <v>45922</v>
      </c>
      <c r="J2847">
        <v>3</v>
      </c>
      <c r="K2847" t="s">
        <v>512</v>
      </c>
      <c r="L2847" t="s">
        <v>355</v>
      </c>
      <c r="M2847" t="s">
        <v>356</v>
      </c>
      <c r="N2847" s="73">
        <v>67262</v>
      </c>
      <c r="O2847" s="73">
        <v>67262</v>
      </c>
      <c r="P2847">
        <v>34.681374159610094</v>
      </c>
    </row>
    <row r="2848" spans="1:16" x14ac:dyDescent="0.2">
      <c r="A2848" s="73">
        <v>67262</v>
      </c>
      <c r="B2848" t="s">
        <v>350</v>
      </c>
      <c r="C2848" s="73" t="s">
        <v>421</v>
      </c>
      <c r="D2848" t="s">
        <v>422</v>
      </c>
      <c r="E2848" s="74">
        <v>45923</v>
      </c>
      <c r="F2848" t="s">
        <v>353</v>
      </c>
      <c r="G2848" t="s">
        <v>354</v>
      </c>
      <c r="H2848" s="75">
        <f t="shared" si="44"/>
        <v>104.04412247883027</v>
      </c>
      <c r="I2848" s="74">
        <v>45923</v>
      </c>
      <c r="J2848">
        <v>3</v>
      </c>
      <c r="K2848" t="s">
        <v>512</v>
      </c>
      <c r="L2848" t="s">
        <v>355</v>
      </c>
      <c r="M2848" t="s">
        <v>356</v>
      </c>
      <c r="N2848" s="73">
        <v>67262</v>
      </c>
      <c r="O2848" s="73">
        <v>67262</v>
      </c>
      <c r="P2848">
        <v>34.681374159610094</v>
      </c>
    </row>
    <row r="2849" spans="1:16" x14ac:dyDescent="0.2">
      <c r="A2849" s="73">
        <v>67262</v>
      </c>
      <c r="B2849" t="s">
        <v>350</v>
      </c>
      <c r="C2849" s="73" t="s">
        <v>421</v>
      </c>
      <c r="D2849" t="s">
        <v>422</v>
      </c>
      <c r="E2849" s="74">
        <v>46052</v>
      </c>
      <c r="F2849" t="s">
        <v>414</v>
      </c>
      <c r="G2849" t="s">
        <v>415</v>
      </c>
      <c r="H2849" s="75">
        <f t="shared" si="44"/>
        <v>260.11030619707572</v>
      </c>
      <c r="I2849" s="74">
        <v>46052</v>
      </c>
      <c r="J2849">
        <v>7.5</v>
      </c>
      <c r="K2849" t="s">
        <v>516</v>
      </c>
      <c r="L2849" t="s">
        <v>262</v>
      </c>
      <c r="M2849" t="s">
        <v>356</v>
      </c>
      <c r="N2849" s="73">
        <v>67262</v>
      </c>
      <c r="O2849" s="73">
        <v>67262</v>
      </c>
      <c r="P2849">
        <v>34.681374159610094</v>
      </c>
    </row>
    <row r="2850" spans="1:16" x14ac:dyDescent="0.2">
      <c r="A2850" s="73">
        <v>67262</v>
      </c>
      <c r="B2850" t="s">
        <v>350</v>
      </c>
      <c r="C2850" s="73" t="s">
        <v>421</v>
      </c>
      <c r="D2850" t="s">
        <v>422</v>
      </c>
      <c r="E2850" s="74">
        <v>45923</v>
      </c>
      <c r="F2850" t="s">
        <v>387</v>
      </c>
      <c r="G2850" t="s">
        <v>388</v>
      </c>
      <c r="H2850" s="75">
        <f t="shared" si="44"/>
        <v>138.72549663844038</v>
      </c>
      <c r="I2850" s="74">
        <v>45923</v>
      </c>
      <c r="J2850">
        <v>4</v>
      </c>
      <c r="K2850" t="s">
        <v>512</v>
      </c>
      <c r="L2850" t="s">
        <v>367</v>
      </c>
      <c r="M2850" t="s">
        <v>356</v>
      </c>
      <c r="N2850" s="73">
        <v>67262</v>
      </c>
      <c r="O2850" s="73">
        <v>67262</v>
      </c>
      <c r="P2850">
        <v>34.681374159610094</v>
      </c>
    </row>
    <row r="2851" spans="1:16" x14ac:dyDescent="0.2">
      <c r="A2851" s="73">
        <v>67262</v>
      </c>
      <c r="B2851" t="s">
        <v>350</v>
      </c>
      <c r="C2851" s="73" t="s">
        <v>421</v>
      </c>
      <c r="D2851" t="s">
        <v>422</v>
      </c>
      <c r="E2851" s="74">
        <v>45922</v>
      </c>
      <c r="F2851" t="s">
        <v>404</v>
      </c>
      <c r="G2851" t="s">
        <v>405</v>
      </c>
      <c r="H2851" s="75">
        <f t="shared" si="44"/>
        <v>208.08824495766055</v>
      </c>
      <c r="I2851" s="74">
        <v>45922</v>
      </c>
      <c r="J2851">
        <v>6</v>
      </c>
      <c r="K2851" t="s">
        <v>512</v>
      </c>
      <c r="L2851" t="s">
        <v>262</v>
      </c>
      <c r="M2851" t="s">
        <v>356</v>
      </c>
      <c r="N2851" s="73">
        <v>67262</v>
      </c>
      <c r="O2851" s="73">
        <v>67262</v>
      </c>
      <c r="P2851">
        <v>34.681374159610094</v>
      </c>
    </row>
    <row r="2852" spans="1:16" x14ac:dyDescent="0.2">
      <c r="A2852" s="73">
        <v>67262</v>
      </c>
      <c r="B2852" t="s">
        <v>350</v>
      </c>
      <c r="C2852" s="73" t="s">
        <v>421</v>
      </c>
      <c r="D2852" t="s">
        <v>422</v>
      </c>
      <c r="E2852" s="74">
        <v>45923</v>
      </c>
      <c r="F2852" t="s">
        <v>398</v>
      </c>
      <c r="G2852" t="s">
        <v>399</v>
      </c>
      <c r="H2852" s="75">
        <f t="shared" si="44"/>
        <v>208.08824495766055</v>
      </c>
      <c r="I2852" s="74">
        <v>45923</v>
      </c>
      <c r="J2852">
        <v>6</v>
      </c>
      <c r="K2852" t="s">
        <v>512</v>
      </c>
      <c r="L2852" t="s">
        <v>367</v>
      </c>
      <c r="M2852" t="s">
        <v>356</v>
      </c>
      <c r="N2852" s="73">
        <v>67262</v>
      </c>
      <c r="O2852" s="73">
        <v>67262</v>
      </c>
      <c r="P2852">
        <v>34.681374159610094</v>
      </c>
    </row>
    <row r="2853" spans="1:16" x14ac:dyDescent="0.2">
      <c r="A2853" s="73">
        <v>67262</v>
      </c>
      <c r="B2853" t="s">
        <v>350</v>
      </c>
      <c r="C2853" s="73" t="s">
        <v>421</v>
      </c>
      <c r="D2853" t="s">
        <v>422</v>
      </c>
      <c r="E2853" s="74">
        <v>45923</v>
      </c>
      <c r="F2853" t="s">
        <v>404</v>
      </c>
      <c r="G2853" t="s">
        <v>405</v>
      </c>
      <c r="H2853" s="75">
        <f t="shared" si="44"/>
        <v>208.08824495766055</v>
      </c>
      <c r="I2853" s="74">
        <v>45923</v>
      </c>
      <c r="J2853">
        <v>6</v>
      </c>
      <c r="K2853" t="s">
        <v>512</v>
      </c>
      <c r="L2853" t="s">
        <v>262</v>
      </c>
      <c r="M2853" t="s">
        <v>356</v>
      </c>
      <c r="N2853" s="73">
        <v>67262</v>
      </c>
      <c r="O2853" s="73">
        <v>67262</v>
      </c>
      <c r="P2853">
        <v>34.681374159610094</v>
      </c>
    </row>
    <row r="2854" spans="1:16" x14ac:dyDescent="0.2">
      <c r="A2854" s="73">
        <v>67262</v>
      </c>
      <c r="B2854" t="s">
        <v>350</v>
      </c>
      <c r="C2854" s="73" t="s">
        <v>421</v>
      </c>
      <c r="D2854" t="s">
        <v>422</v>
      </c>
      <c r="E2854" s="74">
        <v>45924</v>
      </c>
      <c r="F2854" t="s">
        <v>353</v>
      </c>
      <c r="G2854" t="s">
        <v>354</v>
      </c>
      <c r="H2854" s="75">
        <f t="shared" si="44"/>
        <v>104.04412247883027</v>
      </c>
      <c r="I2854" s="74">
        <v>45924</v>
      </c>
      <c r="J2854">
        <v>3</v>
      </c>
      <c r="K2854" t="s">
        <v>512</v>
      </c>
      <c r="L2854" t="s">
        <v>355</v>
      </c>
      <c r="M2854" t="s">
        <v>356</v>
      </c>
      <c r="N2854" s="73">
        <v>67262</v>
      </c>
      <c r="O2854" s="73">
        <v>67262</v>
      </c>
      <c r="P2854">
        <v>34.681374159610094</v>
      </c>
    </row>
    <row r="2855" spans="1:16" x14ac:dyDescent="0.2">
      <c r="A2855" s="73">
        <v>67262</v>
      </c>
      <c r="B2855" t="s">
        <v>350</v>
      </c>
      <c r="C2855" s="73" t="s">
        <v>421</v>
      </c>
      <c r="D2855" t="s">
        <v>422</v>
      </c>
      <c r="E2855" s="74">
        <v>45924</v>
      </c>
      <c r="F2855" t="s">
        <v>387</v>
      </c>
      <c r="G2855" t="s">
        <v>388</v>
      </c>
      <c r="H2855" s="75">
        <f t="shared" si="44"/>
        <v>138.72549663844038</v>
      </c>
      <c r="I2855" s="74">
        <v>45924</v>
      </c>
      <c r="J2855">
        <v>4</v>
      </c>
      <c r="K2855" t="s">
        <v>512</v>
      </c>
      <c r="L2855" t="s">
        <v>367</v>
      </c>
      <c r="M2855" t="s">
        <v>356</v>
      </c>
      <c r="N2855" s="73">
        <v>67262</v>
      </c>
      <c r="O2855" s="73">
        <v>67262</v>
      </c>
      <c r="P2855">
        <v>34.681374159610094</v>
      </c>
    </row>
    <row r="2856" spans="1:16" x14ac:dyDescent="0.2">
      <c r="A2856" s="73">
        <v>67262</v>
      </c>
      <c r="B2856" t="s">
        <v>350</v>
      </c>
      <c r="C2856" s="73" t="s">
        <v>421</v>
      </c>
      <c r="D2856" t="s">
        <v>422</v>
      </c>
      <c r="E2856" s="74">
        <v>45924</v>
      </c>
      <c r="F2856" t="s">
        <v>360</v>
      </c>
      <c r="G2856" t="s">
        <v>361</v>
      </c>
      <c r="H2856" s="75">
        <f t="shared" si="44"/>
        <v>138.72549663844038</v>
      </c>
      <c r="I2856" s="74">
        <v>45924</v>
      </c>
      <c r="J2856">
        <v>4</v>
      </c>
      <c r="K2856" t="s">
        <v>512</v>
      </c>
      <c r="L2856" t="s">
        <v>262</v>
      </c>
      <c r="M2856" t="s">
        <v>356</v>
      </c>
      <c r="N2856" s="73">
        <v>67262</v>
      </c>
      <c r="O2856" s="73">
        <v>67262</v>
      </c>
      <c r="P2856">
        <v>34.681374159610094</v>
      </c>
    </row>
    <row r="2857" spans="1:16" x14ac:dyDescent="0.2">
      <c r="A2857" s="73">
        <v>67262</v>
      </c>
      <c r="B2857" t="s">
        <v>350</v>
      </c>
      <c r="C2857" s="73" t="s">
        <v>421</v>
      </c>
      <c r="D2857" t="s">
        <v>422</v>
      </c>
      <c r="E2857" s="74">
        <v>45924</v>
      </c>
      <c r="F2857" t="s">
        <v>398</v>
      </c>
      <c r="G2857" t="s">
        <v>399</v>
      </c>
      <c r="H2857" s="75">
        <f t="shared" si="44"/>
        <v>208.08824495766055</v>
      </c>
      <c r="I2857" s="74">
        <v>45924</v>
      </c>
      <c r="J2857">
        <v>6</v>
      </c>
      <c r="K2857" t="s">
        <v>512</v>
      </c>
      <c r="L2857" t="s">
        <v>367</v>
      </c>
      <c r="M2857" t="s">
        <v>356</v>
      </c>
      <c r="N2857" s="73">
        <v>67262</v>
      </c>
      <c r="O2857" s="73">
        <v>67262</v>
      </c>
      <c r="P2857">
        <v>34.681374159610094</v>
      </c>
    </row>
    <row r="2858" spans="1:16" x14ac:dyDescent="0.2">
      <c r="A2858" s="73">
        <v>67262</v>
      </c>
      <c r="B2858" t="s">
        <v>350</v>
      </c>
      <c r="C2858" s="73" t="s">
        <v>421</v>
      </c>
      <c r="D2858" t="s">
        <v>422</v>
      </c>
      <c r="E2858" s="74">
        <v>45924</v>
      </c>
      <c r="F2858" t="s">
        <v>404</v>
      </c>
      <c r="G2858" t="s">
        <v>405</v>
      </c>
      <c r="H2858" s="75">
        <f t="shared" si="44"/>
        <v>208.08824495766055</v>
      </c>
      <c r="I2858" s="74">
        <v>45924</v>
      </c>
      <c r="J2858">
        <v>6</v>
      </c>
      <c r="K2858" t="s">
        <v>512</v>
      </c>
      <c r="L2858" t="s">
        <v>262</v>
      </c>
      <c r="M2858" t="s">
        <v>356</v>
      </c>
      <c r="N2858" s="73">
        <v>67262</v>
      </c>
      <c r="O2858" s="73">
        <v>67262</v>
      </c>
      <c r="P2858">
        <v>34.681374159610094</v>
      </c>
    </row>
    <row r="2859" spans="1:16" x14ac:dyDescent="0.2">
      <c r="A2859" s="73">
        <v>67262</v>
      </c>
      <c r="B2859" t="s">
        <v>350</v>
      </c>
      <c r="C2859" s="73" t="s">
        <v>421</v>
      </c>
      <c r="D2859" t="s">
        <v>422</v>
      </c>
      <c r="E2859" s="74">
        <v>45925</v>
      </c>
      <c r="F2859" t="s">
        <v>353</v>
      </c>
      <c r="G2859" t="s">
        <v>354</v>
      </c>
      <c r="H2859" s="75">
        <f t="shared" si="44"/>
        <v>208.08824495766055</v>
      </c>
      <c r="I2859" s="74">
        <v>45925</v>
      </c>
      <c r="J2859">
        <v>6</v>
      </c>
      <c r="K2859" t="s">
        <v>512</v>
      </c>
      <c r="L2859" t="s">
        <v>355</v>
      </c>
      <c r="M2859" t="s">
        <v>356</v>
      </c>
      <c r="N2859" s="73">
        <v>67262</v>
      </c>
      <c r="O2859" s="73">
        <v>67262</v>
      </c>
      <c r="P2859">
        <v>34.681374159610094</v>
      </c>
    </row>
    <row r="2860" spans="1:16" x14ac:dyDescent="0.2">
      <c r="A2860" s="73">
        <v>67262</v>
      </c>
      <c r="B2860" t="s">
        <v>350</v>
      </c>
      <c r="C2860" s="73" t="s">
        <v>421</v>
      </c>
      <c r="D2860" t="s">
        <v>422</v>
      </c>
      <c r="E2860" s="74">
        <v>46055</v>
      </c>
      <c r="F2860" t="s">
        <v>414</v>
      </c>
      <c r="G2860" t="s">
        <v>415</v>
      </c>
      <c r="H2860" s="75">
        <f t="shared" si="44"/>
        <v>312.13236743649082</v>
      </c>
      <c r="I2860" s="74">
        <v>46055</v>
      </c>
      <c r="J2860">
        <v>9</v>
      </c>
      <c r="K2860" t="s">
        <v>508</v>
      </c>
      <c r="L2860" t="s">
        <v>262</v>
      </c>
      <c r="M2860" t="s">
        <v>356</v>
      </c>
      <c r="N2860" s="73">
        <v>67262</v>
      </c>
      <c r="O2860" s="73">
        <v>67262</v>
      </c>
      <c r="P2860">
        <v>34.681374159610094</v>
      </c>
    </row>
    <row r="2861" spans="1:16" x14ac:dyDescent="0.2">
      <c r="A2861" s="73">
        <v>67262</v>
      </c>
      <c r="B2861" t="s">
        <v>350</v>
      </c>
      <c r="C2861" s="73" t="s">
        <v>421</v>
      </c>
      <c r="D2861" t="s">
        <v>422</v>
      </c>
      <c r="E2861" s="74">
        <v>45925</v>
      </c>
      <c r="F2861" t="s">
        <v>387</v>
      </c>
      <c r="G2861" t="s">
        <v>388</v>
      </c>
      <c r="H2861" s="75">
        <f t="shared" si="44"/>
        <v>34.681374159610094</v>
      </c>
      <c r="I2861" s="74">
        <v>45925</v>
      </c>
      <c r="J2861">
        <v>1</v>
      </c>
      <c r="K2861" t="s">
        <v>512</v>
      </c>
      <c r="L2861" t="s">
        <v>367</v>
      </c>
      <c r="M2861" t="s">
        <v>356</v>
      </c>
      <c r="N2861" s="73">
        <v>67262</v>
      </c>
      <c r="O2861" s="73">
        <v>67262</v>
      </c>
      <c r="P2861">
        <v>34.681374159610094</v>
      </c>
    </row>
    <row r="2862" spans="1:16" x14ac:dyDescent="0.2">
      <c r="A2862" s="73">
        <v>67262</v>
      </c>
      <c r="B2862" t="s">
        <v>350</v>
      </c>
      <c r="C2862" s="73" t="s">
        <v>421</v>
      </c>
      <c r="D2862" t="s">
        <v>422</v>
      </c>
      <c r="E2862" s="74">
        <v>45925</v>
      </c>
      <c r="F2862" t="s">
        <v>410</v>
      </c>
      <c r="G2862" t="s">
        <v>411</v>
      </c>
      <c r="H2862" s="75">
        <f t="shared" si="44"/>
        <v>208.08824495766055</v>
      </c>
      <c r="I2862" s="74">
        <v>45925</v>
      </c>
      <c r="J2862">
        <v>6</v>
      </c>
      <c r="K2862" t="s">
        <v>512</v>
      </c>
      <c r="L2862" t="s">
        <v>262</v>
      </c>
      <c r="M2862" t="s">
        <v>356</v>
      </c>
      <c r="N2862" s="73">
        <v>67262</v>
      </c>
      <c r="O2862" s="73">
        <v>67262</v>
      </c>
      <c r="P2862">
        <v>34.681374159610094</v>
      </c>
    </row>
    <row r="2863" spans="1:16" x14ac:dyDescent="0.2">
      <c r="A2863" s="73">
        <v>67262</v>
      </c>
      <c r="B2863" t="s">
        <v>350</v>
      </c>
      <c r="C2863" s="73" t="s">
        <v>421</v>
      </c>
      <c r="D2863" t="s">
        <v>422</v>
      </c>
      <c r="E2863" s="74">
        <v>45925</v>
      </c>
      <c r="F2863" t="s">
        <v>398</v>
      </c>
      <c r="G2863" t="s">
        <v>399</v>
      </c>
      <c r="H2863" s="75">
        <f t="shared" si="44"/>
        <v>208.08824495766055</v>
      </c>
      <c r="I2863" s="74">
        <v>45925</v>
      </c>
      <c r="J2863">
        <v>6</v>
      </c>
      <c r="K2863" t="s">
        <v>512</v>
      </c>
      <c r="L2863" t="s">
        <v>367</v>
      </c>
      <c r="M2863" t="s">
        <v>356</v>
      </c>
      <c r="N2863" s="73">
        <v>67262</v>
      </c>
      <c r="O2863" s="73">
        <v>67262</v>
      </c>
      <c r="P2863">
        <v>34.681374159610094</v>
      </c>
    </row>
    <row r="2864" spans="1:16" x14ac:dyDescent="0.2">
      <c r="A2864" s="73">
        <v>67262</v>
      </c>
      <c r="B2864" t="s">
        <v>350</v>
      </c>
      <c r="C2864" s="73" t="s">
        <v>421</v>
      </c>
      <c r="D2864" t="s">
        <v>422</v>
      </c>
      <c r="E2864" s="74">
        <v>45925</v>
      </c>
      <c r="F2864" t="s">
        <v>404</v>
      </c>
      <c r="G2864" t="s">
        <v>405</v>
      </c>
      <c r="H2864" s="75">
        <f t="shared" si="44"/>
        <v>208.08824495766055</v>
      </c>
      <c r="I2864" s="74">
        <v>45925</v>
      </c>
      <c r="J2864">
        <v>6</v>
      </c>
      <c r="K2864" t="s">
        <v>512</v>
      </c>
      <c r="L2864" t="s">
        <v>262</v>
      </c>
      <c r="M2864" t="s">
        <v>356</v>
      </c>
      <c r="N2864" s="73">
        <v>67262</v>
      </c>
      <c r="O2864" s="73">
        <v>67262</v>
      </c>
      <c r="P2864">
        <v>34.681374159610094</v>
      </c>
    </row>
    <row r="2865" spans="1:16" x14ac:dyDescent="0.2">
      <c r="A2865" s="73">
        <v>67262</v>
      </c>
      <c r="B2865" t="s">
        <v>350</v>
      </c>
      <c r="C2865" s="73" t="s">
        <v>421</v>
      </c>
      <c r="D2865" t="s">
        <v>422</v>
      </c>
      <c r="E2865" s="74">
        <v>45926</v>
      </c>
      <c r="F2865" t="s">
        <v>353</v>
      </c>
      <c r="G2865" t="s">
        <v>354</v>
      </c>
      <c r="H2865" s="75">
        <f t="shared" si="44"/>
        <v>104.04412247883027</v>
      </c>
      <c r="I2865" s="74">
        <v>45926</v>
      </c>
      <c r="J2865">
        <v>3</v>
      </c>
      <c r="K2865" t="s">
        <v>512</v>
      </c>
      <c r="L2865" t="s">
        <v>355</v>
      </c>
      <c r="M2865" t="s">
        <v>356</v>
      </c>
      <c r="N2865" s="73">
        <v>67262</v>
      </c>
      <c r="O2865" s="73">
        <v>67262</v>
      </c>
      <c r="P2865">
        <v>34.681374159610094</v>
      </c>
    </row>
    <row r="2866" spans="1:16" x14ac:dyDescent="0.2">
      <c r="A2866" s="73">
        <v>67262</v>
      </c>
      <c r="B2866" t="s">
        <v>350</v>
      </c>
      <c r="C2866" s="73" t="s">
        <v>421</v>
      </c>
      <c r="D2866" t="s">
        <v>422</v>
      </c>
      <c r="E2866" s="74">
        <v>45926</v>
      </c>
      <c r="F2866" t="s">
        <v>387</v>
      </c>
      <c r="G2866" t="s">
        <v>388</v>
      </c>
      <c r="H2866" s="75">
        <f t="shared" si="44"/>
        <v>138.72549663844038</v>
      </c>
      <c r="I2866" s="74">
        <v>45926</v>
      </c>
      <c r="J2866">
        <v>4</v>
      </c>
      <c r="K2866" t="s">
        <v>512</v>
      </c>
      <c r="L2866" t="s">
        <v>367</v>
      </c>
      <c r="M2866" t="s">
        <v>356</v>
      </c>
      <c r="N2866" s="73">
        <v>67262</v>
      </c>
      <c r="O2866" s="73">
        <v>67262</v>
      </c>
      <c r="P2866">
        <v>34.681374159610094</v>
      </c>
    </row>
    <row r="2867" spans="1:16" x14ac:dyDescent="0.2">
      <c r="A2867" s="73">
        <v>67262</v>
      </c>
      <c r="B2867" t="s">
        <v>350</v>
      </c>
      <c r="C2867" s="73" t="s">
        <v>421</v>
      </c>
      <c r="D2867" t="s">
        <v>422</v>
      </c>
      <c r="E2867" s="74">
        <v>45926</v>
      </c>
      <c r="F2867" t="s">
        <v>410</v>
      </c>
      <c r="G2867" t="s">
        <v>411</v>
      </c>
      <c r="H2867" s="75">
        <f t="shared" si="44"/>
        <v>208.08824495766055</v>
      </c>
      <c r="I2867" s="74">
        <v>45926</v>
      </c>
      <c r="J2867">
        <v>6</v>
      </c>
      <c r="K2867" t="s">
        <v>512</v>
      </c>
      <c r="L2867" t="s">
        <v>262</v>
      </c>
      <c r="M2867" t="s">
        <v>356</v>
      </c>
      <c r="N2867" s="73">
        <v>67262</v>
      </c>
      <c r="O2867" s="73">
        <v>67262</v>
      </c>
      <c r="P2867">
        <v>34.681374159610094</v>
      </c>
    </row>
    <row r="2868" spans="1:16" x14ac:dyDescent="0.2">
      <c r="A2868" s="73">
        <v>67262</v>
      </c>
      <c r="B2868" t="s">
        <v>350</v>
      </c>
      <c r="C2868" s="73" t="s">
        <v>421</v>
      </c>
      <c r="D2868" t="s">
        <v>422</v>
      </c>
      <c r="E2868" s="74">
        <v>45926</v>
      </c>
      <c r="F2868" t="s">
        <v>398</v>
      </c>
      <c r="G2868" t="s">
        <v>399</v>
      </c>
      <c r="H2868" s="75">
        <f t="shared" si="44"/>
        <v>208.08824495766055</v>
      </c>
      <c r="I2868" s="74">
        <v>45926</v>
      </c>
      <c r="J2868">
        <v>6</v>
      </c>
      <c r="K2868" t="s">
        <v>512</v>
      </c>
      <c r="L2868" t="s">
        <v>367</v>
      </c>
      <c r="M2868" t="s">
        <v>356</v>
      </c>
      <c r="N2868" s="73">
        <v>67262</v>
      </c>
      <c r="O2868" s="73">
        <v>67262</v>
      </c>
      <c r="P2868">
        <v>34.681374159610094</v>
      </c>
    </row>
    <row r="2869" spans="1:16" x14ac:dyDescent="0.2">
      <c r="A2869" s="73">
        <v>67262</v>
      </c>
      <c r="B2869" t="s">
        <v>350</v>
      </c>
      <c r="C2869" s="73" t="s">
        <v>421</v>
      </c>
      <c r="D2869" t="s">
        <v>422</v>
      </c>
      <c r="E2869" s="74">
        <v>45926</v>
      </c>
      <c r="F2869" t="s">
        <v>404</v>
      </c>
      <c r="G2869" t="s">
        <v>405</v>
      </c>
      <c r="H2869" s="75">
        <f t="shared" si="44"/>
        <v>208.08824495766055</v>
      </c>
      <c r="I2869" s="74">
        <v>45926</v>
      </c>
      <c r="J2869">
        <v>6</v>
      </c>
      <c r="K2869" t="s">
        <v>512</v>
      </c>
      <c r="L2869" t="s">
        <v>262</v>
      </c>
      <c r="M2869" t="s">
        <v>356</v>
      </c>
      <c r="N2869" s="73">
        <v>67262</v>
      </c>
      <c r="O2869" s="73">
        <v>67262</v>
      </c>
      <c r="P2869">
        <v>34.681374159610094</v>
      </c>
    </row>
    <row r="2870" spans="1:16" x14ac:dyDescent="0.2">
      <c r="A2870" s="73">
        <v>67262</v>
      </c>
      <c r="B2870" t="s">
        <v>350</v>
      </c>
      <c r="C2870" s="73" t="s">
        <v>421</v>
      </c>
      <c r="D2870" t="s">
        <v>422</v>
      </c>
      <c r="E2870" s="74">
        <v>46056</v>
      </c>
      <c r="F2870" t="s">
        <v>414</v>
      </c>
      <c r="G2870" t="s">
        <v>415</v>
      </c>
      <c r="H2870" s="75">
        <f t="shared" si="44"/>
        <v>260.11030619707572</v>
      </c>
      <c r="I2870" s="74">
        <v>46056</v>
      </c>
      <c r="J2870">
        <v>7.5</v>
      </c>
      <c r="K2870" t="s">
        <v>508</v>
      </c>
      <c r="L2870" t="s">
        <v>262</v>
      </c>
      <c r="M2870" t="s">
        <v>356</v>
      </c>
      <c r="N2870" s="73">
        <v>67262</v>
      </c>
      <c r="O2870" s="73">
        <v>67262</v>
      </c>
      <c r="P2870">
        <v>34.681374159610094</v>
      </c>
    </row>
    <row r="2871" spans="1:16" x14ac:dyDescent="0.2">
      <c r="A2871" s="73">
        <v>67262</v>
      </c>
      <c r="B2871" t="s">
        <v>350</v>
      </c>
      <c r="C2871" s="73" t="s">
        <v>421</v>
      </c>
      <c r="D2871" t="s">
        <v>422</v>
      </c>
      <c r="E2871" s="74">
        <v>45929</v>
      </c>
      <c r="F2871" t="s">
        <v>410</v>
      </c>
      <c r="G2871" t="s">
        <v>411</v>
      </c>
      <c r="H2871" s="75">
        <f t="shared" si="44"/>
        <v>208.08824495766055</v>
      </c>
      <c r="I2871" s="74">
        <v>45929</v>
      </c>
      <c r="J2871">
        <v>6</v>
      </c>
      <c r="K2871" t="s">
        <v>512</v>
      </c>
      <c r="L2871" t="s">
        <v>262</v>
      </c>
      <c r="M2871" t="s">
        <v>356</v>
      </c>
      <c r="N2871" s="73">
        <v>67262</v>
      </c>
      <c r="O2871" s="73">
        <v>67262</v>
      </c>
      <c r="P2871">
        <v>34.681374159610094</v>
      </c>
    </row>
    <row r="2872" spans="1:16" x14ac:dyDescent="0.2">
      <c r="A2872" s="73">
        <v>67262</v>
      </c>
      <c r="B2872" t="s">
        <v>350</v>
      </c>
      <c r="C2872" s="73" t="s">
        <v>421</v>
      </c>
      <c r="D2872" t="s">
        <v>422</v>
      </c>
      <c r="E2872" s="74">
        <v>45929</v>
      </c>
      <c r="F2872" t="s">
        <v>387</v>
      </c>
      <c r="G2872" t="s">
        <v>388</v>
      </c>
      <c r="H2872" s="75">
        <f t="shared" si="44"/>
        <v>277.45099327688075</v>
      </c>
      <c r="I2872" s="74">
        <v>45929</v>
      </c>
      <c r="J2872">
        <v>8</v>
      </c>
      <c r="K2872" t="s">
        <v>512</v>
      </c>
      <c r="L2872" t="s">
        <v>367</v>
      </c>
      <c r="M2872" t="s">
        <v>356</v>
      </c>
      <c r="N2872" s="73">
        <v>67262</v>
      </c>
      <c r="O2872" s="73">
        <v>67262</v>
      </c>
      <c r="P2872">
        <v>34.681374159610094</v>
      </c>
    </row>
    <row r="2873" spans="1:16" x14ac:dyDescent="0.2">
      <c r="A2873" s="73">
        <v>67262</v>
      </c>
      <c r="B2873" t="s">
        <v>350</v>
      </c>
      <c r="C2873" s="73" t="s">
        <v>421</v>
      </c>
      <c r="D2873" t="s">
        <v>422</v>
      </c>
      <c r="E2873" s="74">
        <v>45929</v>
      </c>
      <c r="F2873" t="s">
        <v>398</v>
      </c>
      <c r="G2873" t="s">
        <v>399</v>
      </c>
      <c r="H2873" s="75">
        <f t="shared" si="44"/>
        <v>208.08824495766055</v>
      </c>
      <c r="I2873" s="74">
        <v>45929</v>
      </c>
      <c r="J2873">
        <v>6</v>
      </c>
      <c r="K2873" t="s">
        <v>512</v>
      </c>
      <c r="L2873" t="s">
        <v>367</v>
      </c>
      <c r="M2873" t="s">
        <v>356</v>
      </c>
      <c r="N2873" s="73">
        <v>67262</v>
      </c>
      <c r="O2873" s="73">
        <v>67262</v>
      </c>
      <c r="P2873">
        <v>34.681374159610094</v>
      </c>
    </row>
    <row r="2874" spans="1:16" x14ac:dyDescent="0.2">
      <c r="A2874" s="73">
        <v>67262</v>
      </c>
      <c r="B2874" t="s">
        <v>350</v>
      </c>
      <c r="C2874" s="73" t="s">
        <v>421</v>
      </c>
      <c r="D2874" t="s">
        <v>422</v>
      </c>
      <c r="E2874" s="74">
        <v>45929</v>
      </c>
      <c r="F2874" t="s">
        <v>353</v>
      </c>
      <c r="G2874" t="s">
        <v>354</v>
      </c>
      <c r="H2874" s="75">
        <f t="shared" si="44"/>
        <v>104.04412247883027</v>
      </c>
      <c r="I2874" s="74">
        <v>45929</v>
      </c>
      <c r="J2874">
        <v>3</v>
      </c>
      <c r="K2874" t="s">
        <v>512</v>
      </c>
      <c r="L2874" t="s">
        <v>355</v>
      </c>
      <c r="M2874" t="s">
        <v>356</v>
      </c>
      <c r="N2874" s="73">
        <v>67262</v>
      </c>
      <c r="O2874" s="73">
        <v>67262</v>
      </c>
      <c r="P2874">
        <v>34.681374159610094</v>
      </c>
    </row>
    <row r="2875" spans="1:16" x14ac:dyDescent="0.2">
      <c r="A2875" s="73">
        <v>67262</v>
      </c>
      <c r="B2875" t="s">
        <v>350</v>
      </c>
      <c r="C2875" s="73" t="s">
        <v>421</v>
      </c>
      <c r="D2875" t="s">
        <v>422</v>
      </c>
      <c r="E2875" s="74">
        <v>45929</v>
      </c>
      <c r="F2875" t="s">
        <v>395</v>
      </c>
      <c r="G2875" t="s">
        <v>396</v>
      </c>
      <c r="H2875" s="75">
        <f t="shared" si="44"/>
        <v>208.08824495766055</v>
      </c>
      <c r="I2875" s="74">
        <v>45929</v>
      </c>
      <c r="J2875">
        <v>6</v>
      </c>
      <c r="K2875" t="s">
        <v>512</v>
      </c>
      <c r="L2875" t="s">
        <v>262</v>
      </c>
      <c r="M2875" t="s">
        <v>356</v>
      </c>
      <c r="N2875" s="73">
        <v>67262</v>
      </c>
      <c r="O2875" s="73">
        <v>67262</v>
      </c>
      <c r="P2875">
        <v>34.681374159610094</v>
      </c>
    </row>
    <row r="2876" spans="1:16" x14ac:dyDescent="0.2">
      <c r="A2876" s="73">
        <v>67262</v>
      </c>
      <c r="B2876" t="s">
        <v>350</v>
      </c>
      <c r="C2876" s="73" t="s">
        <v>421</v>
      </c>
      <c r="D2876" t="s">
        <v>422</v>
      </c>
      <c r="E2876" s="74">
        <v>45930</v>
      </c>
      <c r="F2876" t="s">
        <v>387</v>
      </c>
      <c r="G2876" t="s">
        <v>388</v>
      </c>
      <c r="H2876" s="75">
        <f t="shared" si="44"/>
        <v>138.72549663844038</v>
      </c>
      <c r="I2876" s="74">
        <v>45930</v>
      </c>
      <c r="J2876">
        <v>4</v>
      </c>
      <c r="K2876" t="s">
        <v>512</v>
      </c>
      <c r="L2876" t="s">
        <v>367</v>
      </c>
      <c r="M2876" t="s">
        <v>356</v>
      </c>
      <c r="N2876" s="73">
        <v>67262</v>
      </c>
      <c r="O2876" s="73">
        <v>67262</v>
      </c>
      <c r="P2876">
        <v>34.681374159610094</v>
      </c>
    </row>
    <row r="2877" spans="1:16" x14ac:dyDescent="0.2">
      <c r="A2877" s="73">
        <v>67262</v>
      </c>
      <c r="B2877" t="s">
        <v>350</v>
      </c>
      <c r="C2877" s="73" t="s">
        <v>421</v>
      </c>
      <c r="D2877" t="s">
        <v>422</v>
      </c>
      <c r="E2877" s="74">
        <v>45930</v>
      </c>
      <c r="F2877" t="s">
        <v>398</v>
      </c>
      <c r="G2877" t="s">
        <v>399</v>
      </c>
      <c r="H2877" s="75">
        <f t="shared" si="44"/>
        <v>208.08824495766055</v>
      </c>
      <c r="I2877" s="74">
        <v>45930</v>
      </c>
      <c r="J2877">
        <v>6</v>
      </c>
      <c r="K2877" t="s">
        <v>512</v>
      </c>
      <c r="L2877" t="s">
        <v>367</v>
      </c>
      <c r="M2877" t="s">
        <v>356</v>
      </c>
      <c r="N2877" s="73">
        <v>67262</v>
      </c>
      <c r="O2877" s="73">
        <v>67262</v>
      </c>
      <c r="P2877">
        <v>34.681374159610094</v>
      </c>
    </row>
    <row r="2878" spans="1:16" x14ac:dyDescent="0.2">
      <c r="A2878" s="73">
        <v>67262</v>
      </c>
      <c r="B2878" t="s">
        <v>350</v>
      </c>
      <c r="C2878" s="73" t="s">
        <v>421</v>
      </c>
      <c r="D2878" t="s">
        <v>422</v>
      </c>
      <c r="E2878" s="74">
        <v>45930</v>
      </c>
      <c r="F2878" t="s">
        <v>353</v>
      </c>
      <c r="G2878" t="s">
        <v>354</v>
      </c>
      <c r="H2878" s="75">
        <f t="shared" si="44"/>
        <v>104.04412247883027</v>
      </c>
      <c r="I2878" s="74">
        <v>45930</v>
      </c>
      <c r="J2878">
        <v>3</v>
      </c>
      <c r="K2878" t="s">
        <v>512</v>
      </c>
      <c r="L2878" t="s">
        <v>355</v>
      </c>
      <c r="M2878" t="s">
        <v>356</v>
      </c>
      <c r="N2878" s="73">
        <v>67262</v>
      </c>
      <c r="O2878" s="73">
        <v>67262</v>
      </c>
      <c r="P2878">
        <v>34.681374159610094</v>
      </c>
    </row>
    <row r="2879" spans="1:16" x14ac:dyDescent="0.2">
      <c r="A2879" s="73">
        <v>67262</v>
      </c>
      <c r="B2879" t="s">
        <v>350</v>
      </c>
      <c r="C2879" s="73" t="s">
        <v>421</v>
      </c>
      <c r="D2879" t="s">
        <v>422</v>
      </c>
      <c r="E2879" s="74">
        <v>45930</v>
      </c>
      <c r="F2879" t="s">
        <v>395</v>
      </c>
      <c r="G2879" t="s">
        <v>396</v>
      </c>
      <c r="H2879" s="75">
        <f t="shared" si="44"/>
        <v>69.362748319220188</v>
      </c>
      <c r="I2879" s="74">
        <v>45930</v>
      </c>
      <c r="J2879">
        <v>2</v>
      </c>
      <c r="K2879" t="s">
        <v>512</v>
      </c>
      <c r="L2879" t="s">
        <v>262</v>
      </c>
      <c r="M2879" t="s">
        <v>356</v>
      </c>
      <c r="N2879" s="73">
        <v>67262</v>
      </c>
      <c r="O2879" s="73">
        <v>67262</v>
      </c>
      <c r="P2879">
        <v>34.681374159610094</v>
      </c>
    </row>
    <row r="2880" spans="1:16" x14ac:dyDescent="0.2">
      <c r="A2880" s="73">
        <v>67262</v>
      </c>
      <c r="B2880" t="s">
        <v>350</v>
      </c>
      <c r="C2880" s="73" t="s">
        <v>421</v>
      </c>
      <c r="D2880" t="s">
        <v>422</v>
      </c>
      <c r="E2880" s="74">
        <v>46057</v>
      </c>
      <c r="F2880" t="s">
        <v>414</v>
      </c>
      <c r="G2880" t="s">
        <v>415</v>
      </c>
      <c r="H2880" s="75">
        <f t="shared" si="44"/>
        <v>260.11030619707572</v>
      </c>
      <c r="I2880" s="74">
        <v>46057</v>
      </c>
      <c r="J2880">
        <v>7.5</v>
      </c>
      <c r="K2880" t="s">
        <v>508</v>
      </c>
      <c r="L2880" t="s">
        <v>262</v>
      </c>
      <c r="M2880" t="s">
        <v>356</v>
      </c>
      <c r="N2880" s="73">
        <v>67262</v>
      </c>
      <c r="O2880" s="73">
        <v>67262</v>
      </c>
      <c r="P2880">
        <v>34.681374159610094</v>
      </c>
    </row>
    <row r="2881" spans="1:16" x14ac:dyDescent="0.2">
      <c r="A2881" s="73">
        <v>67262</v>
      </c>
      <c r="B2881" t="s">
        <v>350</v>
      </c>
      <c r="C2881" s="73" t="s">
        <v>421</v>
      </c>
      <c r="D2881" t="s">
        <v>422</v>
      </c>
      <c r="E2881" s="74">
        <v>45933</v>
      </c>
      <c r="F2881" t="s">
        <v>387</v>
      </c>
      <c r="G2881" t="s">
        <v>388</v>
      </c>
      <c r="H2881" s="75">
        <f t="shared" si="44"/>
        <v>69.362748319220188</v>
      </c>
      <c r="I2881" s="74">
        <v>45933</v>
      </c>
      <c r="J2881">
        <v>2</v>
      </c>
      <c r="K2881" t="s">
        <v>513</v>
      </c>
      <c r="L2881" t="s">
        <v>367</v>
      </c>
      <c r="M2881" t="s">
        <v>356</v>
      </c>
      <c r="N2881" s="73">
        <v>67262</v>
      </c>
      <c r="O2881" s="73">
        <v>67262</v>
      </c>
      <c r="P2881">
        <v>34.681374159610094</v>
      </c>
    </row>
    <row r="2882" spans="1:16" x14ac:dyDescent="0.2">
      <c r="A2882" s="73">
        <v>67262</v>
      </c>
      <c r="B2882" t="s">
        <v>350</v>
      </c>
      <c r="C2882" s="73" t="s">
        <v>421</v>
      </c>
      <c r="D2882" t="s">
        <v>422</v>
      </c>
      <c r="E2882" s="74">
        <v>45933</v>
      </c>
      <c r="F2882" t="s">
        <v>398</v>
      </c>
      <c r="G2882" t="s">
        <v>399</v>
      </c>
      <c r="H2882" s="75">
        <f t="shared" ref="H2882:H2945" si="45">J2882*P2882</f>
        <v>208.08824495766055</v>
      </c>
      <c r="I2882" s="74">
        <v>45933</v>
      </c>
      <c r="J2882">
        <v>6</v>
      </c>
      <c r="K2882" t="s">
        <v>513</v>
      </c>
      <c r="L2882" t="s">
        <v>367</v>
      </c>
      <c r="M2882" t="s">
        <v>356</v>
      </c>
      <c r="N2882" s="73">
        <v>67262</v>
      </c>
      <c r="O2882" s="73">
        <v>67262</v>
      </c>
      <c r="P2882">
        <v>34.681374159610094</v>
      </c>
    </row>
    <row r="2883" spans="1:16" x14ac:dyDescent="0.2">
      <c r="A2883" s="73">
        <v>67262</v>
      </c>
      <c r="B2883" t="s">
        <v>350</v>
      </c>
      <c r="C2883" s="73" t="s">
        <v>421</v>
      </c>
      <c r="D2883" t="s">
        <v>422</v>
      </c>
      <c r="E2883" s="74">
        <v>45936</v>
      </c>
      <c r="F2883" t="s">
        <v>353</v>
      </c>
      <c r="G2883" t="s">
        <v>354</v>
      </c>
      <c r="H2883" s="75">
        <f t="shared" si="45"/>
        <v>138.72549663844038</v>
      </c>
      <c r="I2883" s="74">
        <v>45936</v>
      </c>
      <c r="J2883">
        <v>4</v>
      </c>
      <c r="K2883" t="s">
        <v>513</v>
      </c>
      <c r="L2883" t="s">
        <v>355</v>
      </c>
      <c r="M2883" t="s">
        <v>356</v>
      </c>
      <c r="N2883" s="73">
        <v>67262</v>
      </c>
      <c r="O2883" s="73">
        <v>67262</v>
      </c>
      <c r="P2883">
        <v>34.681374159610094</v>
      </c>
    </row>
    <row r="2884" spans="1:16" x14ac:dyDescent="0.2">
      <c r="A2884" s="73">
        <v>67262</v>
      </c>
      <c r="B2884" t="s">
        <v>350</v>
      </c>
      <c r="C2884" s="73" t="s">
        <v>421</v>
      </c>
      <c r="D2884" t="s">
        <v>422</v>
      </c>
      <c r="E2884" s="74">
        <v>45936</v>
      </c>
      <c r="F2884" t="s">
        <v>398</v>
      </c>
      <c r="G2884" t="s">
        <v>399</v>
      </c>
      <c r="H2884" s="75">
        <f t="shared" si="45"/>
        <v>208.08824495766055</v>
      </c>
      <c r="I2884" s="74">
        <v>45936</v>
      </c>
      <c r="J2884">
        <v>6</v>
      </c>
      <c r="K2884" t="s">
        <v>513</v>
      </c>
      <c r="L2884" t="s">
        <v>367</v>
      </c>
      <c r="M2884" t="s">
        <v>356</v>
      </c>
      <c r="N2884" s="73">
        <v>67262</v>
      </c>
      <c r="O2884" s="73">
        <v>67262</v>
      </c>
      <c r="P2884">
        <v>34.681374159610094</v>
      </c>
    </row>
    <row r="2885" spans="1:16" x14ac:dyDescent="0.2">
      <c r="A2885" s="73">
        <v>67262</v>
      </c>
      <c r="B2885" t="s">
        <v>350</v>
      </c>
      <c r="C2885" s="73" t="s">
        <v>421</v>
      </c>
      <c r="D2885" t="s">
        <v>422</v>
      </c>
      <c r="E2885" s="74">
        <v>45936</v>
      </c>
      <c r="F2885" t="s">
        <v>387</v>
      </c>
      <c r="G2885" t="s">
        <v>388</v>
      </c>
      <c r="H2885" s="75">
        <f t="shared" si="45"/>
        <v>208.08824495766055</v>
      </c>
      <c r="I2885" s="74">
        <v>45936</v>
      </c>
      <c r="J2885">
        <v>6</v>
      </c>
      <c r="K2885" t="s">
        <v>513</v>
      </c>
      <c r="L2885" t="s">
        <v>367</v>
      </c>
      <c r="M2885" t="s">
        <v>356</v>
      </c>
      <c r="N2885" s="73">
        <v>67262</v>
      </c>
      <c r="O2885" s="73">
        <v>67262</v>
      </c>
      <c r="P2885">
        <v>34.681374159610094</v>
      </c>
    </row>
    <row r="2886" spans="1:16" x14ac:dyDescent="0.2">
      <c r="A2886" s="73">
        <v>67262</v>
      </c>
      <c r="B2886" t="s">
        <v>350</v>
      </c>
      <c r="C2886" s="73" t="s">
        <v>421</v>
      </c>
      <c r="D2886" t="s">
        <v>422</v>
      </c>
      <c r="E2886" s="74">
        <v>46058</v>
      </c>
      <c r="F2886" t="s">
        <v>414</v>
      </c>
      <c r="G2886" t="s">
        <v>415</v>
      </c>
      <c r="H2886" s="75">
        <f t="shared" si="45"/>
        <v>260.11030619707572</v>
      </c>
      <c r="I2886" s="74">
        <v>46058</v>
      </c>
      <c r="J2886">
        <v>7.5</v>
      </c>
      <c r="K2886" t="s">
        <v>508</v>
      </c>
      <c r="L2886" t="s">
        <v>262</v>
      </c>
      <c r="M2886" t="s">
        <v>356</v>
      </c>
      <c r="N2886" s="73">
        <v>67262</v>
      </c>
      <c r="O2886" s="73">
        <v>67262</v>
      </c>
      <c r="P2886">
        <v>34.681374159610094</v>
      </c>
    </row>
    <row r="2887" spans="1:16" x14ac:dyDescent="0.2">
      <c r="A2887" s="73">
        <v>67262</v>
      </c>
      <c r="B2887" t="s">
        <v>350</v>
      </c>
      <c r="C2887" s="73" t="s">
        <v>421</v>
      </c>
      <c r="D2887" t="s">
        <v>422</v>
      </c>
      <c r="E2887" s="74">
        <v>45937</v>
      </c>
      <c r="F2887" t="s">
        <v>353</v>
      </c>
      <c r="G2887" t="s">
        <v>354</v>
      </c>
      <c r="H2887" s="75">
        <f t="shared" si="45"/>
        <v>104.04412247883027</v>
      </c>
      <c r="I2887" s="74">
        <v>45937</v>
      </c>
      <c r="J2887">
        <v>3</v>
      </c>
      <c r="K2887" t="s">
        <v>513</v>
      </c>
      <c r="L2887" t="s">
        <v>355</v>
      </c>
      <c r="M2887" t="s">
        <v>356</v>
      </c>
      <c r="N2887" s="73">
        <v>67262</v>
      </c>
      <c r="O2887" s="73">
        <v>67262</v>
      </c>
      <c r="P2887">
        <v>34.681374159610094</v>
      </c>
    </row>
    <row r="2888" spans="1:16" x14ac:dyDescent="0.2">
      <c r="A2888" s="73">
        <v>67262</v>
      </c>
      <c r="B2888" t="s">
        <v>350</v>
      </c>
      <c r="C2888" s="73" t="s">
        <v>421</v>
      </c>
      <c r="D2888" t="s">
        <v>422</v>
      </c>
      <c r="E2888" s="74">
        <v>45937</v>
      </c>
      <c r="F2888" t="s">
        <v>398</v>
      </c>
      <c r="G2888" t="s">
        <v>399</v>
      </c>
      <c r="H2888" s="75">
        <f t="shared" si="45"/>
        <v>69.362748319220188</v>
      </c>
      <c r="I2888" s="74">
        <v>45937</v>
      </c>
      <c r="J2888">
        <v>2</v>
      </c>
      <c r="K2888" t="s">
        <v>513</v>
      </c>
      <c r="L2888" t="s">
        <v>367</v>
      </c>
      <c r="M2888" t="s">
        <v>356</v>
      </c>
      <c r="N2888" s="73">
        <v>67262</v>
      </c>
      <c r="O2888" s="73">
        <v>67262</v>
      </c>
      <c r="P2888">
        <v>34.681374159610094</v>
      </c>
    </row>
    <row r="2889" spans="1:16" x14ac:dyDescent="0.2">
      <c r="A2889" s="73">
        <v>67262</v>
      </c>
      <c r="B2889" t="s">
        <v>350</v>
      </c>
      <c r="C2889" s="73" t="s">
        <v>421</v>
      </c>
      <c r="D2889" t="s">
        <v>422</v>
      </c>
      <c r="E2889" s="74">
        <v>45937</v>
      </c>
      <c r="F2889" t="s">
        <v>387</v>
      </c>
      <c r="G2889" t="s">
        <v>388</v>
      </c>
      <c r="H2889" s="75">
        <f t="shared" si="45"/>
        <v>208.08824495766055</v>
      </c>
      <c r="I2889" s="74">
        <v>45937</v>
      </c>
      <c r="J2889">
        <v>6</v>
      </c>
      <c r="K2889" t="s">
        <v>513</v>
      </c>
      <c r="L2889" t="s">
        <v>367</v>
      </c>
      <c r="M2889" t="s">
        <v>356</v>
      </c>
      <c r="N2889" s="73">
        <v>67262</v>
      </c>
      <c r="O2889" s="73">
        <v>67262</v>
      </c>
      <c r="P2889">
        <v>34.681374159610094</v>
      </c>
    </row>
    <row r="2890" spans="1:16" x14ac:dyDescent="0.2">
      <c r="A2890" s="73">
        <v>67262</v>
      </c>
      <c r="B2890" t="s">
        <v>350</v>
      </c>
      <c r="C2890" s="73" t="s">
        <v>421</v>
      </c>
      <c r="D2890" t="s">
        <v>422</v>
      </c>
      <c r="E2890" s="74">
        <v>45936</v>
      </c>
      <c r="F2890" t="s">
        <v>404</v>
      </c>
      <c r="G2890" t="s">
        <v>405</v>
      </c>
      <c r="H2890" s="75">
        <f t="shared" si="45"/>
        <v>208.08824495766055</v>
      </c>
      <c r="I2890" s="74">
        <v>45936</v>
      </c>
      <c r="J2890">
        <v>6</v>
      </c>
      <c r="K2890" t="s">
        <v>513</v>
      </c>
      <c r="L2890" t="s">
        <v>262</v>
      </c>
      <c r="M2890" t="s">
        <v>356</v>
      </c>
      <c r="N2890" s="73">
        <v>67262</v>
      </c>
      <c r="O2890" s="73">
        <v>67262</v>
      </c>
      <c r="P2890">
        <v>34.681374159610094</v>
      </c>
    </row>
    <row r="2891" spans="1:16" x14ac:dyDescent="0.2">
      <c r="A2891" s="73">
        <v>67262</v>
      </c>
      <c r="B2891" t="s">
        <v>350</v>
      </c>
      <c r="C2891" s="73" t="s">
        <v>421</v>
      </c>
      <c r="D2891" t="s">
        <v>422</v>
      </c>
      <c r="E2891" s="74">
        <v>45937</v>
      </c>
      <c r="F2891" t="s">
        <v>404</v>
      </c>
      <c r="G2891" t="s">
        <v>405</v>
      </c>
      <c r="H2891" s="75">
        <f t="shared" si="45"/>
        <v>242.76961911727065</v>
      </c>
      <c r="I2891" s="74">
        <v>45937</v>
      </c>
      <c r="J2891">
        <v>7</v>
      </c>
      <c r="K2891" t="s">
        <v>513</v>
      </c>
      <c r="L2891" t="s">
        <v>262</v>
      </c>
      <c r="M2891" t="s">
        <v>356</v>
      </c>
      <c r="N2891" s="73">
        <v>67262</v>
      </c>
      <c r="O2891" s="73">
        <v>67262</v>
      </c>
      <c r="P2891">
        <v>34.681374159610094</v>
      </c>
    </row>
    <row r="2892" spans="1:16" x14ac:dyDescent="0.2">
      <c r="A2892" s="73">
        <v>67262</v>
      </c>
      <c r="B2892" t="s">
        <v>350</v>
      </c>
      <c r="C2892" s="73" t="s">
        <v>421</v>
      </c>
      <c r="D2892" t="s">
        <v>422</v>
      </c>
      <c r="E2892" s="74">
        <v>45938</v>
      </c>
      <c r="F2892" t="s">
        <v>353</v>
      </c>
      <c r="G2892" t="s">
        <v>354</v>
      </c>
      <c r="H2892" s="75">
        <f t="shared" si="45"/>
        <v>104.04412247883027</v>
      </c>
      <c r="I2892" s="74">
        <v>45938</v>
      </c>
      <c r="J2892">
        <v>3</v>
      </c>
      <c r="K2892" t="s">
        <v>513</v>
      </c>
      <c r="L2892" t="s">
        <v>355</v>
      </c>
      <c r="M2892" t="s">
        <v>356</v>
      </c>
      <c r="N2892" s="73">
        <v>67262</v>
      </c>
      <c r="O2892" s="73">
        <v>67262</v>
      </c>
      <c r="P2892">
        <v>34.681374159610094</v>
      </c>
    </row>
    <row r="2893" spans="1:16" x14ac:dyDescent="0.2">
      <c r="A2893" s="73">
        <v>67262</v>
      </c>
      <c r="B2893" t="s">
        <v>350</v>
      </c>
      <c r="C2893" s="73" t="s">
        <v>421</v>
      </c>
      <c r="D2893" t="s">
        <v>422</v>
      </c>
      <c r="E2893" s="74">
        <v>45938</v>
      </c>
      <c r="F2893" t="s">
        <v>387</v>
      </c>
      <c r="G2893" t="s">
        <v>388</v>
      </c>
      <c r="H2893" s="75">
        <f t="shared" si="45"/>
        <v>277.45099327688075</v>
      </c>
      <c r="I2893" s="74">
        <v>45938</v>
      </c>
      <c r="J2893">
        <v>8</v>
      </c>
      <c r="K2893" t="s">
        <v>513</v>
      </c>
      <c r="L2893" t="s">
        <v>367</v>
      </c>
      <c r="M2893" t="s">
        <v>356</v>
      </c>
      <c r="N2893" s="73">
        <v>67262</v>
      </c>
      <c r="O2893" s="73">
        <v>67262</v>
      </c>
      <c r="P2893">
        <v>34.681374159610094</v>
      </c>
    </row>
    <row r="2894" spans="1:16" x14ac:dyDescent="0.2">
      <c r="A2894" s="73">
        <v>67262</v>
      </c>
      <c r="B2894" t="s">
        <v>350</v>
      </c>
      <c r="C2894" s="73" t="s">
        <v>421</v>
      </c>
      <c r="D2894" t="s">
        <v>422</v>
      </c>
      <c r="E2894" s="74">
        <v>45938</v>
      </c>
      <c r="F2894" t="s">
        <v>360</v>
      </c>
      <c r="G2894" t="s">
        <v>361</v>
      </c>
      <c r="H2894" s="75">
        <f t="shared" si="45"/>
        <v>104.04412247883027</v>
      </c>
      <c r="I2894" s="74">
        <v>45938</v>
      </c>
      <c r="J2894">
        <v>3</v>
      </c>
      <c r="K2894" t="s">
        <v>513</v>
      </c>
      <c r="L2894" t="s">
        <v>262</v>
      </c>
      <c r="M2894" t="s">
        <v>356</v>
      </c>
      <c r="N2894" s="73">
        <v>67262</v>
      </c>
      <c r="O2894" s="73">
        <v>67262</v>
      </c>
      <c r="P2894">
        <v>34.681374159610094</v>
      </c>
    </row>
    <row r="2895" spans="1:16" x14ac:dyDescent="0.2">
      <c r="A2895" s="73">
        <v>67262</v>
      </c>
      <c r="B2895" t="s">
        <v>350</v>
      </c>
      <c r="C2895" s="73" t="s">
        <v>421</v>
      </c>
      <c r="D2895" t="s">
        <v>422</v>
      </c>
      <c r="E2895" s="74">
        <v>45938</v>
      </c>
      <c r="F2895" t="s">
        <v>404</v>
      </c>
      <c r="G2895" t="s">
        <v>405</v>
      </c>
      <c r="H2895" s="75">
        <f t="shared" si="45"/>
        <v>208.08824495766055</v>
      </c>
      <c r="I2895" s="74">
        <v>45938</v>
      </c>
      <c r="J2895">
        <v>6</v>
      </c>
      <c r="K2895" t="s">
        <v>513</v>
      </c>
      <c r="L2895" t="s">
        <v>262</v>
      </c>
      <c r="M2895" t="s">
        <v>356</v>
      </c>
      <c r="N2895" s="73">
        <v>67262</v>
      </c>
      <c r="O2895" s="73">
        <v>67262</v>
      </c>
      <c r="P2895">
        <v>34.681374159610094</v>
      </c>
    </row>
    <row r="2896" spans="1:16" x14ac:dyDescent="0.2">
      <c r="A2896" s="73">
        <v>67262</v>
      </c>
      <c r="B2896" t="s">
        <v>350</v>
      </c>
      <c r="C2896" s="73" t="s">
        <v>421</v>
      </c>
      <c r="D2896" t="s">
        <v>422</v>
      </c>
      <c r="E2896" s="74">
        <v>45939</v>
      </c>
      <c r="F2896" t="s">
        <v>353</v>
      </c>
      <c r="G2896" t="s">
        <v>354</v>
      </c>
      <c r="H2896" s="75">
        <f t="shared" si="45"/>
        <v>104.04412247883027</v>
      </c>
      <c r="I2896" s="74">
        <v>45939</v>
      </c>
      <c r="J2896">
        <v>3</v>
      </c>
      <c r="K2896" t="s">
        <v>513</v>
      </c>
      <c r="L2896" t="s">
        <v>355</v>
      </c>
      <c r="M2896" t="s">
        <v>356</v>
      </c>
      <c r="N2896" s="73">
        <v>67262</v>
      </c>
      <c r="O2896" s="73">
        <v>67262</v>
      </c>
      <c r="P2896">
        <v>34.681374159610094</v>
      </c>
    </row>
    <row r="2897" spans="1:16" x14ac:dyDescent="0.2">
      <c r="A2897" s="73">
        <v>67262</v>
      </c>
      <c r="B2897" t="s">
        <v>350</v>
      </c>
      <c r="C2897" s="73" t="s">
        <v>421</v>
      </c>
      <c r="D2897" t="s">
        <v>422</v>
      </c>
      <c r="E2897" s="74">
        <v>45939</v>
      </c>
      <c r="F2897" t="s">
        <v>387</v>
      </c>
      <c r="G2897" t="s">
        <v>388</v>
      </c>
      <c r="H2897" s="75">
        <f t="shared" si="45"/>
        <v>104.04412247883027</v>
      </c>
      <c r="I2897" s="74">
        <v>45939</v>
      </c>
      <c r="J2897">
        <v>3</v>
      </c>
      <c r="K2897" t="s">
        <v>513</v>
      </c>
      <c r="L2897" t="s">
        <v>367</v>
      </c>
      <c r="M2897" t="s">
        <v>356</v>
      </c>
      <c r="N2897" s="73">
        <v>67262</v>
      </c>
      <c r="O2897" s="73">
        <v>67262</v>
      </c>
      <c r="P2897">
        <v>34.681374159610094</v>
      </c>
    </row>
    <row r="2898" spans="1:16" x14ac:dyDescent="0.2">
      <c r="A2898" s="73">
        <v>67262</v>
      </c>
      <c r="B2898" t="s">
        <v>350</v>
      </c>
      <c r="C2898" s="73" t="s">
        <v>421</v>
      </c>
      <c r="D2898" t="s">
        <v>422</v>
      </c>
      <c r="E2898" s="74">
        <v>45939</v>
      </c>
      <c r="F2898" t="s">
        <v>360</v>
      </c>
      <c r="G2898" t="s">
        <v>361</v>
      </c>
      <c r="H2898" s="75">
        <f t="shared" si="45"/>
        <v>104.04412247883027</v>
      </c>
      <c r="I2898" s="74">
        <v>45939</v>
      </c>
      <c r="J2898">
        <v>3</v>
      </c>
      <c r="K2898" t="s">
        <v>513</v>
      </c>
      <c r="L2898" t="s">
        <v>262</v>
      </c>
      <c r="M2898" t="s">
        <v>356</v>
      </c>
      <c r="N2898" s="73">
        <v>67262</v>
      </c>
      <c r="O2898" s="73">
        <v>67262</v>
      </c>
      <c r="P2898">
        <v>34.681374159610094</v>
      </c>
    </row>
    <row r="2899" spans="1:16" x14ac:dyDescent="0.2">
      <c r="A2899" s="73">
        <v>67262</v>
      </c>
      <c r="B2899" t="s">
        <v>350</v>
      </c>
      <c r="C2899" s="73" t="s">
        <v>421</v>
      </c>
      <c r="D2899" t="s">
        <v>422</v>
      </c>
      <c r="E2899" s="74">
        <v>45939</v>
      </c>
      <c r="F2899" t="s">
        <v>404</v>
      </c>
      <c r="G2899" t="s">
        <v>405</v>
      </c>
      <c r="H2899" s="75">
        <f t="shared" si="45"/>
        <v>242.76961911727065</v>
      </c>
      <c r="I2899" s="74">
        <v>45939</v>
      </c>
      <c r="J2899">
        <v>7</v>
      </c>
      <c r="K2899" t="s">
        <v>513</v>
      </c>
      <c r="L2899" t="s">
        <v>262</v>
      </c>
      <c r="M2899" t="s">
        <v>356</v>
      </c>
      <c r="N2899" s="73">
        <v>67262</v>
      </c>
      <c r="O2899" s="73">
        <v>67262</v>
      </c>
      <c r="P2899">
        <v>34.681374159610094</v>
      </c>
    </row>
    <row r="2900" spans="1:16" x14ac:dyDescent="0.2">
      <c r="A2900" s="73">
        <v>67262</v>
      </c>
      <c r="B2900" t="s">
        <v>350</v>
      </c>
      <c r="C2900" s="73" t="s">
        <v>421</v>
      </c>
      <c r="D2900" t="s">
        <v>422</v>
      </c>
      <c r="E2900" s="74">
        <v>45940</v>
      </c>
      <c r="F2900" t="s">
        <v>353</v>
      </c>
      <c r="G2900" t="s">
        <v>354</v>
      </c>
      <c r="H2900" s="75">
        <f t="shared" si="45"/>
        <v>104.04412247883027</v>
      </c>
      <c r="I2900" s="74">
        <v>45940</v>
      </c>
      <c r="J2900">
        <v>3</v>
      </c>
      <c r="K2900" t="s">
        <v>513</v>
      </c>
      <c r="L2900" t="s">
        <v>355</v>
      </c>
      <c r="M2900" t="s">
        <v>356</v>
      </c>
      <c r="N2900" s="73">
        <v>67262</v>
      </c>
      <c r="O2900" s="73">
        <v>67262</v>
      </c>
      <c r="P2900">
        <v>34.681374159610094</v>
      </c>
    </row>
    <row r="2901" spans="1:16" x14ac:dyDescent="0.2">
      <c r="A2901" s="73">
        <v>67262</v>
      </c>
      <c r="B2901" t="s">
        <v>350</v>
      </c>
      <c r="C2901" s="73" t="s">
        <v>421</v>
      </c>
      <c r="D2901" t="s">
        <v>422</v>
      </c>
      <c r="E2901" s="74">
        <v>45940</v>
      </c>
      <c r="F2901" t="s">
        <v>404</v>
      </c>
      <c r="G2901" t="s">
        <v>405</v>
      </c>
      <c r="H2901" s="75">
        <f t="shared" si="45"/>
        <v>208.08824495766055</v>
      </c>
      <c r="I2901" s="74">
        <v>45940</v>
      </c>
      <c r="J2901">
        <v>6</v>
      </c>
      <c r="K2901" t="s">
        <v>513</v>
      </c>
      <c r="L2901" t="s">
        <v>262</v>
      </c>
      <c r="M2901" t="s">
        <v>356</v>
      </c>
      <c r="N2901" s="73">
        <v>67262</v>
      </c>
      <c r="O2901" s="73">
        <v>67262</v>
      </c>
      <c r="P2901">
        <v>34.681374159610094</v>
      </c>
    </row>
    <row r="2902" spans="1:16" x14ac:dyDescent="0.2">
      <c r="A2902" s="73">
        <v>67262</v>
      </c>
      <c r="B2902" t="s">
        <v>350</v>
      </c>
      <c r="C2902" s="73" t="s">
        <v>421</v>
      </c>
      <c r="D2902" t="s">
        <v>422</v>
      </c>
      <c r="E2902" s="74">
        <v>45943</v>
      </c>
      <c r="F2902" t="s">
        <v>387</v>
      </c>
      <c r="G2902" t="s">
        <v>388</v>
      </c>
      <c r="H2902" s="75">
        <f t="shared" si="45"/>
        <v>69.362748319220188</v>
      </c>
      <c r="I2902" s="74">
        <v>45943</v>
      </c>
      <c r="J2902">
        <v>2</v>
      </c>
      <c r="K2902" t="s">
        <v>513</v>
      </c>
      <c r="L2902" t="s">
        <v>367</v>
      </c>
      <c r="M2902" t="s">
        <v>356</v>
      </c>
      <c r="N2902" s="73">
        <v>67262</v>
      </c>
      <c r="O2902" s="73">
        <v>67262</v>
      </c>
      <c r="P2902">
        <v>34.681374159610094</v>
      </c>
    </row>
    <row r="2903" spans="1:16" x14ac:dyDescent="0.2">
      <c r="A2903" s="73">
        <v>67262</v>
      </c>
      <c r="B2903" t="s">
        <v>350</v>
      </c>
      <c r="C2903" s="73" t="s">
        <v>421</v>
      </c>
      <c r="D2903" t="s">
        <v>422</v>
      </c>
      <c r="E2903" s="74">
        <v>45944</v>
      </c>
      <c r="F2903" t="s">
        <v>387</v>
      </c>
      <c r="G2903" t="s">
        <v>388</v>
      </c>
      <c r="H2903" s="75">
        <f t="shared" si="45"/>
        <v>69.362748319220188</v>
      </c>
      <c r="I2903" s="74">
        <v>45944</v>
      </c>
      <c r="J2903">
        <v>2</v>
      </c>
      <c r="K2903" t="s">
        <v>513</v>
      </c>
      <c r="L2903" t="s">
        <v>367</v>
      </c>
      <c r="M2903" t="s">
        <v>356</v>
      </c>
      <c r="N2903" s="73">
        <v>67262</v>
      </c>
      <c r="O2903" s="73">
        <v>67262</v>
      </c>
      <c r="P2903">
        <v>34.681374159610094</v>
      </c>
    </row>
    <row r="2904" spans="1:16" x14ac:dyDescent="0.2">
      <c r="A2904" s="73">
        <v>67262</v>
      </c>
      <c r="B2904" t="s">
        <v>350</v>
      </c>
      <c r="C2904" s="73" t="s">
        <v>421</v>
      </c>
      <c r="D2904" t="s">
        <v>422</v>
      </c>
      <c r="E2904" s="74">
        <v>45945</v>
      </c>
      <c r="F2904" t="s">
        <v>395</v>
      </c>
      <c r="G2904" t="s">
        <v>396</v>
      </c>
      <c r="H2904" s="75">
        <f t="shared" si="45"/>
        <v>208.08824495766055</v>
      </c>
      <c r="I2904" s="74">
        <v>45945</v>
      </c>
      <c r="J2904">
        <v>6</v>
      </c>
      <c r="K2904" t="s">
        <v>513</v>
      </c>
      <c r="L2904" t="s">
        <v>262</v>
      </c>
      <c r="M2904" t="s">
        <v>356</v>
      </c>
      <c r="N2904" s="73">
        <v>67262</v>
      </c>
      <c r="O2904" s="73">
        <v>67262</v>
      </c>
      <c r="P2904">
        <v>34.681374159610094</v>
      </c>
    </row>
    <row r="2905" spans="1:16" x14ac:dyDescent="0.2">
      <c r="A2905" s="73">
        <v>67262</v>
      </c>
      <c r="B2905" t="s">
        <v>350</v>
      </c>
      <c r="C2905" s="73" t="s">
        <v>421</v>
      </c>
      <c r="D2905" t="s">
        <v>422</v>
      </c>
      <c r="E2905" s="74">
        <v>45944</v>
      </c>
      <c r="F2905" t="s">
        <v>404</v>
      </c>
      <c r="G2905" t="s">
        <v>405</v>
      </c>
      <c r="H2905" s="75">
        <f t="shared" si="45"/>
        <v>208.08824495766055</v>
      </c>
      <c r="I2905" s="74">
        <v>45944</v>
      </c>
      <c r="J2905">
        <v>6</v>
      </c>
      <c r="K2905" t="s">
        <v>513</v>
      </c>
      <c r="L2905" t="s">
        <v>262</v>
      </c>
      <c r="M2905" t="s">
        <v>356</v>
      </c>
      <c r="N2905" s="73">
        <v>67262</v>
      </c>
      <c r="O2905" s="73">
        <v>67262</v>
      </c>
      <c r="P2905">
        <v>34.681374159610094</v>
      </c>
    </row>
    <row r="2906" spans="1:16" x14ac:dyDescent="0.2">
      <c r="A2906" s="73">
        <v>67262</v>
      </c>
      <c r="B2906" t="s">
        <v>350</v>
      </c>
      <c r="C2906" s="73" t="s">
        <v>421</v>
      </c>
      <c r="D2906" t="s">
        <v>422</v>
      </c>
      <c r="E2906" s="74">
        <v>45946</v>
      </c>
      <c r="F2906" t="s">
        <v>395</v>
      </c>
      <c r="G2906" t="s">
        <v>396</v>
      </c>
      <c r="H2906" s="75">
        <f t="shared" si="45"/>
        <v>208.08824495766055</v>
      </c>
      <c r="I2906" s="74">
        <v>45946</v>
      </c>
      <c r="J2906">
        <v>6</v>
      </c>
      <c r="K2906" t="s">
        <v>513</v>
      </c>
      <c r="L2906" t="s">
        <v>262</v>
      </c>
      <c r="M2906" t="s">
        <v>356</v>
      </c>
      <c r="N2906" s="73">
        <v>67262</v>
      </c>
      <c r="O2906" s="73">
        <v>67262</v>
      </c>
      <c r="P2906">
        <v>34.681374159610094</v>
      </c>
    </row>
    <row r="2907" spans="1:16" x14ac:dyDescent="0.2">
      <c r="A2907" s="73">
        <v>67262</v>
      </c>
      <c r="B2907" t="s">
        <v>350</v>
      </c>
      <c r="C2907" s="73" t="s">
        <v>421</v>
      </c>
      <c r="D2907" t="s">
        <v>422</v>
      </c>
      <c r="E2907" s="74">
        <v>45946</v>
      </c>
      <c r="F2907" t="s">
        <v>387</v>
      </c>
      <c r="G2907" t="s">
        <v>388</v>
      </c>
      <c r="H2907" s="75">
        <f t="shared" si="45"/>
        <v>69.362748319220188</v>
      </c>
      <c r="I2907" s="74">
        <v>45946</v>
      </c>
      <c r="J2907">
        <v>2</v>
      </c>
      <c r="K2907" t="s">
        <v>513</v>
      </c>
      <c r="L2907" t="s">
        <v>367</v>
      </c>
      <c r="M2907" t="s">
        <v>356</v>
      </c>
      <c r="N2907" s="73">
        <v>67262</v>
      </c>
      <c r="O2907" s="73">
        <v>67262</v>
      </c>
      <c r="P2907">
        <v>34.681374159610094</v>
      </c>
    </row>
    <row r="2908" spans="1:16" x14ac:dyDescent="0.2">
      <c r="A2908" s="73">
        <v>67262</v>
      </c>
      <c r="B2908" t="s">
        <v>350</v>
      </c>
      <c r="C2908" s="73" t="s">
        <v>421</v>
      </c>
      <c r="D2908" t="s">
        <v>422</v>
      </c>
      <c r="E2908" s="74">
        <v>46062</v>
      </c>
      <c r="F2908" t="s">
        <v>414</v>
      </c>
      <c r="G2908" t="s">
        <v>415</v>
      </c>
      <c r="H2908" s="75">
        <f t="shared" si="45"/>
        <v>260.11030619707572</v>
      </c>
      <c r="I2908" s="74">
        <v>46062</v>
      </c>
      <c r="J2908">
        <v>7.5</v>
      </c>
      <c r="K2908" t="s">
        <v>508</v>
      </c>
      <c r="L2908" t="s">
        <v>262</v>
      </c>
      <c r="M2908" t="s">
        <v>356</v>
      </c>
      <c r="N2908" s="73">
        <v>67262</v>
      </c>
      <c r="O2908" s="73">
        <v>67262</v>
      </c>
      <c r="P2908">
        <v>34.681374159610094</v>
      </c>
    </row>
    <row r="2909" spans="1:16" x14ac:dyDescent="0.2">
      <c r="A2909" s="73">
        <v>67262</v>
      </c>
      <c r="B2909" t="s">
        <v>350</v>
      </c>
      <c r="C2909" s="73" t="s">
        <v>421</v>
      </c>
      <c r="D2909" t="s">
        <v>422</v>
      </c>
      <c r="E2909" s="74">
        <v>45952</v>
      </c>
      <c r="F2909" t="s">
        <v>360</v>
      </c>
      <c r="G2909" t="s">
        <v>361</v>
      </c>
      <c r="H2909" s="75">
        <f t="shared" si="45"/>
        <v>138.72549663844038</v>
      </c>
      <c r="I2909" s="74">
        <v>45952</v>
      </c>
      <c r="J2909">
        <v>4</v>
      </c>
      <c r="K2909" t="s">
        <v>513</v>
      </c>
      <c r="L2909" t="s">
        <v>262</v>
      </c>
      <c r="M2909" t="s">
        <v>356</v>
      </c>
      <c r="N2909" s="73">
        <v>67262</v>
      </c>
      <c r="O2909" s="73">
        <v>67262</v>
      </c>
      <c r="P2909">
        <v>34.681374159610094</v>
      </c>
    </row>
    <row r="2910" spans="1:16" x14ac:dyDescent="0.2">
      <c r="A2910" s="73">
        <v>67262</v>
      </c>
      <c r="B2910" t="s">
        <v>350</v>
      </c>
      <c r="C2910" s="73" t="s">
        <v>421</v>
      </c>
      <c r="D2910" t="s">
        <v>422</v>
      </c>
      <c r="E2910" s="74">
        <v>45952</v>
      </c>
      <c r="F2910" t="s">
        <v>395</v>
      </c>
      <c r="G2910" t="s">
        <v>396</v>
      </c>
      <c r="H2910" s="75">
        <f t="shared" si="45"/>
        <v>208.08824495766055</v>
      </c>
      <c r="I2910" s="74">
        <v>45952</v>
      </c>
      <c r="J2910">
        <v>6</v>
      </c>
      <c r="K2910" t="s">
        <v>513</v>
      </c>
      <c r="L2910" t="s">
        <v>262</v>
      </c>
      <c r="M2910" t="s">
        <v>356</v>
      </c>
      <c r="N2910" s="73">
        <v>67262</v>
      </c>
      <c r="O2910" s="73">
        <v>67262</v>
      </c>
      <c r="P2910">
        <v>34.681374159610094</v>
      </c>
    </row>
    <row r="2911" spans="1:16" x14ac:dyDescent="0.2">
      <c r="A2911" s="73">
        <v>67262</v>
      </c>
      <c r="B2911" t="s">
        <v>350</v>
      </c>
      <c r="C2911" s="73" t="s">
        <v>421</v>
      </c>
      <c r="D2911" t="s">
        <v>422</v>
      </c>
      <c r="E2911" s="74">
        <v>45952</v>
      </c>
      <c r="F2911" t="s">
        <v>387</v>
      </c>
      <c r="G2911" t="s">
        <v>388</v>
      </c>
      <c r="H2911" s="75">
        <f t="shared" si="45"/>
        <v>138.72549663844038</v>
      </c>
      <c r="I2911" s="74">
        <v>45952</v>
      </c>
      <c r="J2911">
        <v>4</v>
      </c>
      <c r="K2911" t="s">
        <v>513</v>
      </c>
      <c r="L2911" t="s">
        <v>367</v>
      </c>
      <c r="M2911" t="s">
        <v>356</v>
      </c>
      <c r="N2911" s="73">
        <v>67262</v>
      </c>
      <c r="O2911" s="73">
        <v>67262</v>
      </c>
      <c r="P2911">
        <v>34.681374159610094</v>
      </c>
    </row>
    <row r="2912" spans="1:16" x14ac:dyDescent="0.2">
      <c r="A2912" s="73">
        <v>67262</v>
      </c>
      <c r="B2912" t="s">
        <v>350</v>
      </c>
      <c r="C2912" s="73" t="s">
        <v>421</v>
      </c>
      <c r="D2912" t="s">
        <v>422</v>
      </c>
      <c r="E2912" s="74">
        <v>45953</v>
      </c>
      <c r="F2912" t="s">
        <v>387</v>
      </c>
      <c r="G2912" t="s">
        <v>388</v>
      </c>
      <c r="H2912" s="75">
        <f t="shared" si="45"/>
        <v>173.40687079805048</v>
      </c>
      <c r="I2912" s="74">
        <v>45953</v>
      </c>
      <c r="J2912">
        <v>5</v>
      </c>
      <c r="K2912" t="s">
        <v>513</v>
      </c>
      <c r="L2912" t="s">
        <v>367</v>
      </c>
      <c r="M2912" t="s">
        <v>356</v>
      </c>
      <c r="N2912" s="73">
        <v>67262</v>
      </c>
      <c r="O2912" s="73">
        <v>67262</v>
      </c>
      <c r="P2912">
        <v>34.681374159610094</v>
      </c>
    </row>
    <row r="2913" spans="1:16" x14ac:dyDescent="0.2">
      <c r="A2913" s="73">
        <v>67262</v>
      </c>
      <c r="B2913" t="s">
        <v>350</v>
      </c>
      <c r="C2913" s="73" t="s">
        <v>421</v>
      </c>
      <c r="D2913" t="s">
        <v>422</v>
      </c>
      <c r="E2913" s="74">
        <v>45957</v>
      </c>
      <c r="F2913" t="s">
        <v>387</v>
      </c>
      <c r="G2913" t="s">
        <v>388</v>
      </c>
      <c r="H2913" s="75">
        <f t="shared" si="45"/>
        <v>173.40687079805048</v>
      </c>
      <c r="I2913" s="74">
        <v>45957</v>
      </c>
      <c r="J2913">
        <v>5</v>
      </c>
      <c r="K2913" t="s">
        <v>513</v>
      </c>
      <c r="L2913" t="s">
        <v>367</v>
      </c>
      <c r="M2913" t="s">
        <v>356</v>
      </c>
      <c r="N2913" s="73">
        <v>67262</v>
      </c>
      <c r="O2913" s="73">
        <v>67262</v>
      </c>
      <c r="P2913">
        <v>34.681374159610094</v>
      </c>
    </row>
    <row r="2914" spans="1:16" x14ac:dyDescent="0.2">
      <c r="A2914" s="73">
        <v>67262</v>
      </c>
      <c r="B2914" t="s">
        <v>350</v>
      </c>
      <c r="C2914" s="73" t="s">
        <v>421</v>
      </c>
      <c r="D2914" t="s">
        <v>422</v>
      </c>
      <c r="E2914" s="74">
        <v>45957</v>
      </c>
      <c r="F2914" t="s">
        <v>387</v>
      </c>
      <c r="G2914" t="s">
        <v>388</v>
      </c>
      <c r="H2914" s="75">
        <f t="shared" si="45"/>
        <v>69.362748319220188</v>
      </c>
      <c r="I2914" s="74">
        <v>45957</v>
      </c>
      <c r="J2914">
        <v>2</v>
      </c>
      <c r="K2914" t="s">
        <v>513</v>
      </c>
      <c r="L2914" t="s">
        <v>367</v>
      </c>
      <c r="M2914" t="s">
        <v>356</v>
      </c>
      <c r="N2914" s="73">
        <v>67262</v>
      </c>
      <c r="O2914" s="73">
        <v>67262</v>
      </c>
      <c r="P2914">
        <v>34.681374159610094</v>
      </c>
    </row>
    <row r="2915" spans="1:16" x14ac:dyDescent="0.2">
      <c r="A2915" s="73">
        <v>67262</v>
      </c>
      <c r="B2915" t="s">
        <v>350</v>
      </c>
      <c r="C2915" s="73" t="s">
        <v>421</v>
      </c>
      <c r="D2915" t="s">
        <v>422</v>
      </c>
      <c r="E2915" s="74">
        <v>45957</v>
      </c>
      <c r="F2915" t="s">
        <v>353</v>
      </c>
      <c r="G2915" t="s">
        <v>354</v>
      </c>
      <c r="H2915" s="75">
        <f t="shared" si="45"/>
        <v>34.681374159610094</v>
      </c>
      <c r="I2915" s="74">
        <v>45957</v>
      </c>
      <c r="J2915">
        <v>1</v>
      </c>
      <c r="K2915" t="s">
        <v>513</v>
      </c>
      <c r="L2915" t="s">
        <v>355</v>
      </c>
      <c r="M2915" t="s">
        <v>356</v>
      </c>
      <c r="N2915" s="73">
        <v>67262</v>
      </c>
      <c r="O2915" s="73">
        <v>67262</v>
      </c>
      <c r="P2915">
        <v>34.681374159610094</v>
      </c>
    </row>
    <row r="2916" spans="1:16" x14ac:dyDescent="0.2">
      <c r="A2916" s="73">
        <v>67262</v>
      </c>
      <c r="B2916" t="s">
        <v>350</v>
      </c>
      <c r="C2916" s="73" t="s">
        <v>421</v>
      </c>
      <c r="D2916" t="s">
        <v>422</v>
      </c>
      <c r="E2916" s="74">
        <v>45958</v>
      </c>
      <c r="F2916" t="s">
        <v>387</v>
      </c>
      <c r="G2916" t="s">
        <v>388</v>
      </c>
      <c r="H2916" s="75">
        <f t="shared" si="45"/>
        <v>104.04412247883027</v>
      </c>
      <c r="I2916" s="74">
        <v>45958</v>
      </c>
      <c r="J2916">
        <v>3</v>
      </c>
      <c r="K2916" t="s">
        <v>513</v>
      </c>
      <c r="L2916" t="s">
        <v>367</v>
      </c>
      <c r="M2916" t="s">
        <v>356</v>
      </c>
      <c r="N2916" s="73">
        <v>67262</v>
      </c>
      <c r="O2916" s="73">
        <v>67262</v>
      </c>
      <c r="P2916">
        <v>34.681374159610094</v>
      </c>
    </row>
    <row r="2917" spans="1:16" x14ac:dyDescent="0.2">
      <c r="A2917" s="73">
        <v>67262</v>
      </c>
      <c r="B2917" t="s">
        <v>350</v>
      </c>
      <c r="C2917" s="73" t="s">
        <v>421</v>
      </c>
      <c r="D2917" t="s">
        <v>422</v>
      </c>
      <c r="E2917" s="74">
        <v>45958</v>
      </c>
      <c r="F2917" t="s">
        <v>404</v>
      </c>
      <c r="G2917" t="s">
        <v>405</v>
      </c>
      <c r="H2917" s="75">
        <f t="shared" si="45"/>
        <v>138.72549663844038</v>
      </c>
      <c r="I2917" s="74">
        <v>45958</v>
      </c>
      <c r="J2917">
        <v>4</v>
      </c>
      <c r="K2917" t="s">
        <v>513</v>
      </c>
      <c r="L2917" t="s">
        <v>262</v>
      </c>
      <c r="M2917" t="s">
        <v>356</v>
      </c>
      <c r="N2917" s="73">
        <v>67262</v>
      </c>
      <c r="O2917" s="73">
        <v>67262</v>
      </c>
      <c r="P2917">
        <v>34.681374159610094</v>
      </c>
    </row>
    <row r="2918" spans="1:16" x14ac:dyDescent="0.2">
      <c r="A2918" s="73">
        <v>67262</v>
      </c>
      <c r="B2918" t="s">
        <v>350</v>
      </c>
      <c r="C2918" s="73" t="s">
        <v>421</v>
      </c>
      <c r="D2918" t="s">
        <v>422</v>
      </c>
      <c r="E2918" s="74">
        <v>45958</v>
      </c>
      <c r="F2918" t="s">
        <v>353</v>
      </c>
      <c r="G2918" t="s">
        <v>354</v>
      </c>
      <c r="H2918" s="75">
        <f t="shared" si="45"/>
        <v>104.04412247883027</v>
      </c>
      <c r="I2918" s="74">
        <v>45958</v>
      </c>
      <c r="J2918">
        <v>3</v>
      </c>
      <c r="K2918" t="s">
        <v>513</v>
      </c>
      <c r="L2918" t="s">
        <v>355</v>
      </c>
      <c r="M2918" t="s">
        <v>356</v>
      </c>
      <c r="N2918" s="73">
        <v>67262</v>
      </c>
      <c r="O2918" s="73">
        <v>67262</v>
      </c>
      <c r="P2918">
        <v>34.681374159610094</v>
      </c>
    </row>
    <row r="2919" spans="1:16" x14ac:dyDescent="0.2">
      <c r="A2919" s="73">
        <v>67262</v>
      </c>
      <c r="B2919" t="s">
        <v>350</v>
      </c>
      <c r="C2919" s="73" t="s">
        <v>421</v>
      </c>
      <c r="D2919" t="s">
        <v>422</v>
      </c>
      <c r="E2919" s="74">
        <v>45959</v>
      </c>
      <c r="F2919" t="s">
        <v>353</v>
      </c>
      <c r="G2919" t="s">
        <v>354</v>
      </c>
      <c r="H2919" s="75">
        <f t="shared" si="45"/>
        <v>138.72549663844038</v>
      </c>
      <c r="I2919" s="74">
        <v>45959</v>
      </c>
      <c r="J2919">
        <v>4</v>
      </c>
      <c r="K2919" t="s">
        <v>513</v>
      </c>
      <c r="L2919" t="s">
        <v>355</v>
      </c>
      <c r="M2919" t="s">
        <v>356</v>
      </c>
      <c r="N2919" s="73">
        <v>67262</v>
      </c>
      <c r="O2919" s="73">
        <v>67262</v>
      </c>
      <c r="P2919">
        <v>34.681374159610094</v>
      </c>
    </row>
    <row r="2920" spans="1:16" x14ac:dyDescent="0.2">
      <c r="A2920" s="73">
        <v>67262</v>
      </c>
      <c r="B2920" t="s">
        <v>350</v>
      </c>
      <c r="C2920" s="73" t="s">
        <v>421</v>
      </c>
      <c r="D2920" t="s">
        <v>422</v>
      </c>
      <c r="E2920" s="74">
        <v>45960</v>
      </c>
      <c r="F2920" t="s">
        <v>395</v>
      </c>
      <c r="G2920" t="s">
        <v>396</v>
      </c>
      <c r="H2920" s="75">
        <f t="shared" si="45"/>
        <v>69.362748319220188</v>
      </c>
      <c r="I2920" s="74">
        <v>45960</v>
      </c>
      <c r="J2920">
        <v>2</v>
      </c>
      <c r="K2920" t="s">
        <v>513</v>
      </c>
      <c r="L2920" t="s">
        <v>262</v>
      </c>
      <c r="M2920" t="s">
        <v>356</v>
      </c>
      <c r="N2920" s="73">
        <v>67262</v>
      </c>
      <c r="O2920" s="73">
        <v>67262</v>
      </c>
      <c r="P2920">
        <v>34.681374159610094</v>
      </c>
    </row>
    <row r="2921" spans="1:16" x14ac:dyDescent="0.2">
      <c r="A2921" s="73">
        <v>67262</v>
      </c>
      <c r="B2921" t="s">
        <v>350</v>
      </c>
      <c r="C2921" s="73" t="s">
        <v>421</v>
      </c>
      <c r="D2921" t="s">
        <v>422</v>
      </c>
      <c r="E2921" s="74">
        <v>45960</v>
      </c>
      <c r="F2921" t="s">
        <v>353</v>
      </c>
      <c r="G2921" t="s">
        <v>354</v>
      </c>
      <c r="H2921" s="75">
        <f t="shared" si="45"/>
        <v>104.04412247883027</v>
      </c>
      <c r="I2921" s="74">
        <v>45960</v>
      </c>
      <c r="J2921">
        <v>3</v>
      </c>
      <c r="K2921" t="s">
        <v>513</v>
      </c>
      <c r="L2921" t="s">
        <v>355</v>
      </c>
      <c r="M2921" t="s">
        <v>356</v>
      </c>
      <c r="N2921" s="73">
        <v>67262</v>
      </c>
      <c r="O2921" s="73">
        <v>67262</v>
      </c>
      <c r="P2921">
        <v>34.681374159610094</v>
      </c>
    </row>
    <row r="2922" spans="1:16" x14ac:dyDescent="0.2">
      <c r="A2922" s="73">
        <v>67262</v>
      </c>
      <c r="B2922" t="s">
        <v>350</v>
      </c>
      <c r="C2922" s="73" t="s">
        <v>421</v>
      </c>
      <c r="D2922" t="s">
        <v>422</v>
      </c>
      <c r="E2922" s="74">
        <v>45961</v>
      </c>
      <c r="F2922" t="s">
        <v>387</v>
      </c>
      <c r="G2922" t="s">
        <v>388</v>
      </c>
      <c r="H2922" s="75">
        <f t="shared" si="45"/>
        <v>138.72549663844038</v>
      </c>
      <c r="I2922" s="74">
        <v>45961</v>
      </c>
      <c r="J2922">
        <v>4</v>
      </c>
      <c r="K2922" t="s">
        <v>513</v>
      </c>
      <c r="L2922" t="s">
        <v>367</v>
      </c>
      <c r="M2922" t="s">
        <v>356</v>
      </c>
      <c r="N2922" s="73">
        <v>67262</v>
      </c>
      <c r="O2922" s="73">
        <v>67262</v>
      </c>
      <c r="P2922">
        <v>34.681374159610094</v>
      </c>
    </row>
    <row r="2923" spans="1:16" x14ac:dyDescent="0.2">
      <c r="A2923" s="73">
        <v>67262</v>
      </c>
      <c r="B2923" t="s">
        <v>350</v>
      </c>
      <c r="C2923" s="73" t="s">
        <v>421</v>
      </c>
      <c r="D2923" t="s">
        <v>422</v>
      </c>
      <c r="E2923" s="74">
        <v>45961</v>
      </c>
      <c r="F2923" t="s">
        <v>395</v>
      </c>
      <c r="G2923" t="s">
        <v>396</v>
      </c>
      <c r="H2923" s="75">
        <f t="shared" si="45"/>
        <v>173.40687079805048</v>
      </c>
      <c r="I2923" s="74">
        <v>45961</v>
      </c>
      <c r="J2923">
        <v>5</v>
      </c>
      <c r="K2923" t="s">
        <v>513</v>
      </c>
      <c r="L2923" t="s">
        <v>262</v>
      </c>
      <c r="M2923" t="s">
        <v>356</v>
      </c>
      <c r="N2923" s="73">
        <v>67262</v>
      </c>
      <c r="O2923" s="73">
        <v>67262</v>
      </c>
      <c r="P2923">
        <v>34.681374159610094</v>
      </c>
    </row>
    <row r="2924" spans="1:16" x14ac:dyDescent="0.2">
      <c r="A2924" s="73">
        <v>67262</v>
      </c>
      <c r="B2924" t="s">
        <v>350</v>
      </c>
      <c r="C2924" s="73" t="s">
        <v>421</v>
      </c>
      <c r="D2924" t="s">
        <v>422</v>
      </c>
      <c r="E2924" s="74">
        <v>45961</v>
      </c>
      <c r="F2924" t="s">
        <v>353</v>
      </c>
      <c r="G2924" t="s">
        <v>354</v>
      </c>
      <c r="H2924" s="75">
        <f t="shared" si="45"/>
        <v>138.72549663844038</v>
      </c>
      <c r="I2924" s="74">
        <v>45961</v>
      </c>
      <c r="J2924">
        <v>4</v>
      </c>
      <c r="K2924" t="s">
        <v>513</v>
      </c>
      <c r="L2924" t="s">
        <v>355</v>
      </c>
      <c r="M2924" t="s">
        <v>356</v>
      </c>
      <c r="N2924" s="73">
        <v>67262</v>
      </c>
      <c r="O2924" s="73">
        <v>67262</v>
      </c>
      <c r="P2924">
        <v>34.681374159610094</v>
      </c>
    </row>
    <row r="2925" spans="1:16" x14ac:dyDescent="0.2">
      <c r="A2925" s="73">
        <v>67262</v>
      </c>
      <c r="B2925" t="s">
        <v>350</v>
      </c>
      <c r="C2925" s="73" t="s">
        <v>421</v>
      </c>
      <c r="D2925" t="s">
        <v>422</v>
      </c>
      <c r="E2925" s="74">
        <v>45964</v>
      </c>
      <c r="F2925" t="s">
        <v>353</v>
      </c>
      <c r="G2925" t="s">
        <v>354</v>
      </c>
      <c r="H2925" s="75">
        <f t="shared" si="45"/>
        <v>138.72549663844038</v>
      </c>
      <c r="I2925" s="74">
        <v>45964</v>
      </c>
      <c r="J2925">
        <v>4</v>
      </c>
      <c r="K2925" t="s">
        <v>514</v>
      </c>
      <c r="L2925" t="s">
        <v>355</v>
      </c>
      <c r="M2925" t="s">
        <v>356</v>
      </c>
      <c r="N2925" s="73">
        <v>67262</v>
      </c>
      <c r="O2925" s="73">
        <v>67262</v>
      </c>
      <c r="P2925">
        <v>34.681374159610094</v>
      </c>
    </row>
    <row r="2926" spans="1:16" x14ac:dyDescent="0.2">
      <c r="A2926" s="73">
        <v>67262</v>
      </c>
      <c r="B2926" t="s">
        <v>350</v>
      </c>
      <c r="C2926" s="73" t="s">
        <v>421</v>
      </c>
      <c r="D2926" t="s">
        <v>422</v>
      </c>
      <c r="E2926" s="74">
        <v>45965</v>
      </c>
      <c r="F2926" t="s">
        <v>353</v>
      </c>
      <c r="G2926" t="s">
        <v>354</v>
      </c>
      <c r="H2926" s="75">
        <f t="shared" si="45"/>
        <v>173.40687079805048</v>
      </c>
      <c r="I2926" s="74">
        <v>45965</v>
      </c>
      <c r="J2926">
        <v>5</v>
      </c>
      <c r="K2926" t="s">
        <v>514</v>
      </c>
      <c r="L2926" t="s">
        <v>355</v>
      </c>
      <c r="M2926" t="s">
        <v>356</v>
      </c>
      <c r="N2926" s="73">
        <v>67262</v>
      </c>
      <c r="O2926" s="73">
        <v>67262</v>
      </c>
      <c r="P2926">
        <v>34.681374159610094</v>
      </c>
    </row>
    <row r="2927" spans="1:16" x14ac:dyDescent="0.2">
      <c r="A2927" s="73">
        <v>67262</v>
      </c>
      <c r="B2927" t="s">
        <v>350</v>
      </c>
      <c r="C2927" s="73" t="s">
        <v>421</v>
      </c>
      <c r="D2927" t="s">
        <v>422</v>
      </c>
      <c r="E2927" s="74">
        <v>45966</v>
      </c>
      <c r="F2927" t="s">
        <v>353</v>
      </c>
      <c r="G2927" t="s">
        <v>354</v>
      </c>
      <c r="H2927" s="75">
        <f t="shared" si="45"/>
        <v>138.72549663844038</v>
      </c>
      <c r="I2927" s="74">
        <v>45966</v>
      </c>
      <c r="J2927">
        <v>4</v>
      </c>
      <c r="K2927" t="s">
        <v>514</v>
      </c>
      <c r="L2927" t="s">
        <v>355</v>
      </c>
      <c r="M2927" t="s">
        <v>356</v>
      </c>
      <c r="N2927" s="73">
        <v>67262</v>
      </c>
      <c r="O2927" s="73">
        <v>67262</v>
      </c>
      <c r="P2927">
        <v>34.681374159610094</v>
      </c>
    </row>
    <row r="2928" spans="1:16" x14ac:dyDescent="0.2">
      <c r="A2928" s="73">
        <v>67262</v>
      </c>
      <c r="B2928" t="s">
        <v>350</v>
      </c>
      <c r="C2928" s="73" t="s">
        <v>421</v>
      </c>
      <c r="D2928" t="s">
        <v>422</v>
      </c>
      <c r="E2928" s="74">
        <v>45967</v>
      </c>
      <c r="F2928" t="s">
        <v>353</v>
      </c>
      <c r="G2928" t="s">
        <v>354</v>
      </c>
      <c r="H2928" s="75">
        <f t="shared" si="45"/>
        <v>69.362748319220188</v>
      </c>
      <c r="I2928" s="74">
        <v>45967</v>
      </c>
      <c r="J2928">
        <v>2</v>
      </c>
      <c r="K2928" t="s">
        <v>514</v>
      </c>
      <c r="L2928" t="s">
        <v>355</v>
      </c>
      <c r="M2928" t="s">
        <v>356</v>
      </c>
      <c r="N2928" s="73">
        <v>67262</v>
      </c>
      <c r="O2928" s="73">
        <v>67262</v>
      </c>
      <c r="P2928">
        <v>34.681374159610094</v>
      </c>
    </row>
    <row r="2929" spans="1:16" x14ac:dyDescent="0.2">
      <c r="A2929" s="73">
        <v>67262</v>
      </c>
      <c r="B2929" t="s">
        <v>350</v>
      </c>
      <c r="C2929" s="73" t="s">
        <v>421</v>
      </c>
      <c r="D2929" t="s">
        <v>422</v>
      </c>
      <c r="E2929" s="74">
        <v>45971</v>
      </c>
      <c r="F2929" t="s">
        <v>360</v>
      </c>
      <c r="G2929" t="s">
        <v>361</v>
      </c>
      <c r="H2929" s="75">
        <f t="shared" si="45"/>
        <v>277.45099327688075</v>
      </c>
      <c r="I2929" s="74">
        <v>45971</v>
      </c>
      <c r="J2929">
        <v>8</v>
      </c>
      <c r="K2929" t="s">
        <v>514</v>
      </c>
      <c r="L2929" t="s">
        <v>262</v>
      </c>
      <c r="M2929" t="s">
        <v>356</v>
      </c>
      <c r="N2929" s="73">
        <v>67262</v>
      </c>
      <c r="O2929" s="73">
        <v>67262</v>
      </c>
      <c r="P2929">
        <v>34.681374159610094</v>
      </c>
    </row>
    <row r="2930" spans="1:16" x14ac:dyDescent="0.2">
      <c r="A2930" s="73">
        <v>67262</v>
      </c>
      <c r="B2930" t="s">
        <v>350</v>
      </c>
      <c r="C2930" s="73" t="s">
        <v>421</v>
      </c>
      <c r="D2930" t="s">
        <v>422</v>
      </c>
      <c r="E2930" s="74">
        <v>45972</v>
      </c>
      <c r="F2930" t="s">
        <v>353</v>
      </c>
      <c r="G2930" t="s">
        <v>354</v>
      </c>
      <c r="H2930" s="75">
        <f t="shared" si="45"/>
        <v>69.362748319220188</v>
      </c>
      <c r="I2930" s="74">
        <v>45972</v>
      </c>
      <c r="J2930">
        <v>2</v>
      </c>
      <c r="K2930" t="s">
        <v>514</v>
      </c>
      <c r="L2930" t="s">
        <v>355</v>
      </c>
      <c r="M2930" t="s">
        <v>356</v>
      </c>
      <c r="N2930" s="73">
        <v>67262</v>
      </c>
      <c r="O2930" s="73">
        <v>67262</v>
      </c>
      <c r="P2930">
        <v>34.681374159610094</v>
      </c>
    </row>
    <row r="2931" spans="1:16" x14ac:dyDescent="0.2">
      <c r="A2931" s="73">
        <v>67262</v>
      </c>
      <c r="B2931" t="s">
        <v>350</v>
      </c>
      <c r="C2931" s="73" t="s">
        <v>421</v>
      </c>
      <c r="D2931" t="s">
        <v>422</v>
      </c>
      <c r="E2931" s="74">
        <v>45973</v>
      </c>
      <c r="F2931" t="s">
        <v>360</v>
      </c>
      <c r="G2931" t="s">
        <v>361</v>
      </c>
      <c r="H2931" s="75">
        <f t="shared" si="45"/>
        <v>104.04412247883027</v>
      </c>
      <c r="I2931" s="74">
        <v>45973</v>
      </c>
      <c r="J2931">
        <v>3</v>
      </c>
      <c r="K2931" t="s">
        <v>514</v>
      </c>
      <c r="L2931" t="s">
        <v>262</v>
      </c>
      <c r="M2931" t="s">
        <v>356</v>
      </c>
      <c r="N2931" s="73">
        <v>67262</v>
      </c>
      <c r="O2931" s="73">
        <v>67262</v>
      </c>
      <c r="P2931">
        <v>34.681374159610094</v>
      </c>
    </row>
    <row r="2932" spans="1:16" x14ac:dyDescent="0.2">
      <c r="A2932" s="73">
        <v>67262</v>
      </c>
      <c r="B2932" t="s">
        <v>350</v>
      </c>
      <c r="C2932" s="73" t="s">
        <v>421</v>
      </c>
      <c r="D2932" t="s">
        <v>422</v>
      </c>
      <c r="E2932" s="74">
        <v>45973</v>
      </c>
      <c r="F2932" t="s">
        <v>353</v>
      </c>
      <c r="G2932" t="s">
        <v>354</v>
      </c>
      <c r="H2932" s="75">
        <f t="shared" si="45"/>
        <v>69.362748319220188</v>
      </c>
      <c r="I2932" s="74">
        <v>45973</v>
      </c>
      <c r="J2932">
        <v>2</v>
      </c>
      <c r="K2932" t="s">
        <v>514</v>
      </c>
      <c r="L2932" t="s">
        <v>355</v>
      </c>
      <c r="M2932" t="s">
        <v>356</v>
      </c>
      <c r="N2932" s="73">
        <v>67262</v>
      </c>
      <c r="O2932" s="73">
        <v>67262</v>
      </c>
      <c r="P2932">
        <v>34.681374159610094</v>
      </c>
    </row>
    <row r="2933" spans="1:16" x14ac:dyDescent="0.2">
      <c r="A2933" s="73">
        <v>67262</v>
      </c>
      <c r="B2933" t="s">
        <v>350</v>
      </c>
      <c r="C2933" s="73" t="s">
        <v>421</v>
      </c>
      <c r="D2933" t="s">
        <v>422</v>
      </c>
      <c r="E2933" s="74">
        <v>45978</v>
      </c>
      <c r="F2933" t="s">
        <v>360</v>
      </c>
      <c r="G2933" t="s">
        <v>361</v>
      </c>
      <c r="H2933" s="75">
        <f t="shared" si="45"/>
        <v>277.45099327688075</v>
      </c>
      <c r="I2933" s="74">
        <v>45978</v>
      </c>
      <c r="J2933">
        <v>8</v>
      </c>
      <c r="K2933" t="s">
        <v>514</v>
      </c>
      <c r="L2933" t="s">
        <v>262</v>
      </c>
      <c r="M2933" t="s">
        <v>356</v>
      </c>
      <c r="N2933" s="73">
        <v>67262</v>
      </c>
      <c r="O2933" s="73">
        <v>67262</v>
      </c>
      <c r="P2933">
        <v>34.681374159610094</v>
      </c>
    </row>
    <row r="2934" spans="1:16" x14ac:dyDescent="0.2">
      <c r="A2934" s="73">
        <v>67262</v>
      </c>
      <c r="B2934" t="s">
        <v>350</v>
      </c>
      <c r="C2934" s="73" t="s">
        <v>421</v>
      </c>
      <c r="D2934" t="s">
        <v>422</v>
      </c>
      <c r="E2934" s="74">
        <v>45978</v>
      </c>
      <c r="F2934" t="s">
        <v>398</v>
      </c>
      <c r="G2934" t="s">
        <v>399</v>
      </c>
      <c r="H2934" s="75">
        <f t="shared" si="45"/>
        <v>277.45099327688075</v>
      </c>
      <c r="I2934" s="74">
        <v>45978</v>
      </c>
      <c r="J2934">
        <v>8</v>
      </c>
      <c r="K2934" t="s">
        <v>514</v>
      </c>
      <c r="L2934" t="s">
        <v>367</v>
      </c>
      <c r="M2934" t="s">
        <v>356</v>
      </c>
      <c r="N2934" s="73">
        <v>67262</v>
      </c>
      <c r="O2934" s="73">
        <v>67262</v>
      </c>
      <c r="P2934">
        <v>34.681374159610094</v>
      </c>
    </row>
    <row r="2935" spans="1:16" x14ac:dyDescent="0.2">
      <c r="A2935" s="73">
        <v>67262</v>
      </c>
      <c r="B2935" t="s">
        <v>350</v>
      </c>
      <c r="C2935" s="73" t="s">
        <v>421</v>
      </c>
      <c r="D2935" t="s">
        <v>422</v>
      </c>
      <c r="E2935" s="74">
        <v>45978</v>
      </c>
      <c r="F2935" t="s">
        <v>353</v>
      </c>
      <c r="G2935" t="s">
        <v>354</v>
      </c>
      <c r="H2935" s="75">
        <f t="shared" si="45"/>
        <v>69.362748319220188</v>
      </c>
      <c r="I2935" s="74">
        <v>45978</v>
      </c>
      <c r="J2935">
        <v>2</v>
      </c>
      <c r="K2935" t="s">
        <v>514</v>
      </c>
      <c r="L2935" t="s">
        <v>355</v>
      </c>
      <c r="M2935" t="s">
        <v>356</v>
      </c>
      <c r="N2935" s="73">
        <v>67262</v>
      </c>
      <c r="O2935" s="73">
        <v>67262</v>
      </c>
      <c r="P2935">
        <v>34.681374159610094</v>
      </c>
    </row>
    <row r="2936" spans="1:16" x14ac:dyDescent="0.2">
      <c r="A2936" s="73">
        <v>67262</v>
      </c>
      <c r="B2936" t="s">
        <v>350</v>
      </c>
      <c r="C2936" s="73" t="s">
        <v>421</v>
      </c>
      <c r="D2936" t="s">
        <v>422</v>
      </c>
      <c r="E2936" s="74">
        <v>45978</v>
      </c>
      <c r="F2936" t="s">
        <v>387</v>
      </c>
      <c r="G2936" t="s">
        <v>388</v>
      </c>
      <c r="H2936" s="75">
        <f t="shared" si="45"/>
        <v>69.362748319220188</v>
      </c>
      <c r="I2936" s="74">
        <v>45978</v>
      </c>
      <c r="J2936">
        <v>2</v>
      </c>
      <c r="K2936" t="s">
        <v>514</v>
      </c>
      <c r="L2936" t="s">
        <v>367</v>
      </c>
      <c r="M2936" t="s">
        <v>356</v>
      </c>
      <c r="N2936" s="73">
        <v>67262</v>
      </c>
      <c r="O2936" s="73">
        <v>67262</v>
      </c>
      <c r="P2936">
        <v>34.681374159610094</v>
      </c>
    </row>
    <row r="2937" spans="1:16" x14ac:dyDescent="0.2">
      <c r="A2937" s="73">
        <v>67262</v>
      </c>
      <c r="B2937" t="s">
        <v>350</v>
      </c>
      <c r="C2937" s="73" t="s">
        <v>421</v>
      </c>
      <c r="D2937" t="s">
        <v>422</v>
      </c>
      <c r="E2937" s="74">
        <v>45979</v>
      </c>
      <c r="F2937" t="s">
        <v>360</v>
      </c>
      <c r="G2937" t="s">
        <v>361</v>
      </c>
      <c r="H2937" s="75">
        <f t="shared" si="45"/>
        <v>138.72549663844038</v>
      </c>
      <c r="I2937" s="74">
        <v>45979</v>
      </c>
      <c r="J2937">
        <v>4</v>
      </c>
      <c r="K2937" t="s">
        <v>514</v>
      </c>
      <c r="L2937" t="s">
        <v>262</v>
      </c>
      <c r="M2937" t="s">
        <v>356</v>
      </c>
      <c r="N2937" s="73">
        <v>67262</v>
      </c>
      <c r="O2937" s="73">
        <v>67262</v>
      </c>
      <c r="P2937">
        <v>34.681374159610094</v>
      </c>
    </row>
    <row r="2938" spans="1:16" x14ac:dyDescent="0.2">
      <c r="A2938" s="73">
        <v>67262</v>
      </c>
      <c r="B2938" t="s">
        <v>350</v>
      </c>
      <c r="C2938" s="73" t="s">
        <v>421</v>
      </c>
      <c r="D2938" t="s">
        <v>422</v>
      </c>
      <c r="E2938" s="74">
        <v>45979</v>
      </c>
      <c r="F2938" t="s">
        <v>353</v>
      </c>
      <c r="G2938" t="s">
        <v>354</v>
      </c>
      <c r="H2938" s="75">
        <f t="shared" si="45"/>
        <v>104.04412247883027</v>
      </c>
      <c r="I2938" s="74">
        <v>45979</v>
      </c>
      <c r="J2938">
        <v>3</v>
      </c>
      <c r="K2938" t="s">
        <v>514</v>
      </c>
      <c r="L2938" t="s">
        <v>355</v>
      </c>
      <c r="M2938" t="s">
        <v>356</v>
      </c>
      <c r="N2938" s="73">
        <v>67262</v>
      </c>
      <c r="O2938" s="73">
        <v>67262</v>
      </c>
      <c r="P2938">
        <v>34.681374159610094</v>
      </c>
    </row>
    <row r="2939" spans="1:16" x14ac:dyDescent="0.2">
      <c r="A2939" s="73">
        <v>67262</v>
      </c>
      <c r="B2939" t="s">
        <v>350</v>
      </c>
      <c r="C2939" s="73" t="s">
        <v>421</v>
      </c>
      <c r="D2939" t="s">
        <v>422</v>
      </c>
      <c r="E2939" s="74">
        <v>45979</v>
      </c>
      <c r="F2939" t="s">
        <v>387</v>
      </c>
      <c r="G2939" t="s">
        <v>388</v>
      </c>
      <c r="H2939" s="75">
        <f t="shared" si="45"/>
        <v>69.362748319220188</v>
      </c>
      <c r="I2939" s="74">
        <v>45979</v>
      </c>
      <c r="J2939">
        <v>2</v>
      </c>
      <c r="K2939" t="s">
        <v>514</v>
      </c>
      <c r="L2939" t="s">
        <v>367</v>
      </c>
      <c r="M2939" t="s">
        <v>356</v>
      </c>
      <c r="N2939" s="73">
        <v>67262</v>
      </c>
      <c r="O2939" s="73">
        <v>67262</v>
      </c>
      <c r="P2939">
        <v>34.681374159610094</v>
      </c>
    </row>
    <row r="2940" spans="1:16" x14ac:dyDescent="0.2">
      <c r="A2940" s="73">
        <v>67262</v>
      </c>
      <c r="B2940" t="s">
        <v>350</v>
      </c>
      <c r="C2940" s="73" t="s">
        <v>421</v>
      </c>
      <c r="D2940" t="s">
        <v>422</v>
      </c>
      <c r="E2940" s="74">
        <v>46063</v>
      </c>
      <c r="F2940" t="s">
        <v>414</v>
      </c>
      <c r="G2940" t="s">
        <v>415</v>
      </c>
      <c r="H2940" s="75">
        <f t="shared" si="45"/>
        <v>260.11030619707572</v>
      </c>
      <c r="I2940" s="74">
        <v>46063</v>
      </c>
      <c r="J2940">
        <v>7.5</v>
      </c>
      <c r="K2940" t="s">
        <v>508</v>
      </c>
      <c r="L2940" t="s">
        <v>262</v>
      </c>
      <c r="M2940" t="s">
        <v>356</v>
      </c>
      <c r="N2940" s="73">
        <v>67262</v>
      </c>
      <c r="O2940" s="73">
        <v>67262</v>
      </c>
      <c r="P2940">
        <v>34.681374159610094</v>
      </c>
    </row>
    <row r="2941" spans="1:16" x14ac:dyDescent="0.2">
      <c r="A2941" s="73">
        <v>67262</v>
      </c>
      <c r="B2941" t="s">
        <v>350</v>
      </c>
      <c r="C2941" s="73" t="s">
        <v>421</v>
      </c>
      <c r="D2941" t="s">
        <v>422</v>
      </c>
      <c r="E2941" s="74">
        <v>45980</v>
      </c>
      <c r="F2941" t="s">
        <v>360</v>
      </c>
      <c r="G2941" t="s">
        <v>361</v>
      </c>
      <c r="H2941" s="75">
        <f t="shared" si="45"/>
        <v>138.72549663844038</v>
      </c>
      <c r="I2941" s="74">
        <v>45980</v>
      </c>
      <c r="J2941">
        <v>4</v>
      </c>
      <c r="K2941" t="s">
        <v>514</v>
      </c>
      <c r="L2941" t="s">
        <v>262</v>
      </c>
      <c r="M2941" t="s">
        <v>356</v>
      </c>
      <c r="N2941" s="73">
        <v>67262</v>
      </c>
      <c r="O2941" s="73">
        <v>67262</v>
      </c>
      <c r="P2941">
        <v>34.681374159610094</v>
      </c>
    </row>
    <row r="2942" spans="1:16" x14ac:dyDescent="0.2">
      <c r="A2942" s="73">
        <v>67262</v>
      </c>
      <c r="B2942" t="s">
        <v>350</v>
      </c>
      <c r="C2942" s="73" t="s">
        <v>421</v>
      </c>
      <c r="D2942" t="s">
        <v>422</v>
      </c>
      <c r="E2942" s="74">
        <v>45980</v>
      </c>
      <c r="F2942" t="s">
        <v>353</v>
      </c>
      <c r="G2942" t="s">
        <v>354</v>
      </c>
      <c r="H2942" s="75">
        <f t="shared" si="45"/>
        <v>138.72549663844038</v>
      </c>
      <c r="I2942" s="74">
        <v>45980</v>
      </c>
      <c r="J2942">
        <v>4</v>
      </c>
      <c r="K2942" t="s">
        <v>514</v>
      </c>
      <c r="L2942" t="s">
        <v>355</v>
      </c>
      <c r="M2942" t="s">
        <v>356</v>
      </c>
      <c r="N2942" s="73">
        <v>67262</v>
      </c>
      <c r="O2942" s="73">
        <v>67262</v>
      </c>
      <c r="P2942">
        <v>34.681374159610094</v>
      </c>
    </row>
    <row r="2943" spans="1:16" x14ac:dyDescent="0.2">
      <c r="A2943" s="73">
        <v>67262</v>
      </c>
      <c r="B2943" t="s">
        <v>350</v>
      </c>
      <c r="C2943" s="73" t="s">
        <v>421</v>
      </c>
      <c r="D2943" t="s">
        <v>422</v>
      </c>
      <c r="E2943" s="74">
        <v>45980</v>
      </c>
      <c r="F2943" t="s">
        <v>410</v>
      </c>
      <c r="G2943" t="s">
        <v>411</v>
      </c>
      <c r="H2943" s="75">
        <f t="shared" si="45"/>
        <v>69.362748319220188</v>
      </c>
      <c r="I2943" s="74">
        <v>45980</v>
      </c>
      <c r="J2943">
        <v>2</v>
      </c>
      <c r="K2943" t="s">
        <v>514</v>
      </c>
      <c r="L2943" t="s">
        <v>262</v>
      </c>
      <c r="M2943" t="s">
        <v>356</v>
      </c>
      <c r="N2943" s="73">
        <v>67262</v>
      </c>
      <c r="O2943" s="73">
        <v>67262</v>
      </c>
      <c r="P2943">
        <v>34.681374159610094</v>
      </c>
    </row>
    <row r="2944" spans="1:16" x14ac:dyDescent="0.2">
      <c r="A2944" s="73">
        <v>67262</v>
      </c>
      <c r="B2944" t="s">
        <v>350</v>
      </c>
      <c r="C2944" s="73" t="s">
        <v>421</v>
      </c>
      <c r="D2944" t="s">
        <v>422</v>
      </c>
      <c r="E2944" s="74">
        <v>45981</v>
      </c>
      <c r="F2944" t="s">
        <v>360</v>
      </c>
      <c r="G2944" t="s">
        <v>361</v>
      </c>
      <c r="H2944" s="75">
        <f t="shared" si="45"/>
        <v>138.72549663844038</v>
      </c>
      <c r="I2944" s="74">
        <v>45981</v>
      </c>
      <c r="J2944">
        <v>4</v>
      </c>
      <c r="K2944" t="s">
        <v>514</v>
      </c>
      <c r="L2944" t="s">
        <v>262</v>
      </c>
      <c r="M2944" t="s">
        <v>356</v>
      </c>
      <c r="N2944" s="73">
        <v>67262</v>
      </c>
      <c r="O2944" s="73">
        <v>67262</v>
      </c>
      <c r="P2944">
        <v>34.681374159610094</v>
      </c>
    </row>
    <row r="2945" spans="1:16" x14ac:dyDescent="0.2">
      <c r="A2945" s="73">
        <v>67262</v>
      </c>
      <c r="B2945" t="s">
        <v>350</v>
      </c>
      <c r="C2945" s="73" t="s">
        <v>421</v>
      </c>
      <c r="D2945" t="s">
        <v>422</v>
      </c>
      <c r="E2945" s="74">
        <v>45982</v>
      </c>
      <c r="F2945" t="s">
        <v>360</v>
      </c>
      <c r="G2945" t="s">
        <v>361</v>
      </c>
      <c r="H2945" s="75">
        <f t="shared" si="45"/>
        <v>208.08824495766055</v>
      </c>
      <c r="I2945" s="74">
        <v>45982</v>
      </c>
      <c r="J2945">
        <v>6</v>
      </c>
      <c r="K2945" t="s">
        <v>514</v>
      </c>
      <c r="L2945" t="s">
        <v>262</v>
      </c>
      <c r="M2945" t="s">
        <v>356</v>
      </c>
      <c r="N2945" s="73">
        <v>67262</v>
      </c>
      <c r="O2945" s="73">
        <v>67262</v>
      </c>
      <c r="P2945">
        <v>34.681374159610094</v>
      </c>
    </row>
    <row r="2946" spans="1:16" x14ac:dyDescent="0.2">
      <c r="A2946" s="73">
        <v>67262</v>
      </c>
      <c r="B2946" t="s">
        <v>350</v>
      </c>
      <c r="C2946" s="73" t="s">
        <v>421</v>
      </c>
      <c r="D2946" t="s">
        <v>422</v>
      </c>
      <c r="E2946" s="74">
        <v>45985</v>
      </c>
      <c r="F2946" t="s">
        <v>360</v>
      </c>
      <c r="G2946" t="s">
        <v>361</v>
      </c>
      <c r="H2946" s="75">
        <f t="shared" ref="H2946:H3009" si="46">J2946*P2946</f>
        <v>104.04412247883027</v>
      </c>
      <c r="I2946" s="74">
        <v>45985</v>
      </c>
      <c r="J2946">
        <v>3</v>
      </c>
      <c r="K2946" t="s">
        <v>514</v>
      </c>
      <c r="L2946" t="s">
        <v>262</v>
      </c>
      <c r="M2946" t="s">
        <v>356</v>
      </c>
      <c r="N2946" s="73">
        <v>67262</v>
      </c>
      <c r="O2946" s="73">
        <v>67262</v>
      </c>
      <c r="P2946">
        <v>34.681374159610094</v>
      </c>
    </row>
    <row r="2947" spans="1:16" x14ac:dyDescent="0.2">
      <c r="A2947" s="73">
        <v>67262</v>
      </c>
      <c r="B2947" t="s">
        <v>350</v>
      </c>
      <c r="C2947" s="73" t="s">
        <v>421</v>
      </c>
      <c r="D2947" t="s">
        <v>422</v>
      </c>
      <c r="E2947" s="74">
        <v>45985</v>
      </c>
      <c r="F2947" t="s">
        <v>353</v>
      </c>
      <c r="G2947" t="s">
        <v>354</v>
      </c>
      <c r="H2947" s="75">
        <f t="shared" si="46"/>
        <v>208.08824495766055</v>
      </c>
      <c r="I2947" s="74">
        <v>45985</v>
      </c>
      <c r="J2947">
        <v>6</v>
      </c>
      <c r="K2947" t="s">
        <v>514</v>
      </c>
      <c r="L2947" t="s">
        <v>355</v>
      </c>
      <c r="M2947" t="s">
        <v>356</v>
      </c>
      <c r="N2947" s="73">
        <v>67262</v>
      </c>
      <c r="O2947" s="73">
        <v>67262</v>
      </c>
      <c r="P2947">
        <v>34.681374159610094</v>
      </c>
    </row>
    <row r="2948" spans="1:16" x14ac:dyDescent="0.2">
      <c r="A2948" s="73">
        <v>67262</v>
      </c>
      <c r="B2948" t="s">
        <v>350</v>
      </c>
      <c r="C2948" s="73" t="s">
        <v>421</v>
      </c>
      <c r="D2948" t="s">
        <v>422</v>
      </c>
      <c r="E2948" s="74">
        <v>45985</v>
      </c>
      <c r="F2948" t="s">
        <v>357</v>
      </c>
      <c r="G2948" t="s">
        <v>358</v>
      </c>
      <c r="H2948" s="75">
        <f t="shared" si="46"/>
        <v>34.681374159610094</v>
      </c>
      <c r="I2948" s="74">
        <v>45985</v>
      </c>
      <c r="J2948">
        <v>1</v>
      </c>
      <c r="K2948" t="s">
        <v>514</v>
      </c>
      <c r="L2948" t="s">
        <v>359</v>
      </c>
      <c r="M2948" t="s">
        <v>356</v>
      </c>
      <c r="N2948" s="73">
        <v>67262</v>
      </c>
      <c r="O2948" s="73">
        <v>67262</v>
      </c>
      <c r="P2948">
        <v>34.681374159610094</v>
      </c>
    </row>
    <row r="2949" spans="1:16" x14ac:dyDescent="0.2">
      <c r="A2949" s="73">
        <v>67262</v>
      </c>
      <c r="B2949" t="s">
        <v>350</v>
      </c>
      <c r="C2949" s="73" t="s">
        <v>421</v>
      </c>
      <c r="D2949" t="s">
        <v>422</v>
      </c>
      <c r="E2949" s="74">
        <v>45986</v>
      </c>
      <c r="F2949" t="s">
        <v>360</v>
      </c>
      <c r="G2949" t="s">
        <v>361</v>
      </c>
      <c r="H2949" s="75">
        <f t="shared" si="46"/>
        <v>69.362748319220188</v>
      </c>
      <c r="I2949" s="74">
        <v>45986</v>
      </c>
      <c r="J2949">
        <v>2</v>
      </c>
      <c r="K2949" t="s">
        <v>514</v>
      </c>
      <c r="L2949" t="s">
        <v>262</v>
      </c>
      <c r="M2949" t="s">
        <v>356</v>
      </c>
      <c r="N2949" s="73">
        <v>67262</v>
      </c>
      <c r="O2949" s="73">
        <v>67262</v>
      </c>
      <c r="P2949">
        <v>34.681374159610094</v>
      </c>
    </row>
    <row r="2950" spans="1:16" x14ac:dyDescent="0.2">
      <c r="A2950" s="73">
        <v>67262</v>
      </c>
      <c r="B2950" t="s">
        <v>350</v>
      </c>
      <c r="C2950" s="73" t="s">
        <v>421</v>
      </c>
      <c r="D2950" t="s">
        <v>422</v>
      </c>
      <c r="E2950" s="74">
        <v>45986</v>
      </c>
      <c r="F2950" t="s">
        <v>353</v>
      </c>
      <c r="G2950" t="s">
        <v>354</v>
      </c>
      <c r="H2950" s="75">
        <f t="shared" si="46"/>
        <v>208.08824495766055</v>
      </c>
      <c r="I2950" s="74">
        <v>45986</v>
      </c>
      <c r="J2950">
        <v>6</v>
      </c>
      <c r="K2950" t="s">
        <v>514</v>
      </c>
      <c r="L2950" t="s">
        <v>355</v>
      </c>
      <c r="M2950" t="s">
        <v>356</v>
      </c>
      <c r="N2950" s="73">
        <v>67262</v>
      </c>
      <c r="O2950" s="73">
        <v>67262</v>
      </c>
      <c r="P2950">
        <v>34.681374159610094</v>
      </c>
    </row>
    <row r="2951" spans="1:16" x14ac:dyDescent="0.2">
      <c r="A2951" s="73">
        <v>67262</v>
      </c>
      <c r="B2951" t="s">
        <v>350</v>
      </c>
      <c r="C2951" s="73" t="s">
        <v>421</v>
      </c>
      <c r="D2951" t="s">
        <v>422</v>
      </c>
      <c r="E2951" s="74">
        <v>46065</v>
      </c>
      <c r="F2951" t="s">
        <v>414</v>
      </c>
      <c r="G2951" t="s">
        <v>415</v>
      </c>
      <c r="H2951" s="75">
        <f t="shared" si="46"/>
        <v>260.11030619707572</v>
      </c>
      <c r="I2951" s="74">
        <v>46065</v>
      </c>
      <c r="J2951">
        <v>7.5</v>
      </c>
      <c r="K2951" t="s">
        <v>508</v>
      </c>
      <c r="L2951" t="s">
        <v>262</v>
      </c>
      <c r="M2951" t="s">
        <v>356</v>
      </c>
      <c r="N2951" s="73">
        <v>67262</v>
      </c>
      <c r="O2951" s="73">
        <v>67262</v>
      </c>
      <c r="P2951">
        <v>34.681374159610094</v>
      </c>
    </row>
    <row r="2952" spans="1:16" x14ac:dyDescent="0.2">
      <c r="A2952" s="73">
        <v>67262</v>
      </c>
      <c r="B2952" t="s">
        <v>350</v>
      </c>
      <c r="C2952" s="73" t="s">
        <v>421</v>
      </c>
      <c r="D2952" t="s">
        <v>422</v>
      </c>
      <c r="E2952" s="74">
        <v>45986</v>
      </c>
      <c r="F2952" t="s">
        <v>387</v>
      </c>
      <c r="G2952" t="s">
        <v>388</v>
      </c>
      <c r="H2952" s="75">
        <f t="shared" si="46"/>
        <v>69.362748319220188</v>
      </c>
      <c r="I2952" s="74">
        <v>45986</v>
      </c>
      <c r="J2952">
        <v>2</v>
      </c>
      <c r="K2952" t="s">
        <v>514</v>
      </c>
      <c r="L2952" t="s">
        <v>367</v>
      </c>
      <c r="M2952" t="s">
        <v>356</v>
      </c>
      <c r="N2952" s="73">
        <v>67262</v>
      </c>
      <c r="O2952" s="73">
        <v>67262</v>
      </c>
      <c r="P2952">
        <v>34.681374159610094</v>
      </c>
    </row>
    <row r="2953" spans="1:16" x14ac:dyDescent="0.2">
      <c r="A2953" s="73">
        <v>67262</v>
      </c>
      <c r="B2953" t="s">
        <v>350</v>
      </c>
      <c r="C2953" s="73" t="s">
        <v>421</v>
      </c>
      <c r="D2953" t="s">
        <v>422</v>
      </c>
      <c r="E2953" s="74">
        <v>45987</v>
      </c>
      <c r="F2953" t="s">
        <v>353</v>
      </c>
      <c r="G2953" t="s">
        <v>354</v>
      </c>
      <c r="H2953" s="75">
        <f t="shared" si="46"/>
        <v>69.362748319220188</v>
      </c>
      <c r="I2953" s="74">
        <v>45987</v>
      </c>
      <c r="J2953">
        <v>2</v>
      </c>
      <c r="K2953" t="s">
        <v>514</v>
      </c>
      <c r="L2953" t="s">
        <v>355</v>
      </c>
      <c r="M2953" t="s">
        <v>356</v>
      </c>
      <c r="N2953" s="73">
        <v>67262</v>
      </c>
      <c r="O2953" s="73">
        <v>67262</v>
      </c>
      <c r="P2953">
        <v>34.681374159610094</v>
      </c>
    </row>
    <row r="2954" spans="1:16" hidden="1" x14ac:dyDescent="0.2">
      <c r="A2954" s="73">
        <v>67260</v>
      </c>
      <c r="B2954" t="s">
        <v>423</v>
      </c>
      <c r="C2954" s="73" t="s">
        <v>454</v>
      </c>
      <c r="D2954" t="s">
        <v>455</v>
      </c>
      <c r="E2954" s="74">
        <v>46066</v>
      </c>
      <c r="F2954" t="s">
        <v>414</v>
      </c>
      <c r="G2954" t="s">
        <v>415</v>
      </c>
      <c r="H2954" s="75">
        <f t="shared" si="46"/>
        <v>260.11030619707572</v>
      </c>
      <c r="I2954" s="74">
        <v>46066</v>
      </c>
      <c r="J2954">
        <v>7.5</v>
      </c>
      <c r="K2954" t="s">
        <v>508</v>
      </c>
      <c r="L2954" t="s">
        <v>262</v>
      </c>
      <c r="M2954" t="s">
        <v>356</v>
      </c>
      <c r="N2954" s="73">
        <v>67260</v>
      </c>
      <c r="O2954" s="73">
        <v>67260</v>
      </c>
      <c r="P2954">
        <v>34.681374159610094</v>
      </c>
    </row>
    <row r="2955" spans="1:16" x14ac:dyDescent="0.2">
      <c r="A2955" s="73">
        <v>67262</v>
      </c>
      <c r="B2955" t="s">
        <v>350</v>
      </c>
      <c r="C2955" s="73" t="s">
        <v>421</v>
      </c>
      <c r="D2955" t="s">
        <v>422</v>
      </c>
      <c r="E2955" s="74">
        <v>45988</v>
      </c>
      <c r="F2955" t="s">
        <v>395</v>
      </c>
      <c r="G2955" t="s">
        <v>396</v>
      </c>
      <c r="H2955" s="75">
        <f t="shared" si="46"/>
        <v>138.72549663844038</v>
      </c>
      <c r="I2955" s="74">
        <v>45988</v>
      </c>
      <c r="J2955">
        <v>4</v>
      </c>
      <c r="K2955" t="s">
        <v>514</v>
      </c>
      <c r="L2955" t="s">
        <v>262</v>
      </c>
      <c r="M2955" t="s">
        <v>356</v>
      </c>
      <c r="N2955" s="73">
        <v>67262</v>
      </c>
      <c r="O2955" s="73">
        <v>67262</v>
      </c>
      <c r="P2955">
        <v>34.681374159610094</v>
      </c>
    </row>
    <row r="2956" spans="1:16" x14ac:dyDescent="0.2">
      <c r="A2956" s="73">
        <v>67262</v>
      </c>
      <c r="B2956" t="s">
        <v>350</v>
      </c>
      <c r="C2956" s="73" t="s">
        <v>421</v>
      </c>
      <c r="D2956" t="s">
        <v>422</v>
      </c>
      <c r="E2956" s="74">
        <v>45988</v>
      </c>
      <c r="F2956" t="s">
        <v>353</v>
      </c>
      <c r="G2956" t="s">
        <v>354</v>
      </c>
      <c r="H2956" s="75">
        <f t="shared" si="46"/>
        <v>173.40687079805048</v>
      </c>
      <c r="I2956" s="74">
        <v>45988</v>
      </c>
      <c r="J2956">
        <v>5</v>
      </c>
      <c r="K2956" t="s">
        <v>514</v>
      </c>
      <c r="L2956" t="s">
        <v>355</v>
      </c>
      <c r="M2956" t="s">
        <v>356</v>
      </c>
      <c r="N2956" s="73">
        <v>67262</v>
      </c>
      <c r="O2956" s="73">
        <v>67262</v>
      </c>
      <c r="P2956">
        <v>34.681374159610094</v>
      </c>
    </row>
    <row r="2957" spans="1:16" x14ac:dyDescent="0.2">
      <c r="A2957" s="73">
        <v>67262</v>
      </c>
      <c r="B2957" t="s">
        <v>350</v>
      </c>
      <c r="C2957" s="73" t="s">
        <v>421</v>
      </c>
      <c r="D2957" t="s">
        <v>422</v>
      </c>
      <c r="E2957" s="74">
        <v>45988</v>
      </c>
      <c r="F2957" t="s">
        <v>410</v>
      </c>
      <c r="G2957" t="s">
        <v>411</v>
      </c>
      <c r="H2957" s="75">
        <f t="shared" si="46"/>
        <v>277.45099327688075</v>
      </c>
      <c r="I2957" s="74">
        <v>45988</v>
      </c>
      <c r="J2957">
        <v>8</v>
      </c>
      <c r="K2957" t="s">
        <v>514</v>
      </c>
      <c r="L2957" t="s">
        <v>262</v>
      </c>
      <c r="M2957" t="s">
        <v>356</v>
      </c>
      <c r="N2957" s="73">
        <v>67262</v>
      </c>
      <c r="O2957" s="73">
        <v>67262</v>
      </c>
      <c r="P2957">
        <v>34.681374159610094</v>
      </c>
    </row>
    <row r="2958" spans="1:16" x14ac:dyDescent="0.2">
      <c r="A2958" s="73">
        <v>67262</v>
      </c>
      <c r="B2958" t="s">
        <v>350</v>
      </c>
      <c r="C2958" s="73" t="s">
        <v>421</v>
      </c>
      <c r="D2958" t="s">
        <v>422</v>
      </c>
      <c r="E2958" s="74">
        <v>45988</v>
      </c>
      <c r="F2958" t="s">
        <v>387</v>
      </c>
      <c r="G2958" t="s">
        <v>388</v>
      </c>
      <c r="H2958" s="75">
        <f t="shared" si="46"/>
        <v>69.362748319220188</v>
      </c>
      <c r="I2958" s="74">
        <v>45988</v>
      </c>
      <c r="J2958">
        <v>2</v>
      </c>
      <c r="K2958" t="s">
        <v>514</v>
      </c>
      <c r="L2958" t="s">
        <v>367</v>
      </c>
      <c r="M2958" t="s">
        <v>356</v>
      </c>
      <c r="N2958" s="73">
        <v>67262</v>
      </c>
      <c r="O2958" s="73">
        <v>67262</v>
      </c>
      <c r="P2958">
        <v>34.681374159610094</v>
      </c>
    </row>
    <row r="2959" spans="1:16" x14ac:dyDescent="0.2">
      <c r="A2959" s="73">
        <v>67262</v>
      </c>
      <c r="B2959" t="s">
        <v>350</v>
      </c>
      <c r="C2959" s="73" t="s">
        <v>421</v>
      </c>
      <c r="D2959" t="s">
        <v>422</v>
      </c>
      <c r="E2959" s="74">
        <v>45989</v>
      </c>
      <c r="F2959" t="s">
        <v>395</v>
      </c>
      <c r="G2959" t="s">
        <v>396</v>
      </c>
      <c r="H2959" s="75">
        <f t="shared" si="46"/>
        <v>138.72549663844038</v>
      </c>
      <c r="I2959" s="74">
        <v>45989</v>
      </c>
      <c r="J2959">
        <v>4</v>
      </c>
      <c r="K2959" t="s">
        <v>514</v>
      </c>
      <c r="L2959" t="s">
        <v>262</v>
      </c>
      <c r="M2959" t="s">
        <v>356</v>
      </c>
      <c r="N2959" s="73">
        <v>67262</v>
      </c>
      <c r="O2959" s="73">
        <v>67262</v>
      </c>
      <c r="P2959">
        <v>34.681374159610094</v>
      </c>
    </row>
    <row r="2960" spans="1:16" x14ac:dyDescent="0.2">
      <c r="A2960" s="73">
        <v>67262</v>
      </c>
      <c r="B2960" t="s">
        <v>350</v>
      </c>
      <c r="C2960" s="73" t="s">
        <v>421</v>
      </c>
      <c r="D2960" t="s">
        <v>422</v>
      </c>
      <c r="E2960" s="74">
        <v>45989</v>
      </c>
      <c r="F2960" t="s">
        <v>353</v>
      </c>
      <c r="G2960" t="s">
        <v>354</v>
      </c>
      <c r="H2960" s="75">
        <f t="shared" si="46"/>
        <v>173.40687079805048</v>
      </c>
      <c r="I2960" s="74">
        <v>45989</v>
      </c>
      <c r="J2960">
        <v>5</v>
      </c>
      <c r="K2960" t="s">
        <v>514</v>
      </c>
      <c r="L2960" t="s">
        <v>355</v>
      </c>
      <c r="M2960" t="s">
        <v>356</v>
      </c>
      <c r="N2960" s="73">
        <v>67262</v>
      </c>
      <c r="O2960" s="73">
        <v>67262</v>
      </c>
      <c r="P2960">
        <v>34.681374159610094</v>
      </c>
    </row>
    <row r="2961" spans="1:16" x14ac:dyDescent="0.2">
      <c r="A2961" s="73">
        <v>67262</v>
      </c>
      <c r="B2961" t="s">
        <v>350</v>
      </c>
      <c r="C2961" s="73" t="s">
        <v>421</v>
      </c>
      <c r="D2961" t="s">
        <v>422</v>
      </c>
      <c r="E2961" s="74">
        <v>45989</v>
      </c>
      <c r="F2961" t="s">
        <v>387</v>
      </c>
      <c r="G2961" t="s">
        <v>388</v>
      </c>
      <c r="H2961" s="75">
        <f t="shared" si="46"/>
        <v>242.76961911727065</v>
      </c>
      <c r="I2961" s="74">
        <v>45989</v>
      </c>
      <c r="J2961">
        <v>7</v>
      </c>
      <c r="K2961" t="s">
        <v>514</v>
      </c>
      <c r="L2961" t="s">
        <v>367</v>
      </c>
      <c r="M2961" t="s">
        <v>356</v>
      </c>
      <c r="N2961" s="73">
        <v>67262</v>
      </c>
      <c r="O2961" s="73">
        <v>67262</v>
      </c>
      <c r="P2961">
        <v>34.681374159610094</v>
      </c>
    </row>
    <row r="2962" spans="1:16" x14ac:dyDescent="0.2">
      <c r="A2962" s="73">
        <v>67262</v>
      </c>
      <c r="B2962" t="s">
        <v>350</v>
      </c>
      <c r="C2962" s="73" t="s">
        <v>421</v>
      </c>
      <c r="D2962" t="s">
        <v>422</v>
      </c>
      <c r="E2962" s="74">
        <v>46070</v>
      </c>
      <c r="F2962" t="s">
        <v>414</v>
      </c>
      <c r="G2962" t="s">
        <v>415</v>
      </c>
      <c r="H2962" s="75">
        <f t="shared" si="46"/>
        <v>260.11030619707572</v>
      </c>
      <c r="I2962" s="74">
        <v>46070</v>
      </c>
      <c r="J2962">
        <v>7.5</v>
      </c>
      <c r="K2962" t="s">
        <v>508</v>
      </c>
      <c r="L2962" t="s">
        <v>262</v>
      </c>
      <c r="M2962" t="s">
        <v>356</v>
      </c>
      <c r="N2962" s="73">
        <v>67262</v>
      </c>
      <c r="O2962" s="73">
        <v>67262</v>
      </c>
      <c r="P2962">
        <v>34.681374159610094</v>
      </c>
    </row>
    <row r="2963" spans="1:16" x14ac:dyDescent="0.2">
      <c r="A2963" s="73">
        <v>67262</v>
      </c>
      <c r="B2963" t="s">
        <v>350</v>
      </c>
      <c r="C2963" s="73" t="s">
        <v>421</v>
      </c>
      <c r="D2963" t="s">
        <v>422</v>
      </c>
      <c r="E2963" s="74">
        <v>45992</v>
      </c>
      <c r="F2963" t="s">
        <v>360</v>
      </c>
      <c r="G2963" t="s">
        <v>361</v>
      </c>
      <c r="H2963" s="75">
        <f t="shared" si="46"/>
        <v>277.45099327688075</v>
      </c>
      <c r="I2963" s="74">
        <v>45992</v>
      </c>
      <c r="J2963">
        <v>8</v>
      </c>
      <c r="K2963" t="s">
        <v>515</v>
      </c>
      <c r="L2963" t="s">
        <v>262</v>
      </c>
      <c r="M2963" t="s">
        <v>356</v>
      </c>
      <c r="N2963" s="73">
        <v>67262</v>
      </c>
      <c r="O2963" s="73">
        <v>67262</v>
      </c>
      <c r="P2963">
        <v>34.681374159610094</v>
      </c>
    </row>
    <row r="2964" spans="1:16" x14ac:dyDescent="0.2">
      <c r="A2964" s="73">
        <v>67262</v>
      </c>
      <c r="B2964" t="s">
        <v>350</v>
      </c>
      <c r="C2964" s="73" t="s">
        <v>421</v>
      </c>
      <c r="D2964" t="s">
        <v>422</v>
      </c>
      <c r="E2964" s="74">
        <v>45992</v>
      </c>
      <c r="F2964" t="s">
        <v>410</v>
      </c>
      <c r="G2964" t="s">
        <v>411</v>
      </c>
      <c r="H2964" s="75">
        <f t="shared" si="46"/>
        <v>34.681374159610094</v>
      </c>
      <c r="I2964" s="74">
        <v>45992</v>
      </c>
      <c r="J2964">
        <v>1</v>
      </c>
      <c r="K2964" t="s">
        <v>515</v>
      </c>
      <c r="L2964" t="s">
        <v>262</v>
      </c>
      <c r="M2964" t="s">
        <v>356</v>
      </c>
      <c r="N2964" s="73">
        <v>67262</v>
      </c>
      <c r="O2964" s="73">
        <v>67262</v>
      </c>
      <c r="P2964">
        <v>34.681374159610094</v>
      </c>
    </row>
    <row r="2965" spans="1:16" x14ac:dyDescent="0.2">
      <c r="A2965" s="73">
        <v>67262</v>
      </c>
      <c r="B2965" t="s">
        <v>350</v>
      </c>
      <c r="C2965" s="73" t="s">
        <v>421</v>
      </c>
      <c r="D2965" t="s">
        <v>422</v>
      </c>
      <c r="E2965" s="74">
        <v>45992</v>
      </c>
      <c r="F2965" t="s">
        <v>353</v>
      </c>
      <c r="G2965" t="s">
        <v>354</v>
      </c>
      <c r="H2965" s="75">
        <f t="shared" si="46"/>
        <v>208.08824495766055</v>
      </c>
      <c r="I2965" s="74">
        <v>45992</v>
      </c>
      <c r="J2965">
        <v>6</v>
      </c>
      <c r="K2965" t="s">
        <v>515</v>
      </c>
      <c r="L2965" t="s">
        <v>355</v>
      </c>
      <c r="M2965" t="s">
        <v>356</v>
      </c>
      <c r="N2965" s="73">
        <v>67262</v>
      </c>
      <c r="O2965" s="73">
        <v>67262</v>
      </c>
      <c r="P2965">
        <v>34.681374159610094</v>
      </c>
    </row>
    <row r="2966" spans="1:16" x14ac:dyDescent="0.2">
      <c r="A2966" s="73">
        <v>67262</v>
      </c>
      <c r="B2966" t="s">
        <v>350</v>
      </c>
      <c r="C2966" s="73" t="s">
        <v>421</v>
      </c>
      <c r="D2966" t="s">
        <v>422</v>
      </c>
      <c r="E2966" s="74">
        <v>45992</v>
      </c>
      <c r="F2966" t="s">
        <v>387</v>
      </c>
      <c r="G2966" t="s">
        <v>388</v>
      </c>
      <c r="H2966" s="75">
        <f t="shared" si="46"/>
        <v>208.08824495766055</v>
      </c>
      <c r="I2966" s="74">
        <v>45992</v>
      </c>
      <c r="J2966">
        <v>6</v>
      </c>
      <c r="K2966" t="s">
        <v>515</v>
      </c>
      <c r="L2966" t="s">
        <v>367</v>
      </c>
      <c r="M2966" t="s">
        <v>356</v>
      </c>
      <c r="N2966" s="73">
        <v>67262</v>
      </c>
      <c r="O2966" s="73">
        <v>67262</v>
      </c>
      <c r="P2966">
        <v>34.681374159610094</v>
      </c>
    </row>
    <row r="2967" spans="1:16" x14ac:dyDescent="0.2">
      <c r="A2967" s="73">
        <v>67262</v>
      </c>
      <c r="B2967" t="s">
        <v>350</v>
      </c>
      <c r="C2967" s="73" t="s">
        <v>421</v>
      </c>
      <c r="D2967" t="s">
        <v>422</v>
      </c>
      <c r="E2967" s="74">
        <v>45992</v>
      </c>
      <c r="F2967" t="s">
        <v>404</v>
      </c>
      <c r="G2967" t="s">
        <v>405</v>
      </c>
      <c r="H2967" s="75">
        <f t="shared" si="46"/>
        <v>34.681374159610094</v>
      </c>
      <c r="I2967" s="74">
        <v>45992</v>
      </c>
      <c r="J2967">
        <v>1</v>
      </c>
      <c r="K2967" t="s">
        <v>515</v>
      </c>
      <c r="L2967" t="s">
        <v>262</v>
      </c>
      <c r="M2967" t="s">
        <v>356</v>
      </c>
      <c r="N2967" s="73">
        <v>67262</v>
      </c>
      <c r="O2967" s="73">
        <v>67262</v>
      </c>
      <c r="P2967">
        <v>34.681374159610094</v>
      </c>
    </row>
    <row r="2968" spans="1:16" x14ac:dyDescent="0.2">
      <c r="A2968" s="73">
        <v>67262</v>
      </c>
      <c r="B2968" t="s">
        <v>350</v>
      </c>
      <c r="C2968" s="73" t="s">
        <v>421</v>
      </c>
      <c r="D2968" t="s">
        <v>422</v>
      </c>
      <c r="E2968" s="74">
        <v>45993</v>
      </c>
      <c r="F2968" t="s">
        <v>360</v>
      </c>
      <c r="G2968" t="s">
        <v>361</v>
      </c>
      <c r="H2968" s="75">
        <f t="shared" si="46"/>
        <v>277.45099327688075</v>
      </c>
      <c r="I2968" s="74">
        <v>45993</v>
      </c>
      <c r="J2968">
        <v>8</v>
      </c>
      <c r="K2968" t="s">
        <v>515</v>
      </c>
      <c r="L2968" t="s">
        <v>262</v>
      </c>
      <c r="M2968" t="s">
        <v>356</v>
      </c>
      <c r="N2968" s="73">
        <v>67262</v>
      </c>
      <c r="O2968" s="73">
        <v>67262</v>
      </c>
      <c r="P2968">
        <v>34.681374159610094</v>
      </c>
    </row>
    <row r="2969" spans="1:16" x14ac:dyDescent="0.2">
      <c r="A2969" s="73">
        <v>67262</v>
      </c>
      <c r="B2969" t="s">
        <v>350</v>
      </c>
      <c r="C2969" s="73" t="s">
        <v>421</v>
      </c>
      <c r="D2969" t="s">
        <v>422</v>
      </c>
      <c r="E2969" s="74">
        <v>45993</v>
      </c>
      <c r="F2969" t="s">
        <v>410</v>
      </c>
      <c r="G2969" t="s">
        <v>411</v>
      </c>
      <c r="H2969" s="75">
        <f t="shared" si="46"/>
        <v>34.681374159610094</v>
      </c>
      <c r="I2969" s="74">
        <v>45993</v>
      </c>
      <c r="J2969">
        <v>1</v>
      </c>
      <c r="K2969" t="s">
        <v>515</v>
      </c>
      <c r="L2969" t="s">
        <v>262</v>
      </c>
      <c r="M2969" t="s">
        <v>356</v>
      </c>
      <c r="N2969" s="73">
        <v>67262</v>
      </c>
      <c r="O2969" s="73">
        <v>67262</v>
      </c>
      <c r="P2969">
        <v>34.681374159610094</v>
      </c>
    </row>
    <row r="2970" spans="1:16" x14ac:dyDescent="0.2">
      <c r="A2970" s="73">
        <v>67262</v>
      </c>
      <c r="B2970" t="s">
        <v>350</v>
      </c>
      <c r="C2970" s="73" t="s">
        <v>421</v>
      </c>
      <c r="D2970" t="s">
        <v>422</v>
      </c>
      <c r="E2970" s="74">
        <v>45993</v>
      </c>
      <c r="F2970" t="s">
        <v>398</v>
      </c>
      <c r="G2970" t="s">
        <v>399</v>
      </c>
      <c r="H2970" s="75">
        <f t="shared" si="46"/>
        <v>242.76961911727065</v>
      </c>
      <c r="I2970" s="74">
        <v>45993</v>
      </c>
      <c r="J2970">
        <v>7</v>
      </c>
      <c r="K2970" t="s">
        <v>515</v>
      </c>
      <c r="L2970" t="s">
        <v>367</v>
      </c>
      <c r="M2970" t="s">
        <v>356</v>
      </c>
      <c r="N2970" s="73">
        <v>67262</v>
      </c>
      <c r="O2970" s="73">
        <v>67262</v>
      </c>
      <c r="P2970">
        <v>34.681374159610094</v>
      </c>
    </row>
    <row r="2971" spans="1:16" x14ac:dyDescent="0.2">
      <c r="A2971" s="73">
        <v>67262</v>
      </c>
      <c r="B2971" t="s">
        <v>350</v>
      </c>
      <c r="C2971" s="73" t="s">
        <v>421</v>
      </c>
      <c r="D2971" t="s">
        <v>422</v>
      </c>
      <c r="E2971" s="74">
        <v>45993</v>
      </c>
      <c r="F2971" t="s">
        <v>353</v>
      </c>
      <c r="G2971" t="s">
        <v>354</v>
      </c>
      <c r="H2971" s="75">
        <f t="shared" si="46"/>
        <v>208.08824495766055</v>
      </c>
      <c r="I2971" s="74">
        <v>45993</v>
      </c>
      <c r="J2971">
        <v>6</v>
      </c>
      <c r="K2971" t="s">
        <v>515</v>
      </c>
      <c r="L2971" t="s">
        <v>355</v>
      </c>
      <c r="M2971" t="s">
        <v>356</v>
      </c>
      <c r="N2971" s="73">
        <v>67262</v>
      </c>
      <c r="O2971" s="73">
        <v>67262</v>
      </c>
      <c r="P2971">
        <v>34.681374159610094</v>
      </c>
    </row>
    <row r="2972" spans="1:16" x14ac:dyDescent="0.2">
      <c r="A2972" s="73">
        <v>67262</v>
      </c>
      <c r="B2972" t="s">
        <v>350</v>
      </c>
      <c r="C2972" s="73" t="s">
        <v>421</v>
      </c>
      <c r="D2972" t="s">
        <v>422</v>
      </c>
      <c r="E2972" s="74">
        <v>45993</v>
      </c>
      <c r="F2972" t="s">
        <v>404</v>
      </c>
      <c r="G2972" t="s">
        <v>405</v>
      </c>
      <c r="H2972" s="75">
        <f t="shared" si="46"/>
        <v>34.681374159610094</v>
      </c>
      <c r="I2972" s="74">
        <v>45993</v>
      </c>
      <c r="J2972">
        <v>1</v>
      </c>
      <c r="K2972" t="s">
        <v>515</v>
      </c>
      <c r="L2972" t="s">
        <v>262</v>
      </c>
      <c r="M2972" t="s">
        <v>356</v>
      </c>
      <c r="N2972" s="73">
        <v>67262</v>
      </c>
      <c r="O2972" s="73">
        <v>67262</v>
      </c>
      <c r="P2972">
        <v>34.681374159610094</v>
      </c>
    </row>
    <row r="2973" spans="1:16" x14ac:dyDescent="0.2">
      <c r="A2973" s="73">
        <v>67262</v>
      </c>
      <c r="B2973" t="s">
        <v>350</v>
      </c>
      <c r="C2973" s="73" t="s">
        <v>421</v>
      </c>
      <c r="D2973" t="s">
        <v>422</v>
      </c>
      <c r="E2973" s="74">
        <v>45993</v>
      </c>
      <c r="F2973" t="s">
        <v>387</v>
      </c>
      <c r="G2973" t="s">
        <v>388</v>
      </c>
      <c r="H2973" s="75">
        <f t="shared" si="46"/>
        <v>173.40687079805048</v>
      </c>
      <c r="I2973" s="74">
        <v>45993</v>
      </c>
      <c r="J2973">
        <v>5</v>
      </c>
      <c r="K2973" t="s">
        <v>515</v>
      </c>
      <c r="L2973" t="s">
        <v>367</v>
      </c>
      <c r="M2973" t="s">
        <v>356</v>
      </c>
      <c r="N2973" s="73">
        <v>67262</v>
      </c>
      <c r="O2973" s="73">
        <v>67262</v>
      </c>
      <c r="P2973">
        <v>34.681374159610094</v>
      </c>
    </row>
    <row r="2974" spans="1:16" x14ac:dyDescent="0.2">
      <c r="A2974" s="73">
        <v>67262</v>
      </c>
      <c r="B2974" t="s">
        <v>350</v>
      </c>
      <c r="C2974" s="73" t="s">
        <v>421</v>
      </c>
      <c r="D2974" t="s">
        <v>422</v>
      </c>
      <c r="E2974" s="74">
        <v>45994</v>
      </c>
      <c r="F2974" t="s">
        <v>360</v>
      </c>
      <c r="G2974" t="s">
        <v>361</v>
      </c>
      <c r="H2974" s="75">
        <f t="shared" si="46"/>
        <v>34.681374159610094</v>
      </c>
      <c r="I2974" s="74">
        <v>45994</v>
      </c>
      <c r="J2974">
        <v>1</v>
      </c>
      <c r="K2974" t="s">
        <v>515</v>
      </c>
      <c r="L2974" t="s">
        <v>262</v>
      </c>
      <c r="M2974" t="s">
        <v>356</v>
      </c>
      <c r="N2974" s="73">
        <v>67262</v>
      </c>
      <c r="O2974" s="73">
        <v>67262</v>
      </c>
      <c r="P2974">
        <v>34.681374159610094</v>
      </c>
    </row>
    <row r="2975" spans="1:16" hidden="1" x14ac:dyDescent="0.2">
      <c r="A2975" s="73">
        <v>67260</v>
      </c>
      <c r="B2975" t="s">
        <v>423</v>
      </c>
      <c r="C2975" s="73" t="s">
        <v>454</v>
      </c>
      <c r="D2975" t="s">
        <v>455</v>
      </c>
      <c r="E2975" s="74">
        <v>46071</v>
      </c>
      <c r="F2975" t="s">
        <v>414</v>
      </c>
      <c r="G2975" t="s">
        <v>415</v>
      </c>
      <c r="H2975" s="75">
        <f t="shared" si="46"/>
        <v>260.11030619707572</v>
      </c>
      <c r="I2975" s="74">
        <v>46071</v>
      </c>
      <c r="J2975">
        <v>7.5</v>
      </c>
      <c r="K2975" t="s">
        <v>508</v>
      </c>
      <c r="L2975" t="s">
        <v>262</v>
      </c>
      <c r="M2975" t="s">
        <v>356</v>
      </c>
      <c r="N2975" s="73">
        <v>67260</v>
      </c>
      <c r="O2975" s="73">
        <v>67260</v>
      </c>
      <c r="P2975">
        <v>34.681374159610094</v>
      </c>
    </row>
    <row r="2976" spans="1:16" x14ac:dyDescent="0.2">
      <c r="A2976" s="73">
        <v>67262</v>
      </c>
      <c r="B2976" t="s">
        <v>350</v>
      </c>
      <c r="C2976" s="73" t="s">
        <v>421</v>
      </c>
      <c r="D2976" t="s">
        <v>422</v>
      </c>
      <c r="E2976" s="74">
        <v>45994</v>
      </c>
      <c r="F2976" t="s">
        <v>353</v>
      </c>
      <c r="G2976" t="s">
        <v>354</v>
      </c>
      <c r="H2976" s="75">
        <f t="shared" si="46"/>
        <v>208.08824495766055</v>
      </c>
      <c r="I2976" s="74">
        <v>45994</v>
      </c>
      <c r="J2976">
        <v>6</v>
      </c>
      <c r="K2976" t="s">
        <v>515</v>
      </c>
      <c r="L2976" t="s">
        <v>355</v>
      </c>
      <c r="M2976" t="s">
        <v>356</v>
      </c>
      <c r="N2976" s="73">
        <v>67262</v>
      </c>
      <c r="O2976" s="73">
        <v>67262</v>
      </c>
      <c r="P2976">
        <v>34.681374159610094</v>
      </c>
    </row>
    <row r="2977" spans="1:16" x14ac:dyDescent="0.2">
      <c r="A2977" s="73">
        <v>67262</v>
      </c>
      <c r="B2977" t="s">
        <v>350</v>
      </c>
      <c r="C2977" s="73" t="s">
        <v>421</v>
      </c>
      <c r="D2977" t="s">
        <v>422</v>
      </c>
      <c r="E2977" s="74">
        <v>45994</v>
      </c>
      <c r="F2977" t="s">
        <v>404</v>
      </c>
      <c r="G2977" t="s">
        <v>405</v>
      </c>
      <c r="H2977" s="75">
        <f t="shared" si="46"/>
        <v>34.681374159610094</v>
      </c>
      <c r="I2977" s="74">
        <v>45994</v>
      </c>
      <c r="J2977">
        <v>1</v>
      </c>
      <c r="K2977" t="s">
        <v>515</v>
      </c>
      <c r="L2977" t="s">
        <v>262</v>
      </c>
      <c r="M2977" t="s">
        <v>356</v>
      </c>
      <c r="N2977" s="73">
        <v>67262</v>
      </c>
      <c r="O2977" s="73">
        <v>67262</v>
      </c>
      <c r="P2977">
        <v>34.681374159610094</v>
      </c>
    </row>
    <row r="2978" spans="1:16" x14ac:dyDescent="0.2">
      <c r="A2978" s="73">
        <v>67262</v>
      </c>
      <c r="B2978" t="s">
        <v>350</v>
      </c>
      <c r="C2978" s="73" t="s">
        <v>421</v>
      </c>
      <c r="D2978" t="s">
        <v>422</v>
      </c>
      <c r="E2978" s="74">
        <v>45994</v>
      </c>
      <c r="F2978" t="s">
        <v>387</v>
      </c>
      <c r="G2978" t="s">
        <v>388</v>
      </c>
      <c r="H2978" s="75">
        <f t="shared" si="46"/>
        <v>69.362748319220188</v>
      </c>
      <c r="I2978" s="74">
        <v>45994</v>
      </c>
      <c r="J2978">
        <v>2</v>
      </c>
      <c r="K2978" t="s">
        <v>515</v>
      </c>
      <c r="L2978" t="s">
        <v>367</v>
      </c>
      <c r="M2978" t="s">
        <v>356</v>
      </c>
      <c r="N2978" s="73">
        <v>67262</v>
      </c>
      <c r="O2978" s="73">
        <v>67262</v>
      </c>
      <c r="P2978">
        <v>34.681374159610094</v>
      </c>
    </row>
    <row r="2979" spans="1:16" x14ac:dyDescent="0.2">
      <c r="A2979" s="73">
        <v>67262</v>
      </c>
      <c r="B2979" t="s">
        <v>350</v>
      </c>
      <c r="C2979" s="73" t="s">
        <v>421</v>
      </c>
      <c r="D2979" t="s">
        <v>422</v>
      </c>
      <c r="E2979" s="74">
        <v>45995</v>
      </c>
      <c r="F2979" t="s">
        <v>360</v>
      </c>
      <c r="G2979" t="s">
        <v>361</v>
      </c>
      <c r="H2979" s="75">
        <f t="shared" si="46"/>
        <v>208.08824495766055</v>
      </c>
      <c r="I2979" s="74">
        <v>45995</v>
      </c>
      <c r="J2979">
        <v>6</v>
      </c>
      <c r="K2979" t="s">
        <v>515</v>
      </c>
      <c r="L2979" t="s">
        <v>262</v>
      </c>
      <c r="M2979" t="s">
        <v>356</v>
      </c>
      <c r="N2979" s="73">
        <v>67262</v>
      </c>
      <c r="O2979" s="73">
        <v>67262</v>
      </c>
      <c r="P2979">
        <v>34.681374159610094</v>
      </c>
    </row>
    <row r="2980" spans="1:16" x14ac:dyDescent="0.2">
      <c r="A2980" s="73">
        <v>67262</v>
      </c>
      <c r="B2980" t="s">
        <v>350</v>
      </c>
      <c r="C2980" s="73" t="s">
        <v>421</v>
      </c>
      <c r="D2980" t="s">
        <v>422</v>
      </c>
      <c r="E2980" s="74">
        <v>45995</v>
      </c>
      <c r="F2980" t="s">
        <v>353</v>
      </c>
      <c r="G2980" t="s">
        <v>354</v>
      </c>
      <c r="H2980" s="75">
        <f t="shared" si="46"/>
        <v>208.08824495766055</v>
      </c>
      <c r="I2980" s="74">
        <v>45995</v>
      </c>
      <c r="J2980">
        <v>6</v>
      </c>
      <c r="K2980" t="s">
        <v>515</v>
      </c>
      <c r="L2980" t="s">
        <v>355</v>
      </c>
      <c r="M2980" t="s">
        <v>356</v>
      </c>
      <c r="N2980" s="73">
        <v>67262</v>
      </c>
      <c r="O2980" s="73">
        <v>67262</v>
      </c>
      <c r="P2980">
        <v>34.681374159610094</v>
      </c>
    </row>
    <row r="2981" spans="1:16" x14ac:dyDescent="0.2">
      <c r="A2981" s="73">
        <v>67262</v>
      </c>
      <c r="B2981" t="s">
        <v>350</v>
      </c>
      <c r="C2981" s="73" t="s">
        <v>421</v>
      </c>
      <c r="D2981" t="s">
        <v>422</v>
      </c>
      <c r="E2981" s="74">
        <v>45995</v>
      </c>
      <c r="F2981" t="s">
        <v>404</v>
      </c>
      <c r="G2981" t="s">
        <v>405</v>
      </c>
      <c r="H2981" s="75">
        <f t="shared" si="46"/>
        <v>34.681374159610094</v>
      </c>
      <c r="I2981" s="74">
        <v>45995</v>
      </c>
      <c r="J2981">
        <v>1</v>
      </c>
      <c r="K2981" t="s">
        <v>515</v>
      </c>
      <c r="L2981" t="s">
        <v>262</v>
      </c>
      <c r="M2981" t="s">
        <v>356</v>
      </c>
      <c r="N2981" s="73">
        <v>67262</v>
      </c>
      <c r="O2981" s="73">
        <v>67262</v>
      </c>
      <c r="P2981">
        <v>34.681374159610094</v>
      </c>
    </row>
    <row r="2982" spans="1:16" x14ac:dyDescent="0.2">
      <c r="A2982" s="73">
        <v>67262</v>
      </c>
      <c r="B2982" t="s">
        <v>350</v>
      </c>
      <c r="C2982" s="73" t="s">
        <v>421</v>
      </c>
      <c r="D2982" t="s">
        <v>422</v>
      </c>
      <c r="E2982" s="74">
        <v>45996</v>
      </c>
      <c r="F2982" t="s">
        <v>410</v>
      </c>
      <c r="G2982" t="s">
        <v>411</v>
      </c>
      <c r="H2982" s="75">
        <f t="shared" si="46"/>
        <v>34.681374159610094</v>
      </c>
      <c r="I2982" s="74">
        <v>45996</v>
      </c>
      <c r="J2982">
        <v>1</v>
      </c>
      <c r="K2982" t="s">
        <v>515</v>
      </c>
      <c r="L2982" t="s">
        <v>262</v>
      </c>
      <c r="M2982" t="s">
        <v>356</v>
      </c>
      <c r="N2982" s="73">
        <v>67262</v>
      </c>
      <c r="O2982" s="73">
        <v>67262</v>
      </c>
      <c r="P2982">
        <v>34.681374159610094</v>
      </c>
    </row>
    <row r="2983" spans="1:16" x14ac:dyDescent="0.2">
      <c r="A2983" s="73">
        <v>67262</v>
      </c>
      <c r="B2983" t="s">
        <v>350</v>
      </c>
      <c r="C2983" s="73" t="s">
        <v>421</v>
      </c>
      <c r="D2983" t="s">
        <v>422</v>
      </c>
      <c r="E2983" s="74">
        <v>45996</v>
      </c>
      <c r="F2983" t="s">
        <v>353</v>
      </c>
      <c r="G2983" t="s">
        <v>354</v>
      </c>
      <c r="H2983" s="75">
        <f t="shared" si="46"/>
        <v>208.08824495766055</v>
      </c>
      <c r="I2983" s="74">
        <v>45996</v>
      </c>
      <c r="J2983">
        <v>6</v>
      </c>
      <c r="K2983" t="s">
        <v>515</v>
      </c>
      <c r="L2983" t="s">
        <v>355</v>
      </c>
      <c r="M2983" t="s">
        <v>356</v>
      </c>
      <c r="N2983" s="73">
        <v>67262</v>
      </c>
      <c r="O2983" s="73">
        <v>67262</v>
      </c>
      <c r="P2983">
        <v>34.681374159610094</v>
      </c>
    </row>
    <row r="2984" spans="1:16" x14ac:dyDescent="0.2">
      <c r="A2984" s="73">
        <v>67262</v>
      </c>
      <c r="B2984" t="s">
        <v>350</v>
      </c>
      <c r="C2984" s="73" t="s">
        <v>421</v>
      </c>
      <c r="D2984" t="s">
        <v>422</v>
      </c>
      <c r="E2984" s="74">
        <v>45996</v>
      </c>
      <c r="F2984" t="s">
        <v>404</v>
      </c>
      <c r="G2984" t="s">
        <v>405</v>
      </c>
      <c r="H2984" s="75">
        <f t="shared" si="46"/>
        <v>34.681374159610094</v>
      </c>
      <c r="I2984" s="74">
        <v>45996</v>
      </c>
      <c r="J2984">
        <v>1</v>
      </c>
      <c r="K2984" t="s">
        <v>515</v>
      </c>
      <c r="L2984" t="s">
        <v>262</v>
      </c>
      <c r="M2984" t="s">
        <v>356</v>
      </c>
      <c r="N2984" s="73">
        <v>67262</v>
      </c>
      <c r="O2984" s="73">
        <v>67262</v>
      </c>
      <c r="P2984">
        <v>34.681374159610094</v>
      </c>
    </row>
    <row r="2985" spans="1:16" x14ac:dyDescent="0.2">
      <c r="A2985" s="73">
        <v>67262</v>
      </c>
      <c r="B2985" t="s">
        <v>350</v>
      </c>
      <c r="C2985" s="73" t="s">
        <v>421</v>
      </c>
      <c r="D2985" t="s">
        <v>422</v>
      </c>
      <c r="E2985" s="74">
        <v>45999</v>
      </c>
      <c r="F2985" t="s">
        <v>360</v>
      </c>
      <c r="G2985" t="s">
        <v>361</v>
      </c>
      <c r="H2985" s="75">
        <f t="shared" si="46"/>
        <v>208.08824495766055</v>
      </c>
      <c r="I2985" s="74">
        <v>45999</v>
      </c>
      <c r="J2985">
        <v>6</v>
      </c>
      <c r="K2985" t="s">
        <v>515</v>
      </c>
      <c r="L2985" t="s">
        <v>262</v>
      </c>
      <c r="M2985" t="s">
        <v>356</v>
      </c>
      <c r="N2985" s="73">
        <v>67262</v>
      </c>
      <c r="O2985" s="73">
        <v>67262</v>
      </c>
      <c r="P2985">
        <v>34.681374159610094</v>
      </c>
    </row>
    <row r="2986" spans="1:16" x14ac:dyDescent="0.2">
      <c r="A2986" s="73">
        <v>67262</v>
      </c>
      <c r="B2986" t="s">
        <v>350</v>
      </c>
      <c r="C2986" s="73" t="s">
        <v>421</v>
      </c>
      <c r="D2986" t="s">
        <v>422</v>
      </c>
      <c r="E2986" s="74">
        <v>45999</v>
      </c>
      <c r="F2986" t="s">
        <v>395</v>
      </c>
      <c r="G2986" t="s">
        <v>396</v>
      </c>
      <c r="H2986" s="75">
        <f t="shared" si="46"/>
        <v>277.45099327688075</v>
      </c>
      <c r="I2986" s="74">
        <v>45999</v>
      </c>
      <c r="J2986">
        <v>8</v>
      </c>
      <c r="K2986" t="s">
        <v>515</v>
      </c>
      <c r="L2986" t="s">
        <v>262</v>
      </c>
      <c r="M2986" t="s">
        <v>356</v>
      </c>
      <c r="N2986" s="73">
        <v>67262</v>
      </c>
      <c r="O2986" s="73">
        <v>67262</v>
      </c>
      <c r="P2986">
        <v>34.681374159610094</v>
      </c>
    </row>
    <row r="2987" spans="1:16" hidden="1" x14ac:dyDescent="0.2">
      <c r="A2987" s="73">
        <v>67260</v>
      </c>
      <c r="B2987" t="s">
        <v>423</v>
      </c>
      <c r="C2987" s="73" t="s">
        <v>454</v>
      </c>
      <c r="D2987" t="s">
        <v>455</v>
      </c>
      <c r="E2987" s="74">
        <v>46072</v>
      </c>
      <c r="F2987" t="s">
        <v>414</v>
      </c>
      <c r="G2987" t="s">
        <v>415</v>
      </c>
      <c r="H2987" s="75">
        <f t="shared" si="46"/>
        <v>260.11030619707572</v>
      </c>
      <c r="I2987" s="74">
        <v>46072</v>
      </c>
      <c r="J2987">
        <v>7.5</v>
      </c>
      <c r="K2987" t="s">
        <v>508</v>
      </c>
      <c r="L2987" t="s">
        <v>262</v>
      </c>
      <c r="M2987" t="s">
        <v>356</v>
      </c>
      <c r="N2987" s="73">
        <v>67260</v>
      </c>
      <c r="O2987" s="73">
        <v>67260</v>
      </c>
      <c r="P2987">
        <v>34.681374159610094</v>
      </c>
    </row>
    <row r="2988" spans="1:16" x14ac:dyDescent="0.2">
      <c r="A2988" s="73">
        <v>67262</v>
      </c>
      <c r="B2988" t="s">
        <v>350</v>
      </c>
      <c r="C2988" s="73" t="s">
        <v>421</v>
      </c>
      <c r="D2988" t="s">
        <v>422</v>
      </c>
      <c r="E2988" s="74">
        <v>45999</v>
      </c>
      <c r="F2988" t="s">
        <v>353</v>
      </c>
      <c r="G2988" t="s">
        <v>354</v>
      </c>
      <c r="H2988" s="75">
        <f t="shared" si="46"/>
        <v>34.681374159610094</v>
      </c>
      <c r="I2988" s="74">
        <v>45999</v>
      </c>
      <c r="J2988">
        <v>1</v>
      </c>
      <c r="K2988" t="s">
        <v>515</v>
      </c>
      <c r="L2988" t="s">
        <v>355</v>
      </c>
      <c r="M2988" t="s">
        <v>356</v>
      </c>
      <c r="N2988" s="73">
        <v>67262</v>
      </c>
      <c r="O2988" s="73">
        <v>67262</v>
      </c>
      <c r="P2988">
        <v>34.681374159610094</v>
      </c>
    </row>
    <row r="2989" spans="1:16" x14ac:dyDescent="0.2">
      <c r="A2989" s="73">
        <v>67262</v>
      </c>
      <c r="B2989" t="s">
        <v>350</v>
      </c>
      <c r="C2989" s="73" t="s">
        <v>421</v>
      </c>
      <c r="D2989" t="s">
        <v>422</v>
      </c>
      <c r="E2989" s="74">
        <v>45999</v>
      </c>
      <c r="F2989" t="s">
        <v>387</v>
      </c>
      <c r="G2989" t="s">
        <v>388</v>
      </c>
      <c r="H2989" s="75">
        <f t="shared" si="46"/>
        <v>242.76961911727065</v>
      </c>
      <c r="I2989" s="74">
        <v>45999</v>
      </c>
      <c r="J2989">
        <v>7</v>
      </c>
      <c r="K2989" t="s">
        <v>515</v>
      </c>
      <c r="L2989" t="s">
        <v>367</v>
      </c>
      <c r="M2989" t="s">
        <v>356</v>
      </c>
      <c r="N2989" s="73">
        <v>67262</v>
      </c>
      <c r="O2989" s="73">
        <v>67262</v>
      </c>
      <c r="P2989">
        <v>34.681374159610094</v>
      </c>
    </row>
    <row r="2990" spans="1:16" x14ac:dyDescent="0.2">
      <c r="A2990" s="73">
        <v>67262</v>
      </c>
      <c r="B2990" t="s">
        <v>350</v>
      </c>
      <c r="C2990" s="73" t="s">
        <v>421</v>
      </c>
      <c r="D2990" t="s">
        <v>422</v>
      </c>
      <c r="E2990" s="74">
        <v>45999</v>
      </c>
      <c r="F2990" t="s">
        <v>404</v>
      </c>
      <c r="G2990" t="s">
        <v>405</v>
      </c>
      <c r="H2990" s="75">
        <f t="shared" si="46"/>
        <v>277.45099327688075</v>
      </c>
      <c r="I2990" s="74">
        <v>45999</v>
      </c>
      <c r="J2990">
        <v>8</v>
      </c>
      <c r="K2990" t="s">
        <v>515</v>
      </c>
      <c r="L2990" t="s">
        <v>262</v>
      </c>
      <c r="M2990" t="s">
        <v>356</v>
      </c>
      <c r="N2990" s="73">
        <v>67262</v>
      </c>
      <c r="O2990" s="73">
        <v>67262</v>
      </c>
      <c r="P2990">
        <v>34.681374159610094</v>
      </c>
    </row>
    <row r="2991" spans="1:16" x14ac:dyDescent="0.2">
      <c r="A2991" s="73">
        <v>67262</v>
      </c>
      <c r="B2991" t="s">
        <v>350</v>
      </c>
      <c r="C2991" s="73" t="s">
        <v>421</v>
      </c>
      <c r="D2991" t="s">
        <v>422</v>
      </c>
      <c r="E2991" s="74">
        <v>46000</v>
      </c>
      <c r="F2991" t="s">
        <v>360</v>
      </c>
      <c r="G2991" t="s">
        <v>361</v>
      </c>
      <c r="H2991" s="75">
        <f t="shared" si="46"/>
        <v>242.76961911727065</v>
      </c>
      <c r="I2991" s="74">
        <v>46000</v>
      </c>
      <c r="J2991">
        <v>7</v>
      </c>
      <c r="K2991" t="s">
        <v>515</v>
      </c>
      <c r="L2991" t="s">
        <v>262</v>
      </c>
      <c r="M2991" t="s">
        <v>356</v>
      </c>
      <c r="N2991" s="73">
        <v>67262</v>
      </c>
      <c r="O2991" s="73">
        <v>67262</v>
      </c>
      <c r="P2991">
        <v>34.681374159610094</v>
      </c>
    </row>
    <row r="2992" spans="1:16" x14ac:dyDescent="0.2">
      <c r="A2992" s="73">
        <v>67262</v>
      </c>
      <c r="B2992" t="s">
        <v>350</v>
      </c>
      <c r="C2992" s="73" t="s">
        <v>421</v>
      </c>
      <c r="D2992" t="s">
        <v>422</v>
      </c>
      <c r="E2992" s="74">
        <v>46000</v>
      </c>
      <c r="F2992" t="s">
        <v>395</v>
      </c>
      <c r="G2992" t="s">
        <v>396</v>
      </c>
      <c r="H2992" s="75">
        <f t="shared" si="46"/>
        <v>277.45099327688075</v>
      </c>
      <c r="I2992" s="74">
        <v>46000</v>
      </c>
      <c r="J2992">
        <v>8</v>
      </c>
      <c r="K2992" t="s">
        <v>515</v>
      </c>
      <c r="L2992" t="s">
        <v>262</v>
      </c>
      <c r="M2992" t="s">
        <v>356</v>
      </c>
      <c r="N2992" s="73">
        <v>67262</v>
      </c>
      <c r="O2992" s="73">
        <v>67262</v>
      </c>
      <c r="P2992">
        <v>34.681374159610094</v>
      </c>
    </row>
    <row r="2993" spans="1:16" x14ac:dyDescent="0.2">
      <c r="A2993" s="73">
        <v>67262</v>
      </c>
      <c r="B2993" t="s">
        <v>350</v>
      </c>
      <c r="C2993" s="73" t="s">
        <v>421</v>
      </c>
      <c r="D2993" t="s">
        <v>422</v>
      </c>
      <c r="E2993" s="74">
        <v>46000</v>
      </c>
      <c r="F2993" t="s">
        <v>353</v>
      </c>
      <c r="G2993" t="s">
        <v>354</v>
      </c>
      <c r="H2993" s="75">
        <f t="shared" si="46"/>
        <v>34.681374159610094</v>
      </c>
      <c r="I2993" s="74">
        <v>46000</v>
      </c>
      <c r="J2993">
        <v>1</v>
      </c>
      <c r="K2993" t="s">
        <v>515</v>
      </c>
      <c r="L2993" t="s">
        <v>355</v>
      </c>
      <c r="M2993" t="s">
        <v>356</v>
      </c>
      <c r="N2993" s="73">
        <v>67262</v>
      </c>
      <c r="O2993" s="73">
        <v>67262</v>
      </c>
      <c r="P2993">
        <v>34.681374159610094</v>
      </c>
    </row>
    <row r="2994" spans="1:16" x14ac:dyDescent="0.2">
      <c r="A2994" s="73">
        <v>67262</v>
      </c>
      <c r="B2994" t="s">
        <v>350</v>
      </c>
      <c r="C2994" s="73" t="s">
        <v>421</v>
      </c>
      <c r="D2994" t="s">
        <v>422</v>
      </c>
      <c r="E2994" s="74">
        <v>46000</v>
      </c>
      <c r="F2994" t="s">
        <v>387</v>
      </c>
      <c r="G2994" t="s">
        <v>388</v>
      </c>
      <c r="H2994" s="75">
        <f t="shared" si="46"/>
        <v>277.45099327688075</v>
      </c>
      <c r="I2994" s="74">
        <v>46000</v>
      </c>
      <c r="J2994">
        <v>8</v>
      </c>
      <c r="K2994" t="s">
        <v>515</v>
      </c>
      <c r="L2994" t="s">
        <v>367</v>
      </c>
      <c r="M2994" t="s">
        <v>356</v>
      </c>
      <c r="N2994" s="73">
        <v>67262</v>
      </c>
      <c r="O2994" s="73">
        <v>67262</v>
      </c>
      <c r="P2994">
        <v>34.681374159610094</v>
      </c>
    </row>
    <row r="2995" spans="1:16" x14ac:dyDescent="0.2">
      <c r="A2995" s="73">
        <v>67262</v>
      </c>
      <c r="B2995" t="s">
        <v>350</v>
      </c>
      <c r="C2995" s="73" t="s">
        <v>421</v>
      </c>
      <c r="D2995" t="s">
        <v>422</v>
      </c>
      <c r="E2995" s="74">
        <v>46001</v>
      </c>
      <c r="F2995" t="s">
        <v>360</v>
      </c>
      <c r="G2995" t="s">
        <v>361</v>
      </c>
      <c r="H2995" s="75">
        <f t="shared" si="46"/>
        <v>138.72549663844038</v>
      </c>
      <c r="I2995" s="74">
        <v>46001</v>
      </c>
      <c r="J2995">
        <v>4</v>
      </c>
      <c r="K2995" t="s">
        <v>515</v>
      </c>
      <c r="L2995" t="s">
        <v>262</v>
      </c>
      <c r="M2995" t="s">
        <v>356</v>
      </c>
      <c r="N2995" s="73">
        <v>67262</v>
      </c>
      <c r="O2995" s="73">
        <v>67262</v>
      </c>
      <c r="P2995">
        <v>34.681374159610094</v>
      </c>
    </row>
    <row r="2996" spans="1:16" x14ac:dyDescent="0.2">
      <c r="A2996" s="73">
        <v>67262</v>
      </c>
      <c r="B2996" t="s">
        <v>350</v>
      </c>
      <c r="C2996" s="73" t="s">
        <v>421</v>
      </c>
      <c r="D2996" t="s">
        <v>422</v>
      </c>
      <c r="E2996" s="74">
        <v>46001</v>
      </c>
      <c r="F2996" t="s">
        <v>395</v>
      </c>
      <c r="G2996" t="s">
        <v>396</v>
      </c>
      <c r="H2996" s="75">
        <f t="shared" si="46"/>
        <v>277.45099327688075</v>
      </c>
      <c r="I2996" s="74">
        <v>46001</v>
      </c>
      <c r="J2996">
        <v>8</v>
      </c>
      <c r="K2996" t="s">
        <v>515</v>
      </c>
      <c r="L2996" t="s">
        <v>262</v>
      </c>
      <c r="M2996" t="s">
        <v>356</v>
      </c>
      <c r="N2996" s="73">
        <v>67262</v>
      </c>
      <c r="O2996" s="73">
        <v>67262</v>
      </c>
      <c r="P2996">
        <v>34.681374159610094</v>
      </c>
    </row>
    <row r="2997" spans="1:16" x14ac:dyDescent="0.2">
      <c r="A2997" s="73">
        <v>67262</v>
      </c>
      <c r="B2997" t="s">
        <v>350</v>
      </c>
      <c r="C2997" s="73" t="s">
        <v>421</v>
      </c>
      <c r="D2997" t="s">
        <v>422</v>
      </c>
      <c r="E2997" s="74">
        <v>46001</v>
      </c>
      <c r="F2997" t="s">
        <v>353</v>
      </c>
      <c r="G2997" t="s">
        <v>354</v>
      </c>
      <c r="H2997" s="75">
        <f t="shared" si="46"/>
        <v>208.08824495766055</v>
      </c>
      <c r="I2997" s="74">
        <v>46001</v>
      </c>
      <c r="J2997">
        <v>6</v>
      </c>
      <c r="K2997" t="s">
        <v>515</v>
      </c>
      <c r="L2997" t="s">
        <v>355</v>
      </c>
      <c r="M2997" t="s">
        <v>356</v>
      </c>
      <c r="N2997" s="73">
        <v>67262</v>
      </c>
      <c r="O2997" s="73">
        <v>67262</v>
      </c>
      <c r="P2997">
        <v>34.681374159610094</v>
      </c>
    </row>
    <row r="2998" spans="1:16" x14ac:dyDescent="0.2">
      <c r="A2998" s="73">
        <v>67262</v>
      </c>
      <c r="B2998" t="s">
        <v>350</v>
      </c>
      <c r="C2998" s="73" t="s">
        <v>421</v>
      </c>
      <c r="D2998" t="s">
        <v>422</v>
      </c>
      <c r="E2998" s="74">
        <v>46076</v>
      </c>
      <c r="F2998" t="s">
        <v>414</v>
      </c>
      <c r="G2998" t="s">
        <v>415</v>
      </c>
      <c r="H2998" s="75">
        <f t="shared" si="46"/>
        <v>260.11030619707572</v>
      </c>
      <c r="I2998" s="74">
        <v>46076</v>
      </c>
      <c r="J2998">
        <v>7.5</v>
      </c>
      <c r="K2998" t="s">
        <v>508</v>
      </c>
      <c r="L2998" t="s">
        <v>262</v>
      </c>
      <c r="M2998" t="s">
        <v>356</v>
      </c>
      <c r="N2998" s="73">
        <v>67262</v>
      </c>
      <c r="O2998" s="73">
        <v>67262</v>
      </c>
      <c r="P2998">
        <v>34.681374159610094</v>
      </c>
    </row>
    <row r="2999" spans="1:16" x14ac:dyDescent="0.2">
      <c r="A2999" s="73">
        <v>67262</v>
      </c>
      <c r="B2999" t="s">
        <v>350</v>
      </c>
      <c r="C2999" s="73" t="s">
        <v>421</v>
      </c>
      <c r="D2999" t="s">
        <v>422</v>
      </c>
      <c r="E2999" s="74">
        <v>46001</v>
      </c>
      <c r="F2999" t="s">
        <v>387</v>
      </c>
      <c r="G2999" t="s">
        <v>388</v>
      </c>
      <c r="H2999" s="75">
        <f t="shared" si="46"/>
        <v>208.08824495766055</v>
      </c>
      <c r="I2999" s="74">
        <v>46001</v>
      </c>
      <c r="J2999">
        <v>6</v>
      </c>
      <c r="K2999" t="s">
        <v>515</v>
      </c>
      <c r="L2999" t="s">
        <v>367</v>
      </c>
      <c r="M2999" t="s">
        <v>356</v>
      </c>
      <c r="N2999" s="73">
        <v>67262</v>
      </c>
      <c r="O2999" s="73">
        <v>67262</v>
      </c>
      <c r="P2999">
        <v>34.681374159610094</v>
      </c>
    </row>
    <row r="3000" spans="1:16" x14ac:dyDescent="0.2">
      <c r="A3000" s="73">
        <v>67262</v>
      </c>
      <c r="B3000" t="s">
        <v>350</v>
      </c>
      <c r="C3000" s="73" t="s">
        <v>421</v>
      </c>
      <c r="D3000" t="s">
        <v>422</v>
      </c>
      <c r="E3000" s="74">
        <v>46001</v>
      </c>
      <c r="F3000" t="s">
        <v>410</v>
      </c>
      <c r="G3000" t="s">
        <v>411</v>
      </c>
      <c r="H3000" s="75">
        <f t="shared" si="46"/>
        <v>34.681374159610094</v>
      </c>
      <c r="I3000" s="74">
        <v>46001</v>
      </c>
      <c r="J3000">
        <v>1</v>
      </c>
      <c r="K3000" t="s">
        <v>515</v>
      </c>
      <c r="L3000" t="s">
        <v>262</v>
      </c>
      <c r="M3000" t="s">
        <v>356</v>
      </c>
      <c r="N3000" s="73">
        <v>67262</v>
      </c>
      <c r="O3000" s="73">
        <v>67262</v>
      </c>
      <c r="P3000">
        <v>34.681374159610094</v>
      </c>
    </row>
    <row r="3001" spans="1:16" x14ac:dyDescent="0.2">
      <c r="A3001" s="73">
        <v>67262</v>
      </c>
      <c r="B3001" t="s">
        <v>350</v>
      </c>
      <c r="C3001" s="73" t="s">
        <v>421</v>
      </c>
      <c r="D3001" t="s">
        <v>422</v>
      </c>
      <c r="E3001" s="74">
        <v>46000</v>
      </c>
      <c r="F3001" t="s">
        <v>404</v>
      </c>
      <c r="G3001" t="s">
        <v>405</v>
      </c>
      <c r="H3001" s="75">
        <f t="shared" si="46"/>
        <v>277.45099327688075</v>
      </c>
      <c r="I3001" s="74">
        <v>46000</v>
      </c>
      <c r="J3001">
        <v>8</v>
      </c>
      <c r="K3001" t="s">
        <v>515</v>
      </c>
      <c r="L3001" t="s">
        <v>262</v>
      </c>
      <c r="M3001" t="s">
        <v>356</v>
      </c>
      <c r="N3001" s="73">
        <v>67262</v>
      </c>
      <c r="O3001" s="73">
        <v>67262</v>
      </c>
      <c r="P3001">
        <v>34.681374159610094</v>
      </c>
    </row>
    <row r="3002" spans="1:16" x14ac:dyDescent="0.2">
      <c r="A3002" s="73">
        <v>67262</v>
      </c>
      <c r="B3002" t="s">
        <v>350</v>
      </c>
      <c r="C3002" s="73" t="s">
        <v>421</v>
      </c>
      <c r="D3002" t="s">
        <v>422</v>
      </c>
      <c r="E3002" s="74">
        <v>46001</v>
      </c>
      <c r="F3002" t="s">
        <v>404</v>
      </c>
      <c r="G3002" t="s">
        <v>405</v>
      </c>
      <c r="H3002" s="75">
        <f t="shared" si="46"/>
        <v>277.45099327688075</v>
      </c>
      <c r="I3002" s="74">
        <v>46001</v>
      </c>
      <c r="J3002">
        <v>8</v>
      </c>
      <c r="K3002" t="s">
        <v>515</v>
      </c>
      <c r="L3002" t="s">
        <v>262</v>
      </c>
      <c r="M3002" t="s">
        <v>356</v>
      </c>
      <c r="N3002" s="73">
        <v>67262</v>
      </c>
      <c r="O3002" s="73">
        <v>67262</v>
      </c>
      <c r="P3002">
        <v>34.681374159610094</v>
      </c>
    </row>
    <row r="3003" spans="1:16" x14ac:dyDescent="0.2">
      <c r="A3003" s="73">
        <v>67262</v>
      </c>
      <c r="B3003" t="s">
        <v>350</v>
      </c>
      <c r="C3003" s="73" t="s">
        <v>421</v>
      </c>
      <c r="D3003" t="s">
        <v>422</v>
      </c>
      <c r="E3003" s="74">
        <v>46002</v>
      </c>
      <c r="F3003" t="s">
        <v>353</v>
      </c>
      <c r="G3003" t="s">
        <v>354</v>
      </c>
      <c r="H3003" s="75">
        <f t="shared" si="46"/>
        <v>208.08824495766055</v>
      </c>
      <c r="I3003" s="74">
        <v>46002</v>
      </c>
      <c r="J3003">
        <v>6</v>
      </c>
      <c r="K3003" t="s">
        <v>515</v>
      </c>
      <c r="L3003" t="s">
        <v>355</v>
      </c>
      <c r="M3003" t="s">
        <v>356</v>
      </c>
      <c r="N3003" s="73">
        <v>67262</v>
      </c>
      <c r="O3003" s="73">
        <v>67262</v>
      </c>
      <c r="P3003">
        <v>34.681374159610094</v>
      </c>
    </row>
    <row r="3004" spans="1:16" x14ac:dyDescent="0.2">
      <c r="A3004" s="73">
        <v>67262</v>
      </c>
      <c r="B3004" t="s">
        <v>350</v>
      </c>
      <c r="C3004" s="73" t="s">
        <v>421</v>
      </c>
      <c r="D3004" t="s">
        <v>422</v>
      </c>
      <c r="E3004" s="74">
        <v>46002</v>
      </c>
      <c r="F3004" t="s">
        <v>387</v>
      </c>
      <c r="G3004" t="s">
        <v>388</v>
      </c>
      <c r="H3004" s="75">
        <f t="shared" si="46"/>
        <v>208.08824495766055</v>
      </c>
      <c r="I3004" s="74">
        <v>46002</v>
      </c>
      <c r="J3004">
        <v>6</v>
      </c>
      <c r="K3004" t="s">
        <v>515</v>
      </c>
      <c r="L3004" t="s">
        <v>367</v>
      </c>
      <c r="M3004" t="s">
        <v>356</v>
      </c>
      <c r="N3004" s="73">
        <v>67262</v>
      </c>
      <c r="O3004" s="73">
        <v>67262</v>
      </c>
      <c r="P3004">
        <v>34.681374159610094</v>
      </c>
    </row>
    <row r="3005" spans="1:16" x14ac:dyDescent="0.2">
      <c r="A3005" s="73">
        <v>67262</v>
      </c>
      <c r="B3005" t="s">
        <v>350</v>
      </c>
      <c r="C3005" s="73" t="s">
        <v>421</v>
      </c>
      <c r="D3005" t="s">
        <v>422</v>
      </c>
      <c r="E3005" s="74">
        <v>46002</v>
      </c>
      <c r="F3005" t="s">
        <v>404</v>
      </c>
      <c r="G3005" t="s">
        <v>405</v>
      </c>
      <c r="H3005" s="75">
        <f t="shared" si="46"/>
        <v>34.681374159610094</v>
      </c>
      <c r="I3005" s="74">
        <v>46002</v>
      </c>
      <c r="J3005">
        <v>1</v>
      </c>
      <c r="K3005" t="s">
        <v>515</v>
      </c>
      <c r="L3005" t="s">
        <v>262</v>
      </c>
      <c r="M3005" t="s">
        <v>356</v>
      </c>
      <c r="N3005" s="73">
        <v>67262</v>
      </c>
      <c r="O3005" s="73">
        <v>67262</v>
      </c>
      <c r="P3005">
        <v>34.681374159610094</v>
      </c>
    </row>
    <row r="3006" spans="1:16" x14ac:dyDescent="0.2">
      <c r="A3006" s="73">
        <v>67262</v>
      </c>
      <c r="B3006" t="s">
        <v>350</v>
      </c>
      <c r="C3006" s="73" t="s">
        <v>421</v>
      </c>
      <c r="D3006" t="s">
        <v>422</v>
      </c>
      <c r="E3006" s="74">
        <v>46002</v>
      </c>
      <c r="F3006" t="s">
        <v>410</v>
      </c>
      <c r="G3006" t="s">
        <v>411</v>
      </c>
      <c r="H3006" s="75">
        <f t="shared" si="46"/>
        <v>34.681374159610094</v>
      </c>
      <c r="I3006" s="74">
        <v>46002</v>
      </c>
      <c r="J3006">
        <v>1</v>
      </c>
      <c r="K3006" t="s">
        <v>515</v>
      </c>
      <c r="L3006" t="s">
        <v>262</v>
      </c>
      <c r="M3006" t="s">
        <v>356</v>
      </c>
      <c r="N3006" s="73">
        <v>67262</v>
      </c>
      <c r="O3006" s="73">
        <v>67262</v>
      </c>
      <c r="P3006">
        <v>34.681374159610094</v>
      </c>
    </row>
    <row r="3007" spans="1:16" x14ac:dyDescent="0.2">
      <c r="A3007" s="73">
        <v>67262</v>
      </c>
      <c r="B3007" t="s">
        <v>350</v>
      </c>
      <c r="C3007" s="73" t="s">
        <v>421</v>
      </c>
      <c r="D3007" t="s">
        <v>422</v>
      </c>
      <c r="E3007" s="74">
        <v>46077</v>
      </c>
      <c r="F3007" t="s">
        <v>414</v>
      </c>
      <c r="G3007" t="s">
        <v>415</v>
      </c>
      <c r="H3007" s="75">
        <f t="shared" si="46"/>
        <v>260.11030619707572</v>
      </c>
      <c r="I3007" s="74">
        <v>46077</v>
      </c>
      <c r="J3007">
        <v>7.5</v>
      </c>
      <c r="K3007" t="s">
        <v>508</v>
      </c>
      <c r="L3007" t="s">
        <v>262</v>
      </c>
      <c r="M3007" t="s">
        <v>356</v>
      </c>
      <c r="N3007" s="73">
        <v>67262</v>
      </c>
      <c r="O3007" s="73">
        <v>67262</v>
      </c>
      <c r="P3007">
        <v>34.681374159610094</v>
      </c>
    </row>
    <row r="3008" spans="1:16" x14ac:dyDescent="0.2">
      <c r="A3008" s="73">
        <v>67262</v>
      </c>
      <c r="B3008" t="s">
        <v>350</v>
      </c>
      <c r="C3008" s="73" t="s">
        <v>421</v>
      </c>
      <c r="D3008" t="s">
        <v>422</v>
      </c>
      <c r="E3008" s="74">
        <v>46003</v>
      </c>
      <c r="F3008" t="s">
        <v>387</v>
      </c>
      <c r="G3008" t="s">
        <v>388</v>
      </c>
      <c r="H3008" s="75">
        <f t="shared" si="46"/>
        <v>208.08824495766055</v>
      </c>
      <c r="I3008" s="74">
        <v>46003</v>
      </c>
      <c r="J3008">
        <v>6</v>
      </c>
      <c r="K3008" t="s">
        <v>515</v>
      </c>
      <c r="L3008" t="s">
        <v>367</v>
      </c>
      <c r="M3008" t="s">
        <v>356</v>
      </c>
      <c r="N3008" s="73">
        <v>67262</v>
      </c>
      <c r="O3008" s="73">
        <v>67262</v>
      </c>
      <c r="P3008">
        <v>34.681374159610094</v>
      </c>
    </row>
    <row r="3009" spans="1:16" x14ac:dyDescent="0.2">
      <c r="A3009" s="73">
        <v>67262</v>
      </c>
      <c r="B3009" t="s">
        <v>350</v>
      </c>
      <c r="C3009" s="73" t="s">
        <v>421</v>
      </c>
      <c r="D3009" t="s">
        <v>422</v>
      </c>
      <c r="E3009" s="74">
        <v>46003</v>
      </c>
      <c r="F3009" t="s">
        <v>404</v>
      </c>
      <c r="G3009" t="s">
        <v>405</v>
      </c>
      <c r="H3009" s="75">
        <f t="shared" si="46"/>
        <v>34.681374159610094</v>
      </c>
      <c r="I3009" s="74">
        <v>46003</v>
      </c>
      <c r="J3009">
        <v>1</v>
      </c>
      <c r="K3009" t="s">
        <v>515</v>
      </c>
      <c r="L3009" t="s">
        <v>262</v>
      </c>
      <c r="M3009" t="s">
        <v>356</v>
      </c>
      <c r="N3009" s="73">
        <v>67262</v>
      </c>
      <c r="O3009" s="73">
        <v>67262</v>
      </c>
      <c r="P3009">
        <v>34.681374159610094</v>
      </c>
    </row>
    <row r="3010" spans="1:16" x14ac:dyDescent="0.2">
      <c r="A3010" s="73">
        <v>67262</v>
      </c>
      <c r="B3010" t="s">
        <v>350</v>
      </c>
      <c r="C3010" s="73" t="s">
        <v>421</v>
      </c>
      <c r="D3010" t="s">
        <v>422</v>
      </c>
      <c r="E3010" s="74">
        <v>46006</v>
      </c>
      <c r="F3010" t="s">
        <v>410</v>
      </c>
      <c r="G3010" t="s">
        <v>411</v>
      </c>
      <c r="H3010" s="75">
        <f t="shared" ref="H3010:H3073" si="47">J3010*P3010</f>
        <v>277.45099327688075</v>
      </c>
      <c r="I3010" s="74">
        <v>46006</v>
      </c>
      <c r="J3010">
        <v>8</v>
      </c>
      <c r="K3010" t="s">
        <v>515</v>
      </c>
      <c r="L3010" t="s">
        <v>262</v>
      </c>
      <c r="M3010" t="s">
        <v>356</v>
      </c>
      <c r="N3010" s="73">
        <v>67262</v>
      </c>
      <c r="O3010" s="73">
        <v>67262</v>
      </c>
      <c r="P3010">
        <v>34.681374159610094</v>
      </c>
    </row>
    <row r="3011" spans="1:16" x14ac:dyDescent="0.2">
      <c r="A3011" s="73">
        <v>67262</v>
      </c>
      <c r="B3011" t="s">
        <v>350</v>
      </c>
      <c r="C3011" s="73" t="s">
        <v>421</v>
      </c>
      <c r="D3011" t="s">
        <v>422</v>
      </c>
      <c r="E3011" s="74">
        <v>46006</v>
      </c>
      <c r="F3011" t="s">
        <v>353</v>
      </c>
      <c r="G3011" t="s">
        <v>354</v>
      </c>
      <c r="H3011" s="75">
        <f t="shared" si="47"/>
        <v>208.08824495766055</v>
      </c>
      <c r="I3011" s="74">
        <v>46006</v>
      </c>
      <c r="J3011">
        <v>6</v>
      </c>
      <c r="K3011" t="s">
        <v>515</v>
      </c>
      <c r="L3011" t="s">
        <v>355</v>
      </c>
      <c r="M3011" t="s">
        <v>356</v>
      </c>
      <c r="N3011" s="73">
        <v>67262</v>
      </c>
      <c r="O3011" s="73">
        <v>67262</v>
      </c>
      <c r="P3011">
        <v>34.681374159610094</v>
      </c>
    </row>
    <row r="3012" spans="1:16" x14ac:dyDescent="0.2">
      <c r="A3012" s="73">
        <v>67262</v>
      </c>
      <c r="B3012" t="s">
        <v>350</v>
      </c>
      <c r="C3012" s="73" t="s">
        <v>421</v>
      </c>
      <c r="D3012" t="s">
        <v>422</v>
      </c>
      <c r="E3012" s="74">
        <v>46007</v>
      </c>
      <c r="F3012" t="s">
        <v>395</v>
      </c>
      <c r="G3012" t="s">
        <v>396</v>
      </c>
      <c r="H3012" s="75">
        <f t="shared" si="47"/>
        <v>138.72549663844038</v>
      </c>
      <c r="I3012" s="74">
        <v>46007</v>
      </c>
      <c r="J3012">
        <v>4</v>
      </c>
      <c r="K3012" t="s">
        <v>515</v>
      </c>
      <c r="L3012" t="s">
        <v>262</v>
      </c>
      <c r="M3012" t="s">
        <v>356</v>
      </c>
      <c r="N3012" s="73">
        <v>67262</v>
      </c>
      <c r="O3012" s="73">
        <v>67262</v>
      </c>
      <c r="P3012">
        <v>34.681374159610094</v>
      </c>
    </row>
    <row r="3013" spans="1:16" x14ac:dyDescent="0.2">
      <c r="A3013" s="73">
        <v>67262</v>
      </c>
      <c r="B3013" t="s">
        <v>350</v>
      </c>
      <c r="C3013" s="73" t="s">
        <v>421</v>
      </c>
      <c r="D3013" t="s">
        <v>422</v>
      </c>
      <c r="E3013" s="74">
        <v>46007</v>
      </c>
      <c r="F3013" t="s">
        <v>410</v>
      </c>
      <c r="G3013" t="s">
        <v>411</v>
      </c>
      <c r="H3013" s="75">
        <f t="shared" si="47"/>
        <v>277.45099327688075</v>
      </c>
      <c r="I3013" s="74">
        <v>46007</v>
      </c>
      <c r="J3013">
        <v>8</v>
      </c>
      <c r="K3013" t="s">
        <v>515</v>
      </c>
      <c r="L3013" t="s">
        <v>262</v>
      </c>
      <c r="M3013" t="s">
        <v>356</v>
      </c>
      <c r="N3013" s="73">
        <v>67262</v>
      </c>
      <c r="O3013" s="73">
        <v>67262</v>
      </c>
      <c r="P3013">
        <v>34.681374159610094</v>
      </c>
    </row>
    <row r="3014" spans="1:16" x14ac:dyDescent="0.2">
      <c r="A3014" s="73">
        <v>67262</v>
      </c>
      <c r="B3014" t="s">
        <v>350</v>
      </c>
      <c r="C3014" s="73" t="s">
        <v>421</v>
      </c>
      <c r="D3014" t="s">
        <v>422</v>
      </c>
      <c r="E3014" s="74">
        <v>46007</v>
      </c>
      <c r="F3014" t="s">
        <v>353</v>
      </c>
      <c r="G3014" t="s">
        <v>354</v>
      </c>
      <c r="H3014" s="75">
        <f t="shared" si="47"/>
        <v>208.08824495766055</v>
      </c>
      <c r="I3014" s="74">
        <v>46007</v>
      </c>
      <c r="J3014">
        <v>6</v>
      </c>
      <c r="K3014" t="s">
        <v>515</v>
      </c>
      <c r="L3014" t="s">
        <v>355</v>
      </c>
      <c r="M3014" t="s">
        <v>356</v>
      </c>
      <c r="N3014" s="73">
        <v>67262</v>
      </c>
      <c r="O3014" s="73">
        <v>67262</v>
      </c>
      <c r="P3014">
        <v>34.681374159610094</v>
      </c>
    </row>
    <row r="3015" spans="1:16" x14ac:dyDescent="0.2">
      <c r="A3015" s="73">
        <v>67262</v>
      </c>
      <c r="B3015" t="s">
        <v>350</v>
      </c>
      <c r="C3015" s="73" t="s">
        <v>421</v>
      </c>
      <c r="D3015" t="s">
        <v>422</v>
      </c>
      <c r="E3015" s="74">
        <v>46008</v>
      </c>
      <c r="F3015" t="s">
        <v>387</v>
      </c>
      <c r="G3015" t="s">
        <v>388</v>
      </c>
      <c r="H3015" s="75">
        <f t="shared" si="47"/>
        <v>69.362748319220188</v>
      </c>
      <c r="I3015" s="74">
        <v>46008</v>
      </c>
      <c r="J3015">
        <v>2</v>
      </c>
      <c r="K3015" t="s">
        <v>515</v>
      </c>
      <c r="L3015" t="s">
        <v>367</v>
      </c>
      <c r="M3015" t="s">
        <v>356</v>
      </c>
      <c r="N3015" s="73">
        <v>67262</v>
      </c>
      <c r="O3015" s="73">
        <v>67262</v>
      </c>
      <c r="P3015">
        <v>34.681374159610094</v>
      </c>
    </row>
    <row r="3016" spans="1:16" x14ac:dyDescent="0.2">
      <c r="A3016" s="73">
        <v>67262</v>
      </c>
      <c r="B3016" t="s">
        <v>350</v>
      </c>
      <c r="C3016" s="73" t="s">
        <v>421</v>
      </c>
      <c r="D3016" t="s">
        <v>422</v>
      </c>
      <c r="E3016" s="74">
        <v>46008</v>
      </c>
      <c r="F3016" t="s">
        <v>410</v>
      </c>
      <c r="G3016" t="s">
        <v>411</v>
      </c>
      <c r="H3016" s="75">
        <f t="shared" si="47"/>
        <v>242.76961911727065</v>
      </c>
      <c r="I3016" s="74">
        <v>46008</v>
      </c>
      <c r="J3016">
        <v>7</v>
      </c>
      <c r="K3016" t="s">
        <v>515</v>
      </c>
      <c r="L3016" t="s">
        <v>262</v>
      </c>
      <c r="M3016" t="s">
        <v>356</v>
      </c>
      <c r="N3016" s="73">
        <v>67262</v>
      </c>
      <c r="O3016" s="73">
        <v>67262</v>
      </c>
      <c r="P3016">
        <v>34.681374159610094</v>
      </c>
    </row>
    <row r="3017" spans="1:16" x14ac:dyDescent="0.2">
      <c r="A3017" s="73">
        <v>67262</v>
      </c>
      <c r="B3017" t="s">
        <v>350</v>
      </c>
      <c r="C3017" s="73" t="s">
        <v>421</v>
      </c>
      <c r="D3017" t="s">
        <v>422</v>
      </c>
      <c r="E3017" s="74">
        <v>46008</v>
      </c>
      <c r="F3017" t="s">
        <v>353</v>
      </c>
      <c r="G3017" t="s">
        <v>354</v>
      </c>
      <c r="H3017" s="75">
        <f t="shared" si="47"/>
        <v>208.08824495766055</v>
      </c>
      <c r="I3017" s="74">
        <v>46008</v>
      </c>
      <c r="J3017">
        <v>6</v>
      </c>
      <c r="K3017" t="s">
        <v>515</v>
      </c>
      <c r="L3017" t="s">
        <v>355</v>
      </c>
      <c r="M3017" t="s">
        <v>356</v>
      </c>
      <c r="N3017" s="73">
        <v>67262</v>
      </c>
      <c r="O3017" s="73">
        <v>67262</v>
      </c>
      <c r="P3017">
        <v>34.681374159610094</v>
      </c>
    </row>
    <row r="3018" spans="1:16" x14ac:dyDescent="0.2">
      <c r="A3018" s="73">
        <v>67262</v>
      </c>
      <c r="B3018" t="s">
        <v>350</v>
      </c>
      <c r="C3018" s="73" t="s">
        <v>421</v>
      </c>
      <c r="D3018" t="s">
        <v>422</v>
      </c>
      <c r="E3018" s="74">
        <v>46009</v>
      </c>
      <c r="F3018" t="s">
        <v>387</v>
      </c>
      <c r="G3018" t="s">
        <v>388</v>
      </c>
      <c r="H3018" s="75">
        <f t="shared" si="47"/>
        <v>138.72549663844038</v>
      </c>
      <c r="I3018" s="74">
        <v>46009</v>
      </c>
      <c r="J3018">
        <v>4</v>
      </c>
      <c r="K3018" t="s">
        <v>515</v>
      </c>
      <c r="L3018" t="s">
        <v>367</v>
      </c>
      <c r="M3018" t="s">
        <v>356</v>
      </c>
      <c r="N3018" s="73">
        <v>67262</v>
      </c>
      <c r="O3018" s="73">
        <v>67262</v>
      </c>
      <c r="P3018">
        <v>34.681374159610094</v>
      </c>
    </row>
    <row r="3019" spans="1:16" x14ac:dyDescent="0.2">
      <c r="A3019" s="73">
        <v>67262</v>
      </c>
      <c r="B3019" t="s">
        <v>350</v>
      </c>
      <c r="C3019" s="73" t="s">
        <v>421</v>
      </c>
      <c r="D3019" t="s">
        <v>422</v>
      </c>
      <c r="E3019" s="74">
        <v>46009</v>
      </c>
      <c r="F3019" t="s">
        <v>410</v>
      </c>
      <c r="G3019" t="s">
        <v>411</v>
      </c>
      <c r="H3019" s="75">
        <f t="shared" si="47"/>
        <v>242.76961911727065</v>
      </c>
      <c r="I3019" s="74">
        <v>46009</v>
      </c>
      <c r="J3019">
        <v>7</v>
      </c>
      <c r="K3019" t="s">
        <v>515</v>
      </c>
      <c r="L3019" t="s">
        <v>262</v>
      </c>
      <c r="M3019" t="s">
        <v>356</v>
      </c>
      <c r="N3019" s="73">
        <v>67262</v>
      </c>
      <c r="O3019" s="73">
        <v>67262</v>
      </c>
      <c r="P3019">
        <v>34.681374159610094</v>
      </c>
    </row>
    <row r="3020" spans="1:16" x14ac:dyDescent="0.2">
      <c r="A3020" s="73">
        <v>67262</v>
      </c>
      <c r="B3020" t="s">
        <v>350</v>
      </c>
      <c r="C3020" s="73" t="s">
        <v>421</v>
      </c>
      <c r="D3020" t="s">
        <v>422</v>
      </c>
      <c r="E3020" s="74">
        <v>46009</v>
      </c>
      <c r="F3020" t="s">
        <v>353</v>
      </c>
      <c r="G3020" t="s">
        <v>354</v>
      </c>
      <c r="H3020" s="75">
        <f t="shared" si="47"/>
        <v>208.08824495766055</v>
      </c>
      <c r="I3020" s="74">
        <v>46009</v>
      </c>
      <c r="J3020">
        <v>6</v>
      </c>
      <c r="K3020" t="s">
        <v>515</v>
      </c>
      <c r="L3020" t="s">
        <v>355</v>
      </c>
      <c r="M3020" t="s">
        <v>356</v>
      </c>
      <c r="N3020" s="73">
        <v>67262</v>
      </c>
      <c r="O3020" s="73">
        <v>67262</v>
      </c>
      <c r="P3020">
        <v>34.681374159610094</v>
      </c>
    </row>
    <row r="3021" spans="1:16" x14ac:dyDescent="0.2">
      <c r="A3021" s="73">
        <v>67262</v>
      </c>
      <c r="B3021" t="s">
        <v>350</v>
      </c>
      <c r="C3021" s="73" t="s">
        <v>421</v>
      </c>
      <c r="D3021" t="s">
        <v>422</v>
      </c>
      <c r="E3021" s="74">
        <v>46010</v>
      </c>
      <c r="F3021" t="s">
        <v>360</v>
      </c>
      <c r="G3021" t="s">
        <v>361</v>
      </c>
      <c r="H3021" s="75">
        <f t="shared" si="47"/>
        <v>173.40687079805048</v>
      </c>
      <c r="I3021" s="74">
        <v>46010</v>
      </c>
      <c r="J3021">
        <v>5</v>
      </c>
      <c r="K3021" t="s">
        <v>515</v>
      </c>
      <c r="L3021" t="s">
        <v>262</v>
      </c>
      <c r="M3021" t="s">
        <v>356</v>
      </c>
      <c r="N3021" s="73">
        <v>67262</v>
      </c>
      <c r="O3021" s="73">
        <v>67262</v>
      </c>
      <c r="P3021">
        <v>34.681374159610094</v>
      </c>
    </row>
    <row r="3022" spans="1:16" x14ac:dyDescent="0.2">
      <c r="A3022" s="73">
        <v>67262</v>
      </c>
      <c r="B3022" t="s">
        <v>350</v>
      </c>
      <c r="C3022" s="73" t="s">
        <v>421</v>
      </c>
      <c r="D3022" t="s">
        <v>422</v>
      </c>
      <c r="E3022" s="74">
        <v>46010</v>
      </c>
      <c r="F3022" t="s">
        <v>353</v>
      </c>
      <c r="G3022" t="s">
        <v>354</v>
      </c>
      <c r="H3022" s="75">
        <f t="shared" si="47"/>
        <v>208.08824495766055</v>
      </c>
      <c r="I3022" s="74">
        <v>46010</v>
      </c>
      <c r="J3022">
        <v>6</v>
      </c>
      <c r="K3022" t="s">
        <v>515</v>
      </c>
      <c r="L3022" t="s">
        <v>355</v>
      </c>
      <c r="M3022" t="s">
        <v>356</v>
      </c>
      <c r="N3022" s="73">
        <v>67262</v>
      </c>
      <c r="O3022" s="73">
        <v>67262</v>
      </c>
      <c r="P3022">
        <v>34.681374159610094</v>
      </c>
    </row>
    <row r="3023" spans="1:16" x14ac:dyDescent="0.2">
      <c r="A3023" s="73">
        <v>67262</v>
      </c>
      <c r="B3023" t="s">
        <v>350</v>
      </c>
      <c r="C3023" s="73" t="s">
        <v>421</v>
      </c>
      <c r="D3023" t="s">
        <v>422</v>
      </c>
      <c r="E3023" s="74">
        <v>46013</v>
      </c>
      <c r="F3023" t="s">
        <v>360</v>
      </c>
      <c r="G3023" t="s">
        <v>361</v>
      </c>
      <c r="H3023" s="75">
        <f t="shared" si="47"/>
        <v>277.45099327688075</v>
      </c>
      <c r="I3023" s="74">
        <v>46013</v>
      </c>
      <c r="J3023">
        <v>8</v>
      </c>
      <c r="K3023" t="s">
        <v>515</v>
      </c>
      <c r="L3023" t="s">
        <v>262</v>
      </c>
      <c r="M3023" t="s">
        <v>356</v>
      </c>
      <c r="N3023" s="73">
        <v>67262</v>
      </c>
      <c r="O3023" s="73">
        <v>67262</v>
      </c>
      <c r="P3023">
        <v>34.681374159610094</v>
      </c>
    </row>
    <row r="3024" spans="1:16" x14ac:dyDescent="0.2">
      <c r="A3024" s="73">
        <v>67262</v>
      </c>
      <c r="B3024" t="s">
        <v>350</v>
      </c>
      <c r="C3024" s="73" t="s">
        <v>421</v>
      </c>
      <c r="D3024" t="s">
        <v>422</v>
      </c>
      <c r="E3024" s="74">
        <v>46013</v>
      </c>
      <c r="F3024" t="s">
        <v>387</v>
      </c>
      <c r="G3024" t="s">
        <v>388</v>
      </c>
      <c r="H3024" s="75">
        <f t="shared" si="47"/>
        <v>104.04412247883027</v>
      </c>
      <c r="I3024" s="74">
        <v>46013</v>
      </c>
      <c r="J3024">
        <v>3</v>
      </c>
      <c r="K3024" t="s">
        <v>515</v>
      </c>
      <c r="L3024" t="s">
        <v>367</v>
      </c>
      <c r="M3024" t="s">
        <v>356</v>
      </c>
      <c r="N3024" s="73">
        <v>67262</v>
      </c>
      <c r="O3024" s="73">
        <v>67262</v>
      </c>
      <c r="P3024">
        <v>34.681374159610094</v>
      </c>
    </row>
    <row r="3025" spans="1:16" x14ac:dyDescent="0.2">
      <c r="A3025" s="73">
        <v>67262</v>
      </c>
      <c r="B3025" t="s">
        <v>350</v>
      </c>
      <c r="C3025" s="73" t="s">
        <v>421</v>
      </c>
      <c r="D3025" t="s">
        <v>422</v>
      </c>
      <c r="E3025" s="74">
        <v>46013</v>
      </c>
      <c r="F3025" t="s">
        <v>353</v>
      </c>
      <c r="G3025" t="s">
        <v>354</v>
      </c>
      <c r="H3025" s="75">
        <f t="shared" si="47"/>
        <v>208.08824495766055</v>
      </c>
      <c r="I3025" s="74">
        <v>46013</v>
      </c>
      <c r="J3025">
        <v>6</v>
      </c>
      <c r="K3025" t="s">
        <v>515</v>
      </c>
      <c r="L3025" t="s">
        <v>355</v>
      </c>
      <c r="M3025" t="s">
        <v>356</v>
      </c>
      <c r="N3025" s="73">
        <v>67262</v>
      </c>
      <c r="O3025" s="73">
        <v>67262</v>
      </c>
      <c r="P3025">
        <v>34.681374159610094</v>
      </c>
    </row>
    <row r="3026" spans="1:16" x14ac:dyDescent="0.2">
      <c r="A3026" s="73">
        <v>67262</v>
      </c>
      <c r="B3026" t="s">
        <v>350</v>
      </c>
      <c r="C3026" s="73" t="s">
        <v>421</v>
      </c>
      <c r="D3026" t="s">
        <v>422</v>
      </c>
      <c r="E3026" s="74">
        <v>46014</v>
      </c>
      <c r="F3026" t="s">
        <v>360</v>
      </c>
      <c r="G3026" t="s">
        <v>361</v>
      </c>
      <c r="H3026" s="75">
        <f t="shared" si="47"/>
        <v>277.45099327688075</v>
      </c>
      <c r="I3026" s="74">
        <v>46014</v>
      </c>
      <c r="J3026">
        <v>8</v>
      </c>
      <c r="K3026" t="s">
        <v>515</v>
      </c>
      <c r="L3026" t="s">
        <v>262</v>
      </c>
      <c r="M3026" t="s">
        <v>356</v>
      </c>
      <c r="N3026" s="73">
        <v>67262</v>
      </c>
      <c r="O3026" s="73">
        <v>67262</v>
      </c>
      <c r="P3026">
        <v>34.681374159610094</v>
      </c>
    </row>
    <row r="3027" spans="1:16" x14ac:dyDescent="0.2">
      <c r="A3027" s="73">
        <v>67262</v>
      </c>
      <c r="B3027" t="s">
        <v>350</v>
      </c>
      <c r="C3027" s="73" t="s">
        <v>421</v>
      </c>
      <c r="D3027" t="s">
        <v>422</v>
      </c>
      <c r="E3027" s="74">
        <v>46014</v>
      </c>
      <c r="F3027" t="s">
        <v>353</v>
      </c>
      <c r="G3027" t="s">
        <v>354</v>
      </c>
      <c r="H3027" s="75">
        <f t="shared" si="47"/>
        <v>208.08824495766055</v>
      </c>
      <c r="I3027" s="74">
        <v>46014</v>
      </c>
      <c r="J3027">
        <v>6</v>
      </c>
      <c r="K3027" t="s">
        <v>515</v>
      </c>
      <c r="L3027" t="s">
        <v>355</v>
      </c>
      <c r="M3027" t="s">
        <v>356</v>
      </c>
      <c r="N3027" s="73">
        <v>67262</v>
      </c>
      <c r="O3027" s="73">
        <v>67262</v>
      </c>
      <c r="P3027">
        <v>34.681374159610094</v>
      </c>
    </row>
    <row r="3028" spans="1:16" x14ac:dyDescent="0.2">
      <c r="A3028" s="73">
        <v>67262</v>
      </c>
      <c r="B3028" t="s">
        <v>350</v>
      </c>
      <c r="C3028" s="73" t="s">
        <v>421</v>
      </c>
      <c r="D3028" t="s">
        <v>422</v>
      </c>
      <c r="E3028" s="74">
        <v>46013</v>
      </c>
      <c r="F3028" t="s">
        <v>410</v>
      </c>
      <c r="G3028" t="s">
        <v>411</v>
      </c>
      <c r="H3028" s="75">
        <f t="shared" si="47"/>
        <v>277.45099327688075</v>
      </c>
      <c r="I3028" s="74">
        <v>46013</v>
      </c>
      <c r="J3028">
        <v>8</v>
      </c>
      <c r="K3028" t="s">
        <v>515</v>
      </c>
      <c r="L3028" t="s">
        <v>262</v>
      </c>
      <c r="M3028" t="s">
        <v>356</v>
      </c>
      <c r="N3028" s="73">
        <v>67262</v>
      </c>
      <c r="O3028" s="73">
        <v>67262</v>
      </c>
      <c r="P3028">
        <v>34.681374159610094</v>
      </c>
    </row>
    <row r="3029" spans="1:16" x14ac:dyDescent="0.2">
      <c r="A3029" s="73">
        <v>67262</v>
      </c>
      <c r="B3029" t="s">
        <v>350</v>
      </c>
      <c r="C3029" s="73" t="s">
        <v>421</v>
      </c>
      <c r="D3029" t="s">
        <v>422</v>
      </c>
      <c r="E3029" s="74">
        <v>46014</v>
      </c>
      <c r="F3029" t="s">
        <v>410</v>
      </c>
      <c r="G3029" t="s">
        <v>411</v>
      </c>
      <c r="H3029" s="75">
        <f t="shared" si="47"/>
        <v>277.45099327688075</v>
      </c>
      <c r="I3029" s="74">
        <v>46014</v>
      </c>
      <c r="J3029">
        <v>8</v>
      </c>
      <c r="K3029" t="s">
        <v>515</v>
      </c>
      <c r="L3029" t="s">
        <v>262</v>
      </c>
      <c r="M3029" t="s">
        <v>356</v>
      </c>
      <c r="N3029" s="73">
        <v>67262</v>
      </c>
      <c r="O3029" s="73">
        <v>67262</v>
      </c>
      <c r="P3029">
        <v>34.681374159610094</v>
      </c>
    </row>
    <row r="3030" spans="1:16" x14ac:dyDescent="0.2">
      <c r="A3030" s="73">
        <v>67262</v>
      </c>
      <c r="B3030" t="s">
        <v>350</v>
      </c>
      <c r="C3030" s="73" t="s">
        <v>421</v>
      </c>
      <c r="D3030" t="s">
        <v>422</v>
      </c>
      <c r="E3030" s="74">
        <v>46015</v>
      </c>
      <c r="F3030" t="s">
        <v>360</v>
      </c>
      <c r="G3030" t="s">
        <v>361</v>
      </c>
      <c r="H3030" s="75">
        <f t="shared" si="47"/>
        <v>277.45099327688075</v>
      </c>
      <c r="I3030" s="74">
        <v>46015</v>
      </c>
      <c r="J3030">
        <v>8</v>
      </c>
      <c r="K3030" t="s">
        <v>515</v>
      </c>
      <c r="L3030" t="s">
        <v>262</v>
      </c>
      <c r="M3030" t="s">
        <v>356</v>
      </c>
      <c r="N3030" s="73">
        <v>67262</v>
      </c>
      <c r="O3030" s="73">
        <v>67262</v>
      </c>
      <c r="P3030">
        <v>34.681374159610094</v>
      </c>
    </row>
    <row r="3031" spans="1:16" x14ac:dyDescent="0.2">
      <c r="A3031" s="73">
        <v>67262</v>
      </c>
      <c r="B3031" t="s">
        <v>350</v>
      </c>
      <c r="C3031" s="73" t="s">
        <v>421</v>
      </c>
      <c r="D3031" t="s">
        <v>422</v>
      </c>
      <c r="E3031" s="74">
        <v>46015</v>
      </c>
      <c r="F3031" t="s">
        <v>387</v>
      </c>
      <c r="G3031" t="s">
        <v>388</v>
      </c>
      <c r="H3031" s="75">
        <f t="shared" si="47"/>
        <v>34.681374159610094</v>
      </c>
      <c r="I3031" s="74">
        <v>46015</v>
      </c>
      <c r="J3031">
        <v>1</v>
      </c>
      <c r="K3031" t="s">
        <v>515</v>
      </c>
      <c r="L3031" t="s">
        <v>367</v>
      </c>
      <c r="M3031" t="s">
        <v>356</v>
      </c>
      <c r="N3031" s="73">
        <v>67262</v>
      </c>
      <c r="O3031" s="73">
        <v>67262</v>
      </c>
      <c r="P3031">
        <v>34.681374159610094</v>
      </c>
    </row>
    <row r="3032" spans="1:16" x14ac:dyDescent="0.2">
      <c r="A3032" s="73">
        <v>67262</v>
      </c>
      <c r="B3032" t="s">
        <v>350</v>
      </c>
      <c r="C3032" s="73" t="s">
        <v>421</v>
      </c>
      <c r="D3032" t="s">
        <v>422</v>
      </c>
      <c r="E3032" s="74">
        <v>46015</v>
      </c>
      <c r="F3032" t="s">
        <v>353</v>
      </c>
      <c r="G3032" t="s">
        <v>354</v>
      </c>
      <c r="H3032" s="75">
        <f t="shared" si="47"/>
        <v>208.08824495766055</v>
      </c>
      <c r="I3032" s="74">
        <v>46015</v>
      </c>
      <c r="J3032">
        <v>6</v>
      </c>
      <c r="K3032" t="s">
        <v>515</v>
      </c>
      <c r="L3032" t="s">
        <v>355</v>
      </c>
      <c r="M3032" t="s">
        <v>356</v>
      </c>
      <c r="N3032" s="73">
        <v>67262</v>
      </c>
      <c r="O3032" s="73">
        <v>67262</v>
      </c>
      <c r="P3032">
        <v>34.681374159610094</v>
      </c>
    </row>
    <row r="3033" spans="1:16" x14ac:dyDescent="0.2">
      <c r="A3033" s="73">
        <v>67262</v>
      </c>
      <c r="B3033" t="s">
        <v>350</v>
      </c>
      <c r="C3033" s="73" t="s">
        <v>421</v>
      </c>
      <c r="D3033" t="s">
        <v>422</v>
      </c>
      <c r="E3033" s="74">
        <v>46017</v>
      </c>
      <c r="F3033" t="s">
        <v>360</v>
      </c>
      <c r="G3033" t="s">
        <v>361</v>
      </c>
      <c r="H3033" s="75">
        <f t="shared" si="47"/>
        <v>277.45099327688075</v>
      </c>
      <c r="I3033" s="74">
        <v>46017</v>
      </c>
      <c r="J3033">
        <v>8</v>
      </c>
      <c r="K3033" t="s">
        <v>515</v>
      </c>
      <c r="L3033" t="s">
        <v>262</v>
      </c>
      <c r="M3033" t="s">
        <v>356</v>
      </c>
      <c r="N3033" s="73">
        <v>67262</v>
      </c>
      <c r="O3033" s="73">
        <v>67262</v>
      </c>
      <c r="P3033">
        <v>34.681374159610094</v>
      </c>
    </row>
    <row r="3034" spans="1:16" x14ac:dyDescent="0.2">
      <c r="A3034" s="73">
        <v>67262</v>
      </c>
      <c r="B3034" t="s">
        <v>350</v>
      </c>
      <c r="C3034" s="73" t="s">
        <v>421</v>
      </c>
      <c r="D3034" t="s">
        <v>422</v>
      </c>
      <c r="E3034" s="74">
        <v>46017</v>
      </c>
      <c r="F3034" t="s">
        <v>404</v>
      </c>
      <c r="G3034" t="s">
        <v>405</v>
      </c>
      <c r="H3034" s="75">
        <f t="shared" si="47"/>
        <v>69.362748319220188</v>
      </c>
      <c r="I3034" s="74">
        <v>46017</v>
      </c>
      <c r="J3034">
        <v>2</v>
      </c>
      <c r="K3034" t="s">
        <v>515</v>
      </c>
      <c r="L3034" t="s">
        <v>262</v>
      </c>
      <c r="M3034" t="s">
        <v>356</v>
      </c>
      <c r="N3034" s="73">
        <v>67262</v>
      </c>
      <c r="O3034" s="73">
        <v>67262</v>
      </c>
      <c r="P3034">
        <v>34.681374159610094</v>
      </c>
    </row>
    <row r="3035" spans="1:16" x14ac:dyDescent="0.2">
      <c r="A3035" s="73">
        <v>67262</v>
      </c>
      <c r="B3035" t="s">
        <v>350</v>
      </c>
      <c r="C3035" s="73" t="s">
        <v>421</v>
      </c>
      <c r="D3035" t="s">
        <v>422</v>
      </c>
      <c r="E3035" s="74">
        <v>46020</v>
      </c>
      <c r="F3035" t="s">
        <v>360</v>
      </c>
      <c r="G3035" t="s">
        <v>361</v>
      </c>
      <c r="H3035" s="75">
        <f t="shared" si="47"/>
        <v>277.45099327688075</v>
      </c>
      <c r="I3035" s="74">
        <v>46020</v>
      </c>
      <c r="J3035">
        <v>8</v>
      </c>
      <c r="K3035" t="s">
        <v>515</v>
      </c>
      <c r="L3035" t="s">
        <v>262</v>
      </c>
      <c r="M3035" t="s">
        <v>356</v>
      </c>
      <c r="N3035" s="73">
        <v>67262</v>
      </c>
      <c r="O3035" s="73">
        <v>67262</v>
      </c>
      <c r="P3035">
        <v>34.681374159610094</v>
      </c>
    </row>
    <row r="3036" spans="1:16" x14ac:dyDescent="0.2">
      <c r="A3036" s="73">
        <v>67262</v>
      </c>
      <c r="B3036" t="s">
        <v>350</v>
      </c>
      <c r="C3036" s="73" t="s">
        <v>421</v>
      </c>
      <c r="D3036" t="s">
        <v>422</v>
      </c>
      <c r="E3036" s="74">
        <v>46021</v>
      </c>
      <c r="F3036" t="s">
        <v>353</v>
      </c>
      <c r="G3036" t="s">
        <v>354</v>
      </c>
      <c r="H3036" s="75">
        <f t="shared" si="47"/>
        <v>208.08824495766055</v>
      </c>
      <c r="I3036" s="74">
        <v>46021</v>
      </c>
      <c r="J3036">
        <v>6</v>
      </c>
      <c r="K3036" t="s">
        <v>515</v>
      </c>
      <c r="L3036" t="s">
        <v>355</v>
      </c>
      <c r="M3036" t="s">
        <v>356</v>
      </c>
      <c r="N3036" s="73">
        <v>67262</v>
      </c>
      <c r="O3036" s="73">
        <v>67262</v>
      </c>
      <c r="P3036">
        <v>34.681374159610094</v>
      </c>
    </row>
    <row r="3037" spans="1:16" x14ac:dyDescent="0.2">
      <c r="A3037" s="73">
        <v>67262</v>
      </c>
      <c r="B3037" t="s">
        <v>350</v>
      </c>
      <c r="C3037" s="73" t="s">
        <v>421</v>
      </c>
      <c r="D3037" t="s">
        <v>422</v>
      </c>
      <c r="E3037" s="74">
        <v>46022</v>
      </c>
      <c r="F3037" t="s">
        <v>353</v>
      </c>
      <c r="G3037" t="s">
        <v>354</v>
      </c>
      <c r="H3037" s="75">
        <f t="shared" si="47"/>
        <v>208.08824495766055</v>
      </c>
      <c r="I3037" s="74">
        <v>46022</v>
      </c>
      <c r="J3037">
        <v>6</v>
      </c>
      <c r="K3037" t="s">
        <v>515</v>
      </c>
      <c r="L3037" t="s">
        <v>355</v>
      </c>
      <c r="M3037" t="s">
        <v>356</v>
      </c>
      <c r="N3037" s="73">
        <v>67262</v>
      </c>
      <c r="O3037" s="73">
        <v>67262</v>
      </c>
      <c r="P3037">
        <v>34.681374159610094</v>
      </c>
    </row>
    <row r="3038" spans="1:16" x14ac:dyDescent="0.2">
      <c r="A3038" s="73">
        <v>67262</v>
      </c>
      <c r="B3038" t="s">
        <v>350</v>
      </c>
      <c r="C3038" s="73" t="s">
        <v>421</v>
      </c>
      <c r="D3038" t="s">
        <v>422</v>
      </c>
      <c r="E3038" s="74">
        <v>46022</v>
      </c>
      <c r="F3038" t="s">
        <v>360</v>
      </c>
      <c r="G3038" t="s">
        <v>361</v>
      </c>
      <c r="H3038" s="75">
        <f t="shared" si="47"/>
        <v>277.45099327688075</v>
      </c>
      <c r="I3038" s="74">
        <v>46022</v>
      </c>
      <c r="J3038">
        <v>8</v>
      </c>
      <c r="K3038" t="s">
        <v>515</v>
      </c>
      <c r="L3038" t="s">
        <v>262</v>
      </c>
      <c r="M3038" t="s">
        <v>356</v>
      </c>
      <c r="N3038" s="73">
        <v>67262</v>
      </c>
      <c r="O3038" s="73">
        <v>67262</v>
      </c>
      <c r="P3038">
        <v>34.681374159610094</v>
      </c>
    </row>
    <row r="3039" spans="1:16" x14ac:dyDescent="0.2">
      <c r="A3039" s="73">
        <v>67262</v>
      </c>
      <c r="B3039" t="s">
        <v>350</v>
      </c>
      <c r="C3039" s="73" t="s">
        <v>421</v>
      </c>
      <c r="D3039" t="s">
        <v>422</v>
      </c>
      <c r="E3039" s="74">
        <v>46024</v>
      </c>
      <c r="F3039" t="s">
        <v>353</v>
      </c>
      <c r="G3039" t="s">
        <v>354</v>
      </c>
      <c r="H3039" s="75">
        <f t="shared" si="47"/>
        <v>242.76961911727065</v>
      </c>
      <c r="I3039" s="74">
        <v>46024</v>
      </c>
      <c r="J3039">
        <v>7</v>
      </c>
      <c r="K3039" t="s">
        <v>516</v>
      </c>
      <c r="L3039" t="s">
        <v>355</v>
      </c>
      <c r="M3039" t="s">
        <v>356</v>
      </c>
      <c r="N3039" s="73">
        <v>67262</v>
      </c>
      <c r="O3039" s="73">
        <v>67262</v>
      </c>
      <c r="P3039">
        <v>34.681374159610094</v>
      </c>
    </row>
    <row r="3040" spans="1:16" x14ac:dyDescent="0.2">
      <c r="A3040" s="73">
        <v>67262</v>
      </c>
      <c r="B3040" t="s">
        <v>350</v>
      </c>
      <c r="C3040" s="73" t="s">
        <v>421</v>
      </c>
      <c r="D3040" t="s">
        <v>422</v>
      </c>
      <c r="E3040" s="74">
        <v>46024</v>
      </c>
      <c r="F3040" t="s">
        <v>360</v>
      </c>
      <c r="G3040" t="s">
        <v>361</v>
      </c>
      <c r="H3040" s="75">
        <f t="shared" si="47"/>
        <v>277.45099327688075</v>
      </c>
      <c r="I3040" s="74">
        <v>46024</v>
      </c>
      <c r="J3040">
        <v>8</v>
      </c>
      <c r="K3040" t="s">
        <v>516</v>
      </c>
      <c r="L3040" t="s">
        <v>262</v>
      </c>
      <c r="M3040" t="s">
        <v>356</v>
      </c>
      <c r="N3040" s="73">
        <v>67262</v>
      </c>
      <c r="O3040" s="73">
        <v>67262</v>
      </c>
      <c r="P3040">
        <v>34.681374159610094</v>
      </c>
    </row>
    <row r="3041" spans="1:16" x14ac:dyDescent="0.2">
      <c r="A3041" s="73">
        <v>67262</v>
      </c>
      <c r="B3041" t="s">
        <v>350</v>
      </c>
      <c r="C3041" s="73" t="s">
        <v>421</v>
      </c>
      <c r="D3041" t="s">
        <v>422</v>
      </c>
      <c r="E3041" s="74">
        <v>46024</v>
      </c>
      <c r="F3041" t="s">
        <v>410</v>
      </c>
      <c r="G3041" t="s">
        <v>411</v>
      </c>
      <c r="H3041" s="75">
        <f t="shared" si="47"/>
        <v>277.45099327688075</v>
      </c>
      <c r="I3041" s="74">
        <v>46024</v>
      </c>
      <c r="J3041">
        <v>8</v>
      </c>
      <c r="K3041" t="s">
        <v>516</v>
      </c>
      <c r="L3041" t="s">
        <v>262</v>
      </c>
      <c r="M3041" t="s">
        <v>356</v>
      </c>
      <c r="N3041" s="73">
        <v>67262</v>
      </c>
      <c r="O3041" s="73">
        <v>67262</v>
      </c>
      <c r="P3041">
        <v>34.681374159610094</v>
      </c>
    </row>
    <row r="3042" spans="1:16" x14ac:dyDescent="0.2">
      <c r="A3042" s="73">
        <v>67262</v>
      </c>
      <c r="B3042" t="s">
        <v>350</v>
      </c>
      <c r="C3042" s="73" t="s">
        <v>421</v>
      </c>
      <c r="D3042" t="s">
        <v>422</v>
      </c>
      <c r="E3042" s="74">
        <v>46027</v>
      </c>
      <c r="F3042" t="s">
        <v>410</v>
      </c>
      <c r="G3042" t="s">
        <v>411</v>
      </c>
      <c r="H3042" s="75">
        <f t="shared" si="47"/>
        <v>242.76961911727065</v>
      </c>
      <c r="I3042" s="74">
        <v>46027</v>
      </c>
      <c r="J3042">
        <v>7</v>
      </c>
      <c r="K3042" t="s">
        <v>516</v>
      </c>
      <c r="L3042" t="s">
        <v>262</v>
      </c>
      <c r="M3042" t="s">
        <v>356</v>
      </c>
      <c r="N3042" s="73">
        <v>67262</v>
      </c>
      <c r="O3042" s="73">
        <v>67262</v>
      </c>
      <c r="P3042">
        <v>34.681374159610094</v>
      </c>
    </row>
    <row r="3043" spans="1:16" x14ac:dyDescent="0.2">
      <c r="A3043" s="73">
        <v>67262</v>
      </c>
      <c r="B3043" t="s">
        <v>350</v>
      </c>
      <c r="C3043" s="73" t="s">
        <v>421</v>
      </c>
      <c r="D3043" t="s">
        <v>422</v>
      </c>
      <c r="E3043" s="74">
        <v>46028</v>
      </c>
      <c r="F3043" t="s">
        <v>410</v>
      </c>
      <c r="G3043" t="s">
        <v>411</v>
      </c>
      <c r="H3043" s="75">
        <f t="shared" si="47"/>
        <v>242.76961911727065</v>
      </c>
      <c r="I3043" s="74">
        <v>46028</v>
      </c>
      <c r="J3043">
        <v>7</v>
      </c>
      <c r="K3043" t="s">
        <v>516</v>
      </c>
      <c r="L3043" t="s">
        <v>262</v>
      </c>
      <c r="M3043" t="s">
        <v>356</v>
      </c>
      <c r="N3043" s="73">
        <v>67262</v>
      </c>
      <c r="O3043" s="73">
        <v>67262</v>
      </c>
      <c r="P3043">
        <v>34.681374159610094</v>
      </c>
    </row>
    <row r="3044" spans="1:16" x14ac:dyDescent="0.2">
      <c r="A3044" s="73">
        <v>67262</v>
      </c>
      <c r="B3044" t="s">
        <v>350</v>
      </c>
      <c r="C3044" s="73" t="s">
        <v>421</v>
      </c>
      <c r="D3044" t="s">
        <v>422</v>
      </c>
      <c r="E3044" s="74">
        <v>46028</v>
      </c>
      <c r="F3044" t="s">
        <v>353</v>
      </c>
      <c r="G3044" t="s">
        <v>354</v>
      </c>
      <c r="H3044" s="75">
        <f t="shared" si="47"/>
        <v>208.08824495766055</v>
      </c>
      <c r="I3044" s="74">
        <v>46028</v>
      </c>
      <c r="J3044">
        <v>6</v>
      </c>
      <c r="K3044" t="s">
        <v>516</v>
      </c>
      <c r="L3044" t="s">
        <v>355</v>
      </c>
      <c r="M3044" t="s">
        <v>356</v>
      </c>
      <c r="N3044" s="73">
        <v>67262</v>
      </c>
      <c r="O3044" s="73">
        <v>67262</v>
      </c>
      <c r="P3044">
        <v>34.681374159610094</v>
      </c>
    </row>
    <row r="3045" spans="1:16" x14ac:dyDescent="0.2">
      <c r="A3045" s="73">
        <v>67262</v>
      </c>
      <c r="B3045" t="s">
        <v>350</v>
      </c>
      <c r="C3045" s="73" t="s">
        <v>421</v>
      </c>
      <c r="D3045" t="s">
        <v>422</v>
      </c>
      <c r="E3045" s="74">
        <v>46029</v>
      </c>
      <c r="F3045" t="s">
        <v>360</v>
      </c>
      <c r="G3045" t="s">
        <v>361</v>
      </c>
      <c r="H3045" s="75">
        <f t="shared" si="47"/>
        <v>277.45099327688075</v>
      </c>
      <c r="I3045" s="74">
        <v>46029</v>
      </c>
      <c r="J3045">
        <v>8</v>
      </c>
      <c r="K3045" t="s">
        <v>516</v>
      </c>
      <c r="L3045" t="s">
        <v>262</v>
      </c>
      <c r="M3045" t="s">
        <v>356</v>
      </c>
      <c r="N3045" s="73">
        <v>67262</v>
      </c>
      <c r="O3045" s="73">
        <v>67262</v>
      </c>
      <c r="P3045">
        <v>34.681374159610094</v>
      </c>
    </row>
    <row r="3046" spans="1:16" x14ac:dyDescent="0.2">
      <c r="A3046" s="73">
        <v>67262</v>
      </c>
      <c r="B3046" t="s">
        <v>350</v>
      </c>
      <c r="C3046" s="73" t="s">
        <v>421</v>
      </c>
      <c r="D3046" t="s">
        <v>422</v>
      </c>
      <c r="E3046" s="74">
        <v>46029</v>
      </c>
      <c r="F3046" t="s">
        <v>410</v>
      </c>
      <c r="G3046" t="s">
        <v>411</v>
      </c>
      <c r="H3046" s="75">
        <f t="shared" si="47"/>
        <v>277.45099327688075</v>
      </c>
      <c r="I3046" s="74">
        <v>46029</v>
      </c>
      <c r="J3046">
        <v>8</v>
      </c>
      <c r="K3046" t="s">
        <v>516</v>
      </c>
      <c r="L3046" t="s">
        <v>262</v>
      </c>
      <c r="M3046" t="s">
        <v>356</v>
      </c>
      <c r="N3046" s="73">
        <v>67262</v>
      </c>
      <c r="O3046" s="73">
        <v>67262</v>
      </c>
      <c r="P3046">
        <v>34.681374159610094</v>
      </c>
    </row>
    <row r="3047" spans="1:16" x14ac:dyDescent="0.2">
      <c r="A3047" s="73">
        <v>67262</v>
      </c>
      <c r="B3047" t="s">
        <v>350</v>
      </c>
      <c r="C3047" s="73" t="s">
        <v>421</v>
      </c>
      <c r="D3047" t="s">
        <v>422</v>
      </c>
      <c r="E3047" s="74">
        <v>46029</v>
      </c>
      <c r="F3047" t="s">
        <v>353</v>
      </c>
      <c r="G3047" t="s">
        <v>354</v>
      </c>
      <c r="H3047" s="75">
        <f t="shared" si="47"/>
        <v>208.08824495766055</v>
      </c>
      <c r="I3047" s="74">
        <v>46029</v>
      </c>
      <c r="J3047">
        <v>6</v>
      </c>
      <c r="K3047" t="s">
        <v>516</v>
      </c>
      <c r="L3047" t="s">
        <v>355</v>
      </c>
      <c r="M3047" t="s">
        <v>356</v>
      </c>
      <c r="N3047" s="73">
        <v>67262</v>
      </c>
      <c r="O3047" s="73">
        <v>67262</v>
      </c>
      <c r="P3047">
        <v>34.681374159610094</v>
      </c>
    </row>
    <row r="3048" spans="1:16" x14ac:dyDescent="0.2">
      <c r="A3048" s="73">
        <v>67262</v>
      </c>
      <c r="B3048" t="s">
        <v>350</v>
      </c>
      <c r="C3048" s="73" t="s">
        <v>421</v>
      </c>
      <c r="D3048" t="s">
        <v>422</v>
      </c>
      <c r="E3048" s="74">
        <v>46030</v>
      </c>
      <c r="F3048" t="s">
        <v>410</v>
      </c>
      <c r="G3048" t="s">
        <v>411</v>
      </c>
      <c r="H3048" s="75">
        <f t="shared" si="47"/>
        <v>277.45099327688075</v>
      </c>
      <c r="I3048" s="74">
        <v>46030</v>
      </c>
      <c r="J3048">
        <v>8</v>
      </c>
      <c r="K3048" t="s">
        <v>516</v>
      </c>
      <c r="L3048" t="s">
        <v>262</v>
      </c>
      <c r="M3048" t="s">
        <v>356</v>
      </c>
      <c r="N3048" s="73">
        <v>67262</v>
      </c>
      <c r="O3048" s="73">
        <v>67262</v>
      </c>
      <c r="P3048">
        <v>34.681374159610094</v>
      </c>
    </row>
    <row r="3049" spans="1:16" x14ac:dyDescent="0.2">
      <c r="A3049" s="73">
        <v>67262</v>
      </c>
      <c r="B3049" t="s">
        <v>350</v>
      </c>
      <c r="C3049" s="73" t="s">
        <v>421</v>
      </c>
      <c r="D3049" t="s">
        <v>422</v>
      </c>
      <c r="E3049" s="74">
        <v>46030</v>
      </c>
      <c r="F3049" t="s">
        <v>353</v>
      </c>
      <c r="G3049" t="s">
        <v>354</v>
      </c>
      <c r="H3049" s="75">
        <f t="shared" si="47"/>
        <v>208.08824495766055</v>
      </c>
      <c r="I3049" s="74">
        <v>46030</v>
      </c>
      <c r="J3049">
        <v>6</v>
      </c>
      <c r="K3049" t="s">
        <v>516</v>
      </c>
      <c r="L3049" t="s">
        <v>355</v>
      </c>
      <c r="M3049" t="s">
        <v>356</v>
      </c>
      <c r="N3049" s="73">
        <v>67262</v>
      </c>
      <c r="O3049" s="73">
        <v>67262</v>
      </c>
      <c r="P3049">
        <v>34.681374159610094</v>
      </c>
    </row>
    <row r="3050" spans="1:16" x14ac:dyDescent="0.2">
      <c r="A3050" s="73">
        <v>67262</v>
      </c>
      <c r="B3050" t="s">
        <v>350</v>
      </c>
      <c r="C3050" s="73" t="s">
        <v>421</v>
      </c>
      <c r="D3050" t="s">
        <v>422</v>
      </c>
      <c r="E3050" s="74">
        <v>46030</v>
      </c>
      <c r="F3050" t="s">
        <v>404</v>
      </c>
      <c r="G3050" t="s">
        <v>405</v>
      </c>
      <c r="H3050" s="75">
        <f t="shared" si="47"/>
        <v>138.72549663844038</v>
      </c>
      <c r="I3050" s="74">
        <v>46030</v>
      </c>
      <c r="J3050">
        <v>4</v>
      </c>
      <c r="K3050" t="s">
        <v>516</v>
      </c>
      <c r="L3050" t="s">
        <v>262</v>
      </c>
      <c r="M3050" t="s">
        <v>356</v>
      </c>
      <c r="N3050" s="73">
        <v>67262</v>
      </c>
      <c r="O3050" s="73">
        <v>67262</v>
      </c>
      <c r="P3050">
        <v>34.681374159610094</v>
      </c>
    </row>
    <row r="3051" spans="1:16" x14ac:dyDescent="0.2">
      <c r="A3051" s="73">
        <v>67262</v>
      </c>
      <c r="B3051" t="s">
        <v>350</v>
      </c>
      <c r="C3051" s="73" t="s">
        <v>421</v>
      </c>
      <c r="D3051" t="s">
        <v>422</v>
      </c>
      <c r="E3051" s="74">
        <v>46030</v>
      </c>
      <c r="F3051" t="s">
        <v>360</v>
      </c>
      <c r="G3051" t="s">
        <v>361</v>
      </c>
      <c r="H3051" s="75">
        <f t="shared" si="47"/>
        <v>277.45099327688075</v>
      </c>
      <c r="I3051" s="74">
        <v>46030</v>
      </c>
      <c r="J3051">
        <v>8</v>
      </c>
      <c r="K3051" t="s">
        <v>516</v>
      </c>
      <c r="L3051" t="s">
        <v>262</v>
      </c>
      <c r="M3051" t="s">
        <v>356</v>
      </c>
      <c r="N3051" s="73">
        <v>67262</v>
      </c>
      <c r="O3051" s="73">
        <v>67262</v>
      </c>
      <c r="P3051">
        <v>34.681374159610094</v>
      </c>
    </row>
    <row r="3052" spans="1:16" x14ac:dyDescent="0.2">
      <c r="A3052" s="73">
        <v>67262</v>
      </c>
      <c r="B3052" t="s">
        <v>350</v>
      </c>
      <c r="C3052" s="73" t="s">
        <v>421</v>
      </c>
      <c r="D3052" t="s">
        <v>422</v>
      </c>
      <c r="E3052" s="74">
        <v>46031</v>
      </c>
      <c r="F3052" t="s">
        <v>353</v>
      </c>
      <c r="G3052" t="s">
        <v>354</v>
      </c>
      <c r="H3052" s="75">
        <f t="shared" si="47"/>
        <v>208.08824495766055</v>
      </c>
      <c r="I3052" s="74">
        <v>46031</v>
      </c>
      <c r="J3052">
        <v>6</v>
      </c>
      <c r="K3052" t="s">
        <v>516</v>
      </c>
      <c r="L3052" t="s">
        <v>355</v>
      </c>
      <c r="M3052" t="s">
        <v>356</v>
      </c>
      <c r="N3052" s="73">
        <v>67262</v>
      </c>
      <c r="O3052" s="73">
        <v>67262</v>
      </c>
      <c r="P3052">
        <v>34.681374159610094</v>
      </c>
    </row>
    <row r="3053" spans="1:16" x14ac:dyDescent="0.2">
      <c r="A3053" s="73">
        <v>67262</v>
      </c>
      <c r="B3053" t="s">
        <v>350</v>
      </c>
      <c r="C3053" s="73" t="s">
        <v>421</v>
      </c>
      <c r="D3053" t="s">
        <v>422</v>
      </c>
      <c r="E3053" s="74">
        <v>46031</v>
      </c>
      <c r="F3053" t="s">
        <v>404</v>
      </c>
      <c r="G3053" t="s">
        <v>405</v>
      </c>
      <c r="H3053" s="75">
        <f t="shared" si="47"/>
        <v>242.76961911727065</v>
      </c>
      <c r="I3053" s="74">
        <v>46031</v>
      </c>
      <c r="J3053">
        <v>7</v>
      </c>
      <c r="K3053" t="s">
        <v>516</v>
      </c>
      <c r="L3053" t="s">
        <v>262</v>
      </c>
      <c r="M3053" t="s">
        <v>356</v>
      </c>
      <c r="N3053" s="73">
        <v>67262</v>
      </c>
      <c r="O3053" s="73">
        <v>67262</v>
      </c>
      <c r="P3053">
        <v>34.681374159610094</v>
      </c>
    </row>
    <row r="3054" spans="1:16" x14ac:dyDescent="0.2">
      <c r="A3054" s="73">
        <v>67262</v>
      </c>
      <c r="B3054" t="s">
        <v>350</v>
      </c>
      <c r="C3054" s="73" t="s">
        <v>421</v>
      </c>
      <c r="D3054" t="s">
        <v>422</v>
      </c>
      <c r="E3054" s="74">
        <v>46031</v>
      </c>
      <c r="F3054" t="s">
        <v>360</v>
      </c>
      <c r="G3054" t="s">
        <v>361</v>
      </c>
      <c r="H3054" s="75">
        <f t="shared" si="47"/>
        <v>277.45099327688075</v>
      </c>
      <c r="I3054" s="74">
        <v>46031</v>
      </c>
      <c r="J3054">
        <v>8</v>
      </c>
      <c r="K3054" t="s">
        <v>516</v>
      </c>
      <c r="L3054" t="s">
        <v>262</v>
      </c>
      <c r="M3054" t="s">
        <v>356</v>
      </c>
      <c r="N3054" s="73">
        <v>67262</v>
      </c>
      <c r="O3054" s="73">
        <v>67262</v>
      </c>
      <c r="P3054">
        <v>34.681374159610094</v>
      </c>
    </row>
    <row r="3055" spans="1:16" x14ac:dyDescent="0.2">
      <c r="A3055" s="73">
        <v>67262</v>
      </c>
      <c r="B3055" t="s">
        <v>350</v>
      </c>
      <c r="C3055" s="73" t="s">
        <v>421</v>
      </c>
      <c r="D3055" t="s">
        <v>422</v>
      </c>
      <c r="E3055" s="74">
        <v>46034</v>
      </c>
      <c r="F3055" t="s">
        <v>360</v>
      </c>
      <c r="G3055" t="s">
        <v>361</v>
      </c>
      <c r="H3055" s="75">
        <f t="shared" si="47"/>
        <v>277.45099327688075</v>
      </c>
      <c r="I3055" s="74">
        <v>46034</v>
      </c>
      <c r="J3055">
        <v>8</v>
      </c>
      <c r="K3055" t="s">
        <v>516</v>
      </c>
      <c r="L3055" t="s">
        <v>262</v>
      </c>
      <c r="M3055" t="s">
        <v>356</v>
      </c>
      <c r="N3055" s="73">
        <v>67262</v>
      </c>
      <c r="O3055" s="73">
        <v>67262</v>
      </c>
      <c r="P3055">
        <v>34.681374159610094</v>
      </c>
    </row>
    <row r="3056" spans="1:16" x14ac:dyDescent="0.2">
      <c r="A3056" s="73">
        <v>67262</v>
      </c>
      <c r="B3056" t="s">
        <v>350</v>
      </c>
      <c r="C3056" s="73" t="s">
        <v>421</v>
      </c>
      <c r="D3056" t="s">
        <v>422</v>
      </c>
      <c r="E3056" s="74">
        <v>46034</v>
      </c>
      <c r="F3056" t="s">
        <v>404</v>
      </c>
      <c r="G3056" t="s">
        <v>405</v>
      </c>
      <c r="H3056" s="75">
        <f t="shared" si="47"/>
        <v>242.76961911727065</v>
      </c>
      <c r="I3056" s="74">
        <v>46034</v>
      </c>
      <c r="J3056">
        <v>7</v>
      </c>
      <c r="K3056" t="s">
        <v>516</v>
      </c>
      <c r="L3056" t="s">
        <v>262</v>
      </c>
      <c r="M3056" t="s">
        <v>356</v>
      </c>
      <c r="N3056" s="73">
        <v>67262</v>
      </c>
      <c r="O3056" s="73">
        <v>67262</v>
      </c>
      <c r="P3056">
        <v>34.681374159610094</v>
      </c>
    </row>
    <row r="3057" spans="1:16" x14ac:dyDescent="0.2">
      <c r="A3057" s="73">
        <v>67262</v>
      </c>
      <c r="B3057" t="s">
        <v>350</v>
      </c>
      <c r="C3057" s="73" t="s">
        <v>421</v>
      </c>
      <c r="D3057" t="s">
        <v>422</v>
      </c>
      <c r="E3057" s="74">
        <v>46034</v>
      </c>
      <c r="F3057" t="s">
        <v>353</v>
      </c>
      <c r="G3057" t="s">
        <v>354</v>
      </c>
      <c r="H3057" s="75">
        <f t="shared" si="47"/>
        <v>190.74755787785551</v>
      </c>
      <c r="I3057" s="74">
        <v>46034</v>
      </c>
      <c r="J3057">
        <v>5.5</v>
      </c>
      <c r="K3057" t="s">
        <v>516</v>
      </c>
      <c r="L3057" t="s">
        <v>355</v>
      </c>
      <c r="M3057" t="s">
        <v>356</v>
      </c>
      <c r="N3057" s="73">
        <v>67262</v>
      </c>
      <c r="O3057" s="73">
        <v>67262</v>
      </c>
      <c r="P3057">
        <v>34.681374159610094</v>
      </c>
    </row>
    <row r="3058" spans="1:16" x14ac:dyDescent="0.2">
      <c r="A3058" s="73">
        <v>67262</v>
      </c>
      <c r="B3058" t="s">
        <v>350</v>
      </c>
      <c r="C3058" s="73" t="s">
        <v>421</v>
      </c>
      <c r="D3058" t="s">
        <v>422</v>
      </c>
      <c r="E3058" s="74">
        <v>46034</v>
      </c>
      <c r="F3058" t="s">
        <v>410</v>
      </c>
      <c r="G3058" t="s">
        <v>411</v>
      </c>
      <c r="H3058" s="75">
        <f t="shared" si="47"/>
        <v>242.76961911727065</v>
      </c>
      <c r="I3058" s="74">
        <v>46034</v>
      </c>
      <c r="J3058">
        <v>7</v>
      </c>
      <c r="K3058" t="s">
        <v>516</v>
      </c>
      <c r="L3058" t="s">
        <v>262</v>
      </c>
      <c r="M3058" t="s">
        <v>356</v>
      </c>
      <c r="N3058" s="73">
        <v>67262</v>
      </c>
      <c r="O3058" s="73">
        <v>67262</v>
      </c>
      <c r="P3058">
        <v>34.681374159610094</v>
      </c>
    </row>
    <row r="3059" spans="1:16" x14ac:dyDescent="0.2">
      <c r="A3059" s="73">
        <v>67262</v>
      </c>
      <c r="B3059" t="s">
        <v>350</v>
      </c>
      <c r="C3059" s="73" t="s">
        <v>421</v>
      </c>
      <c r="D3059" t="s">
        <v>422</v>
      </c>
      <c r="E3059" s="74">
        <v>46035</v>
      </c>
      <c r="F3059" t="s">
        <v>404</v>
      </c>
      <c r="G3059" t="s">
        <v>405</v>
      </c>
      <c r="H3059" s="75">
        <f t="shared" si="47"/>
        <v>242.76961911727065</v>
      </c>
      <c r="I3059" s="74">
        <v>46035</v>
      </c>
      <c r="J3059">
        <v>7</v>
      </c>
      <c r="K3059" t="s">
        <v>516</v>
      </c>
      <c r="L3059" t="s">
        <v>262</v>
      </c>
      <c r="M3059" t="s">
        <v>356</v>
      </c>
      <c r="N3059" s="73">
        <v>67262</v>
      </c>
      <c r="O3059" s="73">
        <v>67262</v>
      </c>
      <c r="P3059">
        <v>34.681374159610094</v>
      </c>
    </row>
    <row r="3060" spans="1:16" x14ac:dyDescent="0.2">
      <c r="A3060" s="73">
        <v>67262</v>
      </c>
      <c r="B3060" t="s">
        <v>350</v>
      </c>
      <c r="C3060" s="73" t="s">
        <v>421</v>
      </c>
      <c r="D3060" t="s">
        <v>422</v>
      </c>
      <c r="E3060" s="74">
        <v>46035</v>
      </c>
      <c r="F3060" t="s">
        <v>353</v>
      </c>
      <c r="G3060" t="s">
        <v>354</v>
      </c>
      <c r="H3060" s="75">
        <f t="shared" si="47"/>
        <v>190.74755787785551</v>
      </c>
      <c r="I3060" s="74">
        <v>46035</v>
      </c>
      <c r="J3060">
        <v>5.5</v>
      </c>
      <c r="K3060" t="s">
        <v>516</v>
      </c>
      <c r="L3060" t="s">
        <v>355</v>
      </c>
      <c r="M3060" t="s">
        <v>356</v>
      </c>
      <c r="N3060" s="73">
        <v>67262</v>
      </c>
      <c r="O3060" s="73">
        <v>67262</v>
      </c>
      <c r="P3060">
        <v>34.681374159610094</v>
      </c>
    </row>
    <row r="3061" spans="1:16" x14ac:dyDescent="0.2">
      <c r="A3061" s="73">
        <v>67262</v>
      </c>
      <c r="B3061" t="s">
        <v>350</v>
      </c>
      <c r="C3061" s="73" t="s">
        <v>421</v>
      </c>
      <c r="D3061" t="s">
        <v>422</v>
      </c>
      <c r="E3061" s="74">
        <v>46035</v>
      </c>
      <c r="F3061" t="s">
        <v>410</v>
      </c>
      <c r="G3061" t="s">
        <v>411</v>
      </c>
      <c r="H3061" s="75">
        <f t="shared" si="47"/>
        <v>242.76961911727065</v>
      </c>
      <c r="I3061" s="74">
        <v>46035</v>
      </c>
      <c r="J3061">
        <v>7</v>
      </c>
      <c r="K3061" t="s">
        <v>516</v>
      </c>
      <c r="L3061" t="s">
        <v>262</v>
      </c>
      <c r="M3061" t="s">
        <v>356</v>
      </c>
      <c r="N3061" s="73">
        <v>67262</v>
      </c>
      <c r="O3061" s="73">
        <v>67262</v>
      </c>
      <c r="P3061">
        <v>34.681374159610094</v>
      </c>
    </row>
    <row r="3062" spans="1:16" x14ac:dyDescent="0.2">
      <c r="A3062" s="73">
        <v>67262</v>
      </c>
      <c r="B3062" t="s">
        <v>350</v>
      </c>
      <c r="C3062" s="73" t="s">
        <v>421</v>
      </c>
      <c r="D3062" t="s">
        <v>422</v>
      </c>
      <c r="E3062" s="74">
        <v>46036</v>
      </c>
      <c r="F3062" t="s">
        <v>353</v>
      </c>
      <c r="G3062" t="s">
        <v>354</v>
      </c>
      <c r="H3062" s="75">
        <f t="shared" si="47"/>
        <v>190.74755787785551</v>
      </c>
      <c r="I3062" s="74">
        <v>46036</v>
      </c>
      <c r="J3062">
        <v>5.5</v>
      </c>
      <c r="K3062" t="s">
        <v>516</v>
      </c>
      <c r="L3062" t="s">
        <v>355</v>
      </c>
      <c r="M3062" t="s">
        <v>356</v>
      </c>
      <c r="N3062" s="73">
        <v>67262</v>
      </c>
      <c r="O3062" s="73">
        <v>67262</v>
      </c>
      <c r="P3062">
        <v>34.681374159610094</v>
      </c>
    </row>
    <row r="3063" spans="1:16" x14ac:dyDescent="0.2">
      <c r="A3063" s="73">
        <v>67262</v>
      </c>
      <c r="B3063" t="s">
        <v>350</v>
      </c>
      <c r="C3063" s="73" t="s">
        <v>421</v>
      </c>
      <c r="D3063" t="s">
        <v>422</v>
      </c>
      <c r="E3063" s="74">
        <v>46036</v>
      </c>
      <c r="F3063" t="s">
        <v>410</v>
      </c>
      <c r="G3063" t="s">
        <v>411</v>
      </c>
      <c r="H3063" s="75">
        <f t="shared" si="47"/>
        <v>242.76961911727065</v>
      </c>
      <c r="I3063" s="74">
        <v>46036</v>
      </c>
      <c r="J3063">
        <v>7</v>
      </c>
      <c r="K3063" t="s">
        <v>516</v>
      </c>
      <c r="L3063" t="s">
        <v>262</v>
      </c>
      <c r="M3063" t="s">
        <v>356</v>
      </c>
      <c r="N3063" s="73">
        <v>67262</v>
      </c>
      <c r="O3063" s="73">
        <v>67262</v>
      </c>
      <c r="P3063">
        <v>34.681374159610094</v>
      </c>
    </row>
    <row r="3064" spans="1:16" x14ac:dyDescent="0.2">
      <c r="A3064" s="73">
        <v>67262</v>
      </c>
      <c r="B3064" t="s">
        <v>350</v>
      </c>
      <c r="C3064" s="73" t="s">
        <v>421</v>
      </c>
      <c r="D3064" t="s">
        <v>422</v>
      </c>
      <c r="E3064" s="74">
        <v>46038</v>
      </c>
      <c r="F3064" t="s">
        <v>353</v>
      </c>
      <c r="G3064" t="s">
        <v>354</v>
      </c>
      <c r="H3064" s="75">
        <f t="shared" si="47"/>
        <v>208.08824495766055</v>
      </c>
      <c r="I3064" s="74">
        <v>46038</v>
      </c>
      <c r="J3064">
        <v>6</v>
      </c>
      <c r="K3064" t="s">
        <v>516</v>
      </c>
      <c r="L3064" t="s">
        <v>355</v>
      </c>
      <c r="M3064" t="s">
        <v>356</v>
      </c>
      <c r="N3064" s="73">
        <v>67262</v>
      </c>
      <c r="O3064" s="73">
        <v>67262</v>
      </c>
      <c r="P3064">
        <v>34.681374159610094</v>
      </c>
    </row>
    <row r="3065" spans="1:16" x14ac:dyDescent="0.2">
      <c r="A3065" s="73">
        <v>67262</v>
      </c>
      <c r="B3065" t="s">
        <v>350</v>
      </c>
      <c r="C3065" s="73" t="s">
        <v>421</v>
      </c>
      <c r="D3065" t="s">
        <v>422</v>
      </c>
      <c r="E3065" s="74">
        <v>46041</v>
      </c>
      <c r="F3065" t="s">
        <v>410</v>
      </c>
      <c r="G3065" t="s">
        <v>411</v>
      </c>
      <c r="H3065" s="75">
        <f t="shared" si="47"/>
        <v>242.76961911727065</v>
      </c>
      <c r="I3065" s="74">
        <v>46041</v>
      </c>
      <c r="J3065">
        <v>7</v>
      </c>
      <c r="K3065" t="s">
        <v>516</v>
      </c>
      <c r="L3065" t="s">
        <v>262</v>
      </c>
      <c r="M3065" t="s">
        <v>356</v>
      </c>
      <c r="N3065" s="73">
        <v>67262</v>
      </c>
      <c r="O3065" s="73">
        <v>67262</v>
      </c>
      <c r="P3065">
        <v>34.681374159610094</v>
      </c>
    </row>
    <row r="3066" spans="1:16" x14ac:dyDescent="0.2">
      <c r="A3066" s="73">
        <v>67262</v>
      </c>
      <c r="B3066" t="s">
        <v>350</v>
      </c>
      <c r="C3066" s="73" t="s">
        <v>421</v>
      </c>
      <c r="D3066" t="s">
        <v>422</v>
      </c>
      <c r="E3066" s="74">
        <v>46041</v>
      </c>
      <c r="F3066" t="s">
        <v>395</v>
      </c>
      <c r="G3066" t="s">
        <v>396</v>
      </c>
      <c r="H3066" s="75">
        <f t="shared" si="47"/>
        <v>138.72549663844038</v>
      </c>
      <c r="I3066" s="74">
        <v>46041</v>
      </c>
      <c r="J3066">
        <v>4</v>
      </c>
      <c r="K3066" t="s">
        <v>516</v>
      </c>
      <c r="L3066" t="s">
        <v>262</v>
      </c>
      <c r="M3066" t="s">
        <v>356</v>
      </c>
      <c r="N3066" s="73">
        <v>67262</v>
      </c>
      <c r="O3066" s="73">
        <v>67262</v>
      </c>
      <c r="P3066">
        <v>34.681374159610094</v>
      </c>
    </row>
    <row r="3067" spans="1:16" x14ac:dyDescent="0.2">
      <c r="A3067" s="73">
        <v>67262</v>
      </c>
      <c r="B3067" t="s">
        <v>350</v>
      </c>
      <c r="C3067" s="73" t="s">
        <v>421</v>
      </c>
      <c r="D3067" t="s">
        <v>422</v>
      </c>
      <c r="E3067" s="74">
        <v>46041</v>
      </c>
      <c r="F3067" t="s">
        <v>398</v>
      </c>
      <c r="G3067" t="s">
        <v>399</v>
      </c>
      <c r="H3067" s="75">
        <f t="shared" si="47"/>
        <v>242.76961911727065</v>
      </c>
      <c r="I3067" s="74">
        <v>46041</v>
      </c>
      <c r="J3067">
        <v>7</v>
      </c>
      <c r="K3067" t="s">
        <v>516</v>
      </c>
      <c r="L3067" t="s">
        <v>367</v>
      </c>
      <c r="M3067" t="s">
        <v>356</v>
      </c>
      <c r="N3067" s="73">
        <v>67262</v>
      </c>
      <c r="O3067" s="73">
        <v>67262</v>
      </c>
      <c r="P3067">
        <v>34.681374159610094</v>
      </c>
    </row>
    <row r="3068" spans="1:16" x14ac:dyDescent="0.2">
      <c r="A3068" s="73">
        <v>67262</v>
      </c>
      <c r="B3068" t="s">
        <v>350</v>
      </c>
      <c r="C3068" s="73" t="s">
        <v>421</v>
      </c>
      <c r="D3068" t="s">
        <v>422</v>
      </c>
      <c r="E3068" s="74">
        <v>46041</v>
      </c>
      <c r="F3068" t="s">
        <v>387</v>
      </c>
      <c r="G3068" t="s">
        <v>388</v>
      </c>
      <c r="H3068" s="75">
        <f t="shared" si="47"/>
        <v>104.04412247883027</v>
      </c>
      <c r="I3068" s="74">
        <v>46041</v>
      </c>
      <c r="J3068">
        <v>3</v>
      </c>
      <c r="K3068" t="s">
        <v>516</v>
      </c>
      <c r="L3068" t="s">
        <v>367</v>
      </c>
      <c r="M3068" t="s">
        <v>356</v>
      </c>
      <c r="N3068" s="73">
        <v>67262</v>
      </c>
      <c r="O3068" s="73">
        <v>67262</v>
      </c>
      <c r="P3068">
        <v>34.681374159610094</v>
      </c>
    </row>
    <row r="3069" spans="1:16" x14ac:dyDescent="0.2">
      <c r="A3069" s="73">
        <v>67262</v>
      </c>
      <c r="B3069" t="s">
        <v>350</v>
      </c>
      <c r="C3069" s="73" t="s">
        <v>421</v>
      </c>
      <c r="D3069" t="s">
        <v>422</v>
      </c>
      <c r="E3069" s="74">
        <v>46042</v>
      </c>
      <c r="F3069" t="s">
        <v>395</v>
      </c>
      <c r="G3069" t="s">
        <v>396</v>
      </c>
      <c r="H3069" s="75">
        <f t="shared" si="47"/>
        <v>138.72549663844038</v>
      </c>
      <c r="I3069" s="74">
        <v>46042</v>
      </c>
      <c r="J3069">
        <v>4</v>
      </c>
      <c r="K3069" t="s">
        <v>516</v>
      </c>
      <c r="L3069" t="s">
        <v>262</v>
      </c>
      <c r="M3069" t="s">
        <v>356</v>
      </c>
      <c r="N3069" s="73">
        <v>67262</v>
      </c>
      <c r="O3069" s="73">
        <v>67262</v>
      </c>
      <c r="P3069">
        <v>34.681374159610094</v>
      </c>
    </row>
    <row r="3070" spans="1:16" x14ac:dyDescent="0.2">
      <c r="A3070" s="73">
        <v>67262</v>
      </c>
      <c r="B3070" t="s">
        <v>350</v>
      </c>
      <c r="C3070" s="73" t="s">
        <v>421</v>
      </c>
      <c r="D3070" t="s">
        <v>422</v>
      </c>
      <c r="E3070" s="74">
        <v>46042</v>
      </c>
      <c r="F3070" t="s">
        <v>398</v>
      </c>
      <c r="G3070" t="s">
        <v>399</v>
      </c>
      <c r="H3070" s="75">
        <f t="shared" si="47"/>
        <v>138.72549663844038</v>
      </c>
      <c r="I3070" s="74">
        <v>46042</v>
      </c>
      <c r="J3070">
        <v>4</v>
      </c>
      <c r="K3070" t="s">
        <v>516</v>
      </c>
      <c r="L3070" t="s">
        <v>367</v>
      </c>
      <c r="M3070" t="s">
        <v>356</v>
      </c>
      <c r="N3070" s="73">
        <v>67262</v>
      </c>
      <c r="O3070" s="73">
        <v>67262</v>
      </c>
      <c r="P3070">
        <v>34.681374159610094</v>
      </c>
    </row>
    <row r="3071" spans="1:16" x14ac:dyDescent="0.2">
      <c r="A3071" s="73">
        <v>67262</v>
      </c>
      <c r="B3071" t="s">
        <v>350</v>
      </c>
      <c r="C3071" s="73" t="s">
        <v>421</v>
      </c>
      <c r="D3071" t="s">
        <v>422</v>
      </c>
      <c r="E3071" s="74">
        <v>46042</v>
      </c>
      <c r="F3071" t="s">
        <v>353</v>
      </c>
      <c r="G3071" t="s">
        <v>354</v>
      </c>
      <c r="H3071" s="75">
        <f t="shared" si="47"/>
        <v>173.40687079805048</v>
      </c>
      <c r="I3071" s="74">
        <v>46042</v>
      </c>
      <c r="J3071">
        <v>5</v>
      </c>
      <c r="K3071" t="s">
        <v>516</v>
      </c>
      <c r="L3071" t="s">
        <v>355</v>
      </c>
      <c r="M3071" t="s">
        <v>356</v>
      </c>
      <c r="N3071" s="73">
        <v>67262</v>
      </c>
      <c r="O3071" s="73">
        <v>67262</v>
      </c>
      <c r="P3071">
        <v>34.681374159610094</v>
      </c>
    </row>
    <row r="3072" spans="1:16" x14ac:dyDescent="0.2">
      <c r="A3072" s="73">
        <v>67262</v>
      </c>
      <c r="B3072" t="s">
        <v>350</v>
      </c>
      <c r="C3072" s="73" t="s">
        <v>421</v>
      </c>
      <c r="D3072" t="s">
        <v>422</v>
      </c>
      <c r="E3072" s="74">
        <v>46042</v>
      </c>
      <c r="F3072" t="s">
        <v>387</v>
      </c>
      <c r="G3072" t="s">
        <v>388</v>
      </c>
      <c r="H3072" s="75">
        <f t="shared" si="47"/>
        <v>138.72549663844038</v>
      </c>
      <c r="I3072" s="74">
        <v>46042</v>
      </c>
      <c r="J3072">
        <v>4</v>
      </c>
      <c r="K3072" t="s">
        <v>516</v>
      </c>
      <c r="L3072" t="s">
        <v>367</v>
      </c>
      <c r="M3072" t="s">
        <v>356</v>
      </c>
      <c r="N3072" s="73">
        <v>67262</v>
      </c>
      <c r="O3072" s="73">
        <v>67262</v>
      </c>
      <c r="P3072">
        <v>34.681374159610094</v>
      </c>
    </row>
    <row r="3073" spans="1:16" x14ac:dyDescent="0.2">
      <c r="A3073" s="73">
        <v>67262</v>
      </c>
      <c r="B3073" t="s">
        <v>350</v>
      </c>
      <c r="C3073" s="73" t="s">
        <v>421</v>
      </c>
      <c r="D3073" t="s">
        <v>422</v>
      </c>
      <c r="E3073" s="74">
        <v>46043</v>
      </c>
      <c r="F3073" t="s">
        <v>357</v>
      </c>
      <c r="G3073" t="s">
        <v>358</v>
      </c>
      <c r="H3073" s="75">
        <f t="shared" si="47"/>
        <v>69.362748319220188</v>
      </c>
      <c r="I3073" s="74">
        <v>46043</v>
      </c>
      <c r="J3073">
        <v>2</v>
      </c>
      <c r="K3073" t="s">
        <v>516</v>
      </c>
      <c r="L3073" t="s">
        <v>359</v>
      </c>
      <c r="M3073" t="s">
        <v>356</v>
      </c>
      <c r="N3073" s="73">
        <v>67262</v>
      </c>
      <c r="O3073" s="73">
        <v>67262</v>
      </c>
      <c r="P3073">
        <v>34.681374159610094</v>
      </c>
    </row>
    <row r="3074" spans="1:16" x14ac:dyDescent="0.2">
      <c r="A3074" s="73">
        <v>67262</v>
      </c>
      <c r="B3074" t="s">
        <v>350</v>
      </c>
      <c r="C3074" s="73" t="s">
        <v>421</v>
      </c>
      <c r="D3074" t="s">
        <v>422</v>
      </c>
      <c r="E3074" s="74">
        <v>46043</v>
      </c>
      <c r="F3074" t="s">
        <v>360</v>
      </c>
      <c r="G3074" t="s">
        <v>361</v>
      </c>
      <c r="H3074" s="75">
        <f t="shared" ref="H3074:H3137" si="48">J3074*P3074</f>
        <v>173.40687079805048</v>
      </c>
      <c r="I3074" s="74">
        <v>46043</v>
      </c>
      <c r="J3074">
        <v>5</v>
      </c>
      <c r="K3074" t="s">
        <v>516</v>
      </c>
      <c r="L3074" t="s">
        <v>262</v>
      </c>
      <c r="M3074" t="s">
        <v>356</v>
      </c>
      <c r="N3074" s="73">
        <v>67262</v>
      </c>
      <c r="O3074" s="73">
        <v>67262</v>
      </c>
      <c r="P3074">
        <v>34.681374159610094</v>
      </c>
    </row>
    <row r="3075" spans="1:16" x14ac:dyDescent="0.2">
      <c r="A3075" s="73">
        <v>67262</v>
      </c>
      <c r="B3075" t="s">
        <v>350</v>
      </c>
      <c r="C3075" s="73" t="s">
        <v>421</v>
      </c>
      <c r="D3075" t="s">
        <v>422</v>
      </c>
      <c r="E3075" s="74">
        <v>46043</v>
      </c>
      <c r="F3075" t="s">
        <v>410</v>
      </c>
      <c r="G3075" t="s">
        <v>411</v>
      </c>
      <c r="H3075" s="75">
        <f t="shared" si="48"/>
        <v>242.76961911727065</v>
      </c>
      <c r="I3075" s="74">
        <v>46043</v>
      </c>
      <c r="J3075">
        <v>7</v>
      </c>
      <c r="K3075" t="s">
        <v>516</v>
      </c>
      <c r="L3075" t="s">
        <v>262</v>
      </c>
      <c r="M3075" t="s">
        <v>356</v>
      </c>
      <c r="N3075" s="73">
        <v>67262</v>
      </c>
      <c r="O3075" s="73">
        <v>67262</v>
      </c>
      <c r="P3075">
        <v>34.681374159610094</v>
      </c>
    </row>
    <row r="3076" spans="1:16" x14ac:dyDescent="0.2">
      <c r="A3076" s="73">
        <v>67262</v>
      </c>
      <c r="B3076" t="s">
        <v>350</v>
      </c>
      <c r="C3076" s="73" t="s">
        <v>421</v>
      </c>
      <c r="D3076" t="s">
        <v>422</v>
      </c>
      <c r="E3076" s="74">
        <v>46043</v>
      </c>
      <c r="F3076" t="s">
        <v>404</v>
      </c>
      <c r="G3076" t="s">
        <v>405</v>
      </c>
      <c r="H3076" s="75">
        <f t="shared" si="48"/>
        <v>242.76961911727065</v>
      </c>
      <c r="I3076" s="74">
        <v>46043</v>
      </c>
      <c r="J3076">
        <v>7</v>
      </c>
      <c r="K3076" t="s">
        <v>516</v>
      </c>
      <c r="L3076" t="s">
        <v>262</v>
      </c>
      <c r="M3076" t="s">
        <v>356</v>
      </c>
      <c r="N3076" s="73">
        <v>67262</v>
      </c>
      <c r="O3076" s="73">
        <v>67262</v>
      </c>
      <c r="P3076">
        <v>34.681374159610094</v>
      </c>
    </row>
    <row r="3077" spans="1:16" x14ac:dyDescent="0.2">
      <c r="A3077" s="73">
        <v>67262</v>
      </c>
      <c r="B3077" t="s">
        <v>350</v>
      </c>
      <c r="C3077" s="73" t="s">
        <v>421</v>
      </c>
      <c r="D3077" t="s">
        <v>422</v>
      </c>
      <c r="E3077" s="74">
        <v>46043</v>
      </c>
      <c r="F3077" t="s">
        <v>395</v>
      </c>
      <c r="G3077" t="s">
        <v>396</v>
      </c>
      <c r="H3077" s="75">
        <f t="shared" si="48"/>
        <v>138.72549663844038</v>
      </c>
      <c r="I3077" s="74">
        <v>46043</v>
      </c>
      <c r="J3077">
        <v>4</v>
      </c>
      <c r="K3077" t="s">
        <v>516</v>
      </c>
      <c r="L3077" t="s">
        <v>262</v>
      </c>
      <c r="M3077" t="s">
        <v>356</v>
      </c>
      <c r="N3077" s="73">
        <v>67262</v>
      </c>
      <c r="O3077" s="73">
        <v>67262</v>
      </c>
      <c r="P3077">
        <v>34.681374159610094</v>
      </c>
    </row>
    <row r="3078" spans="1:16" x14ac:dyDescent="0.2">
      <c r="A3078" s="73">
        <v>67262</v>
      </c>
      <c r="B3078" t="s">
        <v>350</v>
      </c>
      <c r="C3078" s="73" t="s">
        <v>421</v>
      </c>
      <c r="D3078" t="s">
        <v>422</v>
      </c>
      <c r="E3078" s="74">
        <v>46043</v>
      </c>
      <c r="F3078" t="s">
        <v>353</v>
      </c>
      <c r="G3078" t="s">
        <v>354</v>
      </c>
      <c r="H3078" s="75">
        <f t="shared" si="48"/>
        <v>225.42893203746561</v>
      </c>
      <c r="I3078" s="74">
        <v>46043</v>
      </c>
      <c r="J3078">
        <v>6.5</v>
      </c>
      <c r="K3078" t="s">
        <v>516</v>
      </c>
      <c r="L3078" t="s">
        <v>355</v>
      </c>
      <c r="M3078" t="s">
        <v>356</v>
      </c>
      <c r="N3078" s="73">
        <v>67262</v>
      </c>
      <c r="O3078" s="73">
        <v>67262</v>
      </c>
      <c r="P3078">
        <v>34.681374159610094</v>
      </c>
    </row>
    <row r="3079" spans="1:16" x14ac:dyDescent="0.2">
      <c r="A3079" s="73">
        <v>67262</v>
      </c>
      <c r="B3079" t="s">
        <v>350</v>
      </c>
      <c r="C3079" s="73" t="s">
        <v>421</v>
      </c>
      <c r="D3079" t="s">
        <v>422</v>
      </c>
      <c r="E3079" s="74">
        <v>46044</v>
      </c>
      <c r="F3079" t="s">
        <v>357</v>
      </c>
      <c r="G3079" t="s">
        <v>358</v>
      </c>
      <c r="H3079" s="75">
        <f t="shared" si="48"/>
        <v>69.362748319220188</v>
      </c>
      <c r="I3079" s="74">
        <v>46044</v>
      </c>
      <c r="J3079">
        <v>2</v>
      </c>
      <c r="K3079" t="s">
        <v>516</v>
      </c>
      <c r="L3079" t="s">
        <v>359</v>
      </c>
      <c r="M3079" t="s">
        <v>356</v>
      </c>
      <c r="N3079" s="73">
        <v>67262</v>
      </c>
      <c r="O3079" s="73">
        <v>67262</v>
      </c>
      <c r="P3079">
        <v>34.681374159610094</v>
      </c>
    </row>
    <row r="3080" spans="1:16" x14ac:dyDescent="0.2">
      <c r="A3080" s="73">
        <v>67262</v>
      </c>
      <c r="B3080" t="s">
        <v>350</v>
      </c>
      <c r="C3080" s="73" t="s">
        <v>421</v>
      </c>
      <c r="D3080" t="s">
        <v>422</v>
      </c>
      <c r="E3080" s="74">
        <v>46044</v>
      </c>
      <c r="F3080" t="s">
        <v>410</v>
      </c>
      <c r="G3080" t="s">
        <v>411</v>
      </c>
      <c r="H3080" s="75">
        <f t="shared" si="48"/>
        <v>242.76961911727065</v>
      </c>
      <c r="I3080" s="74">
        <v>46044</v>
      </c>
      <c r="J3080">
        <v>7</v>
      </c>
      <c r="K3080" t="s">
        <v>516</v>
      </c>
      <c r="L3080" t="s">
        <v>262</v>
      </c>
      <c r="M3080" t="s">
        <v>356</v>
      </c>
      <c r="N3080" s="73">
        <v>67262</v>
      </c>
      <c r="O3080" s="73">
        <v>67262</v>
      </c>
      <c r="P3080">
        <v>34.681374159610094</v>
      </c>
    </row>
    <row r="3081" spans="1:16" x14ac:dyDescent="0.2">
      <c r="A3081" s="73">
        <v>67262</v>
      </c>
      <c r="B3081" t="s">
        <v>350</v>
      </c>
      <c r="C3081" s="73" t="s">
        <v>421</v>
      </c>
      <c r="D3081" t="s">
        <v>422</v>
      </c>
      <c r="E3081" s="74">
        <v>46044</v>
      </c>
      <c r="F3081" t="s">
        <v>395</v>
      </c>
      <c r="G3081" t="s">
        <v>396</v>
      </c>
      <c r="H3081" s="75">
        <f t="shared" si="48"/>
        <v>277.45099327688075</v>
      </c>
      <c r="I3081" s="74">
        <v>46044</v>
      </c>
      <c r="J3081">
        <v>8</v>
      </c>
      <c r="K3081" t="s">
        <v>516</v>
      </c>
      <c r="L3081" t="s">
        <v>262</v>
      </c>
      <c r="M3081" t="s">
        <v>356</v>
      </c>
      <c r="N3081" s="73">
        <v>67262</v>
      </c>
      <c r="O3081" s="73">
        <v>67262</v>
      </c>
      <c r="P3081">
        <v>34.681374159610094</v>
      </c>
    </row>
    <row r="3082" spans="1:16" x14ac:dyDescent="0.2">
      <c r="A3082" s="73">
        <v>67262</v>
      </c>
      <c r="B3082" t="s">
        <v>350</v>
      </c>
      <c r="C3082" s="73" t="s">
        <v>421</v>
      </c>
      <c r="D3082" t="s">
        <v>422</v>
      </c>
      <c r="E3082" s="74">
        <v>46044</v>
      </c>
      <c r="F3082" t="s">
        <v>353</v>
      </c>
      <c r="G3082" t="s">
        <v>354</v>
      </c>
      <c r="H3082" s="75">
        <f t="shared" si="48"/>
        <v>225.42893203746561</v>
      </c>
      <c r="I3082" s="74">
        <v>46044</v>
      </c>
      <c r="J3082">
        <v>6.5</v>
      </c>
      <c r="K3082" t="s">
        <v>516</v>
      </c>
      <c r="L3082" t="s">
        <v>355</v>
      </c>
      <c r="M3082" t="s">
        <v>356</v>
      </c>
      <c r="N3082" s="73">
        <v>67262</v>
      </c>
      <c r="O3082" s="73">
        <v>67262</v>
      </c>
      <c r="P3082">
        <v>34.681374159610094</v>
      </c>
    </row>
    <row r="3083" spans="1:16" x14ac:dyDescent="0.2">
      <c r="A3083" s="73">
        <v>67262</v>
      </c>
      <c r="B3083" t="s">
        <v>350</v>
      </c>
      <c r="C3083" s="73" t="s">
        <v>421</v>
      </c>
      <c r="D3083" t="s">
        <v>422</v>
      </c>
      <c r="E3083" s="74">
        <v>46044</v>
      </c>
      <c r="F3083" t="s">
        <v>387</v>
      </c>
      <c r="G3083" t="s">
        <v>388</v>
      </c>
      <c r="H3083" s="75">
        <f t="shared" si="48"/>
        <v>138.72549663844038</v>
      </c>
      <c r="I3083" s="74">
        <v>46044</v>
      </c>
      <c r="J3083">
        <v>4</v>
      </c>
      <c r="K3083" t="s">
        <v>516</v>
      </c>
      <c r="L3083" t="s">
        <v>367</v>
      </c>
      <c r="M3083" t="s">
        <v>356</v>
      </c>
      <c r="N3083" s="73">
        <v>67262</v>
      </c>
      <c r="O3083" s="73">
        <v>67262</v>
      </c>
      <c r="P3083">
        <v>34.681374159610094</v>
      </c>
    </row>
    <row r="3084" spans="1:16" x14ac:dyDescent="0.2">
      <c r="A3084" s="73">
        <v>67262</v>
      </c>
      <c r="B3084" t="s">
        <v>350</v>
      </c>
      <c r="C3084" s="73" t="s">
        <v>421</v>
      </c>
      <c r="D3084" t="s">
        <v>422</v>
      </c>
      <c r="E3084" s="74">
        <v>46045</v>
      </c>
      <c r="F3084" t="s">
        <v>357</v>
      </c>
      <c r="G3084" t="s">
        <v>358</v>
      </c>
      <c r="H3084" s="75">
        <f t="shared" si="48"/>
        <v>69.362748319220188</v>
      </c>
      <c r="I3084" s="74">
        <v>46045</v>
      </c>
      <c r="J3084">
        <v>2</v>
      </c>
      <c r="K3084" t="s">
        <v>516</v>
      </c>
      <c r="L3084" t="s">
        <v>359</v>
      </c>
      <c r="M3084" t="s">
        <v>356</v>
      </c>
      <c r="N3084" s="73">
        <v>67262</v>
      </c>
      <c r="O3084" s="73">
        <v>67262</v>
      </c>
      <c r="P3084">
        <v>34.681374159610094</v>
      </c>
    </row>
    <row r="3085" spans="1:16" x14ac:dyDescent="0.2">
      <c r="A3085" s="73">
        <v>67262</v>
      </c>
      <c r="B3085" t="s">
        <v>350</v>
      </c>
      <c r="C3085" s="73" t="s">
        <v>421</v>
      </c>
      <c r="D3085" t="s">
        <v>422</v>
      </c>
      <c r="E3085" s="74">
        <v>46045</v>
      </c>
      <c r="F3085" t="s">
        <v>360</v>
      </c>
      <c r="G3085" t="s">
        <v>361</v>
      </c>
      <c r="H3085" s="75">
        <f t="shared" si="48"/>
        <v>173.40687079805048</v>
      </c>
      <c r="I3085" s="74">
        <v>46045</v>
      </c>
      <c r="J3085">
        <v>5</v>
      </c>
      <c r="K3085" t="s">
        <v>516</v>
      </c>
      <c r="L3085" t="s">
        <v>262</v>
      </c>
      <c r="M3085" t="s">
        <v>356</v>
      </c>
      <c r="N3085" s="73">
        <v>67262</v>
      </c>
      <c r="O3085" s="73">
        <v>67262</v>
      </c>
      <c r="P3085">
        <v>34.681374159610094</v>
      </c>
    </row>
    <row r="3086" spans="1:16" x14ac:dyDescent="0.2">
      <c r="A3086" s="73">
        <v>67262</v>
      </c>
      <c r="B3086" t="s">
        <v>350</v>
      </c>
      <c r="C3086" s="73" t="s">
        <v>421</v>
      </c>
      <c r="D3086" t="s">
        <v>422</v>
      </c>
      <c r="E3086" s="74">
        <v>46045</v>
      </c>
      <c r="F3086" t="s">
        <v>410</v>
      </c>
      <c r="G3086" t="s">
        <v>411</v>
      </c>
      <c r="H3086" s="75">
        <f t="shared" si="48"/>
        <v>242.76961911727065</v>
      </c>
      <c r="I3086" s="74">
        <v>46045</v>
      </c>
      <c r="J3086">
        <v>7</v>
      </c>
      <c r="K3086" t="s">
        <v>516</v>
      </c>
      <c r="L3086" t="s">
        <v>262</v>
      </c>
      <c r="M3086" t="s">
        <v>356</v>
      </c>
      <c r="N3086" s="73">
        <v>67262</v>
      </c>
      <c r="O3086" s="73">
        <v>67262</v>
      </c>
      <c r="P3086">
        <v>34.681374159610094</v>
      </c>
    </row>
    <row r="3087" spans="1:16" x14ac:dyDescent="0.2">
      <c r="A3087" s="73">
        <v>67262</v>
      </c>
      <c r="B3087" t="s">
        <v>350</v>
      </c>
      <c r="C3087" s="73" t="s">
        <v>421</v>
      </c>
      <c r="D3087" t="s">
        <v>422</v>
      </c>
      <c r="E3087" s="74">
        <v>46045</v>
      </c>
      <c r="F3087" t="s">
        <v>395</v>
      </c>
      <c r="G3087" t="s">
        <v>396</v>
      </c>
      <c r="H3087" s="75">
        <f t="shared" si="48"/>
        <v>277.45099327688075</v>
      </c>
      <c r="I3087" s="74">
        <v>46045</v>
      </c>
      <c r="J3087">
        <v>8</v>
      </c>
      <c r="K3087" t="s">
        <v>516</v>
      </c>
      <c r="L3087" t="s">
        <v>262</v>
      </c>
      <c r="M3087" t="s">
        <v>356</v>
      </c>
      <c r="N3087" s="73">
        <v>67262</v>
      </c>
      <c r="O3087" s="73">
        <v>67262</v>
      </c>
      <c r="P3087">
        <v>34.681374159610094</v>
      </c>
    </row>
    <row r="3088" spans="1:16" x14ac:dyDescent="0.2">
      <c r="A3088" s="73">
        <v>67262</v>
      </c>
      <c r="B3088" t="s">
        <v>350</v>
      </c>
      <c r="C3088" s="73" t="s">
        <v>421</v>
      </c>
      <c r="D3088" t="s">
        <v>422</v>
      </c>
      <c r="E3088" s="74">
        <v>46045</v>
      </c>
      <c r="F3088" t="s">
        <v>353</v>
      </c>
      <c r="G3088" t="s">
        <v>354</v>
      </c>
      <c r="H3088" s="75">
        <f t="shared" si="48"/>
        <v>208.08824495766055</v>
      </c>
      <c r="I3088" s="74">
        <v>46045</v>
      </c>
      <c r="J3088">
        <v>6</v>
      </c>
      <c r="K3088" t="s">
        <v>516</v>
      </c>
      <c r="L3088" t="s">
        <v>355</v>
      </c>
      <c r="M3088" t="s">
        <v>356</v>
      </c>
      <c r="N3088" s="73">
        <v>67262</v>
      </c>
      <c r="O3088" s="73">
        <v>67262</v>
      </c>
      <c r="P3088">
        <v>34.681374159610094</v>
      </c>
    </row>
    <row r="3089" spans="1:16" x14ac:dyDescent="0.2">
      <c r="A3089" s="73">
        <v>67262</v>
      </c>
      <c r="B3089" t="s">
        <v>350</v>
      </c>
      <c r="C3089" s="73" t="s">
        <v>421</v>
      </c>
      <c r="D3089" t="s">
        <v>422</v>
      </c>
      <c r="E3089" s="74">
        <v>46049</v>
      </c>
      <c r="F3089" t="s">
        <v>360</v>
      </c>
      <c r="G3089" t="s">
        <v>361</v>
      </c>
      <c r="H3089" s="75">
        <f t="shared" si="48"/>
        <v>277.45099327688075</v>
      </c>
      <c r="I3089" s="74">
        <v>46049</v>
      </c>
      <c r="J3089">
        <v>8</v>
      </c>
      <c r="K3089" t="s">
        <v>516</v>
      </c>
      <c r="L3089" t="s">
        <v>262</v>
      </c>
      <c r="M3089" t="s">
        <v>356</v>
      </c>
      <c r="N3089" s="73">
        <v>67262</v>
      </c>
      <c r="O3089" s="73">
        <v>67262</v>
      </c>
      <c r="P3089">
        <v>34.681374159610094</v>
      </c>
    </row>
    <row r="3090" spans="1:16" x14ac:dyDescent="0.2">
      <c r="A3090" s="73">
        <v>67262</v>
      </c>
      <c r="B3090" t="s">
        <v>350</v>
      </c>
      <c r="C3090" s="73" t="s">
        <v>421</v>
      </c>
      <c r="D3090" t="s">
        <v>422</v>
      </c>
      <c r="E3090" s="74">
        <v>46049</v>
      </c>
      <c r="F3090" t="s">
        <v>410</v>
      </c>
      <c r="G3090" t="s">
        <v>411</v>
      </c>
      <c r="H3090" s="75">
        <f t="shared" si="48"/>
        <v>104.04412247883027</v>
      </c>
      <c r="I3090" s="74">
        <v>46049</v>
      </c>
      <c r="J3090">
        <v>3</v>
      </c>
      <c r="K3090" t="s">
        <v>516</v>
      </c>
      <c r="L3090" t="s">
        <v>262</v>
      </c>
      <c r="M3090" t="s">
        <v>356</v>
      </c>
      <c r="N3090" s="73">
        <v>67262</v>
      </c>
      <c r="O3090" s="73">
        <v>67262</v>
      </c>
      <c r="P3090">
        <v>34.681374159610094</v>
      </c>
    </row>
    <row r="3091" spans="1:16" x14ac:dyDescent="0.2">
      <c r="A3091" s="73">
        <v>67262</v>
      </c>
      <c r="B3091" t="s">
        <v>350</v>
      </c>
      <c r="C3091" s="73" t="s">
        <v>421</v>
      </c>
      <c r="D3091" t="s">
        <v>422</v>
      </c>
      <c r="E3091" s="74">
        <v>46049</v>
      </c>
      <c r="F3091" t="s">
        <v>395</v>
      </c>
      <c r="G3091" t="s">
        <v>396</v>
      </c>
      <c r="H3091" s="75">
        <f t="shared" si="48"/>
        <v>277.45099327688075</v>
      </c>
      <c r="I3091" s="74">
        <v>46049</v>
      </c>
      <c r="J3091">
        <v>8</v>
      </c>
      <c r="K3091" t="s">
        <v>516</v>
      </c>
      <c r="L3091" t="s">
        <v>262</v>
      </c>
      <c r="M3091" t="s">
        <v>356</v>
      </c>
      <c r="N3091" s="73">
        <v>67262</v>
      </c>
      <c r="O3091" s="73">
        <v>67262</v>
      </c>
      <c r="P3091">
        <v>34.681374159610094</v>
      </c>
    </row>
    <row r="3092" spans="1:16" x14ac:dyDescent="0.2">
      <c r="A3092" s="73">
        <v>67262</v>
      </c>
      <c r="B3092" t="s">
        <v>350</v>
      </c>
      <c r="C3092" s="73" t="s">
        <v>421</v>
      </c>
      <c r="D3092" t="s">
        <v>422</v>
      </c>
      <c r="E3092" s="74">
        <v>46050</v>
      </c>
      <c r="F3092" t="s">
        <v>360</v>
      </c>
      <c r="G3092" t="s">
        <v>361</v>
      </c>
      <c r="H3092" s="75">
        <f t="shared" si="48"/>
        <v>277.45099327688075</v>
      </c>
      <c r="I3092" s="74">
        <v>46050</v>
      </c>
      <c r="J3092">
        <v>8</v>
      </c>
      <c r="K3092" t="s">
        <v>516</v>
      </c>
      <c r="L3092" t="s">
        <v>262</v>
      </c>
      <c r="M3092" t="s">
        <v>356</v>
      </c>
      <c r="N3092" s="73">
        <v>67262</v>
      </c>
      <c r="O3092" s="73">
        <v>67262</v>
      </c>
      <c r="P3092">
        <v>34.681374159610094</v>
      </c>
    </row>
    <row r="3093" spans="1:16" x14ac:dyDescent="0.2">
      <c r="A3093" s="73">
        <v>67262</v>
      </c>
      <c r="B3093" t="s">
        <v>350</v>
      </c>
      <c r="C3093" s="73" t="s">
        <v>421</v>
      </c>
      <c r="D3093" t="s">
        <v>422</v>
      </c>
      <c r="E3093" s="74">
        <v>46050</v>
      </c>
      <c r="F3093" t="s">
        <v>395</v>
      </c>
      <c r="G3093" t="s">
        <v>396</v>
      </c>
      <c r="H3093" s="75">
        <f t="shared" si="48"/>
        <v>277.45099327688075</v>
      </c>
      <c r="I3093" s="74">
        <v>46050</v>
      </c>
      <c r="J3093">
        <v>8</v>
      </c>
      <c r="K3093" t="s">
        <v>516</v>
      </c>
      <c r="L3093" t="s">
        <v>262</v>
      </c>
      <c r="M3093" t="s">
        <v>356</v>
      </c>
      <c r="N3093" s="73">
        <v>67262</v>
      </c>
      <c r="O3093" s="73">
        <v>67262</v>
      </c>
      <c r="P3093">
        <v>34.681374159610094</v>
      </c>
    </row>
    <row r="3094" spans="1:16" x14ac:dyDescent="0.2">
      <c r="A3094" s="73">
        <v>67262</v>
      </c>
      <c r="B3094" t="s">
        <v>350</v>
      </c>
      <c r="C3094" s="73" t="s">
        <v>421</v>
      </c>
      <c r="D3094" t="s">
        <v>422</v>
      </c>
      <c r="E3094" s="74">
        <v>46049</v>
      </c>
      <c r="F3094" t="s">
        <v>353</v>
      </c>
      <c r="G3094" t="s">
        <v>354</v>
      </c>
      <c r="H3094" s="75">
        <f t="shared" si="48"/>
        <v>208.08824495766055</v>
      </c>
      <c r="I3094" s="74">
        <v>46049</v>
      </c>
      <c r="J3094">
        <v>6</v>
      </c>
      <c r="K3094" t="s">
        <v>516</v>
      </c>
      <c r="L3094" t="s">
        <v>355</v>
      </c>
      <c r="M3094" t="s">
        <v>356</v>
      </c>
      <c r="N3094" s="73">
        <v>67262</v>
      </c>
      <c r="O3094" s="73">
        <v>67262</v>
      </c>
      <c r="P3094">
        <v>34.681374159610094</v>
      </c>
    </row>
    <row r="3095" spans="1:16" x14ac:dyDescent="0.2">
      <c r="A3095" s="73">
        <v>67262</v>
      </c>
      <c r="B3095" t="s">
        <v>350</v>
      </c>
      <c r="C3095" s="73" t="s">
        <v>421</v>
      </c>
      <c r="D3095" t="s">
        <v>422</v>
      </c>
      <c r="E3095" s="74">
        <v>46050</v>
      </c>
      <c r="F3095" t="s">
        <v>353</v>
      </c>
      <c r="G3095" t="s">
        <v>354</v>
      </c>
      <c r="H3095" s="75">
        <f t="shared" si="48"/>
        <v>208.08824495766055</v>
      </c>
      <c r="I3095" s="74">
        <v>46050</v>
      </c>
      <c r="J3095">
        <v>6</v>
      </c>
      <c r="K3095" t="s">
        <v>516</v>
      </c>
      <c r="L3095" t="s">
        <v>355</v>
      </c>
      <c r="M3095" t="s">
        <v>356</v>
      </c>
      <c r="N3095" s="73">
        <v>67262</v>
      </c>
      <c r="O3095" s="73">
        <v>67262</v>
      </c>
      <c r="P3095">
        <v>34.681374159610094</v>
      </c>
    </row>
    <row r="3096" spans="1:16" x14ac:dyDescent="0.2">
      <c r="A3096" s="73">
        <v>67262</v>
      </c>
      <c r="B3096" t="s">
        <v>350</v>
      </c>
      <c r="C3096" s="73" t="s">
        <v>421</v>
      </c>
      <c r="D3096" t="s">
        <v>422</v>
      </c>
      <c r="E3096" s="74">
        <v>46051</v>
      </c>
      <c r="F3096" t="s">
        <v>398</v>
      </c>
      <c r="G3096" t="s">
        <v>399</v>
      </c>
      <c r="H3096" s="75">
        <f t="shared" si="48"/>
        <v>242.76961911727065</v>
      </c>
      <c r="I3096" s="74">
        <v>46051</v>
      </c>
      <c r="J3096">
        <v>7</v>
      </c>
      <c r="K3096" t="s">
        <v>516</v>
      </c>
      <c r="L3096" t="s">
        <v>367</v>
      </c>
      <c r="M3096" t="s">
        <v>356</v>
      </c>
      <c r="N3096" s="73">
        <v>67262</v>
      </c>
      <c r="O3096" s="73">
        <v>67262</v>
      </c>
      <c r="P3096">
        <v>34.681374159610094</v>
      </c>
    </row>
    <row r="3097" spans="1:16" x14ac:dyDescent="0.2">
      <c r="A3097" s="73">
        <v>67262</v>
      </c>
      <c r="B3097" t="s">
        <v>350</v>
      </c>
      <c r="C3097" s="73" t="s">
        <v>421</v>
      </c>
      <c r="D3097" t="s">
        <v>422</v>
      </c>
      <c r="E3097" s="74">
        <v>46078</v>
      </c>
      <c r="F3097" t="s">
        <v>414</v>
      </c>
      <c r="G3097" t="s">
        <v>415</v>
      </c>
      <c r="H3097" s="75">
        <f t="shared" si="48"/>
        <v>260.11030619707572</v>
      </c>
      <c r="I3097" s="74">
        <v>46078</v>
      </c>
      <c r="J3097">
        <v>7.5</v>
      </c>
      <c r="K3097" t="s">
        <v>508</v>
      </c>
      <c r="L3097" t="s">
        <v>262</v>
      </c>
      <c r="M3097" t="s">
        <v>356</v>
      </c>
      <c r="N3097" s="73">
        <v>67262</v>
      </c>
      <c r="O3097" s="73">
        <v>67262</v>
      </c>
      <c r="P3097">
        <v>34.681374159610094</v>
      </c>
    </row>
    <row r="3098" spans="1:16" x14ac:dyDescent="0.2">
      <c r="A3098" s="73">
        <v>67262</v>
      </c>
      <c r="B3098" t="s">
        <v>350</v>
      </c>
      <c r="C3098" s="73" t="s">
        <v>421</v>
      </c>
      <c r="D3098" t="s">
        <v>422</v>
      </c>
      <c r="E3098" s="74">
        <v>46051</v>
      </c>
      <c r="F3098" t="s">
        <v>360</v>
      </c>
      <c r="G3098" t="s">
        <v>361</v>
      </c>
      <c r="H3098" s="75">
        <f t="shared" si="48"/>
        <v>138.72549663844038</v>
      </c>
      <c r="I3098" s="74">
        <v>46051</v>
      </c>
      <c r="J3098">
        <v>4</v>
      </c>
      <c r="K3098" t="s">
        <v>516</v>
      </c>
      <c r="L3098" t="s">
        <v>262</v>
      </c>
      <c r="M3098" t="s">
        <v>356</v>
      </c>
      <c r="N3098" s="73">
        <v>67262</v>
      </c>
      <c r="O3098" s="73">
        <v>67262</v>
      </c>
      <c r="P3098">
        <v>34.681374159610094</v>
      </c>
    </row>
    <row r="3099" spans="1:16" x14ac:dyDescent="0.2">
      <c r="A3099" s="73">
        <v>67262</v>
      </c>
      <c r="B3099" t="s">
        <v>350</v>
      </c>
      <c r="C3099" s="73" t="s">
        <v>421</v>
      </c>
      <c r="D3099" t="s">
        <v>422</v>
      </c>
      <c r="E3099" s="74">
        <v>46051</v>
      </c>
      <c r="F3099" t="s">
        <v>410</v>
      </c>
      <c r="G3099" t="s">
        <v>411</v>
      </c>
      <c r="H3099" s="75">
        <f t="shared" si="48"/>
        <v>242.76961911727065</v>
      </c>
      <c r="I3099" s="74">
        <v>46051</v>
      </c>
      <c r="J3099">
        <v>7</v>
      </c>
      <c r="K3099" t="s">
        <v>516</v>
      </c>
      <c r="L3099" t="s">
        <v>262</v>
      </c>
      <c r="M3099" t="s">
        <v>356</v>
      </c>
      <c r="N3099" s="73">
        <v>67262</v>
      </c>
      <c r="O3099" s="73">
        <v>67262</v>
      </c>
      <c r="P3099">
        <v>34.681374159610094</v>
      </c>
    </row>
    <row r="3100" spans="1:16" x14ac:dyDescent="0.2">
      <c r="A3100" s="73">
        <v>67262</v>
      </c>
      <c r="B3100" t="s">
        <v>350</v>
      </c>
      <c r="C3100" s="73" t="s">
        <v>421</v>
      </c>
      <c r="D3100" t="s">
        <v>422</v>
      </c>
      <c r="E3100" s="74">
        <v>46051</v>
      </c>
      <c r="F3100" t="s">
        <v>395</v>
      </c>
      <c r="G3100" t="s">
        <v>396</v>
      </c>
      <c r="H3100" s="75">
        <f t="shared" si="48"/>
        <v>277.45099327688075</v>
      </c>
      <c r="I3100" s="74">
        <v>46051</v>
      </c>
      <c r="J3100">
        <v>8</v>
      </c>
      <c r="K3100" t="s">
        <v>516</v>
      </c>
      <c r="L3100" t="s">
        <v>262</v>
      </c>
      <c r="M3100" t="s">
        <v>356</v>
      </c>
      <c r="N3100" s="73">
        <v>67262</v>
      </c>
      <c r="O3100" s="73">
        <v>67262</v>
      </c>
      <c r="P3100">
        <v>34.681374159610094</v>
      </c>
    </row>
    <row r="3101" spans="1:16" x14ac:dyDescent="0.2">
      <c r="A3101" s="73">
        <v>67262</v>
      </c>
      <c r="B3101" t="s">
        <v>350</v>
      </c>
      <c r="C3101" s="73" t="s">
        <v>421</v>
      </c>
      <c r="D3101" t="s">
        <v>422</v>
      </c>
      <c r="E3101" s="74">
        <v>46051</v>
      </c>
      <c r="F3101" t="s">
        <v>353</v>
      </c>
      <c r="G3101" t="s">
        <v>354</v>
      </c>
      <c r="H3101" s="75">
        <f t="shared" si="48"/>
        <v>208.08824495766055</v>
      </c>
      <c r="I3101" s="74">
        <v>46051</v>
      </c>
      <c r="J3101">
        <v>6</v>
      </c>
      <c r="K3101" t="s">
        <v>516</v>
      </c>
      <c r="L3101" t="s">
        <v>355</v>
      </c>
      <c r="M3101" t="s">
        <v>356</v>
      </c>
      <c r="N3101" s="73">
        <v>67262</v>
      </c>
      <c r="O3101" s="73">
        <v>67262</v>
      </c>
      <c r="P3101">
        <v>34.681374159610094</v>
      </c>
    </row>
    <row r="3102" spans="1:16" x14ac:dyDescent="0.2">
      <c r="A3102" s="73">
        <v>67262</v>
      </c>
      <c r="B3102" t="s">
        <v>350</v>
      </c>
      <c r="C3102" s="73" t="s">
        <v>421</v>
      </c>
      <c r="D3102" t="s">
        <v>422</v>
      </c>
      <c r="E3102" s="74">
        <v>46052</v>
      </c>
      <c r="F3102" t="s">
        <v>398</v>
      </c>
      <c r="G3102" t="s">
        <v>399</v>
      </c>
      <c r="H3102" s="75">
        <f t="shared" si="48"/>
        <v>242.76961911727065</v>
      </c>
      <c r="I3102" s="74">
        <v>46052</v>
      </c>
      <c r="J3102">
        <v>7</v>
      </c>
      <c r="K3102" t="s">
        <v>516</v>
      </c>
      <c r="L3102" t="s">
        <v>367</v>
      </c>
      <c r="M3102" t="s">
        <v>356</v>
      </c>
      <c r="N3102" s="73">
        <v>67262</v>
      </c>
      <c r="O3102" s="73">
        <v>67262</v>
      </c>
      <c r="P3102">
        <v>34.681374159610094</v>
      </c>
    </row>
    <row r="3103" spans="1:16" x14ac:dyDescent="0.2">
      <c r="A3103" s="73">
        <v>67262</v>
      </c>
      <c r="B3103" t="s">
        <v>350</v>
      </c>
      <c r="C3103" s="73" t="s">
        <v>421</v>
      </c>
      <c r="D3103" t="s">
        <v>422</v>
      </c>
      <c r="E3103" s="74">
        <v>46052</v>
      </c>
      <c r="F3103" t="s">
        <v>360</v>
      </c>
      <c r="G3103" t="s">
        <v>361</v>
      </c>
      <c r="H3103" s="75">
        <f t="shared" si="48"/>
        <v>277.45099327688075</v>
      </c>
      <c r="I3103" s="74">
        <v>46052</v>
      </c>
      <c r="J3103">
        <v>8</v>
      </c>
      <c r="K3103" t="s">
        <v>516</v>
      </c>
      <c r="L3103" t="s">
        <v>262</v>
      </c>
      <c r="M3103" t="s">
        <v>356</v>
      </c>
      <c r="N3103" s="73">
        <v>67262</v>
      </c>
      <c r="O3103" s="73">
        <v>67262</v>
      </c>
      <c r="P3103">
        <v>34.681374159610094</v>
      </c>
    </row>
    <row r="3104" spans="1:16" x14ac:dyDescent="0.2">
      <c r="A3104" s="73">
        <v>67262</v>
      </c>
      <c r="B3104" t="s">
        <v>350</v>
      </c>
      <c r="C3104" s="73" t="s">
        <v>421</v>
      </c>
      <c r="D3104" t="s">
        <v>422</v>
      </c>
      <c r="E3104" s="74">
        <v>46052</v>
      </c>
      <c r="F3104" t="s">
        <v>410</v>
      </c>
      <c r="G3104" t="s">
        <v>411</v>
      </c>
      <c r="H3104" s="75">
        <f t="shared" si="48"/>
        <v>242.76961911727065</v>
      </c>
      <c r="I3104" s="74">
        <v>46052</v>
      </c>
      <c r="J3104">
        <v>7</v>
      </c>
      <c r="K3104" t="s">
        <v>516</v>
      </c>
      <c r="L3104" t="s">
        <v>262</v>
      </c>
      <c r="M3104" t="s">
        <v>356</v>
      </c>
      <c r="N3104" s="73">
        <v>67262</v>
      </c>
      <c r="O3104" s="73">
        <v>67262</v>
      </c>
      <c r="P3104">
        <v>34.681374159610094</v>
      </c>
    </row>
    <row r="3105" spans="1:16" x14ac:dyDescent="0.2">
      <c r="A3105" s="73">
        <v>67262</v>
      </c>
      <c r="B3105" t="s">
        <v>350</v>
      </c>
      <c r="C3105" s="73" t="s">
        <v>421</v>
      </c>
      <c r="D3105" t="s">
        <v>422</v>
      </c>
      <c r="E3105" s="74">
        <v>46052</v>
      </c>
      <c r="F3105" t="s">
        <v>395</v>
      </c>
      <c r="G3105" t="s">
        <v>396</v>
      </c>
      <c r="H3105" s="75">
        <f t="shared" si="48"/>
        <v>277.45099327688075</v>
      </c>
      <c r="I3105" s="74">
        <v>46052</v>
      </c>
      <c r="J3105">
        <v>8</v>
      </c>
      <c r="K3105" t="s">
        <v>516</v>
      </c>
      <c r="L3105" t="s">
        <v>262</v>
      </c>
      <c r="M3105" t="s">
        <v>356</v>
      </c>
      <c r="N3105" s="73">
        <v>67262</v>
      </c>
      <c r="O3105" s="73">
        <v>67262</v>
      </c>
      <c r="P3105">
        <v>34.681374159610094</v>
      </c>
    </row>
    <row r="3106" spans="1:16" x14ac:dyDescent="0.2">
      <c r="A3106" s="73">
        <v>67262</v>
      </c>
      <c r="B3106" t="s">
        <v>350</v>
      </c>
      <c r="C3106" s="73" t="s">
        <v>421</v>
      </c>
      <c r="D3106" t="s">
        <v>422</v>
      </c>
      <c r="E3106" s="74">
        <v>46052</v>
      </c>
      <c r="F3106" t="s">
        <v>353</v>
      </c>
      <c r="G3106" t="s">
        <v>354</v>
      </c>
      <c r="H3106" s="75">
        <f t="shared" si="48"/>
        <v>242.76961911727065</v>
      </c>
      <c r="I3106" s="74">
        <v>46052</v>
      </c>
      <c r="J3106">
        <v>7</v>
      </c>
      <c r="K3106" t="s">
        <v>516</v>
      </c>
      <c r="L3106" t="s">
        <v>355</v>
      </c>
      <c r="M3106" t="s">
        <v>356</v>
      </c>
      <c r="N3106" s="73">
        <v>67262</v>
      </c>
      <c r="O3106" s="73">
        <v>67262</v>
      </c>
      <c r="P3106">
        <v>34.681374159610094</v>
      </c>
    </row>
    <row r="3107" spans="1:16" x14ac:dyDescent="0.2">
      <c r="A3107" s="73">
        <v>67262</v>
      </c>
      <c r="B3107" t="s">
        <v>350</v>
      </c>
      <c r="C3107" s="73" t="s">
        <v>421</v>
      </c>
      <c r="D3107" t="s">
        <v>422</v>
      </c>
      <c r="E3107" s="74">
        <v>46055</v>
      </c>
      <c r="F3107" t="s">
        <v>387</v>
      </c>
      <c r="G3107" t="s">
        <v>388</v>
      </c>
      <c r="H3107" s="75">
        <f t="shared" si="48"/>
        <v>104.04412247883027</v>
      </c>
      <c r="I3107" s="74">
        <v>46055</v>
      </c>
      <c r="J3107">
        <v>3</v>
      </c>
      <c r="K3107" t="s">
        <v>508</v>
      </c>
      <c r="L3107" t="s">
        <v>367</v>
      </c>
      <c r="M3107" t="s">
        <v>356</v>
      </c>
      <c r="N3107" s="73">
        <v>67262</v>
      </c>
      <c r="O3107" s="73">
        <v>67262</v>
      </c>
      <c r="P3107">
        <v>34.681374159610094</v>
      </c>
    </row>
    <row r="3108" spans="1:16" x14ac:dyDescent="0.2">
      <c r="A3108" s="73">
        <v>67262</v>
      </c>
      <c r="B3108" t="s">
        <v>350</v>
      </c>
      <c r="C3108" s="73" t="s">
        <v>421</v>
      </c>
      <c r="D3108" t="s">
        <v>422</v>
      </c>
      <c r="E3108" s="74">
        <v>46055</v>
      </c>
      <c r="F3108" t="s">
        <v>398</v>
      </c>
      <c r="G3108" t="s">
        <v>399</v>
      </c>
      <c r="H3108" s="75">
        <f t="shared" si="48"/>
        <v>242.76961911727065</v>
      </c>
      <c r="I3108" s="74">
        <v>46055</v>
      </c>
      <c r="J3108">
        <v>7</v>
      </c>
      <c r="K3108" t="s">
        <v>508</v>
      </c>
      <c r="L3108" t="s">
        <v>367</v>
      </c>
      <c r="M3108" t="s">
        <v>356</v>
      </c>
      <c r="N3108" s="73">
        <v>67262</v>
      </c>
      <c r="O3108" s="73">
        <v>67262</v>
      </c>
      <c r="P3108">
        <v>34.681374159610094</v>
      </c>
    </row>
    <row r="3109" spans="1:16" x14ac:dyDescent="0.2">
      <c r="A3109" s="73">
        <v>67262</v>
      </c>
      <c r="B3109" t="s">
        <v>350</v>
      </c>
      <c r="C3109" s="73" t="s">
        <v>421</v>
      </c>
      <c r="D3109" t="s">
        <v>422</v>
      </c>
      <c r="E3109" s="74">
        <v>46055</v>
      </c>
      <c r="F3109" t="s">
        <v>395</v>
      </c>
      <c r="G3109" t="s">
        <v>396</v>
      </c>
      <c r="H3109" s="75">
        <f t="shared" si="48"/>
        <v>277.45099327688075</v>
      </c>
      <c r="I3109" s="74">
        <v>46055</v>
      </c>
      <c r="J3109">
        <v>8</v>
      </c>
      <c r="K3109" t="s">
        <v>508</v>
      </c>
      <c r="L3109" t="s">
        <v>262</v>
      </c>
      <c r="M3109" t="s">
        <v>356</v>
      </c>
      <c r="N3109" s="73">
        <v>67262</v>
      </c>
      <c r="O3109" s="73">
        <v>67262</v>
      </c>
      <c r="P3109">
        <v>34.681374159610094</v>
      </c>
    </row>
    <row r="3110" spans="1:16" x14ac:dyDescent="0.2">
      <c r="A3110" s="73">
        <v>67262</v>
      </c>
      <c r="B3110" t="s">
        <v>350</v>
      </c>
      <c r="C3110" s="73" t="s">
        <v>421</v>
      </c>
      <c r="D3110" t="s">
        <v>422</v>
      </c>
      <c r="E3110" s="74">
        <v>46055</v>
      </c>
      <c r="F3110" t="s">
        <v>360</v>
      </c>
      <c r="G3110" t="s">
        <v>361</v>
      </c>
      <c r="H3110" s="75">
        <f t="shared" si="48"/>
        <v>277.45099327688075</v>
      </c>
      <c r="I3110" s="74">
        <v>46055</v>
      </c>
      <c r="J3110">
        <v>8</v>
      </c>
      <c r="K3110" t="s">
        <v>508</v>
      </c>
      <c r="L3110" t="s">
        <v>262</v>
      </c>
      <c r="M3110" t="s">
        <v>356</v>
      </c>
      <c r="N3110" s="73">
        <v>67262</v>
      </c>
      <c r="O3110" s="73">
        <v>67262</v>
      </c>
      <c r="P3110">
        <v>34.681374159610094</v>
      </c>
    </row>
    <row r="3111" spans="1:16" x14ac:dyDescent="0.2">
      <c r="A3111" s="73">
        <v>67262</v>
      </c>
      <c r="B3111" t="s">
        <v>350</v>
      </c>
      <c r="C3111" s="73" t="s">
        <v>421</v>
      </c>
      <c r="D3111" t="s">
        <v>422</v>
      </c>
      <c r="E3111" s="74">
        <v>46055</v>
      </c>
      <c r="F3111" t="s">
        <v>410</v>
      </c>
      <c r="G3111" t="s">
        <v>411</v>
      </c>
      <c r="H3111" s="75">
        <f t="shared" si="48"/>
        <v>242.76961911727065</v>
      </c>
      <c r="I3111" s="74">
        <v>46055</v>
      </c>
      <c r="J3111">
        <v>7</v>
      </c>
      <c r="K3111" t="s">
        <v>508</v>
      </c>
      <c r="L3111" t="s">
        <v>262</v>
      </c>
      <c r="M3111" t="s">
        <v>356</v>
      </c>
      <c r="N3111" s="73">
        <v>67262</v>
      </c>
      <c r="O3111" s="73">
        <v>67262</v>
      </c>
      <c r="P3111">
        <v>34.681374159610094</v>
      </c>
    </row>
    <row r="3112" spans="1:16" x14ac:dyDescent="0.2">
      <c r="A3112" s="73">
        <v>67262</v>
      </c>
      <c r="B3112" t="s">
        <v>350</v>
      </c>
      <c r="C3112" s="73" t="s">
        <v>421</v>
      </c>
      <c r="D3112" t="s">
        <v>422</v>
      </c>
      <c r="E3112" s="74">
        <v>46079</v>
      </c>
      <c r="F3112" t="s">
        <v>414</v>
      </c>
      <c r="G3112" t="s">
        <v>415</v>
      </c>
      <c r="H3112" s="75">
        <f t="shared" si="48"/>
        <v>260.11030619707572</v>
      </c>
      <c r="I3112" s="74">
        <v>46079</v>
      </c>
      <c r="J3112">
        <v>7.5</v>
      </c>
      <c r="K3112" t="s">
        <v>508</v>
      </c>
      <c r="L3112" t="s">
        <v>262</v>
      </c>
      <c r="M3112" t="s">
        <v>356</v>
      </c>
      <c r="N3112" s="73">
        <v>67262</v>
      </c>
      <c r="O3112" s="73">
        <v>67262</v>
      </c>
      <c r="P3112">
        <v>34.681374159610094</v>
      </c>
    </row>
    <row r="3113" spans="1:16" x14ac:dyDescent="0.2">
      <c r="A3113" s="73">
        <v>67262</v>
      </c>
      <c r="B3113" t="s">
        <v>350</v>
      </c>
      <c r="C3113" s="73" t="s">
        <v>421</v>
      </c>
      <c r="D3113" t="s">
        <v>422</v>
      </c>
      <c r="E3113" s="74">
        <v>46055</v>
      </c>
      <c r="F3113" t="s">
        <v>353</v>
      </c>
      <c r="G3113" t="s">
        <v>354</v>
      </c>
      <c r="H3113" s="75">
        <f t="shared" si="48"/>
        <v>190.74755787785551</v>
      </c>
      <c r="I3113" s="74">
        <v>46055</v>
      </c>
      <c r="J3113">
        <v>5.5</v>
      </c>
      <c r="K3113" t="s">
        <v>508</v>
      </c>
      <c r="L3113" t="s">
        <v>355</v>
      </c>
      <c r="M3113" t="s">
        <v>356</v>
      </c>
      <c r="N3113" s="73">
        <v>67262</v>
      </c>
      <c r="O3113" s="73">
        <v>67262</v>
      </c>
      <c r="P3113">
        <v>34.681374159610094</v>
      </c>
    </row>
    <row r="3114" spans="1:16" x14ac:dyDescent="0.2">
      <c r="A3114" s="73">
        <v>67262</v>
      </c>
      <c r="B3114" t="s">
        <v>350</v>
      </c>
      <c r="C3114" s="73" t="s">
        <v>421</v>
      </c>
      <c r="D3114" t="s">
        <v>422</v>
      </c>
      <c r="E3114" s="74">
        <v>46056</v>
      </c>
      <c r="F3114" t="s">
        <v>395</v>
      </c>
      <c r="G3114" t="s">
        <v>396</v>
      </c>
      <c r="H3114" s="75">
        <f t="shared" si="48"/>
        <v>277.45099327688075</v>
      </c>
      <c r="I3114" s="74">
        <v>46056</v>
      </c>
      <c r="J3114">
        <v>8</v>
      </c>
      <c r="K3114" t="s">
        <v>508</v>
      </c>
      <c r="L3114" t="s">
        <v>262</v>
      </c>
      <c r="M3114" t="s">
        <v>356</v>
      </c>
      <c r="N3114" s="73">
        <v>67262</v>
      </c>
      <c r="O3114" s="73">
        <v>67262</v>
      </c>
      <c r="P3114">
        <v>34.681374159610094</v>
      </c>
    </row>
    <row r="3115" spans="1:16" x14ac:dyDescent="0.2">
      <c r="A3115" s="73">
        <v>67262</v>
      </c>
      <c r="B3115" t="s">
        <v>350</v>
      </c>
      <c r="C3115" s="73" t="s">
        <v>421</v>
      </c>
      <c r="D3115" t="s">
        <v>422</v>
      </c>
      <c r="E3115" s="74">
        <v>46056</v>
      </c>
      <c r="F3115" t="s">
        <v>387</v>
      </c>
      <c r="G3115" t="s">
        <v>388</v>
      </c>
      <c r="H3115" s="75">
        <f t="shared" si="48"/>
        <v>69.362748319220188</v>
      </c>
      <c r="I3115" s="74">
        <v>46056</v>
      </c>
      <c r="J3115">
        <v>2</v>
      </c>
      <c r="K3115" t="s">
        <v>508</v>
      </c>
      <c r="L3115" t="s">
        <v>367</v>
      </c>
      <c r="M3115" t="s">
        <v>356</v>
      </c>
      <c r="N3115" s="73">
        <v>67262</v>
      </c>
      <c r="O3115" s="73">
        <v>67262</v>
      </c>
      <c r="P3115">
        <v>34.681374159610094</v>
      </c>
    </row>
    <row r="3116" spans="1:16" x14ac:dyDescent="0.2">
      <c r="A3116" s="73">
        <v>67262</v>
      </c>
      <c r="B3116" t="s">
        <v>350</v>
      </c>
      <c r="C3116" s="73" t="s">
        <v>421</v>
      </c>
      <c r="D3116" t="s">
        <v>422</v>
      </c>
      <c r="E3116" s="74">
        <v>46056</v>
      </c>
      <c r="F3116" t="s">
        <v>360</v>
      </c>
      <c r="G3116" t="s">
        <v>361</v>
      </c>
      <c r="H3116" s="75">
        <f t="shared" si="48"/>
        <v>277.45099327688075</v>
      </c>
      <c r="I3116" s="74">
        <v>46056</v>
      </c>
      <c r="J3116">
        <v>8</v>
      </c>
      <c r="K3116" t="s">
        <v>508</v>
      </c>
      <c r="L3116" t="s">
        <v>262</v>
      </c>
      <c r="M3116" t="s">
        <v>356</v>
      </c>
      <c r="N3116" s="73">
        <v>67262</v>
      </c>
      <c r="O3116" s="73">
        <v>67262</v>
      </c>
      <c r="P3116">
        <v>34.681374159610094</v>
      </c>
    </row>
    <row r="3117" spans="1:16" x14ac:dyDescent="0.2">
      <c r="A3117" s="73">
        <v>67262</v>
      </c>
      <c r="B3117" t="s">
        <v>350</v>
      </c>
      <c r="C3117" s="73" t="s">
        <v>421</v>
      </c>
      <c r="D3117" t="s">
        <v>422</v>
      </c>
      <c r="E3117" s="74">
        <v>46056</v>
      </c>
      <c r="F3117" t="s">
        <v>398</v>
      </c>
      <c r="G3117" t="s">
        <v>399</v>
      </c>
      <c r="H3117" s="75">
        <f t="shared" si="48"/>
        <v>242.76961911727065</v>
      </c>
      <c r="I3117" s="74">
        <v>46056</v>
      </c>
      <c r="J3117">
        <v>7</v>
      </c>
      <c r="K3117" t="s">
        <v>508</v>
      </c>
      <c r="L3117" t="s">
        <v>367</v>
      </c>
      <c r="M3117" t="s">
        <v>356</v>
      </c>
      <c r="N3117" s="73">
        <v>67262</v>
      </c>
      <c r="O3117" s="73">
        <v>67262</v>
      </c>
      <c r="P3117">
        <v>34.681374159610094</v>
      </c>
    </row>
    <row r="3118" spans="1:16" x14ac:dyDescent="0.2">
      <c r="A3118" s="73">
        <v>67262</v>
      </c>
      <c r="B3118" t="s">
        <v>350</v>
      </c>
      <c r="C3118" s="73" t="s">
        <v>421</v>
      </c>
      <c r="D3118" t="s">
        <v>422</v>
      </c>
      <c r="E3118" s="74">
        <v>46056</v>
      </c>
      <c r="F3118" t="s">
        <v>410</v>
      </c>
      <c r="G3118" t="s">
        <v>411</v>
      </c>
      <c r="H3118" s="75">
        <f t="shared" si="48"/>
        <v>242.76961911727065</v>
      </c>
      <c r="I3118" s="74">
        <v>46056</v>
      </c>
      <c r="J3118">
        <v>7</v>
      </c>
      <c r="K3118" t="s">
        <v>508</v>
      </c>
      <c r="L3118" t="s">
        <v>262</v>
      </c>
      <c r="M3118" t="s">
        <v>356</v>
      </c>
      <c r="N3118" s="73">
        <v>67262</v>
      </c>
      <c r="O3118" s="73">
        <v>67262</v>
      </c>
      <c r="P3118">
        <v>34.681374159610094</v>
      </c>
    </row>
    <row r="3119" spans="1:16" x14ac:dyDescent="0.2">
      <c r="A3119" s="73">
        <v>67262</v>
      </c>
      <c r="B3119" t="s">
        <v>350</v>
      </c>
      <c r="C3119" s="73" t="s">
        <v>421</v>
      </c>
      <c r="D3119" t="s">
        <v>422</v>
      </c>
      <c r="E3119" s="74">
        <v>46056</v>
      </c>
      <c r="F3119" t="s">
        <v>353</v>
      </c>
      <c r="G3119" t="s">
        <v>354</v>
      </c>
      <c r="H3119" s="75">
        <f t="shared" si="48"/>
        <v>190.74755787785551</v>
      </c>
      <c r="I3119" s="74">
        <v>46056</v>
      </c>
      <c r="J3119">
        <v>5.5</v>
      </c>
      <c r="K3119" t="s">
        <v>508</v>
      </c>
      <c r="L3119" t="s">
        <v>355</v>
      </c>
      <c r="M3119" t="s">
        <v>356</v>
      </c>
      <c r="N3119" s="73">
        <v>67262</v>
      </c>
      <c r="O3119" s="73">
        <v>67262</v>
      </c>
      <c r="P3119">
        <v>34.681374159610094</v>
      </c>
    </row>
    <row r="3120" spans="1:16" x14ac:dyDescent="0.2">
      <c r="A3120" s="73">
        <v>67262</v>
      </c>
      <c r="B3120" t="s">
        <v>350</v>
      </c>
      <c r="C3120" s="73" t="s">
        <v>421</v>
      </c>
      <c r="D3120" t="s">
        <v>422</v>
      </c>
      <c r="E3120" s="74">
        <v>46057</v>
      </c>
      <c r="F3120" t="s">
        <v>395</v>
      </c>
      <c r="G3120" t="s">
        <v>396</v>
      </c>
      <c r="H3120" s="75">
        <f t="shared" si="48"/>
        <v>277.45099327688075</v>
      </c>
      <c r="I3120" s="74">
        <v>46057</v>
      </c>
      <c r="J3120">
        <v>8</v>
      </c>
      <c r="K3120" t="s">
        <v>508</v>
      </c>
      <c r="L3120" t="s">
        <v>262</v>
      </c>
      <c r="M3120" t="s">
        <v>356</v>
      </c>
      <c r="N3120" s="73">
        <v>67262</v>
      </c>
      <c r="O3120" s="73">
        <v>67262</v>
      </c>
      <c r="P3120">
        <v>34.681374159610094</v>
      </c>
    </row>
    <row r="3121" spans="1:16" x14ac:dyDescent="0.2">
      <c r="A3121" s="73">
        <v>67262</v>
      </c>
      <c r="B3121" t="s">
        <v>350</v>
      </c>
      <c r="C3121" s="73" t="s">
        <v>421</v>
      </c>
      <c r="D3121" t="s">
        <v>422</v>
      </c>
      <c r="E3121" s="74">
        <v>46057</v>
      </c>
      <c r="F3121" t="s">
        <v>360</v>
      </c>
      <c r="G3121" t="s">
        <v>361</v>
      </c>
      <c r="H3121" s="75">
        <f t="shared" si="48"/>
        <v>277.45099327688075</v>
      </c>
      <c r="I3121" s="74">
        <v>46057</v>
      </c>
      <c r="J3121">
        <v>8</v>
      </c>
      <c r="K3121" t="s">
        <v>508</v>
      </c>
      <c r="L3121" t="s">
        <v>262</v>
      </c>
      <c r="M3121" t="s">
        <v>356</v>
      </c>
      <c r="N3121" s="73">
        <v>67262</v>
      </c>
      <c r="O3121" s="73">
        <v>67262</v>
      </c>
      <c r="P3121">
        <v>34.681374159610094</v>
      </c>
    </row>
    <row r="3122" spans="1:16" x14ac:dyDescent="0.2">
      <c r="A3122" s="73">
        <v>67262</v>
      </c>
      <c r="B3122" t="s">
        <v>350</v>
      </c>
      <c r="C3122" s="73" t="s">
        <v>421</v>
      </c>
      <c r="D3122" t="s">
        <v>422</v>
      </c>
      <c r="E3122" s="74">
        <v>46057</v>
      </c>
      <c r="F3122" t="s">
        <v>398</v>
      </c>
      <c r="G3122" t="s">
        <v>399</v>
      </c>
      <c r="H3122" s="75">
        <f t="shared" si="48"/>
        <v>242.76961911727065</v>
      </c>
      <c r="I3122" s="74">
        <v>46057</v>
      </c>
      <c r="J3122">
        <v>7</v>
      </c>
      <c r="K3122" t="s">
        <v>508</v>
      </c>
      <c r="L3122" t="s">
        <v>367</v>
      </c>
      <c r="M3122" t="s">
        <v>356</v>
      </c>
      <c r="N3122" s="73">
        <v>67262</v>
      </c>
      <c r="O3122" s="73">
        <v>67262</v>
      </c>
      <c r="P3122">
        <v>34.681374159610094</v>
      </c>
    </row>
    <row r="3123" spans="1:16" x14ac:dyDescent="0.2">
      <c r="A3123" s="73">
        <v>67262</v>
      </c>
      <c r="B3123" t="s">
        <v>350</v>
      </c>
      <c r="C3123" s="73" t="s">
        <v>421</v>
      </c>
      <c r="D3123" t="s">
        <v>422</v>
      </c>
      <c r="E3123" s="74">
        <v>46057</v>
      </c>
      <c r="F3123" t="s">
        <v>410</v>
      </c>
      <c r="G3123" t="s">
        <v>411</v>
      </c>
      <c r="H3123" s="75">
        <f t="shared" si="48"/>
        <v>242.76961911727065</v>
      </c>
      <c r="I3123" s="74">
        <v>46057</v>
      </c>
      <c r="J3123">
        <v>7</v>
      </c>
      <c r="K3123" t="s">
        <v>508</v>
      </c>
      <c r="L3123" t="s">
        <v>262</v>
      </c>
      <c r="M3123" t="s">
        <v>356</v>
      </c>
      <c r="N3123" s="73">
        <v>67262</v>
      </c>
      <c r="O3123" s="73">
        <v>67262</v>
      </c>
      <c r="P3123">
        <v>34.681374159610094</v>
      </c>
    </row>
    <row r="3124" spans="1:16" x14ac:dyDescent="0.2">
      <c r="A3124" s="73">
        <v>67262</v>
      </c>
      <c r="B3124" t="s">
        <v>350</v>
      </c>
      <c r="C3124" s="73" t="s">
        <v>421</v>
      </c>
      <c r="D3124" t="s">
        <v>422</v>
      </c>
      <c r="E3124" s="74">
        <v>46080</v>
      </c>
      <c r="F3124" t="s">
        <v>414</v>
      </c>
      <c r="G3124" t="s">
        <v>415</v>
      </c>
      <c r="H3124" s="75">
        <f t="shared" si="48"/>
        <v>260.11030619707572</v>
      </c>
      <c r="I3124" s="74">
        <v>46080</v>
      </c>
      <c r="J3124">
        <v>7.5</v>
      </c>
      <c r="K3124" t="s">
        <v>508</v>
      </c>
      <c r="L3124" t="s">
        <v>262</v>
      </c>
      <c r="M3124" t="s">
        <v>356</v>
      </c>
      <c r="N3124" s="73">
        <v>67262</v>
      </c>
      <c r="O3124" s="73">
        <v>67262</v>
      </c>
      <c r="P3124">
        <v>34.681374159610094</v>
      </c>
    </row>
    <row r="3125" spans="1:16" x14ac:dyDescent="0.2">
      <c r="A3125" s="73">
        <v>67262</v>
      </c>
      <c r="B3125" t="s">
        <v>350</v>
      </c>
      <c r="C3125" s="73" t="s">
        <v>421</v>
      </c>
      <c r="D3125" t="s">
        <v>422</v>
      </c>
      <c r="E3125" s="74">
        <v>46057</v>
      </c>
      <c r="F3125" t="s">
        <v>353</v>
      </c>
      <c r="G3125" t="s">
        <v>354</v>
      </c>
      <c r="H3125" s="75">
        <f t="shared" si="48"/>
        <v>190.74755787785551</v>
      </c>
      <c r="I3125" s="74">
        <v>46057</v>
      </c>
      <c r="J3125">
        <v>5.5</v>
      </c>
      <c r="K3125" t="s">
        <v>508</v>
      </c>
      <c r="L3125" t="s">
        <v>355</v>
      </c>
      <c r="M3125" t="s">
        <v>356</v>
      </c>
      <c r="N3125" s="73">
        <v>67262</v>
      </c>
      <c r="O3125" s="73">
        <v>67262</v>
      </c>
      <c r="P3125">
        <v>34.681374159610094</v>
      </c>
    </row>
    <row r="3126" spans="1:16" x14ac:dyDescent="0.2">
      <c r="A3126" s="73">
        <v>67262</v>
      </c>
      <c r="B3126" t="s">
        <v>350</v>
      </c>
      <c r="C3126" s="73" t="s">
        <v>421</v>
      </c>
      <c r="D3126" t="s">
        <v>422</v>
      </c>
      <c r="E3126" s="74">
        <v>46058</v>
      </c>
      <c r="F3126" t="s">
        <v>395</v>
      </c>
      <c r="G3126" t="s">
        <v>396</v>
      </c>
      <c r="H3126" s="75">
        <f t="shared" si="48"/>
        <v>277.45099327688075</v>
      </c>
      <c r="I3126" s="74">
        <v>46058</v>
      </c>
      <c r="J3126">
        <v>8</v>
      </c>
      <c r="K3126" t="s">
        <v>508</v>
      </c>
      <c r="L3126" t="s">
        <v>262</v>
      </c>
      <c r="M3126" t="s">
        <v>356</v>
      </c>
      <c r="N3126" s="73">
        <v>67262</v>
      </c>
      <c r="O3126" s="73">
        <v>67262</v>
      </c>
      <c r="P3126">
        <v>34.681374159610094</v>
      </c>
    </row>
    <row r="3127" spans="1:16" x14ac:dyDescent="0.2">
      <c r="A3127" s="73">
        <v>67262</v>
      </c>
      <c r="B3127" t="s">
        <v>350</v>
      </c>
      <c r="C3127" s="73" t="s">
        <v>421</v>
      </c>
      <c r="D3127" t="s">
        <v>422</v>
      </c>
      <c r="E3127" s="74">
        <v>46058</v>
      </c>
      <c r="F3127" t="s">
        <v>387</v>
      </c>
      <c r="G3127" t="s">
        <v>388</v>
      </c>
      <c r="H3127" s="75">
        <f t="shared" si="48"/>
        <v>69.362748319220188</v>
      </c>
      <c r="I3127" s="74">
        <v>46058</v>
      </c>
      <c r="J3127">
        <v>2</v>
      </c>
      <c r="K3127" t="s">
        <v>508</v>
      </c>
      <c r="L3127" t="s">
        <v>367</v>
      </c>
      <c r="M3127" t="s">
        <v>356</v>
      </c>
      <c r="N3127" s="73">
        <v>67262</v>
      </c>
      <c r="O3127" s="73">
        <v>67262</v>
      </c>
      <c r="P3127">
        <v>34.681374159610094</v>
      </c>
    </row>
    <row r="3128" spans="1:16" x14ac:dyDescent="0.2">
      <c r="A3128" s="73">
        <v>67262</v>
      </c>
      <c r="B3128" t="s">
        <v>350</v>
      </c>
      <c r="C3128" s="73" t="s">
        <v>421</v>
      </c>
      <c r="D3128" t="s">
        <v>422</v>
      </c>
      <c r="E3128" s="74">
        <v>46058</v>
      </c>
      <c r="F3128" t="s">
        <v>360</v>
      </c>
      <c r="G3128" t="s">
        <v>361</v>
      </c>
      <c r="H3128" s="75">
        <f t="shared" si="48"/>
        <v>208.08824495766055</v>
      </c>
      <c r="I3128" s="74">
        <v>46058</v>
      </c>
      <c r="J3128">
        <v>6</v>
      </c>
      <c r="K3128" t="s">
        <v>508</v>
      </c>
      <c r="L3128" t="s">
        <v>262</v>
      </c>
      <c r="M3128" t="s">
        <v>356</v>
      </c>
      <c r="N3128" s="73">
        <v>67262</v>
      </c>
      <c r="O3128" s="73">
        <v>67262</v>
      </c>
      <c r="P3128">
        <v>34.681374159610094</v>
      </c>
    </row>
    <row r="3129" spans="1:16" x14ac:dyDescent="0.2">
      <c r="A3129" s="73">
        <v>67262</v>
      </c>
      <c r="B3129" t="s">
        <v>350</v>
      </c>
      <c r="C3129" s="73" t="s">
        <v>421</v>
      </c>
      <c r="D3129" t="s">
        <v>422</v>
      </c>
      <c r="E3129" s="74">
        <v>46058</v>
      </c>
      <c r="F3129" t="s">
        <v>410</v>
      </c>
      <c r="G3129" t="s">
        <v>411</v>
      </c>
      <c r="H3129" s="75">
        <f t="shared" si="48"/>
        <v>242.76961911727065</v>
      </c>
      <c r="I3129" s="74">
        <v>46058</v>
      </c>
      <c r="J3129">
        <v>7</v>
      </c>
      <c r="K3129" t="s">
        <v>508</v>
      </c>
      <c r="L3129" t="s">
        <v>262</v>
      </c>
      <c r="M3129" t="s">
        <v>356</v>
      </c>
      <c r="N3129" s="73">
        <v>67262</v>
      </c>
      <c r="O3129" s="73">
        <v>67262</v>
      </c>
      <c r="P3129">
        <v>34.681374159610094</v>
      </c>
    </row>
    <row r="3130" spans="1:16" x14ac:dyDescent="0.2">
      <c r="A3130" s="73">
        <v>67262</v>
      </c>
      <c r="B3130" t="s">
        <v>350</v>
      </c>
      <c r="C3130" s="73" t="s">
        <v>421</v>
      </c>
      <c r="D3130" t="s">
        <v>422</v>
      </c>
      <c r="E3130" s="74">
        <v>46058</v>
      </c>
      <c r="F3130" t="s">
        <v>353</v>
      </c>
      <c r="G3130" t="s">
        <v>354</v>
      </c>
      <c r="H3130" s="75">
        <f t="shared" si="48"/>
        <v>225.42893203746561</v>
      </c>
      <c r="I3130" s="74">
        <v>46058</v>
      </c>
      <c r="J3130">
        <v>6.5</v>
      </c>
      <c r="K3130" t="s">
        <v>508</v>
      </c>
      <c r="L3130" t="s">
        <v>355</v>
      </c>
      <c r="M3130" t="s">
        <v>356</v>
      </c>
      <c r="N3130" s="73">
        <v>67262</v>
      </c>
      <c r="O3130" s="73">
        <v>67262</v>
      </c>
      <c r="P3130">
        <v>34.681374159610094</v>
      </c>
    </row>
    <row r="3131" spans="1:16" x14ac:dyDescent="0.2">
      <c r="A3131" s="73">
        <v>67262</v>
      </c>
      <c r="B3131" t="s">
        <v>350</v>
      </c>
      <c r="C3131" s="73" t="s">
        <v>421</v>
      </c>
      <c r="D3131" t="s">
        <v>422</v>
      </c>
      <c r="E3131" s="74">
        <v>46059</v>
      </c>
      <c r="F3131" t="s">
        <v>395</v>
      </c>
      <c r="G3131" t="s">
        <v>396</v>
      </c>
      <c r="H3131" s="75">
        <f t="shared" si="48"/>
        <v>277.45099327688075</v>
      </c>
      <c r="I3131" s="74">
        <v>46059</v>
      </c>
      <c r="J3131">
        <v>8</v>
      </c>
      <c r="K3131" t="s">
        <v>508</v>
      </c>
      <c r="L3131" t="s">
        <v>262</v>
      </c>
      <c r="M3131" t="s">
        <v>356</v>
      </c>
      <c r="N3131" s="73">
        <v>67262</v>
      </c>
      <c r="O3131" s="73">
        <v>67262</v>
      </c>
      <c r="P3131">
        <v>34.681374159610094</v>
      </c>
    </row>
    <row r="3132" spans="1:16" x14ac:dyDescent="0.2">
      <c r="A3132" s="73">
        <v>67262</v>
      </c>
      <c r="B3132" t="s">
        <v>350</v>
      </c>
      <c r="C3132" s="73" t="s">
        <v>421</v>
      </c>
      <c r="D3132" t="s">
        <v>422</v>
      </c>
      <c r="E3132" s="74">
        <v>46059</v>
      </c>
      <c r="F3132" t="s">
        <v>353</v>
      </c>
      <c r="G3132" t="s">
        <v>354</v>
      </c>
      <c r="H3132" s="75">
        <f t="shared" si="48"/>
        <v>225.42893203746561</v>
      </c>
      <c r="I3132" s="74">
        <v>46059</v>
      </c>
      <c r="J3132">
        <v>6.5</v>
      </c>
      <c r="K3132" t="s">
        <v>508</v>
      </c>
      <c r="L3132" t="s">
        <v>355</v>
      </c>
      <c r="M3132" t="s">
        <v>356</v>
      </c>
      <c r="N3132" s="73">
        <v>67262</v>
      </c>
      <c r="O3132" s="73">
        <v>67262</v>
      </c>
      <c r="P3132">
        <v>34.681374159610094</v>
      </c>
    </row>
    <row r="3133" spans="1:16" x14ac:dyDescent="0.2">
      <c r="A3133" s="73">
        <v>67262</v>
      </c>
      <c r="B3133" t="s">
        <v>350</v>
      </c>
      <c r="C3133" s="73" t="s">
        <v>421</v>
      </c>
      <c r="D3133" t="s">
        <v>422</v>
      </c>
      <c r="E3133" s="74">
        <v>46083</v>
      </c>
      <c r="F3133" t="s">
        <v>414</v>
      </c>
      <c r="G3133" t="s">
        <v>415</v>
      </c>
      <c r="H3133" s="75">
        <f t="shared" si="48"/>
        <v>260.11030619707572</v>
      </c>
      <c r="I3133" s="74">
        <v>46083</v>
      </c>
      <c r="J3133">
        <v>7.5</v>
      </c>
      <c r="K3133" t="s">
        <v>509</v>
      </c>
      <c r="L3133" t="s">
        <v>262</v>
      </c>
      <c r="M3133" t="s">
        <v>356</v>
      </c>
      <c r="N3133" s="73">
        <v>67262</v>
      </c>
      <c r="O3133" s="73">
        <v>67262</v>
      </c>
      <c r="P3133">
        <v>34.681374159610094</v>
      </c>
    </row>
    <row r="3134" spans="1:16" x14ac:dyDescent="0.2">
      <c r="A3134" s="73">
        <v>67262</v>
      </c>
      <c r="B3134" t="s">
        <v>350</v>
      </c>
      <c r="C3134" s="73" t="s">
        <v>421</v>
      </c>
      <c r="D3134" t="s">
        <v>422</v>
      </c>
      <c r="E3134" s="74">
        <v>46062</v>
      </c>
      <c r="F3134" t="s">
        <v>410</v>
      </c>
      <c r="G3134" t="s">
        <v>411</v>
      </c>
      <c r="H3134" s="75">
        <f t="shared" si="48"/>
        <v>242.76961911727065</v>
      </c>
      <c r="I3134" s="74">
        <v>46062</v>
      </c>
      <c r="J3134">
        <v>7</v>
      </c>
      <c r="K3134" t="s">
        <v>508</v>
      </c>
      <c r="L3134" t="s">
        <v>262</v>
      </c>
      <c r="M3134" t="s">
        <v>356</v>
      </c>
      <c r="N3134" s="73">
        <v>67262</v>
      </c>
      <c r="O3134" s="73">
        <v>67262</v>
      </c>
      <c r="P3134">
        <v>34.681374159610094</v>
      </c>
    </row>
    <row r="3135" spans="1:16" x14ac:dyDescent="0.2">
      <c r="A3135" s="73">
        <v>67262</v>
      </c>
      <c r="B3135" t="s">
        <v>350</v>
      </c>
      <c r="C3135" s="73" t="s">
        <v>421</v>
      </c>
      <c r="D3135" t="s">
        <v>422</v>
      </c>
      <c r="E3135" s="74">
        <v>46062</v>
      </c>
      <c r="F3135" t="s">
        <v>395</v>
      </c>
      <c r="G3135" t="s">
        <v>396</v>
      </c>
      <c r="H3135" s="75">
        <f t="shared" si="48"/>
        <v>277.45099327688075</v>
      </c>
      <c r="I3135" s="74">
        <v>46062</v>
      </c>
      <c r="J3135">
        <v>8</v>
      </c>
      <c r="K3135" t="s">
        <v>508</v>
      </c>
      <c r="L3135" t="s">
        <v>262</v>
      </c>
      <c r="M3135" t="s">
        <v>356</v>
      </c>
      <c r="N3135" s="73">
        <v>67262</v>
      </c>
      <c r="O3135" s="73">
        <v>67262</v>
      </c>
      <c r="P3135">
        <v>34.681374159610094</v>
      </c>
    </row>
    <row r="3136" spans="1:16" x14ac:dyDescent="0.2">
      <c r="A3136" s="73">
        <v>67262</v>
      </c>
      <c r="B3136" t="s">
        <v>350</v>
      </c>
      <c r="C3136" s="73" t="s">
        <v>421</v>
      </c>
      <c r="D3136" t="s">
        <v>422</v>
      </c>
      <c r="E3136" s="74">
        <v>46062</v>
      </c>
      <c r="F3136" t="s">
        <v>395</v>
      </c>
      <c r="G3136" t="s">
        <v>396</v>
      </c>
      <c r="H3136" s="75">
        <f t="shared" si="48"/>
        <v>-277.45099327688075</v>
      </c>
      <c r="I3136" s="74">
        <v>46062</v>
      </c>
      <c r="J3136">
        <v>-8</v>
      </c>
      <c r="K3136" t="s">
        <v>508</v>
      </c>
      <c r="L3136" t="s">
        <v>262</v>
      </c>
      <c r="M3136" t="s">
        <v>356</v>
      </c>
      <c r="N3136" s="73">
        <v>67262</v>
      </c>
      <c r="O3136" s="73">
        <v>67262</v>
      </c>
      <c r="P3136">
        <v>34.681374159610094</v>
      </c>
    </row>
    <row r="3137" spans="1:16" x14ac:dyDescent="0.2">
      <c r="A3137" s="73">
        <v>67262</v>
      </c>
      <c r="B3137" t="s">
        <v>350</v>
      </c>
      <c r="C3137" s="73" t="s">
        <v>421</v>
      </c>
      <c r="D3137" t="s">
        <v>422</v>
      </c>
      <c r="E3137" s="74">
        <v>46062</v>
      </c>
      <c r="F3137" t="s">
        <v>395</v>
      </c>
      <c r="G3137" t="s">
        <v>396</v>
      </c>
      <c r="H3137" s="75">
        <f t="shared" si="48"/>
        <v>277.45099327688075</v>
      </c>
      <c r="I3137" s="74">
        <v>46062</v>
      </c>
      <c r="J3137">
        <v>8</v>
      </c>
      <c r="K3137" t="s">
        <v>508</v>
      </c>
      <c r="L3137" t="s">
        <v>262</v>
      </c>
      <c r="M3137" t="s">
        <v>356</v>
      </c>
      <c r="N3137" s="73">
        <v>67262</v>
      </c>
      <c r="O3137" s="73">
        <v>67262</v>
      </c>
      <c r="P3137">
        <v>34.681374159610094</v>
      </c>
    </row>
    <row r="3138" spans="1:16" x14ac:dyDescent="0.2">
      <c r="A3138" s="73">
        <v>67262</v>
      </c>
      <c r="B3138" t="s">
        <v>350</v>
      </c>
      <c r="C3138" s="73" t="s">
        <v>421</v>
      </c>
      <c r="D3138" t="s">
        <v>422</v>
      </c>
      <c r="E3138" s="74">
        <v>46062</v>
      </c>
      <c r="F3138" t="s">
        <v>357</v>
      </c>
      <c r="G3138" t="s">
        <v>358</v>
      </c>
      <c r="H3138" s="75">
        <f t="shared" ref="H3138:H3201" si="49">J3138*P3138</f>
        <v>69.362748319220188</v>
      </c>
      <c r="I3138" s="74">
        <v>46062</v>
      </c>
      <c r="J3138">
        <v>2</v>
      </c>
      <c r="K3138" t="s">
        <v>508</v>
      </c>
      <c r="L3138" t="s">
        <v>359</v>
      </c>
      <c r="M3138" t="s">
        <v>356</v>
      </c>
      <c r="N3138" s="73">
        <v>67262</v>
      </c>
      <c r="O3138" s="73">
        <v>67262</v>
      </c>
      <c r="P3138">
        <v>34.681374159610094</v>
      </c>
    </row>
    <row r="3139" spans="1:16" x14ac:dyDescent="0.2">
      <c r="A3139" s="73">
        <v>67262</v>
      </c>
      <c r="B3139" t="s">
        <v>350</v>
      </c>
      <c r="C3139" s="73" t="s">
        <v>421</v>
      </c>
      <c r="D3139" t="s">
        <v>422</v>
      </c>
      <c r="E3139" s="74">
        <v>46062</v>
      </c>
      <c r="F3139" t="s">
        <v>387</v>
      </c>
      <c r="G3139" t="s">
        <v>388</v>
      </c>
      <c r="H3139" s="75">
        <f t="shared" si="49"/>
        <v>34.681374159610094</v>
      </c>
      <c r="I3139" s="74">
        <v>46062</v>
      </c>
      <c r="J3139">
        <v>1</v>
      </c>
      <c r="K3139" t="s">
        <v>508</v>
      </c>
      <c r="L3139" t="s">
        <v>367</v>
      </c>
      <c r="M3139" t="s">
        <v>356</v>
      </c>
      <c r="N3139" s="73">
        <v>67262</v>
      </c>
      <c r="O3139" s="73">
        <v>67262</v>
      </c>
      <c r="P3139">
        <v>34.681374159610094</v>
      </c>
    </row>
    <row r="3140" spans="1:16" x14ac:dyDescent="0.2">
      <c r="A3140" s="73">
        <v>67262</v>
      </c>
      <c r="B3140" t="s">
        <v>350</v>
      </c>
      <c r="C3140" s="73" t="s">
        <v>421</v>
      </c>
      <c r="D3140" t="s">
        <v>422</v>
      </c>
      <c r="E3140" s="74">
        <v>46063</v>
      </c>
      <c r="F3140" t="s">
        <v>410</v>
      </c>
      <c r="G3140" t="s">
        <v>411</v>
      </c>
      <c r="H3140" s="75">
        <f t="shared" si="49"/>
        <v>242.76961911727065</v>
      </c>
      <c r="I3140" s="74">
        <v>46063</v>
      </c>
      <c r="J3140">
        <v>7</v>
      </c>
      <c r="K3140" t="s">
        <v>508</v>
      </c>
      <c r="L3140" t="s">
        <v>262</v>
      </c>
      <c r="M3140" t="s">
        <v>356</v>
      </c>
      <c r="N3140" s="73">
        <v>67262</v>
      </c>
      <c r="O3140" s="73">
        <v>67262</v>
      </c>
      <c r="P3140">
        <v>34.681374159610094</v>
      </c>
    </row>
    <row r="3141" spans="1:16" x14ac:dyDescent="0.2">
      <c r="A3141" s="73">
        <v>67262</v>
      </c>
      <c r="B3141" t="s">
        <v>350</v>
      </c>
      <c r="C3141" s="73" t="s">
        <v>421</v>
      </c>
      <c r="D3141" t="s">
        <v>422</v>
      </c>
      <c r="E3141" s="74">
        <v>46063</v>
      </c>
      <c r="F3141" t="s">
        <v>395</v>
      </c>
      <c r="G3141" t="s">
        <v>396</v>
      </c>
      <c r="H3141" s="75">
        <f t="shared" si="49"/>
        <v>277.45099327688075</v>
      </c>
      <c r="I3141" s="74">
        <v>46063</v>
      </c>
      <c r="J3141">
        <v>8</v>
      </c>
      <c r="K3141" t="s">
        <v>508</v>
      </c>
      <c r="L3141" t="s">
        <v>262</v>
      </c>
      <c r="M3141" t="s">
        <v>356</v>
      </c>
      <c r="N3141" s="73">
        <v>67262</v>
      </c>
      <c r="O3141" s="73">
        <v>67262</v>
      </c>
      <c r="P3141">
        <v>34.681374159610094</v>
      </c>
    </row>
    <row r="3142" spans="1:16" x14ac:dyDescent="0.2">
      <c r="A3142" s="73">
        <v>67262</v>
      </c>
      <c r="B3142" t="s">
        <v>350</v>
      </c>
      <c r="C3142" s="73" t="s">
        <v>421</v>
      </c>
      <c r="D3142" t="s">
        <v>422</v>
      </c>
      <c r="E3142" s="74">
        <v>46063</v>
      </c>
      <c r="F3142" t="s">
        <v>395</v>
      </c>
      <c r="G3142" t="s">
        <v>396</v>
      </c>
      <c r="H3142" s="75">
        <f t="shared" si="49"/>
        <v>-277.45099327688075</v>
      </c>
      <c r="I3142" s="74">
        <v>46063</v>
      </c>
      <c r="J3142">
        <v>-8</v>
      </c>
      <c r="K3142" t="s">
        <v>508</v>
      </c>
      <c r="L3142" t="s">
        <v>262</v>
      </c>
      <c r="M3142" t="s">
        <v>356</v>
      </c>
      <c r="N3142" s="73">
        <v>67262</v>
      </c>
      <c r="O3142" s="73">
        <v>67262</v>
      </c>
      <c r="P3142">
        <v>34.681374159610094</v>
      </c>
    </row>
    <row r="3143" spans="1:16" x14ac:dyDescent="0.2">
      <c r="A3143" s="73">
        <v>67262</v>
      </c>
      <c r="B3143" t="s">
        <v>350</v>
      </c>
      <c r="C3143" s="73" t="s">
        <v>421</v>
      </c>
      <c r="D3143" t="s">
        <v>422</v>
      </c>
      <c r="E3143" s="74">
        <v>46063</v>
      </c>
      <c r="F3143" t="s">
        <v>353</v>
      </c>
      <c r="G3143" t="s">
        <v>354</v>
      </c>
      <c r="H3143" s="75">
        <f t="shared" si="49"/>
        <v>69.362748319220188</v>
      </c>
      <c r="I3143" s="74">
        <v>46063</v>
      </c>
      <c r="J3143">
        <v>2</v>
      </c>
      <c r="K3143" t="s">
        <v>508</v>
      </c>
      <c r="L3143" t="s">
        <v>355</v>
      </c>
      <c r="M3143" t="s">
        <v>356</v>
      </c>
      <c r="N3143" s="73">
        <v>67262</v>
      </c>
      <c r="O3143" s="73">
        <v>67262</v>
      </c>
      <c r="P3143">
        <v>34.681374159610094</v>
      </c>
    </row>
    <row r="3144" spans="1:16" x14ac:dyDescent="0.2">
      <c r="A3144" s="73">
        <v>67262</v>
      </c>
      <c r="B3144" t="s">
        <v>350</v>
      </c>
      <c r="C3144" s="73" t="s">
        <v>421</v>
      </c>
      <c r="D3144" t="s">
        <v>422</v>
      </c>
      <c r="E3144" s="74">
        <v>46063</v>
      </c>
      <c r="F3144" t="s">
        <v>357</v>
      </c>
      <c r="G3144" t="s">
        <v>358</v>
      </c>
      <c r="H3144" s="75">
        <f t="shared" si="49"/>
        <v>69.362748319220188</v>
      </c>
      <c r="I3144" s="74">
        <v>46063</v>
      </c>
      <c r="J3144">
        <v>2</v>
      </c>
      <c r="K3144" t="s">
        <v>508</v>
      </c>
      <c r="L3144" t="s">
        <v>359</v>
      </c>
      <c r="M3144" t="s">
        <v>356</v>
      </c>
      <c r="N3144" s="73">
        <v>67262</v>
      </c>
      <c r="O3144" s="73">
        <v>67262</v>
      </c>
      <c r="P3144">
        <v>34.681374159610094</v>
      </c>
    </row>
    <row r="3145" spans="1:16" x14ac:dyDescent="0.2">
      <c r="A3145" s="73">
        <v>67262</v>
      </c>
      <c r="B3145" t="s">
        <v>350</v>
      </c>
      <c r="C3145" s="73" t="s">
        <v>421</v>
      </c>
      <c r="D3145" t="s">
        <v>422</v>
      </c>
      <c r="E3145" s="74">
        <v>46063</v>
      </c>
      <c r="F3145" t="s">
        <v>387</v>
      </c>
      <c r="G3145" t="s">
        <v>388</v>
      </c>
      <c r="H3145" s="75">
        <f t="shared" si="49"/>
        <v>34.681374159610094</v>
      </c>
      <c r="I3145" s="74">
        <v>46063</v>
      </c>
      <c r="J3145">
        <v>1</v>
      </c>
      <c r="K3145" t="s">
        <v>508</v>
      </c>
      <c r="L3145" t="s">
        <v>367</v>
      </c>
      <c r="M3145" t="s">
        <v>356</v>
      </c>
      <c r="N3145" s="73">
        <v>67262</v>
      </c>
      <c r="O3145" s="73">
        <v>67262</v>
      </c>
      <c r="P3145">
        <v>34.681374159610094</v>
      </c>
    </row>
    <row r="3146" spans="1:16" x14ac:dyDescent="0.2">
      <c r="A3146" s="73">
        <v>67262</v>
      </c>
      <c r="B3146" t="s">
        <v>350</v>
      </c>
      <c r="C3146" s="73" t="s">
        <v>421</v>
      </c>
      <c r="D3146" t="s">
        <v>422</v>
      </c>
      <c r="E3146" s="74">
        <v>46064</v>
      </c>
      <c r="F3146" t="s">
        <v>410</v>
      </c>
      <c r="G3146" t="s">
        <v>411</v>
      </c>
      <c r="H3146" s="75">
        <f t="shared" si="49"/>
        <v>242.76961911727065</v>
      </c>
      <c r="I3146" s="74">
        <v>46064</v>
      </c>
      <c r="J3146">
        <v>7</v>
      </c>
      <c r="K3146" t="s">
        <v>508</v>
      </c>
      <c r="L3146" t="s">
        <v>262</v>
      </c>
      <c r="M3146" t="s">
        <v>356</v>
      </c>
      <c r="N3146" s="73">
        <v>67262</v>
      </c>
      <c r="O3146" s="73">
        <v>67262</v>
      </c>
      <c r="P3146">
        <v>34.681374159610094</v>
      </c>
    </row>
    <row r="3147" spans="1:16" x14ac:dyDescent="0.2">
      <c r="A3147" s="73">
        <v>67262</v>
      </c>
      <c r="B3147" t="s">
        <v>350</v>
      </c>
      <c r="C3147" s="73" t="s">
        <v>421</v>
      </c>
      <c r="D3147" t="s">
        <v>422</v>
      </c>
      <c r="E3147" s="74">
        <v>46064</v>
      </c>
      <c r="F3147" t="s">
        <v>395</v>
      </c>
      <c r="G3147" t="s">
        <v>396</v>
      </c>
      <c r="H3147" s="75">
        <f t="shared" si="49"/>
        <v>277.45099327688075</v>
      </c>
      <c r="I3147" s="74">
        <v>46064</v>
      </c>
      <c r="J3147">
        <v>8</v>
      </c>
      <c r="K3147" t="s">
        <v>508</v>
      </c>
      <c r="L3147" t="s">
        <v>262</v>
      </c>
      <c r="M3147" t="s">
        <v>356</v>
      </c>
      <c r="N3147" s="73">
        <v>67262</v>
      </c>
      <c r="O3147" s="73">
        <v>67262</v>
      </c>
      <c r="P3147">
        <v>34.681374159610094</v>
      </c>
    </row>
    <row r="3148" spans="1:16" x14ac:dyDescent="0.2">
      <c r="A3148" s="73">
        <v>67262</v>
      </c>
      <c r="B3148" t="s">
        <v>350</v>
      </c>
      <c r="C3148" s="73" t="s">
        <v>421</v>
      </c>
      <c r="D3148" t="s">
        <v>422</v>
      </c>
      <c r="E3148" s="74">
        <v>46064</v>
      </c>
      <c r="F3148" t="s">
        <v>395</v>
      </c>
      <c r="G3148" t="s">
        <v>396</v>
      </c>
      <c r="H3148" s="75">
        <f t="shared" si="49"/>
        <v>-277.45099327688075</v>
      </c>
      <c r="I3148" s="74">
        <v>46064</v>
      </c>
      <c r="J3148">
        <v>-8</v>
      </c>
      <c r="K3148" t="s">
        <v>508</v>
      </c>
      <c r="L3148" t="s">
        <v>262</v>
      </c>
      <c r="M3148" t="s">
        <v>356</v>
      </c>
      <c r="N3148" s="73">
        <v>67262</v>
      </c>
      <c r="O3148" s="73">
        <v>67262</v>
      </c>
      <c r="P3148">
        <v>34.681374159610094</v>
      </c>
    </row>
    <row r="3149" spans="1:16" x14ac:dyDescent="0.2">
      <c r="A3149" s="73">
        <v>67262</v>
      </c>
      <c r="B3149" t="s">
        <v>350</v>
      </c>
      <c r="C3149" s="73" t="s">
        <v>421</v>
      </c>
      <c r="D3149" t="s">
        <v>422</v>
      </c>
      <c r="E3149" s="74">
        <v>46064</v>
      </c>
      <c r="F3149" t="s">
        <v>395</v>
      </c>
      <c r="G3149" t="s">
        <v>396</v>
      </c>
      <c r="H3149" s="75">
        <f t="shared" si="49"/>
        <v>277.45099327688075</v>
      </c>
      <c r="I3149" s="74">
        <v>46064</v>
      </c>
      <c r="J3149">
        <v>8</v>
      </c>
      <c r="K3149" t="s">
        <v>508</v>
      </c>
      <c r="L3149" t="s">
        <v>262</v>
      </c>
      <c r="M3149" t="s">
        <v>356</v>
      </c>
      <c r="N3149" s="73">
        <v>67262</v>
      </c>
      <c r="O3149" s="73">
        <v>67262</v>
      </c>
      <c r="P3149">
        <v>34.681374159610094</v>
      </c>
    </row>
    <row r="3150" spans="1:16" x14ac:dyDescent="0.2">
      <c r="A3150" s="73">
        <v>67262</v>
      </c>
      <c r="B3150" t="s">
        <v>350</v>
      </c>
      <c r="C3150" s="73" t="s">
        <v>421</v>
      </c>
      <c r="D3150" t="s">
        <v>422</v>
      </c>
      <c r="E3150" s="74">
        <v>46064</v>
      </c>
      <c r="F3150" t="s">
        <v>357</v>
      </c>
      <c r="G3150" t="s">
        <v>358</v>
      </c>
      <c r="H3150" s="75">
        <f t="shared" si="49"/>
        <v>69.362748319220188</v>
      </c>
      <c r="I3150" s="74">
        <v>46064</v>
      </c>
      <c r="J3150">
        <v>2</v>
      </c>
      <c r="K3150" t="s">
        <v>508</v>
      </c>
      <c r="L3150" t="s">
        <v>359</v>
      </c>
      <c r="M3150" t="s">
        <v>356</v>
      </c>
      <c r="N3150" s="73">
        <v>67262</v>
      </c>
      <c r="O3150" s="73">
        <v>67262</v>
      </c>
      <c r="P3150">
        <v>34.681374159610094</v>
      </c>
    </row>
    <row r="3151" spans="1:16" x14ac:dyDescent="0.2">
      <c r="A3151" s="73">
        <v>67262</v>
      </c>
      <c r="B3151" t="s">
        <v>350</v>
      </c>
      <c r="C3151" s="73" t="s">
        <v>421</v>
      </c>
      <c r="D3151" t="s">
        <v>422</v>
      </c>
      <c r="E3151" s="74">
        <v>46084</v>
      </c>
      <c r="F3151" t="s">
        <v>414</v>
      </c>
      <c r="G3151" t="s">
        <v>415</v>
      </c>
      <c r="H3151" s="75">
        <f t="shared" si="49"/>
        <v>260.11030619707572</v>
      </c>
      <c r="I3151" s="74">
        <v>46084</v>
      </c>
      <c r="J3151">
        <v>7.5</v>
      </c>
      <c r="K3151" t="s">
        <v>509</v>
      </c>
      <c r="L3151" t="s">
        <v>262</v>
      </c>
      <c r="M3151" t="s">
        <v>356</v>
      </c>
      <c r="N3151" s="73">
        <v>67262</v>
      </c>
      <c r="O3151" s="73">
        <v>67262</v>
      </c>
      <c r="P3151">
        <v>34.681374159610094</v>
      </c>
    </row>
    <row r="3152" spans="1:16" x14ac:dyDescent="0.2">
      <c r="A3152" s="73">
        <v>67262</v>
      </c>
      <c r="B3152" t="s">
        <v>350</v>
      </c>
      <c r="C3152" s="73" t="s">
        <v>421</v>
      </c>
      <c r="D3152" t="s">
        <v>422</v>
      </c>
      <c r="E3152" s="74">
        <v>46065</v>
      </c>
      <c r="F3152" t="s">
        <v>410</v>
      </c>
      <c r="G3152" t="s">
        <v>411</v>
      </c>
      <c r="H3152" s="75">
        <f t="shared" si="49"/>
        <v>242.76961911727065</v>
      </c>
      <c r="I3152" s="74">
        <v>46065</v>
      </c>
      <c r="J3152">
        <v>7</v>
      </c>
      <c r="K3152" t="s">
        <v>508</v>
      </c>
      <c r="L3152" t="s">
        <v>262</v>
      </c>
      <c r="M3152" t="s">
        <v>356</v>
      </c>
      <c r="N3152" s="73">
        <v>67262</v>
      </c>
      <c r="O3152" s="73">
        <v>67262</v>
      </c>
      <c r="P3152">
        <v>34.681374159610094</v>
      </c>
    </row>
    <row r="3153" spans="1:16" x14ac:dyDescent="0.2">
      <c r="A3153" s="73">
        <v>67262</v>
      </c>
      <c r="B3153" t="s">
        <v>350</v>
      </c>
      <c r="C3153" s="73" t="s">
        <v>421</v>
      </c>
      <c r="D3153" t="s">
        <v>422</v>
      </c>
      <c r="E3153" s="74">
        <v>46065</v>
      </c>
      <c r="F3153" t="s">
        <v>357</v>
      </c>
      <c r="G3153" t="s">
        <v>358</v>
      </c>
      <c r="H3153" s="75">
        <f t="shared" si="49"/>
        <v>69.362748319220188</v>
      </c>
      <c r="I3153" s="74">
        <v>46065</v>
      </c>
      <c r="J3153">
        <v>2</v>
      </c>
      <c r="K3153" t="s">
        <v>508</v>
      </c>
      <c r="L3153" t="s">
        <v>359</v>
      </c>
      <c r="M3153" t="s">
        <v>356</v>
      </c>
      <c r="N3153" s="73">
        <v>67262</v>
      </c>
      <c r="O3153" s="73">
        <v>67262</v>
      </c>
      <c r="P3153">
        <v>34.681374159610094</v>
      </c>
    </row>
    <row r="3154" spans="1:16" x14ac:dyDescent="0.2">
      <c r="A3154" s="73">
        <v>67262</v>
      </c>
      <c r="B3154" t="s">
        <v>350</v>
      </c>
      <c r="C3154" s="73" t="s">
        <v>421</v>
      </c>
      <c r="D3154" t="s">
        <v>422</v>
      </c>
      <c r="E3154" s="74">
        <v>46065</v>
      </c>
      <c r="F3154" t="s">
        <v>387</v>
      </c>
      <c r="G3154" t="s">
        <v>388</v>
      </c>
      <c r="H3154" s="75">
        <f t="shared" si="49"/>
        <v>69.362748319220188</v>
      </c>
      <c r="I3154" s="74">
        <v>46065</v>
      </c>
      <c r="J3154">
        <v>2</v>
      </c>
      <c r="K3154" t="s">
        <v>508</v>
      </c>
      <c r="L3154" t="s">
        <v>367</v>
      </c>
      <c r="M3154" t="s">
        <v>356</v>
      </c>
      <c r="N3154" s="73">
        <v>67262</v>
      </c>
      <c r="O3154" s="73">
        <v>67262</v>
      </c>
      <c r="P3154">
        <v>34.681374159610094</v>
      </c>
    </row>
    <row r="3155" spans="1:16" x14ac:dyDescent="0.2">
      <c r="A3155" s="73">
        <v>67262</v>
      </c>
      <c r="B3155" t="s">
        <v>350</v>
      </c>
      <c r="C3155" s="73" t="s">
        <v>421</v>
      </c>
      <c r="D3155" t="s">
        <v>422</v>
      </c>
      <c r="E3155" s="74">
        <v>46066</v>
      </c>
      <c r="F3155" t="s">
        <v>410</v>
      </c>
      <c r="G3155" t="s">
        <v>411</v>
      </c>
      <c r="H3155" s="75">
        <f t="shared" si="49"/>
        <v>242.76961911727065</v>
      </c>
      <c r="I3155" s="74">
        <v>46066</v>
      </c>
      <c r="J3155">
        <v>7</v>
      </c>
      <c r="K3155" t="s">
        <v>508</v>
      </c>
      <c r="L3155" t="s">
        <v>262</v>
      </c>
      <c r="M3155" t="s">
        <v>356</v>
      </c>
      <c r="N3155" s="73">
        <v>67262</v>
      </c>
      <c r="O3155" s="73">
        <v>67262</v>
      </c>
      <c r="P3155">
        <v>34.681374159610094</v>
      </c>
    </row>
    <row r="3156" spans="1:16" x14ac:dyDescent="0.2">
      <c r="A3156" s="73">
        <v>67262</v>
      </c>
      <c r="B3156" t="s">
        <v>350</v>
      </c>
      <c r="C3156" s="73" t="s">
        <v>421</v>
      </c>
      <c r="D3156" t="s">
        <v>422</v>
      </c>
      <c r="E3156" s="74">
        <v>46066</v>
      </c>
      <c r="F3156" t="s">
        <v>404</v>
      </c>
      <c r="G3156" t="s">
        <v>405</v>
      </c>
      <c r="H3156" s="75">
        <f t="shared" si="49"/>
        <v>208.08824495766055</v>
      </c>
      <c r="I3156" s="74">
        <v>46066</v>
      </c>
      <c r="J3156">
        <v>6</v>
      </c>
      <c r="K3156" t="s">
        <v>508</v>
      </c>
      <c r="L3156" t="s">
        <v>262</v>
      </c>
      <c r="M3156" t="s">
        <v>356</v>
      </c>
      <c r="N3156" s="73">
        <v>67262</v>
      </c>
      <c r="O3156" s="73">
        <v>67262</v>
      </c>
      <c r="P3156">
        <v>34.681374159610094</v>
      </c>
    </row>
    <row r="3157" spans="1:16" x14ac:dyDescent="0.2">
      <c r="A3157" s="73">
        <v>67262</v>
      </c>
      <c r="B3157" t="s">
        <v>350</v>
      </c>
      <c r="C3157" s="73" t="s">
        <v>421</v>
      </c>
      <c r="D3157" t="s">
        <v>422</v>
      </c>
      <c r="E3157" s="74">
        <v>46066</v>
      </c>
      <c r="F3157" t="s">
        <v>360</v>
      </c>
      <c r="G3157" t="s">
        <v>361</v>
      </c>
      <c r="H3157" s="75">
        <f t="shared" si="49"/>
        <v>138.72549663844038</v>
      </c>
      <c r="I3157" s="74">
        <v>46066</v>
      </c>
      <c r="J3157">
        <v>4</v>
      </c>
      <c r="K3157" t="s">
        <v>508</v>
      </c>
      <c r="L3157" t="s">
        <v>262</v>
      </c>
      <c r="M3157" t="s">
        <v>356</v>
      </c>
      <c r="N3157" s="73">
        <v>67262</v>
      </c>
      <c r="O3157" s="73">
        <v>67262</v>
      </c>
      <c r="P3157">
        <v>34.681374159610094</v>
      </c>
    </row>
    <row r="3158" spans="1:16" x14ac:dyDescent="0.2">
      <c r="A3158" s="73">
        <v>67262</v>
      </c>
      <c r="B3158" t="s">
        <v>350</v>
      </c>
      <c r="C3158" s="73" t="s">
        <v>421</v>
      </c>
      <c r="D3158" t="s">
        <v>422</v>
      </c>
      <c r="E3158" s="74">
        <v>46066</v>
      </c>
      <c r="F3158" t="s">
        <v>357</v>
      </c>
      <c r="G3158" t="s">
        <v>358</v>
      </c>
      <c r="H3158" s="75">
        <f t="shared" si="49"/>
        <v>69.362748319220188</v>
      </c>
      <c r="I3158" s="74">
        <v>46066</v>
      </c>
      <c r="J3158">
        <v>2</v>
      </c>
      <c r="K3158" t="s">
        <v>508</v>
      </c>
      <c r="L3158" t="s">
        <v>359</v>
      </c>
      <c r="M3158" t="s">
        <v>356</v>
      </c>
      <c r="N3158" s="73">
        <v>67262</v>
      </c>
      <c r="O3158" s="73">
        <v>67262</v>
      </c>
      <c r="P3158">
        <v>34.681374159610094</v>
      </c>
    </row>
    <row r="3159" spans="1:16" x14ac:dyDescent="0.2">
      <c r="A3159" s="73">
        <v>67262</v>
      </c>
      <c r="B3159" t="s">
        <v>350</v>
      </c>
      <c r="C3159" s="73" t="s">
        <v>421</v>
      </c>
      <c r="D3159" t="s">
        <v>422</v>
      </c>
      <c r="E3159" s="74">
        <v>46067</v>
      </c>
      <c r="F3159" t="s">
        <v>357</v>
      </c>
      <c r="G3159" t="s">
        <v>358</v>
      </c>
      <c r="H3159" s="75">
        <f t="shared" si="49"/>
        <v>69.362748319220188</v>
      </c>
      <c r="I3159" s="74">
        <v>46067</v>
      </c>
      <c r="J3159">
        <v>2</v>
      </c>
      <c r="K3159" t="s">
        <v>508</v>
      </c>
      <c r="L3159" t="s">
        <v>359</v>
      </c>
      <c r="M3159" t="s">
        <v>356</v>
      </c>
      <c r="N3159" s="73">
        <v>67262</v>
      </c>
      <c r="O3159" s="73">
        <v>67262</v>
      </c>
      <c r="P3159">
        <v>34.681374159610094</v>
      </c>
    </row>
    <row r="3160" spans="1:16" x14ac:dyDescent="0.2">
      <c r="A3160" s="73">
        <v>67262</v>
      </c>
      <c r="B3160" t="s">
        <v>350</v>
      </c>
      <c r="C3160" s="73" t="s">
        <v>421</v>
      </c>
      <c r="D3160" t="s">
        <v>422</v>
      </c>
      <c r="E3160" s="74">
        <v>46069</v>
      </c>
      <c r="F3160" t="s">
        <v>387</v>
      </c>
      <c r="G3160" t="s">
        <v>388</v>
      </c>
      <c r="H3160" s="75">
        <f t="shared" si="49"/>
        <v>138.72549663844038</v>
      </c>
      <c r="I3160" s="74">
        <v>46069</v>
      </c>
      <c r="J3160">
        <v>4</v>
      </c>
      <c r="K3160" t="s">
        <v>508</v>
      </c>
      <c r="L3160" t="s">
        <v>367</v>
      </c>
      <c r="M3160" t="s">
        <v>356</v>
      </c>
      <c r="N3160" s="73">
        <v>67262</v>
      </c>
      <c r="O3160" s="73">
        <v>67262</v>
      </c>
      <c r="P3160">
        <v>34.681374159610094</v>
      </c>
    </row>
    <row r="3161" spans="1:16" x14ac:dyDescent="0.2">
      <c r="A3161" s="73">
        <v>67262</v>
      </c>
      <c r="B3161" t="s">
        <v>350</v>
      </c>
      <c r="C3161" s="73" t="s">
        <v>421</v>
      </c>
      <c r="D3161" t="s">
        <v>422</v>
      </c>
      <c r="E3161" s="74">
        <v>46069</v>
      </c>
      <c r="F3161" t="s">
        <v>404</v>
      </c>
      <c r="G3161" t="s">
        <v>405</v>
      </c>
      <c r="H3161" s="75">
        <f t="shared" si="49"/>
        <v>242.76961911727065</v>
      </c>
      <c r="I3161" s="74">
        <v>46069</v>
      </c>
      <c r="J3161">
        <v>7</v>
      </c>
      <c r="K3161" t="s">
        <v>508</v>
      </c>
      <c r="L3161" t="s">
        <v>262</v>
      </c>
      <c r="M3161" t="s">
        <v>356</v>
      </c>
      <c r="N3161" s="73">
        <v>67262</v>
      </c>
      <c r="O3161" s="73">
        <v>67262</v>
      </c>
      <c r="P3161">
        <v>34.681374159610094</v>
      </c>
    </row>
    <row r="3162" spans="1:16" x14ac:dyDescent="0.2">
      <c r="A3162" s="73">
        <v>67262</v>
      </c>
      <c r="B3162" t="s">
        <v>350</v>
      </c>
      <c r="C3162" s="73" t="s">
        <v>421</v>
      </c>
      <c r="D3162" t="s">
        <v>422</v>
      </c>
      <c r="E3162" s="74">
        <v>46069</v>
      </c>
      <c r="F3162" t="s">
        <v>362</v>
      </c>
      <c r="G3162" t="s">
        <v>363</v>
      </c>
      <c r="H3162" s="75">
        <f t="shared" si="49"/>
        <v>277.45099327688075</v>
      </c>
      <c r="I3162" s="74">
        <v>46069</v>
      </c>
      <c r="J3162">
        <v>8</v>
      </c>
      <c r="K3162" t="s">
        <v>508</v>
      </c>
      <c r="L3162" t="s">
        <v>355</v>
      </c>
      <c r="M3162" t="s">
        <v>356</v>
      </c>
      <c r="N3162" s="73">
        <v>67262</v>
      </c>
      <c r="O3162" s="73">
        <v>67262</v>
      </c>
      <c r="P3162">
        <v>34.681374159610094</v>
      </c>
    </row>
    <row r="3163" spans="1:16" x14ac:dyDescent="0.2">
      <c r="A3163" s="73">
        <v>67262</v>
      </c>
      <c r="B3163" t="s">
        <v>350</v>
      </c>
      <c r="C3163" s="73" t="s">
        <v>421</v>
      </c>
      <c r="D3163" t="s">
        <v>422</v>
      </c>
      <c r="E3163" s="74">
        <v>46070</v>
      </c>
      <c r="F3163" t="s">
        <v>387</v>
      </c>
      <c r="G3163" t="s">
        <v>388</v>
      </c>
      <c r="H3163" s="75">
        <f t="shared" si="49"/>
        <v>138.72549663844038</v>
      </c>
      <c r="I3163" s="74">
        <v>46070</v>
      </c>
      <c r="J3163">
        <v>4</v>
      </c>
      <c r="K3163" t="s">
        <v>508</v>
      </c>
      <c r="L3163" t="s">
        <v>367</v>
      </c>
      <c r="M3163" t="s">
        <v>356</v>
      </c>
      <c r="N3163" s="73">
        <v>67262</v>
      </c>
      <c r="O3163" s="73">
        <v>67262</v>
      </c>
      <c r="P3163">
        <v>34.681374159610094</v>
      </c>
    </row>
    <row r="3164" spans="1:16" x14ac:dyDescent="0.2">
      <c r="A3164" s="73">
        <v>67262</v>
      </c>
      <c r="B3164" t="s">
        <v>350</v>
      </c>
      <c r="C3164" s="73" t="s">
        <v>421</v>
      </c>
      <c r="D3164" t="s">
        <v>422</v>
      </c>
      <c r="E3164" s="74">
        <v>46070</v>
      </c>
      <c r="F3164" t="s">
        <v>404</v>
      </c>
      <c r="G3164" t="s">
        <v>405</v>
      </c>
      <c r="H3164" s="75">
        <f t="shared" si="49"/>
        <v>242.76961911727065</v>
      </c>
      <c r="I3164" s="74">
        <v>46070</v>
      </c>
      <c r="J3164">
        <v>7</v>
      </c>
      <c r="K3164" t="s">
        <v>508</v>
      </c>
      <c r="L3164" t="s">
        <v>262</v>
      </c>
      <c r="M3164" t="s">
        <v>356</v>
      </c>
      <c r="N3164" s="73">
        <v>67262</v>
      </c>
      <c r="O3164" s="73">
        <v>67262</v>
      </c>
      <c r="P3164">
        <v>34.681374159610094</v>
      </c>
    </row>
    <row r="3165" spans="1:16" x14ac:dyDescent="0.2">
      <c r="A3165" s="73">
        <v>67262</v>
      </c>
      <c r="B3165" t="s">
        <v>350</v>
      </c>
      <c r="C3165" s="73" t="s">
        <v>421</v>
      </c>
      <c r="D3165" t="s">
        <v>422</v>
      </c>
      <c r="E3165" s="74">
        <v>46071</v>
      </c>
      <c r="F3165" t="s">
        <v>395</v>
      </c>
      <c r="G3165" t="s">
        <v>396</v>
      </c>
      <c r="H3165" s="75">
        <f t="shared" si="49"/>
        <v>277.45099327688075</v>
      </c>
      <c r="I3165" s="74">
        <v>46071</v>
      </c>
      <c r="J3165">
        <v>8</v>
      </c>
      <c r="K3165" t="s">
        <v>508</v>
      </c>
      <c r="L3165" t="s">
        <v>262</v>
      </c>
      <c r="M3165" t="s">
        <v>356</v>
      </c>
      <c r="N3165" s="73">
        <v>67262</v>
      </c>
      <c r="O3165" s="73">
        <v>67262</v>
      </c>
      <c r="P3165">
        <v>34.681374159610094</v>
      </c>
    </row>
    <row r="3166" spans="1:16" x14ac:dyDescent="0.2">
      <c r="A3166" s="73">
        <v>67262</v>
      </c>
      <c r="B3166" t="s">
        <v>350</v>
      </c>
      <c r="C3166" s="73" t="s">
        <v>421</v>
      </c>
      <c r="D3166" t="s">
        <v>422</v>
      </c>
      <c r="E3166" s="74">
        <v>46071</v>
      </c>
      <c r="F3166" t="s">
        <v>387</v>
      </c>
      <c r="G3166" t="s">
        <v>388</v>
      </c>
      <c r="H3166" s="75">
        <f t="shared" si="49"/>
        <v>173.40687079805048</v>
      </c>
      <c r="I3166" s="74">
        <v>46071</v>
      </c>
      <c r="J3166">
        <v>5</v>
      </c>
      <c r="K3166" t="s">
        <v>508</v>
      </c>
      <c r="L3166" t="s">
        <v>367</v>
      </c>
      <c r="M3166" t="s">
        <v>356</v>
      </c>
      <c r="N3166" s="73">
        <v>67262</v>
      </c>
      <c r="O3166" s="73">
        <v>67262</v>
      </c>
      <c r="P3166">
        <v>34.681374159610094</v>
      </c>
    </row>
    <row r="3167" spans="1:16" x14ac:dyDescent="0.2">
      <c r="A3167" s="73">
        <v>67262</v>
      </c>
      <c r="B3167" t="s">
        <v>350</v>
      </c>
      <c r="C3167" s="73" t="s">
        <v>421</v>
      </c>
      <c r="D3167" t="s">
        <v>422</v>
      </c>
      <c r="E3167" s="74">
        <v>46071</v>
      </c>
      <c r="F3167" t="s">
        <v>362</v>
      </c>
      <c r="G3167" t="s">
        <v>363</v>
      </c>
      <c r="H3167" s="75">
        <f t="shared" si="49"/>
        <v>277.45099327688075</v>
      </c>
      <c r="I3167" s="74">
        <v>46071</v>
      </c>
      <c r="J3167">
        <v>8</v>
      </c>
      <c r="K3167" t="s">
        <v>508</v>
      </c>
      <c r="L3167" t="s">
        <v>355</v>
      </c>
      <c r="M3167" t="s">
        <v>356</v>
      </c>
      <c r="N3167" s="73">
        <v>67262</v>
      </c>
      <c r="O3167" s="73">
        <v>67262</v>
      </c>
      <c r="P3167">
        <v>34.681374159610094</v>
      </c>
    </row>
    <row r="3168" spans="1:16" x14ac:dyDescent="0.2">
      <c r="A3168" s="73">
        <v>67262</v>
      </c>
      <c r="B3168" t="s">
        <v>350</v>
      </c>
      <c r="C3168" s="73" t="s">
        <v>421</v>
      </c>
      <c r="D3168" t="s">
        <v>422</v>
      </c>
      <c r="E3168" s="74">
        <v>46072</v>
      </c>
      <c r="F3168" t="s">
        <v>353</v>
      </c>
      <c r="G3168" t="s">
        <v>354</v>
      </c>
      <c r="H3168" s="75">
        <f t="shared" si="49"/>
        <v>69.362748319220188</v>
      </c>
      <c r="I3168" s="74">
        <v>46072</v>
      </c>
      <c r="J3168">
        <v>2</v>
      </c>
      <c r="K3168" t="s">
        <v>508</v>
      </c>
      <c r="L3168" t="s">
        <v>355</v>
      </c>
      <c r="M3168" t="s">
        <v>356</v>
      </c>
      <c r="N3168" s="73">
        <v>67262</v>
      </c>
      <c r="O3168" s="73">
        <v>67262</v>
      </c>
      <c r="P3168">
        <v>34.681374159610094</v>
      </c>
    </row>
    <row r="3169" spans="1:16" x14ac:dyDescent="0.2">
      <c r="A3169" s="73">
        <v>67262</v>
      </c>
      <c r="B3169" t="s">
        <v>350</v>
      </c>
      <c r="C3169" s="73" t="s">
        <v>421</v>
      </c>
      <c r="D3169" t="s">
        <v>422</v>
      </c>
      <c r="E3169" s="74">
        <v>46072</v>
      </c>
      <c r="F3169" t="s">
        <v>395</v>
      </c>
      <c r="G3169" t="s">
        <v>396</v>
      </c>
      <c r="H3169" s="75">
        <f t="shared" si="49"/>
        <v>277.45099327688075</v>
      </c>
      <c r="I3169" s="74">
        <v>46072</v>
      </c>
      <c r="J3169">
        <v>8</v>
      </c>
      <c r="K3169" t="s">
        <v>508</v>
      </c>
      <c r="L3169" t="s">
        <v>262</v>
      </c>
      <c r="M3169" t="s">
        <v>356</v>
      </c>
      <c r="N3169" s="73">
        <v>67262</v>
      </c>
      <c r="O3169" s="73">
        <v>67262</v>
      </c>
      <c r="P3169">
        <v>34.681374159610094</v>
      </c>
    </row>
    <row r="3170" spans="1:16" x14ac:dyDescent="0.2">
      <c r="A3170" s="73">
        <v>67262</v>
      </c>
      <c r="B3170" t="s">
        <v>350</v>
      </c>
      <c r="C3170" s="73" t="s">
        <v>421</v>
      </c>
      <c r="D3170" t="s">
        <v>422</v>
      </c>
      <c r="E3170" s="74">
        <v>46072</v>
      </c>
      <c r="F3170" t="s">
        <v>362</v>
      </c>
      <c r="G3170" t="s">
        <v>363</v>
      </c>
      <c r="H3170" s="75">
        <f t="shared" si="49"/>
        <v>277.45099327688075</v>
      </c>
      <c r="I3170" s="74">
        <v>46072</v>
      </c>
      <c r="J3170">
        <v>8</v>
      </c>
      <c r="K3170" t="s">
        <v>508</v>
      </c>
      <c r="L3170" t="s">
        <v>355</v>
      </c>
      <c r="M3170" t="s">
        <v>356</v>
      </c>
      <c r="N3170" s="73">
        <v>67262</v>
      </c>
      <c r="O3170" s="73">
        <v>67262</v>
      </c>
      <c r="P3170">
        <v>34.681374159610094</v>
      </c>
    </row>
    <row r="3171" spans="1:16" x14ac:dyDescent="0.2">
      <c r="A3171" s="73">
        <v>67262</v>
      </c>
      <c r="B3171" t="s">
        <v>350</v>
      </c>
      <c r="C3171" s="73" t="s">
        <v>421</v>
      </c>
      <c r="D3171" t="s">
        <v>422</v>
      </c>
      <c r="E3171" s="74">
        <v>46073</v>
      </c>
      <c r="F3171" t="s">
        <v>362</v>
      </c>
      <c r="G3171" t="s">
        <v>363</v>
      </c>
      <c r="H3171" s="75">
        <f t="shared" si="49"/>
        <v>277.45099327688075</v>
      </c>
      <c r="I3171" s="74">
        <v>46073</v>
      </c>
      <c r="J3171">
        <v>8</v>
      </c>
      <c r="K3171" t="s">
        <v>508</v>
      </c>
      <c r="L3171" t="s">
        <v>355</v>
      </c>
      <c r="M3171" t="s">
        <v>356</v>
      </c>
      <c r="N3171" s="73">
        <v>67262</v>
      </c>
      <c r="O3171" s="73">
        <v>67262</v>
      </c>
      <c r="P3171">
        <v>34.681374159610094</v>
      </c>
    </row>
    <row r="3172" spans="1:16" x14ac:dyDescent="0.2">
      <c r="A3172" s="73">
        <v>67262</v>
      </c>
      <c r="B3172" t="s">
        <v>350</v>
      </c>
      <c r="C3172" s="73" t="s">
        <v>421</v>
      </c>
      <c r="D3172" t="s">
        <v>422</v>
      </c>
      <c r="E3172" s="74">
        <v>46076</v>
      </c>
      <c r="F3172" t="s">
        <v>404</v>
      </c>
      <c r="G3172" t="s">
        <v>405</v>
      </c>
      <c r="H3172" s="75">
        <f t="shared" si="49"/>
        <v>242.76961911727065</v>
      </c>
      <c r="I3172" s="74">
        <v>46076</v>
      </c>
      <c r="J3172">
        <v>7</v>
      </c>
      <c r="K3172" t="s">
        <v>508</v>
      </c>
      <c r="L3172" t="s">
        <v>262</v>
      </c>
      <c r="M3172" t="s">
        <v>356</v>
      </c>
      <c r="N3172" s="73">
        <v>67262</v>
      </c>
      <c r="O3172" s="73">
        <v>67262</v>
      </c>
      <c r="P3172">
        <v>34.681374159610094</v>
      </c>
    </row>
    <row r="3173" spans="1:16" x14ac:dyDescent="0.2">
      <c r="A3173" s="73">
        <v>67262</v>
      </c>
      <c r="B3173" t="s">
        <v>350</v>
      </c>
      <c r="C3173" s="73" t="s">
        <v>421</v>
      </c>
      <c r="D3173" t="s">
        <v>422</v>
      </c>
      <c r="E3173" s="74">
        <v>46076</v>
      </c>
      <c r="F3173" t="s">
        <v>362</v>
      </c>
      <c r="G3173" t="s">
        <v>363</v>
      </c>
      <c r="H3173" s="75">
        <f t="shared" si="49"/>
        <v>277.45099327688075</v>
      </c>
      <c r="I3173" s="74">
        <v>46076</v>
      </c>
      <c r="J3173">
        <v>8</v>
      </c>
      <c r="K3173" t="s">
        <v>508</v>
      </c>
      <c r="L3173" t="s">
        <v>355</v>
      </c>
      <c r="M3173" t="s">
        <v>356</v>
      </c>
      <c r="N3173" s="73">
        <v>67262</v>
      </c>
      <c r="O3173" s="73">
        <v>67262</v>
      </c>
      <c r="P3173">
        <v>34.681374159610094</v>
      </c>
    </row>
    <row r="3174" spans="1:16" x14ac:dyDescent="0.2">
      <c r="A3174" s="73">
        <v>67262</v>
      </c>
      <c r="B3174" t="s">
        <v>350</v>
      </c>
      <c r="C3174" s="73" t="s">
        <v>421</v>
      </c>
      <c r="D3174" t="s">
        <v>422</v>
      </c>
      <c r="E3174" s="74">
        <v>46085</v>
      </c>
      <c r="F3174" t="s">
        <v>414</v>
      </c>
      <c r="G3174" t="s">
        <v>415</v>
      </c>
      <c r="H3174" s="75">
        <f t="shared" si="49"/>
        <v>260.11030619707572</v>
      </c>
      <c r="I3174" s="74">
        <v>46085</v>
      </c>
      <c r="J3174">
        <v>7.5</v>
      </c>
      <c r="K3174" t="s">
        <v>509</v>
      </c>
      <c r="L3174" t="s">
        <v>262</v>
      </c>
      <c r="M3174" t="s">
        <v>356</v>
      </c>
      <c r="N3174" s="73">
        <v>67262</v>
      </c>
      <c r="O3174" s="73">
        <v>67262</v>
      </c>
      <c r="P3174">
        <v>34.681374159610094</v>
      </c>
    </row>
    <row r="3175" spans="1:16" x14ac:dyDescent="0.2">
      <c r="A3175" s="73">
        <v>67262</v>
      </c>
      <c r="B3175" t="s">
        <v>350</v>
      </c>
      <c r="C3175" s="73" t="s">
        <v>421</v>
      </c>
      <c r="D3175" t="s">
        <v>422</v>
      </c>
      <c r="E3175" s="74">
        <v>46076</v>
      </c>
      <c r="F3175" t="s">
        <v>406</v>
      </c>
      <c r="G3175" t="s">
        <v>407</v>
      </c>
      <c r="H3175" s="75">
        <f t="shared" si="49"/>
        <v>173.40687079805048</v>
      </c>
      <c r="I3175" s="74">
        <v>46076</v>
      </c>
      <c r="J3175">
        <v>5</v>
      </c>
      <c r="K3175" t="s">
        <v>508</v>
      </c>
      <c r="L3175" t="s">
        <v>355</v>
      </c>
      <c r="M3175" t="s">
        <v>356</v>
      </c>
      <c r="N3175" s="73">
        <v>67262</v>
      </c>
      <c r="O3175" s="73">
        <v>67262</v>
      </c>
      <c r="P3175">
        <v>34.681374159610094</v>
      </c>
    </row>
    <row r="3176" spans="1:16" x14ac:dyDescent="0.2">
      <c r="A3176" s="73">
        <v>67262</v>
      </c>
      <c r="B3176" t="s">
        <v>350</v>
      </c>
      <c r="C3176" s="73" t="s">
        <v>421</v>
      </c>
      <c r="D3176" t="s">
        <v>422</v>
      </c>
      <c r="E3176" s="74">
        <v>46077</v>
      </c>
      <c r="F3176" t="s">
        <v>404</v>
      </c>
      <c r="G3176" t="s">
        <v>405</v>
      </c>
      <c r="H3176" s="75">
        <f t="shared" si="49"/>
        <v>242.76961911727065</v>
      </c>
      <c r="I3176" s="74">
        <v>46077</v>
      </c>
      <c r="J3176">
        <v>7</v>
      </c>
      <c r="K3176" t="s">
        <v>508</v>
      </c>
      <c r="L3176" t="s">
        <v>262</v>
      </c>
      <c r="M3176" t="s">
        <v>356</v>
      </c>
      <c r="N3176" s="73">
        <v>67262</v>
      </c>
      <c r="O3176" s="73">
        <v>67262</v>
      </c>
      <c r="P3176">
        <v>34.681374159610094</v>
      </c>
    </row>
    <row r="3177" spans="1:16" x14ac:dyDescent="0.2">
      <c r="A3177" s="73">
        <v>67262</v>
      </c>
      <c r="B3177" t="s">
        <v>350</v>
      </c>
      <c r="C3177" s="73" t="s">
        <v>421</v>
      </c>
      <c r="D3177" t="s">
        <v>422</v>
      </c>
      <c r="E3177" s="74">
        <v>46077</v>
      </c>
      <c r="F3177" t="s">
        <v>362</v>
      </c>
      <c r="G3177" t="s">
        <v>363</v>
      </c>
      <c r="H3177" s="75">
        <f t="shared" si="49"/>
        <v>277.45099327688075</v>
      </c>
      <c r="I3177" s="74">
        <v>46077</v>
      </c>
      <c r="J3177">
        <v>8</v>
      </c>
      <c r="K3177" t="s">
        <v>508</v>
      </c>
      <c r="L3177" t="s">
        <v>355</v>
      </c>
      <c r="M3177" t="s">
        <v>356</v>
      </c>
      <c r="N3177" s="73">
        <v>67262</v>
      </c>
      <c r="O3177" s="73">
        <v>67262</v>
      </c>
      <c r="P3177">
        <v>34.681374159610094</v>
      </c>
    </row>
    <row r="3178" spans="1:16" x14ac:dyDescent="0.2">
      <c r="A3178" s="73">
        <v>67262</v>
      </c>
      <c r="B3178" t="s">
        <v>350</v>
      </c>
      <c r="C3178" s="73" t="s">
        <v>421</v>
      </c>
      <c r="D3178" t="s">
        <v>422</v>
      </c>
      <c r="E3178" s="74">
        <v>46077</v>
      </c>
      <c r="F3178" t="s">
        <v>406</v>
      </c>
      <c r="G3178" t="s">
        <v>407</v>
      </c>
      <c r="H3178" s="75">
        <f t="shared" si="49"/>
        <v>173.40687079805048</v>
      </c>
      <c r="I3178" s="74">
        <v>46077</v>
      </c>
      <c r="J3178">
        <v>5</v>
      </c>
      <c r="K3178" t="s">
        <v>508</v>
      </c>
      <c r="L3178" t="s">
        <v>355</v>
      </c>
      <c r="M3178" t="s">
        <v>356</v>
      </c>
      <c r="N3178" s="73">
        <v>67262</v>
      </c>
      <c r="O3178" s="73">
        <v>67262</v>
      </c>
      <c r="P3178">
        <v>34.681374159610094</v>
      </c>
    </row>
    <row r="3179" spans="1:16" x14ac:dyDescent="0.2">
      <c r="A3179" s="73">
        <v>67262</v>
      </c>
      <c r="B3179" t="s">
        <v>350</v>
      </c>
      <c r="C3179" s="73" t="s">
        <v>421</v>
      </c>
      <c r="D3179" t="s">
        <v>422</v>
      </c>
      <c r="E3179" s="74">
        <v>46077</v>
      </c>
      <c r="F3179" t="s">
        <v>395</v>
      </c>
      <c r="G3179" t="s">
        <v>396</v>
      </c>
      <c r="H3179" s="75">
        <f t="shared" si="49"/>
        <v>277.45099327688075</v>
      </c>
      <c r="I3179" s="74">
        <v>46077</v>
      </c>
      <c r="J3179">
        <v>8</v>
      </c>
      <c r="K3179" t="s">
        <v>508</v>
      </c>
      <c r="L3179" t="s">
        <v>262</v>
      </c>
      <c r="M3179" t="s">
        <v>356</v>
      </c>
      <c r="N3179" s="73">
        <v>67262</v>
      </c>
      <c r="O3179" s="73">
        <v>67262</v>
      </c>
      <c r="P3179">
        <v>34.681374159610094</v>
      </c>
    </row>
    <row r="3180" spans="1:16" x14ac:dyDescent="0.2">
      <c r="A3180" s="73">
        <v>67262</v>
      </c>
      <c r="B3180" t="s">
        <v>350</v>
      </c>
      <c r="C3180" s="73" t="s">
        <v>421</v>
      </c>
      <c r="D3180" t="s">
        <v>422</v>
      </c>
      <c r="E3180" s="74">
        <v>46078</v>
      </c>
      <c r="F3180" t="s">
        <v>404</v>
      </c>
      <c r="G3180" t="s">
        <v>405</v>
      </c>
      <c r="H3180" s="75">
        <f t="shared" si="49"/>
        <v>138.72549663844038</v>
      </c>
      <c r="I3180" s="74">
        <v>46078</v>
      </c>
      <c r="J3180">
        <v>4</v>
      </c>
      <c r="K3180" t="s">
        <v>508</v>
      </c>
      <c r="L3180" t="s">
        <v>262</v>
      </c>
      <c r="M3180" t="s">
        <v>356</v>
      </c>
      <c r="N3180" s="73">
        <v>67262</v>
      </c>
      <c r="O3180" s="73">
        <v>67262</v>
      </c>
      <c r="P3180">
        <v>34.681374159610094</v>
      </c>
    </row>
    <row r="3181" spans="1:16" x14ac:dyDescent="0.2">
      <c r="A3181" s="73">
        <v>67262</v>
      </c>
      <c r="B3181" t="s">
        <v>350</v>
      </c>
      <c r="C3181" s="73" t="s">
        <v>421</v>
      </c>
      <c r="D3181" t="s">
        <v>422</v>
      </c>
      <c r="E3181" s="74">
        <v>46086</v>
      </c>
      <c r="F3181" t="s">
        <v>414</v>
      </c>
      <c r="G3181" t="s">
        <v>415</v>
      </c>
      <c r="H3181" s="75">
        <f t="shared" si="49"/>
        <v>260.11030619707572</v>
      </c>
      <c r="I3181" s="74">
        <v>46086</v>
      </c>
      <c r="J3181">
        <v>7.5</v>
      </c>
      <c r="K3181" t="s">
        <v>509</v>
      </c>
      <c r="L3181" t="s">
        <v>262</v>
      </c>
      <c r="M3181" t="s">
        <v>356</v>
      </c>
      <c r="N3181" s="73">
        <v>67262</v>
      </c>
      <c r="O3181" s="73">
        <v>67262</v>
      </c>
      <c r="P3181">
        <v>34.681374159610094</v>
      </c>
    </row>
    <row r="3182" spans="1:16" x14ac:dyDescent="0.2">
      <c r="A3182" s="73">
        <v>67262</v>
      </c>
      <c r="B3182" t="s">
        <v>350</v>
      </c>
      <c r="C3182" s="73" t="s">
        <v>421</v>
      </c>
      <c r="D3182" t="s">
        <v>422</v>
      </c>
      <c r="E3182" s="74">
        <v>46078</v>
      </c>
      <c r="F3182" t="s">
        <v>362</v>
      </c>
      <c r="G3182" t="s">
        <v>363</v>
      </c>
      <c r="H3182" s="75">
        <f t="shared" si="49"/>
        <v>277.45099327688075</v>
      </c>
      <c r="I3182" s="74">
        <v>46078</v>
      </c>
      <c r="J3182">
        <v>8</v>
      </c>
      <c r="K3182" t="s">
        <v>508</v>
      </c>
      <c r="L3182" t="s">
        <v>355</v>
      </c>
      <c r="M3182" t="s">
        <v>356</v>
      </c>
      <c r="N3182" s="73">
        <v>67262</v>
      </c>
      <c r="O3182" s="73">
        <v>67262</v>
      </c>
      <c r="P3182">
        <v>34.681374159610094</v>
      </c>
    </row>
    <row r="3183" spans="1:16" x14ac:dyDescent="0.2">
      <c r="A3183" s="73">
        <v>67262</v>
      </c>
      <c r="B3183" t="s">
        <v>350</v>
      </c>
      <c r="C3183" s="73" t="s">
        <v>421</v>
      </c>
      <c r="D3183" t="s">
        <v>422</v>
      </c>
      <c r="E3183" s="74">
        <v>46078</v>
      </c>
      <c r="F3183" t="s">
        <v>406</v>
      </c>
      <c r="G3183" t="s">
        <v>407</v>
      </c>
      <c r="H3183" s="75">
        <f t="shared" si="49"/>
        <v>138.72549663844038</v>
      </c>
      <c r="I3183" s="74">
        <v>46078</v>
      </c>
      <c r="J3183">
        <v>4</v>
      </c>
      <c r="K3183" t="s">
        <v>508</v>
      </c>
      <c r="L3183" t="s">
        <v>355</v>
      </c>
      <c r="M3183" t="s">
        <v>356</v>
      </c>
      <c r="N3183" s="73">
        <v>67262</v>
      </c>
      <c r="O3183" s="73">
        <v>67262</v>
      </c>
      <c r="P3183">
        <v>34.681374159610094</v>
      </c>
    </row>
    <row r="3184" spans="1:16" x14ac:dyDescent="0.2">
      <c r="A3184" s="73">
        <v>67262</v>
      </c>
      <c r="B3184" t="s">
        <v>350</v>
      </c>
      <c r="C3184" s="73" t="s">
        <v>421</v>
      </c>
      <c r="D3184" t="s">
        <v>422</v>
      </c>
      <c r="E3184" s="74">
        <v>46078</v>
      </c>
      <c r="F3184" t="s">
        <v>387</v>
      </c>
      <c r="G3184" t="s">
        <v>388</v>
      </c>
      <c r="H3184" s="75">
        <f t="shared" si="49"/>
        <v>208.08824495766055</v>
      </c>
      <c r="I3184" s="74">
        <v>46078</v>
      </c>
      <c r="J3184">
        <v>6</v>
      </c>
      <c r="K3184" t="s">
        <v>508</v>
      </c>
      <c r="L3184" t="s">
        <v>367</v>
      </c>
      <c r="M3184" t="s">
        <v>356</v>
      </c>
      <c r="N3184" s="73">
        <v>67262</v>
      </c>
      <c r="O3184" s="73">
        <v>67262</v>
      </c>
      <c r="P3184">
        <v>34.681374159610094</v>
      </c>
    </row>
    <row r="3185" spans="1:16" x14ac:dyDescent="0.2">
      <c r="A3185" s="73">
        <v>67262</v>
      </c>
      <c r="B3185" t="s">
        <v>350</v>
      </c>
      <c r="C3185" s="73" t="s">
        <v>421</v>
      </c>
      <c r="D3185" t="s">
        <v>422</v>
      </c>
      <c r="E3185" s="74">
        <v>46079</v>
      </c>
      <c r="F3185" t="s">
        <v>410</v>
      </c>
      <c r="G3185" t="s">
        <v>411</v>
      </c>
      <c r="H3185" s="75">
        <f t="shared" si="49"/>
        <v>242.76961911727065</v>
      </c>
      <c r="I3185" s="74">
        <v>46079</v>
      </c>
      <c r="J3185">
        <v>7</v>
      </c>
      <c r="K3185" t="s">
        <v>508</v>
      </c>
      <c r="L3185" t="s">
        <v>262</v>
      </c>
      <c r="M3185" t="s">
        <v>356</v>
      </c>
      <c r="N3185" s="73">
        <v>67262</v>
      </c>
      <c r="O3185" s="73">
        <v>67262</v>
      </c>
      <c r="P3185">
        <v>34.681374159610094</v>
      </c>
    </row>
    <row r="3186" spans="1:16" x14ac:dyDescent="0.2">
      <c r="A3186" s="73">
        <v>67262</v>
      </c>
      <c r="B3186" t="s">
        <v>350</v>
      </c>
      <c r="C3186" s="73" t="s">
        <v>421</v>
      </c>
      <c r="D3186" t="s">
        <v>422</v>
      </c>
      <c r="E3186" s="74">
        <v>46079</v>
      </c>
      <c r="F3186" t="s">
        <v>406</v>
      </c>
      <c r="G3186" t="s">
        <v>407</v>
      </c>
      <c r="H3186" s="75">
        <f t="shared" si="49"/>
        <v>242.76961911727065</v>
      </c>
      <c r="I3186" s="74">
        <v>46079</v>
      </c>
      <c r="J3186">
        <v>7</v>
      </c>
      <c r="K3186" t="s">
        <v>508</v>
      </c>
      <c r="L3186" t="s">
        <v>355</v>
      </c>
      <c r="M3186" t="s">
        <v>356</v>
      </c>
      <c r="N3186" s="73">
        <v>67262</v>
      </c>
      <c r="O3186" s="73">
        <v>67262</v>
      </c>
      <c r="P3186">
        <v>34.681374159610094</v>
      </c>
    </row>
    <row r="3187" spans="1:16" x14ac:dyDescent="0.2">
      <c r="A3187" s="73">
        <v>67262</v>
      </c>
      <c r="B3187" t="s">
        <v>350</v>
      </c>
      <c r="C3187" s="73" t="s">
        <v>421</v>
      </c>
      <c r="D3187" t="s">
        <v>422</v>
      </c>
      <c r="E3187" s="74">
        <v>46080</v>
      </c>
      <c r="F3187" t="s">
        <v>406</v>
      </c>
      <c r="G3187" t="s">
        <v>407</v>
      </c>
      <c r="H3187" s="75">
        <f t="shared" si="49"/>
        <v>173.40687079805048</v>
      </c>
      <c r="I3187" s="74">
        <v>46080</v>
      </c>
      <c r="J3187">
        <v>5</v>
      </c>
      <c r="K3187" t="s">
        <v>508</v>
      </c>
      <c r="L3187" t="s">
        <v>355</v>
      </c>
      <c r="M3187" t="s">
        <v>356</v>
      </c>
      <c r="N3187" s="73">
        <v>67262</v>
      </c>
      <c r="O3187" s="73">
        <v>67262</v>
      </c>
      <c r="P3187">
        <v>34.681374159610094</v>
      </c>
    </row>
    <row r="3188" spans="1:16" x14ac:dyDescent="0.2">
      <c r="A3188" s="73">
        <v>67262</v>
      </c>
      <c r="B3188" t="s">
        <v>350</v>
      </c>
      <c r="C3188" s="73" t="s">
        <v>421</v>
      </c>
      <c r="D3188" t="s">
        <v>422</v>
      </c>
      <c r="E3188" s="74">
        <v>46087</v>
      </c>
      <c r="F3188" t="s">
        <v>414</v>
      </c>
      <c r="G3188" t="s">
        <v>415</v>
      </c>
      <c r="H3188" s="75">
        <f t="shared" si="49"/>
        <v>260.11030619707572</v>
      </c>
      <c r="I3188" s="74">
        <v>46087</v>
      </c>
      <c r="J3188">
        <v>7.5</v>
      </c>
      <c r="K3188" t="s">
        <v>509</v>
      </c>
      <c r="L3188" t="s">
        <v>262</v>
      </c>
      <c r="M3188" t="s">
        <v>356</v>
      </c>
      <c r="N3188" s="73">
        <v>67262</v>
      </c>
      <c r="O3188" s="73">
        <v>67262</v>
      </c>
      <c r="P3188">
        <v>34.681374159610094</v>
      </c>
    </row>
    <row r="3189" spans="1:16" x14ac:dyDescent="0.2">
      <c r="A3189" s="73">
        <v>67262</v>
      </c>
      <c r="B3189" t="s">
        <v>350</v>
      </c>
      <c r="C3189" s="73" t="s">
        <v>421</v>
      </c>
      <c r="D3189" t="s">
        <v>422</v>
      </c>
      <c r="E3189" s="74">
        <v>46080</v>
      </c>
      <c r="F3189" t="s">
        <v>362</v>
      </c>
      <c r="G3189" t="s">
        <v>363</v>
      </c>
      <c r="H3189" s="75">
        <f t="shared" si="49"/>
        <v>277.45099327688075</v>
      </c>
      <c r="I3189" s="74">
        <v>46080</v>
      </c>
      <c r="J3189">
        <v>8</v>
      </c>
      <c r="K3189" t="s">
        <v>508</v>
      </c>
      <c r="L3189" t="s">
        <v>355</v>
      </c>
      <c r="M3189" t="s">
        <v>356</v>
      </c>
      <c r="N3189" s="73">
        <v>67262</v>
      </c>
      <c r="O3189" s="73">
        <v>67262</v>
      </c>
      <c r="P3189">
        <v>34.681374159610094</v>
      </c>
    </row>
    <row r="3190" spans="1:16" x14ac:dyDescent="0.2">
      <c r="A3190" s="73">
        <v>67262</v>
      </c>
      <c r="B3190" t="s">
        <v>350</v>
      </c>
      <c r="C3190" s="73" t="s">
        <v>421</v>
      </c>
      <c r="D3190" t="s">
        <v>422</v>
      </c>
      <c r="E3190" s="74">
        <v>46080</v>
      </c>
      <c r="F3190" t="s">
        <v>410</v>
      </c>
      <c r="G3190" t="s">
        <v>411</v>
      </c>
      <c r="H3190" s="75">
        <f t="shared" si="49"/>
        <v>242.76961911727065</v>
      </c>
      <c r="I3190" s="74">
        <v>46080</v>
      </c>
      <c r="J3190">
        <v>7</v>
      </c>
      <c r="K3190" t="s">
        <v>508</v>
      </c>
      <c r="L3190" t="s">
        <v>262</v>
      </c>
      <c r="M3190" t="s">
        <v>356</v>
      </c>
      <c r="N3190" s="73">
        <v>67262</v>
      </c>
      <c r="O3190" s="73">
        <v>67262</v>
      </c>
      <c r="P3190">
        <v>34.681374159610094</v>
      </c>
    </row>
    <row r="3191" spans="1:16" x14ac:dyDescent="0.2">
      <c r="A3191" s="73">
        <v>67262</v>
      </c>
      <c r="B3191" t="s">
        <v>350</v>
      </c>
      <c r="C3191" s="73" t="s">
        <v>421</v>
      </c>
      <c r="D3191" t="s">
        <v>422</v>
      </c>
      <c r="E3191" s="74">
        <v>46079</v>
      </c>
      <c r="F3191" t="s">
        <v>387</v>
      </c>
      <c r="G3191" t="s">
        <v>388</v>
      </c>
      <c r="H3191" s="75">
        <f t="shared" si="49"/>
        <v>277.45099327688075</v>
      </c>
      <c r="I3191" s="74">
        <v>46079</v>
      </c>
      <c r="J3191">
        <v>8</v>
      </c>
      <c r="K3191" t="s">
        <v>508</v>
      </c>
      <c r="L3191" t="s">
        <v>367</v>
      </c>
      <c r="M3191" t="s">
        <v>356</v>
      </c>
      <c r="N3191" s="73">
        <v>67262</v>
      </c>
      <c r="O3191" s="73">
        <v>67262</v>
      </c>
      <c r="P3191">
        <v>34.681374159610094</v>
      </c>
    </row>
    <row r="3192" spans="1:16" x14ac:dyDescent="0.2">
      <c r="A3192" s="73">
        <v>67262</v>
      </c>
      <c r="B3192" t="s">
        <v>350</v>
      </c>
      <c r="C3192" s="73" t="s">
        <v>421</v>
      </c>
      <c r="D3192" t="s">
        <v>422</v>
      </c>
      <c r="E3192" s="74">
        <v>46080</v>
      </c>
      <c r="F3192" t="s">
        <v>387</v>
      </c>
      <c r="G3192" t="s">
        <v>388</v>
      </c>
      <c r="H3192" s="75">
        <f t="shared" si="49"/>
        <v>277.45099327688075</v>
      </c>
      <c r="I3192" s="74">
        <v>46080</v>
      </c>
      <c r="J3192">
        <v>8</v>
      </c>
      <c r="K3192" t="s">
        <v>508</v>
      </c>
      <c r="L3192" t="s">
        <v>367</v>
      </c>
      <c r="M3192" t="s">
        <v>356</v>
      </c>
      <c r="N3192" s="73">
        <v>67262</v>
      </c>
      <c r="O3192" s="73">
        <v>67262</v>
      </c>
      <c r="P3192">
        <v>34.681374159610094</v>
      </c>
    </row>
    <row r="3193" spans="1:16" x14ac:dyDescent="0.2">
      <c r="A3193" s="73">
        <v>67262</v>
      </c>
      <c r="B3193" t="s">
        <v>350</v>
      </c>
      <c r="C3193" s="73" t="s">
        <v>421</v>
      </c>
      <c r="D3193" t="s">
        <v>422</v>
      </c>
      <c r="E3193" s="74">
        <v>46083</v>
      </c>
      <c r="F3193" t="s">
        <v>406</v>
      </c>
      <c r="G3193" t="s">
        <v>407</v>
      </c>
      <c r="H3193" s="75">
        <f t="shared" si="49"/>
        <v>173.40687079805048</v>
      </c>
      <c r="I3193" s="74">
        <v>46083</v>
      </c>
      <c r="J3193">
        <v>5</v>
      </c>
      <c r="K3193" t="s">
        <v>509</v>
      </c>
      <c r="L3193" t="s">
        <v>355</v>
      </c>
      <c r="M3193" t="s">
        <v>356</v>
      </c>
      <c r="N3193" s="73">
        <v>67262</v>
      </c>
      <c r="O3193" s="73">
        <v>67262</v>
      </c>
      <c r="P3193">
        <v>34.681374159610094</v>
      </c>
    </row>
    <row r="3194" spans="1:16" x14ac:dyDescent="0.2">
      <c r="A3194" s="73">
        <v>67262</v>
      </c>
      <c r="B3194" t="s">
        <v>350</v>
      </c>
      <c r="C3194" s="73" t="s">
        <v>421</v>
      </c>
      <c r="D3194" t="s">
        <v>422</v>
      </c>
      <c r="E3194" s="74">
        <v>46083</v>
      </c>
      <c r="F3194" t="s">
        <v>410</v>
      </c>
      <c r="G3194" t="s">
        <v>411</v>
      </c>
      <c r="H3194" s="75">
        <f t="shared" si="49"/>
        <v>242.76961911727065</v>
      </c>
      <c r="I3194" s="74">
        <v>46083</v>
      </c>
      <c r="J3194">
        <v>7</v>
      </c>
      <c r="K3194" t="s">
        <v>509</v>
      </c>
      <c r="L3194" t="s">
        <v>262</v>
      </c>
      <c r="M3194" t="s">
        <v>356</v>
      </c>
      <c r="N3194" s="73">
        <v>67262</v>
      </c>
      <c r="O3194" s="73">
        <v>67262</v>
      </c>
      <c r="P3194">
        <v>34.681374159610094</v>
      </c>
    </row>
    <row r="3195" spans="1:16" x14ac:dyDescent="0.2">
      <c r="A3195" s="73">
        <v>67262</v>
      </c>
      <c r="B3195" t="s">
        <v>350</v>
      </c>
      <c r="C3195" s="73" t="s">
        <v>421</v>
      </c>
      <c r="D3195" t="s">
        <v>422</v>
      </c>
      <c r="E3195" s="74">
        <v>46090</v>
      </c>
      <c r="F3195" t="s">
        <v>414</v>
      </c>
      <c r="G3195" t="s">
        <v>415</v>
      </c>
      <c r="H3195" s="75">
        <f t="shared" si="49"/>
        <v>260.11030619707572</v>
      </c>
      <c r="I3195" s="74">
        <v>46090</v>
      </c>
      <c r="J3195">
        <v>7.5</v>
      </c>
      <c r="K3195" t="s">
        <v>509</v>
      </c>
      <c r="L3195" t="s">
        <v>262</v>
      </c>
      <c r="M3195" t="s">
        <v>356</v>
      </c>
      <c r="N3195" s="73">
        <v>67262</v>
      </c>
      <c r="O3195" s="73">
        <v>67262</v>
      </c>
      <c r="P3195">
        <v>34.681374159610094</v>
      </c>
    </row>
    <row r="3196" spans="1:16" x14ac:dyDescent="0.2">
      <c r="A3196" s="73">
        <v>67262</v>
      </c>
      <c r="B3196" t="s">
        <v>350</v>
      </c>
      <c r="C3196" s="73" t="s">
        <v>421</v>
      </c>
      <c r="D3196" t="s">
        <v>422</v>
      </c>
      <c r="E3196" s="74">
        <v>46085</v>
      </c>
      <c r="F3196" t="s">
        <v>362</v>
      </c>
      <c r="G3196" t="s">
        <v>363</v>
      </c>
      <c r="H3196" s="75">
        <f t="shared" si="49"/>
        <v>277.45099327688075</v>
      </c>
      <c r="I3196" s="74">
        <v>46085</v>
      </c>
      <c r="J3196">
        <v>8</v>
      </c>
      <c r="K3196" t="s">
        <v>509</v>
      </c>
      <c r="L3196" t="s">
        <v>355</v>
      </c>
      <c r="M3196" t="s">
        <v>356</v>
      </c>
      <c r="N3196" s="73">
        <v>67262</v>
      </c>
      <c r="O3196" s="73">
        <v>67262</v>
      </c>
      <c r="P3196">
        <v>34.681374159610094</v>
      </c>
    </row>
    <row r="3197" spans="1:16" x14ac:dyDescent="0.2">
      <c r="A3197" s="73">
        <v>67262</v>
      </c>
      <c r="B3197" t="s">
        <v>350</v>
      </c>
      <c r="C3197" s="73" t="s">
        <v>421</v>
      </c>
      <c r="D3197" t="s">
        <v>422</v>
      </c>
      <c r="E3197" s="74">
        <v>46091</v>
      </c>
      <c r="F3197" t="s">
        <v>414</v>
      </c>
      <c r="G3197" t="s">
        <v>415</v>
      </c>
      <c r="H3197" s="75">
        <f t="shared" si="49"/>
        <v>173.40687079805048</v>
      </c>
      <c r="I3197" s="74">
        <v>46091</v>
      </c>
      <c r="J3197">
        <v>5</v>
      </c>
      <c r="K3197" t="s">
        <v>509</v>
      </c>
      <c r="L3197" t="s">
        <v>262</v>
      </c>
      <c r="M3197" t="s">
        <v>356</v>
      </c>
      <c r="N3197" s="73">
        <v>67262</v>
      </c>
      <c r="O3197" s="73">
        <v>67262</v>
      </c>
      <c r="P3197">
        <v>34.681374159610094</v>
      </c>
    </row>
    <row r="3198" spans="1:16" x14ac:dyDescent="0.2">
      <c r="A3198" s="73">
        <v>67262</v>
      </c>
      <c r="B3198" t="s">
        <v>350</v>
      </c>
      <c r="C3198" s="73" t="s">
        <v>421</v>
      </c>
      <c r="D3198" t="s">
        <v>422</v>
      </c>
      <c r="E3198" s="74">
        <v>46085</v>
      </c>
      <c r="F3198" t="s">
        <v>410</v>
      </c>
      <c r="G3198" t="s">
        <v>411</v>
      </c>
      <c r="H3198" s="75">
        <f t="shared" si="49"/>
        <v>242.76961911727065</v>
      </c>
      <c r="I3198" s="74">
        <v>46085</v>
      </c>
      <c r="J3198">
        <v>7</v>
      </c>
      <c r="K3198" t="s">
        <v>509</v>
      </c>
      <c r="L3198" t="s">
        <v>262</v>
      </c>
      <c r="M3198" t="s">
        <v>356</v>
      </c>
      <c r="N3198" s="73">
        <v>67262</v>
      </c>
      <c r="O3198" s="73">
        <v>67262</v>
      </c>
      <c r="P3198">
        <v>34.681374159610094</v>
      </c>
    </row>
    <row r="3199" spans="1:16" x14ac:dyDescent="0.2">
      <c r="A3199" s="73">
        <v>67262</v>
      </c>
      <c r="B3199" t="s">
        <v>350</v>
      </c>
      <c r="C3199" s="73" t="s">
        <v>421</v>
      </c>
      <c r="D3199" t="s">
        <v>422</v>
      </c>
      <c r="E3199" s="74">
        <v>46085</v>
      </c>
      <c r="F3199" t="s">
        <v>395</v>
      </c>
      <c r="G3199" t="s">
        <v>396</v>
      </c>
      <c r="H3199" s="75">
        <f t="shared" si="49"/>
        <v>173.40687079805048</v>
      </c>
      <c r="I3199" s="74">
        <v>46085</v>
      </c>
      <c r="J3199">
        <v>5</v>
      </c>
      <c r="K3199" t="s">
        <v>509</v>
      </c>
      <c r="L3199" t="s">
        <v>262</v>
      </c>
      <c r="M3199" t="s">
        <v>356</v>
      </c>
      <c r="N3199" s="73">
        <v>67262</v>
      </c>
      <c r="O3199" s="73">
        <v>67262</v>
      </c>
      <c r="P3199">
        <v>34.681374159610094</v>
      </c>
    </row>
    <row r="3200" spans="1:16" x14ac:dyDescent="0.2">
      <c r="A3200" s="73">
        <v>67262</v>
      </c>
      <c r="B3200" t="s">
        <v>350</v>
      </c>
      <c r="C3200" s="73" t="s">
        <v>421</v>
      </c>
      <c r="D3200" t="s">
        <v>422</v>
      </c>
      <c r="E3200" s="74">
        <v>46086</v>
      </c>
      <c r="F3200" t="s">
        <v>362</v>
      </c>
      <c r="G3200" t="s">
        <v>363</v>
      </c>
      <c r="H3200" s="75">
        <f t="shared" si="49"/>
        <v>277.45099327688075</v>
      </c>
      <c r="I3200" s="74">
        <v>46086</v>
      </c>
      <c r="J3200">
        <v>8</v>
      </c>
      <c r="K3200" t="s">
        <v>509</v>
      </c>
      <c r="L3200" t="s">
        <v>355</v>
      </c>
      <c r="M3200" t="s">
        <v>356</v>
      </c>
      <c r="N3200" s="73">
        <v>67262</v>
      </c>
      <c r="O3200" s="73">
        <v>67262</v>
      </c>
      <c r="P3200">
        <v>34.681374159610094</v>
      </c>
    </row>
    <row r="3201" spans="1:16" x14ac:dyDescent="0.2">
      <c r="A3201" s="73">
        <v>67262</v>
      </c>
      <c r="B3201" t="s">
        <v>350</v>
      </c>
      <c r="C3201" s="73" t="s">
        <v>421</v>
      </c>
      <c r="D3201" t="s">
        <v>422</v>
      </c>
      <c r="E3201" s="74">
        <v>46086</v>
      </c>
      <c r="F3201" t="s">
        <v>406</v>
      </c>
      <c r="G3201" t="s">
        <v>407</v>
      </c>
      <c r="H3201" s="75">
        <f t="shared" si="49"/>
        <v>173.40687079805048</v>
      </c>
      <c r="I3201" s="74">
        <v>46086</v>
      </c>
      <c r="J3201">
        <v>5</v>
      </c>
      <c r="K3201" t="s">
        <v>509</v>
      </c>
      <c r="L3201" t="s">
        <v>355</v>
      </c>
      <c r="M3201" t="s">
        <v>356</v>
      </c>
      <c r="N3201" s="73">
        <v>67262</v>
      </c>
      <c r="O3201" s="73">
        <v>67262</v>
      </c>
      <c r="P3201">
        <v>34.681374159610094</v>
      </c>
    </row>
    <row r="3202" spans="1:16" x14ac:dyDescent="0.2">
      <c r="A3202" s="73">
        <v>67262</v>
      </c>
      <c r="B3202" t="s">
        <v>350</v>
      </c>
      <c r="C3202" s="73" t="s">
        <v>421</v>
      </c>
      <c r="D3202" t="s">
        <v>422</v>
      </c>
      <c r="E3202" s="74">
        <v>46086</v>
      </c>
      <c r="F3202" t="s">
        <v>410</v>
      </c>
      <c r="G3202" t="s">
        <v>411</v>
      </c>
      <c r="H3202" s="75">
        <f t="shared" ref="H3202:H3265" si="50">J3202*P3202</f>
        <v>242.76961911727065</v>
      </c>
      <c r="I3202" s="74">
        <v>46086</v>
      </c>
      <c r="J3202">
        <v>7</v>
      </c>
      <c r="K3202" t="s">
        <v>509</v>
      </c>
      <c r="L3202" t="s">
        <v>262</v>
      </c>
      <c r="M3202" t="s">
        <v>356</v>
      </c>
      <c r="N3202" s="73">
        <v>67262</v>
      </c>
      <c r="O3202" s="73">
        <v>67262</v>
      </c>
      <c r="P3202">
        <v>34.681374159610094</v>
      </c>
    </row>
    <row r="3203" spans="1:16" x14ac:dyDescent="0.2">
      <c r="A3203" s="73">
        <v>67262</v>
      </c>
      <c r="B3203" t="s">
        <v>350</v>
      </c>
      <c r="C3203" s="73" t="s">
        <v>421</v>
      </c>
      <c r="D3203" t="s">
        <v>422</v>
      </c>
      <c r="E3203" s="74">
        <v>46086</v>
      </c>
      <c r="F3203" t="s">
        <v>395</v>
      </c>
      <c r="G3203" t="s">
        <v>396</v>
      </c>
      <c r="H3203" s="75">
        <f t="shared" si="50"/>
        <v>173.40687079805048</v>
      </c>
      <c r="I3203" s="74">
        <v>46086</v>
      </c>
      <c r="J3203">
        <v>5</v>
      </c>
      <c r="K3203" t="s">
        <v>509</v>
      </c>
      <c r="L3203" t="s">
        <v>262</v>
      </c>
      <c r="M3203" t="s">
        <v>356</v>
      </c>
      <c r="N3203" s="73">
        <v>67262</v>
      </c>
      <c r="O3203" s="73">
        <v>67262</v>
      </c>
      <c r="P3203">
        <v>34.681374159610094</v>
      </c>
    </row>
    <row r="3204" spans="1:16" x14ac:dyDescent="0.2">
      <c r="A3204" s="73">
        <v>67262</v>
      </c>
      <c r="B3204" t="s">
        <v>350</v>
      </c>
      <c r="C3204" s="73" t="s">
        <v>421</v>
      </c>
      <c r="D3204" t="s">
        <v>422</v>
      </c>
      <c r="E3204" s="74">
        <v>46086</v>
      </c>
      <c r="F3204" t="s">
        <v>387</v>
      </c>
      <c r="G3204" t="s">
        <v>388</v>
      </c>
      <c r="H3204" s="75">
        <f t="shared" si="50"/>
        <v>138.72549663844038</v>
      </c>
      <c r="I3204" s="74">
        <v>46086</v>
      </c>
      <c r="J3204">
        <v>4</v>
      </c>
      <c r="K3204" t="s">
        <v>509</v>
      </c>
      <c r="L3204" t="s">
        <v>367</v>
      </c>
      <c r="M3204" t="s">
        <v>356</v>
      </c>
      <c r="N3204" s="73">
        <v>67262</v>
      </c>
      <c r="O3204" s="73">
        <v>67262</v>
      </c>
      <c r="P3204">
        <v>34.681374159610094</v>
      </c>
    </row>
    <row r="3205" spans="1:16" x14ac:dyDescent="0.2">
      <c r="A3205" s="73">
        <v>67262</v>
      </c>
      <c r="B3205" t="s">
        <v>350</v>
      </c>
      <c r="C3205" s="73" t="s">
        <v>421</v>
      </c>
      <c r="D3205" t="s">
        <v>422</v>
      </c>
      <c r="E3205" s="74">
        <v>46087</v>
      </c>
      <c r="F3205" t="s">
        <v>406</v>
      </c>
      <c r="G3205" t="s">
        <v>407</v>
      </c>
      <c r="H3205" s="75">
        <f t="shared" si="50"/>
        <v>242.76961911727065</v>
      </c>
      <c r="I3205" s="74">
        <v>46087</v>
      </c>
      <c r="J3205">
        <v>7</v>
      </c>
      <c r="K3205" t="s">
        <v>509</v>
      </c>
      <c r="L3205" t="s">
        <v>355</v>
      </c>
      <c r="M3205" t="s">
        <v>356</v>
      </c>
      <c r="N3205" s="73">
        <v>67262</v>
      </c>
      <c r="O3205" s="73">
        <v>67262</v>
      </c>
      <c r="P3205">
        <v>34.681374159610094</v>
      </c>
    </row>
    <row r="3206" spans="1:16" x14ac:dyDescent="0.2">
      <c r="A3206" s="73">
        <v>67262</v>
      </c>
      <c r="B3206" t="s">
        <v>350</v>
      </c>
      <c r="C3206" s="73" t="s">
        <v>421</v>
      </c>
      <c r="D3206" t="s">
        <v>422</v>
      </c>
      <c r="E3206" s="74">
        <v>46092</v>
      </c>
      <c r="F3206" t="s">
        <v>414</v>
      </c>
      <c r="G3206" t="s">
        <v>415</v>
      </c>
      <c r="H3206" s="75">
        <f t="shared" si="50"/>
        <v>260.11030619707572</v>
      </c>
      <c r="I3206" s="74">
        <v>46092</v>
      </c>
      <c r="J3206">
        <v>7.5</v>
      </c>
      <c r="K3206" t="s">
        <v>509</v>
      </c>
      <c r="L3206" t="s">
        <v>262</v>
      </c>
      <c r="M3206" t="s">
        <v>356</v>
      </c>
      <c r="N3206" s="73">
        <v>67262</v>
      </c>
      <c r="O3206" s="73">
        <v>67262</v>
      </c>
      <c r="P3206">
        <v>34.681374159610094</v>
      </c>
    </row>
    <row r="3207" spans="1:16" x14ac:dyDescent="0.2">
      <c r="A3207" s="73">
        <v>67262</v>
      </c>
      <c r="B3207" t="s">
        <v>350</v>
      </c>
      <c r="C3207" s="73" t="s">
        <v>421</v>
      </c>
      <c r="D3207" t="s">
        <v>422</v>
      </c>
      <c r="E3207" s="74">
        <v>46087</v>
      </c>
      <c r="F3207" t="s">
        <v>404</v>
      </c>
      <c r="G3207" t="s">
        <v>405</v>
      </c>
      <c r="H3207" s="75">
        <f t="shared" si="50"/>
        <v>242.76961911727065</v>
      </c>
      <c r="I3207" s="74">
        <v>46087</v>
      </c>
      <c r="J3207">
        <v>7</v>
      </c>
      <c r="K3207" t="s">
        <v>509</v>
      </c>
      <c r="L3207" t="s">
        <v>262</v>
      </c>
      <c r="M3207" t="s">
        <v>356</v>
      </c>
      <c r="N3207" s="73">
        <v>67262</v>
      </c>
      <c r="O3207" s="73">
        <v>67262</v>
      </c>
      <c r="P3207">
        <v>34.681374159610094</v>
      </c>
    </row>
    <row r="3208" spans="1:16" x14ac:dyDescent="0.2">
      <c r="A3208" s="73">
        <v>67262</v>
      </c>
      <c r="B3208" t="s">
        <v>350</v>
      </c>
      <c r="C3208" s="73" t="s">
        <v>421</v>
      </c>
      <c r="D3208" t="s">
        <v>422</v>
      </c>
      <c r="E3208" s="74">
        <v>46087</v>
      </c>
      <c r="F3208" t="s">
        <v>395</v>
      </c>
      <c r="G3208" t="s">
        <v>396</v>
      </c>
      <c r="H3208" s="75">
        <f t="shared" si="50"/>
        <v>173.40687079805048</v>
      </c>
      <c r="I3208" s="74">
        <v>46087</v>
      </c>
      <c r="J3208">
        <v>5</v>
      </c>
      <c r="K3208" t="s">
        <v>509</v>
      </c>
      <c r="L3208" t="s">
        <v>262</v>
      </c>
      <c r="M3208" t="s">
        <v>356</v>
      </c>
      <c r="N3208" s="73">
        <v>67262</v>
      </c>
      <c r="O3208" s="73">
        <v>67262</v>
      </c>
      <c r="P3208">
        <v>34.681374159610094</v>
      </c>
    </row>
    <row r="3209" spans="1:16" x14ac:dyDescent="0.2">
      <c r="A3209" s="73">
        <v>67262</v>
      </c>
      <c r="B3209" t="s">
        <v>350</v>
      </c>
      <c r="C3209" s="73" t="s">
        <v>421</v>
      </c>
      <c r="D3209" t="s">
        <v>422</v>
      </c>
      <c r="E3209" s="74">
        <v>46090</v>
      </c>
      <c r="F3209" t="s">
        <v>410</v>
      </c>
      <c r="G3209" t="s">
        <v>411</v>
      </c>
      <c r="H3209" s="75">
        <f t="shared" si="50"/>
        <v>242.76961911727065</v>
      </c>
      <c r="I3209" s="74">
        <v>46090</v>
      </c>
      <c r="J3209">
        <v>7</v>
      </c>
      <c r="K3209" t="s">
        <v>509</v>
      </c>
      <c r="L3209" t="s">
        <v>262</v>
      </c>
      <c r="M3209" t="s">
        <v>356</v>
      </c>
      <c r="N3209" s="73">
        <v>67262</v>
      </c>
      <c r="O3209" s="73">
        <v>67262</v>
      </c>
      <c r="P3209">
        <v>34.681374159610094</v>
      </c>
    </row>
    <row r="3210" spans="1:16" x14ac:dyDescent="0.2">
      <c r="A3210" s="73">
        <v>67262</v>
      </c>
      <c r="B3210" t="s">
        <v>350</v>
      </c>
      <c r="C3210" s="73" t="s">
        <v>421</v>
      </c>
      <c r="D3210" t="s">
        <v>422</v>
      </c>
      <c r="E3210" s="74">
        <v>46090</v>
      </c>
      <c r="F3210" t="s">
        <v>404</v>
      </c>
      <c r="G3210" t="s">
        <v>405</v>
      </c>
      <c r="H3210" s="75">
        <f t="shared" si="50"/>
        <v>242.76961911727065</v>
      </c>
      <c r="I3210" s="74">
        <v>46090</v>
      </c>
      <c r="J3210">
        <v>7</v>
      </c>
      <c r="K3210" t="s">
        <v>509</v>
      </c>
      <c r="L3210" t="s">
        <v>262</v>
      </c>
      <c r="M3210" t="s">
        <v>356</v>
      </c>
      <c r="N3210" s="73">
        <v>67262</v>
      </c>
      <c r="O3210" s="73">
        <v>67262</v>
      </c>
      <c r="P3210">
        <v>34.681374159610094</v>
      </c>
    </row>
    <row r="3211" spans="1:16" x14ac:dyDescent="0.2">
      <c r="A3211" s="73">
        <v>67262</v>
      </c>
      <c r="B3211" t="s">
        <v>350</v>
      </c>
      <c r="C3211" s="73" t="s">
        <v>421</v>
      </c>
      <c r="D3211" t="s">
        <v>422</v>
      </c>
      <c r="E3211" s="74">
        <v>46090</v>
      </c>
      <c r="F3211" t="s">
        <v>406</v>
      </c>
      <c r="G3211" t="s">
        <v>407</v>
      </c>
      <c r="H3211" s="75">
        <f t="shared" si="50"/>
        <v>277.45099327688075</v>
      </c>
      <c r="I3211" s="74">
        <v>46090</v>
      </c>
      <c r="J3211">
        <v>8</v>
      </c>
      <c r="K3211" t="s">
        <v>509</v>
      </c>
      <c r="L3211" t="s">
        <v>355</v>
      </c>
      <c r="M3211" t="s">
        <v>356</v>
      </c>
      <c r="N3211" s="73">
        <v>67262</v>
      </c>
      <c r="O3211" s="73">
        <v>67262</v>
      </c>
      <c r="P3211">
        <v>34.681374159610094</v>
      </c>
    </row>
    <row r="3212" spans="1:16" x14ac:dyDescent="0.2">
      <c r="A3212" s="73">
        <v>67262</v>
      </c>
      <c r="B3212" t="s">
        <v>350</v>
      </c>
      <c r="C3212" s="73" t="s">
        <v>421</v>
      </c>
      <c r="D3212" t="s">
        <v>422</v>
      </c>
      <c r="E3212" s="74">
        <v>46090</v>
      </c>
      <c r="F3212" t="s">
        <v>362</v>
      </c>
      <c r="G3212" t="s">
        <v>363</v>
      </c>
      <c r="H3212" s="75">
        <f t="shared" si="50"/>
        <v>277.45099327688075</v>
      </c>
      <c r="I3212" s="74">
        <v>46090</v>
      </c>
      <c r="J3212">
        <v>8</v>
      </c>
      <c r="K3212" t="s">
        <v>509</v>
      </c>
      <c r="L3212" t="s">
        <v>355</v>
      </c>
      <c r="M3212" t="s">
        <v>356</v>
      </c>
      <c r="N3212" s="73">
        <v>67262</v>
      </c>
      <c r="O3212" s="73">
        <v>67262</v>
      </c>
      <c r="P3212">
        <v>34.681374159610094</v>
      </c>
    </row>
    <row r="3213" spans="1:16" x14ac:dyDescent="0.2">
      <c r="A3213" s="73">
        <v>67262</v>
      </c>
      <c r="B3213" t="s">
        <v>350</v>
      </c>
      <c r="C3213" s="73" t="s">
        <v>421</v>
      </c>
      <c r="D3213" t="s">
        <v>422</v>
      </c>
      <c r="E3213" s="74">
        <v>46090</v>
      </c>
      <c r="F3213" t="s">
        <v>387</v>
      </c>
      <c r="G3213" t="s">
        <v>388</v>
      </c>
      <c r="H3213" s="75">
        <f t="shared" si="50"/>
        <v>34.681374159610094</v>
      </c>
      <c r="I3213" s="74">
        <v>46090</v>
      </c>
      <c r="J3213">
        <v>1</v>
      </c>
      <c r="K3213" t="s">
        <v>509</v>
      </c>
      <c r="L3213" t="s">
        <v>367</v>
      </c>
      <c r="M3213" t="s">
        <v>356</v>
      </c>
      <c r="N3213" s="73">
        <v>67262</v>
      </c>
      <c r="O3213" s="73">
        <v>67262</v>
      </c>
      <c r="P3213">
        <v>34.681374159610094</v>
      </c>
    </row>
    <row r="3214" spans="1:16" x14ac:dyDescent="0.2">
      <c r="A3214" s="73">
        <v>67262</v>
      </c>
      <c r="B3214" t="s">
        <v>350</v>
      </c>
      <c r="C3214" s="73" t="s">
        <v>421</v>
      </c>
      <c r="D3214" t="s">
        <v>422</v>
      </c>
      <c r="E3214" s="74">
        <v>46091</v>
      </c>
      <c r="F3214" t="s">
        <v>410</v>
      </c>
      <c r="G3214" t="s">
        <v>411</v>
      </c>
      <c r="H3214" s="75">
        <f t="shared" si="50"/>
        <v>242.76961911727065</v>
      </c>
      <c r="I3214" s="74">
        <v>46091</v>
      </c>
      <c r="J3214">
        <v>7</v>
      </c>
      <c r="K3214" t="s">
        <v>509</v>
      </c>
      <c r="L3214" t="s">
        <v>262</v>
      </c>
      <c r="M3214" t="s">
        <v>356</v>
      </c>
      <c r="N3214" s="73">
        <v>67262</v>
      </c>
      <c r="O3214" s="73">
        <v>67262</v>
      </c>
      <c r="P3214">
        <v>34.681374159610094</v>
      </c>
    </row>
    <row r="3215" spans="1:16" x14ac:dyDescent="0.2">
      <c r="A3215" s="73">
        <v>67262</v>
      </c>
      <c r="B3215" t="s">
        <v>350</v>
      </c>
      <c r="C3215" s="73" t="s">
        <v>421</v>
      </c>
      <c r="D3215" t="s">
        <v>422</v>
      </c>
      <c r="E3215" s="74">
        <v>46091</v>
      </c>
      <c r="F3215" t="s">
        <v>404</v>
      </c>
      <c r="G3215" t="s">
        <v>405</v>
      </c>
      <c r="H3215" s="75">
        <f t="shared" si="50"/>
        <v>242.76961911727065</v>
      </c>
      <c r="I3215" s="74">
        <v>46091</v>
      </c>
      <c r="J3215">
        <v>7</v>
      </c>
      <c r="K3215" t="s">
        <v>509</v>
      </c>
      <c r="L3215" t="s">
        <v>262</v>
      </c>
      <c r="M3215" t="s">
        <v>356</v>
      </c>
      <c r="N3215" s="73">
        <v>67262</v>
      </c>
      <c r="O3215" s="73">
        <v>67262</v>
      </c>
      <c r="P3215">
        <v>34.681374159610094</v>
      </c>
    </row>
    <row r="3216" spans="1:16" x14ac:dyDescent="0.2">
      <c r="A3216" s="73">
        <v>67262</v>
      </c>
      <c r="B3216" t="s">
        <v>350</v>
      </c>
      <c r="C3216" s="73" t="s">
        <v>421</v>
      </c>
      <c r="D3216" t="s">
        <v>422</v>
      </c>
      <c r="E3216" s="74">
        <v>46090</v>
      </c>
      <c r="F3216" t="s">
        <v>395</v>
      </c>
      <c r="G3216" t="s">
        <v>396</v>
      </c>
      <c r="H3216" s="75">
        <f t="shared" si="50"/>
        <v>277.45099327688075</v>
      </c>
      <c r="I3216" s="74">
        <v>46090</v>
      </c>
      <c r="J3216">
        <v>8</v>
      </c>
      <c r="K3216" t="s">
        <v>509</v>
      </c>
      <c r="L3216" t="s">
        <v>262</v>
      </c>
      <c r="M3216" t="s">
        <v>356</v>
      </c>
      <c r="N3216" s="73">
        <v>67262</v>
      </c>
      <c r="O3216" s="73">
        <v>67262</v>
      </c>
      <c r="P3216">
        <v>34.681374159610094</v>
      </c>
    </row>
    <row r="3217" spans="1:16" x14ac:dyDescent="0.2">
      <c r="A3217" s="73">
        <v>67262</v>
      </c>
      <c r="B3217" t="s">
        <v>350</v>
      </c>
      <c r="C3217" s="73" t="s">
        <v>421</v>
      </c>
      <c r="D3217" t="s">
        <v>422</v>
      </c>
      <c r="E3217" s="74">
        <v>46091</v>
      </c>
      <c r="F3217" t="s">
        <v>406</v>
      </c>
      <c r="G3217" t="s">
        <v>407</v>
      </c>
      <c r="H3217" s="75">
        <f t="shared" si="50"/>
        <v>277.45099327688075</v>
      </c>
      <c r="I3217" s="74">
        <v>46091</v>
      </c>
      <c r="J3217">
        <v>8</v>
      </c>
      <c r="K3217" t="s">
        <v>509</v>
      </c>
      <c r="L3217" t="s">
        <v>355</v>
      </c>
      <c r="M3217" t="s">
        <v>356</v>
      </c>
      <c r="N3217" s="73">
        <v>67262</v>
      </c>
      <c r="O3217" s="73">
        <v>67262</v>
      </c>
      <c r="P3217">
        <v>34.681374159610094</v>
      </c>
    </row>
    <row r="3218" spans="1:16" x14ac:dyDescent="0.2">
      <c r="A3218" s="73">
        <v>67262</v>
      </c>
      <c r="B3218" t="s">
        <v>350</v>
      </c>
      <c r="C3218" s="73" t="s">
        <v>421</v>
      </c>
      <c r="D3218" t="s">
        <v>422</v>
      </c>
      <c r="E3218" s="74">
        <v>46091</v>
      </c>
      <c r="F3218" t="s">
        <v>362</v>
      </c>
      <c r="G3218" t="s">
        <v>363</v>
      </c>
      <c r="H3218" s="75">
        <f t="shared" si="50"/>
        <v>277.45099327688075</v>
      </c>
      <c r="I3218" s="74">
        <v>46091</v>
      </c>
      <c r="J3218">
        <v>8</v>
      </c>
      <c r="K3218" t="s">
        <v>509</v>
      </c>
      <c r="L3218" t="s">
        <v>355</v>
      </c>
      <c r="M3218" t="s">
        <v>356</v>
      </c>
      <c r="N3218" s="73">
        <v>67262</v>
      </c>
      <c r="O3218" s="73">
        <v>67262</v>
      </c>
      <c r="P3218">
        <v>34.681374159610094</v>
      </c>
    </row>
    <row r="3219" spans="1:16" x14ac:dyDescent="0.2">
      <c r="A3219" s="73">
        <v>67262</v>
      </c>
      <c r="B3219" t="s">
        <v>350</v>
      </c>
      <c r="C3219" s="73" t="s">
        <v>421</v>
      </c>
      <c r="D3219" t="s">
        <v>422</v>
      </c>
      <c r="E3219" s="74">
        <v>46093</v>
      </c>
      <c r="F3219" t="s">
        <v>414</v>
      </c>
      <c r="G3219" t="s">
        <v>415</v>
      </c>
      <c r="H3219" s="75">
        <f t="shared" si="50"/>
        <v>260.11030619707572</v>
      </c>
      <c r="I3219" s="74">
        <v>46093</v>
      </c>
      <c r="J3219">
        <v>7.5</v>
      </c>
      <c r="K3219" t="s">
        <v>509</v>
      </c>
      <c r="L3219" t="s">
        <v>262</v>
      </c>
      <c r="M3219" t="s">
        <v>356</v>
      </c>
      <c r="N3219" s="73">
        <v>67262</v>
      </c>
      <c r="O3219" s="73">
        <v>67262</v>
      </c>
      <c r="P3219">
        <v>34.681374159610094</v>
      </c>
    </row>
    <row r="3220" spans="1:16" x14ac:dyDescent="0.2">
      <c r="A3220" s="73">
        <v>67262</v>
      </c>
      <c r="B3220" t="s">
        <v>350</v>
      </c>
      <c r="C3220" s="73" t="s">
        <v>421</v>
      </c>
      <c r="D3220" t="s">
        <v>422</v>
      </c>
      <c r="E3220" s="74">
        <v>46091</v>
      </c>
      <c r="F3220" t="s">
        <v>395</v>
      </c>
      <c r="G3220" t="s">
        <v>396</v>
      </c>
      <c r="H3220" s="75">
        <f t="shared" si="50"/>
        <v>277.45099327688075</v>
      </c>
      <c r="I3220" s="74">
        <v>46091</v>
      </c>
      <c r="J3220">
        <v>8</v>
      </c>
      <c r="K3220" t="s">
        <v>509</v>
      </c>
      <c r="L3220" t="s">
        <v>262</v>
      </c>
      <c r="M3220" t="s">
        <v>356</v>
      </c>
      <c r="N3220" s="73">
        <v>67262</v>
      </c>
      <c r="O3220" s="73">
        <v>67262</v>
      </c>
      <c r="P3220">
        <v>34.681374159610094</v>
      </c>
    </row>
    <row r="3221" spans="1:16" x14ac:dyDescent="0.2">
      <c r="A3221" s="73">
        <v>67262</v>
      </c>
      <c r="B3221" t="s">
        <v>350</v>
      </c>
      <c r="C3221" s="73" t="s">
        <v>421</v>
      </c>
      <c r="D3221" t="s">
        <v>422</v>
      </c>
      <c r="E3221" s="74">
        <v>46092</v>
      </c>
      <c r="F3221" t="s">
        <v>410</v>
      </c>
      <c r="G3221" t="s">
        <v>411</v>
      </c>
      <c r="H3221" s="75">
        <f t="shared" si="50"/>
        <v>242.76961911727065</v>
      </c>
      <c r="I3221" s="74">
        <v>46092</v>
      </c>
      <c r="J3221">
        <v>7</v>
      </c>
      <c r="K3221" t="s">
        <v>509</v>
      </c>
      <c r="L3221" t="s">
        <v>262</v>
      </c>
      <c r="M3221" t="s">
        <v>356</v>
      </c>
      <c r="N3221" s="73">
        <v>67262</v>
      </c>
      <c r="O3221" s="73">
        <v>67262</v>
      </c>
      <c r="P3221">
        <v>34.681374159610094</v>
      </c>
    </row>
    <row r="3222" spans="1:16" x14ac:dyDescent="0.2">
      <c r="A3222" s="73">
        <v>67262</v>
      </c>
      <c r="B3222" t="s">
        <v>350</v>
      </c>
      <c r="C3222" s="73" t="s">
        <v>421</v>
      </c>
      <c r="D3222" t="s">
        <v>422</v>
      </c>
      <c r="E3222" s="74">
        <v>46092</v>
      </c>
      <c r="F3222" t="s">
        <v>404</v>
      </c>
      <c r="G3222" t="s">
        <v>405</v>
      </c>
      <c r="H3222" s="75">
        <f t="shared" si="50"/>
        <v>242.76961911727065</v>
      </c>
      <c r="I3222" s="74">
        <v>46092</v>
      </c>
      <c r="J3222">
        <v>7</v>
      </c>
      <c r="K3222" t="s">
        <v>509</v>
      </c>
      <c r="L3222" t="s">
        <v>262</v>
      </c>
      <c r="M3222" t="s">
        <v>356</v>
      </c>
      <c r="N3222" s="73">
        <v>67262</v>
      </c>
      <c r="O3222" s="73">
        <v>67262</v>
      </c>
      <c r="P3222">
        <v>34.681374159610094</v>
      </c>
    </row>
    <row r="3223" spans="1:16" x14ac:dyDescent="0.2">
      <c r="A3223" s="73">
        <v>67262</v>
      </c>
      <c r="B3223" t="s">
        <v>350</v>
      </c>
      <c r="C3223" s="73" t="s">
        <v>421</v>
      </c>
      <c r="D3223" t="s">
        <v>422</v>
      </c>
      <c r="E3223" s="74">
        <v>46092</v>
      </c>
      <c r="F3223" t="s">
        <v>406</v>
      </c>
      <c r="G3223" t="s">
        <v>407</v>
      </c>
      <c r="H3223" s="75">
        <f t="shared" si="50"/>
        <v>277.45099327688075</v>
      </c>
      <c r="I3223" s="74">
        <v>46092</v>
      </c>
      <c r="J3223">
        <v>8</v>
      </c>
      <c r="K3223" t="s">
        <v>509</v>
      </c>
      <c r="L3223" t="s">
        <v>355</v>
      </c>
      <c r="M3223" t="s">
        <v>356</v>
      </c>
      <c r="N3223" s="73">
        <v>67262</v>
      </c>
      <c r="O3223" s="73">
        <v>67262</v>
      </c>
      <c r="P3223">
        <v>34.681374159610094</v>
      </c>
    </row>
    <row r="3224" spans="1:16" x14ac:dyDescent="0.2">
      <c r="A3224" s="73">
        <v>67262</v>
      </c>
      <c r="B3224" t="s">
        <v>350</v>
      </c>
      <c r="C3224" s="73" t="s">
        <v>421</v>
      </c>
      <c r="D3224" t="s">
        <v>422</v>
      </c>
      <c r="E3224" s="74">
        <v>46092</v>
      </c>
      <c r="F3224" t="s">
        <v>362</v>
      </c>
      <c r="G3224" t="s">
        <v>363</v>
      </c>
      <c r="H3224" s="75">
        <f t="shared" si="50"/>
        <v>277.45099327688075</v>
      </c>
      <c r="I3224" s="74">
        <v>46092</v>
      </c>
      <c r="J3224">
        <v>8</v>
      </c>
      <c r="K3224" t="s">
        <v>509</v>
      </c>
      <c r="L3224" t="s">
        <v>355</v>
      </c>
      <c r="M3224" t="s">
        <v>356</v>
      </c>
      <c r="N3224" s="73">
        <v>67262</v>
      </c>
      <c r="O3224" s="73">
        <v>67262</v>
      </c>
      <c r="P3224">
        <v>34.681374159610094</v>
      </c>
    </row>
    <row r="3225" spans="1:16" x14ac:dyDescent="0.2">
      <c r="A3225" s="73">
        <v>67262</v>
      </c>
      <c r="B3225" t="s">
        <v>350</v>
      </c>
      <c r="C3225" s="73" t="s">
        <v>421</v>
      </c>
      <c r="D3225" t="s">
        <v>422</v>
      </c>
      <c r="E3225" s="74">
        <v>46093</v>
      </c>
      <c r="F3225" t="s">
        <v>410</v>
      </c>
      <c r="G3225" t="s">
        <v>411</v>
      </c>
      <c r="H3225" s="75">
        <f t="shared" si="50"/>
        <v>242.76961911727065</v>
      </c>
      <c r="I3225" s="74">
        <v>46093</v>
      </c>
      <c r="J3225">
        <v>7</v>
      </c>
      <c r="K3225" t="s">
        <v>509</v>
      </c>
      <c r="L3225" t="s">
        <v>262</v>
      </c>
      <c r="M3225" t="s">
        <v>356</v>
      </c>
      <c r="N3225" s="73">
        <v>67262</v>
      </c>
      <c r="O3225" s="73">
        <v>67262</v>
      </c>
      <c r="P3225">
        <v>34.681374159610094</v>
      </c>
    </row>
    <row r="3226" spans="1:16" x14ac:dyDescent="0.2">
      <c r="A3226" s="73">
        <v>67262</v>
      </c>
      <c r="B3226" t="s">
        <v>350</v>
      </c>
      <c r="C3226" s="73" t="s">
        <v>421</v>
      </c>
      <c r="D3226" t="s">
        <v>422</v>
      </c>
      <c r="E3226" s="74">
        <v>46093</v>
      </c>
      <c r="F3226" t="s">
        <v>404</v>
      </c>
      <c r="G3226" t="s">
        <v>405</v>
      </c>
      <c r="H3226" s="75">
        <f t="shared" si="50"/>
        <v>242.76961911727065</v>
      </c>
      <c r="I3226" s="74">
        <v>46093</v>
      </c>
      <c r="J3226">
        <v>7</v>
      </c>
      <c r="K3226" t="s">
        <v>509</v>
      </c>
      <c r="L3226" t="s">
        <v>262</v>
      </c>
      <c r="M3226" t="s">
        <v>356</v>
      </c>
      <c r="N3226" s="73">
        <v>67262</v>
      </c>
      <c r="O3226" s="73">
        <v>67262</v>
      </c>
      <c r="P3226">
        <v>34.681374159610094</v>
      </c>
    </row>
    <row r="3227" spans="1:16" x14ac:dyDescent="0.2">
      <c r="A3227" s="73">
        <v>67262</v>
      </c>
      <c r="B3227" t="s">
        <v>350</v>
      </c>
      <c r="C3227" s="73" t="s">
        <v>421</v>
      </c>
      <c r="D3227" t="s">
        <v>422</v>
      </c>
      <c r="E3227" s="74">
        <v>46093</v>
      </c>
      <c r="F3227" t="s">
        <v>406</v>
      </c>
      <c r="G3227" t="s">
        <v>407</v>
      </c>
      <c r="H3227" s="75">
        <f t="shared" si="50"/>
        <v>277.45099327688075</v>
      </c>
      <c r="I3227" s="74">
        <v>46093</v>
      </c>
      <c r="J3227">
        <v>8</v>
      </c>
      <c r="K3227" t="s">
        <v>509</v>
      </c>
      <c r="L3227" t="s">
        <v>355</v>
      </c>
      <c r="M3227" t="s">
        <v>356</v>
      </c>
      <c r="N3227" s="73">
        <v>67262</v>
      </c>
      <c r="O3227" s="73">
        <v>67262</v>
      </c>
      <c r="P3227">
        <v>34.681374159610094</v>
      </c>
    </row>
    <row r="3228" spans="1:16" x14ac:dyDescent="0.2">
      <c r="A3228" s="73">
        <v>67262</v>
      </c>
      <c r="B3228" t="s">
        <v>350</v>
      </c>
      <c r="C3228" s="73" t="s">
        <v>421</v>
      </c>
      <c r="D3228" t="s">
        <v>422</v>
      </c>
      <c r="E3228" s="74">
        <v>46093</v>
      </c>
      <c r="F3228" t="s">
        <v>362</v>
      </c>
      <c r="G3228" t="s">
        <v>363</v>
      </c>
      <c r="H3228" s="75">
        <f t="shared" si="50"/>
        <v>277.45099327688075</v>
      </c>
      <c r="I3228" s="74">
        <v>46093</v>
      </c>
      <c r="J3228">
        <v>8</v>
      </c>
      <c r="K3228" t="s">
        <v>509</v>
      </c>
      <c r="L3228" t="s">
        <v>355</v>
      </c>
      <c r="M3228" t="s">
        <v>356</v>
      </c>
      <c r="N3228" s="73">
        <v>67262</v>
      </c>
      <c r="O3228" s="73">
        <v>67262</v>
      </c>
      <c r="P3228">
        <v>34.681374159610094</v>
      </c>
    </row>
    <row r="3229" spans="1:16" x14ac:dyDescent="0.2">
      <c r="A3229" s="73">
        <v>67262</v>
      </c>
      <c r="B3229" t="s">
        <v>350</v>
      </c>
      <c r="C3229" s="73" t="s">
        <v>421</v>
      </c>
      <c r="D3229" t="s">
        <v>422</v>
      </c>
      <c r="E3229" s="74">
        <v>46092</v>
      </c>
      <c r="F3229" t="s">
        <v>395</v>
      </c>
      <c r="G3229" t="s">
        <v>396</v>
      </c>
      <c r="H3229" s="75">
        <f t="shared" si="50"/>
        <v>277.45099327688075</v>
      </c>
      <c r="I3229" s="74">
        <v>46092</v>
      </c>
      <c r="J3229">
        <v>8</v>
      </c>
      <c r="K3229" t="s">
        <v>509</v>
      </c>
      <c r="L3229" t="s">
        <v>262</v>
      </c>
      <c r="M3229" t="s">
        <v>356</v>
      </c>
      <c r="N3229" s="73">
        <v>67262</v>
      </c>
      <c r="O3229" s="73">
        <v>67262</v>
      </c>
      <c r="P3229">
        <v>34.681374159610094</v>
      </c>
    </row>
    <row r="3230" spans="1:16" x14ac:dyDescent="0.2">
      <c r="A3230" s="73">
        <v>67262</v>
      </c>
      <c r="B3230" t="s">
        <v>350</v>
      </c>
      <c r="C3230" s="73" t="s">
        <v>421</v>
      </c>
      <c r="D3230" t="s">
        <v>422</v>
      </c>
      <c r="E3230" s="74">
        <v>46093</v>
      </c>
      <c r="F3230" t="s">
        <v>387</v>
      </c>
      <c r="G3230" t="s">
        <v>388</v>
      </c>
      <c r="H3230" s="75">
        <f t="shared" si="50"/>
        <v>104.04412247883027</v>
      </c>
      <c r="I3230" s="74">
        <v>46093</v>
      </c>
      <c r="J3230">
        <v>3</v>
      </c>
      <c r="K3230" t="s">
        <v>509</v>
      </c>
      <c r="L3230" t="s">
        <v>367</v>
      </c>
      <c r="M3230" t="s">
        <v>356</v>
      </c>
      <c r="N3230" s="73">
        <v>67262</v>
      </c>
      <c r="O3230" s="73">
        <v>67262</v>
      </c>
      <c r="P3230">
        <v>34.681374159610094</v>
      </c>
    </row>
    <row r="3231" spans="1:16" x14ac:dyDescent="0.2">
      <c r="A3231" s="73">
        <v>67262</v>
      </c>
      <c r="B3231" t="s">
        <v>350</v>
      </c>
      <c r="C3231" s="73" t="s">
        <v>421</v>
      </c>
      <c r="D3231" t="s">
        <v>422</v>
      </c>
      <c r="E3231" s="74">
        <v>46094</v>
      </c>
      <c r="F3231" t="s">
        <v>414</v>
      </c>
      <c r="G3231" t="s">
        <v>415</v>
      </c>
      <c r="H3231" s="75">
        <f t="shared" si="50"/>
        <v>260.11030619707572</v>
      </c>
      <c r="I3231" s="74">
        <v>46094</v>
      </c>
      <c r="J3231">
        <v>7.5</v>
      </c>
      <c r="K3231" t="s">
        <v>509</v>
      </c>
      <c r="L3231" t="s">
        <v>262</v>
      </c>
      <c r="M3231" t="s">
        <v>356</v>
      </c>
      <c r="N3231" s="73">
        <v>67262</v>
      </c>
      <c r="O3231" s="73">
        <v>67262</v>
      </c>
      <c r="P3231">
        <v>34.681374159610094</v>
      </c>
    </row>
    <row r="3232" spans="1:16" x14ac:dyDescent="0.2">
      <c r="A3232" s="73">
        <v>67262</v>
      </c>
      <c r="B3232" t="s">
        <v>350</v>
      </c>
      <c r="C3232" s="73" t="s">
        <v>421</v>
      </c>
      <c r="D3232" t="s">
        <v>422</v>
      </c>
      <c r="E3232" s="74">
        <v>46093</v>
      </c>
      <c r="F3232" t="s">
        <v>395</v>
      </c>
      <c r="G3232" t="s">
        <v>396</v>
      </c>
      <c r="H3232" s="75">
        <f t="shared" si="50"/>
        <v>138.72549663844038</v>
      </c>
      <c r="I3232" s="74">
        <v>46093</v>
      </c>
      <c r="J3232">
        <v>4</v>
      </c>
      <c r="K3232" t="s">
        <v>509</v>
      </c>
      <c r="L3232" t="s">
        <v>262</v>
      </c>
      <c r="M3232" t="s">
        <v>356</v>
      </c>
      <c r="N3232" s="73">
        <v>67262</v>
      </c>
      <c r="O3232" s="73">
        <v>67262</v>
      </c>
      <c r="P3232">
        <v>34.681374159610094</v>
      </c>
    </row>
    <row r="3233" spans="1:16" x14ac:dyDescent="0.2">
      <c r="A3233" s="73">
        <v>67262</v>
      </c>
      <c r="B3233" t="s">
        <v>350</v>
      </c>
      <c r="C3233" s="73" t="s">
        <v>421</v>
      </c>
      <c r="D3233" t="s">
        <v>422</v>
      </c>
      <c r="E3233" s="74">
        <v>46094</v>
      </c>
      <c r="F3233" t="s">
        <v>410</v>
      </c>
      <c r="G3233" t="s">
        <v>411</v>
      </c>
      <c r="H3233" s="75">
        <f t="shared" si="50"/>
        <v>242.76961911727065</v>
      </c>
      <c r="I3233" s="74">
        <v>46094</v>
      </c>
      <c r="J3233">
        <v>7</v>
      </c>
      <c r="K3233" t="s">
        <v>509</v>
      </c>
      <c r="L3233" t="s">
        <v>262</v>
      </c>
      <c r="M3233" t="s">
        <v>356</v>
      </c>
      <c r="N3233" s="73">
        <v>67262</v>
      </c>
      <c r="O3233" s="73">
        <v>67262</v>
      </c>
      <c r="P3233">
        <v>34.681374159610094</v>
      </c>
    </row>
    <row r="3234" spans="1:16" x14ac:dyDescent="0.2">
      <c r="A3234" s="73">
        <v>67262</v>
      </c>
      <c r="B3234" t="s">
        <v>350</v>
      </c>
      <c r="C3234" s="73" t="s">
        <v>421</v>
      </c>
      <c r="D3234" t="s">
        <v>422</v>
      </c>
      <c r="E3234" s="74">
        <v>46094</v>
      </c>
      <c r="F3234" t="s">
        <v>404</v>
      </c>
      <c r="G3234" t="s">
        <v>405</v>
      </c>
      <c r="H3234" s="75">
        <f t="shared" si="50"/>
        <v>242.76961911727065</v>
      </c>
      <c r="I3234" s="74">
        <v>46094</v>
      </c>
      <c r="J3234">
        <v>7</v>
      </c>
      <c r="K3234" t="s">
        <v>509</v>
      </c>
      <c r="L3234" t="s">
        <v>262</v>
      </c>
      <c r="M3234" t="s">
        <v>356</v>
      </c>
      <c r="N3234" s="73">
        <v>67262</v>
      </c>
      <c r="O3234" s="73">
        <v>67262</v>
      </c>
      <c r="P3234">
        <v>34.681374159610094</v>
      </c>
    </row>
    <row r="3235" spans="1:16" x14ac:dyDescent="0.2">
      <c r="A3235" s="73">
        <v>67262</v>
      </c>
      <c r="B3235" t="s">
        <v>350</v>
      </c>
      <c r="C3235" s="73" t="s">
        <v>421</v>
      </c>
      <c r="D3235" t="s">
        <v>422</v>
      </c>
      <c r="E3235" s="74">
        <v>46094</v>
      </c>
      <c r="F3235" t="s">
        <v>362</v>
      </c>
      <c r="G3235" t="s">
        <v>363</v>
      </c>
      <c r="H3235" s="75">
        <f t="shared" si="50"/>
        <v>277.45099327688075</v>
      </c>
      <c r="I3235" s="74">
        <v>46094</v>
      </c>
      <c r="J3235">
        <v>8</v>
      </c>
      <c r="K3235" t="s">
        <v>509</v>
      </c>
      <c r="L3235" t="s">
        <v>355</v>
      </c>
      <c r="M3235" t="s">
        <v>356</v>
      </c>
      <c r="N3235" s="73">
        <v>67262</v>
      </c>
      <c r="O3235" s="73">
        <v>67262</v>
      </c>
      <c r="P3235">
        <v>34.681374159610094</v>
      </c>
    </row>
    <row r="3236" spans="1:16" x14ac:dyDescent="0.2">
      <c r="A3236" s="73">
        <v>67262</v>
      </c>
      <c r="B3236" t="s">
        <v>350</v>
      </c>
      <c r="C3236" s="73" t="s">
        <v>421</v>
      </c>
      <c r="D3236" t="s">
        <v>422</v>
      </c>
      <c r="E3236" s="74">
        <v>46094</v>
      </c>
      <c r="F3236" t="s">
        <v>406</v>
      </c>
      <c r="G3236" t="s">
        <v>407</v>
      </c>
      <c r="H3236" s="75">
        <f t="shared" si="50"/>
        <v>277.45099327688075</v>
      </c>
      <c r="I3236" s="74">
        <v>46094</v>
      </c>
      <c r="J3236">
        <v>8</v>
      </c>
      <c r="K3236" t="s">
        <v>509</v>
      </c>
      <c r="L3236" t="s">
        <v>355</v>
      </c>
      <c r="M3236" t="s">
        <v>356</v>
      </c>
      <c r="N3236" s="73">
        <v>67262</v>
      </c>
      <c r="O3236" s="73">
        <v>67262</v>
      </c>
      <c r="P3236">
        <v>34.681374159610094</v>
      </c>
    </row>
    <row r="3237" spans="1:16" x14ac:dyDescent="0.2">
      <c r="A3237" s="73">
        <v>67262</v>
      </c>
      <c r="B3237" t="s">
        <v>350</v>
      </c>
      <c r="C3237" s="73" t="s">
        <v>421</v>
      </c>
      <c r="D3237" t="s">
        <v>422</v>
      </c>
      <c r="E3237" s="74">
        <v>46094</v>
      </c>
      <c r="F3237" t="s">
        <v>387</v>
      </c>
      <c r="G3237" t="s">
        <v>388</v>
      </c>
      <c r="H3237" s="75">
        <f t="shared" si="50"/>
        <v>277.45099327688075</v>
      </c>
      <c r="I3237" s="74">
        <v>46094</v>
      </c>
      <c r="J3237">
        <v>8</v>
      </c>
      <c r="K3237" t="s">
        <v>509</v>
      </c>
      <c r="L3237" t="s">
        <v>367</v>
      </c>
      <c r="M3237" t="s">
        <v>356</v>
      </c>
      <c r="N3237" s="73">
        <v>67262</v>
      </c>
      <c r="O3237" s="73">
        <v>67262</v>
      </c>
      <c r="P3237">
        <v>34.681374159610094</v>
      </c>
    </row>
    <row r="3238" spans="1:16" hidden="1" x14ac:dyDescent="0.2">
      <c r="A3238" s="73">
        <v>67260</v>
      </c>
      <c r="B3238" t="s">
        <v>423</v>
      </c>
      <c r="C3238" s="73" t="s">
        <v>488</v>
      </c>
      <c r="D3238" t="s">
        <v>489</v>
      </c>
      <c r="E3238" s="74">
        <v>46098</v>
      </c>
      <c r="F3238" t="s">
        <v>414</v>
      </c>
      <c r="G3238" t="s">
        <v>415</v>
      </c>
      <c r="H3238" s="75">
        <f t="shared" si="50"/>
        <v>277.45099327688075</v>
      </c>
      <c r="I3238" s="74">
        <v>46098</v>
      </c>
      <c r="J3238">
        <v>8</v>
      </c>
      <c r="K3238" t="s">
        <v>509</v>
      </c>
      <c r="L3238" t="s">
        <v>262</v>
      </c>
      <c r="M3238" t="s">
        <v>356</v>
      </c>
      <c r="N3238" s="73">
        <v>67260</v>
      </c>
      <c r="O3238" s="73">
        <v>67260</v>
      </c>
      <c r="P3238">
        <v>34.681374159610094</v>
      </c>
    </row>
    <row r="3239" spans="1:16" x14ac:dyDescent="0.2">
      <c r="A3239" s="73">
        <v>67262</v>
      </c>
      <c r="B3239" t="s">
        <v>350</v>
      </c>
      <c r="C3239" s="73" t="s">
        <v>421</v>
      </c>
      <c r="D3239" t="s">
        <v>422</v>
      </c>
      <c r="E3239" s="74">
        <v>46094</v>
      </c>
      <c r="F3239" t="s">
        <v>395</v>
      </c>
      <c r="G3239" t="s">
        <v>396</v>
      </c>
      <c r="H3239" s="75">
        <f t="shared" si="50"/>
        <v>277.45099327688075</v>
      </c>
      <c r="I3239" s="74">
        <v>46094</v>
      </c>
      <c r="J3239">
        <v>8</v>
      </c>
      <c r="K3239" t="s">
        <v>509</v>
      </c>
      <c r="L3239" t="s">
        <v>262</v>
      </c>
      <c r="M3239" t="s">
        <v>356</v>
      </c>
      <c r="N3239" s="73">
        <v>67262</v>
      </c>
      <c r="O3239" s="73">
        <v>67262</v>
      </c>
      <c r="P3239">
        <v>34.681374159610094</v>
      </c>
    </row>
    <row r="3240" spans="1:16" x14ac:dyDescent="0.2">
      <c r="A3240" s="73">
        <v>67262</v>
      </c>
      <c r="B3240" t="s">
        <v>350</v>
      </c>
      <c r="C3240" s="73" t="s">
        <v>421</v>
      </c>
      <c r="D3240" t="s">
        <v>422</v>
      </c>
      <c r="E3240" s="74">
        <v>46097</v>
      </c>
      <c r="F3240" t="s">
        <v>387</v>
      </c>
      <c r="G3240" t="s">
        <v>388</v>
      </c>
      <c r="H3240" s="75">
        <f t="shared" si="50"/>
        <v>242.76961911727065</v>
      </c>
      <c r="I3240" s="74">
        <v>46097</v>
      </c>
      <c r="J3240">
        <v>7</v>
      </c>
      <c r="K3240" t="s">
        <v>509</v>
      </c>
      <c r="L3240" t="s">
        <v>367</v>
      </c>
      <c r="M3240" t="s">
        <v>356</v>
      </c>
      <c r="N3240" s="73">
        <v>67262</v>
      </c>
      <c r="O3240" s="73">
        <v>67262</v>
      </c>
      <c r="P3240">
        <v>34.681374159610094</v>
      </c>
    </row>
    <row r="3241" spans="1:16" x14ac:dyDescent="0.2">
      <c r="A3241" s="73">
        <v>67262</v>
      </c>
      <c r="B3241" t="s">
        <v>350</v>
      </c>
      <c r="C3241" s="73" t="s">
        <v>421</v>
      </c>
      <c r="D3241" t="s">
        <v>422</v>
      </c>
      <c r="E3241" s="74">
        <v>46097</v>
      </c>
      <c r="F3241" t="s">
        <v>364</v>
      </c>
      <c r="G3241" t="s">
        <v>365</v>
      </c>
      <c r="H3241" s="75">
        <f t="shared" si="50"/>
        <v>138.72549663844038</v>
      </c>
      <c r="I3241" s="74">
        <v>46097</v>
      </c>
      <c r="J3241">
        <v>4</v>
      </c>
      <c r="K3241" t="s">
        <v>509</v>
      </c>
      <c r="L3241" t="s">
        <v>366</v>
      </c>
      <c r="M3241" t="s">
        <v>356</v>
      </c>
      <c r="N3241" s="73">
        <v>67262</v>
      </c>
      <c r="O3241" s="73">
        <v>67262</v>
      </c>
      <c r="P3241">
        <v>34.681374159610094</v>
      </c>
    </row>
    <row r="3242" spans="1:16" x14ac:dyDescent="0.2">
      <c r="A3242" s="73">
        <v>67262</v>
      </c>
      <c r="B3242" t="s">
        <v>350</v>
      </c>
      <c r="C3242" s="73" t="s">
        <v>421</v>
      </c>
      <c r="D3242" t="s">
        <v>422</v>
      </c>
      <c r="E3242" s="74">
        <v>46097</v>
      </c>
      <c r="F3242" t="s">
        <v>406</v>
      </c>
      <c r="G3242" t="s">
        <v>407</v>
      </c>
      <c r="H3242" s="75">
        <f t="shared" si="50"/>
        <v>208.08824495766055</v>
      </c>
      <c r="I3242" s="74">
        <v>46097</v>
      </c>
      <c r="J3242">
        <v>6</v>
      </c>
      <c r="K3242" t="s">
        <v>509</v>
      </c>
      <c r="L3242" t="s">
        <v>355</v>
      </c>
      <c r="M3242" t="s">
        <v>356</v>
      </c>
      <c r="N3242" s="73">
        <v>67262</v>
      </c>
      <c r="O3242" s="73">
        <v>67262</v>
      </c>
      <c r="P3242">
        <v>34.681374159610094</v>
      </c>
    </row>
    <row r="3243" spans="1:16" x14ac:dyDescent="0.2">
      <c r="A3243" s="73">
        <v>67262</v>
      </c>
      <c r="B3243" t="s">
        <v>350</v>
      </c>
      <c r="C3243" s="73" t="s">
        <v>421</v>
      </c>
      <c r="D3243" t="s">
        <v>422</v>
      </c>
      <c r="E3243" s="74">
        <v>46097</v>
      </c>
      <c r="F3243" t="s">
        <v>362</v>
      </c>
      <c r="G3243" t="s">
        <v>363</v>
      </c>
      <c r="H3243" s="75">
        <f t="shared" si="50"/>
        <v>277.45099327688075</v>
      </c>
      <c r="I3243" s="74">
        <v>46097</v>
      </c>
      <c r="J3243">
        <v>8</v>
      </c>
      <c r="K3243" t="s">
        <v>509</v>
      </c>
      <c r="L3243" t="s">
        <v>355</v>
      </c>
      <c r="M3243" t="s">
        <v>356</v>
      </c>
      <c r="N3243" s="73">
        <v>67262</v>
      </c>
      <c r="O3243" s="73">
        <v>67262</v>
      </c>
      <c r="P3243">
        <v>34.681374159610094</v>
      </c>
    </row>
    <row r="3244" spans="1:16" x14ac:dyDescent="0.2">
      <c r="A3244" s="73">
        <v>67262</v>
      </c>
      <c r="B3244" t="s">
        <v>350</v>
      </c>
      <c r="C3244" s="73" t="s">
        <v>421</v>
      </c>
      <c r="D3244" t="s">
        <v>422</v>
      </c>
      <c r="E3244" s="74">
        <v>46097</v>
      </c>
      <c r="F3244" t="s">
        <v>410</v>
      </c>
      <c r="G3244" t="s">
        <v>411</v>
      </c>
      <c r="H3244" s="75">
        <f t="shared" si="50"/>
        <v>242.76961911727065</v>
      </c>
      <c r="I3244" s="74">
        <v>46097</v>
      </c>
      <c r="J3244">
        <v>7</v>
      </c>
      <c r="K3244" t="s">
        <v>509</v>
      </c>
      <c r="L3244" t="s">
        <v>262</v>
      </c>
      <c r="M3244" t="s">
        <v>356</v>
      </c>
      <c r="N3244" s="73">
        <v>67262</v>
      </c>
      <c r="O3244" s="73">
        <v>67262</v>
      </c>
      <c r="P3244">
        <v>34.681374159610094</v>
      </c>
    </row>
    <row r="3245" spans="1:16" x14ac:dyDescent="0.2">
      <c r="A3245" s="73">
        <v>67262</v>
      </c>
      <c r="B3245" t="s">
        <v>350</v>
      </c>
      <c r="C3245" s="73" t="s">
        <v>421</v>
      </c>
      <c r="D3245" t="s">
        <v>422</v>
      </c>
      <c r="E3245" s="74">
        <v>46098</v>
      </c>
      <c r="F3245" t="s">
        <v>387</v>
      </c>
      <c r="G3245" t="s">
        <v>388</v>
      </c>
      <c r="H3245" s="75">
        <f t="shared" si="50"/>
        <v>242.76961911727065</v>
      </c>
      <c r="I3245" s="74">
        <v>46098</v>
      </c>
      <c r="J3245">
        <v>7</v>
      </c>
      <c r="K3245" t="s">
        <v>509</v>
      </c>
      <c r="L3245" t="s">
        <v>367</v>
      </c>
      <c r="M3245" t="s">
        <v>356</v>
      </c>
      <c r="N3245" s="73">
        <v>67262</v>
      </c>
      <c r="O3245" s="73">
        <v>67262</v>
      </c>
      <c r="P3245">
        <v>34.681374159610094</v>
      </c>
    </row>
    <row r="3246" spans="1:16" x14ac:dyDescent="0.2">
      <c r="A3246" s="73">
        <v>67262</v>
      </c>
      <c r="B3246" t="s">
        <v>350</v>
      </c>
      <c r="C3246" s="73" t="s">
        <v>421</v>
      </c>
      <c r="D3246" t="s">
        <v>422</v>
      </c>
      <c r="E3246" s="74">
        <v>46098</v>
      </c>
      <c r="F3246" t="s">
        <v>364</v>
      </c>
      <c r="G3246" t="s">
        <v>365</v>
      </c>
      <c r="H3246" s="75">
        <f t="shared" si="50"/>
        <v>138.72549663844038</v>
      </c>
      <c r="I3246" s="74">
        <v>46098</v>
      </c>
      <c r="J3246">
        <v>4</v>
      </c>
      <c r="K3246" t="s">
        <v>509</v>
      </c>
      <c r="L3246" t="s">
        <v>366</v>
      </c>
      <c r="M3246" t="s">
        <v>356</v>
      </c>
      <c r="N3246" s="73">
        <v>67262</v>
      </c>
      <c r="O3246" s="73">
        <v>67262</v>
      </c>
      <c r="P3246">
        <v>34.681374159610094</v>
      </c>
    </row>
    <row r="3247" spans="1:16" x14ac:dyDescent="0.2">
      <c r="A3247" s="73">
        <v>67262</v>
      </c>
      <c r="B3247" t="s">
        <v>350</v>
      </c>
      <c r="C3247" s="73" t="s">
        <v>421</v>
      </c>
      <c r="D3247" t="s">
        <v>422</v>
      </c>
      <c r="E3247" s="74">
        <v>46098</v>
      </c>
      <c r="F3247" t="s">
        <v>406</v>
      </c>
      <c r="G3247" t="s">
        <v>407</v>
      </c>
      <c r="H3247" s="75">
        <f t="shared" si="50"/>
        <v>242.76961911727065</v>
      </c>
      <c r="I3247" s="74">
        <v>46098</v>
      </c>
      <c r="J3247">
        <v>7</v>
      </c>
      <c r="K3247" t="s">
        <v>509</v>
      </c>
      <c r="L3247" t="s">
        <v>355</v>
      </c>
      <c r="M3247" t="s">
        <v>356</v>
      </c>
      <c r="N3247" s="73">
        <v>67262</v>
      </c>
      <c r="O3247" s="73">
        <v>67262</v>
      </c>
      <c r="P3247">
        <v>34.681374159610094</v>
      </c>
    </row>
    <row r="3248" spans="1:16" x14ac:dyDescent="0.2">
      <c r="A3248" s="73">
        <v>67262</v>
      </c>
      <c r="B3248" t="s">
        <v>350</v>
      </c>
      <c r="C3248" s="73" t="s">
        <v>421</v>
      </c>
      <c r="D3248" t="s">
        <v>422</v>
      </c>
      <c r="E3248" s="74">
        <v>46098</v>
      </c>
      <c r="F3248" t="s">
        <v>362</v>
      </c>
      <c r="G3248" t="s">
        <v>363</v>
      </c>
      <c r="H3248" s="75">
        <f t="shared" si="50"/>
        <v>277.45099327688075</v>
      </c>
      <c r="I3248" s="74">
        <v>46098</v>
      </c>
      <c r="J3248">
        <v>8</v>
      </c>
      <c r="K3248" t="s">
        <v>509</v>
      </c>
      <c r="L3248" t="s">
        <v>355</v>
      </c>
      <c r="M3248" t="s">
        <v>356</v>
      </c>
      <c r="N3248" s="73">
        <v>67262</v>
      </c>
      <c r="O3248" s="73">
        <v>67262</v>
      </c>
      <c r="P3248">
        <v>34.681374159610094</v>
      </c>
    </row>
    <row r="3249" spans="1:16" x14ac:dyDescent="0.2">
      <c r="A3249" s="73">
        <v>67262</v>
      </c>
      <c r="B3249" t="s">
        <v>350</v>
      </c>
      <c r="C3249" s="73" t="s">
        <v>421</v>
      </c>
      <c r="D3249" t="s">
        <v>422</v>
      </c>
      <c r="E3249" s="74">
        <v>46098</v>
      </c>
      <c r="F3249" t="s">
        <v>395</v>
      </c>
      <c r="G3249" t="s">
        <v>396</v>
      </c>
      <c r="H3249" s="75">
        <f t="shared" si="50"/>
        <v>138.72549663844038</v>
      </c>
      <c r="I3249" s="74">
        <v>46098</v>
      </c>
      <c r="J3249">
        <v>4</v>
      </c>
      <c r="K3249" t="s">
        <v>509</v>
      </c>
      <c r="L3249" t="s">
        <v>262</v>
      </c>
      <c r="M3249" t="s">
        <v>356</v>
      </c>
      <c r="N3249" s="73">
        <v>67262</v>
      </c>
      <c r="O3249" s="73">
        <v>67262</v>
      </c>
      <c r="P3249">
        <v>34.681374159610094</v>
      </c>
    </row>
    <row r="3250" spans="1:16" x14ac:dyDescent="0.2">
      <c r="A3250" s="73">
        <v>67262</v>
      </c>
      <c r="B3250" t="s">
        <v>350</v>
      </c>
      <c r="C3250" s="73" t="s">
        <v>421</v>
      </c>
      <c r="D3250" t="s">
        <v>422</v>
      </c>
      <c r="E3250" s="74">
        <v>46098</v>
      </c>
      <c r="F3250" t="s">
        <v>410</v>
      </c>
      <c r="G3250" t="s">
        <v>411</v>
      </c>
      <c r="H3250" s="75">
        <f t="shared" si="50"/>
        <v>242.76961911727065</v>
      </c>
      <c r="I3250" s="74">
        <v>46098</v>
      </c>
      <c r="J3250">
        <v>7</v>
      </c>
      <c r="K3250" t="s">
        <v>509</v>
      </c>
      <c r="L3250" t="s">
        <v>262</v>
      </c>
      <c r="M3250" t="s">
        <v>356</v>
      </c>
      <c r="N3250" s="73">
        <v>67262</v>
      </c>
      <c r="O3250" s="73">
        <v>67262</v>
      </c>
      <c r="P3250">
        <v>34.681374159610094</v>
      </c>
    </row>
    <row r="3251" spans="1:16" x14ac:dyDescent="0.2">
      <c r="A3251" s="73">
        <v>67262</v>
      </c>
      <c r="B3251" t="s">
        <v>350</v>
      </c>
      <c r="C3251" s="73" t="s">
        <v>421</v>
      </c>
      <c r="D3251" t="s">
        <v>422</v>
      </c>
      <c r="E3251" s="74">
        <v>46098</v>
      </c>
      <c r="F3251" t="s">
        <v>353</v>
      </c>
      <c r="G3251" t="s">
        <v>354</v>
      </c>
      <c r="H3251" s="75">
        <f t="shared" si="50"/>
        <v>208.08824495766055</v>
      </c>
      <c r="I3251" s="74">
        <v>46098</v>
      </c>
      <c r="J3251">
        <v>6</v>
      </c>
      <c r="K3251" t="s">
        <v>509</v>
      </c>
      <c r="L3251" t="s">
        <v>355</v>
      </c>
      <c r="M3251" t="s">
        <v>356</v>
      </c>
      <c r="N3251" s="73">
        <v>67262</v>
      </c>
      <c r="O3251" s="73">
        <v>67262</v>
      </c>
      <c r="P3251">
        <v>34.681374159610094</v>
      </c>
    </row>
    <row r="3252" spans="1:16" x14ac:dyDescent="0.2">
      <c r="A3252" s="73">
        <v>67262</v>
      </c>
      <c r="B3252" t="s">
        <v>350</v>
      </c>
      <c r="C3252" s="73" t="s">
        <v>421</v>
      </c>
      <c r="D3252" t="s">
        <v>422</v>
      </c>
      <c r="E3252" s="74">
        <v>46099</v>
      </c>
      <c r="F3252" t="s">
        <v>387</v>
      </c>
      <c r="G3252" t="s">
        <v>388</v>
      </c>
      <c r="H3252" s="75">
        <f t="shared" si="50"/>
        <v>242.76961911727065</v>
      </c>
      <c r="I3252" s="74">
        <v>46099</v>
      </c>
      <c r="J3252">
        <v>7</v>
      </c>
      <c r="K3252" t="s">
        <v>509</v>
      </c>
      <c r="L3252" t="s">
        <v>367</v>
      </c>
      <c r="M3252" t="s">
        <v>356</v>
      </c>
      <c r="N3252" s="73">
        <v>67262</v>
      </c>
      <c r="O3252" s="73">
        <v>67262</v>
      </c>
      <c r="P3252">
        <v>34.681374159610094</v>
      </c>
    </row>
    <row r="3253" spans="1:16" x14ac:dyDescent="0.2">
      <c r="A3253" s="73">
        <v>67262</v>
      </c>
      <c r="B3253" t="s">
        <v>350</v>
      </c>
      <c r="C3253" s="73" t="s">
        <v>421</v>
      </c>
      <c r="D3253" t="s">
        <v>422</v>
      </c>
      <c r="E3253" s="74">
        <v>46099</v>
      </c>
      <c r="F3253" t="s">
        <v>364</v>
      </c>
      <c r="G3253" t="s">
        <v>365</v>
      </c>
      <c r="H3253" s="75">
        <f t="shared" si="50"/>
        <v>277.45099327688075</v>
      </c>
      <c r="I3253" s="74">
        <v>46099</v>
      </c>
      <c r="J3253">
        <v>8</v>
      </c>
      <c r="K3253" t="s">
        <v>509</v>
      </c>
      <c r="L3253" t="s">
        <v>366</v>
      </c>
      <c r="M3253" t="s">
        <v>356</v>
      </c>
      <c r="N3253" s="73">
        <v>67262</v>
      </c>
      <c r="O3253" s="73">
        <v>67262</v>
      </c>
      <c r="P3253">
        <v>34.681374159610094</v>
      </c>
    </row>
    <row r="3254" spans="1:16" x14ac:dyDescent="0.2">
      <c r="A3254" s="73">
        <v>67262</v>
      </c>
      <c r="B3254" t="s">
        <v>350</v>
      </c>
      <c r="C3254" s="73" t="s">
        <v>421</v>
      </c>
      <c r="D3254" t="s">
        <v>422</v>
      </c>
      <c r="E3254" s="74">
        <v>46099</v>
      </c>
      <c r="F3254" t="s">
        <v>406</v>
      </c>
      <c r="G3254" t="s">
        <v>407</v>
      </c>
      <c r="H3254" s="75">
        <f t="shared" si="50"/>
        <v>208.08824495766055</v>
      </c>
      <c r="I3254" s="74">
        <v>46099</v>
      </c>
      <c r="J3254">
        <v>6</v>
      </c>
      <c r="K3254" t="s">
        <v>509</v>
      </c>
      <c r="L3254" t="s">
        <v>355</v>
      </c>
      <c r="M3254" t="s">
        <v>356</v>
      </c>
      <c r="N3254" s="73">
        <v>67262</v>
      </c>
      <c r="O3254" s="73">
        <v>67262</v>
      </c>
      <c r="P3254">
        <v>34.681374159610094</v>
      </c>
    </row>
    <row r="3255" spans="1:16" x14ac:dyDescent="0.2">
      <c r="A3255" s="73">
        <v>67262</v>
      </c>
      <c r="B3255" t="s">
        <v>350</v>
      </c>
      <c r="C3255" s="73" t="s">
        <v>421</v>
      </c>
      <c r="D3255" t="s">
        <v>422</v>
      </c>
      <c r="E3255" s="74">
        <v>46099</v>
      </c>
      <c r="F3255" t="s">
        <v>362</v>
      </c>
      <c r="G3255" t="s">
        <v>363</v>
      </c>
      <c r="H3255" s="75">
        <f t="shared" si="50"/>
        <v>277.45099327688075</v>
      </c>
      <c r="I3255" s="74">
        <v>46099</v>
      </c>
      <c r="J3255">
        <v>8</v>
      </c>
      <c r="K3255" t="s">
        <v>509</v>
      </c>
      <c r="L3255" t="s">
        <v>355</v>
      </c>
      <c r="M3255" t="s">
        <v>356</v>
      </c>
      <c r="N3255" s="73">
        <v>67262</v>
      </c>
      <c r="O3255" s="73">
        <v>67262</v>
      </c>
      <c r="P3255">
        <v>34.681374159610094</v>
      </c>
    </row>
    <row r="3256" spans="1:16" x14ac:dyDescent="0.2">
      <c r="A3256" s="73">
        <v>67262</v>
      </c>
      <c r="B3256" t="s">
        <v>350</v>
      </c>
      <c r="C3256" s="73" t="s">
        <v>421</v>
      </c>
      <c r="D3256" t="s">
        <v>422</v>
      </c>
      <c r="E3256" s="74">
        <v>46099</v>
      </c>
      <c r="F3256" t="s">
        <v>395</v>
      </c>
      <c r="G3256" t="s">
        <v>396</v>
      </c>
      <c r="H3256" s="75">
        <f t="shared" si="50"/>
        <v>277.45099327688075</v>
      </c>
      <c r="I3256" s="74">
        <v>46099</v>
      </c>
      <c r="J3256">
        <v>8</v>
      </c>
      <c r="K3256" t="s">
        <v>509</v>
      </c>
      <c r="L3256" t="s">
        <v>262</v>
      </c>
      <c r="M3256" t="s">
        <v>356</v>
      </c>
      <c r="N3256" s="73">
        <v>67262</v>
      </c>
      <c r="O3256" s="73">
        <v>67262</v>
      </c>
      <c r="P3256">
        <v>34.681374159610094</v>
      </c>
    </row>
    <row r="3257" spans="1:16" x14ac:dyDescent="0.2">
      <c r="A3257" s="73">
        <v>67262</v>
      </c>
      <c r="B3257" t="s">
        <v>350</v>
      </c>
      <c r="C3257" s="73" t="s">
        <v>421</v>
      </c>
      <c r="D3257" t="s">
        <v>422</v>
      </c>
      <c r="E3257" s="74">
        <v>46099</v>
      </c>
      <c r="F3257" t="s">
        <v>410</v>
      </c>
      <c r="G3257" t="s">
        <v>411</v>
      </c>
      <c r="H3257" s="75">
        <f t="shared" si="50"/>
        <v>242.76961911727065</v>
      </c>
      <c r="I3257" s="74">
        <v>46099</v>
      </c>
      <c r="J3257">
        <v>7</v>
      </c>
      <c r="K3257" t="s">
        <v>509</v>
      </c>
      <c r="L3257" t="s">
        <v>262</v>
      </c>
      <c r="M3257" t="s">
        <v>356</v>
      </c>
      <c r="N3257" s="73">
        <v>67262</v>
      </c>
      <c r="O3257" s="73">
        <v>67262</v>
      </c>
      <c r="P3257">
        <v>34.681374159610094</v>
      </c>
    </row>
    <row r="3258" spans="1:16" x14ac:dyDescent="0.2">
      <c r="A3258" s="73">
        <v>67262</v>
      </c>
      <c r="B3258" t="s">
        <v>350</v>
      </c>
      <c r="C3258" s="73" t="s">
        <v>421</v>
      </c>
      <c r="D3258" t="s">
        <v>422</v>
      </c>
      <c r="E3258" s="74">
        <v>46099</v>
      </c>
      <c r="F3258" t="s">
        <v>353</v>
      </c>
      <c r="G3258" t="s">
        <v>354</v>
      </c>
      <c r="H3258" s="75">
        <f t="shared" si="50"/>
        <v>242.76961911727065</v>
      </c>
      <c r="I3258" s="74">
        <v>46099</v>
      </c>
      <c r="J3258">
        <v>7</v>
      </c>
      <c r="K3258" t="s">
        <v>509</v>
      </c>
      <c r="L3258" t="s">
        <v>355</v>
      </c>
      <c r="M3258" t="s">
        <v>356</v>
      </c>
      <c r="N3258" s="73">
        <v>67262</v>
      </c>
      <c r="O3258" s="73">
        <v>67262</v>
      </c>
      <c r="P3258">
        <v>34.681374159610094</v>
      </c>
    </row>
    <row r="3259" spans="1:16" x14ac:dyDescent="0.2">
      <c r="A3259" s="73">
        <v>67262</v>
      </c>
      <c r="B3259" t="s">
        <v>350</v>
      </c>
      <c r="C3259" s="73" t="s">
        <v>421</v>
      </c>
      <c r="D3259" t="s">
        <v>422</v>
      </c>
      <c r="E3259" s="74">
        <v>46100</v>
      </c>
      <c r="F3259" t="s">
        <v>387</v>
      </c>
      <c r="G3259" t="s">
        <v>388</v>
      </c>
      <c r="H3259" s="75">
        <f t="shared" si="50"/>
        <v>208.08824495766055</v>
      </c>
      <c r="I3259" s="74">
        <v>46100</v>
      </c>
      <c r="J3259">
        <v>6</v>
      </c>
      <c r="K3259" t="s">
        <v>509</v>
      </c>
      <c r="L3259" t="s">
        <v>367</v>
      </c>
      <c r="M3259" t="s">
        <v>356</v>
      </c>
      <c r="N3259" s="73">
        <v>67262</v>
      </c>
      <c r="O3259" s="73">
        <v>67262</v>
      </c>
      <c r="P3259">
        <v>34.681374159610094</v>
      </c>
    </row>
    <row r="3260" spans="1:16" x14ac:dyDescent="0.2">
      <c r="A3260" s="73">
        <v>67262</v>
      </c>
      <c r="B3260" t="s">
        <v>350</v>
      </c>
      <c r="C3260" s="73" t="s">
        <v>421</v>
      </c>
      <c r="D3260" t="s">
        <v>422</v>
      </c>
      <c r="E3260" s="74">
        <v>46100</v>
      </c>
      <c r="F3260" t="s">
        <v>364</v>
      </c>
      <c r="G3260" t="s">
        <v>365</v>
      </c>
      <c r="H3260" s="75">
        <f t="shared" si="50"/>
        <v>69.362748319220188</v>
      </c>
      <c r="I3260" s="74">
        <v>46100</v>
      </c>
      <c r="J3260">
        <v>2</v>
      </c>
      <c r="K3260" t="s">
        <v>509</v>
      </c>
      <c r="L3260" t="s">
        <v>366</v>
      </c>
      <c r="M3260" t="s">
        <v>356</v>
      </c>
      <c r="N3260" s="73">
        <v>67262</v>
      </c>
      <c r="O3260" s="73">
        <v>67262</v>
      </c>
      <c r="P3260">
        <v>34.681374159610094</v>
      </c>
    </row>
    <row r="3261" spans="1:16" x14ac:dyDescent="0.2">
      <c r="A3261" s="73">
        <v>67262</v>
      </c>
      <c r="B3261" t="s">
        <v>350</v>
      </c>
      <c r="C3261" s="73" t="s">
        <v>421</v>
      </c>
      <c r="D3261" t="s">
        <v>422</v>
      </c>
      <c r="E3261" s="74">
        <v>46100</v>
      </c>
      <c r="F3261" t="s">
        <v>362</v>
      </c>
      <c r="G3261" t="s">
        <v>363</v>
      </c>
      <c r="H3261" s="75">
        <f t="shared" si="50"/>
        <v>277.45099327688075</v>
      </c>
      <c r="I3261" s="74">
        <v>46100</v>
      </c>
      <c r="J3261">
        <v>8</v>
      </c>
      <c r="K3261" t="s">
        <v>509</v>
      </c>
      <c r="L3261" t="s">
        <v>355</v>
      </c>
      <c r="M3261" t="s">
        <v>356</v>
      </c>
      <c r="N3261" s="73">
        <v>67262</v>
      </c>
      <c r="O3261" s="73">
        <v>67262</v>
      </c>
      <c r="P3261">
        <v>34.681374159610094</v>
      </c>
    </row>
    <row r="3262" spans="1:16" x14ac:dyDescent="0.2">
      <c r="A3262" s="73">
        <v>67262</v>
      </c>
      <c r="B3262" t="s">
        <v>350</v>
      </c>
      <c r="C3262" s="73" t="s">
        <v>421</v>
      </c>
      <c r="D3262" t="s">
        <v>422</v>
      </c>
      <c r="E3262" s="74">
        <v>46100</v>
      </c>
      <c r="F3262" t="s">
        <v>395</v>
      </c>
      <c r="G3262" t="s">
        <v>396</v>
      </c>
      <c r="H3262" s="75">
        <f t="shared" si="50"/>
        <v>277.45099327688075</v>
      </c>
      <c r="I3262" s="74">
        <v>46100</v>
      </c>
      <c r="J3262">
        <v>8</v>
      </c>
      <c r="K3262" t="s">
        <v>509</v>
      </c>
      <c r="L3262" t="s">
        <v>262</v>
      </c>
      <c r="M3262" t="s">
        <v>356</v>
      </c>
      <c r="N3262" s="73">
        <v>67262</v>
      </c>
      <c r="O3262" s="73">
        <v>67262</v>
      </c>
      <c r="P3262">
        <v>34.681374159610094</v>
      </c>
    </row>
    <row r="3263" spans="1:16" x14ac:dyDescent="0.2">
      <c r="A3263" s="73">
        <v>67262</v>
      </c>
      <c r="B3263" t="s">
        <v>350</v>
      </c>
      <c r="C3263" s="73" t="s">
        <v>421</v>
      </c>
      <c r="D3263" t="s">
        <v>422</v>
      </c>
      <c r="E3263" s="74">
        <v>46100</v>
      </c>
      <c r="F3263" t="s">
        <v>410</v>
      </c>
      <c r="G3263" t="s">
        <v>411</v>
      </c>
      <c r="H3263" s="75">
        <f t="shared" si="50"/>
        <v>242.76961911727065</v>
      </c>
      <c r="I3263" s="74">
        <v>46100</v>
      </c>
      <c r="J3263">
        <v>7</v>
      </c>
      <c r="K3263" t="s">
        <v>509</v>
      </c>
      <c r="L3263" t="s">
        <v>262</v>
      </c>
      <c r="M3263" t="s">
        <v>356</v>
      </c>
      <c r="N3263" s="73">
        <v>67262</v>
      </c>
      <c r="O3263" s="73">
        <v>67262</v>
      </c>
      <c r="P3263">
        <v>34.681374159610094</v>
      </c>
    </row>
    <row r="3264" spans="1:16" x14ac:dyDescent="0.2">
      <c r="A3264" s="73">
        <v>67262</v>
      </c>
      <c r="B3264" t="s">
        <v>350</v>
      </c>
      <c r="C3264" s="73" t="s">
        <v>421</v>
      </c>
      <c r="D3264" t="s">
        <v>422</v>
      </c>
      <c r="E3264" s="74">
        <v>46100</v>
      </c>
      <c r="F3264" t="s">
        <v>353</v>
      </c>
      <c r="G3264" t="s">
        <v>354</v>
      </c>
      <c r="H3264" s="75">
        <f t="shared" si="50"/>
        <v>190.74755787785551</v>
      </c>
      <c r="I3264" s="74">
        <v>46100</v>
      </c>
      <c r="J3264">
        <v>5.5</v>
      </c>
      <c r="K3264" t="s">
        <v>509</v>
      </c>
      <c r="L3264" t="s">
        <v>355</v>
      </c>
      <c r="M3264" t="s">
        <v>356</v>
      </c>
      <c r="N3264" s="73">
        <v>67262</v>
      </c>
      <c r="O3264" s="73">
        <v>67262</v>
      </c>
      <c r="P3264">
        <v>34.681374159610094</v>
      </c>
    </row>
    <row r="3265" spans="1:16" hidden="1" x14ac:dyDescent="0.2">
      <c r="A3265" s="73">
        <v>67260</v>
      </c>
      <c r="B3265" t="s">
        <v>423</v>
      </c>
      <c r="C3265" s="73" t="s">
        <v>488</v>
      </c>
      <c r="D3265" t="s">
        <v>489</v>
      </c>
      <c r="E3265" s="74">
        <v>46099</v>
      </c>
      <c r="F3265" t="s">
        <v>414</v>
      </c>
      <c r="G3265" t="s">
        <v>415</v>
      </c>
      <c r="H3265" s="75">
        <f t="shared" si="50"/>
        <v>277.45099327688075</v>
      </c>
      <c r="I3265" s="74">
        <v>46099</v>
      </c>
      <c r="J3265">
        <v>8</v>
      </c>
      <c r="K3265" t="s">
        <v>509</v>
      </c>
      <c r="L3265" t="s">
        <v>262</v>
      </c>
      <c r="M3265" t="s">
        <v>356</v>
      </c>
      <c r="N3265" s="73">
        <v>67260</v>
      </c>
      <c r="O3265" s="73">
        <v>67260</v>
      </c>
      <c r="P3265">
        <v>34.681374159610094</v>
      </c>
    </row>
    <row r="3266" spans="1:16" x14ac:dyDescent="0.2">
      <c r="A3266" s="73">
        <v>67262</v>
      </c>
      <c r="B3266" t="s">
        <v>350</v>
      </c>
      <c r="C3266" s="73" t="s">
        <v>421</v>
      </c>
      <c r="D3266" t="s">
        <v>422</v>
      </c>
      <c r="E3266" s="74">
        <v>46101</v>
      </c>
      <c r="F3266" t="s">
        <v>364</v>
      </c>
      <c r="G3266" t="s">
        <v>365</v>
      </c>
      <c r="H3266" s="75">
        <f t="shared" ref="H3266:H3329" si="51">J3266*P3266</f>
        <v>104.04412247883027</v>
      </c>
      <c r="I3266" s="74">
        <v>46101</v>
      </c>
      <c r="J3266">
        <v>3</v>
      </c>
      <c r="K3266" t="s">
        <v>509</v>
      </c>
      <c r="L3266" t="s">
        <v>366</v>
      </c>
      <c r="M3266" t="s">
        <v>356</v>
      </c>
      <c r="N3266" s="73">
        <v>67262</v>
      </c>
      <c r="O3266" s="73">
        <v>67262</v>
      </c>
      <c r="P3266">
        <v>34.681374159610094</v>
      </c>
    </row>
    <row r="3267" spans="1:16" x14ac:dyDescent="0.2">
      <c r="A3267" s="73">
        <v>67262</v>
      </c>
      <c r="B3267" t="s">
        <v>350</v>
      </c>
      <c r="C3267" s="73" t="s">
        <v>421</v>
      </c>
      <c r="D3267" t="s">
        <v>422</v>
      </c>
      <c r="E3267" s="74">
        <v>46101</v>
      </c>
      <c r="F3267" t="s">
        <v>362</v>
      </c>
      <c r="G3267" t="s">
        <v>363</v>
      </c>
      <c r="H3267" s="75">
        <f t="shared" si="51"/>
        <v>138.72549663844038</v>
      </c>
      <c r="I3267" s="74">
        <v>46101</v>
      </c>
      <c r="J3267">
        <v>4</v>
      </c>
      <c r="K3267" t="s">
        <v>509</v>
      </c>
      <c r="L3267" t="s">
        <v>355</v>
      </c>
      <c r="M3267" t="s">
        <v>356</v>
      </c>
      <c r="N3267" s="73">
        <v>67262</v>
      </c>
      <c r="O3267" s="73">
        <v>67262</v>
      </c>
      <c r="P3267">
        <v>34.681374159610094</v>
      </c>
    </row>
    <row r="3268" spans="1:16" x14ac:dyDescent="0.2">
      <c r="A3268" s="73">
        <v>67262</v>
      </c>
      <c r="B3268" t="s">
        <v>350</v>
      </c>
      <c r="C3268" s="73" t="s">
        <v>421</v>
      </c>
      <c r="D3268" t="s">
        <v>422</v>
      </c>
      <c r="E3268" s="74">
        <v>46104</v>
      </c>
      <c r="F3268" t="s">
        <v>387</v>
      </c>
      <c r="G3268" t="s">
        <v>388</v>
      </c>
      <c r="H3268" s="75">
        <f t="shared" si="51"/>
        <v>208.08824495766055</v>
      </c>
      <c r="I3268" s="74">
        <v>46104</v>
      </c>
      <c r="J3268">
        <v>6</v>
      </c>
      <c r="K3268" t="s">
        <v>509</v>
      </c>
      <c r="L3268" t="s">
        <v>367</v>
      </c>
      <c r="M3268" t="s">
        <v>356</v>
      </c>
      <c r="N3268" s="73">
        <v>67262</v>
      </c>
      <c r="O3268" s="73">
        <v>67262</v>
      </c>
      <c r="P3268">
        <v>34.681374159610094</v>
      </c>
    </row>
    <row r="3269" spans="1:16" x14ac:dyDescent="0.2">
      <c r="A3269" s="73">
        <v>67262</v>
      </c>
      <c r="B3269" t="s">
        <v>350</v>
      </c>
      <c r="C3269" s="73" t="s">
        <v>421</v>
      </c>
      <c r="D3269" t="s">
        <v>422</v>
      </c>
      <c r="E3269" s="74">
        <v>46100</v>
      </c>
      <c r="F3269" t="s">
        <v>414</v>
      </c>
      <c r="G3269" t="s">
        <v>415</v>
      </c>
      <c r="H3269" s="75">
        <f t="shared" si="51"/>
        <v>277.45099327688075</v>
      </c>
      <c r="I3269" s="74">
        <v>46100</v>
      </c>
      <c r="J3269">
        <v>8</v>
      </c>
      <c r="K3269" t="s">
        <v>509</v>
      </c>
      <c r="L3269" t="s">
        <v>262</v>
      </c>
      <c r="M3269" t="s">
        <v>356</v>
      </c>
      <c r="N3269" s="73">
        <v>67262</v>
      </c>
      <c r="O3269" s="73">
        <v>67262</v>
      </c>
      <c r="P3269">
        <v>34.681374159610094</v>
      </c>
    </row>
    <row r="3270" spans="1:16" x14ac:dyDescent="0.2">
      <c r="A3270" s="73">
        <v>67262</v>
      </c>
      <c r="B3270" t="s">
        <v>350</v>
      </c>
      <c r="C3270" s="73" t="s">
        <v>421</v>
      </c>
      <c r="D3270" t="s">
        <v>422</v>
      </c>
      <c r="E3270" s="74">
        <v>46104</v>
      </c>
      <c r="F3270" t="s">
        <v>410</v>
      </c>
      <c r="G3270" t="s">
        <v>411</v>
      </c>
      <c r="H3270" s="75">
        <f t="shared" si="51"/>
        <v>242.76961911727065</v>
      </c>
      <c r="I3270" s="74">
        <v>46104</v>
      </c>
      <c r="J3270">
        <v>7</v>
      </c>
      <c r="K3270" t="s">
        <v>509</v>
      </c>
      <c r="L3270" t="s">
        <v>262</v>
      </c>
      <c r="M3270" t="s">
        <v>356</v>
      </c>
      <c r="N3270" s="73">
        <v>67262</v>
      </c>
      <c r="O3270" s="73">
        <v>67262</v>
      </c>
      <c r="P3270">
        <v>34.681374159610094</v>
      </c>
    </row>
    <row r="3271" spans="1:16" x14ac:dyDescent="0.2">
      <c r="A3271" s="73">
        <v>67262</v>
      </c>
      <c r="B3271" t="s">
        <v>350</v>
      </c>
      <c r="C3271" s="73" t="s">
        <v>421</v>
      </c>
      <c r="D3271" t="s">
        <v>422</v>
      </c>
      <c r="E3271" s="74">
        <v>46104</v>
      </c>
      <c r="F3271" t="s">
        <v>395</v>
      </c>
      <c r="G3271" t="s">
        <v>396</v>
      </c>
      <c r="H3271" s="75">
        <f t="shared" si="51"/>
        <v>208.08824495766055</v>
      </c>
      <c r="I3271" s="74">
        <v>46104</v>
      </c>
      <c r="J3271">
        <v>6</v>
      </c>
      <c r="K3271" t="s">
        <v>509</v>
      </c>
      <c r="L3271" t="s">
        <v>262</v>
      </c>
      <c r="M3271" t="s">
        <v>356</v>
      </c>
      <c r="N3271" s="73">
        <v>67262</v>
      </c>
      <c r="O3271" s="73">
        <v>67262</v>
      </c>
      <c r="P3271">
        <v>34.681374159610094</v>
      </c>
    </row>
    <row r="3272" spans="1:16" x14ac:dyDescent="0.2">
      <c r="A3272" s="73">
        <v>67262</v>
      </c>
      <c r="B3272" t="s">
        <v>350</v>
      </c>
      <c r="C3272" s="73" t="s">
        <v>421</v>
      </c>
      <c r="D3272" t="s">
        <v>422</v>
      </c>
      <c r="E3272" s="74">
        <v>46105</v>
      </c>
      <c r="F3272" t="s">
        <v>387</v>
      </c>
      <c r="G3272" t="s">
        <v>388</v>
      </c>
      <c r="H3272" s="75">
        <f t="shared" si="51"/>
        <v>208.08824495766055</v>
      </c>
      <c r="I3272" s="74">
        <v>46105</v>
      </c>
      <c r="J3272">
        <v>6</v>
      </c>
      <c r="K3272" t="s">
        <v>509</v>
      </c>
      <c r="L3272" t="s">
        <v>367</v>
      </c>
      <c r="M3272" t="s">
        <v>356</v>
      </c>
      <c r="N3272" s="73">
        <v>67262</v>
      </c>
      <c r="O3272" s="73">
        <v>67262</v>
      </c>
      <c r="P3272">
        <v>34.681374159610094</v>
      </c>
    </row>
    <row r="3273" spans="1:16" x14ac:dyDescent="0.2">
      <c r="A3273" s="73">
        <v>67262</v>
      </c>
      <c r="B3273" t="s">
        <v>350</v>
      </c>
      <c r="C3273" s="73" t="s">
        <v>421</v>
      </c>
      <c r="D3273" t="s">
        <v>422</v>
      </c>
      <c r="E3273" s="74">
        <v>46104</v>
      </c>
      <c r="F3273" t="s">
        <v>414</v>
      </c>
      <c r="G3273" t="s">
        <v>415</v>
      </c>
      <c r="H3273" s="75">
        <f t="shared" si="51"/>
        <v>277.45099327688075</v>
      </c>
      <c r="I3273" s="74">
        <v>46104</v>
      </c>
      <c r="J3273">
        <v>8</v>
      </c>
      <c r="K3273" t="s">
        <v>509</v>
      </c>
      <c r="L3273" t="s">
        <v>262</v>
      </c>
      <c r="M3273" t="s">
        <v>356</v>
      </c>
      <c r="N3273" s="73">
        <v>67262</v>
      </c>
      <c r="O3273" s="73">
        <v>67262</v>
      </c>
      <c r="P3273">
        <v>34.681374159610094</v>
      </c>
    </row>
    <row r="3274" spans="1:16" x14ac:dyDescent="0.2">
      <c r="A3274" s="73">
        <v>67262</v>
      </c>
      <c r="B3274" t="s">
        <v>350</v>
      </c>
      <c r="C3274" s="73" t="s">
        <v>421</v>
      </c>
      <c r="D3274" t="s">
        <v>422</v>
      </c>
      <c r="E3274" s="74">
        <v>46105</v>
      </c>
      <c r="F3274" t="s">
        <v>410</v>
      </c>
      <c r="G3274" t="s">
        <v>411</v>
      </c>
      <c r="H3274" s="75">
        <f t="shared" si="51"/>
        <v>242.76961911727065</v>
      </c>
      <c r="I3274" s="74">
        <v>46105</v>
      </c>
      <c r="J3274">
        <v>7</v>
      </c>
      <c r="K3274" t="s">
        <v>509</v>
      </c>
      <c r="L3274" t="s">
        <v>262</v>
      </c>
      <c r="M3274" t="s">
        <v>356</v>
      </c>
      <c r="N3274" s="73">
        <v>67262</v>
      </c>
      <c r="O3274" s="73">
        <v>67262</v>
      </c>
      <c r="P3274">
        <v>34.681374159610094</v>
      </c>
    </row>
    <row r="3275" spans="1:16" x14ac:dyDescent="0.2">
      <c r="A3275" s="73">
        <v>67262</v>
      </c>
      <c r="B3275" t="s">
        <v>350</v>
      </c>
      <c r="C3275" s="73" t="s">
        <v>421</v>
      </c>
      <c r="D3275" t="s">
        <v>422</v>
      </c>
      <c r="E3275" s="74">
        <v>46105</v>
      </c>
      <c r="F3275" t="s">
        <v>395</v>
      </c>
      <c r="G3275" t="s">
        <v>396</v>
      </c>
      <c r="H3275" s="75">
        <f t="shared" si="51"/>
        <v>208.08824495766055</v>
      </c>
      <c r="I3275" s="74">
        <v>46105</v>
      </c>
      <c r="J3275">
        <v>6</v>
      </c>
      <c r="K3275" t="s">
        <v>509</v>
      </c>
      <c r="L3275" t="s">
        <v>262</v>
      </c>
      <c r="M3275" t="s">
        <v>356</v>
      </c>
      <c r="N3275" s="73">
        <v>67262</v>
      </c>
      <c r="O3275" s="73">
        <v>67262</v>
      </c>
      <c r="P3275">
        <v>34.681374159610094</v>
      </c>
    </row>
    <row r="3276" spans="1:16" x14ac:dyDescent="0.2">
      <c r="A3276" s="73">
        <v>67262</v>
      </c>
      <c r="B3276" t="s">
        <v>350</v>
      </c>
      <c r="C3276" s="73" t="s">
        <v>421</v>
      </c>
      <c r="D3276" t="s">
        <v>422</v>
      </c>
      <c r="E3276" s="74">
        <v>46106</v>
      </c>
      <c r="F3276" t="s">
        <v>387</v>
      </c>
      <c r="G3276" t="s">
        <v>388</v>
      </c>
      <c r="H3276" s="75">
        <f t="shared" si="51"/>
        <v>242.76961911727065</v>
      </c>
      <c r="I3276" s="74">
        <v>46106</v>
      </c>
      <c r="J3276">
        <v>7</v>
      </c>
      <c r="K3276" t="s">
        <v>509</v>
      </c>
      <c r="L3276" t="s">
        <v>367</v>
      </c>
      <c r="M3276" t="s">
        <v>356</v>
      </c>
      <c r="N3276" s="73">
        <v>67262</v>
      </c>
      <c r="O3276" s="73">
        <v>67262</v>
      </c>
      <c r="P3276">
        <v>34.681374159610094</v>
      </c>
    </row>
    <row r="3277" spans="1:16" x14ac:dyDescent="0.2">
      <c r="A3277" s="73">
        <v>67262</v>
      </c>
      <c r="B3277" t="s">
        <v>350</v>
      </c>
      <c r="C3277" s="73" t="s">
        <v>421</v>
      </c>
      <c r="D3277" t="s">
        <v>422</v>
      </c>
      <c r="E3277" s="74">
        <v>46106</v>
      </c>
      <c r="F3277" t="s">
        <v>410</v>
      </c>
      <c r="G3277" t="s">
        <v>411</v>
      </c>
      <c r="H3277" s="75">
        <f t="shared" si="51"/>
        <v>242.76961911727065</v>
      </c>
      <c r="I3277" s="74">
        <v>46106</v>
      </c>
      <c r="J3277">
        <v>7</v>
      </c>
      <c r="K3277" t="s">
        <v>509</v>
      </c>
      <c r="L3277" t="s">
        <v>262</v>
      </c>
      <c r="M3277" t="s">
        <v>356</v>
      </c>
      <c r="N3277" s="73">
        <v>67262</v>
      </c>
      <c r="O3277" s="73">
        <v>67262</v>
      </c>
      <c r="P3277">
        <v>34.681374159610094</v>
      </c>
    </row>
    <row r="3278" spans="1:16" x14ac:dyDescent="0.2">
      <c r="A3278" s="73">
        <v>67262</v>
      </c>
      <c r="B3278" t="s">
        <v>350</v>
      </c>
      <c r="C3278" s="73" t="s">
        <v>421</v>
      </c>
      <c r="D3278" t="s">
        <v>422</v>
      </c>
      <c r="E3278" s="74">
        <v>46106</v>
      </c>
      <c r="F3278" t="s">
        <v>370</v>
      </c>
      <c r="G3278" t="s">
        <v>371</v>
      </c>
      <c r="H3278" s="75">
        <f t="shared" si="51"/>
        <v>277.45099327688075</v>
      </c>
      <c r="I3278" s="74">
        <v>46106</v>
      </c>
      <c r="J3278">
        <v>8</v>
      </c>
      <c r="K3278" t="s">
        <v>509</v>
      </c>
      <c r="L3278" t="s">
        <v>262</v>
      </c>
      <c r="M3278" t="s">
        <v>356</v>
      </c>
      <c r="N3278" s="73">
        <v>67262</v>
      </c>
      <c r="O3278" s="73">
        <v>67262</v>
      </c>
      <c r="P3278">
        <v>34.681374159610094</v>
      </c>
    </row>
    <row r="3279" spans="1:16" x14ac:dyDescent="0.2">
      <c r="A3279" s="73">
        <v>67262</v>
      </c>
      <c r="B3279" t="s">
        <v>350</v>
      </c>
      <c r="C3279" s="73" t="s">
        <v>421</v>
      </c>
      <c r="D3279" t="s">
        <v>422</v>
      </c>
      <c r="E3279" s="74">
        <v>46106</v>
      </c>
      <c r="F3279" t="s">
        <v>395</v>
      </c>
      <c r="G3279" t="s">
        <v>396</v>
      </c>
      <c r="H3279" s="75">
        <f t="shared" si="51"/>
        <v>208.08824495766055</v>
      </c>
      <c r="I3279" s="74">
        <v>46106</v>
      </c>
      <c r="J3279">
        <v>6</v>
      </c>
      <c r="K3279" t="s">
        <v>509</v>
      </c>
      <c r="L3279" t="s">
        <v>262</v>
      </c>
      <c r="M3279" t="s">
        <v>356</v>
      </c>
      <c r="N3279" s="73">
        <v>67262</v>
      </c>
      <c r="O3279" s="73">
        <v>67262</v>
      </c>
      <c r="P3279">
        <v>34.681374159610094</v>
      </c>
    </row>
    <row r="3280" spans="1:16" x14ac:dyDescent="0.2">
      <c r="A3280" s="73">
        <v>67262</v>
      </c>
      <c r="B3280" t="s">
        <v>350</v>
      </c>
      <c r="C3280" s="73" t="s">
        <v>421</v>
      </c>
      <c r="D3280" t="s">
        <v>422</v>
      </c>
      <c r="E3280" s="74">
        <v>46107</v>
      </c>
      <c r="F3280" t="s">
        <v>387</v>
      </c>
      <c r="G3280" t="s">
        <v>388</v>
      </c>
      <c r="H3280" s="75">
        <f t="shared" si="51"/>
        <v>69.362748319220188</v>
      </c>
      <c r="I3280" s="74">
        <v>46107</v>
      </c>
      <c r="J3280">
        <v>2</v>
      </c>
      <c r="K3280" t="s">
        <v>509</v>
      </c>
      <c r="L3280" t="s">
        <v>367</v>
      </c>
      <c r="M3280" t="s">
        <v>356</v>
      </c>
      <c r="N3280" s="73">
        <v>67262</v>
      </c>
      <c r="O3280" s="73">
        <v>67262</v>
      </c>
      <c r="P3280">
        <v>34.681374159610094</v>
      </c>
    </row>
    <row r="3281" spans="1:16" x14ac:dyDescent="0.2">
      <c r="A3281" s="73">
        <v>67262</v>
      </c>
      <c r="B3281" t="s">
        <v>350</v>
      </c>
      <c r="C3281" s="73" t="s">
        <v>421</v>
      </c>
      <c r="D3281" t="s">
        <v>422</v>
      </c>
      <c r="E3281" s="74">
        <v>46107</v>
      </c>
      <c r="F3281" t="s">
        <v>410</v>
      </c>
      <c r="G3281" t="s">
        <v>411</v>
      </c>
      <c r="H3281" s="75">
        <f t="shared" si="51"/>
        <v>242.76961911727065</v>
      </c>
      <c r="I3281" s="74">
        <v>46107</v>
      </c>
      <c r="J3281">
        <v>7</v>
      </c>
      <c r="K3281" t="s">
        <v>509</v>
      </c>
      <c r="L3281" t="s">
        <v>262</v>
      </c>
      <c r="M3281" t="s">
        <v>356</v>
      </c>
      <c r="N3281" s="73">
        <v>67262</v>
      </c>
      <c r="O3281" s="73">
        <v>67262</v>
      </c>
      <c r="P3281">
        <v>34.681374159610094</v>
      </c>
    </row>
    <row r="3282" spans="1:16" x14ac:dyDescent="0.2">
      <c r="A3282" s="73">
        <v>67262</v>
      </c>
      <c r="B3282" t="s">
        <v>350</v>
      </c>
      <c r="C3282" s="73" t="s">
        <v>421</v>
      </c>
      <c r="D3282" t="s">
        <v>422</v>
      </c>
      <c r="E3282" s="74">
        <v>46107</v>
      </c>
      <c r="F3282" t="s">
        <v>395</v>
      </c>
      <c r="G3282" t="s">
        <v>396</v>
      </c>
      <c r="H3282" s="75">
        <f t="shared" si="51"/>
        <v>208.08824495766055</v>
      </c>
      <c r="I3282" s="74">
        <v>46107</v>
      </c>
      <c r="J3282">
        <v>6</v>
      </c>
      <c r="K3282" t="s">
        <v>509</v>
      </c>
      <c r="L3282" t="s">
        <v>262</v>
      </c>
      <c r="M3282" t="s">
        <v>356</v>
      </c>
      <c r="N3282" s="73">
        <v>67262</v>
      </c>
      <c r="O3282" s="73">
        <v>67262</v>
      </c>
      <c r="P3282">
        <v>34.681374159610094</v>
      </c>
    </row>
    <row r="3283" spans="1:16" x14ac:dyDescent="0.2">
      <c r="A3283" s="73">
        <v>67262</v>
      </c>
      <c r="B3283" t="s">
        <v>350</v>
      </c>
      <c r="C3283" s="73" t="s">
        <v>421</v>
      </c>
      <c r="D3283" t="s">
        <v>422</v>
      </c>
      <c r="E3283" s="74">
        <v>46108</v>
      </c>
      <c r="F3283" t="s">
        <v>387</v>
      </c>
      <c r="G3283" t="s">
        <v>388</v>
      </c>
      <c r="H3283" s="75">
        <f t="shared" si="51"/>
        <v>104.04412247883027</v>
      </c>
      <c r="I3283" s="74">
        <v>46108</v>
      </c>
      <c r="J3283">
        <v>3</v>
      </c>
      <c r="K3283" t="s">
        <v>509</v>
      </c>
      <c r="L3283" t="s">
        <v>367</v>
      </c>
      <c r="M3283" t="s">
        <v>356</v>
      </c>
      <c r="N3283" s="73">
        <v>67262</v>
      </c>
      <c r="O3283" s="73">
        <v>67262</v>
      </c>
      <c r="P3283">
        <v>34.681374159610094</v>
      </c>
    </row>
    <row r="3284" spans="1:16" x14ac:dyDescent="0.2">
      <c r="A3284" s="73">
        <v>67262</v>
      </c>
      <c r="B3284" t="s">
        <v>350</v>
      </c>
      <c r="C3284" s="73" t="s">
        <v>421</v>
      </c>
      <c r="D3284" t="s">
        <v>422</v>
      </c>
      <c r="E3284" s="74">
        <v>46108</v>
      </c>
      <c r="F3284" t="s">
        <v>410</v>
      </c>
      <c r="G3284" t="s">
        <v>411</v>
      </c>
      <c r="H3284" s="75">
        <f t="shared" si="51"/>
        <v>242.76961911727065</v>
      </c>
      <c r="I3284" s="74">
        <v>46108</v>
      </c>
      <c r="J3284">
        <v>7</v>
      </c>
      <c r="K3284" t="s">
        <v>509</v>
      </c>
      <c r="L3284" t="s">
        <v>262</v>
      </c>
      <c r="M3284" t="s">
        <v>356</v>
      </c>
      <c r="N3284" s="73">
        <v>67262</v>
      </c>
      <c r="O3284" s="73">
        <v>67262</v>
      </c>
      <c r="P3284">
        <v>34.681374159610094</v>
      </c>
    </row>
    <row r="3285" spans="1:16" x14ac:dyDescent="0.2">
      <c r="A3285" s="73">
        <v>67262</v>
      </c>
      <c r="B3285" t="s">
        <v>350</v>
      </c>
      <c r="C3285" s="73" t="s">
        <v>421</v>
      </c>
      <c r="D3285" t="s">
        <v>422</v>
      </c>
      <c r="E3285" s="74">
        <v>46108</v>
      </c>
      <c r="F3285" t="s">
        <v>395</v>
      </c>
      <c r="G3285" t="s">
        <v>396</v>
      </c>
      <c r="H3285" s="75">
        <f t="shared" si="51"/>
        <v>208.08824495766055</v>
      </c>
      <c r="I3285" s="74">
        <v>46108</v>
      </c>
      <c r="J3285">
        <v>6</v>
      </c>
      <c r="K3285" t="s">
        <v>509</v>
      </c>
      <c r="L3285" t="s">
        <v>262</v>
      </c>
      <c r="M3285" t="s">
        <v>356</v>
      </c>
      <c r="N3285" s="73">
        <v>67262</v>
      </c>
      <c r="O3285" s="73">
        <v>67262</v>
      </c>
      <c r="P3285">
        <v>34.681374159610094</v>
      </c>
    </row>
    <row r="3286" spans="1:16" x14ac:dyDescent="0.2">
      <c r="A3286" s="73">
        <v>67262</v>
      </c>
      <c r="B3286" t="s">
        <v>350</v>
      </c>
      <c r="C3286" s="73" t="s">
        <v>421</v>
      </c>
      <c r="D3286" t="s">
        <v>422</v>
      </c>
      <c r="E3286" s="74">
        <v>46111</v>
      </c>
      <c r="F3286" t="s">
        <v>395</v>
      </c>
      <c r="G3286" t="s">
        <v>396</v>
      </c>
      <c r="H3286" s="75">
        <f t="shared" si="51"/>
        <v>138.72549663844038</v>
      </c>
      <c r="I3286" s="74">
        <v>46111</v>
      </c>
      <c r="J3286">
        <v>4</v>
      </c>
      <c r="K3286" t="s">
        <v>509</v>
      </c>
      <c r="L3286" t="s">
        <v>262</v>
      </c>
      <c r="M3286" t="s">
        <v>356</v>
      </c>
      <c r="N3286" s="73">
        <v>67262</v>
      </c>
      <c r="O3286" s="73">
        <v>67262</v>
      </c>
      <c r="P3286">
        <v>34.681374159610094</v>
      </c>
    </row>
    <row r="3287" spans="1:16" x14ac:dyDescent="0.2">
      <c r="A3287" s="73">
        <v>67262</v>
      </c>
      <c r="B3287" t="s">
        <v>350</v>
      </c>
      <c r="C3287" s="73" t="s">
        <v>421</v>
      </c>
      <c r="D3287" t="s">
        <v>422</v>
      </c>
      <c r="E3287" s="74">
        <v>46111</v>
      </c>
      <c r="F3287" t="s">
        <v>387</v>
      </c>
      <c r="G3287" t="s">
        <v>388</v>
      </c>
      <c r="H3287" s="75">
        <f t="shared" si="51"/>
        <v>69.362748319220188</v>
      </c>
      <c r="I3287" s="74">
        <v>46111</v>
      </c>
      <c r="J3287">
        <v>2</v>
      </c>
      <c r="K3287" t="s">
        <v>509</v>
      </c>
      <c r="L3287" t="s">
        <v>367</v>
      </c>
      <c r="M3287" t="s">
        <v>356</v>
      </c>
      <c r="N3287" s="73">
        <v>67262</v>
      </c>
      <c r="O3287" s="73">
        <v>67262</v>
      </c>
      <c r="P3287">
        <v>34.681374159610094</v>
      </c>
    </row>
    <row r="3288" spans="1:16" x14ac:dyDescent="0.2">
      <c r="A3288" s="73">
        <v>67262</v>
      </c>
      <c r="B3288" t="s">
        <v>350</v>
      </c>
      <c r="C3288" s="73" t="s">
        <v>421</v>
      </c>
      <c r="D3288" t="s">
        <v>422</v>
      </c>
      <c r="E3288" s="74">
        <v>46112</v>
      </c>
      <c r="F3288" t="s">
        <v>387</v>
      </c>
      <c r="G3288" t="s">
        <v>388</v>
      </c>
      <c r="H3288" s="75">
        <f t="shared" si="51"/>
        <v>69.362748319220188</v>
      </c>
      <c r="I3288" s="74">
        <v>46112</v>
      </c>
      <c r="J3288">
        <v>2</v>
      </c>
      <c r="K3288" t="s">
        <v>509</v>
      </c>
      <c r="L3288" t="s">
        <v>367</v>
      </c>
      <c r="M3288" t="s">
        <v>356</v>
      </c>
      <c r="N3288" s="73">
        <v>67262</v>
      </c>
      <c r="O3288" s="73">
        <v>67262</v>
      </c>
      <c r="P3288">
        <v>34.681374159610094</v>
      </c>
    </row>
    <row r="3289" spans="1:16" x14ac:dyDescent="0.2">
      <c r="A3289" s="73">
        <v>67262</v>
      </c>
      <c r="B3289" t="s">
        <v>350</v>
      </c>
      <c r="C3289" s="73" t="s">
        <v>421</v>
      </c>
      <c r="D3289" t="s">
        <v>422</v>
      </c>
      <c r="E3289" s="74">
        <v>46113</v>
      </c>
      <c r="F3289" t="s">
        <v>395</v>
      </c>
      <c r="G3289" t="s">
        <v>396</v>
      </c>
      <c r="H3289" s="75">
        <f t="shared" si="51"/>
        <v>138.72549663844038</v>
      </c>
      <c r="I3289" s="74">
        <v>46113</v>
      </c>
      <c r="J3289">
        <v>4</v>
      </c>
      <c r="K3289" t="s">
        <v>510</v>
      </c>
      <c r="L3289" t="s">
        <v>262</v>
      </c>
      <c r="M3289" t="s">
        <v>356</v>
      </c>
      <c r="N3289" s="73">
        <v>67262</v>
      </c>
      <c r="O3289" s="73">
        <v>67262</v>
      </c>
      <c r="P3289">
        <v>34.681374159610094</v>
      </c>
    </row>
    <row r="3290" spans="1:16" x14ac:dyDescent="0.2">
      <c r="A3290" s="73">
        <v>67262</v>
      </c>
      <c r="B3290" t="s">
        <v>350</v>
      </c>
      <c r="C3290" s="73" t="s">
        <v>421</v>
      </c>
      <c r="D3290" t="s">
        <v>422</v>
      </c>
      <c r="E3290" s="74">
        <v>46113</v>
      </c>
      <c r="F3290" t="s">
        <v>387</v>
      </c>
      <c r="G3290" t="s">
        <v>388</v>
      </c>
      <c r="H3290" s="75">
        <f t="shared" si="51"/>
        <v>104.04412247883027</v>
      </c>
      <c r="I3290" s="74">
        <v>46113</v>
      </c>
      <c r="J3290">
        <v>3</v>
      </c>
      <c r="K3290" t="s">
        <v>510</v>
      </c>
      <c r="L3290" t="s">
        <v>367</v>
      </c>
      <c r="M3290" t="s">
        <v>356</v>
      </c>
      <c r="N3290" s="73">
        <v>67262</v>
      </c>
      <c r="O3290" s="73">
        <v>67262</v>
      </c>
      <c r="P3290">
        <v>34.681374159610094</v>
      </c>
    </row>
    <row r="3291" spans="1:16" x14ac:dyDescent="0.2">
      <c r="A3291" s="73">
        <v>67262</v>
      </c>
      <c r="B3291" t="s">
        <v>350</v>
      </c>
      <c r="C3291" s="73" t="s">
        <v>421</v>
      </c>
      <c r="D3291" t="s">
        <v>422</v>
      </c>
      <c r="E3291" s="74">
        <v>46114</v>
      </c>
      <c r="F3291" t="s">
        <v>387</v>
      </c>
      <c r="G3291" t="s">
        <v>388</v>
      </c>
      <c r="H3291" s="75">
        <f t="shared" si="51"/>
        <v>69.362748319220188</v>
      </c>
      <c r="I3291" s="74">
        <v>46114</v>
      </c>
      <c r="J3291">
        <v>2</v>
      </c>
      <c r="K3291" t="s">
        <v>510</v>
      </c>
      <c r="L3291" t="s">
        <v>367</v>
      </c>
      <c r="M3291" t="s">
        <v>356</v>
      </c>
      <c r="N3291" s="73">
        <v>67262</v>
      </c>
      <c r="O3291" s="73">
        <v>67262</v>
      </c>
      <c r="P3291">
        <v>34.681374159610094</v>
      </c>
    </row>
    <row r="3292" spans="1:16" x14ac:dyDescent="0.2">
      <c r="A3292" s="73">
        <v>67262</v>
      </c>
      <c r="B3292" t="s">
        <v>350</v>
      </c>
      <c r="C3292" s="73" t="s">
        <v>421</v>
      </c>
      <c r="D3292" t="s">
        <v>422</v>
      </c>
      <c r="E3292" s="74">
        <v>46115</v>
      </c>
      <c r="F3292" t="s">
        <v>395</v>
      </c>
      <c r="G3292" t="s">
        <v>396</v>
      </c>
      <c r="H3292" s="75">
        <f t="shared" si="51"/>
        <v>208.08824495766055</v>
      </c>
      <c r="I3292" s="74">
        <v>46115</v>
      </c>
      <c r="J3292">
        <v>6</v>
      </c>
      <c r="K3292" t="s">
        <v>510</v>
      </c>
      <c r="L3292" t="s">
        <v>262</v>
      </c>
      <c r="M3292" t="s">
        <v>356</v>
      </c>
      <c r="N3292" s="73">
        <v>67262</v>
      </c>
      <c r="O3292" s="73">
        <v>67262</v>
      </c>
      <c r="P3292">
        <v>34.681374159610094</v>
      </c>
    </row>
    <row r="3293" spans="1:16" x14ac:dyDescent="0.2">
      <c r="A3293" s="73">
        <v>67262</v>
      </c>
      <c r="B3293" t="s">
        <v>350</v>
      </c>
      <c r="C3293" s="73" t="s">
        <v>421</v>
      </c>
      <c r="D3293" t="s">
        <v>422</v>
      </c>
      <c r="E3293" s="74">
        <v>46115</v>
      </c>
      <c r="F3293" t="s">
        <v>387</v>
      </c>
      <c r="G3293" t="s">
        <v>388</v>
      </c>
      <c r="H3293" s="75">
        <f t="shared" si="51"/>
        <v>104.04412247883027</v>
      </c>
      <c r="I3293" s="74">
        <v>46115</v>
      </c>
      <c r="J3293">
        <v>3</v>
      </c>
      <c r="K3293" t="s">
        <v>510</v>
      </c>
      <c r="L3293" t="s">
        <v>367</v>
      </c>
      <c r="M3293" t="s">
        <v>356</v>
      </c>
      <c r="N3293" s="73">
        <v>67262</v>
      </c>
      <c r="O3293" s="73">
        <v>67262</v>
      </c>
      <c r="P3293">
        <v>34.681374159610094</v>
      </c>
    </row>
    <row r="3294" spans="1:16" x14ac:dyDescent="0.2">
      <c r="A3294" s="73">
        <v>67262</v>
      </c>
      <c r="B3294" t="s">
        <v>350</v>
      </c>
      <c r="C3294" s="73" t="s">
        <v>421</v>
      </c>
      <c r="D3294" t="s">
        <v>422</v>
      </c>
      <c r="E3294" s="74">
        <v>46118</v>
      </c>
      <c r="F3294" t="s">
        <v>370</v>
      </c>
      <c r="G3294" t="s">
        <v>371</v>
      </c>
      <c r="H3294" s="75">
        <f t="shared" si="51"/>
        <v>277.45099327688075</v>
      </c>
      <c r="I3294" s="74">
        <v>46118</v>
      </c>
      <c r="J3294">
        <v>8</v>
      </c>
      <c r="K3294" t="s">
        <v>510</v>
      </c>
      <c r="L3294" t="s">
        <v>262</v>
      </c>
      <c r="M3294" t="s">
        <v>356</v>
      </c>
      <c r="N3294" s="73">
        <v>67262</v>
      </c>
      <c r="O3294" s="73">
        <v>67262</v>
      </c>
      <c r="P3294">
        <v>34.681374159610094</v>
      </c>
    </row>
    <row r="3295" spans="1:16" x14ac:dyDescent="0.2">
      <c r="A3295" s="73">
        <v>67262</v>
      </c>
      <c r="B3295" t="s">
        <v>350</v>
      </c>
      <c r="C3295" s="73" t="s">
        <v>421</v>
      </c>
      <c r="D3295" t="s">
        <v>422</v>
      </c>
      <c r="E3295" s="74">
        <v>46118</v>
      </c>
      <c r="F3295" t="s">
        <v>387</v>
      </c>
      <c r="G3295" t="s">
        <v>388</v>
      </c>
      <c r="H3295" s="75">
        <f t="shared" si="51"/>
        <v>34.681374159610094</v>
      </c>
      <c r="I3295" s="74">
        <v>46118</v>
      </c>
      <c r="J3295">
        <v>1</v>
      </c>
      <c r="K3295" t="s">
        <v>510</v>
      </c>
      <c r="L3295" t="s">
        <v>367</v>
      </c>
      <c r="M3295" t="s">
        <v>356</v>
      </c>
      <c r="N3295" s="73">
        <v>67262</v>
      </c>
      <c r="O3295" s="73">
        <v>67262</v>
      </c>
      <c r="P3295">
        <v>34.681374159610094</v>
      </c>
    </row>
    <row r="3296" spans="1:16" x14ac:dyDescent="0.2">
      <c r="A3296" s="73">
        <v>67262</v>
      </c>
      <c r="B3296" t="s">
        <v>350</v>
      </c>
      <c r="C3296" s="73" t="s">
        <v>421</v>
      </c>
      <c r="D3296" t="s">
        <v>422</v>
      </c>
      <c r="E3296" s="74">
        <v>46119</v>
      </c>
      <c r="F3296" t="s">
        <v>370</v>
      </c>
      <c r="G3296" t="s">
        <v>371</v>
      </c>
      <c r="H3296" s="75">
        <f t="shared" si="51"/>
        <v>277.45099327688075</v>
      </c>
      <c r="I3296" s="74">
        <v>46119</v>
      </c>
      <c r="J3296">
        <v>8</v>
      </c>
      <c r="K3296" t="s">
        <v>510</v>
      </c>
      <c r="L3296" t="s">
        <v>262</v>
      </c>
      <c r="M3296" t="s">
        <v>356</v>
      </c>
      <c r="N3296" s="73">
        <v>67262</v>
      </c>
      <c r="O3296" s="73">
        <v>67262</v>
      </c>
      <c r="P3296">
        <v>34.681374159610094</v>
      </c>
    </row>
    <row r="3297" spans="1:16" x14ac:dyDescent="0.2">
      <c r="A3297" s="73">
        <v>67262</v>
      </c>
      <c r="B3297" t="s">
        <v>350</v>
      </c>
      <c r="C3297" s="73" t="s">
        <v>421</v>
      </c>
      <c r="D3297" t="s">
        <v>422</v>
      </c>
      <c r="E3297" s="74">
        <v>46119</v>
      </c>
      <c r="F3297" t="s">
        <v>387</v>
      </c>
      <c r="G3297" t="s">
        <v>388</v>
      </c>
      <c r="H3297" s="75">
        <f t="shared" si="51"/>
        <v>34.681374159610094</v>
      </c>
      <c r="I3297" s="74">
        <v>46119</v>
      </c>
      <c r="J3297">
        <v>1</v>
      </c>
      <c r="K3297" t="s">
        <v>510</v>
      </c>
      <c r="L3297" t="s">
        <v>367</v>
      </c>
      <c r="M3297" t="s">
        <v>356</v>
      </c>
      <c r="N3297" s="73">
        <v>67262</v>
      </c>
      <c r="O3297" s="73">
        <v>67262</v>
      </c>
      <c r="P3297">
        <v>34.681374159610094</v>
      </c>
    </row>
    <row r="3298" spans="1:16" x14ac:dyDescent="0.2">
      <c r="A3298" s="73">
        <v>67262</v>
      </c>
      <c r="B3298" t="s">
        <v>350</v>
      </c>
      <c r="C3298" s="73" t="s">
        <v>421</v>
      </c>
      <c r="D3298" t="s">
        <v>422</v>
      </c>
      <c r="E3298" s="74">
        <v>46120</v>
      </c>
      <c r="F3298" t="s">
        <v>370</v>
      </c>
      <c r="G3298" t="s">
        <v>371</v>
      </c>
      <c r="H3298" s="75">
        <f t="shared" si="51"/>
        <v>138.72549663844038</v>
      </c>
      <c r="I3298" s="74">
        <v>46120</v>
      </c>
      <c r="J3298">
        <v>4</v>
      </c>
      <c r="K3298" t="s">
        <v>510</v>
      </c>
      <c r="L3298" t="s">
        <v>262</v>
      </c>
      <c r="M3298" t="s">
        <v>356</v>
      </c>
      <c r="N3298" s="73">
        <v>67262</v>
      </c>
      <c r="O3298" s="73">
        <v>67262</v>
      </c>
      <c r="P3298">
        <v>34.681374159610094</v>
      </c>
    </row>
    <row r="3299" spans="1:16" x14ac:dyDescent="0.2">
      <c r="A3299" s="73">
        <v>67262</v>
      </c>
      <c r="B3299" t="s">
        <v>350</v>
      </c>
      <c r="C3299" s="73" t="s">
        <v>421</v>
      </c>
      <c r="D3299" t="s">
        <v>422</v>
      </c>
      <c r="E3299" s="74">
        <v>46121</v>
      </c>
      <c r="F3299" t="s">
        <v>404</v>
      </c>
      <c r="G3299" t="s">
        <v>405</v>
      </c>
      <c r="H3299" s="75">
        <f t="shared" si="51"/>
        <v>242.76961911727065</v>
      </c>
      <c r="I3299" s="74">
        <v>46121</v>
      </c>
      <c r="J3299">
        <v>7</v>
      </c>
      <c r="K3299" t="s">
        <v>510</v>
      </c>
      <c r="L3299" t="s">
        <v>262</v>
      </c>
      <c r="M3299" t="s">
        <v>356</v>
      </c>
      <c r="N3299" s="73">
        <v>67262</v>
      </c>
      <c r="O3299" s="73">
        <v>67262</v>
      </c>
      <c r="P3299">
        <v>34.681374159610094</v>
      </c>
    </row>
    <row r="3300" spans="1:16" x14ac:dyDescent="0.2">
      <c r="A3300" s="73">
        <v>67262</v>
      </c>
      <c r="B3300" t="s">
        <v>350</v>
      </c>
      <c r="C3300" s="73" t="s">
        <v>421</v>
      </c>
      <c r="D3300" t="s">
        <v>422</v>
      </c>
      <c r="E3300" s="74">
        <v>46122</v>
      </c>
      <c r="F3300" t="s">
        <v>387</v>
      </c>
      <c r="G3300" t="s">
        <v>388</v>
      </c>
      <c r="H3300" s="75">
        <f t="shared" si="51"/>
        <v>69.362748319220188</v>
      </c>
      <c r="I3300" s="74">
        <v>46122</v>
      </c>
      <c r="J3300">
        <v>2</v>
      </c>
      <c r="K3300" t="s">
        <v>510</v>
      </c>
      <c r="L3300" t="s">
        <v>367</v>
      </c>
      <c r="M3300" t="s">
        <v>356</v>
      </c>
      <c r="N3300" s="73">
        <v>67262</v>
      </c>
      <c r="O3300" s="73">
        <v>67262</v>
      </c>
      <c r="P3300">
        <v>34.681374159610094</v>
      </c>
    </row>
    <row r="3301" spans="1:16" x14ac:dyDescent="0.2">
      <c r="A3301" s="73">
        <v>67262</v>
      </c>
      <c r="B3301" t="s">
        <v>350</v>
      </c>
      <c r="C3301" s="73" t="s">
        <v>421</v>
      </c>
      <c r="D3301" t="s">
        <v>422</v>
      </c>
      <c r="E3301" s="74">
        <v>46105</v>
      </c>
      <c r="F3301" t="s">
        <v>414</v>
      </c>
      <c r="G3301" t="s">
        <v>415</v>
      </c>
      <c r="H3301" s="75">
        <f t="shared" si="51"/>
        <v>277.45099327688075</v>
      </c>
      <c r="I3301" s="74">
        <v>46105</v>
      </c>
      <c r="J3301">
        <v>8</v>
      </c>
      <c r="K3301" t="s">
        <v>509</v>
      </c>
      <c r="L3301" t="s">
        <v>262</v>
      </c>
      <c r="M3301" t="s">
        <v>356</v>
      </c>
      <c r="N3301" s="73">
        <v>67262</v>
      </c>
      <c r="O3301" s="73">
        <v>67262</v>
      </c>
      <c r="P3301">
        <v>34.681374159610094</v>
      </c>
    </row>
    <row r="3302" spans="1:16" hidden="1" x14ac:dyDescent="0.2">
      <c r="A3302" s="73">
        <v>67260</v>
      </c>
      <c r="B3302" t="s">
        <v>423</v>
      </c>
      <c r="C3302" s="73" t="s">
        <v>488</v>
      </c>
      <c r="D3302" t="s">
        <v>489</v>
      </c>
      <c r="E3302" s="74">
        <v>46106</v>
      </c>
      <c r="F3302" t="s">
        <v>414</v>
      </c>
      <c r="G3302" t="s">
        <v>415</v>
      </c>
      <c r="H3302" s="75">
        <f t="shared" si="51"/>
        <v>277.45099327688075</v>
      </c>
      <c r="I3302" s="74">
        <v>46106</v>
      </c>
      <c r="J3302">
        <v>8</v>
      </c>
      <c r="K3302" t="s">
        <v>509</v>
      </c>
      <c r="L3302" t="s">
        <v>262</v>
      </c>
      <c r="M3302" t="s">
        <v>356</v>
      </c>
      <c r="N3302" s="73">
        <v>67260</v>
      </c>
      <c r="O3302" s="73">
        <v>67260</v>
      </c>
      <c r="P3302">
        <v>34.681374159610094</v>
      </c>
    </row>
    <row r="3303" spans="1:16" x14ac:dyDescent="0.2">
      <c r="A3303" s="73">
        <v>67262</v>
      </c>
      <c r="B3303" t="s">
        <v>350</v>
      </c>
      <c r="C3303" s="73" t="s">
        <v>421</v>
      </c>
      <c r="D3303" t="s">
        <v>422</v>
      </c>
      <c r="E3303" s="74">
        <v>46125</v>
      </c>
      <c r="F3303" t="s">
        <v>404</v>
      </c>
      <c r="G3303" t="s">
        <v>405</v>
      </c>
      <c r="H3303" s="75">
        <f t="shared" si="51"/>
        <v>52.022061239415137</v>
      </c>
      <c r="I3303" s="74">
        <v>46125</v>
      </c>
      <c r="J3303">
        <v>1.5</v>
      </c>
      <c r="K3303" t="s">
        <v>510</v>
      </c>
      <c r="L3303" t="s">
        <v>262</v>
      </c>
      <c r="M3303" t="s">
        <v>356</v>
      </c>
      <c r="N3303" s="73">
        <v>67262</v>
      </c>
      <c r="O3303" s="73">
        <v>67262</v>
      </c>
      <c r="P3303">
        <v>34.681374159610094</v>
      </c>
    </row>
    <row r="3304" spans="1:16" x14ac:dyDescent="0.2">
      <c r="A3304" s="73">
        <v>67262</v>
      </c>
      <c r="B3304" t="s">
        <v>350</v>
      </c>
      <c r="C3304" s="73" t="s">
        <v>421</v>
      </c>
      <c r="D3304" t="s">
        <v>422</v>
      </c>
      <c r="E3304" s="74">
        <v>46125</v>
      </c>
      <c r="F3304" t="s">
        <v>387</v>
      </c>
      <c r="G3304" t="s">
        <v>388</v>
      </c>
      <c r="H3304" s="75">
        <f t="shared" si="51"/>
        <v>208.08824495766055</v>
      </c>
      <c r="I3304" s="74">
        <v>46125</v>
      </c>
      <c r="J3304">
        <v>6</v>
      </c>
      <c r="K3304" t="s">
        <v>510</v>
      </c>
      <c r="L3304" t="s">
        <v>367</v>
      </c>
      <c r="M3304" t="s">
        <v>356</v>
      </c>
      <c r="N3304" s="73">
        <v>67262</v>
      </c>
      <c r="O3304" s="73">
        <v>67262</v>
      </c>
      <c r="P3304">
        <v>34.681374159610094</v>
      </c>
    </row>
    <row r="3305" spans="1:16" x14ac:dyDescent="0.2">
      <c r="A3305" s="73">
        <v>67262</v>
      </c>
      <c r="B3305" t="s">
        <v>350</v>
      </c>
      <c r="C3305" s="73" t="s">
        <v>421</v>
      </c>
      <c r="D3305" t="s">
        <v>422</v>
      </c>
      <c r="E3305" s="74">
        <v>46127</v>
      </c>
      <c r="F3305" t="s">
        <v>364</v>
      </c>
      <c r="G3305" t="s">
        <v>365</v>
      </c>
      <c r="H3305" s="75">
        <f t="shared" si="51"/>
        <v>138.72549663844038</v>
      </c>
      <c r="I3305" s="74">
        <v>46127</v>
      </c>
      <c r="J3305">
        <v>4</v>
      </c>
      <c r="K3305" t="s">
        <v>510</v>
      </c>
      <c r="L3305" t="s">
        <v>366</v>
      </c>
      <c r="M3305" t="s">
        <v>356</v>
      </c>
      <c r="N3305" s="73">
        <v>67262</v>
      </c>
      <c r="O3305" s="73">
        <v>67262</v>
      </c>
      <c r="P3305">
        <v>34.681374159610094</v>
      </c>
    </row>
    <row r="3306" spans="1:16" x14ac:dyDescent="0.2">
      <c r="A3306" s="73">
        <v>67262</v>
      </c>
      <c r="B3306" t="s">
        <v>350</v>
      </c>
      <c r="C3306" s="73" t="s">
        <v>421</v>
      </c>
      <c r="D3306" t="s">
        <v>422</v>
      </c>
      <c r="E3306" s="74">
        <v>46127</v>
      </c>
      <c r="F3306" t="s">
        <v>404</v>
      </c>
      <c r="G3306" t="s">
        <v>405</v>
      </c>
      <c r="H3306" s="75">
        <f t="shared" si="51"/>
        <v>34.681374159610094</v>
      </c>
      <c r="I3306" s="74">
        <v>46127</v>
      </c>
      <c r="J3306">
        <v>1</v>
      </c>
      <c r="K3306" t="s">
        <v>510</v>
      </c>
      <c r="L3306" t="s">
        <v>262</v>
      </c>
      <c r="M3306" t="s">
        <v>356</v>
      </c>
      <c r="N3306" s="73">
        <v>67262</v>
      </c>
      <c r="O3306" s="73">
        <v>67262</v>
      </c>
      <c r="P3306">
        <v>34.681374159610094</v>
      </c>
    </row>
    <row r="3307" spans="1:16" x14ac:dyDescent="0.2">
      <c r="A3307" s="73">
        <v>67262</v>
      </c>
      <c r="B3307" t="s">
        <v>350</v>
      </c>
      <c r="C3307" s="73" t="s">
        <v>421</v>
      </c>
      <c r="D3307" t="s">
        <v>422</v>
      </c>
      <c r="E3307" s="74">
        <v>46127</v>
      </c>
      <c r="F3307" t="s">
        <v>395</v>
      </c>
      <c r="G3307" t="s">
        <v>396</v>
      </c>
      <c r="H3307" s="75">
        <f t="shared" si="51"/>
        <v>208.08824495766055</v>
      </c>
      <c r="I3307" s="74">
        <v>46127</v>
      </c>
      <c r="J3307">
        <v>6</v>
      </c>
      <c r="K3307" t="s">
        <v>510</v>
      </c>
      <c r="L3307" t="s">
        <v>262</v>
      </c>
      <c r="M3307" t="s">
        <v>356</v>
      </c>
      <c r="N3307" s="73">
        <v>67262</v>
      </c>
      <c r="O3307" s="73">
        <v>67262</v>
      </c>
      <c r="P3307">
        <v>34.681374159610094</v>
      </c>
    </row>
    <row r="3308" spans="1:16" x14ac:dyDescent="0.2">
      <c r="A3308" s="73">
        <v>67262</v>
      </c>
      <c r="B3308" t="s">
        <v>350</v>
      </c>
      <c r="C3308" s="73" t="s">
        <v>421</v>
      </c>
      <c r="D3308" t="s">
        <v>422</v>
      </c>
      <c r="E3308" s="74">
        <v>46127</v>
      </c>
      <c r="F3308" t="s">
        <v>387</v>
      </c>
      <c r="G3308" t="s">
        <v>388</v>
      </c>
      <c r="H3308" s="75">
        <f t="shared" si="51"/>
        <v>173.40687079805048</v>
      </c>
      <c r="I3308" s="74">
        <v>46127</v>
      </c>
      <c r="J3308">
        <v>5</v>
      </c>
      <c r="K3308" t="s">
        <v>510</v>
      </c>
      <c r="L3308" t="s">
        <v>367</v>
      </c>
      <c r="M3308" t="s">
        <v>356</v>
      </c>
      <c r="N3308" s="73">
        <v>67262</v>
      </c>
      <c r="O3308" s="73">
        <v>67262</v>
      </c>
      <c r="P3308">
        <v>34.681374159610094</v>
      </c>
    </row>
    <row r="3309" spans="1:16" x14ac:dyDescent="0.2">
      <c r="A3309" s="73">
        <v>67262</v>
      </c>
      <c r="B3309" t="s">
        <v>350</v>
      </c>
      <c r="C3309" s="73" t="s">
        <v>421</v>
      </c>
      <c r="D3309" t="s">
        <v>422</v>
      </c>
      <c r="E3309" s="74">
        <v>46128</v>
      </c>
      <c r="F3309" t="s">
        <v>395</v>
      </c>
      <c r="G3309" t="s">
        <v>396</v>
      </c>
      <c r="H3309" s="75">
        <f t="shared" si="51"/>
        <v>208.08824495766055</v>
      </c>
      <c r="I3309" s="74">
        <v>46128</v>
      </c>
      <c r="J3309">
        <v>6</v>
      </c>
      <c r="K3309" t="s">
        <v>510</v>
      </c>
      <c r="L3309" t="s">
        <v>262</v>
      </c>
      <c r="M3309" t="s">
        <v>356</v>
      </c>
      <c r="N3309" s="73">
        <v>67262</v>
      </c>
      <c r="O3309" s="73">
        <v>67262</v>
      </c>
      <c r="P3309">
        <v>34.681374159610094</v>
      </c>
    </row>
    <row r="3310" spans="1:16" x14ac:dyDescent="0.2">
      <c r="A3310" s="73">
        <v>67262</v>
      </c>
      <c r="B3310" t="s">
        <v>350</v>
      </c>
      <c r="C3310" s="73" t="s">
        <v>421</v>
      </c>
      <c r="D3310" t="s">
        <v>422</v>
      </c>
      <c r="E3310" s="74">
        <v>46133</v>
      </c>
      <c r="F3310" t="s">
        <v>387</v>
      </c>
      <c r="G3310" t="s">
        <v>388</v>
      </c>
      <c r="H3310" s="75">
        <f t="shared" si="51"/>
        <v>208.08824495766055</v>
      </c>
      <c r="I3310" s="74">
        <v>46133</v>
      </c>
      <c r="J3310">
        <v>6</v>
      </c>
      <c r="K3310" t="s">
        <v>510</v>
      </c>
      <c r="L3310" t="s">
        <v>367</v>
      </c>
      <c r="M3310" t="s">
        <v>356</v>
      </c>
      <c r="N3310" s="73">
        <v>67262</v>
      </c>
      <c r="O3310" s="73">
        <v>67262</v>
      </c>
      <c r="P3310">
        <v>34.681374159610094</v>
      </c>
    </row>
    <row r="3311" spans="1:16" x14ac:dyDescent="0.2">
      <c r="A3311" s="73">
        <v>67262</v>
      </c>
      <c r="B3311" t="s">
        <v>350</v>
      </c>
      <c r="C3311" s="73" t="s">
        <v>421</v>
      </c>
      <c r="D3311" t="s">
        <v>422</v>
      </c>
      <c r="E3311" s="74">
        <v>46134</v>
      </c>
      <c r="F3311" t="s">
        <v>387</v>
      </c>
      <c r="G3311" t="s">
        <v>388</v>
      </c>
      <c r="H3311" s="75">
        <f t="shared" si="51"/>
        <v>277.45099327688075</v>
      </c>
      <c r="I3311" s="74">
        <v>46134</v>
      </c>
      <c r="J3311">
        <v>8</v>
      </c>
      <c r="K3311" t="s">
        <v>510</v>
      </c>
      <c r="L3311" t="s">
        <v>367</v>
      </c>
      <c r="M3311" t="s">
        <v>356</v>
      </c>
      <c r="N3311" s="73">
        <v>67262</v>
      </c>
      <c r="O3311" s="73">
        <v>67262</v>
      </c>
      <c r="P3311">
        <v>34.681374159610094</v>
      </c>
    </row>
    <row r="3312" spans="1:16" x14ac:dyDescent="0.2">
      <c r="A3312" s="73">
        <v>67262</v>
      </c>
      <c r="B3312" t="s">
        <v>350</v>
      </c>
      <c r="C3312" s="73" t="s">
        <v>421</v>
      </c>
      <c r="D3312" t="s">
        <v>422</v>
      </c>
      <c r="E3312" s="74">
        <v>46135</v>
      </c>
      <c r="F3312" t="s">
        <v>404</v>
      </c>
      <c r="G3312" t="s">
        <v>405</v>
      </c>
      <c r="H3312" s="75">
        <f t="shared" si="51"/>
        <v>69.362748319220188</v>
      </c>
      <c r="I3312" s="74">
        <v>46135</v>
      </c>
      <c r="J3312">
        <v>2</v>
      </c>
      <c r="K3312" t="s">
        <v>510</v>
      </c>
      <c r="L3312" t="s">
        <v>262</v>
      </c>
      <c r="M3312" t="s">
        <v>356</v>
      </c>
      <c r="N3312" s="73">
        <v>67262</v>
      </c>
      <c r="O3312" s="73">
        <v>67262</v>
      </c>
      <c r="P3312">
        <v>34.681374159610094</v>
      </c>
    </row>
    <row r="3313" spans="1:16" x14ac:dyDescent="0.2">
      <c r="A3313" s="73">
        <v>67262</v>
      </c>
      <c r="B3313" t="s">
        <v>350</v>
      </c>
      <c r="C3313" s="73" t="s">
        <v>421</v>
      </c>
      <c r="D3313" t="s">
        <v>422</v>
      </c>
      <c r="E3313" s="74">
        <v>46136</v>
      </c>
      <c r="F3313" t="s">
        <v>404</v>
      </c>
      <c r="G3313" t="s">
        <v>405</v>
      </c>
      <c r="H3313" s="75">
        <f t="shared" si="51"/>
        <v>260.11030619707572</v>
      </c>
      <c r="I3313" s="74">
        <v>46136</v>
      </c>
      <c r="J3313">
        <v>7.5</v>
      </c>
      <c r="K3313" t="s">
        <v>510</v>
      </c>
      <c r="L3313" t="s">
        <v>262</v>
      </c>
      <c r="M3313" t="s">
        <v>356</v>
      </c>
      <c r="N3313" s="73">
        <v>67262</v>
      </c>
      <c r="O3313" s="73">
        <v>67262</v>
      </c>
      <c r="P3313">
        <v>34.681374159610094</v>
      </c>
    </row>
    <row r="3314" spans="1:16" x14ac:dyDescent="0.2">
      <c r="A3314" s="73">
        <v>67262</v>
      </c>
      <c r="B3314" t="s">
        <v>350</v>
      </c>
      <c r="C3314" s="73" t="s">
        <v>421</v>
      </c>
      <c r="D3314" t="s">
        <v>422</v>
      </c>
      <c r="E3314" s="74">
        <v>46142</v>
      </c>
      <c r="F3314" t="s">
        <v>404</v>
      </c>
      <c r="G3314" t="s">
        <v>405</v>
      </c>
      <c r="H3314" s="75">
        <f t="shared" si="51"/>
        <v>208.08824495766055</v>
      </c>
      <c r="I3314" s="74">
        <v>46142</v>
      </c>
      <c r="J3314">
        <v>6</v>
      </c>
      <c r="K3314" t="s">
        <v>510</v>
      </c>
      <c r="L3314" t="s">
        <v>262</v>
      </c>
      <c r="M3314" t="s">
        <v>356</v>
      </c>
      <c r="N3314" s="73">
        <v>67262</v>
      </c>
      <c r="O3314" s="73">
        <v>67262</v>
      </c>
      <c r="P3314">
        <v>34.681374159610094</v>
      </c>
    </row>
    <row r="3315" spans="1:16" x14ac:dyDescent="0.2">
      <c r="A3315" s="73">
        <v>67262</v>
      </c>
      <c r="B3315" t="s">
        <v>350</v>
      </c>
      <c r="C3315" s="73" t="s">
        <v>421</v>
      </c>
      <c r="D3315" t="s">
        <v>422</v>
      </c>
      <c r="E3315" s="74">
        <v>46146</v>
      </c>
      <c r="F3315" t="s">
        <v>370</v>
      </c>
      <c r="G3315" t="s">
        <v>371</v>
      </c>
      <c r="H3315" s="75">
        <f t="shared" si="51"/>
        <v>277.45099327688075</v>
      </c>
      <c r="I3315" s="74">
        <v>46146</v>
      </c>
      <c r="J3315">
        <v>8</v>
      </c>
      <c r="K3315" t="s">
        <v>517</v>
      </c>
      <c r="L3315" t="s">
        <v>262</v>
      </c>
      <c r="M3315" t="s">
        <v>356</v>
      </c>
      <c r="N3315" s="73">
        <v>67262</v>
      </c>
      <c r="O3315" s="73">
        <v>67262</v>
      </c>
      <c r="P3315">
        <v>34.681374159610094</v>
      </c>
    </row>
    <row r="3316" spans="1:16" x14ac:dyDescent="0.2">
      <c r="A3316" s="73">
        <v>67262</v>
      </c>
      <c r="B3316" t="s">
        <v>350</v>
      </c>
      <c r="C3316" s="73" t="s">
        <v>421</v>
      </c>
      <c r="D3316" t="s">
        <v>422</v>
      </c>
      <c r="E3316" s="74">
        <v>46147</v>
      </c>
      <c r="F3316" t="s">
        <v>370</v>
      </c>
      <c r="G3316" t="s">
        <v>371</v>
      </c>
      <c r="H3316" s="75">
        <f t="shared" si="51"/>
        <v>277.45099327688075</v>
      </c>
      <c r="I3316" s="74">
        <v>46147</v>
      </c>
      <c r="J3316">
        <v>8</v>
      </c>
      <c r="K3316" t="s">
        <v>517</v>
      </c>
      <c r="L3316" t="s">
        <v>262</v>
      </c>
      <c r="M3316" t="s">
        <v>356</v>
      </c>
      <c r="N3316" s="73">
        <v>67262</v>
      </c>
      <c r="O3316" s="73">
        <v>67262</v>
      </c>
      <c r="P3316">
        <v>34.681374159610094</v>
      </c>
    </row>
    <row r="3317" spans="1:16" x14ac:dyDescent="0.2">
      <c r="A3317" s="73">
        <v>67262</v>
      </c>
      <c r="B3317" t="s">
        <v>350</v>
      </c>
      <c r="C3317" s="73" t="s">
        <v>421</v>
      </c>
      <c r="D3317" t="s">
        <v>422</v>
      </c>
      <c r="E3317" s="74">
        <v>46149</v>
      </c>
      <c r="F3317" t="s">
        <v>410</v>
      </c>
      <c r="G3317" t="s">
        <v>411</v>
      </c>
      <c r="H3317" s="75">
        <f t="shared" si="51"/>
        <v>277.45099327688075</v>
      </c>
      <c r="I3317" s="74">
        <v>46149</v>
      </c>
      <c r="J3317">
        <v>8</v>
      </c>
      <c r="K3317" t="s">
        <v>517</v>
      </c>
      <c r="L3317" t="s">
        <v>262</v>
      </c>
      <c r="M3317" t="s">
        <v>356</v>
      </c>
      <c r="N3317" s="73">
        <v>67262</v>
      </c>
      <c r="O3317" s="73">
        <v>67262</v>
      </c>
      <c r="P3317">
        <v>34.681374159610094</v>
      </c>
    </row>
    <row r="3318" spans="1:16" x14ac:dyDescent="0.2">
      <c r="A3318" s="73">
        <v>67262</v>
      </c>
      <c r="B3318" t="s">
        <v>350</v>
      </c>
      <c r="C3318" s="73" t="s">
        <v>421</v>
      </c>
      <c r="D3318" t="s">
        <v>422</v>
      </c>
      <c r="E3318" s="74">
        <v>46150</v>
      </c>
      <c r="F3318" t="s">
        <v>360</v>
      </c>
      <c r="G3318" t="s">
        <v>361</v>
      </c>
      <c r="H3318" s="75">
        <f t="shared" si="51"/>
        <v>277.45099327688075</v>
      </c>
      <c r="I3318" s="74">
        <v>46150</v>
      </c>
      <c r="J3318">
        <v>8</v>
      </c>
      <c r="K3318" t="s">
        <v>517</v>
      </c>
      <c r="L3318" t="s">
        <v>262</v>
      </c>
      <c r="M3318" t="s">
        <v>356</v>
      </c>
      <c r="N3318" s="73">
        <v>67262</v>
      </c>
      <c r="O3318" s="73">
        <v>67262</v>
      </c>
      <c r="P3318">
        <v>34.681374159610094</v>
      </c>
    </row>
    <row r="3319" spans="1:16" x14ac:dyDescent="0.2">
      <c r="A3319" s="73">
        <v>67262</v>
      </c>
      <c r="B3319" t="s">
        <v>350</v>
      </c>
      <c r="C3319" s="73" t="s">
        <v>421</v>
      </c>
      <c r="D3319" t="s">
        <v>422</v>
      </c>
      <c r="E3319" s="74">
        <v>46155</v>
      </c>
      <c r="F3319" t="s">
        <v>370</v>
      </c>
      <c r="G3319" t="s">
        <v>371</v>
      </c>
      <c r="H3319" s="75">
        <f t="shared" si="51"/>
        <v>277.45099327688075</v>
      </c>
      <c r="I3319" s="74">
        <v>46155</v>
      </c>
      <c r="J3319">
        <v>8</v>
      </c>
      <c r="K3319" t="s">
        <v>517</v>
      </c>
      <c r="L3319" t="s">
        <v>262</v>
      </c>
      <c r="M3319" t="s">
        <v>356</v>
      </c>
      <c r="N3319" s="73">
        <v>67262</v>
      </c>
      <c r="O3319" s="73">
        <v>67262</v>
      </c>
      <c r="P3319">
        <v>34.681374159610094</v>
      </c>
    </row>
    <row r="3320" spans="1:16" x14ac:dyDescent="0.2">
      <c r="A3320" s="73">
        <v>67262</v>
      </c>
      <c r="B3320" t="s">
        <v>350</v>
      </c>
      <c r="C3320" s="73" t="s">
        <v>421</v>
      </c>
      <c r="D3320" t="s">
        <v>422</v>
      </c>
      <c r="E3320" s="74">
        <v>46156</v>
      </c>
      <c r="F3320" t="s">
        <v>387</v>
      </c>
      <c r="G3320" t="s">
        <v>388</v>
      </c>
      <c r="H3320" s="75">
        <f t="shared" si="51"/>
        <v>34.681374159610094</v>
      </c>
      <c r="I3320" s="74">
        <v>46156</v>
      </c>
      <c r="J3320">
        <v>1</v>
      </c>
      <c r="K3320" t="s">
        <v>517</v>
      </c>
      <c r="L3320" t="s">
        <v>367</v>
      </c>
      <c r="M3320" t="s">
        <v>356</v>
      </c>
      <c r="N3320" s="73">
        <v>67262</v>
      </c>
      <c r="O3320" s="73">
        <v>67262</v>
      </c>
      <c r="P3320">
        <v>34.681374159610094</v>
      </c>
    </row>
    <row r="3321" spans="1:16" x14ac:dyDescent="0.2">
      <c r="A3321" s="73">
        <v>67262</v>
      </c>
      <c r="B3321" t="s">
        <v>350</v>
      </c>
      <c r="C3321" s="73" t="s">
        <v>421</v>
      </c>
      <c r="D3321" t="s">
        <v>422</v>
      </c>
      <c r="E3321" s="74">
        <v>46157</v>
      </c>
      <c r="F3321" t="s">
        <v>387</v>
      </c>
      <c r="G3321" t="s">
        <v>388</v>
      </c>
      <c r="H3321" s="75">
        <f t="shared" si="51"/>
        <v>138.72549663844038</v>
      </c>
      <c r="I3321" s="74">
        <v>46157</v>
      </c>
      <c r="J3321">
        <v>4</v>
      </c>
      <c r="K3321" t="s">
        <v>517</v>
      </c>
      <c r="L3321" t="s">
        <v>367</v>
      </c>
      <c r="M3321" t="s">
        <v>356</v>
      </c>
      <c r="N3321" s="73">
        <v>67262</v>
      </c>
      <c r="O3321" s="73">
        <v>67262</v>
      </c>
      <c r="P3321">
        <v>34.681374159610094</v>
      </c>
    </row>
    <row r="3322" spans="1:16" x14ac:dyDescent="0.2">
      <c r="A3322" s="73">
        <v>67262</v>
      </c>
      <c r="B3322" t="s">
        <v>350</v>
      </c>
      <c r="C3322" s="73" t="s">
        <v>421</v>
      </c>
      <c r="D3322" t="s">
        <v>422</v>
      </c>
      <c r="E3322" s="74">
        <v>46160</v>
      </c>
      <c r="F3322" t="s">
        <v>364</v>
      </c>
      <c r="G3322" t="s">
        <v>365</v>
      </c>
      <c r="H3322" s="75">
        <f t="shared" si="51"/>
        <v>34.681374159610094</v>
      </c>
      <c r="I3322" s="74">
        <v>46160</v>
      </c>
      <c r="J3322">
        <v>1</v>
      </c>
      <c r="K3322" t="s">
        <v>517</v>
      </c>
      <c r="L3322" t="s">
        <v>366</v>
      </c>
      <c r="M3322" t="s">
        <v>356</v>
      </c>
      <c r="N3322" s="73">
        <v>67262</v>
      </c>
      <c r="O3322" s="73">
        <v>67262</v>
      </c>
      <c r="P3322">
        <v>34.681374159610094</v>
      </c>
    </row>
    <row r="3323" spans="1:16" x14ac:dyDescent="0.2">
      <c r="A3323" s="73">
        <v>67262</v>
      </c>
      <c r="B3323" t="s">
        <v>350</v>
      </c>
      <c r="C3323" s="73" t="s">
        <v>421</v>
      </c>
      <c r="D3323" t="s">
        <v>422</v>
      </c>
      <c r="E3323" s="74">
        <v>46160</v>
      </c>
      <c r="F3323" t="s">
        <v>404</v>
      </c>
      <c r="G3323" t="s">
        <v>405</v>
      </c>
      <c r="H3323" s="75">
        <f t="shared" si="51"/>
        <v>242.76961911727065</v>
      </c>
      <c r="I3323" s="74">
        <v>46160</v>
      </c>
      <c r="J3323">
        <v>7</v>
      </c>
      <c r="K3323" t="s">
        <v>517</v>
      </c>
      <c r="L3323" t="s">
        <v>262</v>
      </c>
      <c r="M3323" t="s">
        <v>356</v>
      </c>
      <c r="N3323" s="73">
        <v>67262</v>
      </c>
      <c r="O3323" s="73">
        <v>67262</v>
      </c>
      <c r="P3323">
        <v>34.681374159610094</v>
      </c>
    </row>
    <row r="3324" spans="1:16" x14ac:dyDescent="0.2">
      <c r="A3324" s="73">
        <v>67262</v>
      </c>
      <c r="B3324" t="s">
        <v>350</v>
      </c>
      <c r="C3324" s="73" t="s">
        <v>421</v>
      </c>
      <c r="D3324" t="s">
        <v>422</v>
      </c>
      <c r="E3324" s="74">
        <v>46161</v>
      </c>
      <c r="F3324" t="s">
        <v>364</v>
      </c>
      <c r="G3324" t="s">
        <v>365</v>
      </c>
      <c r="H3324" s="75">
        <f t="shared" si="51"/>
        <v>69.362748319220188</v>
      </c>
      <c r="I3324" s="74">
        <v>46161</v>
      </c>
      <c r="J3324">
        <v>2</v>
      </c>
      <c r="K3324" t="s">
        <v>517</v>
      </c>
      <c r="L3324" t="s">
        <v>366</v>
      </c>
      <c r="M3324" t="s">
        <v>356</v>
      </c>
      <c r="N3324" s="73">
        <v>67262</v>
      </c>
      <c r="O3324" s="73">
        <v>67262</v>
      </c>
      <c r="P3324">
        <v>34.681374159610094</v>
      </c>
    </row>
    <row r="3325" spans="1:16" x14ac:dyDescent="0.2">
      <c r="A3325" s="73">
        <v>67262</v>
      </c>
      <c r="B3325" t="s">
        <v>350</v>
      </c>
      <c r="C3325" s="73" t="s">
        <v>421</v>
      </c>
      <c r="D3325" t="s">
        <v>422</v>
      </c>
      <c r="E3325" s="74">
        <v>46163</v>
      </c>
      <c r="F3325" t="s">
        <v>364</v>
      </c>
      <c r="G3325" t="s">
        <v>365</v>
      </c>
      <c r="H3325" s="75">
        <f t="shared" si="51"/>
        <v>104.04412247883027</v>
      </c>
      <c r="I3325" s="74">
        <v>46163</v>
      </c>
      <c r="J3325">
        <v>3</v>
      </c>
      <c r="K3325" t="s">
        <v>517</v>
      </c>
      <c r="L3325" t="s">
        <v>366</v>
      </c>
      <c r="M3325" t="s">
        <v>356</v>
      </c>
      <c r="N3325" s="73">
        <v>67262</v>
      </c>
      <c r="O3325" s="73">
        <v>67262</v>
      </c>
      <c r="P3325">
        <v>34.681374159610094</v>
      </c>
    </row>
    <row r="3326" spans="1:16" x14ac:dyDescent="0.2">
      <c r="A3326" s="73">
        <v>67262</v>
      </c>
      <c r="B3326" t="s">
        <v>350</v>
      </c>
      <c r="C3326" s="73" t="s">
        <v>421</v>
      </c>
      <c r="D3326" t="s">
        <v>422</v>
      </c>
      <c r="E3326" s="74">
        <v>46164</v>
      </c>
      <c r="F3326" t="s">
        <v>364</v>
      </c>
      <c r="G3326" t="s">
        <v>365</v>
      </c>
      <c r="H3326" s="75">
        <f t="shared" si="51"/>
        <v>138.72549663844038</v>
      </c>
      <c r="I3326" s="74">
        <v>46164</v>
      </c>
      <c r="J3326">
        <v>4</v>
      </c>
      <c r="K3326" t="s">
        <v>517</v>
      </c>
      <c r="L3326" t="s">
        <v>366</v>
      </c>
      <c r="M3326" t="s">
        <v>356</v>
      </c>
      <c r="N3326" s="73">
        <v>67262</v>
      </c>
      <c r="O3326" s="73">
        <v>67262</v>
      </c>
      <c r="P3326">
        <v>34.681374159610094</v>
      </c>
    </row>
    <row r="3327" spans="1:16" x14ac:dyDescent="0.2">
      <c r="A3327" s="73">
        <v>67262</v>
      </c>
      <c r="B3327" t="s">
        <v>350</v>
      </c>
      <c r="C3327" s="73" t="s">
        <v>421</v>
      </c>
      <c r="D3327" t="s">
        <v>422</v>
      </c>
      <c r="E3327" s="74">
        <v>46164</v>
      </c>
      <c r="F3327" t="s">
        <v>404</v>
      </c>
      <c r="G3327" t="s">
        <v>405</v>
      </c>
      <c r="H3327" s="75">
        <f t="shared" si="51"/>
        <v>34.681374159610094</v>
      </c>
      <c r="I3327" s="74">
        <v>46164</v>
      </c>
      <c r="J3327">
        <v>1</v>
      </c>
      <c r="K3327" t="s">
        <v>517</v>
      </c>
      <c r="L3327" t="s">
        <v>262</v>
      </c>
      <c r="M3327" t="s">
        <v>356</v>
      </c>
      <c r="N3327" s="73">
        <v>67262</v>
      </c>
      <c r="O3327" s="73">
        <v>67262</v>
      </c>
      <c r="P3327">
        <v>34.681374159610094</v>
      </c>
    </row>
    <row r="3328" spans="1:16" x14ac:dyDescent="0.2">
      <c r="A3328" s="73">
        <v>67262</v>
      </c>
      <c r="B3328" t="s">
        <v>350</v>
      </c>
      <c r="C3328" s="73" t="s">
        <v>421</v>
      </c>
      <c r="D3328" t="s">
        <v>422</v>
      </c>
      <c r="E3328" s="74">
        <v>46167</v>
      </c>
      <c r="F3328" t="s">
        <v>360</v>
      </c>
      <c r="G3328" t="s">
        <v>361</v>
      </c>
      <c r="H3328" s="75">
        <f t="shared" si="51"/>
        <v>208.08824495766055</v>
      </c>
      <c r="I3328" s="74">
        <v>46167</v>
      </c>
      <c r="J3328">
        <v>6</v>
      </c>
      <c r="K3328" t="s">
        <v>517</v>
      </c>
      <c r="L3328" t="s">
        <v>262</v>
      </c>
      <c r="M3328" t="s">
        <v>356</v>
      </c>
      <c r="N3328" s="73">
        <v>67262</v>
      </c>
      <c r="O3328" s="73">
        <v>67262</v>
      </c>
      <c r="P3328">
        <v>34.681374159610094</v>
      </c>
    </row>
    <row r="3329" spans="1:16" x14ac:dyDescent="0.2">
      <c r="A3329" s="73">
        <v>67262</v>
      </c>
      <c r="B3329" t="s">
        <v>350</v>
      </c>
      <c r="C3329" s="73" t="s">
        <v>421</v>
      </c>
      <c r="D3329" t="s">
        <v>422</v>
      </c>
      <c r="E3329" s="74">
        <v>46171</v>
      </c>
      <c r="F3329" t="s">
        <v>410</v>
      </c>
      <c r="G3329" t="s">
        <v>411</v>
      </c>
      <c r="H3329" s="75">
        <f t="shared" si="51"/>
        <v>277.45099327688075</v>
      </c>
      <c r="I3329" s="74">
        <v>46171</v>
      </c>
      <c r="J3329">
        <v>8</v>
      </c>
      <c r="K3329" t="s">
        <v>517</v>
      </c>
      <c r="L3329" t="s">
        <v>262</v>
      </c>
      <c r="M3329" t="s">
        <v>356</v>
      </c>
      <c r="N3329" s="73">
        <v>67262</v>
      </c>
      <c r="O3329" s="73">
        <v>67262</v>
      </c>
      <c r="P3329">
        <v>34.681374159610094</v>
      </c>
    </row>
    <row r="3330" spans="1:16" hidden="1" x14ac:dyDescent="0.2">
      <c r="A3330" s="73">
        <v>67260</v>
      </c>
      <c r="B3330" t="s">
        <v>423</v>
      </c>
      <c r="C3330" s="73" t="s">
        <v>488</v>
      </c>
      <c r="D3330" t="s">
        <v>489</v>
      </c>
      <c r="E3330" s="74">
        <v>46107</v>
      </c>
      <c r="F3330" t="s">
        <v>414</v>
      </c>
      <c r="G3330" t="s">
        <v>415</v>
      </c>
      <c r="H3330" s="75">
        <f t="shared" ref="H3330:H3393" si="52">J3330*P3330</f>
        <v>277.45099327688075</v>
      </c>
      <c r="I3330" s="74">
        <v>46107</v>
      </c>
      <c r="J3330">
        <v>8</v>
      </c>
      <c r="K3330" t="s">
        <v>509</v>
      </c>
      <c r="L3330" t="s">
        <v>262</v>
      </c>
      <c r="M3330" t="s">
        <v>356</v>
      </c>
      <c r="N3330" s="73">
        <v>67260</v>
      </c>
      <c r="O3330" s="73">
        <v>67260</v>
      </c>
      <c r="P3330">
        <v>34.681374159610094</v>
      </c>
    </row>
    <row r="3331" spans="1:16" hidden="1" x14ac:dyDescent="0.2">
      <c r="A3331" s="73">
        <v>67260</v>
      </c>
      <c r="B3331" t="s">
        <v>423</v>
      </c>
      <c r="C3331" s="73" t="s">
        <v>488</v>
      </c>
      <c r="D3331" t="s">
        <v>489</v>
      </c>
      <c r="E3331" s="74">
        <v>46111</v>
      </c>
      <c r="F3331" t="s">
        <v>414</v>
      </c>
      <c r="G3331" t="s">
        <v>415</v>
      </c>
      <c r="H3331" s="75">
        <f t="shared" si="52"/>
        <v>277.45099327688075</v>
      </c>
      <c r="I3331" s="74">
        <v>46111</v>
      </c>
      <c r="J3331">
        <v>8</v>
      </c>
      <c r="K3331" t="s">
        <v>509</v>
      </c>
      <c r="L3331" t="s">
        <v>262</v>
      </c>
      <c r="M3331" t="s">
        <v>356</v>
      </c>
      <c r="N3331" s="73">
        <v>67260</v>
      </c>
      <c r="O3331" s="73">
        <v>67260</v>
      </c>
      <c r="P3331">
        <v>34.681374159610094</v>
      </c>
    </row>
    <row r="3332" spans="1:16" x14ac:dyDescent="0.2">
      <c r="A3332" s="73">
        <v>67262</v>
      </c>
      <c r="B3332" t="s">
        <v>350</v>
      </c>
      <c r="C3332" s="73" t="s">
        <v>421</v>
      </c>
      <c r="D3332" t="s">
        <v>422</v>
      </c>
      <c r="E3332" s="74">
        <v>46175</v>
      </c>
      <c r="F3332" t="s">
        <v>387</v>
      </c>
      <c r="G3332" t="s">
        <v>388</v>
      </c>
      <c r="H3332" s="75">
        <f t="shared" si="52"/>
        <v>69.362748319220188</v>
      </c>
      <c r="I3332" s="74">
        <v>46175</v>
      </c>
      <c r="J3332">
        <v>2</v>
      </c>
      <c r="K3332" t="s">
        <v>518</v>
      </c>
      <c r="L3332" t="s">
        <v>367</v>
      </c>
      <c r="M3332" t="s">
        <v>356</v>
      </c>
      <c r="N3332" s="73">
        <v>67262</v>
      </c>
      <c r="O3332" s="73">
        <v>67262</v>
      </c>
      <c r="P3332">
        <v>34.681374159610094</v>
      </c>
    </row>
    <row r="3333" spans="1:16" hidden="1" x14ac:dyDescent="0.2">
      <c r="A3333" s="73">
        <v>67260</v>
      </c>
      <c r="B3333" t="s">
        <v>423</v>
      </c>
      <c r="C3333" s="73" t="s">
        <v>488</v>
      </c>
      <c r="D3333" t="s">
        <v>489</v>
      </c>
      <c r="E3333" s="74">
        <v>46112</v>
      </c>
      <c r="F3333" t="s">
        <v>414</v>
      </c>
      <c r="G3333" t="s">
        <v>415</v>
      </c>
      <c r="H3333" s="75">
        <f t="shared" si="52"/>
        <v>277.45099327688075</v>
      </c>
      <c r="I3333" s="74">
        <v>46112</v>
      </c>
      <c r="J3333">
        <v>8</v>
      </c>
      <c r="K3333" t="s">
        <v>509</v>
      </c>
      <c r="L3333" t="s">
        <v>262</v>
      </c>
      <c r="M3333" t="s">
        <v>356</v>
      </c>
      <c r="N3333" s="73">
        <v>67260</v>
      </c>
      <c r="O3333" s="73">
        <v>67260</v>
      </c>
      <c r="P3333">
        <v>34.681374159610094</v>
      </c>
    </row>
    <row r="3334" spans="1:16" x14ac:dyDescent="0.2">
      <c r="A3334" s="73">
        <v>67262</v>
      </c>
      <c r="B3334" t="s">
        <v>350</v>
      </c>
      <c r="C3334" s="73" t="s">
        <v>421</v>
      </c>
      <c r="D3334" t="s">
        <v>422</v>
      </c>
      <c r="E3334" s="74">
        <v>46176</v>
      </c>
      <c r="F3334" t="s">
        <v>387</v>
      </c>
      <c r="G3334" t="s">
        <v>388</v>
      </c>
      <c r="H3334" s="75">
        <f t="shared" si="52"/>
        <v>69.362748319220188</v>
      </c>
      <c r="I3334" s="74">
        <v>46176</v>
      </c>
      <c r="J3334">
        <v>2</v>
      </c>
      <c r="K3334" t="s">
        <v>518</v>
      </c>
      <c r="L3334" t="s">
        <v>367</v>
      </c>
      <c r="M3334" t="s">
        <v>356</v>
      </c>
      <c r="N3334" s="73">
        <v>67262</v>
      </c>
      <c r="O3334" s="73">
        <v>67262</v>
      </c>
      <c r="P3334">
        <v>34.681374159610094</v>
      </c>
    </row>
    <row r="3335" spans="1:16" x14ac:dyDescent="0.2">
      <c r="A3335" s="73">
        <v>67262</v>
      </c>
      <c r="B3335" t="s">
        <v>350</v>
      </c>
      <c r="C3335" s="73" t="s">
        <v>421</v>
      </c>
      <c r="D3335" t="s">
        <v>422</v>
      </c>
      <c r="E3335" s="74">
        <v>46177</v>
      </c>
      <c r="F3335" t="s">
        <v>406</v>
      </c>
      <c r="G3335" t="s">
        <v>407</v>
      </c>
      <c r="H3335" s="75">
        <f t="shared" si="52"/>
        <v>277.45099327688075</v>
      </c>
      <c r="I3335" s="74">
        <v>46177</v>
      </c>
      <c r="J3335">
        <v>8</v>
      </c>
      <c r="K3335" t="s">
        <v>518</v>
      </c>
      <c r="L3335" t="s">
        <v>355</v>
      </c>
      <c r="M3335" t="s">
        <v>356</v>
      </c>
      <c r="N3335" s="73">
        <v>67262</v>
      </c>
      <c r="O3335" s="73">
        <v>67262</v>
      </c>
      <c r="P3335">
        <v>34.681374159610094</v>
      </c>
    </row>
    <row r="3336" spans="1:16" x14ac:dyDescent="0.2">
      <c r="A3336" s="73">
        <v>67262</v>
      </c>
      <c r="B3336" t="s">
        <v>350</v>
      </c>
      <c r="C3336" s="73" t="s">
        <v>421</v>
      </c>
      <c r="D3336" t="s">
        <v>422</v>
      </c>
      <c r="E3336" s="74">
        <v>46178</v>
      </c>
      <c r="F3336" t="s">
        <v>406</v>
      </c>
      <c r="G3336" t="s">
        <v>407</v>
      </c>
      <c r="H3336" s="75">
        <f t="shared" si="52"/>
        <v>277.45099327688075</v>
      </c>
      <c r="I3336" s="74">
        <v>46178</v>
      </c>
      <c r="J3336">
        <v>8</v>
      </c>
      <c r="K3336" t="s">
        <v>518</v>
      </c>
      <c r="L3336" t="s">
        <v>355</v>
      </c>
      <c r="M3336" t="s">
        <v>356</v>
      </c>
      <c r="N3336" s="73">
        <v>67262</v>
      </c>
      <c r="O3336" s="73">
        <v>67262</v>
      </c>
      <c r="P3336">
        <v>34.681374159610094</v>
      </c>
    </row>
    <row r="3337" spans="1:16" x14ac:dyDescent="0.2">
      <c r="A3337" s="73">
        <v>67262</v>
      </c>
      <c r="B3337" t="s">
        <v>350</v>
      </c>
      <c r="C3337" s="73" t="s">
        <v>421</v>
      </c>
      <c r="D3337" t="s">
        <v>422</v>
      </c>
      <c r="E3337" s="74">
        <v>46181</v>
      </c>
      <c r="F3337" t="s">
        <v>406</v>
      </c>
      <c r="G3337" t="s">
        <v>407</v>
      </c>
      <c r="H3337" s="75">
        <f t="shared" si="52"/>
        <v>277.45099327688075</v>
      </c>
      <c r="I3337" s="74">
        <v>46181</v>
      </c>
      <c r="J3337">
        <v>8</v>
      </c>
      <c r="K3337" t="s">
        <v>518</v>
      </c>
      <c r="L3337" t="s">
        <v>355</v>
      </c>
      <c r="M3337" t="s">
        <v>356</v>
      </c>
      <c r="N3337" s="73">
        <v>67262</v>
      </c>
      <c r="O3337" s="73">
        <v>67262</v>
      </c>
      <c r="P3337">
        <v>34.681374159610094</v>
      </c>
    </row>
    <row r="3338" spans="1:16" x14ac:dyDescent="0.2">
      <c r="A3338" s="73">
        <v>67262</v>
      </c>
      <c r="B3338" t="s">
        <v>350</v>
      </c>
      <c r="C3338" s="73" t="s">
        <v>421</v>
      </c>
      <c r="D3338" t="s">
        <v>422</v>
      </c>
      <c r="E3338" s="74">
        <v>46182</v>
      </c>
      <c r="F3338" t="s">
        <v>406</v>
      </c>
      <c r="G3338" t="s">
        <v>407</v>
      </c>
      <c r="H3338" s="75">
        <f t="shared" si="52"/>
        <v>277.45099327688075</v>
      </c>
      <c r="I3338" s="74">
        <v>46182</v>
      </c>
      <c r="J3338">
        <v>8</v>
      </c>
      <c r="K3338" t="s">
        <v>518</v>
      </c>
      <c r="L3338" t="s">
        <v>355</v>
      </c>
      <c r="M3338" t="s">
        <v>356</v>
      </c>
      <c r="N3338" s="73">
        <v>67262</v>
      </c>
      <c r="O3338" s="73">
        <v>67262</v>
      </c>
      <c r="P3338">
        <v>34.681374159610094</v>
      </c>
    </row>
    <row r="3339" spans="1:16" x14ac:dyDescent="0.2">
      <c r="A3339" s="73">
        <v>67262</v>
      </c>
      <c r="B3339" t="s">
        <v>350</v>
      </c>
      <c r="C3339" s="73" t="s">
        <v>421</v>
      </c>
      <c r="D3339" t="s">
        <v>422</v>
      </c>
      <c r="E3339" s="74">
        <v>46183</v>
      </c>
      <c r="F3339" t="s">
        <v>406</v>
      </c>
      <c r="G3339" t="s">
        <v>407</v>
      </c>
      <c r="H3339" s="75">
        <f t="shared" si="52"/>
        <v>277.45099327688075</v>
      </c>
      <c r="I3339" s="74">
        <v>46183</v>
      </c>
      <c r="J3339">
        <v>8</v>
      </c>
      <c r="K3339" t="s">
        <v>518</v>
      </c>
      <c r="L3339" t="s">
        <v>355</v>
      </c>
      <c r="M3339" t="s">
        <v>356</v>
      </c>
      <c r="N3339" s="73">
        <v>67262</v>
      </c>
      <c r="O3339" s="73">
        <v>67262</v>
      </c>
      <c r="P3339">
        <v>34.681374159610094</v>
      </c>
    </row>
    <row r="3340" spans="1:16" x14ac:dyDescent="0.2">
      <c r="A3340" s="73">
        <v>67262</v>
      </c>
      <c r="B3340" t="s">
        <v>350</v>
      </c>
      <c r="C3340" s="73" t="s">
        <v>421</v>
      </c>
      <c r="D3340" t="s">
        <v>422</v>
      </c>
      <c r="E3340" s="74">
        <v>46184</v>
      </c>
      <c r="F3340" t="s">
        <v>370</v>
      </c>
      <c r="G3340" t="s">
        <v>371</v>
      </c>
      <c r="H3340" s="75">
        <f t="shared" si="52"/>
        <v>138.72549663844038</v>
      </c>
      <c r="I3340" s="74">
        <v>46184</v>
      </c>
      <c r="J3340">
        <v>4</v>
      </c>
      <c r="K3340" t="s">
        <v>518</v>
      </c>
      <c r="L3340" t="s">
        <v>262</v>
      </c>
      <c r="M3340" t="s">
        <v>356</v>
      </c>
      <c r="N3340" s="73">
        <v>67262</v>
      </c>
      <c r="O3340" s="73">
        <v>67262</v>
      </c>
      <c r="P3340">
        <v>34.681374159610094</v>
      </c>
    </row>
    <row r="3341" spans="1:16" x14ac:dyDescent="0.2">
      <c r="A3341" s="73">
        <v>67262</v>
      </c>
      <c r="B3341" t="s">
        <v>350</v>
      </c>
      <c r="C3341" s="73" t="s">
        <v>421</v>
      </c>
      <c r="D3341" t="s">
        <v>422</v>
      </c>
      <c r="E3341" s="74">
        <v>46185</v>
      </c>
      <c r="F3341" t="s">
        <v>370</v>
      </c>
      <c r="G3341" t="s">
        <v>371</v>
      </c>
      <c r="H3341" s="75">
        <f t="shared" si="52"/>
        <v>277.45099327688075</v>
      </c>
      <c r="I3341" s="74">
        <v>46185</v>
      </c>
      <c r="J3341">
        <v>8</v>
      </c>
      <c r="K3341" t="s">
        <v>518</v>
      </c>
      <c r="L3341" t="s">
        <v>262</v>
      </c>
      <c r="M3341" t="s">
        <v>356</v>
      </c>
      <c r="N3341" s="73">
        <v>67262</v>
      </c>
      <c r="O3341" s="73">
        <v>67262</v>
      </c>
      <c r="P3341">
        <v>34.681374159610094</v>
      </c>
    </row>
    <row r="3342" spans="1:16" hidden="1" x14ac:dyDescent="0.2">
      <c r="A3342" s="73">
        <v>67260</v>
      </c>
      <c r="B3342" t="s">
        <v>423</v>
      </c>
      <c r="C3342" s="73" t="s">
        <v>490</v>
      </c>
      <c r="D3342" t="s">
        <v>506</v>
      </c>
      <c r="E3342" s="74">
        <v>45973</v>
      </c>
      <c r="F3342" t="s">
        <v>372</v>
      </c>
      <c r="G3342" t="s">
        <v>373</v>
      </c>
      <c r="H3342" s="75">
        <f t="shared" si="52"/>
        <v>104.04412247883027</v>
      </c>
      <c r="I3342" s="74">
        <v>45973</v>
      </c>
      <c r="J3342">
        <v>3</v>
      </c>
      <c r="K3342" t="s">
        <v>514</v>
      </c>
      <c r="L3342" t="s">
        <v>348</v>
      </c>
      <c r="M3342" t="s">
        <v>356</v>
      </c>
      <c r="N3342" s="73">
        <v>67260</v>
      </c>
      <c r="O3342" s="73">
        <v>67260</v>
      </c>
      <c r="P3342">
        <v>34.681374159610094</v>
      </c>
    </row>
    <row r="3343" spans="1:16" hidden="1" x14ac:dyDescent="0.2">
      <c r="A3343" s="73">
        <v>67260</v>
      </c>
      <c r="B3343" t="s">
        <v>423</v>
      </c>
      <c r="C3343" s="73" t="s">
        <v>490</v>
      </c>
      <c r="D3343" t="s">
        <v>506</v>
      </c>
      <c r="E3343" s="74">
        <v>45978</v>
      </c>
      <c r="F3343" t="s">
        <v>372</v>
      </c>
      <c r="G3343" t="s">
        <v>373</v>
      </c>
      <c r="H3343" s="75">
        <f t="shared" si="52"/>
        <v>208.08824495766055</v>
      </c>
      <c r="I3343" s="74">
        <v>45978</v>
      </c>
      <c r="J3343">
        <v>6</v>
      </c>
      <c r="K3343" t="s">
        <v>514</v>
      </c>
      <c r="L3343" t="s">
        <v>348</v>
      </c>
      <c r="M3343" t="s">
        <v>356</v>
      </c>
      <c r="N3343" s="73">
        <v>67260</v>
      </c>
      <c r="O3343" s="73">
        <v>67260</v>
      </c>
      <c r="P3343">
        <v>34.681374159610094</v>
      </c>
    </row>
    <row r="3344" spans="1:16" hidden="1" x14ac:dyDescent="0.2">
      <c r="A3344" s="73">
        <v>67260</v>
      </c>
      <c r="B3344" t="s">
        <v>423</v>
      </c>
      <c r="C3344" s="73" t="s">
        <v>490</v>
      </c>
      <c r="D3344" t="s">
        <v>506</v>
      </c>
      <c r="E3344" s="74">
        <v>45980</v>
      </c>
      <c r="F3344" t="s">
        <v>372</v>
      </c>
      <c r="G3344" t="s">
        <v>373</v>
      </c>
      <c r="H3344" s="75">
        <f t="shared" si="52"/>
        <v>208.08824495766055</v>
      </c>
      <c r="I3344" s="74">
        <v>45980</v>
      </c>
      <c r="J3344">
        <v>6</v>
      </c>
      <c r="K3344" t="s">
        <v>514</v>
      </c>
      <c r="L3344" t="s">
        <v>348</v>
      </c>
      <c r="M3344" t="s">
        <v>356</v>
      </c>
      <c r="N3344" s="73">
        <v>67260</v>
      </c>
      <c r="O3344" s="73">
        <v>67260</v>
      </c>
      <c r="P3344">
        <v>34.681374159610094</v>
      </c>
    </row>
    <row r="3345" spans="1:16" hidden="1" x14ac:dyDescent="0.2">
      <c r="A3345" s="73">
        <v>67260</v>
      </c>
      <c r="B3345" t="s">
        <v>423</v>
      </c>
      <c r="C3345" s="73" t="s">
        <v>490</v>
      </c>
      <c r="D3345" t="s">
        <v>506</v>
      </c>
      <c r="E3345" s="74">
        <v>45981</v>
      </c>
      <c r="F3345" t="s">
        <v>372</v>
      </c>
      <c r="G3345" t="s">
        <v>373</v>
      </c>
      <c r="H3345" s="75">
        <f t="shared" si="52"/>
        <v>208.08824495766055</v>
      </c>
      <c r="I3345" s="74">
        <v>45981</v>
      </c>
      <c r="J3345">
        <v>6</v>
      </c>
      <c r="K3345" t="s">
        <v>514</v>
      </c>
      <c r="L3345" t="s">
        <v>348</v>
      </c>
      <c r="M3345" t="s">
        <v>356</v>
      </c>
      <c r="N3345" s="73">
        <v>67260</v>
      </c>
      <c r="O3345" s="73">
        <v>67260</v>
      </c>
      <c r="P3345">
        <v>34.681374159610094</v>
      </c>
    </row>
    <row r="3346" spans="1:16" hidden="1" x14ac:dyDescent="0.2">
      <c r="A3346" s="73">
        <v>67260</v>
      </c>
      <c r="B3346" t="s">
        <v>423</v>
      </c>
      <c r="C3346" s="73" t="s">
        <v>490</v>
      </c>
      <c r="D3346" t="s">
        <v>506</v>
      </c>
      <c r="E3346" s="74">
        <v>45982</v>
      </c>
      <c r="F3346" t="s">
        <v>372</v>
      </c>
      <c r="G3346" t="s">
        <v>373</v>
      </c>
      <c r="H3346" s="75">
        <f t="shared" si="52"/>
        <v>208.08824495766055</v>
      </c>
      <c r="I3346" s="74">
        <v>45982</v>
      </c>
      <c r="J3346">
        <v>6</v>
      </c>
      <c r="K3346" t="s">
        <v>514</v>
      </c>
      <c r="L3346" t="s">
        <v>348</v>
      </c>
      <c r="M3346" t="s">
        <v>356</v>
      </c>
      <c r="N3346" s="73">
        <v>67260</v>
      </c>
      <c r="O3346" s="73">
        <v>67260</v>
      </c>
      <c r="P3346">
        <v>34.681374159610094</v>
      </c>
    </row>
    <row r="3347" spans="1:16" hidden="1" x14ac:dyDescent="0.2">
      <c r="A3347" s="73">
        <v>67260</v>
      </c>
      <c r="B3347" t="s">
        <v>423</v>
      </c>
      <c r="C3347" s="73" t="s">
        <v>490</v>
      </c>
      <c r="D3347" t="s">
        <v>506</v>
      </c>
      <c r="E3347" s="74">
        <v>45985</v>
      </c>
      <c r="F3347" t="s">
        <v>372</v>
      </c>
      <c r="G3347" t="s">
        <v>373</v>
      </c>
      <c r="H3347" s="75">
        <f t="shared" si="52"/>
        <v>208.08824495766055</v>
      </c>
      <c r="I3347" s="74">
        <v>45985</v>
      </c>
      <c r="J3347">
        <v>6</v>
      </c>
      <c r="K3347" t="s">
        <v>514</v>
      </c>
      <c r="L3347" t="s">
        <v>348</v>
      </c>
      <c r="M3347" t="s">
        <v>356</v>
      </c>
      <c r="N3347" s="73">
        <v>67260</v>
      </c>
      <c r="O3347" s="73">
        <v>67260</v>
      </c>
      <c r="P3347">
        <v>34.681374159610094</v>
      </c>
    </row>
    <row r="3348" spans="1:16" hidden="1" x14ac:dyDescent="0.2">
      <c r="A3348" s="73">
        <v>67260</v>
      </c>
      <c r="B3348" t="s">
        <v>423</v>
      </c>
      <c r="C3348" s="73" t="s">
        <v>490</v>
      </c>
      <c r="D3348" t="s">
        <v>506</v>
      </c>
      <c r="E3348" s="74">
        <v>45986</v>
      </c>
      <c r="F3348" t="s">
        <v>372</v>
      </c>
      <c r="G3348" t="s">
        <v>373</v>
      </c>
      <c r="H3348" s="75">
        <f t="shared" si="52"/>
        <v>208.08824495766055</v>
      </c>
      <c r="I3348" s="74">
        <v>45986</v>
      </c>
      <c r="J3348">
        <v>6</v>
      </c>
      <c r="K3348" t="s">
        <v>514</v>
      </c>
      <c r="L3348" t="s">
        <v>348</v>
      </c>
      <c r="M3348" t="s">
        <v>356</v>
      </c>
      <c r="N3348" s="73">
        <v>67260</v>
      </c>
      <c r="O3348" s="73">
        <v>67260</v>
      </c>
      <c r="P3348">
        <v>34.681374159610094</v>
      </c>
    </row>
    <row r="3349" spans="1:16" hidden="1" x14ac:dyDescent="0.2">
      <c r="A3349" s="73">
        <v>67260</v>
      </c>
      <c r="B3349" t="s">
        <v>423</v>
      </c>
      <c r="C3349" s="73" t="s">
        <v>490</v>
      </c>
      <c r="D3349" t="s">
        <v>506</v>
      </c>
      <c r="E3349" s="74">
        <v>45987</v>
      </c>
      <c r="F3349" t="s">
        <v>372</v>
      </c>
      <c r="G3349" t="s">
        <v>373</v>
      </c>
      <c r="H3349" s="75">
        <f t="shared" si="52"/>
        <v>208.08824495766055</v>
      </c>
      <c r="I3349" s="74">
        <v>45987</v>
      </c>
      <c r="J3349">
        <v>6</v>
      </c>
      <c r="K3349" t="s">
        <v>514</v>
      </c>
      <c r="L3349" t="s">
        <v>348</v>
      </c>
      <c r="M3349" t="s">
        <v>356</v>
      </c>
      <c r="N3349" s="73">
        <v>67260</v>
      </c>
      <c r="O3349" s="73">
        <v>67260</v>
      </c>
      <c r="P3349">
        <v>34.681374159610094</v>
      </c>
    </row>
    <row r="3350" spans="1:16" hidden="1" x14ac:dyDescent="0.2">
      <c r="A3350" s="73">
        <v>67260</v>
      </c>
      <c r="B3350" t="s">
        <v>423</v>
      </c>
      <c r="C3350" s="73" t="s">
        <v>490</v>
      </c>
      <c r="D3350" t="s">
        <v>506</v>
      </c>
      <c r="E3350" s="74">
        <v>45988</v>
      </c>
      <c r="F3350" t="s">
        <v>372</v>
      </c>
      <c r="G3350" t="s">
        <v>373</v>
      </c>
      <c r="H3350" s="75">
        <f t="shared" si="52"/>
        <v>208.08824495766055</v>
      </c>
      <c r="I3350" s="74">
        <v>45988</v>
      </c>
      <c r="J3350">
        <v>6</v>
      </c>
      <c r="K3350" t="s">
        <v>514</v>
      </c>
      <c r="L3350" t="s">
        <v>348</v>
      </c>
      <c r="M3350" t="s">
        <v>356</v>
      </c>
      <c r="N3350" s="73">
        <v>67260</v>
      </c>
      <c r="O3350" s="73">
        <v>67260</v>
      </c>
      <c r="P3350">
        <v>34.681374159610094</v>
      </c>
    </row>
    <row r="3351" spans="1:16" hidden="1" x14ac:dyDescent="0.2">
      <c r="A3351" s="73">
        <v>67260</v>
      </c>
      <c r="B3351" t="s">
        <v>423</v>
      </c>
      <c r="C3351" s="73" t="s">
        <v>490</v>
      </c>
      <c r="D3351" t="s">
        <v>506</v>
      </c>
      <c r="E3351" s="74">
        <v>45989</v>
      </c>
      <c r="F3351" t="s">
        <v>372</v>
      </c>
      <c r="G3351" t="s">
        <v>373</v>
      </c>
      <c r="H3351" s="75">
        <f t="shared" si="52"/>
        <v>208.08824495766055</v>
      </c>
      <c r="I3351" s="74">
        <v>45989</v>
      </c>
      <c r="J3351">
        <v>6</v>
      </c>
      <c r="K3351" t="s">
        <v>514</v>
      </c>
      <c r="L3351" t="s">
        <v>348</v>
      </c>
      <c r="M3351" t="s">
        <v>356</v>
      </c>
      <c r="N3351" s="73">
        <v>67260</v>
      </c>
      <c r="O3351" s="73">
        <v>67260</v>
      </c>
      <c r="P3351">
        <v>34.681374159610094</v>
      </c>
    </row>
    <row r="3352" spans="1:16" hidden="1" x14ac:dyDescent="0.2">
      <c r="A3352" s="73">
        <v>67260</v>
      </c>
      <c r="B3352" t="s">
        <v>423</v>
      </c>
      <c r="C3352" s="73" t="s">
        <v>490</v>
      </c>
      <c r="D3352" t="s">
        <v>506</v>
      </c>
      <c r="E3352" s="74">
        <v>45992</v>
      </c>
      <c r="F3352" t="s">
        <v>372</v>
      </c>
      <c r="G3352" t="s">
        <v>373</v>
      </c>
      <c r="H3352" s="75">
        <f t="shared" si="52"/>
        <v>208.08824495766055</v>
      </c>
      <c r="I3352" s="74">
        <v>45992</v>
      </c>
      <c r="J3352">
        <v>6</v>
      </c>
      <c r="K3352" t="s">
        <v>515</v>
      </c>
      <c r="L3352" t="s">
        <v>348</v>
      </c>
      <c r="M3352" t="s">
        <v>356</v>
      </c>
      <c r="N3352" s="73">
        <v>67260</v>
      </c>
      <c r="O3352" s="73">
        <v>67260</v>
      </c>
      <c r="P3352">
        <v>34.681374159610094</v>
      </c>
    </row>
    <row r="3353" spans="1:16" hidden="1" x14ac:dyDescent="0.2">
      <c r="A3353" s="73">
        <v>68097</v>
      </c>
      <c r="B3353" t="s">
        <v>491</v>
      </c>
      <c r="C3353" s="73" t="s">
        <v>492</v>
      </c>
      <c r="D3353" t="s">
        <v>493</v>
      </c>
      <c r="E3353" s="74">
        <v>46111</v>
      </c>
      <c r="F3353" t="s">
        <v>357</v>
      </c>
      <c r="G3353" t="s">
        <v>358</v>
      </c>
      <c r="H3353" s="75">
        <f t="shared" si="52"/>
        <v>69.362748319220188</v>
      </c>
      <c r="I3353" s="74">
        <v>46111</v>
      </c>
      <c r="J3353">
        <v>2</v>
      </c>
      <c r="K3353" t="s">
        <v>509</v>
      </c>
      <c r="L3353" t="s">
        <v>359</v>
      </c>
      <c r="M3353" t="s">
        <v>356</v>
      </c>
      <c r="N3353" s="73">
        <v>68097</v>
      </c>
      <c r="O3353" s="73">
        <v>68097</v>
      </c>
      <c r="P3353">
        <v>34.681374159610094</v>
      </c>
    </row>
    <row r="3354" spans="1:16" hidden="1" x14ac:dyDescent="0.2">
      <c r="A3354" s="73">
        <v>68097</v>
      </c>
      <c r="B3354" t="s">
        <v>491</v>
      </c>
      <c r="C3354" s="73" t="s">
        <v>492</v>
      </c>
      <c r="D3354" t="s">
        <v>493</v>
      </c>
      <c r="E3354" s="74">
        <v>46111</v>
      </c>
      <c r="F3354" t="s">
        <v>362</v>
      </c>
      <c r="G3354" t="s">
        <v>363</v>
      </c>
      <c r="H3354" s="75">
        <f t="shared" si="52"/>
        <v>277.45099327688075</v>
      </c>
      <c r="I3354" s="74">
        <v>46111</v>
      </c>
      <c r="J3354">
        <v>8</v>
      </c>
      <c r="K3354" t="s">
        <v>509</v>
      </c>
      <c r="L3354" t="s">
        <v>355</v>
      </c>
      <c r="M3354" t="s">
        <v>356</v>
      </c>
      <c r="N3354" s="73">
        <v>68097</v>
      </c>
      <c r="O3354" s="73">
        <v>68097</v>
      </c>
      <c r="P3354">
        <v>34.681374159610094</v>
      </c>
    </row>
    <row r="3355" spans="1:16" hidden="1" x14ac:dyDescent="0.2">
      <c r="A3355" s="73">
        <v>68097</v>
      </c>
      <c r="B3355" t="s">
        <v>491</v>
      </c>
      <c r="C3355" s="73" t="s">
        <v>492</v>
      </c>
      <c r="D3355" t="s">
        <v>493</v>
      </c>
      <c r="E3355" s="74">
        <v>46111</v>
      </c>
      <c r="F3355" t="s">
        <v>406</v>
      </c>
      <c r="G3355" t="s">
        <v>407</v>
      </c>
      <c r="H3355" s="75">
        <f t="shared" si="52"/>
        <v>277.45099327688075</v>
      </c>
      <c r="I3355" s="74">
        <v>46111</v>
      </c>
      <c r="J3355">
        <v>8</v>
      </c>
      <c r="K3355" t="s">
        <v>509</v>
      </c>
      <c r="L3355" t="s">
        <v>355</v>
      </c>
      <c r="M3355" t="s">
        <v>356</v>
      </c>
      <c r="N3355" s="73">
        <v>68097</v>
      </c>
      <c r="O3355" s="73">
        <v>68097</v>
      </c>
      <c r="P3355">
        <v>34.681374159610094</v>
      </c>
    </row>
    <row r="3356" spans="1:16" hidden="1" x14ac:dyDescent="0.2">
      <c r="A3356" s="73">
        <v>68097</v>
      </c>
      <c r="B3356" t="s">
        <v>491</v>
      </c>
      <c r="C3356" s="73" t="s">
        <v>492</v>
      </c>
      <c r="D3356" t="s">
        <v>493</v>
      </c>
      <c r="E3356" s="74">
        <v>46112</v>
      </c>
      <c r="F3356" t="s">
        <v>357</v>
      </c>
      <c r="G3356" t="s">
        <v>358</v>
      </c>
      <c r="H3356" s="75">
        <f t="shared" si="52"/>
        <v>69.362748319220188</v>
      </c>
      <c r="I3356" s="74">
        <v>46112</v>
      </c>
      <c r="J3356">
        <v>2</v>
      </c>
      <c r="K3356" t="s">
        <v>509</v>
      </c>
      <c r="L3356" t="s">
        <v>359</v>
      </c>
      <c r="M3356" t="s">
        <v>356</v>
      </c>
      <c r="N3356" s="73">
        <v>68097</v>
      </c>
      <c r="O3356" s="73">
        <v>68097</v>
      </c>
      <c r="P3356">
        <v>34.681374159610094</v>
      </c>
    </row>
    <row r="3357" spans="1:16" hidden="1" x14ac:dyDescent="0.2">
      <c r="A3357" s="73">
        <v>68097</v>
      </c>
      <c r="B3357" t="s">
        <v>491</v>
      </c>
      <c r="C3357" s="73" t="s">
        <v>492</v>
      </c>
      <c r="D3357" t="s">
        <v>493</v>
      </c>
      <c r="E3357" s="74">
        <v>46112</v>
      </c>
      <c r="F3357" t="s">
        <v>362</v>
      </c>
      <c r="G3357" t="s">
        <v>363</v>
      </c>
      <c r="H3357" s="75">
        <f t="shared" si="52"/>
        <v>277.45099327688075</v>
      </c>
      <c r="I3357" s="74">
        <v>46112</v>
      </c>
      <c r="J3357">
        <v>8</v>
      </c>
      <c r="K3357" t="s">
        <v>509</v>
      </c>
      <c r="L3357" t="s">
        <v>355</v>
      </c>
      <c r="M3357" t="s">
        <v>356</v>
      </c>
      <c r="N3357" s="73">
        <v>68097</v>
      </c>
      <c r="O3357" s="73">
        <v>68097</v>
      </c>
      <c r="P3357">
        <v>34.681374159610094</v>
      </c>
    </row>
    <row r="3358" spans="1:16" hidden="1" x14ac:dyDescent="0.2">
      <c r="A3358" s="73">
        <v>68097</v>
      </c>
      <c r="B3358" t="s">
        <v>491</v>
      </c>
      <c r="C3358" s="73" t="s">
        <v>492</v>
      </c>
      <c r="D3358" t="s">
        <v>493</v>
      </c>
      <c r="E3358" s="74">
        <v>46112</v>
      </c>
      <c r="F3358" t="s">
        <v>406</v>
      </c>
      <c r="G3358" t="s">
        <v>407</v>
      </c>
      <c r="H3358" s="75">
        <f t="shared" si="52"/>
        <v>277.45099327688075</v>
      </c>
      <c r="I3358" s="74">
        <v>46112</v>
      </c>
      <c r="J3358">
        <v>8</v>
      </c>
      <c r="K3358" t="s">
        <v>509</v>
      </c>
      <c r="L3358" t="s">
        <v>355</v>
      </c>
      <c r="M3358" t="s">
        <v>356</v>
      </c>
      <c r="N3358" s="73">
        <v>68097</v>
      </c>
      <c r="O3358" s="73">
        <v>68097</v>
      </c>
      <c r="P3358">
        <v>34.681374159610094</v>
      </c>
    </row>
    <row r="3359" spans="1:16" hidden="1" x14ac:dyDescent="0.2">
      <c r="A3359" s="73">
        <v>68097</v>
      </c>
      <c r="B3359" t="s">
        <v>491</v>
      </c>
      <c r="C3359" s="73" t="s">
        <v>492</v>
      </c>
      <c r="D3359" t="s">
        <v>493</v>
      </c>
      <c r="E3359" s="74">
        <v>46112</v>
      </c>
      <c r="F3359" t="s">
        <v>410</v>
      </c>
      <c r="G3359" t="s">
        <v>411</v>
      </c>
      <c r="H3359" s="75">
        <f t="shared" si="52"/>
        <v>242.76961911727065</v>
      </c>
      <c r="I3359" s="74">
        <v>46112</v>
      </c>
      <c r="J3359">
        <v>7</v>
      </c>
      <c r="K3359" t="s">
        <v>509</v>
      </c>
      <c r="L3359" t="s">
        <v>262</v>
      </c>
      <c r="M3359" t="s">
        <v>356</v>
      </c>
      <c r="N3359" s="73">
        <v>68097</v>
      </c>
      <c r="O3359" s="73">
        <v>68097</v>
      </c>
      <c r="P3359">
        <v>34.681374159610094</v>
      </c>
    </row>
    <row r="3360" spans="1:16" hidden="1" x14ac:dyDescent="0.2">
      <c r="A3360" s="73">
        <v>68097</v>
      </c>
      <c r="B3360" t="s">
        <v>491</v>
      </c>
      <c r="C3360" s="73" t="s">
        <v>492</v>
      </c>
      <c r="D3360" t="s">
        <v>493</v>
      </c>
      <c r="E3360" s="74">
        <v>46113</v>
      </c>
      <c r="F3360" t="s">
        <v>357</v>
      </c>
      <c r="G3360" t="s">
        <v>358</v>
      </c>
      <c r="H3360" s="75">
        <f t="shared" si="52"/>
        <v>69.362748319220188</v>
      </c>
      <c r="I3360" s="74">
        <v>46113</v>
      </c>
      <c r="J3360">
        <v>2</v>
      </c>
      <c r="K3360" t="s">
        <v>510</v>
      </c>
      <c r="L3360" t="s">
        <v>359</v>
      </c>
      <c r="M3360" t="s">
        <v>356</v>
      </c>
      <c r="N3360" s="73">
        <v>68097</v>
      </c>
      <c r="O3360" s="73">
        <v>68097</v>
      </c>
      <c r="P3360">
        <v>34.681374159610094</v>
      </c>
    </row>
    <row r="3361" spans="1:16" hidden="1" x14ac:dyDescent="0.2">
      <c r="A3361" s="73">
        <v>68097</v>
      </c>
      <c r="B3361" t="s">
        <v>491</v>
      </c>
      <c r="C3361" s="73" t="s">
        <v>492</v>
      </c>
      <c r="D3361" t="s">
        <v>493</v>
      </c>
      <c r="E3361" s="74">
        <v>46113</v>
      </c>
      <c r="F3361" t="s">
        <v>362</v>
      </c>
      <c r="G3361" t="s">
        <v>363</v>
      </c>
      <c r="H3361" s="75">
        <f t="shared" si="52"/>
        <v>277.45099327688075</v>
      </c>
      <c r="I3361" s="74">
        <v>46113</v>
      </c>
      <c r="J3361">
        <v>8</v>
      </c>
      <c r="K3361" t="s">
        <v>510</v>
      </c>
      <c r="L3361" t="s">
        <v>355</v>
      </c>
      <c r="M3361" t="s">
        <v>356</v>
      </c>
      <c r="N3361" s="73">
        <v>68097</v>
      </c>
      <c r="O3361" s="73">
        <v>68097</v>
      </c>
      <c r="P3361">
        <v>34.681374159610094</v>
      </c>
    </row>
    <row r="3362" spans="1:16" hidden="1" x14ac:dyDescent="0.2">
      <c r="A3362" s="73">
        <v>68097</v>
      </c>
      <c r="B3362" t="s">
        <v>491</v>
      </c>
      <c r="C3362" s="73" t="s">
        <v>492</v>
      </c>
      <c r="D3362" t="s">
        <v>493</v>
      </c>
      <c r="E3362" s="74">
        <v>46113</v>
      </c>
      <c r="F3362" t="s">
        <v>406</v>
      </c>
      <c r="G3362" t="s">
        <v>407</v>
      </c>
      <c r="H3362" s="75">
        <f t="shared" si="52"/>
        <v>277.45099327688075</v>
      </c>
      <c r="I3362" s="74">
        <v>46113</v>
      </c>
      <c r="J3362">
        <v>8</v>
      </c>
      <c r="K3362" t="s">
        <v>510</v>
      </c>
      <c r="L3362" t="s">
        <v>355</v>
      </c>
      <c r="M3362" t="s">
        <v>356</v>
      </c>
      <c r="N3362" s="73">
        <v>68097</v>
      </c>
      <c r="O3362" s="73">
        <v>68097</v>
      </c>
      <c r="P3362">
        <v>34.681374159610094</v>
      </c>
    </row>
    <row r="3363" spans="1:16" hidden="1" x14ac:dyDescent="0.2">
      <c r="A3363" s="73">
        <v>68097</v>
      </c>
      <c r="B3363" t="s">
        <v>491</v>
      </c>
      <c r="C3363" s="73" t="s">
        <v>492</v>
      </c>
      <c r="D3363" t="s">
        <v>493</v>
      </c>
      <c r="E3363" s="74">
        <v>46114</v>
      </c>
      <c r="F3363" t="s">
        <v>357</v>
      </c>
      <c r="G3363" t="s">
        <v>358</v>
      </c>
      <c r="H3363" s="75">
        <f t="shared" si="52"/>
        <v>69.362748319220188</v>
      </c>
      <c r="I3363" s="74">
        <v>46114</v>
      </c>
      <c r="J3363">
        <v>2</v>
      </c>
      <c r="K3363" t="s">
        <v>510</v>
      </c>
      <c r="L3363" t="s">
        <v>359</v>
      </c>
      <c r="M3363" t="s">
        <v>356</v>
      </c>
      <c r="N3363" s="73">
        <v>68097</v>
      </c>
      <c r="O3363" s="73">
        <v>68097</v>
      </c>
      <c r="P3363">
        <v>34.681374159610094</v>
      </c>
    </row>
    <row r="3364" spans="1:16" hidden="1" x14ac:dyDescent="0.2">
      <c r="A3364" s="73">
        <v>68097</v>
      </c>
      <c r="B3364" t="s">
        <v>491</v>
      </c>
      <c r="C3364" s="73" t="s">
        <v>492</v>
      </c>
      <c r="D3364" t="s">
        <v>493</v>
      </c>
      <c r="E3364" s="74">
        <v>46114</v>
      </c>
      <c r="F3364" t="s">
        <v>362</v>
      </c>
      <c r="G3364" t="s">
        <v>363</v>
      </c>
      <c r="H3364" s="75">
        <f t="shared" si="52"/>
        <v>277.45099327688075</v>
      </c>
      <c r="I3364" s="74">
        <v>46114</v>
      </c>
      <c r="J3364">
        <v>8</v>
      </c>
      <c r="K3364" t="s">
        <v>510</v>
      </c>
      <c r="L3364" t="s">
        <v>355</v>
      </c>
      <c r="M3364" t="s">
        <v>356</v>
      </c>
      <c r="N3364" s="73">
        <v>68097</v>
      </c>
      <c r="O3364" s="73">
        <v>68097</v>
      </c>
      <c r="P3364">
        <v>34.681374159610094</v>
      </c>
    </row>
    <row r="3365" spans="1:16" hidden="1" x14ac:dyDescent="0.2">
      <c r="A3365" s="73">
        <v>68097</v>
      </c>
      <c r="B3365" t="s">
        <v>491</v>
      </c>
      <c r="C3365" s="73" t="s">
        <v>492</v>
      </c>
      <c r="D3365" t="s">
        <v>493</v>
      </c>
      <c r="E3365" s="74">
        <v>46114</v>
      </c>
      <c r="F3365" t="s">
        <v>406</v>
      </c>
      <c r="G3365" t="s">
        <v>407</v>
      </c>
      <c r="H3365" s="75">
        <f t="shared" si="52"/>
        <v>277.45099327688075</v>
      </c>
      <c r="I3365" s="74">
        <v>46114</v>
      </c>
      <c r="J3365">
        <v>8</v>
      </c>
      <c r="K3365" t="s">
        <v>510</v>
      </c>
      <c r="L3365" t="s">
        <v>355</v>
      </c>
      <c r="M3365" t="s">
        <v>356</v>
      </c>
      <c r="N3365" s="73">
        <v>68097</v>
      </c>
      <c r="O3365" s="73">
        <v>68097</v>
      </c>
      <c r="P3365">
        <v>34.681374159610094</v>
      </c>
    </row>
    <row r="3366" spans="1:16" hidden="1" x14ac:dyDescent="0.2">
      <c r="A3366" s="73">
        <v>68097</v>
      </c>
      <c r="B3366" t="s">
        <v>491</v>
      </c>
      <c r="C3366" s="73" t="s">
        <v>492</v>
      </c>
      <c r="D3366" t="s">
        <v>493</v>
      </c>
      <c r="E3366" s="74">
        <v>46114</v>
      </c>
      <c r="F3366" t="s">
        <v>410</v>
      </c>
      <c r="G3366" t="s">
        <v>411</v>
      </c>
      <c r="H3366" s="75">
        <f t="shared" si="52"/>
        <v>242.76961911727065</v>
      </c>
      <c r="I3366" s="74">
        <v>46114</v>
      </c>
      <c r="J3366">
        <v>7</v>
      </c>
      <c r="K3366" t="s">
        <v>510</v>
      </c>
      <c r="L3366" t="s">
        <v>262</v>
      </c>
      <c r="M3366" t="s">
        <v>356</v>
      </c>
      <c r="N3366" s="73">
        <v>68097</v>
      </c>
      <c r="O3366" s="73">
        <v>68097</v>
      </c>
      <c r="P3366">
        <v>34.681374159610094</v>
      </c>
    </row>
    <row r="3367" spans="1:16" hidden="1" x14ac:dyDescent="0.2">
      <c r="A3367" s="73">
        <v>68097</v>
      </c>
      <c r="B3367" t="s">
        <v>491</v>
      </c>
      <c r="C3367" s="73" t="s">
        <v>492</v>
      </c>
      <c r="D3367" t="s">
        <v>493</v>
      </c>
      <c r="E3367" s="74">
        <v>46115</v>
      </c>
      <c r="F3367" t="s">
        <v>362</v>
      </c>
      <c r="G3367" t="s">
        <v>363</v>
      </c>
      <c r="H3367" s="75">
        <f t="shared" si="52"/>
        <v>277.45099327688075</v>
      </c>
      <c r="I3367" s="74">
        <v>46115</v>
      </c>
      <c r="J3367">
        <v>8</v>
      </c>
      <c r="K3367" t="s">
        <v>510</v>
      </c>
      <c r="L3367" t="s">
        <v>355</v>
      </c>
      <c r="M3367" t="s">
        <v>356</v>
      </c>
      <c r="N3367" s="73">
        <v>68097</v>
      </c>
      <c r="O3367" s="73">
        <v>68097</v>
      </c>
      <c r="P3367">
        <v>34.681374159610094</v>
      </c>
    </row>
    <row r="3368" spans="1:16" hidden="1" x14ac:dyDescent="0.2">
      <c r="A3368" s="73">
        <v>68097</v>
      </c>
      <c r="B3368" t="s">
        <v>491</v>
      </c>
      <c r="C3368" s="73" t="s">
        <v>492</v>
      </c>
      <c r="D3368" t="s">
        <v>493</v>
      </c>
      <c r="E3368" s="74">
        <v>46118</v>
      </c>
      <c r="F3368" t="s">
        <v>406</v>
      </c>
      <c r="G3368" t="s">
        <v>407</v>
      </c>
      <c r="H3368" s="75">
        <f t="shared" si="52"/>
        <v>277.45099327688075</v>
      </c>
      <c r="I3368" s="74">
        <v>46118</v>
      </c>
      <c r="J3368">
        <v>8</v>
      </c>
      <c r="K3368" t="s">
        <v>510</v>
      </c>
      <c r="L3368" t="s">
        <v>355</v>
      </c>
      <c r="M3368" t="s">
        <v>356</v>
      </c>
      <c r="N3368" s="73">
        <v>68097</v>
      </c>
      <c r="O3368" s="73">
        <v>68097</v>
      </c>
      <c r="P3368">
        <v>34.681374159610094</v>
      </c>
    </row>
    <row r="3369" spans="1:16" hidden="1" x14ac:dyDescent="0.2">
      <c r="A3369" s="73">
        <v>68097</v>
      </c>
      <c r="B3369" t="s">
        <v>491</v>
      </c>
      <c r="C3369" s="73" t="s">
        <v>492</v>
      </c>
      <c r="D3369" t="s">
        <v>493</v>
      </c>
      <c r="E3369" s="74">
        <v>46118</v>
      </c>
      <c r="F3369" t="s">
        <v>410</v>
      </c>
      <c r="G3369" t="s">
        <v>411</v>
      </c>
      <c r="H3369" s="75">
        <f t="shared" si="52"/>
        <v>277.45099327688075</v>
      </c>
      <c r="I3369" s="74">
        <v>46118</v>
      </c>
      <c r="J3369">
        <v>8</v>
      </c>
      <c r="K3369" t="s">
        <v>510</v>
      </c>
      <c r="L3369" t="s">
        <v>262</v>
      </c>
      <c r="M3369" t="s">
        <v>356</v>
      </c>
      <c r="N3369" s="73">
        <v>68097</v>
      </c>
      <c r="O3369" s="73">
        <v>68097</v>
      </c>
      <c r="P3369">
        <v>34.681374159610094</v>
      </c>
    </row>
    <row r="3370" spans="1:16" hidden="1" x14ac:dyDescent="0.2">
      <c r="A3370" s="73">
        <v>68097</v>
      </c>
      <c r="B3370" t="s">
        <v>491</v>
      </c>
      <c r="C3370" s="73" t="s">
        <v>492</v>
      </c>
      <c r="D3370" t="s">
        <v>493</v>
      </c>
      <c r="E3370" s="74">
        <v>46118</v>
      </c>
      <c r="F3370" t="s">
        <v>357</v>
      </c>
      <c r="G3370" t="s">
        <v>358</v>
      </c>
      <c r="H3370" s="75">
        <f t="shared" si="52"/>
        <v>69.362748319220188</v>
      </c>
      <c r="I3370" s="74">
        <v>46118</v>
      </c>
      <c r="J3370">
        <v>2</v>
      </c>
      <c r="K3370" t="s">
        <v>510</v>
      </c>
      <c r="L3370" t="s">
        <v>359</v>
      </c>
      <c r="M3370" t="s">
        <v>356</v>
      </c>
      <c r="N3370" s="73">
        <v>68097</v>
      </c>
      <c r="O3370" s="73">
        <v>68097</v>
      </c>
      <c r="P3370">
        <v>34.681374159610094</v>
      </c>
    </row>
    <row r="3371" spans="1:16" hidden="1" x14ac:dyDescent="0.2">
      <c r="A3371" s="73">
        <v>68097</v>
      </c>
      <c r="B3371" t="s">
        <v>491</v>
      </c>
      <c r="C3371" s="73" t="s">
        <v>492</v>
      </c>
      <c r="D3371" t="s">
        <v>493</v>
      </c>
      <c r="E3371" s="74">
        <v>46119</v>
      </c>
      <c r="F3371" t="s">
        <v>406</v>
      </c>
      <c r="G3371" t="s">
        <v>407</v>
      </c>
      <c r="H3371" s="75">
        <f t="shared" si="52"/>
        <v>277.45099327688075</v>
      </c>
      <c r="I3371" s="74">
        <v>46119</v>
      </c>
      <c r="J3371">
        <v>8</v>
      </c>
      <c r="K3371" t="s">
        <v>510</v>
      </c>
      <c r="L3371" t="s">
        <v>355</v>
      </c>
      <c r="M3371" t="s">
        <v>356</v>
      </c>
      <c r="N3371" s="73">
        <v>68097</v>
      </c>
      <c r="O3371" s="73">
        <v>68097</v>
      </c>
      <c r="P3371">
        <v>34.681374159610094</v>
      </c>
    </row>
    <row r="3372" spans="1:16" hidden="1" x14ac:dyDescent="0.2">
      <c r="A3372" s="73">
        <v>68097</v>
      </c>
      <c r="B3372" t="s">
        <v>491</v>
      </c>
      <c r="C3372" s="73" t="s">
        <v>492</v>
      </c>
      <c r="D3372" t="s">
        <v>493</v>
      </c>
      <c r="E3372" s="74">
        <v>46119</v>
      </c>
      <c r="F3372" t="s">
        <v>410</v>
      </c>
      <c r="G3372" t="s">
        <v>411</v>
      </c>
      <c r="H3372" s="75">
        <f t="shared" si="52"/>
        <v>277.45099327688075</v>
      </c>
      <c r="I3372" s="74">
        <v>46119</v>
      </c>
      <c r="J3372">
        <v>8</v>
      </c>
      <c r="K3372" t="s">
        <v>510</v>
      </c>
      <c r="L3372" t="s">
        <v>262</v>
      </c>
      <c r="M3372" t="s">
        <v>356</v>
      </c>
      <c r="N3372" s="73">
        <v>68097</v>
      </c>
      <c r="O3372" s="73">
        <v>68097</v>
      </c>
      <c r="P3372">
        <v>34.681374159610094</v>
      </c>
    </row>
    <row r="3373" spans="1:16" hidden="1" x14ac:dyDescent="0.2">
      <c r="A3373" s="73">
        <v>68097</v>
      </c>
      <c r="B3373" t="s">
        <v>491</v>
      </c>
      <c r="C3373" s="73" t="s">
        <v>492</v>
      </c>
      <c r="D3373" t="s">
        <v>493</v>
      </c>
      <c r="E3373" s="74">
        <v>46119</v>
      </c>
      <c r="F3373" t="s">
        <v>357</v>
      </c>
      <c r="G3373" t="s">
        <v>358</v>
      </c>
      <c r="H3373" s="75">
        <f t="shared" si="52"/>
        <v>69.362748319220188</v>
      </c>
      <c r="I3373" s="74">
        <v>46119</v>
      </c>
      <c r="J3373">
        <v>2</v>
      </c>
      <c r="K3373" t="s">
        <v>510</v>
      </c>
      <c r="L3373" t="s">
        <v>359</v>
      </c>
      <c r="M3373" t="s">
        <v>356</v>
      </c>
      <c r="N3373" s="73">
        <v>68097</v>
      </c>
      <c r="O3373" s="73">
        <v>68097</v>
      </c>
      <c r="P3373">
        <v>34.681374159610094</v>
      </c>
    </row>
    <row r="3374" spans="1:16" hidden="1" x14ac:dyDescent="0.2">
      <c r="A3374" s="73">
        <v>68097</v>
      </c>
      <c r="B3374" t="s">
        <v>491</v>
      </c>
      <c r="C3374" s="73" t="s">
        <v>492</v>
      </c>
      <c r="D3374" t="s">
        <v>493</v>
      </c>
      <c r="E3374" s="74">
        <v>46120</v>
      </c>
      <c r="F3374" t="s">
        <v>406</v>
      </c>
      <c r="G3374" t="s">
        <v>407</v>
      </c>
      <c r="H3374" s="75">
        <f t="shared" si="52"/>
        <v>277.45099327688075</v>
      </c>
      <c r="I3374" s="74">
        <v>46120</v>
      </c>
      <c r="J3374">
        <v>8</v>
      </c>
      <c r="K3374" t="s">
        <v>510</v>
      </c>
      <c r="L3374" t="s">
        <v>355</v>
      </c>
      <c r="M3374" t="s">
        <v>356</v>
      </c>
      <c r="N3374" s="73">
        <v>68097</v>
      </c>
      <c r="O3374" s="73">
        <v>68097</v>
      </c>
      <c r="P3374">
        <v>34.681374159610094</v>
      </c>
    </row>
    <row r="3375" spans="1:16" hidden="1" x14ac:dyDescent="0.2">
      <c r="A3375" s="73">
        <v>68097</v>
      </c>
      <c r="B3375" t="s">
        <v>491</v>
      </c>
      <c r="C3375" s="73" t="s">
        <v>492</v>
      </c>
      <c r="D3375" t="s">
        <v>493</v>
      </c>
      <c r="E3375" s="74">
        <v>46120</v>
      </c>
      <c r="F3375" t="s">
        <v>357</v>
      </c>
      <c r="G3375" t="s">
        <v>358</v>
      </c>
      <c r="H3375" s="75">
        <f t="shared" si="52"/>
        <v>69.362748319220188</v>
      </c>
      <c r="I3375" s="74">
        <v>46120</v>
      </c>
      <c r="J3375">
        <v>2</v>
      </c>
      <c r="K3375" t="s">
        <v>510</v>
      </c>
      <c r="L3375" t="s">
        <v>359</v>
      </c>
      <c r="M3375" t="s">
        <v>356</v>
      </c>
      <c r="N3375" s="73">
        <v>68097</v>
      </c>
      <c r="O3375" s="73">
        <v>68097</v>
      </c>
      <c r="P3375">
        <v>34.681374159610094</v>
      </c>
    </row>
    <row r="3376" spans="1:16" hidden="1" x14ac:dyDescent="0.2">
      <c r="A3376" s="73">
        <v>68097</v>
      </c>
      <c r="B3376" t="s">
        <v>491</v>
      </c>
      <c r="C3376" s="73" t="s">
        <v>492</v>
      </c>
      <c r="D3376" t="s">
        <v>493</v>
      </c>
      <c r="E3376" s="74">
        <v>46121</v>
      </c>
      <c r="F3376" t="s">
        <v>357</v>
      </c>
      <c r="G3376" t="s">
        <v>358</v>
      </c>
      <c r="H3376" s="75">
        <f t="shared" si="52"/>
        <v>69.362748319220188</v>
      </c>
      <c r="I3376" s="74">
        <v>46121</v>
      </c>
      <c r="J3376">
        <v>2</v>
      </c>
      <c r="K3376" t="s">
        <v>510</v>
      </c>
      <c r="L3376" t="s">
        <v>359</v>
      </c>
      <c r="M3376" t="s">
        <v>356</v>
      </c>
      <c r="N3376" s="73">
        <v>68097</v>
      </c>
      <c r="O3376" s="73">
        <v>68097</v>
      </c>
      <c r="P3376">
        <v>34.681374159610094</v>
      </c>
    </row>
    <row r="3377" spans="1:16" hidden="1" x14ac:dyDescent="0.2">
      <c r="A3377" s="73">
        <v>68097</v>
      </c>
      <c r="B3377" t="s">
        <v>491</v>
      </c>
      <c r="C3377" s="73" t="s">
        <v>492</v>
      </c>
      <c r="D3377" t="s">
        <v>493</v>
      </c>
      <c r="E3377" s="74">
        <v>46122</v>
      </c>
      <c r="F3377" t="s">
        <v>357</v>
      </c>
      <c r="G3377" t="s">
        <v>358</v>
      </c>
      <c r="H3377" s="75">
        <f t="shared" si="52"/>
        <v>69.362748319220188</v>
      </c>
      <c r="I3377" s="74">
        <v>46122</v>
      </c>
      <c r="J3377">
        <v>2</v>
      </c>
      <c r="K3377" t="s">
        <v>510</v>
      </c>
      <c r="L3377" t="s">
        <v>359</v>
      </c>
      <c r="M3377" t="s">
        <v>356</v>
      </c>
      <c r="N3377" s="73">
        <v>68097</v>
      </c>
      <c r="O3377" s="73">
        <v>68097</v>
      </c>
      <c r="P3377">
        <v>34.681374159610094</v>
      </c>
    </row>
    <row r="3378" spans="1:16" hidden="1" x14ac:dyDescent="0.2">
      <c r="A3378" s="73">
        <v>68097</v>
      </c>
      <c r="B3378" t="s">
        <v>491</v>
      </c>
      <c r="C3378" s="73" t="s">
        <v>492</v>
      </c>
      <c r="D3378" t="s">
        <v>493</v>
      </c>
      <c r="E3378" s="74">
        <v>46120</v>
      </c>
      <c r="F3378" t="s">
        <v>362</v>
      </c>
      <c r="G3378" t="s">
        <v>363</v>
      </c>
      <c r="H3378" s="75">
        <f t="shared" si="52"/>
        <v>277.45099327688075</v>
      </c>
      <c r="I3378" s="74">
        <v>46120</v>
      </c>
      <c r="J3378">
        <v>8</v>
      </c>
      <c r="K3378" t="s">
        <v>510</v>
      </c>
      <c r="L3378" t="s">
        <v>355</v>
      </c>
      <c r="M3378" t="s">
        <v>356</v>
      </c>
      <c r="N3378" s="73">
        <v>68097</v>
      </c>
      <c r="O3378" s="73">
        <v>68097</v>
      </c>
      <c r="P3378">
        <v>34.681374159610094</v>
      </c>
    </row>
    <row r="3379" spans="1:16" hidden="1" x14ac:dyDescent="0.2">
      <c r="A3379" s="73">
        <v>68097</v>
      </c>
      <c r="B3379" t="s">
        <v>491</v>
      </c>
      <c r="C3379" s="73" t="s">
        <v>492</v>
      </c>
      <c r="D3379" t="s">
        <v>493</v>
      </c>
      <c r="E3379" s="74">
        <v>46121</v>
      </c>
      <c r="F3379" t="s">
        <v>362</v>
      </c>
      <c r="G3379" t="s">
        <v>363</v>
      </c>
      <c r="H3379" s="75">
        <f t="shared" si="52"/>
        <v>277.45099327688075</v>
      </c>
      <c r="I3379" s="74">
        <v>46121</v>
      </c>
      <c r="J3379">
        <v>8</v>
      </c>
      <c r="K3379" t="s">
        <v>510</v>
      </c>
      <c r="L3379" t="s">
        <v>355</v>
      </c>
      <c r="M3379" t="s">
        <v>356</v>
      </c>
      <c r="N3379" s="73">
        <v>68097</v>
      </c>
      <c r="O3379" s="73">
        <v>68097</v>
      </c>
      <c r="P3379">
        <v>34.681374159610094</v>
      </c>
    </row>
    <row r="3380" spans="1:16" hidden="1" x14ac:dyDescent="0.2">
      <c r="A3380" s="73">
        <v>68097</v>
      </c>
      <c r="B3380" t="s">
        <v>491</v>
      </c>
      <c r="C3380" s="73" t="s">
        <v>492</v>
      </c>
      <c r="D3380" t="s">
        <v>493</v>
      </c>
      <c r="E3380" s="74">
        <v>46121</v>
      </c>
      <c r="F3380" t="s">
        <v>406</v>
      </c>
      <c r="G3380" t="s">
        <v>407</v>
      </c>
      <c r="H3380" s="75">
        <f t="shared" si="52"/>
        <v>277.45099327688075</v>
      </c>
      <c r="I3380" s="74">
        <v>46121</v>
      </c>
      <c r="J3380">
        <v>8</v>
      </c>
      <c r="K3380" t="s">
        <v>510</v>
      </c>
      <c r="L3380" t="s">
        <v>355</v>
      </c>
      <c r="M3380" t="s">
        <v>356</v>
      </c>
      <c r="N3380" s="73">
        <v>68097</v>
      </c>
      <c r="O3380" s="73">
        <v>68097</v>
      </c>
      <c r="P3380">
        <v>34.681374159610094</v>
      </c>
    </row>
    <row r="3381" spans="1:16" hidden="1" x14ac:dyDescent="0.2">
      <c r="A3381" s="73">
        <v>68097</v>
      </c>
      <c r="B3381" t="s">
        <v>491</v>
      </c>
      <c r="C3381" s="73" t="s">
        <v>492</v>
      </c>
      <c r="D3381" t="s">
        <v>493</v>
      </c>
      <c r="E3381" s="74">
        <v>46122</v>
      </c>
      <c r="F3381" t="s">
        <v>406</v>
      </c>
      <c r="G3381" t="s">
        <v>407</v>
      </c>
      <c r="H3381" s="75">
        <f t="shared" si="52"/>
        <v>277.45099327688075</v>
      </c>
      <c r="I3381" s="74">
        <v>46122</v>
      </c>
      <c r="J3381">
        <v>8</v>
      </c>
      <c r="K3381" t="s">
        <v>510</v>
      </c>
      <c r="L3381" t="s">
        <v>355</v>
      </c>
      <c r="M3381" t="s">
        <v>356</v>
      </c>
      <c r="N3381" s="73">
        <v>68097</v>
      </c>
      <c r="O3381" s="73">
        <v>68097</v>
      </c>
      <c r="P3381">
        <v>34.681374159610094</v>
      </c>
    </row>
    <row r="3382" spans="1:16" hidden="1" x14ac:dyDescent="0.2">
      <c r="A3382" s="73">
        <v>68097</v>
      </c>
      <c r="B3382" t="s">
        <v>491</v>
      </c>
      <c r="C3382" s="73" t="s">
        <v>492</v>
      </c>
      <c r="D3382" t="s">
        <v>493</v>
      </c>
      <c r="E3382" s="74">
        <v>46122</v>
      </c>
      <c r="F3382" t="s">
        <v>414</v>
      </c>
      <c r="G3382" t="s">
        <v>415</v>
      </c>
      <c r="H3382" s="75">
        <f t="shared" si="52"/>
        <v>312.13236743649082</v>
      </c>
      <c r="I3382" s="74">
        <v>46122</v>
      </c>
      <c r="J3382">
        <v>9</v>
      </c>
      <c r="K3382" t="s">
        <v>510</v>
      </c>
      <c r="L3382" t="s">
        <v>262</v>
      </c>
      <c r="M3382" t="s">
        <v>356</v>
      </c>
      <c r="N3382" s="73">
        <v>68097</v>
      </c>
      <c r="O3382" s="73">
        <v>68097</v>
      </c>
      <c r="P3382">
        <v>34.681374159610094</v>
      </c>
    </row>
    <row r="3383" spans="1:16" hidden="1" x14ac:dyDescent="0.2">
      <c r="A3383" s="73">
        <v>68097</v>
      </c>
      <c r="B3383" t="s">
        <v>491</v>
      </c>
      <c r="C3383" s="73" t="s">
        <v>492</v>
      </c>
      <c r="D3383" t="s">
        <v>493</v>
      </c>
      <c r="E3383" s="74">
        <v>46122</v>
      </c>
      <c r="F3383" t="s">
        <v>362</v>
      </c>
      <c r="G3383" t="s">
        <v>363</v>
      </c>
      <c r="H3383" s="75">
        <f t="shared" si="52"/>
        <v>277.45099327688075</v>
      </c>
      <c r="I3383" s="74">
        <v>46122</v>
      </c>
      <c r="J3383">
        <v>8</v>
      </c>
      <c r="K3383" t="s">
        <v>510</v>
      </c>
      <c r="L3383" t="s">
        <v>355</v>
      </c>
      <c r="M3383" t="s">
        <v>356</v>
      </c>
      <c r="N3383" s="73">
        <v>68097</v>
      </c>
      <c r="O3383" s="73">
        <v>68097</v>
      </c>
      <c r="P3383">
        <v>34.681374159610094</v>
      </c>
    </row>
    <row r="3384" spans="1:16" hidden="1" x14ac:dyDescent="0.2">
      <c r="A3384" s="73">
        <v>67260</v>
      </c>
      <c r="B3384" t="s">
        <v>423</v>
      </c>
      <c r="C3384" s="73" t="s">
        <v>488</v>
      </c>
      <c r="D3384" t="s">
        <v>489</v>
      </c>
      <c r="E3384" s="74">
        <v>46122</v>
      </c>
      <c r="F3384" t="s">
        <v>414</v>
      </c>
      <c r="G3384" t="s">
        <v>415</v>
      </c>
      <c r="H3384" s="75">
        <f t="shared" si="52"/>
        <v>277.45099327688075</v>
      </c>
      <c r="I3384" s="74">
        <v>46122</v>
      </c>
      <c r="J3384">
        <v>8</v>
      </c>
      <c r="K3384" t="s">
        <v>510</v>
      </c>
      <c r="L3384" t="s">
        <v>262</v>
      </c>
      <c r="M3384" t="s">
        <v>356</v>
      </c>
      <c r="N3384" s="73">
        <v>67260</v>
      </c>
      <c r="O3384" s="73">
        <v>67260</v>
      </c>
      <c r="P3384">
        <v>34.681374159610094</v>
      </c>
    </row>
    <row r="3385" spans="1:16" hidden="1" x14ac:dyDescent="0.2">
      <c r="A3385" s="73">
        <v>68097</v>
      </c>
      <c r="B3385" t="s">
        <v>491</v>
      </c>
      <c r="C3385" s="73" t="s">
        <v>492</v>
      </c>
      <c r="D3385" t="s">
        <v>493</v>
      </c>
      <c r="E3385" s="74">
        <v>46125</v>
      </c>
      <c r="F3385" t="s">
        <v>362</v>
      </c>
      <c r="G3385" t="s">
        <v>363</v>
      </c>
      <c r="H3385" s="75">
        <f t="shared" si="52"/>
        <v>277.45099327688075</v>
      </c>
      <c r="I3385" s="74">
        <v>46125</v>
      </c>
      <c r="J3385">
        <v>8</v>
      </c>
      <c r="K3385" t="s">
        <v>510</v>
      </c>
      <c r="L3385" t="s">
        <v>355</v>
      </c>
      <c r="M3385" t="s">
        <v>356</v>
      </c>
      <c r="N3385" s="73">
        <v>68097</v>
      </c>
      <c r="O3385" s="73">
        <v>68097</v>
      </c>
      <c r="P3385">
        <v>34.681374159610094</v>
      </c>
    </row>
    <row r="3386" spans="1:16" hidden="1" x14ac:dyDescent="0.2">
      <c r="A3386" s="73">
        <v>67260</v>
      </c>
      <c r="B3386" t="s">
        <v>423</v>
      </c>
      <c r="C3386" s="73" t="s">
        <v>488</v>
      </c>
      <c r="D3386" t="s">
        <v>489</v>
      </c>
      <c r="E3386" s="74">
        <v>46122</v>
      </c>
      <c r="F3386" t="s">
        <v>414</v>
      </c>
      <c r="G3386" t="s">
        <v>415</v>
      </c>
      <c r="H3386" s="75">
        <f t="shared" si="52"/>
        <v>-277.45099327688075</v>
      </c>
      <c r="I3386" s="74">
        <v>46122</v>
      </c>
      <c r="J3386">
        <v>-8</v>
      </c>
      <c r="K3386" t="s">
        <v>510</v>
      </c>
      <c r="L3386" t="s">
        <v>262</v>
      </c>
      <c r="M3386" t="s">
        <v>356</v>
      </c>
      <c r="N3386" s="73">
        <v>67260</v>
      </c>
      <c r="O3386" s="73">
        <v>67260</v>
      </c>
      <c r="P3386">
        <v>34.681374159610094</v>
      </c>
    </row>
    <row r="3387" spans="1:16" hidden="1" x14ac:dyDescent="0.2">
      <c r="A3387" s="73">
        <v>68097</v>
      </c>
      <c r="B3387" t="s">
        <v>491</v>
      </c>
      <c r="C3387" s="73" t="s">
        <v>492</v>
      </c>
      <c r="D3387" t="s">
        <v>493</v>
      </c>
      <c r="E3387" s="74">
        <v>46127</v>
      </c>
      <c r="F3387" t="s">
        <v>362</v>
      </c>
      <c r="G3387" t="s">
        <v>363</v>
      </c>
      <c r="H3387" s="75">
        <f t="shared" si="52"/>
        <v>277.45099327688075</v>
      </c>
      <c r="I3387" s="74">
        <v>46127</v>
      </c>
      <c r="J3387">
        <v>8</v>
      </c>
      <c r="K3387" t="s">
        <v>510</v>
      </c>
      <c r="L3387" t="s">
        <v>355</v>
      </c>
      <c r="M3387" t="s">
        <v>356</v>
      </c>
      <c r="N3387" s="73">
        <v>68097</v>
      </c>
      <c r="O3387" s="73">
        <v>68097</v>
      </c>
      <c r="P3387">
        <v>34.681374159610094</v>
      </c>
    </row>
    <row r="3388" spans="1:16" x14ac:dyDescent="0.2">
      <c r="A3388" s="73">
        <v>67262</v>
      </c>
      <c r="B3388" t="s">
        <v>350</v>
      </c>
      <c r="C3388" s="73" t="s">
        <v>421</v>
      </c>
      <c r="D3388" t="s">
        <v>422</v>
      </c>
      <c r="E3388" s="74">
        <v>46125</v>
      </c>
      <c r="F3388" t="s">
        <v>414</v>
      </c>
      <c r="G3388" t="s">
        <v>415</v>
      </c>
      <c r="H3388" s="75">
        <f t="shared" si="52"/>
        <v>-277.45099327688075</v>
      </c>
      <c r="I3388" s="74">
        <v>46125</v>
      </c>
      <c r="J3388">
        <v>-8</v>
      </c>
      <c r="K3388" t="s">
        <v>510</v>
      </c>
      <c r="L3388" t="s">
        <v>262</v>
      </c>
      <c r="M3388" t="s">
        <v>356</v>
      </c>
      <c r="N3388" s="73">
        <v>67262</v>
      </c>
      <c r="O3388" s="73">
        <v>67262</v>
      </c>
      <c r="P3388">
        <v>34.681374159610094</v>
      </c>
    </row>
    <row r="3389" spans="1:16" hidden="1" x14ac:dyDescent="0.2">
      <c r="A3389" s="73">
        <v>68097</v>
      </c>
      <c r="B3389" t="s">
        <v>491</v>
      </c>
      <c r="C3389" s="73" t="s">
        <v>492</v>
      </c>
      <c r="D3389" t="s">
        <v>493</v>
      </c>
      <c r="E3389" s="74">
        <v>46127</v>
      </c>
      <c r="F3389" t="s">
        <v>406</v>
      </c>
      <c r="G3389" t="s">
        <v>407</v>
      </c>
      <c r="H3389" s="75">
        <f t="shared" si="52"/>
        <v>277.45099327688075</v>
      </c>
      <c r="I3389" s="74">
        <v>46127</v>
      </c>
      <c r="J3389">
        <v>8</v>
      </c>
      <c r="K3389" t="s">
        <v>510</v>
      </c>
      <c r="L3389" t="s">
        <v>355</v>
      </c>
      <c r="M3389" t="s">
        <v>356</v>
      </c>
      <c r="N3389" s="73">
        <v>68097</v>
      </c>
      <c r="O3389" s="73">
        <v>68097</v>
      </c>
      <c r="P3389">
        <v>34.681374159610094</v>
      </c>
    </row>
    <row r="3390" spans="1:16" hidden="1" x14ac:dyDescent="0.2">
      <c r="A3390" s="73">
        <v>68097</v>
      </c>
      <c r="B3390" t="s">
        <v>491</v>
      </c>
      <c r="C3390" s="73" t="s">
        <v>492</v>
      </c>
      <c r="D3390" t="s">
        <v>493</v>
      </c>
      <c r="E3390" s="74">
        <v>46128</v>
      </c>
      <c r="F3390" t="s">
        <v>406</v>
      </c>
      <c r="G3390" t="s">
        <v>407</v>
      </c>
      <c r="H3390" s="75">
        <f t="shared" si="52"/>
        <v>277.45099327688075</v>
      </c>
      <c r="I3390" s="74">
        <v>46128</v>
      </c>
      <c r="J3390">
        <v>8</v>
      </c>
      <c r="K3390" t="s">
        <v>510</v>
      </c>
      <c r="L3390" t="s">
        <v>355</v>
      </c>
      <c r="M3390" t="s">
        <v>356</v>
      </c>
      <c r="N3390" s="73">
        <v>68097</v>
      </c>
      <c r="O3390" s="73">
        <v>68097</v>
      </c>
      <c r="P3390">
        <v>34.681374159610094</v>
      </c>
    </row>
    <row r="3391" spans="1:16" hidden="1" x14ac:dyDescent="0.2">
      <c r="A3391" s="73">
        <v>68097</v>
      </c>
      <c r="B3391" t="s">
        <v>491</v>
      </c>
      <c r="C3391" s="73" t="s">
        <v>492</v>
      </c>
      <c r="D3391" t="s">
        <v>493</v>
      </c>
      <c r="E3391" s="74">
        <v>46128</v>
      </c>
      <c r="F3391" t="s">
        <v>362</v>
      </c>
      <c r="G3391" t="s">
        <v>363</v>
      </c>
      <c r="H3391" s="75">
        <f t="shared" si="52"/>
        <v>277.45099327688075</v>
      </c>
      <c r="I3391" s="74">
        <v>46128</v>
      </c>
      <c r="J3391">
        <v>8</v>
      </c>
      <c r="K3391" t="s">
        <v>510</v>
      </c>
      <c r="L3391" t="s">
        <v>355</v>
      </c>
      <c r="M3391" t="s">
        <v>356</v>
      </c>
      <c r="N3391" s="73">
        <v>68097</v>
      </c>
      <c r="O3391" s="73">
        <v>68097</v>
      </c>
      <c r="P3391">
        <v>34.681374159610094</v>
      </c>
    </row>
    <row r="3392" spans="1:16" x14ac:dyDescent="0.2">
      <c r="A3392" s="73">
        <v>67262</v>
      </c>
      <c r="B3392" t="s">
        <v>350</v>
      </c>
      <c r="C3392" s="73" t="s">
        <v>421</v>
      </c>
      <c r="D3392" t="s">
        <v>422</v>
      </c>
      <c r="E3392" s="74">
        <v>46125</v>
      </c>
      <c r="F3392" t="s">
        <v>414</v>
      </c>
      <c r="G3392" t="s">
        <v>415</v>
      </c>
      <c r="H3392" s="75">
        <f t="shared" si="52"/>
        <v>277.45099327688075</v>
      </c>
      <c r="I3392" s="74">
        <v>46125</v>
      </c>
      <c r="J3392">
        <v>8</v>
      </c>
      <c r="K3392" t="s">
        <v>510</v>
      </c>
      <c r="L3392" t="s">
        <v>262</v>
      </c>
      <c r="M3392" t="s">
        <v>356</v>
      </c>
      <c r="N3392" s="73">
        <v>67262</v>
      </c>
      <c r="O3392" s="73">
        <v>67262</v>
      </c>
      <c r="P3392">
        <v>34.681374159610094</v>
      </c>
    </row>
    <row r="3393" spans="1:16" hidden="1" x14ac:dyDescent="0.2">
      <c r="A3393" s="73">
        <v>68097</v>
      </c>
      <c r="B3393" t="s">
        <v>491</v>
      </c>
      <c r="C3393" s="73" t="s">
        <v>492</v>
      </c>
      <c r="D3393" t="s">
        <v>493</v>
      </c>
      <c r="E3393" s="74">
        <v>46133</v>
      </c>
      <c r="F3393" t="s">
        <v>362</v>
      </c>
      <c r="G3393" t="s">
        <v>363</v>
      </c>
      <c r="H3393" s="75">
        <f t="shared" si="52"/>
        <v>138.72549663844038</v>
      </c>
      <c r="I3393" s="74">
        <v>46133</v>
      </c>
      <c r="J3393">
        <v>4</v>
      </c>
      <c r="K3393" t="s">
        <v>510</v>
      </c>
      <c r="L3393" t="s">
        <v>355</v>
      </c>
      <c r="M3393" t="s">
        <v>356</v>
      </c>
      <c r="N3393" s="73">
        <v>68097</v>
      </c>
      <c r="O3393" s="73">
        <v>68097</v>
      </c>
      <c r="P3393">
        <v>34.681374159610094</v>
      </c>
    </row>
    <row r="3394" spans="1:16" hidden="1" x14ac:dyDescent="0.2">
      <c r="A3394" s="73">
        <v>68097</v>
      </c>
      <c r="B3394" t="s">
        <v>491</v>
      </c>
      <c r="C3394" s="73" t="s">
        <v>492</v>
      </c>
      <c r="D3394" t="s">
        <v>493</v>
      </c>
      <c r="E3394" s="74">
        <v>46133</v>
      </c>
      <c r="F3394" t="s">
        <v>406</v>
      </c>
      <c r="G3394" t="s">
        <v>407</v>
      </c>
      <c r="H3394" s="75">
        <f t="shared" ref="H3394:H3457" si="53">J3394*P3394</f>
        <v>346.81374159610095</v>
      </c>
      <c r="I3394" s="74">
        <v>46133</v>
      </c>
      <c r="J3394">
        <v>10</v>
      </c>
      <c r="K3394" t="s">
        <v>510</v>
      </c>
      <c r="L3394" t="s">
        <v>355</v>
      </c>
      <c r="M3394" t="s">
        <v>356</v>
      </c>
      <c r="N3394" s="73">
        <v>68097</v>
      </c>
      <c r="O3394" s="73">
        <v>68097</v>
      </c>
      <c r="P3394">
        <v>34.681374159610094</v>
      </c>
    </row>
    <row r="3395" spans="1:16" hidden="1" x14ac:dyDescent="0.2">
      <c r="A3395" s="73">
        <v>68097</v>
      </c>
      <c r="B3395" t="s">
        <v>491</v>
      </c>
      <c r="C3395" s="73" t="s">
        <v>492</v>
      </c>
      <c r="D3395" t="s">
        <v>493</v>
      </c>
      <c r="E3395" s="74">
        <v>46125</v>
      </c>
      <c r="F3395" t="s">
        <v>414</v>
      </c>
      <c r="G3395" t="s">
        <v>415</v>
      </c>
      <c r="H3395" s="75">
        <f t="shared" si="53"/>
        <v>312.13236743649082</v>
      </c>
      <c r="I3395" s="74">
        <v>46125</v>
      </c>
      <c r="J3395">
        <v>9</v>
      </c>
      <c r="K3395" t="s">
        <v>510</v>
      </c>
      <c r="L3395" t="s">
        <v>262</v>
      </c>
      <c r="M3395" t="s">
        <v>356</v>
      </c>
      <c r="N3395" s="73">
        <v>68097</v>
      </c>
      <c r="O3395" s="73">
        <v>68097</v>
      </c>
      <c r="P3395">
        <v>34.681374159610094</v>
      </c>
    </row>
    <row r="3396" spans="1:16" hidden="1" x14ac:dyDescent="0.2">
      <c r="A3396" s="73">
        <v>68097</v>
      </c>
      <c r="B3396" t="s">
        <v>491</v>
      </c>
      <c r="C3396" s="73" t="s">
        <v>492</v>
      </c>
      <c r="D3396" t="s">
        <v>493</v>
      </c>
      <c r="E3396" s="74">
        <v>46134</v>
      </c>
      <c r="F3396" t="s">
        <v>362</v>
      </c>
      <c r="G3396" t="s">
        <v>363</v>
      </c>
      <c r="H3396" s="75">
        <f t="shared" si="53"/>
        <v>138.72549663844038</v>
      </c>
      <c r="I3396" s="74">
        <v>46134</v>
      </c>
      <c r="J3396">
        <v>4</v>
      </c>
      <c r="K3396" t="s">
        <v>510</v>
      </c>
      <c r="L3396" t="s">
        <v>355</v>
      </c>
      <c r="M3396" t="s">
        <v>356</v>
      </c>
      <c r="N3396" s="73">
        <v>68097</v>
      </c>
      <c r="O3396" s="73">
        <v>68097</v>
      </c>
      <c r="P3396">
        <v>34.681374159610094</v>
      </c>
    </row>
    <row r="3397" spans="1:16" hidden="1" x14ac:dyDescent="0.2">
      <c r="A3397" s="73">
        <v>68097</v>
      </c>
      <c r="B3397" t="s">
        <v>491</v>
      </c>
      <c r="C3397" s="73" t="s">
        <v>492</v>
      </c>
      <c r="D3397" t="s">
        <v>493</v>
      </c>
      <c r="E3397" s="74">
        <v>46134</v>
      </c>
      <c r="F3397" t="s">
        <v>406</v>
      </c>
      <c r="G3397" t="s">
        <v>407</v>
      </c>
      <c r="H3397" s="75">
        <f t="shared" si="53"/>
        <v>346.81374159610095</v>
      </c>
      <c r="I3397" s="74">
        <v>46134</v>
      </c>
      <c r="J3397">
        <v>10</v>
      </c>
      <c r="K3397" t="s">
        <v>510</v>
      </c>
      <c r="L3397" t="s">
        <v>355</v>
      </c>
      <c r="M3397" t="s">
        <v>356</v>
      </c>
      <c r="N3397" s="73">
        <v>68097</v>
      </c>
      <c r="O3397" s="73">
        <v>68097</v>
      </c>
      <c r="P3397">
        <v>34.681374159610094</v>
      </c>
    </row>
    <row r="3398" spans="1:16" hidden="1" x14ac:dyDescent="0.2">
      <c r="A3398" s="73">
        <v>68097</v>
      </c>
      <c r="B3398" t="s">
        <v>491</v>
      </c>
      <c r="C3398" s="73" t="s">
        <v>492</v>
      </c>
      <c r="D3398" t="s">
        <v>493</v>
      </c>
      <c r="E3398" s="74">
        <v>46135</v>
      </c>
      <c r="F3398" t="s">
        <v>362</v>
      </c>
      <c r="G3398" t="s">
        <v>363</v>
      </c>
      <c r="H3398" s="75">
        <f t="shared" si="53"/>
        <v>138.72549663844038</v>
      </c>
      <c r="I3398" s="74">
        <v>46135</v>
      </c>
      <c r="J3398">
        <v>4</v>
      </c>
      <c r="K3398" t="s">
        <v>510</v>
      </c>
      <c r="L3398" t="s">
        <v>355</v>
      </c>
      <c r="M3398" t="s">
        <v>356</v>
      </c>
      <c r="N3398" s="73">
        <v>68097</v>
      </c>
      <c r="O3398" s="73">
        <v>68097</v>
      </c>
      <c r="P3398">
        <v>34.681374159610094</v>
      </c>
    </row>
    <row r="3399" spans="1:16" hidden="1" x14ac:dyDescent="0.2">
      <c r="A3399" s="73">
        <v>68097</v>
      </c>
      <c r="B3399" t="s">
        <v>491</v>
      </c>
      <c r="C3399" s="73" t="s">
        <v>492</v>
      </c>
      <c r="D3399" t="s">
        <v>493</v>
      </c>
      <c r="E3399" s="74">
        <v>46135</v>
      </c>
      <c r="F3399" t="s">
        <v>406</v>
      </c>
      <c r="G3399" t="s">
        <v>407</v>
      </c>
      <c r="H3399" s="75">
        <f t="shared" si="53"/>
        <v>346.81374159610095</v>
      </c>
      <c r="I3399" s="74">
        <v>46135</v>
      </c>
      <c r="J3399">
        <v>10</v>
      </c>
      <c r="K3399" t="s">
        <v>510</v>
      </c>
      <c r="L3399" t="s">
        <v>355</v>
      </c>
      <c r="M3399" t="s">
        <v>356</v>
      </c>
      <c r="N3399" s="73">
        <v>68097</v>
      </c>
      <c r="O3399" s="73">
        <v>68097</v>
      </c>
      <c r="P3399">
        <v>34.681374159610094</v>
      </c>
    </row>
    <row r="3400" spans="1:16" hidden="1" x14ac:dyDescent="0.2">
      <c r="A3400" s="73">
        <v>67260</v>
      </c>
      <c r="B3400" t="s">
        <v>423</v>
      </c>
      <c r="C3400" s="73" t="s">
        <v>488</v>
      </c>
      <c r="D3400" t="s">
        <v>489</v>
      </c>
      <c r="E3400" s="74">
        <v>46125</v>
      </c>
      <c r="F3400" t="s">
        <v>414</v>
      </c>
      <c r="G3400" t="s">
        <v>415</v>
      </c>
      <c r="H3400" s="75">
        <f t="shared" si="53"/>
        <v>-34.681374159610094</v>
      </c>
      <c r="I3400" s="74">
        <v>46125</v>
      </c>
      <c r="J3400">
        <v>-1</v>
      </c>
      <c r="K3400" t="s">
        <v>510</v>
      </c>
      <c r="L3400" t="s">
        <v>262</v>
      </c>
      <c r="M3400" t="s">
        <v>356</v>
      </c>
      <c r="N3400" s="73">
        <v>67260</v>
      </c>
      <c r="O3400" s="73">
        <v>67260</v>
      </c>
      <c r="P3400">
        <v>34.681374159610094</v>
      </c>
    </row>
    <row r="3401" spans="1:16" hidden="1" x14ac:dyDescent="0.2">
      <c r="A3401" s="73">
        <v>67260</v>
      </c>
      <c r="B3401" t="s">
        <v>423</v>
      </c>
      <c r="C3401" s="73" t="s">
        <v>488</v>
      </c>
      <c r="D3401" t="s">
        <v>489</v>
      </c>
      <c r="E3401" s="74">
        <v>46125</v>
      </c>
      <c r="F3401" t="s">
        <v>414</v>
      </c>
      <c r="G3401" t="s">
        <v>415</v>
      </c>
      <c r="H3401" s="75">
        <f t="shared" si="53"/>
        <v>34.681374159610094</v>
      </c>
      <c r="I3401" s="74">
        <v>46125</v>
      </c>
      <c r="J3401">
        <v>1</v>
      </c>
      <c r="K3401" t="s">
        <v>510</v>
      </c>
      <c r="L3401" t="s">
        <v>262</v>
      </c>
      <c r="M3401" t="s">
        <v>356</v>
      </c>
      <c r="N3401" s="73">
        <v>67260</v>
      </c>
      <c r="O3401" s="73">
        <v>67260</v>
      </c>
      <c r="P3401">
        <v>34.681374159610094</v>
      </c>
    </row>
    <row r="3402" spans="1:16" hidden="1" x14ac:dyDescent="0.2">
      <c r="A3402" s="73">
        <v>68097</v>
      </c>
      <c r="B3402" t="s">
        <v>491</v>
      </c>
      <c r="C3402" s="73" t="s">
        <v>492</v>
      </c>
      <c r="D3402" t="s">
        <v>493</v>
      </c>
      <c r="E3402" s="74">
        <v>46136</v>
      </c>
      <c r="F3402" t="s">
        <v>362</v>
      </c>
      <c r="G3402" t="s">
        <v>363</v>
      </c>
      <c r="H3402" s="75">
        <f t="shared" si="53"/>
        <v>138.72549663844038</v>
      </c>
      <c r="I3402" s="74">
        <v>46136</v>
      </c>
      <c r="J3402">
        <v>4</v>
      </c>
      <c r="K3402" t="s">
        <v>510</v>
      </c>
      <c r="L3402" t="s">
        <v>355</v>
      </c>
      <c r="M3402" t="s">
        <v>356</v>
      </c>
      <c r="N3402" s="73">
        <v>68097</v>
      </c>
      <c r="O3402" s="73">
        <v>68097</v>
      </c>
      <c r="P3402">
        <v>34.681374159610094</v>
      </c>
    </row>
    <row r="3403" spans="1:16" hidden="1" x14ac:dyDescent="0.2">
      <c r="A3403" s="73">
        <v>68097</v>
      </c>
      <c r="B3403" t="s">
        <v>491</v>
      </c>
      <c r="C3403" s="73" t="s">
        <v>492</v>
      </c>
      <c r="D3403" t="s">
        <v>493</v>
      </c>
      <c r="E3403" s="74">
        <v>46136</v>
      </c>
      <c r="F3403" t="s">
        <v>406</v>
      </c>
      <c r="G3403" t="s">
        <v>407</v>
      </c>
      <c r="H3403" s="75">
        <f t="shared" si="53"/>
        <v>346.81374159610095</v>
      </c>
      <c r="I3403" s="74">
        <v>46136</v>
      </c>
      <c r="J3403">
        <v>10</v>
      </c>
      <c r="K3403" t="s">
        <v>510</v>
      </c>
      <c r="L3403" t="s">
        <v>355</v>
      </c>
      <c r="M3403" t="s">
        <v>356</v>
      </c>
      <c r="N3403" s="73">
        <v>68097</v>
      </c>
      <c r="O3403" s="73">
        <v>68097</v>
      </c>
      <c r="P3403">
        <v>34.681374159610094</v>
      </c>
    </row>
    <row r="3404" spans="1:16" hidden="1" x14ac:dyDescent="0.2">
      <c r="A3404" s="73">
        <v>68097</v>
      </c>
      <c r="B3404" t="s">
        <v>491</v>
      </c>
      <c r="C3404" s="73" t="s">
        <v>492</v>
      </c>
      <c r="D3404" t="s">
        <v>493</v>
      </c>
      <c r="E3404" s="74">
        <v>46127</v>
      </c>
      <c r="F3404" t="s">
        <v>414</v>
      </c>
      <c r="G3404" t="s">
        <v>415</v>
      </c>
      <c r="H3404" s="75">
        <f t="shared" si="53"/>
        <v>312.13236743649082</v>
      </c>
      <c r="I3404" s="74">
        <v>46127</v>
      </c>
      <c r="J3404">
        <v>9</v>
      </c>
      <c r="K3404" t="s">
        <v>510</v>
      </c>
      <c r="L3404" t="s">
        <v>262</v>
      </c>
      <c r="M3404" t="s">
        <v>356</v>
      </c>
      <c r="N3404" s="73">
        <v>68097</v>
      </c>
      <c r="O3404" s="73">
        <v>68097</v>
      </c>
      <c r="P3404">
        <v>34.681374159610094</v>
      </c>
    </row>
    <row r="3405" spans="1:16" hidden="1" x14ac:dyDescent="0.2">
      <c r="A3405" s="73">
        <v>68097</v>
      </c>
      <c r="B3405" t="s">
        <v>491</v>
      </c>
      <c r="C3405" s="73" t="s">
        <v>492</v>
      </c>
      <c r="D3405" t="s">
        <v>493</v>
      </c>
      <c r="E3405" s="74">
        <v>46136</v>
      </c>
      <c r="F3405" t="s">
        <v>410</v>
      </c>
      <c r="G3405" t="s">
        <v>411</v>
      </c>
      <c r="H3405" s="75">
        <f t="shared" si="53"/>
        <v>138.72549663844038</v>
      </c>
      <c r="I3405" s="74">
        <v>46136</v>
      </c>
      <c r="J3405">
        <v>4</v>
      </c>
      <c r="K3405" t="s">
        <v>510</v>
      </c>
      <c r="L3405" t="s">
        <v>262</v>
      </c>
      <c r="M3405" t="s">
        <v>356</v>
      </c>
      <c r="N3405" s="73">
        <v>68097</v>
      </c>
      <c r="O3405" s="73">
        <v>68097</v>
      </c>
      <c r="P3405">
        <v>34.681374159610094</v>
      </c>
    </row>
    <row r="3406" spans="1:16" hidden="1" x14ac:dyDescent="0.2">
      <c r="A3406" s="73">
        <v>67260</v>
      </c>
      <c r="B3406" t="s">
        <v>423</v>
      </c>
      <c r="C3406" s="73" t="s">
        <v>488</v>
      </c>
      <c r="D3406" t="s">
        <v>489</v>
      </c>
      <c r="E3406" s="74">
        <v>46127</v>
      </c>
      <c r="F3406" t="s">
        <v>414</v>
      </c>
      <c r="G3406" t="s">
        <v>415</v>
      </c>
      <c r="H3406" s="75">
        <f t="shared" si="53"/>
        <v>-312.13236743649082</v>
      </c>
      <c r="I3406" s="74">
        <v>46127</v>
      </c>
      <c r="J3406">
        <v>-9</v>
      </c>
      <c r="K3406" t="s">
        <v>510</v>
      </c>
      <c r="L3406" t="s">
        <v>262</v>
      </c>
      <c r="M3406" t="s">
        <v>356</v>
      </c>
      <c r="N3406" s="73">
        <v>67260</v>
      </c>
      <c r="O3406" s="73">
        <v>67260</v>
      </c>
      <c r="P3406">
        <v>34.681374159610094</v>
      </c>
    </row>
    <row r="3407" spans="1:16" hidden="1" x14ac:dyDescent="0.2">
      <c r="A3407" s="73">
        <v>67260</v>
      </c>
      <c r="B3407" t="s">
        <v>423</v>
      </c>
      <c r="C3407" s="73" t="s">
        <v>488</v>
      </c>
      <c r="D3407" t="s">
        <v>489</v>
      </c>
      <c r="E3407" s="74">
        <v>46127</v>
      </c>
      <c r="F3407" t="s">
        <v>414</v>
      </c>
      <c r="G3407" t="s">
        <v>415</v>
      </c>
      <c r="H3407" s="75">
        <f t="shared" si="53"/>
        <v>312.13236743649082</v>
      </c>
      <c r="I3407" s="74">
        <v>46127</v>
      </c>
      <c r="J3407">
        <v>9</v>
      </c>
      <c r="K3407" t="s">
        <v>510</v>
      </c>
      <c r="L3407" t="s">
        <v>262</v>
      </c>
      <c r="M3407" t="s">
        <v>356</v>
      </c>
      <c r="N3407" s="73">
        <v>67260</v>
      </c>
      <c r="O3407" s="73">
        <v>67260</v>
      </c>
      <c r="P3407">
        <v>34.681374159610094</v>
      </c>
    </row>
    <row r="3408" spans="1:16" hidden="1" x14ac:dyDescent="0.2">
      <c r="A3408" s="73">
        <v>68097</v>
      </c>
      <c r="B3408" t="s">
        <v>491</v>
      </c>
      <c r="C3408" s="73" t="s">
        <v>492</v>
      </c>
      <c r="D3408" t="s">
        <v>493</v>
      </c>
      <c r="E3408" s="74">
        <v>46128</v>
      </c>
      <c r="F3408" t="s">
        <v>414</v>
      </c>
      <c r="G3408" t="s">
        <v>415</v>
      </c>
      <c r="H3408" s="75">
        <f t="shared" si="53"/>
        <v>312.13236743649082</v>
      </c>
      <c r="I3408" s="74">
        <v>46128</v>
      </c>
      <c r="J3408">
        <v>9</v>
      </c>
      <c r="K3408" t="s">
        <v>510</v>
      </c>
      <c r="L3408" t="s">
        <v>262</v>
      </c>
      <c r="M3408" t="s">
        <v>356</v>
      </c>
      <c r="N3408" s="73">
        <v>68097</v>
      </c>
      <c r="O3408" s="73">
        <v>68097</v>
      </c>
      <c r="P3408">
        <v>34.681374159610094</v>
      </c>
    </row>
    <row r="3409" spans="1:16" hidden="1" x14ac:dyDescent="0.2">
      <c r="A3409" s="73">
        <v>67260</v>
      </c>
      <c r="B3409" t="s">
        <v>423</v>
      </c>
      <c r="C3409" s="73" t="s">
        <v>488</v>
      </c>
      <c r="D3409" t="s">
        <v>489</v>
      </c>
      <c r="E3409" s="74">
        <v>46128</v>
      </c>
      <c r="F3409" t="s">
        <v>414</v>
      </c>
      <c r="G3409" t="s">
        <v>415</v>
      </c>
      <c r="H3409" s="75">
        <f t="shared" si="53"/>
        <v>-312.13236743649082</v>
      </c>
      <c r="I3409" s="74">
        <v>46128</v>
      </c>
      <c r="J3409">
        <v>-9</v>
      </c>
      <c r="K3409" t="s">
        <v>510</v>
      </c>
      <c r="L3409" t="s">
        <v>262</v>
      </c>
      <c r="M3409" t="s">
        <v>356</v>
      </c>
      <c r="N3409" s="73">
        <v>67260</v>
      </c>
      <c r="O3409" s="73">
        <v>67260</v>
      </c>
      <c r="P3409">
        <v>34.681374159610094</v>
      </c>
    </row>
    <row r="3410" spans="1:16" hidden="1" x14ac:dyDescent="0.2">
      <c r="A3410" s="73">
        <v>67260</v>
      </c>
      <c r="B3410" t="s">
        <v>423</v>
      </c>
      <c r="C3410" s="73" t="s">
        <v>488</v>
      </c>
      <c r="D3410" t="s">
        <v>489</v>
      </c>
      <c r="E3410" s="74">
        <v>46128</v>
      </c>
      <c r="F3410" t="s">
        <v>414</v>
      </c>
      <c r="G3410" t="s">
        <v>415</v>
      </c>
      <c r="H3410" s="75">
        <f t="shared" si="53"/>
        <v>312.13236743649082</v>
      </c>
      <c r="I3410" s="74">
        <v>46128</v>
      </c>
      <c r="J3410">
        <v>9</v>
      </c>
      <c r="K3410" t="s">
        <v>510</v>
      </c>
      <c r="L3410" t="s">
        <v>262</v>
      </c>
      <c r="M3410" t="s">
        <v>356</v>
      </c>
      <c r="N3410" s="73">
        <v>67260</v>
      </c>
      <c r="O3410" s="73">
        <v>67260</v>
      </c>
      <c r="P3410">
        <v>34.681374159610094</v>
      </c>
    </row>
    <row r="3411" spans="1:16" hidden="1" x14ac:dyDescent="0.2">
      <c r="A3411" s="73">
        <v>68097</v>
      </c>
      <c r="B3411" t="s">
        <v>491</v>
      </c>
      <c r="C3411" s="73" t="s">
        <v>492</v>
      </c>
      <c r="D3411" t="s">
        <v>493</v>
      </c>
      <c r="E3411" s="74">
        <v>46146</v>
      </c>
      <c r="F3411" t="s">
        <v>362</v>
      </c>
      <c r="G3411" t="s">
        <v>363</v>
      </c>
      <c r="H3411" s="75">
        <f t="shared" si="53"/>
        <v>346.81374159610095</v>
      </c>
      <c r="I3411" s="74">
        <v>46146</v>
      </c>
      <c r="J3411">
        <v>10</v>
      </c>
      <c r="K3411" t="s">
        <v>517</v>
      </c>
      <c r="L3411" t="s">
        <v>355</v>
      </c>
      <c r="M3411" t="s">
        <v>356</v>
      </c>
      <c r="N3411" s="73">
        <v>68097</v>
      </c>
      <c r="O3411" s="73">
        <v>68097</v>
      </c>
      <c r="P3411">
        <v>34.681374159610094</v>
      </c>
    </row>
    <row r="3412" spans="1:16" hidden="1" x14ac:dyDescent="0.2">
      <c r="A3412" s="73">
        <v>68097</v>
      </c>
      <c r="B3412" t="s">
        <v>491</v>
      </c>
      <c r="C3412" s="73" t="s">
        <v>492</v>
      </c>
      <c r="D3412" t="s">
        <v>493</v>
      </c>
      <c r="E3412" s="74">
        <v>46146</v>
      </c>
      <c r="F3412" t="s">
        <v>406</v>
      </c>
      <c r="G3412" t="s">
        <v>407</v>
      </c>
      <c r="H3412" s="75">
        <f t="shared" si="53"/>
        <v>277.45099327688075</v>
      </c>
      <c r="I3412" s="74">
        <v>46146</v>
      </c>
      <c r="J3412">
        <v>8</v>
      </c>
      <c r="K3412" t="s">
        <v>517</v>
      </c>
      <c r="L3412" t="s">
        <v>355</v>
      </c>
      <c r="M3412" t="s">
        <v>356</v>
      </c>
      <c r="N3412" s="73">
        <v>68097</v>
      </c>
      <c r="O3412" s="73">
        <v>68097</v>
      </c>
      <c r="P3412">
        <v>34.681374159610094</v>
      </c>
    </row>
    <row r="3413" spans="1:16" hidden="1" x14ac:dyDescent="0.2">
      <c r="A3413" s="73">
        <v>68097</v>
      </c>
      <c r="B3413" t="s">
        <v>491</v>
      </c>
      <c r="C3413" s="73" t="s">
        <v>492</v>
      </c>
      <c r="D3413" t="s">
        <v>493</v>
      </c>
      <c r="E3413" s="74">
        <v>46132</v>
      </c>
      <c r="F3413" t="s">
        <v>414</v>
      </c>
      <c r="G3413" t="s">
        <v>415</v>
      </c>
      <c r="H3413" s="75">
        <f t="shared" si="53"/>
        <v>312.13236743649082</v>
      </c>
      <c r="I3413" s="74">
        <v>46132</v>
      </c>
      <c r="J3413">
        <v>9</v>
      </c>
      <c r="K3413" t="s">
        <v>510</v>
      </c>
      <c r="L3413" t="s">
        <v>262</v>
      </c>
      <c r="M3413" t="s">
        <v>356</v>
      </c>
      <c r="N3413" s="73">
        <v>68097</v>
      </c>
      <c r="O3413" s="73">
        <v>68097</v>
      </c>
      <c r="P3413">
        <v>34.681374159610094</v>
      </c>
    </row>
    <row r="3414" spans="1:16" hidden="1" x14ac:dyDescent="0.2">
      <c r="A3414" s="73">
        <v>68097</v>
      </c>
      <c r="B3414" t="s">
        <v>491</v>
      </c>
      <c r="C3414" s="73" t="s">
        <v>492</v>
      </c>
      <c r="D3414" t="s">
        <v>493</v>
      </c>
      <c r="E3414" s="74">
        <v>46147</v>
      </c>
      <c r="F3414" t="s">
        <v>362</v>
      </c>
      <c r="G3414" t="s">
        <v>363</v>
      </c>
      <c r="H3414" s="75">
        <f t="shared" si="53"/>
        <v>346.81374159610095</v>
      </c>
      <c r="I3414" s="74">
        <v>46147</v>
      </c>
      <c r="J3414">
        <v>10</v>
      </c>
      <c r="K3414" t="s">
        <v>517</v>
      </c>
      <c r="L3414" t="s">
        <v>355</v>
      </c>
      <c r="M3414" t="s">
        <v>356</v>
      </c>
      <c r="N3414" s="73">
        <v>68097</v>
      </c>
      <c r="O3414" s="73">
        <v>68097</v>
      </c>
      <c r="P3414">
        <v>34.681374159610094</v>
      </c>
    </row>
    <row r="3415" spans="1:16" hidden="1" x14ac:dyDescent="0.2">
      <c r="A3415" s="73">
        <v>68097</v>
      </c>
      <c r="B3415" t="s">
        <v>491</v>
      </c>
      <c r="C3415" s="73" t="s">
        <v>492</v>
      </c>
      <c r="D3415" t="s">
        <v>493</v>
      </c>
      <c r="E3415" s="74">
        <v>46147</v>
      </c>
      <c r="F3415" t="s">
        <v>406</v>
      </c>
      <c r="G3415" t="s">
        <v>407</v>
      </c>
      <c r="H3415" s="75">
        <f t="shared" si="53"/>
        <v>277.45099327688075</v>
      </c>
      <c r="I3415" s="74">
        <v>46147</v>
      </c>
      <c r="J3415">
        <v>8</v>
      </c>
      <c r="K3415" t="s">
        <v>517</v>
      </c>
      <c r="L3415" t="s">
        <v>355</v>
      </c>
      <c r="M3415" t="s">
        <v>356</v>
      </c>
      <c r="N3415" s="73">
        <v>68097</v>
      </c>
      <c r="O3415" s="73">
        <v>68097</v>
      </c>
      <c r="P3415">
        <v>34.681374159610094</v>
      </c>
    </row>
    <row r="3416" spans="1:16" hidden="1" x14ac:dyDescent="0.2">
      <c r="A3416" s="73">
        <v>67260</v>
      </c>
      <c r="B3416" t="s">
        <v>423</v>
      </c>
      <c r="C3416" s="73" t="s">
        <v>488</v>
      </c>
      <c r="D3416" t="s">
        <v>489</v>
      </c>
      <c r="E3416" s="74">
        <v>46132</v>
      </c>
      <c r="F3416" t="s">
        <v>414</v>
      </c>
      <c r="G3416" t="s">
        <v>415</v>
      </c>
      <c r="H3416" s="75">
        <f t="shared" si="53"/>
        <v>-312.13236743649082</v>
      </c>
      <c r="I3416" s="74">
        <v>46132</v>
      </c>
      <c r="J3416">
        <v>-9</v>
      </c>
      <c r="K3416" t="s">
        <v>510</v>
      </c>
      <c r="L3416" t="s">
        <v>262</v>
      </c>
      <c r="M3416" t="s">
        <v>356</v>
      </c>
      <c r="N3416" s="73">
        <v>67260</v>
      </c>
      <c r="O3416" s="73">
        <v>67260</v>
      </c>
      <c r="P3416">
        <v>34.681374159610094</v>
      </c>
    </row>
    <row r="3417" spans="1:16" hidden="1" x14ac:dyDescent="0.2">
      <c r="A3417" s="73">
        <v>68097</v>
      </c>
      <c r="B3417" t="s">
        <v>491</v>
      </c>
      <c r="C3417" s="73" t="s">
        <v>492</v>
      </c>
      <c r="D3417" t="s">
        <v>493</v>
      </c>
      <c r="E3417" s="74">
        <v>46148</v>
      </c>
      <c r="F3417" t="s">
        <v>406</v>
      </c>
      <c r="G3417" t="s">
        <v>407</v>
      </c>
      <c r="H3417" s="75">
        <f t="shared" si="53"/>
        <v>277.45099327688075</v>
      </c>
      <c r="I3417" s="74">
        <v>46148</v>
      </c>
      <c r="J3417">
        <v>8</v>
      </c>
      <c r="K3417" t="s">
        <v>517</v>
      </c>
      <c r="L3417" t="s">
        <v>355</v>
      </c>
      <c r="M3417" t="s">
        <v>356</v>
      </c>
      <c r="N3417" s="73">
        <v>68097</v>
      </c>
      <c r="O3417" s="73">
        <v>68097</v>
      </c>
      <c r="P3417">
        <v>34.681374159610094</v>
      </c>
    </row>
    <row r="3418" spans="1:16" hidden="1" x14ac:dyDescent="0.2">
      <c r="A3418" s="73">
        <v>67260</v>
      </c>
      <c r="B3418" t="s">
        <v>423</v>
      </c>
      <c r="C3418" s="73" t="s">
        <v>488</v>
      </c>
      <c r="D3418" t="s">
        <v>489</v>
      </c>
      <c r="E3418" s="74">
        <v>46132</v>
      </c>
      <c r="F3418" t="s">
        <v>414</v>
      </c>
      <c r="G3418" t="s">
        <v>415</v>
      </c>
      <c r="H3418" s="75">
        <f t="shared" si="53"/>
        <v>312.13236743649082</v>
      </c>
      <c r="I3418" s="74">
        <v>46132</v>
      </c>
      <c r="J3418">
        <v>9</v>
      </c>
      <c r="K3418" t="s">
        <v>510</v>
      </c>
      <c r="L3418" t="s">
        <v>262</v>
      </c>
      <c r="M3418" t="s">
        <v>356</v>
      </c>
      <c r="N3418" s="73">
        <v>67260</v>
      </c>
      <c r="O3418" s="73">
        <v>67260</v>
      </c>
      <c r="P3418">
        <v>34.681374159610094</v>
      </c>
    </row>
    <row r="3419" spans="1:16" hidden="1" x14ac:dyDescent="0.2">
      <c r="A3419" s="73">
        <v>68097</v>
      </c>
      <c r="B3419" t="s">
        <v>491</v>
      </c>
      <c r="C3419" s="73" t="s">
        <v>492</v>
      </c>
      <c r="D3419" t="s">
        <v>493</v>
      </c>
      <c r="E3419" s="74">
        <v>46149</v>
      </c>
      <c r="F3419" t="s">
        <v>406</v>
      </c>
      <c r="G3419" t="s">
        <v>407</v>
      </c>
      <c r="H3419" s="75">
        <f t="shared" si="53"/>
        <v>277.45099327688075</v>
      </c>
      <c r="I3419" s="74">
        <v>46149</v>
      </c>
      <c r="J3419">
        <v>8</v>
      </c>
      <c r="K3419" t="s">
        <v>517</v>
      </c>
      <c r="L3419" t="s">
        <v>355</v>
      </c>
      <c r="M3419" t="s">
        <v>356</v>
      </c>
      <c r="N3419" s="73">
        <v>68097</v>
      </c>
      <c r="O3419" s="73">
        <v>68097</v>
      </c>
      <c r="P3419">
        <v>34.681374159610094</v>
      </c>
    </row>
    <row r="3420" spans="1:16" hidden="1" x14ac:dyDescent="0.2">
      <c r="A3420" s="73">
        <v>68097</v>
      </c>
      <c r="B3420" t="s">
        <v>491</v>
      </c>
      <c r="C3420" s="73" t="s">
        <v>492</v>
      </c>
      <c r="D3420" t="s">
        <v>493</v>
      </c>
      <c r="E3420" s="74">
        <v>46133</v>
      </c>
      <c r="F3420" t="s">
        <v>414</v>
      </c>
      <c r="G3420" t="s">
        <v>415</v>
      </c>
      <c r="H3420" s="75">
        <f t="shared" si="53"/>
        <v>312.13236743649082</v>
      </c>
      <c r="I3420" s="74">
        <v>46133</v>
      </c>
      <c r="J3420">
        <v>9</v>
      </c>
      <c r="K3420" t="s">
        <v>510</v>
      </c>
      <c r="L3420" t="s">
        <v>262</v>
      </c>
      <c r="M3420" t="s">
        <v>356</v>
      </c>
      <c r="N3420" s="73">
        <v>68097</v>
      </c>
      <c r="O3420" s="73">
        <v>68097</v>
      </c>
      <c r="P3420">
        <v>34.681374159610094</v>
      </c>
    </row>
    <row r="3421" spans="1:16" hidden="1" x14ac:dyDescent="0.2">
      <c r="A3421" s="73">
        <v>68097</v>
      </c>
      <c r="B3421" t="s">
        <v>491</v>
      </c>
      <c r="C3421" s="73" t="s">
        <v>492</v>
      </c>
      <c r="D3421" t="s">
        <v>493</v>
      </c>
      <c r="E3421" s="74">
        <v>46150</v>
      </c>
      <c r="F3421" t="s">
        <v>406</v>
      </c>
      <c r="G3421" t="s">
        <v>407</v>
      </c>
      <c r="H3421" s="75">
        <f t="shared" si="53"/>
        <v>277.45099327688075</v>
      </c>
      <c r="I3421" s="74">
        <v>46150</v>
      </c>
      <c r="J3421">
        <v>8</v>
      </c>
      <c r="K3421" t="s">
        <v>517</v>
      </c>
      <c r="L3421" t="s">
        <v>355</v>
      </c>
      <c r="M3421" t="s">
        <v>356</v>
      </c>
      <c r="N3421" s="73">
        <v>68097</v>
      </c>
      <c r="O3421" s="73">
        <v>68097</v>
      </c>
      <c r="P3421">
        <v>34.681374159610094</v>
      </c>
    </row>
    <row r="3422" spans="1:16" hidden="1" x14ac:dyDescent="0.2">
      <c r="A3422" s="73">
        <v>67260</v>
      </c>
      <c r="B3422" t="s">
        <v>423</v>
      </c>
      <c r="C3422" s="73" t="s">
        <v>488</v>
      </c>
      <c r="D3422" t="s">
        <v>489</v>
      </c>
      <c r="E3422" s="74">
        <v>46133</v>
      </c>
      <c r="F3422" t="s">
        <v>414</v>
      </c>
      <c r="G3422" t="s">
        <v>415</v>
      </c>
      <c r="H3422" s="75">
        <f t="shared" si="53"/>
        <v>-312.13236743649082</v>
      </c>
      <c r="I3422" s="74">
        <v>46133</v>
      </c>
      <c r="J3422">
        <v>-9</v>
      </c>
      <c r="K3422" t="s">
        <v>510</v>
      </c>
      <c r="L3422" t="s">
        <v>262</v>
      </c>
      <c r="M3422" t="s">
        <v>356</v>
      </c>
      <c r="N3422" s="73">
        <v>67260</v>
      </c>
      <c r="O3422" s="73">
        <v>67260</v>
      </c>
      <c r="P3422">
        <v>34.681374159610094</v>
      </c>
    </row>
    <row r="3423" spans="1:16" hidden="1" x14ac:dyDescent="0.2">
      <c r="A3423" s="73">
        <v>68097</v>
      </c>
      <c r="B3423" t="s">
        <v>491</v>
      </c>
      <c r="C3423" s="73" t="s">
        <v>492</v>
      </c>
      <c r="D3423" t="s">
        <v>493</v>
      </c>
      <c r="E3423" s="74">
        <v>46153</v>
      </c>
      <c r="F3423" t="s">
        <v>406</v>
      </c>
      <c r="G3423" t="s">
        <v>407</v>
      </c>
      <c r="H3423" s="75">
        <f t="shared" si="53"/>
        <v>277.45099327688075</v>
      </c>
      <c r="I3423" s="74">
        <v>46153</v>
      </c>
      <c r="J3423">
        <v>8</v>
      </c>
      <c r="K3423" t="s">
        <v>517</v>
      </c>
      <c r="L3423" t="s">
        <v>355</v>
      </c>
      <c r="M3423" t="s">
        <v>356</v>
      </c>
      <c r="N3423" s="73">
        <v>68097</v>
      </c>
      <c r="O3423" s="73">
        <v>68097</v>
      </c>
      <c r="P3423">
        <v>34.681374159610094</v>
      </c>
    </row>
    <row r="3424" spans="1:16" hidden="1" x14ac:dyDescent="0.2">
      <c r="A3424" s="73">
        <v>68097</v>
      </c>
      <c r="B3424" t="s">
        <v>491</v>
      </c>
      <c r="C3424" s="73" t="s">
        <v>492</v>
      </c>
      <c r="D3424" t="s">
        <v>493</v>
      </c>
      <c r="E3424" s="74">
        <v>46153</v>
      </c>
      <c r="F3424" t="s">
        <v>362</v>
      </c>
      <c r="G3424" t="s">
        <v>363</v>
      </c>
      <c r="H3424" s="75">
        <f t="shared" si="53"/>
        <v>138.72549663844038</v>
      </c>
      <c r="I3424" s="74">
        <v>46153</v>
      </c>
      <c r="J3424">
        <v>4</v>
      </c>
      <c r="K3424" t="s">
        <v>517</v>
      </c>
      <c r="L3424" t="s">
        <v>355</v>
      </c>
      <c r="M3424" t="s">
        <v>356</v>
      </c>
      <c r="N3424" s="73">
        <v>68097</v>
      </c>
      <c r="O3424" s="73">
        <v>68097</v>
      </c>
      <c r="P3424">
        <v>34.681374159610094</v>
      </c>
    </row>
    <row r="3425" spans="1:16" hidden="1" x14ac:dyDescent="0.2">
      <c r="A3425" s="73">
        <v>67260</v>
      </c>
      <c r="B3425" t="s">
        <v>423</v>
      </c>
      <c r="C3425" s="73" t="s">
        <v>488</v>
      </c>
      <c r="D3425" t="s">
        <v>489</v>
      </c>
      <c r="E3425" s="74">
        <v>46133</v>
      </c>
      <c r="F3425" t="s">
        <v>414</v>
      </c>
      <c r="G3425" t="s">
        <v>415</v>
      </c>
      <c r="H3425" s="75">
        <f t="shared" si="53"/>
        <v>312.13236743649082</v>
      </c>
      <c r="I3425" s="74">
        <v>46133</v>
      </c>
      <c r="J3425">
        <v>9</v>
      </c>
      <c r="K3425" t="s">
        <v>510</v>
      </c>
      <c r="L3425" t="s">
        <v>262</v>
      </c>
      <c r="M3425" t="s">
        <v>356</v>
      </c>
      <c r="N3425" s="73">
        <v>67260</v>
      </c>
      <c r="O3425" s="73">
        <v>67260</v>
      </c>
      <c r="P3425">
        <v>34.681374159610094</v>
      </c>
    </row>
    <row r="3426" spans="1:16" hidden="1" x14ac:dyDescent="0.2">
      <c r="A3426" s="73">
        <v>68097</v>
      </c>
      <c r="B3426" t="s">
        <v>491</v>
      </c>
      <c r="C3426" s="73" t="s">
        <v>492</v>
      </c>
      <c r="D3426" t="s">
        <v>493</v>
      </c>
      <c r="E3426" s="74">
        <v>46154</v>
      </c>
      <c r="F3426" t="s">
        <v>362</v>
      </c>
      <c r="G3426" t="s">
        <v>363</v>
      </c>
      <c r="H3426" s="75">
        <f t="shared" si="53"/>
        <v>138.72549663844038</v>
      </c>
      <c r="I3426" s="74">
        <v>46154</v>
      </c>
      <c r="J3426">
        <v>4</v>
      </c>
      <c r="K3426" t="s">
        <v>517</v>
      </c>
      <c r="L3426" t="s">
        <v>355</v>
      </c>
      <c r="M3426" t="s">
        <v>356</v>
      </c>
      <c r="N3426" s="73">
        <v>68097</v>
      </c>
      <c r="O3426" s="73">
        <v>68097</v>
      </c>
      <c r="P3426">
        <v>34.681374159610094</v>
      </c>
    </row>
    <row r="3427" spans="1:16" hidden="1" x14ac:dyDescent="0.2">
      <c r="A3427" s="73">
        <v>68097</v>
      </c>
      <c r="B3427" t="s">
        <v>491</v>
      </c>
      <c r="C3427" s="73" t="s">
        <v>492</v>
      </c>
      <c r="D3427" t="s">
        <v>493</v>
      </c>
      <c r="E3427" s="74">
        <v>46134</v>
      </c>
      <c r="F3427" t="s">
        <v>414</v>
      </c>
      <c r="G3427" t="s">
        <v>415</v>
      </c>
      <c r="H3427" s="75">
        <f t="shared" si="53"/>
        <v>312.13236743649082</v>
      </c>
      <c r="I3427" s="74">
        <v>46134</v>
      </c>
      <c r="J3427">
        <v>9</v>
      </c>
      <c r="K3427" t="s">
        <v>510</v>
      </c>
      <c r="L3427" t="s">
        <v>262</v>
      </c>
      <c r="M3427" t="s">
        <v>356</v>
      </c>
      <c r="N3427" s="73">
        <v>68097</v>
      </c>
      <c r="O3427" s="73">
        <v>68097</v>
      </c>
      <c r="P3427">
        <v>34.681374159610094</v>
      </c>
    </row>
    <row r="3428" spans="1:16" hidden="1" x14ac:dyDescent="0.2">
      <c r="A3428" s="73">
        <v>68097</v>
      </c>
      <c r="B3428" t="s">
        <v>491</v>
      </c>
      <c r="C3428" s="73" t="s">
        <v>492</v>
      </c>
      <c r="D3428" t="s">
        <v>493</v>
      </c>
      <c r="E3428" s="74">
        <v>46155</v>
      </c>
      <c r="F3428" t="s">
        <v>406</v>
      </c>
      <c r="G3428" t="s">
        <v>407</v>
      </c>
      <c r="H3428" s="75">
        <f t="shared" si="53"/>
        <v>277.45099327688075</v>
      </c>
      <c r="I3428" s="74">
        <v>46155</v>
      </c>
      <c r="J3428">
        <v>8</v>
      </c>
      <c r="K3428" t="s">
        <v>517</v>
      </c>
      <c r="L3428" t="s">
        <v>355</v>
      </c>
      <c r="M3428" t="s">
        <v>356</v>
      </c>
      <c r="N3428" s="73">
        <v>68097</v>
      </c>
      <c r="O3428" s="73">
        <v>68097</v>
      </c>
      <c r="P3428">
        <v>34.681374159610094</v>
      </c>
    </row>
    <row r="3429" spans="1:16" hidden="1" x14ac:dyDescent="0.2">
      <c r="A3429" s="73">
        <v>68097</v>
      </c>
      <c r="B3429" t="s">
        <v>491</v>
      </c>
      <c r="C3429" s="73" t="s">
        <v>492</v>
      </c>
      <c r="D3429" t="s">
        <v>493</v>
      </c>
      <c r="E3429" s="74">
        <v>46155</v>
      </c>
      <c r="F3429" t="s">
        <v>362</v>
      </c>
      <c r="G3429" t="s">
        <v>363</v>
      </c>
      <c r="H3429" s="75">
        <f t="shared" si="53"/>
        <v>138.72549663844038</v>
      </c>
      <c r="I3429" s="74">
        <v>46155</v>
      </c>
      <c r="J3429">
        <v>4</v>
      </c>
      <c r="K3429" t="s">
        <v>517</v>
      </c>
      <c r="L3429" t="s">
        <v>355</v>
      </c>
      <c r="M3429" t="s">
        <v>356</v>
      </c>
      <c r="N3429" s="73">
        <v>68097</v>
      </c>
      <c r="O3429" s="73">
        <v>68097</v>
      </c>
      <c r="P3429">
        <v>34.681374159610094</v>
      </c>
    </row>
    <row r="3430" spans="1:16" hidden="1" x14ac:dyDescent="0.2">
      <c r="A3430" s="73">
        <v>67260</v>
      </c>
      <c r="B3430" t="s">
        <v>423</v>
      </c>
      <c r="C3430" s="73" t="s">
        <v>488</v>
      </c>
      <c r="D3430" t="s">
        <v>489</v>
      </c>
      <c r="E3430" s="74">
        <v>46134</v>
      </c>
      <c r="F3430" t="s">
        <v>414</v>
      </c>
      <c r="G3430" t="s">
        <v>415</v>
      </c>
      <c r="H3430" s="75">
        <f t="shared" si="53"/>
        <v>312.13236743649082</v>
      </c>
      <c r="I3430" s="74">
        <v>46134</v>
      </c>
      <c r="J3430">
        <v>9</v>
      </c>
      <c r="K3430" t="s">
        <v>510</v>
      </c>
      <c r="L3430" t="s">
        <v>262</v>
      </c>
      <c r="M3430" t="s">
        <v>356</v>
      </c>
      <c r="N3430" s="73">
        <v>67260</v>
      </c>
      <c r="O3430" s="73">
        <v>67260</v>
      </c>
      <c r="P3430">
        <v>34.681374159610094</v>
      </c>
    </row>
    <row r="3431" spans="1:16" hidden="1" x14ac:dyDescent="0.2">
      <c r="A3431" s="73">
        <v>68097</v>
      </c>
      <c r="B3431" t="s">
        <v>491</v>
      </c>
      <c r="C3431" s="73" t="s">
        <v>492</v>
      </c>
      <c r="D3431" t="s">
        <v>493</v>
      </c>
      <c r="E3431" s="74">
        <v>46156</v>
      </c>
      <c r="F3431" t="s">
        <v>406</v>
      </c>
      <c r="G3431" t="s">
        <v>407</v>
      </c>
      <c r="H3431" s="75">
        <f t="shared" si="53"/>
        <v>277.45099327688075</v>
      </c>
      <c r="I3431" s="74">
        <v>46156</v>
      </c>
      <c r="J3431">
        <v>8</v>
      </c>
      <c r="K3431" t="s">
        <v>517</v>
      </c>
      <c r="L3431" t="s">
        <v>355</v>
      </c>
      <c r="M3431" t="s">
        <v>356</v>
      </c>
      <c r="N3431" s="73">
        <v>68097</v>
      </c>
      <c r="O3431" s="73">
        <v>68097</v>
      </c>
      <c r="P3431">
        <v>34.681374159610094</v>
      </c>
    </row>
    <row r="3432" spans="1:16" hidden="1" x14ac:dyDescent="0.2">
      <c r="A3432" s="73">
        <v>68097</v>
      </c>
      <c r="B3432" t="s">
        <v>491</v>
      </c>
      <c r="C3432" s="73" t="s">
        <v>492</v>
      </c>
      <c r="D3432" t="s">
        <v>493</v>
      </c>
      <c r="E3432" s="74">
        <v>46156</v>
      </c>
      <c r="F3432" t="s">
        <v>362</v>
      </c>
      <c r="G3432" t="s">
        <v>363</v>
      </c>
      <c r="H3432" s="75">
        <f t="shared" si="53"/>
        <v>138.72549663844038</v>
      </c>
      <c r="I3432" s="74">
        <v>46156</v>
      </c>
      <c r="J3432">
        <v>4</v>
      </c>
      <c r="K3432" t="s">
        <v>517</v>
      </c>
      <c r="L3432" t="s">
        <v>355</v>
      </c>
      <c r="M3432" t="s">
        <v>356</v>
      </c>
      <c r="N3432" s="73">
        <v>68097</v>
      </c>
      <c r="O3432" s="73">
        <v>68097</v>
      </c>
      <c r="P3432">
        <v>34.681374159610094</v>
      </c>
    </row>
    <row r="3433" spans="1:16" hidden="1" x14ac:dyDescent="0.2">
      <c r="A3433" s="73">
        <v>67260</v>
      </c>
      <c r="B3433" t="s">
        <v>423</v>
      </c>
      <c r="C3433" s="73" t="s">
        <v>488</v>
      </c>
      <c r="D3433" t="s">
        <v>489</v>
      </c>
      <c r="E3433" s="74">
        <v>46134</v>
      </c>
      <c r="F3433" t="s">
        <v>414</v>
      </c>
      <c r="G3433" t="s">
        <v>415</v>
      </c>
      <c r="H3433" s="75">
        <f t="shared" si="53"/>
        <v>-312.13236743649082</v>
      </c>
      <c r="I3433" s="74">
        <v>46134</v>
      </c>
      <c r="J3433">
        <v>-9</v>
      </c>
      <c r="K3433" t="s">
        <v>510</v>
      </c>
      <c r="L3433" t="s">
        <v>262</v>
      </c>
      <c r="M3433" t="s">
        <v>356</v>
      </c>
      <c r="N3433" s="73">
        <v>67260</v>
      </c>
      <c r="O3433" s="73">
        <v>67260</v>
      </c>
      <c r="P3433">
        <v>34.681374159610094</v>
      </c>
    </row>
    <row r="3434" spans="1:16" hidden="1" x14ac:dyDescent="0.2">
      <c r="A3434" s="73">
        <v>68097</v>
      </c>
      <c r="B3434" t="s">
        <v>491</v>
      </c>
      <c r="C3434" s="73" t="s">
        <v>492</v>
      </c>
      <c r="D3434" t="s">
        <v>493</v>
      </c>
      <c r="E3434" s="74">
        <v>46157</v>
      </c>
      <c r="F3434" t="s">
        <v>406</v>
      </c>
      <c r="G3434" t="s">
        <v>407</v>
      </c>
      <c r="H3434" s="75">
        <f t="shared" si="53"/>
        <v>277.45099327688075</v>
      </c>
      <c r="I3434" s="74">
        <v>46157</v>
      </c>
      <c r="J3434">
        <v>8</v>
      </c>
      <c r="K3434" t="s">
        <v>517</v>
      </c>
      <c r="L3434" t="s">
        <v>355</v>
      </c>
      <c r="M3434" t="s">
        <v>356</v>
      </c>
      <c r="N3434" s="73">
        <v>68097</v>
      </c>
      <c r="O3434" s="73">
        <v>68097</v>
      </c>
      <c r="P3434">
        <v>34.681374159610094</v>
      </c>
    </row>
    <row r="3435" spans="1:16" hidden="1" x14ac:dyDescent="0.2">
      <c r="A3435" s="73">
        <v>68097</v>
      </c>
      <c r="B3435" t="s">
        <v>491</v>
      </c>
      <c r="C3435" s="73" t="s">
        <v>492</v>
      </c>
      <c r="D3435" t="s">
        <v>493</v>
      </c>
      <c r="E3435" s="74">
        <v>46157</v>
      </c>
      <c r="F3435" t="s">
        <v>362</v>
      </c>
      <c r="G3435" t="s">
        <v>363</v>
      </c>
      <c r="H3435" s="75">
        <f t="shared" si="53"/>
        <v>138.72549663844038</v>
      </c>
      <c r="I3435" s="74">
        <v>46157</v>
      </c>
      <c r="J3435">
        <v>4</v>
      </c>
      <c r="K3435" t="s">
        <v>517</v>
      </c>
      <c r="L3435" t="s">
        <v>355</v>
      </c>
      <c r="M3435" t="s">
        <v>356</v>
      </c>
      <c r="N3435" s="73">
        <v>68097</v>
      </c>
      <c r="O3435" s="73">
        <v>68097</v>
      </c>
      <c r="P3435">
        <v>34.681374159610094</v>
      </c>
    </row>
    <row r="3436" spans="1:16" hidden="1" x14ac:dyDescent="0.2">
      <c r="A3436" s="73">
        <v>68097</v>
      </c>
      <c r="B3436" t="s">
        <v>491</v>
      </c>
      <c r="C3436" s="73" t="s">
        <v>492</v>
      </c>
      <c r="D3436" t="s">
        <v>493</v>
      </c>
      <c r="E3436" s="74">
        <v>46135</v>
      </c>
      <c r="F3436" t="s">
        <v>414</v>
      </c>
      <c r="G3436" t="s">
        <v>415</v>
      </c>
      <c r="H3436" s="75">
        <f t="shared" si="53"/>
        <v>312.13236743649082</v>
      </c>
      <c r="I3436" s="74">
        <v>46135</v>
      </c>
      <c r="J3436">
        <v>9</v>
      </c>
      <c r="K3436" t="s">
        <v>510</v>
      </c>
      <c r="L3436" t="s">
        <v>262</v>
      </c>
      <c r="M3436" t="s">
        <v>356</v>
      </c>
      <c r="N3436" s="73">
        <v>68097</v>
      </c>
      <c r="O3436" s="73">
        <v>68097</v>
      </c>
      <c r="P3436">
        <v>34.681374159610094</v>
      </c>
    </row>
    <row r="3437" spans="1:16" hidden="1" x14ac:dyDescent="0.2">
      <c r="A3437" s="73">
        <v>68097</v>
      </c>
      <c r="B3437" t="s">
        <v>491</v>
      </c>
      <c r="C3437" s="73" t="s">
        <v>492</v>
      </c>
      <c r="D3437" t="s">
        <v>493</v>
      </c>
      <c r="E3437" s="74">
        <v>46160</v>
      </c>
      <c r="F3437" t="s">
        <v>406</v>
      </c>
      <c r="G3437" t="s">
        <v>407</v>
      </c>
      <c r="H3437" s="75">
        <f t="shared" si="53"/>
        <v>277.45099327688075</v>
      </c>
      <c r="I3437" s="74">
        <v>46160</v>
      </c>
      <c r="J3437">
        <v>8</v>
      </c>
      <c r="K3437" t="s">
        <v>517</v>
      </c>
      <c r="L3437" t="s">
        <v>355</v>
      </c>
      <c r="M3437" t="s">
        <v>356</v>
      </c>
      <c r="N3437" s="73">
        <v>68097</v>
      </c>
      <c r="O3437" s="73">
        <v>68097</v>
      </c>
      <c r="P3437">
        <v>34.681374159610094</v>
      </c>
    </row>
    <row r="3438" spans="1:16" hidden="1" x14ac:dyDescent="0.2">
      <c r="A3438" s="73">
        <v>68097</v>
      </c>
      <c r="B3438" t="s">
        <v>491</v>
      </c>
      <c r="C3438" s="73" t="s">
        <v>492</v>
      </c>
      <c r="D3438" t="s">
        <v>493</v>
      </c>
      <c r="E3438" s="74">
        <v>46160</v>
      </c>
      <c r="F3438" t="s">
        <v>362</v>
      </c>
      <c r="G3438" t="s">
        <v>363</v>
      </c>
      <c r="H3438" s="75">
        <f t="shared" si="53"/>
        <v>277.45099327688075</v>
      </c>
      <c r="I3438" s="74">
        <v>46160</v>
      </c>
      <c r="J3438">
        <v>8</v>
      </c>
      <c r="K3438" t="s">
        <v>517</v>
      </c>
      <c r="L3438" t="s">
        <v>355</v>
      </c>
      <c r="M3438" t="s">
        <v>356</v>
      </c>
      <c r="N3438" s="73">
        <v>68097</v>
      </c>
      <c r="O3438" s="73">
        <v>68097</v>
      </c>
      <c r="P3438">
        <v>34.681374159610094</v>
      </c>
    </row>
    <row r="3439" spans="1:16" hidden="1" x14ac:dyDescent="0.2">
      <c r="A3439" s="73">
        <v>67260</v>
      </c>
      <c r="B3439" t="s">
        <v>423</v>
      </c>
      <c r="C3439" s="73" t="s">
        <v>488</v>
      </c>
      <c r="D3439" t="s">
        <v>489</v>
      </c>
      <c r="E3439" s="74">
        <v>46135</v>
      </c>
      <c r="F3439" t="s">
        <v>414</v>
      </c>
      <c r="G3439" t="s">
        <v>415</v>
      </c>
      <c r="H3439" s="75">
        <f t="shared" si="53"/>
        <v>312.13236743649082</v>
      </c>
      <c r="I3439" s="74">
        <v>46135</v>
      </c>
      <c r="J3439">
        <v>9</v>
      </c>
      <c r="K3439" t="s">
        <v>510</v>
      </c>
      <c r="L3439" t="s">
        <v>262</v>
      </c>
      <c r="M3439" t="s">
        <v>356</v>
      </c>
      <c r="N3439" s="73">
        <v>67260</v>
      </c>
      <c r="O3439" s="73">
        <v>67260</v>
      </c>
      <c r="P3439">
        <v>34.681374159610094</v>
      </c>
    </row>
    <row r="3440" spans="1:16" hidden="1" x14ac:dyDescent="0.2">
      <c r="A3440" s="73">
        <v>68097</v>
      </c>
      <c r="B3440" t="s">
        <v>491</v>
      </c>
      <c r="C3440" s="73" t="s">
        <v>492</v>
      </c>
      <c r="D3440" t="s">
        <v>493</v>
      </c>
      <c r="E3440" s="74">
        <v>46161</v>
      </c>
      <c r="F3440" t="s">
        <v>406</v>
      </c>
      <c r="G3440" t="s">
        <v>407</v>
      </c>
      <c r="H3440" s="75">
        <f t="shared" si="53"/>
        <v>277.45099327688075</v>
      </c>
      <c r="I3440" s="74">
        <v>46161</v>
      </c>
      <c r="J3440">
        <v>8</v>
      </c>
      <c r="K3440" t="s">
        <v>517</v>
      </c>
      <c r="L3440" t="s">
        <v>355</v>
      </c>
      <c r="M3440" t="s">
        <v>356</v>
      </c>
      <c r="N3440" s="73">
        <v>68097</v>
      </c>
      <c r="O3440" s="73">
        <v>68097</v>
      </c>
      <c r="P3440">
        <v>34.681374159610094</v>
      </c>
    </row>
    <row r="3441" spans="1:16" hidden="1" x14ac:dyDescent="0.2">
      <c r="A3441" s="73">
        <v>68097</v>
      </c>
      <c r="B3441" t="s">
        <v>491</v>
      </c>
      <c r="C3441" s="73" t="s">
        <v>492</v>
      </c>
      <c r="D3441" t="s">
        <v>493</v>
      </c>
      <c r="E3441" s="74">
        <v>46161</v>
      </c>
      <c r="F3441" t="s">
        <v>362</v>
      </c>
      <c r="G3441" t="s">
        <v>363</v>
      </c>
      <c r="H3441" s="75">
        <f t="shared" si="53"/>
        <v>277.45099327688075</v>
      </c>
      <c r="I3441" s="74">
        <v>46161</v>
      </c>
      <c r="J3441">
        <v>8</v>
      </c>
      <c r="K3441" t="s">
        <v>517</v>
      </c>
      <c r="L3441" t="s">
        <v>355</v>
      </c>
      <c r="M3441" t="s">
        <v>356</v>
      </c>
      <c r="N3441" s="73">
        <v>68097</v>
      </c>
      <c r="O3441" s="73">
        <v>68097</v>
      </c>
      <c r="P3441">
        <v>34.681374159610094</v>
      </c>
    </row>
    <row r="3442" spans="1:16" hidden="1" x14ac:dyDescent="0.2">
      <c r="A3442" s="73">
        <v>67260</v>
      </c>
      <c r="B3442" t="s">
        <v>423</v>
      </c>
      <c r="C3442" s="73" t="s">
        <v>488</v>
      </c>
      <c r="D3442" t="s">
        <v>489</v>
      </c>
      <c r="E3442" s="74">
        <v>46135</v>
      </c>
      <c r="F3442" t="s">
        <v>414</v>
      </c>
      <c r="G3442" t="s">
        <v>415</v>
      </c>
      <c r="H3442" s="75">
        <f t="shared" si="53"/>
        <v>-312.13236743649082</v>
      </c>
      <c r="I3442" s="74">
        <v>46135</v>
      </c>
      <c r="J3442">
        <v>-9</v>
      </c>
      <c r="K3442" t="s">
        <v>510</v>
      </c>
      <c r="L3442" t="s">
        <v>262</v>
      </c>
      <c r="M3442" t="s">
        <v>356</v>
      </c>
      <c r="N3442" s="73">
        <v>67260</v>
      </c>
      <c r="O3442" s="73">
        <v>67260</v>
      </c>
      <c r="P3442">
        <v>34.681374159610094</v>
      </c>
    </row>
    <row r="3443" spans="1:16" hidden="1" x14ac:dyDescent="0.2">
      <c r="A3443" s="73">
        <v>68097</v>
      </c>
      <c r="B3443" t="s">
        <v>491</v>
      </c>
      <c r="C3443" s="73" t="s">
        <v>492</v>
      </c>
      <c r="D3443" t="s">
        <v>493</v>
      </c>
      <c r="E3443" s="74">
        <v>46162</v>
      </c>
      <c r="F3443" t="s">
        <v>406</v>
      </c>
      <c r="G3443" t="s">
        <v>407</v>
      </c>
      <c r="H3443" s="75">
        <f t="shared" si="53"/>
        <v>277.45099327688075</v>
      </c>
      <c r="I3443" s="74">
        <v>46162</v>
      </c>
      <c r="J3443">
        <v>8</v>
      </c>
      <c r="K3443" t="s">
        <v>517</v>
      </c>
      <c r="L3443" t="s">
        <v>355</v>
      </c>
      <c r="M3443" t="s">
        <v>356</v>
      </c>
      <c r="N3443" s="73">
        <v>68097</v>
      </c>
      <c r="O3443" s="73">
        <v>68097</v>
      </c>
      <c r="P3443">
        <v>34.681374159610094</v>
      </c>
    </row>
    <row r="3444" spans="1:16" hidden="1" x14ac:dyDescent="0.2">
      <c r="A3444" s="73">
        <v>68097</v>
      </c>
      <c r="B3444" t="s">
        <v>491</v>
      </c>
      <c r="C3444" s="73" t="s">
        <v>492</v>
      </c>
      <c r="D3444" t="s">
        <v>493</v>
      </c>
      <c r="E3444" s="74">
        <v>46162</v>
      </c>
      <c r="F3444" t="s">
        <v>362</v>
      </c>
      <c r="G3444" t="s">
        <v>363</v>
      </c>
      <c r="H3444" s="75">
        <f t="shared" si="53"/>
        <v>277.45099327688075</v>
      </c>
      <c r="I3444" s="74">
        <v>46162</v>
      </c>
      <c r="J3444">
        <v>8</v>
      </c>
      <c r="K3444" t="s">
        <v>517</v>
      </c>
      <c r="L3444" t="s">
        <v>355</v>
      </c>
      <c r="M3444" t="s">
        <v>356</v>
      </c>
      <c r="N3444" s="73">
        <v>68097</v>
      </c>
      <c r="O3444" s="73">
        <v>68097</v>
      </c>
      <c r="P3444">
        <v>34.681374159610094</v>
      </c>
    </row>
    <row r="3445" spans="1:16" hidden="1" x14ac:dyDescent="0.2">
      <c r="A3445" s="73">
        <v>68097</v>
      </c>
      <c r="B3445" t="s">
        <v>491</v>
      </c>
      <c r="C3445" s="73" t="s">
        <v>492</v>
      </c>
      <c r="D3445" t="s">
        <v>493</v>
      </c>
      <c r="E3445" s="74">
        <v>46136</v>
      </c>
      <c r="F3445" t="s">
        <v>414</v>
      </c>
      <c r="G3445" t="s">
        <v>415</v>
      </c>
      <c r="H3445" s="75">
        <f t="shared" si="53"/>
        <v>312.13236743649082</v>
      </c>
      <c r="I3445" s="74">
        <v>46136</v>
      </c>
      <c r="J3445">
        <v>9</v>
      </c>
      <c r="K3445" t="s">
        <v>510</v>
      </c>
      <c r="L3445" t="s">
        <v>262</v>
      </c>
      <c r="M3445" t="s">
        <v>356</v>
      </c>
      <c r="N3445" s="73">
        <v>68097</v>
      </c>
      <c r="O3445" s="73">
        <v>68097</v>
      </c>
      <c r="P3445">
        <v>34.681374159610094</v>
      </c>
    </row>
    <row r="3446" spans="1:16" hidden="1" x14ac:dyDescent="0.2">
      <c r="A3446" s="73">
        <v>68097</v>
      </c>
      <c r="B3446" t="s">
        <v>491</v>
      </c>
      <c r="C3446" s="73" t="s">
        <v>492</v>
      </c>
      <c r="D3446" t="s">
        <v>493</v>
      </c>
      <c r="E3446" s="74">
        <v>46163</v>
      </c>
      <c r="F3446" t="s">
        <v>406</v>
      </c>
      <c r="G3446" t="s">
        <v>407</v>
      </c>
      <c r="H3446" s="75">
        <f t="shared" si="53"/>
        <v>277.45099327688075</v>
      </c>
      <c r="I3446" s="74">
        <v>46163</v>
      </c>
      <c r="J3446">
        <v>8</v>
      </c>
      <c r="K3446" t="s">
        <v>517</v>
      </c>
      <c r="L3446" t="s">
        <v>355</v>
      </c>
      <c r="M3446" t="s">
        <v>356</v>
      </c>
      <c r="N3446" s="73">
        <v>68097</v>
      </c>
      <c r="O3446" s="73">
        <v>68097</v>
      </c>
      <c r="P3446">
        <v>34.681374159610094</v>
      </c>
    </row>
    <row r="3447" spans="1:16" hidden="1" x14ac:dyDescent="0.2">
      <c r="A3447" s="73">
        <v>68097</v>
      </c>
      <c r="B3447" t="s">
        <v>491</v>
      </c>
      <c r="C3447" s="73" t="s">
        <v>492</v>
      </c>
      <c r="D3447" t="s">
        <v>493</v>
      </c>
      <c r="E3447" s="74">
        <v>46163</v>
      </c>
      <c r="F3447" t="s">
        <v>362</v>
      </c>
      <c r="G3447" t="s">
        <v>363</v>
      </c>
      <c r="H3447" s="75">
        <f t="shared" si="53"/>
        <v>277.45099327688075</v>
      </c>
      <c r="I3447" s="74">
        <v>46163</v>
      </c>
      <c r="J3447">
        <v>8</v>
      </c>
      <c r="K3447" t="s">
        <v>517</v>
      </c>
      <c r="L3447" t="s">
        <v>355</v>
      </c>
      <c r="M3447" t="s">
        <v>356</v>
      </c>
      <c r="N3447" s="73">
        <v>68097</v>
      </c>
      <c r="O3447" s="73">
        <v>68097</v>
      </c>
      <c r="P3447">
        <v>34.681374159610094</v>
      </c>
    </row>
    <row r="3448" spans="1:16" hidden="1" x14ac:dyDescent="0.2">
      <c r="A3448" s="73">
        <v>67260</v>
      </c>
      <c r="B3448" t="s">
        <v>423</v>
      </c>
      <c r="C3448" s="73" t="s">
        <v>488</v>
      </c>
      <c r="D3448" t="s">
        <v>489</v>
      </c>
      <c r="E3448" s="74">
        <v>46136</v>
      </c>
      <c r="F3448" t="s">
        <v>414</v>
      </c>
      <c r="G3448" t="s">
        <v>415</v>
      </c>
      <c r="H3448" s="75">
        <f t="shared" si="53"/>
        <v>-312.13236743649082</v>
      </c>
      <c r="I3448" s="74">
        <v>46136</v>
      </c>
      <c r="J3448">
        <v>-9</v>
      </c>
      <c r="K3448" t="s">
        <v>510</v>
      </c>
      <c r="L3448" t="s">
        <v>262</v>
      </c>
      <c r="M3448" t="s">
        <v>356</v>
      </c>
      <c r="N3448" s="73">
        <v>67260</v>
      </c>
      <c r="O3448" s="73">
        <v>67260</v>
      </c>
      <c r="P3448">
        <v>34.681374159610094</v>
      </c>
    </row>
    <row r="3449" spans="1:16" hidden="1" x14ac:dyDescent="0.2">
      <c r="A3449" s="73">
        <v>68097</v>
      </c>
      <c r="B3449" t="s">
        <v>491</v>
      </c>
      <c r="C3449" s="73" t="s">
        <v>492</v>
      </c>
      <c r="D3449" t="s">
        <v>493</v>
      </c>
      <c r="E3449" s="74">
        <v>46164</v>
      </c>
      <c r="F3449" t="s">
        <v>406</v>
      </c>
      <c r="G3449" t="s">
        <v>407</v>
      </c>
      <c r="H3449" s="75">
        <f t="shared" si="53"/>
        <v>277.45099327688075</v>
      </c>
      <c r="I3449" s="74">
        <v>46164</v>
      </c>
      <c r="J3449">
        <v>8</v>
      </c>
      <c r="K3449" t="s">
        <v>517</v>
      </c>
      <c r="L3449" t="s">
        <v>355</v>
      </c>
      <c r="M3449" t="s">
        <v>356</v>
      </c>
      <c r="N3449" s="73">
        <v>68097</v>
      </c>
      <c r="O3449" s="73">
        <v>68097</v>
      </c>
      <c r="P3449">
        <v>34.681374159610094</v>
      </c>
    </row>
    <row r="3450" spans="1:16" hidden="1" x14ac:dyDescent="0.2">
      <c r="A3450" s="73">
        <v>68097</v>
      </c>
      <c r="B3450" t="s">
        <v>491</v>
      </c>
      <c r="C3450" s="73" t="s">
        <v>492</v>
      </c>
      <c r="D3450" t="s">
        <v>493</v>
      </c>
      <c r="E3450" s="74">
        <v>46164</v>
      </c>
      <c r="F3450" t="s">
        <v>362</v>
      </c>
      <c r="G3450" t="s">
        <v>363</v>
      </c>
      <c r="H3450" s="75">
        <f t="shared" si="53"/>
        <v>277.45099327688075</v>
      </c>
      <c r="I3450" s="74">
        <v>46164</v>
      </c>
      <c r="J3450">
        <v>8</v>
      </c>
      <c r="K3450" t="s">
        <v>517</v>
      </c>
      <c r="L3450" t="s">
        <v>355</v>
      </c>
      <c r="M3450" t="s">
        <v>356</v>
      </c>
      <c r="N3450" s="73">
        <v>68097</v>
      </c>
      <c r="O3450" s="73">
        <v>68097</v>
      </c>
      <c r="P3450">
        <v>34.681374159610094</v>
      </c>
    </row>
    <row r="3451" spans="1:16" hidden="1" x14ac:dyDescent="0.2">
      <c r="A3451" s="73">
        <v>67260</v>
      </c>
      <c r="B3451" t="s">
        <v>423</v>
      </c>
      <c r="C3451" s="73" t="s">
        <v>488</v>
      </c>
      <c r="D3451" t="s">
        <v>489</v>
      </c>
      <c r="E3451" s="74">
        <v>46136</v>
      </c>
      <c r="F3451" t="s">
        <v>414</v>
      </c>
      <c r="G3451" t="s">
        <v>415</v>
      </c>
      <c r="H3451" s="75">
        <f t="shared" si="53"/>
        <v>312.13236743649082</v>
      </c>
      <c r="I3451" s="74">
        <v>46136</v>
      </c>
      <c r="J3451">
        <v>9</v>
      </c>
      <c r="K3451" t="s">
        <v>510</v>
      </c>
      <c r="L3451" t="s">
        <v>262</v>
      </c>
      <c r="M3451" t="s">
        <v>356</v>
      </c>
      <c r="N3451" s="73">
        <v>67260</v>
      </c>
      <c r="O3451" s="73">
        <v>67260</v>
      </c>
      <c r="P3451">
        <v>34.681374159610094</v>
      </c>
    </row>
    <row r="3452" spans="1:16" hidden="1" x14ac:dyDescent="0.2">
      <c r="A3452" s="73">
        <v>68097</v>
      </c>
      <c r="B3452" t="s">
        <v>491</v>
      </c>
      <c r="C3452" s="73" t="s">
        <v>492</v>
      </c>
      <c r="D3452" t="s">
        <v>493</v>
      </c>
      <c r="E3452" s="74">
        <v>46139</v>
      </c>
      <c r="F3452" t="s">
        <v>414</v>
      </c>
      <c r="G3452" t="s">
        <v>415</v>
      </c>
      <c r="H3452" s="75">
        <f t="shared" si="53"/>
        <v>312.13236743649082</v>
      </c>
      <c r="I3452" s="74">
        <v>46139</v>
      </c>
      <c r="J3452">
        <v>9</v>
      </c>
      <c r="K3452" t="s">
        <v>510</v>
      </c>
      <c r="L3452" t="s">
        <v>262</v>
      </c>
      <c r="M3452" t="s">
        <v>356</v>
      </c>
      <c r="N3452" s="73">
        <v>68097</v>
      </c>
      <c r="O3452" s="73">
        <v>68097</v>
      </c>
      <c r="P3452">
        <v>34.681374159610094</v>
      </c>
    </row>
    <row r="3453" spans="1:16" hidden="1" x14ac:dyDescent="0.2">
      <c r="A3453" s="73">
        <v>68097</v>
      </c>
      <c r="B3453" t="s">
        <v>491</v>
      </c>
      <c r="C3453" s="73" t="s">
        <v>492</v>
      </c>
      <c r="D3453" t="s">
        <v>493</v>
      </c>
      <c r="E3453" s="74">
        <v>46167</v>
      </c>
      <c r="F3453" t="s">
        <v>406</v>
      </c>
      <c r="G3453" t="s">
        <v>407</v>
      </c>
      <c r="H3453" s="75">
        <f t="shared" si="53"/>
        <v>277.45099327688075</v>
      </c>
      <c r="I3453" s="74">
        <v>46167</v>
      </c>
      <c r="J3453">
        <v>8</v>
      </c>
      <c r="K3453" t="s">
        <v>517</v>
      </c>
      <c r="L3453" t="s">
        <v>355</v>
      </c>
      <c r="M3453" t="s">
        <v>356</v>
      </c>
      <c r="N3453" s="73">
        <v>68097</v>
      </c>
      <c r="O3453" s="73">
        <v>68097</v>
      </c>
      <c r="P3453">
        <v>34.681374159610094</v>
      </c>
    </row>
    <row r="3454" spans="1:16" hidden="1" x14ac:dyDescent="0.2">
      <c r="A3454" s="73">
        <v>68097</v>
      </c>
      <c r="B3454" t="s">
        <v>491</v>
      </c>
      <c r="C3454" s="73" t="s">
        <v>492</v>
      </c>
      <c r="D3454" t="s">
        <v>493</v>
      </c>
      <c r="E3454" s="74">
        <v>46140</v>
      </c>
      <c r="F3454" t="s">
        <v>414</v>
      </c>
      <c r="G3454" t="s">
        <v>415</v>
      </c>
      <c r="H3454" s="75">
        <f t="shared" si="53"/>
        <v>312.13236743649082</v>
      </c>
      <c r="I3454" s="74">
        <v>46140</v>
      </c>
      <c r="J3454">
        <v>9</v>
      </c>
      <c r="K3454" t="s">
        <v>510</v>
      </c>
      <c r="L3454" t="s">
        <v>262</v>
      </c>
      <c r="M3454" t="s">
        <v>356</v>
      </c>
      <c r="N3454" s="73">
        <v>68097</v>
      </c>
      <c r="O3454" s="73">
        <v>68097</v>
      </c>
      <c r="P3454">
        <v>34.681374159610094</v>
      </c>
    </row>
    <row r="3455" spans="1:16" hidden="1" x14ac:dyDescent="0.2">
      <c r="A3455" s="73">
        <v>68097</v>
      </c>
      <c r="B3455" t="s">
        <v>491</v>
      </c>
      <c r="C3455" s="73" t="s">
        <v>492</v>
      </c>
      <c r="D3455" t="s">
        <v>493</v>
      </c>
      <c r="E3455" s="74">
        <v>46141</v>
      </c>
      <c r="F3455" t="s">
        <v>414</v>
      </c>
      <c r="G3455" t="s">
        <v>415</v>
      </c>
      <c r="H3455" s="75">
        <f t="shared" si="53"/>
        <v>312.13236743649082</v>
      </c>
      <c r="I3455" s="74">
        <v>46141</v>
      </c>
      <c r="J3455">
        <v>9</v>
      </c>
      <c r="K3455" t="s">
        <v>510</v>
      </c>
      <c r="L3455" t="s">
        <v>262</v>
      </c>
      <c r="M3455" t="s">
        <v>356</v>
      </c>
      <c r="N3455" s="73">
        <v>68097</v>
      </c>
      <c r="O3455" s="73">
        <v>68097</v>
      </c>
      <c r="P3455">
        <v>34.681374159610094</v>
      </c>
    </row>
    <row r="3456" spans="1:16" hidden="1" x14ac:dyDescent="0.2">
      <c r="A3456" s="73">
        <v>68097</v>
      </c>
      <c r="B3456" t="s">
        <v>491</v>
      </c>
      <c r="C3456" s="73" t="s">
        <v>492</v>
      </c>
      <c r="D3456" t="s">
        <v>493</v>
      </c>
      <c r="E3456" s="74">
        <v>46142</v>
      </c>
      <c r="F3456" t="s">
        <v>414</v>
      </c>
      <c r="G3456" t="s">
        <v>415</v>
      </c>
      <c r="H3456" s="75">
        <f t="shared" si="53"/>
        <v>312.13236743649082</v>
      </c>
      <c r="I3456" s="74">
        <v>46142</v>
      </c>
      <c r="J3456">
        <v>9</v>
      </c>
      <c r="K3456" t="s">
        <v>510</v>
      </c>
      <c r="L3456" t="s">
        <v>262</v>
      </c>
      <c r="M3456" t="s">
        <v>356</v>
      </c>
      <c r="N3456" s="73">
        <v>68097</v>
      </c>
      <c r="O3456" s="73">
        <v>68097</v>
      </c>
      <c r="P3456">
        <v>34.681374159610094</v>
      </c>
    </row>
    <row r="3457" spans="1:16" hidden="1" x14ac:dyDescent="0.2">
      <c r="A3457" s="73">
        <v>68097</v>
      </c>
      <c r="B3457" t="s">
        <v>491</v>
      </c>
      <c r="C3457" s="73" t="s">
        <v>492</v>
      </c>
      <c r="D3457" t="s">
        <v>493</v>
      </c>
      <c r="E3457" s="74">
        <v>46170</v>
      </c>
      <c r="F3457" t="s">
        <v>362</v>
      </c>
      <c r="G3457" t="s">
        <v>363</v>
      </c>
      <c r="H3457" s="75">
        <f t="shared" si="53"/>
        <v>277.45099327688075</v>
      </c>
      <c r="I3457" s="74">
        <v>46170</v>
      </c>
      <c r="J3457">
        <v>8</v>
      </c>
      <c r="K3457" t="s">
        <v>517</v>
      </c>
      <c r="L3457" t="s">
        <v>355</v>
      </c>
      <c r="M3457" t="s">
        <v>356</v>
      </c>
      <c r="N3457" s="73">
        <v>68097</v>
      </c>
      <c r="O3457" s="73">
        <v>68097</v>
      </c>
      <c r="P3457">
        <v>34.681374159610094</v>
      </c>
    </row>
    <row r="3458" spans="1:16" hidden="1" x14ac:dyDescent="0.2">
      <c r="A3458" s="73">
        <v>68097</v>
      </c>
      <c r="B3458" t="s">
        <v>491</v>
      </c>
      <c r="C3458" s="73" t="s">
        <v>492</v>
      </c>
      <c r="D3458" t="s">
        <v>493</v>
      </c>
      <c r="E3458" s="74">
        <v>46143</v>
      </c>
      <c r="F3458" t="s">
        <v>414</v>
      </c>
      <c r="G3458" t="s">
        <v>415</v>
      </c>
      <c r="H3458" s="75">
        <f t="shared" ref="H3458:H3521" si="54">J3458*P3458</f>
        <v>312.13236743649082</v>
      </c>
      <c r="I3458" s="74">
        <v>46143</v>
      </c>
      <c r="J3458">
        <v>9</v>
      </c>
      <c r="K3458" t="s">
        <v>517</v>
      </c>
      <c r="L3458" t="s">
        <v>262</v>
      </c>
      <c r="M3458" t="s">
        <v>356</v>
      </c>
      <c r="N3458" s="73">
        <v>68097</v>
      </c>
      <c r="O3458" s="73">
        <v>68097</v>
      </c>
      <c r="P3458">
        <v>34.681374159610094</v>
      </c>
    </row>
    <row r="3459" spans="1:16" hidden="1" x14ac:dyDescent="0.2">
      <c r="A3459" s="73">
        <v>68097</v>
      </c>
      <c r="B3459" t="s">
        <v>491</v>
      </c>
      <c r="C3459" s="73" t="s">
        <v>492</v>
      </c>
      <c r="D3459" t="s">
        <v>493</v>
      </c>
      <c r="E3459" s="74">
        <v>46171</v>
      </c>
      <c r="F3459" t="s">
        <v>362</v>
      </c>
      <c r="G3459" t="s">
        <v>363</v>
      </c>
      <c r="H3459" s="75">
        <f t="shared" si="54"/>
        <v>277.45099327688075</v>
      </c>
      <c r="I3459" s="74">
        <v>46171</v>
      </c>
      <c r="J3459">
        <v>8</v>
      </c>
      <c r="K3459" t="s">
        <v>517</v>
      </c>
      <c r="L3459" t="s">
        <v>355</v>
      </c>
      <c r="M3459" t="s">
        <v>356</v>
      </c>
      <c r="N3459" s="73">
        <v>68097</v>
      </c>
      <c r="O3459" s="73">
        <v>68097</v>
      </c>
      <c r="P3459">
        <v>34.681374159610094</v>
      </c>
    </row>
    <row r="3460" spans="1:16" hidden="1" x14ac:dyDescent="0.2">
      <c r="A3460" s="73">
        <v>68097</v>
      </c>
      <c r="B3460" t="s">
        <v>491</v>
      </c>
      <c r="C3460" s="73" t="s">
        <v>492</v>
      </c>
      <c r="D3460" t="s">
        <v>493</v>
      </c>
      <c r="E3460" s="74">
        <v>46174</v>
      </c>
      <c r="F3460" t="s">
        <v>398</v>
      </c>
      <c r="G3460" t="s">
        <v>399</v>
      </c>
      <c r="H3460" s="75">
        <f t="shared" si="54"/>
        <v>242.76961911727065</v>
      </c>
      <c r="I3460" s="74">
        <v>46174</v>
      </c>
      <c r="J3460">
        <v>7</v>
      </c>
      <c r="K3460" t="s">
        <v>518</v>
      </c>
      <c r="L3460" t="s">
        <v>367</v>
      </c>
      <c r="M3460" t="s">
        <v>356</v>
      </c>
      <c r="N3460" s="73">
        <v>68097</v>
      </c>
      <c r="O3460" s="73">
        <v>68097</v>
      </c>
      <c r="P3460">
        <v>34.681374159610094</v>
      </c>
    </row>
    <row r="3461" spans="1:16" hidden="1" x14ac:dyDescent="0.2">
      <c r="A3461" s="73">
        <v>68097</v>
      </c>
      <c r="B3461" t="s">
        <v>491</v>
      </c>
      <c r="C3461" s="73" t="s">
        <v>492</v>
      </c>
      <c r="D3461" t="s">
        <v>493</v>
      </c>
      <c r="E3461" s="74">
        <v>46174</v>
      </c>
      <c r="F3461" t="s">
        <v>362</v>
      </c>
      <c r="G3461" t="s">
        <v>363</v>
      </c>
      <c r="H3461" s="75">
        <f t="shared" si="54"/>
        <v>277.45099327688075</v>
      </c>
      <c r="I3461" s="74">
        <v>46174</v>
      </c>
      <c r="J3461">
        <v>8</v>
      </c>
      <c r="K3461" t="s">
        <v>518</v>
      </c>
      <c r="L3461" t="s">
        <v>355</v>
      </c>
      <c r="M3461" t="s">
        <v>356</v>
      </c>
      <c r="N3461" s="73">
        <v>68097</v>
      </c>
      <c r="O3461" s="73">
        <v>68097</v>
      </c>
      <c r="P3461">
        <v>34.681374159610094</v>
      </c>
    </row>
    <row r="3462" spans="1:16" hidden="1" x14ac:dyDescent="0.2">
      <c r="A3462" s="73">
        <v>68097</v>
      </c>
      <c r="B3462" t="s">
        <v>491</v>
      </c>
      <c r="C3462" s="73" t="s">
        <v>492</v>
      </c>
      <c r="D3462" t="s">
        <v>493</v>
      </c>
      <c r="E3462" s="74">
        <v>46175</v>
      </c>
      <c r="F3462" t="s">
        <v>398</v>
      </c>
      <c r="G3462" t="s">
        <v>399</v>
      </c>
      <c r="H3462" s="75">
        <f t="shared" si="54"/>
        <v>242.76961911727065</v>
      </c>
      <c r="I3462" s="74">
        <v>46175</v>
      </c>
      <c r="J3462">
        <v>7</v>
      </c>
      <c r="K3462" t="s">
        <v>518</v>
      </c>
      <c r="L3462" t="s">
        <v>367</v>
      </c>
      <c r="M3462" t="s">
        <v>356</v>
      </c>
      <c r="N3462" s="73">
        <v>68097</v>
      </c>
      <c r="O3462" s="73">
        <v>68097</v>
      </c>
      <c r="P3462">
        <v>34.681374159610094</v>
      </c>
    </row>
    <row r="3463" spans="1:16" hidden="1" x14ac:dyDescent="0.2">
      <c r="A3463" s="73">
        <v>68097</v>
      </c>
      <c r="B3463" t="s">
        <v>491</v>
      </c>
      <c r="C3463" s="73" t="s">
        <v>492</v>
      </c>
      <c r="D3463" t="s">
        <v>493</v>
      </c>
      <c r="E3463" s="74">
        <v>46175</v>
      </c>
      <c r="F3463" t="s">
        <v>362</v>
      </c>
      <c r="G3463" t="s">
        <v>363</v>
      </c>
      <c r="H3463" s="75">
        <f t="shared" si="54"/>
        <v>277.45099327688075</v>
      </c>
      <c r="I3463" s="74">
        <v>46175</v>
      </c>
      <c r="J3463">
        <v>8</v>
      </c>
      <c r="K3463" t="s">
        <v>518</v>
      </c>
      <c r="L3463" t="s">
        <v>355</v>
      </c>
      <c r="M3463" t="s">
        <v>356</v>
      </c>
      <c r="N3463" s="73">
        <v>68097</v>
      </c>
      <c r="O3463" s="73">
        <v>68097</v>
      </c>
      <c r="P3463">
        <v>34.681374159610094</v>
      </c>
    </row>
    <row r="3464" spans="1:16" hidden="1" x14ac:dyDescent="0.2">
      <c r="A3464" s="73">
        <v>68097</v>
      </c>
      <c r="B3464" t="s">
        <v>491</v>
      </c>
      <c r="C3464" s="73" t="s">
        <v>492</v>
      </c>
      <c r="D3464" t="s">
        <v>493</v>
      </c>
      <c r="E3464" s="74">
        <v>46176</v>
      </c>
      <c r="F3464" t="s">
        <v>398</v>
      </c>
      <c r="G3464" t="s">
        <v>399</v>
      </c>
      <c r="H3464" s="75">
        <f t="shared" si="54"/>
        <v>242.76961911727065</v>
      </c>
      <c r="I3464" s="74">
        <v>46176</v>
      </c>
      <c r="J3464">
        <v>7</v>
      </c>
      <c r="K3464" t="s">
        <v>518</v>
      </c>
      <c r="L3464" t="s">
        <v>367</v>
      </c>
      <c r="M3464" t="s">
        <v>356</v>
      </c>
      <c r="N3464" s="73">
        <v>68097</v>
      </c>
      <c r="O3464" s="73">
        <v>68097</v>
      </c>
      <c r="P3464">
        <v>34.681374159610094</v>
      </c>
    </row>
    <row r="3465" spans="1:16" hidden="1" x14ac:dyDescent="0.2">
      <c r="A3465" s="73">
        <v>68097</v>
      </c>
      <c r="B3465" t="s">
        <v>491</v>
      </c>
      <c r="C3465" s="73" t="s">
        <v>492</v>
      </c>
      <c r="D3465" t="s">
        <v>493</v>
      </c>
      <c r="E3465" s="74">
        <v>46176</v>
      </c>
      <c r="F3465" t="s">
        <v>362</v>
      </c>
      <c r="G3465" t="s">
        <v>363</v>
      </c>
      <c r="H3465" s="75">
        <f t="shared" si="54"/>
        <v>277.45099327688075</v>
      </c>
      <c r="I3465" s="74">
        <v>46176</v>
      </c>
      <c r="J3465">
        <v>8</v>
      </c>
      <c r="K3465" t="s">
        <v>518</v>
      </c>
      <c r="L3465" t="s">
        <v>355</v>
      </c>
      <c r="M3465" t="s">
        <v>356</v>
      </c>
      <c r="N3465" s="73">
        <v>68097</v>
      </c>
      <c r="O3465" s="73">
        <v>68097</v>
      </c>
      <c r="P3465">
        <v>34.681374159610094</v>
      </c>
    </row>
    <row r="3466" spans="1:16" hidden="1" x14ac:dyDescent="0.2">
      <c r="A3466" s="73">
        <v>68097</v>
      </c>
      <c r="B3466" t="s">
        <v>491</v>
      </c>
      <c r="C3466" s="73" t="s">
        <v>492</v>
      </c>
      <c r="D3466" t="s">
        <v>493</v>
      </c>
      <c r="E3466" s="74">
        <v>46177</v>
      </c>
      <c r="F3466" t="s">
        <v>398</v>
      </c>
      <c r="G3466" t="s">
        <v>399</v>
      </c>
      <c r="H3466" s="75">
        <f t="shared" si="54"/>
        <v>242.76961911727065</v>
      </c>
      <c r="I3466" s="74">
        <v>46177</v>
      </c>
      <c r="J3466">
        <v>7</v>
      </c>
      <c r="K3466" t="s">
        <v>518</v>
      </c>
      <c r="L3466" t="s">
        <v>367</v>
      </c>
      <c r="M3466" t="s">
        <v>356</v>
      </c>
      <c r="N3466" s="73">
        <v>68097</v>
      </c>
      <c r="O3466" s="73">
        <v>68097</v>
      </c>
      <c r="P3466">
        <v>34.681374159610094</v>
      </c>
    </row>
    <row r="3467" spans="1:16" hidden="1" x14ac:dyDescent="0.2">
      <c r="A3467" s="73">
        <v>68097</v>
      </c>
      <c r="B3467" t="s">
        <v>491</v>
      </c>
      <c r="C3467" s="73" t="s">
        <v>492</v>
      </c>
      <c r="D3467" t="s">
        <v>493</v>
      </c>
      <c r="E3467" s="74">
        <v>46177</v>
      </c>
      <c r="F3467" t="s">
        <v>362</v>
      </c>
      <c r="G3467" t="s">
        <v>363</v>
      </c>
      <c r="H3467" s="75">
        <f t="shared" si="54"/>
        <v>277.45099327688075</v>
      </c>
      <c r="I3467" s="74">
        <v>46177</v>
      </c>
      <c r="J3467">
        <v>8</v>
      </c>
      <c r="K3467" t="s">
        <v>518</v>
      </c>
      <c r="L3467" t="s">
        <v>355</v>
      </c>
      <c r="M3467" t="s">
        <v>356</v>
      </c>
      <c r="N3467" s="73">
        <v>68097</v>
      </c>
      <c r="O3467" s="73">
        <v>68097</v>
      </c>
      <c r="P3467">
        <v>34.681374159610094</v>
      </c>
    </row>
    <row r="3468" spans="1:16" hidden="1" x14ac:dyDescent="0.2">
      <c r="A3468" s="73">
        <v>68097</v>
      </c>
      <c r="B3468" t="s">
        <v>491</v>
      </c>
      <c r="C3468" s="73" t="s">
        <v>492</v>
      </c>
      <c r="D3468" t="s">
        <v>493</v>
      </c>
      <c r="E3468" s="74">
        <v>46178</v>
      </c>
      <c r="F3468" t="s">
        <v>398</v>
      </c>
      <c r="G3468" t="s">
        <v>399</v>
      </c>
      <c r="H3468" s="75">
        <f t="shared" si="54"/>
        <v>242.76961911727065</v>
      </c>
      <c r="I3468" s="74">
        <v>46178</v>
      </c>
      <c r="J3468">
        <v>7</v>
      </c>
      <c r="K3468" t="s">
        <v>518</v>
      </c>
      <c r="L3468" t="s">
        <v>367</v>
      </c>
      <c r="M3468" t="s">
        <v>356</v>
      </c>
      <c r="N3468" s="73">
        <v>68097</v>
      </c>
      <c r="O3468" s="73">
        <v>68097</v>
      </c>
      <c r="P3468">
        <v>34.681374159610094</v>
      </c>
    </row>
    <row r="3469" spans="1:16" hidden="1" x14ac:dyDescent="0.2">
      <c r="A3469" s="73">
        <v>68097</v>
      </c>
      <c r="B3469" t="s">
        <v>491</v>
      </c>
      <c r="C3469" s="73" t="s">
        <v>492</v>
      </c>
      <c r="D3469" t="s">
        <v>493</v>
      </c>
      <c r="E3469" s="74">
        <v>46178</v>
      </c>
      <c r="F3469" t="s">
        <v>362</v>
      </c>
      <c r="G3469" t="s">
        <v>363</v>
      </c>
      <c r="H3469" s="75">
        <f t="shared" si="54"/>
        <v>277.45099327688075</v>
      </c>
      <c r="I3469" s="74">
        <v>46178</v>
      </c>
      <c r="J3469">
        <v>8</v>
      </c>
      <c r="K3469" t="s">
        <v>518</v>
      </c>
      <c r="L3469" t="s">
        <v>355</v>
      </c>
      <c r="M3469" t="s">
        <v>356</v>
      </c>
      <c r="N3469" s="73">
        <v>68097</v>
      </c>
      <c r="O3469" s="73">
        <v>68097</v>
      </c>
      <c r="P3469">
        <v>34.681374159610094</v>
      </c>
    </row>
    <row r="3470" spans="1:16" hidden="1" x14ac:dyDescent="0.2">
      <c r="A3470" s="73">
        <v>68097</v>
      </c>
      <c r="B3470" t="s">
        <v>491</v>
      </c>
      <c r="C3470" s="73" t="s">
        <v>492</v>
      </c>
      <c r="D3470" t="s">
        <v>493</v>
      </c>
      <c r="E3470" s="74">
        <v>46143</v>
      </c>
      <c r="F3470" t="s">
        <v>414</v>
      </c>
      <c r="G3470" t="s">
        <v>415</v>
      </c>
      <c r="H3470" s="75">
        <f t="shared" si="54"/>
        <v>-312.13236743649082</v>
      </c>
      <c r="I3470" s="74">
        <v>46143</v>
      </c>
      <c r="J3470">
        <v>-9</v>
      </c>
      <c r="K3470" t="s">
        <v>517</v>
      </c>
      <c r="L3470" t="s">
        <v>262</v>
      </c>
      <c r="M3470" t="s">
        <v>356</v>
      </c>
      <c r="N3470" s="73">
        <v>68097</v>
      </c>
      <c r="O3470" s="73">
        <v>68097</v>
      </c>
      <c r="P3470">
        <v>34.681374159610094</v>
      </c>
    </row>
    <row r="3471" spans="1:16" hidden="1" x14ac:dyDescent="0.2">
      <c r="A3471" s="73">
        <v>68097</v>
      </c>
      <c r="B3471" t="s">
        <v>491</v>
      </c>
      <c r="C3471" s="73" t="s">
        <v>492</v>
      </c>
      <c r="D3471" t="s">
        <v>493</v>
      </c>
      <c r="E3471" s="74">
        <v>46146</v>
      </c>
      <c r="F3471" t="s">
        <v>414</v>
      </c>
      <c r="G3471" t="s">
        <v>415</v>
      </c>
      <c r="H3471" s="75">
        <f t="shared" si="54"/>
        <v>277.45099327688075</v>
      </c>
      <c r="I3471" s="74">
        <v>46146</v>
      </c>
      <c r="J3471">
        <v>8</v>
      </c>
      <c r="K3471" t="s">
        <v>517</v>
      </c>
      <c r="L3471" t="s">
        <v>262</v>
      </c>
      <c r="M3471" t="s">
        <v>356</v>
      </c>
      <c r="N3471" s="73">
        <v>68097</v>
      </c>
      <c r="O3471" s="73">
        <v>68097</v>
      </c>
      <c r="P3471">
        <v>34.681374159610094</v>
      </c>
    </row>
    <row r="3472" spans="1:16" hidden="1" x14ac:dyDescent="0.2">
      <c r="A3472" s="73">
        <v>68097</v>
      </c>
      <c r="B3472" t="s">
        <v>491</v>
      </c>
      <c r="C3472" s="73" t="s">
        <v>492</v>
      </c>
      <c r="D3472" t="s">
        <v>493</v>
      </c>
      <c r="E3472" s="74">
        <v>46181</v>
      </c>
      <c r="F3472" t="s">
        <v>398</v>
      </c>
      <c r="G3472" t="s">
        <v>399</v>
      </c>
      <c r="H3472" s="75">
        <f t="shared" si="54"/>
        <v>277.45099327688075</v>
      </c>
      <c r="I3472" s="74">
        <v>46181</v>
      </c>
      <c r="J3472">
        <v>8</v>
      </c>
      <c r="K3472" t="s">
        <v>518</v>
      </c>
      <c r="L3472" t="s">
        <v>367</v>
      </c>
      <c r="M3472" t="s">
        <v>356</v>
      </c>
      <c r="N3472" s="73">
        <v>68097</v>
      </c>
      <c r="O3472" s="73">
        <v>68097</v>
      </c>
      <c r="P3472">
        <v>34.681374159610094</v>
      </c>
    </row>
    <row r="3473" spans="1:16" hidden="1" x14ac:dyDescent="0.2">
      <c r="A3473" s="73">
        <v>68097</v>
      </c>
      <c r="B3473" t="s">
        <v>491</v>
      </c>
      <c r="C3473" s="73" t="s">
        <v>492</v>
      </c>
      <c r="D3473" t="s">
        <v>493</v>
      </c>
      <c r="E3473" s="74">
        <v>46147</v>
      </c>
      <c r="F3473" t="s">
        <v>414</v>
      </c>
      <c r="G3473" t="s">
        <v>415</v>
      </c>
      <c r="H3473" s="75">
        <f t="shared" si="54"/>
        <v>277.45099327688075</v>
      </c>
      <c r="I3473" s="74">
        <v>46147</v>
      </c>
      <c r="J3473">
        <v>8</v>
      </c>
      <c r="K3473" t="s">
        <v>517</v>
      </c>
      <c r="L3473" t="s">
        <v>262</v>
      </c>
      <c r="M3473" t="s">
        <v>356</v>
      </c>
      <c r="N3473" s="73">
        <v>68097</v>
      </c>
      <c r="O3473" s="73">
        <v>68097</v>
      </c>
      <c r="P3473">
        <v>34.681374159610094</v>
      </c>
    </row>
    <row r="3474" spans="1:16" hidden="1" x14ac:dyDescent="0.2">
      <c r="A3474" s="73">
        <v>68097</v>
      </c>
      <c r="B3474" t="s">
        <v>491</v>
      </c>
      <c r="C3474" s="73" t="s">
        <v>492</v>
      </c>
      <c r="D3474" t="s">
        <v>493</v>
      </c>
      <c r="E3474" s="74">
        <v>46181</v>
      </c>
      <c r="F3474" t="s">
        <v>362</v>
      </c>
      <c r="G3474" t="s">
        <v>363</v>
      </c>
      <c r="H3474" s="75">
        <f t="shared" si="54"/>
        <v>277.45099327688075</v>
      </c>
      <c r="I3474" s="74">
        <v>46181</v>
      </c>
      <c r="J3474">
        <v>8</v>
      </c>
      <c r="K3474" t="s">
        <v>518</v>
      </c>
      <c r="L3474" t="s">
        <v>355</v>
      </c>
      <c r="M3474" t="s">
        <v>356</v>
      </c>
      <c r="N3474" s="73">
        <v>68097</v>
      </c>
      <c r="O3474" s="73">
        <v>68097</v>
      </c>
      <c r="P3474">
        <v>34.681374159610094</v>
      </c>
    </row>
    <row r="3475" spans="1:16" hidden="1" x14ac:dyDescent="0.2">
      <c r="A3475" s="73">
        <v>68097</v>
      </c>
      <c r="B3475" t="s">
        <v>491</v>
      </c>
      <c r="C3475" s="73" t="s">
        <v>492</v>
      </c>
      <c r="D3475" t="s">
        <v>493</v>
      </c>
      <c r="E3475" s="74">
        <v>46182</v>
      </c>
      <c r="F3475" t="s">
        <v>398</v>
      </c>
      <c r="G3475" t="s">
        <v>399</v>
      </c>
      <c r="H3475" s="75">
        <f t="shared" si="54"/>
        <v>277.45099327688075</v>
      </c>
      <c r="I3475" s="74">
        <v>46182</v>
      </c>
      <c r="J3475">
        <v>8</v>
      </c>
      <c r="K3475" t="s">
        <v>518</v>
      </c>
      <c r="L3475" t="s">
        <v>367</v>
      </c>
      <c r="M3475" t="s">
        <v>356</v>
      </c>
      <c r="N3475" s="73">
        <v>68097</v>
      </c>
      <c r="O3475" s="73">
        <v>68097</v>
      </c>
      <c r="P3475">
        <v>34.681374159610094</v>
      </c>
    </row>
    <row r="3476" spans="1:16" hidden="1" x14ac:dyDescent="0.2">
      <c r="A3476" s="73">
        <v>68097</v>
      </c>
      <c r="B3476" t="s">
        <v>491</v>
      </c>
      <c r="C3476" s="73" t="s">
        <v>492</v>
      </c>
      <c r="D3476" t="s">
        <v>493</v>
      </c>
      <c r="E3476" s="74">
        <v>46148</v>
      </c>
      <c r="F3476" t="s">
        <v>414</v>
      </c>
      <c r="G3476" t="s">
        <v>415</v>
      </c>
      <c r="H3476" s="75">
        <f t="shared" si="54"/>
        <v>277.45099327688075</v>
      </c>
      <c r="I3476" s="74">
        <v>46148</v>
      </c>
      <c r="J3476">
        <v>8</v>
      </c>
      <c r="K3476" t="s">
        <v>517</v>
      </c>
      <c r="L3476" t="s">
        <v>262</v>
      </c>
      <c r="M3476" t="s">
        <v>356</v>
      </c>
      <c r="N3476" s="73">
        <v>68097</v>
      </c>
      <c r="O3476" s="73">
        <v>68097</v>
      </c>
      <c r="P3476">
        <v>34.681374159610094</v>
      </c>
    </row>
    <row r="3477" spans="1:16" hidden="1" x14ac:dyDescent="0.2">
      <c r="A3477" s="73">
        <v>68097</v>
      </c>
      <c r="B3477" t="s">
        <v>491</v>
      </c>
      <c r="C3477" s="73" t="s">
        <v>492</v>
      </c>
      <c r="D3477" t="s">
        <v>493</v>
      </c>
      <c r="E3477" s="74">
        <v>46182</v>
      </c>
      <c r="F3477" t="s">
        <v>362</v>
      </c>
      <c r="G3477" t="s">
        <v>363</v>
      </c>
      <c r="H3477" s="75">
        <f t="shared" si="54"/>
        <v>277.45099327688075</v>
      </c>
      <c r="I3477" s="74">
        <v>46182</v>
      </c>
      <c r="J3477">
        <v>8</v>
      </c>
      <c r="K3477" t="s">
        <v>518</v>
      </c>
      <c r="L3477" t="s">
        <v>355</v>
      </c>
      <c r="M3477" t="s">
        <v>356</v>
      </c>
      <c r="N3477" s="73">
        <v>68097</v>
      </c>
      <c r="O3477" s="73">
        <v>68097</v>
      </c>
      <c r="P3477">
        <v>34.681374159610094</v>
      </c>
    </row>
    <row r="3478" spans="1:16" hidden="1" x14ac:dyDescent="0.2">
      <c r="A3478" s="73">
        <v>68097</v>
      </c>
      <c r="B3478" t="s">
        <v>491</v>
      </c>
      <c r="C3478" s="73" t="s">
        <v>492</v>
      </c>
      <c r="D3478" t="s">
        <v>493</v>
      </c>
      <c r="E3478" s="74">
        <v>46149</v>
      </c>
      <c r="F3478" t="s">
        <v>414</v>
      </c>
      <c r="G3478" t="s">
        <v>415</v>
      </c>
      <c r="H3478" s="75">
        <f t="shared" si="54"/>
        <v>277.45099327688075</v>
      </c>
      <c r="I3478" s="74">
        <v>46149</v>
      </c>
      <c r="J3478">
        <v>8</v>
      </c>
      <c r="K3478" t="s">
        <v>517</v>
      </c>
      <c r="L3478" t="s">
        <v>262</v>
      </c>
      <c r="M3478" t="s">
        <v>356</v>
      </c>
      <c r="N3478" s="73">
        <v>68097</v>
      </c>
      <c r="O3478" s="73">
        <v>68097</v>
      </c>
      <c r="P3478">
        <v>34.681374159610094</v>
      </c>
    </row>
    <row r="3479" spans="1:16" hidden="1" x14ac:dyDescent="0.2">
      <c r="A3479" s="73">
        <v>68097</v>
      </c>
      <c r="B3479" t="s">
        <v>491</v>
      </c>
      <c r="C3479" s="73" t="s">
        <v>492</v>
      </c>
      <c r="D3479" t="s">
        <v>493</v>
      </c>
      <c r="E3479" s="74">
        <v>46183</v>
      </c>
      <c r="F3479" t="s">
        <v>362</v>
      </c>
      <c r="G3479" t="s">
        <v>363</v>
      </c>
      <c r="H3479" s="75">
        <f t="shared" si="54"/>
        <v>277.45099327688075</v>
      </c>
      <c r="I3479" s="74">
        <v>46183</v>
      </c>
      <c r="J3479">
        <v>8</v>
      </c>
      <c r="K3479" t="s">
        <v>518</v>
      </c>
      <c r="L3479" t="s">
        <v>355</v>
      </c>
      <c r="M3479" t="s">
        <v>356</v>
      </c>
      <c r="N3479" s="73">
        <v>68097</v>
      </c>
      <c r="O3479" s="73">
        <v>68097</v>
      </c>
      <c r="P3479">
        <v>34.681374159610094</v>
      </c>
    </row>
    <row r="3480" spans="1:16" hidden="1" x14ac:dyDescent="0.2">
      <c r="A3480" s="73">
        <v>68097</v>
      </c>
      <c r="B3480" t="s">
        <v>491</v>
      </c>
      <c r="C3480" s="73" t="s">
        <v>492</v>
      </c>
      <c r="D3480" t="s">
        <v>493</v>
      </c>
      <c r="E3480" s="74">
        <v>46150</v>
      </c>
      <c r="F3480" t="s">
        <v>414</v>
      </c>
      <c r="G3480" t="s">
        <v>415</v>
      </c>
      <c r="H3480" s="75">
        <f t="shared" si="54"/>
        <v>277.45099327688075</v>
      </c>
      <c r="I3480" s="74">
        <v>46150</v>
      </c>
      <c r="J3480">
        <v>8</v>
      </c>
      <c r="K3480" t="s">
        <v>517</v>
      </c>
      <c r="L3480" t="s">
        <v>262</v>
      </c>
      <c r="M3480" t="s">
        <v>356</v>
      </c>
      <c r="N3480" s="73">
        <v>68097</v>
      </c>
      <c r="O3480" s="73">
        <v>68097</v>
      </c>
      <c r="P3480">
        <v>34.681374159610094</v>
      </c>
    </row>
    <row r="3481" spans="1:16" hidden="1" x14ac:dyDescent="0.2">
      <c r="A3481" s="73">
        <v>68097</v>
      </c>
      <c r="B3481" t="s">
        <v>491</v>
      </c>
      <c r="C3481" s="73" t="s">
        <v>492</v>
      </c>
      <c r="D3481" t="s">
        <v>493</v>
      </c>
      <c r="E3481" s="74">
        <v>46184</v>
      </c>
      <c r="F3481" t="s">
        <v>406</v>
      </c>
      <c r="G3481" t="s">
        <v>407</v>
      </c>
      <c r="H3481" s="75">
        <f t="shared" si="54"/>
        <v>277.45099327688075</v>
      </c>
      <c r="I3481" s="74">
        <v>46184</v>
      </c>
      <c r="J3481">
        <v>8</v>
      </c>
      <c r="K3481" t="s">
        <v>518</v>
      </c>
      <c r="L3481" t="s">
        <v>355</v>
      </c>
      <c r="M3481" t="s">
        <v>356</v>
      </c>
      <c r="N3481" s="73">
        <v>68097</v>
      </c>
      <c r="O3481" s="73">
        <v>68097</v>
      </c>
      <c r="P3481">
        <v>34.681374159610094</v>
      </c>
    </row>
    <row r="3482" spans="1:16" hidden="1" x14ac:dyDescent="0.2">
      <c r="A3482" s="73">
        <v>68097</v>
      </c>
      <c r="B3482" t="s">
        <v>491</v>
      </c>
      <c r="C3482" s="73" t="s">
        <v>492</v>
      </c>
      <c r="D3482" t="s">
        <v>493</v>
      </c>
      <c r="E3482" s="74">
        <v>46184</v>
      </c>
      <c r="F3482" t="s">
        <v>362</v>
      </c>
      <c r="G3482" t="s">
        <v>363</v>
      </c>
      <c r="H3482" s="75">
        <f t="shared" si="54"/>
        <v>277.45099327688075</v>
      </c>
      <c r="I3482" s="74">
        <v>46184</v>
      </c>
      <c r="J3482">
        <v>8</v>
      </c>
      <c r="K3482" t="s">
        <v>518</v>
      </c>
      <c r="L3482" t="s">
        <v>355</v>
      </c>
      <c r="M3482" t="s">
        <v>356</v>
      </c>
      <c r="N3482" s="73">
        <v>68097</v>
      </c>
      <c r="O3482" s="73">
        <v>68097</v>
      </c>
      <c r="P3482">
        <v>34.681374159610094</v>
      </c>
    </row>
    <row r="3483" spans="1:16" hidden="1" x14ac:dyDescent="0.2">
      <c r="A3483" s="73">
        <v>68097</v>
      </c>
      <c r="B3483" t="s">
        <v>491</v>
      </c>
      <c r="C3483" s="73" t="s">
        <v>492</v>
      </c>
      <c r="D3483" t="s">
        <v>493</v>
      </c>
      <c r="E3483" s="74">
        <v>46153</v>
      </c>
      <c r="F3483" t="s">
        <v>414</v>
      </c>
      <c r="G3483" t="s">
        <v>415</v>
      </c>
      <c r="H3483" s="75">
        <f t="shared" si="54"/>
        <v>312.13236743649082</v>
      </c>
      <c r="I3483" s="74">
        <v>46153</v>
      </c>
      <c r="J3483">
        <v>9</v>
      </c>
      <c r="K3483" t="s">
        <v>517</v>
      </c>
      <c r="L3483" t="s">
        <v>262</v>
      </c>
      <c r="M3483" t="s">
        <v>356</v>
      </c>
      <c r="N3483" s="73">
        <v>68097</v>
      </c>
      <c r="O3483" s="73">
        <v>68097</v>
      </c>
      <c r="P3483">
        <v>34.681374159610094</v>
      </c>
    </row>
    <row r="3484" spans="1:16" hidden="1" x14ac:dyDescent="0.2">
      <c r="A3484" s="73">
        <v>68097</v>
      </c>
      <c r="B3484" t="s">
        <v>491</v>
      </c>
      <c r="C3484" s="73" t="s">
        <v>492</v>
      </c>
      <c r="D3484" t="s">
        <v>493</v>
      </c>
      <c r="E3484" s="74">
        <v>46185</v>
      </c>
      <c r="F3484" t="s">
        <v>406</v>
      </c>
      <c r="G3484" t="s">
        <v>407</v>
      </c>
      <c r="H3484" s="75">
        <f t="shared" si="54"/>
        <v>277.45099327688075</v>
      </c>
      <c r="I3484" s="74">
        <v>46185</v>
      </c>
      <c r="J3484">
        <v>8</v>
      </c>
      <c r="K3484" t="s">
        <v>518</v>
      </c>
      <c r="L3484" t="s">
        <v>355</v>
      </c>
      <c r="M3484" t="s">
        <v>356</v>
      </c>
      <c r="N3484" s="73">
        <v>68097</v>
      </c>
      <c r="O3484" s="73">
        <v>68097</v>
      </c>
      <c r="P3484">
        <v>34.681374159610094</v>
      </c>
    </row>
    <row r="3485" spans="1:16" hidden="1" x14ac:dyDescent="0.2">
      <c r="A3485" s="73">
        <v>68097</v>
      </c>
      <c r="B3485" t="s">
        <v>491</v>
      </c>
      <c r="C3485" s="73" t="s">
        <v>492</v>
      </c>
      <c r="D3485" t="s">
        <v>493</v>
      </c>
      <c r="E3485" s="74">
        <v>46185</v>
      </c>
      <c r="F3485" t="s">
        <v>362</v>
      </c>
      <c r="G3485" t="s">
        <v>363</v>
      </c>
      <c r="H3485" s="75">
        <f t="shared" si="54"/>
        <v>277.45099327688075</v>
      </c>
      <c r="I3485" s="74">
        <v>46185</v>
      </c>
      <c r="J3485">
        <v>8</v>
      </c>
      <c r="K3485" t="s">
        <v>518</v>
      </c>
      <c r="L3485" t="s">
        <v>355</v>
      </c>
      <c r="M3485" t="s">
        <v>356</v>
      </c>
      <c r="N3485" s="73">
        <v>68097</v>
      </c>
      <c r="O3485" s="73">
        <v>68097</v>
      </c>
      <c r="P3485">
        <v>34.681374159610094</v>
      </c>
    </row>
    <row r="3486" spans="1:16" hidden="1" x14ac:dyDescent="0.2">
      <c r="A3486" s="73">
        <v>68097</v>
      </c>
      <c r="B3486" t="s">
        <v>491</v>
      </c>
      <c r="C3486" s="73" t="s">
        <v>494</v>
      </c>
      <c r="D3486" t="s">
        <v>495</v>
      </c>
      <c r="E3486" s="74">
        <v>46146</v>
      </c>
      <c r="F3486" t="s">
        <v>387</v>
      </c>
      <c r="G3486" t="s">
        <v>388</v>
      </c>
      <c r="H3486" s="75">
        <f t="shared" si="54"/>
        <v>277.45099327688075</v>
      </c>
      <c r="I3486" s="74">
        <v>46146</v>
      </c>
      <c r="J3486">
        <v>8</v>
      </c>
      <c r="K3486" t="s">
        <v>517</v>
      </c>
      <c r="L3486" t="s">
        <v>367</v>
      </c>
      <c r="M3486" t="s">
        <v>356</v>
      </c>
      <c r="N3486" s="73">
        <v>68097</v>
      </c>
      <c r="O3486" s="73">
        <v>68097</v>
      </c>
      <c r="P3486">
        <v>34.681374159610094</v>
      </c>
    </row>
    <row r="3487" spans="1:16" hidden="1" x14ac:dyDescent="0.2">
      <c r="A3487" s="73">
        <v>68097</v>
      </c>
      <c r="B3487" t="s">
        <v>491</v>
      </c>
      <c r="C3487" s="73" t="s">
        <v>494</v>
      </c>
      <c r="D3487" t="s">
        <v>495</v>
      </c>
      <c r="E3487" s="74">
        <v>46146</v>
      </c>
      <c r="F3487" t="s">
        <v>404</v>
      </c>
      <c r="G3487" t="s">
        <v>405</v>
      </c>
      <c r="H3487" s="75">
        <f t="shared" si="54"/>
        <v>242.76961911727065</v>
      </c>
      <c r="I3487" s="74">
        <v>46146</v>
      </c>
      <c r="J3487">
        <v>7</v>
      </c>
      <c r="K3487" t="s">
        <v>517</v>
      </c>
      <c r="L3487" t="s">
        <v>262</v>
      </c>
      <c r="M3487" t="s">
        <v>356</v>
      </c>
      <c r="N3487" s="73">
        <v>68097</v>
      </c>
      <c r="O3487" s="73">
        <v>68097</v>
      </c>
      <c r="P3487">
        <v>34.681374159610094</v>
      </c>
    </row>
    <row r="3488" spans="1:16" hidden="1" x14ac:dyDescent="0.2">
      <c r="A3488" s="73">
        <v>68097</v>
      </c>
      <c r="B3488" t="s">
        <v>491</v>
      </c>
      <c r="C3488" s="73" t="s">
        <v>494</v>
      </c>
      <c r="D3488" t="s">
        <v>495</v>
      </c>
      <c r="E3488" s="74">
        <v>46147</v>
      </c>
      <c r="F3488" t="s">
        <v>387</v>
      </c>
      <c r="G3488" t="s">
        <v>388</v>
      </c>
      <c r="H3488" s="75">
        <f t="shared" si="54"/>
        <v>277.45099327688075</v>
      </c>
      <c r="I3488" s="74">
        <v>46147</v>
      </c>
      <c r="J3488">
        <v>8</v>
      </c>
      <c r="K3488" t="s">
        <v>517</v>
      </c>
      <c r="L3488" t="s">
        <v>367</v>
      </c>
      <c r="M3488" t="s">
        <v>356</v>
      </c>
      <c r="N3488" s="73">
        <v>68097</v>
      </c>
      <c r="O3488" s="73">
        <v>68097</v>
      </c>
      <c r="P3488">
        <v>34.681374159610094</v>
      </c>
    </row>
    <row r="3489" spans="1:16" hidden="1" x14ac:dyDescent="0.2">
      <c r="A3489" s="73">
        <v>68097</v>
      </c>
      <c r="B3489" t="s">
        <v>491</v>
      </c>
      <c r="C3489" s="73" t="s">
        <v>494</v>
      </c>
      <c r="D3489" t="s">
        <v>495</v>
      </c>
      <c r="E3489" s="74">
        <v>46147</v>
      </c>
      <c r="F3489" t="s">
        <v>404</v>
      </c>
      <c r="G3489" t="s">
        <v>405</v>
      </c>
      <c r="H3489" s="75">
        <f t="shared" si="54"/>
        <v>242.76961911727065</v>
      </c>
      <c r="I3489" s="74">
        <v>46147</v>
      </c>
      <c r="J3489">
        <v>7</v>
      </c>
      <c r="K3489" t="s">
        <v>517</v>
      </c>
      <c r="L3489" t="s">
        <v>262</v>
      </c>
      <c r="M3489" t="s">
        <v>356</v>
      </c>
      <c r="N3489" s="73">
        <v>68097</v>
      </c>
      <c r="O3489" s="73">
        <v>68097</v>
      </c>
      <c r="P3489">
        <v>34.681374159610094</v>
      </c>
    </row>
    <row r="3490" spans="1:16" hidden="1" x14ac:dyDescent="0.2">
      <c r="A3490" s="73">
        <v>68097</v>
      </c>
      <c r="B3490" t="s">
        <v>491</v>
      </c>
      <c r="C3490" s="73" t="s">
        <v>494</v>
      </c>
      <c r="D3490" t="s">
        <v>495</v>
      </c>
      <c r="E3490" s="74">
        <v>46148</v>
      </c>
      <c r="F3490" t="s">
        <v>404</v>
      </c>
      <c r="G3490" t="s">
        <v>405</v>
      </c>
      <c r="H3490" s="75">
        <f t="shared" si="54"/>
        <v>242.76961911727065</v>
      </c>
      <c r="I3490" s="74">
        <v>46148</v>
      </c>
      <c r="J3490">
        <v>7</v>
      </c>
      <c r="K3490" t="s">
        <v>517</v>
      </c>
      <c r="L3490" t="s">
        <v>262</v>
      </c>
      <c r="M3490" t="s">
        <v>356</v>
      </c>
      <c r="N3490" s="73">
        <v>68097</v>
      </c>
      <c r="O3490" s="73">
        <v>68097</v>
      </c>
      <c r="P3490">
        <v>34.681374159610094</v>
      </c>
    </row>
    <row r="3491" spans="1:16" hidden="1" x14ac:dyDescent="0.2">
      <c r="A3491" s="73">
        <v>68097</v>
      </c>
      <c r="B3491" t="s">
        <v>491</v>
      </c>
      <c r="C3491" s="73" t="s">
        <v>494</v>
      </c>
      <c r="D3491" t="s">
        <v>495</v>
      </c>
      <c r="E3491" s="74">
        <v>46149</v>
      </c>
      <c r="F3491" t="s">
        <v>404</v>
      </c>
      <c r="G3491" t="s">
        <v>405</v>
      </c>
      <c r="H3491" s="75">
        <f t="shared" si="54"/>
        <v>242.76961911727065</v>
      </c>
      <c r="I3491" s="74">
        <v>46149</v>
      </c>
      <c r="J3491">
        <v>7</v>
      </c>
      <c r="K3491" t="s">
        <v>517</v>
      </c>
      <c r="L3491" t="s">
        <v>262</v>
      </c>
      <c r="M3491" t="s">
        <v>356</v>
      </c>
      <c r="N3491" s="73">
        <v>68097</v>
      </c>
      <c r="O3491" s="73">
        <v>68097</v>
      </c>
      <c r="P3491">
        <v>34.681374159610094</v>
      </c>
    </row>
    <row r="3492" spans="1:16" hidden="1" x14ac:dyDescent="0.2">
      <c r="A3492" s="73">
        <v>68097</v>
      </c>
      <c r="B3492" t="s">
        <v>491</v>
      </c>
      <c r="C3492" s="73" t="s">
        <v>494</v>
      </c>
      <c r="D3492" t="s">
        <v>495</v>
      </c>
      <c r="E3492" s="74">
        <v>46150</v>
      </c>
      <c r="F3492" t="s">
        <v>387</v>
      </c>
      <c r="G3492" t="s">
        <v>388</v>
      </c>
      <c r="H3492" s="75">
        <f t="shared" si="54"/>
        <v>277.45099327688075</v>
      </c>
      <c r="I3492" s="74">
        <v>46150</v>
      </c>
      <c r="J3492">
        <v>8</v>
      </c>
      <c r="K3492" t="s">
        <v>517</v>
      </c>
      <c r="L3492" t="s">
        <v>367</v>
      </c>
      <c r="M3492" t="s">
        <v>356</v>
      </c>
      <c r="N3492" s="73">
        <v>68097</v>
      </c>
      <c r="O3492" s="73">
        <v>68097</v>
      </c>
      <c r="P3492">
        <v>34.681374159610094</v>
      </c>
    </row>
    <row r="3493" spans="1:16" hidden="1" x14ac:dyDescent="0.2">
      <c r="A3493" s="73">
        <v>68097</v>
      </c>
      <c r="B3493" t="s">
        <v>491</v>
      </c>
      <c r="C3493" s="73" t="s">
        <v>494</v>
      </c>
      <c r="D3493" t="s">
        <v>495</v>
      </c>
      <c r="E3493" s="74">
        <v>46150</v>
      </c>
      <c r="F3493" t="s">
        <v>404</v>
      </c>
      <c r="G3493" t="s">
        <v>405</v>
      </c>
      <c r="H3493" s="75">
        <f t="shared" si="54"/>
        <v>242.76961911727065</v>
      </c>
      <c r="I3493" s="74">
        <v>46150</v>
      </c>
      <c r="J3493">
        <v>7</v>
      </c>
      <c r="K3493" t="s">
        <v>517</v>
      </c>
      <c r="L3493" t="s">
        <v>262</v>
      </c>
      <c r="M3493" t="s">
        <v>356</v>
      </c>
      <c r="N3493" s="73">
        <v>68097</v>
      </c>
      <c r="O3493" s="73">
        <v>68097</v>
      </c>
      <c r="P3493">
        <v>34.681374159610094</v>
      </c>
    </row>
    <row r="3494" spans="1:16" hidden="1" x14ac:dyDescent="0.2">
      <c r="A3494" s="73">
        <v>68097</v>
      </c>
      <c r="B3494" t="s">
        <v>491</v>
      </c>
      <c r="C3494" s="73" t="s">
        <v>494</v>
      </c>
      <c r="D3494" t="s">
        <v>495</v>
      </c>
      <c r="E3494" s="74">
        <v>46153</v>
      </c>
      <c r="F3494" t="s">
        <v>387</v>
      </c>
      <c r="G3494" t="s">
        <v>388</v>
      </c>
      <c r="H3494" s="75">
        <f t="shared" si="54"/>
        <v>104.04412247883027</v>
      </c>
      <c r="I3494" s="74">
        <v>46153</v>
      </c>
      <c r="J3494">
        <v>3</v>
      </c>
      <c r="K3494" t="s">
        <v>517</v>
      </c>
      <c r="L3494" t="s">
        <v>367</v>
      </c>
      <c r="M3494" t="s">
        <v>356</v>
      </c>
      <c r="N3494" s="73">
        <v>68097</v>
      </c>
      <c r="O3494" s="73">
        <v>68097</v>
      </c>
      <c r="P3494">
        <v>34.681374159610094</v>
      </c>
    </row>
    <row r="3495" spans="1:16" hidden="1" x14ac:dyDescent="0.2">
      <c r="A3495" s="73">
        <v>68097</v>
      </c>
      <c r="B3495" t="s">
        <v>491</v>
      </c>
      <c r="C3495" s="73" t="s">
        <v>494</v>
      </c>
      <c r="D3495" t="s">
        <v>495</v>
      </c>
      <c r="E3495" s="74">
        <v>46154</v>
      </c>
      <c r="F3495" t="s">
        <v>387</v>
      </c>
      <c r="G3495" t="s">
        <v>388</v>
      </c>
      <c r="H3495" s="75">
        <f t="shared" si="54"/>
        <v>69.362748319220188</v>
      </c>
      <c r="I3495" s="74">
        <v>46154</v>
      </c>
      <c r="J3495">
        <v>2</v>
      </c>
      <c r="K3495" t="s">
        <v>517</v>
      </c>
      <c r="L3495" t="s">
        <v>367</v>
      </c>
      <c r="M3495" t="s">
        <v>356</v>
      </c>
      <c r="N3495" s="73">
        <v>68097</v>
      </c>
      <c r="O3495" s="73">
        <v>68097</v>
      </c>
      <c r="P3495">
        <v>34.681374159610094</v>
      </c>
    </row>
    <row r="3496" spans="1:16" x14ac:dyDescent="0.2">
      <c r="A3496" s="73">
        <v>67262</v>
      </c>
      <c r="B3496" t="s">
        <v>350</v>
      </c>
      <c r="C3496" s="73" t="s">
        <v>496</v>
      </c>
      <c r="D3496" t="s">
        <v>497</v>
      </c>
      <c r="E3496" s="74">
        <v>46113</v>
      </c>
      <c r="F3496" t="s">
        <v>387</v>
      </c>
      <c r="G3496" t="s">
        <v>388</v>
      </c>
      <c r="H3496" s="75">
        <f t="shared" si="54"/>
        <v>34.681374159610094</v>
      </c>
      <c r="I3496" s="74">
        <v>46113</v>
      </c>
      <c r="J3496">
        <v>1</v>
      </c>
      <c r="K3496" t="s">
        <v>510</v>
      </c>
      <c r="L3496" t="s">
        <v>367</v>
      </c>
      <c r="M3496" t="s">
        <v>356</v>
      </c>
      <c r="N3496" s="73">
        <v>67262</v>
      </c>
      <c r="O3496" s="73">
        <v>67262</v>
      </c>
      <c r="P3496">
        <v>34.681374159610094</v>
      </c>
    </row>
    <row r="3497" spans="1:16" x14ac:dyDescent="0.2">
      <c r="A3497" s="73">
        <v>67262</v>
      </c>
      <c r="B3497" t="s">
        <v>350</v>
      </c>
      <c r="C3497" s="73" t="s">
        <v>496</v>
      </c>
      <c r="D3497" t="s">
        <v>497</v>
      </c>
      <c r="E3497" s="74">
        <v>46114</v>
      </c>
      <c r="F3497" t="s">
        <v>387</v>
      </c>
      <c r="G3497" t="s">
        <v>388</v>
      </c>
      <c r="H3497" s="75">
        <f t="shared" si="54"/>
        <v>104.04412247883027</v>
      </c>
      <c r="I3497" s="74">
        <v>46114</v>
      </c>
      <c r="J3497">
        <v>3</v>
      </c>
      <c r="K3497" t="s">
        <v>510</v>
      </c>
      <c r="L3497" t="s">
        <v>367</v>
      </c>
      <c r="M3497" t="s">
        <v>356</v>
      </c>
      <c r="N3497" s="73">
        <v>67262</v>
      </c>
      <c r="O3497" s="73">
        <v>67262</v>
      </c>
      <c r="P3497">
        <v>34.681374159610094</v>
      </c>
    </row>
    <row r="3498" spans="1:16" x14ac:dyDescent="0.2">
      <c r="A3498" s="73">
        <v>67262</v>
      </c>
      <c r="B3498" t="s">
        <v>350</v>
      </c>
      <c r="C3498" s="73" t="s">
        <v>496</v>
      </c>
      <c r="D3498" t="s">
        <v>497</v>
      </c>
      <c r="E3498" s="74">
        <v>46115</v>
      </c>
      <c r="F3498" t="s">
        <v>387</v>
      </c>
      <c r="G3498" t="s">
        <v>388</v>
      </c>
      <c r="H3498" s="75">
        <f t="shared" si="54"/>
        <v>69.362748319220188</v>
      </c>
      <c r="I3498" s="74">
        <v>46115</v>
      </c>
      <c r="J3498">
        <v>2</v>
      </c>
      <c r="K3498" t="s">
        <v>510</v>
      </c>
      <c r="L3498" t="s">
        <v>367</v>
      </c>
      <c r="M3498" t="s">
        <v>356</v>
      </c>
      <c r="N3498" s="73">
        <v>67262</v>
      </c>
      <c r="O3498" s="73">
        <v>67262</v>
      </c>
      <c r="P3498">
        <v>34.681374159610094</v>
      </c>
    </row>
    <row r="3499" spans="1:16" x14ac:dyDescent="0.2">
      <c r="A3499" s="73">
        <v>67262</v>
      </c>
      <c r="B3499" t="s">
        <v>350</v>
      </c>
      <c r="C3499" s="73" t="s">
        <v>496</v>
      </c>
      <c r="D3499" t="s">
        <v>497</v>
      </c>
      <c r="E3499" s="74">
        <v>46118</v>
      </c>
      <c r="F3499" t="s">
        <v>395</v>
      </c>
      <c r="G3499" t="s">
        <v>396</v>
      </c>
      <c r="H3499" s="75">
        <f t="shared" si="54"/>
        <v>138.72549663844038</v>
      </c>
      <c r="I3499" s="74">
        <v>46118</v>
      </c>
      <c r="J3499">
        <v>4</v>
      </c>
      <c r="K3499" t="s">
        <v>510</v>
      </c>
      <c r="L3499" t="s">
        <v>262</v>
      </c>
      <c r="M3499" t="s">
        <v>356</v>
      </c>
      <c r="N3499" s="73">
        <v>67262</v>
      </c>
      <c r="O3499" s="73">
        <v>67262</v>
      </c>
      <c r="P3499">
        <v>34.681374159610094</v>
      </c>
    </row>
    <row r="3500" spans="1:16" x14ac:dyDescent="0.2">
      <c r="A3500" s="73">
        <v>67262</v>
      </c>
      <c r="B3500" t="s">
        <v>350</v>
      </c>
      <c r="C3500" s="73" t="s">
        <v>496</v>
      </c>
      <c r="D3500" t="s">
        <v>497</v>
      </c>
      <c r="E3500" s="74">
        <v>46118</v>
      </c>
      <c r="F3500" t="s">
        <v>387</v>
      </c>
      <c r="G3500" t="s">
        <v>388</v>
      </c>
      <c r="H3500" s="75">
        <f t="shared" si="54"/>
        <v>104.04412247883027</v>
      </c>
      <c r="I3500" s="74">
        <v>46118</v>
      </c>
      <c r="J3500">
        <v>3</v>
      </c>
      <c r="K3500" t="s">
        <v>510</v>
      </c>
      <c r="L3500" t="s">
        <v>367</v>
      </c>
      <c r="M3500" t="s">
        <v>356</v>
      </c>
      <c r="N3500" s="73">
        <v>67262</v>
      </c>
      <c r="O3500" s="73">
        <v>67262</v>
      </c>
      <c r="P3500">
        <v>34.681374159610094</v>
      </c>
    </row>
    <row r="3501" spans="1:16" x14ac:dyDescent="0.2">
      <c r="A3501" s="73">
        <v>67262</v>
      </c>
      <c r="B3501" t="s">
        <v>350</v>
      </c>
      <c r="C3501" s="73" t="s">
        <v>496</v>
      </c>
      <c r="D3501" t="s">
        <v>497</v>
      </c>
      <c r="E3501" s="74">
        <v>46119</v>
      </c>
      <c r="F3501" t="s">
        <v>395</v>
      </c>
      <c r="G3501" t="s">
        <v>396</v>
      </c>
      <c r="H3501" s="75">
        <f t="shared" si="54"/>
        <v>138.72549663844038</v>
      </c>
      <c r="I3501" s="74">
        <v>46119</v>
      </c>
      <c r="J3501">
        <v>4</v>
      </c>
      <c r="K3501" t="s">
        <v>510</v>
      </c>
      <c r="L3501" t="s">
        <v>262</v>
      </c>
      <c r="M3501" t="s">
        <v>356</v>
      </c>
      <c r="N3501" s="73">
        <v>67262</v>
      </c>
      <c r="O3501" s="73">
        <v>67262</v>
      </c>
      <c r="P3501">
        <v>34.681374159610094</v>
      </c>
    </row>
    <row r="3502" spans="1:16" x14ac:dyDescent="0.2">
      <c r="A3502" s="73">
        <v>67262</v>
      </c>
      <c r="B3502" t="s">
        <v>350</v>
      </c>
      <c r="C3502" s="73" t="s">
        <v>496</v>
      </c>
      <c r="D3502" t="s">
        <v>497</v>
      </c>
      <c r="E3502" s="74">
        <v>46119</v>
      </c>
      <c r="F3502" t="s">
        <v>387</v>
      </c>
      <c r="G3502" t="s">
        <v>388</v>
      </c>
      <c r="H3502" s="75">
        <f t="shared" si="54"/>
        <v>69.362748319220188</v>
      </c>
      <c r="I3502" s="74">
        <v>46119</v>
      </c>
      <c r="J3502">
        <v>2</v>
      </c>
      <c r="K3502" t="s">
        <v>510</v>
      </c>
      <c r="L3502" t="s">
        <v>367</v>
      </c>
      <c r="M3502" t="s">
        <v>356</v>
      </c>
      <c r="N3502" s="73">
        <v>67262</v>
      </c>
      <c r="O3502" s="73">
        <v>67262</v>
      </c>
      <c r="P3502">
        <v>34.681374159610094</v>
      </c>
    </row>
    <row r="3503" spans="1:16" x14ac:dyDescent="0.2">
      <c r="A3503" s="73">
        <v>67262</v>
      </c>
      <c r="B3503" t="s">
        <v>350</v>
      </c>
      <c r="C3503" s="73" t="s">
        <v>496</v>
      </c>
      <c r="D3503" t="s">
        <v>497</v>
      </c>
      <c r="E3503" s="74">
        <v>46120</v>
      </c>
      <c r="F3503" t="s">
        <v>395</v>
      </c>
      <c r="G3503" t="s">
        <v>396</v>
      </c>
      <c r="H3503" s="75">
        <f t="shared" si="54"/>
        <v>138.72549663844038</v>
      </c>
      <c r="I3503" s="74">
        <v>46120</v>
      </c>
      <c r="J3503">
        <v>4</v>
      </c>
      <c r="K3503" t="s">
        <v>510</v>
      </c>
      <c r="L3503" t="s">
        <v>262</v>
      </c>
      <c r="M3503" t="s">
        <v>356</v>
      </c>
      <c r="N3503" s="73">
        <v>67262</v>
      </c>
      <c r="O3503" s="73">
        <v>67262</v>
      </c>
      <c r="P3503">
        <v>34.681374159610094</v>
      </c>
    </row>
    <row r="3504" spans="1:16" x14ac:dyDescent="0.2">
      <c r="A3504" s="73">
        <v>67262</v>
      </c>
      <c r="B3504" t="s">
        <v>350</v>
      </c>
      <c r="C3504" s="73" t="s">
        <v>496</v>
      </c>
      <c r="D3504" t="s">
        <v>497</v>
      </c>
      <c r="E3504" s="74">
        <v>46121</v>
      </c>
      <c r="F3504" t="s">
        <v>395</v>
      </c>
      <c r="G3504" t="s">
        <v>396</v>
      </c>
      <c r="H3504" s="75">
        <f t="shared" si="54"/>
        <v>138.72549663844038</v>
      </c>
      <c r="I3504" s="74">
        <v>46121</v>
      </c>
      <c r="J3504">
        <v>4</v>
      </c>
      <c r="K3504" t="s">
        <v>510</v>
      </c>
      <c r="L3504" t="s">
        <v>262</v>
      </c>
      <c r="M3504" t="s">
        <v>356</v>
      </c>
      <c r="N3504" s="73">
        <v>67262</v>
      </c>
      <c r="O3504" s="73">
        <v>67262</v>
      </c>
      <c r="P3504">
        <v>34.681374159610094</v>
      </c>
    </row>
    <row r="3505" spans="1:16" x14ac:dyDescent="0.2">
      <c r="A3505" s="73">
        <v>67262</v>
      </c>
      <c r="B3505" t="s">
        <v>350</v>
      </c>
      <c r="C3505" s="73" t="s">
        <v>496</v>
      </c>
      <c r="D3505" t="s">
        <v>497</v>
      </c>
      <c r="E3505" s="74">
        <v>46122</v>
      </c>
      <c r="F3505" t="s">
        <v>395</v>
      </c>
      <c r="G3505" t="s">
        <v>396</v>
      </c>
      <c r="H3505" s="75">
        <f t="shared" si="54"/>
        <v>138.72549663844038</v>
      </c>
      <c r="I3505" s="74">
        <v>46122</v>
      </c>
      <c r="J3505">
        <v>4</v>
      </c>
      <c r="K3505" t="s">
        <v>510</v>
      </c>
      <c r="L3505" t="s">
        <v>262</v>
      </c>
      <c r="M3505" t="s">
        <v>356</v>
      </c>
      <c r="N3505" s="73">
        <v>67262</v>
      </c>
      <c r="O3505" s="73">
        <v>67262</v>
      </c>
      <c r="P3505">
        <v>34.681374159610094</v>
      </c>
    </row>
    <row r="3506" spans="1:16" x14ac:dyDescent="0.2">
      <c r="A3506" s="73">
        <v>67262</v>
      </c>
      <c r="B3506" t="s">
        <v>350</v>
      </c>
      <c r="C3506" s="73" t="s">
        <v>496</v>
      </c>
      <c r="D3506" t="s">
        <v>497</v>
      </c>
      <c r="E3506" s="74">
        <v>46122</v>
      </c>
      <c r="F3506" t="s">
        <v>387</v>
      </c>
      <c r="G3506" t="s">
        <v>388</v>
      </c>
      <c r="H3506" s="75">
        <f t="shared" si="54"/>
        <v>69.362748319220188</v>
      </c>
      <c r="I3506" s="74">
        <v>46122</v>
      </c>
      <c r="J3506">
        <v>2</v>
      </c>
      <c r="K3506" t="s">
        <v>510</v>
      </c>
      <c r="L3506" t="s">
        <v>367</v>
      </c>
      <c r="M3506" t="s">
        <v>356</v>
      </c>
      <c r="N3506" s="73">
        <v>67262</v>
      </c>
      <c r="O3506" s="73">
        <v>67262</v>
      </c>
      <c r="P3506">
        <v>34.681374159610094</v>
      </c>
    </row>
    <row r="3507" spans="1:16" x14ac:dyDescent="0.2">
      <c r="A3507" s="73">
        <v>67262</v>
      </c>
      <c r="B3507" t="s">
        <v>350</v>
      </c>
      <c r="C3507" s="73" t="s">
        <v>496</v>
      </c>
      <c r="D3507" t="s">
        <v>497</v>
      </c>
      <c r="E3507" s="74">
        <v>46125</v>
      </c>
      <c r="F3507" t="s">
        <v>395</v>
      </c>
      <c r="G3507" t="s">
        <v>396</v>
      </c>
      <c r="H3507" s="75">
        <f t="shared" si="54"/>
        <v>208.08824495766055</v>
      </c>
      <c r="I3507" s="74">
        <v>46125</v>
      </c>
      <c r="J3507">
        <v>6</v>
      </c>
      <c r="K3507" t="s">
        <v>510</v>
      </c>
      <c r="L3507" t="s">
        <v>262</v>
      </c>
      <c r="M3507" t="s">
        <v>356</v>
      </c>
      <c r="N3507" s="73">
        <v>67262</v>
      </c>
      <c r="O3507" s="73">
        <v>67262</v>
      </c>
      <c r="P3507">
        <v>34.681374159610094</v>
      </c>
    </row>
    <row r="3508" spans="1:16" x14ac:dyDescent="0.2">
      <c r="A3508" s="73">
        <v>67262</v>
      </c>
      <c r="B3508" t="s">
        <v>350</v>
      </c>
      <c r="C3508" s="73" t="s">
        <v>496</v>
      </c>
      <c r="D3508" t="s">
        <v>497</v>
      </c>
      <c r="E3508" s="74">
        <v>46125</v>
      </c>
      <c r="F3508" t="s">
        <v>387</v>
      </c>
      <c r="G3508" t="s">
        <v>388</v>
      </c>
      <c r="H3508" s="75">
        <f t="shared" si="54"/>
        <v>69.362748319220188</v>
      </c>
      <c r="I3508" s="74">
        <v>46125</v>
      </c>
      <c r="J3508">
        <v>2</v>
      </c>
      <c r="K3508" t="s">
        <v>510</v>
      </c>
      <c r="L3508" t="s">
        <v>367</v>
      </c>
      <c r="M3508" t="s">
        <v>356</v>
      </c>
      <c r="N3508" s="73">
        <v>67262</v>
      </c>
      <c r="O3508" s="73">
        <v>67262</v>
      </c>
      <c r="P3508">
        <v>34.681374159610094</v>
      </c>
    </row>
    <row r="3509" spans="1:16" x14ac:dyDescent="0.2">
      <c r="A3509" s="73">
        <v>67262</v>
      </c>
      <c r="B3509" t="s">
        <v>350</v>
      </c>
      <c r="C3509" s="73" t="s">
        <v>496</v>
      </c>
      <c r="D3509" t="s">
        <v>497</v>
      </c>
      <c r="E3509" s="74">
        <v>46127</v>
      </c>
      <c r="F3509" t="s">
        <v>387</v>
      </c>
      <c r="G3509" t="s">
        <v>388</v>
      </c>
      <c r="H3509" s="75">
        <f t="shared" si="54"/>
        <v>104.04412247883027</v>
      </c>
      <c r="I3509" s="74">
        <v>46127</v>
      </c>
      <c r="J3509">
        <v>3</v>
      </c>
      <c r="K3509" t="s">
        <v>510</v>
      </c>
      <c r="L3509" t="s">
        <v>367</v>
      </c>
      <c r="M3509" t="s">
        <v>356</v>
      </c>
      <c r="N3509" s="73">
        <v>67262</v>
      </c>
      <c r="O3509" s="73">
        <v>67262</v>
      </c>
      <c r="P3509">
        <v>34.681374159610094</v>
      </c>
    </row>
    <row r="3510" spans="1:16" x14ac:dyDescent="0.2">
      <c r="A3510" s="73">
        <v>67262</v>
      </c>
      <c r="B3510" t="s">
        <v>350</v>
      </c>
      <c r="C3510" s="73" t="s">
        <v>496</v>
      </c>
      <c r="D3510" t="s">
        <v>497</v>
      </c>
      <c r="E3510" s="74">
        <v>46139</v>
      </c>
      <c r="F3510" t="s">
        <v>387</v>
      </c>
      <c r="G3510" t="s">
        <v>388</v>
      </c>
      <c r="H3510" s="75">
        <f t="shared" si="54"/>
        <v>138.72549663844038</v>
      </c>
      <c r="I3510" s="74">
        <v>46139</v>
      </c>
      <c r="J3510">
        <v>4</v>
      </c>
      <c r="K3510" t="s">
        <v>510</v>
      </c>
      <c r="L3510" t="s">
        <v>367</v>
      </c>
      <c r="M3510" t="s">
        <v>356</v>
      </c>
      <c r="N3510" s="73">
        <v>67262</v>
      </c>
      <c r="O3510" s="73">
        <v>67262</v>
      </c>
      <c r="P3510">
        <v>34.681374159610094</v>
      </c>
    </row>
    <row r="3511" spans="1:16" x14ac:dyDescent="0.2">
      <c r="A3511" s="73">
        <v>67262</v>
      </c>
      <c r="B3511" t="s">
        <v>350</v>
      </c>
      <c r="C3511" s="73" t="s">
        <v>496</v>
      </c>
      <c r="D3511" t="s">
        <v>497</v>
      </c>
      <c r="E3511" s="74">
        <v>46140</v>
      </c>
      <c r="F3511" t="s">
        <v>387</v>
      </c>
      <c r="G3511" t="s">
        <v>388</v>
      </c>
      <c r="H3511" s="75">
        <f t="shared" si="54"/>
        <v>69.362748319220188</v>
      </c>
      <c r="I3511" s="74">
        <v>46140</v>
      </c>
      <c r="J3511">
        <v>2</v>
      </c>
      <c r="K3511" t="s">
        <v>510</v>
      </c>
      <c r="L3511" t="s">
        <v>367</v>
      </c>
      <c r="M3511" t="s">
        <v>356</v>
      </c>
      <c r="N3511" s="73">
        <v>67262</v>
      </c>
      <c r="O3511" s="73">
        <v>67262</v>
      </c>
      <c r="P3511">
        <v>34.681374159610094</v>
      </c>
    </row>
    <row r="3512" spans="1:16" x14ac:dyDescent="0.2">
      <c r="A3512" s="73">
        <v>67262</v>
      </c>
      <c r="B3512" t="s">
        <v>350</v>
      </c>
      <c r="C3512" s="73" t="s">
        <v>496</v>
      </c>
      <c r="D3512" t="s">
        <v>497</v>
      </c>
      <c r="E3512" s="74">
        <v>46141</v>
      </c>
      <c r="F3512" t="s">
        <v>387</v>
      </c>
      <c r="G3512" t="s">
        <v>388</v>
      </c>
      <c r="H3512" s="75">
        <f t="shared" si="54"/>
        <v>173.40687079805048</v>
      </c>
      <c r="I3512" s="74">
        <v>46141</v>
      </c>
      <c r="J3512">
        <v>5</v>
      </c>
      <c r="K3512" t="s">
        <v>510</v>
      </c>
      <c r="L3512" t="s">
        <v>367</v>
      </c>
      <c r="M3512" t="s">
        <v>356</v>
      </c>
      <c r="N3512" s="73">
        <v>67262</v>
      </c>
      <c r="O3512" s="73">
        <v>67262</v>
      </c>
      <c r="P3512">
        <v>34.681374159610094</v>
      </c>
    </row>
    <row r="3513" spans="1:16" x14ac:dyDescent="0.2">
      <c r="A3513" s="73">
        <v>67262</v>
      </c>
      <c r="B3513" t="s">
        <v>350</v>
      </c>
      <c r="C3513" s="73" t="s">
        <v>496</v>
      </c>
      <c r="D3513" t="s">
        <v>497</v>
      </c>
      <c r="E3513" s="74">
        <v>46142</v>
      </c>
      <c r="F3513" t="s">
        <v>387</v>
      </c>
      <c r="G3513" t="s">
        <v>388</v>
      </c>
      <c r="H3513" s="75">
        <f t="shared" si="54"/>
        <v>277.45099327688075</v>
      </c>
      <c r="I3513" s="74">
        <v>46142</v>
      </c>
      <c r="J3513">
        <v>8</v>
      </c>
      <c r="K3513" t="s">
        <v>510</v>
      </c>
      <c r="L3513" t="s">
        <v>367</v>
      </c>
      <c r="M3513" t="s">
        <v>356</v>
      </c>
      <c r="N3513" s="73">
        <v>67262</v>
      </c>
      <c r="O3513" s="73">
        <v>67262</v>
      </c>
      <c r="P3513">
        <v>34.681374159610094</v>
      </c>
    </row>
    <row r="3514" spans="1:16" x14ac:dyDescent="0.2">
      <c r="A3514" s="73">
        <v>67262</v>
      </c>
      <c r="B3514" t="s">
        <v>350</v>
      </c>
      <c r="C3514" s="73" t="s">
        <v>496</v>
      </c>
      <c r="D3514" t="s">
        <v>497</v>
      </c>
      <c r="E3514" s="74">
        <v>46148</v>
      </c>
      <c r="F3514" t="s">
        <v>387</v>
      </c>
      <c r="G3514" t="s">
        <v>388</v>
      </c>
      <c r="H3514" s="75">
        <f t="shared" si="54"/>
        <v>277.45099327688075</v>
      </c>
      <c r="I3514" s="74">
        <v>46148</v>
      </c>
      <c r="J3514">
        <v>8</v>
      </c>
      <c r="K3514" t="s">
        <v>517</v>
      </c>
      <c r="L3514" t="s">
        <v>367</v>
      </c>
      <c r="M3514" t="s">
        <v>356</v>
      </c>
      <c r="N3514" s="73">
        <v>67262</v>
      </c>
      <c r="O3514" s="73">
        <v>67262</v>
      </c>
      <c r="P3514">
        <v>34.681374159610094</v>
      </c>
    </row>
    <row r="3515" spans="1:16" x14ac:dyDescent="0.2">
      <c r="A3515" s="73">
        <v>67262</v>
      </c>
      <c r="B3515" t="s">
        <v>350</v>
      </c>
      <c r="C3515" s="73" t="s">
        <v>496</v>
      </c>
      <c r="D3515" t="s">
        <v>497</v>
      </c>
      <c r="E3515" s="74">
        <v>46149</v>
      </c>
      <c r="F3515" t="s">
        <v>387</v>
      </c>
      <c r="G3515" t="s">
        <v>388</v>
      </c>
      <c r="H3515" s="75">
        <f t="shared" si="54"/>
        <v>138.72549663844038</v>
      </c>
      <c r="I3515" s="74">
        <v>46149</v>
      </c>
      <c r="J3515">
        <v>4</v>
      </c>
      <c r="K3515" t="s">
        <v>517</v>
      </c>
      <c r="L3515" t="s">
        <v>367</v>
      </c>
      <c r="M3515" t="s">
        <v>356</v>
      </c>
      <c r="N3515" s="73">
        <v>67262</v>
      </c>
      <c r="O3515" s="73">
        <v>67262</v>
      </c>
      <c r="P3515">
        <v>34.681374159610094</v>
      </c>
    </row>
    <row r="3516" spans="1:16" x14ac:dyDescent="0.2">
      <c r="A3516" s="73">
        <v>67262</v>
      </c>
      <c r="B3516" t="s">
        <v>350</v>
      </c>
      <c r="C3516" s="73" t="s">
        <v>496</v>
      </c>
      <c r="D3516" t="s">
        <v>497</v>
      </c>
      <c r="E3516" s="74">
        <v>46153</v>
      </c>
      <c r="F3516" t="s">
        <v>395</v>
      </c>
      <c r="G3516" t="s">
        <v>396</v>
      </c>
      <c r="H3516" s="75">
        <f t="shared" si="54"/>
        <v>138.72549663844038</v>
      </c>
      <c r="I3516" s="74">
        <v>46153</v>
      </c>
      <c r="J3516">
        <v>4</v>
      </c>
      <c r="K3516" t="s">
        <v>517</v>
      </c>
      <c r="L3516" t="s">
        <v>262</v>
      </c>
      <c r="M3516" t="s">
        <v>356</v>
      </c>
      <c r="N3516" s="73">
        <v>67262</v>
      </c>
      <c r="O3516" s="73">
        <v>67262</v>
      </c>
      <c r="P3516">
        <v>34.681374159610094</v>
      </c>
    </row>
    <row r="3517" spans="1:16" x14ac:dyDescent="0.2">
      <c r="A3517" s="73">
        <v>67262</v>
      </c>
      <c r="B3517" t="s">
        <v>350</v>
      </c>
      <c r="C3517" s="73" t="s">
        <v>496</v>
      </c>
      <c r="D3517" t="s">
        <v>497</v>
      </c>
      <c r="E3517" s="74">
        <v>46153</v>
      </c>
      <c r="F3517" t="s">
        <v>404</v>
      </c>
      <c r="G3517" t="s">
        <v>405</v>
      </c>
      <c r="H3517" s="75">
        <f t="shared" si="54"/>
        <v>242.76961911727065</v>
      </c>
      <c r="I3517" s="74">
        <v>46153</v>
      </c>
      <c r="J3517">
        <v>7</v>
      </c>
      <c r="K3517" t="s">
        <v>517</v>
      </c>
      <c r="L3517" t="s">
        <v>262</v>
      </c>
      <c r="M3517" t="s">
        <v>356</v>
      </c>
      <c r="N3517" s="73">
        <v>67262</v>
      </c>
      <c r="O3517" s="73">
        <v>67262</v>
      </c>
      <c r="P3517">
        <v>34.681374159610094</v>
      </c>
    </row>
    <row r="3518" spans="1:16" x14ac:dyDescent="0.2">
      <c r="A3518" s="73">
        <v>67262</v>
      </c>
      <c r="B3518" t="s">
        <v>350</v>
      </c>
      <c r="C3518" s="73" t="s">
        <v>496</v>
      </c>
      <c r="D3518" t="s">
        <v>497</v>
      </c>
      <c r="E3518" s="74">
        <v>46153</v>
      </c>
      <c r="F3518" t="s">
        <v>387</v>
      </c>
      <c r="G3518" t="s">
        <v>388</v>
      </c>
      <c r="H3518" s="75">
        <f t="shared" si="54"/>
        <v>69.362748319220188</v>
      </c>
      <c r="I3518" s="74">
        <v>46153</v>
      </c>
      <c r="J3518">
        <v>2</v>
      </c>
      <c r="K3518" t="s">
        <v>517</v>
      </c>
      <c r="L3518" t="s">
        <v>367</v>
      </c>
      <c r="M3518" t="s">
        <v>356</v>
      </c>
      <c r="N3518" s="73">
        <v>67262</v>
      </c>
      <c r="O3518" s="73">
        <v>67262</v>
      </c>
      <c r="P3518">
        <v>34.681374159610094</v>
      </c>
    </row>
    <row r="3519" spans="1:16" x14ac:dyDescent="0.2">
      <c r="A3519" s="73">
        <v>67262</v>
      </c>
      <c r="B3519" t="s">
        <v>350</v>
      </c>
      <c r="C3519" s="73" t="s">
        <v>496</v>
      </c>
      <c r="D3519" t="s">
        <v>497</v>
      </c>
      <c r="E3519" s="74">
        <v>46154</v>
      </c>
      <c r="F3519" t="s">
        <v>395</v>
      </c>
      <c r="G3519" t="s">
        <v>396</v>
      </c>
      <c r="H3519" s="75">
        <f t="shared" si="54"/>
        <v>138.72549663844038</v>
      </c>
      <c r="I3519" s="74">
        <v>46154</v>
      </c>
      <c r="J3519">
        <v>4</v>
      </c>
      <c r="K3519" t="s">
        <v>517</v>
      </c>
      <c r="L3519" t="s">
        <v>262</v>
      </c>
      <c r="M3519" t="s">
        <v>356</v>
      </c>
      <c r="N3519" s="73">
        <v>67262</v>
      </c>
      <c r="O3519" s="73">
        <v>67262</v>
      </c>
      <c r="P3519">
        <v>34.681374159610094</v>
      </c>
    </row>
    <row r="3520" spans="1:16" x14ac:dyDescent="0.2">
      <c r="A3520" s="73">
        <v>67262</v>
      </c>
      <c r="B3520" t="s">
        <v>350</v>
      </c>
      <c r="C3520" s="73" t="s">
        <v>496</v>
      </c>
      <c r="D3520" t="s">
        <v>497</v>
      </c>
      <c r="E3520" s="74">
        <v>46154</v>
      </c>
      <c r="F3520" t="s">
        <v>404</v>
      </c>
      <c r="G3520" t="s">
        <v>405</v>
      </c>
      <c r="H3520" s="75">
        <f t="shared" si="54"/>
        <v>242.76961911727065</v>
      </c>
      <c r="I3520" s="74">
        <v>46154</v>
      </c>
      <c r="J3520">
        <v>7</v>
      </c>
      <c r="K3520" t="s">
        <v>517</v>
      </c>
      <c r="L3520" t="s">
        <v>262</v>
      </c>
      <c r="M3520" t="s">
        <v>356</v>
      </c>
      <c r="N3520" s="73">
        <v>67262</v>
      </c>
      <c r="O3520" s="73">
        <v>67262</v>
      </c>
      <c r="P3520">
        <v>34.681374159610094</v>
      </c>
    </row>
    <row r="3521" spans="1:16" x14ac:dyDescent="0.2">
      <c r="A3521" s="73">
        <v>67262</v>
      </c>
      <c r="B3521" t="s">
        <v>350</v>
      </c>
      <c r="C3521" s="73" t="s">
        <v>496</v>
      </c>
      <c r="D3521" t="s">
        <v>497</v>
      </c>
      <c r="E3521" s="74">
        <v>46154</v>
      </c>
      <c r="F3521" t="s">
        <v>387</v>
      </c>
      <c r="G3521" t="s">
        <v>388</v>
      </c>
      <c r="H3521" s="75">
        <f t="shared" si="54"/>
        <v>69.362748319220188</v>
      </c>
      <c r="I3521" s="74">
        <v>46154</v>
      </c>
      <c r="J3521">
        <v>2</v>
      </c>
      <c r="K3521" t="s">
        <v>517</v>
      </c>
      <c r="L3521" t="s">
        <v>367</v>
      </c>
      <c r="M3521" t="s">
        <v>356</v>
      </c>
      <c r="N3521" s="73">
        <v>67262</v>
      </c>
      <c r="O3521" s="73">
        <v>67262</v>
      </c>
      <c r="P3521">
        <v>34.681374159610094</v>
      </c>
    </row>
    <row r="3522" spans="1:16" x14ac:dyDescent="0.2">
      <c r="A3522" s="73">
        <v>67262</v>
      </c>
      <c r="B3522" t="s">
        <v>350</v>
      </c>
      <c r="C3522" s="73" t="s">
        <v>496</v>
      </c>
      <c r="D3522" t="s">
        <v>497</v>
      </c>
      <c r="E3522" s="74">
        <v>46155</v>
      </c>
      <c r="F3522" t="s">
        <v>395</v>
      </c>
      <c r="G3522" t="s">
        <v>396</v>
      </c>
      <c r="H3522" s="75">
        <f t="shared" ref="H3522:H3585" si="55">J3522*P3522</f>
        <v>138.72549663844038</v>
      </c>
      <c r="I3522" s="74">
        <v>46155</v>
      </c>
      <c r="J3522">
        <v>4</v>
      </c>
      <c r="K3522" t="s">
        <v>517</v>
      </c>
      <c r="L3522" t="s">
        <v>262</v>
      </c>
      <c r="M3522" t="s">
        <v>356</v>
      </c>
      <c r="N3522" s="73">
        <v>67262</v>
      </c>
      <c r="O3522" s="73">
        <v>67262</v>
      </c>
      <c r="P3522">
        <v>34.681374159610094</v>
      </c>
    </row>
    <row r="3523" spans="1:16" x14ac:dyDescent="0.2">
      <c r="A3523" s="73">
        <v>67262</v>
      </c>
      <c r="B3523" t="s">
        <v>350</v>
      </c>
      <c r="C3523" s="73" t="s">
        <v>496</v>
      </c>
      <c r="D3523" t="s">
        <v>497</v>
      </c>
      <c r="E3523" s="74">
        <v>46155</v>
      </c>
      <c r="F3523" t="s">
        <v>404</v>
      </c>
      <c r="G3523" t="s">
        <v>405</v>
      </c>
      <c r="H3523" s="75">
        <f t="shared" si="55"/>
        <v>242.76961911727065</v>
      </c>
      <c r="I3523" s="74">
        <v>46155</v>
      </c>
      <c r="J3523">
        <v>7</v>
      </c>
      <c r="K3523" t="s">
        <v>517</v>
      </c>
      <c r="L3523" t="s">
        <v>262</v>
      </c>
      <c r="M3523" t="s">
        <v>356</v>
      </c>
      <c r="N3523" s="73">
        <v>67262</v>
      </c>
      <c r="O3523" s="73">
        <v>67262</v>
      </c>
      <c r="P3523">
        <v>34.681374159610094</v>
      </c>
    </row>
    <row r="3524" spans="1:16" x14ac:dyDescent="0.2">
      <c r="A3524" s="73">
        <v>67262</v>
      </c>
      <c r="B3524" t="s">
        <v>350</v>
      </c>
      <c r="C3524" s="73" t="s">
        <v>496</v>
      </c>
      <c r="D3524" t="s">
        <v>497</v>
      </c>
      <c r="E3524" s="74">
        <v>46155</v>
      </c>
      <c r="F3524" t="s">
        <v>387</v>
      </c>
      <c r="G3524" t="s">
        <v>388</v>
      </c>
      <c r="H3524" s="75">
        <f t="shared" si="55"/>
        <v>138.72549663844038</v>
      </c>
      <c r="I3524" s="74">
        <v>46155</v>
      </c>
      <c r="J3524">
        <v>4</v>
      </c>
      <c r="K3524" t="s">
        <v>517</v>
      </c>
      <c r="L3524" t="s">
        <v>367</v>
      </c>
      <c r="M3524" t="s">
        <v>356</v>
      </c>
      <c r="N3524" s="73">
        <v>67262</v>
      </c>
      <c r="O3524" s="73">
        <v>67262</v>
      </c>
      <c r="P3524">
        <v>34.681374159610094</v>
      </c>
    </row>
    <row r="3525" spans="1:16" x14ac:dyDescent="0.2">
      <c r="A3525" s="73">
        <v>67262</v>
      </c>
      <c r="B3525" t="s">
        <v>350</v>
      </c>
      <c r="C3525" s="73" t="s">
        <v>496</v>
      </c>
      <c r="D3525" t="s">
        <v>497</v>
      </c>
      <c r="E3525" s="74">
        <v>46156</v>
      </c>
      <c r="F3525" t="s">
        <v>395</v>
      </c>
      <c r="G3525" t="s">
        <v>396</v>
      </c>
      <c r="H3525" s="75">
        <f t="shared" si="55"/>
        <v>138.72549663844038</v>
      </c>
      <c r="I3525" s="74">
        <v>46156</v>
      </c>
      <c r="J3525">
        <v>4</v>
      </c>
      <c r="K3525" t="s">
        <v>517</v>
      </c>
      <c r="L3525" t="s">
        <v>262</v>
      </c>
      <c r="M3525" t="s">
        <v>356</v>
      </c>
      <c r="N3525" s="73">
        <v>67262</v>
      </c>
      <c r="O3525" s="73">
        <v>67262</v>
      </c>
      <c r="P3525">
        <v>34.681374159610094</v>
      </c>
    </row>
    <row r="3526" spans="1:16" x14ac:dyDescent="0.2">
      <c r="A3526" s="73">
        <v>67262</v>
      </c>
      <c r="B3526" t="s">
        <v>350</v>
      </c>
      <c r="C3526" s="73" t="s">
        <v>496</v>
      </c>
      <c r="D3526" t="s">
        <v>497</v>
      </c>
      <c r="E3526" s="74">
        <v>46156</v>
      </c>
      <c r="F3526" t="s">
        <v>387</v>
      </c>
      <c r="G3526" t="s">
        <v>388</v>
      </c>
      <c r="H3526" s="75">
        <f t="shared" si="55"/>
        <v>104.04412247883027</v>
      </c>
      <c r="I3526" s="74">
        <v>46156</v>
      </c>
      <c r="J3526">
        <v>3</v>
      </c>
      <c r="K3526" t="s">
        <v>517</v>
      </c>
      <c r="L3526" t="s">
        <v>367</v>
      </c>
      <c r="M3526" t="s">
        <v>356</v>
      </c>
      <c r="N3526" s="73">
        <v>67262</v>
      </c>
      <c r="O3526" s="73">
        <v>67262</v>
      </c>
      <c r="P3526">
        <v>34.681374159610094</v>
      </c>
    </row>
    <row r="3527" spans="1:16" x14ac:dyDescent="0.2">
      <c r="A3527" s="73">
        <v>67262</v>
      </c>
      <c r="B3527" t="s">
        <v>350</v>
      </c>
      <c r="C3527" s="73" t="s">
        <v>496</v>
      </c>
      <c r="D3527" t="s">
        <v>497</v>
      </c>
      <c r="E3527" s="74">
        <v>46157</v>
      </c>
      <c r="F3527" t="s">
        <v>395</v>
      </c>
      <c r="G3527" t="s">
        <v>396</v>
      </c>
      <c r="H3527" s="75">
        <f t="shared" si="55"/>
        <v>138.72549663844038</v>
      </c>
      <c r="I3527" s="74">
        <v>46157</v>
      </c>
      <c r="J3527">
        <v>4</v>
      </c>
      <c r="K3527" t="s">
        <v>517</v>
      </c>
      <c r="L3527" t="s">
        <v>262</v>
      </c>
      <c r="M3527" t="s">
        <v>356</v>
      </c>
      <c r="N3527" s="73">
        <v>67262</v>
      </c>
      <c r="O3527" s="73">
        <v>67262</v>
      </c>
      <c r="P3527">
        <v>34.681374159610094</v>
      </c>
    </row>
    <row r="3528" spans="1:16" x14ac:dyDescent="0.2">
      <c r="A3528" s="73">
        <v>67262</v>
      </c>
      <c r="B3528" t="s">
        <v>350</v>
      </c>
      <c r="C3528" s="73" t="s">
        <v>496</v>
      </c>
      <c r="D3528" t="s">
        <v>497</v>
      </c>
      <c r="E3528" s="74">
        <v>46157</v>
      </c>
      <c r="F3528" t="s">
        <v>404</v>
      </c>
      <c r="G3528" t="s">
        <v>405</v>
      </c>
      <c r="H3528" s="75">
        <f t="shared" si="55"/>
        <v>138.72549663844038</v>
      </c>
      <c r="I3528" s="74">
        <v>46157</v>
      </c>
      <c r="J3528">
        <v>4</v>
      </c>
      <c r="K3528" t="s">
        <v>517</v>
      </c>
      <c r="L3528" t="s">
        <v>262</v>
      </c>
      <c r="M3528" t="s">
        <v>356</v>
      </c>
      <c r="N3528" s="73">
        <v>67262</v>
      </c>
      <c r="O3528" s="73">
        <v>67262</v>
      </c>
      <c r="P3528">
        <v>34.681374159610094</v>
      </c>
    </row>
    <row r="3529" spans="1:16" x14ac:dyDescent="0.2">
      <c r="A3529" s="73">
        <v>67262</v>
      </c>
      <c r="B3529" t="s">
        <v>350</v>
      </c>
      <c r="C3529" s="73" t="s">
        <v>496</v>
      </c>
      <c r="D3529" t="s">
        <v>497</v>
      </c>
      <c r="E3529" s="74">
        <v>46160</v>
      </c>
      <c r="F3529" t="s">
        <v>395</v>
      </c>
      <c r="G3529" t="s">
        <v>396</v>
      </c>
      <c r="H3529" s="75">
        <f t="shared" si="55"/>
        <v>138.72549663844038</v>
      </c>
      <c r="I3529" s="74">
        <v>46160</v>
      </c>
      <c r="J3529">
        <v>4</v>
      </c>
      <c r="K3529" t="s">
        <v>517</v>
      </c>
      <c r="L3529" t="s">
        <v>262</v>
      </c>
      <c r="M3529" t="s">
        <v>356</v>
      </c>
      <c r="N3529" s="73">
        <v>67262</v>
      </c>
      <c r="O3529" s="73">
        <v>67262</v>
      </c>
      <c r="P3529">
        <v>34.681374159610094</v>
      </c>
    </row>
    <row r="3530" spans="1:16" x14ac:dyDescent="0.2">
      <c r="A3530" s="73">
        <v>67262</v>
      </c>
      <c r="B3530" t="s">
        <v>350</v>
      </c>
      <c r="C3530" s="73" t="s">
        <v>496</v>
      </c>
      <c r="D3530" t="s">
        <v>497</v>
      </c>
      <c r="E3530" s="74">
        <v>46161</v>
      </c>
      <c r="F3530" t="s">
        <v>395</v>
      </c>
      <c r="G3530" t="s">
        <v>396</v>
      </c>
      <c r="H3530" s="75">
        <f t="shared" si="55"/>
        <v>138.72549663844038</v>
      </c>
      <c r="I3530" s="74">
        <v>46161</v>
      </c>
      <c r="J3530">
        <v>4</v>
      </c>
      <c r="K3530" t="s">
        <v>517</v>
      </c>
      <c r="L3530" t="s">
        <v>262</v>
      </c>
      <c r="M3530" t="s">
        <v>356</v>
      </c>
      <c r="N3530" s="73">
        <v>67262</v>
      </c>
      <c r="O3530" s="73">
        <v>67262</v>
      </c>
      <c r="P3530">
        <v>34.681374159610094</v>
      </c>
    </row>
    <row r="3531" spans="1:16" x14ac:dyDescent="0.2">
      <c r="A3531" s="73">
        <v>67262</v>
      </c>
      <c r="B3531" t="s">
        <v>350</v>
      </c>
      <c r="C3531" s="73" t="s">
        <v>496</v>
      </c>
      <c r="D3531" t="s">
        <v>497</v>
      </c>
      <c r="E3531" s="74">
        <v>46161</v>
      </c>
      <c r="F3531" t="s">
        <v>387</v>
      </c>
      <c r="G3531" t="s">
        <v>388</v>
      </c>
      <c r="H3531" s="75">
        <f t="shared" si="55"/>
        <v>277.45099327688075</v>
      </c>
      <c r="I3531" s="74">
        <v>46161</v>
      </c>
      <c r="J3531">
        <v>8</v>
      </c>
      <c r="K3531" t="s">
        <v>517</v>
      </c>
      <c r="L3531" t="s">
        <v>367</v>
      </c>
      <c r="M3531" t="s">
        <v>356</v>
      </c>
      <c r="N3531" s="73">
        <v>67262</v>
      </c>
      <c r="O3531" s="73">
        <v>67262</v>
      </c>
      <c r="P3531">
        <v>34.681374159610094</v>
      </c>
    </row>
    <row r="3532" spans="1:16" x14ac:dyDescent="0.2">
      <c r="A3532" s="73">
        <v>67262</v>
      </c>
      <c r="B3532" t="s">
        <v>350</v>
      </c>
      <c r="C3532" s="73" t="s">
        <v>496</v>
      </c>
      <c r="D3532" t="s">
        <v>497</v>
      </c>
      <c r="E3532" s="74">
        <v>46161</v>
      </c>
      <c r="F3532" t="s">
        <v>404</v>
      </c>
      <c r="G3532" t="s">
        <v>405</v>
      </c>
      <c r="H3532" s="75">
        <f t="shared" si="55"/>
        <v>69.362748319220188</v>
      </c>
      <c r="I3532" s="74">
        <v>46161</v>
      </c>
      <c r="J3532">
        <v>2</v>
      </c>
      <c r="K3532" t="s">
        <v>517</v>
      </c>
      <c r="L3532" t="s">
        <v>262</v>
      </c>
      <c r="M3532" t="s">
        <v>356</v>
      </c>
      <c r="N3532" s="73">
        <v>67262</v>
      </c>
      <c r="O3532" s="73">
        <v>67262</v>
      </c>
      <c r="P3532">
        <v>34.681374159610094</v>
      </c>
    </row>
    <row r="3533" spans="1:16" x14ac:dyDescent="0.2">
      <c r="A3533" s="73">
        <v>67262</v>
      </c>
      <c r="B3533" t="s">
        <v>350</v>
      </c>
      <c r="C3533" s="73" t="s">
        <v>496</v>
      </c>
      <c r="D3533" t="s">
        <v>497</v>
      </c>
      <c r="E3533" s="74">
        <v>46162</v>
      </c>
      <c r="F3533" t="s">
        <v>395</v>
      </c>
      <c r="G3533" t="s">
        <v>396</v>
      </c>
      <c r="H3533" s="75">
        <f t="shared" si="55"/>
        <v>138.72549663844038</v>
      </c>
      <c r="I3533" s="74">
        <v>46162</v>
      </c>
      <c r="J3533">
        <v>4</v>
      </c>
      <c r="K3533" t="s">
        <v>517</v>
      </c>
      <c r="L3533" t="s">
        <v>262</v>
      </c>
      <c r="M3533" t="s">
        <v>356</v>
      </c>
      <c r="N3533" s="73">
        <v>67262</v>
      </c>
      <c r="O3533" s="73">
        <v>67262</v>
      </c>
      <c r="P3533">
        <v>34.681374159610094</v>
      </c>
    </row>
    <row r="3534" spans="1:16" x14ac:dyDescent="0.2">
      <c r="A3534" s="73">
        <v>67262</v>
      </c>
      <c r="B3534" t="s">
        <v>350</v>
      </c>
      <c r="C3534" s="73" t="s">
        <v>496</v>
      </c>
      <c r="D3534" t="s">
        <v>497</v>
      </c>
      <c r="E3534" s="74">
        <v>46162</v>
      </c>
      <c r="F3534" t="s">
        <v>404</v>
      </c>
      <c r="G3534" t="s">
        <v>405</v>
      </c>
      <c r="H3534" s="75">
        <f t="shared" si="55"/>
        <v>34.681374159610094</v>
      </c>
      <c r="I3534" s="74">
        <v>46162</v>
      </c>
      <c r="J3534">
        <v>1</v>
      </c>
      <c r="K3534" t="s">
        <v>517</v>
      </c>
      <c r="L3534" t="s">
        <v>262</v>
      </c>
      <c r="M3534" t="s">
        <v>356</v>
      </c>
      <c r="N3534" s="73">
        <v>67262</v>
      </c>
      <c r="O3534" s="73">
        <v>67262</v>
      </c>
      <c r="P3534">
        <v>34.681374159610094</v>
      </c>
    </row>
    <row r="3535" spans="1:16" x14ac:dyDescent="0.2">
      <c r="A3535" s="73">
        <v>67262</v>
      </c>
      <c r="B3535" t="s">
        <v>350</v>
      </c>
      <c r="C3535" s="73" t="s">
        <v>496</v>
      </c>
      <c r="D3535" t="s">
        <v>497</v>
      </c>
      <c r="E3535" s="74">
        <v>46163</v>
      </c>
      <c r="F3535" t="s">
        <v>395</v>
      </c>
      <c r="G3535" t="s">
        <v>396</v>
      </c>
      <c r="H3535" s="75">
        <f t="shared" si="55"/>
        <v>138.72549663844038</v>
      </c>
      <c r="I3535" s="74">
        <v>46163</v>
      </c>
      <c r="J3535">
        <v>4</v>
      </c>
      <c r="K3535" t="s">
        <v>517</v>
      </c>
      <c r="L3535" t="s">
        <v>262</v>
      </c>
      <c r="M3535" t="s">
        <v>356</v>
      </c>
      <c r="N3535" s="73">
        <v>67262</v>
      </c>
      <c r="O3535" s="73">
        <v>67262</v>
      </c>
      <c r="P3535">
        <v>34.681374159610094</v>
      </c>
    </row>
    <row r="3536" spans="1:16" x14ac:dyDescent="0.2">
      <c r="A3536" s="73">
        <v>67262</v>
      </c>
      <c r="B3536" t="s">
        <v>350</v>
      </c>
      <c r="C3536" s="73" t="s">
        <v>496</v>
      </c>
      <c r="D3536" t="s">
        <v>497</v>
      </c>
      <c r="E3536" s="74">
        <v>46163</v>
      </c>
      <c r="F3536" t="s">
        <v>404</v>
      </c>
      <c r="G3536" t="s">
        <v>405</v>
      </c>
      <c r="H3536" s="75">
        <f t="shared" si="55"/>
        <v>34.681374159610094</v>
      </c>
      <c r="I3536" s="74">
        <v>46163</v>
      </c>
      <c r="J3536">
        <v>1</v>
      </c>
      <c r="K3536" t="s">
        <v>517</v>
      </c>
      <c r="L3536" t="s">
        <v>262</v>
      </c>
      <c r="M3536" t="s">
        <v>356</v>
      </c>
      <c r="N3536" s="73">
        <v>67262</v>
      </c>
      <c r="O3536" s="73">
        <v>67262</v>
      </c>
      <c r="P3536">
        <v>34.681374159610094</v>
      </c>
    </row>
    <row r="3537" spans="1:16" x14ac:dyDescent="0.2">
      <c r="A3537" s="73">
        <v>67262</v>
      </c>
      <c r="B3537" t="s">
        <v>350</v>
      </c>
      <c r="C3537" s="73" t="s">
        <v>496</v>
      </c>
      <c r="D3537" t="s">
        <v>497</v>
      </c>
      <c r="E3537" s="74">
        <v>46164</v>
      </c>
      <c r="F3537" t="s">
        <v>395</v>
      </c>
      <c r="G3537" t="s">
        <v>396</v>
      </c>
      <c r="H3537" s="75">
        <f t="shared" si="55"/>
        <v>138.72549663844038</v>
      </c>
      <c r="I3537" s="74">
        <v>46164</v>
      </c>
      <c r="J3537">
        <v>4</v>
      </c>
      <c r="K3537" t="s">
        <v>517</v>
      </c>
      <c r="L3537" t="s">
        <v>262</v>
      </c>
      <c r="M3537" t="s">
        <v>356</v>
      </c>
      <c r="N3537" s="73">
        <v>67262</v>
      </c>
      <c r="O3537" s="73">
        <v>67262</v>
      </c>
      <c r="P3537">
        <v>34.681374159610094</v>
      </c>
    </row>
    <row r="3538" spans="1:16" x14ac:dyDescent="0.2">
      <c r="A3538" s="73">
        <v>67262</v>
      </c>
      <c r="B3538" t="s">
        <v>350</v>
      </c>
      <c r="C3538" s="73" t="s">
        <v>496</v>
      </c>
      <c r="D3538" t="s">
        <v>497</v>
      </c>
      <c r="E3538" s="74">
        <v>46164</v>
      </c>
      <c r="F3538" t="s">
        <v>387</v>
      </c>
      <c r="G3538" t="s">
        <v>388</v>
      </c>
      <c r="H3538" s="75">
        <f t="shared" si="55"/>
        <v>208.08824495766055</v>
      </c>
      <c r="I3538" s="74">
        <v>46164</v>
      </c>
      <c r="J3538">
        <v>6</v>
      </c>
      <c r="K3538" t="s">
        <v>517</v>
      </c>
      <c r="L3538" t="s">
        <v>367</v>
      </c>
      <c r="M3538" t="s">
        <v>356</v>
      </c>
      <c r="N3538" s="73">
        <v>67262</v>
      </c>
      <c r="O3538" s="73">
        <v>67262</v>
      </c>
      <c r="P3538">
        <v>34.681374159610094</v>
      </c>
    </row>
    <row r="3539" spans="1:16" x14ac:dyDescent="0.2">
      <c r="A3539" s="73">
        <v>67262</v>
      </c>
      <c r="B3539" t="s">
        <v>350</v>
      </c>
      <c r="C3539" s="73" t="s">
        <v>496</v>
      </c>
      <c r="D3539" t="s">
        <v>497</v>
      </c>
      <c r="E3539" s="74">
        <v>46164</v>
      </c>
      <c r="F3539" t="s">
        <v>404</v>
      </c>
      <c r="G3539" t="s">
        <v>405</v>
      </c>
      <c r="H3539" s="75">
        <f t="shared" si="55"/>
        <v>34.681374159610094</v>
      </c>
      <c r="I3539" s="74">
        <v>46164</v>
      </c>
      <c r="J3539">
        <v>1</v>
      </c>
      <c r="K3539" t="s">
        <v>517</v>
      </c>
      <c r="L3539" t="s">
        <v>262</v>
      </c>
      <c r="M3539" t="s">
        <v>356</v>
      </c>
      <c r="N3539" s="73">
        <v>67262</v>
      </c>
      <c r="O3539" s="73">
        <v>67262</v>
      </c>
      <c r="P3539">
        <v>34.681374159610094</v>
      </c>
    </row>
    <row r="3540" spans="1:16" x14ac:dyDescent="0.2">
      <c r="A3540" s="73">
        <v>67262</v>
      </c>
      <c r="B3540" t="s">
        <v>350</v>
      </c>
      <c r="C3540" s="73" t="s">
        <v>496</v>
      </c>
      <c r="D3540" t="s">
        <v>497</v>
      </c>
      <c r="E3540" s="74">
        <v>46167</v>
      </c>
      <c r="F3540" t="s">
        <v>395</v>
      </c>
      <c r="G3540" t="s">
        <v>396</v>
      </c>
      <c r="H3540" s="75">
        <f t="shared" si="55"/>
        <v>138.72549663844038</v>
      </c>
      <c r="I3540" s="74">
        <v>46167</v>
      </c>
      <c r="J3540">
        <v>4</v>
      </c>
      <c r="K3540" t="s">
        <v>517</v>
      </c>
      <c r="L3540" t="s">
        <v>262</v>
      </c>
      <c r="M3540" t="s">
        <v>356</v>
      </c>
      <c r="N3540" s="73">
        <v>67262</v>
      </c>
      <c r="O3540" s="73">
        <v>67262</v>
      </c>
      <c r="P3540">
        <v>34.681374159610094</v>
      </c>
    </row>
    <row r="3541" spans="1:16" x14ac:dyDescent="0.2">
      <c r="A3541" s="73">
        <v>67262</v>
      </c>
      <c r="B3541" t="s">
        <v>350</v>
      </c>
      <c r="C3541" s="73" t="s">
        <v>496</v>
      </c>
      <c r="D3541" t="s">
        <v>497</v>
      </c>
      <c r="E3541" s="74">
        <v>46167</v>
      </c>
      <c r="F3541" t="s">
        <v>387</v>
      </c>
      <c r="G3541" t="s">
        <v>388</v>
      </c>
      <c r="H3541" s="75">
        <f t="shared" si="55"/>
        <v>242.76961911727065</v>
      </c>
      <c r="I3541" s="74">
        <v>46167</v>
      </c>
      <c r="J3541">
        <v>7</v>
      </c>
      <c r="K3541" t="s">
        <v>517</v>
      </c>
      <c r="L3541" t="s">
        <v>367</v>
      </c>
      <c r="M3541" t="s">
        <v>356</v>
      </c>
      <c r="N3541" s="73">
        <v>67262</v>
      </c>
      <c r="O3541" s="73">
        <v>67262</v>
      </c>
      <c r="P3541">
        <v>34.681374159610094</v>
      </c>
    </row>
    <row r="3542" spans="1:16" x14ac:dyDescent="0.2">
      <c r="A3542" s="73">
        <v>67262</v>
      </c>
      <c r="B3542" t="s">
        <v>350</v>
      </c>
      <c r="C3542" s="73" t="s">
        <v>496</v>
      </c>
      <c r="D3542" t="s">
        <v>497</v>
      </c>
      <c r="E3542" s="74">
        <v>46168</v>
      </c>
      <c r="F3542" t="s">
        <v>395</v>
      </c>
      <c r="G3542" t="s">
        <v>396</v>
      </c>
      <c r="H3542" s="75">
        <f t="shared" si="55"/>
        <v>208.08824495766055</v>
      </c>
      <c r="I3542" s="74">
        <v>46168</v>
      </c>
      <c r="J3542">
        <v>6</v>
      </c>
      <c r="K3542" t="s">
        <v>517</v>
      </c>
      <c r="L3542" t="s">
        <v>262</v>
      </c>
      <c r="M3542" t="s">
        <v>356</v>
      </c>
      <c r="N3542" s="73">
        <v>67262</v>
      </c>
      <c r="O3542" s="73">
        <v>67262</v>
      </c>
      <c r="P3542">
        <v>34.681374159610094</v>
      </c>
    </row>
    <row r="3543" spans="1:16" x14ac:dyDescent="0.2">
      <c r="A3543" s="73">
        <v>67262</v>
      </c>
      <c r="B3543" t="s">
        <v>350</v>
      </c>
      <c r="C3543" s="73" t="s">
        <v>496</v>
      </c>
      <c r="D3543" t="s">
        <v>497</v>
      </c>
      <c r="E3543" s="74">
        <v>46168</v>
      </c>
      <c r="F3543" t="s">
        <v>387</v>
      </c>
      <c r="G3543" t="s">
        <v>388</v>
      </c>
      <c r="H3543" s="75">
        <f t="shared" si="55"/>
        <v>242.76961911727065</v>
      </c>
      <c r="I3543" s="74">
        <v>46168</v>
      </c>
      <c r="J3543">
        <v>7</v>
      </c>
      <c r="K3543" t="s">
        <v>517</v>
      </c>
      <c r="L3543" t="s">
        <v>367</v>
      </c>
      <c r="M3543" t="s">
        <v>356</v>
      </c>
      <c r="N3543" s="73">
        <v>67262</v>
      </c>
      <c r="O3543" s="73">
        <v>67262</v>
      </c>
      <c r="P3543">
        <v>34.681374159610094</v>
      </c>
    </row>
    <row r="3544" spans="1:16" x14ac:dyDescent="0.2">
      <c r="A3544" s="73">
        <v>67262</v>
      </c>
      <c r="B3544" t="s">
        <v>350</v>
      </c>
      <c r="C3544" s="73" t="s">
        <v>496</v>
      </c>
      <c r="D3544" t="s">
        <v>497</v>
      </c>
      <c r="E3544" s="74">
        <v>46169</v>
      </c>
      <c r="F3544" t="s">
        <v>395</v>
      </c>
      <c r="G3544" t="s">
        <v>396</v>
      </c>
      <c r="H3544" s="75">
        <f t="shared" si="55"/>
        <v>208.08824495766055</v>
      </c>
      <c r="I3544" s="74">
        <v>46169</v>
      </c>
      <c r="J3544">
        <v>6</v>
      </c>
      <c r="K3544" t="s">
        <v>517</v>
      </c>
      <c r="L3544" t="s">
        <v>262</v>
      </c>
      <c r="M3544" t="s">
        <v>356</v>
      </c>
      <c r="N3544" s="73">
        <v>67262</v>
      </c>
      <c r="O3544" s="73">
        <v>67262</v>
      </c>
      <c r="P3544">
        <v>34.681374159610094</v>
      </c>
    </row>
    <row r="3545" spans="1:16" x14ac:dyDescent="0.2">
      <c r="A3545" s="73">
        <v>67262</v>
      </c>
      <c r="B3545" t="s">
        <v>350</v>
      </c>
      <c r="C3545" s="73" t="s">
        <v>496</v>
      </c>
      <c r="D3545" t="s">
        <v>497</v>
      </c>
      <c r="E3545" s="74">
        <v>46169</v>
      </c>
      <c r="F3545" t="s">
        <v>387</v>
      </c>
      <c r="G3545" t="s">
        <v>388</v>
      </c>
      <c r="H3545" s="75">
        <f t="shared" si="55"/>
        <v>312.13236743649082</v>
      </c>
      <c r="I3545" s="74">
        <v>46169</v>
      </c>
      <c r="J3545">
        <v>9</v>
      </c>
      <c r="K3545" t="s">
        <v>517</v>
      </c>
      <c r="L3545" t="s">
        <v>367</v>
      </c>
      <c r="M3545" t="s">
        <v>356</v>
      </c>
      <c r="N3545" s="73">
        <v>67262</v>
      </c>
      <c r="O3545" s="73">
        <v>67262</v>
      </c>
      <c r="P3545">
        <v>34.681374159610094</v>
      </c>
    </row>
    <row r="3546" spans="1:16" x14ac:dyDescent="0.2">
      <c r="A3546" s="73">
        <v>67262</v>
      </c>
      <c r="B3546" t="s">
        <v>350</v>
      </c>
      <c r="C3546" s="73" t="s">
        <v>496</v>
      </c>
      <c r="D3546" t="s">
        <v>497</v>
      </c>
      <c r="E3546" s="74">
        <v>46170</v>
      </c>
      <c r="F3546" t="s">
        <v>387</v>
      </c>
      <c r="G3546" t="s">
        <v>388</v>
      </c>
      <c r="H3546" s="75">
        <f t="shared" si="55"/>
        <v>208.08824495766055</v>
      </c>
      <c r="I3546" s="74">
        <v>46170</v>
      </c>
      <c r="J3546">
        <v>6</v>
      </c>
      <c r="K3546" t="s">
        <v>517</v>
      </c>
      <c r="L3546" t="s">
        <v>367</v>
      </c>
      <c r="M3546" t="s">
        <v>356</v>
      </c>
      <c r="N3546" s="73">
        <v>67262</v>
      </c>
      <c r="O3546" s="73">
        <v>67262</v>
      </c>
      <c r="P3546">
        <v>34.681374159610094</v>
      </c>
    </row>
    <row r="3547" spans="1:16" x14ac:dyDescent="0.2">
      <c r="A3547" s="73">
        <v>67262</v>
      </c>
      <c r="B3547" t="s">
        <v>350</v>
      </c>
      <c r="C3547" s="73" t="s">
        <v>496</v>
      </c>
      <c r="D3547" t="s">
        <v>497</v>
      </c>
      <c r="E3547" s="74">
        <v>46171</v>
      </c>
      <c r="F3547" t="s">
        <v>387</v>
      </c>
      <c r="G3547" t="s">
        <v>388</v>
      </c>
      <c r="H3547" s="75">
        <f t="shared" si="55"/>
        <v>69.362748319220188</v>
      </c>
      <c r="I3547" s="74">
        <v>46171</v>
      </c>
      <c r="J3547">
        <v>2</v>
      </c>
      <c r="K3547" t="s">
        <v>517</v>
      </c>
      <c r="L3547" t="s">
        <v>367</v>
      </c>
      <c r="M3547" t="s">
        <v>356</v>
      </c>
      <c r="N3547" s="73">
        <v>67262</v>
      </c>
      <c r="O3547" s="73">
        <v>67262</v>
      </c>
      <c r="P3547">
        <v>34.681374159610094</v>
      </c>
    </row>
    <row r="3548" spans="1:16" x14ac:dyDescent="0.2">
      <c r="A3548" s="73">
        <v>67262</v>
      </c>
      <c r="B3548" t="s">
        <v>350</v>
      </c>
      <c r="C3548" s="73" t="s">
        <v>496</v>
      </c>
      <c r="D3548" t="s">
        <v>497</v>
      </c>
      <c r="E3548" s="74">
        <v>46175</v>
      </c>
      <c r="F3548" t="s">
        <v>387</v>
      </c>
      <c r="G3548" t="s">
        <v>388</v>
      </c>
      <c r="H3548" s="75">
        <f t="shared" si="55"/>
        <v>69.362748319220188</v>
      </c>
      <c r="I3548" s="74">
        <v>46175</v>
      </c>
      <c r="J3548">
        <v>2</v>
      </c>
      <c r="K3548" t="s">
        <v>518</v>
      </c>
      <c r="L3548" t="s">
        <v>367</v>
      </c>
      <c r="M3548" t="s">
        <v>356</v>
      </c>
      <c r="N3548" s="73">
        <v>67262</v>
      </c>
      <c r="O3548" s="73">
        <v>67262</v>
      </c>
      <c r="P3548">
        <v>34.681374159610094</v>
      </c>
    </row>
    <row r="3549" spans="1:16" x14ac:dyDescent="0.2">
      <c r="A3549" s="73">
        <v>67262</v>
      </c>
      <c r="B3549" t="s">
        <v>350</v>
      </c>
      <c r="C3549" s="73" t="s">
        <v>496</v>
      </c>
      <c r="D3549" t="s">
        <v>497</v>
      </c>
      <c r="E3549" s="74">
        <v>46176</v>
      </c>
      <c r="F3549" t="s">
        <v>387</v>
      </c>
      <c r="G3549" t="s">
        <v>388</v>
      </c>
      <c r="H3549" s="75">
        <f t="shared" si="55"/>
        <v>173.40687079805048</v>
      </c>
      <c r="I3549" s="74">
        <v>46176</v>
      </c>
      <c r="J3549">
        <v>5</v>
      </c>
      <c r="K3549" t="s">
        <v>518</v>
      </c>
      <c r="L3549" t="s">
        <v>367</v>
      </c>
      <c r="M3549" t="s">
        <v>356</v>
      </c>
      <c r="N3549" s="73">
        <v>67262</v>
      </c>
      <c r="O3549" s="73">
        <v>67262</v>
      </c>
      <c r="P3549">
        <v>34.681374159610094</v>
      </c>
    </row>
    <row r="3550" spans="1:16" x14ac:dyDescent="0.2">
      <c r="A3550" s="73">
        <v>67262</v>
      </c>
      <c r="B3550" t="s">
        <v>350</v>
      </c>
      <c r="C3550" s="73" t="s">
        <v>496</v>
      </c>
      <c r="D3550" t="s">
        <v>497</v>
      </c>
      <c r="E3550" s="74">
        <v>46177</v>
      </c>
      <c r="F3550" t="s">
        <v>387</v>
      </c>
      <c r="G3550" t="s">
        <v>388</v>
      </c>
      <c r="H3550" s="75">
        <f t="shared" si="55"/>
        <v>138.72549663844038</v>
      </c>
      <c r="I3550" s="74">
        <v>46177</v>
      </c>
      <c r="J3550">
        <v>4</v>
      </c>
      <c r="K3550" t="s">
        <v>518</v>
      </c>
      <c r="L3550" t="s">
        <v>367</v>
      </c>
      <c r="M3550" t="s">
        <v>356</v>
      </c>
      <c r="N3550" s="73">
        <v>67262</v>
      </c>
      <c r="O3550" s="73">
        <v>67262</v>
      </c>
      <c r="P3550">
        <v>34.681374159610094</v>
      </c>
    </row>
    <row r="3551" spans="1:16" hidden="1" x14ac:dyDescent="0.2">
      <c r="A3551" s="73">
        <v>68097</v>
      </c>
      <c r="B3551" t="s">
        <v>491</v>
      </c>
      <c r="C3551" s="73" t="s">
        <v>498</v>
      </c>
      <c r="D3551" t="s">
        <v>499</v>
      </c>
      <c r="E3551" s="74">
        <v>46111</v>
      </c>
      <c r="F3551" t="s">
        <v>410</v>
      </c>
      <c r="G3551" t="s">
        <v>411</v>
      </c>
      <c r="H3551" s="75">
        <f t="shared" si="55"/>
        <v>242.76961911727065</v>
      </c>
      <c r="I3551" s="74">
        <v>46111</v>
      </c>
      <c r="J3551">
        <v>7</v>
      </c>
      <c r="K3551" t="s">
        <v>509</v>
      </c>
      <c r="L3551" t="s">
        <v>262</v>
      </c>
      <c r="M3551" t="s">
        <v>356</v>
      </c>
      <c r="N3551" s="73">
        <v>68097</v>
      </c>
      <c r="O3551" s="73">
        <v>68097</v>
      </c>
      <c r="P3551">
        <v>34.681374159610094</v>
      </c>
    </row>
    <row r="3552" spans="1:16" hidden="1" x14ac:dyDescent="0.2">
      <c r="A3552" s="73">
        <v>68097</v>
      </c>
      <c r="B3552" t="s">
        <v>491</v>
      </c>
      <c r="C3552" s="73" t="s">
        <v>498</v>
      </c>
      <c r="D3552" t="s">
        <v>499</v>
      </c>
      <c r="E3552" s="74">
        <v>46113</v>
      </c>
      <c r="F3552" t="s">
        <v>410</v>
      </c>
      <c r="G3552" t="s">
        <v>411</v>
      </c>
      <c r="H3552" s="75">
        <f t="shared" si="55"/>
        <v>242.76961911727065</v>
      </c>
      <c r="I3552" s="74">
        <v>46113</v>
      </c>
      <c r="J3552">
        <v>7</v>
      </c>
      <c r="K3552" t="s">
        <v>510</v>
      </c>
      <c r="L3552" t="s">
        <v>262</v>
      </c>
      <c r="M3552" t="s">
        <v>356</v>
      </c>
      <c r="N3552" s="73">
        <v>68097</v>
      </c>
      <c r="O3552" s="73">
        <v>68097</v>
      </c>
      <c r="P3552">
        <v>34.681374159610094</v>
      </c>
    </row>
    <row r="3553" spans="1:16" hidden="1" x14ac:dyDescent="0.2">
      <c r="A3553" s="73">
        <v>68097</v>
      </c>
      <c r="B3553" t="s">
        <v>491</v>
      </c>
      <c r="C3553" s="73" t="s">
        <v>498</v>
      </c>
      <c r="D3553" t="s">
        <v>499</v>
      </c>
      <c r="E3553" s="74">
        <v>46167</v>
      </c>
      <c r="F3553" t="s">
        <v>357</v>
      </c>
      <c r="G3553" t="s">
        <v>358</v>
      </c>
      <c r="H3553" s="75">
        <f t="shared" si="55"/>
        <v>277.45099327688075</v>
      </c>
      <c r="I3553" s="74">
        <v>46167</v>
      </c>
      <c r="J3553">
        <v>8</v>
      </c>
      <c r="K3553" t="s">
        <v>517</v>
      </c>
      <c r="L3553" t="s">
        <v>359</v>
      </c>
      <c r="M3553" t="s">
        <v>356</v>
      </c>
      <c r="N3553" s="73">
        <v>68097</v>
      </c>
      <c r="O3553" s="73">
        <v>68097</v>
      </c>
      <c r="P3553">
        <v>34.681374159610094</v>
      </c>
    </row>
    <row r="3554" spans="1:16" hidden="1" x14ac:dyDescent="0.2">
      <c r="A3554" s="73">
        <v>68097</v>
      </c>
      <c r="B3554" t="s">
        <v>491</v>
      </c>
      <c r="C3554" s="73" t="s">
        <v>498</v>
      </c>
      <c r="D3554" t="s">
        <v>499</v>
      </c>
      <c r="E3554" s="74">
        <v>46168</v>
      </c>
      <c r="F3554" t="s">
        <v>357</v>
      </c>
      <c r="G3554" t="s">
        <v>358</v>
      </c>
      <c r="H3554" s="75">
        <f t="shared" si="55"/>
        <v>277.45099327688075</v>
      </c>
      <c r="I3554" s="74">
        <v>46168</v>
      </c>
      <c r="J3554">
        <v>8</v>
      </c>
      <c r="K3554" t="s">
        <v>517</v>
      </c>
      <c r="L3554" t="s">
        <v>359</v>
      </c>
      <c r="M3554" t="s">
        <v>356</v>
      </c>
      <c r="N3554" s="73">
        <v>68097</v>
      </c>
      <c r="O3554" s="73">
        <v>68097</v>
      </c>
      <c r="P3554">
        <v>34.681374159610094</v>
      </c>
    </row>
    <row r="3555" spans="1:16" hidden="1" x14ac:dyDescent="0.2">
      <c r="A3555" s="73">
        <v>68097</v>
      </c>
      <c r="B3555" t="s">
        <v>491</v>
      </c>
      <c r="C3555" s="73" t="s">
        <v>498</v>
      </c>
      <c r="D3555" t="s">
        <v>499</v>
      </c>
      <c r="E3555" s="74">
        <v>46169</v>
      </c>
      <c r="F3555" t="s">
        <v>357</v>
      </c>
      <c r="G3555" t="s">
        <v>358</v>
      </c>
      <c r="H3555" s="75">
        <f t="shared" si="55"/>
        <v>277.45099327688075</v>
      </c>
      <c r="I3555" s="74">
        <v>46169</v>
      </c>
      <c r="J3555">
        <v>8</v>
      </c>
      <c r="K3555" t="s">
        <v>517</v>
      </c>
      <c r="L3555" t="s">
        <v>359</v>
      </c>
      <c r="M3555" t="s">
        <v>356</v>
      </c>
      <c r="N3555" s="73">
        <v>68097</v>
      </c>
      <c r="O3555" s="73">
        <v>68097</v>
      </c>
      <c r="P3555">
        <v>34.681374159610094</v>
      </c>
    </row>
    <row r="3556" spans="1:16" hidden="1" x14ac:dyDescent="0.2">
      <c r="A3556" s="73">
        <v>68097</v>
      </c>
      <c r="B3556" t="s">
        <v>491</v>
      </c>
      <c r="C3556" s="73" t="s">
        <v>498</v>
      </c>
      <c r="D3556" t="s">
        <v>499</v>
      </c>
      <c r="E3556" s="74">
        <v>46170</v>
      </c>
      <c r="F3556" t="s">
        <v>357</v>
      </c>
      <c r="G3556" t="s">
        <v>358</v>
      </c>
      <c r="H3556" s="75">
        <f t="shared" si="55"/>
        <v>277.45099327688075</v>
      </c>
      <c r="I3556" s="74">
        <v>46170</v>
      </c>
      <c r="J3556">
        <v>8</v>
      </c>
      <c r="K3556" t="s">
        <v>517</v>
      </c>
      <c r="L3556" t="s">
        <v>359</v>
      </c>
      <c r="M3556" t="s">
        <v>356</v>
      </c>
      <c r="N3556" s="73">
        <v>68097</v>
      </c>
      <c r="O3556" s="73">
        <v>68097</v>
      </c>
      <c r="P3556">
        <v>34.681374159610094</v>
      </c>
    </row>
    <row r="3557" spans="1:16" hidden="1" x14ac:dyDescent="0.2">
      <c r="A3557" s="73">
        <v>68097</v>
      </c>
      <c r="B3557" t="s">
        <v>491</v>
      </c>
      <c r="C3557" s="73" t="s">
        <v>492</v>
      </c>
      <c r="D3557" t="s">
        <v>493</v>
      </c>
      <c r="E3557" s="74">
        <v>46154</v>
      </c>
      <c r="F3557" t="s">
        <v>414</v>
      </c>
      <c r="G3557" t="s">
        <v>415</v>
      </c>
      <c r="H3557" s="75">
        <f t="shared" si="55"/>
        <v>312.13236743649082</v>
      </c>
      <c r="I3557" s="74">
        <v>46154</v>
      </c>
      <c r="J3557">
        <v>9</v>
      </c>
      <c r="K3557" t="s">
        <v>517</v>
      </c>
      <c r="L3557" t="s">
        <v>262</v>
      </c>
      <c r="M3557" t="s">
        <v>356</v>
      </c>
      <c r="N3557" s="73">
        <v>68097</v>
      </c>
      <c r="O3557" s="73">
        <v>68097</v>
      </c>
      <c r="P3557">
        <v>34.681374159610094</v>
      </c>
    </row>
    <row r="3558" spans="1:16" hidden="1" x14ac:dyDescent="0.2">
      <c r="A3558" s="73">
        <v>68097</v>
      </c>
      <c r="B3558" t="s">
        <v>491</v>
      </c>
      <c r="C3558" s="73" t="s">
        <v>498</v>
      </c>
      <c r="D3558" t="s">
        <v>499</v>
      </c>
      <c r="E3558" s="74">
        <v>46171</v>
      </c>
      <c r="F3558" t="s">
        <v>357</v>
      </c>
      <c r="G3558" t="s">
        <v>358</v>
      </c>
      <c r="H3558" s="75">
        <f t="shared" si="55"/>
        <v>277.45099327688075</v>
      </c>
      <c r="I3558" s="74">
        <v>46171</v>
      </c>
      <c r="J3558">
        <v>8</v>
      </c>
      <c r="K3558" t="s">
        <v>517</v>
      </c>
      <c r="L3558" t="s">
        <v>359</v>
      </c>
      <c r="M3558" t="s">
        <v>356</v>
      </c>
      <c r="N3558" s="73">
        <v>68097</v>
      </c>
      <c r="O3558" s="73">
        <v>68097</v>
      </c>
      <c r="P3558">
        <v>34.681374159610094</v>
      </c>
    </row>
    <row r="3559" spans="1:16" hidden="1" x14ac:dyDescent="0.2">
      <c r="A3559" s="73">
        <v>68097</v>
      </c>
      <c r="B3559" t="s">
        <v>491</v>
      </c>
      <c r="C3559" s="73" t="s">
        <v>498</v>
      </c>
      <c r="D3559" t="s">
        <v>499</v>
      </c>
      <c r="E3559" s="74">
        <v>46174</v>
      </c>
      <c r="F3559" t="s">
        <v>360</v>
      </c>
      <c r="G3559" t="s">
        <v>361</v>
      </c>
      <c r="H3559" s="75">
        <f t="shared" si="55"/>
        <v>277.45099327688075</v>
      </c>
      <c r="I3559" s="74">
        <v>46174</v>
      </c>
      <c r="J3559">
        <v>8</v>
      </c>
      <c r="K3559" t="s">
        <v>518</v>
      </c>
      <c r="L3559" t="s">
        <v>262</v>
      </c>
      <c r="M3559" t="s">
        <v>356</v>
      </c>
      <c r="N3559" s="73">
        <v>68097</v>
      </c>
      <c r="O3559" s="73">
        <v>68097</v>
      </c>
      <c r="P3559">
        <v>34.681374159610094</v>
      </c>
    </row>
    <row r="3560" spans="1:16" hidden="1" x14ac:dyDescent="0.2">
      <c r="A3560" s="73">
        <v>68097</v>
      </c>
      <c r="B3560" t="s">
        <v>491</v>
      </c>
      <c r="C3560" s="73" t="s">
        <v>498</v>
      </c>
      <c r="D3560" t="s">
        <v>499</v>
      </c>
      <c r="E3560" s="74">
        <v>46174</v>
      </c>
      <c r="F3560" t="s">
        <v>353</v>
      </c>
      <c r="G3560" t="s">
        <v>354</v>
      </c>
      <c r="H3560" s="75">
        <f t="shared" si="55"/>
        <v>277.45099327688075</v>
      </c>
      <c r="I3560" s="74">
        <v>46174</v>
      </c>
      <c r="J3560">
        <v>8</v>
      </c>
      <c r="K3560" t="s">
        <v>518</v>
      </c>
      <c r="L3560" t="s">
        <v>355</v>
      </c>
      <c r="M3560" t="s">
        <v>356</v>
      </c>
      <c r="N3560" s="73">
        <v>68097</v>
      </c>
      <c r="O3560" s="73">
        <v>68097</v>
      </c>
      <c r="P3560">
        <v>34.681374159610094</v>
      </c>
    </row>
    <row r="3561" spans="1:16" hidden="1" x14ac:dyDescent="0.2">
      <c r="A3561" s="73">
        <v>68097</v>
      </c>
      <c r="B3561" t="s">
        <v>491</v>
      </c>
      <c r="C3561" s="73" t="s">
        <v>498</v>
      </c>
      <c r="D3561" t="s">
        <v>499</v>
      </c>
      <c r="E3561" s="74">
        <v>46174</v>
      </c>
      <c r="F3561" t="s">
        <v>357</v>
      </c>
      <c r="G3561" t="s">
        <v>358</v>
      </c>
      <c r="H3561" s="75">
        <f t="shared" si="55"/>
        <v>277.45099327688075</v>
      </c>
      <c r="I3561" s="74">
        <v>46174</v>
      </c>
      <c r="J3561">
        <v>8</v>
      </c>
      <c r="K3561" t="s">
        <v>518</v>
      </c>
      <c r="L3561" t="s">
        <v>359</v>
      </c>
      <c r="M3561" t="s">
        <v>356</v>
      </c>
      <c r="N3561" s="73">
        <v>68097</v>
      </c>
      <c r="O3561" s="73">
        <v>68097</v>
      </c>
      <c r="P3561">
        <v>34.681374159610094</v>
      </c>
    </row>
    <row r="3562" spans="1:16" hidden="1" x14ac:dyDescent="0.2">
      <c r="A3562" s="73">
        <v>68097</v>
      </c>
      <c r="B3562" t="s">
        <v>491</v>
      </c>
      <c r="C3562" s="73" t="s">
        <v>498</v>
      </c>
      <c r="D3562" t="s">
        <v>499</v>
      </c>
      <c r="E3562" s="74">
        <v>46175</v>
      </c>
      <c r="F3562" t="s">
        <v>360</v>
      </c>
      <c r="G3562" t="s">
        <v>361</v>
      </c>
      <c r="H3562" s="75">
        <f t="shared" si="55"/>
        <v>277.45099327688075</v>
      </c>
      <c r="I3562" s="74">
        <v>46175</v>
      </c>
      <c r="J3562">
        <v>8</v>
      </c>
      <c r="K3562" t="s">
        <v>518</v>
      </c>
      <c r="L3562" t="s">
        <v>262</v>
      </c>
      <c r="M3562" t="s">
        <v>356</v>
      </c>
      <c r="N3562" s="73">
        <v>68097</v>
      </c>
      <c r="O3562" s="73">
        <v>68097</v>
      </c>
      <c r="P3562">
        <v>34.681374159610094</v>
      </c>
    </row>
    <row r="3563" spans="1:16" hidden="1" x14ac:dyDescent="0.2">
      <c r="A3563" s="73">
        <v>68097</v>
      </c>
      <c r="B3563" t="s">
        <v>491</v>
      </c>
      <c r="C3563" s="73" t="s">
        <v>498</v>
      </c>
      <c r="D3563" t="s">
        <v>499</v>
      </c>
      <c r="E3563" s="74">
        <v>46175</v>
      </c>
      <c r="F3563" t="s">
        <v>353</v>
      </c>
      <c r="G3563" t="s">
        <v>354</v>
      </c>
      <c r="H3563" s="75">
        <f t="shared" si="55"/>
        <v>277.45099327688075</v>
      </c>
      <c r="I3563" s="74">
        <v>46175</v>
      </c>
      <c r="J3563">
        <v>8</v>
      </c>
      <c r="K3563" t="s">
        <v>518</v>
      </c>
      <c r="L3563" t="s">
        <v>355</v>
      </c>
      <c r="M3563" t="s">
        <v>356</v>
      </c>
      <c r="N3563" s="73">
        <v>68097</v>
      </c>
      <c r="O3563" s="73">
        <v>68097</v>
      </c>
      <c r="P3563">
        <v>34.681374159610094</v>
      </c>
    </row>
    <row r="3564" spans="1:16" hidden="1" x14ac:dyDescent="0.2">
      <c r="A3564" s="73">
        <v>68097</v>
      </c>
      <c r="B3564" t="s">
        <v>491</v>
      </c>
      <c r="C3564" s="73" t="s">
        <v>498</v>
      </c>
      <c r="D3564" t="s">
        <v>499</v>
      </c>
      <c r="E3564" s="74">
        <v>46175</v>
      </c>
      <c r="F3564" t="s">
        <v>357</v>
      </c>
      <c r="G3564" t="s">
        <v>358</v>
      </c>
      <c r="H3564" s="75">
        <f t="shared" si="55"/>
        <v>277.45099327688075</v>
      </c>
      <c r="I3564" s="74">
        <v>46175</v>
      </c>
      <c r="J3564">
        <v>8</v>
      </c>
      <c r="K3564" t="s">
        <v>518</v>
      </c>
      <c r="L3564" t="s">
        <v>359</v>
      </c>
      <c r="M3564" t="s">
        <v>356</v>
      </c>
      <c r="N3564" s="73">
        <v>68097</v>
      </c>
      <c r="O3564" s="73">
        <v>68097</v>
      </c>
      <c r="P3564">
        <v>34.681374159610094</v>
      </c>
    </row>
    <row r="3565" spans="1:16" hidden="1" x14ac:dyDescent="0.2">
      <c r="A3565" s="73">
        <v>68097</v>
      </c>
      <c r="B3565" t="s">
        <v>491</v>
      </c>
      <c r="C3565" s="73" t="s">
        <v>498</v>
      </c>
      <c r="D3565" t="s">
        <v>499</v>
      </c>
      <c r="E3565" s="74">
        <v>46176</v>
      </c>
      <c r="F3565" t="s">
        <v>360</v>
      </c>
      <c r="G3565" t="s">
        <v>361</v>
      </c>
      <c r="H3565" s="75">
        <f t="shared" si="55"/>
        <v>277.45099327688075</v>
      </c>
      <c r="I3565" s="74">
        <v>46176</v>
      </c>
      <c r="J3565">
        <v>8</v>
      </c>
      <c r="K3565" t="s">
        <v>518</v>
      </c>
      <c r="L3565" t="s">
        <v>262</v>
      </c>
      <c r="M3565" t="s">
        <v>356</v>
      </c>
      <c r="N3565" s="73">
        <v>68097</v>
      </c>
      <c r="O3565" s="73">
        <v>68097</v>
      </c>
      <c r="P3565">
        <v>34.681374159610094</v>
      </c>
    </row>
    <row r="3566" spans="1:16" hidden="1" x14ac:dyDescent="0.2">
      <c r="A3566" s="73">
        <v>68097</v>
      </c>
      <c r="B3566" t="s">
        <v>491</v>
      </c>
      <c r="C3566" s="73" t="s">
        <v>498</v>
      </c>
      <c r="D3566" t="s">
        <v>499</v>
      </c>
      <c r="E3566" s="74">
        <v>46176</v>
      </c>
      <c r="F3566" t="s">
        <v>353</v>
      </c>
      <c r="G3566" t="s">
        <v>354</v>
      </c>
      <c r="H3566" s="75">
        <f t="shared" si="55"/>
        <v>277.45099327688075</v>
      </c>
      <c r="I3566" s="74">
        <v>46176</v>
      </c>
      <c r="J3566">
        <v>8</v>
      </c>
      <c r="K3566" t="s">
        <v>518</v>
      </c>
      <c r="L3566" t="s">
        <v>355</v>
      </c>
      <c r="M3566" t="s">
        <v>356</v>
      </c>
      <c r="N3566" s="73">
        <v>68097</v>
      </c>
      <c r="O3566" s="73">
        <v>68097</v>
      </c>
      <c r="P3566">
        <v>34.681374159610094</v>
      </c>
    </row>
    <row r="3567" spans="1:16" hidden="1" x14ac:dyDescent="0.2">
      <c r="A3567" s="73">
        <v>68097</v>
      </c>
      <c r="B3567" t="s">
        <v>491</v>
      </c>
      <c r="C3567" s="73" t="s">
        <v>498</v>
      </c>
      <c r="D3567" t="s">
        <v>499</v>
      </c>
      <c r="E3567" s="74">
        <v>46176</v>
      </c>
      <c r="F3567" t="s">
        <v>357</v>
      </c>
      <c r="G3567" t="s">
        <v>358</v>
      </c>
      <c r="H3567" s="75">
        <f t="shared" si="55"/>
        <v>277.45099327688075</v>
      </c>
      <c r="I3567" s="74">
        <v>46176</v>
      </c>
      <c r="J3567">
        <v>8</v>
      </c>
      <c r="K3567" t="s">
        <v>518</v>
      </c>
      <c r="L3567" t="s">
        <v>359</v>
      </c>
      <c r="M3567" t="s">
        <v>356</v>
      </c>
      <c r="N3567" s="73">
        <v>68097</v>
      </c>
      <c r="O3567" s="73">
        <v>68097</v>
      </c>
      <c r="P3567">
        <v>34.681374159610094</v>
      </c>
    </row>
    <row r="3568" spans="1:16" hidden="1" x14ac:dyDescent="0.2">
      <c r="A3568" s="73">
        <v>68097</v>
      </c>
      <c r="B3568" t="s">
        <v>491</v>
      </c>
      <c r="C3568" s="73" t="s">
        <v>498</v>
      </c>
      <c r="D3568" t="s">
        <v>499</v>
      </c>
      <c r="E3568" s="74">
        <v>46177</v>
      </c>
      <c r="F3568" t="s">
        <v>360</v>
      </c>
      <c r="G3568" t="s">
        <v>361</v>
      </c>
      <c r="H3568" s="75">
        <f t="shared" si="55"/>
        <v>277.45099327688075</v>
      </c>
      <c r="I3568" s="74">
        <v>46177</v>
      </c>
      <c r="J3568">
        <v>8</v>
      </c>
      <c r="K3568" t="s">
        <v>518</v>
      </c>
      <c r="L3568" t="s">
        <v>262</v>
      </c>
      <c r="M3568" t="s">
        <v>356</v>
      </c>
      <c r="N3568" s="73">
        <v>68097</v>
      </c>
      <c r="O3568" s="73">
        <v>68097</v>
      </c>
      <c r="P3568">
        <v>34.681374159610094</v>
      </c>
    </row>
    <row r="3569" spans="1:16" hidden="1" x14ac:dyDescent="0.2">
      <c r="A3569" s="73">
        <v>68097</v>
      </c>
      <c r="B3569" t="s">
        <v>491</v>
      </c>
      <c r="C3569" s="73" t="s">
        <v>498</v>
      </c>
      <c r="D3569" t="s">
        <v>499</v>
      </c>
      <c r="E3569" s="74">
        <v>46177</v>
      </c>
      <c r="F3569" t="s">
        <v>353</v>
      </c>
      <c r="G3569" t="s">
        <v>354</v>
      </c>
      <c r="H3569" s="75">
        <f t="shared" si="55"/>
        <v>277.45099327688075</v>
      </c>
      <c r="I3569" s="74">
        <v>46177</v>
      </c>
      <c r="J3569">
        <v>8</v>
      </c>
      <c r="K3569" t="s">
        <v>518</v>
      </c>
      <c r="L3569" t="s">
        <v>355</v>
      </c>
      <c r="M3569" t="s">
        <v>356</v>
      </c>
      <c r="N3569" s="73">
        <v>68097</v>
      </c>
      <c r="O3569" s="73">
        <v>68097</v>
      </c>
      <c r="P3569">
        <v>34.681374159610094</v>
      </c>
    </row>
    <row r="3570" spans="1:16" hidden="1" x14ac:dyDescent="0.2">
      <c r="A3570" s="73">
        <v>68097</v>
      </c>
      <c r="B3570" t="s">
        <v>491</v>
      </c>
      <c r="C3570" s="73" t="s">
        <v>498</v>
      </c>
      <c r="D3570" t="s">
        <v>499</v>
      </c>
      <c r="E3570" s="74">
        <v>46177</v>
      </c>
      <c r="F3570" t="s">
        <v>357</v>
      </c>
      <c r="G3570" t="s">
        <v>358</v>
      </c>
      <c r="H3570" s="75">
        <f t="shared" si="55"/>
        <v>277.45099327688075</v>
      </c>
      <c r="I3570" s="74">
        <v>46177</v>
      </c>
      <c r="J3570">
        <v>8</v>
      </c>
      <c r="K3570" t="s">
        <v>518</v>
      </c>
      <c r="L3570" t="s">
        <v>359</v>
      </c>
      <c r="M3570" t="s">
        <v>356</v>
      </c>
      <c r="N3570" s="73">
        <v>68097</v>
      </c>
      <c r="O3570" s="73">
        <v>68097</v>
      </c>
      <c r="P3570">
        <v>34.681374159610094</v>
      </c>
    </row>
    <row r="3571" spans="1:16" hidden="1" x14ac:dyDescent="0.2">
      <c r="A3571" s="73">
        <v>68097</v>
      </c>
      <c r="B3571" t="s">
        <v>491</v>
      </c>
      <c r="C3571" s="73" t="s">
        <v>498</v>
      </c>
      <c r="D3571" t="s">
        <v>499</v>
      </c>
      <c r="E3571" s="74">
        <v>46178</v>
      </c>
      <c r="F3571" t="s">
        <v>360</v>
      </c>
      <c r="G3571" t="s">
        <v>361</v>
      </c>
      <c r="H3571" s="75">
        <f t="shared" si="55"/>
        <v>277.45099327688075</v>
      </c>
      <c r="I3571" s="74">
        <v>46178</v>
      </c>
      <c r="J3571">
        <v>8</v>
      </c>
      <c r="K3571" t="s">
        <v>518</v>
      </c>
      <c r="L3571" t="s">
        <v>262</v>
      </c>
      <c r="M3571" t="s">
        <v>356</v>
      </c>
      <c r="N3571" s="73">
        <v>68097</v>
      </c>
      <c r="O3571" s="73">
        <v>68097</v>
      </c>
      <c r="P3571">
        <v>34.681374159610094</v>
      </c>
    </row>
    <row r="3572" spans="1:16" hidden="1" x14ac:dyDescent="0.2">
      <c r="A3572" s="73">
        <v>68097</v>
      </c>
      <c r="B3572" t="s">
        <v>491</v>
      </c>
      <c r="C3572" s="73" t="s">
        <v>498</v>
      </c>
      <c r="D3572" t="s">
        <v>499</v>
      </c>
      <c r="E3572" s="74">
        <v>46178</v>
      </c>
      <c r="F3572" t="s">
        <v>353</v>
      </c>
      <c r="G3572" t="s">
        <v>354</v>
      </c>
      <c r="H3572" s="75">
        <f t="shared" si="55"/>
        <v>277.45099327688075</v>
      </c>
      <c r="I3572" s="74">
        <v>46178</v>
      </c>
      <c r="J3572">
        <v>8</v>
      </c>
      <c r="K3572" t="s">
        <v>518</v>
      </c>
      <c r="L3572" t="s">
        <v>355</v>
      </c>
      <c r="M3572" t="s">
        <v>356</v>
      </c>
      <c r="N3572" s="73">
        <v>68097</v>
      </c>
      <c r="O3572" s="73">
        <v>68097</v>
      </c>
      <c r="P3572">
        <v>34.681374159610094</v>
      </c>
    </row>
    <row r="3573" spans="1:16" hidden="1" x14ac:dyDescent="0.2">
      <c r="A3573" s="73">
        <v>68097</v>
      </c>
      <c r="B3573" t="s">
        <v>491</v>
      </c>
      <c r="C3573" s="73" t="s">
        <v>498</v>
      </c>
      <c r="D3573" t="s">
        <v>499</v>
      </c>
      <c r="E3573" s="74">
        <v>46178</v>
      </c>
      <c r="F3573" t="s">
        <v>357</v>
      </c>
      <c r="G3573" t="s">
        <v>358</v>
      </c>
      <c r="H3573" s="75">
        <f t="shared" si="55"/>
        <v>277.45099327688075</v>
      </c>
      <c r="I3573" s="74">
        <v>46178</v>
      </c>
      <c r="J3573">
        <v>8</v>
      </c>
      <c r="K3573" t="s">
        <v>518</v>
      </c>
      <c r="L3573" t="s">
        <v>359</v>
      </c>
      <c r="M3573" t="s">
        <v>356</v>
      </c>
      <c r="N3573" s="73">
        <v>68097</v>
      </c>
      <c r="O3573" s="73">
        <v>68097</v>
      </c>
      <c r="P3573">
        <v>34.681374159610094</v>
      </c>
    </row>
    <row r="3574" spans="1:16" hidden="1" x14ac:dyDescent="0.2">
      <c r="A3574" s="73">
        <v>68097</v>
      </c>
      <c r="B3574" t="s">
        <v>491</v>
      </c>
      <c r="C3574" s="73" t="s">
        <v>498</v>
      </c>
      <c r="D3574" t="s">
        <v>499</v>
      </c>
      <c r="E3574" s="74">
        <v>46181</v>
      </c>
      <c r="F3574" t="s">
        <v>360</v>
      </c>
      <c r="G3574" t="s">
        <v>361</v>
      </c>
      <c r="H3574" s="75">
        <f t="shared" si="55"/>
        <v>277.45099327688075</v>
      </c>
      <c r="I3574" s="74">
        <v>46181</v>
      </c>
      <c r="J3574">
        <v>8</v>
      </c>
      <c r="K3574" t="s">
        <v>518</v>
      </c>
      <c r="L3574" t="s">
        <v>262</v>
      </c>
      <c r="M3574" t="s">
        <v>356</v>
      </c>
      <c r="N3574" s="73">
        <v>68097</v>
      </c>
      <c r="O3574" s="73">
        <v>68097</v>
      </c>
      <c r="P3574">
        <v>34.681374159610094</v>
      </c>
    </row>
    <row r="3575" spans="1:16" hidden="1" x14ac:dyDescent="0.2">
      <c r="A3575" s="73">
        <v>68097</v>
      </c>
      <c r="B3575" t="s">
        <v>491</v>
      </c>
      <c r="C3575" s="73" t="s">
        <v>498</v>
      </c>
      <c r="D3575" t="s">
        <v>499</v>
      </c>
      <c r="E3575" s="74">
        <v>46181</v>
      </c>
      <c r="F3575" t="s">
        <v>353</v>
      </c>
      <c r="G3575" t="s">
        <v>354</v>
      </c>
      <c r="H3575" s="75">
        <f t="shared" si="55"/>
        <v>277.45099327688075</v>
      </c>
      <c r="I3575" s="74">
        <v>46181</v>
      </c>
      <c r="J3575">
        <v>8</v>
      </c>
      <c r="K3575" t="s">
        <v>518</v>
      </c>
      <c r="L3575" t="s">
        <v>355</v>
      </c>
      <c r="M3575" t="s">
        <v>356</v>
      </c>
      <c r="N3575" s="73">
        <v>68097</v>
      </c>
      <c r="O3575" s="73">
        <v>68097</v>
      </c>
      <c r="P3575">
        <v>34.681374159610094</v>
      </c>
    </row>
    <row r="3576" spans="1:16" hidden="1" x14ac:dyDescent="0.2">
      <c r="A3576" s="73">
        <v>68097</v>
      </c>
      <c r="B3576" t="s">
        <v>491</v>
      </c>
      <c r="C3576" s="73" t="s">
        <v>498</v>
      </c>
      <c r="D3576" t="s">
        <v>499</v>
      </c>
      <c r="E3576" s="74">
        <v>46182</v>
      </c>
      <c r="F3576" t="s">
        <v>360</v>
      </c>
      <c r="G3576" t="s">
        <v>361</v>
      </c>
      <c r="H3576" s="75">
        <f t="shared" si="55"/>
        <v>277.45099327688075</v>
      </c>
      <c r="I3576" s="74">
        <v>46182</v>
      </c>
      <c r="J3576">
        <v>8</v>
      </c>
      <c r="K3576" t="s">
        <v>518</v>
      </c>
      <c r="L3576" t="s">
        <v>262</v>
      </c>
      <c r="M3576" t="s">
        <v>356</v>
      </c>
      <c r="N3576" s="73">
        <v>68097</v>
      </c>
      <c r="O3576" s="73">
        <v>68097</v>
      </c>
      <c r="P3576">
        <v>34.681374159610094</v>
      </c>
    </row>
    <row r="3577" spans="1:16" hidden="1" x14ac:dyDescent="0.2">
      <c r="A3577" s="73">
        <v>68097</v>
      </c>
      <c r="B3577" t="s">
        <v>491</v>
      </c>
      <c r="C3577" s="73" t="s">
        <v>498</v>
      </c>
      <c r="D3577" t="s">
        <v>499</v>
      </c>
      <c r="E3577" s="74">
        <v>46182</v>
      </c>
      <c r="F3577" t="s">
        <v>410</v>
      </c>
      <c r="G3577" t="s">
        <v>411</v>
      </c>
      <c r="H3577" s="75">
        <f t="shared" si="55"/>
        <v>277.45099327688075</v>
      </c>
      <c r="I3577" s="74">
        <v>46182</v>
      </c>
      <c r="J3577">
        <v>8</v>
      </c>
      <c r="K3577" t="s">
        <v>518</v>
      </c>
      <c r="L3577" t="s">
        <v>262</v>
      </c>
      <c r="M3577" t="s">
        <v>356</v>
      </c>
      <c r="N3577" s="73">
        <v>68097</v>
      </c>
      <c r="O3577" s="73">
        <v>68097</v>
      </c>
      <c r="P3577">
        <v>34.681374159610094</v>
      </c>
    </row>
    <row r="3578" spans="1:16" hidden="1" x14ac:dyDescent="0.2">
      <c r="A3578" s="73">
        <v>68097</v>
      </c>
      <c r="B3578" t="s">
        <v>491</v>
      </c>
      <c r="C3578" s="73" t="s">
        <v>498</v>
      </c>
      <c r="D3578" t="s">
        <v>499</v>
      </c>
      <c r="E3578" s="74">
        <v>46182</v>
      </c>
      <c r="F3578" t="s">
        <v>353</v>
      </c>
      <c r="G3578" t="s">
        <v>354</v>
      </c>
      <c r="H3578" s="75">
        <f t="shared" si="55"/>
        <v>277.45099327688075</v>
      </c>
      <c r="I3578" s="74">
        <v>46182</v>
      </c>
      <c r="J3578">
        <v>8</v>
      </c>
      <c r="K3578" t="s">
        <v>518</v>
      </c>
      <c r="L3578" t="s">
        <v>355</v>
      </c>
      <c r="M3578" t="s">
        <v>356</v>
      </c>
      <c r="N3578" s="73">
        <v>68097</v>
      </c>
      <c r="O3578" s="73">
        <v>68097</v>
      </c>
      <c r="P3578">
        <v>34.681374159610094</v>
      </c>
    </row>
    <row r="3579" spans="1:16" hidden="1" x14ac:dyDescent="0.2">
      <c r="A3579" s="73">
        <v>68097</v>
      </c>
      <c r="B3579" t="s">
        <v>491</v>
      </c>
      <c r="C3579" s="73" t="s">
        <v>498</v>
      </c>
      <c r="D3579" t="s">
        <v>499</v>
      </c>
      <c r="E3579" s="74">
        <v>46182</v>
      </c>
      <c r="F3579" t="s">
        <v>357</v>
      </c>
      <c r="G3579" t="s">
        <v>358</v>
      </c>
      <c r="H3579" s="75">
        <f t="shared" si="55"/>
        <v>277.45099327688075</v>
      </c>
      <c r="I3579" s="74">
        <v>46182</v>
      </c>
      <c r="J3579">
        <v>8</v>
      </c>
      <c r="K3579" t="s">
        <v>518</v>
      </c>
      <c r="L3579" t="s">
        <v>359</v>
      </c>
      <c r="M3579" t="s">
        <v>356</v>
      </c>
      <c r="N3579" s="73">
        <v>68097</v>
      </c>
      <c r="O3579" s="73">
        <v>68097</v>
      </c>
      <c r="P3579">
        <v>34.681374159610094</v>
      </c>
    </row>
    <row r="3580" spans="1:16" hidden="1" x14ac:dyDescent="0.2">
      <c r="A3580" s="73">
        <v>68097</v>
      </c>
      <c r="B3580" t="s">
        <v>491</v>
      </c>
      <c r="C3580" s="73" t="s">
        <v>498</v>
      </c>
      <c r="D3580" t="s">
        <v>499</v>
      </c>
      <c r="E3580" s="74">
        <v>46183</v>
      </c>
      <c r="F3580" t="s">
        <v>353</v>
      </c>
      <c r="G3580" t="s">
        <v>354</v>
      </c>
      <c r="H3580" s="75">
        <f t="shared" si="55"/>
        <v>277.45099327688075</v>
      </c>
      <c r="I3580" s="74">
        <v>46183</v>
      </c>
      <c r="J3580">
        <v>8</v>
      </c>
      <c r="K3580" t="s">
        <v>518</v>
      </c>
      <c r="L3580" t="s">
        <v>355</v>
      </c>
      <c r="M3580" t="s">
        <v>356</v>
      </c>
      <c r="N3580" s="73">
        <v>68097</v>
      </c>
      <c r="O3580" s="73">
        <v>68097</v>
      </c>
      <c r="P3580">
        <v>34.681374159610094</v>
      </c>
    </row>
    <row r="3581" spans="1:16" hidden="1" x14ac:dyDescent="0.2">
      <c r="A3581" s="73">
        <v>68097</v>
      </c>
      <c r="B3581" t="s">
        <v>491</v>
      </c>
      <c r="C3581" s="73" t="s">
        <v>498</v>
      </c>
      <c r="D3581" t="s">
        <v>499</v>
      </c>
      <c r="E3581" s="74">
        <v>46183</v>
      </c>
      <c r="F3581" t="s">
        <v>357</v>
      </c>
      <c r="G3581" t="s">
        <v>358</v>
      </c>
      <c r="H3581" s="75">
        <f t="shared" si="55"/>
        <v>277.45099327688075</v>
      </c>
      <c r="I3581" s="74">
        <v>46183</v>
      </c>
      <c r="J3581">
        <v>8</v>
      </c>
      <c r="K3581" t="s">
        <v>518</v>
      </c>
      <c r="L3581" t="s">
        <v>359</v>
      </c>
      <c r="M3581" t="s">
        <v>356</v>
      </c>
      <c r="N3581" s="73">
        <v>68097</v>
      </c>
      <c r="O3581" s="73">
        <v>68097</v>
      </c>
      <c r="P3581">
        <v>34.681374159610094</v>
      </c>
    </row>
    <row r="3582" spans="1:16" hidden="1" x14ac:dyDescent="0.2">
      <c r="A3582" s="73">
        <v>68097</v>
      </c>
      <c r="B3582" t="s">
        <v>491</v>
      </c>
      <c r="C3582" s="73" t="s">
        <v>498</v>
      </c>
      <c r="D3582" t="s">
        <v>499</v>
      </c>
      <c r="E3582" s="74">
        <v>46184</v>
      </c>
      <c r="F3582" t="s">
        <v>353</v>
      </c>
      <c r="G3582" t="s">
        <v>354</v>
      </c>
      <c r="H3582" s="75">
        <f t="shared" si="55"/>
        <v>277.45099327688075</v>
      </c>
      <c r="I3582" s="74">
        <v>46184</v>
      </c>
      <c r="J3582">
        <v>8</v>
      </c>
      <c r="K3582" t="s">
        <v>518</v>
      </c>
      <c r="L3582" t="s">
        <v>355</v>
      </c>
      <c r="M3582" t="s">
        <v>356</v>
      </c>
      <c r="N3582" s="73">
        <v>68097</v>
      </c>
      <c r="O3582" s="73">
        <v>68097</v>
      </c>
      <c r="P3582">
        <v>34.681374159610094</v>
      </c>
    </row>
    <row r="3583" spans="1:16" hidden="1" x14ac:dyDescent="0.2">
      <c r="A3583" s="73">
        <v>68097</v>
      </c>
      <c r="B3583" t="s">
        <v>491</v>
      </c>
      <c r="C3583" s="73" t="s">
        <v>498</v>
      </c>
      <c r="D3583" t="s">
        <v>499</v>
      </c>
      <c r="E3583" s="74">
        <v>46184</v>
      </c>
      <c r="F3583" t="s">
        <v>357</v>
      </c>
      <c r="G3583" t="s">
        <v>358</v>
      </c>
      <c r="H3583" s="75">
        <f t="shared" si="55"/>
        <v>277.45099327688075</v>
      </c>
      <c r="I3583" s="74">
        <v>46184</v>
      </c>
      <c r="J3583">
        <v>8</v>
      </c>
      <c r="K3583" t="s">
        <v>518</v>
      </c>
      <c r="L3583" t="s">
        <v>359</v>
      </c>
      <c r="M3583" t="s">
        <v>356</v>
      </c>
      <c r="N3583" s="73">
        <v>68097</v>
      </c>
      <c r="O3583" s="73">
        <v>68097</v>
      </c>
      <c r="P3583">
        <v>34.681374159610094</v>
      </c>
    </row>
    <row r="3584" spans="1:16" hidden="1" x14ac:dyDescent="0.2">
      <c r="A3584" s="73">
        <v>68097</v>
      </c>
      <c r="B3584" t="s">
        <v>491</v>
      </c>
      <c r="C3584" s="73" t="s">
        <v>498</v>
      </c>
      <c r="D3584" t="s">
        <v>499</v>
      </c>
      <c r="E3584" s="74">
        <v>46185</v>
      </c>
      <c r="F3584" t="s">
        <v>410</v>
      </c>
      <c r="G3584" t="s">
        <v>411</v>
      </c>
      <c r="H3584" s="75">
        <f t="shared" si="55"/>
        <v>277.45099327688075</v>
      </c>
      <c r="I3584" s="74">
        <v>46185</v>
      </c>
      <c r="J3584">
        <v>8</v>
      </c>
      <c r="K3584" t="s">
        <v>518</v>
      </c>
      <c r="L3584" t="s">
        <v>262</v>
      </c>
      <c r="M3584" t="s">
        <v>356</v>
      </c>
      <c r="N3584" s="73">
        <v>68097</v>
      </c>
      <c r="O3584" s="73">
        <v>68097</v>
      </c>
      <c r="P3584">
        <v>34.681374159610094</v>
      </c>
    </row>
    <row r="3585" spans="1:16" hidden="1" x14ac:dyDescent="0.2">
      <c r="A3585" s="73">
        <v>68097</v>
      </c>
      <c r="B3585" t="s">
        <v>491</v>
      </c>
      <c r="C3585" s="73" t="s">
        <v>498</v>
      </c>
      <c r="D3585" t="s">
        <v>499</v>
      </c>
      <c r="E3585" s="74">
        <v>46185</v>
      </c>
      <c r="F3585" t="s">
        <v>353</v>
      </c>
      <c r="G3585" t="s">
        <v>354</v>
      </c>
      <c r="H3585" s="75">
        <f t="shared" si="55"/>
        <v>277.45099327688075</v>
      </c>
      <c r="I3585" s="74">
        <v>46185</v>
      </c>
      <c r="J3585">
        <v>8</v>
      </c>
      <c r="K3585" t="s">
        <v>518</v>
      </c>
      <c r="L3585" t="s">
        <v>355</v>
      </c>
      <c r="M3585" t="s">
        <v>356</v>
      </c>
      <c r="N3585" s="73">
        <v>68097</v>
      </c>
      <c r="O3585" s="73">
        <v>68097</v>
      </c>
      <c r="P3585">
        <v>34.681374159610094</v>
      </c>
    </row>
    <row r="3586" spans="1:16" hidden="1" x14ac:dyDescent="0.2">
      <c r="A3586" s="73">
        <v>68097</v>
      </c>
      <c r="B3586" t="s">
        <v>491</v>
      </c>
      <c r="C3586" s="73" t="s">
        <v>498</v>
      </c>
      <c r="D3586" t="s">
        <v>499</v>
      </c>
      <c r="E3586" s="74">
        <v>46185</v>
      </c>
      <c r="F3586" t="s">
        <v>357</v>
      </c>
      <c r="G3586" t="s">
        <v>358</v>
      </c>
      <c r="H3586" s="75">
        <f t="shared" ref="H3586:H3649" si="56">J3586*P3586</f>
        <v>277.45099327688075</v>
      </c>
      <c r="I3586" s="74">
        <v>46185</v>
      </c>
      <c r="J3586">
        <v>8</v>
      </c>
      <c r="K3586" t="s">
        <v>518</v>
      </c>
      <c r="L3586" t="s">
        <v>359</v>
      </c>
      <c r="M3586" t="s">
        <v>356</v>
      </c>
      <c r="N3586" s="73">
        <v>68097</v>
      </c>
      <c r="O3586" s="73">
        <v>68097</v>
      </c>
      <c r="P3586">
        <v>34.681374159610094</v>
      </c>
    </row>
    <row r="3587" spans="1:16" hidden="1" x14ac:dyDescent="0.2">
      <c r="A3587" s="73">
        <v>68097</v>
      </c>
      <c r="B3587" t="s">
        <v>491</v>
      </c>
      <c r="C3587" s="73" t="s">
        <v>492</v>
      </c>
      <c r="D3587" t="s">
        <v>493</v>
      </c>
      <c r="E3587" s="74">
        <v>46155</v>
      </c>
      <c r="F3587" t="s">
        <v>414</v>
      </c>
      <c r="G3587" t="s">
        <v>415</v>
      </c>
      <c r="H3587" s="75">
        <f t="shared" si="56"/>
        <v>312.13236743649082</v>
      </c>
      <c r="I3587" s="74">
        <v>46155</v>
      </c>
      <c r="J3587">
        <v>9</v>
      </c>
      <c r="K3587" t="s">
        <v>517</v>
      </c>
      <c r="L3587" t="s">
        <v>262</v>
      </c>
      <c r="M3587" t="s">
        <v>356</v>
      </c>
      <c r="N3587" s="73">
        <v>68097</v>
      </c>
      <c r="O3587" s="73">
        <v>68097</v>
      </c>
      <c r="P3587">
        <v>34.681374159610094</v>
      </c>
    </row>
    <row r="3588" spans="1:16" hidden="1" x14ac:dyDescent="0.2">
      <c r="A3588" s="73">
        <v>68097</v>
      </c>
      <c r="B3588" t="s">
        <v>491</v>
      </c>
      <c r="C3588" s="73" t="s">
        <v>492</v>
      </c>
      <c r="D3588" t="s">
        <v>493</v>
      </c>
      <c r="E3588" s="74">
        <v>46156</v>
      </c>
      <c r="F3588" t="s">
        <v>414</v>
      </c>
      <c r="G3588" t="s">
        <v>415</v>
      </c>
      <c r="H3588" s="75">
        <f t="shared" si="56"/>
        <v>312.13236743649082</v>
      </c>
      <c r="I3588" s="74">
        <v>46156</v>
      </c>
      <c r="J3588">
        <v>9</v>
      </c>
      <c r="K3588" t="s">
        <v>517</v>
      </c>
      <c r="L3588" t="s">
        <v>262</v>
      </c>
      <c r="M3588" t="s">
        <v>356</v>
      </c>
      <c r="N3588" s="73">
        <v>68097</v>
      </c>
      <c r="O3588" s="73">
        <v>68097</v>
      </c>
      <c r="P3588">
        <v>34.681374159610094</v>
      </c>
    </row>
    <row r="3589" spans="1:16" hidden="1" x14ac:dyDescent="0.2">
      <c r="A3589" s="73">
        <v>67260</v>
      </c>
      <c r="B3589" t="s">
        <v>423</v>
      </c>
      <c r="C3589" s="73" t="s">
        <v>488</v>
      </c>
      <c r="D3589" t="s">
        <v>489</v>
      </c>
      <c r="E3589" s="74">
        <v>46104</v>
      </c>
      <c r="F3589" t="s">
        <v>398</v>
      </c>
      <c r="G3589" t="s">
        <v>399</v>
      </c>
      <c r="H3589" s="75">
        <f t="shared" si="56"/>
        <v>277.45099327688075</v>
      </c>
      <c r="I3589" s="74">
        <v>46104</v>
      </c>
      <c r="J3589">
        <v>8</v>
      </c>
      <c r="K3589" t="s">
        <v>509</v>
      </c>
      <c r="L3589" t="s">
        <v>367</v>
      </c>
      <c r="M3589" t="s">
        <v>356</v>
      </c>
      <c r="N3589" s="73">
        <v>67260</v>
      </c>
      <c r="O3589" s="73">
        <v>67260</v>
      </c>
      <c r="P3589">
        <v>34.681374159610094</v>
      </c>
    </row>
    <row r="3590" spans="1:16" hidden="1" x14ac:dyDescent="0.2">
      <c r="A3590" s="73">
        <v>67260</v>
      </c>
      <c r="B3590" t="s">
        <v>423</v>
      </c>
      <c r="C3590" s="73" t="s">
        <v>488</v>
      </c>
      <c r="D3590" t="s">
        <v>489</v>
      </c>
      <c r="E3590" s="74">
        <v>46104</v>
      </c>
      <c r="F3590" t="s">
        <v>406</v>
      </c>
      <c r="G3590" t="s">
        <v>407</v>
      </c>
      <c r="H3590" s="75">
        <f t="shared" si="56"/>
        <v>277.45099327688075</v>
      </c>
      <c r="I3590" s="74">
        <v>46104</v>
      </c>
      <c r="J3590">
        <v>8</v>
      </c>
      <c r="K3590" t="s">
        <v>509</v>
      </c>
      <c r="L3590" t="s">
        <v>355</v>
      </c>
      <c r="M3590" t="s">
        <v>356</v>
      </c>
      <c r="N3590" s="73">
        <v>67260</v>
      </c>
      <c r="O3590" s="73">
        <v>67260</v>
      </c>
      <c r="P3590">
        <v>34.681374159610094</v>
      </c>
    </row>
    <row r="3591" spans="1:16" hidden="1" x14ac:dyDescent="0.2">
      <c r="A3591" s="73">
        <v>67260</v>
      </c>
      <c r="B3591" t="s">
        <v>423</v>
      </c>
      <c r="C3591" s="73" t="s">
        <v>488</v>
      </c>
      <c r="D3591" t="s">
        <v>489</v>
      </c>
      <c r="E3591" s="74">
        <v>46105</v>
      </c>
      <c r="F3591" t="s">
        <v>398</v>
      </c>
      <c r="G3591" t="s">
        <v>399</v>
      </c>
      <c r="H3591" s="75">
        <f t="shared" si="56"/>
        <v>277.45099327688075</v>
      </c>
      <c r="I3591" s="74">
        <v>46105</v>
      </c>
      <c r="J3591">
        <v>8</v>
      </c>
      <c r="K3591" t="s">
        <v>509</v>
      </c>
      <c r="L3591" t="s">
        <v>367</v>
      </c>
      <c r="M3591" t="s">
        <v>356</v>
      </c>
      <c r="N3591" s="73">
        <v>67260</v>
      </c>
      <c r="O3591" s="73">
        <v>67260</v>
      </c>
      <c r="P3591">
        <v>34.681374159610094</v>
      </c>
    </row>
    <row r="3592" spans="1:16" hidden="1" x14ac:dyDescent="0.2">
      <c r="A3592" s="73">
        <v>67260</v>
      </c>
      <c r="B3592" t="s">
        <v>423</v>
      </c>
      <c r="C3592" s="73" t="s">
        <v>488</v>
      </c>
      <c r="D3592" t="s">
        <v>489</v>
      </c>
      <c r="E3592" s="74">
        <v>46105</v>
      </c>
      <c r="F3592" t="s">
        <v>406</v>
      </c>
      <c r="G3592" t="s">
        <v>407</v>
      </c>
      <c r="H3592" s="75">
        <f t="shared" si="56"/>
        <v>277.45099327688075</v>
      </c>
      <c r="I3592" s="74">
        <v>46105</v>
      </c>
      <c r="J3592">
        <v>8</v>
      </c>
      <c r="K3592" t="s">
        <v>509</v>
      </c>
      <c r="L3592" t="s">
        <v>355</v>
      </c>
      <c r="M3592" t="s">
        <v>356</v>
      </c>
      <c r="N3592" s="73">
        <v>67260</v>
      </c>
      <c r="O3592" s="73">
        <v>67260</v>
      </c>
      <c r="P3592">
        <v>34.681374159610094</v>
      </c>
    </row>
    <row r="3593" spans="1:16" hidden="1" x14ac:dyDescent="0.2">
      <c r="A3593" s="73">
        <v>68097</v>
      </c>
      <c r="B3593" t="s">
        <v>491</v>
      </c>
      <c r="C3593" s="73" t="s">
        <v>492</v>
      </c>
      <c r="D3593" t="s">
        <v>493</v>
      </c>
      <c r="E3593" s="74">
        <v>46157</v>
      </c>
      <c r="F3593" t="s">
        <v>414</v>
      </c>
      <c r="G3593" t="s">
        <v>415</v>
      </c>
      <c r="H3593" s="75">
        <f t="shared" si="56"/>
        <v>312.13236743649082</v>
      </c>
      <c r="I3593" s="74">
        <v>46157</v>
      </c>
      <c r="J3593">
        <v>9</v>
      </c>
      <c r="K3593" t="s">
        <v>517</v>
      </c>
      <c r="L3593" t="s">
        <v>262</v>
      </c>
      <c r="M3593" t="s">
        <v>356</v>
      </c>
      <c r="N3593" s="73">
        <v>68097</v>
      </c>
      <c r="O3593" s="73">
        <v>68097</v>
      </c>
      <c r="P3593">
        <v>34.681374159610094</v>
      </c>
    </row>
    <row r="3594" spans="1:16" hidden="1" x14ac:dyDescent="0.2">
      <c r="A3594" s="73">
        <v>67260</v>
      </c>
      <c r="B3594" t="s">
        <v>423</v>
      </c>
      <c r="C3594" s="73" t="s">
        <v>488</v>
      </c>
      <c r="D3594" t="s">
        <v>489</v>
      </c>
      <c r="E3594" s="74">
        <v>46106</v>
      </c>
      <c r="F3594" t="s">
        <v>398</v>
      </c>
      <c r="G3594" t="s">
        <v>399</v>
      </c>
      <c r="H3594" s="75">
        <f t="shared" si="56"/>
        <v>277.45099327688075</v>
      </c>
      <c r="I3594" s="74">
        <v>46106</v>
      </c>
      <c r="J3594">
        <v>8</v>
      </c>
      <c r="K3594" t="s">
        <v>509</v>
      </c>
      <c r="L3594" t="s">
        <v>367</v>
      </c>
      <c r="M3594" t="s">
        <v>356</v>
      </c>
      <c r="N3594" s="73">
        <v>67260</v>
      </c>
      <c r="O3594" s="73">
        <v>67260</v>
      </c>
      <c r="P3594">
        <v>34.681374159610094</v>
      </c>
    </row>
    <row r="3595" spans="1:16" hidden="1" x14ac:dyDescent="0.2">
      <c r="A3595" s="73">
        <v>67260</v>
      </c>
      <c r="B3595" t="s">
        <v>423</v>
      </c>
      <c r="C3595" s="73" t="s">
        <v>488</v>
      </c>
      <c r="D3595" t="s">
        <v>489</v>
      </c>
      <c r="E3595" s="74">
        <v>46106</v>
      </c>
      <c r="F3595" t="s">
        <v>406</v>
      </c>
      <c r="G3595" t="s">
        <v>407</v>
      </c>
      <c r="H3595" s="75">
        <f t="shared" si="56"/>
        <v>277.45099327688075</v>
      </c>
      <c r="I3595" s="74">
        <v>46106</v>
      </c>
      <c r="J3595">
        <v>8</v>
      </c>
      <c r="K3595" t="s">
        <v>509</v>
      </c>
      <c r="L3595" t="s">
        <v>355</v>
      </c>
      <c r="M3595" t="s">
        <v>356</v>
      </c>
      <c r="N3595" s="73">
        <v>67260</v>
      </c>
      <c r="O3595" s="73">
        <v>67260</v>
      </c>
      <c r="P3595">
        <v>34.681374159610094</v>
      </c>
    </row>
    <row r="3596" spans="1:16" hidden="1" x14ac:dyDescent="0.2">
      <c r="A3596" s="73">
        <v>68097</v>
      </c>
      <c r="B3596" t="s">
        <v>491</v>
      </c>
      <c r="C3596" s="73" t="s">
        <v>492</v>
      </c>
      <c r="D3596" t="s">
        <v>493</v>
      </c>
      <c r="E3596" s="74">
        <v>46160</v>
      </c>
      <c r="F3596" t="s">
        <v>414</v>
      </c>
      <c r="G3596" t="s">
        <v>415</v>
      </c>
      <c r="H3596" s="75">
        <f t="shared" si="56"/>
        <v>312.13236743649082</v>
      </c>
      <c r="I3596" s="74">
        <v>46160</v>
      </c>
      <c r="J3596">
        <v>9</v>
      </c>
      <c r="K3596" t="s">
        <v>517</v>
      </c>
      <c r="L3596" t="s">
        <v>262</v>
      </c>
      <c r="M3596" t="s">
        <v>356</v>
      </c>
      <c r="N3596" s="73">
        <v>68097</v>
      </c>
      <c r="O3596" s="73">
        <v>68097</v>
      </c>
      <c r="P3596">
        <v>34.681374159610094</v>
      </c>
    </row>
    <row r="3597" spans="1:16" hidden="1" x14ac:dyDescent="0.2">
      <c r="A3597" s="73">
        <v>67260</v>
      </c>
      <c r="B3597" t="s">
        <v>423</v>
      </c>
      <c r="C3597" s="73" t="s">
        <v>488</v>
      </c>
      <c r="D3597" t="s">
        <v>489</v>
      </c>
      <c r="E3597" s="74">
        <v>46107</v>
      </c>
      <c r="F3597" t="s">
        <v>398</v>
      </c>
      <c r="G3597" t="s">
        <v>399</v>
      </c>
      <c r="H3597" s="75">
        <f t="shared" si="56"/>
        <v>277.45099327688075</v>
      </c>
      <c r="I3597" s="74">
        <v>46107</v>
      </c>
      <c r="J3597">
        <v>8</v>
      </c>
      <c r="K3597" t="s">
        <v>509</v>
      </c>
      <c r="L3597" t="s">
        <v>367</v>
      </c>
      <c r="M3597" t="s">
        <v>356</v>
      </c>
      <c r="N3597" s="73">
        <v>67260</v>
      </c>
      <c r="O3597" s="73">
        <v>67260</v>
      </c>
      <c r="P3597">
        <v>34.681374159610094</v>
      </c>
    </row>
    <row r="3598" spans="1:16" hidden="1" x14ac:dyDescent="0.2">
      <c r="A3598" s="73">
        <v>67260</v>
      </c>
      <c r="B3598" t="s">
        <v>423</v>
      </c>
      <c r="C3598" s="73" t="s">
        <v>488</v>
      </c>
      <c r="D3598" t="s">
        <v>489</v>
      </c>
      <c r="E3598" s="74">
        <v>46107</v>
      </c>
      <c r="F3598" t="s">
        <v>406</v>
      </c>
      <c r="G3598" t="s">
        <v>407</v>
      </c>
      <c r="H3598" s="75">
        <f t="shared" si="56"/>
        <v>277.45099327688075</v>
      </c>
      <c r="I3598" s="74">
        <v>46107</v>
      </c>
      <c r="J3598">
        <v>8</v>
      </c>
      <c r="K3598" t="s">
        <v>509</v>
      </c>
      <c r="L3598" t="s">
        <v>355</v>
      </c>
      <c r="M3598" t="s">
        <v>356</v>
      </c>
      <c r="N3598" s="73">
        <v>67260</v>
      </c>
      <c r="O3598" s="73">
        <v>67260</v>
      </c>
      <c r="P3598">
        <v>34.681374159610094</v>
      </c>
    </row>
    <row r="3599" spans="1:16" hidden="1" x14ac:dyDescent="0.2">
      <c r="A3599" s="73">
        <v>67260</v>
      </c>
      <c r="B3599" t="s">
        <v>423</v>
      </c>
      <c r="C3599" s="73" t="s">
        <v>488</v>
      </c>
      <c r="D3599" t="s">
        <v>489</v>
      </c>
      <c r="E3599" s="74">
        <v>46108</v>
      </c>
      <c r="F3599" t="s">
        <v>398</v>
      </c>
      <c r="G3599" t="s">
        <v>399</v>
      </c>
      <c r="H3599" s="75">
        <f t="shared" si="56"/>
        <v>277.45099327688075</v>
      </c>
      <c r="I3599" s="74">
        <v>46108</v>
      </c>
      <c r="J3599">
        <v>8</v>
      </c>
      <c r="K3599" t="s">
        <v>509</v>
      </c>
      <c r="L3599" t="s">
        <v>367</v>
      </c>
      <c r="M3599" t="s">
        <v>356</v>
      </c>
      <c r="N3599" s="73">
        <v>67260</v>
      </c>
      <c r="O3599" s="73">
        <v>67260</v>
      </c>
      <c r="P3599">
        <v>34.681374159610094</v>
      </c>
    </row>
    <row r="3600" spans="1:16" hidden="1" x14ac:dyDescent="0.2">
      <c r="A3600" s="73">
        <v>67260</v>
      </c>
      <c r="B3600" t="s">
        <v>423</v>
      </c>
      <c r="C3600" s="73" t="s">
        <v>488</v>
      </c>
      <c r="D3600" t="s">
        <v>489</v>
      </c>
      <c r="E3600" s="74">
        <v>46108</v>
      </c>
      <c r="F3600" t="s">
        <v>406</v>
      </c>
      <c r="G3600" t="s">
        <v>407</v>
      </c>
      <c r="H3600" s="75">
        <f t="shared" si="56"/>
        <v>277.45099327688075</v>
      </c>
      <c r="I3600" s="74">
        <v>46108</v>
      </c>
      <c r="J3600">
        <v>8</v>
      </c>
      <c r="K3600" t="s">
        <v>509</v>
      </c>
      <c r="L3600" t="s">
        <v>355</v>
      </c>
      <c r="M3600" t="s">
        <v>356</v>
      </c>
      <c r="N3600" s="73">
        <v>67260</v>
      </c>
      <c r="O3600" s="73">
        <v>67260</v>
      </c>
      <c r="P3600">
        <v>34.681374159610094</v>
      </c>
    </row>
    <row r="3601" spans="1:16" hidden="1" x14ac:dyDescent="0.2">
      <c r="A3601" s="73">
        <v>68097</v>
      </c>
      <c r="B3601" t="s">
        <v>491</v>
      </c>
      <c r="C3601" s="73" t="s">
        <v>492</v>
      </c>
      <c r="D3601" t="s">
        <v>493</v>
      </c>
      <c r="E3601" s="74">
        <v>46161</v>
      </c>
      <c r="F3601" t="s">
        <v>414</v>
      </c>
      <c r="G3601" t="s">
        <v>415</v>
      </c>
      <c r="H3601" s="75">
        <f t="shared" si="56"/>
        <v>312.13236743649082</v>
      </c>
      <c r="I3601" s="74">
        <v>46161</v>
      </c>
      <c r="J3601">
        <v>9</v>
      </c>
      <c r="K3601" t="s">
        <v>517</v>
      </c>
      <c r="L3601" t="s">
        <v>262</v>
      </c>
      <c r="M3601" t="s">
        <v>356</v>
      </c>
      <c r="N3601" s="73">
        <v>68097</v>
      </c>
      <c r="O3601" s="73">
        <v>68097</v>
      </c>
      <c r="P3601">
        <v>34.681374159610094</v>
      </c>
    </row>
    <row r="3602" spans="1:16" hidden="1" x14ac:dyDescent="0.2">
      <c r="A3602" s="73">
        <v>68097</v>
      </c>
      <c r="B3602" t="s">
        <v>491</v>
      </c>
      <c r="C3602" s="73" t="s">
        <v>492</v>
      </c>
      <c r="D3602" t="s">
        <v>493</v>
      </c>
      <c r="E3602" s="74">
        <v>46162</v>
      </c>
      <c r="F3602" t="s">
        <v>414</v>
      </c>
      <c r="G3602" t="s">
        <v>415</v>
      </c>
      <c r="H3602" s="75">
        <f t="shared" si="56"/>
        <v>312.13236743649082</v>
      </c>
      <c r="I3602" s="74">
        <v>46162</v>
      </c>
      <c r="J3602">
        <v>9</v>
      </c>
      <c r="K3602" t="s">
        <v>517</v>
      </c>
      <c r="L3602" t="s">
        <v>262</v>
      </c>
      <c r="M3602" t="s">
        <v>356</v>
      </c>
      <c r="N3602" s="73">
        <v>68097</v>
      </c>
      <c r="O3602" s="73">
        <v>68097</v>
      </c>
      <c r="P3602">
        <v>34.681374159610094</v>
      </c>
    </row>
    <row r="3603" spans="1:16" hidden="1" x14ac:dyDescent="0.2">
      <c r="A3603" s="73">
        <v>67260</v>
      </c>
      <c r="B3603" t="s">
        <v>423</v>
      </c>
      <c r="C3603" s="73" t="s">
        <v>488</v>
      </c>
      <c r="D3603" t="s">
        <v>489</v>
      </c>
      <c r="E3603" s="74">
        <v>46118</v>
      </c>
      <c r="F3603" t="s">
        <v>398</v>
      </c>
      <c r="G3603" t="s">
        <v>399</v>
      </c>
      <c r="H3603" s="75">
        <f t="shared" si="56"/>
        <v>277.45099327688075</v>
      </c>
      <c r="I3603" s="74">
        <v>46118</v>
      </c>
      <c r="J3603">
        <v>8</v>
      </c>
      <c r="K3603" t="s">
        <v>510</v>
      </c>
      <c r="L3603" t="s">
        <v>367</v>
      </c>
      <c r="M3603" t="s">
        <v>356</v>
      </c>
      <c r="N3603" s="73">
        <v>67260</v>
      </c>
      <c r="O3603" s="73">
        <v>67260</v>
      </c>
      <c r="P3603">
        <v>34.681374159610094</v>
      </c>
    </row>
    <row r="3604" spans="1:16" hidden="1" x14ac:dyDescent="0.2">
      <c r="A3604" s="73">
        <v>67260</v>
      </c>
      <c r="B3604" t="s">
        <v>423</v>
      </c>
      <c r="C3604" s="73" t="s">
        <v>488</v>
      </c>
      <c r="D3604" t="s">
        <v>489</v>
      </c>
      <c r="E3604" s="74">
        <v>46118</v>
      </c>
      <c r="F3604" t="s">
        <v>406</v>
      </c>
      <c r="G3604" t="s">
        <v>407</v>
      </c>
      <c r="H3604" s="75">
        <f t="shared" si="56"/>
        <v>-277.45099327688075</v>
      </c>
      <c r="I3604" s="74">
        <v>46118</v>
      </c>
      <c r="J3604">
        <v>-8</v>
      </c>
      <c r="K3604" t="s">
        <v>510</v>
      </c>
      <c r="L3604" t="s">
        <v>355</v>
      </c>
      <c r="M3604" t="s">
        <v>356</v>
      </c>
      <c r="N3604" s="73">
        <v>67260</v>
      </c>
      <c r="O3604" s="73">
        <v>67260</v>
      </c>
      <c r="P3604">
        <v>34.681374159610094</v>
      </c>
    </row>
    <row r="3605" spans="1:16" hidden="1" x14ac:dyDescent="0.2">
      <c r="A3605" s="73">
        <v>67260</v>
      </c>
      <c r="B3605" t="s">
        <v>423</v>
      </c>
      <c r="C3605" s="73" t="s">
        <v>488</v>
      </c>
      <c r="D3605" t="s">
        <v>489</v>
      </c>
      <c r="E3605" s="74">
        <v>46118</v>
      </c>
      <c r="F3605" t="s">
        <v>406</v>
      </c>
      <c r="G3605" t="s">
        <v>407</v>
      </c>
      <c r="H3605" s="75">
        <f t="shared" si="56"/>
        <v>277.45099327688075</v>
      </c>
      <c r="I3605" s="74">
        <v>46118</v>
      </c>
      <c r="J3605">
        <v>8</v>
      </c>
      <c r="K3605" t="s">
        <v>510</v>
      </c>
      <c r="L3605" t="s">
        <v>355</v>
      </c>
      <c r="M3605" t="s">
        <v>356</v>
      </c>
      <c r="N3605" s="73">
        <v>67260</v>
      </c>
      <c r="O3605" s="73">
        <v>67260</v>
      </c>
      <c r="P3605">
        <v>34.681374159610094</v>
      </c>
    </row>
    <row r="3606" spans="1:16" hidden="1" x14ac:dyDescent="0.2">
      <c r="A3606" s="73">
        <v>67260</v>
      </c>
      <c r="B3606" t="s">
        <v>423</v>
      </c>
      <c r="C3606" s="73" t="s">
        <v>488</v>
      </c>
      <c r="D3606" t="s">
        <v>489</v>
      </c>
      <c r="E3606" s="74">
        <v>46119</v>
      </c>
      <c r="F3606" t="s">
        <v>406</v>
      </c>
      <c r="G3606" t="s">
        <v>407</v>
      </c>
      <c r="H3606" s="75">
        <f t="shared" si="56"/>
        <v>277.45099327688075</v>
      </c>
      <c r="I3606" s="74">
        <v>46119</v>
      </c>
      <c r="J3606">
        <v>8</v>
      </c>
      <c r="K3606" t="s">
        <v>510</v>
      </c>
      <c r="L3606" t="s">
        <v>355</v>
      </c>
      <c r="M3606" t="s">
        <v>356</v>
      </c>
      <c r="N3606" s="73">
        <v>67260</v>
      </c>
      <c r="O3606" s="73">
        <v>67260</v>
      </c>
      <c r="P3606">
        <v>34.681374159610094</v>
      </c>
    </row>
    <row r="3607" spans="1:16" hidden="1" x14ac:dyDescent="0.2">
      <c r="A3607" s="73">
        <v>67260</v>
      </c>
      <c r="B3607" t="s">
        <v>423</v>
      </c>
      <c r="C3607" s="73" t="s">
        <v>488</v>
      </c>
      <c r="D3607" t="s">
        <v>489</v>
      </c>
      <c r="E3607" s="74">
        <v>46119</v>
      </c>
      <c r="F3607" t="s">
        <v>398</v>
      </c>
      <c r="G3607" t="s">
        <v>399</v>
      </c>
      <c r="H3607" s="75">
        <f t="shared" si="56"/>
        <v>277.45099327688075</v>
      </c>
      <c r="I3607" s="74">
        <v>46119</v>
      </c>
      <c r="J3607">
        <v>8</v>
      </c>
      <c r="K3607" t="s">
        <v>510</v>
      </c>
      <c r="L3607" t="s">
        <v>367</v>
      </c>
      <c r="M3607" t="s">
        <v>356</v>
      </c>
      <c r="N3607" s="73">
        <v>67260</v>
      </c>
      <c r="O3607" s="73">
        <v>67260</v>
      </c>
      <c r="P3607">
        <v>34.681374159610094</v>
      </c>
    </row>
    <row r="3608" spans="1:16" hidden="1" x14ac:dyDescent="0.2">
      <c r="A3608" s="73">
        <v>67260</v>
      </c>
      <c r="B3608" t="s">
        <v>423</v>
      </c>
      <c r="C3608" s="73" t="s">
        <v>488</v>
      </c>
      <c r="D3608" t="s">
        <v>489</v>
      </c>
      <c r="E3608" s="74">
        <v>46119</v>
      </c>
      <c r="F3608" t="s">
        <v>406</v>
      </c>
      <c r="G3608" t="s">
        <v>407</v>
      </c>
      <c r="H3608" s="75">
        <f t="shared" si="56"/>
        <v>-277.45099327688075</v>
      </c>
      <c r="I3608" s="74">
        <v>46119</v>
      </c>
      <c r="J3608">
        <v>-8</v>
      </c>
      <c r="K3608" t="s">
        <v>510</v>
      </c>
      <c r="L3608" t="s">
        <v>355</v>
      </c>
      <c r="M3608" t="s">
        <v>356</v>
      </c>
      <c r="N3608" s="73">
        <v>67260</v>
      </c>
      <c r="O3608" s="73">
        <v>67260</v>
      </c>
      <c r="P3608">
        <v>34.681374159610094</v>
      </c>
    </row>
    <row r="3609" spans="1:16" hidden="1" x14ac:dyDescent="0.2">
      <c r="A3609" s="73">
        <v>67260</v>
      </c>
      <c r="B3609" t="s">
        <v>423</v>
      </c>
      <c r="C3609" s="73" t="s">
        <v>488</v>
      </c>
      <c r="D3609" t="s">
        <v>489</v>
      </c>
      <c r="E3609" s="74">
        <v>46120</v>
      </c>
      <c r="F3609" t="s">
        <v>406</v>
      </c>
      <c r="G3609" t="s">
        <v>407</v>
      </c>
      <c r="H3609" s="75">
        <f t="shared" si="56"/>
        <v>277.45099327688075</v>
      </c>
      <c r="I3609" s="74">
        <v>46120</v>
      </c>
      <c r="J3609">
        <v>8</v>
      </c>
      <c r="K3609" t="s">
        <v>510</v>
      </c>
      <c r="L3609" t="s">
        <v>355</v>
      </c>
      <c r="M3609" t="s">
        <v>356</v>
      </c>
      <c r="N3609" s="73">
        <v>67260</v>
      </c>
      <c r="O3609" s="73">
        <v>67260</v>
      </c>
      <c r="P3609">
        <v>34.681374159610094</v>
      </c>
    </row>
    <row r="3610" spans="1:16" hidden="1" x14ac:dyDescent="0.2">
      <c r="A3610" s="73">
        <v>67260</v>
      </c>
      <c r="B3610" t="s">
        <v>423</v>
      </c>
      <c r="C3610" s="73" t="s">
        <v>488</v>
      </c>
      <c r="D3610" t="s">
        <v>489</v>
      </c>
      <c r="E3610" s="74">
        <v>46120</v>
      </c>
      <c r="F3610" t="s">
        <v>398</v>
      </c>
      <c r="G3610" t="s">
        <v>399</v>
      </c>
      <c r="H3610" s="75">
        <f t="shared" si="56"/>
        <v>277.45099327688075</v>
      </c>
      <c r="I3610" s="74">
        <v>46120</v>
      </c>
      <c r="J3610">
        <v>8</v>
      </c>
      <c r="K3610" t="s">
        <v>510</v>
      </c>
      <c r="L3610" t="s">
        <v>367</v>
      </c>
      <c r="M3610" t="s">
        <v>356</v>
      </c>
      <c r="N3610" s="73">
        <v>67260</v>
      </c>
      <c r="O3610" s="73">
        <v>67260</v>
      </c>
      <c r="P3610">
        <v>34.681374159610094</v>
      </c>
    </row>
    <row r="3611" spans="1:16" hidden="1" x14ac:dyDescent="0.2">
      <c r="A3611" s="73">
        <v>67260</v>
      </c>
      <c r="B3611" t="s">
        <v>423</v>
      </c>
      <c r="C3611" s="73" t="s">
        <v>488</v>
      </c>
      <c r="D3611" t="s">
        <v>489</v>
      </c>
      <c r="E3611" s="74">
        <v>46120</v>
      </c>
      <c r="F3611" t="s">
        <v>362</v>
      </c>
      <c r="G3611" t="s">
        <v>363</v>
      </c>
      <c r="H3611" s="75">
        <f t="shared" si="56"/>
        <v>277.45099327688075</v>
      </c>
      <c r="I3611" s="74">
        <v>46120</v>
      </c>
      <c r="J3611">
        <v>8</v>
      </c>
      <c r="K3611" t="s">
        <v>510</v>
      </c>
      <c r="L3611" t="s">
        <v>355</v>
      </c>
      <c r="M3611" t="s">
        <v>356</v>
      </c>
      <c r="N3611" s="73">
        <v>67260</v>
      </c>
      <c r="O3611" s="73">
        <v>67260</v>
      </c>
      <c r="P3611">
        <v>34.681374159610094</v>
      </c>
    </row>
    <row r="3612" spans="1:16" hidden="1" x14ac:dyDescent="0.2">
      <c r="A3612" s="73">
        <v>67260</v>
      </c>
      <c r="B3612" t="s">
        <v>423</v>
      </c>
      <c r="C3612" s="73" t="s">
        <v>488</v>
      </c>
      <c r="D3612" t="s">
        <v>489</v>
      </c>
      <c r="E3612" s="74">
        <v>46120</v>
      </c>
      <c r="F3612" t="s">
        <v>406</v>
      </c>
      <c r="G3612" t="s">
        <v>407</v>
      </c>
      <c r="H3612" s="75">
        <f t="shared" si="56"/>
        <v>-277.45099327688075</v>
      </c>
      <c r="I3612" s="74">
        <v>46120</v>
      </c>
      <c r="J3612">
        <v>-8</v>
      </c>
      <c r="K3612" t="s">
        <v>510</v>
      </c>
      <c r="L3612" t="s">
        <v>355</v>
      </c>
      <c r="M3612" t="s">
        <v>356</v>
      </c>
      <c r="N3612" s="73">
        <v>67260</v>
      </c>
      <c r="O3612" s="73">
        <v>67260</v>
      </c>
      <c r="P3612">
        <v>34.681374159610094</v>
      </c>
    </row>
    <row r="3613" spans="1:16" hidden="1" x14ac:dyDescent="0.2">
      <c r="A3613" s="73">
        <v>67260</v>
      </c>
      <c r="B3613" t="s">
        <v>423</v>
      </c>
      <c r="C3613" s="73" t="s">
        <v>488</v>
      </c>
      <c r="D3613" t="s">
        <v>489</v>
      </c>
      <c r="E3613" s="74">
        <v>46121</v>
      </c>
      <c r="F3613" t="s">
        <v>406</v>
      </c>
      <c r="G3613" t="s">
        <v>407</v>
      </c>
      <c r="H3613" s="75">
        <f t="shared" si="56"/>
        <v>277.45099327688075</v>
      </c>
      <c r="I3613" s="74">
        <v>46121</v>
      </c>
      <c r="J3613">
        <v>8</v>
      </c>
      <c r="K3613" t="s">
        <v>510</v>
      </c>
      <c r="L3613" t="s">
        <v>355</v>
      </c>
      <c r="M3613" t="s">
        <v>356</v>
      </c>
      <c r="N3613" s="73">
        <v>67260</v>
      </c>
      <c r="O3613" s="73">
        <v>67260</v>
      </c>
      <c r="P3613">
        <v>34.681374159610094</v>
      </c>
    </row>
    <row r="3614" spans="1:16" hidden="1" x14ac:dyDescent="0.2">
      <c r="A3614" s="73">
        <v>67260</v>
      </c>
      <c r="B3614" t="s">
        <v>423</v>
      </c>
      <c r="C3614" s="73" t="s">
        <v>488</v>
      </c>
      <c r="D3614" t="s">
        <v>489</v>
      </c>
      <c r="E3614" s="74">
        <v>46121</v>
      </c>
      <c r="F3614" t="s">
        <v>398</v>
      </c>
      <c r="G3614" t="s">
        <v>399</v>
      </c>
      <c r="H3614" s="75">
        <f t="shared" si="56"/>
        <v>277.45099327688075</v>
      </c>
      <c r="I3614" s="74">
        <v>46121</v>
      </c>
      <c r="J3614">
        <v>8</v>
      </c>
      <c r="K3614" t="s">
        <v>510</v>
      </c>
      <c r="L3614" t="s">
        <v>367</v>
      </c>
      <c r="M3614" t="s">
        <v>356</v>
      </c>
      <c r="N3614" s="73">
        <v>67260</v>
      </c>
      <c r="O3614" s="73">
        <v>67260</v>
      </c>
      <c r="P3614">
        <v>34.681374159610094</v>
      </c>
    </row>
    <row r="3615" spans="1:16" hidden="1" x14ac:dyDescent="0.2">
      <c r="A3615" s="73">
        <v>67260</v>
      </c>
      <c r="B3615" t="s">
        <v>423</v>
      </c>
      <c r="C3615" s="73" t="s">
        <v>488</v>
      </c>
      <c r="D3615" t="s">
        <v>489</v>
      </c>
      <c r="E3615" s="74">
        <v>46121</v>
      </c>
      <c r="F3615" t="s">
        <v>362</v>
      </c>
      <c r="G3615" t="s">
        <v>363</v>
      </c>
      <c r="H3615" s="75">
        <f t="shared" si="56"/>
        <v>277.45099327688075</v>
      </c>
      <c r="I3615" s="74">
        <v>46121</v>
      </c>
      <c r="J3615">
        <v>8</v>
      </c>
      <c r="K3615" t="s">
        <v>510</v>
      </c>
      <c r="L3615" t="s">
        <v>355</v>
      </c>
      <c r="M3615" t="s">
        <v>356</v>
      </c>
      <c r="N3615" s="73">
        <v>67260</v>
      </c>
      <c r="O3615" s="73">
        <v>67260</v>
      </c>
      <c r="P3615">
        <v>34.681374159610094</v>
      </c>
    </row>
    <row r="3616" spans="1:16" hidden="1" x14ac:dyDescent="0.2">
      <c r="A3616" s="73">
        <v>67260</v>
      </c>
      <c r="B3616" t="s">
        <v>423</v>
      </c>
      <c r="C3616" s="73" t="s">
        <v>488</v>
      </c>
      <c r="D3616" t="s">
        <v>489</v>
      </c>
      <c r="E3616" s="74">
        <v>46122</v>
      </c>
      <c r="F3616" t="s">
        <v>406</v>
      </c>
      <c r="G3616" t="s">
        <v>407</v>
      </c>
      <c r="H3616" s="75">
        <f t="shared" si="56"/>
        <v>277.45099327688075</v>
      </c>
      <c r="I3616" s="74">
        <v>46122</v>
      </c>
      <c r="J3616">
        <v>8</v>
      </c>
      <c r="K3616" t="s">
        <v>510</v>
      </c>
      <c r="L3616" t="s">
        <v>355</v>
      </c>
      <c r="M3616" t="s">
        <v>356</v>
      </c>
      <c r="N3616" s="73">
        <v>67260</v>
      </c>
      <c r="O3616" s="73">
        <v>67260</v>
      </c>
      <c r="P3616">
        <v>34.681374159610094</v>
      </c>
    </row>
    <row r="3617" spans="1:16" hidden="1" x14ac:dyDescent="0.2">
      <c r="A3617" s="73">
        <v>67260</v>
      </c>
      <c r="B3617" t="s">
        <v>423</v>
      </c>
      <c r="C3617" s="73" t="s">
        <v>488</v>
      </c>
      <c r="D3617" t="s">
        <v>489</v>
      </c>
      <c r="E3617" s="74">
        <v>46122</v>
      </c>
      <c r="F3617" t="s">
        <v>398</v>
      </c>
      <c r="G3617" t="s">
        <v>399</v>
      </c>
      <c r="H3617" s="75">
        <f t="shared" si="56"/>
        <v>277.45099327688075</v>
      </c>
      <c r="I3617" s="74">
        <v>46122</v>
      </c>
      <c r="J3617">
        <v>8</v>
      </c>
      <c r="K3617" t="s">
        <v>510</v>
      </c>
      <c r="L3617" t="s">
        <v>367</v>
      </c>
      <c r="M3617" t="s">
        <v>356</v>
      </c>
      <c r="N3617" s="73">
        <v>67260</v>
      </c>
      <c r="O3617" s="73">
        <v>67260</v>
      </c>
      <c r="P3617">
        <v>34.681374159610094</v>
      </c>
    </row>
    <row r="3618" spans="1:16" hidden="1" x14ac:dyDescent="0.2">
      <c r="A3618" s="73">
        <v>68097</v>
      </c>
      <c r="B3618" t="s">
        <v>491</v>
      </c>
      <c r="C3618" s="73" t="s">
        <v>492</v>
      </c>
      <c r="D3618" t="s">
        <v>493</v>
      </c>
      <c r="E3618" s="74">
        <v>46163</v>
      </c>
      <c r="F3618" t="s">
        <v>414</v>
      </c>
      <c r="G3618" t="s">
        <v>415</v>
      </c>
      <c r="H3618" s="75">
        <f t="shared" si="56"/>
        <v>312.13236743649082</v>
      </c>
      <c r="I3618" s="74">
        <v>46163</v>
      </c>
      <c r="J3618">
        <v>9</v>
      </c>
      <c r="K3618" t="s">
        <v>517</v>
      </c>
      <c r="L3618" t="s">
        <v>262</v>
      </c>
      <c r="M3618" t="s">
        <v>356</v>
      </c>
      <c r="N3618" s="73">
        <v>68097</v>
      </c>
      <c r="O3618" s="73">
        <v>68097</v>
      </c>
      <c r="P3618">
        <v>34.681374159610094</v>
      </c>
    </row>
    <row r="3619" spans="1:16" hidden="1" x14ac:dyDescent="0.2">
      <c r="A3619" s="73">
        <v>67260</v>
      </c>
      <c r="B3619" t="s">
        <v>423</v>
      </c>
      <c r="C3619" s="73" t="s">
        <v>488</v>
      </c>
      <c r="D3619" t="s">
        <v>489</v>
      </c>
      <c r="E3619" s="74">
        <v>46122</v>
      </c>
      <c r="F3619" t="s">
        <v>362</v>
      </c>
      <c r="G3619" t="s">
        <v>363</v>
      </c>
      <c r="H3619" s="75">
        <f t="shared" si="56"/>
        <v>277.45099327688075</v>
      </c>
      <c r="I3619" s="74">
        <v>46122</v>
      </c>
      <c r="J3619">
        <v>8</v>
      </c>
      <c r="K3619" t="s">
        <v>510</v>
      </c>
      <c r="L3619" t="s">
        <v>355</v>
      </c>
      <c r="M3619" t="s">
        <v>356</v>
      </c>
      <c r="N3619" s="73">
        <v>67260</v>
      </c>
      <c r="O3619" s="73">
        <v>67260</v>
      </c>
      <c r="P3619">
        <v>34.681374159610094</v>
      </c>
    </row>
    <row r="3620" spans="1:16" hidden="1" x14ac:dyDescent="0.2">
      <c r="A3620" s="73">
        <v>67260</v>
      </c>
      <c r="B3620" t="s">
        <v>423</v>
      </c>
      <c r="C3620" s="73" t="s">
        <v>488</v>
      </c>
      <c r="D3620" t="s">
        <v>489</v>
      </c>
      <c r="E3620" s="74">
        <v>46120</v>
      </c>
      <c r="F3620" t="s">
        <v>362</v>
      </c>
      <c r="G3620" t="s">
        <v>363</v>
      </c>
      <c r="H3620" s="75">
        <f t="shared" si="56"/>
        <v>-277.45099327688075</v>
      </c>
      <c r="I3620" s="74">
        <v>46120</v>
      </c>
      <c r="J3620">
        <v>-8</v>
      </c>
      <c r="K3620" t="s">
        <v>510</v>
      </c>
      <c r="L3620" t="s">
        <v>355</v>
      </c>
      <c r="M3620" t="s">
        <v>356</v>
      </c>
      <c r="N3620" s="73">
        <v>67260</v>
      </c>
      <c r="O3620" s="73">
        <v>67260</v>
      </c>
      <c r="P3620">
        <v>34.681374159610094</v>
      </c>
    </row>
    <row r="3621" spans="1:16" hidden="1" x14ac:dyDescent="0.2">
      <c r="A3621" s="73">
        <v>67260</v>
      </c>
      <c r="B3621" t="s">
        <v>423</v>
      </c>
      <c r="C3621" s="73" t="s">
        <v>488</v>
      </c>
      <c r="D3621" t="s">
        <v>489</v>
      </c>
      <c r="E3621" s="74">
        <v>46121</v>
      </c>
      <c r="F3621" t="s">
        <v>362</v>
      </c>
      <c r="G3621" t="s">
        <v>363</v>
      </c>
      <c r="H3621" s="75">
        <f t="shared" si="56"/>
        <v>-277.45099327688075</v>
      </c>
      <c r="I3621" s="74">
        <v>46121</v>
      </c>
      <c r="J3621">
        <v>-8</v>
      </c>
      <c r="K3621" t="s">
        <v>510</v>
      </c>
      <c r="L3621" t="s">
        <v>355</v>
      </c>
      <c r="M3621" t="s">
        <v>356</v>
      </c>
      <c r="N3621" s="73">
        <v>67260</v>
      </c>
      <c r="O3621" s="73">
        <v>67260</v>
      </c>
      <c r="P3621">
        <v>34.681374159610094</v>
      </c>
    </row>
    <row r="3622" spans="1:16" hidden="1" x14ac:dyDescent="0.2">
      <c r="A3622" s="73">
        <v>67260</v>
      </c>
      <c r="B3622" t="s">
        <v>423</v>
      </c>
      <c r="C3622" s="73" t="s">
        <v>488</v>
      </c>
      <c r="D3622" t="s">
        <v>489</v>
      </c>
      <c r="E3622" s="74">
        <v>46122</v>
      </c>
      <c r="F3622" t="s">
        <v>362</v>
      </c>
      <c r="G3622" t="s">
        <v>363</v>
      </c>
      <c r="H3622" s="75">
        <f t="shared" si="56"/>
        <v>-277.45099327688075</v>
      </c>
      <c r="I3622" s="74">
        <v>46122</v>
      </c>
      <c r="J3622">
        <v>-8</v>
      </c>
      <c r="K3622" t="s">
        <v>510</v>
      </c>
      <c r="L3622" t="s">
        <v>355</v>
      </c>
      <c r="M3622" t="s">
        <v>356</v>
      </c>
      <c r="N3622" s="73">
        <v>67260</v>
      </c>
      <c r="O3622" s="73">
        <v>67260</v>
      </c>
      <c r="P3622">
        <v>34.681374159610094</v>
      </c>
    </row>
    <row r="3623" spans="1:16" hidden="1" x14ac:dyDescent="0.2">
      <c r="A3623" s="73">
        <v>67260</v>
      </c>
      <c r="B3623" t="s">
        <v>423</v>
      </c>
      <c r="C3623" s="73" t="s">
        <v>488</v>
      </c>
      <c r="D3623" t="s">
        <v>489</v>
      </c>
      <c r="E3623" s="74">
        <v>46121</v>
      </c>
      <c r="F3623" t="s">
        <v>406</v>
      </c>
      <c r="G3623" t="s">
        <v>407</v>
      </c>
      <c r="H3623" s="75">
        <f t="shared" si="56"/>
        <v>-277.45099327688075</v>
      </c>
      <c r="I3623" s="74">
        <v>46121</v>
      </c>
      <c r="J3623">
        <v>-8</v>
      </c>
      <c r="K3623" t="s">
        <v>510</v>
      </c>
      <c r="L3623" t="s">
        <v>355</v>
      </c>
      <c r="M3623" t="s">
        <v>356</v>
      </c>
      <c r="N3623" s="73">
        <v>67260</v>
      </c>
      <c r="O3623" s="73">
        <v>67260</v>
      </c>
      <c r="P3623">
        <v>34.681374159610094</v>
      </c>
    </row>
    <row r="3624" spans="1:16" hidden="1" x14ac:dyDescent="0.2">
      <c r="A3624" s="73">
        <v>67260</v>
      </c>
      <c r="B3624" t="s">
        <v>423</v>
      </c>
      <c r="C3624" s="73" t="s">
        <v>488</v>
      </c>
      <c r="D3624" t="s">
        <v>489</v>
      </c>
      <c r="E3624" s="74">
        <v>46122</v>
      </c>
      <c r="F3624" t="s">
        <v>406</v>
      </c>
      <c r="G3624" t="s">
        <v>407</v>
      </c>
      <c r="H3624" s="75">
        <f t="shared" si="56"/>
        <v>-277.45099327688075</v>
      </c>
      <c r="I3624" s="74">
        <v>46122</v>
      </c>
      <c r="J3624">
        <v>-8</v>
      </c>
      <c r="K3624" t="s">
        <v>510</v>
      </c>
      <c r="L3624" t="s">
        <v>355</v>
      </c>
      <c r="M3624" t="s">
        <v>356</v>
      </c>
      <c r="N3624" s="73">
        <v>67260</v>
      </c>
      <c r="O3624" s="73">
        <v>67260</v>
      </c>
      <c r="P3624">
        <v>34.681374159610094</v>
      </c>
    </row>
    <row r="3625" spans="1:16" hidden="1" x14ac:dyDescent="0.2">
      <c r="A3625" s="73">
        <v>68097</v>
      </c>
      <c r="B3625" t="s">
        <v>491</v>
      </c>
      <c r="C3625" s="73" t="s">
        <v>492</v>
      </c>
      <c r="D3625" t="s">
        <v>493</v>
      </c>
      <c r="E3625" s="74">
        <v>46164</v>
      </c>
      <c r="F3625" t="s">
        <v>414</v>
      </c>
      <c r="G3625" t="s">
        <v>415</v>
      </c>
      <c r="H3625" s="75">
        <f t="shared" si="56"/>
        <v>312.13236743649082</v>
      </c>
      <c r="I3625" s="74">
        <v>46164</v>
      </c>
      <c r="J3625">
        <v>9</v>
      </c>
      <c r="K3625" t="s">
        <v>517</v>
      </c>
      <c r="L3625" t="s">
        <v>262</v>
      </c>
      <c r="M3625" t="s">
        <v>356</v>
      </c>
      <c r="N3625" s="73">
        <v>68097</v>
      </c>
      <c r="O3625" s="73">
        <v>68097</v>
      </c>
      <c r="P3625">
        <v>34.681374159610094</v>
      </c>
    </row>
    <row r="3626" spans="1:16" hidden="1" x14ac:dyDescent="0.2">
      <c r="A3626" s="73">
        <v>68097</v>
      </c>
      <c r="B3626" t="s">
        <v>491</v>
      </c>
      <c r="C3626" s="73" t="s">
        <v>492</v>
      </c>
      <c r="D3626" t="s">
        <v>493</v>
      </c>
      <c r="E3626" s="74">
        <v>46167</v>
      </c>
      <c r="F3626" t="s">
        <v>414</v>
      </c>
      <c r="G3626" t="s">
        <v>415</v>
      </c>
      <c r="H3626" s="75">
        <f t="shared" si="56"/>
        <v>312.13236743649082</v>
      </c>
      <c r="I3626" s="74">
        <v>46167</v>
      </c>
      <c r="J3626">
        <v>9</v>
      </c>
      <c r="K3626" t="s">
        <v>517</v>
      </c>
      <c r="L3626" t="s">
        <v>262</v>
      </c>
      <c r="M3626" t="s">
        <v>356</v>
      </c>
      <c r="N3626" s="73">
        <v>68097</v>
      </c>
      <c r="O3626" s="73">
        <v>68097</v>
      </c>
      <c r="P3626">
        <v>34.681374159610094</v>
      </c>
    </row>
    <row r="3627" spans="1:16" hidden="1" x14ac:dyDescent="0.2">
      <c r="A3627" s="73">
        <v>68097</v>
      </c>
      <c r="B3627" t="s">
        <v>491</v>
      </c>
      <c r="C3627" s="73" t="s">
        <v>492</v>
      </c>
      <c r="D3627" t="s">
        <v>493</v>
      </c>
      <c r="E3627" s="74">
        <v>46168</v>
      </c>
      <c r="F3627" t="s">
        <v>414</v>
      </c>
      <c r="G3627" t="s">
        <v>415</v>
      </c>
      <c r="H3627" s="75">
        <f t="shared" si="56"/>
        <v>312.13236743649082</v>
      </c>
      <c r="I3627" s="74">
        <v>46168</v>
      </c>
      <c r="J3627">
        <v>9</v>
      </c>
      <c r="K3627" t="s">
        <v>517</v>
      </c>
      <c r="L3627" t="s">
        <v>262</v>
      </c>
      <c r="M3627" t="s">
        <v>356</v>
      </c>
      <c r="N3627" s="73">
        <v>68097</v>
      </c>
      <c r="O3627" s="73">
        <v>68097</v>
      </c>
      <c r="P3627">
        <v>34.681374159610094</v>
      </c>
    </row>
    <row r="3628" spans="1:16" hidden="1" x14ac:dyDescent="0.2">
      <c r="A3628" s="73">
        <v>67260</v>
      </c>
      <c r="B3628" t="s">
        <v>423</v>
      </c>
      <c r="C3628" s="73" t="s">
        <v>488</v>
      </c>
      <c r="D3628" t="s">
        <v>489</v>
      </c>
      <c r="E3628" s="74">
        <v>46125</v>
      </c>
      <c r="F3628" t="s">
        <v>398</v>
      </c>
      <c r="G3628" t="s">
        <v>399</v>
      </c>
      <c r="H3628" s="75">
        <f t="shared" si="56"/>
        <v>277.45099327688075</v>
      </c>
      <c r="I3628" s="74">
        <v>46125</v>
      </c>
      <c r="J3628">
        <v>8</v>
      </c>
      <c r="K3628" t="s">
        <v>510</v>
      </c>
      <c r="L3628" t="s">
        <v>367</v>
      </c>
      <c r="M3628" t="s">
        <v>356</v>
      </c>
      <c r="N3628" s="73">
        <v>67260</v>
      </c>
      <c r="O3628" s="73">
        <v>67260</v>
      </c>
      <c r="P3628">
        <v>34.681374159610094</v>
      </c>
    </row>
    <row r="3629" spans="1:16" hidden="1" x14ac:dyDescent="0.2">
      <c r="A3629" s="73">
        <v>67260</v>
      </c>
      <c r="B3629" t="s">
        <v>423</v>
      </c>
      <c r="C3629" s="73" t="s">
        <v>488</v>
      </c>
      <c r="D3629" t="s">
        <v>489</v>
      </c>
      <c r="E3629" s="74">
        <v>46125</v>
      </c>
      <c r="F3629" t="s">
        <v>362</v>
      </c>
      <c r="G3629" t="s">
        <v>363</v>
      </c>
      <c r="H3629" s="75">
        <f t="shared" si="56"/>
        <v>277.45099327688075</v>
      </c>
      <c r="I3629" s="74">
        <v>46125</v>
      </c>
      <c r="J3629">
        <v>8</v>
      </c>
      <c r="K3629" t="s">
        <v>510</v>
      </c>
      <c r="L3629" t="s">
        <v>355</v>
      </c>
      <c r="M3629" t="s">
        <v>356</v>
      </c>
      <c r="N3629" s="73">
        <v>67260</v>
      </c>
      <c r="O3629" s="73">
        <v>67260</v>
      </c>
      <c r="P3629">
        <v>34.681374159610094</v>
      </c>
    </row>
    <row r="3630" spans="1:16" hidden="1" x14ac:dyDescent="0.2">
      <c r="A3630" s="73">
        <v>67260</v>
      </c>
      <c r="B3630" t="s">
        <v>423</v>
      </c>
      <c r="C3630" s="73" t="s">
        <v>488</v>
      </c>
      <c r="D3630" t="s">
        <v>489</v>
      </c>
      <c r="E3630" s="74">
        <v>46125</v>
      </c>
      <c r="F3630" t="s">
        <v>362</v>
      </c>
      <c r="G3630" t="s">
        <v>363</v>
      </c>
      <c r="H3630" s="75">
        <f t="shared" si="56"/>
        <v>-277.45099327688075</v>
      </c>
      <c r="I3630" s="74">
        <v>46125</v>
      </c>
      <c r="J3630">
        <v>-8</v>
      </c>
      <c r="K3630" t="s">
        <v>510</v>
      </c>
      <c r="L3630" t="s">
        <v>355</v>
      </c>
      <c r="M3630" t="s">
        <v>356</v>
      </c>
      <c r="N3630" s="73">
        <v>67260</v>
      </c>
      <c r="O3630" s="73">
        <v>67260</v>
      </c>
      <c r="P3630">
        <v>34.681374159610094</v>
      </c>
    </row>
    <row r="3631" spans="1:16" hidden="1" x14ac:dyDescent="0.2">
      <c r="A3631" s="73">
        <v>68097</v>
      </c>
      <c r="B3631" t="s">
        <v>491</v>
      </c>
      <c r="C3631" s="73" t="s">
        <v>492</v>
      </c>
      <c r="D3631" t="s">
        <v>493</v>
      </c>
      <c r="E3631" s="74">
        <v>46169</v>
      </c>
      <c r="F3631" t="s">
        <v>414</v>
      </c>
      <c r="G3631" t="s">
        <v>415</v>
      </c>
      <c r="H3631" s="75">
        <f t="shared" si="56"/>
        <v>312.13236743649082</v>
      </c>
      <c r="I3631" s="74">
        <v>46169</v>
      </c>
      <c r="J3631">
        <v>9</v>
      </c>
      <c r="K3631" t="s">
        <v>517</v>
      </c>
      <c r="L3631" t="s">
        <v>262</v>
      </c>
      <c r="M3631" t="s">
        <v>356</v>
      </c>
      <c r="N3631" s="73">
        <v>68097</v>
      </c>
      <c r="O3631" s="73">
        <v>68097</v>
      </c>
      <c r="P3631">
        <v>34.681374159610094</v>
      </c>
    </row>
    <row r="3632" spans="1:16" hidden="1" x14ac:dyDescent="0.2">
      <c r="A3632" s="73">
        <v>67260</v>
      </c>
      <c r="B3632" t="s">
        <v>423</v>
      </c>
      <c r="C3632" s="73" t="s">
        <v>488</v>
      </c>
      <c r="D3632" t="s">
        <v>489</v>
      </c>
      <c r="E3632" s="74">
        <v>46127</v>
      </c>
      <c r="F3632" t="s">
        <v>406</v>
      </c>
      <c r="G3632" t="s">
        <v>407</v>
      </c>
      <c r="H3632" s="75">
        <f t="shared" si="56"/>
        <v>277.45099327688075</v>
      </c>
      <c r="I3632" s="74">
        <v>46127</v>
      </c>
      <c r="J3632">
        <v>8</v>
      </c>
      <c r="K3632" t="s">
        <v>510</v>
      </c>
      <c r="L3632" t="s">
        <v>355</v>
      </c>
      <c r="M3632" t="s">
        <v>356</v>
      </c>
      <c r="N3632" s="73">
        <v>67260</v>
      </c>
      <c r="O3632" s="73">
        <v>67260</v>
      </c>
      <c r="P3632">
        <v>34.681374159610094</v>
      </c>
    </row>
    <row r="3633" spans="1:16" hidden="1" x14ac:dyDescent="0.2">
      <c r="A3633" s="73">
        <v>68097</v>
      </c>
      <c r="B3633" t="s">
        <v>491</v>
      </c>
      <c r="C3633" s="73" t="s">
        <v>492</v>
      </c>
      <c r="D3633" t="s">
        <v>493</v>
      </c>
      <c r="E3633" s="74">
        <v>46170</v>
      </c>
      <c r="F3633" t="s">
        <v>414</v>
      </c>
      <c r="G3633" t="s">
        <v>415</v>
      </c>
      <c r="H3633" s="75">
        <f t="shared" si="56"/>
        <v>138.72549663844038</v>
      </c>
      <c r="I3633" s="74">
        <v>46170</v>
      </c>
      <c r="J3633">
        <v>4</v>
      </c>
      <c r="K3633" t="s">
        <v>517</v>
      </c>
      <c r="L3633" t="s">
        <v>262</v>
      </c>
      <c r="M3633" t="s">
        <v>356</v>
      </c>
      <c r="N3633" s="73">
        <v>68097</v>
      </c>
      <c r="O3633" s="73">
        <v>68097</v>
      </c>
      <c r="P3633">
        <v>34.681374159610094</v>
      </c>
    </row>
    <row r="3634" spans="1:16" hidden="1" x14ac:dyDescent="0.2">
      <c r="A3634" s="73">
        <v>67260</v>
      </c>
      <c r="B3634" t="s">
        <v>423</v>
      </c>
      <c r="C3634" s="73" t="s">
        <v>488</v>
      </c>
      <c r="D3634" t="s">
        <v>489</v>
      </c>
      <c r="E3634" s="74">
        <v>46127</v>
      </c>
      <c r="F3634" t="s">
        <v>398</v>
      </c>
      <c r="G3634" t="s">
        <v>399</v>
      </c>
      <c r="H3634" s="75">
        <f t="shared" si="56"/>
        <v>277.45099327688075</v>
      </c>
      <c r="I3634" s="74">
        <v>46127</v>
      </c>
      <c r="J3634">
        <v>8</v>
      </c>
      <c r="K3634" t="s">
        <v>510</v>
      </c>
      <c r="L3634" t="s">
        <v>367</v>
      </c>
      <c r="M3634" t="s">
        <v>356</v>
      </c>
      <c r="N3634" s="73">
        <v>67260</v>
      </c>
      <c r="O3634" s="73">
        <v>67260</v>
      </c>
      <c r="P3634">
        <v>34.681374159610094</v>
      </c>
    </row>
    <row r="3635" spans="1:16" hidden="1" x14ac:dyDescent="0.2">
      <c r="A3635" s="73">
        <v>67260</v>
      </c>
      <c r="B3635" t="s">
        <v>423</v>
      </c>
      <c r="C3635" s="73" t="s">
        <v>488</v>
      </c>
      <c r="D3635" t="s">
        <v>489</v>
      </c>
      <c r="E3635" s="74">
        <v>46127</v>
      </c>
      <c r="F3635" t="s">
        <v>362</v>
      </c>
      <c r="G3635" t="s">
        <v>363</v>
      </c>
      <c r="H3635" s="75">
        <f t="shared" si="56"/>
        <v>277.45099327688075</v>
      </c>
      <c r="I3635" s="74">
        <v>46127</v>
      </c>
      <c r="J3635">
        <v>8</v>
      </c>
      <c r="K3635" t="s">
        <v>510</v>
      </c>
      <c r="L3635" t="s">
        <v>355</v>
      </c>
      <c r="M3635" t="s">
        <v>356</v>
      </c>
      <c r="N3635" s="73">
        <v>67260</v>
      </c>
      <c r="O3635" s="73">
        <v>67260</v>
      </c>
      <c r="P3635">
        <v>34.681374159610094</v>
      </c>
    </row>
    <row r="3636" spans="1:16" hidden="1" x14ac:dyDescent="0.2">
      <c r="A3636" s="73">
        <v>67260</v>
      </c>
      <c r="B3636" t="s">
        <v>423</v>
      </c>
      <c r="C3636" s="73" t="s">
        <v>488</v>
      </c>
      <c r="D3636" t="s">
        <v>489</v>
      </c>
      <c r="E3636" s="74">
        <v>46127</v>
      </c>
      <c r="F3636" t="s">
        <v>362</v>
      </c>
      <c r="G3636" t="s">
        <v>363</v>
      </c>
      <c r="H3636" s="75">
        <f t="shared" si="56"/>
        <v>-277.45099327688075</v>
      </c>
      <c r="I3636" s="74">
        <v>46127</v>
      </c>
      <c r="J3636">
        <v>-8</v>
      </c>
      <c r="K3636" t="s">
        <v>510</v>
      </c>
      <c r="L3636" t="s">
        <v>355</v>
      </c>
      <c r="M3636" t="s">
        <v>356</v>
      </c>
      <c r="N3636" s="73">
        <v>67260</v>
      </c>
      <c r="O3636" s="73">
        <v>67260</v>
      </c>
      <c r="P3636">
        <v>34.681374159610094</v>
      </c>
    </row>
    <row r="3637" spans="1:16" hidden="1" x14ac:dyDescent="0.2">
      <c r="A3637" s="73">
        <v>67260</v>
      </c>
      <c r="B3637" t="s">
        <v>423</v>
      </c>
      <c r="C3637" s="73" t="s">
        <v>488</v>
      </c>
      <c r="D3637" t="s">
        <v>489</v>
      </c>
      <c r="E3637" s="74">
        <v>46127</v>
      </c>
      <c r="F3637" t="s">
        <v>406</v>
      </c>
      <c r="G3637" t="s">
        <v>407</v>
      </c>
      <c r="H3637" s="75">
        <f t="shared" si="56"/>
        <v>-277.45099327688075</v>
      </c>
      <c r="I3637" s="74">
        <v>46127</v>
      </c>
      <c r="J3637">
        <v>-8</v>
      </c>
      <c r="K3637" t="s">
        <v>510</v>
      </c>
      <c r="L3637" t="s">
        <v>355</v>
      </c>
      <c r="M3637" t="s">
        <v>356</v>
      </c>
      <c r="N3637" s="73">
        <v>67260</v>
      </c>
      <c r="O3637" s="73">
        <v>67260</v>
      </c>
      <c r="P3637">
        <v>34.681374159610094</v>
      </c>
    </row>
    <row r="3638" spans="1:16" hidden="1" x14ac:dyDescent="0.2">
      <c r="A3638" s="73">
        <v>68097</v>
      </c>
      <c r="B3638" t="s">
        <v>491</v>
      </c>
      <c r="C3638" s="73" t="s">
        <v>498</v>
      </c>
      <c r="D3638" t="s">
        <v>499</v>
      </c>
      <c r="E3638" s="74">
        <v>46170</v>
      </c>
      <c r="F3638" t="s">
        <v>414</v>
      </c>
      <c r="G3638" t="s">
        <v>415</v>
      </c>
      <c r="H3638" s="75">
        <f t="shared" si="56"/>
        <v>173.40687079805048</v>
      </c>
      <c r="I3638" s="74">
        <v>46170</v>
      </c>
      <c r="J3638">
        <v>5</v>
      </c>
      <c r="K3638" t="s">
        <v>517</v>
      </c>
      <c r="L3638" t="s">
        <v>262</v>
      </c>
      <c r="M3638" t="s">
        <v>356</v>
      </c>
      <c r="N3638" s="73">
        <v>68097</v>
      </c>
      <c r="O3638" s="73">
        <v>68097</v>
      </c>
      <c r="P3638">
        <v>34.681374159610094</v>
      </c>
    </row>
    <row r="3639" spans="1:16" hidden="1" x14ac:dyDescent="0.2">
      <c r="A3639" s="73">
        <v>67260</v>
      </c>
      <c r="B3639" t="s">
        <v>423</v>
      </c>
      <c r="C3639" s="73" t="s">
        <v>488</v>
      </c>
      <c r="D3639" t="s">
        <v>489</v>
      </c>
      <c r="E3639" s="74">
        <v>46128</v>
      </c>
      <c r="F3639" t="s">
        <v>406</v>
      </c>
      <c r="G3639" t="s">
        <v>407</v>
      </c>
      <c r="H3639" s="75">
        <f t="shared" si="56"/>
        <v>277.45099327688075</v>
      </c>
      <c r="I3639" s="74">
        <v>46128</v>
      </c>
      <c r="J3639">
        <v>8</v>
      </c>
      <c r="K3639" t="s">
        <v>510</v>
      </c>
      <c r="L3639" t="s">
        <v>355</v>
      </c>
      <c r="M3639" t="s">
        <v>356</v>
      </c>
      <c r="N3639" s="73">
        <v>67260</v>
      </c>
      <c r="O3639" s="73">
        <v>67260</v>
      </c>
      <c r="P3639">
        <v>34.681374159610094</v>
      </c>
    </row>
    <row r="3640" spans="1:16" hidden="1" x14ac:dyDescent="0.2">
      <c r="A3640" s="73">
        <v>68097</v>
      </c>
      <c r="B3640" t="s">
        <v>491</v>
      </c>
      <c r="C3640" s="73" t="s">
        <v>492</v>
      </c>
      <c r="D3640" t="s">
        <v>493</v>
      </c>
      <c r="E3640" s="74">
        <v>46171</v>
      </c>
      <c r="F3640" t="s">
        <v>414</v>
      </c>
      <c r="G3640" t="s">
        <v>415</v>
      </c>
      <c r="H3640" s="75">
        <f t="shared" si="56"/>
        <v>312.13236743649082</v>
      </c>
      <c r="I3640" s="74">
        <v>46171</v>
      </c>
      <c r="J3640">
        <v>9</v>
      </c>
      <c r="K3640" t="s">
        <v>517</v>
      </c>
      <c r="L3640" t="s">
        <v>262</v>
      </c>
      <c r="M3640" t="s">
        <v>356</v>
      </c>
      <c r="N3640" s="73">
        <v>68097</v>
      </c>
      <c r="O3640" s="73">
        <v>68097</v>
      </c>
      <c r="P3640">
        <v>34.681374159610094</v>
      </c>
    </row>
    <row r="3641" spans="1:16" hidden="1" x14ac:dyDescent="0.2">
      <c r="A3641" s="73">
        <v>67260</v>
      </c>
      <c r="B3641" t="s">
        <v>423</v>
      </c>
      <c r="C3641" s="73" t="s">
        <v>488</v>
      </c>
      <c r="D3641" t="s">
        <v>489</v>
      </c>
      <c r="E3641" s="74">
        <v>46128</v>
      </c>
      <c r="F3641" t="s">
        <v>398</v>
      </c>
      <c r="G3641" t="s">
        <v>399</v>
      </c>
      <c r="H3641" s="75">
        <f t="shared" si="56"/>
        <v>277.45099327688075</v>
      </c>
      <c r="I3641" s="74">
        <v>46128</v>
      </c>
      <c r="J3641">
        <v>8</v>
      </c>
      <c r="K3641" t="s">
        <v>510</v>
      </c>
      <c r="L3641" t="s">
        <v>367</v>
      </c>
      <c r="M3641" t="s">
        <v>356</v>
      </c>
      <c r="N3641" s="73">
        <v>67260</v>
      </c>
      <c r="O3641" s="73">
        <v>67260</v>
      </c>
      <c r="P3641">
        <v>34.681374159610094</v>
      </c>
    </row>
    <row r="3642" spans="1:16" hidden="1" x14ac:dyDescent="0.2">
      <c r="A3642" s="73">
        <v>67260</v>
      </c>
      <c r="B3642" t="s">
        <v>423</v>
      </c>
      <c r="C3642" s="73" t="s">
        <v>488</v>
      </c>
      <c r="D3642" t="s">
        <v>489</v>
      </c>
      <c r="E3642" s="74">
        <v>46128</v>
      </c>
      <c r="F3642" t="s">
        <v>362</v>
      </c>
      <c r="G3642" t="s">
        <v>363</v>
      </c>
      <c r="H3642" s="75">
        <f t="shared" si="56"/>
        <v>277.45099327688075</v>
      </c>
      <c r="I3642" s="74">
        <v>46128</v>
      </c>
      <c r="J3642">
        <v>8</v>
      </c>
      <c r="K3642" t="s">
        <v>510</v>
      </c>
      <c r="L3642" t="s">
        <v>355</v>
      </c>
      <c r="M3642" t="s">
        <v>356</v>
      </c>
      <c r="N3642" s="73">
        <v>67260</v>
      </c>
      <c r="O3642" s="73">
        <v>67260</v>
      </c>
      <c r="P3642">
        <v>34.681374159610094</v>
      </c>
    </row>
    <row r="3643" spans="1:16" hidden="1" x14ac:dyDescent="0.2">
      <c r="A3643" s="73">
        <v>67260</v>
      </c>
      <c r="B3643" t="s">
        <v>423</v>
      </c>
      <c r="C3643" s="73" t="s">
        <v>488</v>
      </c>
      <c r="D3643" t="s">
        <v>489</v>
      </c>
      <c r="E3643" s="74">
        <v>46128</v>
      </c>
      <c r="F3643" t="s">
        <v>406</v>
      </c>
      <c r="G3643" t="s">
        <v>407</v>
      </c>
      <c r="H3643" s="75">
        <f t="shared" si="56"/>
        <v>-277.45099327688075</v>
      </c>
      <c r="I3643" s="74">
        <v>46128</v>
      </c>
      <c r="J3643">
        <v>-8</v>
      </c>
      <c r="K3643" t="s">
        <v>510</v>
      </c>
      <c r="L3643" t="s">
        <v>355</v>
      </c>
      <c r="M3643" t="s">
        <v>356</v>
      </c>
      <c r="N3643" s="73">
        <v>67260</v>
      </c>
      <c r="O3643" s="73">
        <v>67260</v>
      </c>
      <c r="P3643">
        <v>34.681374159610094</v>
      </c>
    </row>
    <row r="3644" spans="1:16" hidden="1" x14ac:dyDescent="0.2">
      <c r="A3644" s="73">
        <v>67260</v>
      </c>
      <c r="B3644" t="s">
        <v>423</v>
      </c>
      <c r="C3644" s="73" t="s">
        <v>488</v>
      </c>
      <c r="D3644" t="s">
        <v>489</v>
      </c>
      <c r="E3644" s="74">
        <v>46128</v>
      </c>
      <c r="F3644" t="s">
        <v>362</v>
      </c>
      <c r="G3644" t="s">
        <v>363</v>
      </c>
      <c r="H3644" s="75">
        <f t="shared" si="56"/>
        <v>-277.45099327688075</v>
      </c>
      <c r="I3644" s="74">
        <v>46128</v>
      </c>
      <c r="J3644">
        <v>-8</v>
      </c>
      <c r="K3644" t="s">
        <v>510</v>
      </c>
      <c r="L3644" t="s">
        <v>355</v>
      </c>
      <c r="M3644" t="s">
        <v>356</v>
      </c>
      <c r="N3644" s="73">
        <v>67260</v>
      </c>
      <c r="O3644" s="73">
        <v>67260</v>
      </c>
      <c r="P3644">
        <v>34.681374159610094</v>
      </c>
    </row>
    <row r="3645" spans="1:16" x14ac:dyDescent="0.2">
      <c r="A3645" s="73">
        <v>67262</v>
      </c>
      <c r="B3645" t="s">
        <v>350</v>
      </c>
      <c r="C3645" s="73" t="s">
        <v>421</v>
      </c>
      <c r="D3645" t="s">
        <v>422</v>
      </c>
      <c r="E3645" s="74">
        <v>46174</v>
      </c>
      <c r="F3645" t="s">
        <v>414</v>
      </c>
      <c r="G3645" t="s">
        <v>415</v>
      </c>
      <c r="H3645" s="75">
        <f t="shared" si="56"/>
        <v>312.13236743649082</v>
      </c>
      <c r="I3645" s="74">
        <v>46174</v>
      </c>
      <c r="J3645">
        <v>9</v>
      </c>
      <c r="K3645" t="s">
        <v>518</v>
      </c>
      <c r="L3645" t="s">
        <v>262</v>
      </c>
      <c r="M3645" t="s">
        <v>356</v>
      </c>
      <c r="N3645" s="73">
        <v>67262</v>
      </c>
      <c r="O3645" s="73">
        <v>67262</v>
      </c>
      <c r="P3645">
        <v>34.681374159610094</v>
      </c>
    </row>
    <row r="3646" spans="1:16" hidden="1" x14ac:dyDescent="0.2">
      <c r="A3646" s="73">
        <v>67260</v>
      </c>
      <c r="B3646" t="s">
        <v>423</v>
      </c>
      <c r="C3646" s="73" t="s">
        <v>488</v>
      </c>
      <c r="D3646" t="s">
        <v>489</v>
      </c>
      <c r="E3646" s="74">
        <v>46132</v>
      </c>
      <c r="F3646" t="s">
        <v>398</v>
      </c>
      <c r="G3646" t="s">
        <v>399</v>
      </c>
      <c r="H3646" s="75">
        <f t="shared" si="56"/>
        <v>277.45099327688075</v>
      </c>
      <c r="I3646" s="74">
        <v>46132</v>
      </c>
      <c r="J3646">
        <v>8</v>
      </c>
      <c r="K3646" t="s">
        <v>510</v>
      </c>
      <c r="L3646" t="s">
        <v>367</v>
      </c>
      <c r="M3646" t="s">
        <v>356</v>
      </c>
      <c r="N3646" s="73">
        <v>67260</v>
      </c>
      <c r="O3646" s="73">
        <v>67260</v>
      </c>
      <c r="P3646">
        <v>34.681374159610094</v>
      </c>
    </row>
    <row r="3647" spans="1:16" x14ac:dyDescent="0.2">
      <c r="A3647" s="73">
        <v>67262</v>
      </c>
      <c r="B3647" t="s">
        <v>350</v>
      </c>
      <c r="C3647" s="73" t="s">
        <v>421</v>
      </c>
      <c r="D3647" t="s">
        <v>422</v>
      </c>
      <c r="E3647" s="74">
        <v>46175</v>
      </c>
      <c r="F3647" t="s">
        <v>414</v>
      </c>
      <c r="G3647" t="s">
        <v>415</v>
      </c>
      <c r="H3647" s="75">
        <f t="shared" si="56"/>
        <v>312.13236743649082</v>
      </c>
      <c r="I3647" s="74">
        <v>46175</v>
      </c>
      <c r="J3647">
        <v>9</v>
      </c>
      <c r="K3647" t="s">
        <v>518</v>
      </c>
      <c r="L3647" t="s">
        <v>262</v>
      </c>
      <c r="M3647" t="s">
        <v>356</v>
      </c>
      <c r="N3647" s="73">
        <v>67262</v>
      </c>
      <c r="O3647" s="73">
        <v>67262</v>
      </c>
      <c r="P3647">
        <v>34.681374159610094</v>
      </c>
    </row>
    <row r="3648" spans="1:16" hidden="1" x14ac:dyDescent="0.2">
      <c r="A3648" s="73">
        <v>67260</v>
      </c>
      <c r="B3648" t="s">
        <v>423</v>
      </c>
      <c r="C3648" s="73" t="s">
        <v>488</v>
      </c>
      <c r="D3648" t="s">
        <v>489</v>
      </c>
      <c r="E3648" s="74">
        <v>46133</v>
      </c>
      <c r="F3648" t="s">
        <v>362</v>
      </c>
      <c r="G3648" t="s">
        <v>363</v>
      </c>
      <c r="H3648" s="75">
        <f t="shared" si="56"/>
        <v>-138.72549663844038</v>
      </c>
      <c r="I3648" s="74">
        <v>46133</v>
      </c>
      <c r="J3648">
        <v>-4</v>
      </c>
      <c r="K3648" t="s">
        <v>510</v>
      </c>
      <c r="L3648" t="s">
        <v>355</v>
      </c>
      <c r="M3648" t="s">
        <v>356</v>
      </c>
      <c r="N3648" s="73">
        <v>67260</v>
      </c>
      <c r="O3648" s="73">
        <v>67260</v>
      </c>
      <c r="P3648">
        <v>34.681374159610094</v>
      </c>
    </row>
    <row r="3649" spans="1:16" hidden="1" x14ac:dyDescent="0.2">
      <c r="A3649" s="73">
        <v>67260</v>
      </c>
      <c r="B3649" t="s">
        <v>423</v>
      </c>
      <c r="C3649" s="73" t="s">
        <v>488</v>
      </c>
      <c r="D3649" t="s">
        <v>489</v>
      </c>
      <c r="E3649" s="74">
        <v>46133</v>
      </c>
      <c r="F3649" t="s">
        <v>406</v>
      </c>
      <c r="G3649" t="s">
        <v>407</v>
      </c>
      <c r="H3649" s="75">
        <f t="shared" si="56"/>
        <v>-346.81374159610095</v>
      </c>
      <c r="I3649" s="74">
        <v>46133</v>
      </c>
      <c r="J3649">
        <v>-10</v>
      </c>
      <c r="K3649" t="s">
        <v>510</v>
      </c>
      <c r="L3649" t="s">
        <v>355</v>
      </c>
      <c r="M3649" t="s">
        <v>356</v>
      </c>
      <c r="N3649" s="73">
        <v>67260</v>
      </c>
      <c r="O3649" s="73">
        <v>67260</v>
      </c>
      <c r="P3649">
        <v>34.681374159610094</v>
      </c>
    </row>
    <row r="3650" spans="1:16" x14ac:dyDescent="0.2">
      <c r="A3650" s="73">
        <v>67262</v>
      </c>
      <c r="B3650" t="s">
        <v>350</v>
      </c>
      <c r="C3650" s="73" t="s">
        <v>421</v>
      </c>
      <c r="D3650" t="s">
        <v>422</v>
      </c>
      <c r="E3650" s="74">
        <v>46176</v>
      </c>
      <c r="F3650" t="s">
        <v>414</v>
      </c>
      <c r="G3650" t="s">
        <v>415</v>
      </c>
      <c r="H3650" s="75">
        <f t="shared" ref="H3650:H3714" si="57">J3650*P3650</f>
        <v>312.13236743649082</v>
      </c>
      <c r="I3650" s="74">
        <v>46176</v>
      </c>
      <c r="J3650">
        <v>9</v>
      </c>
      <c r="K3650" t="s">
        <v>518</v>
      </c>
      <c r="L3650" t="s">
        <v>262</v>
      </c>
      <c r="M3650" t="s">
        <v>356</v>
      </c>
      <c r="N3650" s="73">
        <v>67262</v>
      </c>
      <c r="O3650" s="73">
        <v>67262</v>
      </c>
      <c r="P3650">
        <v>34.681374159610094</v>
      </c>
    </row>
    <row r="3651" spans="1:16" hidden="1" x14ac:dyDescent="0.2">
      <c r="A3651" s="73">
        <v>68097</v>
      </c>
      <c r="B3651" t="s">
        <v>491</v>
      </c>
      <c r="C3651" s="73" t="s">
        <v>492</v>
      </c>
      <c r="D3651" t="s">
        <v>493</v>
      </c>
      <c r="E3651" s="74">
        <v>46177</v>
      </c>
      <c r="F3651" t="s">
        <v>414</v>
      </c>
      <c r="G3651" t="s">
        <v>415</v>
      </c>
      <c r="H3651" s="75">
        <f t="shared" si="57"/>
        <v>312.13236743649082</v>
      </c>
      <c r="I3651" s="74">
        <v>46177</v>
      </c>
      <c r="J3651">
        <v>9</v>
      </c>
      <c r="K3651" t="s">
        <v>518</v>
      </c>
      <c r="L3651" t="s">
        <v>262</v>
      </c>
      <c r="M3651" t="s">
        <v>356</v>
      </c>
      <c r="N3651" s="73">
        <v>68097</v>
      </c>
      <c r="O3651" s="73">
        <v>68097</v>
      </c>
      <c r="P3651">
        <v>34.681374159610094</v>
      </c>
    </row>
    <row r="3652" spans="1:16" hidden="1" x14ac:dyDescent="0.2">
      <c r="A3652" s="73">
        <v>67260</v>
      </c>
      <c r="B3652" t="s">
        <v>423</v>
      </c>
      <c r="C3652" s="73" t="s">
        <v>488</v>
      </c>
      <c r="D3652" t="s">
        <v>489</v>
      </c>
      <c r="E3652" s="74">
        <v>46133</v>
      </c>
      <c r="F3652" t="s">
        <v>362</v>
      </c>
      <c r="G3652" t="s">
        <v>363</v>
      </c>
      <c r="H3652" s="75">
        <f t="shared" si="57"/>
        <v>138.72549663844038</v>
      </c>
      <c r="I3652" s="74">
        <v>46133</v>
      </c>
      <c r="J3652">
        <v>4</v>
      </c>
      <c r="K3652" t="s">
        <v>510</v>
      </c>
      <c r="L3652" t="s">
        <v>355</v>
      </c>
      <c r="M3652" t="s">
        <v>356</v>
      </c>
      <c r="N3652" s="73">
        <v>67260</v>
      </c>
      <c r="O3652" s="73">
        <v>67260</v>
      </c>
      <c r="P3652">
        <v>34.681374159610094</v>
      </c>
    </row>
    <row r="3653" spans="1:16" hidden="1" x14ac:dyDescent="0.2">
      <c r="A3653" s="73">
        <v>67260</v>
      </c>
      <c r="B3653" t="s">
        <v>423</v>
      </c>
      <c r="C3653" s="73" t="s">
        <v>488</v>
      </c>
      <c r="D3653" t="s">
        <v>489</v>
      </c>
      <c r="E3653" s="74">
        <v>46133</v>
      </c>
      <c r="F3653" t="s">
        <v>406</v>
      </c>
      <c r="G3653" t="s">
        <v>407</v>
      </c>
      <c r="H3653" s="75">
        <f t="shared" si="57"/>
        <v>346.81374159610095</v>
      </c>
      <c r="I3653" s="74">
        <v>46133</v>
      </c>
      <c r="J3653">
        <v>10</v>
      </c>
      <c r="K3653" t="s">
        <v>510</v>
      </c>
      <c r="L3653" t="s">
        <v>355</v>
      </c>
      <c r="M3653" t="s">
        <v>356</v>
      </c>
      <c r="N3653" s="73">
        <v>67260</v>
      </c>
      <c r="O3653" s="73">
        <v>67260</v>
      </c>
      <c r="P3653">
        <v>34.681374159610094</v>
      </c>
    </row>
    <row r="3654" spans="1:16" hidden="1" x14ac:dyDescent="0.2">
      <c r="A3654" s="73">
        <v>67260</v>
      </c>
      <c r="B3654" t="s">
        <v>423</v>
      </c>
      <c r="C3654" s="73" t="s">
        <v>488</v>
      </c>
      <c r="D3654" t="s">
        <v>489</v>
      </c>
      <c r="E3654" s="74">
        <v>46134</v>
      </c>
      <c r="F3654" t="s">
        <v>362</v>
      </c>
      <c r="G3654" t="s">
        <v>363</v>
      </c>
      <c r="H3654" s="75">
        <f t="shared" si="57"/>
        <v>-138.72549663844038</v>
      </c>
      <c r="I3654" s="74">
        <v>46134</v>
      </c>
      <c r="J3654">
        <v>-4</v>
      </c>
      <c r="K3654" t="s">
        <v>510</v>
      </c>
      <c r="L3654" t="s">
        <v>355</v>
      </c>
      <c r="M3654" t="s">
        <v>356</v>
      </c>
      <c r="N3654" s="73">
        <v>67260</v>
      </c>
      <c r="O3654" s="73">
        <v>67260</v>
      </c>
      <c r="P3654">
        <v>34.681374159610094</v>
      </c>
    </row>
    <row r="3655" spans="1:16" hidden="1" x14ac:dyDescent="0.2">
      <c r="A3655" s="73">
        <v>67260</v>
      </c>
      <c r="B3655" t="s">
        <v>423</v>
      </c>
      <c r="C3655" s="73" t="s">
        <v>488</v>
      </c>
      <c r="D3655" t="s">
        <v>489</v>
      </c>
      <c r="E3655" s="74">
        <v>46134</v>
      </c>
      <c r="F3655" t="s">
        <v>406</v>
      </c>
      <c r="G3655" t="s">
        <v>407</v>
      </c>
      <c r="H3655" s="75">
        <f t="shared" si="57"/>
        <v>-346.81374159610095</v>
      </c>
      <c r="I3655" s="74">
        <v>46134</v>
      </c>
      <c r="J3655">
        <v>-10</v>
      </c>
      <c r="K3655" t="s">
        <v>510</v>
      </c>
      <c r="L3655" t="s">
        <v>355</v>
      </c>
      <c r="M3655" t="s">
        <v>356</v>
      </c>
      <c r="N3655" s="73">
        <v>67260</v>
      </c>
      <c r="O3655" s="73">
        <v>67260</v>
      </c>
      <c r="P3655">
        <v>34.681374159610094</v>
      </c>
    </row>
    <row r="3656" spans="1:16" hidden="1" x14ac:dyDescent="0.2">
      <c r="A3656" s="73">
        <v>68097</v>
      </c>
      <c r="B3656" t="s">
        <v>491</v>
      </c>
      <c r="C3656" s="73" t="s">
        <v>492</v>
      </c>
      <c r="D3656" t="s">
        <v>493</v>
      </c>
      <c r="E3656" s="74">
        <v>46178</v>
      </c>
      <c r="F3656" t="s">
        <v>414</v>
      </c>
      <c r="G3656" t="s">
        <v>415</v>
      </c>
      <c r="H3656" s="75">
        <f t="shared" si="57"/>
        <v>312.13236743649082</v>
      </c>
      <c r="I3656" s="74">
        <v>46178</v>
      </c>
      <c r="J3656">
        <v>9</v>
      </c>
      <c r="K3656" t="s">
        <v>518</v>
      </c>
      <c r="L3656" t="s">
        <v>262</v>
      </c>
      <c r="M3656" t="s">
        <v>356</v>
      </c>
      <c r="N3656" s="73">
        <v>68097</v>
      </c>
      <c r="O3656" s="73">
        <v>68097</v>
      </c>
      <c r="P3656">
        <v>34.681374159610094</v>
      </c>
    </row>
    <row r="3657" spans="1:16" hidden="1" x14ac:dyDescent="0.2">
      <c r="A3657" s="73">
        <v>67260</v>
      </c>
      <c r="B3657" t="s">
        <v>423</v>
      </c>
      <c r="C3657" s="73" t="s">
        <v>488</v>
      </c>
      <c r="D3657" t="s">
        <v>489</v>
      </c>
      <c r="E3657" s="74">
        <v>46134</v>
      </c>
      <c r="F3657" t="s">
        <v>362</v>
      </c>
      <c r="G3657" t="s">
        <v>363</v>
      </c>
      <c r="H3657" s="75">
        <f t="shared" si="57"/>
        <v>138.72549663844038</v>
      </c>
      <c r="I3657" s="74">
        <v>46134</v>
      </c>
      <c r="J3657">
        <v>4</v>
      </c>
      <c r="K3657" t="s">
        <v>510</v>
      </c>
      <c r="L3657" t="s">
        <v>355</v>
      </c>
      <c r="M3657" t="s">
        <v>356</v>
      </c>
      <c r="N3657" s="73">
        <v>67260</v>
      </c>
      <c r="O3657" s="73">
        <v>67260</v>
      </c>
      <c r="P3657">
        <v>34.681374159610094</v>
      </c>
    </row>
    <row r="3658" spans="1:16" hidden="1" x14ac:dyDescent="0.2">
      <c r="A3658" s="73">
        <v>67260</v>
      </c>
      <c r="B3658" t="s">
        <v>423</v>
      </c>
      <c r="C3658" s="73" t="s">
        <v>488</v>
      </c>
      <c r="D3658" t="s">
        <v>489</v>
      </c>
      <c r="E3658" s="74">
        <v>46134</v>
      </c>
      <c r="F3658" t="s">
        <v>406</v>
      </c>
      <c r="G3658" t="s">
        <v>407</v>
      </c>
      <c r="H3658" s="75">
        <f t="shared" si="57"/>
        <v>346.81374159610095</v>
      </c>
      <c r="I3658" s="74">
        <v>46134</v>
      </c>
      <c r="J3658">
        <v>10</v>
      </c>
      <c r="K3658" t="s">
        <v>510</v>
      </c>
      <c r="L3658" t="s">
        <v>355</v>
      </c>
      <c r="M3658" t="s">
        <v>356</v>
      </c>
      <c r="N3658" s="73">
        <v>67260</v>
      </c>
      <c r="O3658" s="73">
        <v>67260</v>
      </c>
      <c r="P3658">
        <v>34.681374159610094</v>
      </c>
    </row>
    <row r="3659" spans="1:16" hidden="1" x14ac:dyDescent="0.2">
      <c r="A3659" s="73">
        <v>67260</v>
      </c>
      <c r="B3659" t="s">
        <v>423</v>
      </c>
      <c r="C3659" s="73" t="s">
        <v>488</v>
      </c>
      <c r="D3659" t="s">
        <v>489</v>
      </c>
      <c r="E3659" s="74">
        <v>46135</v>
      </c>
      <c r="F3659" t="s">
        <v>362</v>
      </c>
      <c r="G3659" t="s">
        <v>363</v>
      </c>
      <c r="H3659" s="75">
        <f t="shared" si="57"/>
        <v>-138.72549663844038</v>
      </c>
      <c r="I3659" s="74">
        <v>46135</v>
      </c>
      <c r="J3659">
        <v>-4</v>
      </c>
      <c r="K3659" t="s">
        <v>510</v>
      </c>
      <c r="L3659" t="s">
        <v>355</v>
      </c>
      <c r="M3659" t="s">
        <v>356</v>
      </c>
      <c r="N3659" s="73">
        <v>67260</v>
      </c>
      <c r="O3659" s="73">
        <v>67260</v>
      </c>
      <c r="P3659">
        <v>34.681374159610094</v>
      </c>
    </row>
    <row r="3660" spans="1:16" hidden="1" x14ac:dyDescent="0.2">
      <c r="A3660" s="73">
        <v>67260</v>
      </c>
      <c r="B3660" t="s">
        <v>423</v>
      </c>
      <c r="C3660" s="73" t="s">
        <v>488</v>
      </c>
      <c r="D3660" t="s">
        <v>489</v>
      </c>
      <c r="E3660" s="74">
        <v>46135</v>
      </c>
      <c r="F3660" t="s">
        <v>406</v>
      </c>
      <c r="G3660" t="s">
        <v>407</v>
      </c>
      <c r="H3660" s="75">
        <f t="shared" si="57"/>
        <v>-346.81374159610095</v>
      </c>
      <c r="I3660" s="74">
        <v>46135</v>
      </c>
      <c r="J3660">
        <v>-10</v>
      </c>
      <c r="K3660" t="s">
        <v>510</v>
      </c>
      <c r="L3660" t="s">
        <v>355</v>
      </c>
      <c r="M3660" t="s">
        <v>356</v>
      </c>
      <c r="N3660" s="73">
        <v>67260</v>
      </c>
      <c r="O3660" s="73">
        <v>67260</v>
      </c>
      <c r="P3660">
        <v>34.681374159610094</v>
      </c>
    </row>
    <row r="3661" spans="1:16" hidden="1" x14ac:dyDescent="0.2">
      <c r="A3661" s="73">
        <v>68097</v>
      </c>
      <c r="B3661" t="s">
        <v>491</v>
      </c>
      <c r="C3661" s="73" t="s">
        <v>492</v>
      </c>
      <c r="D3661" t="s">
        <v>493</v>
      </c>
      <c r="E3661" s="74">
        <v>46181</v>
      </c>
      <c r="F3661" t="s">
        <v>414</v>
      </c>
      <c r="G3661" t="s">
        <v>415</v>
      </c>
      <c r="H3661" s="75">
        <f t="shared" si="57"/>
        <v>312.13236743649082</v>
      </c>
      <c r="I3661" s="74">
        <v>46181</v>
      </c>
      <c r="J3661">
        <v>9</v>
      </c>
      <c r="K3661" t="s">
        <v>518</v>
      </c>
      <c r="L3661" t="s">
        <v>262</v>
      </c>
      <c r="M3661" t="s">
        <v>356</v>
      </c>
      <c r="N3661" s="73">
        <v>68097</v>
      </c>
      <c r="O3661" s="73">
        <v>68097</v>
      </c>
      <c r="P3661">
        <v>34.681374159610094</v>
      </c>
    </row>
    <row r="3662" spans="1:16" hidden="1" x14ac:dyDescent="0.2">
      <c r="A3662" s="73">
        <v>67260</v>
      </c>
      <c r="B3662" t="s">
        <v>423</v>
      </c>
      <c r="C3662" s="73" t="s">
        <v>488</v>
      </c>
      <c r="D3662" t="s">
        <v>489</v>
      </c>
      <c r="E3662" s="74">
        <v>46135</v>
      </c>
      <c r="F3662" t="s">
        <v>362</v>
      </c>
      <c r="G3662" t="s">
        <v>363</v>
      </c>
      <c r="H3662" s="75">
        <f t="shared" si="57"/>
        <v>138.72549663844038</v>
      </c>
      <c r="I3662" s="74">
        <v>46135</v>
      </c>
      <c r="J3662">
        <v>4</v>
      </c>
      <c r="K3662" t="s">
        <v>510</v>
      </c>
      <c r="L3662" t="s">
        <v>355</v>
      </c>
      <c r="M3662" t="s">
        <v>356</v>
      </c>
      <c r="N3662" s="73">
        <v>67260</v>
      </c>
      <c r="O3662" s="73">
        <v>67260</v>
      </c>
      <c r="P3662">
        <v>34.681374159610094</v>
      </c>
    </row>
    <row r="3663" spans="1:16" hidden="1" x14ac:dyDescent="0.2">
      <c r="A3663" s="73">
        <v>67260</v>
      </c>
      <c r="B3663" t="s">
        <v>423</v>
      </c>
      <c r="C3663" s="73" t="s">
        <v>488</v>
      </c>
      <c r="D3663" t="s">
        <v>489</v>
      </c>
      <c r="E3663" s="74">
        <v>46135</v>
      </c>
      <c r="F3663" t="s">
        <v>406</v>
      </c>
      <c r="G3663" t="s">
        <v>407</v>
      </c>
      <c r="H3663" s="75">
        <f t="shared" si="57"/>
        <v>346.81374159610095</v>
      </c>
      <c r="I3663" s="74">
        <v>46135</v>
      </c>
      <c r="J3663">
        <v>10</v>
      </c>
      <c r="K3663" t="s">
        <v>510</v>
      </c>
      <c r="L3663" t="s">
        <v>355</v>
      </c>
      <c r="M3663" t="s">
        <v>356</v>
      </c>
      <c r="N3663" s="73">
        <v>67260</v>
      </c>
      <c r="O3663" s="73">
        <v>67260</v>
      </c>
      <c r="P3663">
        <v>34.681374159610094</v>
      </c>
    </row>
    <row r="3664" spans="1:16" hidden="1" x14ac:dyDescent="0.2">
      <c r="A3664" s="73">
        <v>68097</v>
      </c>
      <c r="B3664" t="s">
        <v>491</v>
      </c>
      <c r="C3664" s="73" t="s">
        <v>492</v>
      </c>
      <c r="D3664" t="s">
        <v>493</v>
      </c>
      <c r="E3664" s="74">
        <v>46182</v>
      </c>
      <c r="F3664" t="s">
        <v>414</v>
      </c>
      <c r="G3664" t="s">
        <v>415</v>
      </c>
      <c r="H3664" s="75">
        <f t="shared" si="57"/>
        <v>312.13236743649082</v>
      </c>
      <c r="I3664" s="74">
        <v>46182</v>
      </c>
      <c r="J3664">
        <v>9</v>
      </c>
      <c r="K3664" t="s">
        <v>518</v>
      </c>
      <c r="L3664" t="s">
        <v>262</v>
      </c>
      <c r="M3664" t="s">
        <v>356</v>
      </c>
      <c r="N3664" s="73">
        <v>68097</v>
      </c>
      <c r="O3664" s="73">
        <v>68097</v>
      </c>
      <c r="P3664">
        <v>34.681374159610094</v>
      </c>
    </row>
    <row r="3665" spans="1:16" hidden="1" x14ac:dyDescent="0.2">
      <c r="A3665" s="73">
        <v>68097</v>
      </c>
      <c r="B3665" t="s">
        <v>491</v>
      </c>
      <c r="C3665" s="73" t="s">
        <v>492</v>
      </c>
      <c r="D3665" t="s">
        <v>493</v>
      </c>
      <c r="E3665" s="74">
        <v>46183</v>
      </c>
      <c r="F3665" t="s">
        <v>414</v>
      </c>
      <c r="G3665" t="s">
        <v>415</v>
      </c>
      <c r="H3665" s="75">
        <f t="shared" si="57"/>
        <v>312.13236743649082</v>
      </c>
      <c r="I3665" s="74">
        <v>46183</v>
      </c>
      <c r="J3665">
        <v>9</v>
      </c>
      <c r="K3665" t="s">
        <v>518</v>
      </c>
      <c r="L3665" t="s">
        <v>262</v>
      </c>
      <c r="M3665" t="s">
        <v>356</v>
      </c>
      <c r="N3665" s="73">
        <v>68097</v>
      </c>
      <c r="O3665" s="73">
        <v>68097</v>
      </c>
      <c r="P3665">
        <v>34.681374159610094</v>
      </c>
    </row>
    <row r="3666" spans="1:16" hidden="1" x14ac:dyDescent="0.2">
      <c r="A3666" s="73">
        <v>67260</v>
      </c>
      <c r="B3666" t="s">
        <v>423</v>
      </c>
      <c r="C3666" s="73" t="s">
        <v>488</v>
      </c>
      <c r="D3666" t="s">
        <v>489</v>
      </c>
      <c r="E3666" s="74">
        <v>46136</v>
      </c>
      <c r="F3666" t="s">
        <v>362</v>
      </c>
      <c r="G3666" t="s">
        <v>363</v>
      </c>
      <c r="H3666" s="75">
        <f t="shared" si="57"/>
        <v>-138.72549663844038</v>
      </c>
      <c r="I3666" s="74">
        <v>46136</v>
      </c>
      <c r="J3666">
        <v>-4</v>
      </c>
      <c r="K3666" t="s">
        <v>510</v>
      </c>
      <c r="L3666" t="s">
        <v>355</v>
      </c>
      <c r="M3666" t="s">
        <v>356</v>
      </c>
      <c r="N3666" s="73">
        <v>67260</v>
      </c>
      <c r="O3666" s="73">
        <v>67260</v>
      </c>
      <c r="P3666">
        <v>34.681374159610094</v>
      </c>
    </row>
    <row r="3667" spans="1:16" hidden="1" x14ac:dyDescent="0.2">
      <c r="A3667" s="73">
        <v>67260</v>
      </c>
      <c r="B3667" t="s">
        <v>423</v>
      </c>
      <c r="C3667" s="73" t="s">
        <v>488</v>
      </c>
      <c r="D3667" t="s">
        <v>489</v>
      </c>
      <c r="E3667" s="74">
        <v>46136</v>
      </c>
      <c r="F3667" t="s">
        <v>406</v>
      </c>
      <c r="G3667" t="s">
        <v>407</v>
      </c>
      <c r="H3667" s="75">
        <f t="shared" si="57"/>
        <v>-346.81374159610095</v>
      </c>
      <c r="I3667" s="74">
        <v>46136</v>
      </c>
      <c r="J3667">
        <v>-10</v>
      </c>
      <c r="K3667" t="s">
        <v>510</v>
      </c>
      <c r="L3667" t="s">
        <v>355</v>
      </c>
      <c r="M3667" t="s">
        <v>356</v>
      </c>
      <c r="N3667" s="73">
        <v>67260</v>
      </c>
      <c r="O3667" s="73">
        <v>67260</v>
      </c>
      <c r="P3667">
        <v>34.681374159610094</v>
      </c>
    </row>
    <row r="3668" spans="1:16" hidden="1" x14ac:dyDescent="0.2">
      <c r="A3668" s="73">
        <v>68097</v>
      </c>
      <c r="B3668" t="s">
        <v>491</v>
      </c>
      <c r="C3668" s="73" t="s">
        <v>492</v>
      </c>
      <c r="D3668" t="s">
        <v>493</v>
      </c>
      <c r="E3668" s="74">
        <v>46184</v>
      </c>
      <c r="F3668" t="s">
        <v>414</v>
      </c>
      <c r="G3668" t="s">
        <v>415</v>
      </c>
      <c r="H3668" s="75">
        <f t="shared" si="57"/>
        <v>312.13236743649082</v>
      </c>
      <c r="I3668" s="74">
        <v>46184</v>
      </c>
      <c r="J3668">
        <v>9</v>
      </c>
      <c r="K3668" t="s">
        <v>518</v>
      </c>
      <c r="L3668" t="s">
        <v>262</v>
      </c>
      <c r="M3668" t="s">
        <v>356</v>
      </c>
      <c r="N3668" s="73">
        <v>68097</v>
      </c>
      <c r="O3668" s="73">
        <v>68097</v>
      </c>
      <c r="P3668">
        <v>34.681374159610094</v>
      </c>
    </row>
    <row r="3669" spans="1:16" hidden="1" x14ac:dyDescent="0.2">
      <c r="A3669" s="73">
        <v>68097</v>
      </c>
      <c r="B3669" t="s">
        <v>491</v>
      </c>
      <c r="C3669" s="73" t="s">
        <v>492</v>
      </c>
      <c r="D3669" t="s">
        <v>493</v>
      </c>
      <c r="E3669" s="74">
        <v>46185</v>
      </c>
      <c r="F3669" t="s">
        <v>414</v>
      </c>
      <c r="G3669" t="s">
        <v>415</v>
      </c>
      <c r="H3669" s="75">
        <f t="shared" si="57"/>
        <v>312.13236743649082</v>
      </c>
      <c r="I3669" s="74">
        <v>46185</v>
      </c>
      <c r="J3669">
        <v>9</v>
      </c>
      <c r="K3669" t="s">
        <v>518</v>
      </c>
      <c r="L3669" t="s">
        <v>262</v>
      </c>
      <c r="M3669" t="s">
        <v>356</v>
      </c>
      <c r="N3669" s="73">
        <v>68097</v>
      </c>
      <c r="O3669" s="73">
        <v>68097</v>
      </c>
      <c r="P3669">
        <v>34.681374159610094</v>
      </c>
    </row>
    <row r="3670" spans="1:16" hidden="1" x14ac:dyDescent="0.2">
      <c r="A3670" s="73">
        <v>67260</v>
      </c>
      <c r="B3670" t="s">
        <v>423</v>
      </c>
      <c r="C3670" s="73" t="s">
        <v>488</v>
      </c>
      <c r="D3670" t="s">
        <v>489</v>
      </c>
      <c r="E3670" s="74">
        <v>46136</v>
      </c>
      <c r="F3670" t="s">
        <v>362</v>
      </c>
      <c r="G3670" t="s">
        <v>363</v>
      </c>
      <c r="H3670" s="75">
        <f t="shared" si="57"/>
        <v>138.72549663844038</v>
      </c>
      <c r="I3670" s="74">
        <v>46136</v>
      </c>
      <c r="J3670">
        <v>4</v>
      </c>
      <c r="K3670" t="s">
        <v>510</v>
      </c>
      <c r="L3670" t="s">
        <v>355</v>
      </c>
      <c r="M3670" t="s">
        <v>356</v>
      </c>
      <c r="N3670" s="73">
        <v>67260</v>
      </c>
      <c r="O3670" s="73">
        <v>67260</v>
      </c>
      <c r="P3670">
        <v>34.681374159610094</v>
      </c>
    </row>
    <row r="3671" spans="1:16" hidden="1" x14ac:dyDescent="0.2">
      <c r="A3671" s="73">
        <v>67260</v>
      </c>
      <c r="B3671" t="s">
        <v>423</v>
      </c>
      <c r="C3671" s="73" t="s">
        <v>488</v>
      </c>
      <c r="D3671" t="s">
        <v>489</v>
      </c>
      <c r="E3671" s="74">
        <v>46136</v>
      </c>
      <c r="F3671" t="s">
        <v>406</v>
      </c>
      <c r="G3671" t="s">
        <v>407</v>
      </c>
      <c r="H3671" s="75">
        <f t="shared" si="57"/>
        <v>346.81374159610095</v>
      </c>
      <c r="I3671" s="74">
        <v>46136</v>
      </c>
      <c r="J3671">
        <v>10</v>
      </c>
      <c r="K3671" t="s">
        <v>510</v>
      </c>
      <c r="L3671" t="s">
        <v>355</v>
      </c>
      <c r="M3671" t="s">
        <v>356</v>
      </c>
      <c r="N3671" s="73">
        <v>67260</v>
      </c>
      <c r="O3671" s="73">
        <v>67260</v>
      </c>
      <c r="P3671">
        <v>34.681374159610094</v>
      </c>
    </row>
    <row r="3672" spans="1:16" hidden="1" x14ac:dyDescent="0.2">
      <c r="A3672" s="73">
        <v>67260</v>
      </c>
      <c r="B3672" t="s">
        <v>423</v>
      </c>
      <c r="C3672" s="73" t="s">
        <v>488</v>
      </c>
      <c r="D3672" t="s">
        <v>489</v>
      </c>
      <c r="E3672" s="74">
        <v>46139</v>
      </c>
      <c r="F3672" t="s">
        <v>406</v>
      </c>
      <c r="G3672" t="s">
        <v>407</v>
      </c>
      <c r="H3672" s="75">
        <f t="shared" si="57"/>
        <v>277.45099327688075</v>
      </c>
      <c r="I3672" s="74">
        <v>46139</v>
      </c>
      <c r="J3672">
        <v>8</v>
      </c>
      <c r="K3672" t="s">
        <v>510</v>
      </c>
      <c r="L3672" t="s">
        <v>355</v>
      </c>
      <c r="M3672" t="s">
        <v>356</v>
      </c>
      <c r="N3672" s="73">
        <v>67260</v>
      </c>
      <c r="O3672" s="73">
        <v>67260</v>
      </c>
      <c r="P3672">
        <v>34.681374159610094</v>
      </c>
    </row>
    <row r="3673" spans="1:16" hidden="1" x14ac:dyDescent="0.2">
      <c r="A3673" s="73">
        <v>67260</v>
      </c>
      <c r="B3673" t="s">
        <v>423</v>
      </c>
      <c r="C3673" s="73" t="s">
        <v>488</v>
      </c>
      <c r="D3673" t="s">
        <v>489</v>
      </c>
      <c r="E3673" s="74">
        <v>46139</v>
      </c>
      <c r="F3673" t="s">
        <v>362</v>
      </c>
      <c r="G3673" t="s">
        <v>363</v>
      </c>
      <c r="H3673" s="75">
        <f t="shared" si="57"/>
        <v>277.45099327688075</v>
      </c>
      <c r="I3673" s="74">
        <v>46139</v>
      </c>
      <c r="J3673">
        <v>8</v>
      </c>
      <c r="K3673" t="s">
        <v>510</v>
      </c>
      <c r="L3673" t="s">
        <v>355</v>
      </c>
      <c r="M3673" t="s">
        <v>356</v>
      </c>
      <c r="N3673" s="73">
        <v>67260</v>
      </c>
      <c r="O3673" s="73">
        <v>67260</v>
      </c>
      <c r="P3673">
        <v>34.681374159610094</v>
      </c>
    </row>
    <row r="3674" spans="1:16" hidden="1" x14ac:dyDescent="0.2">
      <c r="A3674" s="73">
        <v>67260</v>
      </c>
      <c r="B3674" t="s">
        <v>423</v>
      </c>
      <c r="C3674" s="73" t="s">
        <v>488</v>
      </c>
      <c r="D3674" t="s">
        <v>489</v>
      </c>
      <c r="E3674" s="74">
        <v>46140</v>
      </c>
      <c r="F3674" t="s">
        <v>362</v>
      </c>
      <c r="G3674" t="s">
        <v>363</v>
      </c>
      <c r="H3674" s="75">
        <f t="shared" si="57"/>
        <v>277.45099327688075</v>
      </c>
      <c r="I3674" s="74">
        <v>46140</v>
      </c>
      <c r="J3674">
        <v>8</v>
      </c>
      <c r="K3674" t="s">
        <v>510</v>
      </c>
      <c r="L3674" t="s">
        <v>355</v>
      </c>
      <c r="M3674" t="s">
        <v>356</v>
      </c>
      <c r="N3674" s="73">
        <v>67260</v>
      </c>
      <c r="O3674" s="73">
        <v>67260</v>
      </c>
      <c r="P3674">
        <v>34.681374159610094</v>
      </c>
    </row>
    <row r="3675" spans="1:16" hidden="1" x14ac:dyDescent="0.2">
      <c r="A3675" s="73">
        <v>67260</v>
      </c>
      <c r="B3675" t="s">
        <v>423</v>
      </c>
      <c r="C3675" s="73" t="s">
        <v>488</v>
      </c>
      <c r="D3675" t="s">
        <v>489</v>
      </c>
      <c r="E3675" s="74">
        <v>46140</v>
      </c>
      <c r="F3675" t="s">
        <v>406</v>
      </c>
      <c r="G3675" t="s">
        <v>407</v>
      </c>
      <c r="H3675" s="75">
        <f t="shared" si="57"/>
        <v>277.45099327688075</v>
      </c>
      <c r="I3675" s="74">
        <v>46140</v>
      </c>
      <c r="J3675">
        <v>8</v>
      </c>
      <c r="K3675" t="s">
        <v>510</v>
      </c>
      <c r="L3675" t="s">
        <v>355</v>
      </c>
      <c r="M3675" t="s">
        <v>356</v>
      </c>
      <c r="N3675" s="73">
        <v>67260</v>
      </c>
      <c r="O3675" s="73">
        <v>67260</v>
      </c>
      <c r="P3675">
        <v>34.681374159610094</v>
      </c>
    </row>
    <row r="3676" spans="1:16" hidden="1" x14ac:dyDescent="0.2">
      <c r="A3676" s="73">
        <v>67260</v>
      </c>
      <c r="B3676" t="s">
        <v>423</v>
      </c>
      <c r="C3676" s="73" t="s">
        <v>488</v>
      </c>
      <c r="D3676" t="s">
        <v>489</v>
      </c>
      <c r="E3676" s="74">
        <v>46141</v>
      </c>
      <c r="F3676" t="s">
        <v>362</v>
      </c>
      <c r="G3676" t="s">
        <v>363</v>
      </c>
      <c r="H3676" s="75">
        <f t="shared" si="57"/>
        <v>277.45099327688075</v>
      </c>
      <c r="I3676" s="74">
        <v>46141</v>
      </c>
      <c r="J3676">
        <v>8</v>
      </c>
      <c r="K3676" t="s">
        <v>510</v>
      </c>
      <c r="L3676" t="s">
        <v>355</v>
      </c>
      <c r="M3676" t="s">
        <v>356</v>
      </c>
      <c r="N3676" s="73">
        <v>67260</v>
      </c>
      <c r="O3676" s="73">
        <v>67260</v>
      </c>
      <c r="P3676">
        <v>34.681374159610094</v>
      </c>
    </row>
    <row r="3677" spans="1:16" hidden="1" x14ac:dyDescent="0.2">
      <c r="A3677" s="73">
        <v>67260</v>
      </c>
      <c r="B3677" t="s">
        <v>423</v>
      </c>
      <c r="C3677" s="73" t="s">
        <v>488</v>
      </c>
      <c r="D3677" t="s">
        <v>489</v>
      </c>
      <c r="E3677" s="74">
        <v>46141</v>
      </c>
      <c r="F3677" t="s">
        <v>406</v>
      </c>
      <c r="G3677" t="s">
        <v>407</v>
      </c>
      <c r="H3677" s="75">
        <f t="shared" si="57"/>
        <v>277.45099327688075</v>
      </c>
      <c r="I3677" s="74">
        <v>46141</v>
      </c>
      <c r="J3677">
        <v>8</v>
      </c>
      <c r="K3677" t="s">
        <v>510</v>
      </c>
      <c r="L3677" t="s">
        <v>355</v>
      </c>
      <c r="M3677" t="s">
        <v>356</v>
      </c>
      <c r="N3677" s="73">
        <v>67260</v>
      </c>
      <c r="O3677" s="73">
        <v>67260</v>
      </c>
      <c r="P3677">
        <v>34.681374159610094</v>
      </c>
    </row>
    <row r="3678" spans="1:16" hidden="1" x14ac:dyDescent="0.2">
      <c r="A3678" s="73">
        <v>67260</v>
      </c>
      <c r="B3678" t="s">
        <v>423</v>
      </c>
      <c r="C3678" s="73" t="s">
        <v>488</v>
      </c>
      <c r="D3678" t="s">
        <v>489</v>
      </c>
      <c r="E3678" s="74">
        <v>46142</v>
      </c>
      <c r="F3678" t="s">
        <v>362</v>
      </c>
      <c r="G3678" t="s">
        <v>363</v>
      </c>
      <c r="H3678" s="75">
        <f t="shared" si="57"/>
        <v>277.45099327688075</v>
      </c>
      <c r="I3678" s="74">
        <v>46142</v>
      </c>
      <c r="J3678">
        <v>8</v>
      </c>
      <c r="K3678" t="s">
        <v>510</v>
      </c>
      <c r="L3678" t="s">
        <v>355</v>
      </c>
      <c r="M3678" t="s">
        <v>356</v>
      </c>
      <c r="N3678" s="73">
        <v>67260</v>
      </c>
      <c r="O3678" s="73">
        <v>67260</v>
      </c>
      <c r="P3678">
        <v>34.681374159610094</v>
      </c>
    </row>
    <row r="3679" spans="1:16" hidden="1" x14ac:dyDescent="0.2">
      <c r="A3679" s="73">
        <v>67260</v>
      </c>
      <c r="B3679" t="s">
        <v>423</v>
      </c>
      <c r="C3679" s="73" t="s">
        <v>488</v>
      </c>
      <c r="D3679" t="s">
        <v>489</v>
      </c>
      <c r="E3679" s="74">
        <v>46142</v>
      </c>
      <c r="F3679" t="s">
        <v>406</v>
      </c>
      <c r="G3679" t="s">
        <v>407</v>
      </c>
      <c r="H3679" s="75">
        <f t="shared" si="57"/>
        <v>277.45099327688075</v>
      </c>
      <c r="I3679" s="74">
        <v>46142</v>
      </c>
      <c r="J3679">
        <v>8</v>
      </c>
      <c r="K3679" t="s">
        <v>510</v>
      </c>
      <c r="L3679" t="s">
        <v>355</v>
      </c>
      <c r="M3679" t="s">
        <v>356</v>
      </c>
      <c r="N3679" s="73">
        <v>67260</v>
      </c>
      <c r="O3679" s="73">
        <v>67260</v>
      </c>
      <c r="P3679">
        <v>34.681374159610094</v>
      </c>
    </row>
    <row r="3680" spans="1:16" hidden="1" x14ac:dyDescent="0.2">
      <c r="A3680" s="73">
        <v>67260</v>
      </c>
      <c r="B3680" t="s">
        <v>423</v>
      </c>
      <c r="C3680" s="73" t="s">
        <v>488</v>
      </c>
      <c r="D3680" t="s">
        <v>489</v>
      </c>
      <c r="E3680" s="74">
        <v>46143</v>
      </c>
      <c r="F3680" t="s">
        <v>362</v>
      </c>
      <c r="G3680" t="s">
        <v>363</v>
      </c>
      <c r="H3680" s="75">
        <f t="shared" si="57"/>
        <v>277.45099327688075</v>
      </c>
      <c r="I3680" s="74">
        <v>46143</v>
      </c>
      <c r="J3680">
        <v>8</v>
      </c>
      <c r="K3680" t="s">
        <v>517</v>
      </c>
      <c r="L3680" t="s">
        <v>355</v>
      </c>
      <c r="M3680" t="s">
        <v>356</v>
      </c>
      <c r="N3680" s="73">
        <v>67260</v>
      </c>
      <c r="O3680" s="73">
        <v>67260</v>
      </c>
      <c r="P3680">
        <v>34.681374159610094</v>
      </c>
    </row>
    <row r="3681" spans="1:16" hidden="1" x14ac:dyDescent="0.2">
      <c r="A3681" s="73">
        <v>67260</v>
      </c>
      <c r="B3681" t="s">
        <v>423</v>
      </c>
      <c r="C3681" s="73" t="s">
        <v>500</v>
      </c>
      <c r="D3681" t="s">
        <v>501</v>
      </c>
      <c r="E3681" s="74">
        <v>46140</v>
      </c>
      <c r="F3681" t="s">
        <v>389</v>
      </c>
      <c r="G3681" t="s">
        <v>390</v>
      </c>
      <c r="H3681" s="75">
        <f t="shared" si="57"/>
        <v>69.362748319220188</v>
      </c>
      <c r="I3681" s="74">
        <v>46140</v>
      </c>
      <c r="J3681">
        <v>2</v>
      </c>
      <c r="K3681" t="s">
        <v>510</v>
      </c>
      <c r="L3681" t="s">
        <v>359</v>
      </c>
      <c r="M3681" t="s">
        <v>369</v>
      </c>
      <c r="N3681" s="73">
        <v>67260</v>
      </c>
      <c r="O3681" s="73">
        <v>67260</v>
      </c>
      <c r="P3681">
        <v>34.681374159610094</v>
      </c>
    </row>
    <row r="3682" spans="1:16" hidden="1" x14ac:dyDescent="0.2">
      <c r="A3682" s="73">
        <v>67260</v>
      </c>
      <c r="B3682" t="s">
        <v>423</v>
      </c>
      <c r="C3682" s="73" t="s">
        <v>500</v>
      </c>
      <c r="D3682" t="s">
        <v>501</v>
      </c>
      <c r="E3682" s="74">
        <v>46141</v>
      </c>
      <c r="F3682" t="s">
        <v>402</v>
      </c>
      <c r="G3682" t="s">
        <v>403</v>
      </c>
      <c r="H3682" s="75">
        <f t="shared" si="57"/>
        <v>277.45099327688075</v>
      </c>
      <c r="I3682" s="74">
        <v>46141</v>
      </c>
      <c r="J3682">
        <v>8</v>
      </c>
      <c r="K3682" t="s">
        <v>510</v>
      </c>
      <c r="L3682" t="s">
        <v>262</v>
      </c>
      <c r="M3682" t="s">
        <v>369</v>
      </c>
      <c r="N3682" s="73">
        <v>67260</v>
      </c>
      <c r="O3682" s="73">
        <v>67260</v>
      </c>
      <c r="P3682">
        <v>34.681374159610094</v>
      </c>
    </row>
    <row r="3683" spans="1:16" hidden="1" x14ac:dyDescent="0.2">
      <c r="A3683" s="73">
        <v>67260</v>
      </c>
      <c r="B3683" t="s">
        <v>423</v>
      </c>
      <c r="C3683" s="73" t="s">
        <v>500</v>
      </c>
      <c r="D3683" t="s">
        <v>501</v>
      </c>
      <c r="E3683" s="74">
        <v>46142</v>
      </c>
      <c r="F3683" t="s">
        <v>402</v>
      </c>
      <c r="G3683" t="s">
        <v>403</v>
      </c>
      <c r="H3683" s="75">
        <f t="shared" si="57"/>
        <v>69.362748319220188</v>
      </c>
      <c r="I3683" s="74">
        <v>46142</v>
      </c>
      <c r="J3683">
        <v>2</v>
      </c>
      <c r="K3683" t="s">
        <v>510</v>
      </c>
      <c r="L3683" t="s">
        <v>262</v>
      </c>
      <c r="M3683" t="s">
        <v>369</v>
      </c>
      <c r="N3683" s="73">
        <v>67260</v>
      </c>
      <c r="O3683" s="73">
        <v>67260</v>
      </c>
      <c r="P3683">
        <v>34.681374159610094</v>
      </c>
    </row>
    <row r="3684" spans="1:16" hidden="1" x14ac:dyDescent="0.2">
      <c r="A3684" s="73">
        <v>67260</v>
      </c>
      <c r="B3684" t="s">
        <v>423</v>
      </c>
      <c r="C3684" s="73" t="s">
        <v>500</v>
      </c>
      <c r="D3684" t="s">
        <v>501</v>
      </c>
      <c r="E3684" s="74">
        <v>46142</v>
      </c>
      <c r="F3684" t="s">
        <v>389</v>
      </c>
      <c r="G3684" t="s">
        <v>390</v>
      </c>
      <c r="H3684" s="75">
        <f t="shared" si="57"/>
        <v>69.362748319220188</v>
      </c>
      <c r="I3684" s="74">
        <v>46142</v>
      </c>
      <c r="J3684">
        <v>2</v>
      </c>
      <c r="K3684" t="s">
        <v>510</v>
      </c>
      <c r="L3684" t="s">
        <v>359</v>
      </c>
      <c r="M3684" t="s">
        <v>369</v>
      </c>
      <c r="N3684" s="73">
        <v>67260</v>
      </c>
      <c r="O3684" s="73">
        <v>67260</v>
      </c>
      <c r="P3684">
        <v>34.681374159610094</v>
      </c>
    </row>
    <row r="3685" spans="1:16" hidden="1" x14ac:dyDescent="0.2">
      <c r="A3685" s="73">
        <v>67260</v>
      </c>
      <c r="B3685" t="s">
        <v>423</v>
      </c>
      <c r="C3685" s="73" t="s">
        <v>500</v>
      </c>
      <c r="D3685" t="s">
        <v>501</v>
      </c>
      <c r="E3685" s="74">
        <v>46146</v>
      </c>
      <c r="F3685" t="s">
        <v>408</v>
      </c>
      <c r="G3685" t="s">
        <v>409</v>
      </c>
      <c r="H3685" s="75">
        <f t="shared" si="57"/>
        <v>277.45099327688075</v>
      </c>
      <c r="I3685" s="74">
        <v>46146</v>
      </c>
      <c r="J3685">
        <v>8</v>
      </c>
      <c r="K3685" t="s">
        <v>517</v>
      </c>
      <c r="L3685" t="s">
        <v>262</v>
      </c>
      <c r="M3685" t="s">
        <v>369</v>
      </c>
      <c r="N3685" s="73">
        <v>67260</v>
      </c>
      <c r="O3685" s="73">
        <v>67260</v>
      </c>
      <c r="P3685">
        <v>34.681374159610094</v>
      </c>
    </row>
    <row r="3686" spans="1:16" hidden="1" x14ac:dyDescent="0.2">
      <c r="A3686" s="73">
        <v>67260</v>
      </c>
      <c r="B3686" t="s">
        <v>423</v>
      </c>
      <c r="C3686" s="73" t="s">
        <v>500</v>
      </c>
      <c r="D3686" t="s">
        <v>501</v>
      </c>
      <c r="E3686" s="74">
        <v>46146</v>
      </c>
      <c r="F3686">
        <v>6319</v>
      </c>
      <c r="G3686" t="s">
        <v>397</v>
      </c>
      <c r="H3686" s="75">
        <f t="shared" si="57"/>
        <v>69.362748319220188</v>
      </c>
      <c r="I3686" s="74">
        <v>46146</v>
      </c>
      <c r="J3686">
        <v>2</v>
      </c>
      <c r="K3686" t="s">
        <v>517</v>
      </c>
      <c r="L3686" t="s">
        <v>359</v>
      </c>
      <c r="M3686" t="s">
        <v>368</v>
      </c>
      <c r="N3686" s="73">
        <v>67260</v>
      </c>
      <c r="O3686" s="73">
        <v>67260</v>
      </c>
      <c r="P3686">
        <v>34.681374159610094</v>
      </c>
    </row>
    <row r="3687" spans="1:16" hidden="1" x14ac:dyDescent="0.2">
      <c r="A3687" s="73">
        <v>67260</v>
      </c>
      <c r="B3687" t="s">
        <v>423</v>
      </c>
      <c r="C3687" s="73" t="s">
        <v>500</v>
      </c>
      <c r="D3687" t="s">
        <v>501</v>
      </c>
      <c r="E3687" s="74">
        <v>46146</v>
      </c>
      <c r="F3687">
        <v>6723</v>
      </c>
      <c r="G3687" t="s">
        <v>394</v>
      </c>
      <c r="H3687" s="75">
        <f t="shared" si="57"/>
        <v>69.362748319220188</v>
      </c>
      <c r="I3687" s="74">
        <v>46146</v>
      </c>
      <c r="J3687">
        <v>2</v>
      </c>
      <c r="K3687" t="s">
        <v>517</v>
      </c>
      <c r="L3687" t="s">
        <v>367</v>
      </c>
      <c r="M3687" t="s">
        <v>368</v>
      </c>
      <c r="N3687" s="73">
        <v>67260</v>
      </c>
      <c r="O3687" s="73">
        <v>67260</v>
      </c>
      <c r="P3687">
        <v>34.681374159610094</v>
      </c>
    </row>
    <row r="3688" spans="1:16" hidden="1" x14ac:dyDescent="0.2">
      <c r="A3688" s="73">
        <v>67260</v>
      </c>
      <c r="B3688" t="s">
        <v>423</v>
      </c>
      <c r="C3688" s="73" t="s">
        <v>500</v>
      </c>
      <c r="D3688" t="s">
        <v>501</v>
      </c>
      <c r="E3688" s="74">
        <v>46147</v>
      </c>
      <c r="F3688">
        <v>6723</v>
      </c>
      <c r="G3688" t="s">
        <v>394</v>
      </c>
      <c r="H3688" s="75">
        <f t="shared" si="57"/>
        <v>277.45099327688075</v>
      </c>
      <c r="I3688" s="74">
        <v>46147</v>
      </c>
      <c r="J3688">
        <v>8</v>
      </c>
      <c r="K3688" t="s">
        <v>517</v>
      </c>
      <c r="L3688" t="s">
        <v>367</v>
      </c>
      <c r="M3688" t="s">
        <v>368</v>
      </c>
      <c r="N3688" s="73">
        <v>67260</v>
      </c>
      <c r="O3688" s="73">
        <v>67260</v>
      </c>
      <c r="P3688">
        <v>34.681374159610094</v>
      </c>
    </row>
    <row r="3689" spans="1:16" hidden="1" x14ac:dyDescent="0.2">
      <c r="A3689" s="73">
        <v>67260</v>
      </c>
      <c r="B3689" t="s">
        <v>423</v>
      </c>
      <c r="C3689" s="73" t="s">
        <v>500</v>
      </c>
      <c r="D3689" t="s">
        <v>501</v>
      </c>
      <c r="E3689" s="74">
        <v>46147</v>
      </c>
      <c r="F3689" t="s">
        <v>389</v>
      </c>
      <c r="G3689" t="s">
        <v>390</v>
      </c>
      <c r="H3689" s="75">
        <f t="shared" si="57"/>
        <v>69.362748319220188</v>
      </c>
      <c r="I3689" s="74">
        <v>46147</v>
      </c>
      <c r="J3689">
        <v>2</v>
      </c>
      <c r="K3689" t="s">
        <v>517</v>
      </c>
      <c r="L3689" t="s">
        <v>359</v>
      </c>
      <c r="M3689" t="s">
        <v>369</v>
      </c>
      <c r="N3689" s="73">
        <v>67260</v>
      </c>
      <c r="O3689" s="73">
        <v>67260</v>
      </c>
      <c r="P3689">
        <v>34.681374159610094</v>
      </c>
    </row>
    <row r="3690" spans="1:16" hidden="1" x14ac:dyDescent="0.2">
      <c r="A3690" s="73">
        <v>67260</v>
      </c>
      <c r="B3690" t="s">
        <v>423</v>
      </c>
      <c r="C3690" s="73" t="s">
        <v>500</v>
      </c>
      <c r="D3690" t="s">
        <v>501</v>
      </c>
      <c r="E3690" s="74">
        <v>46147</v>
      </c>
      <c r="F3690" t="s">
        <v>378</v>
      </c>
      <c r="G3690" t="s">
        <v>379</v>
      </c>
      <c r="H3690" s="75">
        <f t="shared" si="57"/>
        <v>208.08824495766055</v>
      </c>
      <c r="I3690" s="74">
        <v>46147</v>
      </c>
      <c r="J3690">
        <v>6</v>
      </c>
      <c r="K3690" t="s">
        <v>517</v>
      </c>
      <c r="L3690" t="s">
        <v>262</v>
      </c>
      <c r="M3690" t="s">
        <v>368</v>
      </c>
      <c r="N3690" s="73">
        <v>67260</v>
      </c>
      <c r="O3690" s="73">
        <v>67260</v>
      </c>
      <c r="P3690">
        <v>34.681374159610094</v>
      </c>
    </row>
    <row r="3691" spans="1:16" hidden="1" x14ac:dyDescent="0.2">
      <c r="A3691" s="73">
        <v>67260</v>
      </c>
      <c r="B3691" t="s">
        <v>423</v>
      </c>
      <c r="C3691" s="73" t="s">
        <v>500</v>
      </c>
      <c r="D3691" t="s">
        <v>501</v>
      </c>
      <c r="E3691" s="74">
        <v>46148</v>
      </c>
      <c r="F3691" t="s">
        <v>378</v>
      </c>
      <c r="G3691" t="s">
        <v>379</v>
      </c>
      <c r="H3691" s="75">
        <f t="shared" si="57"/>
        <v>208.08824495766055</v>
      </c>
      <c r="I3691" s="74">
        <v>46148</v>
      </c>
      <c r="J3691">
        <v>6</v>
      </c>
      <c r="K3691" t="s">
        <v>517</v>
      </c>
      <c r="L3691" t="s">
        <v>262</v>
      </c>
      <c r="M3691" t="s">
        <v>368</v>
      </c>
      <c r="N3691" s="73">
        <v>67260</v>
      </c>
      <c r="O3691" s="73">
        <v>67260</v>
      </c>
      <c r="P3691">
        <v>34.681374159610094</v>
      </c>
    </row>
    <row r="3692" spans="1:16" hidden="1" x14ac:dyDescent="0.2">
      <c r="A3692" s="73">
        <v>67260</v>
      </c>
      <c r="B3692" t="s">
        <v>423</v>
      </c>
      <c r="C3692" s="73" t="s">
        <v>500</v>
      </c>
      <c r="D3692" t="s">
        <v>501</v>
      </c>
      <c r="E3692" s="74">
        <v>46149</v>
      </c>
      <c r="F3692" t="s">
        <v>378</v>
      </c>
      <c r="G3692" t="s">
        <v>379</v>
      </c>
      <c r="H3692" s="75">
        <f t="shared" si="57"/>
        <v>208.08824495766055</v>
      </c>
      <c r="I3692" s="74">
        <v>46149</v>
      </c>
      <c r="J3692">
        <v>6</v>
      </c>
      <c r="K3692" t="s">
        <v>517</v>
      </c>
      <c r="L3692" t="s">
        <v>262</v>
      </c>
      <c r="M3692" t="s">
        <v>368</v>
      </c>
      <c r="N3692" s="73">
        <v>67260</v>
      </c>
      <c r="O3692" s="73">
        <v>67260</v>
      </c>
      <c r="P3692">
        <v>34.681374159610094</v>
      </c>
    </row>
    <row r="3693" spans="1:16" hidden="1" x14ac:dyDescent="0.2">
      <c r="A3693" s="73">
        <v>67260</v>
      </c>
      <c r="B3693" t="s">
        <v>423</v>
      </c>
      <c r="C3693" s="73" t="s">
        <v>500</v>
      </c>
      <c r="D3693" t="s">
        <v>501</v>
      </c>
      <c r="E3693" s="74">
        <v>46149</v>
      </c>
      <c r="F3693">
        <v>6994</v>
      </c>
      <c r="G3693" t="s">
        <v>391</v>
      </c>
      <c r="H3693" s="75">
        <f t="shared" si="57"/>
        <v>138.72549663844038</v>
      </c>
      <c r="I3693" s="74">
        <v>46149</v>
      </c>
      <c r="J3693">
        <v>4</v>
      </c>
      <c r="K3693" t="s">
        <v>517</v>
      </c>
      <c r="L3693" t="s">
        <v>367</v>
      </c>
      <c r="M3693" t="s">
        <v>368</v>
      </c>
      <c r="N3693" s="73">
        <v>67260</v>
      </c>
      <c r="O3693" s="73">
        <v>67260</v>
      </c>
      <c r="P3693">
        <v>34.681374159610094</v>
      </c>
    </row>
    <row r="3694" spans="1:16" hidden="1" x14ac:dyDescent="0.2">
      <c r="A3694" s="73">
        <v>67260</v>
      </c>
      <c r="B3694" t="s">
        <v>423</v>
      </c>
      <c r="C3694" s="73" t="s">
        <v>500</v>
      </c>
      <c r="D3694" t="s">
        <v>501</v>
      </c>
      <c r="E3694" s="74">
        <v>46149</v>
      </c>
      <c r="F3694" t="s">
        <v>389</v>
      </c>
      <c r="G3694" t="s">
        <v>390</v>
      </c>
      <c r="H3694" s="75">
        <f t="shared" si="57"/>
        <v>69.362748319220188</v>
      </c>
      <c r="I3694" s="74">
        <v>46149</v>
      </c>
      <c r="J3694">
        <v>2</v>
      </c>
      <c r="K3694" t="s">
        <v>517</v>
      </c>
      <c r="L3694" t="s">
        <v>359</v>
      </c>
      <c r="M3694" t="s">
        <v>369</v>
      </c>
      <c r="N3694" s="73">
        <v>67260</v>
      </c>
      <c r="O3694" s="73">
        <v>67260</v>
      </c>
      <c r="P3694">
        <v>34.681374159610094</v>
      </c>
    </row>
    <row r="3695" spans="1:16" hidden="1" x14ac:dyDescent="0.2">
      <c r="A3695" s="73">
        <v>67260</v>
      </c>
      <c r="B3695" t="s">
        <v>423</v>
      </c>
      <c r="C3695" s="73" t="s">
        <v>500</v>
      </c>
      <c r="D3695" t="s">
        <v>501</v>
      </c>
      <c r="E3695" s="74">
        <v>46150</v>
      </c>
      <c r="F3695" t="s">
        <v>378</v>
      </c>
      <c r="G3695" t="s">
        <v>379</v>
      </c>
      <c r="H3695" s="75">
        <f t="shared" si="57"/>
        <v>208.08824495766055</v>
      </c>
      <c r="I3695" s="74">
        <v>46150</v>
      </c>
      <c r="J3695">
        <v>6</v>
      </c>
      <c r="K3695" t="s">
        <v>517</v>
      </c>
      <c r="L3695" t="s">
        <v>262</v>
      </c>
      <c r="M3695" t="s">
        <v>368</v>
      </c>
      <c r="N3695" s="73">
        <v>67260</v>
      </c>
      <c r="O3695" s="73">
        <v>67260</v>
      </c>
      <c r="P3695">
        <v>34.681374159610094</v>
      </c>
    </row>
    <row r="3696" spans="1:16" hidden="1" x14ac:dyDescent="0.2">
      <c r="A3696" s="73">
        <v>67260</v>
      </c>
      <c r="B3696" t="s">
        <v>423</v>
      </c>
      <c r="C3696" s="73" t="s">
        <v>500</v>
      </c>
      <c r="D3696" t="s">
        <v>501</v>
      </c>
      <c r="E3696" s="74">
        <v>46150</v>
      </c>
      <c r="F3696">
        <v>6994</v>
      </c>
      <c r="G3696" t="s">
        <v>391</v>
      </c>
      <c r="H3696" s="75">
        <f t="shared" si="57"/>
        <v>69.362748319220188</v>
      </c>
      <c r="I3696" s="74">
        <v>46150</v>
      </c>
      <c r="J3696">
        <v>2</v>
      </c>
      <c r="K3696" t="s">
        <v>517</v>
      </c>
      <c r="L3696" t="s">
        <v>367</v>
      </c>
      <c r="M3696" t="s">
        <v>368</v>
      </c>
      <c r="N3696" s="73">
        <v>67260</v>
      </c>
      <c r="O3696" s="73">
        <v>67260</v>
      </c>
      <c r="P3696">
        <v>34.681374159610094</v>
      </c>
    </row>
    <row r="3697" spans="1:16" hidden="1" x14ac:dyDescent="0.2">
      <c r="A3697" s="73">
        <v>67260</v>
      </c>
      <c r="B3697" t="s">
        <v>423</v>
      </c>
      <c r="C3697" s="73" t="s">
        <v>500</v>
      </c>
      <c r="D3697" t="s">
        <v>501</v>
      </c>
      <c r="E3697" s="74">
        <v>46150</v>
      </c>
      <c r="F3697">
        <v>6319</v>
      </c>
      <c r="G3697" t="s">
        <v>397</v>
      </c>
      <c r="H3697" s="75">
        <f t="shared" si="57"/>
        <v>277.45099327688075</v>
      </c>
      <c r="I3697" s="74">
        <v>46150</v>
      </c>
      <c r="J3697">
        <v>8</v>
      </c>
      <c r="K3697" t="s">
        <v>517</v>
      </c>
      <c r="L3697" t="s">
        <v>359</v>
      </c>
      <c r="M3697" t="s">
        <v>368</v>
      </c>
      <c r="N3697" s="73">
        <v>67260</v>
      </c>
      <c r="O3697" s="73">
        <v>67260</v>
      </c>
      <c r="P3697">
        <v>34.681374159610094</v>
      </c>
    </row>
    <row r="3698" spans="1:16" hidden="1" x14ac:dyDescent="0.2">
      <c r="A3698" s="73">
        <v>67260</v>
      </c>
      <c r="B3698" t="s">
        <v>423</v>
      </c>
      <c r="C3698" s="73" t="s">
        <v>500</v>
      </c>
      <c r="D3698" t="s">
        <v>501</v>
      </c>
      <c r="E3698" s="74">
        <v>46153</v>
      </c>
      <c r="F3698" t="s">
        <v>412</v>
      </c>
      <c r="G3698" t="s">
        <v>413</v>
      </c>
      <c r="H3698" s="75">
        <f t="shared" si="57"/>
        <v>277.45099327688075</v>
      </c>
      <c r="I3698" s="74">
        <v>46153</v>
      </c>
      <c r="J3698">
        <v>8</v>
      </c>
      <c r="K3698" t="s">
        <v>517</v>
      </c>
      <c r="L3698" t="s">
        <v>348</v>
      </c>
      <c r="M3698" t="s">
        <v>369</v>
      </c>
      <c r="N3698" s="73">
        <v>67260</v>
      </c>
      <c r="O3698" s="73">
        <v>67260</v>
      </c>
      <c r="P3698">
        <v>34.681374159610094</v>
      </c>
    </row>
    <row r="3699" spans="1:16" hidden="1" x14ac:dyDescent="0.2">
      <c r="A3699" s="73">
        <v>67260</v>
      </c>
      <c r="B3699" t="s">
        <v>423</v>
      </c>
      <c r="C3699" s="73" t="s">
        <v>500</v>
      </c>
      <c r="D3699" t="s">
        <v>501</v>
      </c>
      <c r="E3699" s="74">
        <v>46153</v>
      </c>
      <c r="F3699" t="s">
        <v>389</v>
      </c>
      <c r="G3699" t="s">
        <v>390</v>
      </c>
      <c r="H3699" s="75">
        <f t="shared" si="57"/>
        <v>104.04412247883027</v>
      </c>
      <c r="I3699" s="74">
        <v>46153</v>
      </c>
      <c r="J3699">
        <v>3</v>
      </c>
      <c r="K3699" t="s">
        <v>517</v>
      </c>
      <c r="L3699" t="s">
        <v>359</v>
      </c>
      <c r="M3699" t="s">
        <v>369</v>
      </c>
      <c r="N3699" s="73">
        <v>67260</v>
      </c>
      <c r="O3699" s="73">
        <v>67260</v>
      </c>
      <c r="P3699">
        <v>34.681374159610094</v>
      </c>
    </row>
    <row r="3700" spans="1:16" hidden="1" x14ac:dyDescent="0.2">
      <c r="A3700" s="73">
        <v>67260</v>
      </c>
      <c r="B3700" t="s">
        <v>423</v>
      </c>
      <c r="C3700" s="73" t="s">
        <v>500</v>
      </c>
      <c r="D3700" t="s">
        <v>501</v>
      </c>
      <c r="E3700" s="74">
        <v>46154</v>
      </c>
      <c r="F3700" t="s">
        <v>412</v>
      </c>
      <c r="G3700" t="s">
        <v>413</v>
      </c>
      <c r="H3700" s="75">
        <f t="shared" si="57"/>
        <v>277.45099327688075</v>
      </c>
      <c r="I3700" s="74">
        <v>46154</v>
      </c>
      <c r="J3700">
        <v>8</v>
      </c>
      <c r="K3700" t="s">
        <v>517</v>
      </c>
      <c r="L3700" t="s">
        <v>348</v>
      </c>
      <c r="M3700" t="s">
        <v>369</v>
      </c>
      <c r="N3700" s="73">
        <v>67260</v>
      </c>
      <c r="O3700" s="73">
        <v>67260</v>
      </c>
      <c r="P3700">
        <v>34.681374159610094</v>
      </c>
    </row>
    <row r="3701" spans="1:16" hidden="1" x14ac:dyDescent="0.2">
      <c r="A3701" s="73">
        <v>67260</v>
      </c>
      <c r="B3701" t="s">
        <v>423</v>
      </c>
      <c r="C3701" s="73" t="s">
        <v>500</v>
      </c>
      <c r="D3701" t="s">
        <v>501</v>
      </c>
      <c r="E3701" s="74">
        <v>46154</v>
      </c>
      <c r="F3701" t="s">
        <v>389</v>
      </c>
      <c r="G3701" t="s">
        <v>390</v>
      </c>
      <c r="H3701" s="75">
        <f t="shared" si="57"/>
        <v>69.362748319220188</v>
      </c>
      <c r="I3701" s="74">
        <v>46154</v>
      </c>
      <c r="J3701">
        <v>2</v>
      </c>
      <c r="K3701" t="s">
        <v>517</v>
      </c>
      <c r="L3701" t="s">
        <v>359</v>
      </c>
      <c r="M3701" t="s">
        <v>369</v>
      </c>
      <c r="N3701" s="73">
        <v>67260</v>
      </c>
      <c r="O3701" s="73">
        <v>67260</v>
      </c>
      <c r="P3701">
        <v>34.681374159610094</v>
      </c>
    </row>
    <row r="3702" spans="1:16" hidden="1" x14ac:dyDescent="0.2">
      <c r="A3702" s="73">
        <v>67260</v>
      </c>
      <c r="B3702" t="s">
        <v>423</v>
      </c>
      <c r="C3702" s="73" t="s">
        <v>500</v>
      </c>
      <c r="D3702" t="s">
        <v>501</v>
      </c>
      <c r="E3702" s="74">
        <v>46155</v>
      </c>
      <c r="F3702" t="s">
        <v>412</v>
      </c>
      <c r="G3702" t="s">
        <v>413</v>
      </c>
      <c r="H3702" s="75">
        <f t="shared" si="57"/>
        <v>104.04412247883027</v>
      </c>
      <c r="I3702" s="74">
        <v>46155</v>
      </c>
      <c r="J3702">
        <v>3</v>
      </c>
      <c r="K3702" t="s">
        <v>517</v>
      </c>
      <c r="L3702" t="s">
        <v>348</v>
      </c>
      <c r="M3702" t="s">
        <v>369</v>
      </c>
      <c r="N3702" s="73">
        <v>67260</v>
      </c>
      <c r="O3702" s="73">
        <v>67260</v>
      </c>
      <c r="P3702">
        <v>34.681374159610094</v>
      </c>
    </row>
    <row r="3703" spans="1:16" hidden="1" x14ac:dyDescent="0.2">
      <c r="A3703" s="73">
        <v>67260</v>
      </c>
      <c r="B3703" t="s">
        <v>423</v>
      </c>
      <c r="C3703" s="73" t="s">
        <v>500</v>
      </c>
      <c r="D3703" t="s">
        <v>501</v>
      </c>
      <c r="E3703" s="74">
        <v>46156</v>
      </c>
      <c r="F3703" t="s">
        <v>412</v>
      </c>
      <c r="G3703" t="s">
        <v>413</v>
      </c>
      <c r="H3703" s="75">
        <f t="shared" si="57"/>
        <v>277.45099327688075</v>
      </c>
      <c r="I3703" s="74">
        <v>46156</v>
      </c>
      <c r="J3703">
        <v>8</v>
      </c>
      <c r="K3703" t="s">
        <v>517</v>
      </c>
      <c r="L3703" t="s">
        <v>348</v>
      </c>
      <c r="M3703" t="s">
        <v>369</v>
      </c>
      <c r="N3703" s="73">
        <v>67260</v>
      </c>
      <c r="O3703" s="73">
        <v>67260</v>
      </c>
      <c r="P3703">
        <v>34.681374159610094</v>
      </c>
    </row>
    <row r="3704" spans="1:16" hidden="1" x14ac:dyDescent="0.2">
      <c r="A3704" s="73">
        <v>67260</v>
      </c>
      <c r="B3704" t="s">
        <v>423</v>
      </c>
      <c r="C3704" s="73" t="s">
        <v>500</v>
      </c>
      <c r="D3704" t="s">
        <v>501</v>
      </c>
      <c r="E3704" s="74">
        <v>46156</v>
      </c>
      <c r="F3704" t="s">
        <v>389</v>
      </c>
      <c r="G3704" t="s">
        <v>390</v>
      </c>
      <c r="H3704" s="75">
        <f t="shared" si="57"/>
        <v>104.04412247883027</v>
      </c>
      <c r="I3704" s="74">
        <v>46156</v>
      </c>
      <c r="J3704">
        <v>3</v>
      </c>
      <c r="K3704" t="s">
        <v>517</v>
      </c>
      <c r="L3704" t="s">
        <v>359</v>
      </c>
      <c r="M3704" t="s">
        <v>369</v>
      </c>
      <c r="N3704" s="73">
        <v>67260</v>
      </c>
      <c r="O3704" s="73">
        <v>67260</v>
      </c>
      <c r="P3704">
        <v>34.681374159610094</v>
      </c>
    </row>
    <row r="3705" spans="1:16" hidden="1" x14ac:dyDescent="0.2">
      <c r="A3705" s="73">
        <v>67260</v>
      </c>
      <c r="B3705" t="s">
        <v>423</v>
      </c>
      <c r="C3705" s="73" t="s">
        <v>500</v>
      </c>
      <c r="D3705" t="s">
        <v>501</v>
      </c>
      <c r="E3705" s="74">
        <v>46156</v>
      </c>
      <c r="F3705" t="s">
        <v>408</v>
      </c>
      <c r="G3705" t="s">
        <v>409</v>
      </c>
      <c r="H3705" s="75">
        <f t="shared" si="57"/>
        <v>277.45099327688075</v>
      </c>
      <c r="I3705" s="74">
        <v>46156</v>
      </c>
      <c r="J3705">
        <v>8</v>
      </c>
      <c r="K3705" t="s">
        <v>517</v>
      </c>
      <c r="L3705" t="s">
        <v>262</v>
      </c>
      <c r="M3705" t="s">
        <v>369</v>
      </c>
      <c r="N3705" s="73">
        <v>67260</v>
      </c>
      <c r="O3705" s="73">
        <v>67260</v>
      </c>
      <c r="P3705">
        <v>34.681374159610094</v>
      </c>
    </row>
    <row r="3706" spans="1:16" hidden="1" x14ac:dyDescent="0.2">
      <c r="A3706" s="73">
        <v>67260</v>
      </c>
      <c r="B3706" t="s">
        <v>423</v>
      </c>
      <c r="C3706" s="73" t="s">
        <v>500</v>
      </c>
      <c r="D3706" t="s">
        <v>501</v>
      </c>
      <c r="E3706" s="74">
        <v>46157</v>
      </c>
      <c r="F3706" t="s">
        <v>408</v>
      </c>
      <c r="G3706" t="s">
        <v>409</v>
      </c>
      <c r="H3706" s="75">
        <f t="shared" si="57"/>
        <v>277.45099327688075</v>
      </c>
      <c r="I3706" s="74">
        <v>46157</v>
      </c>
      <c r="J3706">
        <v>8</v>
      </c>
      <c r="K3706" t="s">
        <v>517</v>
      </c>
      <c r="L3706" t="s">
        <v>262</v>
      </c>
      <c r="M3706" t="s">
        <v>369</v>
      </c>
      <c r="N3706" s="73">
        <v>67260</v>
      </c>
      <c r="O3706" s="73">
        <v>67260</v>
      </c>
      <c r="P3706">
        <v>34.681374159610094</v>
      </c>
    </row>
    <row r="3707" spans="1:16" hidden="1" x14ac:dyDescent="0.2">
      <c r="A3707" s="73">
        <v>67260</v>
      </c>
      <c r="B3707" t="s">
        <v>423</v>
      </c>
      <c r="C3707" s="73" t="s">
        <v>500</v>
      </c>
      <c r="D3707" t="s">
        <v>501</v>
      </c>
      <c r="E3707" s="74">
        <v>46160</v>
      </c>
      <c r="F3707" t="s">
        <v>408</v>
      </c>
      <c r="G3707" t="s">
        <v>409</v>
      </c>
      <c r="H3707" s="75">
        <f t="shared" si="57"/>
        <v>277.45099327688075</v>
      </c>
      <c r="I3707" s="74">
        <v>46160</v>
      </c>
      <c r="J3707">
        <v>8</v>
      </c>
      <c r="K3707" t="s">
        <v>517</v>
      </c>
      <c r="L3707" t="s">
        <v>262</v>
      </c>
      <c r="M3707" t="s">
        <v>369</v>
      </c>
      <c r="N3707" s="73">
        <v>67260</v>
      </c>
      <c r="O3707" s="73">
        <v>67260</v>
      </c>
      <c r="P3707">
        <v>34.681374159610094</v>
      </c>
    </row>
    <row r="3708" spans="1:16" hidden="1" x14ac:dyDescent="0.2">
      <c r="A3708" s="73">
        <v>67260</v>
      </c>
      <c r="B3708" t="s">
        <v>423</v>
      </c>
      <c r="C3708" s="73" t="s">
        <v>500</v>
      </c>
      <c r="D3708" t="s">
        <v>501</v>
      </c>
      <c r="E3708" s="74">
        <v>46161</v>
      </c>
      <c r="F3708" t="s">
        <v>408</v>
      </c>
      <c r="G3708" t="s">
        <v>409</v>
      </c>
      <c r="H3708" s="75">
        <f t="shared" si="57"/>
        <v>277.45099327688075</v>
      </c>
      <c r="I3708" s="74">
        <v>46161</v>
      </c>
      <c r="J3708">
        <v>8</v>
      </c>
      <c r="K3708" t="s">
        <v>517</v>
      </c>
      <c r="L3708" t="s">
        <v>262</v>
      </c>
      <c r="M3708" t="s">
        <v>369</v>
      </c>
      <c r="N3708" s="73">
        <v>67260</v>
      </c>
      <c r="O3708" s="73">
        <v>67260</v>
      </c>
      <c r="P3708">
        <v>34.681374159610094</v>
      </c>
    </row>
    <row r="3709" spans="1:16" hidden="1" x14ac:dyDescent="0.2">
      <c r="A3709" s="73">
        <v>67260</v>
      </c>
      <c r="B3709" t="s">
        <v>423</v>
      </c>
      <c r="C3709" s="73" t="s">
        <v>500</v>
      </c>
      <c r="D3709" t="s">
        <v>501</v>
      </c>
      <c r="E3709" s="74">
        <v>46174</v>
      </c>
      <c r="F3709" t="s">
        <v>389</v>
      </c>
      <c r="G3709" t="s">
        <v>390</v>
      </c>
      <c r="H3709" s="75">
        <f t="shared" si="57"/>
        <v>34.681374159610094</v>
      </c>
      <c r="I3709" s="74">
        <v>46174</v>
      </c>
      <c r="J3709">
        <v>1</v>
      </c>
      <c r="K3709" t="s">
        <v>518</v>
      </c>
      <c r="L3709" t="s">
        <v>359</v>
      </c>
      <c r="M3709" t="s">
        <v>369</v>
      </c>
      <c r="N3709" s="73">
        <v>67260</v>
      </c>
      <c r="O3709" s="73">
        <v>67260</v>
      </c>
      <c r="P3709">
        <v>34.681374159610094</v>
      </c>
    </row>
    <row r="3710" spans="1:16" hidden="1" x14ac:dyDescent="0.2">
      <c r="A3710" s="73">
        <v>67260</v>
      </c>
      <c r="B3710" t="s">
        <v>423</v>
      </c>
      <c r="C3710" s="73" t="s">
        <v>500</v>
      </c>
      <c r="D3710" t="s">
        <v>501</v>
      </c>
      <c r="E3710" s="74">
        <v>46175</v>
      </c>
      <c r="F3710" t="s">
        <v>389</v>
      </c>
      <c r="G3710" t="s">
        <v>390</v>
      </c>
      <c r="H3710" s="75">
        <f t="shared" si="57"/>
        <v>34.681374159610094</v>
      </c>
      <c r="I3710" s="74">
        <v>46175</v>
      </c>
      <c r="J3710">
        <v>1</v>
      </c>
      <c r="K3710" t="s">
        <v>518</v>
      </c>
      <c r="L3710" t="s">
        <v>359</v>
      </c>
      <c r="M3710" t="s">
        <v>369</v>
      </c>
      <c r="N3710" s="73">
        <v>67260</v>
      </c>
      <c r="O3710" s="73">
        <v>67260</v>
      </c>
      <c r="P3710">
        <v>34.681374159610094</v>
      </c>
    </row>
    <row r="3711" spans="1:16" hidden="1" x14ac:dyDescent="0.2">
      <c r="A3711" s="73">
        <v>67260</v>
      </c>
      <c r="B3711" t="s">
        <v>423</v>
      </c>
      <c r="C3711" s="73" t="s">
        <v>500</v>
      </c>
      <c r="D3711" t="s">
        <v>501</v>
      </c>
      <c r="E3711" s="74">
        <v>46176</v>
      </c>
      <c r="F3711" t="s">
        <v>389</v>
      </c>
      <c r="G3711" t="s">
        <v>390</v>
      </c>
      <c r="H3711" s="75">
        <f t="shared" si="57"/>
        <v>34.681374159610094</v>
      </c>
      <c r="I3711" s="74">
        <v>46176</v>
      </c>
      <c r="J3711">
        <v>1</v>
      </c>
      <c r="K3711" t="s">
        <v>518</v>
      </c>
      <c r="L3711" t="s">
        <v>359</v>
      </c>
      <c r="M3711" t="s">
        <v>369</v>
      </c>
      <c r="N3711" s="73">
        <v>67260</v>
      </c>
      <c r="O3711" s="73">
        <v>67260</v>
      </c>
      <c r="P3711">
        <v>34.681374159610094</v>
      </c>
    </row>
    <row r="3712" spans="1:16" hidden="1" x14ac:dyDescent="0.2">
      <c r="A3712" s="73">
        <v>67260</v>
      </c>
      <c r="B3712" t="s">
        <v>423</v>
      </c>
      <c r="C3712" s="73" t="s">
        <v>500</v>
      </c>
      <c r="D3712" t="s">
        <v>501</v>
      </c>
      <c r="E3712" s="74">
        <v>46182</v>
      </c>
      <c r="F3712">
        <v>6994</v>
      </c>
      <c r="G3712" t="s">
        <v>391</v>
      </c>
      <c r="H3712" s="75">
        <f t="shared" si="57"/>
        <v>138.72549663844038</v>
      </c>
      <c r="I3712" s="74">
        <v>46182</v>
      </c>
      <c r="J3712">
        <v>4</v>
      </c>
      <c r="K3712" t="s">
        <v>518</v>
      </c>
      <c r="L3712" t="s">
        <v>367</v>
      </c>
      <c r="M3712" t="s">
        <v>368</v>
      </c>
      <c r="N3712" s="73">
        <v>67260</v>
      </c>
      <c r="O3712" s="73">
        <v>67260</v>
      </c>
      <c r="P3712">
        <v>34.681374159610094</v>
      </c>
    </row>
    <row r="3713" spans="1:16" hidden="1" x14ac:dyDescent="0.2">
      <c r="A3713" s="73">
        <v>67260</v>
      </c>
      <c r="B3713" t="s">
        <v>423</v>
      </c>
      <c r="C3713" s="73" t="s">
        <v>500</v>
      </c>
      <c r="D3713" t="s">
        <v>501</v>
      </c>
      <c r="E3713" s="74">
        <v>46183</v>
      </c>
      <c r="F3713">
        <v>6994</v>
      </c>
      <c r="G3713" t="s">
        <v>391</v>
      </c>
      <c r="H3713" s="75">
        <f t="shared" si="57"/>
        <v>173.40687079805048</v>
      </c>
      <c r="I3713" s="74">
        <v>46183</v>
      </c>
      <c r="J3713">
        <v>5</v>
      </c>
      <c r="K3713" t="s">
        <v>518</v>
      </c>
      <c r="L3713" t="s">
        <v>367</v>
      </c>
      <c r="M3713" t="s">
        <v>368</v>
      </c>
      <c r="N3713" s="73">
        <v>67260</v>
      </c>
      <c r="O3713" s="73">
        <v>67260</v>
      </c>
      <c r="P3713">
        <v>34.681374159610094</v>
      </c>
    </row>
    <row r="3714" spans="1:16" hidden="1" x14ac:dyDescent="0.2">
      <c r="A3714" s="73">
        <v>67260</v>
      </c>
      <c r="B3714" t="s">
        <v>423</v>
      </c>
      <c r="C3714" s="73" t="s">
        <v>500</v>
      </c>
      <c r="D3714" t="s">
        <v>501</v>
      </c>
      <c r="E3714" s="74">
        <v>46184</v>
      </c>
      <c r="F3714">
        <v>6994</v>
      </c>
      <c r="G3714" t="s">
        <v>391</v>
      </c>
      <c r="H3714" s="75">
        <f t="shared" si="57"/>
        <v>34.681374159610094</v>
      </c>
      <c r="I3714" s="74">
        <v>46184</v>
      </c>
      <c r="J3714">
        <v>1</v>
      </c>
      <c r="K3714" t="s">
        <v>518</v>
      </c>
      <c r="L3714" t="s">
        <v>367</v>
      </c>
      <c r="M3714" t="s">
        <v>368</v>
      </c>
      <c r="N3714" s="73">
        <v>67260</v>
      </c>
      <c r="O3714" s="73">
        <v>67260</v>
      </c>
      <c r="P3714">
        <v>34.681374159610094</v>
      </c>
    </row>
  </sheetData>
  <autoFilter ref="A1:P3714" xr:uid="{193F946D-4EB3-4C49-8DF0-A893938EC694}">
    <filterColumn colId="1">
      <filters>
        <filter val="FY26-CS 1.X Maintenance"/>
        <filter val="FY26-CS 2.0 Maintenanc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8B81-FFC9-4668-A0B5-EC835E6EBC4C}">
  <dimension ref="A1:D15"/>
  <sheetViews>
    <sheetView workbookViewId="0">
      <selection activeCell="C8" sqref="C8:C14"/>
    </sheetView>
  </sheetViews>
  <sheetFormatPr baseColWidth="10" defaultColWidth="8.83203125" defaultRowHeight="15" x14ac:dyDescent="0.2"/>
  <cols>
    <col min="1" max="1" width="29.5" bestFit="1" customWidth="1"/>
    <col min="3" max="3" width="33.33203125" bestFit="1" customWidth="1"/>
    <col min="4" max="4" width="28.1640625" bestFit="1" customWidth="1"/>
  </cols>
  <sheetData>
    <row r="1" spans="1:4" x14ac:dyDescent="0.2">
      <c r="A1" t="s">
        <v>548</v>
      </c>
    </row>
    <row r="2" spans="1:4" x14ac:dyDescent="0.2">
      <c r="A2" t="s">
        <v>546</v>
      </c>
    </row>
    <row r="3" spans="1:4" x14ac:dyDescent="0.2">
      <c r="A3" t="s">
        <v>549</v>
      </c>
    </row>
    <row r="4" spans="1:4" x14ac:dyDescent="0.2">
      <c r="A4" t="s">
        <v>547</v>
      </c>
    </row>
    <row r="5" spans="1:4" x14ac:dyDescent="0.2">
      <c r="A5" t="s">
        <v>550</v>
      </c>
    </row>
    <row r="6" spans="1:4" x14ac:dyDescent="0.2">
      <c r="A6" t="s">
        <v>551</v>
      </c>
    </row>
    <row r="8" spans="1:4" ht="16" x14ac:dyDescent="0.2">
      <c r="A8" s="76" t="s">
        <v>527</v>
      </c>
      <c r="B8" t="s">
        <v>553</v>
      </c>
      <c r="C8" t="str">
        <f>_xlfn.CONCAT(B8,A8)</f>
        <v>FY27-CS 2.0 New Features</v>
      </c>
      <c r="D8" t="s">
        <v>547</v>
      </c>
    </row>
    <row r="9" spans="1:4" ht="16" x14ac:dyDescent="0.2">
      <c r="A9" s="78" t="s">
        <v>529</v>
      </c>
      <c r="B9" t="s">
        <v>553</v>
      </c>
      <c r="C9" t="str">
        <f t="shared" ref="C9:C14" si="0">_xlfn.CONCAT(B9,A9)</f>
        <v>FY27-CS 2.0 Functional Enhancements</v>
      </c>
      <c r="D9" t="s">
        <v>573</v>
      </c>
    </row>
    <row r="10" spans="1:4" ht="16" x14ac:dyDescent="0.2">
      <c r="A10" s="78" t="s">
        <v>530</v>
      </c>
      <c r="B10" t="s">
        <v>553</v>
      </c>
      <c r="C10" t="str">
        <f t="shared" si="0"/>
        <v>FY27-CS 2.0 Tech Enhancements</v>
      </c>
      <c r="D10" t="s">
        <v>574</v>
      </c>
    </row>
    <row r="11" spans="1:4" ht="16" x14ac:dyDescent="0.2">
      <c r="A11" s="78" t="s">
        <v>531</v>
      </c>
      <c r="B11" t="s">
        <v>553</v>
      </c>
      <c r="C11" t="str">
        <f t="shared" si="0"/>
        <v>FY27-CS 2.0 Tech Maintenance</v>
      </c>
      <c r="D11" t="s">
        <v>569</v>
      </c>
    </row>
    <row r="12" spans="1:4" ht="16" x14ac:dyDescent="0.2">
      <c r="A12" s="78" t="s">
        <v>552</v>
      </c>
      <c r="B12" t="s">
        <v>553</v>
      </c>
      <c r="C12" t="str">
        <f t="shared" si="0"/>
        <v>FY27-CS 1.0 Maintenance</v>
      </c>
      <c r="D12" t="s">
        <v>570</v>
      </c>
    </row>
    <row r="13" spans="1:4" ht="16" x14ac:dyDescent="0.2">
      <c r="A13" s="78" t="s">
        <v>554</v>
      </c>
      <c r="B13" t="s">
        <v>553</v>
      </c>
      <c r="C13" t="str">
        <f t="shared" si="0"/>
        <v>FY27-PIS Maintenance</v>
      </c>
      <c r="D13" t="s">
        <v>571</v>
      </c>
    </row>
    <row r="14" spans="1:4" ht="16" x14ac:dyDescent="0.2">
      <c r="A14" s="78" t="s">
        <v>555</v>
      </c>
      <c r="B14" t="s">
        <v>553</v>
      </c>
      <c r="C14" t="str">
        <f t="shared" si="0"/>
        <v>FY27-PIS New Feature</v>
      </c>
      <c r="D14" t="s">
        <v>572</v>
      </c>
    </row>
    <row r="15" spans="1:4" x14ac:dyDescent="0.2">
      <c r="A15" s="7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6816-E0C4-4B2E-A39A-536C1B7A478E}">
  <dimension ref="A1:P121"/>
  <sheetViews>
    <sheetView zoomScale="102" zoomScaleNormal="70" workbookViewId="0">
      <pane ySplit="1" topLeftCell="A47" activePane="bottomLeft" state="frozen"/>
      <selection activeCell="O1" sqref="O1"/>
      <selection pane="bottomLeft"/>
    </sheetView>
  </sheetViews>
  <sheetFormatPr baseColWidth="10" defaultColWidth="12.5" defaultRowHeight="16" x14ac:dyDescent="0.2"/>
  <cols>
    <col min="1" max="1" width="5.5" style="5" customWidth="1"/>
    <col min="2" max="2" width="7.5" style="5" customWidth="1"/>
    <col min="3" max="3" width="9.1640625" style="5" customWidth="1"/>
    <col min="4" max="4" width="10" style="5" customWidth="1"/>
    <col min="5" max="5" width="17.83203125" style="5" hidden="1" customWidth="1"/>
    <col min="6" max="6" width="14.83203125" style="5" customWidth="1"/>
    <col min="7" max="8" width="10.5" style="5" hidden="1" customWidth="1"/>
    <col min="9" max="9" width="47.1640625" style="38" customWidth="1"/>
    <col min="10" max="10" width="79.5" style="38" customWidth="1"/>
    <col min="11" max="11" width="16.5" style="5" hidden="1" customWidth="1"/>
    <col min="12" max="12" width="12.1640625" style="5" customWidth="1"/>
    <col min="13" max="13" width="6.83203125" style="5" customWidth="1"/>
    <col min="14" max="14" width="10.5" style="5" bestFit="1" customWidth="1"/>
    <col min="15" max="15" width="10.5" style="5" customWidth="1"/>
    <col min="16" max="16" width="57.5" style="5" customWidth="1"/>
    <col min="17" max="16384" width="12.5" style="5"/>
  </cols>
  <sheetData>
    <row r="1" spans="1:16" ht="20.25" customHeight="1" x14ac:dyDescent="0.2">
      <c r="A1" s="3" t="s">
        <v>1</v>
      </c>
      <c r="B1" s="3" t="s">
        <v>87</v>
      </c>
      <c r="C1" s="3" t="s">
        <v>83</v>
      </c>
      <c r="D1" s="3" t="s">
        <v>88</v>
      </c>
      <c r="E1" s="3" t="s">
        <v>89</v>
      </c>
      <c r="F1" s="3" t="s">
        <v>82</v>
      </c>
      <c r="G1" s="3" t="s">
        <v>90</v>
      </c>
      <c r="H1" s="3" t="s">
        <v>0</v>
      </c>
      <c r="I1" s="3" t="s">
        <v>91</v>
      </c>
      <c r="J1" s="4" t="s">
        <v>92</v>
      </c>
      <c r="K1" s="3" t="s">
        <v>93</v>
      </c>
      <c r="L1" s="3" t="s">
        <v>94</v>
      </c>
      <c r="M1" s="3" t="s">
        <v>95</v>
      </c>
      <c r="N1" s="3" t="s">
        <v>96</v>
      </c>
      <c r="O1" s="3" t="s">
        <v>97</v>
      </c>
      <c r="P1" s="3" t="s">
        <v>84</v>
      </c>
    </row>
    <row r="2" spans="1:16" ht="51" x14ac:dyDescent="0.2">
      <c r="A2" s="6" t="s">
        <v>8</v>
      </c>
      <c r="B2" s="7" t="s">
        <v>98</v>
      </c>
      <c r="C2" s="7" t="s">
        <v>99</v>
      </c>
      <c r="D2" s="7" t="s">
        <v>100</v>
      </c>
      <c r="E2" s="7" t="s">
        <v>13</v>
      </c>
      <c r="F2" s="7" t="s">
        <v>85</v>
      </c>
      <c r="G2" s="7" t="s">
        <v>101</v>
      </c>
      <c r="H2" s="7" t="s">
        <v>13</v>
      </c>
      <c r="I2" s="8" t="s">
        <v>102</v>
      </c>
      <c r="J2" s="8" t="s">
        <v>103</v>
      </c>
      <c r="K2" s="8" t="s">
        <v>104</v>
      </c>
      <c r="L2" s="7" t="s">
        <v>105</v>
      </c>
      <c r="M2" s="9">
        <v>400</v>
      </c>
      <c r="N2" s="6" t="s">
        <v>106</v>
      </c>
      <c r="O2" s="6" t="s">
        <v>107</v>
      </c>
      <c r="P2" s="8" t="s">
        <v>108</v>
      </c>
    </row>
    <row r="3" spans="1:16" ht="153" x14ac:dyDescent="0.2">
      <c r="A3" s="6" t="s">
        <v>8</v>
      </c>
      <c r="B3" s="7" t="s">
        <v>98</v>
      </c>
      <c r="C3" s="7" t="s">
        <v>99</v>
      </c>
      <c r="D3" s="7" t="s">
        <v>100</v>
      </c>
      <c r="E3" s="7" t="s">
        <v>13</v>
      </c>
      <c r="F3" s="7" t="s">
        <v>85</v>
      </c>
      <c r="G3" s="7" t="s">
        <v>101</v>
      </c>
      <c r="H3" s="7" t="s">
        <v>7</v>
      </c>
      <c r="I3" s="8" t="s">
        <v>109</v>
      </c>
      <c r="J3" s="8" t="s">
        <v>110</v>
      </c>
      <c r="K3" s="8"/>
      <c r="L3" s="7" t="s">
        <v>105</v>
      </c>
      <c r="M3" s="9">
        <v>290</v>
      </c>
      <c r="N3" s="6" t="s">
        <v>106</v>
      </c>
      <c r="O3" s="6" t="s">
        <v>107</v>
      </c>
      <c r="P3" s="8" t="s">
        <v>111</v>
      </c>
    </row>
    <row r="4" spans="1:16" ht="51" x14ac:dyDescent="0.2">
      <c r="A4" s="6" t="s">
        <v>8</v>
      </c>
      <c r="B4" s="7" t="s">
        <v>98</v>
      </c>
      <c r="C4" s="7" t="s">
        <v>99</v>
      </c>
      <c r="D4" s="7" t="s">
        <v>100</v>
      </c>
      <c r="E4" s="7" t="s">
        <v>13</v>
      </c>
      <c r="F4" s="7" t="s">
        <v>85</v>
      </c>
      <c r="G4" s="7" t="s">
        <v>112</v>
      </c>
      <c r="H4" s="7" t="s">
        <v>13</v>
      </c>
      <c r="I4" s="8" t="s">
        <v>113</v>
      </c>
      <c r="J4" s="8" t="s">
        <v>114</v>
      </c>
      <c r="K4" s="8"/>
      <c r="L4" s="7" t="s">
        <v>105</v>
      </c>
      <c r="M4" s="9">
        <v>80</v>
      </c>
      <c r="N4" s="6" t="s">
        <v>106</v>
      </c>
      <c r="O4" s="6" t="s">
        <v>115</v>
      </c>
      <c r="P4" s="7"/>
    </row>
    <row r="5" spans="1:16" ht="51" x14ac:dyDescent="0.2">
      <c r="A5" s="6" t="s">
        <v>8</v>
      </c>
      <c r="B5" s="7" t="s">
        <v>98</v>
      </c>
      <c r="C5" s="7" t="s">
        <v>99</v>
      </c>
      <c r="D5" s="7" t="s">
        <v>100</v>
      </c>
      <c r="E5" s="7" t="s">
        <v>13</v>
      </c>
      <c r="F5" s="7" t="s">
        <v>85</v>
      </c>
      <c r="G5" s="7" t="s">
        <v>112</v>
      </c>
      <c r="H5" s="7" t="s">
        <v>13</v>
      </c>
      <c r="I5" s="8" t="s">
        <v>113</v>
      </c>
      <c r="J5" s="8" t="s">
        <v>116</v>
      </c>
      <c r="K5" s="8"/>
      <c r="L5" s="7" t="s">
        <v>105</v>
      </c>
      <c r="M5" s="9">
        <v>20</v>
      </c>
      <c r="N5" s="6" t="s">
        <v>106</v>
      </c>
      <c r="O5" s="6" t="s">
        <v>115</v>
      </c>
      <c r="P5" s="7"/>
    </row>
    <row r="6" spans="1:16" ht="119" x14ac:dyDescent="0.2">
      <c r="A6" s="6" t="s">
        <v>8</v>
      </c>
      <c r="B6" s="7" t="s">
        <v>98</v>
      </c>
      <c r="C6" s="7" t="s">
        <v>99</v>
      </c>
      <c r="D6" s="7" t="s">
        <v>100</v>
      </c>
      <c r="E6" s="7" t="s">
        <v>13</v>
      </c>
      <c r="F6" s="7" t="s">
        <v>85</v>
      </c>
      <c r="G6" s="7" t="s">
        <v>112</v>
      </c>
      <c r="H6" s="7" t="s">
        <v>56</v>
      </c>
      <c r="I6" s="8" t="s">
        <v>117</v>
      </c>
      <c r="J6" s="8" t="s">
        <v>118</v>
      </c>
      <c r="K6" s="8"/>
      <c r="L6" s="7" t="s">
        <v>105</v>
      </c>
      <c r="M6" s="9">
        <v>220</v>
      </c>
      <c r="N6" s="6" t="s">
        <v>106</v>
      </c>
      <c r="O6" s="6" t="s">
        <v>107</v>
      </c>
      <c r="P6" s="8" t="s">
        <v>119</v>
      </c>
    </row>
    <row r="7" spans="1:16" ht="34" x14ac:dyDescent="0.2">
      <c r="A7" s="6" t="s">
        <v>8</v>
      </c>
      <c r="B7" s="7" t="s">
        <v>98</v>
      </c>
      <c r="C7" s="7" t="s">
        <v>99</v>
      </c>
      <c r="D7" s="7" t="s">
        <v>100</v>
      </c>
      <c r="E7" s="7" t="s">
        <v>13</v>
      </c>
      <c r="F7" s="7" t="s">
        <v>85</v>
      </c>
      <c r="G7" s="7" t="s">
        <v>120</v>
      </c>
      <c r="H7" s="7" t="s">
        <v>13</v>
      </c>
      <c r="I7" s="8" t="s">
        <v>121</v>
      </c>
      <c r="J7" s="8" t="s">
        <v>122</v>
      </c>
      <c r="K7" s="8" t="s">
        <v>123</v>
      </c>
      <c r="L7" s="7" t="s">
        <v>105</v>
      </c>
      <c r="M7" s="9">
        <v>120</v>
      </c>
      <c r="N7" s="6" t="s">
        <v>106</v>
      </c>
      <c r="O7" s="6" t="s">
        <v>107</v>
      </c>
      <c r="P7" s="8" t="s">
        <v>124</v>
      </c>
    </row>
    <row r="8" spans="1:16" ht="34" x14ac:dyDescent="0.2">
      <c r="A8" s="6" t="s">
        <v>8</v>
      </c>
      <c r="B8" s="7" t="s">
        <v>98</v>
      </c>
      <c r="C8" s="7" t="s">
        <v>99</v>
      </c>
      <c r="D8" s="7" t="s">
        <v>100</v>
      </c>
      <c r="E8" s="7" t="s">
        <v>13</v>
      </c>
      <c r="F8" s="7" t="s">
        <v>85</v>
      </c>
      <c r="G8" s="7" t="s">
        <v>125</v>
      </c>
      <c r="H8" s="7" t="s">
        <v>13</v>
      </c>
      <c r="I8" s="8" t="s">
        <v>126</v>
      </c>
      <c r="J8" s="8" t="s">
        <v>103</v>
      </c>
      <c r="K8" s="8" t="s">
        <v>123</v>
      </c>
      <c r="L8" s="7" t="s">
        <v>105</v>
      </c>
      <c r="M8" s="9">
        <v>120</v>
      </c>
      <c r="N8" s="6" t="s">
        <v>106</v>
      </c>
      <c r="O8" s="6" t="s">
        <v>107</v>
      </c>
      <c r="P8" s="8" t="s">
        <v>124</v>
      </c>
    </row>
    <row r="9" spans="1:16" ht="17" thickBot="1" x14ac:dyDescent="0.25">
      <c r="A9" s="10"/>
      <c r="B9" s="11"/>
      <c r="C9" s="11"/>
      <c r="D9" s="11"/>
      <c r="E9" s="11"/>
      <c r="F9" s="11"/>
      <c r="G9" s="11"/>
      <c r="H9" s="11"/>
      <c r="I9" s="12"/>
      <c r="J9" s="12"/>
      <c r="K9" s="12"/>
      <c r="L9" s="11"/>
      <c r="M9" s="13">
        <f>SUM(M2:M8)</f>
        <v>1250</v>
      </c>
      <c r="N9" s="10"/>
      <c r="O9" s="10"/>
      <c r="P9" s="12"/>
    </row>
    <row r="10" spans="1:16" ht="18" thickTop="1" thickBot="1" x14ac:dyDescent="0.25">
      <c r="A10" s="14"/>
      <c r="B10" s="14"/>
      <c r="C10" s="14"/>
      <c r="D10" s="14"/>
      <c r="E10" s="14"/>
      <c r="F10" s="14"/>
      <c r="G10" s="14"/>
      <c r="H10" s="14"/>
      <c r="I10" s="15"/>
      <c r="J10" s="15"/>
      <c r="K10" s="15"/>
      <c r="L10" s="14"/>
      <c r="M10" s="16"/>
      <c r="N10" s="17"/>
      <c r="O10" s="17"/>
      <c r="P10" s="15"/>
    </row>
    <row r="11" spans="1:16" ht="35" thickTop="1" x14ac:dyDescent="0.2">
      <c r="A11" s="18" t="s">
        <v>8</v>
      </c>
      <c r="B11" s="19" t="s">
        <v>98</v>
      </c>
      <c r="C11" s="19" t="s">
        <v>99</v>
      </c>
      <c r="D11" s="19" t="s">
        <v>127</v>
      </c>
      <c r="E11" s="19" t="s">
        <v>13</v>
      </c>
      <c r="F11" s="19" t="s">
        <v>85</v>
      </c>
      <c r="G11" s="19" t="s">
        <v>101</v>
      </c>
      <c r="H11" s="19" t="s">
        <v>13</v>
      </c>
      <c r="I11" s="20" t="s">
        <v>128</v>
      </c>
      <c r="J11" s="20" t="s">
        <v>129</v>
      </c>
      <c r="K11" s="20"/>
      <c r="L11" s="19" t="s">
        <v>146</v>
      </c>
      <c r="M11" s="21">
        <v>120</v>
      </c>
      <c r="N11" s="18" t="s">
        <v>131</v>
      </c>
      <c r="O11" s="22" t="s">
        <v>107</v>
      </c>
      <c r="P11" s="20" t="s">
        <v>132</v>
      </c>
    </row>
    <row r="12" spans="1:16" ht="17" x14ac:dyDescent="0.2">
      <c r="A12" s="18"/>
      <c r="B12" s="19"/>
      <c r="C12" s="19"/>
      <c r="D12" s="19"/>
      <c r="E12" s="19"/>
      <c r="F12" s="19" t="s">
        <v>85</v>
      </c>
      <c r="G12" s="19"/>
      <c r="H12" s="19"/>
      <c r="I12" s="20" t="s">
        <v>294</v>
      </c>
      <c r="J12" s="20" t="s">
        <v>295</v>
      </c>
      <c r="K12" s="20"/>
      <c r="L12" s="19" t="s">
        <v>130</v>
      </c>
      <c r="M12" s="21">
        <v>40</v>
      </c>
      <c r="N12" s="18" t="s">
        <v>296</v>
      </c>
      <c r="O12" s="22" t="s">
        <v>224</v>
      </c>
      <c r="P12" s="20"/>
    </row>
    <row r="13" spans="1:16" ht="34" x14ac:dyDescent="0.2">
      <c r="A13" s="18" t="s">
        <v>8</v>
      </c>
      <c r="B13" s="19" t="s">
        <v>98</v>
      </c>
      <c r="C13" s="19" t="s">
        <v>99</v>
      </c>
      <c r="D13" s="19" t="s">
        <v>100</v>
      </c>
      <c r="E13" s="19" t="s">
        <v>13</v>
      </c>
      <c r="F13" s="19" t="s">
        <v>85</v>
      </c>
      <c r="G13" s="19" t="s">
        <v>101</v>
      </c>
      <c r="H13" s="19" t="s">
        <v>7</v>
      </c>
      <c r="I13" s="20" t="s">
        <v>109</v>
      </c>
      <c r="J13" s="20"/>
      <c r="K13" s="20"/>
      <c r="L13" s="19" t="s">
        <v>105</v>
      </c>
      <c r="M13" s="21">
        <v>160</v>
      </c>
      <c r="N13" s="18" t="s">
        <v>131</v>
      </c>
      <c r="O13" s="18" t="s">
        <v>107</v>
      </c>
      <c r="P13" s="20" t="s">
        <v>133</v>
      </c>
    </row>
    <row r="14" spans="1:16" ht="34" x14ac:dyDescent="0.2">
      <c r="A14" s="18" t="s">
        <v>8</v>
      </c>
      <c r="B14" s="19" t="s">
        <v>98</v>
      </c>
      <c r="C14" s="19" t="s">
        <v>99</v>
      </c>
      <c r="D14" s="19" t="s">
        <v>100</v>
      </c>
      <c r="E14" s="19" t="s">
        <v>56</v>
      </c>
      <c r="F14" s="19" t="s">
        <v>85</v>
      </c>
      <c r="G14" s="19" t="s">
        <v>101</v>
      </c>
      <c r="H14" s="19" t="s">
        <v>56</v>
      </c>
      <c r="I14" s="20" t="s">
        <v>134</v>
      </c>
      <c r="J14" s="20" t="s">
        <v>135</v>
      </c>
      <c r="K14" s="20"/>
      <c r="L14" s="19" t="s">
        <v>130</v>
      </c>
      <c r="M14" s="21">
        <v>50</v>
      </c>
      <c r="N14" s="18" t="s">
        <v>131</v>
      </c>
      <c r="O14" s="18" t="s">
        <v>107</v>
      </c>
      <c r="P14" s="20" t="s">
        <v>136</v>
      </c>
    </row>
    <row r="15" spans="1:16" ht="34" x14ac:dyDescent="0.2">
      <c r="A15" s="18" t="s">
        <v>8</v>
      </c>
      <c r="B15" s="19" t="s">
        <v>98</v>
      </c>
      <c r="C15" s="19" t="s">
        <v>99</v>
      </c>
      <c r="D15" s="19" t="s">
        <v>100</v>
      </c>
      <c r="E15" s="19" t="s">
        <v>56</v>
      </c>
      <c r="F15" s="19" t="s">
        <v>85</v>
      </c>
      <c r="G15" s="19" t="s">
        <v>112</v>
      </c>
      <c r="H15" s="19" t="s">
        <v>13</v>
      </c>
      <c r="I15" s="20" t="s">
        <v>137</v>
      </c>
      <c r="J15" s="20" t="s">
        <v>138</v>
      </c>
      <c r="K15" s="20"/>
      <c r="L15" s="19" t="s">
        <v>130</v>
      </c>
      <c r="M15" s="21">
        <v>40</v>
      </c>
      <c r="N15" s="18" t="s">
        <v>131</v>
      </c>
      <c r="O15" s="22" t="s">
        <v>224</v>
      </c>
      <c r="P15" s="20" t="s">
        <v>139</v>
      </c>
    </row>
    <row r="16" spans="1:16" ht="34" x14ac:dyDescent="0.2">
      <c r="A16" s="18" t="s">
        <v>8</v>
      </c>
      <c r="B16" s="19" t="s">
        <v>98</v>
      </c>
      <c r="C16" s="19" t="s">
        <v>99</v>
      </c>
      <c r="D16" s="19" t="s">
        <v>100</v>
      </c>
      <c r="E16" s="19" t="s">
        <v>13</v>
      </c>
      <c r="F16" s="19" t="s">
        <v>85</v>
      </c>
      <c r="G16" s="19" t="s">
        <v>112</v>
      </c>
      <c r="H16" s="19" t="s">
        <v>13</v>
      </c>
      <c r="I16" s="20" t="s">
        <v>140</v>
      </c>
      <c r="J16" s="20" t="s">
        <v>140</v>
      </c>
      <c r="K16" s="20"/>
      <c r="L16" s="19" t="s">
        <v>130</v>
      </c>
      <c r="M16" s="21">
        <v>60</v>
      </c>
      <c r="N16" s="18" t="s">
        <v>131</v>
      </c>
      <c r="O16" s="22" t="s">
        <v>224</v>
      </c>
      <c r="P16" s="20" t="s">
        <v>141</v>
      </c>
    </row>
    <row r="17" spans="1:16" ht="119" x14ac:dyDescent="0.2">
      <c r="A17" s="18" t="s">
        <v>8</v>
      </c>
      <c r="B17" s="19" t="s">
        <v>98</v>
      </c>
      <c r="C17" s="19" t="s">
        <v>99</v>
      </c>
      <c r="D17" s="19" t="s">
        <v>100</v>
      </c>
      <c r="E17" s="19" t="s">
        <v>13</v>
      </c>
      <c r="F17" s="19" t="s">
        <v>85</v>
      </c>
      <c r="G17" s="19" t="s">
        <v>112</v>
      </c>
      <c r="H17" s="19" t="s">
        <v>56</v>
      </c>
      <c r="I17" s="20" t="s">
        <v>117</v>
      </c>
      <c r="J17" s="20" t="s">
        <v>118</v>
      </c>
      <c r="K17" s="20"/>
      <c r="L17" s="19" t="s">
        <v>105</v>
      </c>
      <c r="M17" s="21">
        <v>40</v>
      </c>
      <c r="N17" s="18" t="s">
        <v>131</v>
      </c>
      <c r="O17" s="18" t="s">
        <v>107</v>
      </c>
      <c r="P17" s="20" t="s">
        <v>142</v>
      </c>
    </row>
    <row r="18" spans="1:16" ht="34" x14ac:dyDescent="0.2">
      <c r="A18" s="18" t="s">
        <v>8</v>
      </c>
      <c r="B18" s="19" t="s">
        <v>98</v>
      </c>
      <c r="C18" s="19" t="s">
        <v>99</v>
      </c>
      <c r="D18" s="19" t="s">
        <v>100</v>
      </c>
      <c r="E18" s="19" t="s">
        <v>13</v>
      </c>
      <c r="F18" s="19" t="s">
        <v>85</v>
      </c>
      <c r="G18" s="19" t="s">
        <v>112</v>
      </c>
      <c r="H18" s="19" t="s">
        <v>13</v>
      </c>
      <c r="I18" s="20" t="s">
        <v>143</v>
      </c>
      <c r="J18" s="20" t="s">
        <v>144</v>
      </c>
      <c r="K18" s="20" t="s">
        <v>145</v>
      </c>
      <c r="L18" s="19" t="s">
        <v>105</v>
      </c>
      <c r="M18" s="21">
        <v>150</v>
      </c>
      <c r="N18" s="18" t="s">
        <v>131</v>
      </c>
      <c r="O18" s="18" t="s">
        <v>200</v>
      </c>
      <c r="P18" s="19" t="s">
        <v>147</v>
      </c>
    </row>
    <row r="19" spans="1:16" ht="34" x14ac:dyDescent="0.2">
      <c r="A19" s="18" t="s">
        <v>8</v>
      </c>
      <c r="B19" s="19" t="s">
        <v>98</v>
      </c>
      <c r="C19" s="19" t="s">
        <v>99</v>
      </c>
      <c r="D19" s="19" t="s">
        <v>148</v>
      </c>
      <c r="E19" s="19" t="s">
        <v>13</v>
      </c>
      <c r="F19" s="19" t="s">
        <v>149</v>
      </c>
      <c r="G19" s="19" t="s">
        <v>150</v>
      </c>
      <c r="H19" s="19" t="s">
        <v>13</v>
      </c>
      <c r="I19" s="20" t="s">
        <v>151</v>
      </c>
      <c r="J19" s="20"/>
      <c r="K19" s="19"/>
      <c r="L19" s="19" t="s">
        <v>130</v>
      </c>
      <c r="M19" s="21">
        <v>200</v>
      </c>
      <c r="N19" s="18" t="s">
        <v>131</v>
      </c>
      <c r="O19" s="22" t="s">
        <v>224</v>
      </c>
      <c r="P19" s="19"/>
    </row>
    <row r="20" spans="1:16" ht="17" thickBot="1" x14ac:dyDescent="0.25">
      <c r="A20" s="23"/>
      <c r="B20" s="24"/>
      <c r="C20" s="24"/>
      <c r="D20" s="24"/>
      <c r="E20" s="24"/>
      <c r="F20" s="24"/>
      <c r="G20" s="24"/>
      <c r="H20" s="24"/>
      <c r="I20" s="25"/>
      <c r="J20" s="25"/>
      <c r="K20" s="12"/>
      <c r="L20" s="24"/>
      <c r="M20" s="26">
        <f>SUM(M11:M19)</f>
        <v>860</v>
      </c>
      <c r="N20" s="23"/>
      <c r="O20" s="23"/>
      <c r="P20" s="24"/>
    </row>
    <row r="21" spans="1:16" ht="17" thickTop="1" x14ac:dyDescent="0.2">
      <c r="A21" s="27"/>
      <c r="B21" s="27"/>
      <c r="C21" s="27"/>
      <c r="D21" s="27"/>
      <c r="E21" s="27"/>
      <c r="F21" s="27"/>
      <c r="G21" s="27"/>
      <c r="H21" s="27"/>
      <c r="I21" s="27"/>
      <c r="J21" s="28"/>
      <c r="K21" s="27"/>
      <c r="L21" s="27"/>
      <c r="M21" s="27"/>
      <c r="N21" s="29"/>
      <c r="O21" s="29"/>
      <c r="P21" s="27"/>
    </row>
    <row r="22" spans="1:16" ht="17" x14ac:dyDescent="0.2">
      <c r="A22" s="3" t="s">
        <v>152</v>
      </c>
      <c r="B22" s="3" t="s">
        <v>87</v>
      </c>
      <c r="C22" s="3" t="s">
        <v>83</v>
      </c>
      <c r="D22" s="3" t="s">
        <v>88</v>
      </c>
      <c r="E22" s="3" t="s">
        <v>89</v>
      </c>
      <c r="F22" s="3" t="s">
        <v>82</v>
      </c>
      <c r="G22" s="3" t="s">
        <v>90</v>
      </c>
      <c r="H22" s="3" t="s">
        <v>0</v>
      </c>
      <c r="I22" s="3" t="s">
        <v>91</v>
      </c>
      <c r="J22" s="4" t="s">
        <v>92</v>
      </c>
      <c r="K22" s="3" t="s">
        <v>93</v>
      </c>
      <c r="L22" s="3" t="s">
        <v>94</v>
      </c>
      <c r="M22" s="3" t="s">
        <v>95</v>
      </c>
      <c r="N22" s="3" t="s">
        <v>96</v>
      </c>
      <c r="O22" s="3" t="s">
        <v>97</v>
      </c>
      <c r="P22" s="3" t="s">
        <v>84</v>
      </c>
    </row>
    <row r="23" spans="1:16" ht="17" x14ac:dyDescent="0.2">
      <c r="A23" s="6" t="s">
        <v>8</v>
      </c>
      <c r="B23" s="7" t="s">
        <v>153</v>
      </c>
      <c r="C23" s="7" t="s">
        <v>9</v>
      </c>
      <c r="D23" s="7" t="s">
        <v>100</v>
      </c>
      <c r="E23" s="7" t="s">
        <v>13</v>
      </c>
      <c r="F23" s="7" t="s">
        <v>149</v>
      </c>
      <c r="G23" s="7" t="s">
        <v>150</v>
      </c>
      <c r="H23" s="7" t="s">
        <v>13</v>
      </c>
      <c r="I23" s="8" t="s">
        <v>154</v>
      </c>
      <c r="J23" s="8" t="s">
        <v>155</v>
      </c>
      <c r="K23" s="8"/>
      <c r="L23" s="7" t="s">
        <v>105</v>
      </c>
      <c r="M23" s="9">
        <v>840</v>
      </c>
      <c r="N23" s="6" t="s">
        <v>106</v>
      </c>
      <c r="O23" s="6" t="s">
        <v>156</v>
      </c>
      <c r="P23" s="8" t="s">
        <v>157</v>
      </c>
    </row>
    <row r="24" spans="1:16" ht="34" x14ac:dyDescent="0.2">
      <c r="A24" s="6" t="s">
        <v>8</v>
      </c>
      <c r="B24" s="7" t="s">
        <v>98</v>
      </c>
      <c r="C24" s="7" t="s">
        <v>9</v>
      </c>
      <c r="D24" s="7" t="s">
        <v>100</v>
      </c>
      <c r="E24" s="7" t="s">
        <v>13</v>
      </c>
      <c r="F24" s="7" t="s">
        <v>85</v>
      </c>
      <c r="G24" s="7" t="s">
        <v>150</v>
      </c>
      <c r="H24" s="7" t="s">
        <v>13</v>
      </c>
      <c r="I24" s="8" t="s">
        <v>158</v>
      </c>
      <c r="J24" s="8" t="s">
        <v>159</v>
      </c>
      <c r="K24" s="8"/>
      <c r="L24" s="7" t="s">
        <v>105</v>
      </c>
      <c r="M24" s="9">
        <v>16</v>
      </c>
      <c r="N24" s="6" t="s">
        <v>106</v>
      </c>
      <c r="O24" s="6" t="s">
        <v>160</v>
      </c>
      <c r="P24" s="7"/>
    </row>
    <row r="25" spans="1:16" ht="34" x14ac:dyDescent="0.2">
      <c r="A25" s="6" t="s">
        <v>8</v>
      </c>
      <c r="B25" s="7" t="s">
        <v>98</v>
      </c>
      <c r="C25" s="7" t="s">
        <v>9</v>
      </c>
      <c r="D25" s="7" t="s">
        <v>100</v>
      </c>
      <c r="E25" s="7" t="s">
        <v>13</v>
      </c>
      <c r="F25" s="7" t="s">
        <v>85</v>
      </c>
      <c r="G25" s="7" t="s">
        <v>150</v>
      </c>
      <c r="H25" s="7" t="s">
        <v>13</v>
      </c>
      <c r="I25" s="8" t="s">
        <v>161</v>
      </c>
      <c r="J25" s="8" t="s">
        <v>162</v>
      </c>
      <c r="K25" s="8"/>
      <c r="L25" s="7" t="s">
        <v>105</v>
      </c>
      <c r="M25" s="9">
        <v>20</v>
      </c>
      <c r="N25" s="6" t="s">
        <v>106</v>
      </c>
      <c r="O25" s="6" t="s">
        <v>156</v>
      </c>
      <c r="P25" s="7"/>
    </row>
    <row r="26" spans="1:16" ht="17" x14ac:dyDescent="0.2">
      <c r="A26" s="6" t="s">
        <v>8</v>
      </c>
      <c r="B26" s="7" t="s">
        <v>98</v>
      </c>
      <c r="C26" s="7" t="s">
        <v>9</v>
      </c>
      <c r="D26" s="7" t="s">
        <v>100</v>
      </c>
      <c r="E26" s="7" t="s">
        <v>13</v>
      </c>
      <c r="F26" s="7" t="s">
        <v>85</v>
      </c>
      <c r="G26" s="7" t="s">
        <v>150</v>
      </c>
      <c r="H26" s="7" t="s">
        <v>13</v>
      </c>
      <c r="I26" s="8" t="s">
        <v>163</v>
      </c>
      <c r="J26" s="8" t="s">
        <v>164</v>
      </c>
      <c r="K26" s="8"/>
      <c r="L26" s="7" t="s">
        <v>105</v>
      </c>
      <c r="M26" s="9">
        <v>240</v>
      </c>
      <c r="N26" s="6" t="s">
        <v>106</v>
      </c>
      <c r="O26" s="6" t="s">
        <v>156</v>
      </c>
      <c r="P26" s="8" t="s">
        <v>165</v>
      </c>
    </row>
    <row r="27" spans="1:16" ht="17" x14ac:dyDescent="0.2">
      <c r="A27" s="6" t="s">
        <v>8</v>
      </c>
      <c r="B27" s="7" t="s">
        <v>98</v>
      </c>
      <c r="C27" s="7" t="s">
        <v>9</v>
      </c>
      <c r="D27" s="7" t="s">
        <v>100</v>
      </c>
      <c r="E27" s="7" t="s">
        <v>13</v>
      </c>
      <c r="F27" s="7" t="s">
        <v>85</v>
      </c>
      <c r="G27" s="7" t="s">
        <v>150</v>
      </c>
      <c r="H27" s="7" t="s">
        <v>13</v>
      </c>
      <c r="I27" s="8" t="s">
        <v>166</v>
      </c>
      <c r="J27" s="8" t="s">
        <v>167</v>
      </c>
      <c r="K27" s="8"/>
      <c r="L27" s="7" t="s">
        <v>105</v>
      </c>
      <c r="M27" s="30">
        <v>1350</v>
      </c>
      <c r="N27" s="6" t="s">
        <v>106</v>
      </c>
      <c r="O27" s="6" t="s">
        <v>160</v>
      </c>
      <c r="P27" s="7"/>
    </row>
    <row r="28" spans="1:16" ht="102" x14ac:dyDescent="0.2">
      <c r="A28" s="6" t="s">
        <v>8</v>
      </c>
      <c r="B28" s="7" t="s">
        <v>98</v>
      </c>
      <c r="C28" s="7" t="s">
        <v>9</v>
      </c>
      <c r="D28" s="7" t="s">
        <v>100</v>
      </c>
      <c r="E28" s="7" t="s">
        <v>13</v>
      </c>
      <c r="F28" s="7" t="s">
        <v>168</v>
      </c>
      <c r="G28" s="7" t="s">
        <v>150</v>
      </c>
      <c r="H28" s="7" t="s">
        <v>56</v>
      </c>
      <c r="I28" s="8" t="s">
        <v>169</v>
      </c>
      <c r="J28" s="8" t="s">
        <v>170</v>
      </c>
      <c r="K28" s="8"/>
      <c r="L28" s="7" t="s">
        <v>105</v>
      </c>
      <c r="M28" s="9">
        <v>220</v>
      </c>
      <c r="N28" s="6" t="s">
        <v>106</v>
      </c>
      <c r="O28" s="6" t="s">
        <v>107</v>
      </c>
      <c r="P28" s="7" t="s">
        <v>171</v>
      </c>
    </row>
    <row r="29" spans="1:16" ht="17" x14ac:dyDescent="0.2">
      <c r="A29" s="6" t="s">
        <v>8</v>
      </c>
      <c r="B29" s="7" t="s">
        <v>98</v>
      </c>
      <c r="C29" s="7" t="s">
        <v>9</v>
      </c>
      <c r="D29" s="7" t="s">
        <v>100</v>
      </c>
      <c r="E29" s="7" t="s">
        <v>13</v>
      </c>
      <c r="F29" s="7" t="s">
        <v>85</v>
      </c>
      <c r="G29" s="7" t="s">
        <v>150</v>
      </c>
      <c r="H29" s="7" t="s">
        <v>13</v>
      </c>
      <c r="I29" s="8" t="s">
        <v>172</v>
      </c>
      <c r="J29" s="8" t="s">
        <v>173</v>
      </c>
      <c r="K29" s="8"/>
      <c r="L29" s="7" t="s">
        <v>105</v>
      </c>
      <c r="M29" s="9">
        <v>80</v>
      </c>
      <c r="N29" s="6" t="s">
        <v>106</v>
      </c>
      <c r="O29" s="6" t="s">
        <v>160</v>
      </c>
      <c r="P29" s="7"/>
    </row>
    <row r="30" spans="1:16" ht="68" x14ac:dyDescent="0.2">
      <c r="A30" s="6" t="s">
        <v>8</v>
      </c>
      <c r="B30" s="7" t="s">
        <v>98</v>
      </c>
      <c r="C30" s="7" t="s">
        <v>9</v>
      </c>
      <c r="D30" s="7" t="s">
        <v>100</v>
      </c>
      <c r="E30" s="7" t="s">
        <v>13</v>
      </c>
      <c r="F30" s="7" t="s">
        <v>149</v>
      </c>
      <c r="G30" s="7" t="s">
        <v>150</v>
      </c>
      <c r="H30" s="7" t="s">
        <v>13</v>
      </c>
      <c r="I30" s="8" t="s">
        <v>174</v>
      </c>
      <c r="J30" s="8" t="s">
        <v>175</v>
      </c>
      <c r="K30" s="8" t="s">
        <v>176</v>
      </c>
      <c r="L30" s="7" t="s">
        <v>105</v>
      </c>
      <c r="M30" s="9">
        <v>40</v>
      </c>
      <c r="N30" s="6" t="s">
        <v>106</v>
      </c>
      <c r="O30" s="6" t="s">
        <v>107</v>
      </c>
      <c r="P30" s="8" t="s">
        <v>177</v>
      </c>
    </row>
    <row r="31" spans="1:16" ht="34" x14ac:dyDescent="0.2">
      <c r="A31" s="6" t="s">
        <v>8</v>
      </c>
      <c r="B31" s="7" t="s">
        <v>98</v>
      </c>
      <c r="C31" s="7" t="s">
        <v>9</v>
      </c>
      <c r="D31" s="7" t="s">
        <v>100</v>
      </c>
      <c r="E31" s="7" t="s">
        <v>13</v>
      </c>
      <c r="F31" s="7" t="s">
        <v>85</v>
      </c>
      <c r="G31" s="7" t="s">
        <v>150</v>
      </c>
      <c r="H31" s="7" t="s">
        <v>13</v>
      </c>
      <c r="I31" s="8" t="s">
        <v>178</v>
      </c>
      <c r="J31" s="8" t="s">
        <v>179</v>
      </c>
      <c r="K31" s="8"/>
      <c r="L31" s="7" t="s">
        <v>105</v>
      </c>
      <c r="M31" s="9">
        <v>12</v>
      </c>
      <c r="N31" s="6" t="s">
        <v>106</v>
      </c>
      <c r="O31" s="6"/>
      <c r="P31" s="8" t="s">
        <v>180</v>
      </c>
    </row>
    <row r="32" spans="1:16" ht="34" x14ac:dyDescent="0.2">
      <c r="A32" s="6" t="s">
        <v>8</v>
      </c>
      <c r="B32" s="7" t="s">
        <v>98</v>
      </c>
      <c r="C32" s="7" t="s">
        <v>9</v>
      </c>
      <c r="D32" s="7" t="s">
        <v>100</v>
      </c>
      <c r="E32" s="7" t="s">
        <v>13</v>
      </c>
      <c r="F32" s="7" t="s">
        <v>85</v>
      </c>
      <c r="G32" s="7" t="s">
        <v>150</v>
      </c>
      <c r="H32" s="7" t="s">
        <v>13</v>
      </c>
      <c r="I32" s="8" t="s">
        <v>181</v>
      </c>
      <c r="J32" s="8" t="s">
        <v>182</v>
      </c>
      <c r="K32" s="8"/>
      <c r="L32" s="7" t="s">
        <v>105</v>
      </c>
      <c r="M32" s="9">
        <v>300</v>
      </c>
      <c r="N32" s="6" t="s">
        <v>106</v>
      </c>
      <c r="O32" s="6"/>
      <c r="P32" s="7"/>
    </row>
    <row r="33" spans="1:16" ht="17" x14ac:dyDescent="0.2">
      <c r="A33" s="6" t="s">
        <v>8</v>
      </c>
      <c r="B33" s="7" t="s">
        <v>98</v>
      </c>
      <c r="C33" s="7" t="s">
        <v>9</v>
      </c>
      <c r="D33" s="7" t="s">
        <v>100</v>
      </c>
      <c r="E33" s="7" t="s">
        <v>13</v>
      </c>
      <c r="F33" s="7" t="s">
        <v>85</v>
      </c>
      <c r="G33" s="7" t="s">
        <v>150</v>
      </c>
      <c r="H33" s="7" t="s">
        <v>13</v>
      </c>
      <c r="I33" s="8" t="s">
        <v>183</v>
      </c>
      <c r="J33" s="8" t="s">
        <v>184</v>
      </c>
      <c r="K33" s="8"/>
      <c r="L33" s="7" t="s">
        <v>105</v>
      </c>
      <c r="M33" s="9">
        <v>36</v>
      </c>
      <c r="N33" s="6" t="s">
        <v>106</v>
      </c>
      <c r="O33" s="6"/>
      <c r="P33" s="7" t="s">
        <v>185</v>
      </c>
    </row>
    <row r="34" spans="1:16" ht="17" thickBot="1" x14ac:dyDescent="0.25">
      <c r="A34" s="10"/>
      <c r="B34" s="11"/>
      <c r="C34" s="11"/>
      <c r="D34" s="11"/>
      <c r="E34" s="11"/>
      <c r="F34" s="11"/>
      <c r="G34" s="11"/>
      <c r="H34" s="11"/>
      <c r="I34" s="12"/>
      <c r="J34" s="12"/>
      <c r="K34" s="12"/>
      <c r="L34" s="11"/>
      <c r="M34" s="13">
        <f>SUM(M23:M33)</f>
        <v>3154</v>
      </c>
      <c r="N34" s="10"/>
      <c r="O34" s="10"/>
      <c r="P34" s="12"/>
    </row>
    <row r="35" spans="1:16" ht="18" thickTop="1" x14ac:dyDescent="0.2">
      <c r="A35" s="27"/>
      <c r="B35" s="27"/>
      <c r="C35" s="27"/>
      <c r="D35" s="27"/>
      <c r="E35" s="27"/>
      <c r="F35" s="27"/>
      <c r="G35" s="27"/>
      <c r="H35" s="27"/>
      <c r="I35" s="27" t="s">
        <v>292</v>
      </c>
      <c r="J35" s="28" t="s">
        <v>92</v>
      </c>
      <c r="K35" s="27"/>
      <c r="L35" s="27"/>
      <c r="M35" s="27"/>
      <c r="N35" s="29"/>
      <c r="O35" s="29"/>
      <c r="P35" s="27"/>
    </row>
    <row r="36" spans="1:16" ht="68" x14ac:dyDescent="0.2">
      <c r="A36" s="18" t="s">
        <v>8</v>
      </c>
      <c r="B36" s="19" t="s">
        <v>98</v>
      </c>
      <c r="C36" s="19" t="s">
        <v>9</v>
      </c>
      <c r="D36" s="19" t="s">
        <v>100</v>
      </c>
      <c r="E36" s="19" t="s">
        <v>13</v>
      </c>
      <c r="F36" s="19" t="s">
        <v>168</v>
      </c>
      <c r="G36" s="19" t="s">
        <v>150</v>
      </c>
      <c r="H36" s="19" t="s">
        <v>7</v>
      </c>
      <c r="I36" s="20" t="s">
        <v>186</v>
      </c>
      <c r="J36" s="20" t="s">
        <v>187</v>
      </c>
      <c r="K36" s="20" t="s">
        <v>188</v>
      </c>
      <c r="L36" s="19" t="s">
        <v>105</v>
      </c>
      <c r="M36" s="21">
        <v>220</v>
      </c>
      <c r="N36" s="18" t="s">
        <v>131</v>
      </c>
      <c r="O36" s="18" t="s">
        <v>107</v>
      </c>
      <c r="P36" s="19"/>
    </row>
    <row r="37" spans="1:16" ht="102" x14ac:dyDescent="0.2">
      <c r="A37" s="18" t="s">
        <v>8</v>
      </c>
      <c r="B37" s="19" t="s">
        <v>98</v>
      </c>
      <c r="C37" s="19" t="s">
        <v>9</v>
      </c>
      <c r="D37" s="19" t="s">
        <v>100</v>
      </c>
      <c r="E37" s="19" t="s">
        <v>13</v>
      </c>
      <c r="F37" s="19" t="s">
        <v>149</v>
      </c>
      <c r="G37" s="19" t="s">
        <v>150</v>
      </c>
      <c r="H37" s="19" t="s">
        <v>13</v>
      </c>
      <c r="I37" s="20" t="s">
        <v>189</v>
      </c>
      <c r="J37" s="20" t="s">
        <v>282</v>
      </c>
      <c r="K37" s="20"/>
      <c r="L37" s="19" t="s">
        <v>105</v>
      </c>
      <c r="M37" s="21">
        <f>100+250</f>
        <v>350</v>
      </c>
      <c r="N37" s="18" t="s">
        <v>131</v>
      </c>
      <c r="O37" s="18" t="s">
        <v>200</v>
      </c>
      <c r="P37" s="20" t="s">
        <v>298</v>
      </c>
    </row>
    <row r="38" spans="1:16" ht="68" x14ac:dyDescent="0.2">
      <c r="A38" s="18" t="s">
        <v>8</v>
      </c>
      <c r="B38" s="19" t="s">
        <v>98</v>
      </c>
      <c r="C38" s="19" t="s">
        <v>9</v>
      </c>
      <c r="D38" s="19" t="s">
        <v>100</v>
      </c>
      <c r="E38" s="19" t="s">
        <v>13</v>
      </c>
      <c r="F38" s="19" t="s">
        <v>149</v>
      </c>
      <c r="G38" s="19" t="s">
        <v>150</v>
      </c>
      <c r="H38" s="19" t="s">
        <v>13</v>
      </c>
      <c r="I38" s="20" t="s">
        <v>174</v>
      </c>
      <c r="J38" s="20" t="s">
        <v>175</v>
      </c>
      <c r="K38" s="20"/>
      <c r="L38" s="19" t="s">
        <v>105</v>
      </c>
      <c r="M38" s="21">
        <v>80</v>
      </c>
      <c r="N38" s="18" t="s">
        <v>131</v>
      </c>
      <c r="O38" s="18" t="s">
        <v>107</v>
      </c>
      <c r="P38" s="20" t="s">
        <v>191</v>
      </c>
    </row>
    <row r="39" spans="1:16" ht="34" x14ac:dyDescent="0.2">
      <c r="A39" s="18" t="s">
        <v>57</v>
      </c>
      <c r="B39" s="19" t="s">
        <v>98</v>
      </c>
      <c r="C39" s="19" t="s">
        <v>9</v>
      </c>
      <c r="D39" s="19" t="s">
        <v>100</v>
      </c>
      <c r="E39" s="19" t="s">
        <v>13</v>
      </c>
      <c r="F39" s="19" t="s">
        <v>149</v>
      </c>
      <c r="G39" s="19" t="s">
        <v>150</v>
      </c>
      <c r="H39" s="19" t="s">
        <v>13</v>
      </c>
      <c r="I39" s="20" t="s">
        <v>140</v>
      </c>
      <c r="J39" s="31" t="s">
        <v>192</v>
      </c>
      <c r="K39" s="20"/>
      <c r="L39" s="19" t="s">
        <v>130</v>
      </c>
      <c r="M39" s="21">
        <v>60</v>
      </c>
      <c r="N39" s="18" t="s">
        <v>131</v>
      </c>
      <c r="O39" s="18"/>
      <c r="P39" s="20" t="s">
        <v>141</v>
      </c>
    </row>
    <row r="40" spans="1:16" ht="102" x14ac:dyDescent="0.2">
      <c r="A40" s="18" t="s">
        <v>8</v>
      </c>
      <c r="B40" s="19" t="s">
        <v>98</v>
      </c>
      <c r="C40" s="19" t="s">
        <v>9</v>
      </c>
      <c r="D40" s="19" t="s">
        <v>100</v>
      </c>
      <c r="E40" s="19" t="s">
        <v>13</v>
      </c>
      <c r="F40" s="19" t="s">
        <v>168</v>
      </c>
      <c r="G40" s="19" t="s">
        <v>150</v>
      </c>
      <c r="H40" s="19" t="s">
        <v>13</v>
      </c>
      <c r="I40" s="20" t="s">
        <v>193</v>
      </c>
      <c r="J40" s="20" t="s">
        <v>194</v>
      </c>
      <c r="K40" s="20"/>
      <c r="L40" s="19" t="s">
        <v>105</v>
      </c>
      <c r="M40" s="21">
        <v>200</v>
      </c>
      <c r="N40" s="18" t="s">
        <v>131</v>
      </c>
      <c r="O40" s="18" t="s">
        <v>107</v>
      </c>
      <c r="P40" s="19" t="s">
        <v>100</v>
      </c>
    </row>
    <row r="41" spans="1:16" ht="34" x14ac:dyDescent="0.2">
      <c r="A41" s="18" t="s">
        <v>8</v>
      </c>
      <c r="B41" s="19" t="s">
        <v>98</v>
      </c>
      <c r="C41" s="19" t="s">
        <v>9</v>
      </c>
      <c r="D41" s="19" t="s">
        <v>100</v>
      </c>
      <c r="E41" s="19" t="s">
        <v>13</v>
      </c>
      <c r="F41" s="19" t="s">
        <v>168</v>
      </c>
      <c r="G41" s="19" t="s">
        <v>150</v>
      </c>
      <c r="H41" s="19" t="s">
        <v>13</v>
      </c>
      <c r="I41" s="20" t="s">
        <v>195</v>
      </c>
      <c r="J41" s="20" t="s">
        <v>196</v>
      </c>
      <c r="K41" s="20"/>
      <c r="L41" s="19" t="s">
        <v>105</v>
      </c>
      <c r="M41" s="21">
        <v>40</v>
      </c>
      <c r="N41" s="18" t="s">
        <v>131</v>
      </c>
      <c r="O41" s="18" t="s">
        <v>107</v>
      </c>
      <c r="P41" s="19" t="s">
        <v>100</v>
      </c>
    </row>
    <row r="42" spans="1:16" ht="34" x14ac:dyDescent="0.2">
      <c r="A42" s="18" t="s">
        <v>57</v>
      </c>
      <c r="B42" s="19" t="s">
        <v>98</v>
      </c>
      <c r="C42" s="19" t="s">
        <v>9</v>
      </c>
      <c r="D42" s="19" t="s">
        <v>100</v>
      </c>
      <c r="E42" s="19" t="s">
        <v>197</v>
      </c>
      <c r="F42" s="19" t="s">
        <v>168</v>
      </c>
      <c r="G42" s="19" t="s">
        <v>150</v>
      </c>
      <c r="H42" s="19" t="s">
        <v>13</v>
      </c>
      <c r="I42" s="20" t="s">
        <v>198</v>
      </c>
      <c r="J42" s="20"/>
      <c r="K42" s="20"/>
      <c r="L42" s="19" t="s">
        <v>130</v>
      </c>
      <c r="M42" s="21">
        <v>100</v>
      </c>
      <c r="N42" s="18" t="s">
        <v>131</v>
      </c>
      <c r="O42" s="18"/>
      <c r="P42" s="20" t="s">
        <v>141</v>
      </c>
    </row>
    <row r="43" spans="1:16" ht="51" x14ac:dyDescent="0.2">
      <c r="A43" s="18" t="s">
        <v>8</v>
      </c>
      <c r="B43" s="19" t="s">
        <v>98</v>
      </c>
      <c r="C43" s="19" t="s">
        <v>9</v>
      </c>
      <c r="D43" s="19" t="s">
        <v>100</v>
      </c>
      <c r="E43" s="19" t="s">
        <v>13</v>
      </c>
      <c r="F43" s="19" t="s">
        <v>85</v>
      </c>
      <c r="G43" s="19" t="s">
        <v>150</v>
      </c>
      <c r="H43" s="19" t="s">
        <v>13</v>
      </c>
      <c r="I43" s="20" t="s">
        <v>178</v>
      </c>
      <c r="J43" s="20" t="s">
        <v>199</v>
      </c>
      <c r="K43" s="20"/>
      <c r="L43" s="19" t="s">
        <v>190</v>
      </c>
      <c r="M43" s="21">
        <v>12</v>
      </c>
      <c r="N43" s="18" t="s">
        <v>131</v>
      </c>
      <c r="O43" s="18" t="s">
        <v>200</v>
      </c>
      <c r="P43" s="20" t="s">
        <v>201</v>
      </c>
    </row>
    <row r="44" spans="1:16" ht="68" x14ac:dyDescent="0.2">
      <c r="A44" s="18" t="s">
        <v>8</v>
      </c>
      <c r="B44" s="19" t="s">
        <v>98</v>
      </c>
      <c r="C44" s="19" t="s">
        <v>9</v>
      </c>
      <c r="D44" s="19" t="s">
        <v>100</v>
      </c>
      <c r="E44" s="19" t="s">
        <v>13</v>
      </c>
      <c r="F44" s="19" t="s">
        <v>85</v>
      </c>
      <c r="G44" s="19" t="s">
        <v>150</v>
      </c>
      <c r="H44" s="19" t="s">
        <v>13</v>
      </c>
      <c r="I44" s="20" t="s">
        <v>202</v>
      </c>
      <c r="J44" s="20" t="s">
        <v>203</v>
      </c>
      <c r="K44" s="20"/>
      <c r="L44" s="19" t="s">
        <v>190</v>
      </c>
      <c r="M44" s="21">
        <v>40</v>
      </c>
      <c r="N44" s="18" t="s">
        <v>131</v>
      </c>
      <c r="O44" s="18" t="s">
        <v>200</v>
      </c>
      <c r="P44" s="20" t="s">
        <v>204</v>
      </c>
    </row>
    <row r="45" spans="1:16" s="56" customFormat="1" ht="68" x14ac:dyDescent="0.2">
      <c r="A45" s="52" t="s">
        <v>8</v>
      </c>
      <c r="B45" s="53" t="s">
        <v>98</v>
      </c>
      <c r="C45" s="53" t="s">
        <v>9</v>
      </c>
      <c r="D45" s="53" t="s">
        <v>100</v>
      </c>
      <c r="E45" s="19" t="s">
        <v>13</v>
      </c>
      <c r="F45" s="53" t="s">
        <v>85</v>
      </c>
      <c r="G45" s="19" t="s">
        <v>150</v>
      </c>
      <c r="H45" s="19" t="s">
        <v>13</v>
      </c>
      <c r="I45" s="54" t="s">
        <v>205</v>
      </c>
      <c r="J45" s="54" t="s">
        <v>206</v>
      </c>
      <c r="K45" s="20"/>
      <c r="L45" s="53" t="s">
        <v>190</v>
      </c>
      <c r="M45" s="55">
        <v>200</v>
      </c>
      <c r="N45" s="52" t="s">
        <v>131</v>
      </c>
      <c r="O45" s="52" t="s">
        <v>200</v>
      </c>
      <c r="P45" s="53" t="s">
        <v>283</v>
      </c>
    </row>
    <row r="46" spans="1:16" ht="34" x14ac:dyDescent="0.2">
      <c r="A46" s="18" t="s">
        <v>8</v>
      </c>
      <c r="B46" s="19" t="s">
        <v>98</v>
      </c>
      <c r="C46" s="19" t="s">
        <v>9</v>
      </c>
      <c r="D46" s="19" t="s">
        <v>100</v>
      </c>
      <c r="E46" s="19" t="s">
        <v>13</v>
      </c>
      <c r="F46" s="19" t="s">
        <v>85</v>
      </c>
      <c r="G46" s="19" t="s">
        <v>150</v>
      </c>
      <c r="H46" s="19" t="s">
        <v>13</v>
      </c>
      <c r="I46" s="20" t="s">
        <v>166</v>
      </c>
      <c r="J46" s="20" t="s">
        <v>167</v>
      </c>
      <c r="K46" s="20"/>
      <c r="L46" s="19" t="s">
        <v>190</v>
      </c>
      <c r="M46" s="34">
        <v>900</v>
      </c>
      <c r="N46" s="18" t="s">
        <v>131</v>
      </c>
      <c r="O46" s="52" t="s">
        <v>200</v>
      </c>
      <c r="P46" s="20" t="s">
        <v>207</v>
      </c>
    </row>
    <row r="47" spans="1:16" ht="34" x14ac:dyDescent="0.2">
      <c r="A47" s="18" t="s">
        <v>57</v>
      </c>
      <c r="B47" s="19" t="s">
        <v>98</v>
      </c>
      <c r="C47" s="19" t="s">
        <v>9</v>
      </c>
      <c r="D47" s="19" t="s">
        <v>100</v>
      </c>
      <c r="E47" s="19" t="s">
        <v>13</v>
      </c>
      <c r="F47" s="19" t="s">
        <v>85</v>
      </c>
      <c r="G47" s="19" t="s">
        <v>150</v>
      </c>
      <c r="H47" s="19" t="s">
        <v>13</v>
      </c>
      <c r="I47" s="20" t="s">
        <v>208</v>
      </c>
      <c r="J47" s="20" t="s">
        <v>209</v>
      </c>
      <c r="K47" s="20"/>
      <c r="L47" s="19" t="s">
        <v>130</v>
      </c>
      <c r="M47" s="21">
        <v>24</v>
      </c>
      <c r="N47" s="18" t="s">
        <v>131</v>
      </c>
      <c r="O47" s="18"/>
      <c r="P47" s="19"/>
    </row>
    <row r="48" spans="1:16" ht="17" x14ac:dyDescent="0.2">
      <c r="A48" s="18" t="s">
        <v>8</v>
      </c>
      <c r="B48" s="19" t="s">
        <v>98</v>
      </c>
      <c r="C48" s="19" t="s">
        <v>9</v>
      </c>
      <c r="D48" s="19" t="s">
        <v>100</v>
      </c>
      <c r="E48" s="19" t="s">
        <v>13</v>
      </c>
      <c r="F48" s="19" t="s">
        <v>85</v>
      </c>
      <c r="G48" s="19" t="s">
        <v>150</v>
      </c>
      <c r="H48" s="19" t="s">
        <v>13</v>
      </c>
      <c r="I48" s="20" t="s">
        <v>172</v>
      </c>
      <c r="J48" s="20" t="s">
        <v>173</v>
      </c>
      <c r="K48" s="20"/>
      <c r="L48" s="19" t="s">
        <v>190</v>
      </c>
      <c r="M48" s="21">
        <v>80</v>
      </c>
      <c r="N48" s="18" t="s">
        <v>131</v>
      </c>
      <c r="O48" s="52" t="s">
        <v>200</v>
      </c>
      <c r="P48" s="19"/>
    </row>
    <row r="49" spans="1:16" ht="51" x14ac:dyDescent="0.2">
      <c r="A49" s="18" t="s">
        <v>8</v>
      </c>
      <c r="B49" s="19" t="s">
        <v>98</v>
      </c>
      <c r="C49" s="19" t="s">
        <v>9</v>
      </c>
      <c r="D49" s="19" t="s">
        <v>100</v>
      </c>
      <c r="E49" s="19" t="s">
        <v>13</v>
      </c>
      <c r="F49" s="19" t="s">
        <v>85</v>
      </c>
      <c r="G49" s="19" t="s">
        <v>150</v>
      </c>
      <c r="H49" s="19" t="s">
        <v>13</v>
      </c>
      <c r="I49" s="20" t="s">
        <v>210</v>
      </c>
      <c r="J49" s="20" t="s">
        <v>211</v>
      </c>
      <c r="K49" s="20"/>
      <c r="L49" s="19" t="s">
        <v>190</v>
      </c>
      <c r="M49" s="21">
        <v>60</v>
      </c>
      <c r="N49" s="18" t="s">
        <v>131</v>
      </c>
      <c r="O49" s="52" t="s">
        <v>200</v>
      </c>
      <c r="P49" s="19"/>
    </row>
    <row r="50" spans="1:16" ht="51" x14ac:dyDescent="0.2">
      <c r="A50" s="18" t="s">
        <v>8</v>
      </c>
      <c r="B50" s="19" t="s">
        <v>98</v>
      </c>
      <c r="C50" s="19" t="s">
        <v>9</v>
      </c>
      <c r="D50" s="19" t="s">
        <v>100</v>
      </c>
      <c r="E50" s="19" t="s">
        <v>13</v>
      </c>
      <c r="F50" s="19" t="s">
        <v>85</v>
      </c>
      <c r="G50" s="19" t="s">
        <v>150</v>
      </c>
      <c r="H50" s="19" t="s">
        <v>13</v>
      </c>
      <c r="I50" s="20" t="s">
        <v>212</v>
      </c>
      <c r="J50" s="20" t="s">
        <v>213</v>
      </c>
      <c r="K50" s="20"/>
      <c r="L50" s="19" t="s">
        <v>130</v>
      </c>
      <c r="M50" s="21">
        <v>80</v>
      </c>
      <c r="N50" s="18" t="s">
        <v>131</v>
      </c>
      <c r="O50" s="18" t="s">
        <v>224</v>
      </c>
      <c r="P50" s="19"/>
    </row>
    <row r="51" spans="1:16" ht="34" x14ac:dyDescent="0.2">
      <c r="A51" s="18" t="s">
        <v>8</v>
      </c>
      <c r="B51" s="19" t="s">
        <v>98</v>
      </c>
      <c r="C51" s="19" t="s">
        <v>9</v>
      </c>
      <c r="D51" s="19" t="s">
        <v>100</v>
      </c>
      <c r="E51" s="19" t="s">
        <v>13</v>
      </c>
      <c r="F51" s="19" t="s">
        <v>85</v>
      </c>
      <c r="G51" s="19" t="s">
        <v>150</v>
      </c>
      <c r="H51" s="19" t="s">
        <v>13</v>
      </c>
      <c r="I51" s="20" t="s">
        <v>181</v>
      </c>
      <c r="J51" s="20" t="s">
        <v>182</v>
      </c>
      <c r="K51" s="20"/>
      <c r="L51" s="19" t="s">
        <v>130</v>
      </c>
      <c r="M51" s="21">
        <v>0</v>
      </c>
      <c r="N51" s="18" t="s">
        <v>131</v>
      </c>
      <c r="O51" s="18" t="s">
        <v>200</v>
      </c>
      <c r="P51" s="20" t="s">
        <v>214</v>
      </c>
    </row>
    <row r="52" spans="1:16" ht="17" x14ac:dyDescent="0.2">
      <c r="A52" s="18" t="s">
        <v>8</v>
      </c>
      <c r="B52" s="19" t="s">
        <v>98</v>
      </c>
      <c r="C52" s="19" t="s">
        <v>9</v>
      </c>
      <c r="D52" s="19" t="s">
        <v>100</v>
      </c>
      <c r="E52" s="19" t="s">
        <v>13</v>
      </c>
      <c r="F52" s="19" t="s">
        <v>85</v>
      </c>
      <c r="G52" s="19" t="s">
        <v>150</v>
      </c>
      <c r="H52" s="19" t="s">
        <v>13</v>
      </c>
      <c r="I52" s="20" t="s">
        <v>215</v>
      </c>
      <c r="J52" s="20" t="s">
        <v>216</v>
      </c>
      <c r="K52" s="20"/>
      <c r="L52" s="19" t="s">
        <v>130</v>
      </c>
      <c r="M52" s="21">
        <v>0</v>
      </c>
      <c r="N52" s="18" t="s">
        <v>131</v>
      </c>
      <c r="O52" s="18" t="s">
        <v>200</v>
      </c>
      <c r="P52" s="19" t="s">
        <v>217</v>
      </c>
    </row>
    <row r="53" spans="1:16" ht="17" x14ac:dyDescent="0.2">
      <c r="A53" s="18" t="s">
        <v>8</v>
      </c>
      <c r="B53" s="19" t="s">
        <v>98</v>
      </c>
      <c r="C53" s="19" t="s">
        <v>9</v>
      </c>
      <c r="D53" s="19" t="s">
        <v>100</v>
      </c>
      <c r="E53" s="19" t="s">
        <v>13</v>
      </c>
      <c r="F53" s="19" t="s">
        <v>85</v>
      </c>
      <c r="G53" s="19" t="s">
        <v>150</v>
      </c>
      <c r="H53" s="19" t="s">
        <v>13</v>
      </c>
      <c r="I53" s="20" t="s">
        <v>183</v>
      </c>
      <c r="J53" s="20" t="s">
        <v>184</v>
      </c>
      <c r="K53" s="20"/>
      <c r="L53" s="19" t="s">
        <v>190</v>
      </c>
      <c r="M53" s="21">
        <v>72</v>
      </c>
      <c r="N53" s="18" t="s">
        <v>131</v>
      </c>
      <c r="O53" s="18" t="s">
        <v>200</v>
      </c>
      <c r="P53" s="19"/>
    </row>
    <row r="54" spans="1:16" ht="34" x14ac:dyDescent="0.2">
      <c r="A54" s="18" t="s">
        <v>57</v>
      </c>
      <c r="B54" s="19" t="s">
        <v>98</v>
      </c>
      <c r="C54" s="19" t="s">
        <v>9</v>
      </c>
      <c r="D54" s="19" t="s">
        <v>100</v>
      </c>
      <c r="E54" s="19" t="s">
        <v>13</v>
      </c>
      <c r="F54" s="19" t="s">
        <v>85</v>
      </c>
      <c r="G54" s="19" t="s">
        <v>218</v>
      </c>
      <c r="H54" s="19" t="s">
        <v>13</v>
      </c>
      <c r="I54" s="20" t="s">
        <v>219</v>
      </c>
      <c r="J54" s="20" t="s">
        <v>220</v>
      </c>
      <c r="K54" s="20"/>
      <c r="L54" s="19" t="s">
        <v>130</v>
      </c>
      <c r="M54" s="21">
        <v>100</v>
      </c>
      <c r="N54" s="18" t="s">
        <v>131</v>
      </c>
      <c r="O54" s="18"/>
      <c r="P54" s="19"/>
    </row>
    <row r="55" spans="1:16" ht="68" x14ac:dyDescent="0.2">
      <c r="A55" s="18" t="s">
        <v>8</v>
      </c>
      <c r="B55" s="19" t="s">
        <v>98</v>
      </c>
      <c r="C55" s="19" t="s">
        <v>9</v>
      </c>
      <c r="D55" s="19" t="s">
        <v>100</v>
      </c>
      <c r="E55" s="19" t="s">
        <v>13</v>
      </c>
      <c r="F55" s="19" t="s">
        <v>85</v>
      </c>
      <c r="G55" s="19" t="s">
        <v>221</v>
      </c>
      <c r="H55" s="19" t="s">
        <v>13</v>
      </c>
      <c r="I55" s="20" t="s">
        <v>222</v>
      </c>
      <c r="J55" s="20" t="s">
        <v>223</v>
      </c>
      <c r="K55" s="20"/>
      <c r="L55" s="19" t="s">
        <v>130</v>
      </c>
      <c r="M55" s="21">
        <v>40</v>
      </c>
      <c r="N55" s="18" t="s">
        <v>131</v>
      </c>
      <c r="O55" s="18" t="s">
        <v>224</v>
      </c>
      <c r="P55" s="20" t="s">
        <v>284</v>
      </c>
    </row>
    <row r="56" spans="1:16" ht="17" x14ac:dyDescent="0.2">
      <c r="A56" s="18" t="s">
        <v>8</v>
      </c>
      <c r="B56" s="19" t="s">
        <v>98</v>
      </c>
      <c r="C56" s="19" t="s">
        <v>9</v>
      </c>
      <c r="D56" s="19" t="s">
        <v>100</v>
      </c>
      <c r="E56" s="19" t="s">
        <v>13</v>
      </c>
      <c r="F56" s="19" t="s">
        <v>85</v>
      </c>
      <c r="G56" s="19" t="s">
        <v>221</v>
      </c>
      <c r="H56" s="19" t="s">
        <v>13</v>
      </c>
      <c r="I56" s="20" t="s">
        <v>225</v>
      </c>
      <c r="J56" s="20" t="s">
        <v>164</v>
      </c>
      <c r="K56" s="20"/>
      <c r="L56" s="19" t="s">
        <v>130</v>
      </c>
      <c r="M56" s="21">
        <v>40</v>
      </c>
      <c r="N56" s="18" t="s">
        <v>131</v>
      </c>
      <c r="O56" s="18" t="s">
        <v>224</v>
      </c>
      <c r="P56" s="19"/>
    </row>
    <row r="57" spans="1:16" ht="51" x14ac:dyDescent="0.2">
      <c r="A57" s="18" t="s">
        <v>8</v>
      </c>
      <c r="B57" s="19" t="s">
        <v>98</v>
      </c>
      <c r="C57" s="19" t="s">
        <v>9</v>
      </c>
      <c r="D57" s="19" t="s">
        <v>100</v>
      </c>
      <c r="E57" s="19" t="s">
        <v>13</v>
      </c>
      <c r="F57" s="19" t="s">
        <v>168</v>
      </c>
      <c r="G57" s="19" t="s">
        <v>150</v>
      </c>
      <c r="H57" s="19" t="s">
        <v>56</v>
      </c>
      <c r="I57" s="20" t="s">
        <v>169</v>
      </c>
      <c r="J57" s="20" t="s">
        <v>226</v>
      </c>
      <c r="K57" s="20"/>
      <c r="L57" s="19" t="s">
        <v>105</v>
      </c>
      <c r="M57" s="21">
        <v>180</v>
      </c>
      <c r="N57" s="18" t="s">
        <v>131</v>
      </c>
      <c r="O57" s="18" t="s">
        <v>107</v>
      </c>
      <c r="P57" s="20" t="s">
        <v>227</v>
      </c>
    </row>
    <row r="58" spans="1:16" ht="34" x14ac:dyDescent="0.2">
      <c r="A58" s="18" t="s">
        <v>8</v>
      </c>
      <c r="B58" s="19" t="s">
        <v>98</v>
      </c>
      <c r="C58" s="19" t="s">
        <v>9</v>
      </c>
      <c r="D58" s="19" t="s">
        <v>127</v>
      </c>
      <c r="E58" s="19" t="s">
        <v>197</v>
      </c>
      <c r="F58" s="19" t="s">
        <v>149</v>
      </c>
      <c r="G58" s="19" t="s">
        <v>150</v>
      </c>
      <c r="H58" s="19" t="s">
        <v>56</v>
      </c>
      <c r="I58" s="20" t="s">
        <v>228</v>
      </c>
      <c r="J58" s="20" t="s">
        <v>229</v>
      </c>
      <c r="K58" s="20"/>
      <c r="L58" s="19" t="s">
        <v>190</v>
      </c>
      <c r="M58" s="21">
        <v>80</v>
      </c>
      <c r="N58" s="18" t="s">
        <v>131</v>
      </c>
      <c r="O58" s="18" t="s">
        <v>200</v>
      </c>
      <c r="P58" s="19" t="s">
        <v>285</v>
      </c>
    </row>
    <row r="59" spans="1:16" ht="34" x14ac:dyDescent="0.2">
      <c r="A59" s="18" t="s">
        <v>57</v>
      </c>
      <c r="B59" s="19" t="s">
        <v>98</v>
      </c>
      <c r="C59" s="19" t="s">
        <v>9</v>
      </c>
      <c r="D59" s="19" t="s">
        <v>127</v>
      </c>
      <c r="E59" s="19" t="s">
        <v>197</v>
      </c>
      <c r="F59" s="19" t="s">
        <v>149</v>
      </c>
      <c r="G59" s="19" t="s">
        <v>150</v>
      </c>
      <c r="H59" s="19" t="s">
        <v>56</v>
      </c>
      <c r="I59" s="20" t="s">
        <v>230</v>
      </c>
      <c r="J59" s="20" t="s">
        <v>231</v>
      </c>
      <c r="K59" s="20"/>
      <c r="L59" s="19" t="s">
        <v>130</v>
      </c>
      <c r="M59" s="21">
        <v>80</v>
      </c>
      <c r="N59" s="18" t="s">
        <v>131</v>
      </c>
      <c r="O59" s="18"/>
      <c r="P59" s="19"/>
    </row>
    <row r="60" spans="1:16" ht="17" x14ac:dyDescent="0.2">
      <c r="A60" s="18" t="s">
        <v>8</v>
      </c>
      <c r="B60" s="19" t="s">
        <v>98</v>
      </c>
      <c r="C60" s="19" t="s">
        <v>9</v>
      </c>
      <c r="D60" s="19" t="s">
        <v>127</v>
      </c>
      <c r="E60" s="19" t="s">
        <v>56</v>
      </c>
      <c r="F60" s="19" t="s">
        <v>149</v>
      </c>
      <c r="G60" s="19" t="s">
        <v>150</v>
      </c>
      <c r="H60" s="19" t="s">
        <v>56</v>
      </c>
      <c r="I60" s="20" t="s">
        <v>232</v>
      </c>
      <c r="J60" s="20" t="s">
        <v>164</v>
      </c>
      <c r="K60" s="20"/>
      <c r="L60" s="19" t="s">
        <v>130</v>
      </c>
      <c r="M60" s="21">
        <v>60</v>
      </c>
      <c r="N60" s="18" t="s">
        <v>131</v>
      </c>
      <c r="O60" s="18" t="s">
        <v>224</v>
      </c>
      <c r="P60" s="20" t="s">
        <v>233</v>
      </c>
    </row>
    <row r="61" spans="1:16" ht="34" x14ac:dyDescent="0.2">
      <c r="A61" s="18" t="s">
        <v>57</v>
      </c>
      <c r="B61" s="19" t="s">
        <v>98</v>
      </c>
      <c r="C61" s="19" t="s">
        <v>9</v>
      </c>
      <c r="D61" s="19" t="s">
        <v>127</v>
      </c>
      <c r="E61" s="19" t="s">
        <v>197</v>
      </c>
      <c r="F61" s="19" t="s">
        <v>85</v>
      </c>
      <c r="G61" s="19" t="s">
        <v>150</v>
      </c>
      <c r="H61" s="19" t="s">
        <v>56</v>
      </c>
      <c r="I61" s="20" t="s">
        <v>234</v>
      </c>
      <c r="J61" s="20" t="s">
        <v>235</v>
      </c>
      <c r="K61" s="19"/>
      <c r="L61" s="19" t="s">
        <v>299</v>
      </c>
      <c r="M61" s="21">
        <v>600</v>
      </c>
      <c r="N61" s="18" t="s">
        <v>131</v>
      </c>
      <c r="O61" s="18" t="s">
        <v>288</v>
      </c>
      <c r="P61" s="19" t="s">
        <v>236</v>
      </c>
    </row>
    <row r="62" spans="1:16" ht="17" x14ac:dyDescent="0.2">
      <c r="A62" s="18" t="s">
        <v>57</v>
      </c>
      <c r="B62" s="19" t="s">
        <v>98</v>
      </c>
      <c r="C62" s="19" t="s">
        <v>9</v>
      </c>
      <c r="D62" s="19" t="s">
        <v>127</v>
      </c>
      <c r="E62" s="19" t="s">
        <v>197</v>
      </c>
      <c r="F62" s="19" t="s">
        <v>149</v>
      </c>
      <c r="G62" s="19" t="s">
        <v>150</v>
      </c>
      <c r="H62" s="19" t="s">
        <v>56</v>
      </c>
      <c r="I62" s="20" t="s">
        <v>237</v>
      </c>
      <c r="J62" s="20" t="s">
        <v>237</v>
      </c>
      <c r="K62" s="19"/>
      <c r="L62" s="19" t="s">
        <v>130</v>
      </c>
      <c r="M62" s="21">
        <v>400</v>
      </c>
      <c r="N62" s="18" t="s">
        <v>131</v>
      </c>
      <c r="O62" s="18"/>
      <c r="P62" s="19"/>
    </row>
    <row r="63" spans="1:16" ht="17" x14ac:dyDescent="0.2">
      <c r="A63" s="18" t="s">
        <v>57</v>
      </c>
      <c r="B63" s="19" t="s">
        <v>98</v>
      </c>
      <c r="C63" s="19" t="s">
        <v>9</v>
      </c>
      <c r="D63" s="19" t="s">
        <v>127</v>
      </c>
      <c r="E63" s="19" t="s">
        <v>197</v>
      </c>
      <c r="F63" s="19" t="s">
        <v>149</v>
      </c>
      <c r="G63" s="19" t="s">
        <v>150</v>
      </c>
      <c r="H63" s="19" t="s">
        <v>56</v>
      </c>
      <c r="I63" s="20" t="s">
        <v>238</v>
      </c>
      <c r="J63" s="20"/>
      <c r="K63" s="19"/>
      <c r="L63" s="19" t="s">
        <v>130</v>
      </c>
      <c r="M63" s="21">
        <v>60</v>
      </c>
      <c r="N63" s="18" t="s">
        <v>131</v>
      </c>
      <c r="O63" s="18"/>
      <c r="P63" s="19"/>
    </row>
    <row r="64" spans="1:16" ht="34" x14ac:dyDescent="0.2">
      <c r="A64" s="18" t="s">
        <v>8</v>
      </c>
      <c r="B64" s="19" t="s">
        <v>98</v>
      </c>
      <c r="C64" s="19" t="s">
        <v>9</v>
      </c>
      <c r="D64" s="19" t="s">
        <v>100</v>
      </c>
      <c r="E64" s="19" t="s">
        <v>13</v>
      </c>
      <c r="F64" s="19" t="s">
        <v>168</v>
      </c>
      <c r="G64" s="19" t="s">
        <v>150</v>
      </c>
      <c r="H64" s="19" t="s">
        <v>13</v>
      </c>
      <c r="I64" s="20" t="s">
        <v>239</v>
      </c>
      <c r="J64" s="20"/>
      <c r="K64" s="19"/>
      <c r="L64" s="19" t="s">
        <v>190</v>
      </c>
      <c r="M64" s="21">
        <v>120</v>
      </c>
      <c r="N64" s="18" t="s">
        <v>131</v>
      </c>
      <c r="O64" s="18" t="s">
        <v>200</v>
      </c>
      <c r="P64" s="19" t="s">
        <v>240</v>
      </c>
    </row>
    <row r="65" spans="1:16" ht="17" x14ac:dyDescent="0.2">
      <c r="A65" s="18" t="s">
        <v>57</v>
      </c>
      <c r="B65" s="19" t="s">
        <v>98</v>
      </c>
      <c r="C65" s="19" t="s">
        <v>9</v>
      </c>
      <c r="D65" s="19" t="s">
        <v>100</v>
      </c>
      <c r="E65" s="19" t="s">
        <v>13</v>
      </c>
      <c r="F65" s="19" t="s">
        <v>168</v>
      </c>
      <c r="G65" s="19" t="s">
        <v>150</v>
      </c>
      <c r="H65" s="19" t="s">
        <v>13</v>
      </c>
      <c r="I65" s="20" t="s">
        <v>241</v>
      </c>
      <c r="J65" s="20"/>
      <c r="K65" s="19"/>
      <c r="L65" s="19" t="s">
        <v>130</v>
      </c>
      <c r="M65" s="21">
        <v>240</v>
      </c>
      <c r="N65" s="18" t="s">
        <v>131</v>
      </c>
      <c r="O65" s="18"/>
      <c r="P65" s="19"/>
    </row>
    <row r="66" spans="1:16" ht="17" x14ac:dyDescent="0.2">
      <c r="A66" s="18" t="s">
        <v>8</v>
      </c>
      <c r="B66" s="19" t="s">
        <v>98</v>
      </c>
      <c r="C66" s="19" t="s">
        <v>9</v>
      </c>
      <c r="D66" s="19" t="s">
        <v>100</v>
      </c>
      <c r="E66" s="19" t="s">
        <v>13</v>
      </c>
      <c r="F66" s="19" t="s">
        <v>168</v>
      </c>
      <c r="G66" s="19" t="s">
        <v>150</v>
      </c>
      <c r="H66" s="19" t="s">
        <v>13</v>
      </c>
      <c r="I66" s="20" t="s">
        <v>242</v>
      </c>
      <c r="J66" s="20"/>
      <c r="K66" s="19"/>
      <c r="L66" s="19" t="s">
        <v>130</v>
      </c>
      <c r="M66" s="21">
        <v>160</v>
      </c>
      <c r="N66" s="18" t="s">
        <v>131</v>
      </c>
      <c r="O66" s="52" t="s">
        <v>224</v>
      </c>
      <c r="P66" s="19"/>
    </row>
    <row r="67" spans="1:16" ht="17" x14ac:dyDescent="0.2">
      <c r="A67" s="18" t="s">
        <v>8</v>
      </c>
      <c r="B67" s="19" t="s">
        <v>98</v>
      </c>
      <c r="C67" s="19" t="s">
        <v>9</v>
      </c>
      <c r="D67" s="19" t="s">
        <v>127</v>
      </c>
      <c r="E67" s="19" t="s">
        <v>13</v>
      </c>
      <c r="F67" s="19" t="s">
        <v>149</v>
      </c>
      <c r="G67" s="19" t="s">
        <v>150</v>
      </c>
      <c r="H67" s="19" t="s">
        <v>13</v>
      </c>
      <c r="I67" s="20" t="s">
        <v>243</v>
      </c>
      <c r="J67" s="20" t="s">
        <v>243</v>
      </c>
      <c r="K67" s="19"/>
      <c r="L67" s="19" t="s">
        <v>130</v>
      </c>
      <c r="M67" s="21">
        <v>300</v>
      </c>
      <c r="N67" s="18" t="s">
        <v>131</v>
      </c>
      <c r="O67" s="52" t="s">
        <v>224</v>
      </c>
      <c r="P67" s="19"/>
    </row>
    <row r="68" spans="1:16" ht="68" x14ac:dyDescent="0.2">
      <c r="A68" s="18" t="s">
        <v>8</v>
      </c>
      <c r="B68" s="19" t="s">
        <v>153</v>
      </c>
      <c r="C68" s="19" t="s">
        <v>9</v>
      </c>
      <c r="D68" s="19" t="s">
        <v>148</v>
      </c>
      <c r="E68" s="19" t="s">
        <v>13</v>
      </c>
      <c r="F68" s="19" t="s">
        <v>149</v>
      </c>
      <c r="G68" s="19" t="s">
        <v>150</v>
      </c>
      <c r="H68" s="19" t="s">
        <v>13</v>
      </c>
      <c r="I68" s="20" t="s">
        <v>244</v>
      </c>
      <c r="J68" s="20"/>
      <c r="K68" s="19"/>
      <c r="L68" s="19" t="s">
        <v>200</v>
      </c>
      <c r="M68" s="21">
        <v>1800</v>
      </c>
      <c r="N68" s="18" t="s">
        <v>131</v>
      </c>
      <c r="O68" s="18" t="s">
        <v>200</v>
      </c>
      <c r="P68" s="20" t="s">
        <v>286</v>
      </c>
    </row>
    <row r="69" spans="1:16" s="56" customFormat="1" ht="102" x14ac:dyDescent="0.2">
      <c r="A69" s="52" t="s">
        <v>8</v>
      </c>
      <c r="B69" s="53" t="s">
        <v>245</v>
      </c>
      <c r="C69" s="53" t="s">
        <v>9</v>
      </c>
      <c r="D69" s="53" t="s">
        <v>148</v>
      </c>
      <c r="E69" s="19" t="s">
        <v>13</v>
      </c>
      <c r="F69" s="53" t="s">
        <v>149</v>
      </c>
      <c r="G69" s="19" t="s">
        <v>150</v>
      </c>
      <c r="H69" s="19" t="s">
        <v>13</v>
      </c>
      <c r="I69" s="54" t="s">
        <v>246</v>
      </c>
      <c r="J69" s="54"/>
      <c r="K69" s="35"/>
      <c r="L69" s="53" t="s">
        <v>190</v>
      </c>
      <c r="M69" s="55">
        <v>600</v>
      </c>
      <c r="N69" s="52" t="s">
        <v>131</v>
      </c>
      <c r="O69" s="52" t="s">
        <v>224</v>
      </c>
      <c r="P69" s="54" t="s">
        <v>287</v>
      </c>
    </row>
    <row r="70" spans="1:16" ht="17" thickBot="1" x14ac:dyDescent="0.25">
      <c r="A70" s="23"/>
      <c r="B70" s="24"/>
      <c r="C70" s="24"/>
      <c r="D70" s="24"/>
      <c r="E70" s="24"/>
      <c r="F70" s="24"/>
      <c r="G70" s="24"/>
      <c r="H70" s="24"/>
      <c r="I70" s="25"/>
      <c r="J70" s="25"/>
      <c r="K70" s="25"/>
      <c r="L70" s="24"/>
      <c r="M70" s="26">
        <f>SUM(M36:M69)</f>
        <v>7378</v>
      </c>
      <c r="N70" s="23"/>
      <c r="O70" s="23"/>
      <c r="P70" s="25"/>
    </row>
    <row r="71" spans="1:16" ht="17" thickTop="1" x14ac:dyDescent="0.25">
      <c r="G71" s="36"/>
      <c r="H71" s="36"/>
      <c r="I71" s="36"/>
      <c r="J71" s="37"/>
    </row>
    <row r="73" spans="1:16" ht="17" thickBot="1" x14ac:dyDescent="0.25">
      <c r="C73" s="101" t="s">
        <v>106</v>
      </c>
      <c r="D73" s="101"/>
      <c r="E73" s="101"/>
      <c r="G73" s="101" t="s">
        <v>131</v>
      </c>
      <c r="H73" s="101"/>
      <c r="I73" s="101"/>
    </row>
    <row r="74" spans="1:16" x14ac:dyDescent="0.2">
      <c r="C74" s="39" t="s">
        <v>247</v>
      </c>
      <c r="D74" s="39" t="s">
        <v>248</v>
      </c>
      <c r="E74" s="5" t="s">
        <v>86</v>
      </c>
      <c r="G74" s="39" t="s">
        <v>247</v>
      </c>
      <c r="H74" s="39" t="s">
        <v>248</v>
      </c>
      <c r="I74" s="5"/>
    </row>
    <row r="75" spans="1:16" x14ac:dyDescent="0.2">
      <c r="B75" s="5" t="s">
        <v>98</v>
      </c>
      <c r="C75" s="40">
        <f>SUMIFS(M2:M69,B2:B69,"Team-1",N2:N69,"Q3",C2:C69,"CS 1.0")</f>
        <v>1250</v>
      </c>
      <c r="D75" s="40">
        <f>SUMIFS(M2:M69,B2:B69,"Team-1",N2:N69,"Q3",C2:C69,"CS 2.0")</f>
        <v>2314</v>
      </c>
      <c r="E75" s="5">
        <f>SUM(C75:D75)</f>
        <v>3564</v>
      </c>
      <c r="F75" s="38">
        <f>E75/150/3</f>
        <v>7.9200000000000008</v>
      </c>
      <c r="G75" s="40">
        <f>SUMIFS(M2:M69,B2:B69,"Team-1",N2:N69,"Q4",C2:C69,"CS 1.0")</f>
        <v>820</v>
      </c>
      <c r="H75" s="40">
        <f>SUMIFS(M2:M69,B2:B69,"Team-1",N2:N69,"Q4",C2:C69,"CS 2.0",A2:A69,"Yes")</f>
        <v>3314</v>
      </c>
      <c r="I75" s="5">
        <f>SUM(G75:H75)</f>
        <v>4134</v>
      </c>
      <c r="J75" s="38">
        <f>I75/150/3</f>
        <v>9.1866666666666656</v>
      </c>
    </row>
    <row r="76" spans="1:16" x14ac:dyDescent="0.2">
      <c r="B76" s="5" t="s">
        <v>153</v>
      </c>
      <c r="C76" s="40">
        <f>SUMIFS(M2:M69,B2:B69,"Team-2",N2:N69,"Q3",C2:C69,"CS 1.0")</f>
        <v>0</v>
      </c>
      <c r="D76" s="40">
        <f>SUMIFS(M2:M69,B2:B69,"Team-2",N2:N69,"Q3",C2:C69,"CS 2.0")</f>
        <v>840</v>
      </c>
      <c r="E76" s="5">
        <f>SUM(C76:D76)</f>
        <v>840</v>
      </c>
      <c r="F76" s="38">
        <f>E76/150/3</f>
        <v>1.8666666666666665</v>
      </c>
      <c r="G76" s="40">
        <f>SUMIFS(M2:M69,B2:B69,"Team-2",N2:N69,"Q4",C2:C69,"CS 1.0")</f>
        <v>0</v>
      </c>
      <c r="H76" s="40">
        <f>SUMIFS(M2:M69,B2:B69,"Team-2",N2:N69,"Q4",C2:C69,"CS 2.0")</f>
        <v>1800</v>
      </c>
      <c r="I76" s="5">
        <f>SUM(G76:H76)</f>
        <v>1800</v>
      </c>
      <c r="J76" s="38">
        <f>I76/150/3</f>
        <v>4</v>
      </c>
    </row>
    <row r="77" spans="1:16" x14ac:dyDescent="0.2">
      <c r="B77" s="5" t="s">
        <v>245</v>
      </c>
      <c r="C77" s="40">
        <f>SUMIFS(M2:M69,B2:B69,"Team-3",N2:N69,"Q3",C2:C69,"CS 1.0")</f>
        <v>0</v>
      </c>
      <c r="D77" s="40">
        <f>SUMIFS(M2:M69,B2:B69,"Team-3",N2:N69,"Q3",C2:C69,"CS 2.0")</f>
        <v>0</v>
      </c>
      <c r="E77" s="5">
        <f>SUM(C77:D77)</f>
        <v>0</v>
      </c>
      <c r="G77" s="40">
        <f>SUMIFS(M2:M69,B2:B69,"Team-3",N2:N69,"Q4",C2:C69,"CS 1.0")</f>
        <v>0</v>
      </c>
      <c r="H77" s="40">
        <f>SUMIFS(M2:M69,B2:B69,"Team-3",N2:N69,"Q4",C2:C69,"CS 2.0")</f>
        <v>600</v>
      </c>
      <c r="I77" s="5">
        <f>SUM(G77:H77)</f>
        <v>600</v>
      </c>
      <c r="J77" s="38">
        <f>I77/150/3</f>
        <v>1.3333333333333333</v>
      </c>
    </row>
    <row r="78" spans="1:16" ht="17" thickBot="1" x14ac:dyDescent="0.25">
      <c r="C78" s="41">
        <f>SUM(C75:C77)</f>
        <v>1250</v>
      </c>
      <c r="D78" s="41">
        <f t="shared" ref="D78" si="0">SUM(D75:D77)</f>
        <v>3154</v>
      </c>
      <c r="E78" s="41">
        <f>SUM(C78:D78)</f>
        <v>4404</v>
      </c>
      <c r="G78" s="41">
        <f>SUM(G75:G77)</f>
        <v>820</v>
      </c>
      <c r="H78" s="41">
        <f>SUM(H75:H77)</f>
        <v>5714</v>
      </c>
      <c r="I78" s="41">
        <f>SUM(G78:H78)</f>
        <v>6534</v>
      </c>
    </row>
    <row r="79" spans="1:16" ht="17" thickTop="1" x14ac:dyDescent="0.2"/>
    <row r="82" spans="2:8" ht="17" thickBot="1" x14ac:dyDescent="0.25">
      <c r="C82" s="101" t="s">
        <v>106</v>
      </c>
      <c r="D82" s="101"/>
      <c r="E82" s="101"/>
    </row>
    <row r="83" spans="2:8" x14ac:dyDescent="0.2">
      <c r="C83" s="39" t="str">
        <f>C74</f>
        <v>CS1.0</v>
      </c>
      <c r="D83" s="39" t="str">
        <f>D74</f>
        <v>CS2.0</v>
      </c>
      <c r="E83" s="5" t="s">
        <v>86</v>
      </c>
      <c r="H83" s="5">
        <f>F74</f>
        <v>0</v>
      </c>
    </row>
    <row r="84" spans="2:8" x14ac:dyDescent="0.2">
      <c r="B84" s="5" t="s">
        <v>98</v>
      </c>
      <c r="C84" s="39">
        <f>C75</f>
        <v>1250</v>
      </c>
      <c r="D84" s="40">
        <v>1846</v>
      </c>
      <c r="E84" s="5">
        <v>3096</v>
      </c>
    </row>
    <row r="85" spans="2:8" x14ac:dyDescent="0.2">
      <c r="B85" s="5" t="s">
        <v>153</v>
      </c>
      <c r="C85" s="39">
        <f>C76</f>
        <v>0</v>
      </c>
      <c r="D85" s="40">
        <v>840</v>
      </c>
      <c r="E85" s="5">
        <v>840</v>
      </c>
    </row>
    <row r="86" spans="2:8" x14ac:dyDescent="0.2">
      <c r="B86" s="5" t="s">
        <v>245</v>
      </c>
      <c r="C86" s="39">
        <f>C77</f>
        <v>0</v>
      </c>
      <c r="D86" s="40">
        <v>0</v>
      </c>
      <c r="E86" s="5">
        <v>0</v>
      </c>
    </row>
    <row r="87" spans="2:8" ht="17" thickBot="1" x14ac:dyDescent="0.25">
      <c r="C87" s="39">
        <f>C78</f>
        <v>1250</v>
      </c>
      <c r="D87" s="41">
        <v>2686</v>
      </c>
      <c r="E87" s="41">
        <v>3936</v>
      </c>
    </row>
    <row r="88" spans="2:8" ht="18" thickTop="1" thickBot="1" x14ac:dyDescent="0.25">
      <c r="C88" s="101" t="s">
        <v>131</v>
      </c>
      <c r="D88" s="101"/>
      <c r="E88" s="101"/>
    </row>
    <row r="89" spans="2:8" x14ac:dyDescent="0.2">
      <c r="C89" s="42" t="str">
        <f t="shared" ref="C89:D91" si="1">G74</f>
        <v>CS1.0</v>
      </c>
      <c r="D89" s="42" t="str">
        <f t="shared" si="1"/>
        <v>CS2.0</v>
      </c>
      <c r="E89" s="43" t="s">
        <v>86</v>
      </c>
      <c r="F89" s="43"/>
      <c r="G89" s="43"/>
      <c r="H89" s="43" t="s">
        <v>86</v>
      </c>
    </row>
    <row r="90" spans="2:8" x14ac:dyDescent="0.2">
      <c r="C90" s="42">
        <f t="shared" si="1"/>
        <v>820</v>
      </c>
      <c r="D90" s="42">
        <f t="shared" si="1"/>
        <v>3314</v>
      </c>
      <c r="E90" s="5">
        <f>D90+C90</f>
        <v>4134</v>
      </c>
      <c r="H90" s="5">
        <f>D90+C90</f>
        <v>4134</v>
      </c>
    </row>
    <row r="91" spans="2:8" x14ac:dyDescent="0.2">
      <c r="C91" s="42">
        <f t="shared" si="1"/>
        <v>0</v>
      </c>
      <c r="D91" s="42">
        <f t="shared" si="1"/>
        <v>1800</v>
      </c>
      <c r="E91" s="5">
        <f>D91+C91</f>
        <v>1800</v>
      </c>
      <c r="H91" s="5">
        <f>D91+C91</f>
        <v>1800</v>
      </c>
    </row>
    <row r="92" spans="2:8" x14ac:dyDescent="0.2">
      <c r="C92" s="42">
        <f>SUM(C90:C91)</f>
        <v>820</v>
      </c>
      <c r="D92" s="42">
        <f>SUM(D90:D91)</f>
        <v>5114</v>
      </c>
      <c r="E92" s="43">
        <f>SUM(E90:E91)</f>
        <v>5934</v>
      </c>
      <c r="H92" s="43">
        <f>D92+C92</f>
        <v>5934</v>
      </c>
    </row>
    <row r="95" spans="2:8" x14ac:dyDescent="0.2">
      <c r="B95" s="19" t="s">
        <v>249</v>
      </c>
      <c r="C95" s="19">
        <v>7.25</v>
      </c>
    </row>
    <row r="96" spans="2:8" x14ac:dyDescent="0.2">
      <c r="B96" s="19" t="s">
        <v>250</v>
      </c>
      <c r="C96" s="19">
        <f>I119</f>
        <v>13.5</v>
      </c>
    </row>
    <row r="97" spans="2:12" x14ac:dyDescent="0.2">
      <c r="B97" s="19" t="s">
        <v>251</v>
      </c>
      <c r="C97" s="19">
        <f>C96*C95</f>
        <v>97.875</v>
      </c>
    </row>
    <row r="98" spans="2:12" x14ac:dyDescent="0.2">
      <c r="B98" s="19" t="s">
        <v>252</v>
      </c>
      <c r="C98" s="44">
        <f>E92/C97</f>
        <v>60.628352490421456</v>
      </c>
    </row>
    <row r="99" spans="2:12" x14ac:dyDescent="0.2">
      <c r="B99" s="19" t="s">
        <v>253</v>
      </c>
      <c r="C99" s="19">
        <v>22</v>
      </c>
    </row>
    <row r="100" spans="2:12" x14ac:dyDescent="0.2">
      <c r="B100" s="19" t="s">
        <v>254</v>
      </c>
      <c r="C100" s="19">
        <f>C98/C99</f>
        <v>2.7558342041100663</v>
      </c>
      <c r="K100" s="38"/>
      <c r="L100" s="38"/>
    </row>
    <row r="101" spans="2:12" x14ac:dyDescent="0.2">
      <c r="K101" s="38"/>
      <c r="L101" s="38"/>
    </row>
    <row r="102" spans="2:12" x14ac:dyDescent="0.2">
      <c r="K102" s="38"/>
      <c r="L102" s="38"/>
    </row>
    <row r="103" spans="2:12" x14ac:dyDescent="0.2">
      <c r="B103" s="45" t="s">
        <v>255</v>
      </c>
      <c r="C103" s="45" t="s">
        <v>256</v>
      </c>
      <c r="D103" s="45" t="s">
        <v>257</v>
      </c>
      <c r="E103" s="46" t="s">
        <v>258</v>
      </c>
      <c r="F103" s="45" t="s">
        <v>221</v>
      </c>
      <c r="G103" s="45" t="s">
        <v>259</v>
      </c>
      <c r="H103" s="45" t="s">
        <v>260</v>
      </c>
      <c r="I103" s="45" t="s">
        <v>112</v>
      </c>
      <c r="K103" s="38"/>
      <c r="L103" s="38"/>
    </row>
    <row r="104" spans="2:12" x14ac:dyDescent="0.2">
      <c r="B104" s="47" t="s">
        <v>261</v>
      </c>
      <c r="C104" s="48" t="s">
        <v>262</v>
      </c>
      <c r="D104" s="49">
        <v>37</v>
      </c>
      <c r="E104" s="50">
        <v>0.5</v>
      </c>
      <c r="F104" s="48"/>
      <c r="G104" s="51">
        <v>0.25</v>
      </c>
      <c r="H104" s="51"/>
      <c r="I104" s="48">
        <f t="shared" ref="I104:I118" si="2">SUM(F104:H104)</f>
        <v>0.25</v>
      </c>
      <c r="K104" s="38"/>
      <c r="L104" s="38"/>
    </row>
    <row r="105" spans="2:12" x14ac:dyDescent="0.2">
      <c r="B105" s="47" t="s">
        <v>263</v>
      </c>
      <c r="C105" s="48" t="s">
        <v>262</v>
      </c>
      <c r="D105" s="49">
        <v>37</v>
      </c>
      <c r="E105" s="50">
        <v>1</v>
      </c>
      <c r="F105" s="48"/>
      <c r="G105" s="51">
        <v>0</v>
      </c>
      <c r="H105" s="51">
        <v>1</v>
      </c>
      <c r="I105" s="48">
        <f t="shared" si="2"/>
        <v>1</v>
      </c>
      <c r="K105" s="38"/>
      <c r="L105" s="38"/>
    </row>
    <row r="106" spans="2:12" x14ac:dyDescent="0.2">
      <c r="B106" s="47" t="s">
        <v>264</v>
      </c>
      <c r="C106" s="48" t="s">
        <v>265</v>
      </c>
      <c r="D106" s="49">
        <v>37</v>
      </c>
      <c r="E106" s="50">
        <v>1</v>
      </c>
      <c r="F106" s="48"/>
      <c r="G106" s="51">
        <v>0.5</v>
      </c>
      <c r="H106" s="51">
        <v>0.5</v>
      </c>
      <c r="I106" s="48">
        <f t="shared" si="2"/>
        <v>1</v>
      </c>
      <c r="K106" s="38"/>
      <c r="L106" s="38"/>
    </row>
    <row r="107" spans="2:12" x14ac:dyDescent="0.2">
      <c r="B107" s="47" t="s">
        <v>266</v>
      </c>
      <c r="C107" s="48" t="s">
        <v>262</v>
      </c>
      <c r="D107" s="49">
        <v>37</v>
      </c>
      <c r="E107" s="50">
        <v>1</v>
      </c>
      <c r="F107" s="48"/>
      <c r="G107" s="51">
        <v>1</v>
      </c>
      <c r="H107" s="51"/>
      <c r="I107" s="48">
        <f t="shared" si="2"/>
        <v>1</v>
      </c>
      <c r="K107" s="38"/>
      <c r="L107" s="38"/>
    </row>
    <row r="108" spans="2:12" x14ac:dyDescent="0.2">
      <c r="B108" s="47" t="s">
        <v>267</v>
      </c>
      <c r="C108" s="48" t="s">
        <v>262</v>
      </c>
      <c r="D108" s="49">
        <v>37</v>
      </c>
      <c r="E108" s="50">
        <v>1</v>
      </c>
      <c r="F108" s="48"/>
      <c r="G108" s="51">
        <v>1</v>
      </c>
      <c r="H108" s="51"/>
      <c r="I108" s="48">
        <f t="shared" si="2"/>
        <v>1</v>
      </c>
      <c r="K108" s="38"/>
      <c r="L108" s="38"/>
    </row>
    <row r="109" spans="2:12" x14ac:dyDescent="0.2">
      <c r="B109" s="47" t="s">
        <v>145</v>
      </c>
      <c r="C109" s="48" t="s">
        <v>262</v>
      </c>
      <c r="D109" s="49">
        <v>37</v>
      </c>
      <c r="E109" s="50">
        <v>1</v>
      </c>
      <c r="F109" s="48"/>
      <c r="G109" s="51">
        <v>1</v>
      </c>
      <c r="H109" s="51"/>
      <c r="I109" s="48">
        <f t="shared" si="2"/>
        <v>1</v>
      </c>
      <c r="K109" s="38"/>
      <c r="L109" s="38"/>
    </row>
    <row r="110" spans="2:12" x14ac:dyDescent="0.2">
      <c r="B110" s="47" t="s">
        <v>268</v>
      </c>
      <c r="C110" s="48" t="s">
        <v>262</v>
      </c>
      <c r="D110" s="49">
        <v>37</v>
      </c>
      <c r="E110" s="50">
        <v>1</v>
      </c>
      <c r="F110" s="48"/>
      <c r="G110" s="51">
        <v>1</v>
      </c>
      <c r="H110" s="51"/>
      <c r="I110" s="48">
        <f t="shared" si="2"/>
        <v>1</v>
      </c>
      <c r="K110" s="38"/>
      <c r="L110" s="38"/>
    </row>
    <row r="111" spans="2:12" x14ac:dyDescent="0.2">
      <c r="B111" s="47" t="s">
        <v>269</v>
      </c>
      <c r="C111" s="48" t="s">
        <v>262</v>
      </c>
      <c r="D111" s="49">
        <v>37</v>
      </c>
      <c r="E111" s="50">
        <v>1</v>
      </c>
      <c r="F111" s="48"/>
      <c r="G111" s="51">
        <v>0.5</v>
      </c>
      <c r="H111" s="51">
        <v>0.5</v>
      </c>
      <c r="I111" s="48">
        <f t="shared" si="2"/>
        <v>1</v>
      </c>
      <c r="K111" s="38"/>
      <c r="L111" s="38"/>
    </row>
    <row r="112" spans="2:12" x14ac:dyDescent="0.2">
      <c r="B112" s="47" t="s">
        <v>270</v>
      </c>
      <c r="C112" s="48" t="s">
        <v>262</v>
      </c>
      <c r="D112" s="49">
        <v>37</v>
      </c>
      <c r="E112" s="50">
        <v>1</v>
      </c>
      <c r="F112" s="48"/>
      <c r="G112" s="51">
        <v>1</v>
      </c>
      <c r="H112" s="51"/>
      <c r="I112" s="48">
        <f t="shared" si="2"/>
        <v>1</v>
      </c>
      <c r="K112" s="38"/>
      <c r="L112" s="38"/>
    </row>
    <row r="113" spans="2:12" x14ac:dyDescent="0.2">
      <c r="B113" s="47" t="s">
        <v>271</v>
      </c>
      <c r="C113" s="48" t="s">
        <v>262</v>
      </c>
      <c r="D113" s="49">
        <v>37</v>
      </c>
      <c r="E113" s="50">
        <v>1</v>
      </c>
      <c r="F113" s="48"/>
      <c r="G113" s="51">
        <v>1</v>
      </c>
      <c r="H113" s="51"/>
      <c r="I113" s="48">
        <f t="shared" si="2"/>
        <v>1</v>
      </c>
      <c r="K113" s="38"/>
      <c r="L113" s="38"/>
    </row>
    <row r="114" spans="2:12" x14ac:dyDescent="0.2">
      <c r="B114" s="47" t="s">
        <v>272</v>
      </c>
      <c r="C114" s="48" t="s">
        <v>262</v>
      </c>
      <c r="D114" s="49">
        <v>37</v>
      </c>
      <c r="E114" s="50">
        <v>1</v>
      </c>
      <c r="F114" s="48"/>
      <c r="G114" s="51">
        <v>1</v>
      </c>
      <c r="H114" s="51"/>
      <c r="I114" s="48">
        <f t="shared" si="2"/>
        <v>1</v>
      </c>
      <c r="K114" s="38"/>
      <c r="L114" s="38"/>
    </row>
    <row r="115" spans="2:12" x14ac:dyDescent="0.2">
      <c r="B115" s="47" t="s">
        <v>273</v>
      </c>
      <c r="C115" s="48" t="s">
        <v>262</v>
      </c>
      <c r="D115" s="49">
        <v>37</v>
      </c>
      <c r="E115" s="50">
        <v>1</v>
      </c>
      <c r="F115" s="48">
        <v>0.25</v>
      </c>
      <c r="G115" s="48"/>
      <c r="H115" s="51"/>
      <c r="I115" s="48">
        <f t="shared" si="2"/>
        <v>0.25</v>
      </c>
      <c r="K115" s="38"/>
      <c r="L115" s="38"/>
    </row>
    <row r="116" spans="2:12" x14ac:dyDescent="0.2">
      <c r="B116" s="47" t="s">
        <v>274</v>
      </c>
      <c r="C116" s="48" t="s">
        <v>262</v>
      </c>
      <c r="D116" s="49">
        <v>37</v>
      </c>
      <c r="E116" s="50">
        <v>1</v>
      </c>
      <c r="F116" s="48">
        <v>0.75</v>
      </c>
      <c r="G116" s="48">
        <v>0.25</v>
      </c>
      <c r="H116" s="51"/>
      <c r="I116" s="48">
        <f t="shared" si="2"/>
        <v>1</v>
      </c>
      <c r="K116" s="38"/>
      <c r="L116" s="38"/>
    </row>
    <row r="117" spans="2:12" x14ac:dyDescent="0.2">
      <c r="B117" s="47" t="s">
        <v>275</v>
      </c>
      <c r="C117" s="48" t="s">
        <v>262</v>
      </c>
      <c r="D117" s="49">
        <v>37</v>
      </c>
      <c r="E117" s="50">
        <v>1</v>
      </c>
      <c r="F117" s="48"/>
      <c r="G117" s="48"/>
      <c r="H117" s="51">
        <v>1</v>
      </c>
      <c r="I117" s="48">
        <f t="shared" si="2"/>
        <v>1</v>
      </c>
      <c r="K117" s="38"/>
      <c r="L117" s="38"/>
    </row>
    <row r="118" spans="2:12" x14ac:dyDescent="0.2">
      <c r="B118" s="47" t="s">
        <v>276</v>
      </c>
      <c r="C118" s="48" t="s">
        <v>262</v>
      </c>
      <c r="D118" s="49">
        <v>37</v>
      </c>
      <c r="E118" s="50">
        <v>1</v>
      </c>
      <c r="F118" s="48"/>
      <c r="G118" s="48"/>
      <c r="H118" s="51">
        <v>1</v>
      </c>
      <c r="I118" s="48">
        <f t="shared" si="2"/>
        <v>1</v>
      </c>
      <c r="K118" s="38"/>
      <c r="L118" s="38"/>
    </row>
    <row r="119" spans="2:12" x14ac:dyDescent="0.2">
      <c r="B119" s="32"/>
      <c r="C119" s="32"/>
      <c r="D119" s="32"/>
      <c r="E119" s="32"/>
      <c r="F119" s="33">
        <f>SUM(F104:F118)</f>
        <v>1</v>
      </c>
      <c r="G119" s="33">
        <f>SUM(G104:G118)</f>
        <v>8.5</v>
      </c>
      <c r="H119" s="33">
        <f>SUM(H104:H118)</f>
        <v>4</v>
      </c>
      <c r="I119" s="33">
        <f>SUM(I104:I118)</f>
        <v>13.5</v>
      </c>
      <c r="K119" s="38"/>
      <c r="L119" s="38"/>
    </row>
    <row r="120" spans="2:12" x14ac:dyDescent="0.25">
      <c r="J120" s="37"/>
      <c r="K120" s="36"/>
      <c r="L120" s="36"/>
    </row>
    <row r="121" spans="2:12" x14ac:dyDescent="0.25">
      <c r="J121" s="37"/>
      <c r="K121" s="36"/>
      <c r="L121" s="36"/>
    </row>
  </sheetData>
  <mergeCells count="4">
    <mergeCell ref="C73:E73"/>
    <mergeCell ref="G73:I73"/>
    <mergeCell ref="C82:E82"/>
    <mergeCell ref="C88:E88"/>
  </mergeCells>
  <conditionalFormatting sqref="A1:P1 A22:P22">
    <cfRule type="expression" dxfId="11" priority="6">
      <formula>$F1="Completed"</formula>
    </cfRule>
    <cfRule type="expression" dxfId="10" priority="7">
      <formula>$F1="Not Started"</formula>
    </cfRule>
    <cfRule type="expression" dxfId="9" priority="8">
      <formula>$F1="In Progress"</formula>
    </cfRule>
  </conditionalFormatting>
  <conditionalFormatting sqref="A1:P70">
    <cfRule type="expression" dxfId="8" priority="9">
      <formula>$A1="No"</formula>
    </cfRule>
  </conditionalFormatting>
  <conditionalFormatting sqref="B95:C95">
    <cfRule type="expression" dxfId="7" priority="10">
      <formula>$A94="No"</formula>
    </cfRule>
  </conditionalFormatting>
  <conditionalFormatting sqref="B96:C96">
    <cfRule type="expression" dxfId="6" priority="11">
      <formula>$A97="No"</formula>
    </cfRule>
  </conditionalFormatting>
  <conditionalFormatting sqref="C88 C89:D91">
    <cfRule type="expression" dxfId="5" priority="3">
      <formula>$A82="No"</formula>
    </cfRule>
  </conditionalFormatting>
  <conditionalFormatting sqref="C92:E92">
    <cfRule type="expression" dxfId="4" priority="12">
      <formula>$A87="No"</formula>
    </cfRule>
  </conditionalFormatting>
  <conditionalFormatting sqref="E78">
    <cfRule type="expression" dxfId="3" priority="4">
      <formula>$A78="No"</formula>
    </cfRule>
  </conditionalFormatting>
  <conditionalFormatting sqref="E87">
    <cfRule type="expression" dxfId="2" priority="2">
      <formula>$A87="No"</formula>
    </cfRule>
  </conditionalFormatting>
  <conditionalFormatting sqref="F75:F76">
    <cfRule type="expression" dxfId="1" priority="1">
      <formula>$A75="No"</formula>
    </cfRule>
  </conditionalFormatting>
  <conditionalFormatting sqref="I78">
    <cfRule type="expression" dxfId="0" priority="5">
      <formula>$A78="No"</formula>
    </cfRule>
  </conditionalFormatting>
  <dataValidations count="1">
    <dataValidation type="list" allowBlank="1" showInputMessage="1" showErrorMessage="1" sqref="A2:A9 A11:A20 A36:A52 A23:A32 A34 A54:A70" xr:uid="{780A0690-B3B8-42E4-9039-3824984C12D7}">
      <formula1>"Yes,No"</formula1>
    </dataValidation>
  </dataValidations>
  <pageMargins left="0.7" right="0.7" top="0.75" bottom="0.75" header="0.3" footer="0.3"/>
  <pageSetup orientation="portrait" horizontalDpi="360" verticalDpi="36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
  <sheetViews>
    <sheetView topLeftCell="A49" zoomScale="115" zoomScaleNormal="115" workbookViewId="0">
      <selection activeCell="B1" sqref="B1:I67"/>
    </sheetView>
  </sheetViews>
  <sheetFormatPr baseColWidth="10" defaultColWidth="33.5" defaultRowHeight="15" x14ac:dyDescent="0.2"/>
  <cols>
    <col min="1" max="1" width="3.5" customWidth="1"/>
    <col min="2" max="2" width="8.5" style="2" bestFit="1" customWidth="1"/>
    <col min="3" max="3" width="7.5" style="2" bestFit="1" customWidth="1"/>
    <col min="4" max="4" width="13.83203125" style="2" bestFit="1" customWidth="1"/>
    <col min="5" max="5" width="18.83203125" style="2" bestFit="1" customWidth="1"/>
    <col min="6" max="6" width="13.1640625" style="2" hidden="1" customWidth="1"/>
    <col min="7" max="7" width="5.83203125" style="2" hidden="1" customWidth="1"/>
    <col min="8" max="8" width="57.5" style="2" customWidth="1"/>
    <col min="9" max="9" width="81.33203125" style="61" customWidth="1"/>
    <col min="10" max="10" width="3.5" bestFit="1" customWidth="1"/>
    <col min="11" max="11" width="5.1640625" bestFit="1" customWidth="1"/>
    <col min="12" max="12" width="23" bestFit="1" customWidth="1"/>
  </cols>
  <sheetData>
    <row r="1" spans="1:9" ht="16" x14ac:dyDescent="0.2">
      <c r="A1" s="62"/>
      <c r="B1" s="63" t="s">
        <v>0</v>
      </c>
      <c r="C1" s="63" t="s">
        <v>1</v>
      </c>
      <c r="D1" s="63" t="s">
        <v>2</v>
      </c>
      <c r="E1" s="63" t="s">
        <v>3</v>
      </c>
      <c r="F1" s="63" t="s">
        <v>277</v>
      </c>
      <c r="G1" s="63" t="s">
        <v>4</v>
      </c>
      <c r="H1" s="63" t="s">
        <v>5</v>
      </c>
      <c r="I1" s="64" t="s">
        <v>6</v>
      </c>
    </row>
    <row r="2" spans="1:9" s="60" customFormat="1" ht="16" x14ac:dyDescent="0.2">
      <c r="A2" s="65"/>
      <c r="B2" s="66" t="s">
        <v>13</v>
      </c>
      <c r="C2" s="66" t="s">
        <v>8</v>
      </c>
      <c r="D2" s="66" t="s">
        <v>99</v>
      </c>
      <c r="E2" s="66" t="s">
        <v>85</v>
      </c>
      <c r="F2" s="66" t="s">
        <v>279</v>
      </c>
      <c r="G2" s="66">
        <v>40</v>
      </c>
      <c r="H2" s="66" t="s">
        <v>294</v>
      </c>
      <c r="I2" s="67" t="s">
        <v>295</v>
      </c>
    </row>
    <row r="3" spans="1:9" s="60" customFormat="1" ht="16" x14ac:dyDescent="0.2">
      <c r="A3" s="65"/>
      <c r="B3" s="66" t="s">
        <v>13</v>
      </c>
      <c r="C3" s="66" t="s">
        <v>8</v>
      </c>
      <c r="D3" s="66" t="s">
        <v>99</v>
      </c>
      <c r="E3" s="66" t="s">
        <v>85</v>
      </c>
      <c r="F3" s="66" t="s">
        <v>279</v>
      </c>
      <c r="G3" s="66">
        <v>40</v>
      </c>
      <c r="H3" s="66" t="s">
        <v>137</v>
      </c>
      <c r="I3" s="67" t="s">
        <v>138</v>
      </c>
    </row>
    <row r="4" spans="1:9" s="60" customFormat="1" ht="16" x14ac:dyDescent="0.2">
      <c r="A4" s="65"/>
      <c r="B4" s="66" t="s">
        <v>13</v>
      </c>
      <c r="C4" s="66" t="s">
        <v>8</v>
      </c>
      <c r="D4" s="66" t="s">
        <v>99</v>
      </c>
      <c r="E4" s="66" t="s">
        <v>85</v>
      </c>
      <c r="F4" s="66" t="s">
        <v>279</v>
      </c>
      <c r="G4" s="66">
        <v>60</v>
      </c>
      <c r="H4" s="66" t="s">
        <v>140</v>
      </c>
      <c r="I4" s="67" t="s">
        <v>140</v>
      </c>
    </row>
    <row r="5" spans="1:9" s="60" customFormat="1" x14ac:dyDescent="0.2">
      <c r="A5" s="65"/>
      <c r="B5" s="66" t="s">
        <v>13</v>
      </c>
      <c r="C5" s="66" t="s">
        <v>8</v>
      </c>
      <c r="D5" s="66" t="s">
        <v>99</v>
      </c>
      <c r="E5" s="66" t="s">
        <v>149</v>
      </c>
      <c r="F5" s="66" t="s">
        <v>279</v>
      </c>
      <c r="G5" s="66">
        <v>200</v>
      </c>
      <c r="H5" s="66" t="s">
        <v>151</v>
      </c>
      <c r="I5" s="67"/>
    </row>
    <row r="6" spans="1:9" s="60" customFormat="1" x14ac:dyDescent="0.2">
      <c r="A6" s="65"/>
      <c r="B6" s="66" t="s">
        <v>13</v>
      </c>
      <c r="C6" s="66" t="s">
        <v>8</v>
      </c>
      <c r="D6" s="66" t="s">
        <v>9</v>
      </c>
      <c r="E6" s="66" t="s">
        <v>293</v>
      </c>
      <c r="F6" s="66" t="s">
        <v>279</v>
      </c>
      <c r="G6" s="66">
        <v>350</v>
      </c>
      <c r="H6" s="66" t="s">
        <v>297</v>
      </c>
      <c r="I6" s="68"/>
    </row>
    <row r="7" spans="1:9" s="60" customFormat="1" ht="48" x14ac:dyDescent="0.2">
      <c r="A7" s="65"/>
      <c r="B7" s="66" t="s">
        <v>13</v>
      </c>
      <c r="C7" s="66" t="s">
        <v>8</v>
      </c>
      <c r="D7" s="66" t="s">
        <v>9</v>
      </c>
      <c r="E7" s="66" t="s">
        <v>85</v>
      </c>
      <c r="F7" s="66" t="s">
        <v>279</v>
      </c>
      <c r="G7" s="66">
        <v>80</v>
      </c>
      <c r="H7" s="66" t="s">
        <v>212</v>
      </c>
      <c r="I7" s="67" t="s">
        <v>213</v>
      </c>
    </row>
    <row r="8" spans="1:9" s="60" customFormat="1" ht="16" x14ac:dyDescent="0.2">
      <c r="A8" s="65"/>
      <c r="B8" s="66" t="s">
        <v>13</v>
      </c>
      <c r="C8" s="66" t="s">
        <v>8</v>
      </c>
      <c r="D8" s="66" t="s">
        <v>9</v>
      </c>
      <c r="E8" s="66" t="s">
        <v>149</v>
      </c>
      <c r="F8" s="66" t="s">
        <v>279</v>
      </c>
      <c r="G8" s="66">
        <v>60</v>
      </c>
      <c r="H8" s="66" t="s">
        <v>232</v>
      </c>
      <c r="I8" s="67" t="s">
        <v>164</v>
      </c>
    </row>
    <row r="9" spans="1:9" s="60" customFormat="1" x14ac:dyDescent="0.2">
      <c r="A9" s="65"/>
      <c r="B9" s="66" t="s">
        <v>13</v>
      </c>
      <c r="C9" s="66" t="s">
        <v>8</v>
      </c>
      <c r="D9" s="66" t="s">
        <v>9</v>
      </c>
      <c r="E9" s="66" t="s">
        <v>168</v>
      </c>
      <c r="F9" s="66" t="s">
        <v>279</v>
      </c>
      <c r="G9" s="66">
        <v>160</v>
      </c>
      <c r="H9" s="66" t="s">
        <v>242</v>
      </c>
      <c r="I9" s="67"/>
    </row>
    <row r="10" spans="1:9" s="60" customFormat="1" ht="16" x14ac:dyDescent="0.2">
      <c r="A10" s="65"/>
      <c r="B10" s="66" t="s">
        <v>13</v>
      </c>
      <c r="C10" s="66" t="s">
        <v>8</v>
      </c>
      <c r="D10" s="66" t="s">
        <v>9</v>
      </c>
      <c r="E10" s="66" t="s">
        <v>149</v>
      </c>
      <c r="F10" s="66" t="s">
        <v>279</v>
      </c>
      <c r="G10" s="66">
        <v>300</v>
      </c>
      <c r="H10" s="66" t="s">
        <v>243</v>
      </c>
      <c r="I10" s="67" t="s">
        <v>243</v>
      </c>
    </row>
    <row r="11" spans="1:9" s="60" customFormat="1" x14ac:dyDescent="0.2">
      <c r="A11" s="65"/>
      <c r="B11" s="66" t="s">
        <v>13</v>
      </c>
      <c r="C11" s="66" t="s">
        <v>8</v>
      </c>
      <c r="D11" s="66" t="s">
        <v>9</v>
      </c>
      <c r="E11" s="66" t="s">
        <v>149</v>
      </c>
      <c r="F11" s="66" t="s">
        <v>279</v>
      </c>
      <c r="G11" s="66">
        <v>600</v>
      </c>
      <c r="H11" s="66" t="s">
        <v>246</v>
      </c>
      <c r="I11" s="67"/>
    </row>
    <row r="12" spans="1:9" s="60" customFormat="1" ht="48" x14ac:dyDescent="0.2">
      <c r="A12" s="65"/>
      <c r="B12" s="66" t="s">
        <v>13</v>
      </c>
      <c r="C12" s="66" t="s">
        <v>8</v>
      </c>
      <c r="D12" s="66" t="s">
        <v>9</v>
      </c>
      <c r="E12" s="66" t="s">
        <v>149</v>
      </c>
      <c r="F12" s="66" t="s">
        <v>280</v>
      </c>
      <c r="G12" s="66"/>
      <c r="H12" s="69" t="s">
        <v>309</v>
      </c>
      <c r="I12" s="69" t="s">
        <v>310</v>
      </c>
    </row>
    <row r="13" spans="1:9" s="60" customFormat="1" ht="48" x14ac:dyDescent="0.2">
      <c r="A13" s="65"/>
      <c r="B13" s="66" t="s">
        <v>13</v>
      </c>
      <c r="C13" s="66" t="s">
        <v>130</v>
      </c>
      <c r="D13" s="66" t="s">
        <v>9</v>
      </c>
      <c r="E13" s="66" t="s">
        <v>149</v>
      </c>
      <c r="F13" s="66" t="s">
        <v>337</v>
      </c>
      <c r="G13" s="66"/>
      <c r="H13" s="69" t="s">
        <v>311</v>
      </c>
      <c r="I13" s="69" t="s">
        <v>312</v>
      </c>
    </row>
    <row r="14" spans="1:9" s="60" customFormat="1" ht="48" x14ac:dyDescent="0.2">
      <c r="A14" s="65"/>
      <c r="B14" s="66" t="s">
        <v>13</v>
      </c>
      <c r="C14" s="66" t="s">
        <v>130</v>
      </c>
      <c r="D14" s="66" t="s">
        <v>9</v>
      </c>
      <c r="E14" s="66" t="s">
        <v>149</v>
      </c>
      <c r="F14" s="66" t="s">
        <v>337</v>
      </c>
      <c r="G14" s="66"/>
      <c r="H14" s="69" t="s">
        <v>313</v>
      </c>
      <c r="I14" s="69" t="s">
        <v>314</v>
      </c>
    </row>
    <row r="15" spans="1:9" s="60" customFormat="1" ht="48" x14ac:dyDescent="0.2">
      <c r="A15" s="65"/>
      <c r="B15" s="66" t="s">
        <v>13</v>
      </c>
      <c r="C15" s="66" t="s">
        <v>130</v>
      </c>
      <c r="D15" s="66" t="s">
        <v>9</v>
      </c>
      <c r="E15" s="66" t="s">
        <v>149</v>
      </c>
      <c r="F15" s="66" t="s">
        <v>337</v>
      </c>
      <c r="G15" s="66"/>
      <c r="H15" s="69" t="s">
        <v>315</v>
      </c>
      <c r="I15" s="69" t="s">
        <v>316</v>
      </c>
    </row>
    <row r="16" spans="1:9" s="60" customFormat="1" ht="48" x14ac:dyDescent="0.2">
      <c r="A16" s="65"/>
      <c r="B16" s="66" t="s">
        <v>13</v>
      </c>
      <c r="C16" s="66" t="s">
        <v>130</v>
      </c>
      <c r="D16" s="66" t="s">
        <v>9</v>
      </c>
      <c r="E16" s="66" t="s">
        <v>149</v>
      </c>
      <c r="F16" s="66" t="s">
        <v>337</v>
      </c>
      <c r="G16" s="66"/>
      <c r="H16" s="69" t="s">
        <v>317</v>
      </c>
      <c r="I16" s="69" t="s">
        <v>318</v>
      </c>
    </row>
    <row r="17" spans="1:9" s="60" customFormat="1" ht="48" x14ac:dyDescent="0.2">
      <c r="A17" s="65"/>
      <c r="B17" s="66" t="s">
        <v>13</v>
      </c>
      <c r="C17" s="66" t="s">
        <v>130</v>
      </c>
      <c r="D17" s="66" t="s">
        <v>9</v>
      </c>
      <c r="E17" s="66" t="s">
        <v>149</v>
      </c>
      <c r="F17" s="66" t="s">
        <v>337</v>
      </c>
      <c r="G17" s="66"/>
      <c r="H17" s="69" t="s">
        <v>319</v>
      </c>
      <c r="I17" s="69" t="s">
        <v>320</v>
      </c>
    </row>
    <row r="18" spans="1:9" s="60" customFormat="1" ht="48" x14ac:dyDescent="0.2">
      <c r="A18" s="65"/>
      <c r="B18" s="66" t="s">
        <v>13</v>
      </c>
      <c r="C18" s="66" t="s">
        <v>130</v>
      </c>
      <c r="D18" s="66" t="s">
        <v>9</v>
      </c>
      <c r="E18" s="66" t="s">
        <v>149</v>
      </c>
      <c r="F18" s="66" t="s">
        <v>337</v>
      </c>
      <c r="G18" s="66"/>
      <c r="H18" s="69" t="s">
        <v>321</v>
      </c>
      <c r="I18" s="69" t="s">
        <v>322</v>
      </c>
    </row>
    <row r="19" spans="1:9" s="60" customFormat="1" ht="48" x14ac:dyDescent="0.2">
      <c r="A19" s="65"/>
      <c r="B19" s="66" t="s">
        <v>13</v>
      </c>
      <c r="C19" s="66" t="s">
        <v>130</v>
      </c>
      <c r="D19" s="66" t="s">
        <v>9</v>
      </c>
      <c r="E19" s="66" t="s">
        <v>149</v>
      </c>
      <c r="F19" s="66" t="s">
        <v>337</v>
      </c>
      <c r="G19" s="66"/>
      <c r="H19" s="69" t="s">
        <v>325</v>
      </c>
      <c r="I19" s="69" t="s">
        <v>326</v>
      </c>
    </row>
    <row r="20" spans="1:9" s="60" customFormat="1" ht="16" x14ac:dyDescent="0.2">
      <c r="A20" s="65"/>
      <c r="B20" s="66" t="s">
        <v>13</v>
      </c>
      <c r="C20" s="66" t="s">
        <v>8</v>
      </c>
      <c r="D20" s="66" t="s">
        <v>336</v>
      </c>
      <c r="E20" s="66" t="s">
        <v>85</v>
      </c>
      <c r="F20" s="66" t="s">
        <v>279</v>
      </c>
      <c r="G20" s="66">
        <v>40</v>
      </c>
      <c r="H20" s="66" t="s">
        <v>222</v>
      </c>
      <c r="I20" s="67" t="s">
        <v>223</v>
      </c>
    </row>
    <row r="21" spans="1:9" s="60" customFormat="1" ht="16" x14ac:dyDescent="0.2">
      <c r="A21" s="65"/>
      <c r="B21" s="66" t="s">
        <v>13</v>
      </c>
      <c r="C21" s="66" t="s">
        <v>8</v>
      </c>
      <c r="D21" s="66" t="s">
        <v>336</v>
      </c>
      <c r="E21" s="66" t="s">
        <v>85</v>
      </c>
      <c r="F21" s="66" t="s">
        <v>279</v>
      </c>
      <c r="G21" s="66">
        <v>40</v>
      </c>
      <c r="H21" s="66" t="s">
        <v>225</v>
      </c>
      <c r="I21" s="67" t="s">
        <v>164</v>
      </c>
    </row>
    <row r="22" spans="1:9" s="60" customFormat="1" ht="48" x14ac:dyDescent="0.2">
      <c r="A22" s="65"/>
      <c r="B22" s="66" t="s">
        <v>13</v>
      </c>
      <c r="C22" s="66" t="s">
        <v>130</v>
      </c>
      <c r="D22" s="66" t="s">
        <v>336</v>
      </c>
      <c r="E22" s="66" t="s">
        <v>149</v>
      </c>
      <c r="F22" s="66" t="s">
        <v>337</v>
      </c>
      <c r="G22" s="66"/>
      <c r="H22" s="69" t="s">
        <v>323</v>
      </c>
      <c r="I22" s="69" t="s">
        <v>324</v>
      </c>
    </row>
    <row r="23" spans="1:9" s="60" customFormat="1" ht="48" x14ac:dyDescent="0.2">
      <c r="A23" s="65"/>
      <c r="B23" s="66" t="s">
        <v>7</v>
      </c>
      <c r="C23" s="66" t="s">
        <v>8</v>
      </c>
      <c r="D23" s="66" t="s">
        <v>335</v>
      </c>
      <c r="E23" s="66" t="s">
        <v>10</v>
      </c>
      <c r="F23" s="66" t="s">
        <v>278</v>
      </c>
      <c r="G23" s="66">
        <v>1680</v>
      </c>
      <c r="H23" s="66" t="s">
        <v>29</v>
      </c>
      <c r="I23" s="70" t="s">
        <v>30</v>
      </c>
    </row>
    <row r="24" spans="1:9" s="60" customFormat="1" ht="48" x14ac:dyDescent="0.2">
      <c r="A24" s="65"/>
      <c r="B24" s="66" t="s">
        <v>13</v>
      </c>
      <c r="C24" s="66" t="s">
        <v>8</v>
      </c>
      <c r="D24" s="66" t="s">
        <v>335</v>
      </c>
      <c r="E24" s="66" t="s">
        <v>10</v>
      </c>
      <c r="F24" s="66" t="s">
        <v>278</v>
      </c>
      <c r="G24" s="66">
        <v>160</v>
      </c>
      <c r="H24" s="67" t="s">
        <v>14</v>
      </c>
      <c r="I24" s="70" t="s">
        <v>15</v>
      </c>
    </row>
    <row r="25" spans="1:9" s="60" customFormat="1" ht="96" x14ac:dyDescent="0.2">
      <c r="A25" s="65"/>
      <c r="B25" s="66" t="s">
        <v>7</v>
      </c>
      <c r="C25" s="66" t="s">
        <v>8</v>
      </c>
      <c r="D25" s="66" t="s">
        <v>335</v>
      </c>
      <c r="E25" s="66" t="s">
        <v>10</v>
      </c>
      <c r="F25" s="66" t="s">
        <v>278</v>
      </c>
      <c r="G25" s="66">
        <v>600</v>
      </c>
      <c r="H25" s="67" t="s">
        <v>37</v>
      </c>
      <c r="I25" s="70" t="s">
        <v>38</v>
      </c>
    </row>
    <row r="26" spans="1:9" s="60" customFormat="1" ht="80" x14ac:dyDescent="0.2">
      <c r="A26" s="65"/>
      <c r="B26" s="66" t="s">
        <v>7</v>
      </c>
      <c r="C26" s="66" t="s">
        <v>8</v>
      </c>
      <c r="D26" s="66" t="s">
        <v>335</v>
      </c>
      <c r="E26" s="66" t="s">
        <v>51</v>
      </c>
      <c r="F26" s="66" t="s">
        <v>279</v>
      </c>
      <c r="G26" s="66">
        <v>600</v>
      </c>
      <c r="H26" s="66" t="s">
        <v>60</v>
      </c>
      <c r="I26" s="70" t="s">
        <v>61</v>
      </c>
    </row>
    <row r="27" spans="1:9" s="60" customFormat="1" ht="64" x14ac:dyDescent="0.2">
      <c r="A27" s="65"/>
      <c r="B27" s="66" t="s">
        <v>7</v>
      </c>
      <c r="C27" s="66" t="s">
        <v>8</v>
      </c>
      <c r="D27" s="66" t="s">
        <v>335</v>
      </c>
      <c r="E27" s="66" t="s">
        <v>51</v>
      </c>
      <c r="F27" s="66" t="s">
        <v>279</v>
      </c>
      <c r="G27" s="66">
        <v>600</v>
      </c>
      <c r="H27" s="67" t="s">
        <v>74</v>
      </c>
      <c r="I27" s="70" t="s">
        <v>75</v>
      </c>
    </row>
    <row r="28" spans="1:9" s="60" customFormat="1" ht="64" x14ac:dyDescent="0.2">
      <c r="A28" s="65"/>
      <c r="B28" s="66" t="s">
        <v>13</v>
      </c>
      <c r="C28" s="66" t="s">
        <v>8</v>
      </c>
      <c r="D28" s="66" t="s">
        <v>335</v>
      </c>
      <c r="E28" s="66" t="s">
        <v>10</v>
      </c>
      <c r="F28" s="66" t="s">
        <v>279</v>
      </c>
      <c r="G28" s="66">
        <v>220</v>
      </c>
      <c r="H28" s="67" t="s">
        <v>22</v>
      </c>
      <c r="I28" s="70" t="s">
        <v>23</v>
      </c>
    </row>
    <row r="29" spans="1:9" s="60" customFormat="1" ht="80" x14ac:dyDescent="0.2">
      <c r="A29" s="65"/>
      <c r="B29" s="66" t="s">
        <v>13</v>
      </c>
      <c r="C29" s="66" t="s">
        <v>8</v>
      </c>
      <c r="D29" s="66" t="s">
        <v>335</v>
      </c>
      <c r="E29" s="66" t="s">
        <v>10</v>
      </c>
      <c r="F29" s="66" t="s">
        <v>281</v>
      </c>
      <c r="G29" s="66">
        <v>600</v>
      </c>
      <c r="H29" s="67" t="s">
        <v>24</v>
      </c>
      <c r="I29" s="70" t="s">
        <v>25</v>
      </c>
    </row>
    <row r="30" spans="1:9" s="60" customFormat="1" ht="64" x14ac:dyDescent="0.2">
      <c r="A30" s="65"/>
      <c r="B30" s="66" t="s">
        <v>26</v>
      </c>
      <c r="C30" s="66" t="s">
        <v>8</v>
      </c>
      <c r="D30" s="66" t="s">
        <v>335</v>
      </c>
      <c r="E30" s="66" t="s">
        <v>10</v>
      </c>
      <c r="F30" s="66" t="s">
        <v>280</v>
      </c>
      <c r="G30" s="66">
        <v>240</v>
      </c>
      <c r="H30" s="67" t="s">
        <v>27</v>
      </c>
      <c r="I30" s="70" t="s">
        <v>28</v>
      </c>
    </row>
    <row r="31" spans="1:9" s="60" customFormat="1" ht="64" x14ac:dyDescent="0.2">
      <c r="A31" s="65"/>
      <c r="B31" s="66" t="s">
        <v>7</v>
      </c>
      <c r="C31" s="66" t="s">
        <v>8</v>
      </c>
      <c r="D31" s="66" t="s">
        <v>335</v>
      </c>
      <c r="E31" s="66" t="s">
        <v>10</v>
      </c>
      <c r="F31" s="66" t="s">
        <v>279</v>
      </c>
      <c r="G31" s="66">
        <v>320</v>
      </c>
      <c r="H31" s="66" t="s">
        <v>47</v>
      </c>
      <c r="I31" s="70" t="s">
        <v>48</v>
      </c>
    </row>
    <row r="32" spans="1:9" s="60" customFormat="1" ht="32" x14ac:dyDescent="0.2">
      <c r="A32" s="65"/>
      <c r="B32" s="66" t="s">
        <v>7</v>
      </c>
      <c r="C32" s="66" t="s">
        <v>8</v>
      </c>
      <c r="D32" s="66" t="s">
        <v>335</v>
      </c>
      <c r="E32" s="66" t="s">
        <v>10</v>
      </c>
      <c r="F32" s="66" t="s">
        <v>279</v>
      </c>
      <c r="G32" s="66">
        <v>220</v>
      </c>
      <c r="H32" s="67" t="s">
        <v>11</v>
      </c>
      <c r="I32" s="70" t="s">
        <v>12</v>
      </c>
    </row>
    <row r="33" spans="1:12" s="60" customFormat="1" ht="64" x14ac:dyDescent="0.2">
      <c r="A33" s="65"/>
      <c r="B33" s="66" t="s">
        <v>7</v>
      </c>
      <c r="C33" s="66" t="s">
        <v>8</v>
      </c>
      <c r="D33" s="66" t="s">
        <v>335</v>
      </c>
      <c r="E33" s="66" t="s">
        <v>10</v>
      </c>
      <c r="F33" s="66" t="s">
        <v>106</v>
      </c>
      <c r="G33" s="66">
        <v>220</v>
      </c>
      <c r="H33" s="66" t="s">
        <v>16</v>
      </c>
      <c r="I33" s="70" t="s">
        <v>17</v>
      </c>
    </row>
    <row r="34" spans="1:12" s="60" customFormat="1" ht="48" x14ac:dyDescent="0.2">
      <c r="A34" s="65"/>
      <c r="B34" s="66" t="s">
        <v>7</v>
      </c>
      <c r="C34" s="66" t="s">
        <v>8</v>
      </c>
      <c r="D34" s="66" t="s">
        <v>335</v>
      </c>
      <c r="E34" s="66" t="s">
        <v>51</v>
      </c>
      <c r="F34" s="66" t="s">
        <v>279</v>
      </c>
      <c r="G34" s="66">
        <v>180</v>
      </c>
      <c r="H34" s="66" t="s">
        <v>62</v>
      </c>
      <c r="I34" s="70" t="s">
        <v>63</v>
      </c>
    </row>
    <row r="35" spans="1:12" s="59" customFormat="1" ht="64" x14ac:dyDescent="0.2">
      <c r="A35" s="66"/>
      <c r="B35" s="66" t="s">
        <v>7</v>
      </c>
      <c r="C35" s="66" t="s">
        <v>8</v>
      </c>
      <c r="D35" s="66" t="s">
        <v>335</v>
      </c>
      <c r="E35" s="66" t="s">
        <v>51</v>
      </c>
      <c r="F35" s="66" t="s">
        <v>279</v>
      </c>
      <c r="G35" s="66">
        <v>160</v>
      </c>
      <c r="H35" s="67" t="s">
        <v>80</v>
      </c>
      <c r="I35" s="70" t="s">
        <v>81</v>
      </c>
      <c r="J35" s="60"/>
      <c r="K35" s="60"/>
      <c r="L35" s="60"/>
    </row>
    <row r="36" spans="1:12" s="60" customFormat="1" ht="64" x14ac:dyDescent="0.2">
      <c r="A36" s="65"/>
      <c r="B36" s="66" t="s">
        <v>7</v>
      </c>
      <c r="C36" s="66" t="s">
        <v>8</v>
      </c>
      <c r="D36" s="66" t="s">
        <v>335</v>
      </c>
      <c r="E36" s="66" t="s">
        <v>10</v>
      </c>
      <c r="F36" s="66" t="s">
        <v>278</v>
      </c>
      <c r="G36" s="66">
        <v>144</v>
      </c>
      <c r="H36" s="67" t="s">
        <v>35</v>
      </c>
      <c r="I36" s="70" t="s">
        <v>36</v>
      </c>
    </row>
    <row r="37" spans="1:12" s="60" customFormat="1" ht="48" x14ac:dyDescent="0.2">
      <c r="A37" s="65"/>
      <c r="B37" s="66" t="s">
        <v>7</v>
      </c>
      <c r="C37" s="66" t="s">
        <v>8</v>
      </c>
      <c r="D37" s="66" t="s">
        <v>335</v>
      </c>
      <c r="E37" s="66" t="s">
        <v>10</v>
      </c>
      <c r="F37" s="66" t="s">
        <v>278</v>
      </c>
      <c r="G37" s="66">
        <v>144</v>
      </c>
      <c r="H37" s="66" t="s">
        <v>45</v>
      </c>
      <c r="I37" s="70" t="s">
        <v>46</v>
      </c>
    </row>
    <row r="38" spans="1:12" s="60" customFormat="1" ht="80" x14ac:dyDescent="0.2">
      <c r="A38" s="65"/>
      <c r="B38" s="66" t="s">
        <v>7</v>
      </c>
      <c r="C38" s="66" t="s">
        <v>8</v>
      </c>
      <c r="D38" s="66" t="s">
        <v>335</v>
      </c>
      <c r="E38" s="66" t="s">
        <v>10</v>
      </c>
      <c r="F38" s="66" t="s">
        <v>279</v>
      </c>
      <c r="G38" s="66">
        <v>120</v>
      </c>
      <c r="H38" s="67" t="s">
        <v>39</v>
      </c>
      <c r="I38" s="70" t="s">
        <v>40</v>
      </c>
    </row>
    <row r="39" spans="1:12" s="60" customFormat="1" ht="64" x14ac:dyDescent="0.2">
      <c r="A39" s="65"/>
      <c r="B39" s="66" t="s">
        <v>7</v>
      </c>
      <c r="C39" s="66" t="s">
        <v>8</v>
      </c>
      <c r="D39" s="66" t="s">
        <v>335</v>
      </c>
      <c r="E39" s="66" t="s">
        <v>10</v>
      </c>
      <c r="F39" s="66" t="s">
        <v>278</v>
      </c>
      <c r="G39" s="66">
        <v>120</v>
      </c>
      <c r="H39" s="67" t="s">
        <v>41</v>
      </c>
      <c r="I39" s="70" t="s">
        <v>42</v>
      </c>
    </row>
    <row r="40" spans="1:12" s="60" customFormat="1" ht="32" x14ac:dyDescent="0.2">
      <c r="A40" s="65"/>
      <c r="B40" s="66" t="s">
        <v>7</v>
      </c>
      <c r="C40" s="66" t="s">
        <v>8</v>
      </c>
      <c r="D40" s="66" t="s">
        <v>335</v>
      </c>
      <c r="E40" s="66" t="s">
        <v>10</v>
      </c>
      <c r="F40" s="66" t="s">
        <v>279</v>
      </c>
      <c r="G40" s="66">
        <v>120</v>
      </c>
      <c r="H40" s="67" t="s">
        <v>49</v>
      </c>
      <c r="I40" s="70" t="s">
        <v>50</v>
      </c>
    </row>
    <row r="41" spans="1:12" s="60" customFormat="1" ht="64" x14ac:dyDescent="0.2">
      <c r="A41" s="65"/>
      <c r="B41" s="66" t="s">
        <v>7</v>
      </c>
      <c r="C41" s="66" t="s">
        <v>8</v>
      </c>
      <c r="D41" s="66" t="s">
        <v>335</v>
      </c>
      <c r="E41" s="66" t="s">
        <v>10</v>
      </c>
      <c r="F41" s="66" t="s">
        <v>106</v>
      </c>
      <c r="G41" s="66">
        <v>100</v>
      </c>
      <c r="H41" s="66" t="s">
        <v>18</v>
      </c>
      <c r="I41" s="70" t="s">
        <v>19</v>
      </c>
    </row>
    <row r="42" spans="1:12" s="60" customFormat="1" ht="64" x14ac:dyDescent="0.2">
      <c r="A42" s="65"/>
      <c r="B42" s="66" t="s">
        <v>13</v>
      </c>
      <c r="C42" s="66" t="s">
        <v>8</v>
      </c>
      <c r="D42" s="66" t="s">
        <v>335</v>
      </c>
      <c r="E42" s="66" t="s">
        <v>51</v>
      </c>
      <c r="F42" s="66" t="s">
        <v>280</v>
      </c>
      <c r="G42" s="66">
        <v>180</v>
      </c>
      <c r="H42" s="66" t="s">
        <v>52</v>
      </c>
      <c r="I42" s="70" t="s">
        <v>53</v>
      </c>
    </row>
    <row r="43" spans="1:12" s="60" customFormat="1" ht="80" x14ac:dyDescent="0.2">
      <c r="A43" s="65"/>
      <c r="B43" s="66" t="s">
        <v>13</v>
      </c>
      <c r="C43" s="66" t="s">
        <v>8</v>
      </c>
      <c r="D43" s="66" t="s">
        <v>335</v>
      </c>
      <c r="E43" s="66" t="s">
        <v>51</v>
      </c>
      <c r="F43" s="66" t="s">
        <v>280</v>
      </c>
      <c r="G43" s="66">
        <v>160</v>
      </c>
      <c r="H43" s="66" t="s">
        <v>54</v>
      </c>
      <c r="I43" s="70" t="s">
        <v>55</v>
      </c>
    </row>
    <row r="44" spans="1:12" s="60" customFormat="1" ht="64" x14ac:dyDescent="0.2">
      <c r="A44" s="65"/>
      <c r="B44" s="66" t="s">
        <v>56</v>
      </c>
      <c r="C44" s="66" t="s">
        <v>57</v>
      </c>
      <c r="D44" s="66" t="s">
        <v>335</v>
      </c>
      <c r="E44" s="66" t="s">
        <v>51</v>
      </c>
      <c r="F44" s="66" t="s">
        <v>106</v>
      </c>
      <c r="G44" s="66">
        <v>140</v>
      </c>
      <c r="H44" s="67" t="s">
        <v>58</v>
      </c>
      <c r="I44" s="70" t="s">
        <v>59</v>
      </c>
    </row>
    <row r="45" spans="1:12" s="60" customFormat="1" ht="48" x14ac:dyDescent="0.2">
      <c r="A45" s="65"/>
      <c r="B45" s="66" t="s">
        <v>7</v>
      </c>
      <c r="C45" s="66" t="s">
        <v>8</v>
      </c>
      <c r="D45" s="66" t="s">
        <v>335</v>
      </c>
      <c r="E45" s="66" t="s">
        <v>10</v>
      </c>
      <c r="F45" s="66" t="s">
        <v>279</v>
      </c>
      <c r="G45" s="66">
        <v>100</v>
      </c>
      <c r="H45" s="66" t="s">
        <v>43</v>
      </c>
      <c r="I45" s="70" t="s">
        <v>44</v>
      </c>
    </row>
    <row r="46" spans="1:12" s="60" customFormat="1" ht="64" x14ac:dyDescent="0.2">
      <c r="A46" s="65"/>
      <c r="B46" s="66" t="s">
        <v>7</v>
      </c>
      <c r="C46" s="66" t="s">
        <v>8</v>
      </c>
      <c r="D46" s="66" t="s">
        <v>335</v>
      </c>
      <c r="E46" s="66" t="s">
        <v>10</v>
      </c>
      <c r="F46" s="66" t="s">
        <v>279</v>
      </c>
      <c r="G46" s="66">
        <v>96</v>
      </c>
      <c r="H46" s="67" t="s">
        <v>33</v>
      </c>
      <c r="I46" s="70" t="s">
        <v>34</v>
      </c>
    </row>
    <row r="47" spans="1:12" s="60" customFormat="1" ht="64" x14ac:dyDescent="0.2">
      <c r="A47" s="65"/>
      <c r="B47" s="66" t="s">
        <v>13</v>
      </c>
      <c r="C47" s="66" t="s">
        <v>8</v>
      </c>
      <c r="D47" s="66" t="s">
        <v>335</v>
      </c>
      <c r="E47" s="66" t="s">
        <v>51</v>
      </c>
      <c r="F47" s="66" t="s">
        <v>279</v>
      </c>
      <c r="G47" s="66">
        <v>240</v>
      </c>
      <c r="H47" s="66" t="s">
        <v>64</v>
      </c>
      <c r="I47" s="70" t="s">
        <v>65</v>
      </c>
    </row>
    <row r="48" spans="1:12" s="60" customFormat="1" ht="48" x14ac:dyDescent="0.2">
      <c r="A48" s="65"/>
      <c r="B48" s="66" t="s">
        <v>13</v>
      </c>
      <c r="C48" s="66" t="s">
        <v>8</v>
      </c>
      <c r="D48" s="66" t="s">
        <v>335</v>
      </c>
      <c r="E48" s="66" t="s">
        <v>51</v>
      </c>
      <c r="F48" s="66" t="s">
        <v>280</v>
      </c>
      <c r="G48" s="66">
        <v>160</v>
      </c>
      <c r="H48" s="66" t="s">
        <v>66</v>
      </c>
      <c r="I48" s="70" t="s">
        <v>67</v>
      </c>
    </row>
    <row r="49" spans="1:12" s="60" customFormat="1" ht="96" x14ac:dyDescent="0.2">
      <c r="A49" s="65"/>
      <c r="B49" s="66" t="s">
        <v>13</v>
      </c>
      <c r="C49" s="66" t="s">
        <v>8</v>
      </c>
      <c r="D49" s="66" t="s">
        <v>335</v>
      </c>
      <c r="E49" s="66" t="s">
        <v>51</v>
      </c>
      <c r="F49" s="66" t="s">
        <v>280</v>
      </c>
      <c r="G49" s="66">
        <v>240</v>
      </c>
      <c r="H49" s="67" t="s">
        <v>68</v>
      </c>
      <c r="I49" s="70" t="s">
        <v>69</v>
      </c>
    </row>
    <row r="50" spans="1:12" s="60" customFormat="1" ht="64" x14ac:dyDescent="0.2">
      <c r="A50" s="65"/>
      <c r="B50" s="66" t="s">
        <v>56</v>
      </c>
      <c r="C50" s="66" t="s">
        <v>8</v>
      </c>
      <c r="D50" s="66" t="s">
        <v>335</v>
      </c>
      <c r="E50" s="66" t="s">
        <v>51</v>
      </c>
      <c r="F50" s="66" t="s">
        <v>106</v>
      </c>
      <c r="G50" s="66">
        <v>280</v>
      </c>
      <c r="H50" s="67" t="s">
        <v>70</v>
      </c>
      <c r="I50" s="70" t="s">
        <v>71</v>
      </c>
    </row>
    <row r="51" spans="1:12" s="60" customFormat="1" ht="64" x14ac:dyDescent="0.2">
      <c r="A51" s="65"/>
      <c r="B51" s="66" t="s">
        <v>13</v>
      </c>
      <c r="C51" s="66" t="s">
        <v>8</v>
      </c>
      <c r="D51" s="66" t="s">
        <v>335</v>
      </c>
      <c r="E51" s="66" t="s">
        <v>51</v>
      </c>
      <c r="F51" s="66" t="s">
        <v>280</v>
      </c>
      <c r="G51" s="66">
        <v>220</v>
      </c>
      <c r="H51" s="67" t="s">
        <v>72</v>
      </c>
      <c r="I51" s="70" t="s">
        <v>73</v>
      </c>
    </row>
    <row r="52" spans="1:12" s="60" customFormat="1" ht="48" x14ac:dyDescent="0.2">
      <c r="A52" s="65"/>
      <c r="B52" s="66" t="s">
        <v>7</v>
      </c>
      <c r="C52" s="66" t="s">
        <v>8</v>
      </c>
      <c r="D52" s="66" t="s">
        <v>335</v>
      </c>
      <c r="E52" s="66" t="s">
        <v>10</v>
      </c>
      <c r="F52" s="66" t="s">
        <v>278</v>
      </c>
      <c r="G52" s="66">
        <v>48</v>
      </c>
      <c r="H52" s="67" t="s">
        <v>31</v>
      </c>
      <c r="I52" s="70" t="s">
        <v>32</v>
      </c>
    </row>
    <row r="53" spans="1:12" s="60" customFormat="1" ht="48" x14ac:dyDescent="0.2">
      <c r="A53" s="65"/>
      <c r="B53" s="66" t="s">
        <v>13</v>
      </c>
      <c r="C53" s="66" t="s">
        <v>8</v>
      </c>
      <c r="D53" s="66" t="s">
        <v>335</v>
      </c>
      <c r="E53" s="66" t="s">
        <v>51</v>
      </c>
      <c r="F53" s="66" t="s">
        <v>280</v>
      </c>
      <c r="G53" s="66">
        <v>160</v>
      </c>
      <c r="H53" s="66" t="s">
        <v>76</v>
      </c>
      <c r="I53" s="70" t="s">
        <v>77</v>
      </c>
    </row>
    <row r="54" spans="1:12" s="60" customFormat="1" ht="64" x14ac:dyDescent="0.2">
      <c r="A54" s="65"/>
      <c r="B54" s="66" t="s">
        <v>56</v>
      </c>
      <c r="C54" s="66" t="s">
        <v>57</v>
      </c>
      <c r="D54" s="66" t="s">
        <v>335</v>
      </c>
      <c r="E54" s="66" t="s">
        <v>51</v>
      </c>
      <c r="F54" s="66" t="s">
        <v>106</v>
      </c>
      <c r="G54" s="66">
        <v>300</v>
      </c>
      <c r="H54" s="66" t="s">
        <v>78</v>
      </c>
      <c r="I54" s="70" t="s">
        <v>79</v>
      </c>
    </row>
    <row r="55" spans="1:12" s="60" customFormat="1" ht="64" x14ac:dyDescent="0.2">
      <c r="A55" s="65"/>
      <c r="B55" s="66" t="s">
        <v>7</v>
      </c>
      <c r="C55" s="66" t="s">
        <v>8</v>
      </c>
      <c r="D55" s="66" t="s">
        <v>335</v>
      </c>
      <c r="E55" s="66" t="s">
        <v>10</v>
      </c>
      <c r="F55" s="66" t="s">
        <v>280</v>
      </c>
      <c r="G55" s="66">
        <v>40</v>
      </c>
      <c r="H55" s="66" t="s">
        <v>20</v>
      </c>
      <c r="I55" s="70" t="s">
        <v>21</v>
      </c>
    </row>
    <row r="56" spans="1:12" s="60" customFormat="1" ht="16" x14ac:dyDescent="0.2">
      <c r="A56" s="65"/>
      <c r="B56" s="66" t="s">
        <v>13</v>
      </c>
      <c r="C56" s="66" t="s">
        <v>8</v>
      </c>
      <c r="D56" s="66" t="s">
        <v>308</v>
      </c>
      <c r="E56" s="66" t="s">
        <v>293</v>
      </c>
      <c r="F56" s="66"/>
      <c r="G56" s="66"/>
      <c r="H56" s="66" t="s">
        <v>228</v>
      </c>
      <c r="I56" s="67" t="s">
        <v>229</v>
      </c>
      <c r="J56" s="59" t="s">
        <v>131</v>
      </c>
      <c r="K56" s="59" t="s">
        <v>200</v>
      </c>
      <c r="L56" s="59" t="s">
        <v>285</v>
      </c>
    </row>
    <row r="57" spans="1:12" s="60" customFormat="1" x14ac:dyDescent="0.2">
      <c r="A57" s="65"/>
      <c r="B57" s="66" t="s">
        <v>13</v>
      </c>
      <c r="C57" s="66" t="s">
        <v>8</v>
      </c>
      <c r="D57" s="66" t="s">
        <v>308</v>
      </c>
      <c r="E57" s="66" t="s">
        <v>293</v>
      </c>
      <c r="F57" s="66"/>
      <c r="G57" s="66"/>
      <c r="H57" s="66" t="s">
        <v>338</v>
      </c>
      <c r="I57" s="68"/>
    </row>
    <row r="58" spans="1:12" s="60" customFormat="1" ht="16" x14ac:dyDescent="0.2">
      <c r="A58" s="65"/>
      <c r="B58" s="66" t="s">
        <v>13</v>
      </c>
      <c r="C58" s="66" t="s">
        <v>8</v>
      </c>
      <c r="D58" s="66" t="s">
        <v>308</v>
      </c>
      <c r="E58" s="66" t="s">
        <v>149</v>
      </c>
      <c r="F58" s="66"/>
      <c r="G58" s="66"/>
      <c r="H58" s="66" t="s">
        <v>300</v>
      </c>
      <c r="I58" s="67" t="s">
        <v>301</v>
      </c>
    </row>
    <row r="59" spans="1:12" s="60" customFormat="1" ht="16" x14ac:dyDescent="0.2">
      <c r="A59" s="65"/>
      <c r="B59" s="66" t="s">
        <v>13</v>
      </c>
      <c r="C59" s="66" t="s">
        <v>8</v>
      </c>
      <c r="D59" s="66" t="s">
        <v>308</v>
      </c>
      <c r="E59" s="66" t="s">
        <v>149</v>
      </c>
      <c r="F59" s="66"/>
      <c r="G59" s="66"/>
      <c r="H59" s="66" t="s">
        <v>300</v>
      </c>
      <c r="I59" s="67" t="s">
        <v>302</v>
      </c>
    </row>
    <row r="60" spans="1:12" s="60" customFormat="1" ht="16" x14ac:dyDescent="0.2">
      <c r="A60" s="65"/>
      <c r="B60" s="66" t="s">
        <v>13</v>
      </c>
      <c r="C60" s="66" t="s">
        <v>8</v>
      </c>
      <c r="D60" s="66" t="s">
        <v>308</v>
      </c>
      <c r="E60" s="66" t="s">
        <v>149</v>
      </c>
      <c r="F60" s="66"/>
      <c r="G60" s="66"/>
      <c r="H60" s="66" t="s">
        <v>300</v>
      </c>
      <c r="I60" s="67" t="s">
        <v>303</v>
      </c>
    </row>
    <row r="61" spans="1:12" s="60" customFormat="1" ht="16" x14ac:dyDescent="0.2">
      <c r="A61" s="65"/>
      <c r="B61" s="66" t="s">
        <v>13</v>
      </c>
      <c r="C61" s="66" t="s">
        <v>8</v>
      </c>
      <c r="D61" s="66" t="s">
        <v>308</v>
      </c>
      <c r="E61" s="66" t="s">
        <v>149</v>
      </c>
      <c r="F61" s="66"/>
      <c r="G61" s="66"/>
      <c r="H61" s="66" t="s">
        <v>304</v>
      </c>
      <c r="I61" s="67" t="s">
        <v>305</v>
      </c>
    </row>
    <row r="62" spans="1:12" s="60" customFormat="1" ht="16" x14ac:dyDescent="0.2">
      <c r="A62" s="65"/>
      <c r="B62" s="66" t="s">
        <v>13</v>
      </c>
      <c r="C62" s="66" t="s">
        <v>8</v>
      </c>
      <c r="D62" s="66" t="s">
        <v>308</v>
      </c>
      <c r="E62" s="66" t="s">
        <v>149</v>
      </c>
      <c r="F62" s="66"/>
      <c r="G62" s="66"/>
      <c r="H62" s="66" t="s">
        <v>304</v>
      </c>
      <c r="I62" s="67" t="s">
        <v>306</v>
      </c>
    </row>
    <row r="63" spans="1:12" s="60" customFormat="1" ht="16" x14ac:dyDescent="0.2">
      <c r="A63" s="65"/>
      <c r="B63" s="66" t="s">
        <v>13</v>
      </c>
      <c r="C63" s="66" t="s">
        <v>8</v>
      </c>
      <c r="D63" s="66" t="s">
        <v>308</v>
      </c>
      <c r="E63" s="66" t="s">
        <v>149</v>
      </c>
      <c r="F63" s="66"/>
      <c r="G63" s="66"/>
      <c r="H63" s="66" t="s">
        <v>304</v>
      </c>
      <c r="I63" s="67" t="s">
        <v>307</v>
      </c>
    </row>
    <row r="64" spans="1:12" s="60" customFormat="1" ht="32" x14ac:dyDescent="0.2">
      <c r="A64" s="65"/>
      <c r="B64" s="66" t="s">
        <v>13</v>
      </c>
      <c r="C64" s="66" t="s">
        <v>8</v>
      </c>
      <c r="D64" s="66" t="s">
        <v>308</v>
      </c>
      <c r="E64" s="66" t="s">
        <v>149</v>
      </c>
      <c r="F64" s="66" t="s">
        <v>337</v>
      </c>
      <c r="G64" s="66"/>
      <c r="H64" s="69" t="s">
        <v>327</v>
      </c>
      <c r="I64" s="69" t="s">
        <v>328</v>
      </c>
    </row>
    <row r="65" spans="1:9" s="60" customFormat="1" ht="32" x14ac:dyDescent="0.2">
      <c r="A65" s="65"/>
      <c r="B65" s="66" t="s">
        <v>13</v>
      </c>
      <c r="C65" s="66" t="s">
        <v>8</v>
      </c>
      <c r="D65" s="66" t="s">
        <v>308</v>
      </c>
      <c r="E65" s="66" t="s">
        <v>149</v>
      </c>
      <c r="F65" s="66" t="s">
        <v>337</v>
      </c>
      <c r="G65" s="66"/>
      <c r="H65" s="69" t="s">
        <v>329</v>
      </c>
      <c r="I65" s="69" t="s">
        <v>330</v>
      </c>
    </row>
    <row r="66" spans="1:9" s="60" customFormat="1" ht="32" x14ac:dyDescent="0.2">
      <c r="A66" s="65"/>
      <c r="B66" s="66" t="s">
        <v>13</v>
      </c>
      <c r="C66" s="66" t="s">
        <v>8</v>
      </c>
      <c r="D66" s="66" t="s">
        <v>308</v>
      </c>
      <c r="E66" s="66" t="s">
        <v>149</v>
      </c>
      <c r="F66" s="66" t="s">
        <v>337</v>
      </c>
      <c r="G66" s="66"/>
      <c r="H66" s="69" t="s">
        <v>331</v>
      </c>
      <c r="I66" s="69" t="s">
        <v>332</v>
      </c>
    </row>
    <row r="67" spans="1:9" s="60" customFormat="1" ht="32" x14ac:dyDescent="0.2">
      <c r="A67" s="65"/>
      <c r="B67" s="66" t="s">
        <v>13</v>
      </c>
      <c r="C67" s="66" t="s">
        <v>8</v>
      </c>
      <c r="D67" s="66" t="s">
        <v>308</v>
      </c>
      <c r="E67" s="66" t="s">
        <v>149</v>
      </c>
      <c r="F67" s="66" t="s">
        <v>337</v>
      </c>
      <c r="G67" s="66"/>
      <c r="H67" s="69" t="s">
        <v>333</v>
      </c>
      <c r="I67" s="69" t="s">
        <v>334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A1FD-71E2-444A-998F-ADA76BA68B49}">
  <dimension ref="A1:F13"/>
  <sheetViews>
    <sheetView zoomScale="152" zoomScaleNormal="235" workbookViewId="0">
      <selection activeCell="B3" sqref="B3"/>
    </sheetView>
  </sheetViews>
  <sheetFormatPr baseColWidth="10" defaultColWidth="8.83203125" defaultRowHeight="15" x14ac:dyDescent="0.2"/>
  <cols>
    <col min="1" max="1" width="26.1640625" bestFit="1" customWidth="1"/>
    <col min="2" max="2" width="65.1640625" bestFit="1" customWidth="1"/>
    <col min="3" max="3" width="11.1640625" bestFit="1" customWidth="1"/>
    <col min="4" max="4" width="11.5" bestFit="1" customWidth="1"/>
    <col min="5" max="5" width="9.5" bestFit="1" customWidth="1"/>
  </cols>
  <sheetData>
    <row r="1" spans="1:6" x14ac:dyDescent="0.2">
      <c r="A1" s="79" t="s">
        <v>3</v>
      </c>
      <c r="B1" s="79" t="s">
        <v>525</v>
      </c>
      <c r="C1" s="79" t="s">
        <v>82</v>
      </c>
      <c r="D1" s="79" t="s">
        <v>83</v>
      </c>
      <c r="E1" s="80" t="s">
        <v>4</v>
      </c>
      <c r="F1" s="79" t="s">
        <v>578</v>
      </c>
    </row>
    <row r="2" spans="1:6" ht="16" x14ac:dyDescent="0.2">
      <c r="A2" s="81" t="s">
        <v>526</v>
      </c>
      <c r="B2" s="82" t="s">
        <v>527</v>
      </c>
      <c r="C2" s="82" t="s">
        <v>528</v>
      </c>
      <c r="D2" s="83">
        <v>140000</v>
      </c>
      <c r="E2" s="84">
        <v>4000</v>
      </c>
      <c r="F2" s="85">
        <v>0.4</v>
      </c>
    </row>
    <row r="3" spans="1:6" ht="16" x14ac:dyDescent="0.2">
      <c r="A3" s="81" t="s">
        <v>526</v>
      </c>
      <c r="B3" s="82" t="s">
        <v>529</v>
      </c>
      <c r="C3" s="82" t="s">
        <v>528</v>
      </c>
      <c r="D3" s="83">
        <v>105000</v>
      </c>
      <c r="E3" s="84">
        <v>3000</v>
      </c>
      <c r="F3" s="85">
        <v>0.4</v>
      </c>
    </row>
    <row r="4" spans="1:6" ht="16" x14ac:dyDescent="0.2">
      <c r="A4" s="81" t="s">
        <v>526</v>
      </c>
      <c r="B4" s="82" t="s">
        <v>530</v>
      </c>
      <c r="C4" s="82" t="s">
        <v>528</v>
      </c>
      <c r="D4" s="83">
        <v>111300</v>
      </c>
      <c r="E4" s="84">
        <v>3180</v>
      </c>
      <c r="F4" s="85">
        <v>0.6</v>
      </c>
    </row>
    <row r="5" spans="1:6" ht="16" x14ac:dyDescent="0.2">
      <c r="A5" s="81" t="s">
        <v>526</v>
      </c>
      <c r="B5" s="82" t="s">
        <v>531</v>
      </c>
      <c r="C5" s="82" t="s">
        <v>532</v>
      </c>
      <c r="D5" s="86">
        <v>185220</v>
      </c>
      <c r="E5" s="84">
        <v>5292</v>
      </c>
      <c r="F5" s="85">
        <v>0.6</v>
      </c>
    </row>
    <row r="6" spans="1:6" ht="16" x14ac:dyDescent="0.2">
      <c r="A6" s="81" t="s">
        <v>526</v>
      </c>
      <c r="B6" s="82" t="s">
        <v>533</v>
      </c>
      <c r="C6" s="82" t="s">
        <v>532</v>
      </c>
      <c r="D6" s="86">
        <v>48100</v>
      </c>
      <c r="E6" s="84">
        <v>1374.2857142857142</v>
      </c>
      <c r="F6" s="85">
        <v>0.6</v>
      </c>
    </row>
    <row r="7" spans="1:6" x14ac:dyDescent="0.2">
      <c r="A7" s="87"/>
      <c r="B7" s="87"/>
      <c r="C7" s="87" t="s">
        <v>534</v>
      </c>
      <c r="D7" s="88">
        <v>797920</v>
      </c>
      <c r="E7" s="89">
        <v>16846.285714285714</v>
      </c>
      <c r="F7" s="62"/>
    </row>
    <row r="8" spans="1:6" x14ac:dyDescent="0.2">
      <c r="A8" s="79" t="s">
        <v>3</v>
      </c>
      <c r="B8" s="79" t="s">
        <v>535</v>
      </c>
      <c r="C8" s="79" t="s">
        <v>82</v>
      </c>
      <c r="D8" s="79" t="s">
        <v>83</v>
      </c>
      <c r="E8" s="80"/>
      <c r="F8" s="62"/>
    </row>
    <row r="9" spans="1:6" ht="16" x14ac:dyDescent="0.2">
      <c r="A9" s="81" t="s">
        <v>536</v>
      </c>
      <c r="B9" s="81" t="s">
        <v>85</v>
      </c>
      <c r="C9" s="82" t="s">
        <v>532</v>
      </c>
      <c r="D9" s="83">
        <v>36540</v>
      </c>
      <c r="E9" s="84">
        <v>1044</v>
      </c>
      <c r="F9" s="85">
        <v>0.6</v>
      </c>
    </row>
    <row r="10" spans="1:6" x14ac:dyDescent="0.2">
      <c r="A10" s="81" t="s">
        <v>536</v>
      </c>
      <c r="B10" s="81" t="s">
        <v>537</v>
      </c>
      <c r="C10" s="81" t="s">
        <v>528</v>
      </c>
      <c r="D10" s="83">
        <v>109620</v>
      </c>
      <c r="E10" s="84">
        <v>3132</v>
      </c>
      <c r="F10" s="85">
        <v>0.4</v>
      </c>
    </row>
    <row r="11" spans="1:6" x14ac:dyDescent="0.2">
      <c r="A11" s="87"/>
      <c r="B11" s="87"/>
      <c r="C11" s="87" t="s">
        <v>534</v>
      </c>
      <c r="D11" s="88">
        <v>275060</v>
      </c>
      <c r="E11" s="89">
        <v>4176</v>
      </c>
      <c r="F11" s="62"/>
    </row>
    <row r="12" spans="1:6" x14ac:dyDescent="0.2">
      <c r="A12" s="79"/>
      <c r="B12" s="79"/>
      <c r="C12" s="79"/>
      <c r="D12" s="79"/>
      <c r="E12" s="79"/>
      <c r="F12" s="62"/>
    </row>
    <row r="13" spans="1:6" x14ac:dyDescent="0.2">
      <c r="A13" s="90"/>
      <c r="B13" s="90"/>
      <c r="C13" s="90" t="s">
        <v>86</v>
      </c>
      <c r="D13" s="88">
        <v>1072980</v>
      </c>
      <c r="E13" s="80"/>
      <c r="F13"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C1DA-0593-4474-8253-FD3855F1F137}">
  <dimension ref="A3:B39"/>
  <sheetViews>
    <sheetView workbookViewId="0">
      <selection activeCell="A17" sqref="A17"/>
    </sheetView>
  </sheetViews>
  <sheetFormatPr baseColWidth="10" defaultColWidth="8.83203125" defaultRowHeight="15" x14ac:dyDescent="0.2"/>
  <cols>
    <col min="1" max="1" width="95" bestFit="1" customWidth="1"/>
    <col min="2" max="2" width="12.6640625" bestFit="1" customWidth="1"/>
    <col min="3" max="3" width="13.5" bestFit="1" customWidth="1"/>
    <col min="4" max="4" width="6.1640625" bestFit="1" customWidth="1"/>
    <col min="5" max="6" width="5" bestFit="1" customWidth="1"/>
    <col min="7" max="7" width="10.83203125" bestFit="1" customWidth="1"/>
  </cols>
  <sheetData>
    <row r="3" spans="1:2" x14ac:dyDescent="0.2">
      <c r="A3" s="57" t="s">
        <v>289</v>
      </c>
      <c r="B3" t="s">
        <v>290</v>
      </c>
    </row>
    <row r="4" spans="1:2" x14ac:dyDescent="0.2">
      <c r="A4" s="1" t="s">
        <v>279</v>
      </c>
      <c r="B4">
        <v>4110</v>
      </c>
    </row>
    <row r="5" spans="1:2" x14ac:dyDescent="0.2">
      <c r="A5" s="58" t="s">
        <v>47</v>
      </c>
      <c r="B5">
        <v>320</v>
      </c>
    </row>
    <row r="6" spans="1:2" x14ac:dyDescent="0.2">
      <c r="A6" s="58" t="s">
        <v>60</v>
      </c>
      <c r="B6">
        <v>600</v>
      </c>
    </row>
    <row r="7" spans="1:2" x14ac:dyDescent="0.2">
      <c r="A7" s="58" t="s">
        <v>74</v>
      </c>
      <c r="B7">
        <v>600</v>
      </c>
    </row>
    <row r="8" spans="1:2" x14ac:dyDescent="0.2">
      <c r="A8" s="58" t="s">
        <v>11</v>
      </c>
      <c r="B8">
        <v>220</v>
      </c>
    </row>
    <row r="9" spans="1:2" x14ac:dyDescent="0.2">
      <c r="A9" s="58" t="s">
        <v>22</v>
      </c>
      <c r="B9">
        <v>220</v>
      </c>
    </row>
    <row r="10" spans="1:2" x14ac:dyDescent="0.2">
      <c r="A10" s="58" t="s">
        <v>62</v>
      </c>
      <c r="B10">
        <v>180</v>
      </c>
    </row>
    <row r="11" spans="1:2" x14ac:dyDescent="0.2">
      <c r="A11" s="58" t="s">
        <v>294</v>
      </c>
      <c r="B11">
        <v>40</v>
      </c>
    </row>
    <row r="12" spans="1:2" x14ac:dyDescent="0.2">
      <c r="A12" s="58" t="s">
        <v>137</v>
      </c>
      <c r="B12">
        <v>40</v>
      </c>
    </row>
    <row r="13" spans="1:2" x14ac:dyDescent="0.2">
      <c r="A13" s="58" t="s">
        <v>140</v>
      </c>
      <c r="B13">
        <v>60</v>
      </c>
    </row>
    <row r="14" spans="1:2" x14ac:dyDescent="0.2">
      <c r="A14" s="58" t="s">
        <v>151</v>
      </c>
      <c r="B14">
        <v>200</v>
      </c>
    </row>
    <row r="15" spans="1:2" x14ac:dyDescent="0.2">
      <c r="A15" s="58" t="s">
        <v>297</v>
      </c>
      <c r="B15">
        <v>350</v>
      </c>
    </row>
    <row r="16" spans="1:2" x14ac:dyDescent="0.2">
      <c r="A16" s="58" t="s">
        <v>212</v>
      </c>
      <c r="B16">
        <v>80</v>
      </c>
    </row>
    <row r="17" spans="1:2" x14ac:dyDescent="0.2">
      <c r="A17" s="58" t="s">
        <v>232</v>
      </c>
      <c r="B17">
        <v>60</v>
      </c>
    </row>
    <row r="18" spans="1:2" x14ac:dyDescent="0.2">
      <c r="A18" s="58" t="s">
        <v>242</v>
      </c>
      <c r="B18">
        <v>160</v>
      </c>
    </row>
    <row r="19" spans="1:2" x14ac:dyDescent="0.2">
      <c r="A19" s="58" t="s">
        <v>243</v>
      </c>
      <c r="B19">
        <v>300</v>
      </c>
    </row>
    <row r="20" spans="1:2" x14ac:dyDescent="0.2">
      <c r="A20" s="58" t="s">
        <v>246</v>
      </c>
      <c r="B20">
        <v>600</v>
      </c>
    </row>
    <row r="21" spans="1:2" x14ac:dyDescent="0.2">
      <c r="A21" s="58" t="s">
        <v>222</v>
      </c>
      <c r="B21">
        <v>40</v>
      </c>
    </row>
    <row r="22" spans="1:2" x14ac:dyDescent="0.2">
      <c r="A22" s="58" t="s">
        <v>225</v>
      </c>
      <c r="B22">
        <v>40</v>
      </c>
    </row>
    <row r="23" spans="1:2" x14ac:dyDescent="0.2">
      <c r="A23" s="1" t="s">
        <v>278</v>
      </c>
      <c r="B23">
        <v>2440</v>
      </c>
    </row>
    <row r="24" spans="1:2" x14ac:dyDescent="0.2">
      <c r="A24" s="58" t="s">
        <v>29</v>
      </c>
      <c r="B24">
        <v>1680</v>
      </c>
    </row>
    <row r="25" spans="1:2" x14ac:dyDescent="0.2">
      <c r="A25" s="58" t="s">
        <v>14</v>
      </c>
      <c r="B25">
        <v>160</v>
      </c>
    </row>
    <row r="26" spans="1:2" x14ac:dyDescent="0.2">
      <c r="A26" s="58" t="s">
        <v>37</v>
      </c>
      <c r="B26">
        <v>600</v>
      </c>
    </row>
    <row r="27" spans="1:2" x14ac:dyDescent="0.2">
      <c r="A27" s="1" t="s">
        <v>281</v>
      </c>
      <c r="B27">
        <v>600</v>
      </c>
    </row>
    <row r="28" spans="1:2" x14ac:dyDescent="0.2">
      <c r="A28" s="1" t="s">
        <v>280</v>
      </c>
      <c r="B28">
        <v>240</v>
      </c>
    </row>
    <row r="29" spans="1:2" x14ac:dyDescent="0.2">
      <c r="A29" s="1" t="s">
        <v>106</v>
      </c>
      <c r="B29">
        <v>220</v>
      </c>
    </row>
    <row r="30" spans="1:2" x14ac:dyDescent="0.2">
      <c r="A30" s="1" t="s">
        <v>337</v>
      </c>
    </row>
    <row r="31" spans="1:2" x14ac:dyDescent="0.2">
      <c r="A31" s="58" t="s">
        <v>311</v>
      </c>
    </row>
    <row r="32" spans="1:2" x14ac:dyDescent="0.2">
      <c r="A32" s="58" t="s">
        <v>313</v>
      </c>
    </row>
    <row r="33" spans="1:2" x14ac:dyDescent="0.2">
      <c r="A33" s="58" t="s">
        <v>315</v>
      </c>
    </row>
    <row r="34" spans="1:2" x14ac:dyDescent="0.2">
      <c r="A34" s="58" t="s">
        <v>317</v>
      </c>
    </row>
    <row r="35" spans="1:2" x14ac:dyDescent="0.2">
      <c r="A35" s="58" t="s">
        <v>319</v>
      </c>
    </row>
    <row r="36" spans="1:2" x14ac:dyDescent="0.2">
      <c r="A36" s="58" t="s">
        <v>321</v>
      </c>
    </row>
    <row r="37" spans="1:2" x14ac:dyDescent="0.2">
      <c r="A37" s="58" t="s">
        <v>325</v>
      </c>
    </row>
    <row r="38" spans="1:2" x14ac:dyDescent="0.2">
      <c r="A38" s="58" t="s">
        <v>323</v>
      </c>
    </row>
    <row r="39" spans="1:2" x14ac:dyDescent="0.2">
      <c r="A39" s="1" t="s">
        <v>291</v>
      </c>
      <c r="B39">
        <v>7610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EADA-4054-4F84-8077-AC2EF75A4810}">
  <dimension ref="A1:M111"/>
  <sheetViews>
    <sheetView tabSelected="1" zoomScale="125" zoomScaleNormal="160" workbookViewId="0">
      <pane ySplit="1" topLeftCell="A2" activePane="bottomLeft" state="frozen"/>
      <selection pane="bottomLeft" sqref="A1:XFD1"/>
    </sheetView>
  </sheetViews>
  <sheetFormatPr baseColWidth="10" defaultColWidth="8.83203125" defaultRowHeight="15" x14ac:dyDescent="0.2"/>
  <cols>
    <col min="1" max="1" width="8.5" bestFit="1" customWidth="1"/>
    <col min="2" max="2" width="8.33203125" bestFit="1" customWidth="1"/>
    <col min="3" max="3" width="13.83203125" bestFit="1" customWidth="1"/>
    <col min="4" max="4" width="17.6640625" customWidth="1"/>
    <col min="5" max="6" width="8" customWidth="1"/>
    <col min="7" max="7" width="10.5" customWidth="1"/>
    <col min="8" max="8" width="6.1640625" bestFit="1" customWidth="1"/>
    <col min="9" max="10" width="7.5" customWidth="1"/>
    <col min="11" max="11" width="7.33203125" customWidth="1"/>
    <col min="12" max="12" width="36.1640625" customWidth="1"/>
    <col min="13" max="13" width="101" style="61" customWidth="1"/>
  </cols>
  <sheetData>
    <row r="1" spans="1:13" ht="16" x14ac:dyDescent="0.2">
      <c r="A1" s="63" t="s">
        <v>0</v>
      </c>
      <c r="B1" s="63" t="s">
        <v>1</v>
      </c>
      <c r="C1" s="63" t="s">
        <v>2</v>
      </c>
      <c r="D1" s="63" t="s">
        <v>3</v>
      </c>
      <c r="E1" s="63" t="s">
        <v>277</v>
      </c>
      <c r="F1" s="63" t="s">
        <v>565</v>
      </c>
      <c r="G1" s="63" t="s">
        <v>567</v>
      </c>
      <c r="H1" s="63" t="s">
        <v>4</v>
      </c>
      <c r="I1" s="63" t="s">
        <v>112</v>
      </c>
      <c r="J1" s="63" t="s">
        <v>519</v>
      </c>
      <c r="K1" s="63" t="s">
        <v>375</v>
      </c>
      <c r="L1" s="63" t="s">
        <v>5</v>
      </c>
      <c r="M1" s="64" t="s">
        <v>6</v>
      </c>
    </row>
    <row r="2" spans="1:13" ht="16" x14ac:dyDescent="0.2">
      <c r="A2" s="66" t="s">
        <v>13</v>
      </c>
      <c r="B2" s="66" t="s">
        <v>8</v>
      </c>
      <c r="C2" s="66" t="s">
        <v>99</v>
      </c>
      <c r="D2" t="s">
        <v>85</v>
      </c>
      <c r="E2" s="66" t="s">
        <v>279</v>
      </c>
      <c r="F2" s="66"/>
      <c r="G2" s="66" t="s">
        <v>266</v>
      </c>
      <c r="H2" s="66">
        <v>40</v>
      </c>
      <c r="I2" s="66"/>
      <c r="J2" s="66"/>
      <c r="K2" s="66"/>
      <c r="L2" s="66" t="s">
        <v>294</v>
      </c>
      <c r="M2" s="67" t="s">
        <v>295</v>
      </c>
    </row>
    <row r="3" spans="1:13" ht="16" x14ac:dyDescent="0.2">
      <c r="A3" s="66" t="s">
        <v>13</v>
      </c>
      <c r="B3" s="66" t="s">
        <v>8</v>
      </c>
      <c r="C3" s="66" t="s">
        <v>99</v>
      </c>
      <c r="D3" t="s">
        <v>85</v>
      </c>
      <c r="E3" s="66" t="s">
        <v>279</v>
      </c>
      <c r="F3" s="66"/>
      <c r="G3" s="66" t="s">
        <v>266</v>
      </c>
      <c r="H3" s="66"/>
      <c r="I3" s="66"/>
      <c r="J3" s="66"/>
      <c r="K3" s="66"/>
      <c r="L3" s="66" t="s">
        <v>523</v>
      </c>
      <c r="M3" s="67" t="s">
        <v>556</v>
      </c>
    </row>
    <row r="4" spans="1:13" ht="16" x14ac:dyDescent="0.2">
      <c r="A4" s="66" t="s">
        <v>13</v>
      </c>
      <c r="B4" s="66" t="s">
        <v>8</v>
      </c>
      <c r="C4" s="66" t="s">
        <v>99</v>
      </c>
      <c r="D4" t="s">
        <v>575</v>
      </c>
      <c r="E4" s="66" t="s">
        <v>279</v>
      </c>
      <c r="F4" s="66"/>
      <c r="G4" s="66" t="s">
        <v>266</v>
      </c>
      <c r="H4" s="66">
        <v>40</v>
      </c>
      <c r="I4" s="66"/>
      <c r="J4" s="66"/>
      <c r="K4" s="66"/>
      <c r="L4" s="66" t="s">
        <v>562</v>
      </c>
      <c r="M4" s="67" t="s">
        <v>138</v>
      </c>
    </row>
    <row r="5" spans="1:13" ht="16" x14ac:dyDescent="0.2">
      <c r="A5" s="66" t="s">
        <v>13</v>
      </c>
      <c r="B5" s="66" t="s">
        <v>8</v>
      </c>
      <c r="C5" s="66" t="s">
        <v>99</v>
      </c>
      <c r="D5" t="s">
        <v>575</v>
      </c>
      <c r="E5" s="66" t="s">
        <v>279</v>
      </c>
      <c r="F5" s="66"/>
      <c r="G5" s="66" t="s">
        <v>266</v>
      </c>
      <c r="H5" s="66">
        <v>60</v>
      </c>
      <c r="I5" s="66"/>
      <c r="J5" s="66"/>
      <c r="K5" s="66"/>
      <c r="L5" s="66" t="s">
        <v>561</v>
      </c>
      <c r="M5" s="67" t="s">
        <v>140</v>
      </c>
    </row>
    <row r="6" spans="1:13" ht="16" x14ac:dyDescent="0.2">
      <c r="A6" s="66" t="s">
        <v>13</v>
      </c>
      <c r="B6" s="66" t="s">
        <v>8</v>
      </c>
      <c r="C6" s="66" t="s">
        <v>99</v>
      </c>
      <c r="D6" t="s">
        <v>576</v>
      </c>
      <c r="E6" s="66" t="s">
        <v>279</v>
      </c>
      <c r="F6" s="66" t="s">
        <v>224</v>
      </c>
      <c r="G6" s="66" t="s">
        <v>266</v>
      </c>
      <c r="H6" s="66">
        <v>200</v>
      </c>
      <c r="I6" s="66"/>
      <c r="J6" s="66"/>
      <c r="K6" s="66"/>
      <c r="L6" s="66" t="s">
        <v>151</v>
      </c>
      <c r="M6" s="67" t="s">
        <v>545</v>
      </c>
    </row>
    <row r="7" spans="1:13" x14ac:dyDescent="0.2">
      <c r="A7" s="66" t="s">
        <v>13</v>
      </c>
      <c r="B7" s="66" t="s">
        <v>8</v>
      </c>
      <c r="C7" s="66" t="s">
        <v>9</v>
      </c>
      <c r="D7" t="s">
        <v>575</v>
      </c>
      <c r="E7" s="66" t="s">
        <v>279</v>
      </c>
      <c r="F7" s="66" t="s">
        <v>224</v>
      </c>
      <c r="G7" s="66" t="s">
        <v>266</v>
      </c>
      <c r="H7" s="66" t="s">
        <v>337</v>
      </c>
      <c r="I7" s="66"/>
      <c r="J7" s="66"/>
      <c r="K7" s="66"/>
      <c r="L7" s="66" t="s">
        <v>566</v>
      </c>
      <c r="M7" s="67"/>
    </row>
    <row r="8" spans="1:13" ht="16" x14ac:dyDescent="0.2">
      <c r="A8" s="66" t="s">
        <v>13</v>
      </c>
      <c r="B8" s="66" t="s">
        <v>8</v>
      </c>
      <c r="C8" s="66" t="s">
        <v>9</v>
      </c>
      <c r="D8" t="s">
        <v>575</v>
      </c>
      <c r="E8" s="66" t="s">
        <v>279</v>
      </c>
      <c r="F8" s="66"/>
      <c r="G8" s="66" t="s">
        <v>266</v>
      </c>
      <c r="H8" s="66">
        <v>40</v>
      </c>
      <c r="I8" s="66"/>
      <c r="J8" s="66"/>
      <c r="K8" s="66"/>
      <c r="L8" s="66" t="s">
        <v>563</v>
      </c>
      <c r="M8" s="67" t="s">
        <v>138</v>
      </c>
    </row>
    <row r="9" spans="1:13" ht="16" x14ac:dyDescent="0.2">
      <c r="A9" s="66" t="s">
        <v>13</v>
      </c>
      <c r="B9" s="66" t="s">
        <v>8</v>
      </c>
      <c r="C9" s="66" t="s">
        <v>9</v>
      </c>
      <c r="D9" t="s">
        <v>575</v>
      </c>
      <c r="E9" s="66" t="s">
        <v>279</v>
      </c>
      <c r="F9" s="66"/>
      <c r="G9" s="66" t="s">
        <v>266</v>
      </c>
      <c r="H9" s="66">
        <v>60</v>
      </c>
      <c r="I9" s="66"/>
      <c r="J9" s="66"/>
      <c r="K9" s="66"/>
      <c r="L9" s="66" t="s">
        <v>561</v>
      </c>
      <c r="M9" s="67" t="s">
        <v>140</v>
      </c>
    </row>
    <row r="10" spans="1:13" x14ac:dyDescent="0.2">
      <c r="A10" s="66" t="s">
        <v>13</v>
      </c>
      <c r="B10" s="66" t="s">
        <v>8</v>
      </c>
      <c r="C10" s="66" t="s">
        <v>9</v>
      </c>
      <c r="D10" t="s">
        <v>576</v>
      </c>
      <c r="E10" s="66" t="s">
        <v>279</v>
      </c>
      <c r="F10" s="66"/>
      <c r="G10" s="66" t="s">
        <v>266</v>
      </c>
      <c r="H10" s="66">
        <v>350</v>
      </c>
      <c r="I10" s="66"/>
      <c r="J10" s="66"/>
      <c r="K10" s="66"/>
      <c r="L10" s="66" t="s">
        <v>564</v>
      </c>
      <c r="M10" s="68"/>
    </row>
    <row r="11" spans="1:13" ht="48" x14ac:dyDescent="0.2">
      <c r="A11" s="66" t="s">
        <v>13</v>
      </c>
      <c r="B11" s="66" t="s">
        <v>8</v>
      </c>
      <c r="C11" s="66" t="s">
        <v>9</v>
      </c>
      <c r="D11" t="s">
        <v>10</v>
      </c>
      <c r="E11" s="66" t="s">
        <v>279</v>
      </c>
      <c r="F11" s="66"/>
      <c r="G11" s="66" t="s">
        <v>264</v>
      </c>
      <c r="H11" s="66">
        <v>80</v>
      </c>
      <c r="I11" s="66"/>
      <c r="J11" s="66"/>
      <c r="K11" s="66"/>
      <c r="L11" s="66" t="s">
        <v>212</v>
      </c>
      <c r="M11" s="67" t="s">
        <v>213</v>
      </c>
    </row>
    <row r="12" spans="1:13" ht="16" x14ac:dyDescent="0.2">
      <c r="A12" s="66" t="s">
        <v>13</v>
      </c>
      <c r="B12" s="66" t="s">
        <v>8</v>
      </c>
      <c r="C12" s="66" t="s">
        <v>9</v>
      </c>
      <c r="D12" t="s">
        <v>10</v>
      </c>
      <c r="E12" s="66" t="s">
        <v>279</v>
      </c>
      <c r="F12" s="66" t="s">
        <v>224</v>
      </c>
      <c r="G12" s="66" t="s">
        <v>264</v>
      </c>
      <c r="H12" s="66" t="s">
        <v>337</v>
      </c>
      <c r="I12" s="66"/>
      <c r="J12" s="66"/>
      <c r="K12" s="66"/>
      <c r="L12" s="66" t="s">
        <v>559</v>
      </c>
      <c r="M12" s="67" t="s">
        <v>560</v>
      </c>
    </row>
    <row r="13" spans="1:13" ht="16" x14ac:dyDescent="0.2">
      <c r="A13" s="66" t="s">
        <v>13</v>
      </c>
      <c r="B13" s="66" t="s">
        <v>8</v>
      </c>
      <c r="C13" s="66" t="s">
        <v>9</v>
      </c>
      <c r="D13" t="s">
        <v>576</v>
      </c>
      <c r="E13" s="66" t="s">
        <v>279</v>
      </c>
      <c r="F13" s="66"/>
      <c r="G13" s="66" t="s">
        <v>266</v>
      </c>
      <c r="H13" s="66">
        <v>60</v>
      </c>
      <c r="I13" s="66"/>
      <c r="J13" s="66"/>
      <c r="K13" s="66"/>
      <c r="L13" s="66" t="s">
        <v>232</v>
      </c>
      <c r="M13" s="67" t="s">
        <v>164</v>
      </c>
    </row>
    <row r="14" spans="1:13" ht="16" x14ac:dyDescent="0.2">
      <c r="A14" s="66" t="s">
        <v>13</v>
      </c>
      <c r="B14" s="66" t="s">
        <v>8</v>
      </c>
      <c r="C14" s="66" t="s">
        <v>9</v>
      </c>
      <c r="D14" t="s">
        <v>576</v>
      </c>
      <c r="E14" s="66" t="s">
        <v>279</v>
      </c>
      <c r="F14" s="66"/>
      <c r="G14" s="66" t="s">
        <v>266</v>
      </c>
      <c r="H14" s="66">
        <v>300</v>
      </c>
      <c r="I14" s="66"/>
      <c r="J14" s="66"/>
      <c r="K14" s="66"/>
      <c r="L14" s="66" t="s">
        <v>243</v>
      </c>
      <c r="M14" s="67" t="s">
        <v>243</v>
      </c>
    </row>
    <row r="15" spans="1:13" x14ac:dyDescent="0.2">
      <c r="A15" s="66" t="s">
        <v>13</v>
      </c>
      <c r="B15" s="66" t="s">
        <v>8</v>
      </c>
      <c r="C15" s="66" t="s">
        <v>9</v>
      </c>
      <c r="D15" t="s">
        <v>576</v>
      </c>
      <c r="E15" s="66" t="s">
        <v>279</v>
      </c>
      <c r="F15" s="66"/>
      <c r="G15" s="66" t="s">
        <v>266</v>
      </c>
      <c r="H15" s="66">
        <v>600</v>
      </c>
      <c r="I15" s="66"/>
      <c r="J15" s="66"/>
      <c r="K15" s="66"/>
      <c r="L15" s="66" t="s">
        <v>246</v>
      </c>
      <c r="M15" s="67"/>
    </row>
    <row r="16" spans="1:13" ht="32" x14ac:dyDescent="0.2">
      <c r="A16" s="66" t="s">
        <v>13</v>
      </c>
      <c r="B16" s="66" t="s">
        <v>8</v>
      </c>
      <c r="C16" s="66" t="s">
        <v>9</v>
      </c>
      <c r="D16" t="s">
        <v>576</v>
      </c>
      <c r="E16" s="66" t="s">
        <v>106</v>
      </c>
      <c r="F16" s="66"/>
      <c r="G16" s="66" t="s">
        <v>266</v>
      </c>
      <c r="H16" s="66" t="s">
        <v>337</v>
      </c>
      <c r="I16" s="66"/>
      <c r="J16" s="66"/>
      <c r="K16" s="66"/>
      <c r="L16" s="69" t="s">
        <v>309</v>
      </c>
      <c r="M16" s="69" t="s">
        <v>310</v>
      </c>
    </row>
    <row r="17" spans="1:13" ht="32" x14ac:dyDescent="0.2">
      <c r="A17" s="66" t="s">
        <v>13</v>
      </c>
      <c r="B17" s="66" t="s">
        <v>130</v>
      </c>
      <c r="C17" s="66" t="s">
        <v>9</v>
      </c>
      <c r="D17" t="s">
        <v>576</v>
      </c>
      <c r="E17" s="66" t="s">
        <v>337</v>
      </c>
      <c r="F17" s="66"/>
      <c r="G17" s="66" t="s">
        <v>266</v>
      </c>
      <c r="H17" s="66" t="s">
        <v>337</v>
      </c>
      <c r="I17" s="66"/>
      <c r="J17" s="66"/>
      <c r="K17" s="66"/>
      <c r="L17" s="69" t="s">
        <v>311</v>
      </c>
      <c r="M17" s="69" t="s">
        <v>312</v>
      </c>
    </row>
    <row r="18" spans="1:13" ht="32" x14ac:dyDescent="0.2">
      <c r="A18" s="66" t="s">
        <v>13</v>
      </c>
      <c r="B18" s="66" t="s">
        <v>130</v>
      </c>
      <c r="C18" s="66" t="s">
        <v>9</v>
      </c>
      <c r="D18" t="s">
        <v>576</v>
      </c>
      <c r="E18" s="66" t="s">
        <v>337</v>
      </c>
      <c r="F18" s="66"/>
      <c r="G18" s="66" t="s">
        <v>266</v>
      </c>
      <c r="H18" s="66" t="s">
        <v>337</v>
      </c>
      <c r="I18" s="66"/>
      <c r="J18" s="66"/>
      <c r="K18" s="66"/>
      <c r="L18" s="69" t="s">
        <v>313</v>
      </c>
      <c r="M18" s="69" t="s">
        <v>314</v>
      </c>
    </row>
    <row r="19" spans="1:13" ht="32" x14ac:dyDescent="0.2">
      <c r="A19" s="66" t="s">
        <v>13</v>
      </c>
      <c r="B19" s="66" t="s">
        <v>130</v>
      </c>
      <c r="C19" s="66" t="s">
        <v>9</v>
      </c>
      <c r="D19" t="s">
        <v>576</v>
      </c>
      <c r="E19" s="66" t="s">
        <v>337</v>
      </c>
      <c r="F19" s="66"/>
      <c r="G19" s="66" t="s">
        <v>266</v>
      </c>
      <c r="H19" s="66" t="s">
        <v>337</v>
      </c>
      <c r="I19" s="66"/>
      <c r="J19" s="66"/>
      <c r="K19" s="66"/>
      <c r="L19" s="69" t="s">
        <v>315</v>
      </c>
      <c r="M19" s="69" t="s">
        <v>316</v>
      </c>
    </row>
    <row r="20" spans="1:13" ht="32" x14ac:dyDescent="0.2">
      <c r="A20" s="66" t="s">
        <v>13</v>
      </c>
      <c r="B20" s="66" t="s">
        <v>130</v>
      </c>
      <c r="C20" s="66" t="s">
        <v>9</v>
      </c>
      <c r="D20" t="s">
        <v>576</v>
      </c>
      <c r="E20" s="66" t="s">
        <v>337</v>
      </c>
      <c r="F20" s="66"/>
      <c r="G20" s="66" t="s">
        <v>266</v>
      </c>
      <c r="H20" s="66" t="s">
        <v>337</v>
      </c>
      <c r="I20" s="66"/>
      <c r="J20" s="66"/>
      <c r="K20" s="66"/>
      <c r="L20" s="69" t="s">
        <v>317</v>
      </c>
      <c r="M20" s="69" t="s">
        <v>318</v>
      </c>
    </row>
    <row r="21" spans="1:13" ht="32" x14ac:dyDescent="0.2">
      <c r="A21" s="66" t="s">
        <v>13</v>
      </c>
      <c r="B21" s="66" t="s">
        <v>130</v>
      </c>
      <c r="C21" s="66" t="s">
        <v>9</v>
      </c>
      <c r="D21" t="s">
        <v>576</v>
      </c>
      <c r="E21" s="66" t="s">
        <v>337</v>
      </c>
      <c r="F21" s="66"/>
      <c r="G21" s="66" t="s">
        <v>266</v>
      </c>
      <c r="H21" s="66" t="s">
        <v>337</v>
      </c>
      <c r="I21" s="66"/>
      <c r="J21" s="66"/>
      <c r="K21" s="66"/>
      <c r="L21" s="69" t="s">
        <v>319</v>
      </c>
      <c r="M21" s="69" t="s">
        <v>320</v>
      </c>
    </row>
    <row r="22" spans="1:13" ht="32" x14ac:dyDescent="0.2">
      <c r="A22" s="66" t="s">
        <v>13</v>
      </c>
      <c r="B22" s="66" t="s">
        <v>130</v>
      </c>
      <c r="C22" s="66" t="s">
        <v>9</v>
      </c>
      <c r="D22" t="s">
        <v>576</v>
      </c>
      <c r="E22" s="66" t="s">
        <v>337</v>
      </c>
      <c r="F22" s="66"/>
      <c r="G22" s="66" t="s">
        <v>266</v>
      </c>
      <c r="H22" s="66" t="s">
        <v>337</v>
      </c>
      <c r="I22" s="66"/>
      <c r="J22" s="66"/>
      <c r="K22" s="66"/>
      <c r="L22" s="69" t="s">
        <v>321</v>
      </c>
      <c r="M22" s="69" t="s">
        <v>322</v>
      </c>
    </row>
    <row r="23" spans="1:13" ht="32" x14ac:dyDescent="0.2">
      <c r="A23" s="66" t="s">
        <v>13</v>
      </c>
      <c r="B23" s="66" t="s">
        <v>130</v>
      </c>
      <c r="C23" s="66" t="s">
        <v>9</v>
      </c>
      <c r="D23" t="s">
        <v>576</v>
      </c>
      <c r="E23" s="66" t="s">
        <v>337</v>
      </c>
      <c r="F23" s="66"/>
      <c r="G23" s="66" t="s">
        <v>266</v>
      </c>
      <c r="H23" s="66" t="s">
        <v>337</v>
      </c>
      <c r="I23" s="66"/>
      <c r="J23" s="66"/>
      <c r="K23" s="66"/>
      <c r="L23" s="69" t="s">
        <v>325</v>
      </c>
      <c r="M23" s="69" t="s">
        <v>326</v>
      </c>
    </row>
    <row r="24" spans="1:13" ht="16" x14ac:dyDescent="0.2">
      <c r="A24" s="66" t="s">
        <v>7</v>
      </c>
      <c r="B24" s="66" t="s">
        <v>8</v>
      </c>
      <c r="C24" s="66" t="s">
        <v>336</v>
      </c>
      <c r="D24" t="s">
        <v>575</v>
      </c>
      <c r="E24" s="66" t="s">
        <v>279</v>
      </c>
      <c r="F24" s="66"/>
      <c r="G24" s="66" t="s">
        <v>273</v>
      </c>
      <c r="H24" s="66" t="s">
        <v>337</v>
      </c>
      <c r="I24" s="66"/>
      <c r="J24" s="66"/>
      <c r="K24" s="66"/>
      <c r="L24" s="66" t="s">
        <v>539</v>
      </c>
      <c r="M24" s="69" t="s">
        <v>540</v>
      </c>
    </row>
    <row r="25" spans="1:13" ht="16" x14ac:dyDescent="0.2">
      <c r="A25" s="66" t="s">
        <v>7</v>
      </c>
      <c r="B25" s="66" t="s">
        <v>8</v>
      </c>
      <c r="C25" s="66" t="s">
        <v>336</v>
      </c>
      <c r="D25" t="s">
        <v>10</v>
      </c>
      <c r="E25" s="66" t="s">
        <v>279</v>
      </c>
      <c r="F25" s="66"/>
      <c r="G25" s="66" t="s">
        <v>273</v>
      </c>
      <c r="H25" s="66">
        <v>24</v>
      </c>
      <c r="I25" s="66"/>
      <c r="J25" s="66"/>
      <c r="K25" s="66"/>
      <c r="L25" s="66" t="s">
        <v>542</v>
      </c>
      <c r="M25" s="67" t="s">
        <v>544</v>
      </c>
    </row>
    <row r="26" spans="1:13" ht="16" x14ac:dyDescent="0.2">
      <c r="A26" s="66" t="s">
        <v>7</v>
      </c>
      <c r="B26" s="66" t="s">
        <v>8</v>
      </c>
      <c r="C26" s="66" t="s">
        <v>336</v>
      </c>
      <c r="D26" t="s">
        <v>10</v>
      </c>
      <c r="E26" s="66" t="s">
        <v>279</v>
      </c>
      <c r="F26" s="66"/>
      <c r="G26" s="66" t="s">
        <v>273</v>
      </c>
      <c r="H26" s="66" t="s">
        <v>337</v>
      </c>
      <c r="I26" s="66"/>
      <c r="J26" s="66"/>
      <c r="K26" s="66"/>
      <c r="L26" s="66" t="s">
        <v>543</v>
      </c>
      <c r="M26" s="67" t="s">
        <v>541</v>
      </c>
    </row>
    <row r="27" spans="1:13" ht="16" x14ac:dyDescent="0.2">
      <c r="A27" s="66" t="s">
        <v>13</v>
      </c>
      <c r="B27" s="66" t="s">
        <v>8</v>
      </c>
      <c r="C27" s="66" t="s">
        <v>336</v>
      </c>
      <c r="D27" t="s">
        <v>10</v>
      </c>
      <c r="E27" s="66" t="s">
        <v>279</v>
      </c>
      <c r="F27" s="66"/>
      <c r="G27" s="66" t="s">
        <v>273</v>
      </c>
      <c r="H27" s="66">
        <v>40</v>
      </c>
      <c r="I27" s="66"/>
      <c r="J27" s="66"/>
      <c r="K27" s="66"/>
      <c r="L27" s="66" t="s">
        <v>222</v>
      </c>
      <c r="M27" s="67" t="s">
        <v>538</v>
      </c>
    </row>
    <row r="28" spans="1:13" ht="16" x14ac:dyDescent="0.2">
      <c r="A28" s="66" t="s">
        <v>13</v>
      </c>
      <c r="B28" s="66" t="s">
        <v>8</v>
      </c>
      <c r="C28" s="66" t="s">
        <v>336</v>
      </c>
      <c r="D28" t="s">
        <v>10</v>
      </c>
      <c r="E28" s="66" t="s">
        <v>279</v>
      </c>
      <c r="F28" s="66"/>
      <c r="G28" s="66" t="s">
        <v>273</v>
      </c>
      <c r="H28" s="66">
        <v>40</v>
      </c>
      <c r="I28" s="66"/>
      <c r="J28" s="66"/>
      <c r="K28" s="66"/>
      <c r="L28" s="66" t="s">
        <v>225</v>
      </c>
      <c r="M28" s="67" t="s">
        <v>164</v>
      </c>
    </row>
    <row r="29" spans="1:13" ht="48" x14ac:dyDescent="0.2">
      <c r="A29" s="66" t="s">
        <v>13</v>
      </c>
      <c r="B29" s="66" t="s">
        <v>130</v>
      </c>
      <c r="C29" s="66" t="s">
        <v>336</v>
      </c>
      <c r="D29" t="s">
        <v>576</v>
      </c>
      <c r="E29" s="66" t="s">
        <v>337</v>
      </c>
      <c r="F29" s="66"/>
      <c r="G29" s="66" t="s">
        <v>273</v>
      </c>
      <c r="H29" s="66"/>
      <c r="I29" s="66"/>
      <c r="J29" s="66"/>
      <c r="K29" s="66"/>
      <c r="L29" s="69" t="s">
        <v>323</v>
      </c>
      <c r="M29" s="69" t="s">
        <v>324</v>
      </c>
    </row>
    <row r="30" spans="1:13" ht="32" x14ac:dyDescent="0.2">
      <c r="A30" s="66" t="s">
        <v>13</v>
      </c>
      <c r="B30" s="66"/>
      <c r="C30" s="66" t="s">
        <v>9</v>
      </c>
      <c r="D30" t="s">
        <v>575</v>
      </c>
      <c r="E30" s="66" t="s">
        <v>337</v>
      </c>
      <c r="F30" s="66"/>
      <c r="G30" s="66" t="s">
        <v>266</v>
      </c>
      <c r="H30" s="66" t="s">
        <v>337</v>
      </c>
      <c r="I30" s="66"/>
      <c r="J30" s="66"/>
      <c r="K30" s="66"/>
      <c r="L30" s="69" t="s">
        <v>557</v>
      </c>
      <c r="M30" s="69" t="s">
        <v>558</v>
      </c>
    </row>
    <row r="31" spans="1:13" x14ac:dyDescent="0.2">
      <c r="A31" s="66" t="s">
        <v>13</v>
      </c>
      <c r="B31" s="66" t="s">
        <v>8</v>
      </c>
      <c r="C31" s="66" t="s">
        <v>335</v>
      </c>
      <c r="D31" t="s">
        <v>577</v>
      </c>
      <c r="E31" s="66" t="s">
        <v>279</v>
      </c>
      <c r="F31" s="66"/>
      <c r="G31" s="66" t="s">
        <v>266</v>
      </c>
      <c r="H31" s="66">
        <v>160</v>
      </c>
      <c r="I31" s="66" t="s">
        <v>524</v>
      </c>
      <c r="J31" s="66"/>
      <c r="K31" s="66"/>
      <c r="L31" s="66" t="s">
        <v>242</v>
      </c>
      <c r="M31" s="67"/>
    </row>
    <row r="32" spans="1:13" ht="64" x14ac:dyDescent="0.2">
      <c r="A32" s="66" t="s">
        <v>7</v>
      </c>
      <c r="B32" s="66" t="s">
        <v>8</v>
      </c>
      <c r="C32" s="66" t="s">
        <v>335</v>
      </c>
      <c r="D32" t="s">
        <v>577</v>
      </c>
      <c r="E32" s="66" t="s">
        <v>279</v>
      </c>
      <c r="F32" s="66" t="s">
        <v>224</v>
      </c>
      <c r="G32" s="66" t="s">
        <v>266</v>
      </c>
      <c r="H32" s="66">
        <v>600</v>
      </c>
      <c r="I32" s="66" t="s">
        <v>524</v>
      </c>
      <c r="J32" s="66" t="s">
        <v>524</v>
      </c>
      <c r="K32" s="66"/>
      <c r="L32" s="66" t="s">
        <v>60</v>
      </c>
      <c r="M32" s="70" t="s">
        <v>61</v>
      </c>
    </row>
    <row r="33" spans="1:13" s="92" customFormat="1" ht="48" x14ac:dyDescent="0.2">
      <c r="A33" s="91" t="s">
        <v>7</v>
      </c>
      <c r="B33" s="91" t="s">
        <v>8</v>
      </c>
      <c r="C33" s="91" t="s">
        <v>335</v>
      </c>
      <c r="D33" s="92" t="s">
        <v>577</v>
      </c>
      <c r="E33" s="91" t="s">
        <v>279</v>
      </c>
      <c r="F33" s="91" t="s">
        <v>224</v>
      </c>
      <c r="G33" s="66" t="s">
        <v>266</v>
      </c>
      <c r="H33" s="91">
        <v>600</v>
      </c>
      <c r="I33" s="66" t="s">
        <v>524</v>
      </c>
      <c r="J33" s="66" t="s">
        <v>524</v>
      </c>
      <c r="K33" s="66"/>
      <c r="L33" s="93" t="s">
        <v>579</v>
      </c>
      <c r="M33" s="94" t="s">
        <v>75</v>
      </c>
    </row>
    <row r="34" spans="1:13" ht="48" x14ac:dyDescent="0.2">
      <c r="A34" s="66" t="s">
        <v>13</v>
      </c>
      <c r="B34" s="66" t="s">
        <v>8</v>
      </c>
      <c r="C34" s="66" t="s">
        <v>335</v>
      </c>
      <c r="D34" t="s">
        <v>10</v>
      </c>
      <c r="E34" s="66" t="s">
        <v>279</v>
      </c>
      <c r="F34" s="66"/>
      <c r="G34" s="66" t="s">
        <v>264</v>
      </c>
      <c r="H34" s="66">
        <v>220</v>
      </c>
      <c r="I34" s="66"/>
      <c r="J34" s="66"/>
      <c r="K34" s="66"/>
      <c r="L34" s="67" t="s">
        <v>22</v>
      </c>
      <c r="M34" s="70" t="s">
        <v>23</v>
      </c>
    </row>
    <row r="35" spans="1:13" ht="48" x14ac:dyDescent="0.2">
      <c r="A35" s="66" t="s">
        <v>7</v>
      </c>
      <c r="B35" s="66" t="s">
        <v>8</v>
      </c>
      <c r="C35" s="66" t="s">
        <v>335</v>
      </c>
      <c r="D35" t="s">
        <v>10</v>
      </c>
      <c r="E35" s="66" t="s">
        <v>279</v>
      </c>
      <c r="F35" s="66"/>
      <c r="G35" s="66" t="s">
        <v>264</v>
      </c>
      <c r="H35" s="66">
        <v>320</v>
      </c>
      <c r="I35" s="66"/>
      <c r="J35" s="66"/>
      <c r="K35" s="66"/>
      <c r="L35" s="66" t="s">
        <v>47</v>
      </c>
      <c r="M35" s="70" t="s">
        <v>48</v>
      </c>
    </row>
    <row r="36" spans="1:13" ht="32" x14ac:dyDescent="0.2">
      <c r="A36" s="66" t="s">
        <v>7</v>
      </c>
      <c r="B36" s="66" t="s">
        <v>8</v>
      </c>
      <c r="C36" s="66" t="s">
        <v>335</v>
      </c>
      <c r="D36" t="s">
        <v>10</v>
      </c>
      <c r="E36" s="66" t="s">
        <v>279</v>
      </c>
      <c r="F36" s="66" t="s">
        <v>224</v>
      </c>
      <c r="G36" s="66" t="s">
        <v>264</v>
      </c>
      <c r="H36" s="66">
        <v>220</v>
      </c>
      <c r="I36" s="66"/>
      <c r="J36" s="66"/>
      <c r="K36" s="66"/>
      <c r="L36" s="67" t="s">
        <v>11</v>
      </c>
      <c r="M36" s="70" t="s">
        <v>12</v>
      </c>
    </row>
    <row r="37" spans="1:13" ht="48" x14ac:dyDescent="0.2">
      <c r="A37" s="66" t="s">
        <v>7</v>
      </c>
      <c r="B37" s="66" t="s">
        <v>8</v>
      </c>
      <c r="C37" s="66" t="s">
        <v>335</v>
      </c>
      <c r="D37" t="s">
        <v>577</v>
      </c>
      <c r="E37" s="66" t="s">
        <v>279</v>
      </c>
      <c r="F37" s="66"/>
      <c r="G37" s="66" t="s">
        <v>266</v>
      </c>
      <c r="H37" s="66">
        <v>180</v>
      </c>
      <c r="I37" s="66" t="s">
        <v>524</v>
      </c>
      <c r="J37" s="66"/>
      <c r="K37" s="66"/>
      <c r="L37" s="66" t="s">
        <v>62</v>
      </c>
      <c r="M37" s="70" t="s">
        <v>63</v>
      </c>
    </row>
    <row r="38" spans="1:13" ht="48" x14ac:dyDescent="0.2">
      <c r="A38" s="66" t="s">
        <v>7</v>
      </c>
      <c r="B38" s="66" t="s">
        <v>8</v>
      </c>
      <c r="C38" s="66" t="s">
        <v>335</v>
      </c>
      <c r="D38" t="s">
        <v>577</v>
      </c>
      <c r="E38" s="66" t="s">
        <v>279</v>
      </c>
      <c r="F38" s="66"/>
      <c r="G38" s="66" t="s">
        <v>266</v>
      </c>
      <c r="H38" s="66">
        <v>160</v>
      </c>
      <c r="I38" s="66" t="s">
        <v>524</v>
      </c>
      <c r="J38" s="66" t="s">
        <v>524</v>
      </c>
      <c r="K38" s="66"/>
      <c r="L38" s="67" t="s">
        <v>80</v>
      </c>
      <c r="M38" s="70" t="s">
        <v>81</v>
      </c>
    </row>
    <row r="39" spans="1:13" ht="64" x14ac:dyDescent="0.2">
      <c r="A39" s="66" t="s">
        <v>7</v>
      </c>
      <c r="B39" s="66" t="s">
        <v>8</v>
      </c>
      <c r="C39" s="66" t="s">
        <v>335</v>
      </c>
      <c r="D39" t="s">
        <v>10</v>
      </c>
      <c r="E39" s="66" t="s">
        <v>279</v>
      </c>
      <c r="F39" s="66" t="s">
        <v>224</v>
      </c>
      <c r="G39" s="66" t="s">
        <v>264</v>
      </c>
      <c r="H39" s="66">
        <v>120</v>
      </c>
      <c r="I39" s="66"/>
      <c r="J39" s="66"/>
      <c r="K39" s="66"/>
      <c r="L39" s="67" t="s">
        <v>39</v>
      </c>
      <c r="M39" s="70" t="s">
        <v>40</v>
      </c>
    </row>
    <row r="40" spans="1:13" ht="16" x14ac:dyDescent="0.2">
      <c r="A40" s="66" t="s">
        <v>7</v>
      </c>
      <c r="B40" s="66" t="s">
        <v>8</v>
      </c>
      <c r="C40" s="66" t="s">
        <v>335</v>
      </c>
      <c r="D40" t="s">
        <v>10</v>
      </c>
      <c r="E40" s="66" t="s">
        <v>279</v>
      </c>
      <c r="F40" s="66"/>
      <c r="G40" s="66" t="s">
        <v>264</v>
      </c>
      <c r="H40" s="66">
        <v>120</v>
      </c>
      <c r="I40" s="66"/>
      <c r="J40" s="66"/>
      <c r="K40" s="66"/>
      <c r="L40" s="67" t="s">
        <v>49</v>
      </c>
      <c r="M40" s="70" t="s">
        <v>50</v>
      </c>
    </row>
    <row r="41" spans="1:13" ht="64" x14ac:dyDescent="0.2">
      <c r="A41" s="66" t="s">
        <v>7</v>
      </c>
      <c r="B41" s="66" t="s">
        <v>8</v>
      </c>
      <c r="C41" s="66" t="s">
        <v>335</v>
      </c>
      <c r="D41" t="s">
        <v>10</v>
      </c>
      <c r="E41" s="66" t="s">
        <v>279</v>
      </c>
      <c r="F41" s="66"/>
      <c r="G41" s="66" t="s">
        <v>264</v>
      </c>
      <c r="H41" s="66">
        <v>96</v>
      </c>
      <c r="I41" s="66"/>
      <c r="J41" s="66"/>
      <c r="K41" s="66"/>
      <c r="L41" s="67" t="s">
        <v>33</v>
      </c>
      <c r="M41" s="70" t="s">
        <v>34</v>
      </c>
    </row>
    <row r="42" spans="1:13" ht="48" x14ac:dyDescent="0.2">
      <c r="A42" s="66" t="s">
        <v>7</v>
      </c>
      <c r="B42" s="66" t="s">
        <v>8</v>
      </c>
      <c r="C42" s="66" t="s">
        <v>335</v>
      </c>
      <c r="D42" t="s">
        <v>10</v>
      </c>
      <c r="E42" s="66" t="s">
        <v>279</v>
      </c>
      <c r="F42" s="66"/>
      <c r="G42" s="66" t="s">
        <v>264</v>
      </c>
      <c r="H42" s="66">
        <v>420</v>
      </c>
      <c r="I42" s="66"/>
      <c r="J42" s="66"/>
      <c r="K42" s="66"/>
      <c r="L42" s="66" t="s">
        <v>29</v>
      </c>
      <c r="M42" s="70" t="s">
        <v>30</v>
      </c>
    </row>
    <row r="43" spans="1:13" ht="48" x14ac:dyDescent="0.2">
      <c r="A43" s="66" t="s">
        <v>13</v>
      </c>
      <c r="B43" s="66" t="s">
        <v>8</v>
      </c>
      <c r="C43" s="66" t="s">
        <v>335</v>
      </c>
      <c r="D43" t="s">
        <v>10</v>
      </c>
      <c r="E43" s="66" t="s">
        <v>279</v>
      </c>
      <c r="F43" s="66"/>
      <c r="G43" s="66" t="s">
        <v>264</v>
      </c>
      <c r="H43" s="66">
        <v>40</v>
      </c>
      <c r="I43" s="66"/>
      <c r="J43" s="66"/>
      <c r="K43" s="66"/>
      <c r="L43" s="67" t="s">
        <v>14</v>
      </c>
      <c r="M43" s="70" t="s">
        <v>15</v>
      </c>
    </row>
    <row r="44" spans="1:13" ht="80" x14ac:dyDescent="0.2">
      <c r="A44" s="66" t="s">
        <v>7</v>
      </c>
      <c r="B44" s="66" t="s">
        <v>8</v>
      </c>
      <c r="C44" s="66" t="s">
        <v>335</v>
      </c>
      <c r="D44" t="s">
        <v>10</v>
      </c>
      <c r="E44" s="66" t="s">
        <v>279</v>
      </c>
      <c r="F44" s="66"/>
      <c r="G44" s="66" t="s">
        <v>580</v>
      </c>
      <c r="H44" s="66">
        <v>150</v>
      </c>
      <c r="I44" s="66"/>
      <c r="J44" s="66"/>
      <c r="K44" s="66"/>
      <c r="L44" s="67" t="s">
        <v>37</v>
      </c>
      <c r="M44" s="70" t="s">
        <v>38</v>
      </c>
    </row>
    <row r="45" spans="1:13" ht="64" x14ac:dyDescent="0.2">
      <c r="A45" s="66" t="s">
        <v>13</v>
      </c>
      <c r="B45" s="66" t="s">
        <v>8</v>
      </c>
      <c r="C45" s="66" t="s">
        <v>335</v>
      </c>
      <c r="D45" t="s">
        <v>10</v>
      </c>
      <c r="E45" s="66" t="s">
        <v>279</v>
      </c>
      <c r="F45" s="66"/>
      <c r="G45" s="66" t="s">
        <v>580</v>
      </c>
      <c r="H45" s="66">
        <v>150</v>
      </c>
      <c r="I45" s="66"/>
      <c r="J45" s="66"/>
      <c r="K45" s="66"/>
      <c r="L45" s="67" t="s">
        <v>24</v>
      </c>
      <c r="M45" s="70" t="s">
        <v>25</v>
      </c>
    </row>
    <row r="46" spans="1:13" ht="48" x14ac:dyDescent="0.2">
      <c r="A46" s="66" t="s">
        <v>7</v>
      </c>
      <c r="B46" s="66" t="s">
        <v>8</v>
      </c>
      <c r="C46" s="66" t="s">
        <v>335</v>
      </c>
      <c r="D46" t="s">
        <v>10</v>
      </c>
      <c r="E46" s="66" t="s">
        <v>279</v>
      </c>
      <c r="F46" s="66"/>
      <c r="G46" s="66" t="s">
        <v>264</v>
      </c>
      <c r="H46" s="66">
        <v>36</v>
      </c>
      <c r="I46" s="66"/>
      <c r="J46" s="66"/>
      <c r="K46" s="66"/>
      <c r="L46" s="67" t="s">
        <v>35</v>
      </c>
      <c r="M46" s="70" t="s">
        <v>36</v>
      </c>
    </row>
    <row r="47" spans="1:13" ht="48" x14ac:dyDescent="0.2">
      <c r="A47" s="66" t="s">
        <v>7</v>
      </c>
      <c r="B47" s="66" t="s">
        <v>8</v>
      </c>
      <c r="C47" s="66" t="s">
        <v>335</v>
      </c>
      <c r="D47" t="s">
        <v>10</v>
      </c>
      <c r="E47" s="66" t="s">
        <v>279</v>
      </c>
      <c r="F47" s="66"/>
      <c r="G47" s="66" t="s">
        <v>264</v>
      </c>
      <c r="H47" s="66">
        <v>36</v>
      </c>
      <c r="I47" s="66"/>
      <c r="J47" s="66"/>
      <c r="K47" s="66"/>
      <c r="L47" s="66" t="s">
        <v>45</v>
      </c>
      <c r="M47" s="70" t="s">
        <v>46</v>
      </c>
    </row>
    <row r="48" spans="1:13" ht="48" x14ac:dyDescent="0.2">
      <c r="A48" s="66" t="s">
        <v>7</v>
      </c>
      <c r="B48" s="66" t="s">
        <v>8</v>
      </c>
      <c r="C48" s="66" t="s">
        <v>335</v>
      </c>
      <c r="D48" t="s">
        <v>10</v>
      </c>
      <c r="E48" s="66" t="s">
        <v>279</v>
      </c>
      <c r="F48" s="66"/>
      <c r="G48" s="66" t="s">
        <v>264</v>
      </c>
      <c r="H48" s="66">
        <v>30</v>
      </c>
      <c r="I48" s="66"/>
      <c r="J48" s="66"/>
      <c r="K48" s="66"/>
      <c r="L48" s="67" t="s">
        <v>41</v>
      </c>
      <c r="M48" s="70" t="s">
        <v>42</v>
      </c>
    </row>
    <row r="49" spans="1:13" ht="48" x14ac:dyDescent="0.2">
      <c r="A49" s="66" t="s">
        <v>7</v>
      </c>
      <c r="B49" s="66" t="s">
        <v>8</v>
      </c>
      <c r="C49" s="66" t="s">
        <v>335</v>
      </c>
      <c r="D49" t="s">
        <v>10</v>
      </c>
      <c r="E49" s="66" t="s">
        <v>279</v>
      </c>
      <c r="F49" s="66"/>
      <c r="G49" s="66" t="s">
        <v>264</v>
      </c>
      <c r="H49" s="66">
        <v>12</v>
      </c>
      <c r="I49" s="66"/>
      <c r="J49" s="66"/>
      <c r="K49" s="66"/>
      <c r="L49" s="67" t="s">
        <v>31</v>
      </c>
      <c r="M49" s="70" t="s">
        <v>32</v>
      </c>
    </row>
    <row r="50" spans="1:13" ht="48" x14ac:dyDescent="0.2">
      <c r="A50" s="66" t="s">
        <v>7</v>
      </c>
      <c r="B50" s="66" t="s">
        <v>8</v>
      </c>
      <c r="C50" s="66" t="s">
        <v>335</v>
      </c>
      <c r="D50" t="s">
        <v>10</v>
      </c>
      <c r="E50" s="66" t="s">
        <v>280</v>
      </c>
      <c r="F50" s="66"/>
      <c r="G50" s="66" t="s">
        <v>264</v>
      </c>
      <c r="H50" s="66">
        <v>100</v>
      </c>
      <c r="I50" s="66"/>
      <c r="J50" s="66"/>
      <c r="K50" s="66"/>
      <c r="L50" s="66" t="s">
        <v>43</v>
      </c>
      <c r="M50" s="70" t="s">
        <v>44</v>
      </c>
    </row>
    <row r="51" spans="1:13" ht="48" x14ac:dyDescent="0.2">
      <c r="A51" s="66" t="s">
        <v>13</v>
      </c>
      <c r="B51" s="66" t="s">
        <v>8</v>
      </c>
      <c r="C51" s="66" t="s">
        <v>335</v>
      </c>
      <c r="D51" t="s">
        <v>577</v>
      </c>
      <c r="E51" s="66" t="s">
        <v>280</v>
      </c>
      <c r="F51" s="66"/>
      <c r="G51" s="66" t="s">
        <v>266</v>
      </c>
      <c r="H51" s="66">
        <v>240</v>
      </c>
      <c r="I51" s="66" t="s">
        <v>524</v>
      </c>
      <c r="J51" s="66"/>
      <c r="K51" s="66"/>
      <c r="L51" s="66" t="s">
        <v>64</v>
      </c>
      <c r="M51" s="70" t="s">
        <v>65</v>
      </c>
    </row>
    <row r="52" spans="1:13" ht="48" x14ac:dyDescent="0.2">
      <c r="A52" s="66" t="s">
        <v>7</v>
      </c>
      <c r="B52" s="66" t="s">
        <v>8</v>
      </c>
      <c r="C52" s="66" t="s">
        <v>335</v>
      </c>
      <c r="D52" t="s">
        <v>10</v>
      </c>
      <c r="E52" s="66" t="s">
        <v>280</v>
      </c>
      <c r="F52" s="66"/>
      <c r="G52" s="66" t="s">
        <v>264</v>
      </c>
      <c r="H52" s="66">
        <v>420</v>
      </c>
      <c r="I52" s="66"/>
      <c r="J52" s="66"/>
      <c r="K52" s="66"/>
      <c r="L52" s="66" t="s">
        <v>29</v>
      </c>
      <c r="M52" s="70" t="s">
        <v>30</v>
      </c>
    </row>
    <row r="53" spans="1:13" ht="48" x14ac:dyDescent="0.2">
      <c r="A53" s="66" t="s">
        <v>13</v>
      </c>
      <c r="B53" s="66" t="s">
        <v>8</v>
      </c>
      <c r="C53" s="66" t="s">
        <v>335</v>
      </c>
      <c r="D53" t="s">
        <v>10</v>
      </c>
      <c r="E53" s="66" t="s">
        <v>280</v>
      </c>
      <c r="F53" s="66"/>
      <c r="G53" s="66" t="s">
        <v>264</v>
      </c>
      <c r="H53" s="66">
        <v>40</v>
      </c>
      <c r="I53" s="66"/>
      <c r="J53" s="66"/>
      <c r="K53" s="66"/>
      <c r="L53" s="67" t="s">
        <v>14</v>
      </c>
      <c r="M53" s="70" t="s">
        <v>15</v>
      </c>
    </row>
    <row r="54" spans="1:13" ht="80" x14ac:dyDescent="0.2">
      <c r="A54" s="66" t="s">
        <v>7</v>
      </c>
      <c r="B54" s="66" t="s">
        <v>8</v>
      </c>
      <c r="C54" s="66" t="s">
        <v>335</v>
      </c>
      <c r="D54" t="s">
        <v>10</v>
      </c>
      <c r="E54" s="66" t="s">
        <v>280</v>
      </c>
      <c r="F54" s="66"/>
      <c r="G54" s="66" t="s">
        <v>264</v>
      </c>
      <c r="H54" s="66">
        <v>150</v>
      </c>
      <c r="I54" s="66"/>
      <c r="J54" s="66"/>
      <c r="K54" s="66"/>
      <c r="L54" s="67" t="s">
        <v>37</v>
      </c>
      <c r="M54" s="70" t="s">
        <v>38</v>
      </c>
    </row>
    <row r="55" spans="1:13" ht="64" x14ac:dyDescent="0.2">
      <c r="A55" s="66" t="s">
        <v>13</v>
      </c>
      <c r="B55" s="66" t="s">
        <v>8</v>
      </c>
      <c r="C55" s="66" t="s">
        <v>335</v>
      </c>
      <c r="D55" t="s">
        <v>10</v>
      </c>
      <c r="E55" s="66" t="s">
        <v>280</v>
      </c>
      <c r="F55" s="66"/>
      <c r="G55" s="66" t="s">
        <v>264</v>
      </c>
      <c r="H55" s="66">
        <v>150</v>
      </c>
      <c r="I55" s="66"/>
      <c r="J55" s="66"/>
      <c r="K55" s="66"/>
      <c r="L55" s="67" t="s">
        <v>24</v>
      </c>
      <c r="M55" s="70" t="s">
        <v>25</v>
      </c>
    </row>
    <row r="56" spans="1:13" ht="48" x14ac:dyDescent="0.2">
      <c r="A56" s="66" t="s">
        <v>7</v>
      </c>
      <c r="B56" s="66" t="s">
        <v>8</v>
      </c>
      <c r="C56" s="66" t="s">
        <v>335</v>
      </c>
      <c r="D56" t="s">
        <v>10</v>
      </c>
      <c r="E56" s="66" t="s">
        <v>280</v>
      </c>
      <c r="F56" s="66"/>
      <c r="G56" s="66" t="s">
        <v>264</v>
      </c>
      <c r="H56" s="66">
        <v>36</v>
      </c>
      <c r="I56" s="66"/>
      <c r="J56" s="66"/>
      <c r="K56" s="66"/>
      <c r="L56" s="67" t="s">
        <v>35</v>
      </c>
      <c r="M56" s="70" t="s">
        <v>36</v>
      </c>
    </row>
    <row r="57" spans="1:13" ht="48" x14ac:dyDescent="0.2">
      <c r="A57" s="66" t="s">
        <v>7</v>
      </c>
      <c r="B57" s="66" t="s">
        <v>8</v>
      </c>
      <c r="C57" s="66" t="s">
        <v>335</v>
      </c>
      <c r="D57" t="s">
        <v>10</v>
      </c>
      <c r="E57" s="66" t="s">
        <v>280</v>
      </c>
      <c r="F57" s="66"/>
      <c r="G57" s="66" t="s">
        <v>264</v>
      </c>
      <c r="H57" s="66">
        <v>36</v>
      </c>
      <c r="I57" s="66"/>
      <c r="J57" s="66"/>
      <c r="K57" s="66"/>
      <c r="L57" s="66" t="s">
        <v>45</v>
      </c>
      <c r="M57" s="70" t="s">
        <v>46</v>
      </c>
    </row>
    <row r="58" spans="1:13" ht="48" x14ac:dyDescent="0.2">
      <c r="A58" s="66" t="s">
        <v>7</v>
      </c>
      <c r="B58" s="66" t="s">
        <v>8</v>
      </c>
      <c r="C58" s="66" t="s">
        <v>335</v>
      </c>
      <c r="D58" t="s">
        <v>10</v>
      </c>
      <c r="E58" s="66" t="s">
        <v>280</v>
      </c>
      <c r="F58" s="66"/>
      <c r="G58" s="66" t="s">
        <v>264</v>
      </c>
      <c r="H58" s="66">
        <v>30</v>
      </c>
      <c r="I58" s="66"/>
      <c r="J58" s="66"/>
      <c r="K58" s="66"/>
      <c r="L58" s="67" t="s">
        <v>41</v>
      </c>
      <c r="M58" s="70" t="s">
        <v>42</v>
      </c>
    </row>
    <row r="59" spans="1:13" ht="48" x14ac:dyDescent="0.2">
      <c r="A59" s="66" t="s">
        <v>7</v>
      </c>
      <c r="B59" s="66" t="s">
        <v>8</v>
      </c>
      <c r="C59" s="66" t="s">
        <v>335</v>
      </c>
      <c r="D59" t="s">
        <v>10</v>
      </c>
      <c r="E59" s="66" t="s">
        <v>280</v>
      </c>
      <c r="F59" s="66"/>
      <c r="G59" s="66" t="s">
        <v>264</v>
      </c>
      <c r="H59" s="66">
        <v>12</v>
      </c>
      <c r="I59" s="66"/>
      <c r="J59" s="66"/>
      <c r="K59" s="66"/>
      <c r="L59" s="67" t="s">
        <v>31</v>
      </c>
      <c r="M59" s="70" t="s">
        <v>32</v>
      </c>
    </row>
    <row r="60" spans="1:13" ht="48" x14ac:dyDescent="0.2">
      <c r="A60" s="66" t="s">
        <v>26</v>
      </c>
      <c r="B60" s="66" t="s">
        <v>8</v>
      </c>
      <c r="C60" s="66" t="s">
        <v>335</v>
      </c>
      <c r="D60" t="s">
        <v>10</v>
      </c>
      <c r="E60" s="66" t="s">
        <v>280</v>
      </c>
      <c r="F60" s="66"/>
      <c r="G60" s="66" t="s">
        <v>264</v>
      </c>
      <c r="H60" s="66">
        <v>240</v>
      </c>
      <c r="I60" s="66"/>
      <c r="J60" s="66"/>
      <c r="K60" s="66"/>
      <c r="L60" s="67" t="s">
        <v>27</v>
      </c>
      <c r="M60" s="70" t="s">
        <v>28</v>
      </c>
    </row>
    <row r="61" spans="1:13" ht="48" x14ac:dyDescent="0.2">
      <c r="A61" s="66" t="s">
        <v>13</v>
      </c>
      <c r="B61" s="66" t="s">
        <v>8</v>
      </c>
      <c r="C61" s="66" t="s">
        <v>335</v>
      </c>
      <c r="D61" t="s">
        <v>577</v>
      </c>
      <c r="E61" s="66" t="s">
        <v>280</v>
      </c>
      <c r="F61" s="66"/>
      <c r="G61" s="66" t="s">
        <v>266</v>
      </c>
      <c r="H61" s="66">
        <v>180</v>
      </c>
      <c r="I61" s="66" t="s">
        <v>524</v>
      </c>
      <c r="J61" s="66" t="s">
        <v>524</v>
      </c>
      <c r="K61" s="66"/>
      <c r="L61" s="66" t="s">
        <v>52</v>
      </c>
      <c r="M61" s="70" t="s">
        <v>53</v>
      </c>
    </row>
    <row r="62" spans="1:13" ht="64" x14ac:dyDescent="0.2">
      <c r="A62" s="66" t="s">
        <v>13</v>
      </c>
      <c r="B62" s="66" t="s">
        <v>8</v>
      </c>
      <c r="C62" s="66" t="s">
        <v>335</v>
      </c>
      <c r="D62" t="s">
        <v>577</v>
      </c>
      <c r="E62" s="66" t="s">
        <v>280</v>
      </c>
      <c r="F62" s="66"/>
      <c r="G62" s="66" t="s">
        <v>266</v>
      </c>
      <c r="H62" s="66">
        <v>160</v>
      </c>
      <c r="I62" s="66" t="s">
        <v>524</v>
      </c>
      <c r="J62" s="66" t="s">
        <v>524</v>
      </c>
      <c r="K62" s="66"/>
      <c r="L62" s="66" t="s">
        <v>54</v>
      </c>
      <c r="M62" s="70" t="s">
        <v>55</v>
      </c>
    </row>
    <row r="63" spans="1:13" ht="48" x14ac:dyDescent="0.2">
      <c r="A63" s="66" t="s">
        <v>13</v>
      </c>
      <c r="B63" s="66" t="s">
        <v>8</v>
      </c>
      <c r="C63" s="66" t="s">
        <v>335</v>
      </c>
      <c r="D63" t="s">
        <v>577</v>
      </c>
      <c r="E63" s="66" t="s">
        <v>280</v>
      </c>
      <c r="F63" s="66"/>
      <c r="G63" s="66" t="s">
        <v>266</v>
      </c>
      <c r="H63" s="66">
        <v>160</v>
      </c>
      <c r="I63" s="66" t="s">
        <v>524</v>
      </c>
      <c r="J63" s="66" t="s">
        <v>524</v>
      </c>
      <c r="K63" s="66"/>
      <c r="L63" s="66" t="s">
        <v>66</v>
      </c>
      <c r="M63" s="70" t="s">
        <v>67</v>
      </c>
    </row>
    <row r="64" spans="1:13" ht="80" x14ac:dyDescent="0.2">
      <c r="A64" s="66" t="s">
        <v>13</v>
      </c>
      <c r="B64" s="66" t="s">
        <v>8</v>
      </c>
      <c r="C64" s="66" t="s">
        <v>335</v>
      </c>
      <c r="D64" t="s">
        <v>577</v>
      </c>
      <c r="E64" s="66" t="s">
        <v>280</v>
      </c>
      <c r="F64" s="66"/>
      <c r="G64" s="66" t="s">
        <v>266</v>
      </c>
      <c r="H64" s="66">
        <v>240</v>
      </c>
      <c r="I64" s="66" t="s">
        <v>524</v>
      </c>
      <c r="J64" s="66" t="s">
        <v>524</v>
      </c>
      <c r="K64" s="66"/>
      <c r="L64" s="67" t="s">
        <v>68</v>
      </c>
      <c r="M64" s="70" t="s">
        <v>69</v>
      </c>
    </row>
    <row r="65" spans="1:13" ht="48" x14ac:dyDescent="0.2">
      <c r="A65" s="66" t="s">
        <v>13</v>
      </c>
      <c r="B65" s="66" t="s">
        <v>8</v>
      </c>
      <c r="C65" s="66" t="s">
        <v>335</v>
      </c>
      <c r="D65" t="s">
        <v>577</v>
      </c>
      <c r="E65" s="66" t="s">
        <v>280</v>
      </c>
      <c r="F65" s="66"/>
      <c r="G65" s="66" t="s">
        <v>266</v>
      </c>
      <c r="H65" s="66">
        <v>220</v>
      </c>
      <c r="I65" s="66" t="s">
        <v>524</v>
      </c>
      <c r="J65" s="66" t="s">
        <v>524</v>
      </c>
      <c r="K65" s="66"/>
      <c r="L65" s="67" t="s">
        <v>72</v>
      </c>
      <c r="M65" s="70" t="s">
        <v>73</v>
      </c>
    </row>
    <row r="66" spans="1:13" ht="48" x14ac:dyDescent="0.2">
      <c r="A66" s="66" t="s">
        <v>13</v>
      </c>
      <c r="B66" s="66" t="s">
        <v>8</v>
      </c>
      <c r="C66" s="66" t="s">
        <v>335</v>
      </c>
      <c r="D66" t="s">
        <v>577</v>
      </c>
      <c r="E66" s="66" t="s">
        <v>280</v>
      </c>
      <c r="F66" s="66"/>
      <c r="G66" s="66" t="s">
        <v>266</v>
      </c>
      <c r="H66" s="66">
        <v>160</v>
      </c>
      <c r="I66" s="66" t="s">
        <v>524</v>
      </c>
      <c r="J66" s="66"/>
      <c r="K66" s="66"/>
      <c r="L66" s="66" t="s">
        <v>76</v>
      </c>
      <c r="M66" s="70" t="s">
        <v>77</v>
      </c>
    </row>
    <row r="67" spans="1:13" ht="48" x14ac:dyDescent="0.2">
      <c r="A67" s="66" t="s">
        <v>7</v>
      </c>
      <c r="B67" s="66" t="s">
        <v>8</v>
      </c>
      <c r="C67" s="66" t="s">
        <v>335</v>
      </c>
      <c r="D67" t="s">
        <v>10</v>
      </c>
      <c r="E67" s="66" t="s">
        <v>280</v>
      </c>
      <c r="F67" s="66"/>
      <c r="G67" s="66" t="s">
        <v>264</v>
      </c>
      <c r="H67" s="66">
        <v>40</v>
      </c>
      <c r="I67" s="66"/>
      <c r="J67" s="66"/>
      <c r="K67" s="66"/>
      <c r="L67" s="66" t="s">
        <v>20</v>
      </c>
      <c r="M67" s="70" t="s">
        <v>21</v>
      </c>
    </row>
    <row r="68" spans="1:13" ht="48" x14ac:dyDescent="0.2">
      <c r="A68" s="66" t="s">
        <v>7</v>
      </c>
      <c r="B68" s="66" t="s">
        <v>8</v>
      </c>
      <c r="C68" s="66" t="s">
        <v>335</v>
      </c>
      <c r="D68" t="s">
        <v>10</v>
      </c>
      <c r="E68" s="66" t="s">
        <v>106</v>
      </c>
      <c r="F68" s="66"/>
      <c r="G68" s="66" t="s">
        <v>264</v>
      </c>
      <c r="H68" s="66">
        <v>420</v>
      </c>
      <c r="I68" s="66"/>
      <c r="J68" s="66"/>
      <c r="K68" s="66"/>
      <c r="L68" s="66" t="s">
        <v>29</v>
      </c>
      <c r="M68" s="70" t="s">
        <v>30</v>
      </c>
    </row>
    <row r="69" spans="1:13" ht="48" x14ac:dyDescent="0.2">
      <c r="A69" s="66" t="s">
        <v>13</v>
      </c>
      <c r="B69" s="66" t="s">
        <v>8</v>
      </c>
      <c r="C69" s="66" t="s">
        <v>335</v>
      </c>
      <c r="D69" t="s">
        <v>10</v>
      </c>
      <c r="E69" s="66" t="s">
        <v>106</v>
      </c>
      <c r="F69" s="66"/>
      <c r="G69" s="66" t="s">
        <v>264</v>
      </c>
      <c r="H69" s="66">
        <v>40</v>
      </c>
      <c r="I69" s="66"/>
      <c r="J69" s="66"/>
      <c r="K69" s="66"/>
      <c r="L69" s="67" t="s">
        <v>14</v>
      </c>
      <c r="M69" s="70" t="s">
        <v>15</v>
      </c>
    </row>
    <row r="70" spans="1:13" ht="80" x14ac:dyDescent="0.2">
      <c r="A70" s="66" t="s">
        <v>7</v>
      </c>
      <c r="B70" s="66" t="s">
        <v>8</v>
      </c>
      <c r="C70" s="66" t="s">
        <v>335</v>
      </c>
      <c r="D70" t="s">
        <v>10</v>
      </c>
      <c r="E70" s="66" t="s">
        <v>106</v>
      </c>
      <c r="F70" s="66"/>
      <c r="G70" s="66" t="s">
        <v>264</v>
      </c>
      <c r="H70" s="66">
        <v>150</v>
      </c>
      <c r="I70" s="66"/>
      <c r="J70" s="66"/>
      <c r="K70" s="66"/>
      <c r="L70" s="67" t="s">
        <v>37</v>
      </c>
      <c r="M70" s="70" t="s">
        <v>38</v>
      </c>
    </row>
    <row r="71" spans="1:13" ht="64" x14ac:dyDescent="0.2">
      <c r="A71" s="66" t="s">
        <v>13</v>
      </c>
      <c r="B71" s="66" t="s">
        <v>8</v>
      </c>
      <c r="C71" s="66" t="s">
        <v>335</v>
      </c>
      <c r="D71" t="s">
        <v>10</v>
      </c>
      <c r="E71" s="66" t="s">
        <v>106</v>
      </c>
      <c r="F71" s="66"/>
      <c r="G71" s="66" t="s">
        <v>264</v>
      </c>
      <c r="H71" s="66">
        <v>150</v>
      </c>
      <c r="I71" s="66"/>
      <c r="J71" s="66"/>
      <c r="K71" s="66"/>
      <c r="L71" s="67" t="s">
        <v>24</v>
      </c>
      <c r="M71" s="70" t="s">
        <v>25</v>
      </c>
    </row>
    <row r="72" spans="1:13" ht="48" x14ac:dyDescent="0.2">
      <c r="A72" s="66" t="s">
        <v>7</v>
      </c>
      <c r="B72" s="66" t="s">
        <v>8</v>
      </c>
      <c r="C72" s="66" t="s">
        <v>335</v>
      </c>
      <c r="D72" t="s">
        <v>10</v>
      </c>
      <c r="E72" s="66" t="s">
        <v>106</v>
      </c>
      <c r="F72" s="66"/>
      <c r="G72" s="66" t="s">
        <v>264</v>
      </c>
      <c r="H72" s="66">
        <v>36</v>
      </c>
      <c r="I72" s="66"/>
      <c r="J72" s="66"/>
      <c r="K72" s="66"/>
      <c r="L72" s="67" t="s">
        <v>35</v>
      </c>
      <c r="M72" s="70" t="s">
        <v>36</v>
      </c>
    </row>
    <row r="73" spans="1:13" ht="48" x14ac:dyDescent="0.2">
      <c r="A73" s="66" t="s">
        <v>7</v>
      </c>
      <c r="B73" s="66" t="s">
        <v>8</v>
      </c>
      <c r="C73" s="66" t="s">
        <v>335</v>
      </c>
      <c r="D73" t="s">
        <v>10</v>
      </c>
      <c r="E73" s="66" t="s">
        <v>106</v>
      </c>
      <c r="F73" s="66"/>
      <c r="G73" s="66" t="s">
        <v>264</v>
      </c>
      <c r="H73" s="66">
        <v>36</v>
      </c>
      <c r="I73" s="66"/>
      <c r="J73" s="66"/>
      <c r="K73" s="66"/>
      <c r="L73" s="66" t="s">
        <v>45</v>
      </c>
      <c r="M73" s="70" t="s">
        <v>46</v>
      </c>
    </row>
    <row r="74" spans="1:13" ht="48" x14ac:dyDescent="0.2">
      <c r="A74" s="66" t="s">
        <v>7</v>
      </c>
      <c r="B74" s="66" t="s">
        <v>8</v>
      </c>
      <c r="C74" s="66" t="s">
        <v>335</v>
      </c>
      <c r="D74" t="s">
        <v>10</v>
      </c>
      <c r="E74" s="66" t="s">
        <v>106</v>
      </c>
      <c r="F74" s="66"/>
      <c r="G74" s="66" t="s">
        <v>264</v>
      </c>
      <c r="H74" s="66">
        <v>30</v>
      </c>
      <c r="I74" s="66"/>
      <c r="J74" s="66"/>
      <c r="K74" s="66"/>
      <c r="L74" s="67" t="s">
        <v>41</v>
      </c>
      <c r="M74" s="70" t="s">
        <v>42</v>
      </c>
    </row>
    <row r="75" spans="1:13" ht="48" x14ac:dyDescent="0.2">
      <c r="A75" s="66" t="s">
        <v>7</v>
      </c>
      <c r="B75" s="66" t="s">
        <v>8</v>
      </c>
      <c r="C75" s="66" t="s">
        <v>335</v>
      </c>
      <c r="D75" t="s">
        <v>10</v>
      </c>
      <c r="E75" s="66" t="s">
        <v>106</v>
      </c>
      <c r="F75" s="66"/>
      <c r="G75" s="66" t="s">
        <v>264</v>
      </c>
      <c r="H75" s="66">
        <v>12</v>
      </c>
      <c r="I75" s="66"/>
      <c r="J75" s="66"/>
      <c r="K75" s="66"/>
      <c r="L75" s="67" t="s">
        <v>31</v>
      </c>
      <c r="M75" s="70" t="s">
        <v>32</v>
      </c>
    </row>
    <row r="76" spans="1:13" ht="48" x14ac:dyDescent="0.2">
      <c r="A76" s="66" t="s">
        <v>7</v>
      </c>
      <c r="B76" s="66" t="s">
        <v>8</v>
      </c>
      <c r="C76" s="66" t="s">
        <v>335</v>
      </c>
      <c r="D76" t="s">
        <v>10</v>
      </c>
      <c r="E76" s="66" t="s">
        <v>106</v>
      </c>
      <c r="F76" s="66"/>
      <c r="G76" s="66" t="s">
        <v>264</v>
      </c>
      <c r="H76" s="66">
        <v>220</v>
      </c>
      <c r="I76" s="66"/>
      <c r="J76" s="66"/>
      <c r="K76" s="66"/>
      <c r="L76" s="66" t="s">
        <v>16</v>
      </c>
      <c r="M76" s="70" t="s">
        <v>17</v>
      </c>
    </row>
    <row r="77" spans="1:13" ht="48" x14ac:dyDescent="0.2">
      <c r="A77" s="66" t="s">
        <v>7</v>
      </c>
      <c r="B77" s="66" t="s">
        <v>8</v>
      </c>
      <c r="C77" s="66" t="s">
        <v>335</v>
      </c>
      <c r="D77" t="s">
        <v>10</v>
      </c>
      <c r="E77" s="66" t="s">
        <v>106</v>
      </c>
      <c r="F77" s="66"/>
      <c r="G77" s="66" t="s">
        <v>264</v>
      </c>
      <c r="H77" s="66">
        <v>100</v>
      </c>
      <c r="I77" s="66"/>
      <c r="J77" s="66"/>
      <c r="K77" s="66"/>
      <c r="L77" s="66" t="s">
        <v>18</v>
      </c>
      <c r="M77" s="70" t="s">
        <v>19</v>
      </c>
    </row>
    <row r="78" spans="1:13" ht="48" x14ac:dyDescent="0.2">
      <c r="A78" s="66" t="s">
        <v>56</v>
      </c>
      <c r="B78" s="66" t="s">
        <v>57</v>
      </c>
      <c r="C78" s="66" t="s">
        <v>335</v>
      </c>
      <c r="D78" t="s">
        <v>577</v>
      </c>
      <c r="E78" s="66" t="s">
        <v>106</v>
      </c>
      <c r="F78" s="66"/>
      <c r="G78" s="66" t="s">
        <v>266</v>
      </c>
      <c r="H78" s="66">
        <v>140</v>
      </c>
      <c r="I78" s="66" t="s">
        <v>524</v>
      </c>
      <c r="J78" s="66"/>
      <c r="K78" s="66"/>
      <c r="L78" s="67" t="s">
        <v>58</v>
      </c>
      <c r="M78" s="70" t="s">
        <v>59</v>
      </c>
    </row>
    <row r="79" spans="1:13" ht="48" x14ac:dyDescent="0.2">
      <c r="A79" s="66" t="s">
        <v>56</v>
      </c>
      <c r="B79" s="66" t="s">
        <v>8</v>
      </c>
      <c r="C79" s="66" t="s">
        <v>335</v>
      </c>
      <c r="D79" t="s">
        <v>577</v>
      </c>
      <c r="E79" s="66" t="s">
        <v>106</v>
      </c>
      <c r="F79" s="66"/>
      <c r="G79" s="66" t="s">
        <v>266</v>
      </c>
      <c r="H79" s="66">
        <v>280</v>
      </c>
      <c r="I79" s="66" t="s">
        <v>524</v>
      </c>
      <c r="J79" s="66" t="s">
        <v>524</v>
      </c>
      <c r="K79" s="66"/>
      <c r="L79" s="67" t="s">
        <v>70</v>
      </c>
      <c r="M79" s="70" t="s">
        <v>71</v>
      </c>
    </row>
    <row r="80" spans="1:13" ht="48" x14ac:dyDescent="0.2">
      <c r="A80" s="66" t="s">
        <v>56</v>
      </c>
      <c r="B80" s="66" t="s">
        <v>57</v>
      </c>
      <c r="C80" s="66" t="s">
        <v>335</v>
      </c>
      <c r="D80" t="s">
        <v>577</v>
      </c>
      <c r="E80" s="66" t="s">
        <v>106</v>
      </c>
      <c r="F80" s="66"/>
      <c r="G80" s="66" t="s">
        <v>266</v>
      </c>
      <c r="H80" s="66">
        <v>300</v>
      </c>
      <c r="I80" s="66" t="s">
        <v>524</v>
      </c>
      <c r="J80" s="66" t="s">
        <v>524</v>
      </c>
      <c r="K80" s="66"/>
      <c r="L80" s="66" t="s">
        <v>78</v>
      </c>
      <c r="M80" s="70" t="s">
        <v>79</v>
      </c>
    </row>
    <row r="81" spans="1:13" ht="48" x14ac:dyDescent="0.2">
      <c r="A81" s="66" t="s">
        <v>7</v>
      </c>
      <c r="B81" s="66" t="s">
        <v>8</v>
      </c>
      <c r="C81" s="66" t="s">
        <v>335</v>
      </c>
      <c r="D81" t="s">
        <v>10</v>
      </c>
      <c r="E81" s="66" t="s">
        <v>131</v>
      </c>
      <c r="F81" s="66"/>
      <c r="G81" s="66" t="s">
        <v>264</v>
      </c>
      <c r="H81" s="66">
        <v>420</v>
      </c>
      <c r="I81" s="66"/>
      <c r="J81" s="66"/>
      <c r="K81" s="66"/>
      <c r="L81" s="66" t="s">
        <v>29</v>
      </c>
      <c r="M81" s="70" t="s">
        <v>30</v>
      </c>
    </row>
    <row r="82" spans="1:13" ht="48" x14ac:dyDescent="0.2">
      <c r="A82" s="66" t="s">
        <v>13</v>
      </c>
      <c r="B82" s="66" t="s">
        <v>8</v>
      </c>
      <c r="C82" s="66" t="s">
        <v>335</v>
      </c>
      <c r="D82" t="s">
        <v>10</v>
      </c>
      <c r="E82" s="66" t="s">
        <v>131</v>
      </c>
      <c r="F82" s="66"/>
      <c r="G82" s="66" t="s">
        <v>264</v>
      </c>
      <c r="H82" s="66">
        <v>40</v>
      </c>
      <c r="I82" s="66"/>
      <c r="J82" s="66"/>
      <c r="K82" s="66"/>
      <c r="L82" s="67" t="s">
        <v>14</v>
      </c>
      <c r="M82" s="70" t="s">
        <v>15</v>
      </c>
    </row>
    <row r="83" spans="1:13" ht="80" x14ac:dyDescent="0.2">
      <c r="A83" s="66" t="s">
        <v>7</v>
      </c>
      <c r="B83" s="66" t="s">
        <v>8</v>
      </c>
      <c r="C83" s="66" t="s">
        <v>335</v>
      </c>
      <c r="D83" t="s">
        <v>10</v>
      </c>
      <c r="E83" s="66" t="s">
        <v>131</v>
      </c>
      <c r="F83" s="66"/>
      <c r="G83" s="66" t="s">
        <v>264</v>
      </c>
      <c r="H83" s="66">
        <v>150</v>
      </c>
      <c r="I83" s="66"/>
      <c r="J83" s="66"/>
      <c r="K83" s="66"/>
      <c r="L83" s="67" t="s">
        <v>37</v>
      </c>
      <c r="M83" s="70" t="s">
        <v>38</v>
      </c>
    </row>
    <row r="84" spans="1:13" ht="64" x14ac:dyDescent="0.2">
      <c r="A84" s="66" t="s">
        <v>13</v>
      </c>
      <c r="B84" s="66" t="s">
        <v>8</v>
      </c>
      <c r="C84" s="66" t="s">
        <v>335</v>
      </c>
      <c r="D84" t="s">
        <v>10</v>
      </c>
      <c r="E84" s="66" t="s">
        <v>131</v>
      </c>
      <c r="F84" s="66"/>
      <c r="G84" s="66" t="s">
        <v>264</v>
      </c>
      <c r="H84" s="66">
        <v>150</v>
      </c>
      <c r="I84" s="66"/>
      <c r="J84" s="66"/>
      <c r="K84" s="66"/>
      <c r="L84" s="67" t="s">
        <v>24</v>
      </c>
      <c r="M84" s="70" t="s">
        <v>25</v>
      </c>
    </row>
    <row r="85" spans="1:13" ht="48" x14ac:dyDescent="0.2">
      <c r="A85" s="66" t="s">
        <v>7</v>
      </c>
      <c r="B85" s="66" t="s">
        <v>8</v>
      </c>
      <c r="C85" s="66" t="s">
        <v>335</v>
      </c>
      <c r="D85" t="s">
        <v>10</v>
      </c>
      <c r="E85" s="66" t="s">
        <v>131</v>
      </c>
      <c r="F85" s="66"/>
      <c r="G85" s="66" t="s">
        <v>264</v>
      </c>
      <c r="H85" s="66">
        <v>36</v>
      </c>
      <c r="I85" s="66"/>
      <c r="J85" s="66"/>
      <c r="K85" s="66"/>
      <c r="L85" s="67" t="s">
        <v>35</v>
      </c>
      <c r="M85" s="70" t="s">
        <v>36</v>
      </c>
    </row>
    <row r="86" spans="1:13" ht="48" x14ac:dyDescent="0.2">
      <c r="A86" s="66" t="s">
        <v>7</v>
      </c>
      <c r="B86" s="66" t="s">
        <v>8</v>
      </c>
      <c r="C86" s="66" t="s">
        <v>335</v>
      </c>
      <c r="D86" t="s">
        <v>10</v>
      </c>
      <c r="E86" s="66" t="s">
        <v>131</v>
      </c>
      <c r="F86" s="66"/>
      <c r="G86" s="66" t="s">
        <v>264</v>
      </c>
      <c r="H86" s="66">
        <v>36</v>
      </c>
      <c r="I86" s="66"/>
      <c r="J86" s="66"/>
      <c r="K86" s="66"/>
      <c r="L86" s="66" t="s">
        <v>45</v>
      </c>
      <c r="M86" s="70" t="s">
        <v>46</v>
      </c>
    </row>
    <row r="87" spans="1:13" ht="48" x14ac:dyDescent="0.2">
      <c r="A87" s="66" t="s">
        <v>7</v>
      </c>
      <c r="B87" s="66" t="s">
        <v>8</v>
      </c>
      <c r="C87" s="66" t="s">
        <v>335</v>
      </c>
      <c r="D87" t="s">
        <v>10</v>
      </c>
      <c r="E87" s="66" t="s">
        <v>131</v>
      </c>
      <c r="F87" s="66"/>
      <c r="G87" s="66" t="s">
        <v>264</v>
      </c>
      <c r="H87" s="66">
        <v>30</v>
      </c>
      <c r="I87" s="66"/>
      <c r="J87" s="66"/>
      <c r="K87" s="66"/>
      <c r="L87" s="67" t="s">
        <v>41</v>
      </c>
      <c r="M87" s="70" t="s">
        <v>42</v>
      </c>
    </row>
    <row r="88" spans="1:13" ht="48" x14ac:dyDescent="0.2">
      <c r="A88" s="66" t="s">
        <v>7</v>
      </c>
      <c r="B88" s="66" t="s">
        <v>8</v>
      </c>
      <c r="C88" s="66" t="s">
        <v>335</v>
      </c>
      <c r="D88" t="s">
        <v>10</v>
      </c>
      <c r="E88" s="66" t="s">
        <v>131</v>
      </c>
      <c r="F88" s="66"/>
      <c r="G88" s="66" t="s">
        <v>264</v>
      </c>
      <c r="H88" s="66">
        <v>12</v>
      </c>
      <c r="I88" s="66"/>
      <c r="J88" s="66"/>
      <c r="K88" s="66"/>
      <c r="L88" s="67" t="s">
        <v>31</v>
      </c>
      <c r="M88" s="70" t="s">
        <v>32</v>
      </c>
    </row>
    <row r="89" spans="1:13" x14ac:dyDescent="0.2">
      <c r="A89" s="66" t="s">
        <v>7</v>
      </c>
      <c r="B89" s="66" t="s">
        <v>8</v>
      </c>
      <c r="C89" s="66" t="s">
        <v>308</v>
      </c>
      <c r="D89" t="s">
        <v>555</v>
      </c>
      <c r="E89" s="66" t="s">
        <v>279</v>
      </c>
      <c r="F89" s="66"/>
      <c r="G89" s="66"/>
      <c r="H89" s="66"/>
      <c r="I89" s="66"/>
      <c r="J89" s="66"/>
      <c r="K89" s="66"/>
      <c r="L89" s="67"/>
      <c r="M89" s="70"/>
    </row>
    <row r="90" spans="1:13" x14ac:dyDescent="0.2">
      <c r="A90" s="66" t="s">
        <v>13</v>
      </c>
      <c r="B90" s="66" t="s">
        <v>8</v>
      </c>
      <c r="C90" s="66" t="s">
        <v>308</v>
      </c>
      <c r="D90" t="s">
        <v>555</v>
      </c>
      <c r="E90" s="66" t="s">
        <v>279</v>
      </c>
      <c r="F90" s="66"/>
      <c r="G90" s="66" t="s">
        <v>568</v>
      </c>
      <c r="H90" s="66">
        <v>100</v>
      </c>
      <c r="I90" s="66"/>
      <c r="J90" s="66"/>
      <c r="K90" s="66"/>
      <c r="L90" s="66" t="s">
        <v>338</v>
      </c>
      <c r="M90" s="68"/>
    </row>
    <row r="91" spans="1:13" ht="16" x14ac:dyDescent="0.2">
      <c r="A91" s="66" t="s">
        <v>13</v>
      </c>
      <c r="B91" s="66" t="s">
        <v>8</v>
      </c>
      <c r="C91" s="66" t="s">
        <v>308</v>
      </c>
      <c r="D91" t="s">
        <v>555</v>
      </c>
      <c r="E91" s="66" t="s">
        <v>279</v>
      </c>
      <c r="F91" s="66"/>
      <c r="G91" s="66" t="s">
        <v>568</v>
      </c>
      <c r="H91" s="66">
        <v>200</v>
      </c>
      <c r="I91" s="66"/>
      <c r="J91" s="66"/>
      <c r="K91" s="66"/>
      <c r="L91" s="66" t="s">
        <v>304</v>
      </c>
      <c r="M91" s="67" t="s">
        <v>305</v>
      </c>
    </row>
    <row r="92" spans="1:13" ht="16" x14ac:dyDescent="0.2">
      <c r="A92" s="66" t="s">
        <v>13</v>
      </c>
      <c r="B92" s="66" t="s">
        <v>8</v>
      </c>
      <c r="C92" s="66" t="s">
        <v>308</v>
      </c>
      <c r="D92" t="s">
        <v>555</v>
      </c>
      <c r="E92" s="66" t="s">
        <v>279</v>
      </c>
      <c r="F92" s="66"/>
      <c r="G92" s="66" t="s">
        <v>568</v>
      </c>
      <c r="H92" s="66">
        <v>200</v>
      </c>
      <c r="I92" s="66"/>
      <c r="J92" s="66"/>
      <c r="K92" s="66"/>
      <c r="L92" s="66" t="s">
        <v>304</v>
      </c>
      <c r="M92" s="67" t="s">
        <v>306</v>
      </c>
    </row>
    <row r="93" spans="1:13" ht="16" x14ac:dyDescent="0.2">
      <c r="A93" s="66" t="s">
        <v>13</v>
      </c>
      <c r="B93" s="66" t="s">
        <v>8</v>
      </c>
      <c r="C93" s="66" t="s">
        <v>308</v>
      </c>
      <c r="D93" t="s">
        <v>555</v>
      </c>
      <c r="E93" s="66" t="s">
        <v>279</v>
      </c>
      <c r="F93" s="66"/>
      <c r="G93" s="66" t="s">
        <v>568</v>
      </c>
      <c r="H93" s="66">
        <v>200</v>
      </c>
      <c r="I93" s="66"/>
      <c r="J93" s="66"/>
      <c r="K93" s="66"/>
      <c r="L93" s="66" t="s">
        <v>304</v>
      </c>
      <c r="M93" s="67" t="s">
        <v>307</v>
      </c>
    </row>
    <row r="94" spans="1:13" ht="16" x14ac:dyDescent="0.2">
      <c r="A94" s="66" t="s">
        <v>13</v>
      </c>
      <c r="B94" s="66" t="s">
        <v>8</v>
      </c>
      <c r="C94" s="66" t="s">
        <v>308</v>
      </c>
      <c r="D94" t="s">
        <v>555</v>
      </c>
      <c r="E94" s="66" t="s">
        <v>280</v>
      </c>
      <c r="F94" s="66"/>
      <c r="G94" s="66" t="s">
        <v>568</v>
      </c>
      <c r="H94" s="66">
        <v>200</v>
      </c>
      <c r="I94" s="66"/>
      <c r="J94" s="66"/>
      <c r="K94" s="66"/>
      <c r="L94" s="66" t="s">
        <v>304</v>
      </c>
      <c r="M94" s="67" t="s">
        <v>305</v>
      </c>
    </row>
    <row r="95" spans="1:13" ht="16" x14ac:dyDescent="0.2">
      <c r="A95" s="66" t="s">
        <v>13</v>
      </c>
      <c r="B95" s="66" t="s">
        <v>8</v>
      </c>
      <c r="C95" s="66" t="s">
        <v>308</v>
      </c>
      <c r="D95" t="s">
        <v>555</v>
      </c>
      <c r="E95" s="66" t="s">
        <v>280</v>
      </c>
      <c r="F95" s="66"/>
      <c r="G95" s="66" t="s">
        <v>568</v>
      </c>
      <c r="H95" s="66">
        <v>200</v>
      </c>
      <c r="I95" s="66"/>
      <c r="J95" s="66"/>
      <c r="K95" s="66"/>
      <c r="L95" s="66" t="s">
        <v>304</v>
      </c>
      <c r="M95" s="67" t="s">
        <v>306</v>
      </c>
    </row>
    <row r="96" spans="1:13" ht="16" x14ac:dyDescent="0.2">
      <c r="A96" s="66" t="s">
        <v>13</v>
      </c>
      <c r="B96" s="66" t="s">
        <v>8</v>
      </c>
      <c r="C96" s="66" t="s">
        <v>308</v>
      </c>
      <c r="D96" t="s">
        <v>555</v>
      </c>
      <c r="E96" s="66" t="s">
        <v>280</v>
      </c>
      <c r="F96" s="66"/>
      <c r="G96" s="66" t="s">
        <v>568</v>
      </c>
      <c r="H96" s="66">
        <v>200</v>
      </c>
      <c r="I96" s="66"/>
      <c r="J96" s="66"/>
      <c r="K96" s="66"/>
      <c r="L96" s="66" t="s">
        <v>304</v>
      </c>
      <c r="M96" s="67" t="s">
        <v>307</v>
      </c>
    </row>
    <row r="97" spans="1:13" ht="16" x14ac:dyDescent="0.2">
      <c r="A97" s="66" t="s">
        <v>13</v>
      </c>
      <c r="B97" s="66" t="s">
        <v>8</v>
      </c>
      <c r="C97" s="66" t="s">
        <v>308</v>
      </c>
      <c r="D97" t="s">
        <v>555</v>
      </c>
      <c r="E97" s="66" t="s">
        <v>280</v>
      </c>
      <c r="F97" s="66"/>
      <c r="G97" s="66" t="s">
        <v>568</v>
      </c>
      <c r="H97" s="66">
        <v>100</v>
      </c>
      <c r="I97" s="66"/>
      <c r="J97" s="66"/>
      <c r="K97" s="66"/>
      <c r="L97" s="66" t="s">
        <v>228</v>
      </c>
      <c r="M97" s="67" t="s">
        <v>229</v>
      </c>
    </row>
    <row r="98" spans="1:13" ht="80" x14ac:dyDescent="0.2">
      <c r="A98" s="66" t="s">
        <v>13</v>
      </c>
      <c r="B98" s="66" t="s">
        <v>8</v>
      </c>
      <c r="C98" s="66" t="s">
        <v>308</v>
      </c>
      <c r="D98" t="s">
        <v>555</v>
      </c>
      <c r="E98" s="66" t="s">
        <v>280</v>
      </c>
      <c r="F98" s="66"/>
      <c r="G98" s="66" t="s">
        <v>568</v>
      </c>
      <c r="H98" s="66">
        <v>200</v>
      </c>
      <c r="I98" s="66"/>
      <c r="J98" s="66"/>
      <c r="K98" s="66"/>
      <c r="L98" s="66" t="s">
        <v>300</v>
      </c>
      <c r="M98" s="67" t="s">
        <v>520</v>
      </c>
    </row>
    <row r="99" spans="1:13" ht="80" x14ac:dyDescent="0.2">
      <c r="A99" s="66" t="s">
        <v>13</v>
      </c>
      <c r="B99" s="66" t="s">
        <v>8</v>
      </c>
      <c r="C99" s="66" t="s">
        <v>308</v>
      </c>
      <c r="D99" t="s">
        <v>555</v>
      </c>
      <c r="E99" s="66" t="s">
        <v>280</v>
      </c>
      <c r="F99" s="66"/>
      <c r="G99" s="66" t="s">
        <v>568</v>
      </c>
      <c r="H99" s="66">
        <v>200</v>
      </c>
      <c r="I99" s="66"/>
      <c r="J99" s="66"/>
      <c r="K99" s="66"/>
      <c r="L99" s="66" t="s">
        <v>300</v>
      </c>
      <c r="M99" s="67" t="s">
        <v>521</v>
      </c>
    </row>
    <row r="100" spans="1:13" ht="96" x14ac:dyDescent="0.2">
      <c r="A100" s="66" t="s">
        <v>13</v>
      </c>
      <c r="B100" s="66" t="s">
        <v>8</v>
      </c>
      <c r="C100" s="66" t="s">
        <v>308</v>
      </c>
      <c r="D100" t="s">
        <v>555</v>
      </c>
      <c r="E100" s="66" t="s">
        <v>280</v>
      </c>
      <c r="F100" s="66"/>
      <c r="G100" s="66" t="s">
        <v>568</v>
      </c>
      <c r="H100" s="66">
        <v>200</v>
      </c>
      <c r="I100" s="66"/>
      <c r="J100" s="66"/>
      <c r="K100" s="66"/>
      <c r="L100" s="66" t="s">
        <v>300</v>
      </c>
      <c r="M100" s="67" t="s">
        <v>522</v>
      </c>
    </row>
    <row r="101" spans="1:13" ht="80" x14ac:dyDescent="0.2">
      <c r="A101" s="66" t="s">
        <v>13</v>
      </c>
      <c r="B101" s="66" t="s">
        <v>8</v>
      </c>
      <c r="C101" s="66" t="s">
        <v>308</v>
      </c>
      <c r="D101" t="s">
        <v>555</v>
      </c>
      <c r="E101" s="66" t="s">
        <v>106</v>
      </c>
      <c r="F101" s="66"/>
      <c r="G101" s="66" t="s">
        <v>568</v>
      </c>
      <c r="H101" s="66">
        <v>200</v>
      </c>
      <c r="I101" s="66"/>
      <c r="J101" s="66"/>
      <c r="K101" s="66"/>
      <c r="L101" s="66" t="s">
        <v>300</v>
      </c>
      <c r="M101" s="67" t="s">
        <v>520</v>
      </c>
    </row>
    <row r="102" spans="1:13" ht="80" x14ac:dyDescent="0.2">
      <c r="A102" s="66" t="s">
        <v>13</v>
      </c>
      <c r="B102" s="66" t="s">
        <v>8</v>
      </c>
      <c r="C102" s="66" t="s">
        <v>308</v>
      </c>
      <c r="D102" t="s">
        <v>555</v>
      </c>
      <c r="E102" s="66" t="s">
        <v>106</v>
      </c>
      <c r="F102" s="66"/>
      <c r="G102" s="66" t="s">
        <v>568</v>
      </c>
      <c r="H102" s="66">
        <v>200</v>
      </c>
      <c r="I102" s="66"/>
      <c r="J102" s="66"/>
      <c r="K102" s="66"/>
      <c r="L102" s="66" t="s">
        <v>300</v>
      </c>
      <c r="M102" s="67" t="s">
        <v>521</v>
      </c>
    </row>
    <row r="103" spans="1:13" ht="96" x14ac:dyDescent="0.2">
      <c r="A103" s="66" t="s">
        <v>13</v>
      </c>
      <c r="B103" s="66" t="s">
        <v>8</v>
      </c>
      <c r="C103" s="66" t="s">
        <v>308</v>
      </c>
      <c r="D103" t="s">
        <v>555</v>
      </c>
      <c r="E103" s="66" t="s">
        <v>106</v>
      </c>
      <c r="F103" s="66"/>
      <c r="G103" s="66" t="s">
        <v>568</v>
      </c>
      <c r="H103" s="66">
        <v>200</v>
      </c>
      <c r="I103" s="66"/>
      <c r="J103" s="66"/>
      <c r="K103" s="66"/>
      <c r="L103" s="66" t="s">
        <v>300</v>
      </c>
      <c r="M103" s="67" t="s">
        <v>522</v>
      </c>
    </row>
    <row r="104" spans="1:13" ht="32" x14ac:dyDescent="0.2">
      <c r="A104" s="66" t="s">
        <v>13</v>
      </c>
      <c r="B104" s="66" t="s">
        <v>8</v>
      </c>
      <c r="C104" s="66" t="s">
        <v>308</v>
      </c>
      <c r="D104" t="s">
        <v>555</v>
      </c>
      <c r="E104" s="66" t="s">
        <v>337</v>
      </c>
      <c r="F104" s="66"/>
      <c r="G104" s="66" t="s">
        <v>568</v>
      </c>
      <c r="H104" s="66" t="s">
        <v>337</v>
      </c>
      <c r="I104" s="66"/>
      <c r="J104" s="66"/>
      <c r="K104" s="66"/>
      <c r="L104" s="69" t="s">
        <v>327</v>
      </c>
      <c r="M104" s="69" t="s">
        <v>328</v>
      </c>
    </row>
    <row r="105" spans="1:13" ht="32" x14ac:dyDescent="0.2">
      <c r="A105" s="66" t="s">
        <v>13</v>
      </c>
      <c r="B105" s="66" t="s">
        <v>8</v>
      </c>
      <c r="C105" s="66" t="s">
        <v>308</v>
      </c>
      <c r="D105" t="s">
        <v>555</v>
      </c>
      <c r="E105" s="66" t="s">
        <v>337</v>
      </c>
      <c r="F105" s="66"/>
      <c r="G105" s="66" t="s">
        <v>568</v>
      </c>
      <c r="H105" s="66" t="s">
        <v>337</v>
      </c>
      <c r="I105" s="66"/>
      <c r="J105" s="66"/>
      <c r="K105" s="66"/>
      <c r="L105" s="69" t="s">
        <v>329</v>
      </c>
      <c r="M105" s="69" t="s">
        <v>330</v>
      </c>
    </row>
    <row r="106" spans="1:13" ht="32" x14ac:dyDescent="0.2">
      <c r="A106" s="66" t="s">
        <v>13</v>
      </c>
      <c r="B106" s="66" t="s">
        <v>8</v>
      </c>
      <c r="C106" s="66" t="s">
        <v>308</v>
      </c>
      <c r="D106" t="s">
        <v>555</v>
      </c>
      <c r="E106" s="66" t="s">
        <v>337</v>
      </c>
      <c r="F106" s="66"/>
      <c r="G106" s="66" t="s">
        <v>568</v>
      </c>
      <c r="H106" s="66" t="s">
        <v>337</v>
      </c>
      <c r="I106" s="66"/>
      <c r="J106" s="66"/>
      <c r="K106" s="66"/>
      <c r="L106" s="69" t="s">
        <v>331</v>
      </c>
      <c r="M106" s="69" t="s">
        <v>332</v>
      </c>
    </row>
    <row r="107" spans="1:13" ht="32" x14ac:dyDescent="0.2">
      <c r="A107" s="95" t="s">
        <v>13</v>
      </c>
      <c r="B107" s="95" t="s">
        <v>8</v>
      </c>
      <c r="C107" s="95" t="s">
        <v>308</v>
      </c>
      <c r="D107" t="s">
        <v>555</v>
      </c>
      <c r="E107" s="95" t="s">
        <v>337</v>
      </c>
      <c r="F107" s="95"/>
      <c r="G107" s="95" t="s">
        <v>568</v>
      </c>
      <c r="H107" s="95" t="s">
        <v>337</v>
      </c>
      <c r="I107" s="95"/>
      <c r="J107" s="95"/>
      <c r="K107" s="95"/>
      <c r="L107" s="96" t="s">
        <v>333</v>
      </c>
      <c r="M107" s="96" t="s">
        <v>334</v>
      </c>
    </row>
    <row r="108" spans="1:13" ht="32" x14ac:dyDescent="0.2">
      <c r="A108" s="66" t="s">
        <v>7</v>
      </c>
      <c r="B108" s="62"/>
      <c r="C108" s="62"/>
      <c r="D108" s="62" t="s">
        <v>10</v>
      </c>
      <c r="E108" s="66" t="s">
        <v>279</v>
      </c>
      <c r="F108" s="62"/>
      <c r="G108" s="66" t="s">
        <v>580</v>
      </c>
      <c r="H108" s="66">
        <v>18</v>
      </c>
      <c r="I108" s="62"/>
      <c r="J108" s="62"/>
      <c r="K108" s="62"/>
      <c r="L108" s="93" t="s">
        <v>586</v>
      </c>
      <c r="M108" s="97" t="s">
        <v>581</v>
      </c>
    </row>
    <row r="109" spans="1:13" ht="16" x14ac:dyDescent="0.2">
      <c r="A109" s="66" t="s">
        <v>13</v>
      </c>
      <c r="B109" s="62"/>
      <c r="C109" s="62"/>
      <c r="D109" s="62" t="s">
        <v>10</v>
      </c>
      <c r="E109" s="66" t="s">
        <v>279</v>
      </c>
      <c r="F109" s="62"/>
      <c r="G109" s="66" t="s">
        <v>580</v>
      </c>
      <c r="H109" s="98">
        <v>42</v>
      </c>
      <c r="I109" s="62"/>
      <c r="J109" s="62"/>
      <c r="K109" s="62"/>
      <c r="L109" s="99" t="s">
        <v>582</v>
      </c>
      <c r="M109" s="97" t="s">
        <v>583</v>
      </c>
    </row>
    <row r="110" spans="1:13" ht="32" x14ac:dyDescent="0.2">
      <c r="A110" s="66" t="s">
        <v>13</v>
      </c>
      <c r="B110" s="62"/>
      <c r="C110" s="62"/>
      <c r="D110" s="62" t="s">
        <v>10</v>
      </c>
      <c r="E110" s="66" t="s">
        <v>279</v>
      </c>
      <c r="F110" s="62"/>
      <c r="G110" s="66" t="s">
        <v>580</v>
      </c>
      <c r="H110" s="98">
        <v>160</v>
      </c>
      <c r="I110" s="62"/>
      <c r="J110" s="62"/>
      <c r="K110" s="62"/>
      <c r="L110" s="99" t="s">
        <v>585</v>
      </c>
      <c r="M110" s="97" t="s">
        <v>584</v>
      </c>
    </row>
    <row r="111" spans="1:13" x14ac:dyDescent="0.2">
      <c r="A111" s="66" t="s">
        <v>13</v>
      </c>
      <c r="B111" s="62"/>
      <c r="C111" s="62"/>
      <c r="D111" s="62" t="s">
        <v>10</v>
      </c>
      <c r="E111" s="66" t="s">
        <v>279</v>
      </c>
      <c r="F111" s="62"/>
      <c r="G111" s="66" t="s">
        <v>580</v>
      </c>
      <c r="H111" s="66">
        <v>18</v>
      </c>
      <c r="I111" s="62"/>
      <c r="J111" s="62"/>
      <c r="K111" s="62"/>
      <c r="L111" s="100" t="s">
        <v>587</v>
      </c>
      <c r="M111" s="97"/>
    </row>
  </sheetData>
  <autoFilter ref="A1:M111" xr:uid="{65E7EADA-4054-4F84-8077-AC2EF75A4810}"/>
  <sortState xmlns:xlrd2="http://schemas.microsoft.com/office/spreadsheetml/2017/richdata2" ref="A2:M107">
    <sortCondition ref="C2:C107"/>
    <sortCondition ref="E2:E10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Pivote FY26 Billing</vt:lpstr>
      <vt:lpstr>FY26 Billing</vt:lpstr>
      <vt:lpstr>Sheet2</vt:lpstr>
      <vt:lpstr>FY 26 Current</vt:lpstr>
      <vt:lpstr>FY 27 Planning</vt:lpstr>
      <vt:lpstr>FY27 Budget</vt:lpstr>
      <vt:lpstr>Pivote</vt:lpstr>
      <vt:lpstr>FY27 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Kannan</dc:creator>
  <cp:lastModifiedBy>Muruganandham Jayapal</cp:lastModifiedBy>
  <dcterms:created xsi:type="dcterms:W3CDTF">2015-06-05T18:17:20Z</dcterms:created>
  <dcterms:modified xsi:type="dcterms:W3CDTF">2026-07-01T17:28:04Z</dcterms:modified>
</cp:coreProperties>
</file>